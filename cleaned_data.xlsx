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4c336dde3b505a/Documents/excel project1/supplement dashboard/"/>
    </mc:Choice>
  </mc:AlternateContent>
  <xr:revisionPtr revIDLastSave="1" documentId="8_{411B04DE-C29F-427E-B4AE-B0F5E2ADAB2E}" xr6:coauthVersionLast="47" xr6:coauthVersionMax="47" xr10:uidLastSave="{D31FE0A7-40EF-4173-B90E-FB1DB92EFC97}"/>
  <bookViews>
    <workbookView minimized="1" xWindow="3312" yWindow="3312" windowWidth="17280" windowHeight="8964" xr2:uid="{6886192E-6E55-48C4-BAF7-688EC13B76B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K25" i="1" s="1"/>
  <c r="B25" i="1"/>
  <c r="C25" i="1"/>
  <c r="D25" i="1"/>
  <c r="E25" i="1"/>
  <c r="F25" i="1"/>
  <c r="G25" i="1"/>
  <c r="M25" i="1" s="1"/>
  <c r="H25" i="1"/>
  <c r="I25" i="1"/>
  <c r="J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E26" i="1"/>
  <c r="E27" i="1"/>
  <c r="N27" i="1" s="1"/>
  <c r="E28" i="1"/>
  <c r="E29" i="1"/>
  <c r="E30" i="1"/>
  <c r="E31" i="1"/>
  <c r="N31" i="1" s="1"/>
  <c r="E32" i="1"/>
  <c r="E33" i="1"/>
  <c r="E34" i="1"/>
  <c r="E35" i="1"/>
  <c r="N35" i="1" s="1"/>
  <c r="E36" i="1"/>
  <c r="E37" i="1"/>
  <c r="E38" i="1"/>
  <c r="E39" i="1"/>
  <c r="N39" i="1" s="1"/>
  <c r="E40" i="1"/>
  <c r="E41" i="1"/>
  <c r="E42" i="1"/>
  <c r="E43" i="1"/>
  <c r="N43" i="1" s="1"/>
  <c r="E44" i="1"/>
  <c r="E45" i="1"/>
  <c r="E46" i="1"/>
  <c r="E47" i="1"/>
  <c r="N47" i="1" s="1"/>
  <c r="E48" i="1"/>
  <c r="E49" i="1"/>
  <c r="E50" i="1"/>
  <c r="E51" i="1"/>
  <c r="N51" i="1" s="1"/>
  <c r="E52" i="1"/>
  <c r="E53" i="1"/>
  <c r="E54" i="1"/>
  <c r="E55" i="1"/>
  <c r="N55" i="1" s="1"/>
  <c r="E56" i="1"/>
  <c r="E57" i="1"/>
  <c r="E58" i="1"/>
  <c r="E59" i="1"/>
  <c r="N59" i="1" s="1"/>
  <c r="E60" i="1"/>
  <c r="E61" i="1"/>
  <c r="E62" i="1"/>
  <c r="E63" i="1"/>
  <c r="N63" i="1" s="1"/>
  <c r="E64" i="1"/>
  <c r="E65" i="1"/>
  <c r="E66" i="1"/>
  <c r="E67" i="1"/>
  <c r="N67" i="1" s="1"/>
  <c r="E68" i="1"/>
  <c r="E69" i="1"/>
  <c r="E70" i="1"/>
  <c r="E71" i="1"/>
  <c r="N71" i="1" s="1"/>
  <c r="E72" i="1"/>
  <c r="E73" i="1"/>
  <c r="E74" i="1"/>
  <c r="E75" i="1"/>
  <c r="N75" i="1" s="1"/>
  <c r="E76" i="1"/>
  <c r="E77" i="1"/>
  <c r="E78" i="1"/>
  <c r="E79" i="1"/>
  <c r="N79" i="1" s="1"/>
  <c r="E80" i="1"/>
  <c r="E81" i="1"/>
  <c r="E82" i="1"/>
  <c r="E83" i="1"/>
  <c r="N83" i="1" s="1"/>
  <c r="E84" i="1"/>
  <c r="E85" i="1"/>
  <c r="E86" i="1"/>
  <c r="E87" i="1"/>
  <c r="N87" i="1" s="1"/>
  <c r="E88" i="1"/>
  <c r="E89" i="1"/>
  <c r="E90" i="1"/>
  <c r="E91" i="1"/>
  <c r="N91" i="1" s="1"/>
  <c r="E92" i="1"/>
  <c r="E93" i="1"/>
  <c r="E94" i="1"/>
  <c r="E95" i="1"/>
  <c r="N95" i="1" s="1"/>
  <c r="E96" i="1"/>
  <c r="E97" i="1"/>
  <c r="E98" i="1"/>
  <c r="E99" i="1"/>
  <c r="N99" i="1" s="1"/>
  <c r="E100" i="1"/>
  <c r="E101" i="1"/>
  <c r="E102" i="1"/>
  <c r="E103" i="1"/>
  <c r="N103" i="1" s="1"/>
  <c r="E104" i="1"/>
  <c r="E105" i="1"/>
  <c r="E106" i="1"/>
  <c r="E107" i="1"/>
  <c r="N107" i="1" s="1"/>
  <c r="E108" i="1"/>
  <c r="E109" i="1"/>
  <c r="E110" i="1"/>
  <c r="E111" i="1"/>
  <c r="N111" i="1" s="1"/>
  <c r="E112" i="1"/>
  <c r="E113" i="1"/>
  <c r="E114" i="1"/>
  <c r="E115" i="1"/>
  <c r="N115" i="1" s="1"/>
  <c r="E116" i="1"/>
  <c r="E117" i="1"/>
  <c r="E118" i="1"/>
  <c r="E119" i="1"/>
  <c r="N119" i="1" s="1"/>
  <c r="E120" i="1"/>
  <c r="E121" i="1"/>
  <c r="E122" i="1"/>
  <c r="E123" i="1"/>
  <c r="N123" i="1" s="1"/>
  <c r="E124" i="1"/>
  <c r="E125" i="1"/>
  <c r="E126" i="1"/>
  <c r="E127" i="1"/>
  <c r="N127" i="1" s="1"/>
  <c r="E128" i="1"/>
  <c r="E129" i="1"/>
  <c r="E130" i="1"/>
  <c r="E131" i="1"/>
  <c r="N131" i="1" s="1"/>
  <c r="E132" i="1"/>
  <c r="E133" i="1"/>
  <c r="E134" i="1"/>
  <c r="E135" i="1"/>
  <c r="N135" i="1" s="1"/>
  <c r="E136" i="1"/>
  <c r="E137" i="1"/>
  <c r="E138" i="1"/>
  <c r="E139" i="1"/>
  <c r="N139" i="1" s="1"/>
  <c r="E140" i="1"/>
  <c r="E141" i="1"/>
  <c r="E142" i="1"/>
  <c r="E143" i="1"/>
  <c r="N143" i="1" s="1"/>
  <c r="E144" i="1"/>
  <c r="E145" i="1"/>
  <c r="E146" i="1"/>
  <c r="E147" i="1"/>
  <c r="N147" i="1" s="1"/>
  <c r="E148" i="1"/>
  <c r="E149" i="1"/>
  <c r="E150" i="1"/>
  <c r="E151" i="1"/>
  <c r="N151" i="1" s="1"/>
  <c r="E152" i="1"/>
  <c r="E153" i="1"/>
  <c r="E154" i="1"/>
  <c r="E155" i="1"/>
  <c r="N155" i="1" s="1"/>
  <c r="E156" i="1"/>
  <c r="E157" i="1"/>
  <c r="E158" i="1"/>
  <c r="E159" i="1"/>
  <c r="N159" i="1" s="1"/>
  <c r="E160" i="1"/>
  <c r="E161" i="1"/>
  <c r="E162" i="1"/>
  <c r="E163" i="1"/>
  <c r="N163" i="1" s="1"/>
  <c r="E164" i="1"/>
  <c r="E165" i="1"/>
  <c r="E166" i="1"/>
  <c r="E167" i="1"/>
  <c r="N167" i="1" s="1"/>
  <c r="E168" i="1"/>
  <c r="E169" i="1"/>
  <c r="E170" i="1"/>
  <c r="E171" i="1"/>
  <c r="N171" i="1" s="1"/>
  <c r="E172" i="1"/>
  <c r="E173" i="1"/>
  <c r="E174" i="1"/>
  <c r="E175" i="1"/>
  <c r="N175" i="1" s="1"/>
  <c r="E176" i="1"/>
  <c r="E177" i="1"/>
  <c r="E178" i="1"/>
  <c r="E179" i="1"/>
  <c r="N179" i="1" s="1"/>
  <c r="E180" i="1"/>
  <c r="E181" i="1"/>
  <c r="E182" i="1"/>
  <c r="E183" i="1"/>
  <c r="N183" i="1" s="1"/>
  <c r="E184" i="1"/>
  <c r="E185" i="1"/>
  <c r="E186" i="1"/>
  <c r="E187" i="1"/>
  <c r="N187" i="1" s="1"/>
  <c r="E188" i="1"/>
  <c r="E189" i="1"/>
  <c r="E190" i="1"/>
  <c r="E191" i="1"/>
  <c r="N191" i="1" s="1"/>
  <c r="E192" i="1"/>
  <c r="E193" i="1"/>
  <c r="E194" i="1"/>
  <c r="E195" i="1"/>
  <c r="N195" i="1" s="1"/>
  <c r="E196" i="1"/>
  <c r="E197" i="1"/>
  <c r="E198" i="1"/>
  <c r="E199" i="1"/>
  <c r="N199" i="1" s="1"/>
  <c r="E200" i="1"/>
  <c r="E201" i="1"/>
  <c r="E202" i="1"/>
  <c r="E203" i="1"/>
  <c r="N203" i="1" s="1"/>
  <c r="E204" i="1"/>
  <c r="E205" i="1"/>
  <c r="E206" i="1"/>
  <c r="E207" i="1"/>
  <c r="N207" i="1" s="1"/>
  <c r="E208" i="1"/>
  <c r="E209" i="1"/>
  <c r="E210" i="1"/>
  <c r="E211" i="1"/>
  <c r="N211" i="1" s="1"/>
  <c r="E212" i="1"/>
  <c r="E213" i="1"/>
  <c r="E214" i="1"/>
  <c r="E215" i="1"/>
  <c r="N215" i="1" s="1"/>
  <c r="E216" i="1"/>
  <c r="E217" i="1"/>
  <c r="E218" i="1"/>
  <c r="E219" i="1"/>
  <c r="N219" i="1" s="1"/>
  <c r="E220" i="1"/>
  <c r="E221" i="1"/>
  <c r="E222" i="1"/>
  <c r="E223" i="1"/>
  <c r="N223" i="1" s="1"/>
  <c r="E224" i="1"/>
  <c r="E225" i="1"/>
  <c r="E226" i="1"/>
  <c r="E227" i="1"/>
  <c r="N227" i="1" s="1"/>
  <c r="E228" i="1"/>
  <c r="E229" i="1"/>
  <c r="E230" i="1"/>
  <c r="E231" i="1"/>
  <c r="N231" i="1" s="1"/>
  <c r="E232" i="1"/>
  <c r="E233" i="1"/>
  <c r="E234" i="1"/>
  <c r="E235" i="1"/>
  <c r="N235" i="1" s="1"/>
  <c r="E236" i="1"/>
  <c r="E237" i="1"/>
  <c r="E238" i="1"/>
  <c r="E239" i="1"/>
  <c r="N239" i="1" s="1"/>
  <c r="E240" i="1"/>
  <c r="E241" i="1"/>
  <c r="E242" i="1"/>
  <c r="E243" i="1"/>
  <c r="N243" i="1" s="1"/>
  <c r="E244" i="1"/>
  <c r="E245" i="1"/>
  <c r="E246" i="1"/>
  <c r="E247" i="1"/>
  <c r="N247" i="1" s="1"/>
  <c r="E248" i="1"/>
  <c r="E249" i="1"/>
  <c r="E250" i="1"/>
  <c r="E251" i="1"/>
  <c r="N251" i="1" s="1"/>
  <c r="E252" i="1"/>
  <c r="E253" i="1"/>
  <c r="E254" i="1"/>
  <c r="E255" i="1"/>
  <c r="N255" i="1" s="1"/>
  <c r="E256" i="1"/>
  <c r="E257" i="1"/>
  <c r="E258" i="1"/>
  <c r="E259" i="1"/>
  <c r="N259" i="1" s="1"/>
  <c r="E260" i="1"/>
  <c r="E261" i="1"/>
  <c r="E262" i="1"/>
  <c r="E263" i="1"/>
  <c r="N263" i="1" s="1"/>
  <c r="E264" i="1"/>
  <c r="E265" i="1"/>
  <c r="E266" i="1"/>
  <c r="E267" i="1"/>
  <c r="N267" i="1" s="1"/>
  <c r="E268" i="1"/>
  <c r="E269" i="1"/>
  <c r="E270" i="1"/>
  <c r="E271" i="1"/>
  <c r="N271" i="1" s="1"/>
  <c r="E272" i="1"/>
  <c r="E273" i="1"/>
  <c r="E274" i="1"/>
  <c r="E275" i="1"/>
  <c r="N275" i="1" s="1"/>
  <c r="E276" i="1"/>
  <c r="E277" i="1"/>
  <c r="E278" i="1"/>
  <c r="E279" i="1"/>
  <c r="N279" i="1" s="1"/>
  <c r="E280" i="1"/>
  <c r="E281" i="1"/>
  <c r="E282" i="1"/>
  <c r="E283" i="1"/>
  <c r="N283" i="1" s="1"/>
  <c r="E284" i="1"/>
  <c r="E285" i="1"/>
  <c r="E286" i="1"/>
  <c r="E287" i="1"/>
  <c r="N287" i="1" s="1"/>
  <c r="E288" i="1"/>
  <c r="E289" i="1"/>
  <c r="E290" i="1"/>
  <c r="E291" i="1"/>
  <c r="N291" i="1" s="1"/>
  <c r="E292" i="1"/>
  <c r="E293" i="1"/>
  <c r="E294" i="1"/>
  <c r="E295" i="1"/>
  <c r="N295" i="1" s="1"/>
  <c r="E296" i="1"/>
  <c r="E297" i="1"/>
  <c r="E298" i="1"/>
  <c r="E299" i="1"/>
  <c r="N299" i="1" s="1"/>
  <c r="E300" i="1"/>
  <c r="E301" i="1"/>
  <c r="E302" i="1"/>
  <c r="E303" i="1"/>
  <c r="N303" i="1" s="1"/>
  <c r="E304" i="1"/>
  <c r="E305" i="1"/>
  <c r="E306" i="1"/>
  <c r="E307" i="1"/>
  <c r="N307" i="1" s="1"/>
  <c r="E308" i="1"/>
  <c r="E309" i="1"/>
  <c r="E310" i="1"/>
  <c r="E311" i="1"/>
  <c r="N311" i="1" s="1"/>
  <c r="E312" i="1"/>
  <c r="E313" i="1"/>
  <c r="E314" i="1"/>
  <c r="E315" i="1"/>
  <c r="N315" i="1" s="1"/>
  <c r="E316" i="1"/>
  <c r="E317" i="1"/>
  <c r="E318" i="1"/>
  <c r="E319" i="1"/>
  <c r="N319" i="1" s="1"/>
  <c r="E320" i="1"/>
  <c r="E321" i="1"/>
  <c r="E322" i="1"/>
  <c r="E323" i="1"/>
  <c r="N323" i="1" s="1"/>
  <c r="E324" i="1"/>
  <c r="E325" i="1"/>
  <c r="E326" i="1"/>
  <c r="E327" i="1"/>
  <c r="N327" i="1" s="1"/>
  <c r="E328" i="1"/>
  <c r="E329" i="1"/>
  <c r="E330" i="1"/>
  <c r="E331" i="1"/>
  <c r="N331" i="1" s="1"/>
  <c r="E332" i="1"/>
  <c r="E333" i="1"/>
  <c r="E334" i="1"/>
  <c r="E335" i="1"/>
  <c r="N335" i="1" s="1"/>
  <c r="E336" i="1"/>
  <c r="E337" i="1"/>
  <c r="E338" i="1"/>
  <c r="E339" i="1"/>
  <c r="N339" i="1" s="1"/>
  <c r="E340" i="1"/>
  <c r="E341" i="1"/>
  <c r="E342" i="1"/>
  <c r="E343" i="1"/>
  <c r="N343" i="1" s="1"/>
  <c r="E344" i="1"/>
  <c r="E345" i="1"/>
  <c r="E346" i="1"/>
  <c r="E347" i="1"/>
  <c r="N347" i="1" s="1"/>
  <c r="E348" i="1"/>
  <c r="E349" i="1"/>
  <c r="E350" i="1"/>
  <c r="E351" i="1"/>
  <c r="N351" i="1" s="1"/>
  <c r="E352" i="1"/>
  <c r="E353" i="1"/>
  <c r="E354" i="1"/>
  <c r="E355" i="1"/>
  <c r="N355" i="1" s="1"/>
  <c r="E356" i="1"/>
  <c r="E357" i="1"/>
  <c r="E358" i="1"/>
  <c r="E359" i="1"/>
  <c r="N359" i="1" s="1"/>
  <c r="E360" i="1"/>
  <c r="E361" i="1"/>
  <c r="E362" i="1"/>
  <c r="E363" i="1"/>
  <c r="N363" i="1" s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F26" i="1"/>
  <c r="F27" i="1"/>
  <c r="F28" i="1"/>
  <c r="F29" i="1"/>
  <c r="N29" i="1" s="1"/>
  <c r="F30" i="1"/>
  <c r="F31" i="1"/>
  <c r="F32" i="1"/>
  <c r="F33" i="1"/>
  <c r="N33" i="1" s="1"/>
  <c r="F34" i="1"/>
  <c r="F35" i="1"/>
  <c r="F36" i="1"/>
  <c r="F37" i="1"/>
  <c r="N37" i="1" s="1"/>
  <c r="F38" i="1"/>
  <c r="F39" i="1"/>
  <c r="F40" i="1"/>
  <c r="F41" i="1"/>
  <c r="F42" i="1"/>
  <c r="F43" i="1"/>
  <c r="F44" i="1"/>
  <c r="F45" i="1"/>
  <c r="N45" i="1" s="1"/>
  <c r="F46" i="1"/>
  <c r="F47" i="1"/>
  <c r="F48" i="1"/>
  <c r="F49" i="1"/>
  <c r="N49" i="1" s="1"/>
  <c r="F50" i="1"/>
  <c r="F51" i="1"/>
  <c r="F52" i="1"/>
  <c r="F53" i="1"/>
  <c r="N53" i="1" s="1"/>
  <c r="F54" i="1"/>
  <c r="F55" i="1"/>
  <c r="F56" i="1"/>
  <c r="F57" i="1"/>
  <c r="F58" i="1"/>
  <c r="F59" i="1"/>
  <c r="F60" i="1"/>
  <c r="F61" i="1"/>
  <c r="N61" i="1" s="1"/>
  <c r="F62" i="1"/>
  <c r="F63" i="1"/>
  <c r="F64" i="1"/>
  <c r="F65" i="1"/>
  <c r="N65" i="1" s="1"/>
  <c r="F66" i="1"/>
  <c r="F67" i="1"/>
  <c r="F68" i="1"/>
  <c r="F69" i="1"/>
  <c r="N69" i="1" s="1"/>
  <c r="F70" i="1"/>
  <c r="F71" i="1"/>
  <c r="F72" i="1"/>
  <c r="F73" i="1"/>
  <c r="F74" i="1"/>
  <c r="F75" i="1"/>
  <c r="F76" i="1"/>
  <c r="F77" i="1"/>
  <c r="N77" i="1" s="1"/>
  <c r="F78" i="1"/>
  <c r="F79" i="1"/>
  <c r="F80" i="1"/>
  <c r="F81" i="1"/>
  <c r="N81" i="1" s="1"/>
  <c r="F82" i="1"/>
  <c r="F83" i="1"/>
  <c r="F84" i="1"/>
  <c r="F85" i="1"/>
  <c r="N85" i="1" s="1"/>
  <c r="F86" i="1"/>
  <c r="F87" i="1"/>
  <c r="F88" i="1"/>
  <c r="F89" i="1"/>
  <c r="F90" i="1"/>
  <c r="F91" i="1"/>
  <c r="F92" i="1"/>
  <c r="F93" i="1"/>
  <c r="N93" i="1" s="1"/>
  <c r="F94" i="1"/>
  <c r="F95" i="1"/>
  <c r="F96" i="1"/>
  <c r="F97" i="1"/>
  <c r="N97" i="1" s="1"/>
  <c r="F98" i="1"/>
  <c r="F99" i="1"/>
  <c r="F100" i="1"/>
  <c r="F101" i="1"/>
  <c r="N101" i="1" s="1"/>
  <c r="F102" i="1"/>
  <c r="F103" i="1"/>
  <c r="F104" i="1"/>
  <c r="F105" i="1"/>
  <c r="F106" i="1"/>
  <c r="F107" i="1"/>
  <c r="F108" i="1"/>
  <c r="F109" i="1"/>
  <c r="N109" i="1" s="1"/>
  <c r="F110" i="1"/>
  <c r="F111" i="1"/>
  <c r="F112" i="1"/>
  <c r="F113" i="1"/>
  <c r="N113" i="1" s="1"/>
  <c r="F114" i="1"/>
  <c r="F115" i="1"/>
  <c r="F116" i="1"/>
  <c r="F117" i="1"/>
  <c r="N117" i="1" s="1"/>
  <c r="F118" i="1"/>
  <c r="F119" i="1"/>
  <c r="F120" i="1"/>
  <c r="F121" i="1"/>
  <c r="F122" i="1"/>
  <c r="F123" i="1"/>
  <c r="F124" i="1"/>
  <c r="F125" i="1"/>
  <c r="N125" i="1" s="1"/>
  <c r="F126" i="1"/>
  <c r="F127" i="1"/>
  <c r="F128" i="1"/>
  <c r="F129" i="1"/>
  <c r="N129" i="1" s="1"/>
  <c r="F130" i="1"/>
  <c r="F131" i="1"/>
  <c r="F132" i="1"/>
  <c r="F133" i="1"/>
  <c r="N133" i="1" s="1"/>
  <c r="F134" i="1"/>
  <c r="F135" i="1"/>
  <c r="F136" i="1"/>
  <c r="F137" i="1"/>
  <c r="F138" i="1"/>
  <c r="F139" i="1"/>
  <c r="F140" i="1"/>
  <c r="F141" i="1"/>
  <c r="N141" i="1" s="1"/>
  <c r="F142" i="1"/>
  <c r="F143" i="1"/>
  <c r="F144" i="1"/>
  <c r="F145" i="1"/>
  <c r="N145" i="1" s="1"/>
  <c r="F146" i="1"/>
  <c r="F147" i="1"/>
  <c r="F148" i="1"/>
  <c r="F149" i="1"/>
  <c r="N149" i="1" s="1"/>
  <c r="F150" i="1"/>
  <c r="F151" i="1"/>
  <c r="F152" i="1"/>
  <c r="F153" i="1"/>
  <c r="F154" i="1"/>
  <c r="F155" i="1"/>
  <c r="F156" i="1"/>
  <c r="F157" i="1"/>
  <c r="N157" i="1" s="1"/>
  <c r="F158" i="1"/>
  <c r="F159" i="1"/>
  <c r="F160" i="1"/>
  <c r="F161" i="1"/>
  <c r="N161" i="1" s="1"/>
  <c r="F162" i="1"/>
  <c r="F163" i="1"/>
  <c r="F164" i="1"/>
  <c r="F165" i="1"/>
  <c r="N165" i="1" s="1"/>
  <c r="F166" i="1"/>
  <c r="F167" i="1"/>
  <c r="F168" i="1"/>
  <c r="F169" i="1"/>
  <c r="F170" i="1"/>
  <c r="F171" i="1"/>
  <c r="F172" i="1"/>
  <c r="F173" i="1"/>
  <c r="N173" i="1" s="1"/>
  <c r="F174" i="1"/>
  <c r="F175" i="1"/>
  <c r="F176" i="1"/>
  <c r="F177" i="1"/>
  <c r="N177" i="1" s="1"/>
  <c r="F178" i="1"/>
  <c r="F179" i="1"/>
  <c r="F180" i="1"/>
  <c r="F181" i="1"/>
  <c r="N181" i="1" s="1"/>
  <c r="F182" i="1"/>
  <c r="F183" i="1"/>
  <c r="F184" i="1"/>
  <c r="F185" i="1"/>
  <c r="F186" i="1"/>
  <c r="F187" i="1"/>
  <c r="F188" i="1"/>
  <c r="F189" i="1"/>
  <c r="N189" i="1" s="1"/>
  <c r="F190" i="1"/>
  <c r="F191" i="1"/>
  <c r="F192" i="1"/>
  <c r="F193" i="1"/>
  <c r="N193" i="1" s="1"/>
  <c r="F194" i="1"/>
  <c r="F195" i="1"/>
  <c r="F196" i="1"/>
  <c r="F197" i="1"/>
  <c r="N197" i="1" s="1"/>
  <c r="F198" i="1"/>
  <c r="F199" i="1"/>
  <c r="F200" i="1"/>
  <c r="F201" i="1"/>
  <c r="F202" i="1"/>
  <c r="F203" i="1"/>
  <c r="F204" i="1"/>
  <c r="F205" i="1"/>
  <c r="N205" i="1" s="1"/>
  <c r="F206" i="1"/>
  <c r="F207" i="1"/>
  <c r="F208" i="1"/>
  <c r="F209" i="1"/>
  <c r="N209" i="1" s="1"/>
  <c r="F210" i="1"/>
  <c r="F211" i="1"/>
  <c r="F212" i="1"/>
  <c r="F213" i="1"/>
  <c r="N213" i="1" s="1"/>
  <c r="F214" i="1"/>
  <c r="F215" i="1"/>
  <c r="F216" i="1"/>
  <c r="F217" i="1"/>
  <c r="F218" i="1"/>
  <c r="F219" i="1"/>
  <c r="F220" i="1"/>
  <c r="F221" i="1"/>
  <c r="N221" i="1" s="1"/>
  <c r="F222" i="1"/>
  <c r="F223" i="1"/>
  <c r="F224" i="1"/>
  <c r="F225" i="1"/>
  <c r="N225" i="1" s="1"/>
  <c r="F226" i="1"/>
  <c r="F227" i="1"/>
  <c r="F228" i="1"/>
  <c r="F229" i="1"/>
  <c r="N229" i="1" s="1"/>
  <c r="F230" i="1"/>
  <c r="F231" i="1"/>
  <c r="F232" i="1"/>
  <c r="F233" i="1"/>
  <c r="F234" i="1"/>
  <c r="F235" i="1"/>
  <c r="F236" i="1"/>
  <c r="F237" i="1"/>
  <c r="N237" i="1" s="1"/>
  <c r="F238" i="1"/>
  <c r="F239" i="1"/>
  <c r="F240" i="1"/>
  <c r="F241" i="1"/>
  <c r="N241" i="1" s="1"/>
  <c r="F242" i="1"/>
  <c r="F243" i="1"/>
  <c r="F244" i="1"/>
  <c r="F245" i="1"/>
  <c r="N245" i="1" s="1"/>
  <c r="F246" i="1"/>
  <c r="F247" i="1"/>
  <c r="F248" i="1"/>
  <c r="F249" i="1"/>
  <c r="F250" i="1"/>
  <c r="F251" i="1"/>
  <c r="F252" i="1"/>
  <c r="F253" i="1"/>
  <c r="N253" i="1" s="1"/>
  <c r="F254" i="1"/>
  <c r="F255" i="1"/>
  <c r="F256" i="1"/>
  <c r="F257" i="1"/>
  <c r="N257" i="1" s="1"/>
  <c r="F258" i="1"/>
  <c r="F259" i="1"/>
  <c r="F260" i="1"/>
  <c r="F261" i="1"/>
  <c r="N261" i="1" s="1"/>
  <c r="F262" i="1"/>
  <c r="F263" i="1"/>
  <c r="F264" i="1"/>
  <c r="F265" i="1"/>
  <c r="F266" i="1"/>
  <c r="F267" i="1"/>
  <c r="F268" i="1"/>
  <c r="F269" i="1"/>
  <c r="N269" i="1" s="1"/>
  <c r="F270" i="1"/>
  <c r="F271" i="1"/>
  <c r="F272" i="1"/>
  <c r="F273" i="1"/>
  <c r="N273" i="1" s="1"/>
  <c r="F274" i="1"/>
  <c r="F275" i="1"/>
  <c r="F276" i="1"/>
  <c r="F277" i="1"/>
  <c r="N277" i="1" s="1"/>
  <c r="F278" i="1"/>
  <c r="F279" i="1"/>
  <c r="F280" i="1"/>
  <c r="F281" i="1"/>
  <c r="F282" i="1"/>
  <c r="F283" i="1"/>
  <c r="F284" i="1"/>
  <c r="F285" i="1"/>
  <c r="N285" i="1" s="1"/>
  <c r="F286" i="1"/>
  <c r="F287" i="1"/>
  <c r="F288" i="1"/>
  <c r="F289" i="1"/>
  <c r="N289" i="1" s="1"/>
  <c r="F290" i="1"/>
  <c r="F291" i="1"/>
  <c r="F292" i="1"/>
  <c r="F293" i="1"/>
  <c r="N293" i="1" s="1"/>
  <c r="F294" i="1"/>
  <c r="F295" i="1"/>
  <c r="F296" i="1"/>
  <c r="F297" i="1"/>
  <c r="F298" i="1"/>
  <c r="F299" i="1"/>
  <c r="F300" i="1"/>
  <c r="F301" i="1"/>
  <c r="N301" i="1" s="1"/>
  <c r="F302" i="1"/>
  <c r="F303" i="1"/>
  <c r="F304" i="1"/>
  <c r="F305" i="1"/>
  <c r="N305" i="1" s="1"/>
  <c r="F306" i="1"/>
  <c r="F307" i="1"/>
  <c r="F308" i="1"/>
  <c r="F309" i="1"/>
  <c r="N309" i="1" s="1"/>
  <c r="F310" i="1"/>
  <c r="F311" i="1"/>
  <c r="F312" i="1"/>
  <c r="F313" i="1"/>
  <c r="F314" i="1"/>
  <c r="F315" i="1"/>
  <c r="F316" i="1"/>
  <c r="F317" i="1"/>
  <c r="N317" i="1" s="1"/>
  <c r="F318" i="1"/>
  <c r="F319" i="1"/>
  <c r="F320" i="1"/>
  <c r="F321" i="1"/>
  <c r="N321" i="1" s="1"/>
  <c r="F322" i="1"/>
  <c r="F323" i="1"/>
  <c r="F324" i="1"/>
  <c r="F325" i="1"/>
  <c r="N325" i="1" s="1"/>
  <c r="F326" i="1"/>
  <c r="F327" i="1"/>
  <c r="F328" i="1"/>
  <c r="F329" i="1"/>
  <c r="F330" i="1"/>
  <c r="F331" i="1"/>
  <c r="F332" i="1"/>
  <c r="F333" i="1"/>
  <c r="N333" i="1" s="1"/>
  <c r="F334" i="1"/>
  <c r="F335" i="1"/>
  <c r="F336" i="1"/>
  <c r="F337" i="1"/>
  <c r="N337" i="1" s="1"/>
  <c r="F338" i="1"/>
  <c r="F339" i="1"/>
  <c r="F340" i="1"/>
  <c r="F341" i="1"/>
  <c r="N341" i="1" s="1"/>
  <c r="F342" i="1"/>
  <c r="F343" i="1"/>
  <c r="F344" i="1"/>
  <c r="F345" i="1"/>
  <c r="F346" i="1"/>
  <c r="F347" i="1"/>
  <c r="F348" i="1"/>
  <c r="F349" i="1"/>
  <c r="N349" i="1" s="1"/>
  <c r="F350" i="1"/>
  <c r="F351" i="1"/>
  <c r="F352" i="1"/>
  <c r="F353" i="1"/>
  <c r="N353" i="1" s="1"/>
  <c r="F354" i="1"/>
  <c r="F355" i="1"/>
  <c r="F356" i="1"/>
  <c r="F357" i="1"/>
  <c r="N357" i="1" s="1"/>
  <c r="F358" i="1"/>
  <c r="F359" i="1"/>
  <c r="F360" i="1"/>
  <c r="F361" i="1"/>
  <c r="F362" i="1"/>
  <c r="F363" i="1"/>
  <c r="F364" i="1"/>
  <c r="F365" i="1"/>
  <c r="N365" i="1" s="1"/>
  <c r="F366" i="1"/>
  <c r="F367" i="1"/>
  <c r="F368" i="1"/>
  <c r="F369" i="1"/>
  <c r="N369" i="1" s="1"/>
  <c r="F370" i="1"/>
  <c r="F371" i="1"/>
  <c r="F372" i="1"/>
  <c r="F373" i="1"/>
  <c r="N373" i="1" s="1"/>
  <c r="F374" i="1"/>
  <c r="F375" i="1"/>
  <c r="F376" i="1"/>
  <c r="F377" i="1"/>
  <c r="N377" i="1" s="1"/>
  <c r="F378" i="1"/>
  <c r="F379" i="1"/>
  <c r="F380" i="1"/>
  <c r="F381" i="1"/>
  <c r="N381" i="1" s="1"/>
  <c r="F382" i="1"/>
  <c r="F383" i="1"/>
  <c r="F384" i="1"/>
  <c r="F385" i="1"/>
  <c r="N385" i="1" s="1"/>
  <c r="F386" i="1"/>
  <c r="F387" i="1"/>
  <c r="F388" i="1"/>
  <c r="F389" i="1"/>
  <c r="N389" i="1" s="1"/>
  <c r="F390" i="1"/>
  <c r="F391" i="1"/>
  <c r="F392" i="1"/>
  <c r="F393" i="1"/>
  <c r="N393" i="1" s="1"/>
  <c r="F394" i="1"/>
  <c r="F395" i="1"/>
  <c r="F396" i="1"/>
  <c r="F397" i="1"/>
  <c r="N397" i="1" s="1"/>
  <c r="F398" i="1"/>
  <c r="F399" i="1"/>
  <c r="F400" i="1"/>
  <c r="F401" i="1"/>
  <c r="N401" i="1" s="1"/>
  <c r="F402" i="1"/>
  <c r="F403" i="1"/>
  <c r="F404" i="1"/>
  <c r="F405" i="1"/>
  <c r="N405" i="1" s="1"/>
  <c r="F406" i="1"/>
  <c r="F407" i="1"/>
  <c r="F408" i="1"/>
  <c r="F409" i="1"/>
  <c r="N409" i="1" s="1"/>
  <c r="F410" i="1"/>
  <c r="F411" i="1"/>
  <c r="F412" i="1"/>
  <c r="F413" i="1"/>
  <c r="N413" i="1" s="1"/>
  <c r="F414" i="1"/>
  <c r="F415" i="1"/>
  <c r="F416" i="1"/>
  <c r="F417" i="1"/>
  <c r="N417" i="1" s="1"/>
  <c r="F418" i="1"/>
  <c r="F419" i="1"/>
  <c r="F420" i="1"/>
  <c r="F421" i="1"/>
  <c r="N421" i="1" s="1"/>
  <c r="F422" i="1"/>
  <c r="F423" i="1"/>
  <c r="F424" i="1"/>
  <c r="F425" i="1"/>
  <c r="N425" i="1" s="1"/>
  <c r="F426" i="1"/>
  <c r="F427" i="1"/>
  <c r="F428" i="1"/>
  <c r="F429" i="1"/>
  <c r="N429" i="1" s="1"/>
  <c r="F430" i="1"/>
  <c r="F431" i="1"/>
  <c r="F432" i="1"/>
  <c r="F433" i="1"/>
  <c r="N433" i="1" s="1"/>
  <c r="F434" i="1"/>
  <c r="F435" i="1"/>
  <c r="F436" i="1"/>
  <c r="F437" i="1"/>
  <c r="N437" i="1" s="1"/>
  <c r="F438" i="1"/>
  <c r="F439" i="1"/>
  <c r="F440" i="1"/>
  <c r="F441" i="1"/>
  <c r="N441" i="1" s="1"/>
  <c r="F442" i="1"/>
  <c r="F443" i="1"/>
  <c r="F444" i="1"/>
  <c r="F445" i="1"/>
  <c r="N445" i="1" s="1"/>
  <c r="F446" i="1"/>
  <c r="F447" i="1"/>
  <c r="F448" i="1"/>
  <c r="F449" i="1"/>
  <c r="N449" i="1" s="1"/>
  <c r="F450" i="1"/>
  <c r="F451" i="1"/>
  <c r="F452" i="1"/>
  <c r="F453" i="1"/>
  <c r="N453" i="1" s="1"/>
  <c r="F454" i="1"/>
  <c r="F455" i="1"/>
  <c r="F456" i="1"/>
  <c r="F457" i="1"/>
  <c r="N457" i="1" s="1"/>
  <c r="F458" i="1"/>
  <c r="F459" i="1"/>
  <c r="F460" i="1"/>
  <c r="F461" i="1"/>
  <c r="N461" i="1" s="1"/>
  <c r="F462" i="1"/>
  <c r="F463" i="1"/>
  <c r="F464" i="1"/>
  <c r="F465" i="1"/>
  <c r="N465" i="1" s="1"/>
  <c r="F466" i="1"/>
  <c r="F467" i="1"/>
  <c r="F468" i="1"/>
  <c r="F469" i="1"/>
  <c r="N469" i="1" s="1"/>
  <c r="F470" i="1"/>
  <c r="F471" i="1"/>
  <c r="F472" i="1"/>
  <c r="F473" i="1"/>
  <c r="N473" i="1" s="1"/>
  <c r="F474" i="1"/>
  <c r="F475" i="1"/>
  <c r="F476" i="1"/>
  <c r="F477" i="1"/>
  <c r="N477" i="1" s="1"/>
  <c r="F478" i="1"/>
  <c r="F479" i="1"/>
  <c r="F480" i="1"/>
  <c r="F481" i="1"/>
  <c r="N481" i="1" s="1"/>
  <c r="F482" i="1"/>
  <c r="F483" i="1"/>
  <c r="F484" i="1"/>
  <c r="F485" i="1"/>
  <c r="N485" i="1" s="1"/>
  <c r="F486" i="1"/>
  <c r="F487" i="1"/>
  <c r="F488" i="1"/>
  <c r="F489" i="1"/>
  <c r="N489" i="1" s="1"/>
  <c r="F490" i="1"/>
  <c r="F491" i="1"/>
  <c r="F492" i="1"/>
  <c r="F493" i="1"/>
  <c r="N493" i="1" s="1"/>
  <c r="F494" i="1"/>
  <c r="F495" i="1"/>
  <c r="F496" i="1"/>
  <c r="F497" i="1"/>
  <c r="N497" i="1" s="1"/>
  <c r="F498" i="1"/>
  <c r="F499" i="1"/>
  <c r="F500" i="1"/>
  <c r="F501" i="1"/>
  <c r="N501" i="1" s="1"/>
  <c r="F502" i="1"/>
  <c r="F503" i="1"/>
  <c r="F504" i="1"/>
  <c r="F505" i="1"/>
  <c r="N505" i="1" s="1"/>
  <c r="F506" i="1"/>
  <c r="F507" i="1"/>
  <c r="F508" i="1"/>
  <c r="F509" i="1"/>
  <c r="N509" i="1" s="1"/>
  <c r="F510" i="1"/>
  <c r="F511" i="1"/>
  <c r="F512" i="1"/>
  <c r="F513" i="1"/>
  <c r="N513" i="1" s="1"/>
  <c r="F514" i="1"/>
  <c r="F515" i="1"/>
  <c r="F516" i="1"/>
  <c r="F517" i="1"/>
  <c r="N517" i="1" s="1"/>
  <c r="F518" i="1"/>
  <c r="F519" i="1"/>
  <c r="F520" i="1"/>
  <c r="F521" i="1"/>
  <c r="N521" i="1" s="1"/>
  <c r="F522" i="1"/>
  <c r="F523" i="1"/>
  <c r="F524" i="1"/>
  <c r="F525" i="1"/>
  <c r="N525" i="1" s="1"/>
  <c r="F526" i="1"/>
  <c r="F527" i="1"/>
  <c r="F528" i="1"/>
  <c r="F529" i="1"/>
  <c r="N529" i="1" s="1"/>
  <c r="F530" i="1"/>
  <c r="F531" i="1"/>
  <c r="F532" i="1"/>
  <c r="F533" i="1"/>
  <c r="N533" i="1" s="1"/>
  <c r="F534" i="1"/>
  <c r="F535" i="1"/>
  <c r="F536" i="1"/>
  <c r="F537" i="1"/>
  <c r="N537" i="1" s="1"/>
  <c r="F538" i="1"/>
  <c r="F539" i="1"/>
  <c r="F540" i="1"/>
  <c r="F541" i="1"/>
  <c r="N541" i="1" s="1"/>
  <c r="F542" i="1"/>
  <c r="F543" i="1"/>
  <c r="F544" i="1"/>
  <c r="F545" i="1"/>
  <c r="N545" i="1" s="1"/>
  <c r="F546" i="1"/>
  <c r="F547" i="1"/>
  <c r="F548" i="1"/>
  <c r="F549" i="1"/>
  <c r="N549" i="1" s="1"/>
  <c r="F550" i="1"/>
  <c r="F551" i="1"/>
  <c r="F552" i="1"/>
  <c r="F553" i="1"/>
  <c r="N553" i="1" s="1"/>
  <c r="F554" i="1"/>
  <c r="F555" i="1"/>
  <c r="F556" i="1"/>
  <c r="F557" i="1"/>
  <c r="N557" i="1" s="1"/>
  <c r="F558" i="1"/>
  <c r="F559" i="1"/>
  <c r="F560" i="1"/>
  <c r="F561" i="1"/>
  <c r="N561" i="1" s="1"/>
  <c r="F562" i="1"/>
  <c r="F563" i="1"/>
  <c r="F564" i="1"/>
  <c r="F565" i="1"/>
  <c r="N565" i="1" s="1"/>
  <c r="F566" i="1"/>
  <c r="F567" i="1"/>
  <c r="F568" i="1"/>
  <c r="F569" i="1"/>
  <c r="N569" i="1" s="1"/>
  <c r="F570" i="1"/>
  <c r="F571" i="1"/>
  <c r="F572" i="1"/>
  <c r="F573" i="1"/>
  <c r="N573" i="1" s="1"/>
  <c r="F574" i="1"/>
  <c r="F575" i="1"/>
  <c r="F576" i="1"/>
  <c r="F577" i="1"/>
  <c r="N577" i="1" s="1"/>
  <c r="F578" i="1"/>
  <c r="F579" i="1"/>
  <c r="F580" i="1"/>
  <c r="F581" i="1"/>
  <c r="N581" i="1" s="1"/>
  <c r="F582" i="1"/>
  <c r="F583" i="1"/>
  <c r="F584" i="1"/>
  <c r="F585" i="1"/>
  <c r="N585" i="1" s="1"/>
  <c r="F586" i="1"/>
  <c r="F587" i="1"/>
  <c r="F588" i="1"/>
  <c r="F589" i="1"/>
  <c r="N589" i="1" s="1"/>
  <c r="F590" i="1"/>
  <c r="F591" i="1"/>
  <c r="F592" i="1"/>
  <c r="F593" i="1"/>
  <c r="N593" i="1" s="1"/>
  <c r="F594" i="1"/>
  <c r="F595" i="1"/>
  <c r="F596" i="1"/>
  <c r="F597" i="1"/>
  <c r="N597" i="1" s="1"/>
  <c r="F598" i="1"/>
  <c r="F599" i="1"/>
  <c r="F600" i="1"/>
  <c r="F601" i="1"/>
  <c r="N601" i="1" s="1"/>
  <c r="F602" i="1"/>
  <c r="F603" i="1"/>
  <c r="F604" i="1"/>
  <c r="F605" i="1"/>
  <c r="N605" i="1" s="1"/>
  <c r="F606" i="1"/>
  <c r="F607" i="1"/>
  <c r="F608" i="1"/>
  <c r="F609" i="1"/>
  <c r="N609" i="1" s="1"/>
  <c r="F610" i="1"/>
  <c r="F611" i="1"/>
  <c r="F612" i="1"/>
  <c r="F613" i="1"/>
  <c r="N613" i="1" s="1"/>
  <c r="F614" i="1"/>
  <c r="F615" i="1"/>
  <c r="F616" i="1"/>
  <c r="F617" i="1"/>
  <c r="N617" i="1" s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N26" i="1"/>
  <c r="N28" i="1"/>
  <c r="N30" i="1"/>
  <c r="N32" i="1"/>
  <c r="N34" i="1"/>
  <c r="N36" i="1"/>
  <c r="N38" i="1"/>
  <c r="N40" i="1"/>
  <c r="N41" i="1"/>
  <c r="N42" i="1"/>
  <c r="N44" i="1"/>
  <c r="N46" i="1"/>
  <c r="N48" i="1"/>
  <c r="N50" i="1"/>
  <c r="N52" i="1"/>
  <c r="N54" i="1"/>
  <c r="N56" i="1"/>
  <c r="N57" i="1"/>
  <c r="N58" i="1"/>
  <c r="N60" i="1"/>
  <c r="N62" i="1"/>
  <c r="N64" i="1"/>
  <c r="N66" i="1"/>
  <c r="N68" i="1"/>
  <c r="N70" i="1"/>
  <c r="N72" i="1"/>
  <c r="N73" i="1"/>
  <c r="N74" i="1"/>
  <c r="N76" i="1"/>
  <c r="N78" i="1"/>
  <c r="N80" i="1"/>
  <c r="N82" i="1"/>
  <c r="N84" i="1"/>
  <c r="N86" i="1"/>
  <c r="N88" i="1"/>
  <c r="N89" i="1"/>
  <c r="N90" i="1"/>
  <c r="N92" i="1"/>
  <c r="N94" i="1"/>
  <c r="N96" i="1"/>
  <c r="N98" i="1"/>
  <c r="N100" i="1"/>
  <c r="N102" i="1"/>
  <c r="N104" i="1"/>
  <c r="N105" i="1"/>
  <c r="N106" i="1"/>
  <c r="N108" i="1"/>
  <c r="N110" i="1"/>
  <c r="N112" i="1"/>
  <c r="N114" i="1"/>
  <c r="N116" i="1"/>
  <c r="N118" i="1"/>
  <c r="N120" i="1"/>
  <c r="N121" i="1"/>
  <c r="N122" i="1"/>
  <c r="N124" i="1"/>
  <c r="N126" i="1"/>
  <c r="N128" i="1"/>
  <c r="N130" i="1"/>
  <c r="N132" i="1"/>
  <c r="N134" i="1"/>
  <c r="N136" i="1"/>
  <c r="N137" i="1"/>
  <c r="N138" i="1"/>
  <c r="N140" i="1"/>
  <c r="N142" i="1"/>
  <c r="N144" i="1"/>
  <c r="N146" i="1"/>
  <c r="N148" i="1"/>
  <c r="N150" i="1"/>
  <c r="N152" i="1"/>
  <c r="N153" i="1"/>
  <c r="N154" i="1"/>
  <c r="N156" i="1"/>
  <c r="N158" i="1"/>
  <c r="N160" i="1"/>
  <c r="N162" i="1"/>
  <c r="N164" i="1"/>
  <c r="N166" i="1"/>
  <c r="N168" i="1"/>
  <c r="N169" i="1"/>
  <c r="N170" i="1"/>
  <c r="N172" i="1"/>
  <c r="N174" i="1"/>
  <c r="N176" i="1"/>
  <c r="N178" i="1"/>
  <c r="N180" i="1"/>
  <c r="N182" i="1"/>
  <c r="N184" i="1"/>
  <c r="N185" i="1"/>
  <c r="N186" i="1"/>
  <c r="N188" i="1"/>
  <c r="N190" i="1"/>
  <c r="N192" i="1"/>
  <c r="N194" i="1"/>
  <c r="N196" i="1"/>
  <c r="N198" i="1"/>
  <c r="N200" i="1"/>
  <c r="N201" i="1"/>
  <c r="N202" i="1"/>
  <c r="N204" i="1"/>
  <c r="N206" i="1"/>
  <c r="N208" i="1"/>
  <c r="N210" i="1"/>
  <c r="N212" i="1"/>
  <c r="N214" i="1"/>
  <c r="N216" i="1"/>
  <c r="N217" i="1"/>
  <c r="N218" i="1"/>
  <c r="N220" i="1"/>
  <c r="N222" i="1"/>
  <c r="N224" i="1"/>
  <c r="N226" i="1"/>
  <c r="N228" i="1"/>
  <c r="N230" i="1"/>
  <c r="N232" i="1"/>
  <c r="N233" i="1"/>
  <c r="N234" i="1"/>
  <c r="N236" i="1"/>
  <c r="N238" i="1"/>
  <c r="N240" i="1"/>
  <c r="N242" i="1"/>
  <c r="N244" i="1"/>
  <c r="N246" i="1"/>
  <c r="N248" i="1"/>
  <c r="N249" i="1"/>
  <c r="N250" i="1"/>
  <c r="N252" i="1"/>
  <c r="N254" i="1"/>
  <c r="N256" i="1"/>
  <c r="N258" i="1"/>
  <c r="N260" i="1"/>
  <c r="N262" i="1"/>
  <c r="N264" i="1"/>
  <c r="N265" i="1"/>
  <c r="N266" i="1"/>
  <c r="N268" i="1"/>
  <c r="N270" i="1"/>
  <c r="N272" i="1"/>
  <c r="N274" i="1"/>
  <c r="N276" i="1"/>
  <c r="N278" i="1"/>
  <c r="N280" i="1"/>
  <c r="N281" i="1"/>
  <c r="N282" i="1"/>
  <c r="N284" i="1"/>
  <c r="N286" i="1"/>
  <c r="N288" i="1"/>
  <c r="N290" i="1"/>
  <c r="N292" i="1"/>
  <c r="N294" i="1"/>
  <c r="N296" i="1"/>
  <c r="N297" i="1"/>
  <c r="N298" i="1"/>
  <c r="N300" i="1"/>
  <c r="N302" i="1"/>
  <c r="N304" i="1"/>
  <c r="N306" i="1"/>
  <c r="N308" i="1"/>
  <c r="N310" i="1"/>
  <c r="N312" i="1"/>
  <c r="N313" i="1"/>
  <c r="N314" i="1"/>
  <c r="N316" i="1"/>
  <c r="N318" i="1"/>
  <c r="N320" i="1"/>
  <c r="N322" i="1"/>
  <c r="N324" i="1"/>
  <c r="N326" i="1"/>
  <c r="N328" i="1"/>
  <c r="N329" i="1"/>
  <c r="N330" i="1"/>
  <c r="N332" i="1"/>
  <c r="N334" i="1"/>
  <c r="N336" i="1"/>
  <c r="N338" i="1"/>
  <c r="N340" i="1"/>
  <c r="N342" i="1"/>
  <c r="N344" i="1"/>
  <c r="N345" i="1"/>
  <c r="N346" i="1"/>
  <c r="N348" i="1"/>
  <c r="N350" i="1"/>
  <c r="N352" i="1"/>
  <c r="N354" i="1"/>
  <c r="N356" i="1"/>
  <c r="N358" i="1"/>
  <c r="N360" i="1"/>
  <c r="N361" i="1"/>
  <c r="N362" i="1"/>
  <c r="N364" i="1"/>
  <c r="N366" i="1"/>
  <c r="N367" i="1"/>
  <c r="N368" i="1"/>
  <c r="N370" i="1"/>
  <c r="N371" i="1"/>
  <c r="N372" i="1"/>
  <c r="N374" i="1"/>
  <c r="N375" i="1"/>
  <c r="N376" i="1"/>
  <c r="N378" i="1"/>
  <c r="N379" i="1"/>
  <c r="N380" i="1"/>
  <c r="N382" i="1"/>
  <c r="N383" i="1"/>
  <c r="N384" i="1"/>
  <c r="N386" i="1"/>
  <c r="N387" i="1"/>
  <c r="N388" i="1"/>
  <c r="N390" i="1"/>
  <c r="N391" i="1"/>
  <c r="N392" i="1"/>
  <c r="N394" i="1"/>
  <c r="N395" i="1"/>
  <c r="N396" i="1"/>
  <c r="N398" i="1"/>
  <c r="N399" i="1"/>
  <c r="N400" i="1"/>
  <c r="N402" i="1"/>
  <c r="N403" i="1"/>
  <c r="N404" i="1"/>
  <c r="N406" i="1"/>
  <c r="N407" i="1"/>
  <c r="N408" i="1"/>
  <c r="N410" i="1"/>
  <c r="N411" i="1"/>
  <c r="N412" i="1"/>
  <c r="N414" i="1"/>
  <c r="N415" i="1"/>
  <c r="N416" i="1"/>
  <c r="N418" i="1"/>
  <c r="N419" i="1"/>
  <c r="N420" i="1"/>
  <c r="N422" i="1"/>
  <c r="N423" i="1"/>
  <c r="N424" i="1"/>
  <c r="N426" i="1"/>
  <c r="N427" i="1"/>
  <c r="N428" i="1"/>
  <c r="N430" i="1"/>
  <c r="N431" i="1"/>
  <c r="N432" i="1"/>
  <c r="N434" i="1"/>
  <c r="N435" i="1"/>
  <c r="N436" i="1"/>
  <c r="N438" i="1"/>
  <c r="N439" i="1"/>
  <c r="N440" i="1"/>
  <c r="N442" i="1"/>
  <c r="N443" i="1"/>
  <c r="N444" i="1"/>
  <c r="N446" i="1"/>
  <c r="N447" i="1"/>
  <c r="N448" i="1"/>
  <c r="N450" i="1"/>
  <c r="N451" i="1"/>
  <c r="N452" i="1"/>
  <c r="N454" i="1"/>
  <c r="N455" i="1"/>
  <c r="N456" i="1"/>
  <c r="N458" i="1"/>
  <c r="N459" i="1"/>
  <c r="N460" i="1"/>
  <c r="N462" i="1"/>
  <c r="N463" i="1"/>
  <c r="N464" i="1"/>
  <c r="N466" i="1"/>
  <c r="N467" i="1"/>
  <c r="N468" i="1"/>
  <c r="N470" i="1"/>
  <c r="N471" i="1"/>
  <c r="N472" i="1"/>
  <c r="N474" i="1"/>
  <c r="N475" i="1"/>
  <c r="N476" i="1"/>
  <c r="N478" i="1"/>
  <c r="N479" i="1"/>
  <c r="N480" i="1"/>
  <c r="N482" i="1"/>
  <c r="N483" i="1"/>
  <c r="N484" i="1"/>
  <c r="N486" i="1"/>
  <c r="N487" i="1"/>
  <c r="N488" i="1"/>
  <c r="N490" i="1"/>
  <c r="N491" i="1"/>
  <c r="N492" i="1"/>
  <c r="N494" i="1"/>
  <c r="N495" i="1"/>
  <c r="N496" i="1"/>
  <c r="N498" i="1"/>
  <c r="N499" i="1"/>
  <c r="N500" i="1"/>
  <c r="N502" i="1"/>
  <c r="N503" i="1"/>
  <c r="N504" i="1"/>
  <c r="N506" i="1"/>
  <c r="N507" i="1"/>
  <c r="N508" i="1"/>
  <c r="N510" i="1"/>
  <c r="N511" i="1"/>
  <c r="N512" i="1"/>
  <c r="N514" i="1"/>
  <c r="N515" i="1"/>
  <c r="N516" i="1"/>
  <c r="N518" i="1"/>
  <c r="N519" i="1"/>
  <c r="N520" i="1"/>
  <c r="N522" i="1"/>
  <c r="N523" i="1"/>
  <c r="N524" i="1"/>
  <c r="N526" i="1"/>
  <c r="N527" i="1"/>
  <c r="N528" i="1"/>
  <c r="N530" i="1"/>
  <c r="N531" i="1"/>
  <c r="N532" i="1"/>
  <c r="N534" i="1"/>
  <c r="N535" i="1"/>
  <c r="N536" i="1"/>
  <c r="N538" i="1"/>
  <c r="N539" i="1"/>
  <c r="N540" i="1"/>
  <c r="N542" i="1"/>
  <c r="N543" i="1"/>
  <c r="N544" i="1"/>
  <c r="N546" i="1"/>
  <c r="N547" i="1"/>
  <c r="N548" i="1"/>
  <c r="N550" i="1"/>
  <c r="N551" i="1"/>
  <c r="N552" i="1"/>
  <c r="N554" i="1"/>
  <c r="N555" i="1"/>
  <c r="N556" i="1"/>
  <c r="N558" i="1"/>
  <c r="N559" i="1"/>
  <c r="N560" i="1"/>
  <c r="N562" i="1"/>
  <c r="N563" i="1"/>
  <c r="N564" i="1"/>
  <c r="N566" i="1"/>
  <c r="N567" i="1"/>
  <c r="N568" i="1"/>
  <c r="N570" i="1"/>
  <c r="N571" i="1"/>
  <c r="N572" i="1"/>
  <c r="N574" i="1"/>
  <c r="N575" i="1"/>
  <c r="N576" i="1"/>
  <c r="N578" i="1"/>
  <c r="N579" i="1"/>
  <c r="N580" i="1"/>
  <c r="N582" i="1"/>
  <c r="N583" i="1"/>
  <c r="N584" i="1"/>
  <c r="N586" i="1"/>
  <c r="N587" i="1"/>
  <c r="N588" i="1"/>
  <c r="N590" i="1"/>
  <c r="N591" i="1"/>
  <c r="N592" i="1"/>
  <c r="N594" i="1"/>
  <c r="N595" i="1"/>
  <c r="N596" i="1"/>
  <c r="N598" i="1"/>
  <c r="N599" i="1"/>
  <c r="N600" i="1"/>
  <c r="N602" i="1"/>
  <c r="N603" i="1"/>
  <c r="N604" i="1"/>
  <c r="N606" i="1"/>
  <c r="N607" i="1"/>
  <c r="N608" i="1"/>
  <c r="N610" i="1"/>
  <c r="N611" i="1"/>
  <c r="N612" i="1"/>
  <c r="N614" i="1"/>
  <c r="N615" i="1"/>
  <c r="N616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J24" i="1"/>
  <c r="I24" i="1"/>
  <c r="H24" i="1"/>
  <c r="G24" i="1"/>
  <c r="M24" i="1" s="1"/>
  <c r="F24" i="1"/>
  <c r="E24" i="1"/>
  <c r="D24" i="1"/>
  <c r="C24" i="1"/>
  <c r="B24" i="1"/>
  <c r="A24" i="1"/>
  <c r="L24" i="1" s="1"/>
  <c r="J23" i="1"/>
  <c r="I23" i="1"/>
  <c r="H23" i="1"/>
  <c r="G23" i="1"/>
  <c r="M23" i="1" s="1"/>
  <c r="F23" i="1"/>
  <c r="E23" i="1"/>
  <c r="D23" i="1"/>
  <c r="C23" i="1"/>
  <c r="B23" i="1"/>
  <c r="A23" i="1"/>
  <c r="L23" i="1" s="1"/>
  <c r="J22" i="1"/>
  <c r="I22" i="1"/>
  <c r="H22" i="1"/>
  <c r="G22" i="1"/>
  <c r="M22" i="1" s="1"/>
  <c r="F22" i="1"/>
  <c r="E22" i="1"/>
  <c r="D22" i="1"/>
  <c r="C22" i="1"/>
  <c r="B22" i="1"/>
  <c r="A22" i="1"/>
  <c r="L22" i="1" s="1"/>
  <c r="J21" i="1"/>
  <c r="I21" i="1"/>
  <c r="H21" i="1"/>
  <c r="G21" i="1"/>
  <c r="M21" i="1" s="1"/>
  <c r="F21" i="1"/>
  <c r="E21" i="1"/>
  <c r="D21" i="1"/>
  <c r="C21" i="1"/>
  <c r="B21" i="1"/>
  <c r="A21" i="1"/>
  <c r="L21" i="1" s="1"/>
  <c r="J20" i="1"/>
  <c r="I20" i="1"/>
  <c r="H20" i="1"/>
  <c r="G20" i="1"/>
  <c r="M20" i="1" s="1"/>
  <c r="F20" i="1"/>
  <c r="E20" i="1"/>
  <c r="D20" i="1"/>
  <c r="C20" i="1"/>
  <c r="B20" i="1"/>
  <c r="A20" i="1"/>
  <c r="L20" i="1" s="1"/>
  <c r="J19" i="1"/>
  <c r="I19" i="1"/>
  <c r="H19" i="1"/>
  <c r="G19" i="1"/>
  <c r="M19" i="1" s="1"/>
  <c r="F19" i="1"/>
  <c r="E19" i="1"/>
  <c r="D19" i="1"/>
  <c r="C19" i="1"/>
  <c r="B19" i="1"/>
  <c r="A19" i="1"/>
  <c r="L19" i="1" s="1"/>
  <c r="J18" i="1"/>
  <c r="I18" i="1"/>
  <c r="H18" i="1"/>
  <c r="G18" i="1"/>
  <c r="M18" i="1" s="1"/>
  <c r="F18" i="1"/>
  <c r="E18" i="1"/>
  <c r="D18" i="1"/>
  <c r="C18" i="1"/>
  <c r="B18" i="1"/>
  <c r="A18" i="1"/>
  <c r="K18" i="1" s="1"/>
  <c r="J17" i="1"/>
  <c r="I17" i="1"/>
  <c r="H17" i="1"/>
  <c r="G17" i="1"/>
  <c r="M17" i="1" s="1"/>
  <c r="F17" i="1"/>
  <c r="E17" i="1"/>
  <c r="D17" i="1"/>
  <c r="C17" i="1"/>
  <c r="B17" i="1"/>
  <c r="A17" i="1"/>
  <c r="L17" i="1" s="1"/>
  <c r="J16" i="1"/>
  <c r="I16" i="1"/>
  <c r="H16" i="1"/>
  <c r="G16" i="1"/>
  <c r="M16" i="1" s="1"/>
  <c r="F16" i="1"/>
  <c r="E16" i="1"/>
  <c r="D16" i="1"/>
  <c r="C16" i="1"/>
  <c r="B16" i="1"/>
  <c r="A16" i="1"/>
  <c r="K16" i="1" s="1"/>
  <c r="J15" i="1"/>
  <c r="I15" i="1"/>
  <c r="H15" i="1"/>
  <c r="G15" i="1"/>
  <c r="M15" i="1" s="1"/>
  <c r="F15" i="1"/>
  <c r="E15" i="1"/>
  <c r="D15" i="1"/>
  <c r="C15" i="1"/>
  <c r="B15" i="1"/>
  <c r="A15" i="1"/>
  <c r="L15" i="1" s="1"/>
  <c r="K14" i="1"/>
  <c r="J14" i="1"/>
  <c r="I14" i="1"/>
  <c r="H14" i="1"/>
  <c r="G14" i="1"/>
  <c r="M14" i="1" s="1"/>
  <c r="F14" i="1"/>
  <c r="E14" i="1"/>
  <c r="D14" i="1"/>
  <c r="C14" i="1"/>
  <c r="B14" i="1"/>
  <c r="A14" i="1"/>
  <c r="L14" i="1" s="1"/>
  <c r="J13" i="1"/>
  <c r="I13" i="1"/>
  <c r="H13" i="1"/>
  <c r="G13" i="1"/>
  <c r="M13" i="1" s="1"/>
  <c r="F13" i="1"/>
  <c r="E13" i="1"/>
  <c r="D13" i="1"/>
  <c r="C13" i="1"/>
  <c r="B13" i="1"/>
  <c r="A13" i="1"/>
  <c r="L13" i="1" s="1"/>
  <c r="J12" i="1"/>
  <c r="I12" i="1"/>
  <c r="H12" i="1"/>
  <c r="G12" i="1"/>
  <c r="M12" i="1" s="1"/>
  <c r="F12" i="1"/>
  <c r="E12" i="1"/>
  <c r="D12" i="1"/>
  <c r="C12" i="1"/>
  <c r="B12" i="1"/>
  <c r="A12" i="1"/>
  <c r="L12" i="1" s="1"/>
  <c r="J11" i="1"/>
  <c r="I11" i="1"/>
  <c r="H11" i="1"/>
  <c r="G11" i="1"/>
  <c r="M11" i="1" s="1"/>
  <c r="F11" i="1"/>
  <c r="E11" i="1"/>
  <c r="D11" i="1"/>
  <c r="C11" i="1"/>
  <c r="B11" i="1"/>
  <c r="A11" i="1"/>
  <c r="L11" i="1" s="1"/>
  <c r="J10" i="1"/>
  <c r="I10" i="1"/>
  <c r="H10" i="1"/>
  <c r="G10" i="1"/>
  <c r="M10" i="1" s="1"/>
  <c r="F10" i="1"/>
  <c r="E10" i="1"/>
  <c r="D10" i="1"/>
  <c r="C10" i="1"/>
  <c r="B10" i="1"/>
  <c r="A10" i="1"/>
  <c r="K10" i="1" s="1"/>
  <c r="J9" i="1"/>
  <c r="I9" i="1"/>
  <c r="H9" i="1"/>
  <c r="G9" i="1"/>
  <c r="M9" i="1" s="1"/>
  <c r="F9" i="1"/>
  <c r="E9" i="1"/>
  <c r="D9" i="1"/>
  <c r="C9" i="1"/>
  <c r="B9" i="1"/>
  <c r="A9" i="1"/>
  <c r="L9" i="1" s="1"/>
  <c r="J8" i="1"/>
  <c r="I8" i="1"/>
  <c r="H8" i="1"/>
  <c r="G8" i="1"/>
  <c r="M8" i="1" s="1"/>
  <c r="F8" i="1"/>
  <c r="E8" i="1"/>
  <c r="D8" i="1"/>
  <c r="C8" i="1"/>
  <c r="B8" i="1"/>
  <c r="A8" i="1"/>
  <c r="L8" i="1" s="1"/>
  <c r="J7" i="1"/>
  <c r="I7" i="1"/>
  <c r="H7" i="1"/>
  <c r="G7" i="1"/>
  <c r="M7" i="1" s="1"/>
  <c r="F7" i="1"/>
  <c r="E7" i="1"/>
  <c r="D7" i="1"/>
  <c r="C7" i="1"/>
  <c r="B7" i="1"/>
  <c r="A7" i="1"/>
  <c r="L7" i="1" s="1"/>
  <c r="J6" i="1"/>
  <c r="I6" i="1"/>
  <c r="H6" i="1"/>
  <c r="G6" i="1"/>
  <c r="M6" i="1" s="1"/>
  <c r="F6" i="1"/>
  <c r="E6" i="1"/>
  <c r="D6" i="1"/>
  <c r="C6" i="1"/>
  <c r="B6" i="1"/>
  <c r="A6" i="1"/>
  <c r="L6" i="1" s="1"/>
  <c r="J5" i="1"/>
  <c r="I5" i="1"/>
  <c r="H5" i="1"/>
  <c r="G5" i="1"/>
  <c r="M5" i="1" s="1"/>
  <c r="F5" i="1"/>
  <c r="E5" i="1"/>
  <c r="D5" i="1"/>
  <c r="C5" i="1"/>
  <c r="B5" i="1"/>
  <c r="A5" i="1"/>
  <c r="L5" i="1" s="1"/>
  <c r="J4" i="1"/>
  <c r="I4" i="1"/>
  <c r="H4" i="1"/>
  <c r="G4" i="1"/>
  <c r="M4" i="1" s="1"/>
  <c r="F4" i="1"/>
  <c r="E4" i="1"/>
  <c r="D4" i="1"/>
  <c r="C4" i="1"/>
  <c r="B4" i="1"/>
  <c r="A4" i="1"/>
  <c r="L4" i="1" s="1"/>
  <c r="N10" i="1" l="1"/>
  <c r="K24" i="1"/>
  <c r="L10" i="1"/>
  <c r="N5" i="1"/>
  <c r="K6" i="1"/>
  <c r="L16" i="1"/>
  <c r="L25" i="1"/>
  <c r="N25" i="1"/>
  <c r="N16" i="1"/>
  <c r="L18" i="1"/>
  <c r="N24" i="1"/>
  <c r="N13" i="1"/>
  <c r="K8" i="1"/>
  <c r="N18" i="1"/>
  <c r="N21" i="1"/>
  <c r="K22" i="1"/>
  <c r="N8" i="1"/>
  <c r="K4" i="1"/>
  <c r="N6" i="1"/>
  <c r="N9" i="1"/>
  <c r="K12" i="1"/>
  <c r="N14" i="1"/>
  <c r="N17" i="1"/>
  <c r="K20" i="1"/>
  <c r="N22" i="1"/>
  <c r="N4" i="1"/>
  <c r="N7" i="1"/>
  <c r="N12" i="1"/>
  <c r="N15" i="1"/>
  <c r="N20" i="1"/>
  <c r="N23" i="1"/>
  <c r="N11" i="1"/>
  <c r="N19" i="1"/>
  <c r="K5" i="1"/>
  <c r="K7" i="1"/>
  <c r="K9" i="1"/>
  <c r="K11" i="1"/>
  <c r="K13" i="1"/>
  <c r="K15" i="1"/>
  <c r="K17" i="1"/>
  <c r="K19" i="1"/>
  <c r="K21" i="1"/>
  <c r="K23" i="1"/>
</calcChain>
</file>

<file path=xl/sharedStrings.xml><?xml version="1.0" encoding="utf-8"?>
<sst xmlns="http://schemas.openxmlformats.org/spreadsheetml/2006/main" count="15" uniqueCount="15">
  <si>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</si>
  <si>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</si>
  <si>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</si>
  <si>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</si>
  <si>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</si>
  <si>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</si>
  <si>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</si>
  <si>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</si>
  <si>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</si>
  <si>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</si>
  <si>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Year</t>
  </si>
  <si>
    <t>Month Start</t>
  </si>
  <si>
    <t>Discount Band</t>
  </si>
  <si>
    <t>Revenue Check</t>
  </si>
  <si>
    <t>Cleaned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</si>
</sst>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m\-yyyy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wrapText="1"/>
    </xf>
    <xf numFmtId="164" fontId="4" fillId="0" borderId="0" xfId="0" applyNumberFormat="1" applyFont="1"/>
    <xf numFmtId="0" fontId="4" fillId="0" borderId="0" xfId="0" applyFont="1"/>
    <xf numFmtId="2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4c336dde3b505a/Documents/excel%20project1/supplement%20dashboard/Supplement_Sales_Analysis_Dashboard.xlsx" TargetMode="External"/><Relationship Id="rId1" Type="http://schemas.openxmlformats.org/officeDocument/2006/relationships/externalLinkPath" Target="Supplement_Sales_Analysi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Data_Cleaning"/>
      <sheetName val="Analysis"/>
      <sheetName val="Dashboard"/>
    </sheetNames>
    <sheetDataSet>
      <sheetData sheetId="0">
        <row r="2">
          <cell r="A2" t="str">
            <v>06-01-2020</v>
          </cell>
          <cell r="B2" t="str">
            <v>Whey Protein</v>
          </cell>
          <cell r="C2" t="str">
            <v>Protein</v>
          </cell>
          <cell r="D2">
            <v>143</v>
          </cell>
          <cell r="E2">
            <v>31.98</v>
          </cell>
          <cell r="F2">
            <v>4573.1400000000003</v>
          </cell>
          <cell r="G2">
            <v>0.03</v>
          </cell>
          <cell r="H2">
            <v>2</v>
          </cell>
          <cell r="I2" t="str">
            <v>Canada</v>
          </cell>
          <cell r="J2" t="str">
            <v>Walmart</v>
          </cell>
        </row>
        <row r="3">
          <cell r="A3" t="str">
            <v>06-01-2020</v>
          </cell>
          <cell r="B3" t="str">
            <v>Vitamin C</v>
          </cell>
          <cell r="C3" t="str">
            <v>Vitamin</v>
          </cell>
          <cell r="D3">
            <v>139</v>
          </cell>
          <cell r="E3">
            <v>42.51</v>
          </cell>
          <cell r="F3">
            <v>5908.89</v>
          </cell>
          <cell r="G3">
            <v>0.04</v>
          </cell>
          <cell r="H3">
            <v>0</v>
          </cell>
          <cell r="I3" t="str">
            <v>UK</v>
          </cell>
          <cell r="J3" t="str">
            <v>Amazon</v>
          </cell>
        </row>
        <row r="4">
          <cell r="A4" t="str">
            <v>06-01-2020</v>
          </cell>
          <cell r="B4" t="str">
            <v>Fish Oil</v>
          </cell>
          <cell r="C4" t="str">
            <v>Omega</v>
          </cell>
          <cell r="D4">
            <v>161</v>
          </cell>
          <cell r="E4">
            <v>12.91</v>
          </cell>
          <cell r="F4">
            <v>2078.5100000000002</v>
          </cell>
          <cell r="G4">
            <v>0.25</v>
          </cell>
          <cell r="H4">
            <v>0</v>
          </cell>
          <cell r="I4" t="str">
            <v>Canada</v>
          </cell>
          <cell r="J4" t="str">
            <v>Amazon</v>
          </cell>
        </row>
        <row r="5">
          <cell r="A5" t="str">
            <v>06-01-2020</v>
          </cell>
          <cell r="B5" t="str">
            <v>Multivitamin</v>
          </cell>
          <cell r="C5" t="str">
            <v>Vitamin</v>
          </cell>
          <cell r="D5">
            <v>140</v>
          </cell>
          <cell r="E5">
            <v>16.07</v>
          </cell>
          <cell r="F5">
            <v>2249.8000000000002</v>
          </cell>
          <cell r="G5">
            <v>0.08</v>
          </cell>
          <cell r="H5">
            <v>0</v>
          </cell>
          <cell r="I5" t="str">
            <v>Canada</v>
          </cell>
          <cell r="J5" t="str">
            <v>Walmart</v>
          </cell>
        </row>
        <row r="6">
          <cell r="A6" t="str">
            <v>06-01-2020</v>
          </cell>
          <cell r="B6" t="str">
            <v>Pre-Workout</v>
          </cell>
          <cell r="C6" t="str">
            <v>Performance</v>
          </cell>
          <cell r="D6">
            <v>157</v>
          </cell>
          <cell r="E6">
            <v>35.47</v>
          </cell>
          <cell r="F6">
            <v>5568.79</v>
          </cell>
          <cell r="G6">
            <v>0.25</v>
          </cell>
          <cell r="H6">
            <v>3</v>
          </cell>
          <cell r="I6" t="str">
            <v>Canada</v>
          </cell>
          <cell r="J6" t="str">
            <v>iHerb</v>
          </cell>
        </row>
        <row r="7">
          <cell r="A7" t="str">
            <v>06-01-2020</v>
          </cell>
          <cell r="B7" t="str">
            <v>BCAA</v>
          </cell>
          <cell r="C7" t="str">
            <v>Amino Acid</v>
          </cell>
          <cell r="D7">
            <v>154</v>
          </cell>
          <cell r="E7">
            <v>41.19</v>
          </cell>
          <cell r="F7">
            <v>6343.26</v>
          </cell>
          <cell r="G7">
            <v>0.13</v>
          </cell>
          <cell r="H7">
            <v>1</v>
          </cell>
          <cell r="I7" t="str">
            <v>UK</v>
          </cell>
          <cell r="J7" t="str">
            <v>Walmart</v>
          </cell>
        </row>
        <row r="8">
          <cell r="A8" t="str">
            <v>06-01-2020</v>
          </cell>
          <cell r="B8" t="str">
            <v>Creatine</v>
          </cell>
          <cell r="C8" t="str">
            <v>Performance</v>
          </cell>
          <cell r="D8">
            <v>134</v>
          </cell>
          <cell r="E8">
            <v>32.49</v>
          </cell>
          <cell r="F8">
            <v>4353.66</v>
          </cell>
          <cell r="G8">
            <v>0.05</v>
          </cell>
          <cell r="H8">
            <v>1</v>
          </cell>
          <cell r="I8" t="str">
            <v>UK</v>
          </cell>
          <cell r="J8" t="str">
            <v>Walmart</v>
          </cell>
        </row>
        <row r="9">
          <cell r="A9" t="str">
            <v>06-01-2020</v>
          </cell>
          <cell r="B9" t="str">
            <v>Zinc</v>
          </cell>
          <cell r="C9" t="str">
            <v>Mineral</v>
          </cell>
          <cell r="D9">
            <v>147</v>
          </cell>
          <cell r="E9">
            <v>46.68</v>
          </cell>
          <cell r="F9">
            <v>6861.96</v>
          </cell>
          <cell r="G9">
            <v>0.19</v>
          </cell>
          <cell r="H9">
            <v>0</v>
          </cell>
          <cell r="I9" t="str">
            <v>Canada</v>
          </cell>
          <cell r="J9" t="str">
            <v>Amazon</v>
          </cell>
        </row>
        <row r="10">
          <cell r="A10" t="str">
            <v>06-01-2020</v>
          </cell>
          <cell r="B10" t="str">
            <v>Collagen Peptides</v>
          </cell>
          <cell r="C10" t="str">
            <v>Protein</v>
          </cell>
          <cell r="D10">
            <v>147</v>
          </cell>
          <cell r="E10">
            <v>10.96</v>
          </cell>
          <cell r="F10">
            <v>1611.12</v>
          </cell>
          <cell r="G10">
            <v>0.06</v>
          </cell>
          <cell r="H10">
            <v>2</v>
          </cell>
          <cell r="I10" t="str">
            <v>USA</v>
          </cell>
          <cell r="J10" t="str">
            <v>Amazon</v>
          </cell>
        </row>
        <row r="11">
          <cell r="A11" t="str">
            <v>06-01-2020</v>
          </cell>
          <cell r="B11" t="str">
            <v>Magnesium</v>
          </cell>
          <cell r="C11" t="str">
            <v>Mineral</v>
          </cell>
          <cell r="D11">
            <v>134</v>
          </cell>
          <cell r="E11">
            <v>20.76</v>
          </cell>
          <cell r="F11">
            <v>2781.84</v>
          </cell>
          <cell r="G11">
            <v>0</v>
          </cell>
          <cell r="H11">
            <v>0</v>
          </cell>
          <cell r="I11" t="str">
            <v>Canada</v>
          </cell>
          <cell r="J11" t="str">
            <v>Amazon</v>
          </cell>
        </row>
        <row r="12">
          <cell r="A12" t="str">
            <v>06-01-2020</v>
          </cell>
          <cell r="B12" t="str">
            <v>Ashwagandha</v>
          </cell>
          <cell r="C12" t="str">
            <v>Herbal</v>
          </cell>
          <cell r="D12">
            <v>181</v>
          </cell>
          <cell r="E12">
            <v>15.49</v>
          </cell>
          <cell r="F12">
            <v>2803.69</v>
          </cell>
          <cell r="G12">
            <v>0.14000000000000001</v>
          </cell>
          <cell r="H12">
            <v>1</v>
          </cell>
          <cell r="I12" t="str">
            <v>USA</v>
          </cell>
          <cell r="J12" t="str">
            <v>Amazon</v>
          </cell>
        </row>
        <row r="13">
          <cell r="A13" t="str">
            <v>06-01-2020</v>
          </cell>
          <cell r="B13" t="str">
            <v>Melatonin</v>
          </cell>
          <cell r="C13" t="str">
            <v>Sleep Aid</v>
          </cell>
          <cell r="D13">
            <v>164</v>
          </cell>
          <cell r="E13">
            <v>34.409999999999997</v>
          </cell>
          <cell r="F13">
            <v>5643.24</v>
          </cell>
          <cell r="G13">
            <v>0.04</v>
          </cell>
          <cell r="H13">
            <v>1</v>
          </cell>
          <cell r="I13" t="str">
            <v>USA</v>
          </cell>
          <cell r="J13" t="str">
            <v>Walmart</v>
          </cell>
        </row>
        <row r="14">
          <cell r="A14" t="str">
            <v>06-01-2020</v>
          </cell>
          <cell r="B14" t="str">
            <v>Biotin</v>
          </cell>
          <cell r="C14" t="str">
            <v>Vitamin</v>
          </cell>
          <cell r="D14">
            <v>159</v>
          </cell>
          <cell r="E14">
            <v>28.79</v>
          </cell>
          <cell r="F14">
            <v>4577.6099999999997</v>
          </cell>
          <cell r="G14">
            <v>0.1</v>
          </cell>
          <cell r="H14">
            <v>1</v>
          </cell>
          <cell r="I14" t="str">
            <v>UK</v>
          </cell>
          <cell r="J14" t="str">
            <v>iHerb</v>
          </cell>
        </row>
        <row r="15">
          <cell r="A15" t="str">
            <v>06-01-2020</v>
          </cell>
          <cell r="B15" t="str">
            <v>Green Tea Extract</v>
          </cell>
          <cell r="C15" t="str">
            <v>Fat Burner</v>
          </cell>
          <cell r="D15">
            <v>143</v>
          </cell>
          <cell r="E15">
            <v>31.88</v>
          </cell>
          <cell r="F15">
            <v>4558.84</v>
          </cell>
          <cell r="G15">
            <v>0.06</v>
          </cell>
          <cell r="H15">
            <v>3</v>
          </cell>
          <cell r="I15" t="str">
            <v>UK</v>
          </cell>
          <cell r="J15" t="str">
            <v>Walmart</v>
          </cell>
        </row>
        <row r="16">
          <cell r="A16" t="str">
            <v>06-01-2020</v>
          </cell>
          <cell r="B16" t="str">
            <v>Iron Supplement</v>
          </cell>
          <cell r="C16" t="str">
            <v>Mineral</v>
          </cell>
          <cell r="D16">
            <v>149</v>
          </cell>
          <cell r="E16">
            <v>42.97</v>
          </cell>
          <cell r="F16">
            <v>6402.53</v>
          </cell>
          <cell r="G16">
            <v>0.22</v>
          </cell>
          <cell r="H16">
            <v>2</v>
          </cell>
          <cell r="I16" t="str">
            <v>Canada</v>
          </cell>
          <cell r="J16" t="str">
            <v>iHerb</v>
          </cell>
        </row>
        <row r="17">
          <cell r="A17" t="str">
            <v>06-01-2020</v>
          </cell>
          <cell r="B17" t="str">
            <v>Electrolyte Powder</v>
          </cell>
          <cell r="C17" t="str">
            <v>Hydration</v>
          </cell>
          <cell r="D17">
            <v>154</v>
          </cell>
          <cell r="E17">
            <v>35.92</v>
          </cell>
          <cell r="F17">
            <v>5531.68</v>
          </cell>
          <cell r="G17">
            <v>0.04</v>
          </cell>
          <cell r="H17">
            <v>2</v>
          </cell>
          <cell r="I17" t="str">
            <v>USA</v>
          </cell>
          <cell r="J17" t="str">
            <v>Amazon</v>
          </cell>
        </row>
        <row r="18">
          <cell r="A18" t="str">
            <v>13-01-2020</v>
          </cell>
          <cell r="B18" t="str">
            <v>Whey Protein</v>
          </cell>
          <cell r="C18" t="str">
            <v>Protein</v>
          </cell>
          <cell r="D18">
            <v>150</v>
          </cell>
          <cell r="E18">
            <v>12.08</v>
          </cell>
          <cell r="F18">
            <v>1812</v>
          </cell>
          <cell r="G18">
            <v>0.02</v>
          </cell>
          <cell r="H18">
            <v>2</v>
          </cell>
          <cell r="I18" t="str">
            <v>UK</v>
          </cell>
          <cell r="J18" t="str">
            <v>Amazon</v>
          </cell>
        </row>
        <row r="19">
          <cell r="A19" t="str">
            <v>13-01-2020</v>
          </cell>
          <cell r="B19" t="str">
            <v>Vitamin C</v>
          </cell>
          <cell r="C19" t="str">
            <v>Vitamin</v>
          </cell>
          <cell r="D19">
            <v>128</v>
          </cell>
          <cell r="E19">
            <v>10.61</v>
          </cell>
          <cell r="F19">
            <v>1358.08</v>
          </cell>
          <cell r="G19">
            <v>0.24</v>
          </cell>
          <cell r="H19">
            <v>2</v>
          </cell>
          <cell r="I19" t="str">
            <v>USA</v>
          </cell>
          <cell r="J19" t="str">
            <v>Amazon</v>
          </cell>
        </row>
        <row r="20">
          <cell r="A20" t="str">
            <v>13-01-2020</v>
          </cell>
          <cell r="B20" t="str">
            <v>Fish Oil</v>
          </cell>
          <cell r="C20" t="str">
            <v>Omega</v>
          </cell>
          <cell r="D20">
            <v>145</v>
          </cell>
          <cell r="E20">
            <v>27.49</v>
          </cell>
          <cell r="F20">
            <v>3986.05</v>
          </cell>
          <cell r="G20">
            <v>0.19</v>
          </cell>
          <cell r="H20">
            <v>2</v>
          </cell>
          <cell r="I20" t="str">
            <v>USA</v>
          </cell>
          <cell r="J20" t="str">
            <v>Walmart</v>
          </cell>
        </row>
        <row r="21">
          <cell r="A21" t="str">
            <v>13-01-2020</v>
          </cell>
          <cell r="B21" t="str">
            <v>Multivitamin</v>
          </cell>
          <cell r="C21" t="str">
            <v>Vitamin</v>
          </cell>
          <cell r="D21">
            <v>137</v>
          </cell>
          <cell r="E21">
            <v>14.92</v>
          </cell>
          <cell r="F21">
            <v>2044.04</v>
          </cell>
          <cell r="G21">
            <v>0.17</v>
          </cell>
          <cell r="H21">
            <v>2</v>
          </cell>
          <cell r="I21" t="str">
            <v>USA</v>
          </cell>
          <cell r="J21" t="str">
            <v>Amazon</v>
          </cell>
        </row>
        <row r="22">
          <cell r="A22" t="str">
            <v>13-01-2020</v>
          </cell>
          <cell r="B22" t="str">
            <v>Pre-Workout</v>
          </cell>
          <cell r="C22" t="str">
            <v>Performance</v>
          </cell>
          <cell r="D22">
            <v>141</v>
          </cell>
          <cell r="E22">
            <v>14.11</v>
          </cell>
          <cell r="F22">
            <v>1989.51</v>
          </cell>
          <cell r="G22">
            <v>0.24</v>
          </cell>
          <cell r="H22">
            <v>1</v>
          </cell>
          <cell r="I22" t="str">
            <v>Canada</v>
          </cell>
          <cell r="J22" t="str">
            <v>iHerb</v>
          </cell>
        </row>
        <row r="23">
          <cell r="A23" t="str">
            <v>13-01-2020</v>
          </cell>
          <cell r="B23" t="str">
            <v>BCAA</v>
          </cell>
          <cell r="C23" t="str">
            <v>Amino Acid</v>
          </cell>
          <cell r="D23">
            <v>160</v>
          </cell>
          <cell r="E23">
            <v>29.1</v>
          </cell>
          <cell r="F23">
            <v>4656</v>
          </cell>
          <cell r="G23">
            <v>0.05</v>
          </cell>
          <cell r="H23">
            <v>0</v>
          </cell>
          <cell r="I23" t="str">
            <v>Canada</v>
          </cell>
          <cell r="J23" t="str">
            <v>Amazon</v>
          </cell>
        </row>
        <row r="24">
          <cell r="A24" t="str">
            <v>13-01-2020</v>
          </cell>
          <cell r="B24" t="str">
            <v>Creatine</v>
          </cell>
          <cell r="C24" t="str">
            <v>Performance</v>
          </cell>
          <cell r="D24">
            <v>154</v>
          </cell>
          <cell r="E24">
            <v>42.2</v>
          </cell>
          <cell r="F24">
            <v>6498.8</v>
          </cell>
          <cell r="G24">
            <v>0.13</v>
          </cell>
          <cell r="H24">
            <v>0</v>
          </cell>
          <cell r="I24" t="str">
            <v>UK</v>
          </cell>
          <cell r="J24" t="str">
            <v>Walmart</v>
          </cell>
        </row>
        <row r="25">
          <cell r="A25" t="str">
            <v>13-01-2020</v>
          </cell>
          <cell r="B25" t="str">
            <v>Zinc</v>
          </cell>
          <cell r="C25" t="str">
            <v>Mineral</v>
          </cell>
          <cell r="D25">
            <v>154</v>
          </cell>
          <cell r="E25">
            <v>47.4</v>
          </cell>
          <cell r="F25">
            <v>7299.6</v>
          </cell>
          <cell r="G25">
            <v>0.2</v>
          </cell>
          <cell r="H25">
            <v>2</v>
          </cell>
          <cell r="I25" t="str">
            <v>USA</v>
          </cell>
          <cell r="J25" t="str">
            <v>Amazon</v>
          </cell>
        </row>
        <row r="26">
          <cell r="A26" t="str">
            <v>13-01-2020</v>
          </cell>
          <cell r="B26" t="str">
            <v>Collagen Peptides</v>
          </cell>
          <cell r="C26" t="str">
            <v>Protein</v>
          </cell>
          <cell r="D26">
            <v>134</v>
          </cell>
          <cell r="E26">
            <v>56.4</v>
          </cell>
          <cell r="F26">
            <v>7557.6</v>
          </cell>
          <cell r="G26">
            <v>0.06</v>
          </cell>
          <cell r="H26">
            <v>1</v>
          </cell>
          <cell r="I26" t="str">
            <v>Canada</v>
          </cell>
          <cell r="J26" t="str">
            <v>iHerb</v>
          </cell>
        </row>
        <row r="27">
          <cell r="A27" t="str">
            <v>13-01-2020</v>
          </cell>
          <cell r="B27" t="str">
            <v>Magnesium</v>
          </cell>
          <cell r="C27" t="str">
            <v>Mineral</v>
          </cell>
          <cell r="D27">
            <v>148</v>
          </cell>
          <cell r="E27">
            <v>40.65</v>
          </cell>
          <cell r="F27">
            <v>6016.2</v>
          </cell>
          <cell r="G27">
            <v>0.24</v>
          </cell>
          <cell r="H27">
            <v>1</v>
          </cell>
          <cell r="I27" t="str">
            <v>UK</v>
          </cell>
          <cell r="J27" t="str">
            <v>Amazon</v>
          </cell>
        </row>
        <row r="28">
          <cell r="A28" t="str">
            <v>13-01-2020</v>
          </cell>
          <cell r="B28" t="str">
            <v>Ashwagandha</v>
          </cell>
          <cell r="C28" t="str">
            <v>Herbal</v>
          </cell>
          <cell r="D28">
            <v>133</v>
          </cell>
          <cell r="E28">
            <v>54.35</v>
          </cell>
          <cell r="F28">
            <v>7228.55</v>
          </cell>
          <cell r="G28">
            <v>0.16</v>
          </cell>
          <cell r="H28">
            <v>1</v>
          </cell>
          <cell r="I28" t="str">
            <v>UK</v>
          </cell>
          <cell r="J28" t="str">
            <v>Walmart</v>
          </cell>
        </row>
        <row r="29">
          <cell r="A29" t="str">
            <v>13-01-2020</v>
          </cell>
          <cell r="B29" t="str">
            <v>Melatonin</v>
          </cell>
          <cell r="C29" t="str">
            <v>Sleep Aid</v>
          </cell>
          <cell r="D29">
            <v>141</v>
          </cell>
          <cell r="E29">
            <v>33.03</v>
          </cell>
          <cell r="F29">
            <v>4657.2299999999996</v>
          </cell>
          <cell r="G29">
            <v>0.21</v>
          </cell>
          <cell r="H29">
            <v>2</v>
          </cell>
          <cell r="I29" t="str">
            <v>USA</v>
          </cell>
          <cell r="J29" t="str">
            <v>Amazon</v>
          </cell>
        </row>
        <row r="30">
          <cell r="A30" t="str">
            <v>13-01-2020</v>
          </cell>
          <cell r="B30" t="str">
            <v>Biotin</v>
          </cell>
          <cell r="C30" t="str">
            <v>Vitamin</v>
          </cell>
          <cell r="D30">
            <v>161</v>
          </cell>
          <cell r="E30">
            <v>18.87</v>
          </cell>
          <cell r="F30">
            <v>3038.07</v>
          </cell>
          <cell r="G30">
            <v>0.14000000000000001</v>
          </cell>
          <cell r="H30">
            <v>5</v>
          </cell>
          <cell r="I30" t="str">
            <v>USA</v>
          </cell>
          <cell r="J30" t="str">
            <v>iHerb</v>
          </cell>
        </row>
        <row r="31">
          <cell r="A31" t="str">
            <v>13-01-2020</v>
          </cell>
          <cell r="B31" t="str">
            <v>Green Tea Extract</v>
          </cell>
          <cell r="C31" t="str">
            <v>Fat Burner</v>
          </cell>
          <cell r="D31">
            <v>174</v>
          </cell>
          <cell r="E31">
            <v>18.239999999999998</v>
          </cell>
          <cell r="F31">
            <v>3173.76</v>
          </cell>
          <cell r="G31">
            <v>0.03</v>
          </cell>
          <cell r="H31">
            <v>2</v>
          </cell>
          <cell r="I31" t="str">
            <v>USA</v>
          </cell>
          <cell r="J31" t="str">
            <v>Walmart</v>
          </cell>
        </row>
        <row r="32">
          <cell r="A32" t="str">
            <v>13-01-2020</v>
          </cell>
          <cell r="B32" t="str">
            <v>Iron Supplement</v>
          </cell>
          <cell r="C32" t="str">
            <v>Mineral</v>
          </cell>
          <cell r="D32">
            <v>163</v>
          </cell>
          <cell r="E32">
            <v>35.29</v>
          </cell>
          <cell r="F32">
            <v>5752.27</v>
          </cell>
          <cell r="G32">
            <v>0.21</v>
          </cell>
          <cell r="H32">
            <v>2</v>
          </cell>
          <cell r="I32" t="str">
            <v>USA</v>
          </cell>
          <cell r="J32" t="str">
            <v>Amazon</v>
          </cell>
        </row>
        <row r="33">
          <cell r="A33" t="str">
            <v>13-01-2020</v>
          </cell>
          <cell r="B33" t="str">
            <v>Electrolyte Powder</v>
          </cell>
          <cell r="C33" t="str">
            <v>Hydration</v>
          </cell>
          <cell r="D33">
            <v>151</v>
          </cell>
          <cell r="E33">
            <v>35.42</v>
          </cell>
          <cell r="F33">
            <v>5348.42</v>
          </cell>
          <cell r="G33">
            <v>7.0000000000000007E-2</v>
          </cell>
          <cell r="H33">
            <v>2</v>
          </cell>
          <cell r="I33" t="str">
            <v>USA</v>
          </cell>
          <cell r="J33" t="str">
            <v>Amazon</v>
          </cell>
        </row>
        <row r="34">
          <cell r="A34" t="str">
            <v>20-01-2020</v>
          </cell>
          <cell r="B34" t="str">
            <v>Whey Protein</v>
          </cell>
          <cell r="C34" t="str">
            <v>Protein</v>
          </cell>
          <cell r="D34">
            <v>157</v>
          </cell>
          <cell r="E34">
            <v>41.81</v>
          </cell>
          <cell r="F34">
            <v>6564.17</v>
          </cell>
          <cell r="G34">
            <v>0.19</v>
          </cell>
          <cell r="H34">
            <v>0</v>
          </cell>
          <cell r="I34" t="str">
            <v>USA</v>
          </cell>
          <cell r="J34" t="str">
            <v>Walmart</v>
          </cell>
        </row>
        <row r="35">
          <cell r="A35" t="str">
            <v>20-01-2020</v>
          </cell>
          <cell r="B35" t="str">
            <v>Vitamin C</v>
          </cell>
          <cell r="C35" t="str">
            <v>Vitamin</v>
          </cell>
          <cell r="D35">
            <v>149</v>
          </cell>
          <cell r="E35">
            <v>22.33</v>
          </cell>
          <cell r="F35">
            <v>3327.17</v>
          </cell>
          <cell r="G35">
            <v>0.18</v>
          </cell>
          <cell r="H35">
            <v>5</v>
          </cell>
          <cell r="I35" t="str">
            <v>UK</v>
          </cell>
          <cell r="J35" t="str">
            <v>Walmart</v>
          </cell>
        </row>
        <row r="36">
          <cell r="A36" t="str">
            <v>20-01-2020</v>
          </cell>
          <cell r="B36" t="str">
            <v>Fish Oil</v>
          </cell>
          <cell r="C36" t="str">
            <v>Omega</v>
          </cell>
          <cell r="D36">
            <v>131</v>
          </cell>
          <cell r="E36">
            <v>50</v>
          </cell>
          <cell r="F36">
            <v>6550</v>
          </cell>
          <cell r="G36">
            <v>0.05</v>
          </cell>
          <cell r="H36">
            <v>1</v>
          </cell>
          <cell r="I36" t="str">
            <v>USA</v>
          </cell>
          <cell r="J36" t="str">
            <v>Walmart</v>
          </cell>
        </row>
        <row r="37">
          <cell r="A37" t="str">
            <v>20-01-2020</v>
          </cell>
          <cell r="B37" t="str">
            <v>Multivitamin</v>
          </cell>
          <cell r="C37" t="str">
            <v>Vitamin</v>
          </cell>
          <cell r="D37">
            <v>159</v>
          </cell>
          <cell r="E37">
            <v>19.399999999999999</v>
          </cell>
          <cell r="F37">
            <v>3084.6</v>
          </cell>
          <cell r="G37">
            <v>0.09</v>
          </cell>
          <cell r="H37">
            <v>2</v>
          </cell>
          <cell r="I37" t="str">
            <v>USA</v>
          </cell>
          <cell r="J37" t="str">
            <v>Walmart</v>
          </cell>
        </row>
        <row r="38">
          <cell r="A38" t="str">
            <v>20-01-2020</v>
          </cell>
          <cell r="B38" t="str">
            <v>Pre-Workout</v>
          </cell>
          <cell r="C38" t="str">
            <v>Performance</v>
          </cell>
          <cell r="D38">
            <v>152</v>
          </cell>
          <cell r="E38">
            <v>48.05</v>
          </cell>
          <cell r="F38">
            <v>7303.6</v>
          </cell>
          <cell r="G38">
            <v>0.01</v>
          </cell>
          <cell r="H38">
            <v>2</v>
          </cell>
          <cell r="I38" t="str">
            <v>USA</v>
          </cell>
          <cell r="J38" t="str">
            <v>iHerb</v>
          </cell>
        </row>
        <row r="39">
          <cell r="A39" t="str">
            <v>20-01-2020</v>
          </cell>
          <cell r="B39" t="str">
            <v>BCAA</v>
          </cell>
          <cell r="C39" t="str">
            <v>Amino Acid</v>
          </cell>
          <cell r="D39">
            <v>145</v>
          </cell>
          <cell r="E39">
            <v>17.440000000000001</v>
          </cell>
          <cell r="F39">
            <v>2528.8000000000002</v>
          </cell>
          <cell r="G39">
            <v>0.08</v>
          </cell>
          <cell r="H39">
            <v>3</v>
          </cell>
          <cell r="I39" t="str">
            <v>UK</v>
          </cell>
          <cell r="J39" t="str">
            <v>Amazon</v>
          </cell>
        </row>
        <row r="40">
          <cell r="A40" t="str">
            <v>20-01-2020</v>
          </cell>
          <cell r="B40" t="str">
            <v>Creatine</v>
          </cell>
          <cell r="C40" t="str">
            <v>Performance</v>
          </cell>
          <cell r="D40">
            <v>148</v>
          </cell>
          <cell r="E40">
            <v>54.31</v>
          </cell>
          <cell r="F40">
            <v>8037.88</v>
          </cell>
          <cell r="G40">
            <v>0.15</v>
          </cell>
          <cell r="H40">
            <v>1</v>
          </cell>
          <cell r="I40" t="str">
            <v>UK</v>
          </cell>
          <cell r="J40" t="str">
            <v>iHerb</v>
          </cell>
        </row>
        <row r="41">
          <cell r="A41" t="str">
            <v>20-01-2020</v>
          </cell>
          <cell r="B41" t="str">
            <v>Zinc</v>
          </cell>
          <cell r="C41" t="str">
            <v>Mineral</v>
          </cell>
          <cell r="D41">
            <v>147</v>
          </cell>
          <cell r="E41">
            <v>10.16</v>
          </cell>
          <cell r="F41">
            <v>1493.52</v>
          </cell>
          <cell r="G41">
            <v>0.15</v>
          </cell>
          <cell r="H41">
            <v>1</v>
          </cell>
          <cell r="I41" t="str">
            <v>USA</v>
          </cell>
          <cell r="J41" t="str">
            <v>iHerb</v>
          </cell>
        </row>
        <row r="42">
          <cell r="A42" t="str">
            <v>20-01-2020</v>
          </cell>
          <cell r="B42" t="str">
            <v>Collagen Peptides</v>
          </cell>
          <cell r="C42" t="str">
            <v>Protein</v>
          </cell>
          <cell r="D42">
            <v>161</v>
          </cell>
          <cell r="E42">
            <v>39.409999999999997</v>
          </cell>
          <cell r="F42">
            <v>6345.01</v>
          </cell>
          <cell r="G42">
            <v>0.12</v>
          </cell>
          <cell r="H42">
            <v>2</v>
          </cell>
          <cell r="I42" t="str">
            <v>UK</v>
          </cell>
          <cell r="J42" t="str">
            <v>Walmart</v>
          </cell>
        </row>
        <row r="43">
          <cell r="A43" t="str">
            <v>20-01-2020</v>
          </cell>
          <cell r="B43" t="str">
            <v>Magnesium</v>
          </cell>
          <cell r="C43" t="str">
            <v>Mineral</v>
          </cell>
          <cell r="D43">
            <v>126</v>
          </cell>
          <cell r="E43">
            <v>38.07</v>
          </cell>
          <cell r="F43">
            <v>4796.82</v>
          </cell>
          <cell r="G43">
            <v>0.14000000000000001</v>
          </cell>
          <cell r="H43">
            <v>1</v>
          </cell>
          <cell r="I43" t="str">
            <v>Canada</v>
          </cell>
          <cell r="J43" t="str">
            <v>Amazon</v>
          </cell>
        </row>
        <row r="44">
          <cell r="A44" t="str">
            <v>20-01-2020</v>
          </cell>
          <cell r="B44" t="str">
            <v>Ashwagandha</v>
          </cell>
          <cell r="C44" t="str">
            <v>Herbal</v>
          </cell>
          <cell r="D44">
            <v>156</v>
          </cell>
          <cell r="E44">
            <v>23.49</v>
          </cell>
          <cell r="F44">
            <v>3664.44</v>
          </cell>
          <cell r="G44">
            <v>0.21</v>
          </cell>
          <cell r="H44">
            <v>1</v>
          </cell>
          <cell r="I44" t="str">
            <v>Canada</v>
          </cell>
          <cell r="J44" t="str">
            <v>iHerb</v>
          </cell>
        </row>
        <row r="45">
          <cell r="A45" t="str">
            <v>20-01-2020</v>
          </cell>
          <cell r="B45" t="str">
            <v>Melatonin</v>
          </cell>
          <cell r="C45" t="str">
            <v>Sleep Aid</v>
          </cell>
          <cell r="D45">
            <v>128</v>
          </cell>
          <cell r="E45">
            <v>26.71</v>
          </cell>
          <cell r="F45">
            <v>3418.88</v>
          </cell>
          <cell r="G45">
            <v>0.2</v>
          </cell>
          <cell r="H45">
            <v>2</v>
          </cell>
          <cell r="I45" t="str">
            <v>Canada</v>
          </cell>
          <cell r="J45" t="str">
            <v>iHerb</v>
          </cell>
        </row>
        <row r="46">
          <cell r="A46" t="str">
            <v>20-01-2020</v>
          </cell>
          <cell r="B46" t="str">
            <v>Biotin</v>
          </cell>
          <cell r="C46" t="str">
            <v>Vitamin</v>
          </cell>
          <cell r="D46">
            <v>161</v>
          </cell>
          <cell r="E46">
            <v>32.01</v>
          </cell>
          <cell r="F46">
            <v>5153.6099999999997</v>
          </cell>
          <cell r="G46">
            <v>0.04</v>
          </cell>
          <cell r="H46">
            <v>1</v>
          </cell>
          <cell r="I46" t="str">
            <v>Canada</v>
          </cell>
          <cell r="J46" t="str">
            <v>Amazon</v>
          </cell>
        </row>
        <row r="47">
          <cell r="A47" t="str">
            <v>20-01-2020</v>
          </cell>
          <cell r="B47" t="str">
            <v>Green Tea Extract</v>
          </cell>
          <cell r="C47" t="str">
            <v>Fat Burner</v>
          </cell>
          <cell r="D47">
            <v>148</v>
          </cell>
          <cell r="E47">
            <v>21.03</v>
          </cell>
          <cell r="F47">
            <v>3112.44</v>
          </cell>
          <cell r="G47">
            <v>0.15</v>
          </cell>
          <cell r="H47">
            <v>2</v>
          </cell>
          <cell r="I47" t="str">
            <v>UK</v>
          </cell>
          <cell r="J47" t="str">
            <v>Walmart</v>
          </cell>
        </row>
        <row r="48">
          <cell r="A48" t="str">
            <v>20-01-2020</v>
          </cell>
          <cell r="B48" t="str">
            <v>Iron Supplement</v>
          </cell>
          <cell r="C48" t="str">
            <v>Mineral</v>
          </cell>
          <cell r="D48">
            <v>155</v>
          </cell>
          <cell r="E48">
            <v>41.81</v>
          </cell>
          <cell r="F48">
            <v>6480.55</v>
          </cell>
          <cell r="G48">
            <v>0.2</v>
          </cell>
          <cell r="H48">
            <v>0</v>
          </cell>
          <cell r="I48" t="str">
            <v>UK</v>
          </cell>
          <cell r="J48" t="str">
            <v>iHerb</v>
          </cell>
        </row>
        <row r="49">
          <cell r="A49" t="str">
            <v>20-01-2020</v>
          </cell>
          <cell r="B49" t="str">
            <v>Electrolyte Powder</v>
          </cell>
          <cell r="C49" t="str">
            <v>Hydration</v>
          </cell>
          <cell r="D49">
            <v>147</v>
          </cell>
          <cell r="E49">
            <v>29.19</v>
          </cell>
          <cell r="F49">
            <v>4290.93</v>
          </cell>
          <cell r="G49">
            <v>0.14000000000000001</v>
          </cell>
          <cell r="H49">
            <v>2</v>
          </cell>
          <cell r="I49" t="str">
            <v>USA</v>
          </cell>
          <cell r="J49" t="str">
            <v>Amazon</v>
          </cell>
        </row>
        <row r="50">
          <cell r="A50" t="str">
            <v>27-01-2020</v>
          </cell>
          <cell r="B50" t="str">
            <v>Whey Protein</v>
          </cell>
          <cell r="C50" t="str">
            <v>Protein</v>
          </cell>
          <cell r="D50">
            <v>137</v>
          </cell>
          <cell r="E50">
            <v>26.73</v>
          </cell>
          <cell r="F50">
            <v>3662.01</v>
          </cell>
          <cell r="G50">
            <v>0.01</v>
          </cell>
          <cell r="H50">
            <v>0</v>
          </cell>
          <cell r="I50" t="str">
            <v>UK</v>
          </cell>
          <cell r="J50" t="str">
            <v>Amazon</v>
          </cell>
        </row>
        <row r="51">
          <cell r="A51" t="str">
            <v>27-01-2020</v>
          </cell>
          <cell r="B51" t="str">
            <v>Vitamin C</v>
          </cell>
          <cell r="C51" t="str">
            <v>Vitamin</v>
          </cell>
          <cell r="D51">
            <v>163</v>
          </cell>
          <cell r="E51">
            <v>35.9</v>
          </cell>
          <cell r="F51">
            <v>5851.7</v>
          </cell>
          <cell r="G51">
            <v>7.0000000000000007E-2</v>
          </cell>
          <cell r="H51">
            <v>4</v>
          </cell>
          <cell r="I51" t="str">
            <v>UK</v>
          </cell>
          <cell r="J51" t="str">
            <v>iHerb</v>
          </cell>
        </row>
        <row r="52">
          <cell r="A52" t="str">
            <v>27-01-2020</v>
          </cell>
          <cell r="B52" t="str">
            <v>Fish Oil</v>
          </cell>
          <cell r="C52" t="str">
            <v>Omega</v>
          </cell>
          <cell r="D52">
            <v>141</v>
          </cell>
          <cell r="E52">
            <v>53.64</v>
          </cell>
          <cell r="F52">
            <v>7563.24</v>
          </cell>
          <cell r="G52">
            <v>0.21</v>
          </cell>
          <cell r="H52">
            <v>0</v>
          </cell>
          <cell r="I52" t="str">
            <v>Canada</v>
          </cell>
          <cell r="J52" t="str">
            <v>iHerb</v>
          </cell>
        </row>
        <row r="53">
          <cell r="A53" t="str">
            <v>27-01-2020</v>
          </cell>
          <cell r="B53" t="str">
            <v>Multivitamin</v>
          </cell>
          <cell r="C53" t="str">
            <v>Vitamin</v>
          </cell>
          <cell r="D53">
            <v>162</v>
          </cell>
          <cell r="E53">
            <v>34.15</v>
          </cell>
          <cell r="F53">
            <v>5532.3</v>
          </cell>
          <cell r="G53">
            <v>0.03</v>
          </cell>
          <cell r="H53">
            <v>0</v>
          </cell>
          <cell r="I53" t="str">
            <v>UK</v>
          </cell>
          <cell r="J53" t="str">
            <v>iHerb</v>
          </cell>
        </row>
        <row r="54">
          <cell r="A54" t="str">
            <v>27-01-2020</v>
          </cell>
          <cell r="B54" t="str">
            <v>Pre-Workout</v>
          </cell>
          <cell r="C54" t="str">
            <v>Performance</v>
          </cell>
          <cell r="D54">
            <v>158</v>
          </cell>
          <cell r="E54">
            <v>31.84</v>
          </cell>
          <cell r="F54">
            <v>5030.72</v>
          </cell>
          <cell r="G54">
            <v>0.18</v>
          </cell>
          <cell r="H54">
            <v>2</v>
          </cell>
          <cell r="I54" t="str">
            <v>USA</v>
          </cell>
          <cell r="J54" t="str">
            <v>iHerb</v>
          </cell>
        </row>
        <row r="55">
          <cell r="A55" t="str">
            <v>27-01-2020</v>
          </cell>
          <cell r="B55" t="str">
            <v>BCAA</v>
          </cell>
          <cell r="C55" t="str">
            <v>Amino Acid</v>
          </cell>
          <cell r="D55">
            <v>136</v>
          </cell>
          <cell r="E55">
            <v>16.77</v>
          </cell>
          <cell r="F55">
            <v>2280.7199999999998</v>
          </cell>
          <cell r="G55">
            <v>0.19</v>
          </cell>
          <cell r="H55">
            <v>2</v>
          </cell>
          <cell r="I55" t="str">
            <v>USA</v>
          </cell>
          <cell r="J55" t="str">
            <v>iHerb</v>
          </cell>
        </row>
        <row r="56">
          <cell r="A56" t="str">
            <v>27-01-2020</v>
          </cell>
          <cell r="B56" t="str">
            <v>Creatine</v>
          </cell>
          <cell r="C56" t="str">
            <v>Performance</v>
          </cell>
          <cell r="D56">
            <v>180</v>
          </cell>
          <cell r="E56">
            <v>12.85</v>
          </cell>
          <cell r="F56">
            <v>2313</v>
          </cell>
          <cell r="G56">
            <v>7.0000000000000007E-2</v>
          </cell>
          <cell r="H56">
            <v>1</v>
          </cell>
          <cell r="I56" t="str">
            <v>USA</v>
          </cell>
          <cell r="J56" t="str">
            <v>Walmart</v>
          </cell>
        </row>
        <row r="57">
          <cell r="A57" t="str">
            <v>27-01-2020</v>
          </cell>
          <cell r="B57" t="str">
            <v>Zinc</v>
          </cell>
          <cell r="C57" t="str">
            <v>Mineral</v>
          </cell>
          <cell r="D57">
            <v>140</v>
          </cell>
          <cell r="E57">
            <v>47.97</v>
          </cell>
          <cell r="F57">
            <v>6715.8</v>
          </cell>
          <cell r="G57">
            <v>0.11</v>
          </cell>
          <cell r="H57">
            <v>2</v>
          </cell>
          <cell r="I57" t="str">
            <v>UK</v>
          </cell>
          <cell r="J57" t="str">
            <v>iHerb</v>
          </cell>
        </row>
        <row r="58">
          <cell r="A58" t="str">
            <v>27-01-2020</v>
          </cell>
          <cell r="B58" t="str">
            <v>Collagen Peptides</v>
          </cell>
          <cell r="C58" t="str">
            <v>Protein</v>
          </cell>
          <cell r="D58">
            <v>126</v>
          </cell>
          <cell r="E58">
            <v>11.68</v>
          </cell>
          <cell r="F58">
            <v>1471.68</v>
          </cell>
          <cell r="G58">
            <v>0.02</v>
          </cell>
          <cell r="H58">
            <v>3</v>
          </cell>
          <cell r="I58" t="str">
            <v>Canada</v>
          </cell>
          <cell r="J58" t="str">
            <v>Walmart</v>
          </cell>
        </row>
        <row r="59">
          <cell r="A59" t="str">
            <v>27-01-2020</v>
          </cell>
          <cell r="B59" t="str">
            <v>Magnesium</v>
          </cell>
          <cell r="C59" t="str">
            <v>Mineral</v>
          </cell>
          <cell r="D59">
            <v>135</v>
          </cell>
          <cell r="E59">
            <v>30.55</v>
          </cell>
          <cell r="F59">
            <v>4124.25</v>
          </cell>
          <cell r="G59">
            <v>0.09</v>
          </cell>
          <cell r="H59">
            <v>3</v>
          </cell>
          <cell r="I59" t="str">
            <v>USA</v>
          </cell>
          <cell r="J59" t="str">
            <v>Amazon</v>
          </cell>
        </row>
        <row r="60">
          <cell r="A60" t="str">
            <v>27-01-2020</v>
          </cell>
          <cell r="B60" t="str">
            <v>Ashwagandha</v>
          </cell>
          <cell r="C60" t="str">
            <v>Herbal</v>
          </cell>
          <cell r="D60">
            <v>174</v>
          </cell>
          <cell r="E60">
            <v>30.94</v>
          </cell>
          <cell r="F60">
            <v>5383.56</v>
          </cell>
          <cell r="G60">
            <v>7.0000000000000007E-2</v>
          </cell>
          <cell r="H60">
            <v>2</v>
          </cell>
          <cell r="I60" t="str">
            <v>Canada</v>
          </cell>
          <cell r="J60" t="str">
            <v>Amazon</v>
          </cell>
        </row>
        <row r="61">
          <cell r="A61" t="str">
            <v>27-01-2020</v>
          </cell>
          <cell r="B61" t="str">
            <v>Melatonin</v>
          </cell>
          <cell r="C61" t="str">
            <v>Sleep Aid</v>
          </cell>
          <cell r="D61">
            <v>156</v>
          </cell>
          <cell r="E61">
            <v>38.270000000000003</v>
          </cell>
          <cell r="F61">
            <v>5970.12</v>
          </cell>
          <cell r="G61">
            <v>0.12</v>
          </cell>
          <cell r="H61">
            <v>4</v>
          </cell>
          <cell r="I61" t="str">
            <v>UK</v>
          </cell>
          <cell r="J61" t="str">
            <v>iHerb</v>
          </cell>
        </row>
        <row r="62">
          <cell r="A62" t="str">
            <v>27-01-2020</v>
          </cell>
          <cell r="B62" t="str">
            <v>Biotin</v>
          </cell>
          <cell r="C62" t="str">
            <v>Vitamin</v>
          </cell>
          <cell r="D62">
            <v>154</v>
          </cell>
          <cell r="E62">
            <v>15.7</v>
          </cell>
          <cell r="F62">
            <v>2417.8000000000002</v>
          </cell>
          <cell r="G62">
            <v>0.04</v>
          </cell>
          <cell r="H62">
            <v>1</v>
          </cell>
          <cell r="I62" t="str">
            <v>UK</v>
          </cell>
          <cell r="J62" t="str">
            <v>Walmart</v>
          </cell>
        </row>
        <row r="63">
          <cell r="A63" t="str">
            <v>27-01-2020</v>
          </cell>
          <cell r="B63" t="str">
            <v>Green Tea Extract</v>
          </cell>
          <cell r="C63" t="str">
            <v>Fat Burner</v>
          </cell>
          <cell r="D63">
            <v>141</v>
          </cell>
          <cell r="E63">
            <v>38.06</v>
          </cell>
          <cell r="F63">
            <v>5366.46</v>
          </cell>
          <cell r="G63">
            <v>0.13</v>
          </cell>
          <cell r="H63">
            <v>0</v>
          </cell>
          <cell r="I63" t="str">
            <v>UK</v>
          </cell>
          <cell r="J63" t="str">
            <v>iHerb</v>
          </cell>
        </row>
        <row r="64">
          <cell r="A64" t="str">
            <v>27-01-2020</v>
          </cell>
          <cell r="B64" t="str">
            <v>Iron Supplement</v>
          </cell>
          <cell r="C64" t="str">
            <v>Mineral</v>
          </cell>
          <cell r="D64">
            <v>165</v>
          </cell>
          <cell r="E64">
            <v>13.38</v>
          </cell>
          <cell r="F64">
            <v>2207.6999999999998</v>
          </cell>
          <cell r="G64">
            <v>0.18</v>
          </cell>
          <cell r="H64">
            <v>2</v>
          </cell>
          <cell r="I64" t="str">
            <v>USA</v>
          </cell>
          <cell r="J64" t="str">
            <v>iHerb</v>
          </cell>
        </row>
        <row r="65">
          <cell r="A65" t="str">
            <v>27-01-2020</v>
          </cell>
          <cell r="B65" t="str">
            <v>Electrolyte Powder</v>
          </cell>
          <cell r="C65" t="str">
            <v>Hydration</v>
          </cell>
          <cell r="D65">
            <v>129</v>
          </cell>
          <cell r="E65">
            <v>34.229999999999997</v>
          </cell>
          <cell r="F65">
            <v>4415.67</v>
          </cell>
          <cell r="G65">
            <v>0.04</v>
          </cell>
          <cell r="H65">
            <v>3</v>
          </cell>
          <cell r="I65" t="str">
            <v>Canada</v>
          </cell>
          <cell r="J65" t="str">
            <v>Amazon</v>
          </cell>
        </row>
        <row r="66">
          <cell r="A66" t="str">
            <v>03-02-2020</v>
          </cell>
          <cell r="B66" t="str">
            <v>Whey Protein</v>
          </cell>
          <cell r="C66" t="str">
            <v>Protein</v>
          </cell>
          <cell r="D66">
            <v>165</v>
          </cell>
          <cell r="E66">
            <v>33.11</v>
          </cell>
          <cell r="F66">
            <v>5463.15</v>
          </cell>
          <cell r="G66">
            <v>0.1</v>
          </cell>
          <cell r="H66">
            <v>2</v>
          </cell>
          <cell r="I66" t="str">
            <v>Canada</v>
          </cell>
          <cell r="J66" t="str">
            <v>iHerb</v>
          </cell>
        </row>
        <row r="67">
          <cell r="A67" t="str">
            <v>03-02-2020</v>
          </cell>
          <cell r="B67" t="str">
            <v>Vitamin C</v>
          </cell>
          <cell r="C67" t="str">
            <v>Vitamin</v>
          </cell>
          <cell r="D67">
            <v>152</v>
          </cell>
          <cell r="E67">
            <v>35.630000000000003</v>
          </cell>
          <cell r="F67">
            <v>5415.76</v>
          </cell>
          <cell r="G67">
            <v>0.2</v>
          </cell>
          <cell r="H67">
            <v>1</v>
          </cell>
          <cell r="I67" t="str">
            <v>UK</v>
          </cell>
          <cell r="J67" t="str">
            <v>Amazon</v>
          </cell>
        </row>
        <row r="68">
          <cell r="A68" t="str">
            <v>03-02-2020</v>
          </cell>
          <cell r="B68" t="str">
            <v>Fish Oil</v>
          </cell>
          <cell r="C68" t="str">
            <v>Omega</v>
          </cell>
          <cell r="D68">
            <v>138</v>
          </cell>
          <cell r="E68">
            <v>18.239999999999998</v>
          </cell>
          <cell r="F68">
            <v>2517.12</v>
          </cell>
          <cell r="G68">
            <v>0.08</v>
          </cell>
          <cell r="H68">
            <v>2</v>
          </cell>
          <cell r="I68" t="str">
            <v>UK</v>
          </cell>
          <cell r="J68" t="str">
            <v>Amazon</v>
          </cell>
        </row>
        <row r="69">
          <cell r="A69" t="str">
            <v>03-02-2020</v>
          </cell>
          <cell r="B69" t="str">
            <v>Multivitamin</v>
          </cell>
          <cell r="C69" t="str">
            <v>Vitamin</v>
          </cell>
          <cell r="D69">
            <v>151</v>
          </cell>
          <cell r="E69">
            <v>53.89</v>
          </cell>
          <cell r="F69">
            <v>8137.39</v>
          </cell>
          <cell r="G69">
            <v>0.22</v>
          </cell>
          <cell r="H69">
            <v>3</v>
          </cell>
          <cell r="I69" t="str">
            <v>UK</v>
          </cell>
          <cell r="J69" t="str">
            <v>Amazon</v>
          </cell>
        </row>
        <row r="70">
          <cell r="A70" t="str">
            <v>03-02-2020</v>
          </cell>
          <cell r="B70" t="str">
            <v>Pre-Workout</v>
          </cell>
          <cell r="C70" t="str">
            <v>Performance</v>
          </cell>
          <cell r="D70">
            <v>140</v>
          </cell>
          <cell r="E70">
            <v>59.25</v>
          </cell>
          <cell r="F70">
            <v>8295</v>
          </cell>
          <cell r="G70">
            <v>0.19</v>
          </cell>
          <cell r="H70">
            <v>0</v>
          </cell>
          <cell r="I70" t="str">
            <v>UK</v>
          </cell>
          <cell r="J70" t="str">
            <v>Amazon</v>
          </cell>
        </row>
        <row r="71">
          <cell r="A71" t="str">
            <v>03-02-2020</v>
          </cell>
          <cell r="B71" t="str">
            <v>BCAA</v>
          </cell>
          <cell r="C71" t="str">
            <v>Amino Acid</v>
          </cell>
          <cell r="D71">
            <v>126</v>
          </cell>
          <cell r="E71">
            <v>55.46</v>
          </cell>
          <cell r="F71">
            <v>6987.96</v>
          </cell>
          <cell r="G71">
            <v>0.13</v>
          </cell>
          <cell r="H71">
            <v>1</v>
          </cell>
          <cell r="I71" t="str">
            <v>USA</v>
          </cell>
          <cell r="J71" t="str">
            <v>iHerb</v>
          </cell>
        </row>
        <row r="72">
          <cell r="A72" t="str">
            <v>03-02-2020</v>
          </cell>
          <cell r="B72" t="str">
            <v>Creatine</v>
          </cell>
          <cell r="C72" t="str">
            <v>Performance</v>
          </cell>
          <cell r="D72">
            <v>132</v>
          </cell>
          <cell r="E72">
            <v>51.11</v>
          </cell>
          <cell r="F72">
            <v>6746.52</v>
          </cell>
          <cell r="G72">
            <v>0.1</v>
          </cell>
          <cell r="H72">
            <v>2</v>
          </cell>
          <cell r="I72" t="str">
            <v>Canada</v>
          </cell>
          <cell r="J72" t="str">
            <v>Amazon</v>
          </cell>
        </row>
        <row r="73">
          <cell r="A73" t="str">
            <v>03-02-2020</v>
          </cell>
          <cell r="B73" t="str">
            <v>Zinc</v>
          </cell>
          <cell r="C73" t="str">
            <v>Mineral</v>
          </cell>
          <cell r="D73">
            <v>184</v>
          </cell>
          <cell r="E73">
            <v>36.17</v>
          </cell>
          <cell r="F73">
            <v>6655.28</v>
          </cell>
          <cell r="G73">
            <v>7.0000000000000007E-2</v>
          </cell>
          <cell r="H73">
            <v>3</v>
          </cell>
          <cell r="I73" t="str">
            <v>Canada</v>
          </cell>
          <cell r="J73" t="str">
            <v>Amazon</v>
          </cell>
        </row>
        <row r="74">
          <cell r="A74" t="str">
            <v>03-02-2020</v>
          </cell>
          <cell r="B74" t="str">
            <v>Collagen Peptides</v>
          </cell>
          <cell r="C74" t="str">
            <v>Protein</v>
          </cell>
          <cell r="D74">
            <v>153</v>
          </cell>
          <cell r="E74">
            <v>49.9</v>
          </cell>
          <cell r="F74">
            <v>7634.7</v>
          </cell>
          <cell r="G74">
            <v>0.1</v>
          </cell>
          <cell r="H74">
            <v>3</v>
          </cell>
          <cell r="I74" t="str">
            <v>UK</v>
          </cell>
          <cell r="J74" t="str">
            <v>Amazon</v>
          </cell>
        </row>
        <row r="75">
          <cell r="A75" t="str">
            <v>03-02-2020</v>
          </cell>
          <cell r="B75" t="str">
            <v>Magnesium</v>
          </cell>
          <cell r="C75" t="str">
            <v>Mineral</v>
          </cell>
          <cell r="D75">
            <v>151</v>
          </cell>
          <cell r="E75">
            <v>44.79</v>
          </cell>
          <cell r="F75">
            <v>6763.29</v>
          </cell>
          <cell r="G75">
            <v>0.2</v>
          </cell>
          <cell r="H75">
            <v>1</v>
          </cell>
          <cell r="I75" t="str">
            <v>Canada</v>
          </cell>
          <cell r="J75" t="str">
            <v>Amazon</v>
          </cell>
        </row>
        <row r="76">
          <cell r="A76" t="str">
            <v>03-02-2020</v>
          </cell>
          <cell r="B76" t="str">
            <v>Ashwagandha</v>
          </cell>
          <cell r="C76" t="str">
            <v>Herbal</v>
          </cell>
          <cell r="D76">
            <v>135</v>
          </cell>
          <cell r="E76">
            <v>19.21</v>
          </cell>
          <cell r="F76">
            <v>2593.35</v>
          </cell>
          <cell r="G76">
            <v>0.22</v>
          </cell>
          <cell r="H76">
            <v>2</v>
          </cell>
          <cell r="I76" t="str">
            <v>UK</v>
          </cell>
          <cell r="J76" t="str">
            <v>Amazon</v>
          </cell>
        </row>
        <row r="77">
          <cell r="A77" t="str">
            <v>03-02-2020</v>
          </cell>
          <cell r="B77" t="str">
            <v>Melatonin</v>
          </cell>
          <cell r="C77" t="str">
            <v>Sleep Aid</v>
          </cell>
          <cell r="D77">
            <v>135</v>
          </cell>
          <cell r="E77">
            <v>40.76</v>
          </cell>
          <cell r="F77">
            <v>5502.6</v>
          </cell>
          <cell r="G77">
            <v>0.02</v>
          </cell>
          <cell r="H77">
            <v>3</v>
          </cell>
          <cell r="I77" t="str">
            <v>Canada</v>
          </cell>
          <cell r="J77" t="str">
            <v>iHerb</v>
          </cell>
        </row>
        <row r="78">
          <cell r="A78" t="str">
            <v>03-02-2020</v>
          </cell>
          <cell r="B78" t="str">
            <v>Biotin</v>
          </cell>
          <cell r="C78" t="str">
            <v>Vitamin</v>
          </cell>
          <cell r="D78">
            <v>162</v>
          </cell>
          <cell r="E78">
            <v>58.36</v>
          </cell>
          <cell r="F78">
            <v>9454.32</v>
          </cell>
          <cell r="G78">
            <v>0.1</v>
          </cell>
          <cell r="H78">
            <v>5</v>
          </cell>
          <cell r="I78" t="str">
            <v>UK</v>
          </cell>
          <cell r="J78" t="str">
            <v>Amazon</v>
          </cell>
        </row>
        <row r="79">
          <cell r="A79" t="str">
            <v>03-02-2020</v>
          </cell>
          <cell r="B79" t="str">
            <v>Green Tea Extract</v>
          </cell>
          <cell r="C79" t="str">
            <v>Fat Burner</v>
          </cell>
          <cell r="D79">
            <v>156</v>
          </cell>
          <cell r="E79">
            <v>18.3</v>
          </cell>
          <cell r="F79">
            <v>2854.8</v>
          </cell>
          <cell r="G79">
            <v>0.22</v>
          </cell>
          <cell r="H79">
            <v>1</v>
          </cell>
          <cell r="I79" t="str">
            <v>UK</v>
          </cell>
          <cell r="J79" t="str">
            <v>iHerb</v>
          </cell>
        </row>
        <row r="80">
          <cell r="A80" t="str">
            <v>03-02-2020</v>
          </cell>
          <cell r="B80" t="str">
            <v>Iron Supplement</v>
          </cell>
          <cell r="C80" t="str">
            <v>Mineral</v>
          </cell>
          <cell r="D80">
            <v>136</v>
          </cell>
          <cell r="E80">
            <v>37.99</v>
          </cell>
          <cell r="F80">
            <v>5166.6400000000003</v>
          </cell>
          <cell r="G80">
            <v>0.13</v>
          </cell>
          <cell r="H80">
            <v>2</v>
          </cell>
          <cell r="I80" t="str">
            <v>USA</v>
          </cell>
          <cell r="J80" t="str">
            <v>Amazon</v>
          </cell>
        </row>
        <row r="81">
          <cell r="A81" t="str">
            <v>03-02-2020</v>
          </cell>
          <cell r="B81" t="str">
            <v>Electrolyte Powder</v>
          </cell>
          <cell r="C81" t="str">
            <v>Hydration</v>
          </cell>
          <cell r="D81">
            <v>168</v>
          </cell>
          <cell r="E81">
            <v>46.57</v>
          </cell>
          <cell r="F81">
            <v>7823.76</v>
          </cell>
          <cell r="G81">
            <v>0.05</v>
          </cell>
          <cell r="H81">
            <v>3</v>
          </cell>
          <cell r="I81" t="str">
            <v>Canada</v>
          </cell>
          <cell r="J81" t="str">
            <v>iHerb</v>
          </cell>
        </row>
        <row r="82">
          <cell r="A82" t="str">
            <v>10-02-2020</v>
          </cell>
          <cell r="B82" t="str">
            <v>Whey Protein</v>
          </cell>
          <cell r="C82" t="str">
            <v>Protein</v>
          </cell>
          <cell r="D82">
            <v>163</v>
          </cell>
          <cell r="E82">
            <v>45.51</v>
          </cell>
          <cell r="F82">
            <v>7418.13</v>
          </cell>
          <cell r="G82">
            <v>0.08</v>
          </cell>
          <cell r="H82">
            <v>1</v>
          </cell>
          <cell r="I82" t="str">
            <v>UK</v>
          </cell>
          <cell r="J82" t="str">
            <v>iHerb</v>
          </cell>
        </row>
        <row r="83">
          <cell r="A83" t="str">
            <v>10-02-2020</v>
          </cell>
          <cell r="B83" t="str">
            <v>Vitamin C</v>
          </cell>
          <cell r="C83" t="str">
            <v>Vitamin</v>
          </cell>
          <cell r="D83">
            <v>163</v>
          </cell>
          <cell r="E83">
            <v>27.89</v>
          </cell>
          <cell r="F83">
            <v>4546.07</v>
          </cell>
          <cell r="G83">
            <v>0.12</v>
          </cell>
          <cell r="H83">
            <v>3</v>
          </cell>
          <cell r="I83" t="str">
            <v>UK</v>
          </cell>
          <cell r="J83" t="str">
            <v>Amazon</v>
          </cell>
        </row>
        <row r="84">
          <cell r="A84" t="str">
            <v>10-02-2020</v>
          </cell>
          <cell r="B84" t="str">
            <v>Fish Oil</v>
          </cell>
          <cell r="C84" t="str">
            <v>Omega</v>
          </cell>
          <cell r="D84">
            <v>144</v>
          </cell>
          <cell r="E84">
            <v>45.6</v>
          </cell>
          <cell r="F84">
            <v>6566.4</v>
          </cell>
          <cell r="G84">
            <v>0.21</v>
          </cell>
          <cell r="H84">
            <v>0</v>
          </cell>
          <cell r="I84" t="str">
            <v>Canada</v>
          </cell>
          <cell r="J84" t="str">
            <v>Amazon</v>
          </cell>
        </row>
        <row r="85">
          <cell r="A85" t="str">
            <v>10-02-2020</v>
          </cell>
          <cell r="B85" t="str">
            <v>Multivitamin</v>
          </cell>
          <cell r="C85" t="str">
            <v>Vitamin</v>
          </cell>
          <cell r="D85">
            <v>140</v>
          </cell>
          <cell r="E85">
            <v>27.4</v>
          </cell>
          <cell r="F85">
            <v>3836</v>
          </cell>
          <cell r="G85">
            <v>0.11</v>
          </cell>
          <cell r="H85">
            <v>2</v>
          </cell>
          <cell r="I85" t="str">
            <v>UK</v>
          </cell>
          <cell r="J85" t="str">
            <v>Walmart</v>
          </cell>
        </row>
        <row r="86">
          <cell r="A86" t="str">
            <v>10-02-2020</v>
          </cell>
          <cell r="B86" t="str">
            <v>Pre-Workout</v>
          </cell>
          <cell r="C86" t="str">
            <v>Performance</v>
          </cell>
          <cell r="D86">
            <v>155</v>
          </cell>
          <cell r="E86">
            <v>27.62</v>
          </cell>
          <cell r="F86">
            <v>4281.1000000000004</v>
          </cell>
          <cell r="G86">
            <v>0.21</v>
          </cell>
          <cell r="H86">
            <v>1</v>
          </cell>
          <cell r="I86" t="str">
            <v>USA</v>
          </cell>
          <cell r="J86" t="str">
            <v>iHerb</v>
          </cell>
        </row>
        <row r="87">
          <cell r="A87" t="str">
            <v>10-02-2020</v>
          </cell>
          <cell r="B87" t="str">
            <v>BCAA</v>
          </cell>
          <cell r="C87" t="str">
            <v>Amino Acid</v>
          </cell>
          <cell r="D87">
            <v>134</v>
          </cell>
          <cell r="E87">
            <v>26.26</v>
          </cell>
          <cell r="F87">
            <v>3518.84</v>
          </cell>
          <cell r="G87">
            <v>0.17</v>
          </cell>
          <cell r="H87">
            <v>0</v>
          </cell>
          <cell r="I87" t="str">
            <v>UK</v>
          </cell>
          <cell r="J87" t="str">
            <v>Amazon</v>
          </cell>
        </row>
        <row r="88">
          <cell r="A88" t="str">
            <v>10-02-2020</v>
          </cell>
          <cell r="B88" t="str">
            <v>Creatine</v>
          </cell>
          <cell r="C88" t="str">
            <v>Performance</v>
          </cell>
          <cell r="D88">
            <v>137</v>
          </cell>
          <cell r="E88">
            <v>21.36</v>
          </cell>
          <cell r="F88">
            <v>2926.32</v>
          </cell>
          <cell r="G88">
            <v>0.21</v>
          </cell>
          <cell r="H88">
            <v>1</v>
          </cell>
          <cell r="I88" t="str">
            <v>Canada</v>
          </cell>
          <cell r="J88" t="str">
            <v>iHerb</v>
          </cell>
        </row>
        <row r="89">
          <cell r="A89" t="str">
            <v>10-02-2020</v>
          </cell>
          <cell r="B89" t="str">
            <v>Zinc</v>
          </cell>
          <cell r="C89" t="str">
            <v>Mineral</v>
          </cell>
          <cell r="D89">
            <v>155</v>
          </cell>
          <cell r="E89">
            <v>35.630000000000003</v>
          </cell>
          <cell r="F89">
            <v>5522.65</v>
          </cell>
          <cell r="G89">
            <v>0.08</v>
          </cell>
          <cell r="H89">
            <v>1</v>
          </cell>
          <cell r="I89" t="str">
            <v>UK</v>
          </cell>
          <cell r="J89" t="str">
            <v>Amazon</v>
          </cell>
        </row>
        <row r="90">
          <cell r="A90" t="str">
            <v>10-02-2020</v>
          </cell>
          <cell r="B90" t="str">
            <v>Collagen Peptides</v>
          </cell>
          <cell r="C90" t="str">
            <v>Protein</v>
          </cell>
          <cell r="D90">
            <v>155</v>
          </cell>
          <cell r="E90">
            <v>53.56</v>
          </cell>
          <cell r="F90">
            <v>8301.7999999999993</v>
          </cell>
          <cell r="G90">
            <v>0.19</v>
          </cell>
          <cell r="H90">
            <v>2</v>
          </cell>
          <cell r="I90" t="str">
            <v>UK</v>
          </cell>
          <cell r="J90" t="str">
            <v>Walmart</v>
          </cell>
        </row>
        <row r="91">
          <cell r="A91" t="str">
            <v>10-02-2020</v>
          </cell>
          <cell r="B91" t="str">
            <v>Magnesium</v>
          </cell>
          <cell r="C91" t="str">
            <v>Mineral</v>
          </cell>
          <cell r="D91">
            <v>156</v>
          </cell>
          <cell r="E91">
            <v>55.36</v>
          </cell>
          <cell r="F91">
            <v>8636.16</v>
          </cell>
          <cell r="G91">
            <v>0.17</v>
          </cell>
          <cell r="H91">
            <v>2</v>
          </cell>
          <cell r="I91" t="str">
            <v>UK</v>
          </cell>
          <cell r="J91" t="str">
            <v>iHerb</v>
          </cell>
        </row>
        <row r="92">
          <cell r="A92" t="str">
            <v>10-02-2020</v>
          </cell>
          <cell r="B92" t="str">
            <v>Ashwagandha</v>
          </cell>
          <cell r="C92" t="str">
            <v>Herbal</v>
          </cell>
          <cell r="D92">
            <v>132</v>
          </cell>
          <cell r="E92">
            <v>33.020000000000003</v>
          </cell>
          <cell r="F92">
            <v>4358.6400000000003</v>
          </cell>
          <cell r="G92">
            <v>0.22</v>
          </cell>
          <cell r="H92">
            <v>1</v>
          </cell>
          <cell r="I92" t="str">
            <v>USA</v>
          </cell>
          <cell r="J92" t="str">
            <v>iHerb</v>
          </cell>
        </row>
        <row r="93">
          <cell r="A93" t="str">
            <v>10-02-2020</v>
          </cell>
          <cell r="B93" t="str">
            <v>Melatonin</v>
          </cell>
          <cell r="C93" t="str">
            <v>Sleep Aid</v>
          </cell>
          <cell r="D93">
            <v>146</v>
          </cell>
          <cell r="E93">
            <v>15.54</v>
          </cell>
          <cell r="F93">
            <v>2268.84</v>
          </cell>
          <cell r="G93">
            <v>0.11</v>
          </cell>
          <cell r="H93">
            <v>0</v>
          </cell>
          <cell r="I93" t="str">
            <v>Canada</v>
          </cell>
          <cell r="J93" t="str">
            <v>Amazon</v>
          </cell>
        </row>
        <row r="94">
          <cell r="A94" t="str">
            <v>10-02-2020</v>
          </cell>
          <cell r="B94" t="str">
            <v>Biotin</v>
          </cell>
          <cell r="C94" t="str">
            <v>Vitamin</v>
          </cell>
          <cell r="D94">
            <v>142</v>
          </cell>
          <cell r="E94">
            <v>24.61</v>
          </cell>
          <cell r="F94">
            <v>3494.62</v>
          </cell>
          <cell r="G94">
            <v>0.23</v>
          </cell>
          <cell r="H94">
            <v>2</v>
          </cell>
          <cell r="I94" t="str">
            <v>UK</v>
          </cell>
          <cell r="J94" t="str">
            <v>iHerb</v>
          </cell>
        </row>
        <row r="95">
          <cell r="A95" t="str">
            <v>10-02-2020</v>
          </cell>
          <cell r="B95" t="str">
            <v>Green Tea Extract</v>
          </cell>
          <cell r="C95" t="str">
            <v>Fat Burner</v>
          </cell>
          <cell r="D95">
            <v>162</v>
          </cell>
          <cell r="E95">
            <v>58.14</v>
          </cell>
          <cell r="F95">
            <v>9418.68</v>
          </cell>
          <cell r="G95">
            <v>0.18</v>
          </cell>
          <cell r="H95">
            <v>1</v>
          </cell>
          <cell r="I95" t="str">
            <v>UK</v>
          </cell>
          <cell r="J95" t="str">
            <v>Walmart</v>
          </cell>
        </row>
        <row r="96">
          <cell r="A96" t="str">
            <v>10-02-2020</v>
          </cell>
          <cell r="B96" t="str">
            <v>Iron Supplement</v>
          </cell>
          <cell r="C96" t="str">
            <v>Mineral</v>
          </cell>
          <cell r="D96">
            <v>163</v>
          </cell>
          <cell r="E96">
            <v>53.64</v>
          </cell>
          <cell r="F96">
            <v>8743.32</v>
          </cell>
          <cell r="G96">
            <v>0.03</v>
          </cell>
          <cell r="H96">
            <v>2</v>
          </cell>
          <cell r="I96" t="str">
            <v>USA</v>
          </cell>
          <cell r="J96" t="str">
            <v>Walmart</v>
          </cell>
        </row>
        <row r="97">
          <cell r="A97" t="str">
            <v>10-02-2020</v>
          </cell>
          <cell r="B97" t="str">
            <v>Electrolyte Powder</v>
          </cell>
          <cell r="C97" t="str">
            <v>Hydration</v>
          </cell>
          <cell r="D97">
            <v>151</v>
          </cell>
          <cell r="E97">
            <v>22.09</v>
          </cell>
          <cell r="F97">
            <v>3335.59</v>
          </cell>
          <cell r="G97">
            <v>0</v>
          </cell>
          <cell r="H97">
            <v>1</v>
          </cell>
          <cell r="I97" t="str">
            <v>USA</v>
          </cell>
          <cell r="J97" t="str">
            <v>Amazon</v>
          </cell>
        </row>
        <row r="98">
          <cell r="A98" t="str">
            <v>17-02-2020</v>
          </cell>
          <cell r="B98" t="str">
            <v>Whey Protein</v>
          </cell>
          <cell r="C98" t="str">
            <v>Protein</v>
          </cell>
          <cell r="D98">
            <v>143</v>
          </cell>
          <cell r="E98">
            <v>24.86</v>
          </cell>
          <cell r="F98">
            <v>3554.98</v>
          </cell>
          <cell r="G98">
            <v>7.0000000000000007E-2</v>
          </cell>
          <cell r="H98">
            <v>2</v>
          </cell>
          <cell r="I98" t="str">
            <v>Canada</v>
          </cell>
          <cell r="J98" t="str">
            <v>iHerb</v>
          </cell>
        </row>
        <row r="99">
          <cell r="A99" t="str">
            <v>17-02-2020</v>
          </cell>
          <cell r="B99" t="str">
            <v>Vitamin C</v>
          </cell>
          <cell r="C99" t="str">
            <v>Vitamin</v>
          </cell>
          <cell r="D99">
            <v>165</v>
          </cell>
          <cell r="E99">
            <v>39.659999999999997</v>
          </cell>
          <cell r="F99">
            <v>6543.9</v>
          </cell>
          <cell r="G99">
            <v>0.22</v>
          </cell>
          <cell r="H99">
            <v>0</v>
          </cell>
          <cell r="I99" t="str">
            <v>Canada</v>
          </cell>
          <cell r="J99" t="str">
            <v>iHerb</v>
          </cell>
        </row>
        <row r="100">
          <cell r="A100" t="str">
            <v>17-02-2020</v>
          </cell>
          <cell r="B100" t="str">
            <v>Fish Oil</v>
          </cell>
          <cell r="C100" t="str">
            <v>Omega</v>
          </cell>
          <cell r="D100">
            <v>129</v>
          </cell>
          <cell r="E100">
            <v>49.73</v>
          </cell>
          <cell r="F100">
            <v>6415.17</v>
          </cell>
          <cell r="G100">
            <v>0.01</v>
          </cell>
          <cell r="H100">
            <v>1</v>
          </cell>
          <cell r="I100" t="str">
            <v>Canada</v>
          </cell>
          <cell r="J100" t="str">
            <v>Walmart</v>
          </cell>
        </row>
        <row r="101">
          <cell r="A101" t="str">
            <v>17-02-2020</v>
          </cell>
          <cell r="B101" t="str">
            <v>Multivitamin</v>
          </cell>
          <cell r="C101" t="str">
            <v>Vitamin</v>
          </cell>
          <cell r="D101">
            <v>151</v>
          </cell>
          <cell r="E101">
            <v>51.57</v>
          </cell>
          <cell r="F101">
            <v>7787.07</v>
          </cell>
          <cell r="G101">
            <v>0.15</v>
          </cell>
          <cell r="H101">
            <v>0</v>
          </cell>
          <cell r="I101" t="str">
            <v>USA</v>
          </cell>
          <cell r="J101" t="str">
            <v>Amazon</v>
          </cell>
        </row>
        <row r="102">
          <cell r="A102" t="str">
            <v>17-02-2020</v>
          </cell>
          <cell r="B102" t="str">
            <v>Pre-Workout</v>
          </cell>
          <cell r="C102" t="str">
            <v>Performance</v>
          </cell>
          <cell r="D102">
            <v>131</v>
          </cell>
          <cell r="E102">
            <v>43.46</v>
          </cell>
          <cell r="F102">
            <v>5693.26</v>
          </cell>
          <cell r="G102">
            <v>0.21</v>
          </cell>
          <cell r="H102">
            <v>3</v>
          </cell>
          <cell r="I102" t="str">
            <v>USA</v>
          </cell>
          <cell r="J102" t="str">
            <v>Walmart</v>
          </cell>
        </row>
        <row r="103">
          <cell r="A103" t="str">
            <v>17-02-2020</v>
          </cell>
          <cell r="B103" t="str">
            <v>BCAA</v>
          </cell>
          <cell r="C103" t="str">
            <v>Amino Acid</v>
          </cell>
          <cell r="D103">
            <v>152</v>
          </cell>
          <cell r="E103">
            <v>31.52</v>
          </cell>
          <cell r="F103">
            <v>4791.04</v>
          </cell>
          <cell r="G103">
            <v>0.08</v>
          </cell>
          <cell r="H103">
            <v>1</v>
          </cell>
          <cell r="I103" t="str">
            <v>UK</v>
          </cell>
          <cell r="J103" t="str">
            <v>Amazon</v>
          </cell>
        </row>
        <row r="104">
          <cell r="A104" t="str">
            <v>17-02-2020</v>
          </cell>
          <cell r="B104" t="str">
            <v>Creatine</v>
          </cell>
          <cell r="C104" t="str">
            <v>Performance</v>
          </cell>
          <cell r="D104">
            <v>160</v>
          </cell>
          <cell r="E104">
            <v>54.63</v>
          </cell>
          <cell r="F104">
            <v>8740.7999999999993</v>
          </cell>
          <cell r="G104">
            <v>0.11</v>
          </cell>
          <cell r="H104">
            <v>2</v>
          </cell>
          <cell r="I104" t="str">
            <v>UK</v>
          </cell>
          <cell r="J104" t="str">
            <v>Amazon</v>
          </cell>
        </row>
        <row r="105">
          <cell r="A105" t="str">
            <v>17-02-2020</v>
          </cell>
          <cell r="B105" t="str">
            <v>Zinc</v>
          </cell>
          <cell r="C105" t="str">
            <v>Mineral</v>
          </cell>
          <cell r="D105">
            <v>155</v>
          </cell>
          <cell r="E105">
            <v>45.13</v>
          </cell>
          <cell r="F105">
            <v>6995.15</v>
          </cell>
          <cell r="G105">
            <v>0.06</v>
          </cell>
          <cell r="H105">
            <v>1</v>
          </cell>
          <cell r="I105" t="str">
            <v>USA</v>
          </cell>
          <cell r="J105" t="str">
            <v>iHerb</v>
          </cell>
        </row>
        <row r="106">
          <cell r="A106" t="str">
            <v>17-02-2020</v>
          </cell>
          <cell r="B106" t="str">
            <v>Collagen Peptides</v>
          </cell>
          <cell r="C106" t="str">
            <v>Protein</v>
          </cell>
          <cell r="D106">
            <v>132</v>
          </cell>
          <cell r="E106">
            <v>34.380000000000003</v>
          </cell>
          <cell r="F106">
            <v>4538.16</v>
          </cell>
          <cell r="G106">
            <v>0.16</v>
          </cell>
          <cell r="H106">
            <v>3</v>
          </cell>
          <cell r="I106" t="str">
            <v>Canada</v>
          </cell>
          <cell r="J106" t="str">
            <v>Walmart</v>
          </cell>
        </row>
        <row r="107">
          <cell r="A107" t="str">
            <v>17-02-2020</v>
          </cell>
          <cell r="B107" t="str">
            <v>Magnesium</v>
          </cell>
          <cell r="C107" t="str">
            <v>Mineral</v>
          </cell>
          <cell r="D107">
            <v>154</v>
          </cell>
          <cell r="E107">
            <v>35.31</v>
          </cell>
          <cell r="F107">
            <v>5437.74</v>
          </cell>
          <cell r="G107">
            <v>0.16</v>
          </cell>
          <cell r="H107">
            <v>0</v>
          </cell>
          <cell r="I107" t="str">
            <v>USA</v>
          </cell>
          <cell r="J107" t="str">
            <v>Amazon</v>
          </cell>
        </row>
        <row r="108">
          <cell r="A108" t="str">
            <v>17-02-2020</v>
          </cell>
          <cell r="B108" t="str">
            <v>Ashwagandha</v>
          </cell>
          <cell r="C108" t="str">
            <v>Herbal</v>
          </cell>
          <cell r="D108">
            <v>141</v>
          </cell>
          <cell r="E108">
            <v>33.619999999999997</v>
          </cell>
          <cell r="F108">
            <v>4740.42</v>
          </cell>
          <cell r="G108">
            <v>0.01</v>
          </cell>
          <cell r="H108">
            <v>0</v>
          </cell>
          <cell r="I108" t="str">
            <v>USA</v>
          </cell>
          <cell r="J108" t="str">
            <v>iHerb</v>
          </cell>
        </row>
        <row r="109">
          <cell r="A109" t="str">
            <v>17-02-2020</v>
          </cell>
          <cell r="B109" t="str">
            <v>Melatonin</v>
          </cell>
          <cell r="C109" t="str">
            <v>Sleep Aid</v>
          </cell>
          <cell r="D109">
            <v>144</v>
          </cell>
          <cell r="E109">
            <v>19.8</v>
          </cell>
          <cell r="F109">
            <v>2851.2</v>
          </cell>
          <cell r="G109">
            <v>0.15</v>
          </cell>
          <cell r="H109">
            <v>1</v>
          </cell>
          <cell r="I109" t="str">
            <v>USA</v>
          </cell>
          <cell r="J109" t="str">
            <v>iHerb</v>
          </cell>
        </row>
        <row r="110">
          <cell r="A110" t="str">
            <v>17-02-2020</v>
          </cell>
          <cell r="B110" t="str">
            <v>Biotin</v>
          </cell>
          <cell r="C110" t="str">
            <v>Vitamin</v>
          </cell>
          <cell r="D110">
            <v>139</v>
          </cell>
          <cell r="E110">
            <v>10.28</v>
          </cell>
          <cell r="F110">
            <v>1428.92</v>
          </cell>
          <cell r="G110">
            <v>0</v>
          </cell>
          <cell r="H110">
            <v>0</v>
          </cell>
          <cell r="I110" t="str">
            <v>USA</v>
          </cell>
          <cell r="J110" t="str">
            <v>Walmart</v>
          </cell>
        </row>
        <row r="111">
          <cell r="A111" t="str">
            <v>17-02-2020</v>
          </cell>
          <cell r="B111" t="str">
            <v>Green Tea Extract</v>
          </cell>
          <cell r="C111" t="str">
            <v>Fat Burner</v>
          </cell>
          <cell r="D111">
            <v>117</v>
          </cell>
          <cell r="E111">
            <v>26.94</v>
          </cell>
          <cell r="F111">
            <v>3151.98</v>
          </cell>
          <cell r="G111">
            <v>0.2</v>
          </cell>
          <cell r="H111">
            <v>1</v>
          </cell>
          <cell r="I111" t="str">
            <v>Canada</v>
          </cell>
          <cell r="J111" t="str">
            <v>Amazon</v>
          </cell>
        </row>
        <row r="112">
          <cell r="A112" t="str">
            <v>17-02-2020</v>
          </cell>
          <cell r="B112" t="str">
            <v>Iron Supplement</v>
          </cell>
          <cell r="C112" t="str">
            <v>Mineral</v>
          </cell>
          <cell r="D112">
            <v>150</v>
          </cell>
          <cell r="E112">
            <v>56.59</v>
          </cell>
          <cell r="F112">
            <v>8488.5</v>
          </cell>
          <cell r="G112">
            <v>0.1</v>
          </cell>
          <cell r="H112">
            <v>0</v>
          </cell>
          <cell r="I112" t="str">
            <v>UK</v>
          </cell>
          <cell r="J112" t="str">
            <v>Amazon</v>
          </cell>
        </row>
        <row r="113">
          <cell r="A113" t="str">
            <v>17-02-2020</v>
          </cell>
          <cell r="B113" t="str">
            <v>Electrolyte Powder</v>
          </cell>
          <cell r="C113" t="str">
            <v>Hydration</v>
          </cell>
          <cell r="D113">
            <v>154</v>
          </cell>
          <cell r="E113">
            <v>27.26</v>
          </cell>
          <cell r="F113">
            <v>4198.04</v>
          </cell>
          <cell r="G113">
            <v>0.13</v>
          </cell>
          <cell r="H113">
            <v>3</v>
          </cell>
          <cell r="I113" t="str">
            <v>Canada</v>
          </cell>
          <cell r="J113" t="str">
            <v>Amazon</v>
          </cell>
        </row>
        <row r="114">
          <cell r="A114" t="str">
            <v>24-02-2020</v>
          </cell>
          <cell r="B114" t="str">
            <v>Whey Protein</v>
          </cell>
          <cell r="C114" t="str">
            <v>Protein</v>
          </cell>
          <cell r="D114">
            <v>150</v>
          </cell>
          <cell r="E114">
            <v>59.64</v>
          </cell>
          <cell r="F114">
            <v>8946</v>
          </cell>
          <cell r="G114">
            <v>0.03</v>
          </cell>
          <cell r="H114">
            <v>1</v>
          </cell>
          <cell r="I114" t="str">
            <v>UK</v>
          </cell>
          <cell r="J114" t="str">
            <v>Walmart</v>
          </cell>
        </row>
        <row r="115">
          <cell r="A115" t="str">
            <v>24-02-2020</v>
          </cell>
          <cell r="B115" t="str">
            <v>Vitamin C</v>
          </cell>
          <cell r="C115" t="str">
            <v>Vitamin</v>
          </cell>
          <cell r="D115">
            <v>146</v>
          </cell>
          <cell r="E115">
            <v>30.55</v>
          </cell>
          <cell r="F115">
            <v>4460.3</v>
          </cell>
          <cell r="G115">
            <v>0.23</v>
          </cell>
          <cell r="H115">
            <v>2</v>
          </cell>
          <cell r="I115" t="str">
            <v>UK</v>
          </cell>
          <cell r="J115" t="str">
            <v>iHerb</v>
          </cell>
        </row>
        <row r="116">
          <cell r="A116" t="str">
            <v>24-02-2020</v>
          </cell>
          <cell r="B116" t="str">
            <v>Fish Oil</v>
          </cell>
          <cell r="C116" t="str">
            <v>Omega</v>
          </cell>
          <cell r="D116">
            <v>154</v>
          </cell>
          <cell r="E116">
            <v>51.19</v>
          </cell>
          <cell r="F116">
            <v>7883.26</v>
          </cell>
          <cell r="G116">
            <v>0.24</v>
          </cell>
          <cell r="H116">
            <v>3</v>
          </cell>
          <cell r="I116" t="str">
            <v>USA</v>
          </cell>
          <cell r="J116" t="str">
            <v>Amazon</v>
          </cell>
        </row>
        <row r="117">
          <cell r="A117" t="str">
            <v>24-02-2020</v>
          </cell>
          <cell r="B117" t="str">
            <v>Multivitamin</v>
          </cell>
          <cell r="C117" t="str">
            <v>Vitamin</v>
          </cell>
          <cell r="D117">
            <v>123</v>
          </cell>
          <cell r="E117">
            <v>12.98</v>
          </cell>
          <cell r="F117">
            <v>1596.54</v>
          </cell>
          <cell r="G117">
            <v>0.15</v>
          </cell>
          <cell r="H117">
            <v>2</v>
          </cell>
          <cell r="I117" t="str">
            <v>USA</v>
          </cell>
          <cell r="J117" t="str">
            <v>Walmart</v>
          </cell>
        </row>
        <row r="118">
          <cell r="A118" t="str">
            <v>24-02-2020</v>
          </cell>
          <cell r="B118" t="str">
            <v>Pre-Workout</v>
          </cell>
          <cell r="C118" t="str">
            <v>Performance</v>
          </cell>
          <cell r="D118">
            <v>133</v>
          </cell>
          <cell r="E118">
            <v>32.81</v>
          </cell>
          <cell r="F118">
            <v>4363.7299999999996</v>
          </cell>
          <cell r="G118">
            <v>0.09</v>
          </cell>
          <cell r="H118">
            <v>0</v>
          </cell>
          <cell r="I118" t="str">
            <v>Canada</v>
          </cell>
          <cell r="J118" t="str">
            <v>Amazon</v>
          </cell>
        </row>
        <row r="119">
          <cell r="A119" t="str">
            <v>24-02-2020</v>
          </cell>
          <cell r="B119" t="str">
            <v>BCAA</v>
          </cell>
          <cell r="C119" t="str">
            <v>Amino Acid</v>
          </cell>
          <cell r="D119">
            <v>147</v>
          </cell>
          <cell r="E119">
            <v>13.55</v>
          </cell>
          <cell r="F119">
            <v>1991.85</v>
          </cell>
          <cell r="G119">
            <v>0.02</v>
          </cell>
          <cell r="H119">
            <v>1</v>
          </cell>
          <cell r="I119" t="str">
            <v>UK</v>
          </cell>
          <cell r="J119" t="str">
            <v>Amazon</v>
          </cell>
        </row>
        <row r="120">
          <cell r="A120" t="str">
            <v>24-02-2020</v>
          </cell>
          <cell r="B120" t="str">
            <v>Creatine</v>
          </cell>
          <cell r="C120" t="str">
            <v>Performance</v>
          </cell>
          <cell r="D120">
            <v>175</v>
          </cell>
          <cell r="E120">
            <v>43.93</v>
          </cell>
          <cell r="F120">
            <v>7687.75</v>
          </cell>
          <cell r="G120">
            <v>0.09</v>
          </cell>
          <cell r="H120">
            <v>2</v>
          </cell>
          <cell r="I120" t="str">
            <v>UK</v>
          </cell>
          <cell r="J120" t="str">
            <v>Amazon</v>
          </cell>
        </row>
        <row r="121">
          <cell r="A121" t="str">
            <v>24-02-2020</v>
          </cell>
          <cell r="B121" t="str">
            <v>Zinc</v>
          </cell>
          <cell r="C121" t="str">
            <v>Mineral</v>
          </cell>
          <cell r="D121">
            <v>170</v>
          </cell>
          <cell r="E121">
            <v>53.68</v>
          </cell>
          <cell r="F121">
            <v>9125.6</v>
          </cell>
          <cell r="G121">
            <v>0.18</v>
          </cell>
          <cell r="H121">
            <v>0</v>
          </cell>
          <cell r="I121" t="str">
            <v>UK</v>
          </cell>
          <cell r="J121" t="str">
            <v>iHerb</v>
          </cell>
        </row>
        <row r="122">
          <cell r="A122" t="str">
            <v>24-02-2020</v>
          </cell>
          <cell r="B122" t="str">
            <v>Collagen Peptides</v>
          </cell>
          <cell r="C122" t="str">
            <v>Protein</v>
          </cell>
          <cell r="D122">
            <v>169</v>
          </cell>
          <cell r="E122">
            <v>36.700000000000003</v>
          </cell>
          <cell r="F122">
            <v>6202.3</v>
          </cell>
          <cell r="G122">
            <v>0.04</v>
          </cell>
          <cell r="H122">
            <v>0</v>
          </cell>
          <cell r="I122" t="str">
            <v>Canada</v>
          </cell>
          <cell r="J122" t="str">
            <v>iHerb</v>
          </cell>
        </row>
        <row r="123">
          <cell r="A123" t="str">
            <v>24-02-2020</v>
          </cell>
          <cell r="B123" t="str">
            <v>Magnesium</v>
          </cell>
          <cell r="C123" t="str">
            <v>Mineral</v>
          </cell>
          <cell r="D123">
            <v>147</v>
          </cell>
          <cell r="E123">
            <v>34.299999999999997</v>
          </cell>
          <cell r="F123">
            <v>5042.1000000000004</v>
          </cell>
          <cell r="G123">
            <v>0.14000000000000001</v>
          </cell>
          <cell r="H123">
            <v>0</v>
          </cell>
          <cell r="I123" t="str">
            <v>UK</v>
          </cell>
          <cell r="J123" t="str">
            <v>iHerb</v>
          </cell>
        </row>
        <row r="124">
          <cell r="A124" t="str">
            <v>24-02-2020</v>
          </cell>
          <cell r="B124" t="str">
            <v>Ashwagandha</v>
          </cell>
          <cell r="C124" t="str">
            <v>Herbal</v>
          </cell>
          <cell r="D124">
            <v>133</v>
          </cell>
          <cell r="E124">
            <v>27.16</v>
          </cell>
          <cell r="F124">
            <v>3612.28</v>
          </cell>
          <cell r="G124">
            <v>0.18</v>
          </cell>
          <cell r="H124">
            <v>2</v>
          </cell>
          <cell r="I124" t="str">
            <v>UK</v>
          </cell>
          <cell r="J124" t="str">
            <v>iHerb</v>
          </cell>
        </row>
        <row r="125">
          <cell r="A125" t="str">
            <v>24-02-2020</v>
          </cell>
          <cell r="B125" t="str">
            <v>Melatonin</v>
          </cell>
          <cell r="C125" t="str">
            <v>Sleep Aid</v>
          </cell>
          <cell r="D125">
            <v>164</v>
          </cell>
          <cell r="E125">
            <v>31.5</v>
          </cell>
          <cell r="F125">
            <v>5166</v>
          </cell>
          <cell r="G125">
            <v>0.17</v>
          </cell>
          <cell r="H125">
            <v>1</v>
          </cell>
          <cell r="I125" t="str">
            <v>Canada</v>
          </cell>
          <cell r="J125" t="str">
            <v>iHerb</v>
          </cell>
        </row>
        <row r="126">
          <cell r="A126" t="str">
            <v>24-02-2020</v>
          </cell>
          <cell r="B126" t="str">
            <v>Biotin</v>
          </cell>
          <cell r="C126" t="str">
            <v>Vitamin</v>
          </cell>
          <cell r="D126">
            <v>143</v>
          </cell>
          <cell r="E126">
            <v>32.32</v>
          </cell>
          <cell r="F126">
            <v>4621.76</v>
          </cell>
          <cell r="G126">
            <v>0.2</v>
          </cell>
          <cell r="H126">
            <v>2</v>
          </cell>
          <cell r="I126" t="str">
            <v>USA</v>
          </cell>
          <cell r="J126" t="str">
            <v>iHerb</v>
          </cell>
        </row>
        <row r="127">
          <cell r="A127" t="str">
            <v>24-02-2020</v>
          </cell>
          <cell r="B127" t="str">
            <v>Green Tea Extract</v>
          </cell>
          <cell r="C127" t="str">
            <v>Fat Burner</v>
          </cell>
          <cell r="D127">
            <v>147</v>
          </cell>
          <cell r="E127">
            <v>39.11</v>
          </cell>
          <cell r="F127">
            <v>5749.17</v>
          </cell>
          <cell r="G127">
            <v>0.09</v>
          </cell>
          <cell r="H127">
            <v>2</v>
          </cell>
          <cell r="I127" t="str">
            <v>UK</v>
          </cell>
          <cell r="J127" t="str">
            <v>iHerb</v>
          </cell>
        </row>
        <row r="128">
          <cell r="A128" t="str">
            <v>24-02-2020</v>
          </cell>
          <cell r="B128" t="str">
            <v>Iron Supplement</v>
          </cell>
          <cell r="C128" t="str">
            <v>Mineral</v>
          </cell>
          <cell r="D128">
            <v>158</v>
          </cell>
          <cell r="E128">
            <v>28.73</v>
          </cell>
          <cell r="F128">
            <v>4539.34</v>
          </cell>
          <cell r="G128">
            <v>0.04</v>
          </cell>
          <cell r="H128">
            <v>1</v>
          </cell>
          <cell r="I128" t="str">
            <v>UK</v>
          </cell>
          <cell r="J128" t="str">
            <v>Amazon</v>
          </cell>
        </row>
        <row r="129">
          <cell r="A129" t="str">
            <v>24-02-2020</v>
          </cell>
          <cell r="B129" t="str">
            <v>Electrolyte Powder</v>
          </cell>
          <cell r="C129" t="str">
            <v>Hydration</v>
          </cell>
          <cell r="D129">
            <v>135</v>
          </cell>
          <cell r="E129">
            <v>27.29</v>
          </cell>
          <cell r="F129">
            <v>3684.15</v>
          </cell>
          <cell r="G129">
            <v>0.04</v>
          </cell>
          <cell r="H129">
            <v>0</v>
          </cell>
          <cell r="I129" t="str">
            <v>Canada</v>
          </cell>
          <cell r="J129" t="str">
            <v>Amazon</v>
          </cell>
        </row>
        <row r="130">
          <cell r="A130" t="str">
            <v>02-03-2020</v>
          </cell>
          <cell r="B130" t="str">
            <v>Whey Protein</v>
          </cell>
          <cell r="C130" t="str">
            <v>Protein</v>
          </cell>
          <cell r="D130">
            <v>155</v>
          </cell>
          <cell r="E130">
            <v>27.03</v>
          </cell>
          <cell r="F130">
            <v>4189.6499999999996</v>
          </cell>
          <cell r="G130">
            <v>0.02</v>
          </cell>
          <cell r="H130">
            <v>1</v>
          </cell>
          <cell r="I130" t="str">
            <v>Canada</v>
          </cell>
          <cell r="J130" t="str">
            <v>Amazon</v>
          </cell>
        </row>
        <row r="131">
          <cell r="A131" t="str">
            <v>02-03-2020</v>
          </cell>
          <cell r="B131" t="str">
            <v>Vitamin C</v>
          </cell>
          <cell r="C131" t="str">
            <v>Vitamin</v>
          </cell>
          <cell r="D131">
            <v>143</v>
          </cell>
          <cell r="E131">
            <v>40.29</v>
          </cell>
          <cell r="F131">
            <v>5761.47</v>
          </cell>
          <cell r="G131">
            <v>0.09</v>
          </cell>
          <cell r="H131">
            <v>0</v>
          </cell>
          <cell r="I131" t="str">
            <v>Canada</v>
          </cell>
          <cell r="J131" t="str">
            <v>iHerb</v>
          </cell>
        </row>
        <row r="132">
          <cell r="A132" t="str">
            <v>02-03-2020</v>
          </cell>
          <cell r="B132" t="str">
            <v>Fish Oil</v>
          </cell>
          <cell r="C132" t="str">
            <v>Omega</v>
          </cell>
          <cell r="D132">
            <v>157</v>
          </cell>
          <cell r="E132">
            <v>34.28</v>
          </cell>
          <cell r="F132">
            <v>5381.96</v>
          </cell>
          <cell r="G132">
            <v>0.01</v>
          </cell>
          <cell r="H132">
            <v>1</v>
          </cell>
          <cell r="I132" t="str">
            <v>Canada</v>
          </cell>
          <cell r="J132" t="str">
            <v>iHerb</v>
          </cell>
        </row>
        <row r="133">
          <cell r="A133" t="str">
            <v>02-03-2020</v>
          </cell>
          <cell r="B133" t="str">
            <v>Multivitamin</v>
          </cell>
          <cell r="C133" t="str">
            <v>Vitamin</v>
          </cell>
          <cell r="D133">
            <v>184</v>
          </cell>
          <cell r="E133">
            <v>11.95</v>
          </cell>
          <cell r="F133">
            <v>2198.8000000000002</v>
          </cell>
          <cell r="G133">
            <v>0.01</v>
          </cell>
          <cell r="H133">
            <v>1</v>
          </cell>
          <cell r="I133" t="str">
            <v>UK</v>
          </cell>
          <cell r="J133" t="str">
            <v>iHerb</v>
          </cell>
        </row>
        <row r="134">
          <cell r="A134" t="str">
            <v>02-03-2020</v>
          </cell>
          <cell r="B134" t="str">
            <v>Pre-Workout</v>
          </cell>
          <cell r="C134" t="str">
            <v>Performance</v>
          </cell>
          <cell r="D134">
            <v>136</v>
          </cell>
          <cell r="E134">
            <v>47.81</v>
          </cell>
          <cell r="F134">
            <v>6502.16</v>
          </cell>
          <cell r="G134">
            <v>0.11</v>
          </cell>
          <cell r="H134">
            <v>1</v>
          </cell>
          <cell r="I134" t="str">
            <v>USA</v>
          </cell>
          <cell r="J134" t="str">
            <v>Walmart</v>
          </cell>
        </row>
        <row r="135">
          <cell r="A135" t="str">
            <v>02-03-2020</v>
          </cell>
          <cell r="B135" t="str">
            <v>BCAA</v>
          </cell>
          <cell r="C135" t="str">
            <v>Amino Acid</v>
          </cell>
          <cell r="D135">
            <v>169</v>
          </cell>
          <cell r="E135">
            <v>57.8</v>
          </cell>
          <cell r="F135">
            <v>9768.2000000000007</v>
          </cell>
          <cell r="G135">
            <v>0.08</v>
          </cell>
          <cell r="H135">
            <v>3</v>
          </cell>
          <cell r="I135" t="str">
            <v>Canada</v>
          </cell>
          <cell r="J135" t="str">
            <v>Amazon</v>
          </cell>
        </row>
        <row r="136">
          <cell r="A136" t="str">
            <v>02-03-2020</v>
          </cell>
          <cell r="B136" t="str">
            <v>Creatine</v>
          </cell>
          <cell r="C136" t="str">
            <v>Performance</v>
          </cell>
          <cell r="D136">
            <v>154</v>
          </cell>
          <cell r="E136">
            <v>59.2</v>
          </cell>
          <cell r="F136">
            <v>9116.7999999999993</v>
          </cell>
          <cell r="G136">
            <v>7.0000000000000007E-2</v>
          </cell>
          <cell r="H136">
            <v>4</v>
          </cell>
          <cell r="I136" t="str">
            <v>Canada</v>
          </cell>
          <cell r="J136" t="str">
            <v>iHerb</v>
          </cell>
        </row>
        <row r="137">
          <cell r="A137" t="str">
            <v>02-03-2020</v>
          </cell>
          <cell r="B137" t="str">
            <v>Zinc</v>
          </cell>
          <cell r="C137" t="str">
            <v>Mineral</v>
          </cell>
          <cell r="D137">
            <v>146</v>
          </cell>
          <cell r="E137">
            <v>27.02</v>
          </cell>
          <cell r="F137">
            <v>3944.92</v>
          </cell>
          <cell r="G137">
            <v>0.14000000000000001</v>
          </cell>
          <cell r="H137">
            <v>0</v>
          </cell>
          <cell r="I137" t="str">
            <v>UK</v>
          </cell>
          <cell r="J137" t="str">
            <v>Amazon</v>
          </cell>
        </row>
        <row r="138">
          <cell r="A138" t="str">
            <v>02-03-2020</v>
          </cell>
          <cell r="B138" t="str">
            <v>Collagen Peptides</v>
          </cell>
          <cell r="C138" t="str">
            <v>Protein</v>
          </cell>
          <cell r="D138">
            <v>152</v>
          </cell>
          <cell r="E138">
            <v>48.1</v>
          </cell>
          <cell r="F138">
            <v>7311.2</v>
          </cell>
          <cell r="G138">
            <v>0.21</v>
          </cell>
          <cell r="H138">
            <v>1</v>
          </cell>
          <cell r="I138" t="str">
            <v>UK</v>
          </cell>
          <cell r="J138" t="str">
            <v>Amazon</v>
          </cell>
        </row>
        <row r="139">
          <cell r="A139" t="str">
            <v>02-03-2020</v>
          </cell>
          <cell r="B139" t="str">
            <v>Magnesium</v>
          </cell>
          <cell r="C139" t="str">
            <v>Mineral</v>
          </cell>
          <cell r="D139">
            <v>143</v>
          </cell>
          <cell r="E139">
            <v>19.73</v>
          </cell>
          <cell r="F139">
            <v>2821.39</v>
          </cell>
          <cell r="G139">
            <v>0.01</v>
          </cell>
          <cell r="H139">
            <v>1</v>
          </cell>
          <cell r="I139" t="str">
            <v>USA</v>
          </cell>
          <cell r="J139" t="str">
            <v>Amazon</v>
          </cell>
        </row>
        <row r="140">
          <cell r="A140" t="str">
            <v>02-03-2020</v>
          </cell>
          <cell r="B140" t="str">
            <v>Ashwagandha</v>
          </cell>
          <cell r="C140" t="str">
            <v>Herbal</v>
          </cell>
          <cell r="D140">
            <v>152</v>
          </cell>
          <cell r="E140">
            <v>39.020000000000003</v>
          </cell>
          <cell r="F140">
            <v>5931.04</v>
          </cell>
          <cell r="G140">
            <v>0.03</v>
          </cell>
          <cell r="H140">
            <v>1</v>
          </cell>
          <cell r="I140" t="str">
            <v>USA</v>
          </cell>
          <cell r="J140" t="str">
            <v>Amazon</v>
          </cell>
        </row>
        <row r="141">
          <cell r="A141" t="str">
            <v>02-03-2020</v>
          </cell>
          <cell r="B141" t="str">
            <v>Melatonin</v>
          </cell>
          <cell r="C141" t="str">
            <v>Sleep Aid</v>
          </cell>
          <cell r="D141">
            <v>154</v>
          </cell>
          <cell r="E141">
            <v>30.09</v>
          </cell>
          <cell r="F141">
            <v>4633.8599999999997</v>
          </cell>
          <cell r="G141">
            <v>0.25</v>
          </cell>
          <cell r="H141">
            <v>3</v>
          </cell>
          <cell r="I141" t="str">
            <v>Canada</v>
          </cell>
          <cell r="J141" t="str">
            <v>Amazon</v>
          </cell>
        </row>
        <row r="142">
          <cell r="A142" t="str">
            <v>02-03-2020</v>
          </cell>
          <cell r="B142" t="str">
            <v>Biotin</v>
          </cell>
          <cell r="C142" t="str">
            <v>Vitamin</v>
          </cell>
          <cell r="D142">
            <v>154</v>
          </cell>
          <cell r="E142">
            <v>41.03</v>
          </cell>
          <cell r="F142">
            <v>6318.62</v>
          </cell>
          <cell r="G142">
            <v>0.05</v>
          </cell>
          <cell r="H142">
            <v>1</v>
          </cell>
          <cell r="I142" t="str">
            <v>UK</v>
          </cell>
          <cell r="J142" t="str">
            <v>Amazon</v>
          </cell>
        </row>
        <row r="143">
          <cell r="A143" t="str">
            <v>02-03-2020</v>
          </cell>
          <cell r="B143" t="str">
            <v>Green Tea Extract</v>
          </cell>
          <cell r="C143" t="str">
            <v>Fat Burner</v>
          </cell>
          <cell r="D143">
            <v>151</v>
          </cell>
          <cell r="E143">
            <v>58.2</v>
          </cell>
          <cell r="F143">
            <v>8788.2000000000007</v>
          </cell>
          <cell r="G143">
            <v>0.23</v>
          </cell>
          <cell r="H143">
            <v>2</v>
          </cell>
          <cell r="I143" t="str">
            <v>USA</v>
          </cell>
          <cell r="J143" t="str">
            <v>Walmart</v>
          </cell>
        </row>
        <row r="144">
          <cell r="A144" t="str">
            <v>02-03-2020</v>
          </cell>
          <cell r="B144" t="str">
            <v>Iron Supplement</v>
          </cell>
          <cell r="C144" t="str">
            <v>Mineral</v>
          </cell>
          <cell r="D144">
            <v>151</v>
          </cell>
          <cell r="E144">
            <v>16.53</v>
          </cell>
          <cell r="F144">
            <v>2496.0300000000002</v>
          </cell>
          <cell r="G144">
            <v>0.2</v>
          </cell>
          <cell r="H144">
            <v>0</v>
          </cell>
          <cell r="I144" t="str">
            <v>UK</v>
          </cell>
          <cell r="J144" t="str">
            <v>Amazon</v>
          </cell>
        </row>
        <row r="145">
          <cell r="A145" t="str">
            <v>02-03-2020</v>
          </cell>
          <cell r="B145" t="str">
            <v>Electrolyte Powder</v>
          </cell>
          <cell r="C145" t="str">
            <v>Hydration</v>
          </cell>
          <cell r="D145">
            <v>161</v>
          </cell>
          <cell r="E145">
            <v>53.85</v>
          </cell>
          <cell r="F145">
            <v>8669.85</v>
          </cell>
          <cell r="G145">
            <v>0.24</v>
          </cell>
          <cell r="H145">
            <v>0</v>
          </cell>
          <cell r="I145" t="str">
            <v>USA</v>
          </cell>
          <cell r="J145" t="str">
            <v>Amazon</v>
          </cell>
        </row>
        <row r="146">
          <cell r="A146" t="str">
            <v>09-03-2020</v>
          </cell>
          <cell r="B146" t="str">
            <v>Whey Protein</v>
          </cell>
          <cell r="C146" t="str">
            <v>Protein</v>
          </cell>
          <cell r="D146">
            <v>149</v>
          </cell>
          <cell r="E146">
            <v>34.17</v>
          </cell>
          <cell r="F146">
            <v>5091.33</v>
          </cell>
          <cell r="G146">
            <v>0.22</v>
          </cell>
          <cell r="H146">
            <v>2</v>
          </cell>
          <cell r="I146" t="str">
            <v>USA</v>
          </cell>
          <cell r="J146" t="str">
            <v>Walmart</v>
          </cell>
        </row>
        <row r="147">
          <cell r="A147" t="str">
            <v>09-03-2020</v>
          </cell>
          <cell r="B147" t="str">
            <v>Vitamin C</v>
          </cell>
          <cell r="C147" t="str">
            <v>Vitamin</v>
          </cell>
          <cell r="D147">
            <v>145</v>
          </cell>
          <cell r="E147">
            <v>20.16</v>
          </cell>
          <cell r="F147">
            <v>2923.2</v>
          </cell>
          <cell r="G147">
            <v>0.19</v>
          </cell>
          <cell r="H147">
            <v>1</v>
          </cell>
          <cell r="I147" t="str">
            <v>Canada</v>
          </cell>
          <cell r="J147" t="str">
            <v>iHerb</v>
          </cell>
        </row>
        <row r="148">
          <cell r="A148" t="str">
            <v>09-03-2020</v>
          </cell>
          <cell r="B148" t="str">
            <v>Fish Oil</v>
          </cell>
          <cell r="C148" t="str">
            <v>Omega</v>
          </cell>
          <cell r="D148">
            <v>150</v>
          </cell>
          <cell r="E148">
            <v>38.86</v>
          </cell>
          <cell r="F148">
            <v>5829</v>
          </cell>
          <cell r="G148">
            <v>0.22</v>
          </cell>
          <cell r="H148">
            <v>4</v>
          </cell>
          <cell r="I148" t="str">
            <v>UK</v>
          </cell>
          <cell r="J148" t="str">
            <v>Walmart</v>
          </cell>
        </row>
        <row r="149">
          <cell r="A149" t="str">
            <v>09-03-2020</v>
          </cell>
          <cell r="B149" t="str">
            <v>Multivitamin</v>
          </cell>
          <cell r="C149" t="str">
            <v>Vitamin</v>
          </cell>
          <cell r="D149">
            <v>147</v>
          </cell>
          <cell r="E149">
            <v>48.23</v>
          </cell>
          <cell r="F149">
            <v>7089.81</v>
          </cell>
          <cell r="G149">
            <v>0.14000000000000001</v>
          </cell>
          <cell r="H149">
            <v>4</v>
          </cell>
          <cell r="I149" t="str">
            <v>UK</v>
          </cell>
          <cell r="J149" t="str">
            <v>Walmart</v>
          </cell>
        </row>
        <row r="150">
          <cell r="A150" t="str">
            <v>09-03-2020</v>
          </cell>
          <cell r="B150" t="str">
            <v>Pre-Workout</v>
          </cell>
          <cell r="C150" t="str">
            <v>Performance</v>
          </cell>
          <cell r="D150">
            <v>138</v>
          </cell>
          <cell r="E150">
            <v>52.7</v>
          </cell>
          <cell r="F150">
            <v>7272.6</v>
          </cell>
          <cell r="G150">
            <v>0.11</v>
          </cell>
          <cell r="H150">
            <v>3</v>
          </cell>
          <cell r="I150" t="str">
            <v>Canada</v>
          </cell>
          <cell r="J150" t="str">
            <v>Amazon</v>
          </cell>
        </row>
        <row r="151">
          <cell r="A151" t="str">
            <v>09-03-2020</v>
          </cell>
          <cell r="B151" t="str">
            <v>BCAA</v>
          </cell>
          <cell r="C151" t="str">
            <v>Amino Acid</v>
          </cell>
          <cell r="D151">
            <v>168</v>
          </cell>
          <cell r="E151">
            <v>54.17</v>
          </cell>
          <cell r="F151">
            <v>9100.56</v>
          </cell>
          <cell r="G151">
            <v>0.11</v>
          </cell>
          <cell r="H151">
            <v>2</v>
          </cell>
          <cell r="I151" t="str">
            <v>Canada</v>
          </cell>
          <cell r="J151" t="str">
            <v>Amazon</v>
          </cell>
        </row>
        <row r="152">
          <cell r="A152" t="str">
            <v>09-03-2020</v>
          </cell>
          <cell r="B152" t="str">
            <v>Creatine</v>
          </cell>
          <cell r="C152" t="str">
            <v>Performance</v>
          </cell>
          <cell r="D152">
            <v>154</v>
          </cell>
          <cell r="E152">
            <v>10.96</v>
          </cell>
          <cell r="F152">
            <v>1687.84</v>
          </cell>
          <cell r="G152">
            <v>0.12</v>
          </cell>
          <cell r="H152">
            <v>2</v>
          </cell>
          <cell r="I152" t="str">
            <v>USA</v>
          </cell>
          <cell r="J152" t="str">
            <v>Amazon</v>
          </cell>
        </row>
        <row r="153">
          <cell r="A153" t="str">
            <v>09-03-2020</v>
          </cell>
          <cell r="B153" t="str">
            <v>Zinc</v>
          </cell>
          <cell r="C153" t="str">
            <v>Mineral</v>
          </cell>
          <cell r="D153">
            <v>158</v>
          </cell>
          <cell r="E153">
            <v>16.72</v>
          </cell>
          <cell r="F153">
            <v>2641.76</v>
          </cell>
          <cell r="G153">
            <v>7.0000000000000007E-2</v>
          </cell>
          <cell r="H153">
            <v>1</v>
          </cell>
          <cell r="I153" t="str">
            <v>USA</v>
          </cell>
          <cell r="J153" t="str">
            <v>iHerb</v>
          </cell>
        </row>
        <row r="154">
          <cell r="A154" t="str">
            <v>09-03-2020</v>
          </cell>
          <cell r="B154" t="str">
            <v>Collagen Peptides</v>
          </cell>
          <cell r="C154" t="str">
            <v>Protein</v>
          </cell>
          <cell r="D154">
            <v>162</v>
          </cell>
          <cell r="E154">
            <v>20.54</v>
          </cell>
          <cell r="F154">
            <v>3327.48</v>
          </cell>
          <cell r="G154">
            <v>0.24</v>
          </cell>
          <cell r="H154">
            <v>0</v>
          </cell>
          <cell r="I154" t="str">
            <v>UK</v>
          </cell>
          <cell r="J154" t="str">
            <v>Amazon</v>
          </cell>
        </row>
        <row r="155">
          <cell r="A155" t="str">
            <v>09-03-2020</v>
          </cell>
          <cell r="B155" t="str">
            <v>Magnesium</v>
          </cell>
          <cell r="C155" t="str">
            <v>Mineral</v>
          </cell>
          <cell r="D155">
            <v>163</v>
          </cell>
          <cell r="E155">
            <v>10.72</v>
          </cell>
          <cell r="F155">
            <v>1747.36</v>
          </cell>
          <cell r="G155">
            <v>0.18</v>
          </cell>
          <cell r="H155">
            <v>3</v>
          </cell>
          <cell r="I155" t="str">
            <v>UK</v>
          </cell>
          <cell r="J155" t="str">
            <v>iHerb</v>
          </cell>
        </row>
        <row r="156">
          <cell r="A156" t="str">
            <v>09-03-2020</v>
          </cell>
          <cell r="B156" t="str">
            <v>Ashwagandha</v>
          </cell>
          <cell r="C156" t="str">
            <v>Herbal</v>
          </cell>
          <cell r="D156">
            <v>159</v>
          </cell>
          <cell r="E156">
            <v>47.67</v>
          </cell>
          <cell r="F156">
            <v>7579.53</v>
          </cell>
          <cell r="G156">
            <v>0.19</v>
          </cell>
          <cell r="H156">
            <v>2</v>
          </cell>
          <cell r="I156" t="str">
            <v>Canada</v>
          </cell>
          <cell r="J156" t="str">
            <v>iHerb</v>
          </cell>
        </row>
        <row r="157">
          <cell r="A157" t="str">
            <v>09-03-2020</v>
          </cell>
          <cell r="B157" t="str">
            <v>Melatonin</v>
          </cell>
          <cell r="C157" t="str">
            <v>Sleep Aid</v>
          </cell>
          <cell r="D157">
            <v>160</v>
          </cell>
          <cell r="E157">
            <v>40.68</v>
          </cell>
          <cell r="F157">
            <v>6508.8</v>
          </cell>
          <cell r="G157">
            <v>0.02</v>
          </cell>
          <cell r="H157">
            <v>1</v>
          </cell>
          <cell r="I157" t="str">
            <v>UK</v>
          </cell>
          <cell r="J157" t="str">
            <v>Walmart</v>
          </cell>
        </row>
        <row r="158">
          <cell r="A158" t="str">
            <v>09-03-2020</v>
          </cell>
          <cell r="B158" t="str">
            <v>Biotin</v>
          </cell>
          <cell r="C158" t="str">
            <v>Vitamin</v>
          </cell>
          <cell r="D158">
            <v>128</v>
          </cell>
          <cell r="E158">
            <v>30.36</v>
          </cell>
          <cell r="F158">
            <v>3886.08</v>
          </cell>
          <cell r="G158">
            <v>0.02</v>
          </cell>
          <cell r="H158">
            <v>1</v>
          </cell>
          <cell r="I158" t="str">
            <v>USA</v>
          </cell>
          <cell r="J158" t="str">
            <v>Walmart</v>
          </cell>
        </row>
        <row r="159">
          <cell r="A159" t="str">
            <v>09-03-2020</v>
          </cell>
          <cell r="B159" t="str">
            <v>Green Tea Extract</v>
          </cell>
          <cell r="C159" t="str">
            <v>Fat Burner</v>
          </cell>
          <cell r="D159">
            <v>132</v>
          </cell>
          <cell r="E159">
            <v>57.38</v>
          </cell>
          <cell r="F159">
            <v>7574.16</v>
          </cell>
          <cell r="G159">
            <v>0.02</v>
          </cell>
          <cell r="H159">
            <v>3</v>
          </cell>
          <cell r="I159" t="str">
            <v>USA</v>
          </cell>
          <cell r="J159" t="str">
            <v>Amazon</v>
          </cell>
        </row>
        <row r="160">
          <cell r="A160" t="str">
            <v>09-03-2020</v>
          </cell>
          <cell r="B160" t="str">
            <v>Iron Supplement</v>
          </cell>
          <cell r="C160" t="str">
            <v>Mineral</v>
          </cell>
          <cell r="D160">
            <v>151</v>
          </cell>
          <cell r="E160">
            <v>13.84</v>
          </cell>
          <cell r="F160">
            <v>2089.84</v>
          </cell>
          <cell r="G160">
            <v>0.13</v>
          </cell>
          <cell r="H160">
            <v>2</v>
          </cell>
          <cell r="I160" t="str">
            <v>Canada</v>
          </cell>
          <cell r="J160" t="str">
            <v>iHerb</v>
          </cell>
        </row>
        <row r="161">
          <cell r="A161" t="str">
            <v>09-03-2020</v>
          </cell>
          <cell r="B161" t="str">
            <v>Electrolyte Powder</v>
          </cell>
          <cell r="C161" t="str">
            <v>Hydration</v>
          </cell>
          <cell r="D161">
            <v>158</v>
          </cell>
          <cell r="E161">
            <v>13.65</v>
          </cell>
          <cell r="F161">
            <v>2156.6999999999998</v>
          </cell>
          <cell r="G161">
            <v>0.1</v>
          </cell>
          <cell r="H161">
            <v>1</v>
          </cell>
          <cell r="I161" t="str">
            <v>Canada</v>
          </cell>
          <cell r="J161" t="str">
            <v>Amazon</v>
          </cell>
        </row>
        <row r="162">
          <cell r="A162" t="str">
            <v>16-03-2020</v>
          </cell>
          <cell r="B162" t="str">
            <v>Whey Protein</v>
          </cell>
          <cell r="C162" t="str">
            <v>Protein</v>
          </cell>
          <cell r="D162">
            <v>140</v>
          </cell>
          <cell r="E162">
            <v>50.17</v>
          </cell>
          <cell r="F162">
            <v>7023.8</v>
          </cell>
          <cell r="G162">
            <v>0.23</v>
          </cell>
          <cell r="H162">
            <v>1</v>
          </cell>
          <cell r="I162" t="str">
            <v>Canada</v>
          </cell>
          <cell r="J162" t="str">
            <v>iHerb</v>
          </cell>
        </row>
        <row r="163">
          <cell r="A163" t="str">
            <v>16-03-2020</v>
          </cell>
          <cell r="B163" t="str">
            <v>Vitamin C</v>
          </cell>
          <cell r="C163" t="str">
            <v>Vitamin</v>
          </cell>
          <cell r="D163">
            <v>169</v>
          </cell>
          <cell r="E163">
            <v>33.82</v>
          </cell>
          <cell r="F163">
            <v>5715.58</v>
          </cell>
          <cell r="G163">
            <v>0.06</v>
          </cell>
          <cell r="H163">
            <v>2</v>
          </cell>
          <cell r="I163" t="str">
            <v>Canada</v>
          </cell>
          <cell r="J163" t="str">
            <v>Walmart</v>
          </cell>
        </row>
        <row r="164">
          <cell r="A164" t="str">
            <v>16-03-2020</v>
          </cell>
          <cell r="B164" t="str">
            <v>Fish Oil</v>
          </cell>
          <cell r="C164" t="str">
            <v>Omega</v>
          </cell>
          <cell r="D164">
            <v>145</v>
          </cell>
          <cell r="E164">
            <v>16.149999999999999</v>
          </cell>
          <cell r="F164">
            <v>2341.75</v>
          </cell>
          <cell r="G164">
            <v>0.22</v>
          </cell>
          <cell r="H164">
            <v>1</v>
          </cell>
          <cell r="I164" t="str">
            <v>Canada</v>
          </cell>
          <cell r="J164" t="str">
            <v>Amazon</v>
          </cell>
        </row>
        <row r="165">
          <cell r="A165" t="str">
            <v>16-03-2020</v>
          </cell>
          <cell r="B165" t="str">
            <v>Multivitamin</v>
          </cell>
          <cell r="C165" t="str">
            <v>Vitamin</v>
          </cell>
          <cell r="D165">
            <v>148</v>
          </cell>
          <cell r="E165">
            <v>41.24</v>
          </cell>
          <cell r="F165">
            <v>6103.52</v>
          </cell>
          <cell r="G165">
            <v>0.02</v>
          </cell>
          <cell r="H165">
            <v>2</v>
          </cell>
          <cell r="I165" t="str">
            <v>UK</v>
          </cell>
          <cell r="J165" t="str">
            <v>Amazon</v>
          </cell>
        </row>
        <row r="166">
          <cell r="A166" t="str">
            <v>16-03-2020</v>
          </cell>
          <cell r="B166" t="str">
            <v>Pre-Workout</v>
          </cell>
          <cell r="C166" t="str">
            <v>Performance</v>
          </cell>
          <cell r="D166">
            <v>140</v>
          </cell>
          <cell r="E166">
            <v>51.13</v>
          </cell>
          <cell r="F166">
            <v>7158.2</v>
          </cell>
          <cell r="G166">
            <v>0.2</v>
          </cell>
          <cell r="H166">
            <v>1</v>
          </cell>
          <cell r="I166" t="str">
            <v>USA</v>
          </cell>
          <cell r="J166" t="str">
            <v>Walmart</v>
          </cell>
        </row>
        <row r="167">
          <cell r="A167" t="str">
            <v>16-03-2020</v>
          </cell>
          <cell r="B167" t="str">
            <v>BCAA</v>
          </cell>
          <cell r="C167" t="str">
            <v>Amino Acid</v>
          </cell>
          <cell r="D167">
            <v>151</v>
          </cell>
          <cell r="E167">
            <v>48.77</v>
          </cell>
          <cell r="F167">
            <v>7364.27</v>
          </cell>
          <cell r="G167">
            <v>7.0000000000000007E-2</v>
          </cell>
          <cell r="H167">
            <v>1</v>
          </cell>
          <cell r="I167" t="str">
            <v>UK</v>
          </cell>
          <cell r="J167" t="str">
            <v>Amazon</v>
          </cell>
        </row>
        <row r="168">
          <cell r="A168" t="str">
            <v>16-03-2020</v>
          </cell>
          <cell r="B168" t="str">
            <v>Creatine</v>
          </cell>
          <cell r="C168" t="str">
            <v>Performance</v>
          </cell>
          <cell r="D168">
            <v>142</v>
          </cell>
          <cell r="E168">
            <v>41.48</v>
          </cell>
          <cell r="F168">
            <v>5890.16</v>
          </cell>
          <cell r="G168">
            <v>0.01</v>
          </cell>
          <cell r="H168">
            <v>2</v>
          </cell>
          <cell r="I168" t="str">
            <v>Canada</v>
          </cell>
          <cell r="J168" t="str">
            <v>Amazon</v>
          </cell>
        </row>
        <row r="169">
          <cell r="A169" t="str">
            <v>16-03-2020</v>
          </cell>
          <cell r="B169" t="str">
            <v>Zinc</v>
          </cell>
          <cell r="C169" t="str">
            <v>Mineral</v>
          </cell>
          <cell r="D169">
            <v>143</v>
          </cell>
          <cell r="E169">
            <v>35.56</v>
          </cell>
          <cell r="F169">
            <v>5085.08</v>
          </cell>
          <cell r="G169">
            <v>0.01</v>
          </cell>
          <cell r="H169">
            <v>1</v>
          </cell>
          <cell r="I169" t="str">
            <v>USA</v>
          </cell>
          <cell r="J169" t="str">
            <v>Amazon</v>
          </cell>
        </row>
        <row r="170">
          <cell r="A170" t="str">
            <v>16-03-2020</v>
          </cell>
          <cell r="B170" t="str">
            <v>Collagen Peptides</v>
          </cell>
          <cell r="C170" t="str">
            <v>Protein</v>
          </cell>
          <cell r="D170">
            <v>158</v>
          </cell>
          <cell r="E170">
            <v>51.97</v>
          </cell>
          <cell r="F170">
            <v>8211.26</v>
          </cell>
          <cell r="G170">
            <v>0</v>
          </cell>
          <cell r="H170">
            <v>1</v>
          </cell>
          <cell r="I170" t="str">
            <v>Canada</v>
          </cell>
          <cell r="J170" t="str">
            <v>iHerb</v>
          </cell>
        </row>
        <row r="171">
          <cell r="A171" t="str">
            <v>16-03-2020</v>
          </cell>
          <cell r="B171" t="str">
            <v>Magnesium</v>
          </cell>
          <cell r="C171" t="str">
            <v>Mineral</v>
          </cell>
          <cell r="D171">
            <v>159</v>
          </cell>
          <cell r="E171">
            <v>15.09</v>
          </cell>
          <cell r="F171">
            <v>2399.31</v>
          </cell>
          <cell r="G171">
            <v>0.09</v>
          </cell>
          <cell r="H171">
            <v>1</v>
          </cell>
          <cell r="I171" t="str">
            <v>Canada</v>
          </cell>
          <cell r="J171" t="str">
            <v>iHerb</v>
          </cell>
        </row>
        <row r="172">
          <cell r="A172" t="str">
            <v>16-03-2020</v>
          </cell>
          <cell r="B172" t="str">
            <v>Ashwagandha</v>
          </cell>
          <cell r="C172" t="str">
            <v>Herbal</v>
          </cell>
          <cell r="D172">
            <v>164</v>
          </cell>
          <cell r="E172">
            <v>49.45</v>
          </cell>
          <cell r="F172">
            <v>8109.8</v>
          </cell>
          <cell r="G172">
            <v>0.22</v>
          </cell>
          <cell r="H172">
            <v>1</v>
          </cell>
          <cell r="I172" t="str">
            <v>Canada</v>
          </cell>
          <cell r="J172" t="str">
            <v>iHerb</v>
          </cell>
        </row>
        <row r="173">
          <cell r="A173" t="str">
            <v>16-03-2020</v>
          </cell>
          <cell r="B173" t="str">
            <v>Melatonin</v>
          </cell>
          <cell r="C173" t="str">
            <v>Sleep Aid</v>
          </cell>
          <cell r="D173">
            <v>170</v>
          </cell>
          <cell r="E173">
            <v>58.2</v>
          </cell>
          <cell r="F173">
            <v>9894</v>
          </cell>
          <cell r="G173">
            <v>0.02</v>
          </cell>
          <cell r="H173">
            <v>2</v>
          </cell>
          <cell r="I173" t="str">
            <v>Canada</v>
          </cell>
          <cell r="J173" t="str">
            <v>Amazon</v>
          </cell>
        </row>
        <row r="174">
          <cell r="A174" t="str">
            <v>16-03-2020</v>
          </cell>
          <cell r="B174" t="str">
            <v>Biotin</v>
          </cell>
          <cell r="C174" t="str">
            <v>Vitamin</v>
          </cell>
          <cell r="D174">
            <v>150</v>
          </cell>
          <cell r="E174">
            <v>41.64</v>
          </cell>
          <cell r="F174">
            <v>6246</v>
          </cell>
          <cell r="G174">
            <v>0.18</v>
          </cell>
          <cell r="H174">
            <v>0</v>
          </cell>
          <cell r="I174" t="str">
            <v>UK</v>
          </cell>
          <cell r="J174" t="str">
            <v>iHerb</v>
          </cell>
        </row>
        <row r="175">
          <cell r="A175" t="str">
            <v>16-03-2020</v>
          </cell>
          <cell r="B175" t="str">
            <v>Green Tea Extract</v>
          </cell>
          <cell r="C175" t="str">
            <v>Fat Burner</v>
          </cell>
          <cell r="D175">
            <v>136</v>
          </cell>
          <cell r="E175">
            <v>43.32</v>
          </cell>
          <cell r="F175">
            <v>5891.52</v>
          </cell>
          <cell r="G175">
            <v>0.24</v>
          </cell>
          <cell r="H175">
            <v>2</v>
          </cell>
          <cell r="I175" t="str">
            <v>UK</v>
          </cell>
          <cell r="J175" t="str">
            <v>Walmart</v>
          </cell>
        </row>
        <row r="176">
          <cell r="A176" t="str">
            <v>16-03-2020</v>
          </cell>
          <cell r="B176" t="str">
            <v>Iron Supplement</v>
          </cell>
          <cell r="C176" t="str">
            <v>Mineral</v>
          </cell>
          <cell r="D176">
            <v>178</v>
          </cell>
          <cell r="E176">
            <v>24.9</v>
          </cell>
          <cell r="F176">
            <v>4432.2</v>
          </cell>
          <cell r="G176">
            <v>0.03</v>
          </cell>
          <cell r="H176">
            <v>3</v>
          </cell>
          <cell r="I176" t="str">
            <v>UK</v>
          </cell>
          <cell r="J176" t="str">
            <v>iHerb</v>
          </cell>
        </row>
        <row r="177">
          <cell r="A177" t="str">
            <v>16-03-2020</v>
          </cell>
          <cell r="B177" t="str">
            <v>Electrolyte Powder</v>
          </cell>
          <cell r="C177" t="str">
            <v>Hydration</v>
          </cell>
          <cell r="D177">
            <v>155</v>
          </cell>
          <cell r="E177">
            <v>28</v>
          </cell>
          <cell r="F177">
            <v>4340</v>
          </cell>
          <cell r="G177">
            <v>0.24</v>
          </cell>
          <cell r="H177">
            <v>1</v>
          </cell>
          <cell r="I177" t="str">
            <v>USA</v>
          </cell>
          <cell r="J177" t="str">
            <v>Amazon</v>
          </cell>
        </row>
        <row r="178">
          <cell r="A178" t="str">
            <v>23-03-2020</v>
          </cell>
          <cell r="B178" t="str">
            <v>Whey Protein</v>
          </cell>
          <cell r="C178" t="str">
            <v>Protein</v>
          </cell>
          <cell r="D178">
            <v>148</v>
          </cell>
          <cell r="E178">
            <v>20.440000000000001</v>
          </cell>
          <cell r="F178">
            <v>3025.12</v>
          </cell>
          <cell r="G178">
            <v>0.09</v>
          </cell>
          <cell r="H178">
            <v>1</v>
          </cell>
          <cell r="I178" t="str">
            <v>UK</v>
          </cell>
          <cell r="J178" t="str">
            <v>Walmart</v>
          </cell>
        </row>
        <row r="179">
          <cell r="A179" t="str">
            <v>23-03-2020</v>
          </cell>
          <cell r="B179" t="str">
            <v>Vitamin C</v>
          </cell>
          <cell r="C179" t="str">
            <v>Vitamin</v>
          </cell>
          <cell r="D179">
            <v>147</v>
          </cell>
          <cell r="E179">
            <v>52.52</v>
          </cell>
          <cell r="F179">
            <v>7720.44</v>
          </cell>
          <cell r="G179">
            <v>0.05</v>
          </cell>
          <cell r="H179">
            <v>2</v>
          </cell>
          <cell r="I179" t="str">
            <v>Canada</v>
          </cell>
          <cell r="J179" t="str">
            <v>Amazon</v>
          </cell>
        </row>
        <row r="180">
          <cell r="A180" t="str">
            <v>23-03-2020</v>
          </cell>
          <cell r="B180" t="str">
            <v>Fish Oil</v>
          </cell>
          <cell r="C180" t="str">
            <v>Omega</v>
          </cell>
          <cell r="D180">
            <v>149</v>
          </cell>
          <cell r="E180">
            <v>20.79</v>
          </cell>
          <cell r="F180">
            <v>3097.71</v>
          </cell>
          <cell r="G180">
            <v>0.17</v>
          </cell>
          <cell r="H180">
            <v>2</v>
          </cell>
          <cell r="I180" t="str">
            <v>Canada</v>
          </cell>
          <cell r="J180" t="str">
            <v>iHerb</v>
          </cell>
        </row>
        <row r="181">
          <cell r="A181" t="str">
            <v>23-03-2020</v>
          </cell>
          <cell r="B181" t="str">
            <v>Multivitamin</v>
          </cell>
          <cell r="C181" t="str">
            <v>Vitamin</v>
          </cell>
          <cell r="D181">
            <v>142</v>
          </cell>
          <cell r="E181">
            <v>42.58</v>
          </cell>
          <cell r="F181">
            <v>6046.36</v>
          </cell>
          <cell r="G181">
            <v>0.18</v>
          </cell>
          <cell r="H181">
            <v>1</v>
          </cell>
          <cell r="I181" t="str">
            <v>Canada</v>
          </cell>
          <cell r="J181" t="str">
            <v>Amazon</v>
          </cell>
        </row>
        <row r="182">
          <cell r="A182" t="str">
            <v>23-03-2020</v>
          </cell>
          <cell r="B182" t="str">
            <v>Pre-Workout</v>
          </cell>
          <cell r="C182" t="str">
            <v>Performance</v>
          </cell>
          <cell r="D182">
            <v>155</v>
          </cell>
          <cell r="E182">
            <v>45.66</v>
          </cell>
          <cell r="F182">
            <v>7077.3</v>
          </cell>
          <cell r="G182">
            <v>0.05</v>
          </cell>
          <cell r="H182">
            <v>3</v>
          </cell>
          <cell r="I182" t="str">
            <v>Canada</v>
          </cell>
          <cell r="J182" t="str">
            <v>Walmart</v>
          </cell>
        </row>
        <row r="183">
          <cell r="A183" t="str">
            <v>23-03-2020</v>
          </cell>
          <cell r="B183" t="str">
            <v>BCAA</v>
          </cell>
          <cell r="C183" t="str">
            <v>Amino Acid</v>
          </cell>
          <cell r="D183">
            <v>142</v>
          </cell>
          <cell r="E183">
            <v>12.9</v>
          </cell>
          <cell r="F183">
            <v>1831.8</v>
          </cell>
          <cell r="G183">
            <v>0.03</v>
          </cell>
          <cell r="H183">
            <v>1</v>
          </cell>
          <cell r="I183" t="str">
            <v>UK</v>
          </cell>
          <cell r="J183" t="str">
            <v>Walmart</v>
          </cell>
        </row>
        <row r="184">
          <cell r="A184" t="str">
            <v>23-03-2020</v>
          </cell>
          <cell r="B184" t="str">
            <v>Creatine</v>
          </cell>
          <cell r="C184" t="str">
            <v>Performance</v>
          </cell>
          <cell r="D184">
            <v>141</v>
          </cell>
          <cell r="E184">
            <v>10.73</v>
          </cell>
          <cell r="F184">
            <v>1512.93</v>
          </cell>
          <cell r="G184">
            <v>0.09</v>
          </cell>
          <cell r="H184">
            <v>1</v>
          </cell>
          <cell r="I184" t="str">
            <v>UK</v>
          </cell>
          <cell r="J184" t="str">
            <v>iHerb</v>
          </cell>
        </row>
        <row r="185">
          <cell r="A185" t="str">
            <v>23-03-2020</v>
          </cell>
          <cell r="B185" t="str">
            <v>Zinc</v>
          </cell>
          <cell r="C185" t="str">
            <v>Mineral</v>
          </cell>
          <cell r="D185">
            <v>147</v>
          </cell>
          <cell r="E185">
            <v>30.21</v>
          </cell>
          <cell r="F185">
            <v>4440.87</v>
          </cell>
          <cell r="G185">
            <v>0.13</v>
          </cell>
          <cell r="H185">
            <v>2</v>
          </cell>
          <cell r="I185" t="str">
            <v>UK</v>
          </cell>
          <cell r="J185" t="str">
            <v>Amazon</v>
          </cell>
        </row>
        <row r="186">
          <cell r="A186" t="str">
            <v>23-03-2020</v>
          </cell>
          <cell r="B186" t="str">
            <v>Collagen Peptides</v>
          </cell>
          <cell r="C186" t="str">
            <v>Protein</v>
          </cell>
          <cell r="D186">
            <v>156</v>
          </cell>
          <cell r="E186">
            <v>48.7</v>
          </cell>
          <cell r="F186">
            <v>7597.2</v>
          </cell>
          <cell r="G186">
            <v>0.19</v>
          </cell>
          <cell r="H186">
            <v>1</v>
          </cell>
          <cell r="I186" t="str">
            <v>Canada</v>
          </cell>
          <cell r="J186" t="str">
            <v>Amazon</v>
          </cell>
        </row>
        <row r="187">
          <cell r="A187" t="str">
            <v>23-03-2020</v>
          </cell>
          <cell r="B187" t="str">
            <v>Magnesium</v>
          </cell>
          <cell r="C187" t="str">
            <v>Mineral</v>
          </cell>
          <cell r="D187">
            <v>162</v>
          </cell>
          <cell r="E187">
            <v>23.28</v>
          </cell>
          <cell r="F187">
            <v>3771.36</v>
          </cell>
          <cell r="G187">
            <v>0</v>
          </cell>
          <cell r="H187">
            <v>1</v>
          </cell>
          <cell r="I187" t="str">
            <v>UK</v>
          </cell>
          <cell r="J187" t="str">
            <v>iHerb</v>
          </cell>
        </row>
        <row r="188">
          <cell r="A188" t="str">
            <v>23-03-2020</v>
          </cell>
          <cell r="B188" t="str">
            <v>Ashwagandha</v>
          </cell>
          <cell r="C188" t="str">
            <v>Herbal</v>
          </cell>
          <cell r="D188">
            <v>160</v>
          </cell>
          <cell r="E188">
            <v>27.4</v>
          </cell>
          <cell r="F188">
            <v>4384</v>
          </cell>
          <cell r="G188">
            <v>0.09</v>
          </cell>
          <cell r="H188">
            <v>0</v>
          </cell>
          <cell r="I188" t="str">
            <v>USA</v>
          </cell>
          <cell r="J188" t="str">
            <v>Amazon</v>
          </cell>
        </row>
        <row r="189">
          <cell r="A189" t="str">
            <v>23-03-2020</v>
          </cell>
          <cell r="B189" t="str">
            <v>Melatonin</v>
          </cell>
          <cell r="C189" t="str">
            <v>Sleep Aid</v>
          </cell>
          <cell r="D189">
            <v>143</v>
          </cell>
          <cell r="E189">
            <v>58.71</v>
          </cell>
          <cell r="F189">
            <v>8395.5300000000007</v>
          </cell>
          <cell r="G189">
            <v>0.21</v>
          </cell>
          <cell r="H189">
            <v>0</v>
          </cell>
          <cell r="I189" t="str">
            <v>Canada</v>
          </cell>
          <cell r="J189" t="str">
            <v>iHerb</v>
          </cell>
        </row>
        <row r="190">
          <cell r="A190" t="str">
            <v>23-03-2020</v>
          </cell>
          <cell r="B190" t="str">
            <v>Biotin</v>
          </cell>
          <cell r="C190" t="str">
            <v>Vitamin</v>
          </cell>
          <cell r="D190">
            <v>168</v>
          </cell>
          <cell r="E190">
            <v>49.02</v>
          </cell>
          <cell r="F190">
            <v>8235.36</v>
          </cell>
          <cell r="G190">
            <v>0.11</v>
          </cell>
          <cell r="H190">
            <v>1</v>
          </cell>
          <cell r="I190" t="str">
            <v>USA</v>
          </cell>
          <cell r="J190" t="str">
            <v>Amazon</v>
          </cell>
        </row>
        <row r="191">
          <cell r="A191" t="str">
            <v>23-03-2020</v>
          </cell>
          <cell r="B191" t="str">
            <v>Green Tea Extract</v>
          </cell>
          <cell r="C191" t="str">
            <v>Fat Burner</v>
          </cell>
          <cell r="D191">
            <v>143</v>
          </cell>
          <cell r="E191">
            <v>21.41</v>
          </cell>
          <cell r="F191">
            <v>3061.63</v>
          </cell>
          <cell r="G191">
            <v>0.06</v>
          </cell>
          <cell r="H191">
            <v>1</v>
          </cell>
          <cell r="I191" t="str">
            <v>Canada</v>
          </cell>
          <cell r="J191" t="str">
            <v>Amazon</v>
          </cell>
        </row>
        <row r="192">
          <cell r="A192" t="str">
            <v>23-03-2020</v>
          </cell>
          <cell r="B192" t="str">
            <v>Iron Supplement</v>
          </cell>
          <cell r="C192" t="str">
            <v>Mineral</v>
          </cell>
          <cell r="D192">
            <v>159</v>
          </cell>
          <cell r="E192">
            <v>12.89</v>
          </cell>
          <cell r="F192">
            <v>2049.5100000000002</v>
          </cell>
          <cell r="G192">
            <v>0.24</v>
          </cell>
          <cell r="H192">
            <v>4</v>
          </cell>
          <cell r="I192" t="str">
            <v>USA</v>
          </cell>
          <cell r="J192" t="str">
            <v>Amazon</v>
          </cell>
        </row>
        <row r="193">
          <cell r="A193" t="str">
            <v>23-03-2020</v>
          </cell>
          <cell r="B193" t="str">
            <v>Electrolyte Powder</v>
          </cell>
          <cell r="C193" t="str">
            <v>Hydration</v>
          </cell>
          <cell r="D193">
            <v>151</v>
          </cell>
          <cell r="E193">
            <v>13.78</v>
          </cell>
          <cell r="F193">
            <v>2080.7800000000002</v>
          </cell>
          <cell r="G193">
            <v>0.09</v>
          </cell>
          <cell r="H193">
            <v>1</v>
          </cell>
          <cell r="I193" t="str">
            <v>UK</v>
          </cell>
          <cell r="J193" t="str">
            <v>Amazon</v>
          </cell>
        </row>
        <row r="194">
          <cell r="A194" t="str">
            <v>30-03-2020</v>
          </cell>
          <cell r="B194" t="str">
            <v>Whey Protein</v>
          </cell>
          <cell r="C194" t="str">
            <v>Protein</v>
          </cell>
          <cell r="D194">
            <v>138</v>
          </cell>
          <cell r="E194">
            <v>41.12</v>
          </cell>
          <cell r="F194">
            <v>5674.56</v>
          </cell>
          <cell r="G194">
            <v>0.2</v>
          </cell>
          <cell r="H194">
            <v>1</v>
          </cell>
          <cell r="I194" t="str">
            <v>Canada</v>
          </cell>
          <cell r="J194" t="str">
            <v>iHerb</v>
          </cell>
        </row>
        <row r="195">
          <cell r="A195" t="str">
            <v>30-03-2020</v>
          </cell>
          <cell r="B195" t="str">
            <v>Vitamin C</v>
          </cell>
          <cell r="C195" t="str">
            <v>Vitamin</v>
          </cell>
          <cell r="D195">
            <v>135</v>
          </cell>
          <cell r="E195">
            <v>41.8</v>
          </cell>
          <cell r="F195">
            <v>5643</v>
          </cell>
          <cell r="G195">
            <v>0.1</v>
          </cell>
          <cell r="H195">
            <v>2</v>
          </cell>
          <cell r="I195" t="str">
            <v>Canada</v>
          </cell>
          <cell r="J195" t="str">
            <v>Amazon</v>
          </cell>
        </row>
        <row r="196">
          <cell r="A196" t="str">
            <v>30-03-2020</v>
          </cell>
          <cell r="B196" t="str">
            <v>Fish Oil</v>
          </cell>
          <cell r="C196" t="str">
            <v>Omega</v>
          </cell>
          <cell r="D196">
            <v>141</v>
          </cell>
          <cell r="E196">
            <v>55.87</v>
          </cell>
          <cell r="F196">
            <v>7877.67</v>
          </cell>
          <cell r="G196">
            <v>7.0000000000000007E-2</v>
          </cell>
          <cell r="H196">
            <v>1</v>
          </cell>
          <cell r="I196" t="str">
            <v>USA</v>
          </cell>
          <cell r="J196" t="str">
            <v>Amazon</v>
          </cell>
        </row>
        <row r="197">
          <cell r="A197" t="str">
            <v>30-03-2020</v>
          </cell>
          <cell r="B197" t="str">
            <v>Multivitamin</v>
          </cell>
          <cell r="C197" t="str">
            <v>Vitamin</v>
          </cell>
          <cell r="D197">
            <v>168</v>
          </cell>
          <cell r="E197">
            <v>13.11</v>
          </cell>
          <cell r="F197">
            <v>2202.48</v>
          </cell>
          <cell r="G197">
            <v>0.04</v>
          </cell>
          <cell r="H197">
            <v>0</v>
          </cell>
          <cell r="I197" t="str">
            <v>UK</v>
          </cell>
          <cell r="J197" t="str">
            <v>Amazon</v>
          </cell>
        </row>
        <row r="198">
          <cell r="A198" t="str">
            <v>30-03-2020</v>
          </cell>
          <cell r="B198" t="str">
            <v>Pre-Workout</v>
          </cell>
          <cell r="C198" t="str">
            <v>Performance</v>
          </cell>
          <cell r="D198">
            <v>155</v>
          </cell>
          <cell r="E198">
            <v>16.71</v>
          </cell>
          <cell r="F198">
            <v>2590.0500000000002</v>
          </cell>
          <cell r="G198">
            <v>0.24</v>
          </cell>
          <cell r="H198">
            <v>1</v>
          </cell>
          <cell r="I198" t="str">
            <v>USA</v>
          </cell>
          <cell r="J198" t="str">
            <v>Amazon</v>
          </cell>
        </row>
        <row r="199">
          <cell r="A199" t="str">
            <v>30-03-2020</v>
          </cell>
          <cell r="B199" t="str">
            <v>BCAA</v>
          </cell>
          <cell r="C199" t="str">
            <v>Amino Acid</v>
          </cell>
          <cell r="D199">
            <v>140</v>
          </cell>
          <cell r="E199">
            <v>43.98</v>
          </cell>
          <cell r="F199">
            <v>6157.2</v>
          </cell>
          <cell r="G199">
            <v>0.02</v>
          </cell>
          <cell r="H199">
            <v>1</v>
          </cell>
          <cell r="I199" t="str">
            <v>UK</v>
          </cell>
          <cell r="J199" t="str">
            <v>Walmart</v>
          </cell>
        </row>
        <row r="200">
          <cell r="A200" t="str">
            <v>30-03-2020</v>
          </cell>
          <cell r="B200" t="str">
            <v>Creatine</v>
          </cell>
          <cell r="C200" t="str">
            <v>Performance</v>
          </cell>
          <cell r="D200">
            <v>162</v>
          </cell>
          <cell r="E200">
            <v>37.33</v>
          </cell>
          <cell r="F200">
            <v>6047.46</v>
          </cell>
          <cell r="G200">
            <v>0.11</v>
          </cell>
          <cell r="H200">
            <v>0</v>
          </cell>
          <cell r="I200" t="str">
            <v>USA</v>
          </cell>
          <cell r="J200" t="str">
            <v>Amazon</v>
          </cell>
        </row>
        <row r="201">
          <cell r="A201" t="str">
            <v>30-03-2020</v>
          </cell>
          <cell r="B201" t="str">
            <v>Zinc</v>
          </cell>
          <cell r="C201" t="str">
            <v>Mineral</v>
          </cell>
          <cell r="D201">
            <v>136</v>
          </cell>
          <cell r="E201">
            <v>20.46</v>
          </cell>
          <cell r="F201">
            <v>2782.56</v>
          </cell>
          <cell r="G201">
            <v>0.01</v>
          </cell>
          <cell r="H201">
            <v>2</v>
          </cell>
          <cell r="I201" t="str">
            <v>USA</v>
          </cell>
          <cell r="J201" t="str">
            <v>Amazon</v>
          </cell>
        </row>
        <row r="202">
          <cell r="A202" t="str">
            <v>30-03-2020</v>
          </cell>
          <cell r="B202" t="str">
            <v>Collagen Peptides</v>
          </cell>
          <cell r="C202" t="str">
            <v>Protein</v>
          </cell>
          <cell r="D202">
            <v>165</v>
          </cell>
          <cell r="E202">
            <v>58.03</v>
          </cell>
          <cell r="F202">
            <v>9574.9500000000007</v>
          </cell>
          <cell r="G202">
            <v>0.05</v>
          </cell>
          <cell r="H202">
            <v>4</v>
          </cell>
          <cell r="I202" t="str">
            <v>Canada</v>
          </cell>
          <cell r="J202" t="str">
            <v>iHerb</v>
          </cell>
        </row>
        <row r="203">
          <cell r="A203" t="str">
            <v>30-03-2020</v>
          </cell>
          <cell r="B203" t="str">
            <v>Magnesium</v>
          </cell>
          <cell r="C203" t="str">
            <v>Mineral</v>
          </cell>
          <cell r="D203">
            <v>141</v>
          </cell>
          <cell r="E203">
            <v>39.68</v>
          </cell>
          <cell r="F203">
            <v>5594.88</v>
          </cell>
          <cell r="G203">
            <v>0.02</v>
          </cell>
          <cell r="H203">
            <v>2</v>
          </cell>
          <cell r="I203" t="str">
            <v>UK</v>
          </cell>
          <cell r="J203" t="str">
            <v>iHerb</v>
          </cell>
        </row>
        <row r="204">
          <cell r="A204" t="str">
            <v>30-03-2020</v>
          </cell>
          <cell r="B204" t="str">
            <v>Ashwagandha</v>
          </cell>
          <cell r="C204" t="str">
            <v>Herbal</v>
          </cell>
          <cell r="D204">
            <v>160</v>
          </cell>
          <cell r="E204">
            <v>33.85</v>
          </cell>
          <cell r="F204">
            <v>5416</v>
          </cell>
          <cell r="G204">
            <v>0.18</v>
          </cell>
          <cell r="H204">
            <v>1</v>
          </cell>
          <cell r="I204" t="str">
            <v>USA</v>
          </cell>
          <cell r="J204" t="str">
            <v>Walmart</v>
          </cell>
        </row>
        <row r="205">
          <cell r="A205" t="str">
            <v>30-03-2020</v>
          </cell>
          <cell r="B205" t="str">
            <v>Melatonin</v>
          </cell>
          <cell r="C205" t="str">
            <v>Sleep Aid</v>
          </cell>
          <cell r="D205">
            <v>155</v>
          </cell>
          <cell r="E205">
            <v>18.13</v>
          </cell>
          <cell r="F205">
            <v>2810.15</v>
          </cell>
          <cell r="G205">
            <v>0.14000000000000001</v>
          </cell>
          <cell r="H205">
            <v>2</v>
          </cell>
          <cell r="I205" t="str">
            <v>UK</v>
          </cell>
          <cell r="J205" t="str">
            <v>iHerb</v>
          </cell>
        </row>
        <row r="206">
          <cell r="A206" t="str">
            <v>30-03-2020</v>
          </cell>
          <cell r="B206" t="str">
            <v>Biotin</v>
          </cell>
          <cell r="C206" t="str">
            <v>Vitamin</v>
          </cell>
          <cell r="D206">
            <v>150</v>
          </cell>
          <cell r="E206">
            <v>10.45</v>
          </cell>
          <cell r="F206">
            <v>1567.5</v>
          </cell>
          <cell r="G206">
            <v>0.09</v>
          </cell>
          <cell r="H206">
            <v>3</v>
          </cell>
          <cell r="I206" t="str">
            <v>UK</v>
          </cell>
          <cell r="J206" t="str">
            <v>Amazon</v>
          </cell>
        </row>
        <row r="207">
          <cell r="A207" t="str">
            <v>30-03-2020</v>
          </cell>
          <cell r="B207" t="str">
            <v>Green Tea Extract</v>
          </cell>
          <cell r="C207" t="str">
            <v>Fat Burner</v>
          </cell>
          <cell r="D207">
            <v>140</v>
          </cell>
          <cell r="E207">
            <v>21.1</v>
          </cell>
          <cell r="F207">
            <v>2954</v>
          </cell>
          <cell r="G207">
            <v>0.08</v>
          </cell>
          <cell r="H207">
            <v>3</v>
          </cell>
          <cell r="I207" t="str">
            <v>USA</v>
          </cell>
          <cell r="J207" t="str">
            <v>iHerb</v>
          </cell>
        </row>
        <row r="208">
          <cell r="A208" t="str">
            <v>30-03-2020</v>
          </cell>
          <cell r="B208" t="str">
            <v>Iron Supplement</v>
          </cell>
          <cell r="C208" t="str">
            <v>Mineral</v>
          </cell>
          <cell r="D208">
            <v>158</v>
          </cell>
          <cell r="E208">
            <v>31.44</v>
          </cell>
          <cell r="F208">
            <v>4967.5200000000004</v>
          </cell>
          <cell r="G208">
            <v>0.01</v>
          </cell>
          <cell r="H208">
            <v>1</v>
          </cell>
          <cell r="I208" t="str">
            <v>UK</v>
          </cell>
          <cell r="J208" t="str">
            <v>iHerb</v>
          </cell>
        </row>
        <row r="209">
          <cell r="A209" t="str">
            <v>30-03-2020</v>
          </cell>
          <cell r="B209" t="str">
            <v>Electrolyte Powder</v>
          </cell>
          <cell r="C209" t="str">
            <v>Hydration</v>
          </cell>
          <cell r="D209">
            <v>156</v>
          </cell>
          <cell r="E209">
            <v>24.44</v>
          </cell>
          <cell r="F209">
            <v>3812.64</v>
          </cell>
          <cell r="G209">
            <v>0.1</v>
          </cell>
          <cell r="H209">
            <v>3</v>
          </cell>
          <cell r="I209" t="str">
            <v>USA</v>
          </cell>
          <cell r="J209" t="str">
            <v>Amazon</v>
          </cell>
        </row>
        <row r="210">
          <cell r="A210" t="str">
            <v>06-04-2020</v>
          </cell>
          <cell r="B210" t="str">
            <v>Whey Protein</v>
          </cell>
          <cell r="C210" t="str">
            <v>Protein</v>
          </cell>
          <cell r="D210">
            <v>160</v>
          </cell>
          <cell r="E210">
            <v>29.62</v>
          </cell>
          <cell r="F210">
            <v>4739.2</v>
          </cell>
          <cell r="G210">
            <v>0.19</v>
          </cell>
          <cell r="H210">
            <v>3</v>
          </cell>
          <cell r="I210" t="str">
            <v>UK</v>
          </cell>
          <cell r="J210" t="str">
            <v>iHerb</v>
          </cell>
        </row>
        <row r="211">
          <cell r="A211" t="str">
            <v>06-04-2020</v>
          </cell>
          <cell r="B211" t="str">
            <v>Vitamin C</v>
          </cell>
          <cell r="C211" t="str">
            <v>Vitamin</v>
          </cell>
          <cell r="D211">
            <v>178</v>
          </cell>
          <cell r="E211">
            <v>27.86</v>
          </cell>
          <cell r="F211">
            <v>4959.08</v>
          </cell>
          <cell r="G211">
            <v>0.2</v>
          </cell>
          <cell r="H211">
            <v>1</v>
          </cell>
          <cell r="I211" t="str">
            <v>UK</v>
          </cell>
          <cell r="J211" t="str">
            <v>Walmart</v>
          </cell>
        </row>
        <row r="212">
          <cell r="A212" t="str">
            <v>06-04-2020</v>
          </cell>
          <cell r="B212" t="str">
            <v>Fish Oil</v>
          </cell>
          <cell r="C212" t="str">
            <v>Omega</v>
          </cell>
          <cell r="D212">
            <v>152</v>
          </cell>
          <cell r="E212">
            <v>42.83</v>
          </cell>
          <cell r="F212">
            <v>6510.16</v>
          </cell>
          <cell r="G212">
            <v>0.06</v>
          </cell>
          <cell r="H212">
            <v>0</v>
          </cell>
          <cell r="I212" t="str">
            <v>USA</v>
          </cell>
          <cell r="J212" t="str">
            <v>Amazon</v>
          </cell>
        </row>
        <row r="213">
          <cell r="A213" t="str">
            <v>06-04-2020</v>
          </cell>
          <cell r="B213" t="str">
            <v>Multivitamin</v>
          </cell>
          <cell r="C213" t="str">
            <v>Vitamin</v>
          </cell>
          <cell r="D213">
            <v>171</v>
          </cell>
          <cell r="E213">
            <v>35.299999999999997</v>
          </cell>
          <cell r="F213">
            <v>6036.3</v>
          </cell>
          <cell r="G213">
            <v>0.06</v>
          </cell>
          <cell r="H213">
            <v>0</v>
          </cell>
          <cell r="I213" t="str">
            <v>USA</v>
          </cell>
          <cell r="J213" t="str">
            <v>Amazon</v>
          </cell>
        </row>
        <row r="214">
          <cell r="A214" t="str">
            <v>06-04-2020</v>
          </cell>
          <cell r="B214" t="str">
            <v>Pre-Workout</v>
          </cell>
          <cell r="C214" t="str">
            <v>Performance</v>
          </cell>
          <cell r="D214">
            <v>116</v>
          </cell>
          <cell r="E214">
            <v>53.34</v>
          </cell>
          <cell r="F214">
            <v>6187.44</v>
          </cell>
          <cell r="G214">
            <v>7.0000000000000007E-2</v>
          </cell>
          <cell r="H214">
            <v>3</v>
          </cell>
          <cell r="I214" t="str">
            <v>UK</v>
          </cell>
          <cell r="J214" t="str">
            <v>Walmart</v>
          </cell>
        </row>
        <row r="215">
          <cell r="A215" t="str">
            <v>06-04-2020</v>
          </cell>
          <cell r="B215" t="str">
            <v>BCAA</v>
          </cell>
          <cell r="C215" t="str">
            <v>Amino Acid</v>
          </cell>
          <cell r="D215">
            <v>153</v>
          </cell>
          <cell r="E215">
            <v>39</v>
          </cell>
          <cell r="F215">
            <v>5967</v>
          </cell>
          <cell r="G215">
            <v>0.13</v>
          </cell>
          <cell r="H215">
            <v>2</v>
          </cell>
          <cell r="I215" t="str">
            <v>USA</v>
          </cell>
          <cell r="J215" t="str">
            <v>Walmart</v>
          </cell>
        </row>
        <row r="216">
          <cell r="A216" t="str">
            <v>06-04-2020</v>
          </cell>
          <cell r="B216" t="str">
            <v>Creatine</v>
          </cell>
          <cell r="C216" t="str">
            <v>Performance</v>
          </cell>
          <cell r="D216">
            <v>142</v>
          </cell>
          <cell r="E216">
            <v>54.7</v>
          </cell>
          <cell r="F216">
            <v>7767.4</v>
          </cell>
          <cell r="G216">
            <v>0.24</v>
          </cell>
          <cell r="H216">
            <v>3</v>
          </cell>
          <cell r="I216" t="str">
            <v>USA</v>
          </cell>
          <cell r="J216" t="str">
            <v>Walmart</v>
          </cell>
        </row>
        <row r="217">
          <cell r="A217" t="str">
            <v>06-04-2020</v>
          </cell>
          <cell r="B217" t="str">
            <v>Zinc</v>
          </cell>
          <cell r="C217" t="str">
            <v>Mineral</v>
          </cell>
          <cell r="D217">
            <v>147</v>
          </cell>
          <cell r="E217">
            <v>33.82</v>
          </cell>
          <cell r="F217">
            <v>4971.54</v>
          </cell>
          <cell r="G217">
            <v>0.12</v>
          </cell>
          <cell r="H217">
            <v>0</v>
          </cell>
          <cell r="I217" t="str">
            <v>Canada</v>
          </cell>
          <cell r="J217" t="str">
            <v>Amazon</v>
          </cell>
        </row>
        <row r="218">
          <cell r="A218" t="str">
            <v>06-04-2020</v>
          </cell>
          <cell r="B218" t="str">
            <v>Collagen Peptides</v>
          </cell>
          <cell r="C218" t="str">
            <v>Protein</v>
          </cell>
          <cell r="D218">
            <v>153</v>
          </cell>
          <cell r="E218">
            <v>26.58</v>
          </cell>
          <cell r="F218">
            <v>4066.74</v>
          </cell>
          <cell r="G218">
            <v>0.21</v>
          </cell>
          <cell r="H218">
            <v>0</v>
          </cell>
          <cell r="I218" t="str">
            <v>Canada</v>
          </cell>
          <cell r="J218" t="str">
            <v>iHerb</v>
          </cell>
        </row>
        <row r="219">
          <cell r="A219" t="str">
            <v>06-04-2020</v>
          </cell>
          <cell r="B219" t="str">
            <v>Magnesium</v>
          </cell>
          <cell r="C219" t="str">
            <v>Mineral</v>
          </cell>
          <cell r="D219">
            <v>127</v>
          </cell>
          <cell r="E219">
            <v>57.04</v>
          </cell>
          <cell r="F219">
            <v>7244.08</v>
          </cell>
          <cell r="G219">
            <v>0.13</v>
          </cell>
          <cell r="H219">
            <v>1</v>
          </cell>
          <cell r="I219" t="str">
            <v>Canada</v>
          </cell>
          <cell r="J219" t="str">
            <v>iHerb</v>
          </cell>
        </row>
        <row r="220">
          <cell r="A220" t="str">
            <v>06-04-2020</v>
          </cell>
          <cell r="B220" t="str">
            <v>Ashwagandha</v>
          </cell>
          <cell r="C220" t="str">
            <v>Herbal</v>
          </cell>
          <cell r="D220">
            <v>162</v>
          </cell>
          <cell r="E220">
            <v>26.61</v>
          </cell>
          <cell r="F220">
            <v>4310.82</v>
          </cell>
          <cell r="G220">
            <v>0.17</v>
          </cell>
          <cell r="H220">
            <v>2</v>
          </cell>
          <cell r="I220" t="str">
            <v>Canada</v>
          </cell>
          <cell r="J220" t="str">
            <v>Amazon</v>
          </cell>
        </row>
        <row r="221">
          <cell r="A221" t="str">
            <v>06-04-2020</v>
          </cell>
          <cell r="B221" t="str">
            <v>Melatonin</v>
          </cell>
          <cell r="C221" t="str">
            <v>Sleep Aid</v>
          </cell>
          <cell r="D221">
            <v>156</v>
          </cell>
          <cell r="E221">
            <v>53.79</v>
          </cell>
          <cell r="F221">
            <v>8391.24</v>
          </cell>
          <cell r="G221">
            <v>0.13</v>
          </cell>
          <cell r="H221">
            <v>1</v>
          </cell>
          <cell r="I221" t="str">
            <v>USA</v>
          </cell>
          <cell r="J221" t="str">
            <v>iHerb</v>
          </cell>
        </row>
        <row r="222">
          <cell r="A222" t="str">
            <v>06-04-2020</v>
          </cell>
          <cell r="B222" t="str">
            <v>Biotin</v>
          </cell>
          <cell r="C222" t="str">
            <v>Vitamin</v>
          </cell>
          <cell r="D222">
            <v>147</v>
          </cell>
          <cell r="E222">
            <v>16.39</v>
          </cell>
          <cell r="F222">
            <v>2409.33</v>
          </cell>
          <cell r="G222">
            <v>0.19</v>
          </cell>
          <cell r="H222">
            <v>0</v>
          </cell>
          <cell r="I222" t="str">
            <v>UK</v>
          </cell>
          <cell r="J222" t="str">
            <v>Amazon</v>
          </cell>
        </row>
        <row r="223">
          <cell r="A223" t="str">
            <v>06-04-2020</v>
          </cell>
          <cell r="B223" t="str">
            <v>Green Tea Extract</v>
          </cell>
          <cell r="C223" t="str">
            <v>Fat Burner</v>
          </cell>
          <cell r="D223">
            <v>147</v>
          </cell>
          <cell r="E223">
            <v>12.73</v>
          </cell>
          <cell r="F223">
            <v>1871.31</v>
          </cell>
          <cell r="G223">
            <v>0.24</v>
          </cell>
          <cell r="H223">
            <v>0</v>
          </cell>
          <cell r="I223" t="str">
            <v>UK</v>
          </cell>
          <cell r="J223" t="str">
            <v>Walmart</v>
          </cell>
        </row>
        <row r="224">
          <cell r="A224" t="str">
            <v>06-04-2020</v>
          </cell>
          <cell r="B224" t="str">
            <v>Iron Supplement</v>
          </cell>
          <cell r="C224" t="str">
            <v>Mineral</v>
          </cell>
          <cell r="D224">
            <v>143</v>
          </cell>
          <cell r="E224">
            <v>21.52</v>
          </cell>
          <cell r="F224">
            <v>3077.36</v>
          </cell>
          <cell r="G224">
            <v>0</v>
          </cell>
          <cell r="H224">
            <v>2</v>
          </cell>
          <cell r="I224" t="str">
            <v>USA</v>
          </cell>
          <cell r="J224" t="str">
            <v>Amazon</v>
          </cell>
        </row>
        <row r="225">
          <cell r="A225" t="str">
            <v>06-04-2020</v>
          </cell>
          <cell r="B225" t="str">
            <v>Electrolyte Powder</v>
          </cell>
          <cell r="C225" t="str">
            <v>Hydration</v>
          </cell>
          <cell r="D225">
            <v>185</v>
          </cell>
          <cell r="E225">
            <v>43.15</v>
          </cell>
          <cell r="F225">
            <v>7982.75</v>
          </cell>
          <cell r="G225">
            <v>0.19</v>
          </cell>
          <cell r="H225">
            <v>3</v>
          </cell>
          <cell r="I225" t="str">
            <v>UK</v>
          </cell>
          <cell r="J225" t="str">
            <v>iHerb</v>
          </cell>
        </row>
        <row r="226">
          <cell r="A226" t="str">
            <v>13-04-2020</v>
          </cell>
          <cell r="B226" t="str">
            <v>Whey Protein</v>
          </cell>
          <cell r="C226" t="str">
            <v>Protein</v>
          </cell>
          <cell r="D226">
            <v>147</v>
          </cell>
          <cell r="E226">
            <v>26.26</v>
          </cell>
          <cell r="F226">
            <v>3860.22</v>
          </cell>
          <cell r="G226">
            <v>0.18</v>
          </cell>
          <cell r="H226">
            <v>2</v>
          </cell>
          <cell r="I226" t="str">
            <v>Canada</v>
          </cell>
          <cell r="J226" t="str">
            <v>Walmart</v>
          </cell>
        </row>
        <row r="227">
          <cell r="A227" t="str">
            <v>13-04-2020</v>
          </cell>
          <cell r="B227" t="str">
            <v>Vitamin C</v>
          </cell>
          <cell r="C227" t="str">
            <v>Vitamin</v>
          </cell>
          <cell r="D227">
            <v>137</v>
          </cell>
          <cell r="E227">
            <v>55.1</v>
          </cell>
          <cell r="F227">
            <v>7548.7</v>
          </cell>
          <cell r="G227">
            <v>0.2</v>
          </cell>
          <cell r="H227">
            <v>4</v>
          </cell>
          <cell r="I227" t="str">
            <v>USA</v>
          </cell>
          <cell r="J227" t="str">
            <v>Walmart</v>
          </cell>
        </row>
        <row r="228">
          <cell r="A228" t="str">
            <v>13-04-2020</v>
          </cell>
          <cell r="B228" t="str">
            <v>Fish Oil</v>
          </cell>
          <cell r="C228" t="str">
            <v>Omega</v>
          </cell>
          <cell r="D228">
            <v>160</v>
          </cell>
          <cell r="E228">
            <v>39.53</v>
          </cell>
          <cell r="F228">
            <v>6324.8</v>
          </cell>
          <cell r="G228">
            <v>0.17</v>
          </cell>
          <cell r="H228">
            <v>0</v>
          </cell>
          <cell r="I228" t="str">
            <v>USA</v>
          </cell>
          <cell r="J228" t="str">
            <v>iHerb</v>
          </cell>
        </row>
        <row r="229">
          <cell r="A229" t="str">
            <v>13-04-2020</v>
          </cell>
          <cell r="B229" t="str">
            <v>Multivitamin</v>
          </cell>
          <cell r="C229" t="str">
            <v>Vitamin</v>
          </cell>
          <cell r="D229">
            <v>151</v>
          </cell>
          <cell r="E229">
            <v>18.37</v>
          </cell>
          <cell r="F229">
            <v>2773.87</v>
          </cell>
          <cell r="G229">
            <v>0.2</v>
          </cell>
          <cell r="H229">
            <v>2</v>
          </cell>
          <cell r="I229" t="str">
            <v>USA</v>
          </cell>
          <cell r="J229" t="str">
            <v>Amazon</v>
          </cell>
        </row>
        <row r="230">
          <cell r="A230" t="str">
            <v>13-04-2020</v>
          </cell>
          <cell r="B230" t="str">
            <v>Pre-Workout</v>
          </cell>
          <cell r="C230" t="str">
            <v>Performance</v>
          </cell>
          <cell r="D230">
            <v>178</v>
          </cell>
          <cell r="E230">
            <v>23.27</v>
          </cell>
          <cell r="F230">
            <v>4142.0600000000004</v>
          </cell>
          <cell r="G230">
            <v>0.15</v>
          </cell>
          <cell r="H230">
            <v>1</v>
          </cell>
          <cell r="I230" t="str">
            <v>USA</v>
          </cell>
          <cell r="J230" t="str">
            <v>Amazon</v>
          </cell>
        </row>
        <row r="231">
          <cell r="A231" t="str">
            <v>13-04-2020</v>
          </cell>
          <cell r="B231" t="str">
            <v>BCAA</v>
          </cell>
          <cell r="C231" t="str">
            <v>Amino Acid</v>
          </cell>
          <cell r="D231">
            <v>158</v>
          </cell>
          <cell r="E231">
            <v>15.13</v>
          </cell>
          <cell r="F231">
            <v>2390.54</v>
          </cell>
          <cell r="G231">
            <v>0.13</v>
          </cell>
          <cell r="H231">
            <v>1</v>
          </cell>
          <cell r="I231" t="str">
            <v>Canada</v>
          </cell>
          <cell r="J231" t="str">
            <v>iHerb</v>
          </cell>
        </row>
        <row r="232">
          <cell r="A232" t="str">
            <v>13-04-2020</v>
          </cell>
          <cell r="B232" t="str">
            <v>Creatine</v>
          </cell>
          <cell r="C232" t="str">
            <v>Performance</v>
          </cell>
          <cell r="D232">
            <v>145</v>
          </cell>
          <cell r="E232">
            <v>51.38</v>
          </cell>
          <cell r="F232">
            <v>7450.1</v>
          </cell>
          <cell r="G232">
            <v>0.17</v>
          </cell>
          <cell r="H232">
            <v>2</v>
          </cell>
          <cell r="I232" t="str">
            <v>UK</v>
          </cell>
          <cell r="J232" t="str">
            <v>Walmart</v>
          </cell>
        </row>
        <row r="233">
          <cell r="A233" t="str">
            <v>13-04-2020</v>
          </cell>
          <cell r="B233" t="str">
            <v>Zinc</v>
          </cell>
          <cell r="C233" t="str">
            <v>Mineral</v>
          </cell>
          <cell r="D233">
            <v>149</v>
          </cell>
          <cell r="E233">
            <v>44.73</v>
          </cell>
          <cell r="F233">
            <v>6664.77</v>
          </cell>
          <cell r="G233">
            <v>0.18</v>
          </cell>
          <cell r="H233">
            <v>3</v>
          </cell>
          <cell r="I233" t="str">
            <v>Canada</v>
          </cell>
          <cell r="J233" t="str">
            <v>Amazon</v>
          </cell>
        </row>
        <row r="234">
          <cell r="A234" t="str">
            <v>13-04-2020</v>
          </cell>
          <cell r="B234" t="str">
            <v>Collagen Peptides</v>
          </cell>
          <cell r="C234" t="str">
            <v>Protein</v>
          </cell>
          <cell r="D234">
            <v>142</v>
          </cell>
          <cell r="E234">
            <v>19.760000000000002</v>
          </cell>
          <cell r="F234">
            <v>2805.92</v>
          </cell>
          <cell r="G234">
            <v>0.09</v>
          </cell>
          <cell r="H234">
            <v>1</v>
          </cell>
          <cell r="I234" t="str">
            <v>USA</v>
          </cell>
          <cell r="J234" t="str">
            <v>Amazon</v>
          </cell>
        </row>
        <row r="235">
          <cell r="A235" t="str">
            <v>13-04-2020</v>
          </cell>
          <cell r="B235" t="str">
            <v>Magnesium</v>
          </cell>
          <cell r="C235" t="str">
            <v>Mineral</v>
          </cell>
          <cell r="D235">
            <v>157</v>
          </cell>
          <cell r="E235">
            <v>38.1</v>
          </cell>
          <cell r="F235">
            <v>5981.7</v>
          </cell>
          <cell r="G235">
            <v>0.24</v>
          </cell>
          <cell r="H235">
            <v>1</v>
          </cell>
          <cell r="I235" t="str">
            <v>UK</v>
          </cell>
          <cell r="J235" t="str">
            <v>iHerb</v>
          </cell>
        </row>
        <row r="236">
          <cell r="A236" t="str">
            <v>13-04-2020</v>
          </cell>
          <cell r="B236" t="str">
            <v>Ashwagandha</v>
          </cell>
          <cell r="C236" t="str">
            <v>Herbal</v>
          </cell>
          <cell r="D236">
            <v>146</v>
          </cell>
          <cell r="E236">
            <v>49.31</v>
          </cell>
          <cell r="F236">
            <v>7199.26</v>
          </cell>
          <cell r="G236">
            <v>0.18</v>
          </cell>
          <cell r="H236">
            <v>1</v>
          </cell>
          <cell r="I236" t="str">
            <v>Canada</v>
          </cell>
          <cell r="J236" t="str">
            <v>iHerb</v>
          </cell>
        </row>
        <row r="237">
          <cell r="A237" t="str">
            <v>13-04-2020</v>
          </cell>
          <cell r="B237" t="str">
            <v>Melatonin</v>
          </cell>
          <cell r="C237" t="str">
            <v>Sleep Aid</v>
          </cell>
          <cell r="D237">
            <v>140</v>
          </cell>
          <cell r="E237">
            <v>50.86</v>
          </cell>
          <cell r="F237">
            <v>7120.4</v>
          </cell>
          <cell r="G237">
            <v>0.14000000000000001</v>
          </cell>
          <cell r="H237">
            <v>4</v>
          </cell>
          <cell r="I237" t="str">
            <v>Canada</v>
          </cell>
          <cell r="J237" t="str">
            <v>Walmart</v>
          </cell>
        </row>
        <row r="238">
          <cell r="A238" t="str">
            <v>13-04-2020</v>
          </cell>
          <cell r="B238" t="str">
            <v>Biotin</v>
          </cell>
          <cell r="C238" t="str">
            <v>Vitamin</v>
          </cell>
          <cell r="D238">
            <v>123</v>
          </cell>
          <cell r="E238">
            <v>45.92</v>
          </cell>
          <cell r="F238">
            <v>5648.16</v>
          </cell>
          <cell r="G238">
            <v>0.22</v>
          </cell>
          <cell r="H238">
            <v>0</v>
          </cell>
          <cell r="I238" t="str">
            <v>UK</v>
          </cell>
          <cell r="J238" t="str">
            <v>Amazon</v>
          </cell>
        </row>
        <row r="239">
          <cell r="A239" t="str">
            <v>13-04-2020</v>
          </cell>
          <cell r="B239" t="str">
            <v>Green Tea Extract</v>
          </cell>
          <cell r="C239" t="str">
            <v>Fat Burner</v>
          </cell>
          <cell r="D239">
            <v>162</v>
          </cell>
          <cell r="E239">
            <v>29.83</v>
          </cell>
          <cell r="F239">
            <v>4832.46</v>
          </cell>
          <cell r="G239">
            <v>0.03</v>
          </cell>
          <cell r="H239">
            <v>3</v>
          </cell>
          <cell r="I239" t="str">
            <v>USA</v>
          </cell>
          <cell r="J239" t="str">
            <v>Amazon</v>
          </cell>
        </row>
        <row r="240">
          <cell r="A240" t="str">
            <v>13-04-2020</v>
          </cell>
          <cell r="B240" t="str">
            <v>Iron Supplement</v>
          </cell>
          <cell r="C240" t="str">
            <v>Mineral</v>
          </cell>
          <cell r="D240">
            <v>136</v>
          </cell>
          <cell r="E240">
            <v>24.5</v>
          </cell>
          <cell r="F240">
            <v>3332</v>
          </cell>
          <cell r="G240">
            <v>0.22</v>
          </cell>
          <cell r="H240">
            <v>2</v>
          </cell>
          <cell r="I240" t="str">
            <v>Canada</v>
          </cell>
          <cell r="J240" t="str">
            <v>Walmart</v>
          </cell>
        </row>
        <row r="241">
          <cell r="A241" t="str">
            <v>13-04-2020</v>
          </cell>
          <cell r="B241" t="str">
            <v>Electrolyte Powder</v>
          </cell>
          <cell r="C241" t="str">
            <v>Hydration</v>
          </cell>
          <cell r="D241">
            <v>162</v>
          </cell>
          <cell r="E241">
            <v>41.24</v>
          </cell>
          <cell r="F241">
            <v>6680.88</v>
          </cell>
          <cell r="G241">
            <v>0.14000000000000001</v>
          </cell>
          <cell r="H241">
            <v>3</v>
          </cell>
          <cell r="I241" t="str">
            <v>USA</v>
          </cell>
          <cell r="J241" t="str">
            <v>Walmart</v>
          </cell>
        </row>
        <row r="242">
          <cell r="A242" t="str">
            <v>20-04-2020</v>
          </cell>
          <cell r="B242" t="str">
            <v>Whey Protein</v>
          </cell>
          <cell r="C242" t="str">
            <v>Protein</v>
          </cell>
          <cell r="D242">
            <v>169</v>
          </cell>
          <cell r="E242">
            <v>43.7</v>
          </cell>
          <cell r="F242">
            <v>7385.3</v>
          </cell>
          <cell r="G242">
            <v>0.01</v>
          </cell>
          <cell r="H242">
            <v>2</v>
          </cell>
          <cell r="I242" t="str">
            <v>USA</v>
          </cell>
          <cell r="J242" t="str">
            <v>Walmart</v>
          </cell>
        </row>
        <row r="243">
          <cell r="A243" t="str">
            <v>20-04-2020</v>
          </cell>
          <cell r="B243" t="str">
            <v>Vitamin C</v>
          </cell>
          <cell r="C243" t="str">
            <v>Vitamin</v>
          </cell>
          <cell r="D243">
            <v>142</v>
          </cell>
          <cell r="E243">
            <v>27.65</v>
          </cell>
          <cell r="F243">
            <v>3926.3</v>
          </cell>
          <cell r="G243">
            <v>0.16</v>
          </cell>
          <cell r="H243">
            <v>1</v>
          </cell>
          <cell r="I243" t="str">
            <v>Canada</v>
          </cell>
          <cell r="J243" t="str">
            <v>iHerb</v>
          </cell>
        </row>
        <row r="244">
          <cell r="A244" t="str">
            <v>20-04-2020</v>
          </cell>
          <cell r="B244" t="str">
            <v>Fish Oil</v>
          </cell>
          <cell r="C244" t="str">
            <v>Omega</v>
          </cell>
          <cell r="D244">
            <v>159</v>
          </cell>
          <cell r="E244">
            <v>13.42</v>
          </cell>
          <cell r="F244">
            <v>2133.7800000000002</v>
          </cell>
          <cell r="G244">
            <v>0.2</v>
          </cell>
          <cell r="H244">
            <v>1</v>
          </cell>
          <cell r="I244" t="str">
            <v>UK</v>
          </cell>
          <cell r="J244" t="str">
            <v>iHerb</v>
          </cell>
        </row>
        <row r="245">
          <cell r="A245" t="str">
            <v>20-04-2020</v>
          </cell>
          <cell r="B245" t="str">
            <v>Multivitamin</v>
          </cell>
          <cell r="C245" t="str">
            <v>Vitamin</v>
          </cell>
          <cell r="D245">
            <v>148</v>
          </cell>
          <cell r="E245">
            <v>26.62</v>
          </cell>
          <cell r="F245">
            <v>3939.76</v>
          </cell>
          <cell r="G245">
            <v>0.01</v>
          </cell>
          <cell r="H245">
            <v>1</v>
          </cell>
          <cell r="I245" t="str">
            <v>USA</v>
          </cell>
          <cell r="J245" t="str">
            <v>Amazon</v>
          </cell>
        </row>
        <row r="246">
          <cell r="A246" t="str">
            <v>20-04-2020</v>
          </cell>
          <cell r="B246" t="str">
            <v>Pre-Workout</v>
          </cell>
          <cell r="C246" t="str">
            <v>Performance</v>
          </cell>
          <cell r="D246">
            <v>176</v>
          </cell>
          <cell r="E246">
            <v>43.57</v>
          </cell>
          <cell r="F246">
            <v>7668.32</v>
          </cell>
          <cell r="G246">
            <v>0.16</v>
          </cell>
          <cell r="H246">
            <v>1</v>
          </cell>
          <cell r="I246" t="str">
            <v>USA</v>
          </cell>
          <cell r="J246" t="str">
            <v>Walmart</v>
          </cell>
        </row>
        <row r="247">
          <cell r="A247" t="str">
            <v>20-04-2020</v>
          </cell>
          <cell r="B247" t="str">
            <v>BCAA</v>
          </cell>
          <cell r="C247" t="str">
            <v>Amino Acid</v>
          </cell>
          <cell r="D247">
            <v>147</v>
          </cell>
          <cell r="E247">
            <v>15.07</v>
          </cell>
          <cell r="F247">
            <v>2215.29</v>
          </cell>
          <cell r="G247">
            <v>7.0000000000000007E-2</v>
          </cell>
          <cell r="H247">
            <v>1</v>
          </cell>
          <cell r="I247" t="str">
            <v>USA</v>
          </cell>
          <cell r="J247" t="str">
            <v>iHerb</v>
          </cell>
        </row>
        <row r="248">
          <cell r="A248" t="str">
            <v>20-04-2020</v>
          </cell>
          <cell r="B248" t="str">
            <v>Creatine</v>
          </cell>
          <cell r="C248" t="str">
            <v>Performance</v>
          </cell>
          <cell r="D248">
            <v>148</v>
          </cell>
          <cell r="E248">
            <v>13.38</v>
          </cell>
          <cell r="F248">
            <v>1980.24</v>
          </cell>
          <cell r="G248">
            <v>0.13</v>
          </cell>
          <cell r="H248">
            <v>0</v>
          </cell>
          <cell r="I248" t="str">
            <v>Canada</v>
          </cell>
          <cell r="J248" t="str">
            <v>Walmart</v>
          </cell>
        </row>
        <row r="249">
          <cell r="A249" t="str">
            <v>20-04-2020</v>
          </cell>
          <cell r="B249" t="str">
            <v>Zinc</v>
          </cell>
          <cell r="C249" t="str">
            <v>Mineral</v>
          </cell>
          <cell r="D249">
            <v>188</v>
          </cell>
          <cell r="E249">
            <v>30.18</v>
          </cell>
          <cell r="F249">
            <v>5673.84</v>
          </cell>
          <cell r="G249">
            <v>0.18</v>
          </cell>
          <cell r="H249">
            <v>2</v>
          </cell>
          <cell r="I249" t="str">
            <v>USA</v>
          </cell>
          <cell r="J249" t="str">
            <v>iHerb</v>
          </cell>
        </row>
        <row r="250">
          <cell r="A250" t="str">
            <v>20-04-2020</v>
          </cell>
          <cell r="B250" t="str">
            <v>Collagen Peptides</v>
          </cell>
          <cell r="C250" t="str">
            <v>Protein</v>
          </cell>
          <cell r="D250">
            <v>147</v>
          </cell>
          <cell r="E250">
            <v>29.88</v>
          </cell>
          <cell r="F250">
            <v>4392.3599999999997</v>
          </cell>
          <cell r="G250">
            <v>7.0000000000000007E-2</v>
          </cell>
          <cell r="H250">
            <v>0</v>
          </cell>
          <cell r="I250" t="str">
            <v>USA</v>
          </cell>
          <cell r="J250" t="str">
            <v>iHerb</v>
          </cell>
        </row>
        <row r="251">
          <cell r="A251" t="str">
            <v>20-04-2020</v>
          </cell>
          <cell r="B251" t="str">
            <v>Magnesium</v>
          </cell>
          <cell r="C251" t="str">
            <v>Mineral</v>
          </cell>
          <cell r="D251">
            <v>149</v>
          </cell>
          <cell r="E251">
            <v>24.37</v>
          </cell>
          <cell r="F251">
            <v>3631.13</v>
          </cell>
          <cell r="G251">
            <v>0.16</v>
          </cell>
          <cell r="H251">
            <v>4</v>
          </cell>
          <cell r="I251" t="str">
            <v>USA</v>
          </cell>
          <cell r="J251" t="str">
            <v>Amazon</v>
          </cell>
        </row>
        <row r="252">
          <cell r="A252" t="str">
            <v>20-04-2020</v>
          </cell>
          <cell r="B252" t="str">
            <v>Ashwagandha</v>
          </cell>
          <cell r="C252" t="str">
            <v>Herbal</v>
          </cell>
          <cell r="D252">
            <v>154</v>
          </cell>
          <cell r="E252">
            <v>13.78</v>
          </cell>
          <cell r="F252">
            <v>2122.12</v>
          </cell>
          <cell r="G252">
            <v>0.24</v>
          </cell>
          <cell r="H252">
            <v>1</v>
          </cell>
          <cell r="I252" t="str">
            <v>Canada</v>
          </cell>
          <cell r="J252" t="str">
            <v>Amazon</v>
          </cell>
        </row>
        <row r="253">
          <cell r="A253" t="str">
            <v>20-04-2020</v>
          </cell>
          <cell r="B253" t="str">
            <v>Melatonin</v>
          </cell>
          <cell r="C253" t="str">
            <v>Sleep Aid</v>
          </cell>
          <cell r="D253">
            <v>130</v>
          </cell>
          <cell r="E253">
            <v>41.18</v>
          </cell>
          <cell r="F253">
            <v>5353.4</v>
          </cell>
          <cell r="G253">
            <v>0.16</v>
          </cell>
          <cell r="H253">
            <v>0</v>
          </cell>
          <cell r="I253" t="str">
            <v>USA</v>
          </cell>
          <cell r="J253" t="str">
            <v>Amazon</v>
          </cell>
        </row>
        <row r="254">
          <cell r="A254" t="str">
            <v>20-04-2020</v>
          </cell>
          <cell r="B254" t="str">
            <v>Biotin</v>
          </cell>
          <cell r="C254" t="str">
            <v>Vitamin</v>
          </cell>
          <cell r="D254">
            <v>141</v>
          </cell>
          <cell r="E254">
            <v>45.33</v>
          </cell>
          <cell r="F254">
            <v>6391.53</v>
          </cell>
          <cell r="G254">
            <v>0.15</v>
          </cell>
          <cell r="H254">
            <v>1</v>
          </cell>
          <cell r="I254" t="str">
            <v>UK</v>
          </cell>
          <cell r="J254" t="str">
            <v>Amazon</v>
          </cell>
        </row>
        <row r="255">
          <cell r="A255" t="str">
            <v>20-04-2020</v>
          </cell>
          <cell r="B255" t="str">
            <v>Green Tea Extract</v>
          </cell>
          <cell r="C255" t="str">
            <v>Fat Burner</v>
          </cell>
          <cell r="D255">
            <v>141</v>
          </cell>
          <cell r="E255">
            <v>53.3</v>
          </cell>
          <cell r="F255">
            <v>7515.3</v>
          </cell>
          <cell r="G255">
            <v>0.24</v>
          </cell>
          <cell r="H255">
            <v>0</v>
          </cell>
          <cell r="I255" t="str">
            <v>UK</v>
          </cell>
          <cell r="J255" t="str">
            <v>Amazon</v>
          </cell>
        </row>
        <row r="256">
          <cell r="A256" t="str">
            <v>20-04-2020</v>
          </cell>
          <cell r="B256" t="str">
            <v>Iron Supplement</v>
          </cell>
          <cell r="C256" t="str">
            <v>Mineral</v>
          </cell>
          <cell r="D256">
            <v>159</v>
          </cell>
          <cell r="E256">
            <v>20.13</v>
          </cell>
          <cell r="F256">
            <v>3200.67</v>
          </cell>
          <cell r="G256">
            <v>0.15</v>
          </cell>
          <cell r="H256">
            <v>2</v>
          </cell>
          <cell r="I256" t="str">
            <v>USA</v>
          </cell>
          <cell r="J256" t="str">
            <v>iHerb</v>
          </cell>
        </row>
        <row r="257">
          <cell r="A257" t="str">
            <v>20-04-2020</v>
          </cell>
          <cell r="B257" t="str">
            <v>Electrolyte Powder</v>
          </cell>
          <cell r="C257" t="str">
            <v>Hydration</v>
          </cell>
          <cell r="D257">
            <v>157</v>
          </cell>
          <cell r="E257">
            <v>10.77</v>
          </cell>
          <cell r="F257">
            <v>1690.89</v>
          </cell>
          <cell r="G257">
            <v>0.15</v>
          </cell>
          <cell r="H257">
            <v>1</v>
          </cell>
          <cell r="I257" t="str">
            <v>UK</v>
          </cell>
          <cell r="J257" t="str">
            <v>Amazon</v>
          </cell>
        </row>
        <row r="258">
          <cell r="A258" t="str">
            <v>27-04-2020</v>
          </cell>
          <cell r="B258" t="str">
            <v>Whey Protein</v>
          </cell>
          <cell r="C258" t="str">
            <v>Protein</v>
          </cell>
          <cell r="D258">
            <v>148</v>
          </cell>
          <cell r="E258">
            <v>29.95</v>
          </cell>
          <cell r="F258">
            <v>4432.6000000000004</v>
          </cell>
          <cell r="G258">
            <v>0.21</v>
          </cell>
          <cell r="H258">
            <v>0</v>
          </cell>
          <cell r="I258" t="str">
            <v>USA</v>
          </cell>
          <cell r="J258" t="str">
            <v>Amazon</v>
          </cell>
        </row>
        <row r="259">
          <cell r="A259" t="str">
            <v>27-04-2020</v>
          </cell>
          <cell r="B259" t="str">
            <v>Vitamin C</v>
          </cell>
          <cell r="C259" t="str">
            <v>Vitamin</v>
          </cell>
          <cell r="D259">
            <v>131</v>
          </cell>
          <cell r="E259">
            <v>31.68</v>
          </cell>
          <cell r="F259">
            <v>4150.08</v>
          </cell>
          <cell r="G259">
            <v>0.02</v>
          </cell>
          <cell r="H259">
            <v>2</v>
          </cell>
          <cell r="I259" t="str">
            <v>USA</v>
          </cell>
          <cell r="J259" t="str">
            <v>iHerb</v>
          </cell>
        </row>
        <row r="260">
          <cell r="A260" t="str">
            <v>27-04-2020</v>
          </cell>
          <cell r="B260" t="str">
            <v>Fish Oil</v>
          </cell>
          <cell r="C260" t="str">
            <v>Omega</v>
          </cell>
          <cell r="D260">
            <v>170</v>
          </cell>
          <cell r="E260">
            <v>22.94</v>
          </cell>
          <cell r="F260">
            <v>3899.8</v>
          </cell>
          <cell r="G260">
            <v>0.11</v>
          </cell>
          <cell r="H260">
            <v>2</v>
          </cell>
          <cell r="I260" t="str">
            <v>Canada</v>
          </cell>
          <cell r="J260" t="str">
            <v>iHerb</v>
          </cell>
        </row>
        <row r="261">
          <cell r="A261" t="str">
            <v>27-04-2020</v>
          </cell>
          <cell r="B261" t="str">
            <v>Multivitamin</v>
          </cell>
          <cell r="C261" t="str">
            <v>Vitamin</v>
          </cell>
          <cell r="D261">
            <v>154</v>
          </cell>
          <cell r="E261">
            <v>22.1</v>
          </cell>
          <cell r="F261">
            <v>3403.4</v>
          </cell>
          <cell r="G261">
            <v>0.18</v>
          </cell>
          <cell r="H261">
            <v>0</v>
          </cell>
          <cell r="I261" t="str">
            <v>USA</v>
          </cell>
          <cell r="J261" t="str">
            <v>Walmart</v>
          </cell>
        </row>
        <row r="262">
          <cell r="A262" t="str">
            <v>27-04-2020</v>
          </cell>
          <cell r="B262" t="str">
            <v>Pre-Workout</v>
          </cell>
          <cell r="C262" t="str">
            <v>Performance</v>
          </cell>
          <cell r="D262">
            <v>138</v>
          </cell>
          <cell r="E262">
            <v>46.94</v>
          </cell>
          <cell r="F262">
            <v>6477.72</v>
          </cell>
          <cell r="G262">
            <v>0</v>
          </cell>
          <cell r="H262">
            <v>0</v>
          </cell>
          <cell r="I262" t="str">
            <v>UK</v>
          </cell>
          <cell r="J262" t="str">
            <v>Walmart</v>
          </cell>
        </row>
        <row r="263">
          <cell r="A263" t="str">
            <v>27-04-2020</v>
          </cell>
          <cell r="B263" t="str">
            <v>BCAA</v>
          </cell>
          <cell r="C263" t="str">
            <v>Amino Acid</v>
          </cell>
          <cell r="D263">
            <v>139</v>
          </cell>
          <cell r="E263">
            <v>22.38</v>
          </cell>
          <cell r="F263">
            <v>3110.82</v>
          </cell>
          <cell r="G263">
            <v>0.02</v>
          </cell>
          <cell r="H263">
            <v>1</v>
          </cell>
          <cell r="I263" t="str">
            <v>USA</v>
          </cell>
          <cell r="J263" t="str">
            <v>Walmart</v>
          </cell>
        </row>
        <row r="264">
          <cell r="A264" t="str">
            <v>27-04-2020</v>
          </cell>
          <cell r="B264" t="str">
            <v>Creatine</v>
          </cell>
          <cell r="C264" t="str">
            <v>Performance</v>
          </cell>
          <cell r="D264">
            <v>159</v>
          </cell>
          <cell r="E264">
            <v>43.64</v>
          </cell>
          <cell r="F264">
            <v>6938.76</v>
          </cell>
          <cell r="G264">
            <v>0.02</v>
          </cell>
          <cell r="H264">
            <v>4</v>
          </cell>
          <cell r="I264" t="str">
            <v>Canada</v>
          </cell>
          <cell r="J264" t="str">
            <v>Amazon</v>
          </cell>
        </row>
        <row r="265">
          <cell r="A265" t="str">
            <v>27-04-2020</v>
          </cell>
          <cell r="B265" t="str">
            <v>Zinc</v>
          </cell>
          <cell r="C265" t="str">
            <v>Mineral</v>
          </cell>
          <cell r="D265">
            <v>164</v>
          </cell>
          <cell r="E265">
            <v>51.15</v>
          </cell>
          <cell r="F265">
            <v>8388.6</v>
          </cell>
          <cell r="G265">
            <v>0.23</v>
          </cell>
          <cell r="H265">
            <v>2</v>
          </cell>
          <cell r="I265" t="str">
            <v>USA</v>
          </cell>
          <cell r="J265" t="str">
            <v>iHerb</v>
          </cell>
        </row>
        <row r="266">
          <cell r="A266" t="str">
            <v>27-04-2020</v>
          </cell>
          <cell r="B266" t="str">
            <v>Collagen Peptides</v>
          </cell>
          <cell r="C266" t="str">
            <v>Protein</v>
          </cell>
          <cell r="D266">
            <v>138</v>
          </cell>
          <cell r="E266">
            <v>47.14</v>
          </cell>
          <cell r="F266">
            <v>6505.32</v>
          </cell>
          <cell r="G266">
            <v>0.18</v>
          </cell>
          <cell r="H266">
            <v>1</v>
          </cell>
          <cell r="I266" t="str">
            <v>UK</v>
          </cell>
          <cell r="J266" t="str">
            <v>iHerb</v>
          </cell>
        </row>
        <row r="267">
          <cell r="A267" t="str">
            <v>27-04-2020</v>
          </cell>
          <cell r="B267" t="str">
            <v>Magnesium</v>
          </cell>
          <cell r="C267" t="str">
            <v>Mineral</v>
          </cell>
          <cell r="D267">
            <v>127</v>
          </cell>
          <cell r="E267">
            <v>56.04</v>
          </cell>
          <cell r="F267">
            <v>7117.08</v>
          </cell>
          <cell r="G267">
            <v>0.15</v>
          </cell>
          <cell r="H267">
            <v>1</v>
          </cell>
          <cell r="I267" t="str">
            <v>Canada</v>
          </cell>
          <cell r="J267" t="str">
            <v>Walmart</v>
          </cell>
        </row>
        <row r="268">
          <cell r="A268" t="str">
            <v>27-04-2020</v>
          </cell>
          <cell r="B268" t="str">
            <v>Ashwagandha</v>
          </cell>
          <cell r="C268" t="str">
            <v>Herbal</v>
          </cell>
          <cell r="D268">
            <v>141</v>
          </cell>
          <cell r="E268">
            <v>54.77</v>
          </cell>
          <cell r="F268">
            <v>7722.57</v>
          </cell>
          <cell r="G268">
            <v>0.17</v>
          </cell>
          <cell r="H268">
            <v>2</v>
          </cell>
          <cell r="I268" t="str">
            <v>UK</v>
          </cell>
          <cell r="J268" t="str">
            <v>Walmart</v>
          </cell>
        </row>
        <row r="269">
          <cell r="A269" t="str">
            <v>27-04-2020</v>
          </cell>
          <cell r="B269" t="str">
            <v>Melatonin</v>
          </cell>
          <cell r="C269" t="str">
            <v>Sleep Aid</v>
          </cell>
          <cell r="D269">
            <v>148</v>
          </cell>
          <cell r="E269">
            <v>22.42</v>
          </cell>
          <cell r="F269">
            <v>3318.16</v>
          </cell>
          <cell r="G269">
            <v>0.18</v>
          </cell>
          <cell r="H269">
            <v>1</v>
          </cell>
          <cell r="I269" t="str">
            <v>Canada</v>
          </cell>
          <cell r="J269" t="str">
            <v>Walmart</v>
          </cell>
        </row>
        <row r="270">
          <cell r="A270" t="str">
            <v>27-04-2020</v>
          </cell>
          <cell r="B270" t="str">
            <v>Biotin</v>
          </cell>
          <cell r="C270" t="str">
            <v>Vitamin</v>
          </cell>
          <cell r="D270">
            <v>148</v>
          </cell>
          <cell r="E270">
            <v>56.81</v>
          </cell>
          <cell r="F270">
            <v>8407.8799999999992</v>
          </cell>
          <cell r="G270">
            <v>0.02</v>
          </cell>
          <cell r="H270">
            <v>3</v>
          </cell>
          <cell r="I270" t="str">
            <v>UK</v>
          </cell>
          <cell r="J270" t="str">
            <v>Walmart</v>
          </cell>
        </row>
        <row r="271">
          <cell r="A271" t="str">
            <v>27-04-2020</v>
          </cell>
          <cell r="B271" t="str">
            <v>Green Tea Extract</v>
          </cell>
          <cell r="C271" t="str">
            <v>Fat Burner</v>
          </cell>
          <cell r="D271">
            <v>142</v>
          </cell>
          <cell r="E271">
            <v>11.1</v>
          </cell>
          <cell r="F271">
            <v>1576.2</v>
          </cell>
          <cell r="G271">
            <v>0.08</v>
          </cell>
          <cell r="H271">
            <v>1</v>
          </cell>
          <cell r="I271" t="str">
            <v>Canada</v>
          </cell>
          <cell r="J271" t="str">
            <v>iHerb</v>
          </cell>
        </row>
        <row r="272">
          <cell r="A272" t="str">
            <v>27-04-2020</v>
          </cell>
          <cell r="B272" t="str">
            <v>Iron Supplement</v>
          </cell>
          <cell r="C272" t="str">
            <v>Mineral</v>
          </cell>
          <cell r="D272">
            <v>124</v>
          </cell>
          <cell r="E272">
            <v>56.36</v>
          </cell>
          <cell r="F272">
            <v>6988.64</v>
          </cell>
          <cell r="G272">
            <v>0.03</v>
          </cell>
          <cell r="H272">
            <v>2</v>
          </cell>
          <cell r="I272" t="str">
            <v>Canada</v>
          </cell>
          <cell r="J272" t="str">
            <v>Walmart</v>
          </cell>
        </row>
        <row r="273">
          <cell r="A273" t="str">
            <v>27-04-2020</v>
          </cell>
          <cell r="B273" t="str">
            <v>Electrolyte Powder</v>
          </cell>
          <cell r="C273" t="str">
            <v>Hydration</v>
          </cell>
          <cell r="D273">
            <v>147</v>
          </cell>
          <cell r="E273">
            <v>23.01</v>
          </cell>
          <cell r="F273">
            <v>3382.47</v>
          </cell>
          <cell r="G273">
            <v>0.04</v>
          </cell>
          <cell r="H273">
            <v>0</v>
          </cell>
          <cell r="I273" t="str">
            <v>Canada</v>
          </cell>
          <cell r="J273" t="str">
            <v>iHerb</v>
          </cell>
        </row>
        <row r="274">
          <cell r="A274" t="str">
            <v>04-05-2020</v>
          </cell>
          <cell r="B274" t="str">
            <v>Whey Protein</v>
          </cell>
          <cell r="C274" t="str">
            <v>Protein</v>
          </cell>
          <cell r="D274">
            <v>127</v>
          </cell>
          <cell r="E274">
            <v>43.21</v>
          </cell>
          <cell r="F274">
            <v>5487.67</v>
          </cell>
          <cell r="G274">
            <v>0.22</v>
          </cell>
          <cell r="H274">
            <v>2</v>
          </cell>
          <cell r="I274" t="str">
            <v>Canada</v>
          </cell>
          <cell r="J274" t="str">
            <v>iHerb</v>
          </cell>
        </row>
        <row r="275">
          <cell r="A275" t="str">
            <v>04-05-2020</v>
          </cell>
          <cell r="B275" t="str">
            <v>Vitamin C</v>
          </cell>
          <cell r="C275" t="str">
            <v>Vitamin</v>
          </cell>
          <cell r="D275">
            <v>157</v>
          </cell>
          <cell r="E275">
            <v>24.46</v>
          </cell>
          <cell r="F275">
            <v>3840.22</v>
          </cell>
          <cell r="G275">
            <v>0.08</v>
          </cell>
          <cell r="H275">
            <v>1</v>
          </cell>
          <cell r="I275" t="str">
            <v>UK</v>
          </cell>
          <cell r="J275" t="str">
            <v>iHerb</v>
          </cell>
        </row>
        <row r="276">
          <cell r="A276" t="str">
            <v>04-05-2020</v>
          </cell>
          <cell r="B276" t="str">
            <v>Fish Oil</v>
          </cell>
          <cell r="C276" t="str">
            <v>Omega</v>
          </cell>
          <cell r="D276">
            <v>150</v>
          </cell>
          <cell r="E276">
            <v>27.84</v>
          </cell>
          <cell r="F276">
            <v>4176</v>
          </cell>
          <cell r="G276">
            <v>0.09</v>
          </cell>
          <cell r="H276">
            <v>3</v>
          </cell>
          <cell r="I276" t="str">
            <v>Canada</v>
          </cell>
          <cell r="J276" t="str">
            <v>iHerb</v>
          </cell>
        </row>
        <row r="277">
          <cell r="A277" t="str">
            <v>04-05-2020</v>
          </cell>
          <cell r="B277" t="str">
            <v>Multivitamin</v>
          </cell>
          <cell r="C277" t="str">
            <v>Vitamin</v>
          </cell>
          <cell r="D277">
            <v>161</v>
          </cell>
          <cell r="E277">
            <v>55.69</v>
          </cell>
          <cell r="F277">
            <v>8966.09</v>
          </cell>
          <cell r="G277">
            <v>0.24</v>
          </cell>
          <cell r="H277">
            <v>1</v>
          </cell>
          <cell r="I277" t="str">
            <v>UK</v>
          </cell>
          <cell r="J277" t="str">
            <v>Walmart</v>
          </cell>
        </row>
        <row r="278">
          <cell r="A278" t="str">
            <v>04-05-2020</v>
          </cell>
          <cell r="B278" t="str">
            <v>Pre-Workout</v>
          </cell>
          <cell r="C278" t="str">
            <v>Performance</v>
          </cell>
          <cell r="D278">
            <v>145</v>
          </cell>
          <cell r="E278">
            <v>57.06</v>
          </cell>
          <cell r="F278">
            <v>8273.7000000000007</v>
          </cell>
          <cell r="G278">
            <v>0.22</v>
          </cell>
          <cell r="H278">
            <v>0</v>
          </cell>
          <cell r="I278" t="str">
            <v>Canada</v>
          </cell>
          <cell r="J278" t="str">
            <v>iHerb</v>
          </cell>
        </row>
        <row r="279">
          <cell r="A279" t="str">
            <v>04-05-2020</v>
          </cell>
          <cell r="B279" t="str">
            <v>BCAA</v>
          </cell>
          <cell r="C279" t="str">
            <v>Amino Acid</v>
          </cell>
          <cell r="D279">
            <v>146</v>
          </cell>
          <cell r="E279">
            <v>35.159999999999997</v>
          </cell>
          <cell r="F279">
            <v>5133.3599999999997</v>
          </cell>
          <cell r="G279">
            <v>0.05</v>
          </cell>
          <cell r="H279">
            <v>3</v>
          </cell>
          <cell r="I279" t="str">
            <v>Canada</v>
          </cell>
          <cell r="J279" t="str">
            <v>iHerb</v>
          </cell>
        </row>
        <row r="280">
          <cell r="A280" t="str">
            <v>04-05-2020</v>
          </cell>
          <cell r="B280" t="str">
            <v>Creatine</v>
          </cell>
          <cell r="C280" t="str">
            <v>Performance</v>
          </cell>
          <cell r="D280">
            <v>156</v>
          </cell>
          <cell r="E280">
            <v>52.94</v>
          </cell>
          <cell r="F280">
            <v>8258.64</v>
          </cell>
          <cell r="G280">
            <v>0.19</v>
          </cell>
          <cell r="H280">
            <v>1</v>
          </cell>
          <cell r="I280" t="str">
            <v>Canada</v>
          </cell>
          <cell r="J280" t="str">
            <v>Amazon</v>
          </cell>
        </row>
        <row r="281">
          <cell r="A281" t="str">
            <v>04-05-2020</v>
          </cell>
          <cell r="B281" t="str">
            <v>Zinc</v>
          </cell>
          <cell r="C281" t="str">
            <v>Mineral</v>
          </cell>
          <cell r="D281">
            <v>154</v>
          </cell>
          <cell r="E281">
            <v>43.68</v>
          </cell>
          <cell r="F281">
            <v>6726.72</v>
          </cell>
          <cell r="G281">
            <v>0.04</v>
          </cell>
          <cell r="H281">
            <v>2</v>
          </cell>
          <cell r="I281" t="str">
            <v>Canada</v>
          </cell>
          <cell r="J281" t="str">
            <v>iHerb</v>
          </cell>
        </row>
        <row r="282">
          <cell r="A282" t="str">
            <v>04-05-2020</v>
          </cell>
          <cell r="B282" t="str">
            <v>Collagen Peptides</v>
          </cell>
          <cell r="C282" t="str">
            <v>Protein</v>
          </cell>
          <cell r="D282">
            <v>140</v>
          </cell>
          <cell r="E282">
            <v>18.260000000000002</v>
          </cell>
          <cell r="F282">
            <v>2556.4</v>
          </cell>
          <cell r="G282">
            <v>0</v>
          </cell>
          <cell r="H282">
            <v>2</v>
          </cell>
          <cell r="I282" t="str">
            <v>UK</v>
          </cell>
          <cell r="J282" t="str">
            <v>iHerb</v>
          </cell>
        </row>
        <row r="283">
          <cell r="A283" t="str">
            <v>04-05-2020</v>
          </cell>
          <cell r="B283" t="str">
            <v>Magnesium</v>
          </cell>
          <cell r="C283" t="str">
            <v>Mineral</v>
          </cell>
          <cell r="D283">
            <v>159</v>
          </cell>
          <cell r="E283">
            <v>18.07</v>
          </cell>
          <cell r="F283">
            <v>2873.13</v>
          </cell>
          <cell r="G283">
            <v>0.02</v>
          </cell>
          <cell r="H283">
            <v>0</v>
          </cell>
          <cell r="I283" t="str">
            <v>UK</v>
          </cell>
          <cell r="J283" t="str">
            <v>iHerb</v>
          </cell>
        </row>
        <row r="284">
          <cell r="A284" t="str">
            <v>04-05-2020</v>
          </cell>
          <cell r="B284" t="str">
            <v>Ashwagandha</v>
          </cell>
          <cell r="C284" t="str">
            <v>Herbal</v>
          </cell>
          <cell r="D284">
            <v>140</v>
          </cell>
          <cell r="E284">
            <v>15.27</v>
          </cell>
          <cell r="F284">
            <v>2137.8000000000002</v>
          </cell>
          <cell r="G284">
            <v>0.06</v>
          </cell>
          <cell r="H284">
            <v>1</v>
          </cell>
          <cell r="I284" t="str">
            <v>UK</v>
          </cell>
          <cell r="J284" t="str">
            <v>Walmart</v>
          </cell>
        </row>
        <row r="285">
          <cell r="A285" t="str">
            <v>04-05-2020</v>
          </cell>
          <cell r="B285" t="str">
            <v>Melatonin</v>
          </cell>
          <cell r="C285" t="str">
            <v>Sleep Aid</v>
          </cell>
          <cell r="D285">
            <v>154</v>
          </cell>
          <cell r="E285">
            <v>12.89</v>
          </cell>
          <cell r="F285">
            <v>1985.06</v>
          </cell>
          <cell r="G285">
            <v>0.1</v>
          </cell>
          <cell r="H285">
            <v>1</v>
          </cell>
          <cell r="I285" t="str">
            <v>Canada</v>
          </cell>
          <cell r="J285" t="str">
            <v>iHerb</v>
          </cell>
        </row>
        <row r="286">
          <cell r="A286" t="str">
            <v>04-05-2020</v>
          </cell>
          <cell r="B286" t="str">
            <v>Biotin</v>
          </cell>
          <cell r="C286" t="str">
            <v>Vitamin</v>
          </cell>
          <cell r="D286">
            <v>154</v>
          </cell>
          <cell r="E286">
            <v>30.79</v>
          </cell>
          <cell r="F286">
            <v>4741.66</v>
          </cell>
          <cell r="G286">
            <v>0.11</v>
          </cell>
          <cell r="H286">
            <v>1</v>
          </cell>
          <cell r="I286" t="str">
            <v>USA</v>
          </cell>
          <cell r="J286" t="str">
            <v>Amazon</v>
          </cell>
        </row>
        <row r="287">
          <cell r="A287" t="str">
            <v>04-05-2020</v>
          </cell>
          <cell r="B287" t="str">
            <v>Green Tea Extract</v>
          </cell>
          <cell r="C287" t="str">
            <v>Fat Burner</v>
          </cell>
          <cell r="D287">
            <v>157</v>
          </cell>
          <cell r="E287">
            <v>18.579999999999998</v>
          </cell>
          <cell r="F287">
            <v>2917.06</v>
          </cell>
          <cell r="G287">
            <v>0.13</v>
          </cell>
          <cell r="H287">
            <v>1</v>
          </cell>
          <cell r="I287" t="str">
            <v>USA</v>
          </cell>
          <cell r="J287" t="str">
            <v>iHerb</v>
          </cell>
        </row>
        <row r="288">
          <cell r="A288" t="str">
            <v>04-05-2020</v>
          </cell>
          <cell r="B288" t="str">
            <v>Iron Supplement</v>
          </cell>
          <cell r="C288" t="str">
            <v>Mineral</v>
          </cell>
          <cell r="D288">
            <v>166</v>
          </cell>
          <cell r="E288">
            <v>36.630000000000003</v>
          </cell>
          <cell r="F288">
            <v>6080.58</v>
          </cell>
          <cell r="G288">
            <v>0.03</v>
          </cell>
          <cell r="H288">
            <v>2</v>
          </cell>
          <cell r="I288" t="str">
            <v>USA</v>
          </cell>
          <cell r="J288" t="str">
            <v>iHerb</v>
          </cell>
        </row>
        <row r="289">
          <cell r="A289" t="str">
            <v>04-05-2020</v>
          </cell>
          <cell r="B289" t="str">
            <v>Electrolyte Powder</v>
          </cell>
          <cell r="C289" t="str">
            <v>Hydration</v>
          </cell>
          <cell r="D289">
            <v>133</v>
          </cell>
          <cell r="E289">
            <v>17.14</v>
          </cell>
          <cell r="F289">
            <v>2279.62</v>
          </cell>
          <cell r="G289">
            <v>0.17</v>
          </cell>
          <cell r="H289">
            <v>0</v>
          </cell>
          <cell r="I289" t="str">
            <v>USA</v>
          </cell>
          <cell r="J289" t="str">
            <v>Amazon</v>
          </cell>
        </row>
        <row r="290">
          <cell r="A290" t="str">
            <v>11-05-2020</v>
          </cell>
          <cell r="B290" t="str">
            <v>Whey Protein</v>
          </cell>
          <cell r="C290" t="str">
            <v>Protein</v>
          </cell>
          <cell r="D290">
            <v>146</v>
          </cell>
          <cell r="E290">
            <v>20.22</v>
          </cell>
          <cell r="F290">
            <v>2952.12</v>
          </cell>
          <cell r="G290">
            <v>0.13</v>
          </cell>
          <cell r="H290">
            <v>1</v>
          </cell>
          <cell r="I290" t="str">
            <v>Canada</v>
          </cell>
          <cell r="J290" t="str">
            <v>iHerb</v>
          </cell>
        </row>
        <row r="291">
          <cell r="A291" t="str">
            <v>11-05-2020</v>
          </cell>
          <cell r="B291" t="str">
            <v>Vitamin C</v>
          </cell>
          <cell r="C291" t="str">
            <v>Vitamin</v>
          </cell>
          <cell r="D291">
            <v>127</v>
          </cell>
          <cell r="E291">
            <v>38.03</v>
          </cell>
          <cell r="F291">
            <v>4829.8100000000004</v>
          </cell>
          <cell r="G291">
            <v>0.16</v>
          </cell>
          <cell r="H291">
            <v>2</v>
          </cell>
          <cell r="I291" t="str">
            <v>USA</v>
          </cell>
          <cell r="J291" t="str">
            <v>Amazon</v>
          </cell>
        </row>
        <row r="292">
          <cell r="A292" t="str">
            <v>11-05-2020</v>
          </cell>
          <cell r="B292" t="str">
            <v>Fish Oil</v>
          </cell>
          <cell r="C292" t="str">
            <v>Omega</v>
          </cell>
          <cell r="D292">
            <v>141</v>
          </cell>
          <cell r="E292">
            <v>46.17</v>
          </cell>
          <cell r="F292">
            <v>6509.97</v>
          </cell>
          <cell r="G292">
            <v>0.13</v>
          </cell>
          <cell r="H292">
            <v>3</v>
          </cell>
          <cell r="I292" t="str">
            <v>UK</v>
          </cell>
          <cell r="J292" t="str">
            <v>iHerb</v>
          </cell>
        </row>
        <row r="293">
          <cell r="A293" t="str">
            <v>11-05-2020</v>
          </cell>
          <cell r="B293" t="str">
            <v>Multivitamin</v>
          </cell>
          <cell r="C293" t="str">
            <v>Vitamin</v>
          </cell>
          <cell r="D293">
            <v>163</v>
          </cell>
          <cell r="E293">
            <v>34.25</v>
          </cell>
          <cell r="F293">
            <v>5582.75</v>
          </cell>
          <cell r="G293">
            <v>0.08</v>
          </cell>
          <cell r="H293">
            <v>3</v>
          </cell>
          <cell r="I293" t="str">
            <v>Canada</v>
          </cell>
          <cell r="J293" t="str">
            <v>Amazon</v>
          </cell>
        </row>
        <row r="294">
          <cell r="A294" t="str">
            <v>11-05-2020</v>
          </cell>
          <cell r="B294" t="str">
            <v>Pre-Workout</v>
          </cell>
          <cell r="C294" t="str">
            <v>Performance</v>
          </cell>
          <cell r="D294">
            <v>148</v>
          </cell>
          <cell r="E294">
            <v>52.75</v>
          </cell>
          <cell r="F294">
            <v>7807</v>
          </cell>
          <cell r="G294">
            <v>0.22</v>
          </cell>
          <cell r="H294">
            <v>1</v>
          </cell>
          <cell r="I294" t="str">
            <v>Canada</v>
          </cell>
          <cell r="J294" t="str">
            <v>Amazon</v>
          </cell>
        </row>
        <row r="295">
          <cell r="A295" t="str">
            <v>11-05-2020</v>
          </cell>
          <cell r="B295" t="str">
            <v>BCAA</v>
          </cell>
          <cell r="C295" t="str">
            <v>Amino Acid</v>
          </cell>
          <cell r="D295">
            <v>128</v>
          </cell>
          <cell r="E295">
            <v>50.18</v>
          </cell>
          <cell r="F295">
            <v>6423.04</v>
          </cell>
          <cell r="G295">
            <v>0.23</v>
          </cell>
          <cell r="H295">
            <v>0</v>
          </cell>
          <cell r="I295" t="str">
            <v>USA</v>
          </cell>
          <cell r="J295" t="str">
            <v>Walmart</v>
          </cell>
        </row>
        <row r="296">
          <cell r="A296" t="str">
            <v>11-05-2020</v>
          </cell>
          <cell r="B296" t="str">
            <v>Creatine</v>
          </cell>
          <cell r="C296" t="str">
            <v>Performance</v>
          </cell>
          <cell r="D296">
            <v>127</v>
          </cell>
          <cell r="E296">
            <v>29.47</v>
          </cell>
          <cell r="F296">
            <v>3742.69</v>
          </cell>
          <cell r="G296">
            <v>0.14000000000000001</v>
          </cell>
          <cell r="H296">
            <v>4</v>
          </cell>
          <cell r="I296" t="str">
            <v>Canada</v>
          </cell>
          <cell r="J296" t="str">
            <v>iHerb</v>
          </cell>
        </row>
        <row r="297">
          <cell r="A297" t="str">
            <v>11-05-2020</v>
          </cell>
          <cell r="B297" t="str">
            <v>Zinc</v>
          </cell>
          <cell r="C297" t="str">
            <v>Mineral</v>
          </cell>
          <cell r="D297">
            <v>127</v>
          </cell>
          <cell r="E297">
            <v>13.71</v>
          </cell>
          <cell r="F297">
            <v>1741.17</v>
          </cell>
          <cell r="G297">
            <v>0.09</v>
          </cell>
          <cell r="H297">
            <v>2</v>
          </cell>
          <cell r="I297" t="str">
            <v>USA</v>
          </cell>
          <cell r="J297" t="str">
            <v>Walmart</v>
          </cell>
        </row>
        <row r="298">
          <cell r="A298" t="str">
            <v>11-05-2020</v>
          </cell>
          <cell r="B298" t="str">
            <v>Collagen Peptides</v>
          </cell>
          <cell r="C298" t="str">
            <v>Protein</v>
          </cell>
          <cell r="D298">
            <v>152</v>
          </cell>
          <cell r="E298">
            <v>21.01</v>
          </cell>
          <cell r="F298">
            <v>3193.52</v>
          </cell>
          <cell r="G298">
            <v>0.09</v>
          </cell>
          <cell r="H298">
            <v>1</v>
          </cell>
          <cell r="I298" t="str">
            <v>Canada</v>
          </cell>
          <cell r="J298" t="str">
            <v>iHerb</v>
          </cell>
        </row>
        <row r="299">
          <cell r="A299" t="str">
            <v>11-05-2020</v>
          </cell>
          <cell r="B299" t="str">
            <v>Magnesium</v>
          </cell>
          <cell r="C299" t="str">
            <v>Mineral</v>
          </cell>
          <cell r="D299">
            <v>127</v>
          </cell>
          <cell r="E299">
            <v>33.21</v>
          </cell>
          <cell r="F299">
            <v>4217.67</v>
          </cell>
          <cell r="G299">
            <v>0.18</v>
          </cell>
          <cell r="H299">
            <v>2</v>
          </cell>
          <cell r="I299" t="str">
            <v>USA</v>
          </cell>
          <cell r="J299" t="str">
            <v>iHerb</v>
          </cell>
        </row>
        <row r="300">
          <cell r="A300" t="str">
            <v>11-05-2020</v>
          </cell>
          <cell r="B300" t="str">
            <v>Ashwagandha</v>
          </cell>
          <cell r="C300" t="str">
            <v>Herbal</v>
          </cell>
          <cell r="D300">
            <v>158</v>
          </cell>
          <cell r="E300">
            <v>20.88</v>
          </cell>
          <cell r="F300">
            <v>3299.04</v>
          </cell>
          <cell r="G300">
            <v>0.17</v>
          </cell>
          <cell r="H300">
            <v>1</v>
          </cell>
          <cell r="I300" t="str">
            <v>Canada</v>
          </cell>
          <cell r="J300" t="str">
            <v>Amazon</v>
          </cell>
        </row>
        <row r="301">
          <cell r="A301" t="str">
            <v>11-05-2020</v>
          </cell>
          <cell r="B301" t="str">
            <v>Melatonin</v>
          </cell>
          <cell r="C301" t="str">
            <v>Sleep Aid</v>
          </cell>
          <cell r="D301">
            <v>160</v>
          </cell>
          <cell r="E301">
            <v>13.32</v>
          </cell>
          <cell r="F301">
            <v>2131.1999999999998</v>
          </cell>
          <cell r="G301">
            <v>0.19</v>
          </cell>
          <cell r="H301">
            <v>2</v>
          </cell>
          <cell r="I301" t="str">
            <v>Canada</v>
          </cell>
          <cell r="J301" t="str">
            <v>iHerb</v>
          </cell>
        </row>
        <row r="302">
          <cell r="A302" t="str">
            <v>11-05-2020</v>
          </cell>
          <cell r="B302" t="str">
            <v>Biotin</v>
          </cell>
          <cell r="C302" t="str">
            <v>Vitamin</v>
          </cell>
          <cell r="D302">
            <v>161</v>
          </cell>
          <cell r="E302">
            <v>50.15</v>
          </cell>
          <cell r="F302">
            <v>8074.15</v>
          </cell>
          <cell r="G302">
            <v>0.13</v>
          </cell>
          <cell r="H302">
            <v>0</v>
          </cell>
          <cell r="I302" t="str">
            <v>Canada</v>
          </cell>
          <cell r="J302" t="str">
            <v>Walmart</v>
          </cell>
        </row>
        <row r="303">
          <cell r="A303" t="str">
            <v>11-05-2020</v>
          </cell>
          <cell r="B303" t="str">
            <v>Green Tea Extract</v>
          </cell>
          <cell r="C303" t="str">
            <v>Fat Burner</v>
          </cell>
          <cell r="D303">
            <v>156</v>
          </cell>
          <cell r="E303">
            <v>47.11</v>
          </cell>
          <cell r="F303">
            <v>7349.16</v>
          </cell>
          <cell r="G303">
            <v>0.04</v>
          </cell>
          <cell r="H303">
            <v>0</v>
          </cell>
          <cell r="I303" t="str">
            <v>Canada</v>
          </cell>
          <cell r="J303" t="str">
            <v>iHerb</v>
          </cell>
        </row>
        <row r="304">
          <cell r="A304" t="str">
            <v>11-05-2020</v>
          </cell>
          <cell r="B304" t="str">
            <v>Iron Supplement</v>
          </cell>
          <cell r="C304" t="str">
            <v>Mineral</v>
          </cell>
          <cell r="D304">
            <v>168</v>
          </cell>
          <cell r="E304">
            <v>55.41</v>
          </cell>
          <cell r="F304">
            <v>9308.8799999999992</v>
          </cell>
          <cell r="G304">
            <v>0.19</v>
          </cell>
          <cell r="H304">
            <v>2</v>
          </cell>
          <cell r="I304" t="str">
            <v>USA</v>
          </cell>
          <cell r="J304" t="str">
            <v>Walmart</v>
          </cell>
        </row>
        <row r="305">
          <cell r="A305" t="str">
            <v>11-05-2020</v>
          </cell>
          <cell r="B305" t="str">
            <v>Electrolyte Powder</v>
          </cell>
          <cell r="C305" t="str">
            <v>Hydration</v>
          </cell>
          <cell r="D305">
            <v>156</v>
          </cell>
          <cell r="E305">
            <v>38.94</v>
          </cell>
          <cell r="F305">
            <v>6074.64</v>
          </cell>
          <cell r="G305">
            <v>0.16</v>
          </cell>
          <cell r="H305">
            <v>0</v>
          </cell>
          <cell r="I305" t="str">
            <v>UK</v>
          </cell>
          <cell r="J305" t="str">
            <v>iHerb</v>
          </cell>
        </row>
        <row r="306">
          <cell r="A306" t="str">
            <v>18-05-2020</v>
          </cell>
          <cell r="B306" t="str">
            <v>Whey Protein</v>
          </cell>
          <cell r="C306" t="str">
            <v>Protein</v>
          </cell>
          <cell r="D306">
            <v>149</v>
          </cell>
          <cell r="E306">
            <v>23.55</v>
          </cell>
          <cell r="F306">
            <v>3508.95</v>
          </cell>
          <cell r="G306">
            <v>0.05</v>
          </cell>
          <cell r="H306">
            <v>1</v>
          </cell>
          <cell r="I306" t="str">
            <v>USA</v>
          </cell>
          <cell r="J306" t="str">
            <v>iHerb</v>
          </cell>
        </row>
        <row r="307">
          <cell r="A307" t="str">
            <v>18-05-2020</v>
          </cell>
          <cell r="B307" t="str">
            <v>Vitamin C</v>
          </cell>
          <cell r="C307" t="str">
            <v>Vitamin</v>
          </cell>
          <cell r="D307">
            <v>140</v>
          </cell>
          <cell r="E307">
            <v>31.24</v>
          </cell>
          <cell r="F307">
            <v>4373.6000000000004</v>
          </cell>
          <cell r="G307">
            <v>0.23</v>
          </cell>
          <cell r="H307">
            <v>1</v>
          </cell>
          <cell r="I307" t="str">
            <v>USA</v>
          </cell>
          <cell r="J307" t="str">
            <v>iHerb</v>
          </cell>
        </row>
        <row r="308">
          <cell r="A308" t="str">
            <v>18-05-2020</v>
          </cell>
          <cell r="B308" t="str">
            <v>Fish Oil</v>
          </cell>
          <cell r="C308" t="str">
            <v>Omega</v>
          </cell>
          <cell r="D308">
            <v>138</v>
          </cell>
          <cell r="E308">
            <v>44.81</v>
          </cell>
          <cell r="F308">
            <v>6183.78</v>
          </cell>
          <cell r="G308">
            <v>0.1</v>
          </cell>
          <cell r="H308">
            <v>2</v>
          </cell>
          <cell r="I308" t="str">
            <v>Canada</v>
          </cell>
          <cell r="J308" t="str">
            <v>Amazon</v>
          </cell>
        </row>
        <row r="309">
          <cell r="A309" t="str">
            <v>18-05-2020</v>
          </cell>
          <cell r="B309" t="str">
            <v>Multivitamin</v>
          </cell>
          <cell r="C309" t="str">
            <v>Vitamin</v>
          </cell>
          <cell r="D309">
            <v>156</v>
          </cell>
          <cell r="E309">
            <v>23.6</v>
          </cell>
          <cell r="F309">
            <v>3681.6</v>
          </cell>
          <cell r="G309">
            <v>0.17</v>
          </cell>
          <cell r="H309">
            <v>1</v>
          </cell>
          <cell r="I309" t="str">
            <v>Canada</v>
          </cell>
          <cell r="J309" t="str">
            <v>iHerb</v>
          </cell>
        </row>
        <row r="310">
          <cell r="A310" t="str">
            <v>18-05-2020</v>
          </cell>
          <cell r="B310" t="str">
            <v>Pre-Workout</v>
          </cell>
          <cell r="C310" t="str">
            <v>Performance</v>
          </cell>
          <cell r="D310">
            <v>175</v>
          </cell>
          <cell r="E310">
            <v>26.23</v>
          </cell>
          <cell r="F310">
            <v>4590.25</v>
          </cell>
          <cell r="G310">
            <v>7.0000000000000007E-2</v>
          </cell>
          <cell r="H310">
            <v>1</v>
          </cell>
          <cell r="I310" t="str">
            <v>Canada</v>
          </cell>
          <cell r="J310" t="str">
            <v>iHerb</v>
          </cell>
        </row>
        <row r="311">
          <cell r="A311" t="str">
            <v>18-05-2020</v>
          </cell>
          <cell r="B311" t="str">
            <v>BCAA</v>
          </cell>
          <cell r="C311" t="str">
            <v>Amino Acid</v>
          </cell>
          <cell r="D311">
            <v>157</v>
          </cell>
          <cell r="E311">
            <v>39.770000000000003</v>
          </cell>
          <cell r="F311">
            <v>6243.89</v>
          </cell>
          <cell r="G311">
            <v>7.0000000000000007E-2</v>
          </cell>
          <cell r="H311">
            <v>2</v>
          </cell>
          <cell r="I311" t="str">
            <v>UK</v>
          </cell>
          <cell r="J311" t="str">
            <v>Amazon</v>
          </cell>
        </row>
        <row r="312">
          <cell r="A312" t="str">
            <v>18-05-2020</v>
          </cell>
          <cell r="B312" t="str">
            <v>Creatine</v>
          </cell>
          <cell r="C312" t="str">
            <v>Performance</v>
          </cell>
          <cell r="D312">
            <v>162</v>
          </cell>
          <cell r="E312">
            <v>48.04</v>
          </cell>
          <cell r="F312">
            <v>7782.48</v>
          </cell>
          <cell r="G312">
            <v>0.05</v>
          </cell>
          <cell r="H312">
            <v>0</v>
          </cell>
          <cell r="I312" t="str">
            <v>Canada</v>
          </cell>
          <cell r="J312" t="str">
            <v>Walmart</v>
          </cell>
        </row>
        <row r="313">
          <cell r="A313" t="str">
            <v>18-05-2020</v>
          </cell>
          <cell r="B313" t="str">
            <v>Zinc</v>
          </cell>
          <cell r="C313" t="str">
            <v>Mineral</v>
          </cell>
          <cell r="D313">
            <v>157</v>
          </cell>
          <cell r="E313">
            <v>31.62</v>
          </cell>
          <cell r="F313">
            <v>4964.34</v>
          </cell>
          <cell r="G313">
            <v>0.01</v>
          </cell>
          <cell r="H313">
            <v>1</v>
          </cell>
          <cell r="I313" t="str">
            <v>Canada</v>
          </cell>
          <cell r="J313" t="str">
            <v>Amazon</v>
          </cell>
        </row>
        <row r="314">
          <cell r="A314" t="str">
            <v>18-05-2020</v>
          </cell>
          <cell r="B314" t="str">
            <v>Collagen Peptides</v>
          </cell>
          <cell r="C314" t="str">
            <v>Protein</v>
          </cell>
          <cell r="D314">
            <v>140</v>
          </cell>
          <cell r="E314">
            <v>11.95</v>
          </cell>
          <cell r="F314">
            <v>1673</v>
          </cell>
          <cell r="G314">
            <v>0.17</v>
          </cell>
          <cell r="H314">
            <v>1</v>
          </cell>
          <cell r="I314" t="str">
            <v>UK</v>
          </cell>
          <cell r="J314" t="str">
            <v>iHerb</v>
          </cell>
        </row>
        <row r="315">
          <cell r="A315" t="str">
            <v>18-05-2020</v>
          </cell>
          <cell r="B315" t="str">
            <v>Magnesium</v>
          </cell>
          <cell r="C315" t="str">
            <v>Mineral</v>
          </cell>
          <cell r="D315">
            <v>168</v>
          </cell>
          <cell r="E315">
            <v>26.26</v>
          </cell>
          <cell r="F315">
            <v>4411.68</v>
          </cell>
          <cell r="G315">
            <v>0.23</v>
          </cell>
          <cell r="H315">
            <v>6</v>
          </cell>
          <cell r="I315" t="str">
            <v>Canada</v>
          </cell>
          <cell r="J315" t="str">
            <v>iHerb</v>
          </cell>
        </row>
        <row r="316">
          <cell r="A316" t="str">
            <v>18-05-2020</v>
          </cell>
          <cell r="B316" t="str">
            <v>Ashwagandha</v>
          </cell>
          <cell r="C316" t="str">
            <v>Herbal</v>
          </cell>
          <cell r="D316">
            <v>163</v>
          </cell>
          <cell r="E316">
            <v>22.45</v>
          </cell>
          <cell r="F316">
            <v>3659.35</v>
          </cell>
          <cell r="G316">
            <v>0.14000000000000001</v>
          </cell>
          <cell r="H316">
            <v>0</v>
          </cell>
          <cell r="I316" t="str">
            <v>Canada</v>
          </cell>
          <cell r="J316" t="str">
            <v>Walmart</v>
          </cell>
        </row>
        <row r="317">
          <cell r="A317" t="str">
            <v>18-05-2020</v>
          </cell>
          <cell r="B317" t="str">
            <v>Melatonin</v>
          </cell>
          <cell r="C317" t="str">
            <v>Sleep Aid</v>
          </cell>
          <cell r="D317">
            <v>144</v>
          </cell>
          <cell r="E317">
            <v>50.33</v>
          </cell>
          <cell r="F317">
            <v>7247.52</v>
          </cell>
          <cell r="G317">
            <v>0.21</v>
          </cell>
          <cell r="H317">
            <v>6</v>
          </cell>
          <cell r="I317" t="str">
            <v>USA</v>
          </cell>
          <cell r="J317" t="str">
            <v>Amazon</v>
          </cell>
        </row>
        <row r="318">
          <cell r="A318" t="str">
            <v>18-05-2020</v>
          </cell>
          <cell r="B318" t="str">
            <v>Biotin</v>
          </cell>
          <cell r="C318" t="str">
            <v>Vitamin</v>
          </cell>
          <cell r="D318">
            <v>140</v>
          </cell>
          <cell r="E318">
            <v>30.56</v>
          </cell>
          <cell r="F318">
            <v>4278.3999999999996</v>
          </cell>
          <cell r="G318">
            <v>0.03</v>
          </cell>
          <cell r="H318">
            <v>0</v>
          </cell>
          <cell r="I318" t="str">
            <v>UK</v>
          </cell>
          <cell r="J318" t="str">
            <v>iHerb</v>
          </cell>
        </row>
        <row r="319">
          <cell r="A319" t="str">
            <v>18-05-2020</v>
          </cell>
          <cell r="B319" t="str">
            <v>Green Tea Extract</v>
          </cell>
          <cell r="C319" t="str">
            <v>Fat Burner</v>
          </cell>
          <cell r="D319">
            <v>145</v>
          </cell>
          <cell r="E319">
            <v>38.31</v>
          </cell>
          <cell r="F319">
            <v>5554.95</v>
          </cell>
          <cell r="G319">
            <v>0.08</v>
          </cell>
          <cell r="H319">
            <v>2</v>
          </cell>
          <cell r="I319" t="str">
            <v>UK</v>
          </cell>
          <cell r="J319" t="str">
            <v>Walmart</v>
          </cell>
        </row>
        <row r="320">
          <cell r="A320" t="str">
            <v>18-05-2020</v>
          </cell>
          <cell r="B320" t="str">
            <v>Iron Supplement</v>
          </cell>
          <cell r="C320" t="str">
            <v>Mineral</v>
          </cell>
          <cell r="D320">
            <v>140</v>
          </cell>
          <cell r="E320">
            <v>48.22</v>
          </cell>
          <cell r="F320">
            <v>6750.8</v>
          </cell>
          <cell r="G320">
            <v>0.16</v>
          </cell>
          <cell r="H320">
            <v>2</v>
          </cell>
          <cell r="I320" t="str">
            <v>Canada</v>
          </cell>
          <cell r="J320" t="str">
            <v>Amazon</v>
          </cell>
        </row>
        <row r="321">
          <cell r="A321" t="str">
            <v>18-05-2020</v>
          </cell>
          <cell r="B321" t="str">
            <v>Electrolyte Powder</v>
          </cell>
          <cell r="C321" t="str">
            <v>Hydration</v>
          </cell>
          <cell r="D321">
            <v>154</v>
          </cell>
          <cell r="E321">
            <v>41.23</v>
          </cell>
          <cell r="F321">
            <v>6349.42</v>
          </cell>
          <cell r="G321">
            <v>0.22</v>
          </cell>
          <cell r="H321">
            <v>2</v>
          </cell>
          <cell r="I321" t="str">
            <v>USA</v>
          </cell>
          <cell r="J321" t="str">
            <v>iHerb</v>
          </cell>
        </row>
        <row r="322">
          <cell r="A322" t="str">
            <v>25-05-2020</v>
          </cell>
          <cell r="B322" t="str">
            <v>Whey Protein</v>
          </cell>
          <cell r="C322" t="str">
            <v>Protein</v>
          </cell>
          <cell r="D322">
            <v>160</v>
          </cell>
          <cell r="E322">
            <v>45.37</v>
          </cell>
          <cell r="F322">
            <v>7259.2</v>
          </cell>
          <cell r="G322">
            <v>0.1</v>
          </cell>
          <cell r="H322">
            <v>1</v>
          </cell>
          <cell r="I322" t="str">
            <v>UK</v>
          </cell>
          <cell r="J322" t="str">
            <v>Amazon</v>
          </cell>
        </row>
        <row r="323">
          <cell r="A323" t="str">
            <v>25-05-2020</v>
          </cell>
          <cell r="B323" t="str">
            <v>Vitamin C</v>
          </cell>
          <cell r="C323" t="str">
            <v>Vitamin</v>
          </cell>
          <cell r="D323">
            <v>153</v>
          </cell>
          <cell r="E323">
            <v>56.46</v>
          </cell>
          <cell r="F323">
            <v>8638.3799999999992</v>
          </cell>
          <cell r="G323">
            <v>0.09</v>
          </cell>
          <cell r="H323">
            <v>1</v>
          </cell>
          <cell r="I323" t="str">
            <v>UK</v>
          </cell>
          <cell r="J323" t="str">
            <v>iHerb</v>
          </cell>
        </row>
        <row r="324">
          <cell r="A324" t="str">
            <v>25-05-2020</v>
          </cell>
          <cell r="B324" t="str">
            <v>Fish Oil</v>
          </cell>
          <cell r="C324" t="str">
            <v>Omega</v>
          </cell>
          <cell r="D324">
            <v>162</v>
          </cell>
          <cell r="E324">
            <v>39.659999999999997</v>
          </cell>
          <cell r="F324">
            <v>6424.92</v>
          </cell>
          <cell r="G324">
            <v>0.01</v>
          </cell>
          <cell r="H324">
            <v>1</v>
          </cell>
          <cell r="I324" t="str">
            <v>Canada</v>
          </cell>
          <cell r="J324" t="str">
            <v>Amazon</v>
          </cell>
        </row>
        <row r="325">
          <cell r="A325" t="str">
            <v>25-05-2020</v>
          </cell>
          <cell r="B325" t="str">
            <v>Multivitamin</v>
          </cell>
          <cell r="C325" t="str">
            <v>Vitamin</v>
          </cell>
          <cell r="D325">
            <v>156</v>
          </cell>
          <cell r="E325">
            <v>28.66</v>
          </cell>
          <cell r="F325">
            <v>4470.96</v>
          </cell>
          <cell r="G325">
            <v>0.24</v>
          </cell>
          <cell r="H325">
            <v>0</v>
          </cell>
          <cell r="I325" t="str">
            <v>UK</v>
          </cell>
          <cell r="J325" t="str">
            <v>Amazon</v>
          </cell>
        </row>
        <row r="326">
          <cell r="A326" t="str">
            <v>25-05-2020</v>
          </cell>
          <cell r="B326" t="str">
            <v>Pre-Workout</v>
          </cell>
          <cell r="C326" t="str">
            <v>Performance</v>
          </cell>
          <cell r="D326">
            <v>150</v>
          </cell>
          <cell r="E326">
            <v>44.86</v>
          </cell>
          <cell r="F326">
            <v>6729</v>
          </cell>
          <cell r="G326">
            <v>0.16</v>
          </cell>
          <cell r="H326">
            <v>1</v>
          </cell>
          <cell r="I326" t="str">
            <v>Canada</v>
          </cell>
          <cell r="J326" t="str">
            <v>Amazon</v>
          </cell>
        </row>
        <row r="327">
          <cell r="A327" t="str">
            <v>25-05-2020</v>
          </cell>
          <cell r="B327" t="str">
            <v>BCAA</v>
          </cell>
          <cell r="C327" t="str">
            <v>Amino Acid</v>
          </cell>
          <cell r="D327">
            <v>136</v>
          </cell>
          <cell r="E327">
            <v>39.97</v>
          </cell>
          <cell r="F327">
            <v>5435.92</v>
          </cell>
          <cell r="G327">
            <v>0.04</v>
          </cell>
          <cell r="H327">
            <v>2</v>
          </cell>
          <cell r="I327" t="str">
            <v>Canada</v>
          </cell>
          <cell r="J327" t="str">
            <v>Walmart</v>
          </cell>
        </row>
        <row r="328">
          <cell r="A328" t="str">
            <v>25-05-2020</v>
          </cell>
          <cell r="B328" t="str">
            <v>Creatine</v>
          </cell>
          <cell r="C328" t="str">
            <v>Performance</v>
          </cell>
          <cell r="D328">
            <v>148</v>
          </cell>
          <cell r="E328">
            <v>51.87</v>
          </cell>
          <cell r="F328">
            <v>7676.76</v>
          </cell>
          <cell r="G328">
            <v>0.04</v>
          </cell>
          <cell r="H328">
            <v>0</v>
          </cell>
          <cell r="I328" t="str">
            <v>UK</v>
          </cell>
          <cell r="J328" t="str">
            <v>iHerb</v>
          </cell>
        </row>
        <row r="329">
          <cell r="A329" t="str">
            <v>25-05-2020</v>
          </cell>
          <cell r="B329" t="str">
            <v>Zinc</v>
          </cell>
          <cell r="C329" t="str">
            <v>Mineral</v>
          </cell>
          <cell r="D329">
            <v>161</v>
          </cell>
          <cell r="E329">
            <v>44.98</v>
          </cell>
          <cell r="F329">
            <v>7241.78</v>
          </cell>
          <cell r="G329">
            <v>0.21</v>
          </cell>
          <cell r="H329">
            <v>3</v>
          </cell>
          <cell r="I329" t="str">
            <v>UK</v>
          </cell>
          <cell r="J329" t="str">
            <v>Amazon</v>
          </cell>
        </row>
        <row r="330">
          <cell r="A330" t="str">
            <v>25-05-2020</v>
          </cell>
          <cell r="B330" t="str">
            <v>Collagen Peptides</v>
          </cell>
          <cell r="C330" t="str">
            <v>Protein</v>
          </cell>
          <cell r="D330">
            <v>150</v>
          </cell>
          <cell r="E330">
            <v>17.68</v>
          </cell>
          <cell r="F330">
            <v>2652</v>
          </cell>
          <cell r="G330">
            <v>0.14000000000000001</v>
          </cell>
          <cell r="H330">
            <v>1</v>
          </cell>
          <cell r="I330" t="str">
            <v>UK</v>
          </cell>
          <cell r="J330" t="str">
            <v>Amazon</v>
          </cell>
        </row>
        <row r="331">
          <cell r="A331" t="str">
            <v>25-05-2020</v>
          </cell>
          <cell r="B331" t="str">
            <v>Magnesium</v>
          </cell>
          <cell r="C331" t="str">
            <v>Mineral</v>
          </cell>
          <cell r="D331">
            <v>171</v>
          </cell>
          <cell r="E331">
            <v>39.64</v>
          </cell>
          <cell r="F331">
            <v>6778.44</v>
          </cell>
          <cell r="G331">
            <v>0.09</v>
          </cell>
          <cell r="H331">
            <v>0</v>
          </cell>
          <cell r="I331" t="str">
            <v>Canada</v>
          </cell>
          <cell r="J331" t="str">
            <v>Walmart</v>
          </cell>
        </row>
        <row r="332">
          <cell r="A332" t="str">
            <v>25-05-2020</v>
          </cell>
          <cell r="B332" t="str">
            <v>Ashwagandha</v>
          </cell>
          <cell r="C332" t="str">
            <v>Herbal</v>
          </cell>
          <cell r="D332">
            <v>129</v>
          </cell>
          <cell r="E332">
            <v>54.05</v>
          </cell>
          <cell r="F332">
            <v>6972.45</v>
          </cell>
          <cell r="G332">
            <v>0.22</v>
          </cell>
          <cell r="H332">
            <v>2</v>
          </cell>
          <cell r="I332" t="str">
            <v>USA</v>
          </cell>
          <cell r="J332" t="str">
            <v>iHerb</v>
          </cell>
        </row>
        <row r="333">
          <cell r="A333" t="str">
            <v>25-05-2020</v>
          </cell>
          <cell r="B333" t="str">
            <v>Melatonin</v>
          </cell>
          <cell r="C333" t="str">
            <v>Sleep Aid</v>
          </cell>
          <cell r="D333">
            <v>139</v>
          </cell>
          <cell r="E333">
            <v>54.3</v>
          </cell>
          <cell r="F333">
            <v>7547.7</v>
          </cell>
          <cell r="G333">
            <v>0.05</v>
          </cell>
          <cell r="H333">
            <v>2</v>
          </cell>
          <cell r="I333" t="str">
            <v>USA</v>
          </cell>
          <cell r="J333" t="str">
            <v>Amazon</v>
          </cell>
        </row>
        <row r="334">
          <cell r="A334" t="str">
            <v>25-05-2020</v>
          </cell>
          <cell r="B334" t="str">
            <v>Biotin</v>
          </cell>
          <cell r="C334" t="str">
            <v>Vitamin</v>
          </cell>
          <cell r="D334">
            <v>142</v>
          </cell>
          <cell r="E334">
            <v>59.86</v>
          </cell>
          <cell r="F334">
            <v>8500.1200000000008</v>
          </cell>
          <cell r="G334">
            <v>0.01</v>
          </cell>
          <cell r="H334">
            <v>3</v>
          </cell>
          <cell r="I334" t="str">
            <v>UK</v>
          </cell>
          <cell r="J334" t="str">
            <v>iHerb</v>
          </cell>
        </row>
        <row r="335">
          <cell r="A335" t="str">
            <v>25-05-2020</v>
          </cell>
          <cell r="B335" t="str">
            <v>Green Tea Extract</v>
          </cell>
          <cell r="C335" t="str">
            <v>Fat Burner</v>
          </cell>
          <cell r="D335">
            <v>149</v>
          </cell>
          <cell r="E335">
            <v>13.12</v>
          </cell>
          <cell r="F335">
            <v>1954.88</v>
          </cell>
          <cell r="G335">
            <v>0.08</v>
          </cell>
          <cell r="H335">
            <v>0</v>
          </cell>
          <cell r="I335" t="str">
            <v>UK</v>
          </cell>
          <cell r="J335" t="str">
            <v>Walmart</v>
          </cell>
        </row>
        <row r="336">
          <cell r="A336" t="str">
            <v>25-05-2020</v>
          </cell>
          <cell r="B336" t="str">
            <v>Iron Supplement</v>
          </cell>
          <cell r="C336" t="str">
            <v>Mineral</v>
          </cell>
          <cell r="D336">
            <v>130</v>
          </cell>
          <cell r="E336">
            <v>13.55</v>
          </cell>
          <cell r="F336">
            <v>1761.5</v>
          </cell>
          <cell r="G336">
            <v>0.05</v>
          </cell>
          <cell r="H336">
            <v>0</v>
          </cell>
          <cell r="I336" t="str">
            <v>Canada</v>
          </cell>
          <cell r="J336" t="str">
            <v>Amazon</v>
          </cell>
        </row>
        <row r="337">
          <cell r="A337" t="str">
            <v>25-05-2020</v>
          </cell>
          <cell r="B337" t="str">
            <v>Electrolyte Powder</v>
          </cell>
          <cell r="C337" t="str">
            <v>Hydration</v>
          </cell>
          <cell r="D337">
            <v>149</v>
          </cell>
          <cell r="E337">
            <v>15.05</v>
          </cell>
          <cell r="F337">
            <v>2242.4499999999998</v>
          </cell>
          <cell r="G337">
            <v>0.04</v>
          </cell>
          <cell r="H337">
            <v>0</v>
          </cell>
          <cell r="I337" t="str">
            <v>UK</v>
          </cell>
          <cell r="J337" t="str">
            <v>Amazon</v>
          </cell>
        </row>
        <row r="338">
          <cell r="A338" t="str">
            <v>01-06-2020</v>
          </cell>
          <cell r="B338" t="str">
            <v>Whey Protein</v>
          </cell>
          <cell r="C338" t="str">
            <v>Protein</v>
          </cell>
          <cell r="D338">
            <v>142</v>
          </cell>
          <cell r="E338">
            <v>26.31</v>
          </cell>
          <cell r="F338">
            <v>3736.02</v>
          </cell>
          <cell r="G338">
            <v>7.0000000000000007E-2</v>
          </cell>
          <cell r="H338">
            <v>0</v>
          </cell>
          <cell r="I338" t="str">
            <v>USA</v>
          </cell>
          <cell r="J338" t="str">
            <v>iHerb</v>
          </cell>
        </row>
        <row r="339">
          <cell r="A339" t="str">
            <v>01-06-2020</v>
          </cell>
          <cell r="B339" t="str">
            <v>Vitamin C</v>
          </cell>
          <cell r="C339" t="str">
            <v>Vitamin</v>
          </cell>
          <cell r="D339">
            <v>134</v>
          </cell>
          <cell r="E339">
            <v>27.77</v>
          </cell>
          <cell r="F339">
            <v>3721.18</v>
          </cell>
          <cell r="G339">
            <v>0.17</v>
          </cell>
          <cell r="H339">
            <v>0</v>
          </cell>
          <cell r="I339" t="str">
            <v>UK</v>
          </cell>
          <cell r="J339" t="str">
            <v>Walmart</v>
          </cell>
        </row>
        <row r="340">
          <cell r="A340" t="str">
            <v>01-06-2020</v>
          </cell>
          <cell r="B340" t="str">
            <v>Fish Oil</v>
          </cell>
          <cell r="C340" t="str">
            <v>Omega</v>
          </cell>
          <cell r="D340">
            <v>139</v>
          </cell>
          <cell r="E340">
            <v>17.350000000000001</v>
          </cell>
          <cell r="F340">
            <v>2411.65</v>
          </cell>
          <cell r="G340">
            <v>0.09</v>
          </cell>
          <cell r="H340">
            <v>3</v>
          </cell>
          <cell r="I340" t="str">
            <v>USA</v>
          </cell>
          <cell r="J340" t="str">
            <v>iHerb</v>
          </cell>
        </row>
        <row r="341">
          <cell r="A341" t="str">
            <v>01-06-2020</v>
          </cell>
          <cell r="B341" t="str">
            <v>Multivitamin</v>
          </cell>
          <cell r="C341" t="str">
            <v>Vitamin</v>
          </cell>
          <cell r="D341">
            <v>136</v>
          </cell>
          <cell r="E341">
            <v>34.229999999999997</v>
          </cell>
          <cell r="F341">
            <v>4655.28</v>
          </cell>
          <cell r="G341">
            <v>0.08</v>
          </cell>
          <cell r="H341">
            <v>1</v>
          </cell>
          <cell r="I341" t="str">
            <v>Canada</v>
          </cell>
          <cell r="J341" t="str">
            <v>Amazon</v>
          </cell>
        </row>
        <row r="342">
          <cell r="A342" t="str">
            <v>01-06-2020</v>
          </cell>
          <cell r="B342" t="str">
            <v>Pre-Workout</v>
          </cell>
          <cell r="C342" t="str">
            <v>Performance</v>
          </cell>
          <cell r="D342">
            <v>162</v>
          </cell>
          <cell r="E342">
            <v>39.03</v>
          </cell>
          <cell r="F342">
            <v>6322.86</v>
          </cell>
          <cell r="G342">
            <v>0.13</v>
          </cell>
          <cell r="H342">
            <v>0</v>
          </cell>
          <cell r="I342" t="str">
            <v>USA</v>
          </cell>
          <cell r="J342" t="str">
            <v>Amazon</v>
          </cell>
        </row>
        <row r="343">
          <cell r="A343" t="str">
            <v>01-06-2020</v>
          </cell>
          <cell r="B343" t="str">
            <v>BCAA</v>
          </cell>
          <cell r="C343" t="str">
            <v>Amino Acid</v>
          </cell>
          <cell r="D343">
            <v>154</v>
          </cell>
          <cell r="E343">
            <v>34.39</v>
          </cell>
          <cell r="F343">
            <v>5296.06</v>
          </cell>
          <cell r="G343">
            <v>0.02</v>
          </cell>
          <cell r="H343">
            <v>1</v>
          </cell>
          <cell r="I343" t="str">
            <v>Canada</v>
          </cell>
          <cell r="J343" t="str">
            <v>Walmart</v>
          </cell>
        </row>
        <row r="344">
          <cell r="A344" t="str">
            <v>01-06-2020</v>
          </cell>
          <cell r="B344" t="str">
            <v>Creatine</v>
          </cell>
          <cell r="C344" t="str">
            <v>Performance</v>
          </cell>
          <cell r="D344">
            <v>143</v>
          </cell>
          <cell r="E344">
            <v>12.85</v>
          </cell>
          <cell r="F344">
            <v>1837.55</v>
          </cell>
          <cell r="G344">
            <v>0.1</v>
          </cell>
          <cell r="H344">
            <v>1</v>
          </cell>
          <cell r="I344" t="str">
            <v>Canada</v>
          </cell>
          <cell r="J344" t="str">
            <v>iHerb</v>
          </cell>
        </row>
        <row r="345">
          <cell r="A345" t="str">
            <v>01-06-2020</v>
          </cell>
          <cell r="B345" t="str">
            <v>Zinc</v>
          </cell>
          <cell r="C345" t="str">
            <v>Mineral</v>
          </cell>
          <cell r="D345">
            <v>158</v>
          </cell>
          <cell r="E345">
            <v>43.36</v>
          </cell>
          <cell r="F345">
            <v>6850.88</v>
          </cell>
          <cell r="G345">
            <v>0.19</v>
          </cell>
          <cell r="H345">
            <v>3</v>
          </cell>
          <cell r="I345" t="str">
            <v>Canada</v>
          </cell>
          <cell r="J345" t="str">
            <v>Walmart</v>
          </cell>
        </row>
        <row r="346">
          <cell r="A346" t="str">
            <v>01-06-2020</v>
          </cell>
          <cell r="B346" t="str">
            <v>Collagen Peptides</v>
          </cell>
          <cell r="C346" t="str">
            <v>Protein</v>
          </cell>
          <cell r="D346">
            <v>143</v>
          </cell>
          <cell r="E346">
            <v>52.01</v>
          </cell>
          <cell r="F346">
            <v>7437.43</v>
          </cell>
          <cell r="G346">
            <v>0.25</v>
          </cell>
          <cell r="H346">
            <v>3</v>
          </cell>
          <cell r="I346" t="str">
            <v>UK</v>
          </cell>
          <cell r="J346" t="str">
            <v>iHerb</v>
          </cell>
        </row>
        <row r="347">
          <cell r="A347" t="str">
            <v>01-06-2020</v>
          </cell>
          <cell r="B347" t="str">
            <v>Magnesium</v>
          </cell>
          <cell r="C347" t="str">
            <v>Mineral</v>
          </cell>
          <cell r="D347">
            <v>145</v>
          </cell>
          <cell r="E347">
            <v>34.47</v>
          </cell>
          <cell r="F347">
            <v>4998.1499999999996</v>
          </cell>
          <cell r="G347">
            <v>0.19</v>
          </cell>
          <cell r="H347">
            <v>1</v>
          </cell>
          <cell r="I347" t="str">
            <v>Canada</v>
          </cell>
          <cell r="J347" t="str">
            <v>iHerb</v>
          </cell>
        </row>
        <row r="348">
          <cell r="A348" t="str">
            <v>01-06-2020</v>
          </cell>
          <cell r="B348" t="str">
            <v>Ashwagandha</v>
          </cell>
          <cell r="C348" t="str">
            <v>Herbal</v>
          </cell>
          <cell r="D348">
            <v>149</v>
          </cell>
          <cell r="E348">
            <v>28.07</v>
          </cell>
          <cell r="F348">
            <v>4182.43</v>
          </cell>
          <cell r="G348">
            <v>0.21</v>
          </cell>
          <cell r="H348">
            <v>1</v>
          </cell>
          <cell r="I348" t="str">
            <v>Canada</v>
          </cell>
          <cell r="J348" t="str">
            <v>Amazon</v>
          </cell>
        </row>
        <row r="349">
          <cell r="A349" t="str">
            <v>01-06-2020</v>
          </cell>
          <cell r="B349" t="str">
            <v>Melatonin</v>
          </cell>
          <cell r="C349" t="str">
            <v>Sleep Aid</v>
          </cell>
          <cell r="D349">
            <v>144</v>
          </cell>
          <cell r="E349">
            <v>48.12</v>
          </cell>
          <cell r="F349">
            <v>6929.28</v>
          </cell>
          <cell r="G349">
            <v>0.03</v>
          </cell>
          <cell r="H349">
            <v>0</v>
          </cell>
          <cell r="I349" t="str">
            <v>Canada</v>
          </cell>
          <cell r="J349" t="str">
            <v>iHerb</v>
          </cell>
        </row>
        <row r="350">
          <cell r="A350" t="str">
            <v>01-06-2020</v>
          </cell>
          <cell r="B350" t="str">
            <v>Biotin</v>
          </cell>
          <cell r="C350" t="str">
            <v>Vitamin</v>
          </cell>
          <cell r="D350">
            <v>178</v>
          </cell>
          <cell r="E350">
            <v>38.39</v>
          </cell>
          <cell r="F350">
            <v>6833.42</v>
          </cell>
          <cell r="G350">
            <v>0.14000000000000001</v>
          </cell>
          <cell r="H350">
            <v>2</v>
          </cell>
          <cell r="I350" t="str">
            <v>UK</v>
          </cell>
          <cell r="J350" t="str">
            <v>Walmart</v>
          </cell>
        </row>
        <row r="351">
          <cell r="A351" t="str">
            <v>01-06-2020</v>
          </cell>
          <cell r="B351" t="str">
            <v>Green Tea Extract</v>
          </cell>
          <cell r="C351" t="str">
            <v>Fat Burner</v>
          </cell>
          <cell r="D351">
            <v>155</v>
          </cell>
          <cell r="E351">
            <v>37.630000000000003</v>
          </cell>
          <cell r="F351">
            <v>5832.65</v>
          </cell>
          <cell r="G351">
            <v>0.09</v>
          </cell>
          <cell r="H351">
            <v>2</v>
          </cell>
          <cell r="I351" t="str">
            <v>Canada</v>
          </cell>
          <cell r="J351" t="str">
            <v>iHerb</v>
          </cell>
        </row>
        <row r="352">
          <cell r="A352" t="str">
            <v>01-06-2020</v>
          </cell>
          <cell r="B352" t="str">
            <v>Iron Supplement</v>
          </cell>
          <cell r="C352" t="str">
            <v>Mineral</v>
          </cell>
          <cell r="D352">
            <v>135</v>
          </cell>
          <cell r="E352">
            <v>19.260000000000002</v>
          </cell>
          <cell r="F352">
            <v>2600.1</v>
          </cell>
          <cell r="G352">
            <v>7.0000000000000007E-2</v>
          </cell>
          <cell r="H352">
            <v>0</v>
          </cell>
          <cell r="I352" t="str">
            <v>Canada</v>
          </cell>
          <cell r="J352" t="str">
            <v>Walmart</v>
          </cell>
        </row>
        <row r="353">
          <cell r="A353" t="str">
            <v>01-06-2020</v>
          </cell>
          <cell r="B353" t="str">
            <v>Electrolyte Powder</v>
          </cell>
          <cell r="C353" t="str">
            <v>Hydration</v>
          </cell>
          <cell r="D353">
            <v>137</v>
          </cell>
          <cell r="E353">
            <v>24.29</v>
          </cell>
          <cell r="F353">
            <v>3327.73</v>
          </cell>
          <cell r="G353">
            <v>0.23</v>
          </cell>
          <cell r="H353">
            <v>4</v>
          </cell>
          <cell r="I353" t="str">
            <v>USA</v>
          </cell>
          <cell r="J353" t="str">
            <v>Amazon</v>
          </cell>
        </row>
        <row r="354">
          <cell r="A354" t="str">
            <v>08-06-2020</v>
          </cell>
          <cell r="B354" t="str">
            <v>Whey Protein</v>
          </cell>
          <cell r="C354" t="str">
            <v>Protein</v>
          </cell>
          <cell r="D354">
            <v>152</v>
          </cell>
          <cell r="E354">
            <v>28.73</v>
          </cell>
          <cell r="F354">
            <v>4366.96</v>
          </cell>
          <cell r="G354">
            <v>0.2</v>
          </cell>
          <cell r="H354">
            <v>1</v>
          </cell>
          <cell r="I354" t="str">
            <v>UK</v>
          </cell>
          <cell r="J354" t="str">
            <v>Amazon</v>
          </cell>
        </row>
        <row r="355">
          <cell r="A355" t="str">
            <v>08-06-2020</v>
          </cell>
          <cell r="B355" t="str">
            <v>Vitamin C</v>
          </cell>
          <cell r="C355" t="str">
            <v>Vitamin</v>
          </cell>
          <cell r="D355">
            <v>130</v>
          </cell>
          <cell r="E355">
            <v>52.26</v>
          </cell>
          <cell r="F355">
            <v>6793.8</v>
          </cell>
          <cell r="G355">
            <v>0.2</v>
          </cell>
          <cell r="H355">
            <v>0</v>
          </cell>
          <cell r="I355" t="str">
            <v>USA</v>
          </cell>
          <cell r="J355" t="str">
            <v>Walmart</v>
          </cell>
        </row>
        <row r="356">
          <cell r="A356" t="str">
            <v>08-06-2020</v>
          </cell>
          <cell r="B356" t="str">
            <v>Fish Oil</v>
          </cell>
          <cell r="C356" t="str">
            <v>Omega</v>
          </cell>
          <cell r="D356">
            <v>156</v>
          </cell>
          <cell r="E356">
            <v>20.91</v>
          </cell>
          <cell r="F356">
            <v>3261.96</v>
          </cell>
          <cell r="G356">
            <v>0.22</v>
          </cell>
          <cell r="H356">
            <v>1</v>
          </cell>
          <cell r="I356" t="str">
            <v>USA</v>
          </cell>
          <cell r="J356" t="str">
            <v>Amazon</v>
          </cell>
        </row>
        <row r="357">
          <cell r="A357" t="str">
            <v>08-06-2020</v>
          </cell>
          <cell r="B357" t="str">
            <v>Multivitamin</v>
          </cell>
          <cell r="C357" t="str">
            <v>Vitamin</v>
          </cell>
          <cell r="D357">
            <v>141</v>
          </cell>
          <cell r="E357">
            <v>53.53</v>
          </cell>
          <cell r="F357">
            <v>7547.73</v>
          </cell>
          <cell r="G357">
            <v>0.2</v>
          </cell>
          <cell r="H357">
            <v>2</v>
          </cell>
          <cell r="I357" t="str">
            <v>Canada</v>
          </cell>
          <cell r="J357" t="str">
            <v>Walmart</v>
          </cell>
        </row>
        <row r="358">
          <cell r="A358" t="str">
            <v>08-06-2020</v>
          </cell>
          <cell r="B358" t="str">
            <v>Pre-Workout</v>
          </cell>
          <cell r="C358" t="str">
            <v>Performance</v>
          </cell>
          <cell r="D358">
            <v>159</v>
          </cell>
          <cell r="E358">
            <v>32.92</v>
          </cell>
          <cell r="F358">
            <v>5234.28</v>
          </cell>
          <cell r="G358">
            <v>0.09</v>
          </cell>
          <cell r="H358">
            <v>0</v>
          </cell>
          <cell r="I358" t="str">
            <v>Canada</v>
          </cell>
          <cell r="J358" t="str">
            <v>iHerb</v>
          </cell>
        </row>
        <row r="359">
          <cell r="A359" t="str">
            <v>08-06-2020</v>
          </cell>
          <cell r="B359" t="str">
            <v>BCAA</v>
          </cell>
          <cell r="C359" t="str">
            <v>Amino Acid</v>
          </cell>
          <cell r="D359">
            <v>149</v>
          </cell>
          <cell r="E359">
            <v>12</v>
          </cell>
          <cell r="F359">
            <v>1788</v>
          </cell>
          <cell r="G359">
            <v>7.0000000000000007E-2</v>
          </cell>
          <cell r="H359">
            <v>0</v>
          </cell>
          <cell r="I359" t="str">
            <v>UK</v>
          </cell>
          <cell r="J359" t="str">
            <v>iHerb</v>
          </cell>
        </row>
        <row r="360">
          <cell r="A360" t="str">
            <v>08-06-2020</v>
          </cell>
          <cell r="B360" t="str">
            <v>Creatine</v>
          </cell>
          <cell r="C360" t="str">
            <v>Performance</v>
          </cell>
          <cell r="D360">
            <v>140</v>
          </cell>
          <cell r="E360">
            <v>33.4</v>
          </cell>
          <cell r="F360">
            <v>4676</v>
          </cell>
          <cell r="G360">
            <v>0.12</v>
          </cell>
          <cell r="H360">
            <v>2</v>
          </cell>
          <cell r="I360" t="str">
            <v>USA</v>
          </cell>
          <cell r="J360" t="str">
            <v>Walmart</v>
          </cell>
        </row>
        <row r="361">
          <cell r="A361" t="str">
            <v>08-06-2020</v>
          </cell>
          <cell r="B361" t="str">
            <v>Zinc</v>
          </cell>
          <cell r="C361" t="str">
            <v>Mineral</v>
          </cell>
          <cell r="D361">
            <v>136</v>
          </cell>
          <cell r="E361">
            <v>31.5</v>
          </cell>
          <cell r="F361">
            <v>4284</v>
          </cell>
          <cell r="G361">
            <v>0.15</v>
          </cell>
          <cell r="H361">
            <v>7</v>
          </cell>
          <cell r="I361" t="str">
            <v>USA</v>
          </cell>
          <cell r="J361" t="str">
            <v>Walmart</v>
          </cell>
        </row>
        <row r="362">
          <cell r="A362" t="str">
            <v>08-06-2020</v>
          </cell>
          <cell r="B362" t="str">
            <v>Collagen Peptides</v>
          </cell>
          <cell r="C362" t="str">
            <v>Protein</v>
          </cell>
          <cell r="D362">
            <v>160</v>
          </cell>
          <cell r="E362">
            <v>51.38</v>
          </cell>
          <cell r="F362">
            <v>8220.7999999999993</v>
          </cell>
          <cell r="G362">
            <v>0.04</v>
          </cell>
          <cell r="H362">
            <v>0</v>
          </cell>
          <cell r="I362" t="str">
            <v>USA</v>
          </cell>
          <cell r="J362" t="str">
            <v>Walmart</v>
          </cell>
        </row>
        <row r="363">
          <cell r="A363" t="str">
            <v>08-06-2020</v>
          </cell>
          <cell r="B363" t="str">
            <v>Magnesium</v>
          </cell>
          <cell r="C363" t="str">
            <v>Mineral</v>
          </cell>
          <cell r="D363">
            <v>138</v>
          </cell>
          <cell r="E363">
            <v>35.53</v>
          </cell>
          <cell r="F363">
            <v>4903.1400000000003</v>
          </cell>
          <cell r="G363">
            <v>0.15</v>
          </cell>
          <cell r="H363">
            <v>3</v>
          </cell>
          <cell r="I363" t="str">
            <v>Canada</v>
          </cell>
          <cell r="J363" t="str">
            <v>iHerb</v>
          </cell>
        </row>
        <row r="364">
          <cell r="A364" t="str">
            <v>08-06-2020</v>
          </cell>
          <cell r="B364" t="str">
            <v>Ashwagandha</v>
          </cell>
          <cell r="C364" t="str">
            <v>Herbal</v>
          </cell>
          <cell r="D364">
            <v>150</v>
          </cell>
          <cell r="E364">
            <v>12.51</v>
          </cell>
          <cell r="F364">
            <v>1876.5</v>
          </cell>
          <cell r="G364">
            <v>0.01</v>
          </cell>
          <cell r="H364">
            <v>1</v>
          </cell>
          <cell r="I364" t="str">
            <v>Canada</v>
          </cell>
          <cell r="J364" t="str">
            <v>Amazon</v>
          </cell>
        </row>
        <row r="365">
          <cell r="A365" t="str">
            <v>08-06-2020</v>
          </cell>
          <cell r="B365" t="str">
            <v>Melatonin</v>
          </cell>
          <cell r="C365" t="str">
            <v>Sleep Aid</v>
          </cell>
          <cell r="D365">
            <v>148</v>
          </cell>
          <cell r="E365">
            <v>18.03</v>
          </cell>
          <cell r="F365">
            <v>2668.44</v>
          </cell>
          <cell r="G365">
            <v>0.01</v>
          </cell>
          <cell r="H365">
            <v>1</v>
          </cell>
          <cell r="I365" t="str">
            <v>UK</v>
          </cell>
          <cell r="J365" t="str">
            <v>Amazon</v>
          </cell>
        </row>
        <row r="366">
          <cell r="A366" t="str">
            <v>08-06-2020</v>
          </cell>
          <cell r="B366" t="str">
            <v>Biotin</v>
          </cell>
          <cell r="C366" t="str">
            <v>Vitamin</v>
          </cell>
          <cell r="D366">
            <v>140</v>
          </cell>
          <cell r="E366">
            <v>46.23</v>
          </cell>
          <cell r="F366">
            <v>6472.2</v>
          </cell>
          <cell r="G366">
            <v>0.03</v>
          </cell>
          <cell r="H366">
            <v>2</v>
          </cell>
          <cell r="I366" t="str">
            <v>UK</v>
          </cell>
          <cell r="J366" t="str">
            <v>Walmart</v>
          </cell>
        </row>
        <row r="367">
          <cell r="A367" t="str">
            <v>08-06-2020</v>
          </cell>
          <cell r="B367" t="str">
            <v>Green Tea Extract</v>
          </cell>
          <cell r="C367" t="str">
            <v>Fat Burner</v>
          </cell>
          <cell r="D367">
            <v>142</v>
          </cell>
          <cell r="E367">
            <v>28.99</v>
          </cell>
          <cell r="F367">
            <v>4116.58</v>
          </cell>
          <cell r="G367">
            <v>0.2</v>
          </cell>
          <cell r="H367">
            <v>1</v>
          </cell>
          <cell r="I367" t="str">
            <v>USA</v>
          </cell>
          <cell r="J367" t="str">
            <v>Amazon</v>
          </cell>
        </row>
        <row r="368">
          <cell r="A368" t="str">
            <v>08-06-2020</v>
          </cell>
          <cell r="B368" t="str">
            <v>Iron Supplement</v>
          </cell>
          <cell r="C368" t="str">
            <v>Mineral</v>
          </cell>
          <cell r="D368">
            <v>159</v>
          </cell>
          <cell r="E368">
            <v>48.64</v>
          </cell>
          <cell r="F368">
            <v>7733.76</v>
          </cell>
          <cell r="G368">
            <v>0.06</v>
          </cell>
          <cell r="H368">
            <v>2</v>
          </cell>
          <cell r="I368" t="str">
            <v>Canada</v>
          </cell>
          <cell r="J368" t="str">
            <v>Amazon</v>
          </cell>
        </row>
        <row r="369">
          <cell r="A369" t="str">
            <v>08-06-2020</v>
          </cell>
          <cell r="B369" t="str">
            <v>Electrolyte Powder</v>
          </cell>
          <cell r="C369" t="str">
            <v>Hydration</v>
          </cell>
          <cell r="D369">
            <v>152</v>
          </cell>
          <cell r="E369">
            <v>29.37</v>
          </cell>
          <cell r="F369">
            <v>4464.24</v>
          </cell>
          <cell r="G369">
            <v>0.02</v>
          </cell>
          <cell r="H369">
            <v>0</v>
          </cell>
          <cell r="I369" t="str">
            <v>USA</v>
          </cell>
          <cell r="J369" t="str">
            <v>iHerb</v>
          </cell>
        </row>
        <row r="370">
          <cell r="A370" t="str">
            <v>15-06-2020</v>
          </cell>
          <cell r="B370" t="str">
            <v>Whey Protein</v>
          </cell>
          <cell r="C370" t="str">
            <v>Protein</v>
          </cell>
          <cell r="D370">
            <v>163</v>
          </cell>
          <cell r="E370">
            <v>48.76</v>
          </cell>
          <cell r="F370">
            <v>7947.88</v>
          </cell>
          <cell r="G370">
            <v>0.06</v>
          </cell>
          <cell r="H370">
            <v>1</v>
          </cell>
          <cell r="I370" t="str">
            <v>UK</v>
          </cell>
          <cell r="J370" t="str">
            <v>iHerb</v>
          </cell>
        </row>
        <row r="371">
          <cell r="A371" t="str">
            <v>15-06-2020</v>
          </cell>
          <cell r="B371" t="str">
            <v>Vitamin C</v>
          </cell>
          <cell r="C371" t="str">
            <v>Vitamin</v>
          </cell>
          <cell r="D371">
            <v>156</v>
          </cell>
          <cell r="E371">
            <v>23.27</v>
          </cell>
          <cell r="F371">
            <v>3630.12</v>
          </cell>
          <cell r="G371">
            <v>0.15</v>
          </cell>
          <cell r="H371">
            <v>2</v>
          </cell>
          <cell r="I371" t="str">
            <v>USA</v>
          </cell>
          <cell r="J371" t="str">
            <v>iHerb</v>
          </cell>
        </row>
        <row r="372">
          <cell r="A372" t="str">
            <v>15-06-2020</v>
          </cell>
          <cell r="B372" t="str">
            <v>Fish Oil</v>
          </cell>
          <cell r="C372" t="str">
            <v>Omega</v>
          </cell>
          <cell r="D372">
            <v>143</v>
          </cell>
          <cell r="E372">
            <v>57.36</v>
          </cell>
          <cell r="F372">
            <v>8202.48</v>
          </cell>
          <cell r="G372">
            <v>0.22</v>
          </cell>
          <cell r="H372">
            <v>2</v>
          </cell>
          <cell r="I372" t="str">
            <v>Canada</v>
          </cell>
          <cell r="J372" t="str">
            <v>Amazon</v>
          </cell>
        </row>
        <row r="373">
          <cell r="A373" t="str">
            <v>15-06-2020</v>
          </cell>
          <cell r="B373" t="str">
            <v>Multivitamin</v>
          </cell>
          <cell r="C373" t="str">
            <v>Vitamin</v>
          </cell>
          <cell r="D373">
            <v>142</v>
          </cell>
          <cell r="E373">
            <v>58.17</v>
          </cell>
          <cell r="F373">
            <v>8260.14</v>
          </cell>
          <cell r="G373">
            <v>0</v>
          </cell>
          <cell r="H373">
            <v>2</v>
          </cell>
          <cell r="I373" t="str">
            <v>UK</v>
          </cell>
          <cell r="J373" t="str">
            <v>Walmart</v>
          </cell>
        </row>
        <row r="374">
          <cell r="A374" t="str">
            <v>15-06-2020</v>
          </cell>
          <cell r="B374" t="str">
            <v>Pre-Workout</v>
          </cell>
          <cell r="C374" t="str">
            <v>Performance</v>
          </cell>
          <cell r="D374">
            <v>158</v>
          </cell>
          <cell r="E374">
            <v>59.51</v>
          </cell>
          <cell r="F374">
            <v>9402.58</v>
          </cell>
          <cell r="G374">
            <v>0.08</v>
          </cell>
          <cell r="H374">
            <v>1</v>
          </cell>
          <cell r="I374" t="str">
            <v>UK</v>
          </cell>
          <cell r="J374" t="str">
            <v>Walmart</v>
          </cell>
        </row>
        <row r="375">
          <cell r="A375" t="str">
            <v>15-06-2020</v>
          </cell>
          <cell r="B375" t="str">
            <v>BCAA</v>
          </cell>
          <cell r="C375" t="str">
            <v>Amino Acid</v>
          </cell>
          <cell r="D375">
            <v>129</v>
          </cell>
          <cell r="E375">
            <v>23.05</v>
          </cell>
          <cell r="F375">
            <v>2973.45</v>
          </cell>
          <cell r="G375">
            <v>0.09</v>
          </cell>
          <cell r="H375">
            <v>2</v>
          </cell>
          <cell r="I375" t="str">
            <v>Canada</v>
          </cell>
          <cell r="J375" t="str">
            <v>Walmart</v>
          </cell>
        </row>
        <row r="376">
          <cell r="A376" t="str">
            <v>15-06-2020</v>
          </cell>
          <cell r="B376" t="str">
            <v>Creatine</v>
          </cell>
          <cell r="C376" t="str">
            <v>Performance</v>
          </cell>
          <cell r="D376">
            <v>174</v>
          </cell>
          <cell r="E376">
            <v>28.63</v>
          </cell>
          <cell r="F376">
            <v>4981.62</v>
          </cell>
          <cell r="G376">
            <v>0.23</v>
          </cell>
          <cell r="H376">
            <v>0</v>
          </cell>
          <cell r="I376" t="str">
            <v>Canada</v>
          </cell>
          <cell r="J376" t="str">
            <v>Walmart</v>
          </cell>
        </row>
        <row r="377">
          <cell r="A377" t="str">
            <v>15-06-2020</v>
          </cell>
          <cell r="B377" t="str">
            <v>Zinc</v>
          </cell>
          <cell r="C377" t="str">
            <v>Mineral</v>
          </cell>
          <cell r="D377">
            <v>130</v>
          </cell>
          <cell r="E377">
            <v>39.76</v>
          </cell>
          <cell r="F377">
            <v>5168.8</v>
          </cell>
          <cell r="G377">
            <v>0.04</v>
          </cell>
          <cell r="H377">
            <v>4</v>
          </cell>
          <cell r="I377" t="str">
            <v>Canada</v>
          </cell>
          <cell r="J377" t="str">
            <v>Walmart</v>
          </cell>
        </row>
        <row r="378">
          <cell r="A378" t="str">
            <v>15-06-2020</v>
          </cell>
          <cell r="B378" t="str">
            <v>Collagen Peptides</v>
          </cell>
          <cell r="C378" t="str">
            <v>Protein</v>
          </cell>
          <cell r="D378">
            <v>148</v>
          </cell>
          <cell r="E378">
            <v>22.33</v>
          </cell>
          <cell r="F378">
            <v>3304.84</v>
          </cell>
          <cell r="G378">
            <v>0.12</v>
          </cell>
          <cell r="H378">
            <v>2</v>
          </cell>
          <cell r="I378" t="str">
            <v>USA</v>
          </cell>
          <cell r="J378" t="str">
            <v>Amazon</v>
          </cell>
        </row>
        <row r="379">
          <cell r="A379" t="str">
            <v>15-06-2020</v>
          </cell>
          <cell r="B379" t="str">
            <v>Magnesium</v>
          </cell>
          <cell r="C379" t="str">
            <v>Mineral</v>
          </cell>
          <cell r="D379">
            <v>159</v>
          </cell>
          <cell r="E379">
            <v>38.89</v>
          </cell>
          <cell r="F379">
            <v>6183.51</v>
          </cell>
          <cell r="G379">
            <v>0.23</v>
          </cell>
          <cell r="H379">
            <v>3</v>
          </cell>
          <cell r="I379" t="str">
            <v>UK</v>
          </cell>
          <cell r="J379" t="str">
            <v>iHerb</v>
          </cell>
        </row>
        <row r="380">
          <cell r="A380" t="str">
            <v>15-06-2020</v>
          </cell>
          <cell r="B380" t="str">
            <v>Ashwagandha</v>
          </cell>
          <cell r="C380" t="str">
            <v>Herbal</v>
          </cell>
          <cell r="D380">
            <v>160</v>
          </cell>
          <cell r="E380">
            <v>10.34</v>
          </cell>
          <cell r="F380">
            <v>1654.4</v>
          </cell>
          <cell r="G380">
            <v>0.05</v>
          </cell>
          <cell r="H380">
            <v>2</v>
          </cell>
          <cell r="I380" t="str">
            <v>USA</v>
          </cell>
          <cell r="J380" t="str">
            <v>iHerb</v>
          </cell>
        </row>
        <row r="381">
          <cell r="A381" t="str">
            <v>15-06-2020</v>
          </cell>
          <cell r="B381" t="str">
            <v>Melatonin</v>
          </cell>
          <cell r="C381" t="str">
            <v>Sleep Aid</v>
          </cell>
          <cell r="D381">
            <v>147</v>
          </cell>
          <cell r="E381">
            <v>54.23</v>
          </cell>
          <cell r="F381">
            <v>7971.81</v>
          </cell>
          <cell r="G381">
            <v>0.22</v>
          </cell>
          <cell r="H381">
            <v>3</v>
          </cell>
          <cell r="I381" t="str">
            <v>USA</v>
          </cell>
          <cell r="J381" t="str">
            <v>Walmart</v>
          </cell>
        </row>
        <row r="382">
          <cell r="A382" t="str">
            <v>15-06-2020</v>
          </cell>
          <cell r="B382" t="str">
            <v>Biotin</v>
          </cell>
          <cell r="C382" t="str">
            <v>Vitamin</v>
          </cell>
          <cell r="D382">
            <v>143</v>
          </cell>
          <cell r="E382">
            <v>23.58</v>
          </cell>
          <cell r="F382">
            <v>3371.94</v>
          </cell>
          <cell r="G382">
            <v>0.05</v>
          </cell>
          <cell r="H382">
            <v>0</v>
          </cell>
          <cell r="I382" t="str">
            <v>USA</v>
          </cell>
          <cell r="J382" t="str">
            <v>iHerb</v>
          </cell>
        </row>
        <row r="383">
          <cell r="A383" t="str">
            <v>15-06-2020</v>
          </cell>
          <cell r="B383" t="str">
            <v>Green Tea Extract</v>
          </cell>
          <cell r="C383" t="str">
            <v>Fat Burner</v>
          </cell>
          <cell r="D383">
            <v>144</v>
          </cell>
          <cell r="E383">
            <v>51.55</v>
          </cell>
          <cell r="F383">
            <v>7423.2</v>
          </cell>
          <cell r="G383">
            <v>0.03</v>
          </cell>
          <cell r="H383">
            <v>2</v>
          </cell>
          <cell r="I383" t="str">
            <v>Canada</v>
          </cell>
          <cell r="J383" t="str">
            <v>iHerb</v>
          </cell>
        </row>
        <row r="384">
          <cell r="A384" t="str">
            <v>15-06-2020</v>
          </cell>
          <cell r="B384" t="str">
            <v>Iron Supplement</v>
          </cell>
          <cell r="C384" t="str">
            <v>Mineral</v>
          </cell>
          <cell r="D384">
            <v>151</v>
          </cell>
          <cell r="E384">
            <v>34.64</v>
          </cell>
          <cell r="F384">
            <v>5230.6400000000003</v>
          </cell>
          <cell r="G384">
            <v>7.0000000000000007E-2</v>
          </cell>
          <cell r="H384">
            <v>2</v>
          </cell>
          <cell r="I384" t="str">
            <v>UK</v>
          </cell>
          <cell r="J384" t="str">
            <v>Walmart</v>
          </cell>
        </row>
        <row r="385">
          <cell r="A385" t="str">
            <v>15-06-2020</v>
          </cell>
          <cell r="B385" t="str">
            <v>Electrolyte Powder</v>
          </cell>
          <cell r="C385" t="str">
            <v>Hydration</v>
          </cell>
          <cell r="D385">
            <v>148</v>
          </cell>
          <cell r="E385">
            <v>15.83</v>
          </cell>
          <cell r="F385">
            <v>2342.84</v>
          </cell>
          <cell r="G385">
            <v>0.14000000000000001</v>
          </cell>
          <cell r="H385">
            <v>3</v>
          </cell>
          <cell r="I385" t="str">
            <v>USA</v>
          </cell>
          <cell r="J385" t="str">
            <v>Walmart</v>
          </cell>
        </row>
        <row r="386">
          <cell r="A386" t="str">
            <v>22-06-2020</v>
          </cell>
          <cell r="B386" t="str">
            <v>Whey Protein</v>
          </cell>
          <cell r="C386" t="str">
            <v>Protein</v>
          </cell>
          <cell r="D386">
            <v>144</v>
          </cell>
          <cell r="E386">
            <v>42.93</v>
          </cell>
          <cell r="F386">
            <v>6181.92</v>
          </cell>
          <cell r="G386">
            <v>0.23</v>
          </cell>
          <cell r="H386">
            <v>2</v>
          </cell>
          <cell r="I386" t="str">
            <v>Canada</v>
          </cell>
          <cell r="J386" t="str">
            <v>iHerb</v>
          </cell>
        </row>
        <row r="387">
          <cell r="A387" t="str">
            <v>22-06-2020</v>
          </cell>
          <cell r="B387" t="str">
            <v>Vitamin C</v>
          </cell>
          <cell r="C387" t="str">
            <v>Vitamin</v>
          </cell>
          <cell r="D387">
            <v>152</v>
          </cell>
          <cell r="E387">
            <v>54.92</v>
          </cell>
          <cell r="F387">
            <v>8347.84</v>
          </cell>
          <cell r="G387">
            <v>0.1</v>
          </cell>
          <cell r="H387">
            <v>1</v>
          </cell>
          <cell r="I387" t="str">
            <v>UK</v>
          </cell>
          <cell r="J387" t="str">
            <v>Amazon</v>
          </cell>
        </row>
        <row r="388">
          <cell r="A388" t="str">
            <v>22-06-2020</v>
          </cell>
          <cell r="B388" t="str">
            <v>Fish Oil</v>
          </cell>
          <cell r="C388" t="str">
            <v>Omega</v>
          </cell>
          <cell r="D388">
            <v>162</v>
          </cell>
          <cell r="E388">
            <v>38.840000000000003</v>
          </cell>
          <cell r="F388">
            <v>6292.08</v>
          </cell>
          <cell r="G388">
            <v>0.12</v>
          </cell>
          <cell r="H388">
            <v>0</v>
          </cell>
          <cell r="I388" t="str">
            <v>UK</v>
          </cell>
          <cell r="J388" t="str">
            <v>iHerb</v>
          </cell>
        </row>
        <row r="389">
          <cell r="A389" t="str">
            <v>22-06-2020</v>
          </cell>
          <cell r="B389" t="str">
            <v>Multivitamin</v>
          </cell>
          <cell r="C389" t="str">
            <v>Vitamin</v>
          </cell>
          <cell r="D389">
            <v>127</v>
          </cell>
          <cell r="E389">
            <v>46.94</v>
          </cell>
          <cell r="F389">
            <v>5961.38</v>
          </cell>
          <cell r="G389">
            <v>0.01</v>
          </cell>
          <cell r="H389">
            <v>2</v>
          </cell>
          <cell r="I389" t="str">
            <v>USA</v>
          </cell>
          <cell r="J389" t="str">
            <v>iHerb</v>
          </cell>
        </row>
        <row r="390">
          <cell r="A390" t="str">
            <v>22-06-2020</v>
          </cell>
          <cell r="B390" t="str">
            <v>Pre-Workout</v>
          </cell>
          <cell r="C390" t="str">
            <v>Performance</v>
          </cell>
          <cell r="D390">
            <v>151</v>
          </cell>
          <cell r="E390">
            <v>18.63</v>
          </cell>
          <cell r="F390">
            <v>2813.13</v>
          </cell>
          <cell r="G390">
            <v>0.14000000000000001</v>
          </cell>
          <cell r="H390">
            <v>1</v>
          </cell>
          <cell r="I390" t="str">
            <v>USA</v>
          </cell>
          <cell r="J390" t="str">
            <v>Walmart</v>
          </cell>
        </row>
        <row r="391">
          <cell r="A391" t="str">
            <v>22-06-2020</v>
          </cell>
          <cell r="B391" t="str">
            <v>BCAA</v>
          </cell>
          <cell r="C391" t="str">
            <v>Amino Acid</v>
          </cell>
          <cell r="D391">
            <v>174</v>
          </cell>
          <cell r="E391">
            <v>59.18</v>
          </cell>
          <cell r="F391">
            <v>10297.32</v>
          </cell>
          <cell r="G391">
            <v>0.06</v>
          </cell>
          <cell r="H391">
            <v>5</v>
          </cell>
          <cell r="I391" t="str">
            <v>UK</v>
          </cell>
          <cell r="J391" t="str">
            <v>iHerb</v>
          </cell>
        </row>
        <row r="392">
          <cell r="A392" t="str">
            <v>22-06-2020</v>
          </cell>
          <cell r="B392" t="str">
            <v>Creatine</v>
          </cell>
          <cell r="C392" t="str">
            <v>Performance</v>
          </cell>
          <cell r="D392">
            <v>148</v>
          </cell>
          <cell r="E392">
            <v>12.52</v>
          </cell>
          <cell r="F392">
            <v>1852.96</v>
          </cell>
          <cell r="G392">
            <v>0.01</v>
          </cell>
          <cell r="H392">
            <v>2</v>
          </cell>
          <cell r="I392" t="str">
            <v>UK</v>
          </cell>
          <cell r="J392" t="str">
            <v>Amazon</v>
          </cell>
        </row>
        <row r="393">
          <cell r="A393" t="str">
            <v>22-06-2020</v>
          </cell>
          <cell r="B393" t="str">
            <v>Zinc</v>
          </cell>
          <cell r="C393" t="str">
            <v>Mineral</v>
          </cell>
          <cell r="D393">
            <v>148</v>
          </cell>
          <cell r="E393">
            <v>40.700000000000003</v>
          </cell>
          <cell r="F393">
            <v>6023.6</v>
          </cell>
          <cell r="G393">
            <v>0.06</v>
          </cell>
          <cell r="H393">
            <v>2</v>
          </cell>
          <cell r="I393" t="str">
            <v>UK</v>
          </cell>
          <cell r="J393" t="str">
            <v>Amazon</v>
          </cell>
        </row>
        <row r="394">
          <cell r="A394" t="str">
            <v>22-06-2020</v>
          </cell>
          <cell r="B394" t="str">
            <v>Collagen Peptides</v>
          </cell>
          <cell r="C394" t="str">
            <v>Protein</v>
          </cell>
          <cell r="D394">
            <v>145</v>
          </cell>
          <cell r="E394">
            <v>51.03</v>
          </cell>
          <cell r="F394">
            <v>7399.35</v>
          </cell>
          <cell r="G394">
            <v>0.12</v>
          </cell>
          <cell r="H394">
            <v>1</v>
          </cell>
          <cell r="I394" t="str">
            <v>Canada</v>
          </cell>
          <cell r="J394" t="str">
            <v>Walmart</v>
          </cell>
        </row>
        <row r="395">
          <cell r="A395" t="str">
            <v>22-06-2020</v>
          </cell>
          <cell r="B395" t="str">
            <v>Magnesium</v>
          </cell>
          <cell r="C395" t="str">
            <v>Mineral</v>
          </cell>
          <cell r="D395">
            <v>145</v>
          </cell>
          <cell r="E395">
            <v>26.41</v>
          </cell>
          <cell r="F395">
            <v>3829.45</v>
          </cell>
          <cell r="G395">
            <v>0.05</v>
          </cell>
          <cell r="H395">
            <v>0</v>
          </cell>
          <cell r="I395" t="str">
            <v>UK</v>
          </cell>
          <cell r="J395" t="str">
            <v>iHerb</v>
          </cell>
        </row>
        <row r="396">
          <cell r="A396" t="str">
            <v>22-06-2020</v>
          </cell>
          <cell r="B396" t="str">
            <v>Ashwagandha</v>
          </cell>
          <cell r="C396" t="str">
            <v>Herbal</v>
          </cell>
          <cell r="D396">
            <v>149</v>
          </cell>
          <cell r="E396">
            <v>52.05</v>
          </cell>
          <cell r="F396">
            <v>7755.45</v>
          </cell>
          <cell r="G396">
            <v>0.06</v>
          </cell>
          <cell r="H396">
            <v>1</v>
          </cell>
          <cell r="I396" t="str">
            <v>Canada</v>
          </cell>
          <cell r="J396" t="str">
            <v>iHerb</v>
          </cell>
        </row>
        <row r="397">
          <cell r="A397" t="str">
            <v>22-06-2020</v>
          </cell>
          <cell r="B397" t="str">
            <v>Melatonin</v>
          </cell>
          <cell r="C397" t="str">
            <v>Sleep Aid</v>
          </cell>
          <cell r="D397">
            <v>162</v>
          </cell>
          <cell r="E397">
            <v>29.23</v>
          </cell>
          <cell r="F397">
            <v>4735.26</v>
          </cell>
          <cell r="G397">
            <v>0.11</v>
          </cell>
          <cell r="H397">
            <v>1</v>
          </cell>
          <cell r="I397" t="str">
            <v>UK</v>
          </cell>
          <cell r="J397" t="str">
            <v>Walmart</v>
          </cell>
        </row>
        <row r="398">
          <cell r="A398" t="str">
            <v>22-06-2020</v>
          </cell>
          <cell r="B398" t="str">
            <v>Biotin</v>
          </cell>
          <cell r="C398" t="str">
            <v>Vitamin</v>
          </cell>
          <cell r="D398">
            <v>173</v>
          </cell>
          <cell r="E398">
            <v>56.69</v>
          </cell>
          <cell r="F398">
            <v>9807.3700000000008</v>
          </cell>
          <cell r="G398">
            <v>0.17</v>
          </cell>
          <cell r="H398">
            <v>2</v>
          </cell>
          <cell r="I398" t="str">
            <v>UK</v>
          </cell>
          <cell r="J398" t="str">
            <v>iHerb</v>
          </cell>
        </row>
        <row r="399">
          <cell r="A399" t="str">
            <v>22-06-2020</v>
          </cell>
          <cell r="B399" t="str">
            <v>Green Tea Extract</v>
          </cell>
          <cell r="C399" t="str">
            <v>Fat Burner</v>
          </cell>
          <cell r="D399">
            <v>147</v>
          </cell>
          <cell r="E399">
            <v>42.82</v>
          </cell>
          <cell r="F399">
            <v>6294.54</v>
          </cell>
          <cell r="G399">
            <v>0.24</v>
          </cell>
          <cell r="H399">
            <v>1</v>
          </cell>
          <cell r="I399" t="str">
            <v>USA</v>
          </cell>
          <cell r="J399" t="str">
            <v>iHerb</v>
          </cell>
        </row>
        <row r="400">
          <cell r="A400" t="str">
            <v>22-06-2020</v>
          </cell>
          <cell r="B400" t="str">
            <v>Iron Supplement</v>
          </cell>
          <cell r="C400" t="str">
            <v>Mineral</v>
          </cell>
          <cell r="D400">
            <v>158</v>
          </cell>
          <cell r="E400">
            <v>30.88</v>
          </cell>
          <cell r="F400">
            <v>4879.04</v>
          </cell>
          <cell r="G400">
            <v>0.03</v>
          </cell>
          <cell r="H400">
            <v>2</v>
          </cell>
          <cell r="I400" t="str">
            <v>UK</v>
          </cell>
          <cell r="J400" t="str">
            <v>iHerb</v>
          </cell>
        </row>
        <row r="401">
          <cell r="A401" t="str">
            <v>22-06-2020</v>
          </cell>
          <cell r="B401" t="str">
            <v>Electrolyte Powder</v>
          </cell>
          <cell r="C401" t="str">
            <v>Hydration</v>
          </cell>
          <cell r="D401">
            <v>174</v>
          </cell>
          <cell r="E401">
            <v>13.84</v>
          </cell>
          <cell r="F401">
            <v>2408.16</v>
          </cell>
          <cell r="G401">
            <v>0.09</v>
          </cell>
          <cell r="H401">
            <v>2</v>
          </cell>
          <cell r="I401" t="str">
            <v>UK</v>
          </cell>
          <cell r="J401" t="str">
            <v>iHerb</v>
          </cell>
        </row>
        <row r="402">
          <cell r="A402" t="str">
            <v>29-06-2020</v>
          </cell>
          <cell r="B402" t="str">
            <v>Whey Protein</v>
          </cell>
          <cell r="C402" t="str">
            <v>Protein</v>
          </cell>
          <cell r="D402">
            <v>146</v>
          </cell>
          <cell r="E402">
            <v>50.73</v>
          </cell>
          <cell r="F402">
            <v>7406.58</v>
          </cell>
          <cell r="G402">
            <v>0.15</v>
          </cell>
          <cell r="H402">
            <v>1</v>
          </cell>
          <cell r="I402" t="str">
            <v>Canada</v>
          </cell>
          <cell r="J402" t="str">
            <v>Walmart</v>
          </cell>
        </row>
        <row r="403">
          <cell r="A403" t="str">
            <v>29-06-2020</v>
          </cell>
          <cell r="B403" t="str">
            <v>Vitamin C</v>
          </cell>
          <cell r="C403" t="str">
            <v>Vitamin</v>
          </cell>
          <cell r="D403">
            <v>141</v>
          </cell>
          <cell r="E403">
            <v>27.74</v>
          </cell>
          <cell r="F403">
            <v>3911.34</v>
          </cell>
          <cell r="G403">
            <v>0.1</v>
          </cell>
          <cell r="H403">
            <v>2</v>
          </cell>
          <cell r="I403" t="str">
            <v>Canada</v>
          </cell>
          <cell r="J403" t="str">
            <v>Amazon</v>
          </cell>
        </row>
        <row r="404">
          <cell r="A404" t="str">
            <v>29-06-2020</v>
          </cell>
          <cell r="B404" t="str">
            <v>Fish Oil</v>
          </cell>
          <cell r="C404" t="str">
            <v>Omega</v>
          </cell>
          <cell r="D404">
            <v>156</v>
          </cell>
          <cell r="E404">
            <v>29.76</v>
          </cell>
          <cell r="F404">
            <v>4642.5600000000004</v>
          </cell>
          <cell r="G404">
            <v>0.05</v>
          </cell>
          <cell r="H404">
            <v>0</v>
          </cell>
          <cell r="I404" t="str">
            <v>USA</v>
          </cell>
          <cell r="J404" t="str">
            <v>Amazon</v>
          </cell>
        </row>
        <row r="405">
          <cell r="A405" t="str">
            <v>29-06-2020</v>
          </cell>
          <cell r="B405" t="str">
            <v>Multivitamin</v>
          </cell>
          <cell r="C405" t="str">
            <v>Vitamin</v>
          </cell>
          <cell r="D405">
            <v>163</v>
          </cell>
          <cell r="E405">
            <v>30.96</v>
          </cell>
          <cell r="F405">
            <v>5046.4799999999996</v>
          </cell>
          <cell r="G405">
            <v>0.04</v>
          </cell>
          <cell r="H405">
            <v>3</v>
          </cell>
          <cell r="I405" t="str">
            <v>USA</v>
          </cell>
          <cell r="J405" t="str">
            <v>Amazon</v>
          </cell>
        </row>
        <row r="406">
          <cell r="A406" t="str">
            <v>29-06-2020</v>
          </cell>
          <cell r="B406" t="str">
            <v>Pre-Workout</v>
          </cell>
          <cell r="C406" t="str">
            <v>Performance</v>
          </cell>
          <cell r="D406">
            <v>152</v>
          </cell>
          <cell r="E406">
            <v>35.119999999999997</v>
          </cell>
          <cell r="F406">
            <v>5338.24</v>
          </cell>
          <cell r="G406">
            <v>0.18</v>
          </cell>
          <cell r="H406">
            <v>4</v>
          </cell>
          <cell r="I406" t="str">
            <v>USA</v>
          </cell>
          <cell r="J406" t="str">
            <v>iHerb</v>
          </cell>
        </row>
        <row r="407">
          <cell r="A407" t="str">
            <v>29-06-2020</v>
          </cell>
          <cell r="B407" t="str">
            <v>BCAA</v>
          </cell>
          <cell r="C407" t="str">
            <v>Amino Acid</v>
          </cell>
          <cell r="D407">
            <v>139</v>
          </cell>
          <cell r="E407">
            <v>56.72</v>
          </cell>
          <cell r="F407">
            <v>7884.08</v>
          </cell>
          <cell r="G407">
            <v>0.23</v>
          </cell>
          <cell r="H407">
            <v>2</v>
          </cell>
          <cell r="I407" t="str">
            <v>UK</v>
          </cell>
          <cell r="J407" t="str">
            <v>Walmart</v>
          </cell>
        </row>
        <row r="408">
          <cell r="A408" t="str">
            <v>29-06-2020</v>
          </cell>
          <cell r="B408" t="str">
            <v>Creatine</v>
          </cell>
          <cell r="C408" t="str">
            <v>Performance</v>
          </cell>
          <cell r="D408">
            <v>155</v>
          </cell>
          <cell r="E408">
            <v>47.62</v>
          </cell>
          <cell r="F408">
            <v>7381.1</v>
          </cell>
          <cell r="G408">
            <v>0.13</v>
          </cell>
          <cell r="H408">
            <v>2</v>
          </cell>
          <cell r="I408" t="str">
            <v>Canada</v>
          </cell>
          <cell r="J408" t="str">
            <v>iHerb</v>
          </cell>
        </row>
        <row r="409">
          <cell r="A409" t="str">
            <v>29-06-2020</v>
          </cell>
          <cell r="B409" t="str">
            <v>Zinc</v>
          </cell>
          <cell r="C409" t="str">
            <v>Mineral</v>
          </cell>
          <cell r="D409">
            <v>147</v>
          </cell>
          <cell r="E409">
            <v>51.22</v>
          </cell>
          <cell r="F409">
            <v>7529.34</v>
          </cell>
          <cell r="G409">
            <v>0.04</v>
          </cell>
          <cell r="H409">
            <v>3</v>
          </cell>
          <cell r="I409" t="str">
            <v>UK</v>
          </cell>
          <cell r="J409" t="str">
            <v>Walmart</v>
          </cell>
        </row>
        <row r="410">
          <cell r="A410" t="str">
            <v>29-06-2020</v>
          </cell>
          <cell r="B410" t="str">
            <v>Collagen Peptides</v>
          </cell>
          <cell r="C410" t="str">
            <v>Protein</v>
          </cell>
          <cell r="D410">
            <v>151</v>
          </cell>
          <cell r="E410">
            <v>31.57</v>
          </cell>
          <cell r="F410">
            <v>4767.07</v>
          </cell>
          <cell r="G410">
            <v>0.09</v>
          </cell>
          <cell r="H410">
            <v>3</v>
          </cell>
          <cell r="I410" t="str">
            <v>Canada</v>
          </cell>
          <cell r="J410" t="str">
            <v>iHerb</v>
          </cell>
        </row>
        <row r="411">
          <cell r="A411" t="str">
            <v>29-06-2020</v>
          </cell>
          <cell r="B411" t="str">
            <v>Magnesium</v>
          </cell>
          <cell r="C411" t="str">
            <v>Mineral</v>
          </cell>
          <cell r="D411">
            <v>141</v>
          </cell>
          <cell r="E411">
            <v>34.200000000000003</v>
          </cell>
          <cell r="F411">
            <v>4822.2</v>
          </cell>
          <cell r="G411">
            <v>0.13</v>
          </cell>
          <cell r="H411">
            <v>1</v>
          </cell>
          <cell r="I411" t="str">
            <v>Canada</v>
          </cell>
          <cell r="J411" t="str">
            <v>Amazon</v>
          </cell>
        </row>
        <row r="412">
          <cell r="A412" t="str">
            <v>29-06-2020</v>
          </cell>
          <cell r="B412" t="str">
            <v>Ashwagandha</v>
          </cell>
          <cell r="C412" t="str">
            <v>Herbal</v>
          </cell>
          <cell r="D412">
            <v>153</v>
          </cell>
          <cell r="E412">
            <v>11.96</v>
          </cell>
          <cell r="F412">
            <v>1829.88</v>
          </cell>
          <cell r="G412">
            <v>7.0000000000000007E-2</v>
          </cell>
          <cell r="H412">
            <v>0</v>
          </cell>
          <cell r="I412" t="str">
            <v>UK</v>
          </cell>
          <cell r="J412" t="str">
            <v>Amazon</v>
          </cell>
        </row>
        <row r="413">
          <cell r="A413" t="str">
            <v>29-06-2020</v>
          </cell>
          <cell r="B413" t="str">
            <v>Melatonin</v>
          </cell>
          <cell r="C413" t="str">
            <v>Sleep Aid</v>
          </cell>
          <cell r="D413">
            <v>146</v>
          </cell>
          <cell r="E413">
            <v>27.29</v>
          </cell>
          <cell r="F413">
            <v>3984.34</v>
          </cell>
          <cell r="G413">
            <v>0.17</v>
          </cell>
          <cell r="H413">
            <v>2</v>
          </cell>
          <cell r="I413" t="str">
            <v>UK</v>
          </cell>
          <cell r="J413" t="str">
            <v>Amazon</v>
          </cell>
        </row>
        <row r="414">
          <cell r="A414" t="str">
            <v>29-06-2020</v>
          </cell>
          <cell r="B414" t="str">
            <v>Biotin</v>
          </cell>
          <cell r="C414" t="str">
            <v>Vitamin</v>
          </cell>
          <cell r="D414">
            <v>176</v>
          </cell>
          <cell r="E414">
            <v>49.16</v>
          </cell>
          <cell r="F414">
            <v>8652.16</v>
          </cell>
          <cell r="G414">
            <v>7.0000000000000007E-2</v>
          </cell>
          <cell r="H414">
            <v>5</v>
          </cell>
          <cell r="I414" t="str">
            <v>Canada</v>
          </cell>
          <cell r="J414" t="str">
            <v>iHerb</v>
          </cell>
        </row>
        <row r="415">
          <cell r="A415" t="str">
            <v>29-06-2020</v>
          </cell>
          <cell r="B415" t="str">
            <v>Green Tea Extract</v>
          </cell>
          <cell r="C415" t="str">
            <v>Fat Burner</v>
          </cell>
          <cell r="D415">
            <v>156</v>
          </cell>
          <cell r="E415">
            <v>16.02</v>
          </cell>
          <cell r="F415">
            <v>2499.12</v>
          </cell>
          <cell r="G415">
            <v>0.23</v>
          </cell>
          <cell r="H415">
            <v>0</v>
          </cell>
          <cell r="I415" t="str">
            <v>Canada</v>
          </cell>
          <cell r="J415" t="str">
            <v>Walmart</v>
          </cell>
        </row>
        <row r="416">
          <cell r="A416" t="str">
            <v>29-06-2020</v>
          </cell>
          <cell r="B416" t="str">
            <v>Iron Supplement</v>
          </cell>
          <cell r="C416" t="str">
            <v>Mineral</v>
          </cell>
          <cell r="D416">
            <v>154</v>
          </cell>
          <cell r="E416">
            <v>25.36</v>
          </cell>
          <cell r="F416">
            <v>3905.44</v>
          </cell>
          <cell r="G416">
            <v>0.14000000000000001</v>
          </cell>
          <cell r="H416">
            <v>1</v>
          </cell>
          <cell r="I416" t="str">
            <v>Canada</v>
          </cell>
          <cell r="J416" t="str">
            <v>iHerb</v>
          </cell>
        </row>
        <row r="417">
          <cell r="A417" t="str">
            <v>29-06-2020</v>
          </cell>
          <cell r="B417" t="str">
            <v>Electrolyte Powder</v>
          </cell>
          <cell r="C417" t="str">
            <v>Hydration</v>
          </cell>
          <cell r="D417">
            <v>136</v>
          </cell>
          <cell r="E417">
            <v>30.91</v>
          </cell>
          <cell r="F417">
            <v>4203.76</v>
          </cell>
          <cell r="G417">
            <v>0.19</v>
          </cell>
          <cell r="H417">
            <v>3</v>
          </cell>
          <cell r="I417" t="str">
            <v>Canada</v>
          </cell>
          <cell r="J417" t="str">
            <v>Amazon</v>
          </cell>
        </row>
        <row r="418">
          <cell r="A418" t="str">
            <v>06-07-2020</v>
          </cell>
          <cell r="B418" t="str">
            <v>Whey Protein</v>
          </cell>
          <cell r="C418" t="str">
            <v>Protein</v>
          </cell>
          <cell r="D418">
            <v>129</v>
          </cell>
          <cell r="E418">
            <v>15.01</v>
          </cell>
          <cell r="F418">
            <v>1936.29</v>
          </cell>
          <cell r="G418">
            <v>0</v>
          </cell>
          <cell r="H418">
            <v>2</v>
          </cell>
          <cell r="I418" t="str">
            <v>UK</v>
          </cell>
          <cell r="J418" t="str">
            <v>iHerb</v>
          </cell>
        </row>
        <row r="419">
          <cell r="A419" t="str">
            <v>06-07-2020</v>
          </cell>
          <cell r="B419" t="str">
            <v>Vitamin C</v>
          </cell>
          <cell r="C419" t="str">
            <v>Vitamin</v>
          </cell>
          <cell r="D419">
            <v>154</v>
          </cell>
          <cell r="E419">
            <v>21.69</v>
          </cell>
          <cell r="F419">
            <v>3340.26</v>
          </cell>
          <cell r="G419">
            <v>0.01</v>
          </cell>
          <cell r="H419">
            <v>3</v>
          </cell>
          <cell r="I419" t="str">
            <v>Canada</v>
          </cell>
          <cell r="J419" t="str">
            <v>Walmart</v>
          </cell>
        </row>
        <row r="420">
          <cell r="A420" t="str">
            <v>06-07-2020</v>
          </cell>
          <cell r="B420" t="str">
            <v>Fish Oil</v>
          </cell>
          <cell r="C420" t="str">
            <v>Omega</v>
          </cell>
          <cell r="D420">
            <v>140</v>
          </cell>
          <cell r="E420">
            <v>56.32</v>
          </cell>
          <cell r="F420">
            <v>7884.8</v>
          </cell>
          <cell r="G420">
            <v>0.1</v>
          </cell>
          <cell r="H420">
            <v>0</v>
          </cell>
          <cell r="I420" t="str">
            <v>USA</v>
          </cell>
          <cell r="J420" t="str">
            <v>Amazon</v>
          </cell>
        </row>
        <row r="421">
          <cell r="A421" t="str">
            <v>06-07-2020</v>
          </cell>
          <cell r="B421" t="str">
            <v>Multivitamin</v>
          </cell>
          <cell r="C421" t="str">
            <v>Vitamin</v>
          </cell>
          <cell r="D421">
            <v>146</v>
          </cell>
          <cell r="E421">
            <v>39.159999999999997</v>
          </cell>
          <cell r="F421">
            <v>5717.36</v>
          </cell>
          <cell r="G421">
            <v>0</v>
          </cell>
          <cell r="H421">
            <v>2</v>
          </cell>
          <cell r="I421" t="str">
            <v>Canada</v>
          </cell>
          <cell r="J421" t="str">
            <v>Walmart</v>
          </cell>
        </row>
        <row r="422">
          <cell r="A422" t="str">
            <v>06-07-2020</v>
          </cell>
          <cell r="B422" t="str">
            <v>Pre-Workout</v>
          </cell>
          <cell r="C422" t="str">
            <v>Performance</v>
          </cell>
          <cell r="D422">
            <v>143</v>
          </cell>
          <cell r="E422">
            <v>39.42</v>
          </cell>
          <cell r="F422">
            <v>5637.06</v>
          </cell>
          <cell r="G422">
            <v>0.1</v>
          </cell>
          <cell r="H422">
            <v>4</v>
          </cell>
          <cell r="I422" t="str">
            <v>UK</v>
          </cell>
          <cell r="J422" t="str">
            <v>Walmart</v>
          </cell>
        </row>
        <row r="423">
          <cell r="A423" t="str">
            <v>06-07-2020</v>
          </cell>
          <cell r="B423" t="str">
            <v>BCAA</v>
          </cell>
          <cell r="C423" t="str">
            <v>Amino Acid</v>
          </cell>
          <cell r="D423">
            <v>151</v>
          </cell>
          <cell r="E423">
            <v>45.47</v>
          </cell>
          <cell r="F423">
            <v>6865.97</v>
          </cell>
          <cell r="G423">
            <v>7.0000000000000007E-2</v>
          </cell>
          <cell r="H423">
            <v>3</v>
          </cell>
          <cell r="I423" t="str">
            <v>Canada</v>
          </cell>
          <cell r="J423" t="str">
            <v>iHerb</v>
          </cell>
        </row>
        <row r="424">
          <cell r="A424" t="str">
            <v>06-07-2020</v>
          </cell>
          <cell r="B424" t="str">
            <v>Creatine</v>
          </cell>
          <cell r="C424" t="str">
            <v>Performance</v>
          </cell>
          <cell r="D424">
            <v>145</v>
          </cell>
          <cell r="E424">
            <v>12.53</v>
          </cell>
          <cell r="F424">
            <v>1816.85</v>
          </cell>
          <cell r="G424">
            <v>0.11</v>
          </cell>
          <cell r="H424">
            <v>3</v>
          </cell>
          <cell r="I424" t="str">
            <v>USA</v>
          </cell>
          <cell r="J424" t="str">
            <v>Amazon</v>
          </cell>
        </row>
        <row r="425">
          <cell r="A425" t="str">
            <v>06-07-2020</v>
          </cell>
          <cell r="B425" t="str">
            <v>Zinc</v>
          </cell>
          <cell r="C425" t="str">
            <v>Mineral</v>
          </cell>
          <cell r="D425">
            <v>162</v>
          </cell>
          <cell r="E425">
            <v>21.3</v>
          </cell>
          <cell r="F425">
            <v>3450.6</v>
          </cell>
          <cell r="G425">
            <v>0.2</v>
          </cell>
          <cell r="H425">
            <v>4</v>
          </cell>
          <cell r="I425" t="str">
            <v>UK</v>
          </cell>
          <cell r="J425" t="str">
            <v>Walmart</v>
          </cell>
        </row>
        <row r="426">
          <cell r="A426" t="str">
            <v>06-07-2020</v>
          </cell>
          <cell r="B426" t="str">
            <v>Collagen Peptides</v>
          </cell>
          <cell r="C426" t="str">
            <v>Protein</v>
          </cell>
          <cell r="D426">
            <v>131</v>
          </cell>
          <cell r="E426">
            <v>26.87</v>
          </cell>
          <cell r="F426">
            <v>3519.97</v>
          </cell>
          <cell r="G426">
            <v>0.22</v>
          </cell>
          <cell r="H426">
            <v>0</v>
          </cell>
          <cell r="I426" t="str">
            <v>USA</v>
          </cell>
          <cell r="J426" t="str">
            <v>Walmart</v>
          </cell>
        </row>
        <row r="427">
          <cell r="A427" t="str">
            <v>06-07-2020</v>
          </cell>
          <cell r="B427" t="str">
            <v>Magnesium</v>
          </cell>
          <cell r="C427" t="str">
            <v>Mineral</v>
          </cell>
          <cell r="D427">
            <v>139</v>
          </cell>
          <cell r="E427">
            <v>12.56</v>
          </cell>
          <cell r="F427">
            <v>1745.84</v>
          </cell>
          <cell r="G427">
            <v>0.12</v>
          </cell>
          <cell r="H427">
            <v>1</v>
          </cell>
          <cell r="I427" t="str">
            <v>UK</v>
          </cell>
          <cell r="J427" t="str">
            <v>iHerb</v>
          </cell>
        </row>
        <row r="428">
          <cell r="A428" t="str">
            <v>06-07-2020</v>
          </cell>
          <cell r="B428" t="str">
            <v>Ashwagandha</v>
          </cell>
          <cell r="C428" t="str">
            <v>Herbal</v>
          </cell>
          <cell r="D428">
            <v>144</v>
          </cell>
          <cell r="E428">
            <v>36.5</v>
          </cell>
          <cell r="F428">
            <v>5256</v>
          </cell>
          <cell r="G428">
            <v>0.04</v>
          </cell>
          <cell r="H428">
            <v>1</v>
          </cell>
          <cell r="I428" t="str">
            <v>USA</v>
          </cell>
          <cell r="J428" t="str">
            <v>iHerb</v>
          </cell>
        </row>
        <row r="429">
          <cell r="A429" t="str">
            <v>06-07-2020</v>
          </cell>
          <cell r="B429" t="str">
            <v>Melatonin</v>
          </cell>
          <cell r="C429" t="str">
            <v>Sleep Aid</v>
          </cell>
          <cell r="D429">
            <v>162</v>
          </cell>
          <cell r="E429">
            <v>17.690000000000001</v>
          </cell>
          <cell r="F429">
            <v>2865.78</v>
          </cell>
          <cell r="G429">
            <v>0.04</v>
          </cell>
          <cell r="H429">
            <v>1</v>
          </cell>
          <cell r="I429" t="str">
            <v>Canada</v>
          </cell>
          <cell r="J429" t="str">
            <v>Walmart</v>
          </cell>
        </row>
        <row r="430">
          <cell r="A430" t="str">
            <v>06-07-2020</v>
          </cell>
          <cell r="B430" t="str">
            <v>Biotin</v>
          </cell>
          <cell r="C430" t="str">
            <v>Vitamin</v>
          </cell>
          <cell r="D430">
            <v>145</v>
          </cell>
          <cell r="E430">
            <v>43.98</v>
          </cell>
          <cell r="F430">
            <v>6377.1</v>
          </cell>
          <cell r="G430">
            <v>0.01</v>
          </cell>
          <cell r="H430">
            <v>0</v>
          </cell>
          <cell r="I430" t="str">
            <v>USA</v>
          </cell>
          <cell r="J430" t="str">
            <v>Amazon</v>
          </cell>
        </row>
        <row r="431">
          <cell r="A431" t="str">
            <v>06-07-2020</v>
          </cell>
          <cell r="B431" t="str">
            <v>Green Tea Extract</v>
          </cell>
          <cell r="C431" t="str">
            <v>Fat Burner</v>
          </cell>
          <cell r="D431">
            <v>146</v>
          </cell>
          <cell r="E431">
            <v>19.670000000000002</v>
          </cell>
          <cell r="F431">
            <v>2871.82</v>
          </cell>
          <cell r="G431">
            <v>0.16</v>
          </cell>
          <cell r="H431">
            <v>1</v>
          </cell>
          <cell r="I431" t="str">
            <v>Canada</v>
          </cell>
          <cell r="J431" t="str">
            <v>iHerb</v>
          </cell>
        </row>
        <row r="432">
          <cell r="A432" t="str">
            <v>06-07-2020</v>
          </cell>
          <cell r="B432" t="str">
            <v>Iron Supplement</v>
          </cell>
          <cell r="C432" t="str">
            <v>Mineral</v>
          </cell>
          <cell r="D432">
            <v>167</v>
          </cell>
          <cell r="E432">
            <v>24.86</v>
          </cell>
          <cell r="F432">
            <v>4151.62</v>
          </cell>
          <cell r="G432">
            <v>0.06</v>
          </cell>
          <cell r="H432">
            <v>1</v>
          </cell>
          <cell r="I432" t="str">
            <v>UK</v>
          </cell>
          <cell r="J432" t="str">
            <v>Walmart</v>
          </cell>
        </row>
        <row r="433">
          <cell r="A433" t="str">
            <v>06-07-2020</v>
          </cell>
          <cell r="B433" t="str">
            <v>Electrolyte Powder</v>
          </cell>
          <cell r="C433" t="str">
            <v>Hydration</v>
          </cell>
          <cell r="D433">
            <v>140</v>
          </cell>
          <cell r="E433">
            <v>51.3</v>
          </cell>
          <cell r="F433">
            <v>7182</v>
          </cell>
          <cell r="G433">
            <v>0.17</v>
          </cell>
          <cell r="H433">
            <v>2</v>
          </cell>
          <cell r="I433" t="str">
            <v>USA</v>
          </cell>
          <cell r="J433" t="str">
            <v>Amazon</v>
          </cell>
        </row>
        <row r="434">
          <cell r="A434" t="str">
            <v>13-07-2020</v>
          </cell>
          <cell r="B434" t="str">
            <v>Whey Protein</v>
          </cell>
          <cell r="C434" t="str">
            <v>Protein</v>
          </cell>
          <cell r="D434">
            <v>146</v>
          </cell>
          <cell r="E434">
            <v>46.9</v>
          </cell>
          <cell r="F434">
            <v>6847.4</v>
          </cell>
          <cell r="G434">
            <v>0.09</v>
          </cell>
          <cell r="H434">
            <v>2</v>
          </cell>
          <cell r="I434" t="str">
            <v>Canada</v>
          </cell>
          <cell r="J434" t="str">
            <v>iHerb</v>
          </cell>
        </row>
        <row r="435">
          <cell r="A435" t="str">
            <v>13-07-2020</v>
          </cell>
          <cell r="B435" t="str">
            <v>Vitamin C</v>
          </cell>
          <cell r="C435" t="str">
            <v>Vitamin</v>
          </cell>
          <cell r="D435">
            <v>141</v>
          </cell>
          <cell r="E435">
            <v>59.63</v>
          </cell>
          <cell r="F435">
            <v>8407.83</v>
          </cell>
          <cell r="G435">
            <v>0.04</v>
          </cell>
          <cell r="H435">
            <v>5</v>
          </cell>
          <cell r="I435" t="str">
            <v>Canada</v>
          </cell>
          <cell r="J435" t="str">
            <v>iHerb</v>
          </cell>
        </row>
        <row r="436">
          <cell r="A436" t="str">
            <v>13-07-2020</v>
          </cell>
          <cell r="B436" t="str">
            <v>Fish Oil</v>
          </cell>
          <cell r="C436" t="str">
            <v>Omega</v>
          </cell>
          <cell r="D436">
            <v>156</v>
          </cell>
          <cell r="E436">
            <v>53.31</v>
          </cell>
          <cell r="F436">
            <v>8316.36</v>
          </cell>
          <cell r="G436">
            <v>7.0000000000000007E-2</v>
          </cell>
          <cell r="H436">
            <v>1</v>
          </cell>
          <cell r="I436" t="str">
            <v>Canada</v>
          </cell>
          <cell r="J436" t="str">
            <v>iHerb</v>
          </cell>
        </row>
        <row r="437">
          <cell r="A437" t="str">
            <v>13-07-2020</v>
          </cell>
          <cell r="B437" t="str">
            <v>Multivitamin</v>
          </cell>
          <cell r="C437" t="str">
            <v>Vitamin</v>
          </cell>
          <cell r="D437">
            <v>154</v>
          </cell>
          <cell r="E437">
            <v>31.37</v>
          </cell>
          <cell r="F437">
            <v>4830.9799999999996</v>
          </cell>
          <cell r="G437">
            <v>0.08</v>
          </cell>
          <cell r="H437">
            <v>2</v>
          </cell>
          <cell r="I437" t="str">
            <v>USA</v>
          </cell>
          <cell r="J437" t="str">
            <v>Walmart</v>
          </cell>
        </row>
        <row r="438">
          <cell r="A438" t="str">
            <v>13-07-2020</v>
          </cell>
          <cell r="B438" t="str">
            <v>Pre-Workout</v>
          </cell>
          <cell r="C438" t="str">
            <v>Performance</v>
          </cell>
          <cell r="D438">
            <v>165</v>
          </cell>
          <cell r="E438">
            <v>56.72</v>
          </cell>
          <cell r="F438">
            <v>9358.7999999999993</v>
          </cell>
          <cell r="G438">
            <v>0.17</v>
          </cell>
          <cell r="H438">
            <v>3</v>
          </cell>
          <cell r="I438" t="str">
            <v>UK</v>
          </cell>
          <cell r="J438" t="str">
            <v>Amazon</v>
          </cell>
        </row>
        <row r="439">
          <cell r="A439" t="str">
            <v>13-07-2020</v>
          </cell>
          <cell r="B439" t="str">
            <v>BCAA</v>
          </cell>
          <cell r="C439" t="str">
            <v>Amino Acid</v>
          </cell>
          <cell r="D439">
            <v>152</v>
          </cell>
          <cell r="E439">
            <v>10.81</v>
          </cell>
          <cell r="F439">
            <v>1643.12</v>
          </cell>
          <cell r="G439">
            <v>0.2</v>
          </cell>
          <cell r="H439">
            <v>0</v>
          </cell>
          <cell r="I439" t="str">
            <v>USA</v>
          </cell>
          <cell r="J439" t="str">
            <v>iHerb</v>
          </cell>
        </row>
        <row r="440">
          <cell r="A440" t="str">
            <v>13-07-2020</v>
          </cell>
          <cell r="B440" t="str">
            <v>Creatine</v>
          </cell>
          <cell r="C440" t="str">
            <v>Performance</v>
          </cell>
          <cell r="D440">
            <v>142</v>
          </cell>
          <cell r="E440">
            <v>48.27</v>
          </cell>
          <cell r="F440">
            <v>6854.34</v>
          </cell>
          <cell r="G440">
            <v>0.06</v>
          </cell>
          <cell r="H440">
            <v>3</v>
          </cell>
          <cell r="I440" t="str">
            <v>UK</v>
          </cell>
          <cell r="J440" t="str">
            <v>Amazon</v>
          </cell>
        </row>
        <row r="441">
          <cell r="A441" t="str">
            <v>13-07-2020</v>
          </cell>
          <cell r="B441" t="str">
            <v>Zinc</v>
          </cell>
          <cell r="C441" t="str">
            <v>Mineral</v>
          </cell>
          <cell r="D441">
            <v>132</v>
          </cell>
          <cell r="E441">
            <v>58.96</v>
          </cell>
          <cell r="F441">
            <v>7782.72</v>
          </cell>
          <cell r="G441">
            <v>0.17</v>
          </cell>
          <cell r="H441">
            <v>2</v>
          </cell>
          <cell r="I441" t="str">
            <v>Canada</v>
          </cell>
          <cell r="J441" t="str">
            <v>iHerb</v>
          </cell>
        </row>
        <row r="442">
          <cell r="A442" t="str">
            <v>13-07-2020</v>
          </cell>
          <cell r="B442" t="str">
            <v>Collagen Peptides</v>
          </cell>
          <cell r="C442" t="str">
            <v>Protein</v>
          </cell>
          <cell r="D442">
            <v>144</v>
          </cell>
          <cell r="E442">
            <v>39.71</v>
          </cell>
          <cell r="F442">
            <v>5718.24</v>
          </cell>
          <cell r="G442">
            <v>0.15</v>
          </cell>
          <cell r="H442">
            <v>2</v>
          </cell>
          <cell r="I442" t="str">
            <v>UK</v>
          </cell>
          <cell r="J442" t="str">
            <v>Walmart</v>
          </cell>
        </row>
        <row r="443">
          <cell r="A443" t="str">
            <v>13-07-2020</v>
          </cell>
          <cell r="B443" t="str">
            <v>Magnesium</v>
          </cell>
          <cell r="C443" t="str">
            <v>Mineral</v>
          </cell>
          <cell r="D443">
            <v>153</v>
          </cell>
          <cell r="E443">
            <v>23.8</v>
          </cell>
          <cell r="F443">
            <v>3641.4</v>
          </cell>
          <cell r="G443">
            <v>0.19</v>
          </cell>
          <cell r="H443">
            <v>1</v>
          </cell>
          <cell r="I443" t="str">
            <v>Canada</v>
          </cell>
          <cell r="J443" t="str">
            <v>iHerb</v>
          </cell>
        </row>
        <row r="444">
          <cell r="A444" t="str">
            <v>13-07-2020</v>
          </cell>
          <cell r="B444" t="str">
            <v>Ashwagandha</v>
          </cell>
          <cell r="C444" t="str">
            <v>Herbal</v>
          </cell>
          <cell r="D444">
            <v>157</v>
          </cell>
          <cell r="E444">
            <v>41.27</v>
          </cell>
          <cell r="F444">
            <v>6479.39</v>
          </cell>
          <cell r="G444">
            <v>0.19</v>
          </cell>
          <cell r="H444">
            <v>1</v>
          </cell>
          <cell r="I444" t="str">
            <v>Canada</v>
          </cell>
          <cell r="J444" t="str">
            <v>iHerb</v>
          </cell>
        </row>
        <row r="445">
          <cell r="A445" t="str">
            <v>13-07-2020</v>
          </cell>
          <cell r="B445" t="str">
            <v>Melatonin</v>
          </cell>
          <cell r="C445" t="str">
            <v>Sleep Aid</v>
          </cell>
          <cell r="D445">
            <v>125</v>
          </cell>
          <cell r="E445">
            <v>40.299999999999997</v>
          </cell>
          <cell r="F445">
            <v>5037.5</v>
          </cell>
          <cell r="G445">
            <v>0.21</v>
          </cell>
          <cell r="H445">
            <v>0</v>
          </cell>
          <cell r="I445" t="str">
            <v>Canada</v>
          </cell>
          <cell r="J445" t="str">
            <v>Amazon</v>
          </cell>
        </row>
        <row r="446">
          <cell r="A446" t="str">
            <v>13-07-2020</v>
          </cell>
          <cell r="B446" t="str">
            <v>Biotin</v>
          </cell>
          <cell r="C446" t="str">
            <v>Vitamin</v>
          </cell>
          <cell r="D446">
            <v>159</v>
          </cell>
          <cell r="E446">
            <v>33.93</v>
          </cell>
          <cell r="F446">
            <v>5394.87</v>
          </cell>
          <cell r="G446">
            <v>0.23</v>
          </cell>
          <cell r="H446">
            <v>1</v>
          </cell>
          <cell r="I446" t="str">
            <v>Canada</v>
          </cell>
          <cell r="J446" t="str">
            <v>iHerb</v>
          </cell>
        </row>
        <row r="447">
          <cell r="A447" t="str">
            <v>13-07-2020</v>
          </cell>
          <cell r="B447" t="str">
            <v>Green Tea Extract</v>
          </cell>
          <cell r="C447" t="str">
            <v>Fat Burner</v>
          </cell>
          <cell r="D447">
            <v>149</v>
          </cell>
          <cell r="E447">
            <v>14.08</v>
          </cell>
          <cell r="F447">
            <v>2097.92</v>
          </cell>
          <cell r="G447">
            <v>0.06</v>
          </cell>
          <cell r="H447">
            <v>0</v>
          </cell>
          <cell r="I447" t="str">
            <v>Canada</v>
          </cell>
          <cell r="J447" t="str">
            <v>Walmart</v>
          </cell>
        </row>
        <row r="448">
          <cell r="A448" t="str">
            <v>13-07-2020</v>
          </cell>
          <cell r="B448" t="str">
            <v>Iron Supplement</v>
          </cell>
          <cell r="C448" t="str">
            <v>Mineral</v>
          </cell>
          <cell r="D448">
            <v>155</v>
          </cell>
          <cell r="E448">
            <v>37.409999999999997</v>
          </cell>
          <cell r="F448">
            <v>5798.55</v>
          </cell>
          <cell r="G448">
            <v>0.04</v>
          </cell>
          <cell r="H448">
            <v>1</v>
          </cell>
          <cell r="I448" t="str">
            <v>USA</v>
          </cell>
          <cell r="J448" t="str">
            <v>Amazon</v>
          </cell>
        </row>
        <row r="449">
          <cell r="A449" t="str">
            <v>13-07-2020</v>
          </cell>
          <cell r="B449" t="str">
            <v>Electrolyte Powder</v>
          </cell>
          <cell r="C449" t="str">
            <v>Hydration</v>
          </cell>
          <cell r="D449">
            <v>153</v>
          </cell>
          <cell r="E449">
            <v>35.01</v>
          </cell>
          <cell r="F449">
            <v>5356.53</v>
          </cell>
          <cell r="G449">
            <v>0.02</v>
          </cell>
          <cell r="H449">
            <v>0</v>
          </cell>
          <cell r="I449" t="str">
            <v>Canada</v>
          </cell>
          <cell r="J449" t="str">
            <v>Walmart</v>
          </cell>
        </row>
        <row r="450">
          <cell r="A450" t="str">
            <v>20-07-2020</v>
          </cell>
          <cell r="B450" t="str">
            <v>Whey Protein</v>
          </cell>
          <cell r="C450" t="str">
            <v>Protein</v>
          </cell>
          <cell r="D450">
            <v>154</v>
          </cell>
          <cell r="E450">
            <v>55.86</v>
          </cell>
          <cell r="F450">
            <v>8602.44</v>
          </cell>
          <cell r="G450">
            <v>0.1</v>
          </cell>
          <cell r="H450">
            <v>0</v>
          </cell>
          <cell r="I450" t="str">
            <v>UK</v>
          </cell>
          <cell r="J450" t="str">
            <v>Walmart</v>
          </cell>
        </row>
        <row r="451">
          <cell r="A451" t="str">
            <v>20-07-2020</v>
          </cell>
          <cell r="B451" t="str">
            <v>Vitamin C</v>
          </cell>
          <cell r="C451" t="str">
            <v>Vitamin</v>
          </cell>
          <cell r="D451">
            <v>158</v>
          </cell>
          <cell r="E451">
            <v>36.270000000000003</v>
          </cell>
          <cell r="F451">
            <v>5730.66</v>
          </cell>
          <cell r="G451">
            <v>0.17</v>
          </cell>
          <cell r="H451">
            <v>3</v>
          </cell>
          <cell r="I451" t="str">
            <v>UK</v>
          </cell>
          <cell r="J451" t="str">
            <v>Amazon</v>
          </cell>
        </row>
        <row r="452">
          <cell r="A452" t="str">
            <v>20-07-2020</v>
          </cell>
          <cell r="B452" t="str">
            <v>Fish Oil</v>
          </cell>
          <cell r="C452" t="str">
            <v>Omega</v>
          </cell>
          <cell r="D452">
            <v>161</v>
          </cell>
          <cell r="E452">
            <v>43.98</v>
          </cell>
          <cell r="F452">
            <v>7080.78</v>
          </cell>
          <cell r="G452">
            <v>0.24</v>
          </cell>
          <cell r="H452">
            <v>1</v>
          </cell>
          <cell r="I452" t="str">
            <v>Canada</v>
          </cell>
          <cell r="J452" t="str">
            <v>Amazon</v>
          </cell>
        </row>
        <row r="453">
          <cell r="A453" t="str">
            <v>20-07-2020</v>
          </cell>
          <cell r="B453" t="str">
            <v>Multivitamin</v>
          </cell>
          <cell r="C453" t="str">
            <v>Vitamin</v>
          </cell>
          <cell r="D453">
            <v>139</v>
          </cell>
          <cell r="E453">
            <v>41.69</v>
          </cell>
          <cell r="F453">
            <v>5794.91</v>
          </cell>
          <cell r="G453">
            <v>0.15</v>
          </cell>
          <cell r="H453">
            <v>0</v>
          </cell>
          <cell r="I453" t="str">
            <v>USA</v>
          </cell>
          <cell r="J453" t="str">
            <v>Amazon</v>
          </cell>
        </row>
        <row r="454">
          <cell r="A454" t="str">
            <v>20-07-2020</v>
          </cell>
          <cell r="B454" t="str">
            <v>Pre-Workout</v>
          </cell>
          <cell r="C454" t="str">
            <v>Performance</v>
          </cell>
          <cell r="D454">
            <v>158</v>
          </cell>
          <cell r="E454">
            <v>43.25</v>
          </cell>
          <cell r="F454">
            <v>6833.5</v>
          </cell>
          <cell r="G454">
            <v>0.14000000000000001</v>
          </cell>
          <cell r="H454">
            <v>1</v>
          </cell>
          <cell r="I454" t="str">
            <v>Canada</v>
          </cell>
          <cell r="J454" t="str">
            <v>Amazon</v>
          </cell>
        </row>
        <row r="455">
          <cell r="A455" t="str">
            <v>20-07-2020</v>
          </cell>
          <cell r="B455" t="str">
            <v>BCAA</v>
          </cell>
          <cell r="C455" t="str">
            <v>Amino Acid</v>
          </cell>
          <cell r="D455">
            <v>134</v>
          </cell>
          <cell r="E455">
            <v>51.58</v>
          </cell>
          <cell r="F455">
            <v>6911.72</v>
          </cell>
          <cell r="G455">
            <v>0.23</v>
          </cell>
          <cell r="H455">
            <v>2</v>
          </cell>
          <cell r="I455" t="str">
            <v>Canada</v>
          </cell>
          <cell r="J455" t="str">
            <v>Amazon</v>
          </cell>
        </row>
        <row r="456">
          <cell r="A456" t="str">
            <v>20-07-2020</v>
          </cell>
          <cell r="B456" t="str">
            <v>Creatine</v>
          </cell>
          <cell r="C456" t="str">
            <v>Performance</v>
          </cell>
          <cell r="D456">
            <v>132</v>
          </cell>
          <cell r="E456">
            <v>46.45</v>
          </cell>
          <cell r="F456">
            <v>6131.4</v>
          </cell>
          <cell r="G456">
            <v>0.19</v>
          </cell>
          <cell r="H456">
            <v>0</v>
          </cell>
          <cell r="I456" t="str">
            <v>UK</v>
          </cell>
          <cell r="J456" t="str">
            <v>Amazon</v>
          </cell>
        </row>
        <row r="457">
          <cell r="A457" t="str">
            <v>20-07-2020</v>
          </cell>
          <cell r="B457" t="str">
            <v>Zinc</v>
          </cell>
          <cell r="C457" t="str">
            <v>Mineral</v>
          </cell>
          <cell r="D457">
            <v>145</v>
          </cell>
          <cell r="E457">
            <v>10.64</v>
          </cell>
          <cell r="F457">
            <v>1542.8</v>
          </cell>
          <cell r="G457">
            <v>0.14000000000000001</v>
          </cell>
          <cell r="H457">
            <v>3</v>
          </cell>
          <cell r="I457" t="str">
            <v>Canada</v>
          </cell>
          <cell r="J457" t="str">
            <v>iHerb</v>
          </cell>
        </row>
        <row r="458">
          <cell r="A458" t="str">
            <v>20-07-2020</v>
          </cell>
          <cell r="B458" t="str">
            <v>Collagen Peptides</v>
          </cell>
          <cell r="C458" t="str">
            <v>Protein</v>
          </cell>
          <cell r="D458">
            <v>180</v>
          </cell>
          <cell r="E458">
            <v>35.72</v>
          </cell>
          <cell r="F458">
            <v>6429.6</v>
          </cell>
          <cell r="G458">
            <v>0.02</v>
          </cell>
          <cell r="H458">
            <v>2</v>
          </cell>
          <cell r="I458" t="str">
            <v>Canada</v>
          </cell>
          <cell r="J458" t="str">
            <v>Walmart</v>
          </cell>
        </row>
        <row r="459">
          <cell r="A459" t="str">
            <v>20-07-2020</v>
          </cell>
          <cell r="B459" t="str">
            <v>Magnesium</v>
          </cell>
          <cell r="C459" t="str">
            <v>Mineral</v>
          </cell>
          <cell r="D459">
            <v>146</v>
          </cell>
          <cell r="E459">
            <v>29.44</v>
          </cell>
          <cell r="F459">
            <v>4298.24</v>
          </cell>
          <cell r="G459">
            <v>0.06</v>
          </cell>
          <cell r="H459">
            <v>0</v>
          </cell>
          <cell r="I459" t="str">
            <v>USA</v>
          </cell>
          <cell r="J459" t="str">
            <v>Amazon</v>
          </cell>
        </row>
        <row r="460">
          <cell r="A460" t="str">
            <v>20-07-2020</v>
          </cell>
          <cell r="B460" t="str">
            <v>Ashwagandha</v>
          </cell>
          <cell r="C460" t="str">
            <v>Herbal</v>
          </cell>
          <cell r="D460">
            <v>143</v>
          </cell>
          <cell r="E460">
            <v>18.84</v>
          </cell>
          <cell r="F460">
            <v>2694.12</v>
          </cell>
          <cell r="G460">
            <v>0.25</v>
          </cell>
          <cell r="H460">
            <v>1</v>
          </cell>
          <cell r="I460" t="str">
            <v>USA</v>
          </cell>
          <cell r="J460" t="str">
            <v>Amazon</v>
          </cell>
        </row>
        <row r="461">
          <cell r="A461" t="str">
            <v>20-07-2020</v>
          </cell>
          <cell r="B461" t="str">
            <v>Melatonin</v>
          </cell>
          <cell r="C461" t="str">
            <v>Sleep Aid</v>
          </cell>
          <cell r="D461">
            <v>151</v>
          </cell>
          <cell r="E461">
            <v>59.78</v>
          </cell>
          <cell r="F461">
            <v>9026.7800000000007</v>
          </cell>
          <cell r="G461">
            <v>0.15</v>
          </cell>
          <cell r="H461">
            <v>3</v>
          </cell>
          <cell r="I461" t="str">
            <v>UK</v>
          </cell>
          <cell r="J461" t="str">
            <v>iHerb</v>
          </cell>
        </row>
        <row r="462">
          <cell r="A462" t="str">
            <v>20-07-2020</v>
          </cell>
          <cell r="B462" t="str">
            <v>Biotin</v>
          </cell>
          <cell r="C462" t="str">
            <v>Vitamin</v>
          </cell>
          <cell r="D462">
            <v>144</v>
          </cell>
          <cell r="E462">
            <v>30.14</v>
          </cell>
          <cell r="F462">
            <v>4340.16</v>
          </cell>
          <cell r="G462">
            <v>0.17</v>
          </cell>
          <cell r="H462">
            <v>2</v>
          </cell>
          <cell r="I462" t="str">
            <v>UK</v>
          </cell>
          <cell r="J462" t="str">
            <v>Walmart</v>
          </cell>
        </row>
        <row r="463">
          <cell r="A463" t="str">
            <v>20-07-2020</v>
          </cell>
          <cell r="B463" t="str">
            <v>Green Tea Extract</v>
          </cell>
          <cell r="C463" t="str">
            <v>Fat Burner</v>
          </cell>
          <cell r="D463">
            <v>143</v>
          </cell>
          <cell r="E463">
            <v>41.62</v>
          </cell>
          <cell r="F463">
            <v>5951.66</v>
          </cell>
          <cell r="G463">
            <v>0.03</v>
          </cell>
          <cell r="H463">
            <v>1</v>
          </cell>
          <cell r="I463" t="str">
            <v>USA</v>
          </cell>
          <cell r="J463" t="str">
            <v>iHerb</v>
          </cell>
        </row>
        <row r="464">
          <cell r="A464" t="str">
            <v>20-07-2020</v>
          </cell>
          <cell r="B464" t="str">
            <v>Iron Supplement</v>
          </cell>
          <cell r="C464" t="str">
            <v>Mineral</v>
          </cell>
          <cell r="D464">
            <v>157</v>
          </cell>
          <cell r="E464">
            <v>47.67</v>
          </cell>
          <cell r="F464">
            <v>7484.19</v>
          </cell>
          <cell r="G464">
            <v>0.22</v>
          </cell>
          <cell r="H464">
            <v>1</v>
          </cell>
          <cell r="I464" t="str">
            <v>USA</v>
          </cell>
          <cell r="J464" t="str">
            <v>Amazon</v>
          </cell>
        </row>
        <row r="465">
          <cell r="A465" t="str">
            <v>20-07-2020</v>
          </cell>
          <cell r="B465" t="str">
            <v>Electrolyte Powder</v>
          </cell>
          <cell r="C465" t="str">
            <v>Hydration</v>
          </cell>
          <cell r="D465">
            <v>159</v>
          </cell>
          <cell r="E465">
            <v>19.329999999999998</v>
          </cell>
          <cell r="F465">
            <v>3073.47</v>
          </cell>
          <cell r="G465">
            <v>0.01</v>
          </cell>
          <cell r="H465">
            <v>1</v>
          </cell>
          <cell r="I465" t="str">
            <v>USA</v>
          </cell>
          <cell r="J465" t="str">
            <v>iHerb</v>
          </cell>
        </row>
        <row r="466">
          <cell r="A466" t="str">
            <v>27-07-2020</v>
          </cell>
          <cell r="B466" t="str">
            <v>Whey Protein</v>
          </cell>
          <cell r="C466" t="str">
            <v>Protein</v>
          </cell>
          <cell r="D466">
            <v>148</v>
          </cell>
          <cell r="E466">
            <v>52.5</v>
          </cell>
          <cell r="F466">
            <v>7770</v>
          </cell>
          <cell r="G466">
            <v>0.05</v>
          </cell>
          <cell r="H466">
            <v>0</v>
          </cell>
          <cell r="I466" t="str">
            <v>UK</v>
          </cell>
          <cell r="J466" t="str">
            <v>iHerb</v>
          </cell>
        </row>
        <row r="467">
          <cell r="A467" t="str">
            <v>27-07-2020</v>
          </cell>
          <cell r="B467" t="str">
            <v>Vitamin C</v>
          </cell>
          <cell r="C467" t="str">
            <v>Vitamin</v>
          </cell>
          <cell r="D467">
            <v>183</v>
          </cell>
          <cell r="E467">
            <v>33.92</v>
          </cell>
          <cell r="F467">
            <v>6207.36</v>
          </cell>
          <cell r="G467">
            <v>0.15</v>
          </cell>
          <cell r="H467">
            <v>2</v>
          </cell>
          <cell r="I467" t="str">
            <v>USA</v>
          </cell>
          <cell r="J467" t="str">
            <v>Walmart</v>
          </cell>
        </row>
        <row r="468">
          <cell r="A468" t="str">
            <v>27-07-2020</v>
          </cell>
          <cell r="B468" t="str">
            <v>Fish Oil</v>
          </cell>
          <cell r="C468" t="str">
            <v>Omega</v>
          </cell>
          <cell r="D468">
            <v>130</v>
          </cell>
          <cell r="E468">
            <v>15.27</v>
          </cell>
          <cell r="F468">
            <v>1985.1</v>
          </cell>
          <cell r="G468">
            <v>0.15</v>
          </cell>
          <cell r="H468">
            <v>1</v>
          </cell>
          <cell r="I468" t="str">
            <v>Canada</v>
          </cell>
          <cell r="J468" t="str">
            <v>iHerb</v>
          </cell>
        </row>
        <row r="469">
          <cell r="A469" t="str">
            <v>27-07-2020</v>
          </cell>
          <cell r="B469" t="str">
            <v>Multivitamin</v>
          </cell>
          <cell r="C469" t="str">
            <v>Vitamin</v>
          </cell>
          <cell r="D469">
            <v>140</v>
          </cell>
          <cell r="E469">
            <v>51</v>
          </cell>
          <cell r="F469">
            <v>7140</v>
          </cell>
          <cell r="G469">
            <v>0.01</v>
          </cell>
          <cell r="H469">
            <v>1</v>
          </cell>
          <cell r="I469" t="str">
            <v>USA</v>
          </cell>
          <cell r="J469" t="str">
            <v>Amazon</v>
          </cell>
        </row>
        <row r="470">
          <cell r="A470" t="str">
            <v>27-07-2020</v>
          </cell>
          <cell r="B470" t="str">
            <v>Pre-Workout</v>
          </cell>
          <cell r="C470" t="str">
            <v>Performance</v>
          </cell>
          <cell r="D470">
            <v>157</v>
          </cell>
          <cell r="E470">
            <v>25.39</v>
          </cell>
          <cell r="F470">
            <v>3986.23</v>
          </cell>
          <cell r="G470">
            <v>0.15</v>
          </cell>
          <cell r="H470">
            <v>3</v>
          </cell>
          <cell r="I470" t="str">
            <v>Canada</v>
          </cell>
          <cell r="J470" t="str">
            <v>Amazon</v>
          </cell>
        </row>
        <row r="471">
          <cell r="A471" t="str">
            <v>27-07-2020</v>
          </cell>
          <cell r="B471" t="str">
            <v>BCAA</v>
          </cell>
          <cell r="C471" t="str">
            <v>Amino Acid</v>
          </cell>
          <cell r="D471">
            <v>162</v>
          </cell>
          <cell r="E471">
            <v>46.51</v>
          </cell>
          <cell r="F471">
            <v>7534.62</v>
          </cell>
          <cell r="G471">
            <v>0.09</v>
          </cell>
          <cell r="H471">
            <v>2</v>
          </cell>
          <cell r="I471" t="str">
            <v>UK</v>
          </cell>
          <cell r="J471" t="str">
            <v>iHerb</v>
          </cell>
        </row>
        <row r="472">
          <cell r="A472" t="str">
            <v>27-07-2020</v>
          </cell>
          <cell r="B472" t="str">
            <v>Creatine</v>
          </cell>
          <cell r="C472" t="str">
            <v>Performance</v>
          </cell>
          <cell r="D472">
            <v>149</v>
          </cell>
          <cell r="E472">
            <v>45.09</v>
          </cell>
          <cell r="F472">
            <v>6718.41</v>
          </cell>
          <cell r="G472">
            <v>0.14000000000000001</v>
          </cell>
          <cell r="H472">
            <v>1</v>
          </cell>
          <cell r="I472" t="str">
            <v>USA</v>
          </cell>
          <cell r="J472" t="str">
            <v>Walmart</v>
          </cell>
        </row>
        <row r="473">
          <cell r="A473" t="str">
            <v>27-07-2020</v>
          </cell>
          <cell r="B473" t="str">
            <v>Zinc</v>
          </cell>
          <cell r="C473" t="str">
            <v>Mineral</v>
          </cell>
          <cell r="D473">
            <v>170</v>
          </cell>
          <cell r="E473">
            <v>25.79</v>
          </cell>
          <cell r="F473">
            <v>4384.3</v>
          </cell>
          <cell r="G473">
            <v>0.01</v>
          </cell>
          <cell r="H473">
            <v>3</v>
          </cell>
          <cell r="I473" t="str">
            <v>USA</v>
          </cell>
          <cell r="J473" t="str">
            <v>Walmart</v>
          </cell>
        </row>
        <row r="474">
          <cell r="A474" t="str">
            <v>27-07-2020</v>
          </cell>
          <cell r="B474" t="str">
            <v>Collagen Peptides</v>
          </cell>
          <cell r="C474" t="str">
            <v>Protein</v>
          </cell>
          <cell r="D474">
            <v>157</v>
          </cell>
          <cell r="E474">
            <v>43.78</v>
          </cell>
          <cell r="F474">
            <v>6873.46</v>
          </cell>
          <cell r="G474">
            <v>0.1</v>
          </cell>
          <cell r="H474">
            <v>2</v>
          </cell>
          <cell r="I474" t="str">
            <v>Canada</v>
          </cell>
          <cell r="J474" t="str">
            <v>Amazon</v>
          </cell>
        </row>
        <row r="475">
          <cell r="A475" t="str">
            <v>27-07-2020</v>
          </cell>
          <cell r="B475" t="str">
            <v>Magnesium</v>
          </cell>
          <cell r="C475" t="str">
            <v>Mineral</v>
          </cell>
          <cell r="D475">
            <v>148</v>
          </cell>
          <cell r="E475">
            <v>56.74</v>
          </cell>
          <cell r="F475">
            <v>8397.52</v>
          </cell>
          <cell r="G475">
            <v>0.06</v>
          </cell>
          <cell r="H475">
            <v>0</v>
          </cell>
          <cell r="I475" t="str">
            <v>UK</v>
          </cell>
          <cell r="J475" t="str">
            <v>iHerb</v>
          </cell>
        </row>
        <row r="476">
          <cell r="A476" t="str">
            <v>27-07-2020</v>
          </cell>
          <cell r="B476" t="str">
            <v>Ashwagandha</v>
          </cell>
          <cell r="C476" t="str">
            <v>Herbal</v>
          </cell>
          <cell r="D476">
            <v>153</v>
          </cell>
          <cell r="E476">
            <v>28.89</v>
          </cell>
          <cell r="F476">
            <v>4420.17</v>
          </cell>
          <cell r="G476">
            <v>0.02</v>
          </cell>
          <cell r="H476">
            <v>1</v>
          </cell>
          <cell r="I476" t="str">
            <v>USA</v>
          </cell>
          <cell r="J476" t="str">
            <v>Amazon</v>
          </cell>
        </row>
        <row r="477">
          <cell r="A477" t="str">
            <v>27-07-2020</v>
          </cell>
          <cell r="B477" t="str">
            <v>Melatonin</v>
          </cell>
          <cell r="C477" t="str">
            <v>Sleep Aid</v>
          </cell>
          <cell r="D477">
            <v>150</v>
          </cell>
          <cell r="E477">
            <v>42.91</v>
          </cell>
          <cell r="F477">
            <v>6436.5</v>
          </cell>
          <cell r="G477">
            <v>0.25</v>
          </cell>
          <cell r="H477">
            <v>1</v>
          </cell>
          <cell r="I477" t="str">
            <v>Canada</v>
          </cell>
          <cell r="J477" t="str">
            <v>iHerb</v>
          </cell>
        </row>
        <row r="478">
          <cell r="A478" t="str">
            <v>27-07-2020</v>
          </cell>
          <cell r="B478" t="str">
            <v>Biotin</v>
          </cell>
          <cell r="C478" t="str">
            <v>Vitamin</v>
          </cell>
          <cell r="D478">
            <v>145</v>
          </cell>
          <cell r="E478">
            <v>15.76</v>
          </cell>
          <cell r="F478">
            <v>2285.1999999999998</v>
          </cell>
          <cell r="G478">
            <v>0.22</v>
          </cell>
          <cell r="H478">
            <v>1</v>
          </cell>
          <cell r="I478" t="str">
            <v>USA</v>
          </cell>
          <cell r="J478" t="str">
            <v>Amazon</v>
          </cell>
        </row>
        <row r="479">
          <cell r="A479" t="str">
            <v>27-07-2020</v>
          </cell>
          <cell r="B479" t="str">
            <v>Green Tea Extract</v>
          </cell>
          <cell r="C479" t="str">
            <v>Fat Burner</v>
          </cell>
          <cell r="D479">
            <v>146</v>
          </cell>
          <cell r="E479">
            <v>32.1</v>
          </cell>
          <cell r="F479">
            <v>4686.6000000000004</v>
          </cell>
          <cell r="G479">
            <v>0.16</v>
          </cell>
          <cell r="H479">
            <v>0</v>
          </cell>
          <cell r="I479" t="str">
            <v>USA</v>
          </cell>
          <cell r="J479" t="str">
            <v>Walmart</v>
          </cell>
        </row>
        <row r="480">
          <cell r="A480" t="str">
            <v>27-07-2020</v>
          </cell>
          <cell r="B480" t="str">
            <v>Iron Supplement</v>
          </cell>
          <cell r="C480" t="str">
            <v>Mineral</v>
          </cell>
          <cell r="D480">
            <v>155</v>
          </cell>
          <cell r="E480">
            <v>17.57</v>
          </cell>
          <cell r="F480">
            <v>2723.35</v>
          </cell>
          <cell r="G480">
            <v>0.12</v>
          </cell>
          <cell r="H480">
            <v>2</v>
          </cell>
          <cell r="I480" t="str">
            <v>USA</v>
          </cell>
          <cell r="J480" t="str">
            <v>Amazon</v>
          </cell>
        </row>
        <row r="481">
          <cell r="A481" t="str">
            <v>27-07-2020</v>
          </cell>
          <cell r="B481" t="str">
            <v>Electrolyte Powder</v>
          </cell>
          <cell r="C481" t="str">
            <v>Hydration</v>
          </cell>
          <cell r="D481">
            <v>153</v>
          </cell>
          <cell r="E481">
            <v>26.9</v>
          </cell>
          <cell r="F481">
            <v>4115.7</v>
          </cell>
          <cell r="G481">
            <v>0.03</v>
          </cell>
          <cell r="H481">
            <v>1</v>
          </cell>
          <cell r="I481" t="str">
            <v>UK</v>
          </cell>
          <cell r="J481" t="str">
            <v>iHerb</v>
          </cell>
        </row>
        <row r="482">
          <cell r="A482" t="str">
            <v>03-08-2020</v>
          </cell>
          <cell r="B482" t="str">
            <v>Whey Protein</v>
          </cell>
          <cell r="C482" t="str">
            <v>Protein</v>
          </cell>
          <cell r="D482">
            <v>136</v>
          </cell>
          <cell r="E482">
            <v>20.440000000000001</v>
          </cell>
          <cell r="F482">
            <v>2779.84</v>
          </cell>
          <cell r="G482">
            <v>0.01</v>
          </cell>
          <cell r="H482">
            <v>1</v>
          </cell>
          <cell r="I482" t="str">
            <v>UK</v>
          </cell>
          <cell r="J482" t="str">
            <v>Walmart</v>
          </cell>
        </row>
        <row r="483">
          <cell r="A483" t="str">
            <v>03-08-2020</v>
          </cell>
          <cell r="B483" t="str">
            <v>Vitamin C</v>
          </cell>
          <cell r="C483" t="str">
            <v>Vitamin</v>
          </cell>
          <cell r="D483">
            <v>153</v>
          </cell>
          <cell r="E483">
            <v>38.85</v>
          </cell>
          <cell r="F483">
            <v>5944.05</v>
          </cell>
          <cell r="G483">
            <v>0.09</v>
          </cell>
          <cell r="H483">
            <v>3</v>
          </cell>
          <cell r="I483" t="str">
            <v>Canada</v>
          </cell>
          <cell r="J483" t="str">
            <v>Walmart</v>
          </cell>
        </row>
        <row r="484">
          <cell r="A484" t="str">
            <v>03-08-2020</v>
          </cell>
          <cell r="B484" t="str">
            <v>Fish Oil</v>
          </cell>
          <cell r="C484" t="str">
            <v>Omega</v>
          </cell>
          <cell r="D484">
            <v>151</v>
          </cell>
          <cell r="E484">
            <v>38.29</v>
          </cell>
          <cell r="F484">
            <v>5781.79</v>
          </cell>
          <cell r="G484">
            <v>0.23</v>
          </cell>
          <cell r="H484">
            <v>1</v>
          </cell>
          <cell r="I484" t="str">
            <v>USA</v>
          </cell>
          <cell r="J484" t="str">
            <v>iHerb</v>
          </cell>
        </row>
        <row r="485">
          <cell r="A485" t="str">
            <v>03-08-2020</v>
          </cell>
          <cell r="B485" t="str">
            <v>Multivitamin</v>
          </cell>
          <cell r="C485" t="str">
            <v>Vitamin</v>
          </cell>
          <cell r="D485">
            <v>142</v>
          </cell>
          <cell r="E485">
            <v>17.57</v>
          </cell>
          <cell r="F485">
            <v>2494.94</v>
          </cell>
          <cell r="G485">
            <v>0.11</v>
          </cell>
          <cell r="H485">
            <v>2</v>
          </cell>
          <cell r="I485" t="str">
            <v>USA</v>
          </cell>
          <cell r="J485" t="str">
            <v>Walmart</v>
          </cell>
        </row>
        <row r="486">
          <cell r="A486" t="str">
            <v>03-08-2020</v>
          </cell>
          <cell r="B486" t="str">
            <v>Pre-Workout</v>
          </cell>
          <cell r="C486" t="str">
            <v>Performance</v>
          </cell>
          <cell r="D486">
            <v>160</v>
          </cell>
          <cell r="E486">
            <v>51.42</v>
          </cell>
          <cell r="F486">
            <v>8227.2000000000007</v>
          </cell>
          <cell r="G486">
            <v>0.02</v>
          </cell>
          <cell r="H486">
            <v>1</v>
          </cell>
          <cell r="I486" t="str">
            <v>Canada</v>
          </cell>
          <cell r="J486" t="str">
            <v>iHerb</v>
          </cell>
        </row>
        <row r="487">
          <cell r="A487" t="str">
            <v>03-08-2020</v>
          </cell>
          <cell r="B487" t="str">
            <v>BCAA</v>
          </cell>
          <cell r="C487" t="str">
            <v>Amino Acid</v>
          </cell>
          <cell r="D487">
            <v>155</v>
          </cell>
          <cell r="E487">
            <v>49.17</v>
          </cell>
          <cell r="F487">
            <v>7621.35</v>
          </cell>
          <cell r="G487">
            <v>7.0000000000000007E-2</v>
          </cell>
          <cell r="H487">
            <v>4</v>
          </cell>
          <cell r="I487" t="str">
            <v>Canada</v>
          </cell>
          <cell r="J487" t="str">
            <v>Amazon</v>
          </cell>
        </row>
        <row r="488">
          <cell r="A488" t="str">
            <v>03-08-2020</v>
          </cell>
          <cell r="B488" t="str">
            <v>Creatine</v>
          </cell>
          <cell r="C488" t="str">
            <v>Performance</v>
          </cell>
          <cell r="D488">
            <v>134</v>
          </cell>
          <cell r="E488">
            <v>58.55</v>
          </cell>
          <cell r="F488">
            <v>7845.7</v>
          </cell>
          <cell r="G488">
            <v>0.04</v>
          </cell>
          <cell r="H488">
            <v>2</v>
          </cell>
          <cell r="I488" t="str">
            <v>UK</v>
          </cell>
          <cell r="J488" t="str">
            <v>Amazon</v>
          </cell>
        </row>
        <row r="489">
          <cell r="A489" t="str">
            <v>03-08-2020</v>
          </cell>
          <cell r="B489" t="str">
            <v>Zinc</v>
          </cell>
          <cell r="C489" t="str">
            <v>Mineral</v>
          </cell>
          <cell r="D489">
            <v>119</v>
          </cell>
          <cell r="E489">
            <v>35.81</v>
          </cell>
          <cell r="F489">
            <v>4261.3900000000003</v>
          </cell>
          <cell r="G489">
            <v>0.15</v>
          </cell>
          <cell r="H489">
            <v>3</v>
          </cell>
          <cell r="I489" t="str">
            <v>USA</v>
          </cell>
          <cell r="J489" t="str">
            <v>Amazon</v>
          </cell>
        </row>
        <row r="490">
          <cell r="A490" t="str">
            <v>03-08-2020</v>
          </cell>
          <cell r="B490" t="str">
            <v>Collagen Peptides</v>
          </cell>
          <cell r="C490" t="str">
            <v>Protein</v>
          </cell>
          <cell r="D490">
            <v>156</v>
          </cell>
          <cell r="E490">
            <v>50.48</v>
          </cell>
          <cell r="F490">
            <v>7874.88</v>
          </cell>
          <cell r="G490">
            <v>0.24</v>
          </cell>
          <cell r="H490">
            <v>0</v>
          </cell>
          <cell r="I490" t="str">
            <v>Canada</v>
          </cell>
          <cell r="J490" t="str">
            <v>Walmart</v>
          </cell>
        </row>
        <row r="491">
          <cell r="A491" t="str">
            <v>03-08-2020</v>
          </cell>
          <cell r="B491" t="str">
            <v>Magnesium</v>
          </cell>
          <cell r="C491" t="str">
            <v>Mineral</v>
          </cell>
          <cell r="D491">
            <v>162</v>
          </cell>
          <cell r="E491">
            <v>16.61</v>
          </cell>
          <cell r="F491">
            <v>2690.82</v>
          </cell>
          <cell r="G491">
            <v>0.11</v>
          </cell>
          <cell r="H491">
            <v>2</v>
          </cell>
          <cell r="I491" t="str">
            <v>Canada</v>
          </cell>
          <cell r="J491" t="str">
            <v>Amazon</v>
          </cell>
        </row>
        <row r="492">
          <cell r="A492" t="str">
            <v>03-08-2020</v>
          </cell>
          <cell r="B492" t="str">
            <v>Ashwagandha</v>
          </cell>
          <cell r="C492" t="str">
            <v>Herbal</v>
          </cell>
          <cell r="D492">
            <v>146</v>
          </cell>
          <cell r="E492">
            <v>39.97</v>
          </cell>
          <cell r="F492">
            <v>5835.62</v>
          </cell>
          <cell r="G492">
            <v>0.23</v>
          </cell>
          <cell r="H492">
            <v>1</v>
          </cell>
          <cell r="I492" t="str">
            <v>USA</v>
          </cell>
          <cell r="J492" t="str">
            <v>Amazon</v>
          </cell>
        </row>
        <row r="493">
          <cell r="A493" t="str">
            <v>03-08-2020</v>
          </cell>
          <cell r="B493" t="str">
            <v>Melatonin</v>
          </cell>
          <cell r="C493" t="str">
            <v>Sleep Aid</v>
          </cell>
          <cell r="D493">
            <v>139</v>
          </cell>
          <cell r="E493">
            <v>12.42</v>
          </cell>
          <cell r="F493">
            <v>1726.38</v>
          </cell>
          <cell r="G493">
            <v>0.21</v>
          </cell>
          <cell r="H493">
            <v>2</v>
          </cell>
          <cell r="I493" t="str">
            <v>Canada</v>
          </cell>
          <cell r="J493" t="str">
            <v>Amazon</v>
          </cell>
        </row>
        <row r="494">
          <cell r="A494" t="str">
            <v>03-08-2020</v>
          </cell>
          <cell r="B494" t="str">
            <v>Biotin</v>
          </cell>
          <cell r="C494" t="str">
            <v>Vitamin</v>
          </cell>
          <cell r="D494">
            <v>153</v>
          </cell>
          <cell r="E494">
            <v>49.99</v>
          </cell>
          <cell r="F494">
            <v>7648.47</v>
          </cell>
          <cell r="G494">
            <v>0.14000000000000001</v>
          </cell>
          <cell r="H494">
            <v>3</v>
          </cell>
          <cell r="I494" t="str">
            <v>USA</v>
          </cell>
          <cell r="J494" t="str">
            <v>Walmart</v>
          </cell>
        </row>
        <row r="495">
          <cell r="A495" t="str">
            <v>03-08-2020</v>
          </cell>
          <cell r="B495" t="str">
            <v>Green Tea Extract</v>
          </cell>
          <cell r="C495" t="str">
            <v>Fat Burner</v>
          </cell>
          <cell r="D495">
            <v>155</v>
          </cell>
          <cell r="E495">
            <v>39.93</v>
          </cell>
          <cell r="F495">
            <v>6189.15</v>
          </cell>
          <cell r="G495">
            <v>0.1</v>
          </cell>
          <cell r="H495">
            <v>4</v>
          </cell>
          <cell r="I495" t="str">
            <v>UK</v>
          </cell>
          <cell r="J495" t="str">
            <v>Walmart</v>
          </cell>
        </row>
        <row r="496">
          <cell r="A496" t="str">
            <v>03-08-2020</v>
          </cell>
          <cell r="B496" t="str">
            <v>Iron Supplement</v>
          </cell>
          <cell r="C496" t="str">
            <v>Mineral</v>
          </cell>
          <cell r="D496">
            <v>151</v>
          </cell>
          <cell r="E496">
            <v>21.02</v>
          </cell>
          <cell r="F496">
            <v>3174.02</v>
          </cell>
          <cell r="G496">
            <v>0.16</v>
          </cell>
          <cell r="H496">
            <v>2</v>
          </cell>
          <cell r="I496" t="str">
            <v>Canada</v>
          </cell>
          <cell r="J496" t="str">
            <v>Amazon</v>
          </cell>
        </row>
        <row r="497">
          <cell r="A497" t="str">
            <v>03-08-2020</v>
          </cell>
          <cell r="B497" t="str">
            <v>Electrolyte Powder</v>
          </cell>
          <cell r="C497" t="str">
            <v>Hydration</v>
          </cell>
          <cell r="D497">
            <v>137</v>
          </cell>
          <cell r="E497">
            <v>40.22</v>
          </cell>
          <cell r="F497">
            <v>5510.14</v>
          </cell>
          <cell r="G497">
            <v>0.19</v>
          </cell>
          <cell r="H497">
            <v>1</v>
          </cell>
          <cell r="I497" t="str">
            <v>Canada</v>
          </cell>
          <cell r="J497" t="str">
            <v>Walmart</v>
          </cell>
        </row>
        <row r="498">
          <cell r="A498" t="str">
            <v>10-08-2020</v>
          </cell>
          <cell r="B498" t="str">
            <v>Whey Protein</v>
          </cell>
          <cell r="C498" t="str">
            <v>Protein</v>
          </cell>
          <cell r="D498">
            <v>139</v>
          </cell>
          <cell r="E498">
            <v>14.01</v>
          </cell>
          <cell r="F498">
            <v>1947.39</v>
          </cell>
          <cell r="G498">
            <v>0.11</v>
          </cell>
          <cell r="H498">
            <v>0</v>
          </cell>
          <cell r="I498" t="str">
            <v>Canada</v>
          </cell>
          <cell r="J498" t="str">
            <v>iHerb</v>
          </cell>
        </row>
        <row r="499">
          <cell r="A499" t="str">
            <v>10-08-2020</v>
          </cell>
          <cell r="B499" t="str">
            <v>Vitamin C</v>
          </cell>
          <cell r="C499" t="str">
            <v>Vitamin</v>
          </cell>
          <cell r="D499">
            <v>137</v>
          </cell>
          <cell r="E499">
            <v>29.34</v>
          </cell>
          <cell r="F499">
            <v>4019.58</v>
          </cell>
          <cell r="G499">
            <v>0.01</v>
          </cell>
          <cell r="H499">
            <v>1</v>
          </cell>
          <cell r="I499" t="str">
            <v>Canada</v>
          </cell>
          <cell r="J499" t="str">
            <v>Walmart</v>
          </cell>
        </row>
        <row r="500">
          <cell r="A500" t="str">
            <v>10-08-2020</v>
          </cell>
          <cell r="B500" t="str">
            <v>Fish Oil</v>
          </cell>
          <cell r="C500" t="str">
            <v>Omega</v>
          </cell>
          <cell r="D500">
            <v>150</v>
          </cell>
          <cell r="E500">
            <v>29.14</v>
          </cell>
          <cell r="F500">
            <v>4371</v>
          </cell>
          <cell r="G500">
            <v>0.21</v>
          </cell>
          <cell r="H500">
            <v>0</v>
          </cell>
          <cell r="I500" t="str">
            <v>UK</v>
          </cell>
          <cell r="J500" t="str">
            <v>Amazon</v>
          </cell>
        </row>
        <row r="501">
          <cell r="A501" t="str">
            <v>10-08-2020</v>
          </cell>
          <cell r="B501" t="str">
            <v>Multivitamin</v>
          </cell>
          <cell r="C501" t="str">
            <v>Vitamin</v>
          </cell>
          <cell r="D501">
            <v>150</v>
          </cell>
          <cell r="E501">
            <v>13.56</v>
          </cell>
          <cell r="F501">
            <v>2034</v>
          </cell>
          <cell r="G501">
            <v>0.14000000000000001</v>
          </cell>
          <cell r="H501">
            <v>2</v>
          </cell>
          <cell r="I501" t="str">
            <v>UK</v>
          </cell>
          <cell r="J501" t="str">
            <v>Walmart</v>
          </cell>
        </row>
        <row r="502">
          <cell r="A502" t="str">
            <v>10-08-2020</v>
          </cell>
          <cell r="B502" t="str">
            <v>Pre-Workout</v>
          </cell>
          <cell r="C502" t="str">
            <v>Performance</v>
          </cell>
          <cell r="D502">
            <v>167</v>
          </cell>
          <cell r="E502">
            <v>57.99</v>
          </cell>
          <cell r="F502">
            <v>9684.33</v>
          </cell>
          <cell r="G502">
            <v>0.01</v>
          </cell>
          <cell r="H502">
            <v>0</v>
          </cell>
          <cell r="I502" t="str">
            <v>UK</v>
          </cell>
          <cell r="J502" t="str">
            <v>iHerb</v>
          </cell>
        </row>
        <row r="503">
          <cell r="A503" t="str">
            <v>10-08-2020</v>
          </cell>
          <cell r="B503" t="str">
            <v>BCAA</v>
          </cell>
          <cell r="C503" t="str">
            <v>Amino Acid</v>
          </cell>
          <cell r="D503">
            <v>120</v>
          </cell>
          <cell r="E503">
            <v>37.06</v>
          </cell>
          <cell r="F503">
            <v>4447.2</v>
          </cell>
          <cell r="G503">
            <v>0.16</v>
          </cell>
          <cell r="H503">
            <v>0</v>
          </cell>
          <cell r="I503" t="str">
            <v>Canada</v>
          </cell>
          <cell r="J503" t="str">
            <v>Walmart</v>
          </cell>
        </row>
        <row r="504">
          <cell r="A504" t="str">
            <v>10-08-2020</v>
          </cell>
          <cell r="B504" t="str">
            <v>Creatine</v>
          </cell>
          <cell r="C504" t="str">
            <v>Performance</v>
          </cell>
          <cell r="D504">
            <v>176</v>
          </cell>
          <cell r="E504">
            <v>24.83</v>
          </cell>
          <cell r="F504">
            <v>4370.08</v>
          </cell>
          <cell r="G504">
            <v>0.02</v>
          </cell>
          <cell r="H504">
            <v>0</v>
          </cell>
          <cell r="I504" t="str">
            <v>UK</v>
          </cell>
          <cell r="J504" t="str">
            <v>iHerb</v>
          </cell>
        </row>
        <row r="505">
          <cell r="A505" t="str">
            <v>10-08-2020</v>
          </cell>
          <cell r="B505" t="str">
            <v>Zinc</v>
          </cell>
          <cell r="C505" t="str">
            <v>Mineral</v>
          </cell>
          <cell r="D505">
            <v>134</v>
          </cell>
          <cell r="E505">
            <v>35.93</v>
          </cell>
          <cell r="F505">
            <v>4814.62</v>
          </cell>
          <cell r="G505">
            <v>0.06</v>
          </cell>
          <cell r="H505">
            <v>1</v>
          </cell>
          <cell r="I505" t="str">
            <v>Canada</v>
          </cell>
          <cell r="J505" t="str">
            <v>iHerb</v>
          </cell>
        </row>
        <row r="506">
          <cell r="A506" t="str">
            <v>10-08-2020</v>
          </cell>
          <cell r="B506" t="str">
            <v>Collagen Peptides</v>
          </cell>
          <cell r="C506" t="str">
            <v>Protein</v>
          </cell>
          <cell r="D506">
            <v>177</v>
          </cell>
          <cell r="E506">
            <v>29.11</v>
          </cell>
          <cell r="F506">
            <v>5152.47</v>
          </cell>
          <cell r="G506">
            <v>0.14000000000000001</v>
          </cell>
          <cell r="H506">
            <v>0</v>
          </cell>
          <cell r="I506" t="str">
            <v>USA</v>
          </cell>
          <cell r="J506" t="str">
            <v>Walmart</v>
          </cell>
        </row>
        <row r="507">
          <cell r="A507" t="str">
            <v>10-08-2020</v>
          </cell>
          <cell r="B507" t="str">
            <v>Magnesium</v>
          </cell>
          <cell r="C507" t="str">
            <v>Mineral</v>
          </cell>
          <cell r="D507">
            <v>155</v>
          </cell>
          <cell r="E507">
            <v>34.479999999999997</v>
          </cell>
          <cell r="F507">
            <v>5344.4</v>
          </cell>
          <cell r="G507">
            <v>0.1</v>
          </cell>
          <cell r="H507">
            <v>0</v>
          </cell>
          <cell r="I507" t="str">
            <v>Canada</v>
          </cell>
          <cell r="J507" t="str">
            <v>Walmart</v>
          </cell>
        </row>
        <row r="508">
          <cell r="A508" t="str">
            <v>10-08-2020</v>
          </cell>
          <cell r="B508" t="str">
            <v>Ashwagandha</v>
          </cell>
          <cell r="C508" t="str">
            <v>Herbal</v>
          </cell>
          <cell r="D508">
            <v>144</v>
          </cell>
          <cell r="E508">
            <v>14.92</v>
          </cell>
          <cell r="F508">
            <v>2148.48</v>
          </cell>
          <cell r="G508">
            <v>0.24</v>
          </cell>
          <cell r="H508">
            <v>2</v>
          </cell>
          <cell r="I508" t="str">
            <v>UK</v>
          </cell>
          <cell r="J508" t="str">
            <v>Amazon</v>
          </cell>
        </row>
        <row r="509">
          <cell r="A509" t="str">
            <v>10-08-2020</v>
          </cell>
          <cell r="B509" t="str">
            <v>Melatonin</v>
          </cell>
          <cell r="C509" t="str">
            <v>Sleep Aid</v>
          </cell>
          <cell r="D509">
            <v>158</v>
          </cell>
          <cell r="E509">
            <v>29.66</v>
          </cell>
          <cell r="F509">
            <v>4686.28</v>
          </cell>
          <cell r="G509">
            <v>0.06</v>
          </cell>
          <cell r="H509">
            <v>0</v>
          </cell>
          <cell r="I509" t="str">
            <v>USA</v>
          </cell>
          <cell r="J509" t="str">
            <v>Walmart</v>
          </cell>
        </row>
        <row r="510">
          <cell r="A510" t="str">
            <v>10-08-2020</v>
          </cell>
          <cell r="B510" t="str">
            <v>Biotin</v>
          </cell>
          <cell r="C510" t="str">
            <v>Vitamin</v>
          </cell>
          <cell r="D510">
            <v>137</v>
          </cell>
          <cell r="E510">
            <v>43.88</v>
          </cell>
          <cell r="F510">
            <v>6011.56</v>
          </cell>
          <cell r="G510">
            <v>0.14000000000000001</v>
          </cell>
          <cell r="H510">
            <v>1</v>
          </cell>
          <cell r="I510" t="str">
            <v>Canada</v>
          </cell>
          <cell r="J510" t="str">
            <v>Amazon</v>
          </cell>
        </row>
        <row r="511">
          <cell r="A511" t="str">
            <v>10-08-2020</v>
          </cell>
          <cell r="B511" t="str">
            <v>Green Tea Extract</v>
          </cell>
          <cell r="C511" t="str">
            <v>Fat Burner</v>
          </cell>
          <cell r="D511">
            <v>171</v>
          </cell>
          <cell r="E511">
            <v>24.03</v>
          </cell>
          <cell r="F511">
            <v>4109.13</v>
          </cell>
          <cell r="G511">
            <v>0.09</v>
          </cell>
          <cell r="H511">
            <v>3</v>
          </cell>
          <cell r="I511" t="str">
            <v>USA</v>
          </cell>
          <cell r="J511" t="str">
            <v>iHerb</v>
          </cell>
        </row>
        <row r="512">
          <cell r="A512" t="str">
            <v>10-08-2020</v>
          </cell>
          <cell r="B512" t="str">
            <v>Iron Supplement</v>
          </cell>
          <cell r="C512" t="str">
            <v>Mineral</v>
          </cell>
          <cell r="D512">
            <v>166</v>
          </cell>
          <cell r="E512">
            <v>21.23</v>
          </cell>
          <cell r="F512">
            <v>3524.18</v>
          </cell>
          <cell r="G512">
            <v>0.1</v>
          </cell>
          <cell r="H512">
            <v>1</v>
          </cell>
          <cell r="I512" t="str">
            <v>USA</v>
          </cell>
          <cell r="J512" t="str">
            <v>Amazon</v>
          </cell>
        </row>
        <row r="513">
          <cell r="A513" t="str">
            <v>10-08-2020</v>
          </cell>
          <cell r="B513" t="str">
            <v>Electrolyte Powder</v>
          </cell>
          <cell r="C513" t="str">
            <v>Hydration</v>
          </cell>
          <cell r="D513">
            <v>162</v>
          </cell>
          <cell r="E513">
            <v>46.54</v>
          </cell>
          <cell r="F513">
            <v>7539.48</v>
          </cell>
          <cell r="G513">
            <v>0.11</v>
          </cell>
          <cell r="H513">
            <v>2</v>
          </cell>
          <cell r="I513" t="str">
            <v>USA</v>
          </cell>
          <cell r="J513" t="str">
            <v>iHerb</v>
          </cell>
        </row>
        <row r="514">
          <cell r="A514" t="str">
            <v>17-08-2020</v>
          </cell>
          <cell r="B514" t="str">
            <v>Whey Protein</v>
          </cell>
          <cell r="C514" t="str">
            <v>Protein</v>
          </cell>
          <cell r="D514">
            <v>163</v>
          </cell>
          <cell r="E514">
            <v>53.32</v>
          </cell>
          <cell r="F514">
            <v>8691.16</v>
          </cell>
          <cell r="G514">
            <v>0.01</v>
          </cell>
          <cell r="H514">
            <v>2</v>
          </cell>
          <cell r="I514" t="str">
            <v>UK</v>
          </cell>
          <cell r="J514" t="str">
            <v>iHerb</v>
          </cell>
        </row>
        <row r="515">
          <cell r="A515" t="str">
            <v>17-08-2020</v>
          </cell>
          <cell r="B515" t="str">
            <v>Vitamin C</v>
          </cell>
          <cell r="C515" t="str">
            <v>Vitamin</v>
          </cell>
          <cell r="D515">
            <v>135</v>
          </cell>
          <cell r="E515">
            <v>37.43</v>
          </cell>
          <cell r="F515">
            <v>5053.05</v>
          </cell>
          <cell r="G515">
            <v>0.1</v>
          </cell>
          <cell r="H515">
            <v>1</v>
          </cell>
          <cell r="I515" t="str">
            <v>Canada</v>
          </cell>
          <cell r="J515" t="str">
            <v>iHerb</v>
          </cell>
        </row>
        <row r="516">
          <cell r="A516" t="str">
            <v>17-08-2020</v>
          </cell>
          <cell r="B516" t="str">
            <v>Fish Oil</v>
          </cell>
          <cell r="C516" t="str">
            <v>Omega</v>
          </cell>
          <cell r="D516">
            <v>156</v>
          </cell>
          <cell r="E516">
            <v>16.649999999999999</v>
          </cell>
          <cell r="F516">
            <v>2597.4</v>
          </cell>
          <cell r="G516">
            <v>0.04</v>
          </cell>
          <cell r="H516">
            <v>4</v>
          </cell>
          <cell r="I516" t="str">
            <v>Canada</v>
          </cell>
          <cell r="J516" t="str">
            <v>iHerb</v>
          </cell>
        </row>
        <row r="517">
          <cell r="A517" t="str">
            <v>17-08-2020</v>
          </cell>
          <cell r="B517" t="str">
            <v>Multivitamin</v>
          </cell>
          <cell r="C517" t="str">
            <v>Vitamin</v>
          </cell>
          <cell r="D517">
            <v>145</v>
          </cell>
          <cell r="E517">
            <v>34.19</v>
          </cell>
          <cell r="F517">
            <v>4957.55</v>
          </cell>
          <cell r="G517">
            <v>0.1</v>
          </cell>
          <cell r="H517">
            <v>1</v>
          </cell>
          <cell r="I517" t="str">
            <v>USA</v>
          </cell>
          <cell r="J517" t="str">
            <v>Walmart</v>
          </cell>
        </row>
        <row r="518">
          <cell r="A518" t="str">
            <v>17-08-2020</v>
          </cell>
          <cell r="B518" t="str">
            <v>Pre-Workout</v>
          </cell>
          <cell r="C518" t="str">
            <v>Performance</v>
          </cell>
          <cell r="D518">
            <v>153</v>
          </cell>
          <cell r="E518">
            <v>18.07</v>
          </cell>
          <cell r="F518">
            <v>2764.71</v>
          </cell>
          <cell r="G518">
            <v>0.12</v>
          </cell>
          <cell r="H518">
            <v>2</v>
          </cell>
          <cell r="I518" t="str">
            <v>UK</v>
          </cell>
          <cell r="J518" t="str">
            <v>Walmart</v>
          </cell>
        </row>
        <row r="519">
          <cell r="A519" t="str">
            <v>17-08-2020</v>
          </cell>
          <cell r="B519" t="str">
            <v>BCAA</v>
          </cell>
          <cell r="C519" t="str">
            <v>Amino Acid</v>
          </cell>
          <cell r="D519">
            <v>152</v>
          </cell>
          <cell r="E519">
            <v>47.11</v>
          </cell>
          <cell r="F519">
            <v>7160.72</v>
          </cell>
          <cell r="G519">
            <v>0.01</v>
          </cell>
          <cell r="H519">
            <v>1</v>
          </cell>
          <cell r="I519" t="str">
            <v>UK</v>
          </cell>
          <cell r="J519" t="str">
            <v>Amazon</v>
          </cell>
        </row>
        <row r="520">
          <cell r="A520" t="str">
            <v>17-08-2020</v>
          </cell>
          <cell r="B520" t="str">
            <v>Creatine</v>
          </cell>
          <cell r="C520" t="str">
            <v>Performance</v>
          </cell>
          <cell r="D520">
            <v>161</v>
          </cell>
          <cell r="E520">
            <v>23.06</v>
          </cell>
          <cell r="F520">
            <v>3712.66</v>
          </cell>
          <cell r="G520">
            <v>0.17</v>
          </cell>
          <cell r="H520">
            <v>2</v>
          </cell>
          <cell r="I520" t="str">
            <v>Canada</v>
          </cell>
          <cell r="J520" t="str">
            <v>Walmart</v>
          </cell>
        </row>
        <row r="521">
          <cell r="A521" t="str">
            <v>17-08-2020</v>
          </cell>
          <cell r="B521" t="str">
            <v>Zinc</v>
          </cell>
          <cell r="C521" t="str">
            <v>Mineral</v>
          </cell>
          <cell r="D521">
            <v>162</v>
          </cell>
          <cell r="E521">
            <v>40.51</v>
          </cell>
          <cell r="F521">
            <v>6562.62</v>
          </cell>
          <cell r="G521">
            <v>0.12</v>
          </cell>
          <cell r="H521">
            <v>0</v>
          </cell>
          <cell r="I521" t="str">
            <v>Canada</v>
          </cell>
          <cell r="J521" t="str">
            <v>Amazon</v>
          </cell>
        </row>
        <row r="522">
          <cell r="A522" t="str">
            <v>17-08-2020</v>
          </cell>
          <cell r="B522" t="str">
            <v>Collagen Peptides</v>
          </cell>
          <cell r="C522" t="str">
            <v>Protein</v>
          </cell>
          <cell r="D522">
            <v>141</v>
          </cell>
          <cell r="E522">
            <v>39.96</v>
          </cell>
          <cell r="F522">
            <v>5634.36</v>
          </cell>
          <cell r="G522">
            <v>0.13</v>
          </cell>
          <cell r="H522">
            <v>1</v>
          </cell>
          <cell r="I522" t="str">
            <v>USA</v>
          </cell>
          <cell r="J522" t="str">
            <v>Amazon</v>
          </cell>
        </row>
        <row r="523">
          <cell r="A523" t="str">
            <v>17-08-2020</v>
          </cell>
          <cell r="B523" t="str">
            <v>Magnesium</v>
          </cell>
          <cell r="C523" t="str">
            <v>Mineral</v>
          </cell>
          <cell r="D523">
            <v>142</v>
          </cell>
          <cell r="E523">
            <v>11.2</v>
          </cell>
          <cell r="F523">
            <v>1590.4</v>
          </cell>
          <cell r="G523">
            <v>0.15</v>
          </cell>
          <cell r="H523">
            <v>3</v>
          </cell>
          <cell r="I523" t="str">
            <v>Canada</v>
          </cell>
          <cell r="J523" t="str">
            <v>iHerb</v>
          </cell>
        </row>
        <row r="524">
          <cell r="A524" t="str">
            <v>17-08-2020</v>
          </cell>
          <cell r="B524" t="str">
            <v>Ashwagandha</v>
          </cell>
          <cell r="C524" t="str">
            <v>Herbal</v>
          </cell>
          <cell r="D524">
            <v>137</v>
          </cell>
          <cell r="E524">
            <v>14.57</v>
          </cell>
          <cell r="F524">
            <v>1996.09</v>
          </cell>
          <cell r="G524">
            <v>0.16</v>
          </cell>
          <cell r="H524">
            <v>1</v>
          </cell>
          <cell r="I524" t="str">
            <v>USA</v>
          </cell>
          <cell r="J524" t="str">
            <v>Walmart</v>
          </cell>
        </row>
        <row r="525">
          <cell r="A525" t="str">
            <v>17-08-2020</v>
          </cell>
          <cell r="B525" t="str">
            <v>Melatonin</v>
          </cell>
          <cell r="C525" t="str">
            <v>Sleep Aid</v>
          </cell>
          <cell r="D525">
            <v>147</v>
          </cell>
          <cell r="E525">
            <v>54.83</v>
          </cell>
          <cell r="F525">
            <v>8060.01</v>
          </cell>
          <cell r="G525">
            <v>0.05</v>
          </cell>
          <cell r="H525">
            <v>0</v>
          </cell>
          <cell r="I525" t="str">
            <v>Canada</v>
          </cell>
          <cell r="J525" t="str">
            <v>Walmart</v>
          </cell>
        </row>
        <row r="526">
          <cell r="A526" t="str">
            <v>17-08-2020</v>
          </cell>
          <cell r="B526" t="str">
            <v>Biotin</v>
          </cell>
          <cell r="C526" t="str">
            <v>Vitamin</v>
          </cell>
          <cell r="D526">
            <v>165</v>
          </cell>
          <cell r="E526">
            <v>54.53</v>
          </cell>
          <cell r="F526">
            <v>8997.4500000000007</v>
          </cell>
          <cell r="G526">
            <v>0.15</v>
          </cell>
          <cell r="H526">
            <v>3</v>
          </cell>
          <cell r="I526" t="str">
            <v>UK</v>
          </cell>
          <cell r="J526" t="str">
            <v>iHerb</v>
          </cell>
        </row>
        <row r="527">
          <cell r="A527" t="str">
            <v>17-08-2020</v>
          </cell>
          <cell r="B527" t="str">
            <v>Green Tea Extract</v>
          </cell>
          <cell r="C527" t="str">
            <v>Fat Burner</v>
          </cell>
          <cell r="D527">
            <v>147</v>
          </cell>
          <cell r="E527">
            <v>55.65</v>
          </cell>
          <cell r="F527">
            <v>8180.55</v>
          </cell>
          <cell r="G527">
            <v>0.14000000000000001</v>
          </cell>
          <cell r="H527">
            <v>0</v>
          </cell>
          <cell r="I527" t="str">
            <v>Canada</v>
          </cell>
          <cell r="J527" t="str">
            <v>Walmart</v>
          </cell>
        </row>
        <row r="528">
          <cell r="A528" t="str">
            <v>17-08-2020</v>
          </cell>
          <cell r="B528" t="str">
            <v>Iron Supplement</v>
          </cell>
          <cell r="C528" t="str">
            <v>Mineral</v>
          </cell>
          <cell r="D528">
            <v>141</v>
          </cell>
          <cell r="E528">
            <v>22.34</v>
          </cell>
          <cell r="F528">
            <v>3149.94</v>
          </cell>
          <cell r="G528">
            <v>0.08</v>
          </cell>
          <cell r="H528">
            <v>1</v>
          </cell>
          <cell r="I528" t="str">
            <v>Canada</v>
          </cell>
          <cell r="J528" t="str">
            <v>iHerb</v>
          </cell>
        </row>
        <row r="529">
          <cell r="A529" t="str">
            <v>17-08-2020</v>
          </cell>
          <cell r="B529" t="str">
            <v>Electrolyte Powder</v>
          </cell>
          <cell r="C529" t="str">
            <v>Hydration</v>
          </cell>
          <cell r="D529">
            <v>153</v>
          </cell>
          <cell r="E529">
            <v>40.770000000000003</v>
          </cell>
          <cell r="F529">
            <v>6237.81</v>
          </cell>
          <cell r="G529">
            <v>0.02</v>
          </cell>
          <cell r="H529">
            <v>0</v>
          </cell>
          <cell r="I529" t="str">
            <v>UK</v>
          </cell>
          <cell r="J529" t="str">
            <v>iHerb</v>
          </cell>
        </row>
        <row r="530">
          <cell r="A530" t="str">
            <v>24-08-2020</v>
          </cell>
          <cell r="B530" t="str">
            <v>Whey Protein</v>
          </cell>
          <cell r="C530" t="str">
            <v>Protein</v>
          </cell>
          <cell r="D530">
            <v>137</v>
          </cell>
          <cell r="E530">
            <v>20.7</v>
          </cell>
          <cell r="F530">
            <v>2835.9</v>
          </cell>
          <cell r="G530">
            <v>7.0000000000000007E-2</v>
          </cell>
          <cell r="H530">
            <v>1</v>
          </cell>
          <cell r="I530" t="str">
            <v>UK</v>
          </cell>
          <cell r="J530" t="str">
            <v>iHerb</v>
          </cell>
        </row>
        <row r="531">
          <cell r="A531" t="str">
            <v>24-08-2020</v>
          </cell>
          <cell r="B531" t="str">
            <v>Vitamin C</v>
          </cell>
          <cell r="C531" t="str">
            <v>Vitamin</v>
          </cell>
          <cell r="D531">
            <v>162</v>
          </cell>
          <cell r="E531">
            <v>42.47</v>
          </cell>
          <cell r="F531">
            <v>6880.14</v>
          </cell>
          <cell r="G531">
            <v>0.17</v>
          </cell>
          <cell r="H531">
            <v>3</v>
          </cell>
          <cell r="I531" t="str">
            <v>UK</v>
          </cell>
          <cell r="J531" t="str">
            <v>Amazon</v>
          </cell>
        </row>
        <row r="532">
          <cell r="A532" t="str">
            <v>24-08-2020</v>
          </cell>
          <cell r="B532" t="str">
            <v>Fish Oil</v>
          </cell>
          <cell r="C532" t="str">
            <v>Omega</v>
          </cell>
          <cell r="D532">
            <v>173</v>
          </cell>
          <cell r="E532">
            <v>17.690000000000001</v>
          </cell>
          <cell r="F532">
            <v>3060.37</v>
          </cell>
          <cell r="G532">
            <v>0.22</v>
          </cell>
          <cell r="H532">
            <v>1</v>
          </cell>
          <cell r="I532" t="str">
            <v>Canada</v>
          </cell>
          <cell r="J532" t="str">
            <v>Amazon</v>
          </cell>
        </row>
        <row r="533">
          <cell r="A533" t="str">
            <v>24-08-2020</v>
          </cell>
          <cell r="B533" t="str">
            <v>Multivitamin</v>
          </cell>
          <cell r="C533" t="str">
            <v>Vitamin</v>
          </cell>
          <cell r="D533">
            <v>152</v>
          </cell>
          <cell r="E533">
            <v>43.95</v>
          </cell>
          <cell r="F533">
            <v>6680.4</v>
          </cell>
          <cell r="G533">
            <v>0.23</v>
          </cell>
          <cell r="H533">
            <v>6</v>
          </cell>
          <cell r="I533" t="str">
            <v>UK</v>
          </cell>
          <cell r="J533" t="str">
            <v>Amazon</v>
          </cell>
        </row>
        <row r="534">
          <cell r="A534" t="str">
            <v>24-08-2020</v>
          </cell>
          <cell r="B534" t="str">
            <v>Pre-Workout</v>
          </cell>
          <cell r="C534" t="str">
            <v>Performance</v>
          </cell>
          <cell r="D534">
            <v>158</v>
          </cell>
          <cell r="E534">
            <v>53.99</v>
          </cell>
          <cell r="F534">
            <v>8530.42</v>
          </cell>
          <cell r="G534">
            <v>0.01</v>
          </cell>
          <cell r="H534">
            <v>1</v>
          </cell>
          <cell r="I534" t="str">
            <v>USA</v>
          </cell>
          <cell r="J534" t="str">
            <v>iHerb</v>
          </cell>
        </row>
        <row r="535">
          <cell r="A535" t="str">
            <v>24-08-2020</v>
          </cell>
          <cell r="B535" t="str">
            <v>BCAA</v>
          </cell>
          <cell r="C535" t="str">
            <v>Amino Acid</v>
          </cell>
          <cell r="D535">
            <v>168</v>
          </cell>
          <cell r="E535">
            <v>21.03</v>
          </cell>
          <cell r="F535">
            <v>3533.04</v>
          </cell>
          <cell r="G535">
            <v>0.03</v>
          </cell>
          <cell r="H535">
            <v>3</v>
          </cell>
          <cell r="I535" t="str">
            <v>UK</v>
          </cell>
          <cell r="J535" t="str">
            <v>Amazon</v>
          </cell>
        </row>
        <row r="536">
          <cell r="A536" t="str">
            <v>24-08-2020</v>
          </cell>
          <cell r="B536" t="str">
            <v>Creatine</v>
          </cell>
          <cell r="C536" t="str">
            <v>Performance</v>
          </cell>
          <cell r="D536">
            <v>150</v>
          </cell>
          <cell r="E536">
            <v>21.95</v>
          </cell>
          <cell r="F536">
            <v>3292.5</v>
          </cell>
          <cell r="G536">
            <v>0.19</v>
          </cell>
          <cell r="H536">
            <v>2</v>
          </cell>
          <cell r="I536" t="str">
            <v>Canada</v>
          </cell>
          <cell r="J536" t="str">
            <v>iHerb</v>
          </cell>
        </row>
        <row r="537">
          <cell r="A537" t="str">
            <v>24-08-2020</v>
          </cell>
          <cell r="B537" t="str">
            <v>Zinc</v>
          </cell>
          <cell r="C537" t="str">
            <v>Mineral</v>
          </cell>
          <cell r="D537">
            <v>143</v>
          </cell>
          <cell r="E537">
            <v>20.48</v>
          </cell>
          <cell r="F537">
            <v>2928.64</v>
          </cell>
          <cell r="G537">
            <v>0.24</v>
          </cell>
          <cell r="H537">
            <v>2</v>
          </cell>
          <cell r="I537" t="str">
            <v>UK</v>
          </cell>
          <cell r="J537" t="str">
            <v>iHerb</v>
          </cell>
        </row>
        <row r="538">
          <cell r="A538" t="str">
            <v>24-08-2020</v>
          </cell>
          <cell r="B538" t="str">
            <v>Collagen Peptides</v>
          </cell>
          <cell r="C538" t="str">
            <v>Protein</v>
          </cell>
          <cell r="D538">
            <v>174</v>
          </cell>
          <cell r="E538">
            <v>49.09</v>
          </cell>
          <cell r="F538">
            <v>8541.66</v>
          </cell>
          <cell r="G538">
            <v>0.19</v>
          </cell>
          <cell r="H538">
            <v>2</v>
          </cell>
          <cell r="I538" t="str">
            <v>Canada</v>
          </cell>
          <cell r="J538" t="str">
            <v>iHerb</v>
          </cell>
        </row>
        <row r="539">
          <cell r="A539" t="str">
            <v>24-08-2020</v>
          </cell>
          <cell r="B539" t="str">
            <v>Magnesium</v>
          </cell>
          <cell r="C539" t="str">
            <v>Mineral</v>
          </cell>
          <cell r="D539">
            <v>134</v>
          </cell>
          <cell r="E539">
            <v>46.47</v>
          </cell>
          <cell r="F539">
            <v>6226.98</v>
          </cell>
          <cell r="G539">
            <v>0.14000000000000001</v>
          </cell>
          <cell r="H539">
            <v>0</v>
          </cell>
          <cell r="I539" t="str">
            <v>USA</v>
          </cell>
          <cell r="J539" t="str">
            <v>Walmart</v>
          </cell>
        </row>
        <row r="540">
          <cell r="A540" t="str">
            <v>24-08-2020</v>
          </cell>
          <cell r="B540" t="str">
            <v>Ashwagandha</v>
          </cell>
          <cell r="C540" t="str">
            <v>Herbal</v>
          </cell>
          <cell r="D540">
            <v>150</v>
          </cell>
          <cell r="E540">
            <v>31.37</v>
          </cell>
          <cell r="F540">
            <v>4705.5</v>
          </cell>
          <cell r="G540">
            <v>0.16</v>
          </cell>
          <cell r="H540">
            <v>2</v>
          </cell>
          <cell r="I540" t="str">
            <v>USA</v>
          </cell>
          <cell r="J540" t="str">
            <v>Amazon</v>
          </cell>
        </row>
        <row r="541">
          <cell r="A541" t="str">
            <v>24-08-2020</v>
          </cell>
          <cell r="B541" t="str">
            <v>Melatonin</v>
          </cell>
          <cell r="C541" t="str">
            <v>Sleep Aid</v>
          </cell>
          <cell r="D541">
            <v>140</v>
          </cell>
          <cell r="E541">
            <v>23.46</v>
          </cell>
          <cell r="F541">
            <v>3284.4</v>
          </cell>
          <cell r="G541">
            <v>0.05</v>
          </cell>
          <cell r="H541">
            <v>2</v>
          </cell>
          <cell r="I541" t="str">
            <v>USA</v>
          </cell>
          <cell r="J541" t="str">
            <v>iHerb</v>
          </cell>
        </row>
        <row r="542">
          <cell r="A542" t="str">
            <v>24-08-2020</v>
          </cell>
          <cell r="B542" t="str">
            <v>Biotin</v>
          </cell>
          <cell r="C542" t="str">
            <v>Vitamin</v>
          </cell>
          <cell r="D542">
            <v>170</v>
          </cell>
          <cell r="E542">
            <v>47.56</v>
          </cell>
          <cell r="F542">
            <v>8085.2</v>
          </cell>
          <cell r="G542">
            <v>0.22</v>
          </cell>
          <cell r="H542">
            <v>3</v>
          </cell>
          <cell r="I542" t="str">
            <v>USA</v>
          </cell>
          <cell r="J542" t="str">
            <v>Amazon</v>
          </cell>
        </row>
        <row r="543">
          <cell r="A543" t="str">
            <v>24-08-2020</v>
          </cell>
          <cell r="B543" t="str">
            <v>Green Tea Extract</v>
          </cell>
          <cell r="C543" t="str">
            <v>Fat Burner</v>
          </cell>
          <cell r="D543">
            <v>146</v>
          </cell>
          <cell r="E543">
            <v>13.12</v>
          </cell>
          <cell r="F543">
            <v>1915.52</v>
          </cell>
          <cell r="G543">
            <v>0.12</v>
          </cell>
          <cell r="H543">
            <v>0</v>
          </cell>
          <cell r="I543" t="str">
            <v>Canada</v>
          </cell>
          <cell r="J543" t="str">
            <v>Walmart</v>
          </cell>
        </row>
        <row r="544">
          <cell r="A544" t="str">
            <v>24-08-2020</v>
          </cell>
          <cell r="B544" t="str">
            <v>Iron Supplement</v>
          </cell>
          <cell r="C544" t="str">
            <v>Mineral</v>
          </cell>
          <cell r="D544">
            <v>140</v>
          </cell>
          <cell r="E544">
            <v>50.44</v>
          </cell>
          <cell r="F544">
            <v>7061.6</v>
          </cell>
          <cell r="G544">
            <v>0.22</v>
          </cell>
          <cell r="H544">
            <v>1</v>
          </cell>
          <cell r="I544" t="str">
            <v>Canada</v>
          </cell>
          <cell r="J544" t="str">
            <v>iHerb</v>
          </cell>
        </row>
        <row r="545">
          <cell r="A545" t="str">
            <v>24-08-2020</v>
          </cell>
          <cell r="B545" t="str">
            <v>Electrolyte Powder</v>
          </cell>
          <cell r="C545" t="str">
            <v>Hydration</v>
          </cell>
          <cell r="D545">
            <v>165</v>
          </cell>
          <cell r="E545">
            <v>48.23</v>
          </cell>
          <cell r="F545">
            <v>7957.95</v>
          </cell>
          <cell r="G545">
            <v>0.04</v>
          </cell>
          <cell r="H545">
            <v>2</v>
          </cell>
          <cell r="I545" t="str">
            <v>USA</v>
          </cell>
          <cell r="J545" t="str">
            <v>Walmart</v>
          </cell>
        </row>
        <row r="546">
          <cell r="A546" t="str">
            <v>31-08-2020</v>
          </cell>
          <cell r="B546" t="str">
            <v>Whey Protein</v>
          </cell>
          <cell r="C546" t="str">
            <v>Protein</v>
          </cell>
          <cell r="D546">
            <v>176</v>
          </cell>
          <cell r="E546">
            <v>26.58</v>
          </cell>
          <cell r="F546">
            <v>4678.08</v>
          </cell>
          <cell r="G546">
            <v>0.13</v>
          </cell>
          <cell r="H546">
            <v>2</v>
          </cell>
          <cell r="I546" t="str">
            <v>USA</v>
          </cell>
          <cell r="J546" t="str">
            <v>Walmart</v>
          </cell>
        </row>
        <row r="547">
          <cell r="A547" t="str">
            <v>31-08-2020</v>
          </cell>
          <cell r="B547" t="str">
            <v>Vitamin C</v>
          </cell>
          <cell r="C547" t="str">
            <v>Vitamin</v>
          </cell>
          <cell r="D547">
            <v>150</v>
          </cell>
          <cell r="E547">
            <v>25.6</v>
          </cell>
          <cell r="F547">
            <v>3840</v>
          </cell>
          <cell r="G547">
            <v>0.2</v>
          </cell>
          <cell r="H547">
            <v>3</v>
          </cell>
          <cell r="I547" t="str">
            <v>USA</v>
          </cell>
          <cell r="J547" t="str">
            <v>Amazon</v>
          </cell>
        </row>
        <row r="548">
          <cell r="A548" t="str">
            <v>31-08-2020</v>
          </cell>
          <cell r="B548" t="str">
            <v>Fish Oil</v>
          </cell>
          <cell r="C548" t="str">
            <v>Omega</v>
          </cell>
          <cell r="D548">
            <v>144</v>
          </cell>
          <cell r="E548">
            <v>47.59</v>
          </cell>
          <cell r="F548">
            <v>6852.96</v>
          </cell>
          <cell r="G548">
            <v>0.2</v>
          </cell>
          <cell r="H548">
            <v>4</v>
          </cell>
          <cell r="I548" t="str">
            <v>UK</v>
          </cell>
          <cell r="J548" t="str">
            <v>Amazon</v>
          </cell>
        </row>
        <row r="549">
          <cell r="A549" t="str">
            <v>31-08-2020</v>
          </cell>
          <cell r="B549" t="str">
            <v>Multivitamin</v>
          </cell>
          <cell r="C549" t="str">
            <v>Vitamin</v>
          </cell>
          <cell r="D549">
            <v>143</v>
          </cell>
          <cell r="E549">
            <v>16.579999999999998</v>
          </cell>
          <cell r="F549">
            <v>2370.94</v>
          </cell>
          <cell r="G549">
            <v>0.18</v>
          </cell>
          <cell r="H549">
            <v>2</v>
          </cell>
          <cell r="I549" t="str">
            <v>UK</v>
          </cell>
          <cell r="J549" t="str">
            <v>Amazon</v>
          </cell>
        </row>
        <row r="550">
          <cell r="A550" t="str">
            <v>31-08-2020</v>
          </cell>
          <cell r="B550" t="str">
            <v>Pre-Workout</v>
          </cell>
          <cell r="C550" t="str">
            <v>Performance</v>
          </cell>
          <cell r="D550">
            <v>156</v>
          </cell>
          <cell r="E550">
            <v>53.65</v>
          </cell>
          <cell r="F550">
            <v>8369.4</v>
          </cell>
          <cell r="G550">
            <v>0.04</v>
          </cell>
          <cell r="H550">
            <v>0</v>
          </cell>
          <cell r="I550" t="str">
            <v>UK</v>
          </cell>
          <cell r="J550" t="str">
            <v>Amazon</v>
          </cell>
        </row>
        <row r="551">
          <cell r="A551" t="str">
            <v>31-08-2020</v>
          </cell>
          <cell r="B551" t="str">
            <v>BCAA</v>
          </cell>
          <cell r="C551" t="str">
            <v>Amino Acid</v>
          </cell>
          <cell r="D551">
            <v>158</v>
          </cell>
          <cell r="E551">
            <v>52.45</v>
          </cell>
          <cell r="F551">
            <v>8287.1</v>
          </cell>
          <cell r="G551">
            <v>0.1</v>
          </cell>
          <cell r="H551">
            <v>0</v>
          </cell>
          <cell r="I551" t="str">
            <v>Canada</v>
          </cell>
          <cell r="J551" t="str">
            <v>Amazon</v>
          </cell>
        </row>
        <row r="552">
          <cell r="A552" t="str">
            <v>31-08-2020</v>
          </cell>
          <cell r="B552" t="str">
            <v>Creatine</v>
          </cell>
          <cell r="C552" t="str">
            <v>Performance</v>
          </cell>
          <cell r="D552">
            <v>164</v>
          </cell>
          <cell r="E552">
            <v>19.46</v>
          </cell>
          <cell r="F552">
            <v>3191.44</v>
          </cell>
          <cell r="G552">
            <v>0.18</v>
          </cell>
          <cell r="H552">
            <v>2</v>
          </cell>
          <cell r="I552" t="str">
            <v>Canada</v>
          </cell>
          <cell r="J552" t="str">
            <v>Walmart</v>
          </cell>
        </row>
        <row r="553">
          <cell r="A553" t="str">
            <v>31-08-2020</v>
          </cell>
          <cell r="B553" t="str">
            <v>Zinc</v>
          </cell>
          <cell r="C553" t="str">
            <v>Mineral</v>
          </cell>
          <cell r="D553">
            <v>154</v>
          </cell>
          <cell r="E553">
            <v>51.44</v>
          </cell>
          <cell r="F553">
            <v>7921.76</v>
          </cell>
          <cell r="G553">
            <v>0.21</v>
          </cell>
          <cell r="H553">
            <v>2</v>
          </cell>
          <cell r="I553" t="str">
            <v>UK</v>
          </cell>
          <cell r="J553" t="str">
            <v>Walmart</v>
          </cell>
        </row>
        <row r="554">
          <cell r="A554" t="str">
            <v>31-08-2020</v>
          </cell>
          <cell r="B554" t="str">
            <v>Collagen Peptides</v>
          </cell>
          <cell r="C554" t="str">
            <v>Protein</v>
          </cell>
          <cell r="D554">
            <v>132</v>
          </cell>
          <cell r="E554">
            <v>43.55</v>
          </cell>
          <cell r="F554">
            <v>5748.6</v>
          </cell>
          <cell r="G554">
            <v>0.17</v>
          </cell>
          <cell r="H554">
            <v>1</v>
          </cell>
          <cell r="I554" t="str">
            <v>UK</v>
          </cell>
          <cell r="J554" t="str">
            <v>Walmart</v>
          </cell>
        </row>
        <row r="555">
          <cell r="A555" t="str">
            <v>31-08-2020</v>
          </cell>
          <cell r="B555" t="str">
            <v>Magnesium</v>
          </cell>
          <cell r="C555" t="str">
            <v>Mineral</v>
          </cell>
          <cell r="D555">
            <v>167</v>
          </cell>
          <cell r="E555">
            <v>15.63</v>
          </cell>
          <cell r="F555">
            <v>2610.21</v>
          </cell>
          <cell r="G555">
            <v>0.1</v>
          </cell>
          <cell r="H555">
            <v>3</v>
          </cell>
          <cell r="I555" t="str">
            <v>USA</v>
          </cell>
          <cell r="J555" t="str">
            <v>iHerb</v>
          </cell>
        </row>
        <row r="556">
          <cell r="A556" t="str">
            <v>31-08-2020</v>
          </cell>
          <cell r="B556" t="str">
            <v>Ashwagandha</v>
          </cell>
          <cell r="C556" t="str">
            <v>Herbal</v>
          </cell>
          <cell r="D556">
            <v>156</v>
          </cell>
          <cell r="E556">
            <v>23.53</v>
          </cell>
          <cell r="F556">
            <v>3670.68</v>
          </cell>
          <cell r="G556">
            <v>0.06</v>
          </cell>
          <cell r="H556">
            <v>4</v>
          </cell>
          <cell r="I556" t="str">
            <v>Canada</v>
          </cell>
          <cell r="J556" t="str">
            <v>iHerb</v>
          </cell>
        </row>
        <row r="557">
          <cell r="A557" t="str">
            <v>31-08-2020</v>
          </cell>
          <cell r="B557" t="str">
            <v>Melatonin</v>
          </cell>
          <cell r="C557" t="str">
            <v>Sleep Aid</v>
          </cell>
          <cell r="D557">
            <v>142</v>
          </cell>
          <cell r="E557">
            <v>29.66</v>
          </cell>
          <cell r="F557">
            <v>4211.72</v>
          </cell>
          <cell r="G557">
            <v>0.03</v>
          </cell>
          <cell r="H557">
            <v>0</v>
          </cell>
          <cell r="I557" t="str">
            <v>USA</v>
          </cell>
          <cell r="J557" t="str">
            <v>iHerb</v>
          </cell>
        </row>
        <row r="558">
          <cell r="A558" t="str">
            <v>31-08-2020</v>
          </cell>
          <cell r="B558" t="str">
            <v>Biotin</v>
          </cell>
          <cell r="C558" t="str">
            <v>Vitamin</v>
          </cell>
          <cell r="D558">
            <v>151</v>
          </cell>
          <cell r="E558">
            <v>28.46</v>
          </cell>
          <cell r="F558">
            <v>4297.46</v>
          </cell>
          <cell r="G558">
            <v>0.09</v>
          </cell>
          <cell r="H558">
            <v>1</v>
          </cell>
          <cell r="I558" t="str">
            <v>USA</v>
          </cell>
          <cell r="J558" t="str">
            <v>Amazon</v>
          </cell>
        </row>
        <row r="559">
          <cell r="A559" t="str">
            <v>31-08-2020</v>
          </cell>
          <cell r="B559" t="str">
            <v>Green Tea Extract</v>
          </cell>
          <cell r="C559" t="str">
            <v>Fat Burner</v>
          </cell>
          <cell r="D559">
            <v>151</v>
          </cell>
          <cell r="E559">
            <v>54</v>
          </cell>
          <cell r="F559">
            <v>8154</v>
          </cell>
          <cell r="G559">
            <v>0.13</v>
          </cell>
          <cell r="H559">
            <v>1</v>
          </cell>
          <cell r="I559" t="str">
            <v>USA</v>
          </cell>
          <cell r="J559" t="str">
            <v>iHerb</v>
          </cell>
        </row>
        <row r="560">
          <cell r="A560" t="str">
            <v>31-08-2020</v>
          </cell>
          <cell r="B560" t="str">
            <v>Iron Supplement</v>
          </cell>
          <cell r="C560" t="str">
            <v>Mineral</v>
          </cell>
          <cell r="D560">
            <v>140</v>
          </cell>
          <cell r="E560">
            <v>43.16</v>
          </cell>
          <cell r="F560">
            <v>6042.4</v>
          </cell>
          <cell r="G560">
            <v>0.15</v>
          </cell>
          <cell r="H560">
            <v>1</v>
          </cell>
          <cell r="I560" t="str">
            <v>Canada</v>
          </cell>
          <cell r="J560" t="str">
            <v>iHerb</v>
          </cell>
        </row>
        <row r="561">
          <cell r="A561" t="str">
            <v>31-08-2020</v>
          </cell>
          <cell r="B561" t="str">
            <v>Electrolyte Powder</v>
          </cell>
          <cell r="C561" t="str">
            <v>Hydration</v>
          </cell>
          <cell r="D561">
            <v>147</v>
          </cell>
          <cell r="E561">
            <v>19.79</v>
          </cell>
          <cell r="F561">
            <v>2909.13</v>
          </cell>
          <cell r="G561">
            <v>0.21</v>
          </cell>
          <cell r="H561">
            <v>2</v>
          </cell>
          <cell r="I561" t="str">
            <v>Canada</v>
          </cell>
          <cell r="J561" t="str">
            <v>Amazon</v>
          </cell>
        </row>
        <row r="562">
          <cell r="A562" t="str">
            <v>07-09-2020</v>
          </cell>
          <cell r="B562" t="str">
            <v>Whey Protein</v>
          </cell>
          <cell r="C562" t="str">
            <v>Protein</v>
          </cell>
          <cell r="D562">
            <v>147</v>
          </cell>
          <cell r="E562">
            <v>22.83</v>
          </cell>
          <cell r="F562">
            <v>3356.01</v>
          </cell>
          <cell r="G562">
            <v>0.19</v>
          </cell>
          <cell r="H562">
            <v>1</v>
          </cell>
          <cell r="I562" t="str">
            <v>UK</v>
          </cell>
          <cell r="J562" t="str">
            <v>Amazon</v>
          </cell>
        </row>
        <row r="563">
          <cell r="A563" t="str">
            <v>07-09-2020</v>
          </cell>
          <cell r="B563" t="str">
            <v>Vitamin C</v>
          </cell>
          <cell r="C563" t="str">
            <v>Vitamin</v>
          </cell>
          <cell r="D563">
            <v>143</v>
          </cell>
          <cell r="E563">
            <v>59.79</v>
          </cell>
          <cell r="F563">
            <v>8549.9699999999993</v>
          </cell>
          <cell r="G563">
            <v>0.11</v>
          </cell>
          <cell r="H563">
            <v>3</v>
          </cell>
          <cell r="I563" t="str">
            <v>USA</v>
          </cell>
          <cell r="J563" t="str">
            <v>iHerb</v>
          </cell>
        </row>
        <row r="564">
          <cell r="A564" t="str">
            <v>07-09-2020</v>
          </cell>
          <cell r="B564" t="str">
            <v>Fish Oil</v>
          </cell>
          <cell r="C564" t="str">
            <v>Omega</v>
          </cell>
          <cell r="D564">
            <v>144</v>
          </cell>
          <cell r="E564">
            <v>20.21</v>
          </cell>
          <cell r="F564">
            <v>2910.24</v>
          </cell>
          <cell r="G564">
            <v>0.1</v>
          </cell>
          <cell r="H564">
            <v>0</v>
          </cell>
          <cell r="I564" t="str">
            <v>Canada</v>
          </cell>
          <cell r="J564" t="str">
            <v>iHerb</v>
          </cell>
        </row>
        <row r="565">
          <cell r="A565" t="str">
            <v>07-09-2020</v>
          </cell>
          <cell r="B565" t="str">
            <v>Multivitamin</v>
          </cell>
          <cell r="C565" t="str">
            <v>Vitamin</v>
          </cell>
          <cell r="D565">
            <v>164</v>
          </cell>
          <cell r="E565">
            <v>18.39</v>
          </cell>
          <cell r="F565">
            <v>3015.96</v>
          </cell>
          <cell r="G565">
            <v>0.03</v>
          </cell>
          <cell r="H565">
            <v>0</v>
          </cell>
          <cell r="I565" t="str">
            <v>USA</v>
          </cell>
          <cell r="J565" t="str">
            <v>Amazon</v>
          </cell>
        </row>
        <row r="566">
          <cell r="A566" t="str">
            <v>07-09-2020</v>
          </cell>
          <cell r="B566" t="str">
            <v>Pre-Workout</v>
          </cell>
          <cell r="C566" t="str">
            <v>Performance</v>
          </cell>
          <cell r="D566">
            <v>147</v>
          </cell>
          <cell r="E566">
            <v>35.619999999999997</v>
          </cell>
          <cell r="F566">
            <v>5236.1400000000003</v>
          </cell>
          <cell r="G566">
            <v>0.09</v>
          </cell>
          <cell r="H566">
            <v>1</v>
          </cell>
          <cell r="I566" t="str">
            <v>UK</v>
          </cell>
          <cell r="J566" t="str">
            <v>iHerb</v>
          </cell>
        </row>
        <row r="567">
          <cell r="A567" t="str">
            <v>07-09-2020</v>
          </cell>
          <cell r="B567" t="str">
            <v>BCAA</v>
          </cell>
          <cell r="C567" t="str">
            <v>Amino Acid</v>
          </cell>
          <cell r="D567">
            <v>154</v>
          </cell>
          <cell r="E567">
            <v>15.53</v>
          </cell>
          <cell r="F567">
            <v>2391.62</v>
          </cell>
          <cell r="G567">
            <v>0.01</v>
          </cell>
          <cell r="H567">
            <v>5</v>
          </cell>
          <cell r="I567" t="str">
            <v>Canada</v>
          </cell>
          <cell r="J567" t="str">
            <v>Walmart</v>
          </cell>
        </row>
        <row r="568">
          <cell r="A568" t="str">
            <v>07-09-2020</v>
          </cell>
          <cell r="B568" t="str">
            <v>Creatine</v>
          </cell>
          <cell r="C568" t="str">
            <v>Performance</v>
          </cell>
          <cell r="D568">
            <v>140</v>
          </cell>
          <cell r="E568">
            <v>19.489999999999998</v>
          </cell>
          <cell r="F568">
            <v>2728.6</v>
          </cell>
          <cell r="G568">
            <v>0.01</v>
          </cell>
          <cell r="H568">
            <v>1</v>
          </cell>
          <cell r="I568" t="str">
            <v>USA</v>
          </cell>
          <cell r="J568" t="str">
            <v>iHerb</v>
          </cell>
        </row>
        <row r="569">
          <cell r="A569" t="str">
            <v>07-09-2020</v>
          </cell>
          <cell r="B569" t="str">
            <v>Zinc</v>
          </cell>
          <cell r="C569" t="str">
            <v>Mineral</v>
          </cell>
          <cell r="D569">
            <v>162</v>
          </cell>
          <cell r="E569">
            <v>32.21</v>
          </cell>
          <cell r="F569">
            <v>5218.0200000000004</v>
          </cell>
          <cell r="G569">
            <v>0.17</v>
          </cell>
          <cell r="H569">
            <v>1</v>
          </cell>
          <cell r="I569" t="str">
            <v>USA</v>
          </cell>
          <cell r="J569" t="str">
            <v>Walmart</v>
          </cell>
        </row>
        <row r="570">
          <cell r="A570" t="str">
            <v>07-09-2020</v>
          </cell>
          <cell r="B570" t="str">
            <v>Collagen Peptides</v>
          </cell>
          <cell r="C570" t="str">
            <v>Protein</v>
          </cell>
          <cell r="D570">
            <v>165</v>
          </cell>
          <cell r="E570">
            <v>10.5</v>
          </cell>
          <cell r="F570">
            <v>1732.5</v>
          </cell>
          <cell r="G570">
            <v>0.19</v>
          </cell>
          <cell r="H570">
            <v>1</v>
          </cell>
          <cell r="I570" t="str">
            <v>USA</v>
          </cell>
          <cell r="J570" t="str">
            <v>Amazon</v>
          </cell>
        </row>
        <row r="571">
          <cell r="A571" t="str">
            <v>07-09-2020</v>
          </cell>
          <cell r="B571" t="str">
            <v>Magnesium</v>
          </cell>
          <cell r="C571" t="str">
            <v>Mineral</v>
          </cell>
          <cell r="D571">
            <v>140</v>
          </cell>
          <cell r="E571">
            <v>59.61</v>
          </cell>
          <cell r="F571">
            <v>8345.4</v>
          </cell>
          <cell r="G571">
            <v>0.21</v>
          </cell>
          <cell r="H571">
            <v>0</v>
          </cell>
          <cell r="I571" t="str">
            <v>USA</v>
          </cell>
          <cell r="J571" t="str">
            <v>iHerb</v>
          </cell>
        </row>
        <row r="572">
          <cell r="A572" t="str">
            <v>07-09-2020</v>
          </cell>
          <cell r="B572" t="str">
            <v>Ashwagandha</v>
          </cell>
          <cell r="C572" t="str">
            <v>Herbal</v>
          </cell>
          <cell r="D572">
            <v>158</v>
          </cell>
          <cell r="E572">
            <v>10.35</v>
          </cell>
          <cell r="F572">
            <v>1635.3</v>
          </cell>
          <cell r="G572">
            <v>0.1</v>
          </cell>
          <cell r="H572">
            <v>1</v>
          </cell>
          <cell r="I572" t="str">
            <v>USA</v>
          </cell>
          <cell r="J572" t="str">
            <v>Walmart</v>
          </cell>
        </row>
        <row r="573">
          <cell r="A573" t="str">
            <v>07-09-2020</v>
          </cell>
          <cell r="B573" t="str">
            <v>Melatonin</v>
          </cell>
          <cell r="C573" t="str">
            <v>Sleep Aid</v>
          </cell>
          <cell r="D573">
            <v>163</v>
          </cell>
          <cell r="E573">
            <v>51.38</v>
          </cell>
          <cell r="F573">
            <v>8374.94</v>
          </cell>
          <cell r="G573">
            <v>0</v>
          </cell>
          <cell r="H573">
            <v>1</v>
          </cell>
          <cell r="I573" t="str">
            <v>Canada</v>
          </cell>
          <cell r="J573" t="str">
            <v>Walmart</v>
          </cell>
        </row>
        <row r="574">
          <cell r="A574" t="str">
            <v>07-09-2020</v>
          </cell>
          <cell r="B574" t="str">
            <v>Biotin</v>
          </cell>
          <cell r="C574" t="str">
            <v>Vitamin</v>
          </cell>
          <cell r="D574">
            <v>140</v>
          </cell>
          <cell r="E574">
            <v>13.41</v>
          </cell>
          <cell r="F574">
            <v>1877.4</v>
          </cell>
          <cell r="G574">
            <v>0.05</v>
          </cell>
          <cell r="H574">
            <v>1</v>
          </cell>
          <cell r="I574" t="str">
            <v>USA</v>
          </cell>
          <cell r="J574" t="str">
            <v>Amazon</v>
          </cell>
        </row>
        <row r="575">
          <cell r="A575" t="str">
            <v>07-09-2020</v>
          </cell>
          <cell r="B575" t="str">
            <v>Green Tea Extract</v>
          </cell>
          <cell r="C575" t="str">
            <v>Fat Burner</v>
          </cell>
          <cell r="D575">
            <v>142</v>
          </cell>
          <cell r="E575">
            <v>28.84</v>
          </cell>
          <cell r="F575">
            <v>4095.28</v>
          </cell>
          <cell r="G575">
            <v>0.22</v>
          </cell>
          <cell r="H575">
            <v>3</v>
          </cell>
          <cell r="I575" t="str">
            <v>USA</v>
          </cell>
          <cell r="J575" t="str">
            <v>Amazon</v>
          </cell>
        </row>
        <row r="576">
          <cell r="A576" t="str">
            <v>07-09-2020</v>
          </cell>
          <cell r="B576" t="str">
            <v>Iron Supplement</v>
          </cell>
          <cell r="C576" t="str">
            <v>Mineral</v>
          </cell>
          <cell r="D576">
            <v>150</v>
          </cell>
          <cell r="E576">
            <v>15.34</v>
          </cell>
          <cell r="F576">
            <v>2301</v>
          </cell>
          <cell r="G576">
            <v>0.24</v>
          </cell>
          <cell r="H576">
            <v>0</v>
          </cell>
          <cell r="I576" t="str">
            <v>USA</v>
          </cell>
          <cell r="J576" t="str">
            <v>Amazon</v>
          </cell>
        </row>
        <row r="577">
          <cell r="A577" t="str">
            <v>07-09-2020</v>
          </cell>
          <cell r="B577" t="str">
            <v>Electrolyte Powder</v>
          </cell>
          <cell r="C577" t="str">
            <v>Hydration</v>
          </cell>
          <cell r="D577">
            <v>142</v>
          </cell>
          <cell r="E577">
            <v>26.02</v>
          </cell>
          <cell r="F577">
            <v>3694.84</v>
          </cell>
          <cell r="G577">
            <v>0.04</v>
          </cell>
          <cell r="H577">
            <v>2</v>
          </cell>
          <cell r="I577" t="str">
            <v>Canada</v>
          </cell>
          <cell r="J577" t="str">
            <v>Amazon</v>
          </cell>
        </row>
        <row r="578">
          <cell r="A578" t="str">
            <v>14-09-2020</v>
          </cell>
          <cell r="B578" t="str">
            <v>Whey Protein</v>
          </cell>
          <cell r="C578" t="str">
            <v>Protein</v>
          </cell>
          <cell r="D578">
            <v>133</v>
          </cell>
          <cell r="E578">
            <v>16.190000000000001</v>
          </cell>
          <cell r="F578">
            <v>2153.27</v>
          </cell>
          <cell r="G578">
            <v>0.02</v>
          </cell>
          <cell r="H578">
            <v>3</v>
          </cell>
          <cell r="I578" t="str">
            <v>USA</v>
          </cell>
          <cell r="J578" t="str">
            <v>Amazon</v>
          </cell>
        </row>
        <row r="579">
          <cell r="A579" t="str">
            <v>14-09-2020</v>
          </cell>
          <cell r="B579" t="str">
            <v>Vitamin C</v>
          </cell>
          <cell r="C579" t="str">
            <v>Vitamin</v>
          </cell>
          <cell r="D579">
            <v>138</v>
          </cell>
          <cell r="E579">
            <v>37.229999999999997</v>
          </cell>
          <cell r="F579">
            <v>5137.74</v>
          </cell>
          <cell r="G579">
            <v>0.02</v>
          </cell>
          <cell r="H579">
            <v>4</v>
          </cell>
          <cell r="I579" t="str">
            <v>UK</v>
          </cell>
          <cell r="J579" t="str">
            <v>Walmart</v>
          </cell>
        </row>
        <row r="580">
          <cell r="A580" t="str">
            <v>14-09-2020</v>
          </cell>
          <cell r="B580" t="str">
            <v>Fish Oil</v>
          </cell>
          <cell r="C580" t="str">
            <v>Omega</v>
          </cell>
          <cell r="D580">
            <v>140</v>
          </cell>
          <cell r="E580">
            <v>18.440000000000001</v>
          </cell>
          <cell r="F580">
            <v>2581.6</v>
          </cell>
          <cell r="G580">
            <v>0.21</v>
          </cell>
          <cell r="H580">
            <v>0</v>
          </cell>
          <cell r="I580" t="str">
            <v>UK</v>
          </cell>
          <cell r="J580" t="str">
            <v>iHerb</v>
          </cell>
        </row>
        <row r="581">
          <cell r="A581" t="str">
            <v>14-09-2020</v>
          </cell>
          <cell r="B581" t="str">
            <v>Multivitamin</v>
          </cell>
          <cell r="C581" t="str">
            <v>Vitamin</v>
          </cell>
          <cell r="D581">
            <v>150</v>
          </cell>
          <cell r="E581">
            <v>56.74</v>
          </cell>
          <cell r="F581">
            <v>8511</v>
          </cell>
          <cell r="G581">
            <v>0.23</v>
          </cell>
          <cell r="H581">
            <v>3</v>
          </cell>
          <cell r="I581" t="str">
            <v>UK</v>
          </cell>
          <cell r="J581" t="str">
            <v>Walmart</v>
          </cell>
        </row>
        <row r="582">
          <cell r="A582" t="str">
            <v>14-09-2020</v>
          </cell>
          <cell r="B582" t="str">
            <v>Pre-Workout</v>
          </cell>
          <cell r="C582" t="str">
            <v>Performance</v>
          </cell>
          <cell r="D582">
            <v>167</v>
          </cell>
          <cell r="E582">
            <v>24.21</v>
          </cell>
          <cell r="F582">
            <v>4043.07</v>
          </cell>
          <cell r="G582">
            <v>7.0000000000000007E-2</v>
          </cell>
          <cell r="H582">
            <v>1</v>
          </cell>
          <cell r="I582" t="str">
            <v>UK</v>
          </cell>
          <cell r="J582" t="str">
            <v>Walmart</v>
          </cell>
        </row>
        <row r="583">
          <cell r="A583" t="str">
            <v>14-09-2020</v>
          </cell>
          <cell r="B583" t="str">
            <v>BCAA</v>
          </cell>
          <cell r="C583" t="str">
            <v>Amino Acid</v>
          </cell>
          <cell r="D583">
            <v>146</v>
          </cell>
          <cell r="E583">
            <v>17.989999999999998</v>
          </cell>
          <cell r="F583">
            <v>2626.54</v>
          </cell>
          <cell r="G583">
            <v>0.17</v>
          </cell>
          <cell r="H583">
            <v>0</v>
          </cell>
          <cell r="I583" t="str">
            <v>Canada</v>
          </cell>
          <cell r="J583" t="str">
            <v>Walmart</v>
          </cell>
        </row>
        <row r="584">
          <cell r="A584" t="str">
            <v>14-09-2020</v>
          </cell>
          <cell r="B584" t="str">
            <v>Creatine</v>
          </cell>
          <cell r="C584" t="str">
            <v>Performance</v>
          </cell>
          <cell r="D584">
            <v>143</v>
          </cell>
          <cell r="E584">
            <v>49.82</v>
          </cell>
          <cell r="F584">
            <v>7124.26</v>
          </cell>
          <cell r="G584">
            <v>0.18</v>
          </cell>
          <cell r="H584">
            <v>2</v>
          </cell>
          <cell r="I584" t="str">
            <v>USA</v>
          </cell>
          <cell r="J584" t="str">
            <v>iHerb</v>
          </cell>
        </row>
        <row r="585">
          <cell r="A585" t="str">
            <v>14-09-2020</v>
          </cell>
          <cell r="B585" t="str">
            <v>Zinc</v>
          </cell>
          <cell r="C585" t="str">
            <v>Mineral</v>
          </cell>
          <cell r="D585">
            <v>136</v>
          </cell>
          <cell r="E585">
            <v>14.37</v>
          </cell>
          <cell r="F585">
            <v>1954.32</v>
          </cell>
          <cell r="G585">
            <v>0.09</v>
          </cell>
          <cell r="H585">
            <v>1</v>
          </cell>
          <cell r="I585" t="str">
            <v>Canada</v>
          </cell>
          <cell r="J585" t="str">
            <v>Walmart</v>
          </cell>
        </row>
        <row r="586">
          <cell r="A586" t="str">
            <v>14-09-2020</v>
          </cell>
          <cell r="B586" t="str">
            <v>Collagen Peptides</v>
          </cell>
          <cell r="C586" t="str">
            <v>Protein</v>
          </cell>
          <cell r="D586">
            <v>118</v>
          </cell>
          <cell r="E586">
            <v>57.78</v>
          </cell>
          <cell r="F586">
            <v>6818.04</v>
          </cell>
          <cell r="G586">
            <v>0.24</v>
          </cell>
          <cell r="H586">
            <v>1</v>
          </cell>
          <cell r="I586" t="str">
            <v>USA</v>
          </cell>
          <cell r="J586" t="str">
            <v>Amazon</v>
          </cell>
        </row>
        <row r="587">
          <cell r="A587" t="str">
            <v>14-09-2020</v>
          </cell>
          <cell r="B587" t="str">
            <v>Magnesium</v>
          </cell>
          <cell r="C587" t="str">
            <v>Mineral</v>
          </cell>
          <cell r="D587">
            <v>120</v>
          </cell>
          <cell r="E587">
            <v>29.61</v>
          </cell>
          <cell r="F587">
            <v>3553.2</v>
          </cell>
          <cell r="G587">
            <v>0.24</v>
          </cell>
          <cell r="H587">
            <v>0</v>
          </cell>
          <cell r="I587" t="str">
            <v>UK</v>
          </cell>
          <cell r="J587" t="str">
            <v>Amazon</v>
          </cell>
        </row>
        <row r="588">
          <cell r="A588" t="str">
            <v>14-09-2020</v>
          </cell>
          <cell r="B588" t="str">
            <v>Ashwagandha</v>
          </cell>
          <cell r="C588" t="str">
            <v>Herbal</v>
          </cell>
          <cell r="D588">
            <v>160</v>
          </cell>
          <cell r="E588">
            <v>59.06</v>
          </cell>
          <cell r="F588">
            <v>9449.6</v>
          </cell>
          <cell r="G588">
            <v>0.1</v>
          </cell>
          <cell r="H588">
            <v>2</v>
          </cell>
          <cell r="I588" t="str">
            <v>Canada</v>
          </cell>
          <cell r="J588" t="str">
            <v>Amazon</v>
          </cell>
        </row>
        <row r="589">
          <cell r="A589" t="str">
            <v>14-09-2020</v>
          </cell>
          <cell r="B589" t="str">
            <v>Melatonin</v>
          </cell>
          <cell r="C589" t="str">
            <v>Sleep Aid</v>
          </cell>
          <cell r="D589">
            <v>144</v>
          </cell>
          <cell r="E589">
            <v>19.600000000000001</v>
          </cell>
          <cell r="F589">
            <v>2822.4</v>
          </cell>
          <cell r="G589">
            <v>0.04</v>
          </cell>
          <cell r="H589">
            <v>3</v>
          </cell>
          <cell r="I589" t="str">
            <v>USA</v>
          </cell>
          <cell r="J589" t="str">
            <v>Amazon</v>
          </cell>
        </row>
        <row r="590">
          <cell r="A590" t="str">
            <v>14-09-2020</v>
          </cell>
          <cell r="B590" t="str">
            <v>Biotin</v>
          </cell>
          <cell r="C590" t="str">
            <v>Vitamin</v>
          </cell>
          <cell r="D590">
            <v>171</v>
          </cell>
          <cell r="E590">
            <v>41.27</v>
          </cell>
          <cell r="F590">
            <v>7057.17</v>
          </cell>
          <cell r="G590">
            <v>0.2</v>
          </cell>
          <cell r="H590">
            <v>0</v>
          </cell>
          <cell r="I590" t="str">
            <v>USA</v>
          </cell>
          <cell r="J590" t="str">
            <v>Amazon</v>
          </cell>
        </row>
        <row r="591">
          <cell r="A591" t="str">
            <v>14-09-2020</v>
          </cell>
          <cell r="B591" t="str">
            <v>Green Tea Extract</v>
          </cell>
          <cell r="C591" t="str">
            <v>Fat Burner</v>
          </cell>
          <cell r="D591">
            <v>144</v>
          </cell>
          <cell r="E591">
            <v>41.78</v>
          </cell>
          <cell r="F591">
            <v>6016.32</v>
          </cell>
          <cell r="G591">
            <v>0.09</v>
          </cell>
          <cell r="H591">
            <v>0</v>
          </cell>
          <cell r="I591" t="str">
            <v>UK</v>
          </cell>
          <cell r="J591" t="str">
            <v>iHerb</v>
          </cell>
        </row>
        <row r="592">
          <cell r="A592" t="str">
            <v>14-09-2020</v>
          </cell>
          <cell r="B592" t="str">
            <v>Iron Supplement</v>
          </cell>
          <cell r="C592" t="str">
            <v>Mineral</v>
          </cell>
          <cell r="D592">
            <v>153</v>
          </cell>
          <cell r="E592">
            <v>29.11</v>
          </cell>
          <cell r="F592">
            <v>4453.83</v>
          </cell>
          <cell r="G592">
            <v>0.03</v>
          </cell>
          <cell r="H592">
            <v>0</v>
          </cell>
          <cell r="I592" t="str">
            <v>UK</v>
          </cell>
          <cell r="J592" t="str">
            <v>iHerb</v>
          </cell>
        </row>
        <row r="593">
          <cell r="A593" t="str">
            <v>14-09-2020</v>
          </cell>
          <cell r="B593" t="str">
            <v>Electrolyte Powder</v>
          </cell>
          <cell r="C593" t="str">
            <v>Hydration</v>
          </cell>
          <cell r="D593">
            <v>140</v>
          </cell>
          <cell r="E593">
            <v>42.14</v>
          </cell>
          <cell r="F593">
            <v>5899.6</v>
          </cell>
          <cell r="G593">
            <v>0.15</v>
          </cell>
          <cell r="H593">
            <v>2</v>
          </cell>
          <cell r="I593" t="str">
            <v>UK</v>
          </cell>
          <cell r="J593" t="str">
            <v>Walmart</v>
          </cell>
        </row>
        <row r="594">
          <cell r="A594" t="str">
            <v>21-09-2020</v>
          </cell>
          <cell r="B594" t="str">
            <v>Whey Protein</v>
          </cell>
          <cell r="C594" t="str">
            <v>Protein</v>
          </cell>
          <cell r="D594">
            <v>145</v>
          </cell>
          <cell r="E594">
            <v>20.2</v>
          </cell>
          <cell r="F594">
            <v>2929</v>
          </cell>
          <cell r="G594">
            <v>0.12</v>
          </cell>
          <cell r="H594">
            <v>2</v>
          </cell>
          <cell r="I594" t="str">
            <v>Canada</v>
          </cell>
          <cell r="J594" t="str">
            <v>iHerb</v>
          </cell>
        </row>
        <row r="595">
          <cell r="A595" t="str">
            <v>21-09-2020</v>
          </cell>
          <cell r="B595" t="str">
            <v>Vitamin C</v>
          </cell>
          <cell r="C595" t="str">
            <v>Vitamin</v>
          </cell>
          <cell r="D595">
            <v>137</v>
          </cell>
          <cell r="E595">
            <v>54.18</v>
          </cell>
          <cell r="F595">
            <v>7422.66</v>
          </cell>
          <cell r="G595">
            <v>0.09</v>
          </cell>
          <cell r="H595">
            <v>2</v>
          </cell>
          <cell r="I595" t="str">
            <v>Canada</v>
          </cell>
          <cell r="J595" t="str">
            <v>Amazon</v>
          </cell>
        </row>
        <row r="596">
          <cell r="A596" t="str">
            <v>21-09-2020</v>
          </cell>
          <cell r="B596" t="str">
            <v>Fish Oil</v>
          </cell>
          <cell r="C596" t="str">
            <v>Omega</v>
          </cell>
          <cell r="D596">
            <v>143</v>
          </cell>
          <cell r="E596">
            <v>40.49</v>
          </cell>
          <cell r="F596">
            <v>5790.07</v>
          </cell>
          <cell r="G596">
            <v>0.06</v>
          </cell>
          <cell r="H596">
            <v>1</v>
          </cell>
          <cell r="I596" t="str">
            <v>USA</v>
          </cell>
          <cell r="J596" t="str">
            <v>Walmart</v>
          </cell>
        </row>
        <row r="597">
          <cell r="A597" t="str">
            <v>21-09-2020</v>
          </cell>
          <cell r="B597" t="str">
            <v>Multivitamin</v>
          </cell>
          <cell r="C597" t="str">
            <v>Vitamin</v>
          </cell>
          <cell r="D597">
            <v>129</v>
          </cell>
          <cell r="E597">
            <v>24.9</v>
          </cell>
          <cell r="F597">
            <v>3212.1</v>
          </cell>
          <cell r="G597">
            <v>0.02</v>
          </cell>
          <cell r="H597">
            <v>3</v>
          </cell>
          <cell r="I597" t="str">
            <v>Canada</v>
          </cell>
          <cell r="J597" t="str">
            <v>Amazon</v>
          </cell>
        </row>
        <row r="598">
          <cell r="A598" t="str">
            <v>21-09-2020</v>
          </cell>
          <cell r="B598" t="str">
            <v>Pre-Workout</v>
          </cell>
          <cell r="C598" t="str">
            <v>Performance</v>
          </cell>
          <cell r="D598">
            <v>133</v>
          </cell>
          <cell r="E598">
            <v>56.3</v>
          </cell>
          <cell r="F598">
            <v>7487.9</v>
          </cell>
          <cell r="G598">
            <v>0.04</v>
          </cell>
          <cell r="H598">
            <v>4</v>
          </cell>
          <cell r="I598" t="str">
            <v>UK</v>
          </cell>
          <cell r="J598" t="str">
            <v>Walmart</v>
          </cell>
        </row>
        <row r="599">
          <cell r="A599" t="str">
            <v>21-09-2020</v>
          </cell>
          <cell r="B599" t="str">
            <v>BCAA</v>
          </cell>
          <cell r="C599" t="str">
            <v>Amino Acid</v>
          </cell>
          <cell r="D599">
            <v>138</v>
          </cell>
          <cell r="E599">
            <v>37.33</v>
          </cell>
          <cell r="F599">
            <v>5151.54</v>
          </cell>
          <cell r="G599">
            <v>0.22</v>
          </cell>
          <cell r="H599">
            <v>1</v>
          </cell>
          <cell r="I599" t="str">
            <v>USA</v>
          </cell>
          <cell r="J599" t="str">
            <v>Amazon</v>
          </cell>
        </row>
        <row r="600">
          <cell r="A600" t="str">
            <v>21-09-2020</v>
          </cell>
          <cell r="B600" t="str">
            <v>Creatine</v>
          </cell>
          <cell r="C600" t="str">
            <v>Performance</v>
          </cell>
          <cell r="D600">
            <v>151</v>
          </cell>
          <cell r="E600">
            <v>18.309999999999999</v>
          </cell>
          <cell r="F600">
            <v>2764.81</v>
          </cell>
          <cell r="G600">
            <v>0.23</v>
          </cell>
          <cell r="H600">
            <v>1</v>
          </cell>
          <cell r="I600" t="str">
            <v>UK</v>
          </cell>
          <cell r="J600" t="str">
            <v>Walmart</v>
          </cell>
        </row>
        <row r="601">
          <cell r="A601" t="str">
            <v>21-09-2020</v>
          </cell>
          <cell r="B601" t="str">
            <v>Zinc</v>
          </cell>
          <cell r="C601" t="str">
            <v>Mineral</v>
          </cell>
          <cell r="D601">
            <v>145</v>
          </cell>
          <cell r="E601">
            <v>26.94</v>
          </cell>
          <cell r="F601">
            <v>3906.3</v>
          </cell>
          <cell r="G601">
            <v>0.24</v>
          </cell>
          <cell r="H601">
            <v>2</v>
          </cell>
          <cell r="I601" t="str">
            <v>USA</v>
          </cell>
          <cell r="J601" t="str">
            <v>iHerb</v>
          </cell>
        </row>
        <row r="602">
          <cell r="A602" t="str">
            <v>21-09-2020</v>
          </cell>
          <cell r="B602" t="str">
            <v>Collagen Peptides</v>
          </cell>
          <cell r="C602" t="str">
            <v>Protein</v>
          </cell>
          <cell r="D602">
            <v>153</v>
          </cell>
          <cell r="E602">
            <v>12.48</v>
          </cell>
          <cell r="F602">
            <v>1909.44</v>
          </cell>
          <cell r="G602">
            <v>0.06</v>
          </cell>
          <cell r="H602">
            <v>1</v>
          </cell>
          <cell r="I602" t="str">
            <v>USA</v>
          </cell>
          <cell r="J602" t="str">
            <v>iHerb</v>
          </cell>
        </row>
        <row r="603">
          <cell r="A603" t="str">
            <v>21-09-2020</v>
          </cell>
          <cell r="B603" t="str">
            <v>Magnesium</v>
          </cell>
          <cell r="C603" t="str">
            <v>Mineral</v>
          </cell>
          <cell r="D603">
            <v>139</v>
          </cell>
          <cell r="E603">
            <v>55.96</v>
          </cell>
          <cell r="F603">
            <v>7778.44</v>
          </cell>
          <cell r="G603">
            <v>0.11</v>
          </cell>
          <cell r="H603">
            <v>1</v>
          </cell>
          <cell r="I603" t="str">
            <v>Canada</v>
          </cell>
          <cell r="J603" t="str">
            <v>iHerb</v>
          </cell>
        </row>
        <row r="604">
          <cell r="A604" t="str">
            <v>21-09-2020</v>
          </cell>
          <cell r="B604" t="str">
            <v>Ashwagandha</v>
          </cell>
          <cell r="C604" t="str">
            <v>Herbal</v>
          </cell>
          <cell r="D604">
            <v>182</v>
          </cell>
          <cell r="E604">
            <v>34.450000000000003</v>
          </cell>
          <cell r="F604">
            <v>6269.9</v>
          </cell>
          <cell r="G604">
            <v>0.09</v>
          </cell>
          <cell r="H604">
            <v>4</v>
          </cell>
          <cell r="I604" t="str">
            <v>USA</v>
          </cell>
          <cell r="J604" t="str">
            <v>Walmart</v>
          </cell>
        </row>
        <row r="605">
          <cell r="A605" t="str">
            <v>21-09-2020</v>
          </cell>
          <cell r="B605" t="str">
            <v>Melatonin</v>
          </cell>
          <cell r="C605" t="str">
            <v>Sleep Aid</v>
          </cell>
          <cell r="D605">
            <v>152</v>
          </cell>
          <cell r="E605">
            <v>50.59</v>
          </cell>
          <cell r="F605">
            <v>7689.68</v>
          </cell>
          <cell r="G605">
            <v>0.09</v>
          </cell>
          <cell r="H605">
            <v>1</v>
          </cell>
          <cell r="I605" t="str">
            <v>UK</v>
          </cell>
          <cell r="J605" t="str">
            <v>Walmart</v>
          </cell>
        </row>
        <row r="606">
          <cell r="A606" t="str">
            <v>21-09-2020</v>
          </cell>
          <cell r="B606" t="str">
            <v>Biotin</v>
          </cell>
          <cell r="C606" t="str">
            <v>Vitamin</v>
          </cell>
          <cell r="D606">
            <v>164</v>
          </cell>
          <cell r="E606">
            <v>49.7</v>
          </cell>
          <cell r="F606">
            <v>8150.8</v>
          </cell>
          <cell r="G606">
            <v>0.24</v>
          </cell>
          <cell r="H606">
            <v>2</v>
          </cell>
          <cell r="I606" t="str">
            <v>USA</v>
          </cell>
          <cell r="J606" t="str">
            <v>Amazon</v>
          </cell>
        </row>
        <row r="607">
          <cell r="A607" t="str">
            <v>21-09-2020</v>
          </cell>
          <cell r="B607" t="str">
            <v>Green Tea Extract</v>
          </cell>
          <cell r="C607" t="str">
            <v>Fat Burner</v>
          </cell>
          <cell r="D607">
            <v>159</v>
          </cell>
          <cell r="E607">
            <v>52.25</v>
          </cell>
          <cell r="F607">
            <v>8307.75</v>
          </cell>
          <cell r="G607">
            <v>0.1</v>
          </cell>
          <cell r="H607">
            <v>0</v>
          </cell>
          <cell r="I607" t="str">
            <v>UK</v>
          </cell>
          <cell r="J607" t="str">
            <v>Walmart</v>
          </cell>
        </row>
        <row r="608">
          <cell r="A608" t="str">
            <v>21-09-2020</v>
          </cell>
          <cell r="B608" t="str">
            <v>Iron Supplement</v>
          </cell>
          <cell r="C608" t="str">
            <v>Mineral</v>
          </cell>
          <cell r="D608">
            <v>146</v>
          </cell>
          <cell r="E608">
            <v>32.520000000000003</v>
          </cell>
          <cell r="F608">
            <v>4747.92</v>
          </cell>
          <cell r="G608">
            <v>0.19</v>
          </cell>
          <cell r="H608">
            <v>1</v>
          </cell>
          <cell r="I608" t="str">
            <v>UK</v>
          </cell>
          <cell r="J608" t="str">
            <v>Amazon</v>
          </cell>
        </row>
        <row r="609">
          <cell r="A609" t="str">
            <v>21-09-2020</v>
          </cell>
          <cell r="B609" t="str">
            <v>Electrolyte Powder</v>
          </cell>
          <cell r="C609" t="str">
            <v>Hydration</v>
          </cell>
          <cell r="D609">
            <v>155</v>
          </cell>
          <cell r="E609">
            <v>47.47</v>
          </cell>
          <cell r="F609">
            <v>7357.85</v>
          </cell>
          <cell r="G609">
            <v>0.14000000000000001</v>
          </cell>
          <cell r="H609">
            <v>0</v>
          </cell>
          <cell r="I609" t="str">
            <v>UK</v>
          </cell>
          <cell r="J609" t="str">
            <v>iHerb</v>
          </cell>
        </row>
        <row r="610">
          <cell r="A610" t="str">
            <v>28-09-2020</v>
          </cell>
          <cell r="B610" t="str">
            <v>Whey Protein</v>
          </cell>
          <cell r="C610" t="str">
            <v>Protein</v>
          </cell>
          <cell r="D610">
            <v>142</v>
          </cell>
          <cell r="E610">
            <v>34.130000000000003</v>
          </cell>
          <cell r="F610">
            <v>4846.46</v>
          </cell>
          <cell r="G610">
            <v>0.05</v>
          </cell>
          <cell r="H610">
            <v>4</v>
          </cell>
          <cell r="I610" t="str">
            <v>UK</v>
          </cell>
          <cell r="J610" t="str">
            <v>iHerb</v>
          </cell>
        </row>
        <row r="611">
          <cell r="A611" t="str">
            <v>28-09-2020</v>
          </cell>
          <cell r="B611" t="str">
            <v>Vitamin C</v>
          </cell>
          <cell r="C611" t="str">
            <v>Vitamin</v>
          </cell>
          <cell r="D611">
            <v>147</v>
          </cell>
          <cell r="E611">
            <v>54.9</v>
          </cell>
          <cell r="F611">
            <v>8070.3</v>
          </cell>
          <cell r="G611">
            <v>0.13</v>
          </cell>
          <cell r="H611">
            <v>2</v>
          </cell>
          <cell r="I611" t="str">
            <v>Canada</v>
          </cell>
          <cell r="J611" t="str">
            <v>Amazon</v>
          </cell>
        </row>
        <row r="612">
          <cell r="A612" t="str">
            <v>28-09-2020</v>
          </cell>
          <cell r="B612" t="str">
            <v>Fish Oil</v>
          </cell>
          <cell r="C612" t="str">
            <v>Omega</v>
          </cell>
          <cell r="D612">
            <v>141</v>
          </cell>
          <cell r="E612">
            <v>16.170000000000002</v>
          </cell>
          <cell r="F612">
            <v>2279.9699999999998</v>
          </cell>
          <cell r="G612">
            <v>0.05</v>
          </cell>
          <cell r="H612">
            <v>0</v>
          </cell>
          <cell r="I612" t="str">
            <v>UK</v>
          </cell>
          <cell r="J612" t="str">
            <v>Amazon</v>
          </cell>
        </row>
        <row r="613">
          <cell r="A613" t="str">
            <v>28-09-2020</v>
          </cell>
          <cell r="B613" t="str">
            <v>Multivitamin</v>
          </cell>
          <cell r="C613" t="str">
            <v>Vitamin</v>
          </cell>
          <cell r="D613">
            <v>140</v>
          </cell>
          <cell r="E613">
            <v>51.95</v>
          </cell>
          <cell r="F613">
            <v>7273</v>
          </cell>
          <cell r="G613">
            <v>0.14000000000000001</v>
          </cell>
          <cell r="H613">
            <v>0</v>
          </cell>
          <cell r="I613" t="str">
            <v>UK</v>
          </cell>
          <cell r="J613" t="str">
            <v>Amazon</v>
          </cell>
        </row>
        <row r="614">
          <cell r="A614" t="str">
            <v>28-09-2020</v>
          </cell>
          <cell r="B614" t="str">
            <v>Pre-Workout</v>
          </cell>
          <cell r="C614" t="str">
            <v>Performance</v>
          </cell>
          <cell r="D614">
            <v>158</v>
          </cell>
          <cell r="E614">
            <v>46.56</v>
          </cell>
          <cell r="F614">
            <v>7356.48</v>
          </cell>
          <cell r="G614">
            <v>0.19</v>
          </cell>
          <cell r="H614">
            <v>4</v>
          </cell>
          <cell r="I614" t="str">
            <v>Canada</v>
          </cell>
          <cell r="J614" t="str">
            <v>Amazon</v>
          </cell>
        </row>
        <row r="615">
          <cell r="A615" t="str">
            <v>28-09-2020</v>
          </cell>
          <cell r="B615" t="str">
            <v>BCAA</v>
          </cell>
          <cell r="C615" t="str">
            <v>Amino Acid</v>
          </cell>
          <cell r="D615">
            <v>153</v>
          </cell>
          <cell r="E615">
            <v>42.42</v>
          </cell>
          <cell r="F615">
            <v>6490.26</v>
          </cell>
          <cell r="G615">
            <v>0.02</v>
          </cell>
          <cell r="H615">
            <v>3</v>
          </cell>
          <cell r="I615" t="str">
            <v>UK</v>
          </cell>
          <cell r="J615" t="str">
            <v>Amazon</v>
          </cell>
        </row>
        <row r="616">
          <cell r="A616" t="str">
            <v>28-09-2020</v>
          </cell>
          <cell r="B616" t="str">
            <v>Creatine</v>
          </cell>
          <cell r="C616" t="str">
            <v>Performance</v>
          </cell>
          <cell r="D616">
            <v>133</v>
          </cell>
          <cell r="E616">
            <v>50.79</v>
          </cell>
          <cell r="F616">
            <v>6755.07</v>
          </cell>
          <cell r="G616">
            <v>0.15</v>
          </cell>
          <cell r="H616">
            <v>1</v>
          </cell>
          <cell r="I616" t="str">
            <v>UK</v>
          </cell>
          <cell r="J616" t="str">
            <v>Walmart</v>
          </cell>
        </row>
        <row r="617">
          <cell r="A617" t="str">
            <v>28-09-2020</v>
          </cell>
          <cell r="B617" t="str">
            <v>Zinc</v>
          </cell>
          <cell r="C617" t="str">
            <v>Mineral</v>
          </cell>
          <cell r="D617">
            <v>149</v>
          </cell>
          <cell r="E617">
            <v>27</v>
          </cell>
          <cell r="F617">
            <v>4023</v>
          </cell>
          <cell r="G617">
            <v>0.22</v>
          </cell>
          <cell r="H617">
            <v>0</v>
          </cell>
          <cell r="I617" t="str">
            <v>USA</v>
          </cell>
          <cell r="J617" t="str">
            <v>iHerb</v>
          </cell>
        </row>
        <row r="618">
          <cell r="A618" t="str">
            <v>28-09-2020</v>
          </cell>
          <cell r="B618" t="str">
            <v>Collagen Peptides</v>
          </cell>
          <cell r="C618" t="str">
            <v>Protein</v>
          </cell>
          <cell r="D618">
            <v>161</v>
          </cell>
          <cell r="E618">
            <v>19.09</v>
          </cell>
          <cell r="F618">
            <v>3073.49</v>
          </cell>
          <cell r="G618">
            <v>0.11</v>
          </cell>
          <cell r="H618">
            <v>0</v>
          </cell>
          <cell r="I618" t="str">
            <v>Canada</v>
          </cell>
          <cell r="J618" t="str">
            <v>iHerb</v>
          </cell>
        </row>
        <row r="619">
          <cell r="A619" t="str">
            <v>28-09-2020</v>
          </cell>
          <cell r="B619" t="str">
            <v>Magnesium</v>
          </cell>
          <cell r="C619" t="str">
            <v>Mineral</v>
          </cell>
          <cell r="D619">
            <v>158</v>
          </cell>
          <cell r="E619">
            <v>41.77</v>
          </cell>
          <cell r="F619">
            <v>6599.66</v>
          </cell>
          <cell r="G619">
            <v>0.05</v>
          </cell>
          <cell r="H619">
            <v>1</v>
          </cell>
          <cell r="I619" t="str">
            <v>UK</v>
          </cell>
          <cell r="J619" t="str">
            <v>Walmart</v>
          </cell>
        </row>
        <row r="620">
          <cell r="A620" t="str">
            <v>28-09-2020</v>
          </cell>
          <cell r="B620" t="str">
            <v>Ashwagandha</v>
          </cell>
          <cell r="C620" t="str">
            <v>Herbal</v>
          </cell>
          <cell r="D620">
            <v>119</v>
          </cell>
          <cell r="E620">
            <v>37.99</v>
          </cell>
          <cell r="F620">
            <v>4520.8100000000004</v>
          </cell>
          <cell r="G620">
            <v>0.21</v>
          </cell>
          <cell r="H620">
            <v>2</v>
          </cell>
          <cell r="I620" t="str">
            <v>UK</v>
          </cell>
          <cell r="J620" t="str">
            <v>Walmart</v>
          </cell>
        </row>
        <row r="621">
          <cell r="A621" t="str">
            <v>28-09-2020</v>
          </cell>
          <cell r="B621" t="str">
            <v>Melatonin</v>
          </cell>
          <cell r="C621" t="str">
            <v>Sleep Aid</v>
          </cell>
          <cell r="D621">
            <v>148</v>
          </cell>
          <cell r="E621">
            <v>45.96</v>
          </cell>
          <cell r="F621">
            <v>6802.08</v>
          </cell>
          <cell r="G621">
            <v>0.23</v>
          </cell>
          <cell r="H621">
            <v>1</v>
          </cell>
          <cell r="I621" t="str">
            <v>USA</v>
          </cell>
          <cell r="J621" t="str">
            <v>Amazon</v>
          </cell>
        </row>
        <row r="622">
          <cell r="A622" t="str">
            <v>28-09-2020</v>
          </cell>
          <cell r="B622" t="str">
            <v>Biotin</v>
          </cell>
          <cell r="C622" t="str">
            <v>Vitamin</v>
          </cell>
          <cell r="D622">
            <v>141</v>
          </cell>
          <cell r="E622">
            <v>46.3</v>
          </cell>
          <cell r="F622">
            <v>6528.3</v>
          </cell>
          <cell r="G622">
            <v>0.03</v>
          </cell>
          <cell r="H622">
            <v>1</v>
          </cell>
          <cell r="I622" t="str">
            <v>UK</v>
          </cell>
          <cell r="J622" t="str">
            <v>Amazon</v>
          </cell>
        </row>
        <row r="623">
          <cell r="A623" t="str">
            <v>28-09-2020</v>
          </cell>
          <cell r="B623" t="str">
            <v>Green Tea Extract</v>
          </cell>
          <cell r="C623" t="str">
            <v>Fat Burner</v>
          </cell>
          <cell r="D623">
            <v>151</v>
          </cell>
          <cell r="E623">
            <v>40.03</v>
          </cell>
          <cell r="F623">
            <v>6044.53</v>
          </cell>
          <cell r="G623">
            <v>0.04</v>
          </cell>
          <cell r="H623">
            <v>1</v>
          </cell>
          <cell r="I623" t="str">
            <v>Canada</v>
          </cell>
          <cell r="J623" t="str">
            <v>iHerb</v>
          </cell>
        </row>
        <row r="624">
          <cell r="A624" t="str">
            <v>28-09-2020</v>
          </cell>
          <cell r="B624" t="str">
            <v>Iron Supplement</v>
          </cell>
          <cell r="C624" t="str">
            <v>Mineral</v>
          </cell>
          <cell r="D624">
            <v>158</v>
          </cell>
          <cell r="E624">
            <v>48.11</v>
          </cell>
          <cell r="F624">
            <v>7601.38</v>
          </cell>
          <cell r="G624">
            <v>0.15</v>
          </cell>
          <cell r="H624">
            <v>0</v>
          </cell>
          <cell r="I624" t="str">
            <v>USA</v>
          </cell>
          <cell r="J624" t="str">
            <v>iHerb</v>
          </cell>
        </row>
        <row r="625">
          <cell r="A625" t="str">
            <v>28-09-2020</v>
          </cell>
          <cell r="B625" t="str">
            <v>Electrolyte Powder</v>
          </cell>
          <cell r="C625" t="str">
            <v>Hydration</v>
          </cell>
          <cell r="D625">
            <v>156</v>
          </cell>
          <cell r="E625">
            <v>40.119999999999997</v>
          </cell>
          <cell r="F625">
            <v>6258.72</v>
          </cell>
          <cell r="G625">
            <v>0.12</v>
          </cell>
          <cell r="H625">
            <v>1</v>
          </cell>
          <cell r="I625" t="str">
            <v>Canada</v>
          </cell>
          <cell r="J625" t="str">
            <v>Walmart</v>
          </cell>
        </row>
        <row r="626">
          <cell r="A626" t="str">
            <v>05-10-2020</v>
          </cell>
          <cell r="B626" t="str">
            <v>Whey Protein</v>
          </cell>
          <cell r="C626" t="str">
            <v>Protein</v>
          </cell>
          <cell r="D626">
            <v>144</v>
          </cell>
          <cell r="E626">
            <v>19.88</v>
          </cell>
          <cell r="F626">
            <v>2862.72</v>
          </cell>
          <cell r="G626">
            <v>0.2</v>
          </cell>
          <cell r="H626">
            <v>0</v>
          </cell>
          <cell r="I626" t="str">
            <v>USA</v>
          </cell>
          <cell r="J626" t="str">
            <v>iHerb</v>
          </cell>
        </row>
        <row r="627">
          <cell r="A627" t="str">
            <v>05-10-2020</v>
          </cell>
          <cell r="B627" t="str">
            <v>Vitamin C</v>
          </cell>
          <cell r="C627" t="str">
            <v>Vitamin</v>
          </cell>
          <cell r="D627">
            <v>130</v>
          </cell>
          <cell r="E627">
            <v>42.92</v>
          </cell>
          <cell r="F627">
            <v>5579.6</v>
          </cell>
          <cell r="G627">
            <v>0.11</v>
          </cell>
          <cell r="H627">
            <v>1</v>
          </cell>
          <cell r="I627" t="str">
            <v>USA</v>
          </cell>
          <cell r="J627" t="str">
            <v>Amazon</v>
          </cell>
        </row>
        <row r="628">
          <cell r="A628" t="str">
            <v>05-10-2020</v>
          </cell>
          <cell r="B628" t="str">
            <v>Fish Oil</v>
          </cell>
          <cell r="C628" t="str">
            <v>Omega</v>
          </cell>
          <cell r="D628">
            <v>152</v>
          </cell>
          <cell r="E628">
            <v>56.64</v>
          </cell>
          <cell r="F628">
            <v>8609.2800000000007</v>
          </cell>
          <cell r="G628">
            <v>0.23</v>
          </cell>
          <cell r="H628">
            <v>1</v>
          </cell>
          <cell r="I628" t="str">
            <v>UK</v>
          </cell>
          <cell r="J628" t="str">
            <v>iHerb</v>
          </cell>
        </row>
        <row r="629">
          <cell r="A629" t="str">
            <v>05-10-2020</v>
          </cell>
          <cell r="B629" t="str">
            <v>Multivitamin</v>
          </cell>
          <cell r="C629" t="str">
            <v>Vitamin</v>
          </cell>
          <cell r="D629">
            <v>144</v>
          </cell>
          <cell r="E629">
            <v>11.84</v>
          </cell>
          <cell r="F629">
            <v>1704.96</v>
          </cell>
          <cell r="G629">
            <v>0.12</v>
          </cell>
          <cell r="H629">
            <v>1</v>
          </cell>
          <cell r="I629" t="str">
            <v>Canada</v>
          </cell>
          <cell r="J629" t="str">
            <v>iHerb</v>
          </cell>
        </row>
        <row r="630">
          <cell r="A630" t="str">
            <v>05-10-2020</v>
          </cell>
          <cell r="B630" t="str">
            <v>Pre-Workout</v>
          </cell>
          <cell r="C630" t="str">
            <v>Performance</v>
          </cell>
          <cell r="D630">
            <v>171</v>
          </cell>
          <cell r="E630">
            <v>37.64</v>
          </cell>
          <cell r="F630">
            <v>6436.44</v>
          </cell>
          <cell r="G630">
            <v>0.19</v>
          </cell>
          <cell r="H630">
            <v>1</v>
          </cell>
          <cell r="I630" t="str">
            <v>UK</v>
          </cell>
          <cell r="J630" t="str">
            <v>iHerb</v>
          </cell>
        </row>
        <row r="631">
          <cell r="A631" t="str">
            <v>05-10-2020</v>
          </cell>
          <cell r="B631" t="str">
            <v>BCAA</v>
          </cell>
          <cell r="C631" t="str">
            <v>Amino Acid</v>
          </cell>
          <cell r="D631">
            <v>130</v>
          </cell>
          <cell r="E631">
            <v>35.9</v>
          </cell>
          <cell r="F631">
            <v>4667</v>
          </cell>
          <cell r="G631">
            <v>0.15</v>
          </cell>
          <cell r="H631">
            <v>0</v>
          </cell>
          <cell r="I631" t="str">
            <v>UK</v>
          </cell>
          <cell r="J631" t="str">
            <v>Walmart</v>
          </cell>
        </row>
        <row r="632">
          <cell r="A632" t="str">
            <v>05-10-2020</v>
          </cell>
          <cell r="B632" t="str">
            <v>Creatine</v>
          </cell>
          <cell r="C632" t="str">
            <v>Performance</v>
          </cell>
          <cell r="D632">
            <v>149</v>
          </cell>
          <cell r="E632">
            <v>13.74</v>
          </cell>
          <cell r="F632">
            <v>2047.26</v>
          </cell>
          <cell r="G632">
            <v>0.03</v>
          </cell>
          <cell r="H632">
            <v>3</v>
          </cell>
          <cell r="I632" t="str">
            <v>USA</v>
          </cell>
          <cell r="J632" t="str">
            <v>Amazon</v>
          </cell>
        </row>
        <row r="633">
          <cell r="A633" t="str">
            <v>05-10-2020</v>
          </cell>
          <cell r="B633" t="str">
            <v>Zinc</v>
          </cell>
          <cell r="C633" t="str">
            <v>Mineral</v>
          </cell>
          <cell r="D633">
            <v>140</v>
          </cell>
          <cell r="E633">
            <v>35.25</v>
          </cell>
          <cell r="F633">
            <v>4935</v>
          </cell>
          <cell r="G633">
            <v>0.19</v>
          </cell>
          <cell r="H633">
            <v>0</v>
          </cell>
          <cell r="I633" t="str">
            <v>UK</v>
          </cell>
          <cell r="J633" t="str">
            <v>iHerb</v>
          </cell>
        </row>
        <row r="634">
          <cell r="A634" t="str">
            <v>05-10-2020</v>
          </cell>
          <cell r="B634" t="str">
            <v>Collagen Peptides</v>
          </cell>
          <cell r="C634" t="str">
            <v>Protein</v>
          </cell>
          <cell r="D634">
            <v>153</v>
          </cell>
          <cell r="E634">
            <v>11.82</v>
          </cell>
          <cell r="F634">
            <v>1808.46</v>
          </cell>
          <cell r="G634">
            <v>0.01</v>
          </cell>
          <cell r="H634">
            <v>3</v>
          </cell>
          <cell r="I634" t="str">
            <v>USA</v>
          </cell>
          <cell r="J634" t="str">
            <v>iHerb</v>
          </cell>
        </row>
        <row r="635">
          <cell r="A635" t="str">
            <v>05-10-2020</v>
          </cell>
          <cell r="B635" t="str">
            <v>Magnesium</v>
          </cell>
          <cell r="C635" t="str">
            <v>Mineral</v>
          </cell>
          <cell r="D635">
            <v>133</v>
          </cell>
          <cell r="E635">
            <v>31.89</v>
          </cell>
          <cell r="F635">
            <v>4241.37</v>
          </cell>
          <cell r="G635">
            <v>0.21</v>
          </cell>
          <cell r="H635">
            <v>0</v>
          </cell>
          <cell r="I635" t="str">
            <v>USA</v>
          </cell>
          <cell r="J635" t="str">
            <v>iHerb</v>
          </cell>
        </row>
        <row r="636">
          <cell r="A636" t="str">
            <v>05-10-2020</v>
          </cell>
          <cell r="B636" t="str">
            <v>Ashwagandha</v>
          </cell>
          <cell r="C636" t="str">
            <v>Herbal</v>
          </cell>
          <cell r="D636">
            <v>147</v>
          </cell>
          <cell r="E636">
            <v>32.450000000000003</v>
          </cell>
          <cell r="F636">
            <v>4770.1499999999996</v>
          </cell>
          <cell r="G636">
            <v>0.14000000000000001</v>
          </cell>
          <cell r="H636">
            <v>2</v>
          </cell>
          <cell r="I636" t="str">
            <v>USA</v>
          </cell>
          <cell r="J636" t="str">
            <v>Walmart</v>
          </cell>
        </row>
        <row r="637">
          <cell r="A637" t="str">
            <v>05-10-2020</v>
          </cell>
          <cell r="B637" t="str">
            <v>Melatonin</v>
          </cell>
          <cell r="C637" t="str">
            <v>Sleep Aid</v>
          </cell>
          <cell r="D637">
            <v>144</v>
          </cell>
          <cell r="E637">
            <v>15.33</v>
          </cell>
          <cell r="F637">
            <v>2207.52</v>
          </cell>
          <cell r="G637">
            <v>0.09</v>
          </cell>
          <cell r="H637">
            <v>0</v>
          </cell>
          <cell r="I637" t="str">
            <v>Canada</v>
          </cell>
          <cell r="J637" t="str">
            <v>Amazon</v>
          </cell>
        </row>
        <row r="638">
          <cell r="A638" t="str">
            <v>05-10-2020</v>
          </cell>
          <cell r="B638" t="str">
            <v>Biotin</v>
          </cell>
          <cell r="C638" t="str">
            <v>Vitamin</v>
          </cell>
          <cell r="D638">
            <v>154</v>
          </cell>
          <cell r="E638">
            <v>24.26</v>
          </cell>
          <cell r="F638">
            <v>3736.04</v>
          </cell>
          <cell r="G638">
            <v>0.16</v>
          </cell>
          <cell r="H638">
            <v>1</v>
          </cell>
          <cell r="I638" t="str">
            <v>UK</v>
          </cell>
          <cell r="J638" t="str">
            <v>Walmart</v>
          </cell>
        </row>
        <row r="639">
          <cell r="A639" t="str">
            <v>05-10-2020</v>
          </cell>
          <cell r="B639" t="str">
            <v>Green Tea Extract</v>
          </cell>
          <cell r="C639" t="str">
            <v>Fat Burner</v>
          </cell>
          <cell r="D639">
            <v>149</v>
          </cell>
          <cell r="E639">
            <v>24.1</v>
          </cell>
          <cell r="F639">
            <v>3590.9</v>
          </cell>
          <cell r="G639">
            <v>0.08</v>
          </cell>
          <cell r="H639">
            <v>3</v>
          </cell>
          <cell r="I639" t="str">
            <v>UK</v>
          </cell>
          <cell r="J639" t="str">
            <v>iHerb</v>
          </cell>
        </row>
        <row r="640">
          <cell r="A640" t="str">
            <v>05-10-2020</v>
          </cell>
          <cell r="B640" t="str">
            <v>Iron Supplement</v>
          </cell>
          <cell r="C640" t="str">
            <v>Mineral</v>
          </cell>
          <cell r="D640">
            <v>124</v>
          </cell>
          <cell r="E640">
            <v>55.64</v>
          </cell>
          <cell r="F640">
            <v>6899.36</v>
          </cell>
          <cell r="G640">
            <v>0.15</v>
          </cell>
          <cell r="H640">
            <v>1</v>
          </cell>
          <cell r="I640" t="str">
            <v>UK</v>
          </cell>
          <cell r="J640" t="str">
            <v>iHerb</v>
          </cell>
        </row>
        <row r="641">
          <cell r="A641" t="str">
            <v>05-10-2020</v>
          </cell>
          <cell r="B641" t="str">
            <v>Electrolyte Powder</v>
          </cell>
          <cell r="C641" t="str">
            <v>Hydration</v>
          </cell>
          <cell r="D641">
            <v>140</v>
          </cell>
          <cell r="E641">
            <v>52.6</v>
          </cell>
          <cell r="F641">
            <v>7364</v>
          </cell>
          <cell r="G641">
            <v>0.14000000000000001</v>
          </cell>
          <cell r="H641">
            <v>1</v>
          </cell>
          <cell r="I641" t="str">
            <v>USA</v>
          </cell>
          <cell r="J641" t="str">
            <v>iHerb</v>
          </cell>
        </row>
        <row r="642">
          <cell r="A642" t="str">
            <v>12-10-2020</v>
          </cell>
          <cell r="B642" t="str">
            <v>Whey Protein</v>
          </cell>
          <cell r="C642" t="str">
            <v>Protein</v>
          </cell>
          <cell r="D642">
            <v>131</v>
          </cell>
          <cell r="E642">
            <v>58.18</v>
          </cell>
          <cell r="F642">
            <v>7621.58</v>
          </cell>
          <cell r="G642">
            <v>0.09</v>
          </cell>
          <cell r="H642">
            <v>1</v>
          </cell>
          <cell r="I642" t="str">
            <v>USA</v>
          </cell>
          <cell r="J642" t="str">
            <v>Walmart</v>
          </cell>
        </row>
        <row r="643">
          <cell r="A643" t="str">
            <v>12-10-2020</v>
          </cell>
          <cell r="B643" t="str">
            <v>Vitamin C</v>
          </cell>
          <cell r="C643" t="str">
            <v>Vitamin</v>
          </cell>
          <cell r="D643">
            <v>129</v>
          </cell>
          <cell r="E643">
            <v>56.63</v>
          </cell>
          <cell r="F643">
            <v>7305.27</v>
          </cell>
          <cell r="G643">
            <v>0.14000000000000001</v>
          </cell>
          <cell r="H643">
            <v>0</v>
          </cell>
          <cell r="I643" t="str">
            <v>Canada</v>
          </cell>
          <cell r="J643" t="str">
            <v>iHerb</v>
          </cell>
        </row>
        <row r="644">
          <cell r="A644" t="str">
            <v>12-10-2020</v>
          </cell>
          <cell r="B644" t="str">
            <v>Fish Oil</v>
          </cell>
          <cell r="C644" t="str">
            <v>Omega</v>
          </cell>
          <cell r="D644">
            <v>153</v>
          </cell>
          <cell r="E644">
            <v>30.32</v>
          </cell>
          <cell r="F644">
            <v>4638.96</v>
          </cell>
          <cell r="G644">
            <v>0.22</v>
          </cell>
          <cell r="H644">
            <v>2</v>
          </cell>
          <cell r="I644" t="str">
            <v>UK</v>
          </cell>
          <cell r="J644" t="str">
            <v>Walmart</v>
          </cell>
        </row>
        <row r="645">
          <cell r="A645" t="str">
            <v>12-10-2020</v>
          </cell>
          <cell r="B645" t="str">
            <v>Multivitamin</v>
          </cell>
          <cell r="C645" t="str">
            <v>Vitamin</v>
          </cell>
          <cell r="D645">
            <v>168</v>
          </cell>
          <cell r="E645">
            <v>16.559999999999999</v>
          </cell>
          <cell r="F645">
            <v>2782.08</v>
          </cell>
          <cell r="G645">
            <v>0.08</v>
          </cell>
          <cell r="H645">
            <v>1</v>
          </cell>
          <cell r="I645" t="str">
            <v>USA</v>
          </cell>
          <cell r="J645" t="str">
            <v>iHerb</v>
          </cell>
        </row>
        <row r="646">
          <cell r="A646" t="str">
            <v>12-10-2020</v>
          </cell>
          <cell r="B646" t="str">
            <v>Pre-Workout</v>
          </cell>
          <cell r="C646" t="str">
            <v>Performance</v>
          </cell>
          <cell r="D646">
            <v>170</v>
          </cell>
          <cell r="E646">
            <v>43.82</v>
          </cell>
          <cell r="F646">
            <v>7449.4</v>
          </cell>
          <cell r="G646">
            <v>0.08</v>
          </cell>
          <cell r="H646">
            <v>1</v>
          </cell>
          <cell r="I646" t="str">
            <v>Canada</v>
          </cell>
          <cell r="J646" t="str">
            <v>Walmart</v>
          </cell>
        </row>
        <row r="647">
          <cell r="A647" t="str">
            <v>12-10-2020</v>
          </cell>
          <cell r="B647" t="str">
            <v>BCAA</v>
          </cell>
          <cell r="C647" t="str">
            <v>Amino Acid</v>
          </cell>
          <cell r="D647">
            <v>160</v>
          </cell>
          <cell r="E647">
            <v>21.29</v>
          </cell>
          <cell r="F647">
            <v>3406.4</v>
          </cell>
          <cell r="G647">
            <v>0.15</v>
          </cell>
          <cell r="H647">
            <v>0</v>
          </cell>
          <cell r="I647" t="str">
            <v>Canada</v>
          </cell>
          <cell r="J647" t="str">
            <v>iHerb</v>
          </cell>
        </row>
        <row r="648">
          <cell r="A648" t="str">
            <v>12-10-2020</v>
          </cell>
          <cell r="B648" t="str">
            <v>Creatine</v>
          </cell>
          <cell r="C648" t="str">
            <v>Performance</v>
          </cell>
          <cell r="D648">
            <v>144</v>
          </cell>
          <cell r="E648">
            <v>17.399999999999999</v>
          </cell>
          <cell r="F648">
            <v>2505.6</v>
          </cell>
          <cell r="G648">
            <v>0.25</v>
          </cell>
          <cell r="H648">
            <v>0</v>
          </cell>
          <cell r="I648" t="str">
            <v>UK</v>
          </cell>
          <cell r="J648" t="str">
            <v>iHerb</v>
          </cell>
        </row>
        <row r="649">
          <cell r="A649" t="str">
            <v>12-10-2020</v>
          </cell>
          <cell r="B649" t="str">
            <v>Zinc</v>
          </cell>
          <cell r="C649" t="str">
            <v>Mineral</v>
          </cell>
          <cell r="D649">
            <v>134</v>
          </cell>
          <cell r="E649">
            <v>48.45</v>
          </cell>
          <cell r="F649">
            <v>6492.3</v>
          </cell>
          <cell r="G649">
            <v>0.11</v>
          </cell>
          <cell r="H649">
            <v>1</v>
          </cell>
          <cell r="I649" t="str">
            <v>Canada</v>
          </cell>
          <cell r="J649" t="str">
            <v>Walmart</v>
          </cell>
        </row>
        <row r="650">
          <cell r="A650" t="str">
            <v>12-10-2020</v>
          </cell>
          <cell r="B650" t="str">
            <v>Collagen Peptides</v>
          </cell>
          <cell r="C650" t="str">
            <v>Protein</v>
          </cell>
          <cell r="D650">
            <v>148</v>
          </cell>
          <cell r="E650">
            <v>54.26</v>
          </cell>
          <cell r="F650">
            <v>8030.48</v>
          </cell>
          <cell r="G650">
            <v>0.02</v>
          </cell>
          <cell r="H650">
            <v>1</v>
          </cell>
          <cell r="I650" t="str">
            <v>UK</v>
          </cell>
          <cell r="J650" t="str">
            <v>iHerb</v>
          </cell>
        </row>
        <row r="651">
          <cell r="A651" t="str">
            <v>12-10-2020</v>
          </cell>
          <cell r="B651" t="str">
            <v>Magnesium</v>
          </cell>
          <cell r="C651" t="str">
            <v>Mineral</v>
          </cell>
          <cell r="D651">
            <v>170</v>
          </cell>
          <cell r="E651">
            <v>51.48</v>
          </cell>
          <cell r="F651">
            <v>8751.6</v>
          </cell>
          <cell r="G651">
            <v>0.03</v>
          </cell>
          <cell r="H651">
            <v>4</v>
          </cell>
          <cell r="I651" t="str">
            <v>USA</v>
          </cell>
          <cell r="J651" t="str">
            <v>Amazon</v>
          </cell>
        </row>
        <row r="652">
          <cell r="A652" t="str">
            <v>12-10-2020</v>
          </cell>
          <cell r="B652" t="str">
            <v>Ashwagandha</v>
          </cell>
          <cell r="C652" t="str">
            <v>Herbal</v>
          </cell>
          <cell r="D652">
            <v>156</v>
          </cell>
          <cell r="E652">
            <v>56.91</v>
          </cell>
          <cell r="F652">
            <v>8877.9599999999991</v>
          </cell>
          <cell r="G652">
            <v>7.0000000000000007E-2</v>
          </cell>
          <cell r="H652">
            <v>1</v>
          </cell>
          <cell r="I652" t="str">
            <v>Canada</v>
          </cell>
          <cell r="J652" t="str">
            <v>Amazon</v>
          </cell>
        </row>
        <row r="653">
          <cell r="A653" t="str">
            <v>12-10-2020</v>
          </cell>
          <cell r="B653" t="str">
            <v>Melatonin</v>
          </cell>
          <cell r="C653" t="str">
            <v>Sleep Aid</v>
          </cell>
          <cell r="D653">
            <v>157</v>
          </cell>
          <cell r="E653">
            <v>56.47</v>
          </cell>
          <cell r="F653">
            <v>8865.7900000000009</v>
          </cell>
          <cell r="G653">
            <v>0.05</v>
          </cell>
          <cell r="H653">
            <v>3</v>
          </cell>
          <cell r="I653" t="str">
            <v>Canada</v>
          </cell>
          <cell r="J653" t="str">
            <v>iHerb</v>
          </cell>
        </row>
        <row r="654">
          <cell r="A654" t="str">
            <v>12-10-2020</v>
          </cell>
          <cell r="B654" t="str">
            <v>Biotin</v>
          </cell>
          <cell r="C654" t="str">
            <v>Vitamin</v>
          </cell>
          <cell r="D654">
            <v>159</v>
          </cell>
          <cell r="E654">
            <v>29.36</v>
          </cell>
          <cell r="F654">
            <v>4668.24</v>
          </cell>
          <cell r="G654">
            <v>7.0000000000000007E-2</v>
          </cell>
          <cell r="H654">
            <v>1</v>
          </cell>
          <cell r="I654" t="str">
            <v>UK</v>
          </cell>
          <cell r="J654" t="str">
            <v>Walmart</v>
          </cell>
        </row>
        <row r="655">
          <cell r="A655" t="str">
            <v>12-10-2020</v>
          </cell>
          <cell r="B655" t="str">
            <v>Green Tea Extract</v>
          </cell>
          <cell r="C655" t="str">
            <v>Fat Burner</v>
          </cell>
          <cell r="D655">
            <v>146</v>
          </cell>
          <cell r="E655">
            <v>31.73</v>
          </cell>
          <cell r="F655">
            <v>4632.58</v>
          </cell>
          <cell r="G655">
            <v>0.22</v>
          </cell>
          <cell r="H655">
            <v>0</v>
          </cell>
          <cell r="I655" t="str">
            <v>USA</v>
          </cell>
          <cell r="J655" t="str">
            <v>iHerb</v>
          </cell>
        </row>
        <row r="656">
          <cell r="A656" t="str">
            <v>12-10-2020</v>
          </cell>
          <cell r="B656" t="str">
            <v>Iron Supplement</v>
          </cell>
          <cell r="C656" t="str">
            <v>Mineral</v>
          </cell>
          <cell r="D656">
            <v>177</v>
          </cell>
          <cell r="E656">
            <v>26.31</v>
          </cell>
          <cell r="F656">
            <v>4656.87</v>
          </cell>
          <cell r="G656">
            <v>0.19</v>
          </cell>
          <cell r="H656">
            <v>1</v>
          </cell>
          <cell r="I656" t="str">
            <v>UK</v>
          </cell>
          <cell r="J656" t="str">
            <v>iHerb</v>
          </cell>
        </row>
        <row r="657">
          <cell r="A657" t="str">
            <v>12-10-2020</v>
          </cell>
          <cell r="B657" t="str">
            <v>Electrolyte Powder</v>
          </cell>
          <cell r="C657" t="str">
            <v>Hydration</v>
          </cell>
          <cell r="D657">
            <v>154</v>
          </cell>
          <cell r="E657">
            <v>47.12</v>
          </cell>
          <cell r="F657">
            <v>7256.48</v>
          </cell>
          <cell r="G657">
            <v>0.06</v>
          </cell>
          <cell r="H657">
            <v>0</v>
          </cell>
          <cell r="I657" t="str">
            <v>USA</v>
          </cell>
          <cell r="J657" t="str">
            <v>Amazon</v>
          </cell>
        </row>
        <row r="658">
          <cell r="A658" t="str">
            <v>19-10-2020</v>
          </cell>
          <cell r="B658" t="str">
            <v>Whey Protein</v>
          </cell>
          <cell r="C658" t="str">
            <v>Protein</v>
          </cell>
          <cell r="D658">
            <v>143</v>
          </cell>
          <cell r="E658">
            <v>18.399999999999999</v>
          </cell>
          <cell r="F658">
            <v>2631.2</v>
          </cell>
          <cell r="G658">
            <v>0.09</v>
          </cell>
          <cell r="H658">
            <v>1</v>
          </cell>
          <cell r="I658" t="str">
            <v>Canada</v>
          </cell>
          <cell r="J658" t="str">
            <v>Walmart</v>
          </cell>
        </row>
        <row r="659">
          <cell r="A659" t="str">
            <v>19-10-2020</v>
          </cell>
          <cell r="B659" t="str">
            <v>Vitamin C</v>
          </cell>
          <cell r="C659" t="str">
            <v>Vitamin</v>
          </cell>
          <cell r="D659">
            <v>124</v>
          </cell>
          <cell r="E659">
            <v>54.22</v>
          </cell>
          <cell r="F659">
            <v>6723.28</v>
          </cell>
          <cell r="G659">
            <v>0.04</v>
          </cell>
          <cell r="H659">
            <v>1</v>
          </cell>
          <cell r="I659" t="str">
            <v>UK</v>
          </cell>
          <cell r="J659" t="str">
            <v>Walmart</v>
          </cell>
        </row>
        <row r="660">
          <cell r="A660" t="str">
            <v>19-10-2020</v>
          </cell>
          <cell r="B660" t="str">
            <v>Fish Oil</v>
          </cell>
          <cell r="C660" t="str">
            <v>Omega</v>
          </cell>
          <cell r="D660">
            <v>156</v>
          </cell>
          <cell r="E660">
            <v>45.05</v>
          </cell>
          <cell r="F660">
            <v>7027.8</v>
          </cell>
          <cell r="G660">
            <v>0.1</v>
          </cell>
          <cell r="H660">
            <v>1</v>
          </cell>
          <cell r="I660" t="str">
            <v>UK</v>
          </cell>
          <cell r="J660" t="str">
            <v>iHerb</v>
          </cell>
        </row>
        <row r="661">
          <cell r="A661" t="str">
            <v>19-10-2020</v>
          </cell>
          <cell r="B661" t="str">
            <v>Multivitamin</v>
          </cell>
          <cell r="C661" t="str">
            <v>Vitamin</v>
          </cell>
          <cell r="D661">
            <v>156</v>
          </cell>
          <cell r="E661">
            <v>28.41</v>
          </cell>
          <cell r="F661">
            <v>4431.96</v>
          </cell>
          <cell r="G661">
            <v>0.24</v>
          </cell>
          <cell r="H661">
            <v>1</v>
          </cell>
          <cell r="I661" t="str">
            <v>UK</v>
          </cell>
          <cell r="J661" t="str">
            <v>Amazon</v>
          </cell>
        </row>
        <row r="662">
          <cell r="A662" t="str">
            <v>19-10-2020</v>
          </cell>
          <cell r="B662" t="str">
            <v>Pre-Workout</v>
          </cell>
          <cell r="C662" t="str">
            <v>Performance</v>
          </cell>
          <cell r="D662">
            <v>150</v>
          </cell>
          <cell r="E662">
            <v>45.86</v>
          </cell>
          <cell r="F662">
            <v>6879</v>
          </cell>
          <cell r="G662">
            <v>0.15</v>
          </cell>
          <cell r="H662">
            <v>2</v>
          </cell>
          <cell r="I662" t="str">
            <v>USA</v>
          </cell>
          <cell r="J662" t="str">
            <v>iHerb</v>
          </cell>
        </row>
        <row r="663">
          <cell r="A663" t="str">
            <v>19-10-2020</v>
          </cell>
          <cell r="B663" t="str">
            <v>BCAA</v>
          </cell>
          <cell r="C663" t="str">
            <v>Amino Acid</v>
          </cell>
          <cell r="D663">
            <v>166</v>
          </cell>
          <cell r="E663">
            <v>33.76</v>
          </cell>
          <cell r="F663">
            <v>5604.16</v>
          </cell>
          <cell r="G663">
            <v>0.1</v>
          </cell>
          <cell r="H663">
            <v>4</v>
          </cell>
          <cell r="I663" t="str">
            <v>UK</v>
          </cell>
          <cell r="J663" t="str">
            <v>Walmart</v>
          </cell>
        </row>
        <row r="664">
          <cell r="A664" t="str">
            <v>19-10-2020</v>
          </cell>
          <cell r="B664" t="str">
            <v>Creatine</v>
          </cell>
          <cell r="C664" t="str">
            <v>Performance</v>
          </cell>
          <cell r="D664">
            <v>157</v>
          </cell>
          <cell r="E664">
            <v>53.15</v>
          </cell>
          <cell r="F664">
            <v>8344.5499999999993</v>
          </cell>
          <cell r="G664">
            <v>0.12</v>
          </cell>
          <cell r="H664">
            <v>0</v>
          </cell>
          <cell r="I664" t="str">
            <v>UK</v>
          </cell>
          <cell r="J664" t="str">
            <v>iHerb</v>
          </cell>
        </row>
        <row r="665">
          <cell r="A665" t="str">
            <v>19-10-2020</v>
          </cell>
          <cell r="B665" t="str">
            <v>Zinc</v>
          </cell>
          <cell r="C665" t="str">
            <v>Mineral</v>
          </cell>
          <cell r="D665">
            <v>152</v>
          </cell>
          <cell r="E665">
            <v>53.89</v>
          </cell>
          <cell r="F665">
            <v>8191.28</v>
          </cell>
          <cell r="G665">
            <v>0.05</v>
          </cell>
          <cell r="H665">
            <v>3</v>
          </cell>
          <cell r="I665" t="str">
            <v>USA</v>
          </cell>
          <cell r="J665" t="str">
            <v>Walmart</v>
          </cell>
        </row>
        <row r="666">
          <cell r="A666" t="str">
            <v>19-10-2020</v>
          </cell>
          <cell r="B666" t="str">
            <v>Collagen Peptides</v>
          </cell>
          <cell r="C666" t="str">
            <v>Protein</v>
          </cell>
          <cell r="D666">
            <v>152</v>
          </cell>
          <cell r="E666">
            <v>58.59</v>
          </cell>
          <cell r="F666">
            <v>8905.68</v>
          </cell>
          <cell r="G666">
            <v>0.13</v>
          </cell>
          <cell r="H666">
            <v>1</v>
          </cell>
          <cell r="I666" t="str">
            <v>USA</v>
          </cell>
          <cell r="J666" t="str">
            <v>Amazon</v>
          </cell>
        </row>
        <row r="667">
          <cell r="A667" t="str">
            <v>19-10-2020</v>
          </cell>
          <cell r="B667" t="str">
            <v>Magnesium</v>
          </cell>
          <cell r="C667" t="str">
            <v>Mineral</v>
          </cell>
          <cell r="D667">
            <v>149</v>
          </cell>
          <cell r="E667">
            <v>25.25</v>
          </cell>
          <cell r="F667">
            <v>3762.25</v>
          </cell>
          <cell r="G667">
            <v>0.05</v>
          </cell>
          <cell r="H667">
            <v>0</v>
          </cell>
          <cell r="I667" t="str">
            <v>USA</v>
          </cell>
          <cell r="J667" t="str">
            <v>Amazon</v>
          </cell>
        </row>
        <row r="668">
          <cell r="A668" t="str">
            <v>19-10-2020</v>
          </cell>
          <cell r="B668" t="str">
            <v>Ashwagandha</v>
          </cell>
          <cell r="C668" t="str">
            <v>Herbal</v>
          </cell>
          <cell r="D668">
            <v>142</v>
          </cell>
          <cell r="E668">
            <v>33.58</v>
          </cell>
          <cell r="F668">
            <v>4768.3599999999997</v>
          </cell>
          <cell r="G668">
            <v>0.06</v>
          </cell>
          <cell r="H668">
            <v>0</v>
          </cell>
          <cell r="I668" t="str">
            <v>UK</v>
          </cell>
          <cell r="J668" t="str">
            <v>iHerb</v>
          </cell>
        </row>
        <row r="669">
          <cell r="A669" t="str">
            <v>19-10-2020</v>
          </cell>
          <cell r="B669" t="str">
            <v>Melatonin</v>
          </cell>
          <cell r="C669" t="str">
            <v>Sleep Aid</v>
          </cell>
          <cell r="D669">
            <v>144</v>
          </cell>
          <cell r="E669">
            <v>27.15</v>
          </cell>
          <cell r="F669">
            <v>3909.6</v>
          </cell>
          <cell r="G669">
            <v>0.25</v>
          </cell>
          <cell r="H669">
            <v>1</v>
          </cell>
          <cell r="I669" t="str">
            <v>USA</v>
          </cell>
          <cell r="J669" t="str">
            <v>iHerb</v>
          </cell>
        </row>
        <row r="670">
          <cell r="A670" t="str">
            <v>19-10-2020</v>
          </cell>
          <cell r="B670" t="str">
            <v>Biotin</v>
          </cell>
          <cell r="C670" t="str">
            <v>Vitamin</v>
          </cell>
          <cell r="D670">
            <v>137</v>
          </cell>
          <cell r="E670">
            <v>33.020000000000003</v>
          </cell>
          <cell r="F670">
            <v>4523.74</v>
          </cell>
          <cell r="G670">
            <v>0.18</v>
          </cell>
          <cell r="H670">
            <v>4</v>
          </cell>
          <cell r="I670" t="str">
            <v>Canada</v>
          </cell>
          <cell r="J670" t="str">
            <v>iHerb</v>
          </cell>
        </row>
        <row r="671">
          <cell r="A671" t="str">
            <v>19-10-2020</v>
          </cell>
          <cell r="B671" t="str">
            <v>Green Tea Extract</v>
          </cell>
          <cell r="C671" t="str">
            <v>Fat Burner</v>
          </cell>
          <cell r="D671">
            <v>122</v>
          </cell>
          <cell r="E671">
            <v>46.02</v>
          </cell>
          <cell r="F671">
            <v>5614.44</v>
          </cell>
          <cell r="G671">
            <v>7.0000000000000007E-2</v>
          </cell>
          <cell r="H671">
            <v>0</v>
          </cell>
          <cell r="I671" t="str">
            <v>UK</v>
          </cell>
          <cell r="J671" t="str">
            <v>Amazon</v>
          </cell>
        </row>
        <row r="672">
          <cell r="A672" t="str">
            <v>19-10-2020</v>
          </cell>
          <cell r="B672" t="str">
            <v>Iron Supplement</v>
          </cell>
          <cell r="C672" t="str">
            <v>Mineral</v>
          </cell>
          <cell r="D672">
            <v>118</v>
          </cell>
          <cell r="E672">
            <v>48.72</v>
          </cell>
          <cell r="F672">
            <v>5748.96</v>
          </cell>
          <cell r="G672">
            <v>0.03</v>
          </cell>
          <cell r="H672">
            <v>1</v>
          </cell>
          <cell r="I672" t="str">
            <v>UK</v>
          </cell>
          <cell r="J672" t="str">
            <v>iHerb</v>
          </cell>
        </row>
        <row r="673">
          <cell r="A673" t="str">
            <v>19-10-2020</v>
          </cell>
          <cell r="B673" t="str">
            <v>Electrolyte Powder</v>
          </cell>
          <cell r="C673" t="str">
            <v>Hydration</v>
          </cell>
          <cell r="D673">
            <v>154</v>
          </cell>
          <cell r="E673">
            <v>11.36</v>
          </cell>
          <cell r="F673">
            <v>1749.44</v>
          </cell>
          <cell r="G673">
            <v>0.2</v>
          </cell>
          <cell r="H673">
            <v>0</v>
          </cell>
          <cell r="I673" t="str">
            <v>Canada</v>
          </cell>
          <cell r="J673" t="str">
            <v>iHerb</v>
          </cell>
        </row>
        <row r="674">
          <cell r="A674" t="str">
            <v>26-10-2020</v>
          </cell>
          <cell r="B674" t="str">
            <v>Whey Protein</v>
          </cell>
          <cell r="C674" t="str">
            <v>Protein</v>
          </cell>
          <cell r="D674">
            <v>148</v>
          </cell>
          <cell r="E674">
            <v>33.85</v>
          </cell>
          <cell r="F674">
            <v>5009.8</v>
          </cell>
          <cell r="G674">
            <v>0.1</v>
          </cell>
          <cell r="H674">
            <v>3</v>
          </cell>
          <cell r="I674" t="str">
            <v>UK</v>
          </cell>
          <cell r="J674" t="str">
            <v>iHerb</v>
          </cell>
        </row>
        <row r="675">
          <cell r="A675" t="str">
            <v>26-10-2020</v>
          </cell>
          <cell r="B675" t="str">
            <v>Vitamin C</v>
          </cell>
          <cell r="C675" t="str">
            <v>Vitamin</v>
          </cell>
          <cell r="D675">
            <v>168</v>
          </cell>
          <cell r="E675">
            <v>40.75</v>
          </cell>
          <cell r="F675">
            <v>6846</v>
          </cell>
          <cell r="G675">
            <v>0.23</v>
          </cell>
          <cell r="H675">
            <v>4</v>
          </cell>
          <cell r="I675" t="str">
            <v>USA</v>
          </cell>
          <cell r="J675" t="str">
            <v>Amazon</v>
          </cell>
        </row>
        <row r="676">
          <cell r="A676" t="str">
            <v>26-10-2020</v>
          </cell>
          <cell r="B676" t="str">
            <v>Fish Oil</v>
          </cell>
          <cell r="C676" t="str">
            <v>Omega</v>
          </cell>
          <cell r="D676">
            <v>150</v>
          </cell>
          <cell r="E676">
            <v>23.93</v>
          </cell>
          <cell r="F676">
            <v>3589.5</v>
          </cell>
          <cell r="G676">
            <v>0.24</v>
          </cell>
          <cell r="H676">
            <v>0</v>
          </cell>
          <cell r="I676" t="str">
            <v>USA</v>
          </cell>
          <cell r="J676" t="str">
            <v>iHerb</v>
          </cell>
        </row>
        <row r="677">
          <cell r="A677" t="str">
            <v>26-10-2020</v>
          </cell>
          <cell r="B677" t="str">
            <v>Multivitamin</v>
          </cell>
          <cell r="C677" t="str">
            <v>Vitamin</v>
          </cell>
          <cell r="D677">
            <v>153</v>
          </cell>
          <cell r="E677">
            <v>23.95</v>
          </cell>
          <cell r="F677">
            <v>3664.35</v>
          </cell>
          <cell r="G677">
            <v>0.1</v>
          </cell>
          <cell r="H677">
            <v>6</v>
          </cell>
          <cell r="I677" t="str">
            <v>Canada</v>
          </cell>
          <cell r="J677" t="str">
            <v>Walmart</v>
          </cell>
        </row>
        <row r="678">
          <cell r="A678" t="str">
            <v>26-10-2020</v>
          </cell>
          <cell r="B678" t="str">
            <v>Pre-Workout</v>
          </cell>
          <cell r="C678" t="str">
            <v>Performance</v>
          </cell>
          <cell r="D678">
            <v>124</v>
          </cell>
          <cell r="E678">
            <v>14.13</v>
          </cell>
          <cell r="F678">
            <v>1752.12</v>
          </cell>
          <cell r="G678">
            <v>0.04</v>
          </cell>
          <cell r="H678">
            <v>1</v>
          </cell>
          <cell r="I678" t="str">
            <v>UK</v>
          </cell>
          <cell r="J678" t="str">
            <v>Amazon</v>
          </cell>
        </row>
        <row r="679">
          <cell r="A679" t="str">
            <v>26-10-2020</v>
          </cell>
          <cell r="B679" t="str">
            <v>BCAA</v>
          </cell>
          <cell r="C679" t="str">
            <v>Amino Acid</v>
          </cell>
          <cell r="D679">
            <v>150</v>
          </cell>
          <cell r="E679">
            <v>25.82</v>
          </cell>
          <cell r="F679">
            <v>3873</v>
          </cell>
          <cell r="G679">
            <v>0.02</v>
          </cell>
          <cell r="H679">
            <v>1</v>
          </cell>
          <cell r="I679" t="str">
            <v>Canada</v>
          </cell>
          <cell r="J679" t="str">
            <v>Walmart</v>
          </cell>
        </row>
        <row r="680">
          <cell r="A680" t="str">
            <v>26-10-2020</v>
          </cell>
          <cell r="B680" t="str">
            <v>Creatine</v>
          </cell>
          <cell r="C680" t="str">
            <v>Performance</v>
          </cell>
          <cell r="D680">
            <v>144</v>
          </cell>
          <cell r="E680">
            <v>55.48</v>
          </cell>
          <cell r="F680">
            <v>7989.12</v>
          </cell>
          <cell r="G680">
            <v>0</v>
          </cell>
          <cell r="H680">
            <v>2</v>
          </cell>
          <cell r="I680" t="str">
            <v>USA</v>
          </cell>
          <cell r="J680" t="str">
            <v>Walmart</v>
          </cell>
        </row>
        <row r="681">
          <cell r="A681" t="str">
            <v>26-10-2020</v>
          </cell>
          <cell r="B681" t="str">
            <v>Zinc</v>
          </cell>
          <cell r="C681" t="str">
            <v>Mineral</v>
          </cell>
          <cell r="D681">
            <v>177</v>
          </cell>
          <cell r="E681">
            <v>18.07</v>
          </cell>
          <cell r="F681">
            <v>3198.39</v>
          </cell>
          <cell r="G681">
            <v>0.24</v>
          </cell>
          <cell r="H681">
            <v>2</v>
          </cell>
          <cell r="I681" t="str">
            <v>USA</v>
          </cell>
          <cell r="J681" t="str">
            <v>iHerb</v>
          </cell>
        </row>
        <row r="682">
          <cell r="A682" t="str">
            <v>26-10-2020</v>
          </cell>
          <cell r="B682" t="str">
            <v>Collagen Peptides</v>
          </cell>
          <cell r="C682" t="str">
            <v>Protein</v>
          </cell>
          <cell r="D682">
            <v>148</v>
          </cell>
          <cell r="E682">
            <v>46.66</v>
          </cell>
          <cell r="F682">
            <v>6905.68</v>
          </cell>
          <cell r="G682">
            <v>0.25</v>
          </cell>
          <cell r="H682">
            <v>1</v>
          </cell>
          <cell r="I682" t="str">
            <v>USA</v>
          </cell>
          <cell r="J682" t="str">
            <v>Amazon</v>
          </cell>
        </row>
        <row r="683">
          <cell r="A683" t="str">
            <v>26-10-2020</v>
          </cell>
          <cell r="B683" t="str">
            <v>Magnesium</v>
          </cell>
          <cell r="C683" t="str">
            <v>Mineral</v>
          </cell>
          <cell r="D683">
            <v>151</v>
          </cell>
          <cell r="E683">
            <v>30.28</v>
          </cell>
          <cell r="F683">
            <v>4572.28</v>
          </cell>
          <cell r="G683">
            <v>0.04</v>
          </cell>
          <cell r="H683">
            <v>4</v>
          </cell>
          <cell r="I683" t="str">
            <v>Canada</v>
          </cell>
          <cell r="J683" t="str">
            <v>Amazon</v>
          </cell>
        </row>
        <row r="684">
          <cell r="A684" t="str">
            <v>26-10-2020</v>
          </cell>
          <cell r="B684" t="str">
            <v>Ashwagandha</v>
          </cell>
          <cell r="C684" t="str">
            <v>Herbal</v>
          </cell>
          <cell r="D684">
            <v>165</v>
          </cell>
          <cell r="E684">
            <v>40.159999999999997</v>
          </cell>
          <cell r="F684">
            <v>6626.4</v>
          </cell>
          <cell r="G684">
            <v>0.06</v>
          </cell>
          <cell r="H684">
            <v>2</v>
          </cell>
          <cell r="I684" t="str">
            <v>USA</v>
          </cell>
          <cell r="J684" t="str">
            <v>iHerb</v>
          </cell>
        </row>
        <row r="685">
          <cell r="A685" t="str">
            <v>26-10-2020</v>
          </cell>
          <cell r="B685" t="str">
            <v>Melatonin</v>
          </cell>
          <cell r="C685" t="str">
            <v>Sleep Aid</v>
          </cell>
          <cell r="D685">
            <v>157</v>
          </cell>
          <cell r="E685">
            <v>59.51</v>
          </cell>
          <cell r="F685">
            <v>9343.07</v>
          </cell>
          <cell r="G685">
            <v>0.15</v>
          </cell>
          <cell r="H685">
            <v>1</v>
          </cell>
          <cell r="I685" t="str">
            <v>Canada</v>
          </cell>
          <cell r="J685" t="str">
            <v>iHerb</v>
          </cell>
        </row>
        <row r="686">
          <cell r="A686" t="str">
            <v>26-10-2020</v>
          </cell>
          <cell r="B686" t="str">
            <v>Biotin</v>
          </cell>
          <cell r="C686" t="str">
            <v>Vitamin</v>
          </cell>
          <cell r="D686">
            <v>160</v>
          </cell>
          <cell r="E686">
            <v>29.23</v>
          </cell>
          <cell r="F686">
            <v>4676.8</v>
          </cell>
          <cell r="G686">
            <v>0.09</v>
          </cell>
          <cell r="H686">
            <v>1</v>
          </cell>
          <cell r="I686" t="str">
            <v>UK</v>
          </cell>
          <cell r="J686" t="str">
            <v>iHerb</v>
          </cell>
        </row>
        <row r="687">
          <cell r="A687" t="str">
            <v>26-10-2020</v>
          </cell>
          <cell r="B687" t="str">
            <v>Green Tea Extract</v>
          </cell>
          <cell r="C687" t="str">
            <v>Fat Burner</v>
          </cell>
          <cell r="D687">
            <v>161</v>
          </cell>
          <cell r="E687">
            <v>49.7</v>
          </cell>
          <cell r="F687">
            <v>8001.7</v>
          </cell>
          <cell r="G687">
            <v>0.14000000000000001</v>
          </cell>
          <cell r="H687">
            <v>1</v>
          </cell>
          <cell r="I687" t="str">
            <v>UK</v>
          </cell>
          <cell r="J687" t="str">
            <v>Amazon</v>
          </cell>
        </row>
        <row r="688">
          <cell r="A688" t="str">
            <v>26-10-2020</v>
          </cell>
          <cell r="B688" t="str">
            <v>Iron Supplement</v>
          </cell>
          <cell r="C688" t="str">
            <v>Mineral</v>
          </cell>
          <cell r="D688">
            <v>162</v>
          </cell>
          <cell r="E688">
            <v>21.22</v>
          </cell>
          <cell r="F688">
            <v>3437.64</v>
          </cell>
          <cell r="G688">
            <v>0.13</v>
          </cell>
          <cell r="H688">
            <v>1</v>
          </cell>
          <cell r="I688" t="str">
            <v>UK</v>
          </cell>
          <cell r="J688" t="str">
            <v>Amazon</v>
          </cell>
        </row>
        <row r="689">
          <cell r="A689" t="str">
            <v>26-10-2020</v>
          </cell>
          <cell r="B689" t="str">
            <v>Electrolyte Powder</v>
          </cell>
          <cell r="C689" t="str">
            <v>Hydration</v>
          </cell>
          <cell r="D689">
            <v>150</v>
          </cell>
          <cell r="E689">
            <v>58.35</v>
          </cell>
          <cell r="F689">
            <v>8752.5</v>
          </cell>
          <cell r="G689">
            <v>0.14000000000000001</v>
          </cell>
          <cell r="H689">
            <v>3</v>
          </cell>
          <cell r="I689" t="str">
            <v>UK</v>
          </cell>
          <cell r="J689" t="str">
            <v>iHerb</v>
          </cell>
        </row>
        <row r="690">
          <cell r="A690" t="str">
            <v>02-11-2020</v>
          </cell>
          <cell r="B690" t="str">
            <v>Whey Protein</v>
          </cell>
          <cell r="C690" t="str">
            <v>Protein</v>
          </cell>
          <cell r="D690">
            <v>135</v>
          </cell>
          <cell r="E690">
            <v>53.4</v>
          </cell>
          <cell r="F690">
            <v>7209</v>
          </cell>
          <cell r="G690">
            <v>0.15</v>
          </cell>
          <cell r="H690">
            <v>2</v>
          </cell>
          <cell r="I690" t="str">
            <v>Canada</v>
          </cell>
          <cell r="J690" t="str">
            <v>Amazon</v>
          </cell>
        </row>
        <row r="691">
          <cell r="A691" t="str">
            <v>02-11-2020</v>
          </cell>
          <cell r="B691" t="str">
            <v>Vitamin C</v>
          </cell>
          <cell r="C691" t="str">
            <v>Vitamin</v>
          </cell>
          <cell r="D691">
            <v>145</v>
          </cell>
          <cell r="E691">
            <v>32.9</v>
          </cell>
          <cell r="F691">
            <v>4770.5</v>
          </cell>
          <cell r="G691">
            <v>0.1</v>
          </cell>
          <cell r="H691">
            <v>3</v>
          </cell>
          <cell r="I691" t="str">
            <v>UK</v>
          </cell>
          <cell r="J691" t="str">
            <v>iHerb</v>
          </cell>
        </row>
        <row r="692">
          <cell r="A692" t="str">
            <v>02-11-2020</v>
          </cell>
          <cell r="B692" t="str">
            <v>Fish Oil</v>
          </cell>
          <cell r="C692" t="str">
            <v>Omega</v>
          </cell>
          <cell r="D692">
            <v>181</v>
          </cell>
          <cell r="E692">
            <v>27.4</v>
          </cell>
          <cell r="F692">
            <v>4959.3999999999996</v>
          </cell>
          <cell r="G692">
            <v>0.22</v>
          </cell>
          <cell r="H692">
            <v>5</v>
          </cell>
          <cell r="I692" t="str">
            <v>UK</v>
          </cell>
          <cell r="J692" t="str">
            <v>iHerb</v>
          </cell>
        </row>
        <row r="693">
          <cell r="A693" t="str">
            <v>02-11-2020</v>
          </cell>
          <cell r="B693" t="str">
            <v>Multivitamin</v>
          </cell>
          <cell r="C693" t="str">
            <v>Vitamin</v>
          </cell>
          <cell r="D693">
            <v>148</v>
          </cell>
          <cell r="E693">
            <v>36.299999999999997</v>
          </cell>
          <cell r="F693">
            <v>5372.4</v>
          </cell>
          <cell r="G693">
            <v>0.17</v>
          </cell>
          <cell r="H693">
            <v>1</v>
          </cell>
          <cell r="I693" t="str">
            <v>Canada</v>
          </cell>
          <cell r="J693" t="str">
            <v>Walmart</v>
          </cell>
        </row>
        <row r="694">
          <cell r="A694" t="str">
            <v>02-11-2020</v>
          </cell>
          <cell r="B694" t="str">
            <v>Pre-Workout</v>
          </cell>
          <cell r="C694" t="str">
            <v>Performance</v>
          </cell>
          <cell r="D694">
            <v>159</v>
          </cell>
          <cell r="E694">
            <v>12.46</v>
          </cell>
          <cell r="F694">
            <v>1981.14</v>
          </cell>
          <cell r="G694">
            <v>0.1</v>
          </cell>
          <cell r="H694">
            <v>1</v>
          </cell>
          <cell r="I694" t="str">
            <v>Canada</v>
          </cell>
          <cell r="J694" t="str">
            <v>Walmart</v>
          </cell>
        </row>
        <row r="695">
          <cell r="A695" t="str">
            <v>02-11-2020</v>
          </cell>
          <cell r="B695" t="str">
            <v>BCAA</v>
          </cell>
          <cell r="C695" t="str">
            <v>Amino Acid</v>
          </cell>
          <cell r="D695">
            <v>143</v>
          </cell>
          <cell r="E695">
            <v>26.04</v>
          </cell>
          <cell r="F695">
            <v>3723.72</v>
          </cell>
          <cell r="G695">
            <v>0.05</v>
          </cell>
          <cell r="H695">
            <v>1</v>
          </cell>
          <cell r="I695" t="str">
            <v>USA</v>
          </cell>
          <cell r="J695" t="str">
            <v>iHerb</v>
          </cell>
        </row>
        <row r="696">
          <cell r="A696" t="str">
            <v>02-11-2020</v>
          </cell>
          <cell r="B696" t="str">
            <v>Creatine</v>
          </cell>
          <cell r="C696" t="str">
            <v>Performance</v>
          </cell>
          <cell r="D696">
            <v>148</v>
          </cell>
          <cell r="E696">
            <v>59.17</v>
          </cell>
          <cell r="F696">
            <v>8757.16</v>
          </cell>
          <cell r="G696">
            <v>0.06</v>
          </cell>
          <cell r="H696">
            <v>2</v>
          </cell>
          <cell r="I696" t="str">
            <v>Canada</v>
          </cell>
          <cell r="J696" t="str">
            <v>Amazon</v>
          </cell>
        </row>
        <row r="697">
          <cell r="A697" t="str">
            <v>02-11-2020</v>
          </cell>
          <cell r="B697" t="str">
            <v>Zinc</v>
          </cell>
          <cell r="C697" t="str">
            <v>Mineral</v>
          </cell>
          <cell r="D697">
            <v>158</v>
          </cell>
          <cell r="E697">
            <v>14.43</v>
          </cell>
          <cell r="F697">
            <v>2279.94</v>
          </cell>
          <cell r="G697">
            <v>0.17</v>
          </cell>
          <cell r="H697">
            <v>0</v>
          </cell>
          <cell r="I697" t="str">
            <v>USA</v>
          </cell>
          <cell r="J697" t="str">
            <v>iHerb</v>
          </cell>
        </row>
        <row r="698">
          <cell r="A698" t="str">
            <v>02-11-2020</v>
          </cell>
          <cell r="B698" t="str">
            <v>Collagen Peptides</v>
          </cell>
          <cell r="C698" t="str">
            <v>Protein</v>
          </cell>
          <cell r="D698">
            <v>153</v>
          </cell>
          <cell r="E698">
            <v>20.55</v>
          </cell>
          <cell r="F698">
            <v>3144.15</v>
          </cell>
          <cell r="G698">
            <v>0.21</v>
          </cell>
          <cell r="H698">
            <v>0</v>
          </cell>
          <cell r="I698" t="str">
            <v>Canada</v>
          </cell>
          <cell r="J698" t="str">
            <v>Amazon</v>
          </cell>
        </row>
        <row r="699">
          <cell r="A699" t="str">
            <v>02-11-2020</v>
          </cell>
          <cell r="B699" t="str">
            <v>Magnesium</v>
          </cell>
          <cell r="C699" t="str">
            <v>Mineral</v>
          </cell>
          <cell r="D699">
            <v>164</v>
          </cell>
          <cell r="E699">
            <v>20.88</v>
          </cell>
          <cell r="F699">
            <v>3424.32</v>
          </cell>
          <cell r="G699">
            <v>0.03</v>
          </cell>
          <cell r="H699">
            <v>4</v>
          </cell>
          <cell r="I699" t="str">
            <v>USA</v>
          </cell>
          <cell r="J699" t="str">
            <v>Walmart</v>
          </cell>
        </row>
        <row r="700">
          <cell r="A700" t="str">
            <v>02-11-2020</v>
          </cell>
          <cell r="B700" t="str">
            <v>Ashwagandha</v>
          </cell>
          <cell r="C700" t="str">
            <v>Herbal</v>
          </cell>
          <cell r="D700">
            <v>128</v>
          </cell>
          <cell r="E700">
            <v>27.39</v>
          </cell>
          <cell r="F700">
            <v>3505.92</v>
          </cell>
          <cell r="G700">
            <v>0.16</v>
          </cell>
          <cell r="H700">
            <v>1</v>
          </cell>
          <cell r="I700" t="str">
            <v>USA</v>
          </cell>
          <cell r="J700" t="str">
            <v>Amazon</v>
          </cell>
        </row>
        <row r="701">
          <cell r="A701" t="str">
            <v>02-11-2020</v>
          </cell>
          <cell r="B701" t="str">
            <v>Melatonin</v>
          </cell>
          <cell r="C701" t="str">
            <v>Sleep Aid</v>
          </cell>
          <cell r="D701">
            <v>134</v>
          </cell>
          <cell r="E701">
            <v>21.94</v>
          </cell>
          <cell r="F701">
            <v>2939.96</v>
          </cell>
          <cell r="G701">
            <v>0.05</v>
          </cell>
          <cell r="H701">
            <v>1</v>
          </cell>
          <cell r="I701" t="str">
            <v>UK</v>
          </cell>
          <cell r="J701" t="str">
            <v>iHerb</v>
          </cell>
        </row>
        <row r="702">
          <cell r="A702" t="str">
            <v>02-11-2020</v>
          </cell>
          <cell r="B702" t="str">
            <v>Biotin</v>
          </cell>
          <cell r="C702" t="str">
            <v>Vitamin</v>
          </cell>
          <cell r="D702">
            <v>157</v>
          </cell>
          <cell r="E702">
            <v>28.33</v>
          </cell>
          <cell r="F702">
            <v>4447.8100000000004</v>
          </cell>
          <cell r="G702">
            <v>0.1</v>
          </cell>
          <cell r="H702">
            <v>4</v>
          </cell>
          <cell r="I702" t="str">
            <v>Canada</v>
          </cell>
          <cell r="J702" t="str">
            <v>Walmart</v>
          </cell>
        </row>
        <row r="703">
          <cell r="A703" t="str">
            <v>02-11-2020</v>
          </cell>
          <cell r="B703" t="str">
            <v>Green Tea Extract</v>
          </cell>
          <cell r="C703" t="str">
            <v>Fat Burner</v>
          </cell>
          <cell r="D703">
            <v>140</v>
          </cell>
          <cell r="E703">
            <v>25.85</v>
          </cell>
          <cell r="F703">
            <v>3619</v>
          </cell>
          <cell r="G703">
            <v>7.0000000000000007E-2</v>
          </cell>
          <cell r="H703">
            <v>1</v>
          </cell>
          <cell r="I703" t="str">
            <v>USA</v>
          </cell>
          <cell r="J703" t="str">
            <v>Amazon</v>
          </cell>
        </row>
        <row r="704">
          <cell r="A704" t="str">
            <v>02-11-2020</v>
          </cell>
          <cell r="B704" t="str">
            <v>Iron Supplement</v>
          </cell>
          <cell r="C704" t="str">
            <v>Mineral</v>
          </cell>
          <cell r="D704">
            <v>164</v>
          </cell>
          <cell r="E704">
            <v>44.36</v>
          </cell>
          <cell r="F704">
            <v>7275.04</v>
          </cell>
          <cell r="G704">
            <v>0.08</v>
          </cell>
          <cell r="H704">
            <v>0</v>
          </cell>
          <cell r="I704" t="str">
            <v>UK</v>
          </cell>
          <cell r="J704" t="str">
            <v>Amazon</v>
          </cell>
        </row>
        <row r="705">
          <cell r="A705" t="str">
            <v>02-11-2020</v>
          </cell>
          <cell r="B705" t="str">
            <v>Electrolyte Powder</v>
          </cell>
          <cell r="C705" t="str">
            <v>Hydration</v>
          </cell>
          <cell r="D705">
            <v>157</v>
          </cell>
          <cell r="E705">
            <v>30.46</v>
          </cell>
          <cell r="F705">
            <v>4782.22</v>
          </cell>
          <cell r="G705">
            <v>0.08</v>
          </cell>
          <cell r="H705">
            <v>2</v>
          </cell>
          <cell r="I705" t="str">
            <v>UK</v>
          </cell>
          <cell r="J705" t="str">
            <v>Amazon</v>
          </cell>
        </row>
        <row r="706">
          <cell r="A706" t="str">
            <v>09-11-2020</v>
          </cell>
          <cell r="B706" t="str">
            <v>Whey Protein</v>
          </cell>
          <cell r="C706" t="str">
            <v>Protein</v>
          </cell>
          <cell r="D706">
            <v>160</v>
          </cell>
          <cell r="E706">
            <v>50.58</v>
          </cell>
          <cell r="F706">
            <v>8092.8</v>
          </cell>
          <cell r="G706">
            <v>7.0000000000000007E-2</v>
          </cell>
          <cell r="H706">
            <v>1</v>
          </cell>
          <cell r="I706" t="str">
            <v>Canada</v>
          </cell>
          <cell r="J706" t="str">
            <v>Amazon</v>
          </cell>
        </row>
        <row r="707">
          <cell r="A707" t="str">
            <v>09-11-2020</v>
          </cell>
          <cell r="B707" t="str">
            <v>Vitamin C</v>
          </cell>
          <cell r="C707" t="str">
            <v>Vitamin</v>
          </cell>
          <cell r="D707">
            <v>158</v>
          </cell>
          <cell r="E707">
            <v>59.37</v>
          </cell>
          <cell r="F707">
            <v>9380.4599999999991</v>
          </cell>
          <cell r="G707">
            <v>0.06</v>
          </cell>
          <cell r="H707">
            <v>2</v>
          </cell>
          <cell r="I707" t="str">
            <v>USA</v>
          </cell>
          <cell r="J707" t="str">
            <v>iHerb</v>
          </cell>
        </row>
        <row r="708">
          <cell r="A708" t="str">
            <v>09-11-2020</v>
          </cell>
          <cell r="B708" t="str">
            <v>Fish Oil</v>
          </cell>
          <cell r="C708" t="str">
            <v>Omega</v>
          </cell>
          <cell r="D708">
            <v>154</v>
          </cell>
          <cell r="E708">
            <v>17.82</v>
          </cell>
          <cell r="F708">
            <v>2744.28</v>
          </cell>
          <cell r="G708">
            <v>0.19</v>
          </cell>
          <cell r="H708">
            <v>2</v>
          </cell>
          <cell r="I708" t="str">
            <v>UK</v>
          </cell>
          <cell r="J708" t="str">
            <v>Walmart</v>
          </cell>
        </row>
        <row r="709">
          <cell r="A709" t="str">
            <v>09-11-2020</v>
          </cell>
          <cell r="B709" t="str">
            <v>Multivitamin</v>
          </cell>
          <cell r="C709" t="str">
            <v>Vitamin</v>
          </cell>
          <cell r="D709">
            <v>142</v>
          </cell>
          <cell r="E709">
            <v>26.69</v>
          </cell>
          <cell r="F709">
            <v>3789.98</v>
          </cell>
          <cell r="G709">
            <v>0.14000000000000001</v>
          </cell>
          <cell r="H709">
            <v>3</v>
          </cell>
          <cell r="I709" t="str">
            <v>Canada</v>
          </cell>
          <cell r="J709" t="str">
            <v>Amazon</v>
          </cell>
        </row>
        <row r="710">
          <cell r="A710" t="str">
            <v>09-11-2020</v>
          </cell>
          <cell r="B710" t="str">
            <v>Pre-Workout</v>
          </cell>
          <cell r="C710" t="str">
            <v>Performance</v>
          </cell>
          <cell r="D710">
            <v>152</v>
          </cell>
          <cell r="E710">
            <v>35.94</v>
          </cell>
          <cell r="F710">
            <v>5462.88</v>
          </cell>
          <cell r="G710">
            <v>0.01</v>
          </cell>
          <cell r="H710">
            <v>1</v>
          </cell>
          <cell r="I710" t="str">
            <v>Canada</v>
          </cell>
          <cell r="J710" t="str">
            <v>Amazon</v>
          </cell>
        </row>
        <row r="711">
          <cell r="A711" t="str">
            <v>09-11-2020</v>
          </cell>
          <cell r="B711" t="str">
            <v>BCAA</v>
          </cell>
          <cell r="C711" t="str">
            <v>Amino Acid</v>
          </cell>
          <cell r="D711">
            <v>150</v>
          </cell>
          <cell r="E711">
            <v>19.09</v>
          </cell>
          <cell r="F711">
            <v>2863.5</v>
          </cell>
          <cell r="G711">
            <v>0.13</v>
          </cell>
          <cell r="H711">
            <v>1</v>
          </cell>
          <cell r="I711" t="str">
            <v>Canada</v>
          </cell>
          <cell r="J711" t="str">
            <v>Amazon</v>
          </cell>
        </row>
        <row r="712">
          <cell r="A712" t="str">
            <v>09-11-2020</v>
          </cell>
          <cell r="B712" t="str">
            <v>Creatine</v>
          </cell>
          <cell r="C712" t="str">
            <v>Performance</v>
          </cell>
          <cell r="D712">
            <v>141</v>
          </cell>
          <cell r="E712">
            <v>16.66</v>
          </cell>
          <cell r="F712">
            <v>2349.06</v>
          </cell>
          <cell r="G712">
            <v>0.23</v>
          </cell>
          <cell r="H712">
            <v>3</v>
          </cell>
          <cell r="I712" t="str">
            <v>UK</v>
          </cell>
          <cell r="J712" t="str">
            <v>Amazon</v>
          </cell>
        </row>
        <row r="713">
          <cell r="A713" t="str">
            <v>09-11-2020</v>
          </cell>
          <cell r="B713" t="str">
            <v>Zinc</v>
          </cell>
          <cell r="C713" t="str">
            <v>Mineral</v>
          </cell>
          <cell r="D713">
            <v>158</v>
          </cell>
          <cell r="E713">
            <v>48.79</v>
          </cell>
          <cell r="F713">
            <v>7708.82</v>
          </cell>
          <cell r="G713">
            <v>0.2</v>
          </cell>
          <cell r="H713">
            <v>2</v>
          </cell>
          <cell r="I713" t="str">
            <v>UK</v>
          </cell>
          <cell r="J713" t="str">
            <v>Amazon</v>
          </cell>
        </row>
        <row r="714">
          <cell r="A714" t="str">
            <v>09-11-2020</v>
          </cell>
          <cell r="B714" t="str">
            <v>Collagen Peptides</v>
          </cell>
          <cell r="C714" t="str">
            <v>Protein</v>
          </cell>
          <cell r="D714">
            <v>133</v>
          </cell>
          <cell r="E714">
            <v>51.72</v>
          </cell>
          <cell r="F714">
            <v>6878.76</v>
          </cell>
          <cell r="G714">
            <v>0.14000000000000001</v>
          </cell>
          <cell r="H714">
            <v>2</v>
          </cell>
          <cell r="I714" t="str">
            <v>UK</v>
          </cell>
          <cell r="J714" t="str">
            <v>iHerb</v>
          </cell>
        </row>
        <row r="715">
          <cell r="A715" t="str">
            <v>09-11-2020</v>
          </cell>
          <cell r="B715" t="str">
            <v>Magnesium</v>
          </cell>
          <cell r="C715" t="str">
            <v>Mineral</v>
          </cell>
          <cell r="D715">
            <v>148</v>
          </cell>
          <cell r="E715">
            <v>11.72</v>
          </cell>
          <cell r="F715">
            <v>1734.56</v>
          </cell>
          <cell r="G715">
            <v>0.16</v>
          </cell>
          <cell r="H715">
            <v>0</v>
          </cell>
          <cell r="I715" t="str">
            <v>USA</v>
          </cell>
          <cell r="J715" t="str">
            <v>iHerb</v>
          </cell>
        </row>
        <row r="716">
          <cell r="A716" t="str">
            <v>09-11-2020</v>
          </cell>
          <cell r="B716" t="str">
            <v>Ashwagandha</v>
          </cell>
          <cell r="C716" t="str">
            <v>Herbal</v>
          </cell>
          <cell r="D716">
            <v>148</v>
          </cell>
          <cell r="E716">
            <v>37.270000000000003</v>
          </cell>
          <cell r="F716">
            <v>5515.96</v>
          </cell>
          <cell r="G716">
            <v>0.03</v>
          </cell>
          <cell r="H716">
            <v>2</v>
          </cell>
          <cell r="I716" t="str">
            <v>UK</v>
          </cell>
          <cell r="J716" t="str">
            <v>Walmart</v>
          </cell>
        </row>
        <row r="717">
          <cell r="A717" t="str">
            <v>09-11-2020</v>
          </cell>
          <cell r="B717" t="str">
            <v>Melatonin</v>
          </cell>
          <cell r="C717" t="str">
            <v>Sleep Aid</v>
          </cell>
          <cell r="D717">
            <v>161</v>
          </cell>
          <cell r="E717">
            <v>15.22</v>
          </cell>
          <cell r="F717">
            <v>2450.42</v>
          </cell>
          <cell r="G717">
            <v>0.04</v>
          </cell>
          <cell r="H717">
            <v>3</v>
          </cell>
          <cell r="I717" t="str">
            <v>Canada</v>
          </cell>
          <cell r="J717" t="str">
            <v>iHerb</v>
          </cell>
        </row>
        <row r="718">
          <cell r="A718" t="str">
            <v>09-11-2020</v>
          </cell>
          <cell r="B718" t="str">
            <v>Biotin</v>
          </cell>
          <cell r="C718" t="str">
            <v>Vitamin</v>
          </cell>
          <cell r="D718">
            <v>151</v>
          </cell>
          <cell r="E718">
            <v>15.34</v>
          </cell>
          <cell r="F718">
            <v>2316.34</v>
          </cell>
          <cell r="G718">
            <v>0.16</v>
          </cell>
          <cell r="H718">
            <v>3</v>
          </cell>
          <cell r="I718" t="str">
            <v>Canada</v>
          </cell>
          <cell r="J718" t="str">
            <v>iHerb</v>
          </cell>
        </row>
        <row r="719">
          <cell r="A719" t="str">
            <v>09-11-2020</v>
          </cell>
          <cell r="B719" t="str">
            <v>Green Tea Extract</v>
          </cell>
          <cell r="C719" t="str">
            <v>Fat Burner</v>
          </cell>
          <cell r="D719">
            <v>163</v>
          </cell>
          <cell r="E719">
            <v>13.76</v>
          </cell>
          <cell r="F719">
            <v>2242.88</v>
          </cell>
          <cell r="G719">
            <v>0.03</v>
          </cell>
          <cell r="H719">
            <v>0</v>
          </cell>
          <cell r="I719" t="str">
            <v>UK</v>
          </cell>
          <cell r="J719" t="str">
            <v>Amazon</v>
          </cell>
        </row>
        <row r="720">
          <cell r="A720" t="str">
            <v>09-11-2020</v>
          </cell>
          <cell r="B720" t="str">
            <v>Iron Supplement</v>
          </cell>
          <cell r="C720" t="str">
            <v>Mineral</v>
          </cell>
          <cell r="D720">
            <v>141</v>
          </cell>
          <cell r="E720">
            <v>23</v>
          </cell>
          <cell r="F720">
            <v>3243</v>
          </cell>
          <cell r="G720">
            <v>0.1</v>
          </cell>
          <cell r="H720">
            <v>3</v>
          </cell>
          <cell r="I720" t="str">
            <v>USA</v>
          </cell>
          <cell r="J720" t="str">
            <v>Amazon</v>
          </cell>
        </row>
        <row r="721">
          <cell r="A721" t="str">
            <v>09-11-2020</v>
          </cell>
          <cell r="B721" t="str">
            <v>Electrolyte Powder</v>
          </cell>
          <cell r="C721" t="str">
            <v>Hydration</v>
          </cell>
          <cell r="D721">
            <v>154</v>
          </cell>
          <cell r="E721">
            <v>45.52</v>
          </cell>
          <cell r="F721">
            <v>7010.08</v>
          </cell>
          <cell r="G721">
            <v>0.03</v>
          </cell>
          <cell r="H721">
            <v>2</v>
          </cell>
          <cell r="I721" t="str">
            <v>Canada</v>
          </cell>
          <cell r="J721" t="str">
            <v>iHerb</v>
          </cell>
        </row>
        <row r="722">
          <cell r="A722" t="str">
            <v>16-11-2020</v>
          </cell>
          <cell r="B722" t="str">
            <v>Whey Protein</v>
          </cell>
          <cell r="C722" t="str">
            <v>Protein</v>
          </cell>
          <cell r="D722">
            <v>142</v>
          </cell>
          <cell r="E722">
            <v>27.05</v>
          </cell>
          <cell r="F722">
            <v>3841.1</v>
          </cell>
          <cell r="G722">
            <v>0.25</v>
          </cell>
          <cell r="H722">
            <v>1</v>
          </cell>
          <cell r="I722" t="str">
            <v>UK</v>
          </cell>
          <cell r="J722" t="str">
            <v>Walmart</v>
          </cell>
        </row>
        <row r="723">
          <cell r="A723" t="str">
            <v>16-11-2020</v>
          </cell>
          <cell r="B723" t="str">
            <v>Vitamin C</v>
          </cell>
          <cell r="C723" t="str">
            <v>Vitamin</v>
          </cell>
          <cell r="D723">
            <v>142</v>
          </cell>
          <cell r="E723">
            <v>11.23</v>
          </cell>
          <cell r="F723">
            <v>1594.66</v>
          </cell>
          <cell r="G723">
            <v>0.17</v>
          </cell>
          <cell r="H723">
            <v>2</v>
          </cell>
          <cell r="I723" t="str">
            <v>Canada</v>
          </cell>
          <cell r="J723" t="str">
            <v>Amazon</v>
          </cell>
        </row>
        <row r="724">
          <cell r="A724" t="str">
            <v>16-11-2020</v>
          </cell>
          <cell r="B724" t="str">
            <v>Fish Oil</v>
          </cell>
          <cell r="C724" t="str">
            <v>Omega</v>
          </cell>
          <cell r="D724">
            <v>194</v>
          </cell>
          <cell r="E724">
            <v>51.09</v>
          </cell>
          <cell r="F724">
            <v>9911.4599999999991</v>
          </cell>
          <cell r="G724">
            <v>0.16</v>
          </cell>
          <cell r="H724">
            <v>2</v>
          </cell>
          <cell r="I724" t="str">
            <v>USA</v>
          </cell>
          <cell r="J724" t="str">
            <v>iHerb</v>
          </cell>
        </row>
        <row r="725">
          <cell r="A725" t="str">
            <v>16-11-2020</v>
          </cell>
          <cell r="B725" t="str">
            <v>Multivitamin</v>
          </cell>
          <cell r="C725" t="str">
            <v>Vitamin</v>
          </cell>
          <cell r="D725">
            <v>134</v>
          </cell>
          <cell r="E725">
            <v>59.12</v>
          </cell>
          <cell r="F725">
            <v>7922.08</v>
          </cell>
          <cell r="G725">
            <v>0.23</v>
          </cell>
          <cell r="H725">
            <v>1</v>
          </cell>
          <cell r="I725" t="str">
            <v>UK</v>
          </cell>
          <cell r="J725" t="str">
            <v>iHerb</v>
          </cell>
        </row>
        <row r="726">
          <cell r="A726" t="str">
            <v>16-11-2020</v>
          </cell>
          <cell r="B726" t="str">
            <v>Pre-Workout</v>
          </cell>
          <cell r="C726" t="str">
            <v>Performance</v>
          </cell>
          <cell r="D726">
            <v>118</v>
          </cell>
          <cell r="E726">
            <v>51.32</v>
          </cell>
          <cell r="F726">
            <v>6055.76</v>
          </cell>
          <cell r="G726">
            <v>0.18</v>
          </cell>
          <cell r="H726">
            <v>1</v>
          </cell>
          <cell r="I726" t="str">
            <v>UK</v>
          </cell>
          <cell r="J726" t="str">
            <v>iHerb</v>
          </cell>
        </row>
        <row r="727">
          <cell r="A727" t="str">
            <v>16-11-2020</v>
          </cell>
          <cell r="B727" t="str">
            <v>BCAA</v>
          </cell>
          <cell r="C727" t="str">
            <v>Amino Acid</v>
          </cell>
          <cell r="D727">
            <v>124</v>
          </cell>
          <cell r="E727">
            <v>33.450000000000003</v>
          </cell>
          <cell r="F727">
            <v>4147.8</v>
          </cell>
          <cell r="G727">
            <v>0.23</v>
          </cell>
          <cell r="H727">
            <v>1</v>
          </cell>
          <cell r="I727" t="str">
            <v>Canada</v>
          </cell>
          <cell r="J727" t="str">
            <v>iHerb</v>
          </cell>
        </row>
        <row r="728">
          <cell r="A728" t="str">
            <v>16-11-2020</v>
          </cell>
          <cell r="B728" t="str">
            <v>Creatine</v>
          </cell>
          <cell r="C728" t="str">
            <v>Performance</v>
          </cell>
          <cell r="D728">
            <v>143</v>
          </cell>
          <cell r="E728">
            <v>13.3</v>
          </cell>
          <cell r="F728">
            <v>1901.9</v>
          </cell>
          <cell r="G728">
            <v>0.24</v>
          </cell>
          <cell r="H728">
            <v>1</v>
          </cell>
          <cell r="I728" t="str">
            <v>Canada</v>
          </cell>
          <cell r="J728" t="str">
            <v>Amazon</v>
          </cell>
        </row>
        <row r="729">
          <cell r="A729" t="str">
            <v>16-11-2020</v>
          </cell>
          <cell r="B729" t="str">
            <v>Zinc</v>
          </cell>
          <cell r="C729" t="str">
            <v>Mineral</v>
          </cell>
          <cell r="D729">
            <v>149</v>
          </cell>
          <cell r="E729">
            <v>44.13</v>
          </cell>
          <cell r="F729">
            <v>6575.37</v>
          </cell>
          <cell r="G729">
            <v>0.17</v>
          </cell>
          <cell r="H729">
            <v>2</v>
          </cell>
          <cell r="I729" t="str">
            <v>Canada</v>
          </cell>
          <cell r="J729" t="str">
            <v>Walmart</v>
          </cell>
        </row>
        <row r="730">
          <cell r="A730" t="str">
            <v>16-11-2020</v>
          </cell>
          <cell r="B730" t="str">
            <v>Collagen Peptides</v>
          </cell>
          <cell r="C730" t="str">
            <v>Protein</v>
          </cell>
          <cell r="D730">
            <v>141</v>
          </cell>
          <cell r="E730">
            <v>16.260000000000002</v>
          </cell>
          <cell r="F730">
            <v>2292.66</v>
          </cell>
          <cell r="G730">
            <v>0.16</v>
          </cell>
          <cell r="H730">
            <v>0</v>
          </cell>
          <cell r="I730" t="str">
            <v>USA</v>
          </cell>
          <cell r="J730" t="str">
            <v>iHerb</v>
          </cell>
        </row>
        <row r="731">
          <cell r="A731" t="str">
            <v>16-11-2020</v>
          </cell>
          <cell r="B731" t="str">
            <v>Magnesium</v>
          </cell>
          <cell r="C731" t="str">
            <v>Mineral</v>
          </cell>
          <cell r="D731">
            <v>153</v>
          </cell>
          <cell r="E731">
            <v>54.54</v>
          </cell>
          <cell r="F731">
            <v>8344.6200000000008</v>
          </cell>
          <cell r="G731">
            <v>0.11</v>
          </cell>
          <cell r="H731">
            <v>1</v>
          </cell>
          <cell r="I731" t="str">
            <v>UK</v>
          </cell>
          <cell r="J731" t="str">
            <v>Walmart</v>
          </cell>
        </row>
        <row r="732">
          <cell r="A732" t="str">
            <v>16-11-2020</v>
          </cell>
          <cell r="B732" t="str">
            <v>Ashwagandha</v>
          </cell>
          <cell r="C732" t="str">
            <v>Herbal</v>
          </cell>
          <cell r="D732">
            <v>128</v>
          </cell>
          <cell r="E732">
            <v>51.06</v>
          </cell>
          <cell r="F732">
            <v>6535.68</v>
          </cell>
          <cell r="G732">
            <v>0.06</v>
          </cell>
          <cell r="H732">
            <v>1</v>
          </cell>
          <cell r="I732" t="str">
            <v>USA</v>
          </cell>
          <cell r="J732" t="str">
            <v>iHerb</v>
          </cell>
        </row>
        <row r="733">
          <cell r="A733" t="str">
            <v>16-11-2020</v>
          </cell>
          <cell r="B733" t="str">
            <v>Melatonin</v>
          </cell>
          <cell r="C733" t="str">
            <v>Sleep Aid</v>
          </cell>
          <cell r="D733">
            <v>140</v>
          </cell>
          <cell r="E733">
            <v>19.62</v>
          </cell>
          <cell r="F733">
            <v>2746.8</v>
          </cell>
          <cell r="G733">
            <v>0.03</v>
          </cell>
          <cell r="H733">
            <v>3</v>
          </cell>
          <cell r="I733" t="str">
            <v>Canada</v>
          </cell>
          <cell r="J733" t="str">
            <v>Amazon</v>
          </cell>
        </row>
        <row r="734">
          <cell r="A734" t="str">
            <v>16-11-2020</v>
          </cell>
          <cell r="B734" t="str">
            <v>Biotin</v>
          </cell>
          <cell r="C734" t="str">
            <v>Vitamin</v>
          </cell>
          <cell r="D734">
            <v>163</v>
          </cell>
          <cell r="E734">
            <v>12.44</v>
          </cell>
          <cell r="F734">
            <v>2027.72</v>
          </cell>
          <cell r="G734">
            <v>0.21</v>
          </cell>
          <cell r="H734">
            <v>1</v>
          </cell>
          <cell r="I734" t="str">
            <v>UK</v>
          </cell>
          <cell r="J734" t="str">
            <v>iHerb</v>
          </cell>
        </row>
        <row r="735">
          <cell r="A735" t="str">
            <v>16-11-2020</v>
          </cell>
          <cell r="B735" t="str">
            <v>Green Tea Extract</v>
          </cell>
          <cell r="C735" t="str">
            <v>Fat Burner</v>
          </cell>
          <cell r="D735">
            <v>144</v>
          </cell>
          <cell r="E735">
            <v>14.57</v>
          </cell>
          <cell r="F735">
            <v>2098.08</v>
          </cell>
          <cell r="G735">
            <v>0.19</v>
          </cell>
          <cell r="H735">
            <v>2</v>
          </cell>
          <cell r="I735" t="str">
            <v>Canada</v>
          </cell>
          <cell r="J735" t="str">
            <v>iHerb</v>
          </cell>
        </row>
        <row r="736">
          <cell r="A736" t="str">
            <v>16-11-2020</v>
          </cell>
          <cell r="B736" t="str">
            <v>Iron Supplement</v>
          </cell>
          <cell r="C736" t="str">
            <v>Mineral</v>
          </cell>
          <cell r="D736">
            <v>137</v>
          </cell>
          <cell r="E736">
            <v>19.21</v>
          </cell>
          <cell r="F736">
            <v>2631.77</v>
          </cell>
          <cell r="G736">
            <v>0.01</v>
          </cell>
          <cell r="H736">
            <v>1</v>
          </cell>
          <cell r="I736" t="str">
            <v>Canada</v>
          </cell>
          <cell r="J736" t="str">
            <v>Walmart</v>
          </cell>
        </row>
        <row r="737">
          <cell r="A737" t="str">
            <v>16-11-2020</v>
          </cell>
          <cell r="B737" t="str">
            <v>Electrolyte Powder</v>
          </cell>
          <cell r="C737" t="str">
            <v>Hydration</v>
          </cell>
          <cell r="D737">
            <v>164</v>
          </cell>
          <cell r="E737">
            <v>12.45</v>
          </cell>
          <cell r="F737">
            <v>2041.8</v>
          </cell>
          <cell r="G737">
            <v>0.14000000000000001</v>
          </cell>
          <cell r="H737">
            <v>3</v>
          </cell>
          <cell r="I737" t="str">
            <v>UK</v>
          </cell>
          <cell r="J737" t="str">
            <v>iHerb</v>
          </cell>
        </row>
        <row r="738">
          <cell r="A738" t="str">
            <v>23-11-2020</v>
          </cell>
          <cell r="B738" t="str">
            <v>Whey Protein</v>
          </cell>
          <cell r="C738" t="str">
            <v>Protein</v>
          </cell>
          <cell r="D738">
            <v>144</v>
          </cell>
          <cell r="E738">
            <v>39.82</v>
          </cell>
          <cell r="F738">
            <v>5734.08</v>
          </cell>
          <cell r="G738">
            <v>7.0000000000000007E-2</v>
          </cell>
          <cell r="H738">
            <v>0</v>
          </cell>
          <cell r="I738" t="str">
            <v>UK</v>
          </cell>
          <cell r="J738" t="str">
            <v>Amazon</v>
          </cell>
        </row>
        <row r="739">
          <cell r="A739" t="str">
            <v>23-11-2020</v>
          </cell>
          <cell r="B739" t="str">
            <v>Vitamin C</v>
          </cell>
          <cell r="C739" t="str">
            <v>Vitamin</v>
          </cell>
          <cell r="D739">
            <v>159</v>
          </cell>
          <cell r="E739">
            <v>39.04</v>
          </cell>
          <cell r="F739">
            <v>6207.36</v>
          </cell>
          <cell r="G739">
            <v>0.19</v>
          </cell>
          <cell r="H739">
            <v>2</v>
          </cell>
          <cell r="I739" t="str">
            <v>UK</v>
          </cell>
          <cell r="J739" t="str">
            <v>iHerb</v>
          </cell>
        </row>
        <row r="740">
          <cell r="A740" t="str">
            <v>23-11-2020</v>
          </cell>
          <cell r="B740" t="str">
            <v>Fish Oil</v>
          </cell>
          <cell r="C740" t="str">
            <v>Omega</v>
          </cell>
          <cell r="D740">
            <v>138</v>
          </cell>
          <cell r="E740">
            <v>16.309999999999999</v>
          </cell>
          <cell r="F740">
            <v>2250.7800000000002</v>
          </cell>
          <cell r="G740">
            <v>0.03</v>
          </cell>
          <cell r="H740">
            <v>2</v>
          </cell>
          <cell r="I740" t="str">
            <v>UK</v>
          </cell>
          <cell r="J740" t="str">
            <v>Walmart</v>
          </cell>
        </row>
        <row r="741">
          <cell r="A741" t="str">
            <v>23-11-2020</v>
          </cell>
          <cell r="B741" t="str">
            <v>Multivitamin</v>
          </cell>
          <cell r="C741" t="str">
            <v>Vitamin</v>
          </cell>
          <cell r="D741">
            <v>155</v>
          </cell>
          <cell r="E741">
            <v>15.28</v>
          </cell>
          <cell r="F741">
            <v>2368.4</v>
          </cell>
          <cell r="G741">
            <v>0.2</v>
          </cell>
          <cell r="H741">
            <v>2</v>
          </cell>
          <cell r="I741" t="str">
            <v>USA</v>
          </cell>
          <cell r="J741" t="str">
            <v>Walmart</v>
          </cell>
        </row>
        <row r="742">
          <cell r="A742" t="str">
            <v>23-11-2020</v>
          </cell>
          <cell r="B742" t="str">
            <v>Pre-Workout</v>
          </cell>
          <cell r="C742" t="str">
            <v>Performance</v>
          </cell>
          <cell r="D742">
            <v>154</v>
          </cell>
          <cell r="E742">
            <v>45.16</v>
          </cell>
          <cell r="F742">
            <v>6954.64</v>
          </cell>
          <cell r="G742">
            <v>0.21</v>
          </cell>
          <cell r="H742">
            <v>0</v>
          </cell>
          <cell r="I742" t="str">
            <v>Canada</v>
          </cell>
          <cell r="J742" t="str">
            <v>Amazon</v>
          </cell>
        </row>
        <row r="743">
          <cell r="A743" t="str">
            <v>23-11-2020</v>
          </cell>
          <cell r="B743" t="str">
            <v>BCAA</v>
          </cell>
          <cell r="C743" t="str">
            <v>Amino Acid</v>
          </cell>
          <cell r="D743">
            <v>159</v>
          </cell>
          <cell r="E743">
            <v>24.31</v>
          </cell>
          <cell r="F743">
            <v>3865.29</v>
          </cell>
          <cell r="G743">
            <v>0.16</v>
          </cell>
          <cell r="H743">
            <v>1</v>
          </cell>
          <cell r="I743" t="str">
            <v>USA</v>
          </cell>
          <cell r="J743" t="str">
            <v>Amazon</v>
          </cell>
        </row>
        <row r="744">
          <cell r="A744" t="str">
            <v>23-11-2020</v>
          </cell>
          <cell r="B744" t="str">
            <v>Creatine</v>
          </cell>
          <cell r="C744" t="str">
            <v>Performance</v>
          </cell>
          <cell r="D744">
            <v>181</v>
          </cell>
          <cell r="E744">
            <v>38.99</v>
          </cell>
          <cell r="F744">
            <v>7057.19</v>
          </cell>
          <cell r="G744">
            <v>0.04</v>
          </cell>
          <cell r="H744">
            <v>2</v>
          </cell>
          <cell r="I744" t="str">
            <v>UK</v>
          </cell>
          <cell r="J744" t="str">
            <v>Amazon</v>
          </cell>
        </row>
        <row r="745">
          <cell r="A745" t="str">
            <v>23-11-2020</v>
          </cell>
          <cell r="B745" t="str">
            <v>Zinc</v>
          </cell>
          <cell r="C745" t="str">
            <v>Mineral</v>
          </cell>
          <cell r="D745">
            <v>137</v>
          </cell>
          <cell r="E745">
            <v>34.72</v>
          </cell>
          <cell r="F745">
            <v>4756.6400000000003</v>
          </cell>
          <cell r="G745">
            <v>0.23</v>
          </cell>
          <cell r="H745">
            <v>0</v>
          </cell>
          <cell r="I745" t="str">
            <v>Canada</v>
          </cell>
          <cell r="J745" t="str">
            <v>Walmart</v>
          </cell>
        </row>
        <row r="746">
          <cell r="A746" t="str">
            <v>23-11-2020</v>
          </cell>
          <cell r="B746" t="str">
            <v>Collagen Peptides</v>
          </cell>
          <cell r="C746" t="str">
            <v>Protein</v>
          </cell>
          <cell r="D746">
            <v>135</v>
          </cell>
          <cell r="E746">
            <v>35.03</v>
          </cell>
          <cell r="F746">
            <v>4729.05</v>
          </cell>
          <cell r="G746">
            <v>0.23</v>
          </cell>
          <cell r="H746">
            <v>0</v>
          </cell>
          <cell r="I746" t="str">
            <v>Canada</v>
          </cell>
          <cell r="J746" t="str">
            <v>iHerb</v>
          </cell>
        </row>
        <row r="747">
          <cell r="A747" t="str">
            <v>23-11-2020</v>
          </cell>
          <cell r="B747" t="str">
            <v>Magnesium</v>
          </cell>
          <cell r="C747" t="str">
            <v>Mineral</v>
          </cell>
          <cell r="D747">
            <v>155</v>
          </cell>
          <cell r="E747">
            <v>17.84</v>
          </cell>
          <cell r="F747">
            <v>2765.2</v>
          </cell>
          <cell r="G747">
            <v>0.17</v>
          </cell>
          <cell r="H747">
            <v>2</v>
          </cell>
          <cell r="I747" t="str">
            <v>UK</v>
          </cell>
          <cell r="J747" t="str">
            <v>Amazon</v>
          </cell>
        </row>
        <row r="748">
          <cell r="A748" t="str">
            <v>23-11-2020</v>
          </cell>
          <cell r="B748" t="str">
            <v>Ashwagandha</v>
          </cell>
          <cell r="C748" t="str">
            <v>Herbal</v>
          </cell>
          <cell r="D748">
            <v>160</v>
          </cell>
          <cell r="E748">
            <v>32.4</v>
          </cell>
          <cell r="F748">
            <v>5184</v>
          </cell>
          <cell r="G748">
            <v>0.1</v>
          </cell>
          <cell r="H748">
            <v>5</v>
          </cell>
          <cell r="I748" t="str">
            <v>USA</v>
          </cell>
          <cell r="J748" t="str">
            <v>Amazon</v>
          </cell>
        </row>
        <row r="749">
          <cell r="A749" t="str">
            <v>23-11-2020</v>
          </cell>
          <cell r="B749" t="str">
            <v>Melatonin</v>
          </cell>
          <cell r="C749" t="str">
            <v>Sleep Aid</v>
          </cell>
          <cell r="D749">
            <v>142</v>
          </cell>
          <cell r="E749">
            <v>27.73</v>
          </cell>
          <cell r="F749">
            <v>3937.66</v>
          </cell>
          <cell r="G749">
            <v>0.14000000000000001</v>
          </cell>
          <cell r="H749">
            <v>1</v>
          </cell>
          <cell r="I749" t="str">
            <v>UK</v>
          </cell>
          <cell r="J749" t="str">
            <v>Amazon</v>
          </cell>
        </row>
        <row r="750">
          <cell r="A750" t="str">
            <v>23-11-2020</v>
          </cell>
          <cell r="B750" t="str">
            <v>Biotin</v>
          </cell>
          <cell r="C750" t="str">
            <v>Vitamin</v>
          </cell>
          <cell r="D750">
            <v>170</v>
          </cell>
          <cell r="E750">
            <v>54.79</v>
          </cell>
          <cell r="F750">
            <v>9314.2999999999993</v>
          </cell>
          <cell r="G750">
            <v>0.03</v>
          </cell>
          <cell r="H750">
            <v>2</v>
          </cell>
          <cell r="I750" t="str">
            <v>UK</v>
          </cell>
          <cell r="J750" t="str">
            <v>Amazon</v>
          </cell>
        </row>
        <row r="751">
          <cell r="A751" t="str">
            <v>23-11-2020</v>
          </cell>
          <cell r="B751" t="str">
            <v>Green Tea Extract</v>
          </cell>
          <cell r="C751" t="str">
            <v>Fat Burner</v>
          </cell>
          <cell r="D751">
            <v>169</v>
          </cell>
          <cell r="E751">
            <v>58.42</v>
          </cell>
          <cell r="F751">
            <v>9872.98</v>
          </cell>
          <cell r="G751">
            <v>0.11</v>
          </cell>
          <cell r="H751">
            <v>4</v>
          </cell>
          <cell r="I751" t="str">
            <v>Canada</v>
          </cell>
          <cell r="J751" t="str">
            <v>Amazon</v>
          </cell>
        </row>
        <row r="752">
          <cell r="A752" t="str">
            <v>23-11-2020</v>
          </cell>
          <cell r="B752" t="str">
            <v>Iron Supplement</v>
          </cell>
          <cell r="C752" t="str">
            <v>Mineral</v>
          </cell>
          <cell r="D752">
            <v>156</v>
          </cell>
          <cell r="E752">
            <v>19.420000000000002</v>
          </cell>
          <cell r="F752">
            <v>3029.52</v>
          </cell>
          <cell r="G752">
            <v>0.08</v>
          </cell>
          <cell r="H752">
            <v>0</v>
          </cell>
          <cell r="I752" t="str">
            <v>USA</v>
          </cell>
          <cell r="J752" t="str">
            <v>Amazon</v>
          </cell>
        </row>
        <row r="753">
          <cell r="A753" t="str">
            <v>23-11-2020</v>
          </cell>
          <cell r="B753" t="str">
            <v>Electrolyte Powder</v>
          </cell>
          <cell r="C753" t="str">
            <v>Hydration</v>
          </cell>
          <cell r="D753">
            <v>135</v>
          </cell>
          <cell r="E753">
            <v>31.15</v>
          </cell>
          <cell r="F753">
            <v>4205.25</v>
          </cell>
          <cell r="G753">
            <v>0.2</v>
          </cell>
          <cell r="H753">
            <v>0</v>
          </cell>
          <cell r="I753" t="str">
            <v>UK</v>
          </cell>
          <cell r="J753" t="str">
            <v>Walmart</v>
          </cell>
        </row>
        <row r="754">
          <cell r="A754" t="str">
            <v>30-11-2020</v>
          </cell>
          <cell r="B754" t="str">
            <v>Whey Protein</v>
          </cell>
          <cell r="C754" t="str">
            <v>Protein</v>
          </cell>
          <cell r="D754">
            <v>134</v>
          </cell>
          <cell r="E754">
            <v>19.86</v>
          </cell>
          <cell r="F754">
            <v>2661.24</v>
          </cell>
          <cell r="G754">
            <v>0.02</v>
          </cell>
          <cell r="H754">
            <v>0</v>
          </cell>
          <cell r="I754" t="str">
            <v>Canada</v>
          </cell>
          <cell r="J754" t="str">
            <v>Walmart</v>
          </cell>
        </row>
        <row r="755">
          <cell r="A755" t="str">
            <v>30-11-2020</v>
          </cell>
          <cell r="B755" t="str">
            <v>Vitamin C</v>
          </cell>
          <cell r="C755" t="str">
            <v>Vitamin</v>
          </cell>
          <cell r="D755">
            <v>172</v>
          </cell>
          <cell r="E755">
            <v>27.7</v>
          </cell>
          <cell r="F755">
            <v>4764.3999999999996</v>
          </cell>
          <cell r="G755">
            <v>0.16</v>
          </cell>
          <cell r="H755">
            <v>2</v>
          </cell>
          <cell r="I755" t="str">
            <v>UK</v>
          </cell>
          <cell r="J755" t="str">
            <v>iHerb</v>
          </cell>
        </row>
        <row r="756">
          <cell r="A756" t="str">
            <v>30-11-2020</v>
          </cell>
          <cell r="B756" t="str">
            <v>Fish Oil</v>
          </cell>
          <cell r="C756" t="str">
            <v>Omega</v>
          </cell>
          <cell r="D756">
            <v>156</v>
          </cell>
          <cell r="E756">
            <v>41.44</v>
          </cell>
          <cell r="F756">
            <v>6464.64</v>
          </cell>
          <cell r="G756">
            <v>7.0000000000000007E-2</v>
          </cell>
          <cell r="H756">
            <v>0</v>
          </cell>
          <cell r="I756" t="str">
            <v>Canada</v>
          </cell>
          <cell r="J756" t="str">
            <v>Amazon</v>
          </cell>
        </row>
        <row r="757">
          <cell r="A757" t="str">
            <v>30-11-2020</v>
          </cell>
          <cell r="B757" t="str">
            <v>Multivitamin</v>
          </cell>
          <cell r="C757" t="str">
            <v>Vitamin</v>
          </cell>
          <cell r="D757">
            <v>148</v>
          </cell>
          <cell r="E757">
            <v>38.47</v>
          </cell>
          <cell r="F757">
            <v>5693.56</v>
          </cell>
          <cell r="G757">
            <v>0.21</v>
          </cell>
          <cell r="H757">
            <v>5</v>
          </cell>
          <cell r="I757" t="str">
            <v>Canada</v>
          </cell>
          <cell r="J757" t="str">
            <v>Amazon</v>
          </cell>
        </row>
        <row r="758">
          <cell r="A758" t="str">
            <v>30-11-2020</v>
          </cell>
          <cell r="B758" t="str">
            <v>Pre-Workout</v>
          </cell>
          <cell r="C758" t="str">
            <v>Performance</v>
          </cell>
          <cell r="D758">
            <v>136</v>
          </cell>
          <cell r="E758">
            <v>43.71</v>
          </cell>
          <cell r="F758">
            <v>5944.56</v>
          </cell>
          <cell r="G758">
            <v>0.24</v>
          </cell>
          <cell r="H758">
            <v>4</v>
          </cell>
          <cell r="I758" t="str">
            <v>Canada</v>
          </cell>
          <cell r="J758" t="str">
            <v>iHerb</v>
          </cell>
        </row>
        <row r="759">
          <cell r="A759" t="str">
            <v>30-11-2020</v>
          </cell>
          <cell r="B759" t="str">
            <v>BCAA</v>
          </cell>
          <cell r="C759" t="str">
            <v>Amino Acid</v>
          </cell>
          <cell r="D759">
            <v>157</v>
          </cell>
          <cell r="E759">
            <v>49.93</v>
          </cell>
          <cell r="F759">
            <v>7839.01</v>
          </cell>
          <cell r="G759">
            <v>0.03</v>
          </cell>
          <cell r="H759">
            <v>2</v>
          </cell>
          <cell r="I759" t="str">
            <v>Canada</v>
          </cell>
          <cell r="J759" t="str">
            <v>iHerb</v>
          </cell>
        </row>
        <row r="760">
          <cell r="A760" t="str">
            <v>30-11-2020</v>
          </cell>
          <cell r="B760" t="str">
            <v>Creatine</v>
          </cell>
          <cell r="C760" t="str">
            <v>Performance</v>
          </cell>
          <cell r="D760">
            <v>170</v>
          </cell>
          <cell r="E760">
            <v>41.53</v>
          </cell>
          <cell r="F760">
            <v>7060.1</v>
          </cell>
          <cell r="G760">
            <v>0.11</v>
          </cell>
          <cell r="H760">
            <v>1</v>
          </cell>
          <cell r="I760" t="str">
            <v>UK</v>
          </cell>
          <cell r="J760" t="str">
            <v>Amazon</v>
          </cell>
        </row>
        <row r="761">
          <cell r="A761" t="str">
            <v>30-11-2020</v>
          </cell>
          <cell r="B761" t="str">
            <v>Zinc</v>
          </cell>
          <cell r="C761" t="str">
            <v>Mineral</v>
          </cell>
          <cell r="D761">
            <v>143</v>
          </cell>
          <cell r="E761">
            <v>56.81</v>
          </cell>
          <cell r="F761">
            <v>8123.83</v>
          </cell>
          <cell r="G761">
            <v>0.24</v>
          </cell>
          <cell r="H761">
            <v>0</v>
          </cell>
          <cell r="I761" t="str">
            <v>UK</v>
          </cell>
          <cell r="J761" t="str">
            <v>iHerb</v>
          </cell>
        </row>
        <row r="762">
          <cell r="A762" t="str">
            <v>30-11-2020</v>
          </cell>
          <cell r="B762" t="str">
            <v>Collagen Peptides</v>
          </cell>
          <cell r="C762" t="str">
            <v>Protein</v>
          </cell>
          <cell r="D762">
            <v>166</v>
          </cell>
          <cell r="E762">
            <v>22.64</v>
          </cell>
          <cell r="F762">
            <v>3758.24</v>
          </cell>
          <cell r="G762">
            <v>0.02</v>
          </cell>
          <cell r="H762">
            <v>1</v>
          </cell>
          <cell r="I762" t="str">
            <v>UK</v>
          </cell>
          <cell r="J762" t="str">
            <v>Amazon</v>
          </cell>
        </row>
        <row r="763">
          <cell r="A763" t="str">
            <v>30-11-2020</v>
          </cell>
          <cell r="B763" t="str">
            <v>Magnesium</v>
          </cell>
          <cell r="C763" t="str">
            <v>Mineral</v>
          </cell>
          <cell r="D763">
            <v>170</v>
          </cell>
          <cell r="E763">
            <v>46.05</v>
          </cell>
          <cell r="F763">
            <v>7828.5</v>
          </cell>
          <cell r="G763">
            <v>0.06</v>
          </cell>
          <cell r="H763">
            <v>2</v>
          </cell>
          <cell r="I763" t="str">
            <v>USA</v>
          </cell>
          <cell r="J763" t="str">
            <v>Walmart</v>
          </cell>
        </row>
        <row r="764">
          <cell r="A764" t="str">
            <v>30-11-2020</v>
          </cell>
          <cell r="B764" t="str">
            <v>Ashwagandha</v>
          </cell>
          <cell r="C764" t="str">
            <v>Herbal</v>
          </cell>
          <cell r="D764">
            <v>154</v>
          </cell>
          <cell r="E764">
            <v>51.15</v>
          </cell>
          <cell r="F764">
            <v>7877.1</v>
          </cell>
          <cell r="G764">
            <v>0.06</v>
          </cell>
          <cell r="H764">
            <v>2</v>
          </cell>
          <cell r="I764" t="str">
            <v>UK</v>
          </cell>
          <cell r="J764" t="str">
            <v>Walmart</v>
          </cell>
        </row>
        <row r="765">
          <cell r="A765" t="str">
            <v>30-11-2020</v>
          </cell>
          <cell r="B765" t="str">
            <v>Melatonin</v>
          </cell>
          <cell r="C765" t="str">
            <v>Sleep Aid</v>
          </cell>
          <cell r="D765">
            <v>147</v>
          </cell>
          <cell r="E765">
            <v>15.37</v>
          </cell>
          <cell r="F765">
            <v>2259.39</v>
          </cell>
          <cell r="G765">
            <v>0</v>
          </cell>
          <cell r="H765">
            <v>3</v>
          </cell>
          <cell r="I765" t="str">
            <v>Canada</v>
          </cell>
          <cell r="J765" t="str">
            <v>Walmart</v>
          </cell>
        </row>
        <row r="766">
          <cell r="A766" t="str">
            <v>30-11-2020</v>
          </cell>
          <cell r="B766" t="str">
            <v>Biotin</v>
          </cell>
          <cell r="C766" t="str">
            <v>Vitamin</v>
          </cell>
          <cell r="D766">
            <v>141</v>
          </cell>
          <cell r="E766">
            <v>59.97</v>
          </cell>
          <cell r="F766">
            <v>8455.77</v>
          </cell>
          <cell r="G766">
            <v>0.05</v>
          </cell>
          <cell r="H766">
            <v>1</v>
          </cell>
          <cell r="I766" t="str">
            <v>Canada</v>
          </cell>
          <cell r="J766" t="str">
            <v>iHerb</v>
          </cell>
        </row>
        <row r="767">
          <cell r="A767" t="str">
            <v>30-11-2020</v>
          </cell>
          <cell r="B767" t="str">
            <v>Green Tea Extract</v>
          </cell>
          <cell r="C767" t="str">
            <v>Fat Burner</v>
          </cell>
          <cell r="D767">
            <v>170</v>
          </cell>
          <cell r="E767">
            <v>49.76</v>
          </cell>
          <cell r="F767">
            <v>8459.2000000000007</v>
          </cell>
          <cell r="G767">
            <v>0.03</v>
          </cell>
          <cell r="H767">
            <v>5</v>
          </cell>
          <cell r="I767" t="str">
            <v>USA</v>
          </cell>
          <cell r="J767" t="str">
            <v>Walmart</v>
          </cell>
        </row>
        <row r="768">
          <cell r="A768" t="str">
            <v>30-11-2020</v>
          </cell>
          <cell r="B768" t="str">
            <v>Iron Supplement</v>
          </cell>
          <cell r="C768" t="str">
            <v>Mineral</v>
          </cell>
          <cell r="D768">
            <v>184</v>
          </cell>
          <cell r="E768">
            <v>24.97</v>
          </cell>
          <cell r="F768">
            <v>4594.4799999999996</v>
          </cell>
          <cell r="G768">
            <v>0.03</v>
          </cell>
          <cell r="H768">
            <v>1</v>
          </cell>
          <cell r="I768" t="str">
            <v>Canada</v>
          </cell>
          <cell r="J768" t="str">
            <v>Walmart</v>
          </cell>
        </row>
        <row r="769">
          <cell r="A769" t="str">
            <v>30-11-2020</v>
          </cell>
          <cell r="B769" t="str">
            <v>Electrolyte Powder</v>
          </cell>
          <cell r="C769" t="str">
            <v>Hydration</v>
          </cell>
          <cell r="D769">
            <v>163</v>
          </cell>
          <cell r="E769">
            <v>14.42</v>
          </cell>
          <cell r="F769">
            <v>2350.46</v>
          </cell>
          <cell r="G769">
            <v>0.09</v>
          </cell>
          <cell r="H769">
            <v>5</v>
          </cell>
          <cell r="I769" t="str">
            <v>USA</v>
          </cell>
          <cell r="J769" t="str">
            <v>Amazon</v>
          </cell>
        </row>
        <row r="770">
          <cell r="A770" t="str">
            <v>07-12-2020</v>
          </cell>
          <cell r="B770" t="str">
            <v>Whey Protein</v>
          </cell>
          <cell r="C770" t="str">
            <v>Protein</v>
          </cell>
          <cell r="D770">
            <v>155</v>
          </cell>
          <cell r="E770">
            <v>18.329999999999998</v>
          </cell>
          <cell r="F770">
            <v>2841.15</v>
          </cell>
          <cell r="G770">
            <v>0.25</v>
          </cell>
          <cell r="H770">
            <v>3</v>
          </cell>
          <cell r="I770" t="str">
            <v>USA</v>
          </cell>
          <cell r="J770" t="str">
            <v>Walmart</v>
          </cell>
        </row>
        <row r="771">
          <cell r="A771" t="str">
            <v>07-12-2020</v>
          </cell>
          <cell r="B771" t="str">
            <v>Vitamin C</v>
          </cell>
          <cell r="C771" t="str">
            <v>Vitamin</v>
          </cell>
          <cell r="D771">
            <v>142</v>
          </cell>
          <cell r="E771">
            <v>12.83</v>
          </cell>
          <cell r="F771">
            <v>1821.86</v>
          </cell>
          <cell r="G771">
            <v>0.03</v>
          </cell>
          <cell r="H771">
            <v>1</v>
          </cell>
          <cell r="I771" t="str">
            <v>UK</v>
          </cell>
          <cell r="J771" t="str">
            <v>iHerb</v>
          </cell>
        </row>
        <row r="772">
          <cell r="A772" t="str">
            <v>07-12-2020</v>
          </cell>
          <cell r="B772" t="str">
            <v>Fish Oil</v>
          </cell>
          <cell r="C772" t="str">
            <v>Omega</v>
          </cell>
          <cell r="D772">
            <v>172</v>
          </cell>
          <cell r="E772">
            <v>52.15</v>
          </cell>
          <cell r="F772">
            <v>8969.7999999999993</v>
          </cell>
          <cell r="G772">
            <v>0.11</v>
          </cell>
          <cell r="H772">
            <v>2</v>
          </cell>
          <cell r="I772" t="str">
            <v>USA</v>
          </cell>
          <cell r="J772" t="str">
            <v>Amazon</v>
          </cell>
        </row>
        <row r="773">
          <cell r="A773" t="str">
            <v>07-12-2020</v>
          </cell>
          <cell r="B773" t="str">
            <v>Multivitamin</v>
          </cell>
          <cell r="C773" t="str">
            <v>Vitamin</v>
          </cell>
          <cell r="D773">
            <v>159</v>
          </cell>
          <cell r="E773">
            <v>28.06</v>
          </cell>
          <cell r="F773">
            <v>4461.54</v>
          </cell>
          <cell r="G773">
            <v>0.16</v>
          </cell>
          <cell r="H773">
            <v>0</v>
          </cell>
          <cell r="I773" t="str">
            <v>Canada</v>
          </cell>
          <cell r="J773" t="str">
            <v>Walmart</v>
          </cell>
        </row>
        <row r="774">
          <cell r="A774" t="str">
            <v>07-12-2020</v>
          </cell>
          <cell r="B774" t="str">
            <v>Pre-Workout</v>
          </cell>
          <cell r="C774" t="str">
            <v>Performance</v>
          </cell>
          <cell r="D774">
            <v>145</v>
          </cell>
          <cell r="E774">
            <v>59.81</v>
          </cell>
          <cell r="F774">
            <v>8672.4500000000007</v>
          </cell>
          <cell r="G774">
            <v>0.12</v>
          </cell>
          <cell r="H774">
            <v>2</v>
          </cell>
          <cell r="I774" t="str">
            <v>USA</v>
          </cell>
          <cell r="J774" t="str">
            <v>Amazon</v>
          </cell>
        </row>
        <row r="775">
          <cell r="A775" t="str">
            <v>07-12-2020</v>
          </cell>
          <cell r="B775" t="str">
            <v>BCAA</v>
          </cell>
          <cell r="C775" t="str">
            <v>Amino Acid</v>
          </cell>
          <cell r="D775">
            <v>148</v>
          </cell>
          <cell r="E775">
            <v>39.770000000000003</v>
          </cell>
          <cell r="F775">
            <v>5885.96</v>
          </cell>
          <cell r="G775">
            <v>0.22</v>
          </cell>
          <cell r="H775">
            <v>1</v>
          </cell>
          <cell r="I775" t="str">
            <v>Canada</v>
          </cell>
          <cell r="J775" t="str">
            <v>iHerb</v>
          </cell>
        </row>
        <row r="776">
          <cell r="A776" t="str">
            <v>07-12-2020</v>
          </cell>
          <cell r="B776" t="str">
            <v>Creatine</v>
          </cell>
          <cell r="C776" t="str">
            <v>Performance</v>
          </cell>
          <cell r="D776">
            <v>154</v>
          </cell>
          <cell r="E776">
            <v>30.87</v>
          </cell>
          <cell r="F776">
            <v>4753.9799999999996</v>
          </cell>
          <cell r="G776">
            <v>0.04</v>
          </cell>
          <cell r="H776">
            <v>0</v>
          </cell>
          <cell r="I776" t="str">
            <v>Canada</v>
          </cell>
          <cell r="J776" t="str">
            <v>Amazon</v>
          </cell>
        </row>
        <row r="777">
          <cell r="A777" t="str">
            <v>07-12-2020</v>
          </cell>
          <cell r="B777" t="str">
            <v>Zinc</v>
          </cell>
          <cell r="C777" t="str">
            <v>Mineral</v>
          </cell>
          <cell r="D777">
            <v>140</v>
          </cell>
          <cell r="E777">
            <v>46.8</v>
          </cell>
          <cell r="F777">
            <v>6552</v>
          </cell>
          <cell r="G777">
            <v>0.08</v>
          </cell>
          <cell r="H777">
            <v>1</v>
          </cell>
          <cell r="I777" t="str">
            <v>UK</v>
          </cell>
          <cell r="J777" t="str">
            <v>iHerb</v>
          </cell>
        </row>
        <row r="778">
          <cell r="A778" t="str">
            <v>07-12-2020</v>
          </cell>
          <cell r="B778" t="str">
            <v>Collagen Peptides</v>
          </cell>
          <cell r="C778" t="str">
            <v>Protein</v>
          </cell>
          <cell r="D778">
            <v>147</v>
          </cell>
          <cell r="E778">
            <v>17.190000000000001</v>
          </cell>
          <cell r="F778">
            <v>2526.9299999999998</v>
          </cell>
          <cell r="G778">
            <v>0</v>
          </cell>
          <cell r="H778">
            <v>0</v>
          </cell>
          <cell r="I778" t="str">
            <v>Canada</v>
          </cell>
          <cell r="J778" t="str">
            <v>Amazon</v>
          </cell>
        </row>
        <row r="779">
          <cell r="A779" t="str">
            <v>07-12-2020</v>
          </cell>
          <cell r="B779" t="str">
            <v>Magnesium</v>
          </cell>
          <cell r="C779" t="str">
            <v>Mineral</v>
          </cell>
          <cell r="D779">
            <v>153</v>
          </cell>
          <cell r="E779">
            <v>35.9</v>
          </cell>
          <cell r="F779">
            <v>5492.7</v>
          </cell>
          <cell r="G779">
            <v>0</v>
          </cell>
          <cell r="H779">
            <v>1</v>
          </cell>
          <cell r="I779" t="str">
            <v>UK</v>
          </cell>
          <cell r="J779" t="str">
            <v>Walmart</v>
          </cell>
        </row>
        <row r="780">
          <cell r="A780" t="str">
            <v>07-12-2020</v>
          </cell>
          <cell r="B780" t="str">
            <v>Ashwagandha</v>
          </cell>
          <cell r="C780" t="str">
            <v>Herbal</v>
          </cell>
          <cell r="D780">
            <v>158</v>
          </cell>
          <cell r="E780">
            <v>46.61</v>
          </cell>
          <cell r="F780">
            <v>7364.38</v>
          </cell>
          <cell r="G780">
            <v>0.06</v>
          </cell>
          <cell r="H780">
            <v>3</v>
          </cell>
          <cell r="I780" t="str">
            <v>UK</v>
          </cell>
          <cell r="J780" t="str">
            <v>Amazon</v>
          </cell>
        </row>
        <row r="781">
          <cell r="A781" t="str">
            <v>07-12-2020</v>
          </cell>
          <cell r="B781" t="str">
            <v>Melatonin</v>
          </cell>
          <cell r="C781" t="str">
            <v>Sleep Aid</v>
          </cell>
          <cell r="D781">
            <v>153</v>
          </cell>
          <cell r="E781">
            <v>21.84</v>
          </cell>
          <cell r="F781">
            <v>3341.52</v>
          </cell>
          <cell r="G781">
            <v>0.16</v>
          </cell>
          <cell r="H781">
            <v>3</v>
          </cell>
          <cell r="I781" t="str">
            <v>USA</v>
          </cell>
          <cell r="J781" t="str">
            <v>iHerb</v>
          </cell>
        </row>
        <row r="782">
          <cell r="A782" t="str">
            <v>07-12-2020</v>
          </cell>
          <cell r="B782" t="str">
            <v>Biotin</v>
          </cell>
          <cell r="C782" t="str">
            <v>Vitamin</v>
          </cell>
          <cell r="D782">
            <v>147</v>
          </cell>
          <cell r="E782">
            <v>53.35</v>
          </cell>
          <cell r="F782">
            <v>7842.45</v>
          </cell>
          <cell r="G782">
            <v>0.17</v>
          </cell>
          <cell r="H782">
            <v>1</v>
          </cell>
          <cell r="I782" t="str">
            <v>Canada</v>
          </cell>
          <cell r="J782" t="str">
            <v>Walmart</v>
          </cell>
        </row>
        <row r="783">
          <cell r="A783" t="str">
            <v>07-12-2020</v>
          </cell>
          <cell r="B783" t="str">
            <v>Green Tea Extract</v>
          </cell>
          <cell r="C783" t="str">
            <v>Fat Burner</v>
          </cell>
          <cell r="D783">
            <v>150</v>
          </cell>
          <cell r="E783">
            <v>41.34</v>
          </cell>
          <cell r="F783">
            <v>6201</v>
          </cell>
          <cell r="G783">
            <v>0.09</v>
          </cell>
          <cell r="H783">
            <v>5</v>
          </cell>
          <cell r="I783" t="str">
            <v>Canada</v>
          </cell>
          <cell r="J783" t="str">
            <v>iHerb</v>
          </cell>
        </row>
        <row r="784">
          <cell r="A784" t="str">
            <v>07-12-2020</v>
          </cell>
          <cell r="B784" t="str">
            <v>Iron Supplement</v>
          </cell>
          <cell r="C784" t="str">
            <v>Mineral</v>
          </cell>
          <cell r="D784">
            <v>149</v>
          </cell>
          <cell r="E784">
            <v>38.29</v>
          </cell>
          <cell r="F784">
            <v>5705.21</v>
          </cell>
          <cell r="G784">
            <v>0.23</v>
          </cell>
          <cell r="H784">
            <v>2</v>
          </cell>
          <cell r="I784" t="str">
            <v>Canada</v>
          </cell>
          <cell r="J784" t="str">
            <v>Amazon</v>
          </cell>
        </row>
        <row r="785">
          <cell r="A785" t="str">
            <v>07-12-2020</v>
          </cell>
          <cell r="B785" t="str">
            <v>Electrolyte Powder</v>
          </cell>
          <cell r="C785" t="str">
            <v>Hydration</v>
          </cell>
          <cell r="D785">
            <v>148</v>
          </cell>
          <cell r="E785">
            <v>39.31</v>
          </cell>
          <cell r="F785">
            <v>5817.88</v>
          </cell>
          <cell r="G785">
            <v>0.12</v>
          </cell>
          <cell r="H785">
            <v>0</v>
          </cell>
          <cell r="I785" t="str">
            <v>UK</v>
          </cell>
          <cell r="J785" t="str">
            <v>Walmart</v>
          </cell>
        </row>
        <row r="786">
          <cell r="A786" t="str">
            <v>14-12-2020</v>
          </cell>
          <cell r="B786" t="str">
            <v>Whey Protein</v>
          </cell>
          <cell r="C786" t="str">
            <v>Protein</v>
          </cell>
          <cell r="D786">
            <v>149</v>
          </cell>
          <cell r="E786">
            <v>55.74</v>
          </cell>
          <cell r="F786">
            <v>8305.26</v>
          </cell>
          <cell r="G786">
            <v>0.08</v>
          </cell>
          <cell r="H786">
            <v>4</v>
          </cell>
          <cell r="I786" t="str">
            <v>UK</v>
          </cell>
          <cell r="J786" t="str">
            <v>iHerb</v>
          </cell>
        </row>
        <row r="787">
          <cell r="A787" t="str">
            <v>14-12-2020</v>
          </cell>
          <cell r="B787" t="str">
            <v>Vitamin C</v>
          </cell>
          <cell r="C787" t="str">
            <v>Vitamin</v>
          </cell>
          <cell r="D787">
            <v>151</v>
          </cell>
          <cell r="E787">
            <v>37.15</v>
          </cell>
          <cell r="F787">
            <v>5609.65</v>
          </cell>
          <cell r="G787">
            <v>0.03</v>
          </cell>
          <cell r="H787">
            <v>1</v>
          </cell>
          <cell r="I787" t="str">
            <v>USA</v>
          </cell>
          <cell r="J787" t="str">
            <v>Amazon</v>
          </cell>
        </row>
        <row r="788">
          <cell r="A788" t="str">
            <v>14-12-2020</v>
          </cell>
          <cell r="B788" t="str">
            <v>Fish Oil</v>
          </cell>
          <cell r="C788" t="str">
            <v>Omega</v>
          </cell>
          <cell r="D788">
            <v>131</v>
          </cell>
          <cell r="E788">
            <v>32.340000000000003</v>
          </cell>
          <cell r="F788">
            <v>4236.54</v>
          </cell>
          <cell r="G788">
            <v>0.19</v>
          </cell>
          <cell r="H788">
            <v>0</v>
          </cell>
          <cell r="I788" t="str">
            <v>Canada</v>
          </cell>
          <cell r="J788" t="str">
            <v>Amazon</v>
          </cell>
        </row>
        <row r="789">
          <cell r="A789" t="str">
            <v>14-12-2020</v>
          </cell>
          <cell r="B789" t="str">
            <v>Multivitamin</v>
          </cell>
          <cell r="C789" t="str">
            <v>Vitamin</v>
          </cell>
          <cell r="D789">
            <v>136</v>
          </cell>
          <cell r="E789">
            <v>56.33</v>
          </cell>
          <cell r="F789">
            <v>7660.88</v>
          </cell>
          <cell r="G789">
            <v>0.18</v>
          </cell>
          <cell r="H789">
            <v>1</v>
          </cell>
          <cell r="I789" t="str">
            <v>UK</v>
          </cell>
          <cell r="J789" t="str">
            <v>Amazon</v>
          </cell>
        </row>
        <row r="790">
          <cell r="A790" t="str">
            <v>14-12-2020</v>
          </cell>
          <cell r="B790" t="str">
            <v>Pre-Workout</v>
          </cell>
          <cell r="C790" t="str">
            <v>Performance</v>
          </cell>
          <cell r="D790">
            <v>151</v>
          </cell>
          <cell r="E790">
            <v>59.23</v>
          </cell>
          <cell r="F790">
            <v>8943.73</v>
          </cell>
          <cell r="G790">
            <v>0.17</v>
          </cell>
          <cell r="H790">
            <v>1</v>
          </cell>
          <cell r="I790" t="str">
            <v>Canada</v>
          </cell>
          <cell r="J790" t="str">
            <v>iHerb</v>
          </cell>
        </row>
        <row r="791">
          <cell r="A791" t="str">
            <v>14-12-2020</v>
          </cell>
          <cell r="B791" t="str">
            <v>BCAA</v>
          </cell>
          <cell r="C791" t="str">
            <v>Amino Acid</v>
          </cell>
          <cell r="D791">
            <v>153</v>
          </cell>
          <cell r="E791">
            <v>58.29</v>
          </cell>
          <cell r="F791">
            <v>8918.3700000000008</v>
          </cell>
          <cell r="G791">
            <v>0.04</v>
          </cell>
          <cell r="H791">
            <v>2</v>
          </cell>
          <cell r="I791" t="str">
            <v>USA</v>
          </cell>
          <cell r="J791" t="str">
            <v>Walmart</v>
          </cell>
        </row>
        <row r="792">
          <cell r="A792" t="str">
            <v>14-12-2020</v>
          </cell>
          <cell r="B792" t="str">
            <v>Creatine</v>
          </cell>
          <cell r="C792" t="str">
            <v>Performance</v>
          </cell>
          <cell r="D792">
            <v>140</v>
          </cell>
          <cell r="E792">
            <v>48.84</v>
          </cell>
          <cell r="F792">
            <v>6837.6</v>
          </cell>
          <cell r="G792">
            <v>0.17</v>
          </cell>
          <cell r="H792">
            <v>2</v>
          </cell>
          <cell r="I792" t="str">
            <v>USA</v>
          </cell>
          <cell r="J792" t="str">
            <v>Amazon</v>
          </cell>
        </row>
        <row r="793">
          <cell r="A793" t="str">
            <v>14-12-2020</v>
          </cell>
          <cell r="B793" t="str">
            <v>Zinc</v>
          </cell>
          <cell r="C793" t="str">
            <v>Mineral</v>
          </cell>
          <cell r="D793">
            <v>168</v>
          </cell>
          <cell r="E793">
            <v>26.55</v>
          </cell>
          <cell r="F793">
            <v>4460.3999999999996</v>
          </cell>
          <cell r="G793">
            <v>0.06</v>
          </cell>
          <cell r="H793">
            <v>5</v>
          </cell>
          <cell r="I793" t="str">
            <v>UK</v>
          </cell>
          <cell r="J793" t="str">
            <v>Walmart</v>
          </cell>
        </row>
        <row r="794">
          <cell r="A794" t="str">
            <v>14-12-2020</v>
          </cell>
          <cell r="B794" t="str">
            <v>Collagen Peptides</v>
          </cell>
          <cell r="C794" t="str">
            <v>Protein</v>
          </cell>
          <cell r="D794">
            <v>146</v>
          </cell>
          <cell r="E794">
            <v>44.24</v>
          </cell>
          <cell r="F794">
            <v>6459.04</v>
          </cell>
          <cell r="G794">
            <v>0.05</v>
          </cell>
          <cell r="H794">
            <v>1</v>
          </cell>
          <cell r="I794" t="str">
            <v>UK</v>
          </cell>
          <cell r="J794" t="str">
            <v>Walmart</v>
          </cell>
        </row>
        <row r="795">
          <cell r="A795" t="str">
            <v>14-12-2020</v>
          </cell>
          <cell r="B795" t="str">
            <v>Magnesium</v>
          </cell>
          <cell r="C795" t="str">
            <v>Mineral</v>
          </cell>
          <cell r="D795">
            <v>142</v>
          </cell>
          <cell r="E795">
            <v>21.72</v>
          </cell>
          <cell r="F795">
            <v>3084.24</v>
          </cell>
          <cell r="G795">
            <v>0</v>
          </cell>
          <cell r="H795">
            <v>3</v>
          </cell>
          <cell r="I795" t="str">
            <v>UK</v>
          </cell>
          <cell r="J795" t="str">
            <v>iHerb</v>
          </cell>
        </row>
        <row r="796">
          <cell r="A796" t="str">
            <v>14-12-2020</v>
          </cell>
          <cell r="B796" t="str">
            <v>Ashwagandha</v>
          </cell>
          <cell r="C796" t="str">
            <v>Herbal</v>
          </cell>
          <cell r="D796">
            <v>185</v>
          </cell>
          <cell r="E796">
            <v>26.93</v>
          </cell>
          <cell r="F796">
            <v>4982.05</v>
          </cell>
          <cell r="G796">
            <v>0</v>
          </cell>
          <cell r="H796">
            <v>2</v>
          </cell>
          <cell r="I796" t="str">
            <v>USA</v>
          </cell>
          <cell r="J796" t="str">
            <v>Amazon</v>
          </cell>
        </row>
        <row r="797">
          <cell r="A797" t="str">
            <v>14-12-2020</v>
          </cell>
          <cell r="B797" t="str">
            <v>Melatonin</v>
          </cell>
          <cell r="C797" t="str">
            <v>Sleep Aid</v>
          </cell>
          <cell r="D797">
            <v>163</v>
          </cell>
          <cell r="E797">
            <v>17.98</v>
          </cell>
          <cell r="F797">
            <v>2930.74</v>
          </cell>
          <cell r="G797">
            <v>0.2</v>
          </cell>
          <cell r="H797">
            <v>2</v>
          </cell>
          <cell r="I797" t="str">
            <v>Canada</v>
          </cell>
          <cell r="J797" t="str">
            <v>iHerb</v>
          </cell>
        </row>
        <row r="798">
          <cell r="A798" t="str">
            <v>14-12-2020</v>
          </cell>
          <cell r="B798" t="str">
            <v>Biotin</v>
          </cell>
          <cell r="C798" t="str">
            <v>Vitamin</v>
          </cell>
          <cell r="D798">
            <v>143</v>
          </cell>
          <cell r="E798">
            <v>48.49</v>
          </cell>
          <cell r="F798">
            <v>6934.07</v>
          </cell>
          <cell r="G798">
            <v>0.2</v>
          </cell>
          <cell r="H798">
            <v>1</v>
          </cell>
          <cell r="I798" t="str">
            <v>USA</v>
          </cell>
          <cell r="J798" t="str">
            <v>iHerb</v>
          </cell>
        </row>
        <row r="799">
          <cell r="A799" t="str">
            <v>14-12-2020</v>
          </cell>
          <cell r="B799" t="str">
            <v>Green Tea Extract</v>
          </cell>
          <cell r="C799" t="str">
            <v>Fat Burner</v>
          </cell>
          <cell r="D799">
            <v>177</v>
          </cell>
          <cell r="E799">
            <v>48.59</v>
          </cell>
          <cell r="F799">
            <v>8600.43</v>
          </cell>
          <cell r="G799">
            <v>0.12</v>
          </cell>
          <cell r="H799">
            <v>4</v>
          </cell>
          <cell r="I799" t="str">
            <v>Canada</v>
          </cell>
          <cell r="J799" t="str">
            <v>iHerb</v>
          </cell>
        </row>
        <row r="800">
          <cell r="A800" t="str">
            <v>14-12-2020</v>
          </cell>
          <cell r="B800" t="str">
            <v>Iron Supplement</v>
          </cell>
          <cell r="C800" t="str">
            <v>Mineral</v>
          </cell>
          <cell r="D800">
            <v>169</v>
          </cell>
          <cell r="E800">
            <v>56.82</v>
          </cell>
          <cell r="F800">
            <v>9602.58</v>
          </cell>
          <cell r="G800">
            <v>0.21</v>
          </cell>
          <cell r="H800">
            <v>3</v>
          </cell>
          <cell r="I800" t="str">
            <v>UK</v>
          </cell>
          <cell r="J800" t="str">
            <v>iHerb</v>
          </cell>
        </row>
        <row r="801">
          <cell r="A801" t="str">
            <v>14-12-2020</v>
          </cell>
          <cell r="B801" t="str">
            <v>Electrolyte Powder</v>
          </cell>
          <cell r="C801" t="str">
            <v>Hydration</v>
          </cell>
          <cell r="D801">
            <v>138</v>
          </cell>
          <cell r="E801">
            <v>52.51</v>
          </cell>
          <cell r="F801">
            <v>7246.38</v>
          </cell>
          <cell r="G801">
            <v>7.0000000000000007E-2</v>
          </cell>
          <cell r="H801">
            <v>4</v>
          </cell>
          <cell r="I801" t="str">
            <v>USA</v>
          </cell>
          <cell r="J801" t="str">
            <v>Amazon</v>
          </cell>
        </row>
        <row r="802">
          <cell r="A802" t="str">
            <v>21-12-2020</v>
          </cell>
          <cell r="B802" t="str">
            <v>Whey Protein</v>
          </cell>
          <cell r="C802" t="str">
            <v>Protein</v>
          </cell>
          <cell r="D802">
            <v>122</v>
          </cell>
          <cell r="E802">
            <v>36.880000000000003</v>
          </cell>
          <cell r="F802">
            <v>4499.3599999999997</v>
          </cell>
          <cell r="G802">
            <v>0.14000000000000001</v>
          </cell>
          <cell r="H802">
            <v>1</v>
          </cell>
          <cell r="I802" t="str">
            <v>Canada</v>
          </cell>
          <cell r="J802" t="str">
            <v>iHerb</v>
          </cell>
        </row>
        <row r="803">
          <cell r="A803" t="str">
            <v>21-12-2020</v>
          </cell>
          <cell r="B803" t="str">
            <v>Vitamin C</v>
          </cell>
          <cell r="C803" t="str">
            <v>Vitamin</v>
          </cell>
          <cell r="D803">
            <v>120</v>
          </cell>
          <cell r="E803">
            <v>10.7</v>
          </cell>
          <cell r="F803">
            <v>1284</v>
          </cell>
          <cell r="G803">
            <v>0.14000000000000001</v>
          </cell>
          <cell r="H803">
            <v>3</v>
          </cell>
          <cell r="I803" t="str">
            <v>Canada</v>
          </cell>
          <cell r="J803" t="str">
            <v>Walmart</v>
          </cell>
        </row>
        <row r="804">
          <cell r="A804" t="str">
            <v>21-12-2020</v>
          </cell>
          <cell r="B804" t="str">
            <v>Fish Oil</v>
          </cell>
          <cell r="C804" t="str">
            <v>Omega</v>
          </cell>
          <cell r="D804">
            <v>156</v>
          </cell>
          <cell r="E804">
            <v>10.66</v>
          </cell>
          <cell r="F804">
            <v>1662.96</v>
          </cell>
          <cell r="G804">
            <v>0.14000000000000001</v>
          </cell>
          <cell r="H804">
            <v>1</v>
          </cell>
          <cell r="I804" t="str">
            <v>UK</v>
          </cell>
          <cell r="J804" t="str">
            <v>Walmart</v>
          </cell>
        </row>
        <row r="805">
          <cell r="A805" t="str">
            <v>21-12-2020</v>
          </cell>
          <cell r="B805" t="str">
            <v>Multivitamin</v>
          </cell>
          <cell r="C805" t="str">
            <v>Vitamin</v>
          </cell>
          <cell r="D805">
            <v>150</v>
          </cell>
          <cell r="E805">
            <v>44.22</v>
          </cell>
          <cell r="F805">
            <v>6633</v>
          </cell>
          <cell r="G805">
            <v>0.13</v>
          </cell>
          <cell r="H805">
            <v>2</v>
          </cell>
          <cell r="I805" t="str">
            <v>USA</v>
          </cell>
          <cell r="J805" t="str">
            <v>Walmart</v>
          </cell>
        </row>
        <row r="806">
          <cell r="A806" t="str">
            <v>21-12-2020</v>
          </cell>
          <cell r="B806" t="str">
            <v>Pre-Workout</v>
          </cell>
          <cell r="C806" t="str">
            <v>Performance</v>
          </cell>
          <cell r="D806">
            <v>149</v>
          </cell>
          <cell r="E806">
            <v>42.41</v>
          </cell>
          <cell r="F806">
            <v>6319.09</v>
          </cell>
          <cell r="G806">
            <v>0.04</v>
          </cell>
          <cell r="H806">
            <v>3</v>
          </cell>
          <cell r="I806" t="str">
            <v>USA</v>
          </cell>
          <cell r="J806" t="str">
            <v>Walmart</v>
          </cell>
        </row>
        <row r="807">
          <cell r="A807" t="str">
            <v>21-12-2020</v>
          </cell>
          <cell r="B807" t="str">
            <v>BCAA</v>
          </cell>
          <cell r="C807" t="str">
            <v>Amino Acid</v>
          </cell>
          <cell r="D807">
            <v>154</v>
          </cell>
          <cell r="E807">
            <v>58.12</v>
          </cell>
          <cell r="F807">
            <v>8950.48</v>
          </cell>
          <cell r="G807">
            <v>0.13</v>
          </cell>
          <cell r="H807">
            <v>0</v>
          </cell>
          <cell r="I807" t="str">
            <v>UK</v>
          </cell>
          <cell r="J807" t="str">
            <v>Amazon</v>
          </cell>
        </row>
        <row r="808">
          <cell r="A808" t="str">
            <v>21-12-2020</v>
          </cell>
          <cell r="B808" t="str">
            <v>Creatine</v>
          </cell>
          <cell r="C808" t="str">
            <v>Performance</v>
          </cell>
          <cell r="D808">
            <v>154</v>
          </cell>
          <cell r="E808">
            <v>50.18</v>
          </cell>
          <cell r="F808">
            <v>7727.72</v>
          </cell>
          <cell r="G808">
            <v>0.2</v>
          </cell>
          <cell r="H808">
            <v>4</v>
          </cell>
          <cell r="I808" t="str">
            <v>UK</v>
          </cell>
          <cell r="J808" t="str">
            <v>iHerb</v>
          </cell>
        </row>
        <row r="809">
          <cell r="A809" t="str">
            <v>21-12-2020</v>
          </cell>
          <cell r="B809" t="str">
            <v>Zinc</v>
          </cell>
          <cell r="C809" t="str">
            <v>Mineral</v>
          </cell>
          <cell r="D809">
            <v>150</v>
          </cell>
          <cell r="E809">
            <v>47.67</v>
          </cell>
          <cell r="F809">
            <v>7150.5</v>
          </cell>
          <cell r="G809">
            <v>0.03</v>
          </cell>
          <cell r="H809">
            <v>1</v>
          </cell>
          <cell r="I809" t="str">
            <v>Canada</v>
          </cell>
          <cell r="J809" t="str">
            <v>iHerb</v>
          </cell>
        </row>
        <row r="810">
          <cell r="A810" t="str">
            <v>21-12-2020</v>
          </cell>
          <cell r="B810" t="str">
            <v>Collagen Peptides</v>
          </cell>
          <cell r="C810" t="str">
            <v>Protein</v>
          </cell>
          <cell r="D810">
            <v>152</v>
          </cell>
          <cell r="E810">
            <v>30.9</v>
          </cell>
          <cell r="F810">
            <v>4696.8</v>
          </cell>
          <cell r="G810">
            <v>0.21</v>
          </cell>
          <cell r="H810">
            <v>3</v>
          </cell>
          <cell r="I810" t="str">
            <v>USA</v>
          </cell>
          <cell r="J810" t="str">
            <v>Amazon</v>
          </cell>
        </row>
        <row r="811">
          <cell r="A811" t="str">
            <v>21-12-2020</v>
          </cell>
          <cell r="B811" t="str">
            <v>Magnesium</v>
          </cell>
          <cell r="C811" t="str">
            <v>Mineral</v>
          </cell>
          <cell r="D811">
            <v>131</v>
          </cell>
          <cell r="E811">
            <v>23.13</v>
          </cell>
          <cell r="F811">
            <v>3030.03</v>
          </cell>
          <cell r="G811">
            <v>0.22</v>
          </cell>
          <cell r="H811">
            <v>0</v>
          </cell>
          <cell r="I811" t="str">
            <v>Canada</v>
          </cell>
          <cell r="J811" t="str">
            <v>iHerb</v>
          </cell>
        </row>
        <row r="812">
          <cell r="A812" t="str">
            <v>21-12-2020</v>
          </cell>
          <cell r="B812" t="str">
            <v>Ashwagandha</v>
          </cell>
          <cell r="C812" t="str">
            <v>Herbal</v>
          </cell>
          <cell r="D812">
            <v>158</v>
          </cell>
          <cell r="E812">
            <v>41.16</v>
          </cell>
          <cell r="F812">
            <v>6503.28</v>
          </cell>
          <cell r="G812">
            <v>0.09</v>
          </cell>
          <cell r="H812">
            <v>2</v>
          </cell>
          <cell r="I812" t="str">
            <v>USA</v>
          </cell>
          <cell r="J812" t="str">
            <v>iHerb</v>
          </cell>
        </row>
        <row r="813">
          <cell r="A813" t="str">
            <v>21-12-2020</v>
          </cell>
          <cell r="B813" t="str">
            <v>Melatonin</v>
          </cell>
          <cell r="C813" t="str">
            <v>Sleep Aid</v>
          </cell>
          <cell r="D813">
            <v>140</v>
          </cell>
          <cell r="E813">
            <v>21.78</v>
          </cell>
          <cell r="F813">
            <v>3049.2</v>
          </cell>
          <cell r="G813">
            <v>0.18</v>
          </cell>
          <cell r="H813">
            <v>3</v>
          </cell>
          <cell r="I813" t="str">
            <v>Canada</v>
          </cell>
          <cell r="J813" t="str">
            <v>Amazon</v>
          </cell>
        </row>
        <row r="814">
          <cell r="A814" t="str">
            <v>21-12-2020</v>
          </cell>
          <cell r="B814" t="str">
            <v>Biotin</v>
          </cell>
          <cell r="C814" t="str">
            <v>Vitamin</v>
          </cell>
          <cell r="D814">
            <v>134</v>
          </cell>
          <cell r="E814">
            <v>39.68</v>
          </cell>
          <cell r="F814">
            <v>5317.12</v>
          </cell>
          <cell r="G814">
            <v>0.03</v>
          </cell>
          <cell r="H814">
            <v>1</v>
          </cell>
          <cell r="I814" t="str">
            <v>UK</v>
          </cell>
          <cell r="J814" t="str">
            <v>iHerb</v>
          </cell>
        </row>
        <row r="815">
          <cell r="A815" t="str">
            <v>21-12-2020</v>
          </cell>
          <cell r="B815" t="str">
            <v>Green Tea Extract</v>
          </cell>
          <cell r="C815" t="str">
            <v>Fat Burner</v>
          </cell>
          <cell r="D815">
            <v>136</v>
          </cell>
          <cell r="E815">
            <v>47.94</v>
          </cell>
          <cell r="F815">
            <v>6519.84</v>
          </cell>
          <cell r="G815">
            <v>0.03</v>
          </cell>
          <cell r="H815">
            <v>1</v>
          </cell>
          <cell r="I815" t="str">
            <v>USA</v>
          </cell>
          <cell r="J815" t="str">
            <v>Walmart</v>
          </cell>
        </row>
        <row r="816">
          <cell r="A816" t="str">
            <v>21-12-2020</v>
          </cell>
          <cell r="B816" t="str">
            <v>Iron Supplement</v>
          </cell>
          <cell r="C816" t="str">
            <v>Mineral</v>
          </cell>
          <cell r="D816">
            <v>150</v>
          </cell>
          <cell r="E816">
            <v>36.78</v>
          </cell>
          <cell r="F816">
            <v>5517</v>
          </cell>
          <cell r="G816">
            <v>0.1</v>
          </cell>
          <cell r="H816">
            <v>3</v>
          </cell>
          <cell r="I816" t="str">
            <v>UK</v>
          </cell>
          <cell r="J816" t="str">
            <v>Amazon</v>
          </cell>
        </row>
        <row r="817">
          <cell r="A817" t="str">
            <v>21-12-2020</v>
          </cell>
          <cell r="B817" t="str">
            <v>Electrolyte Powder</v>
          </cell>
          <cell r="C817" t="str">
            <v>Hydration</v>
          </cell>
          <cell r="D817">
            <v>150</v>
          </cell>
          <cell r="E817">
            <v>34.520000000000003</v>
          </cell>
          <cell r="F817">
            <v>5178</v>
          </cell>
          <cell r="G817">
            <v>0.21</v>
          </cell>
          <cell r="H817">
            <v>3</v>
          </cell>
          <cell r="I817" t="str">
            <v>UK</v>
          </cell>
          <cell r="J817" t="str">
            <v>Amazon</v>
          </cell>
        </row>
        <row r="818">
          <cell r="A818" t="str">
            <v>28-12-2020</v>
          </cell>
          <cell r="B818" t="str">
            <v>Whey Protein</v>
          </cell>
          <cell r="C818" t="str">
            <v>Protein</v>
          </cell>
          <cell r="D818">
            <v>146</v>
          </cell>
          <cell r="E818">
            <v>34.6</v>
          </cell>
          <cell r="F818">
            <v>5051.6000000000004</v>
          </cell>
          <cell r="G818">
            <v>0.14000000000000001</v>
          </cell>
          <cell r="H818">
            <v>1</v>
          </cell>
          <cell r="I818" t="str">
            <v>USA</v>
          </cell>
          <cell r="J818" t="str">
            <v>Amazon</v>
          </cell>
        </row>
        <row r="819">
          <cell r="A819" t="str">
            <v>28-12-2020</v>
          </cell>
          <cell r="B819" t="str">
            <v>Vitamin C</v>
          </cell>
          <cell r="C819" t="str">
            <v>Vitamin</v>
          </cell>
          <cell r="D819">
            <v>161</v>
          </cell>
          <cell r="E819">
            <v>26.7</v>
          </cell>
          <cell r="F819">
            <v>4298.7</v>
          </cell>
          <cell r="G819">
            <v>0.03</v>
          </cell>
          <cell r="H819">
            <v>1</v>
          </cell>
          <cell r="I819" t="str">
            <v>UK</v>
          </cell>
          <cell r="J819" t="str">
            <v>Amazon</v>
          </cell>
        </row>
        <row r="820">
          <cell r="A820" t="str">
            <v>28-12-2020</v>
          </cell>
          <cell r="B820" t="str">
            <v>Fish Oil</v>
          </cell>
          <cell r="C820" t="str">
            <v>Omega</v>
          </cell>
          <cell r="D820">
            <v>177</v>
          </cell>
          <cell r="E820">
            <v>18.440000000000001</v>
          </cell>
          <cell r="F820">
            <v>3263.88</v>
          </cell>
          <cell r="G820">
            <v>0.12</v>
          </cell>
          <cell r="H820">
            <v>1</v>
          </cell>
          <cell r="I820" t="str">
            <v>Canada</v>
          </cell>
          <cell r="J820" t="str">
            <v>iHerb</v>
          </cell>
        </row>
        <row r="821">
          <cell r="A821" t="str">
            <v>28-12-2020</v>
          </cell>
          <cell r="B821" t="str">
            <v>Multivitamin</v>
          </cell>
          <cell r="C821" t="str">
            <v>Vitamin</v>
          </cell>
          <cell r="D821">
            <v>151</v>
          </cell>
          <cell r="E821">
            <v>27.83</v>
          </cell>
          <cell r="F821">
            <v>4202.33</v>
          </cell>
          <cell r="G821">
            <v>0.11</v>
          </cell>
          <cell r="H821">
            <v>4</v>
          </cell>
          <cell r="I821" t="str">
            <v>USA</v>
          </cell>
          <cell r="J821" t="str">
            <v>Amazon</v>
          </cell>
        </row>
        <row r="822">
          <cell r="A822" t="str">
            <v>28-12-2020</v>
          </cell>
          <cell r="B822" t="str">
            <v>Pre-Workout</v>
          </cell>
          <cell r="C822" t="str">
            <v>Performance</v>
          </cell>
          <cell r="D822">
            <v>146</v>
          </cell>
          <cell r="E822">
            <v>22.17</v>
          </cell>
          <cell r="F822">
            <v>3236.82</v>
          </cell>
          <cell r="G822">
            <v>0.11</v>
          </cell>
          <cell r="H822">
            <v>2</v>
          </cell>
          <cell r="I822" t="str">
            <v>Canada</v>
          </cell>
          <cell r="J822" t="str">
            <v>Walmart</v>
          </cell>
        </row>
        <row r="823">
          <cell r="A823" t="str">
            <v>28-12-2020</v>
          </cell>
          <cell r="B823" t="str">
            <v>BCAA</v>
          </cell>
          <cell r="C823" t="str">
            <v>Amino Acid</v>
          </cell>
          <cell r="D823">
            <v>138</v>
          </cell>
          <cell r="E823">
            <v>11.06</v>
          </cell>
          <cell r="F823">
            <v>1526.28</v>
          </cell>
          <cell r="G823">
            <v>0.1</v>
          </cell>
          <cell r="H823">
            <v>2</v>
          </cell>
          <cell r="I823" t="str">
            <v>UK</v>
          </cell>
          <cell r="J823" t="str">
            <v>iHerb</v>
          </cell>
        </row>
        <row r="824">
          <cell r="A824" t="str">
            <v>28-12-2020</v>
          </cell>
          <cell r="B824" t="str">
            <v>Creatine</v>
          </cell>
          <cell r="C824" t="str">
            <v>Performance</v>
          </cell>
          <cell r="D824">
            <v>144</v>
          </cell>
          <cell r="E824">
            <v>20.25</v>
          </cell>
          <cell r="F824">
            <v>2916</v>
          </cell>
          <cell r="G824">
            <v>0.19</v>
          </cell>
          <cell r="H824">
            <v>0</v>
          </cell>
          <cell r="I824" t="str">
            <v>USA</v>
          </cell>
          <cell r="J824" t="str">
            <v>iHerb</v>
          </cell>
        </row>
        <row r="825">
          <cell r="A825" t="str">
            <v>28-12-2020</v>
          </cell>
          <cell r="B825" t="str">
            <v>Zinc</v>
          </cell>
          <cell r="C825" t="str">
            <v>Mineral</v>
          </cell>
          <cell r="D825">
            <v>165</v>
          </cell>
          <cell r="E825">
            <v>53.72</v>
          </cell>
          <cell r="F825">
            <v>8863.7999999999993</v>
          </cell>
          <cell r="G825">
            <v>0.09</v>
          </cell>
          <cell r="H825">
            <v>2</v>
          </cell>
          <cell r="I825" t="str">
            <v>USA</v>
          </cell>
          <cell r="J825" t="str">
            <v>Amazon</v>
          </cell>
        </row>
        <row r="826">
          <cell r="A826" t="str">
            <v>28-12-2020</v>
          </cell>
          <cell r="B826" t="str">
            <v>Collagen Peptides</v>
          </cell>
          <cell r="C826" t="str">
            <v>Protein</v>
          </cell>
          <cell r="D826">
            <v>143</v>
          </cell>
          <cell r="E826">
            <v>16.329999999999998</v>
          </cell>
          <cell r="F826">
            <v>2335.19</v>
          </cell>
          <cell r="G826">
            <v>0.04</v>
          </cell>
          <cell r="H826">
            <v>1</v>
          </cell>
          <cell r="I826" t="str">
            <v>Canada</v>
          </cell>
          <cell r="J826" t="str">
            <v>Amazon</v>
          </cell>
        </row>
        <row r="827">
          <cell r="A827" t="str">
            <v>28-12-2020</v>
          </cell>
          <cell r="B827" t="str">
            <v>Magnesium</v>
          </cell>
          <cell r="C827" t="str">
            <v>Mineral</v>
          </cell>
          <cell r="D827">
            <v>129</v>
          </cell>
          <cell r="E827">
            <v>57.19</v>
          </cell>
          <cell r="F827">
            <v>7377.51</v>
          </cell>
          <cell r="G827">
            <v>0.24</v>
          </cell>
          <cell r="H827">
            <v>1</v>
          </cell>
          <cell r="I827" t="str">
            <v>Canada</v>
          </cell>
          <cell r="J827" t="str">
            <v>Walmart</v>
          </cell>
        </row>
        <row r="828">
          <cell r="A828" t="str">
            <v>28-12-2020</v>
          </cell>
          <cell r="B828" t="str">
            <v>Ashwagandha</v>
          </cell>
          <cell r="C828" t="str">
            <v>Herbal</v>
          </cell>
          <cell r="D828">
            <v>172</v>
          </cell>
          <cell r="E828">
            <v>23.49</v>
          </cell>
          <cell r="F828">
            <v>4040.28</v>
          </cell>
          <cell r="G828">
            <v>0.18</v>
          </cell>
          <cell r="H828">
            <v>2</v>
          </cell>
          <cell r="I828" t="str">
            <v>UK</v>
          </cell>
          <cell r="J828" t="str">
            <v>Amazon</v>
          </cell>
        </row>
        <row r="829">
          <cell r="A829" t="str">
            <v>28-12-2020</v>
          </cell>
          <cell r="B829" t="str">
            <v>Melatonin</v>
          </cell>
          <cell r="C829" t="str">
            <v>Sleep Aid</v>
          </cell>
          <cell r="D829">
            <v>156</v>
          </cell>
          <cell r="E829">
            <v>15.68</v>
          </cell>
          <cell r="F829">
            <v>2446.08</v>
          </cell>
          <cell r="G829">
            <v>0</v>
          </cell>
          <cell r="H829">
            <v>7</v>
          </cell>
          <cell r="I829" t="str">
            <v>UK</v>
          </cell>
          <cell r="J829" t="str">
            <v>Walmart</v>
          </cell>
        </row>
        <row r="830">
          <cell r="A830" t="str">
            <v>28-12-2020</v>
          </cell>
          <cell r="B830" t="str">
            <v>Biotin</v>
          </cell>
          <cell r="C830" t="str">
            <v>Vitamin</v>
          </cell>
          <cell r="D830">
            <v>162</v>
          </cell>
          <cell r="E830">
            <v>35.49</v>
          </cell>
          <cell r="F830">
            <v>5749.38</v>
          </cell>
          <cell r="G830">
            <v>0.08</v>
          </cell>
          <cell r="H830">
            <v>0</v>
          </cell>
          <cell r="I830" t="str">
            <v>USA</v>
          </cell>
          <cell r="J830" t="str">
            <v>Amazon</v>
          </cell>
        </row>
        <row r="831">
          <cell r="A831" t="str">
            <v>28-12-2020</v>
          </cell>
          <cell r="B831" t="str">
            <v>Green Tea Extract</v>
          </cell>
          <cell r="C831" t="str">
            <v>Fat Burner</v>
          </cell>
          <cell r="D831">
            <v>142</v>
          </cell>
          <cell r="E831">
            <v>47.82</v>
          </cell>
          <cell r="F831">
            <v>6790.44</v>
          </cell>
          <cell r="G831">
            <v>0.13</v>
          </cell>
          <cell r="H831">
            <v>0</v>
          </cell>
          <cell r="I831" t="str">
            <v>USA</v>
          </cell>
          <cell r="J831" t="str">
            <v>Amazon</v>
          </cell>
        </row>
        <row r="832">
          <cell r="A832" t="str">
            <v>28-12-2020</v>
          </cell>
          <cell r="B832" t="str">
            <v>Iron Supplement</v>
          </cell>
          <cell r="C832" t="str">
            <v>Mineral</v>
          </cell>
          <cell r="D832">
            <v>147</v>
          </cell>
          <cell r="E832">
            <v>41.87</v>
          </cell>
          <cell r="F832">
            <v>6154.89</v>
          </cell>
          <cell r="G832">
            <v>0.2</v>
          </cell>
          <cell r="H832">
            <v>1</v>
          </cell>
          <cell r="I832" t="str">
            <v>USA</v>
          </cell>
          <cell r="J832" t="str">
            <v>Walmart</v>
          </cell>
        </row>
        <row r="833">
          <cell r="A833" t="str">
            <v>28-12-2020</v>
          </cell>
          <cell r="B833" t="str">
            <v>Electrolyte Powder</v>
          </cell>
          <cell r="C833" t="str">
            <v>Hydration</v>
          </cell>
          <cell r="D833">
            <v>145</v>
          </cell>
          <cell r="E833">
            <v>53.8</v>
          </cell>
          <cell r="F833">
            <v>7801</v>
          </cell>
          <cell r="G833">
            <v>0.2</v>
          </cell>
          <cell r="H833">
            <v>0</v>
          </cell>
          <cell r="I833" t="str">
            <v>USA</v>
          </cell>
          <cell r="J833" t="str">
            <v>iHerb</v>
          </cell>
        </row>
        <row r="834">
          <cell r="A834" t="str">
            <v>04-01-2021</v>
          </cell>
          <cell r="B834" t="str">
            <v>Whey Protein</v>
          </cell>
          <cell r="C834" t="str">
            <v>Protein</v>
          </cell>
          <cell r="D834">
            <v>150</v>
          </cell>
          <cell r="E834">
            <v>41.25</v>
          </cell>
          <cell r="F834">
            <v>6187.5</v>
          </cell>
          <cell r="G834">
            <v>0.24</v>
          </cell>
          <cell r="H834">
            <v>2</v>
          </cell>
          <cell r="I834" t="str">
            <v>UK</v>
          </cell>
          <cell r="J834" t="str">
            <v>iHerb</v>
          </cell>
        </row>
        <row r="835">
          <cell r="A835" t="str">
            <v>04-01-2021</v>
          </cell>
          <cell r="B835" t="str">
            <v>Vitamin C</v>
          </cell>
          <cell r="C835" t="str">
            <v>Vitamin</v>
          </cell>
          <cell r="D835">
            <v>151</v>
          </cell>
          <cell r="E835">
            <v>13.15</v>
          </cell>
          <cell r="F835">
            <v>1985.65</v>
          </cell>
          <cell r="G835">
            <v>0.05</v>
          </cell>
          <cell r="H835">
            <v>0</v>
          </cell>
          <cell r="I835" t="str">
            <v>Canada</v>
          </cell>
          <cell r="J835" t="str">
            <v>iHerb</v>
          </cell>
        </row>
        <row r="836">
          <cell r="A836" t="str">
            <v>04-01-2021</v>
          </cell>
          <cell r="B836" t="str">
            <v>Fish Oil</v>
          </cell>
          <cell r="C836" t="str">
            <v>Omega</v>
          </cell>
          <cell r="D836">
            <v>159</v>
          </cell>
          <cell r="E836">
            <v>16.8</v>
          </cell>
          <cell r="F836">
            <v>2671.2</v>
          </cell>
          <cell r="G836">
            <v>0.21</v>
          </cell>
          <cell r="H836">
            <v>0</v>
          </cell>
          <cell r="I836" t="str">
            <v>UK</v>
          </cell>
          <cell r="J836" t="str">
            <v>Amazon</v>
          </cell>
        </row>
        <row r="837">
          <cell r="A837" t="str">
            <v>04-01-2021</v>
          </cell>
          <cell r="B837" t="str">
            <v>Multivitamin</v>
          </cell>
          <cell r="C837" t="str">
            <v>Vitamin</v>
          </cell>
          <cell r="D837">
            <v>143</v>
          </cell>
          <cell r="E837">
            <v>28.62</v>
          </cell>
          <cell r="F837">
            <v>4092.66</v>
          </cell>
          <cell r="G837">
            <v>0.06</v>
          </cell>
          <cell r="H837">
            <v>1</v>
          </cell>
          <cell r="I837" t="str">
            <v>USA</v>
          </cell>
          <cell r="J837" t="str">
            <v>iHerb</v>
          </cell>
        </row>
        <row r="838">
          <cell r="A838" t="str">
            <v>04-01-2021</v>
          </cell>
          <cell r="B838" t="str">
            <v>Pre-Workout</v>
          </cell>
          <cell r="C838" t="str">
            <v>Performance</v>
          </cell>
          <cell r="D838">
            <v>147</v>
          </cell>
          <cell r="E838">
            <v>12.8</v>
          </cell>
          <cell r="F838">
            <v>1881.6</v>
          </cell>
          <cell r="G838">
            <v>0.04</v>
          </cell>
          <cell r="H838">
            <v>0</v>
          </cell>
          <cell r="I838" t="str">
            <v>UK</v>
          </cell>
          <cell r="J838" t="str">
            <v>iHerb</v>
          </cell>
        </row>
        <row r="839">
          <cell r="A839" t="str">
            <v>04-01-2021</v>
          </cell>
          <cell r="B839" t="str">
            <v>BCAA</v>
          </cell>
          <cell r="C839" t="str">
            <v>Amino Acid</v>
          </cell>
          <cell r="D839">
            <v>154</v>
          </cell>
          <cell r="E839">
            <v>51.82</v>
          </cell>
          <cell r="F839">
            <v>7980.28</v>
          </cell>
          <cell r="G839">
            <v>0.13</v>
          </cell>
          <cell r="H839">
            <v>1</v>
          </cell>
          <cell r="I839" t="str">
            <v>UK</v>
          </cell>
          <cell r="J839" t="str">
            <v>iHerb</v>
          </cell>
        </row>
        <row r="840">
          <cell r="A840" t="str">
            <v>04-01-2021</v>
          </cell>
          <cell r="B840" t="str">
            <v>Creatine</v>
          </cell>
          <cell r="C840" t="str">
            <v>Performance</v>
          </cell>
          <cell r="D840">
            <v>152</v>
          </cell>
          <cell r="E840">
            <v>19.88</v>
          </cell>
          <cell r="F840">
            <v>3021.76</v>
          </cell>
          <cell r="G840">
            <v>0.08</v>
          </cell>
          <cell r="H840">
            <v>2</v>
          </cell>
          <cell r="I840" t="str">
            <v>USA</v>
          </cell>
          <cell r="J840" t="str">
            <v>Walmart</v>
          </cell>
        </row>
        <row r="841">
          <cell r="A841" t="str">
            <v>04-01-2021</v>
          </cell>
          <cell r="B841" t="str">
            <v>Zinc</v>
          </cell>
          <cell r="C841" t="str">
            <v>Mineral</v>
          </cell>
          <cell r="D841">
            <v>139</v>
          </cell>
          <cell r="E841">
            <v>58.51</v>
          </cell>
          <cell r="F841">
            <v>8132.89</v>
          </cell>
          <cell r="G841">
            <v>0.01</v>
          </cell>
          <cell r="H841">
            <v>2</v>
          </cell>
          <cell r="I841" t="str">
            <v>USA</v>
          </cell>
          <cell r="J841" t="str">
            <v>iHerb</v>
          </cell>
        </row>
        <row r="842">
          <cell r="A842" t="str">
            <v>04-01-2021</v>
          </cell>
          <cell r="B842" t="str">
            <v>Collagen Peptides</v>
          </cell>
          <cell r="C842" t="str">
            <v>Protein</v>
          </cell>
          <cell r="D842">
            <v>161</v>
          </cell>
          <cell r="E842">
            <v>16.78</v>
          </cell>
          <cell r="F842">
            <v>2701.58</v>
          </cell>
          <cell r="G842">
            <v>0.04</v>
          </cell>
          <cell r="H842">
            <v>2</v>
          </cell>
          <cell r="I842" t="str">
            <v>UK</v>
          </cell>
          <cell r="J842" t="str">
            <v>iHerb</v>
          </cell>
        </row>
        <row r="843">
          <cell r="A843" t="str">
            <v>04-01-2021</v>
          </cell>
          <cell r="B843" t="str">
            <v>Magnesium</v>
          </cell>
          <cell r="C843" t="str">
            <v>Mineral</v>
          </cell>
          <cell r="D843">
            <v>155</v>
          </cell>
          <cell r="E843">
            <v>56.87</v>
          </cell>
          <cell r="F843">
            <v>8814.85</v>
          </cell>
          <cell r="G843">
            <v>0.17</v>
          </cell>
          <cell r="H843">
            <v>0</v>
          </cell>
          <cell r="I843" t="str">
            <v>Canada</v>
          </cell>
          <cell r="J843" t="str">
            <v>Walmart</v>
          </cell>
        </row>
        <row r="844">
          <cell r="A844" t="str">
            <v>04-01-2021</v>
          </cell>
          <cell r="B844" t="str">
            <v>Ashwagandha</v>
          </cell>
          <cell r="C844" t="str">
            <v>Herbal</v>
          </cell>
          <cell r="D844">
            <v>140</v>
          </cell>
          <cell r="E844">
            <v>20.47</v>
          </cell>
          <cell r="F844">
            <v>2865.8</v>
          </cell>
          <cell r="G844">
            <v>0.02</v>
          </cell>
          <cell r="H844">
            <v>2</v>
          </cell>
          <cell r="I844" t="str">
            <v>USA</v>
          </cell>
          <cell r="J844" t="str">
            <v>Amazon</v>
          </cell>
        </row>
        <row r="845">
          <cell r="A845" t="str">
            <v>04-01-2021</v>
          </cell>
          <cell r="B845" t="str">
            <v>Melatonin</v>
          </cell>
          <cell r="C845" t="str">
            <v>Sleep Aid</v>
          </cell>
          <cell r="D845">
            <v>146</v>
          </cell>
          <cell r="E845">
            <v>42.51</v>
          </cell>
          <cell r="F845">
            <v>6206.46</v>
          </cell>
          <cell r="G845">
            <v>0.02</v>
          </cell>
          <cell r="H845">
            <v>4</v>
          </cell>
          <cell r="I845" t="str">
            <v>UK</v>
          </cell>
          <cell r="J845" t="str">
            <v>Amazon</v>
          </cell>
        </row>
        <row r="846">
          <cell r="A846" t="str">
            <v>04-01-2021</v>
          </cell>
          <cell r="B846" t="str">
            <v>Biotin</v>
          </cell>
          <cell r="C846" t="str">
            <v>Vitamin</v>
          </cell>
          <cell r="D846">
            <v>141</v>
          </cell>
          <cell r="E846">
            <v>30.11</v>
          </cell>
          <cell r="F846">
            <v>4245.51</v>
          </cell>
          <cell r="G846">
            <v>0.01</v>
          </cell>
          <cell r="H846">
            <v>1</v>
          </cell>
          <cell r="I846" t="str">
            <v>USA</v>
          </cell>
          <cell r="J846" t="str">
            <v>iHerb</v>
          </cell>
        </row>
        <row r="847">
          <cell r="A847" t="str">
            <v>04-01-2021</v>
          </cell>
          <cell r="B847" t="str">
            <v>Green Tea Extract</v>
          </cell>
          <cell r="C847" t="str">
            <v>Fat Burner</v>
          </cell>
          <cell r="D847">
            <v>133</v>
          </cell>
          <cell r="E847">
            <v>27.54</v>
          </cell>
          <cell r="F847">
            <v>3662.82</v>
          </cell>
          <cell r="G847">
            <v>0.19</v>
          </cell>
          <cell r="H847">
            <v>2</v>
          </cell>
          <cell r="I847" t="str">
            <v>UK</v>
          </cell>
          <cell r="J847" t="str">
            <v>Amazon</v>
          </cell>
        </row>
        <row r="848">
          <cell r="A848" t="str">
            <v>04-01-2021</v>
          </cell>
          <cell r="B848" t="str">
            <v>Iron Supplement</v>
          </cell>
          <cell r="C848" t="str">
            <v>Mineral</v>
          </cell>
          <cell r="D848">
            <v>136</v>
          </cell>
          <cell r="E848">
            <v>28.67</v>
          </cell>
          <cell r="F848">
            <v>3899.12</v>
          </cell>
          <cell r="G848">
            <v>0.04</v>
          </cell>
          <cell r="H848">
            <v>2</v>
          </cell>
          <cell r="I848" t="str">
            <v>UK</v>
          </cell>
          <cell r="J848" t="str">
            <v>Walmart</v>
          </cell>
        </row>
        <row r="849">
          <cell r="A849" t="str">
            <v>04-01-2021</v>
          </cell>
          <cell r="B849" t="str">
            <v>Electrolyte Powder</v>
          </cell>
          <cell r="C849" t="str">
            <v>Hydration</v>
          </cell>
          <cell r="D849">
            <v>158</v>
          </cell>
          <cell r="E849">
            <v>28.34</v>
          </cell>
          <cell r="F849">
            <v>4477.72</v>
          </cell>
          <cell r="G849">
            <v>0.03</v>
          </cell>
          <cell r="H849">
            <v>2</v>
          </cell>
          <cell r="I849" t="str">
            <v>Canada</v>
          </cell>
          <cell r="J849" t="str">
            <v>iHerb</v>
          </cell>
        </row>
        <row r="850">
          <cell r="A850" t="str">
            <v>11-01-2021</v>
          </cell>
          <cell r="B850" t="str">
            <v>Whey Protein</v>
          </cell>
          <cell r="C850" t="str">
            <v>Protein</v>
          </cell>
          <cell r="D850">
            <v>161</v>
          </cell>
          <cell r="E850">
            <v>38.93</v>
          </cell>
          <cell r="F850">
            <v>6267.73</v>
          </cell>
          <cell r="G850">
            <v>0.23</v>
          </cell>
          <cell r="H850">
            <v>2</v>
          </cell>
          <cell r="I850" t="str">
            <v>USA</v>
          </cell>
          <cell r="J850" t="str">
            <v>iHerb</v>
          </cell>
        </row>
        <row r="851">
          <cell r="A851" t="str">
            <v>11-01-2021</v>
          </cell>
          <cell r="B851" t="str">
            <v>Vitamin C</v>
          </cell>
          <cell r="C851" t="str">
            <v>Vitamin</v>
          </cell>
          <cell r="D851">
            <v>137</v>
          </cell>
          <cell r="E851">
            <v>52.16</v>
          </cell>
          <cell r="F851">
            <v>7145.92</v>
          </cell>
          <cell r="G851">
            <v>0.16</v>
          </cell>
          <cell r="H851">
            <v>2</v>
          </cell>
          <cell r="I851" t="str">
            <v>UK</v>
          </cell>
          <cell r="J851" t="str">
            <v>Amazon</v>
          </cell>
        </row>
        <row r="852">
          <cell r="A852" t="str">
            <v>11-01-2021</v>
          </cell>
          <cell r="B852" t="str">
            <v>Fish Oil</v>
          </cell>
          <cell r="C852" t="str">
            <v>Omega</v>
          </cell>
          <cell r="D852">
            <v>171</v>
          </cell>
          <cell r="E852">
            <v>37.21</v>
          </cell>
          <cell r="F852">
            <v>6362.91</v>
          </cell>
          <cell r="G852">
            <v>0.19</v>
          </cell>
          <cell r="H852">
            <v>3</v>
          </cell>
          <cell r="I852" t="str">
            <v>Canada</v>
          </cell>
          <cell r="J852" t="str">
            <v>Walmart</v>
          </cell>
        </row>
        <row r="853">
          <cell r="A853" t="str">
            <v>11-01-2021</v>
          </cell>
          <cell r="B853" t="str">
            <v>Multivitamin</v>
          </cell>
          <cell r="C853" t="str">
            <v>Vitamin</v>
          </cell>
          <cell r="D853">
            <v>154</v>
          </cell>
          <cell r="E853">
            <v>49.87</v>
          </cell>
          <cell r="F853">
            <v>7679.98</v>
          </cell>
          <cell r="G853">
            <v>0.18</v>
          </cell>
          <cell r="H853">
            <v>0</v>
          </cell>
          <cell r="I853" t="str">
            <v>UK</v>
          </cell>
          <cell r="J853" t="str">
            <v>iHerb</v>
          </cell>
        </row>
        <row r="854">
          <cell r="A854" t="str">
            <v>11-01-2021</v>
          </cell>
          <cell r="B854" t="str">
            <v>Pre-Workout</v>
          </cell>
          <cell r="C854" t="str">
            <v>Performance</v>
          </cell>
          <cell r="D854">
            <v>149</v>
          </cell>
          <cell r="E854">
            <v>26.87</v>
          </cell>
          <cell r="F854">
            <v>4003.63</v>
          </cell>
          <cell r="G854">
            <v>0</v>
          </cell>
          <cell r="H854">
            <v>1</v>
          </cell>
          <cell r="I854" t="str">
            <v>Canada</v>
          </cell>
          <cell r="J854" t="str">
            <v>Amazon</v>
          </cell>
        </row>
        <row r="855">
          <cell r="A855" t="str">
            <v>11-01-2021</v>
          </cell>
          <cell r="B855" t="str">
            <v>BCAA</v>
          </cell>
          <cell r="C855" t="str">
            <v>Amino Acid</v>
          </cell>
          <cell r="D855">
            <v>152</v>
          </cell>
          <cell r="E855">
            <v>43.17</v>
          </cell>
          <cell r="F855">
            <v>6561.84</v>
          </cell>
          <cell r="G855">
            <v>0.21</v>
          </cell>
          <cell r="H855">
            <v>0</v>
          </cell>
          <cell r="I855" t="str">
            <v>Canada</v>
          </cell>
          <cell r="J855" t="str">
            <v>Walmart</v>
          </cell>
        </row>
        <row r="856">
          <cell r="A856" t="str">
            <v>11-01-2021</v>
          </cell>
          <cell r="B856" t="str">
            <v>Creatine</v>
          </cell>
          <cell r="C856" t="str">
            <v>Performance</v>
          </cell>
          <cell r="D856">
            <v>133</v>
          </cell>
          <cell r="E856">
            <v>17.829999999999998</v>
          </cell>
          <cell r="F856">
            <v>2371.39</v>
          </cell>
          <cell r="G856">
            <v>0.24</v>
          </cell>
          <cell r="H856">
            <v>2</v>
          </cell>
          <cell r="I856" t="str">
            <v>Canada</v>
          </cell>
          <cell r="J856" t="str">
            <v>Walmart</v>
          </cell>
        </row>
        <row r="857">
          <cell r="A857" t="str">
            <v>11-01-2021</v>
          </cell>
          <cell r="B857" t="str">
            <v>Zinc</v>
          </cell>
          <cell r="C857" t="str">
            <v>Mineral</v>
          </cell>
          <cell r="D857">
            <v>131</v>
          </cell>
          <cell r="E857">
            <v>41.91</v>
          </cell>
          <cell r="F857">
            <v>5490.21</v>
          </cell>
          <cell r="G857">
            <v>0.09</v>
          </cell>
          <cell r="H857">
            <v>3</v>
          </cell>
          <cell r="I857" t="str">
            <v>UK</v>
          </cell>
          <cell r="J857" t="str">
            <v>iHerb</v>
          </cell>
        </row>
        <row r="858">
          <cell r="A858" t="str">
            <v>11-01-2021</v>
          </cell>
          <cell r="B858" t="str">
            <v>Collagen Peptides</v>
          </cell>
          <cell r="C858" t="str">
            <v>Protein</v>
          </cell>
          <cell r="D858">
            <v>126</v>
          </cell>
          <cell r="E858">
            <v>39.54</v>
          </cell>
          <cell r="F858">
            <v>4982.04</v>
          </cell>
          <cell r="G858">
            <v>0.16</v>
          </cell>
          <cell r="H858">
            <v>0</v>
          </cell>
          <cell r="I858" t="str">
            <v>Canada</v>
          </cell>
          <cell r="J858" t="str">
            <v>Walmart</v>
          </cell>
        </row>
        <row r="859">
          <cell r="A859" t="str">
            <v>11-01-2021</v>
          </cell>
          <cell r="B859" t="str">
            <v>Magnesium</v>
          </cell>
          <cell r="C859" t="str">
            <v>Mineral</v>
          </cell>
          <cell r="D859">
            <v>145</v>
          </cell>
          <cell r="E859">
            <v>19.75</v>
          </cell>
          <cell r="F859">
            <v>2863.75</v>
          </cell>
          <cell r="G859">
            <v>0.21</v>
          </cell>
          <cell r="H859">
            <v>1</v>
          </cell>
          <cell r="I859" t="str">
            <v>USA</v>
          </cell>
          <cell r="J859" t="str">
            <v>iHerb</v>
          </cell>
        </row>
        <row r="860">
          <cell r="A860" t="str">
            <v>11-01-2021</v>
          </cell>
          <cell r="B860" t="str">
            <v>Ashwagandha</v>
          </cell>
          <cell r="C860" t="str">
            <v>Herbal</v>
          </cell>
          <cell r="D860">
            <v>160</v>
          </cell>
          <cell r="E860">
            <v>20.38</v>
          </cell>
          <cell r="F860">
            <v>3260.8</v>
          </cell>
          <cell r="G860">
            <v>0.14000000000000001</v>
          </cell>
          <cell r="H860">
            <v>3</v>
          </cell>
          <cell r="I860" t="str">
            <v>USA</v>
          </cell>
          <cell r="J860" t="str">
            <v>iHerb</v>
          </cell>
        </row>
        <row r="861">
          <cell r="A861" t="str">
            <v>11-01-2021</v>
          </cell>
          <cell r="B861" t="str">
            <v>Melatonin</v>
          </cell>
          <cell r="C861" t="str">
            <v>Sleep Aid</v>
          </cell>
          <cell r="D861">
            <v>148</v>
          </cell>
          <cell r="E861">
            <v>32.61</v>
          </cell>
          <cell r="F861">
            <v>4826.28</v>
          </cell>
          <cell r="G861">
            <v>0.04</v>
          </cell>
          <cell r="H861">
            <v>1</v>
          </cell>
          <cell r="I861" t="str">
            <v>USA</v>
          </cell>
          <cell r="J861" t="str">
            <v>Amazon</v>
          </cell>
        </row>
        <row r="862">
          <cell r="A862" t="str">
            <v>11-01-2021</v>
          </cell>
          <cell r="B862" t="str">
            <v>Biotin</v>
          </cell>
          <cell r="C862" t="str">
            <v>Vitamin</v>
          </cell>
          <cell r="D862">
            <v>178</v>
          </cell>
          <cell r="E862">
            <v>53.4</v>
          </cell>
          <cell r="F862">
            <v>9505.2000000000007</v>
          </cell>
          <cell r="G862">
            <v>0.22</v>
          </cell>
          <cell r="H862">
            <v>1</v>
          </cell>
          <cell r="I862" t="str">
            <v>Canada</v>
          </cell>
          <cell r="J862" t="str">
            <v>Walmart</v>
          </cell>
        </row>
        <row r="863">
          <cell r="A863" t="str">
            <v>11-01-2021</v>
          </cell>
          <cell r="B863" t="str">
            <v>Green Tea Extract</v>
          </cell>
          <cell r="C863" t="str">
            <v>Fat Burner</v>
          </cell>
          <cell r="D863">
            <v>129</v>
          </cell>
          <cell r="E863">
            <v>25.58</v>
          </cell>
          <cell r="F863">
            <v>3299.82</v>
          </cell>
          <cell r="G863">
            <v>0.2</v>
          </cell>
          <cell r="H863">
            <v>1</v>
          </cell>
          <cell r="I863" t="str">
            <v>USA</v>
          </cell>
          <cell r="J863" t="str">
            <v>Walmart</v>
          </cell>
        </row>
        <row r="864">
          <cell r="A864" t="str">
            <v>11-01-2021</v>
          </cell>
          <cell r="B864" t="str">
            <v>Iron Supplement</v>
          </cell>
          <cell r="C864" t="str">
            <v>Mineral</v>
          </cell>
          <cell r="D864">
            <v>149</v>
          </cell>
          <cell r="E864">
            <v>29.12</v>
          </cell>
          <cell r="F864">
            <v>4338.88</v>
          </cell>
          <cell r="G864">
            <v>0.11</v>
          </cell>
          <cell r="H864">
            <v>1</v>
          </cell>
          <cell r="I864" t="str">
            <v>USA</v>
          </cell>
          <cell r="J864" t="str">
            <v>iHerb</v>
          </cell>
        </row>
        <row r="865">
          <cell r="A865" t="str">
            <v>11-01-2021</v>
          </cell>
          <cell r="B865" t="str">
            <v>Electrolyte Powder</v>
          </cell>
          <cell r="C865" t="str">
            <v>Hydration</v>
          </cell>
          <cell r="D865">
            <v>145</v>
          </cell>
          <cell r="E865">
            <v>50.44</v>
          </cell>
          <cell r="F865">
            <v>7313.8</v>
          </cell>
          <cell r="G865">
            <v>0.09</v>
          </cell>
          <cell r="H865">
            <v>1</v>
          </cell>
          <cell r="I865" t="str">
            <v>USA</v>
          </cell>
          <cell r="J865" t="str">
            <v>Amazon</v>
          </cell>
        </row>
        <row r="866">
          <cell r="A866" t="str">
            <v>18-01-2021</v>
          </cell>
          <cell r="B866" t="str">
            <v>Whey Protein</v>
          </cell>
          <cell r="C866" t="str">
            <v>Protein</v>
          </cell>
          <cell r="D866">
            <v>156</v>
          </cell>
          <cell r="E866">
            <v>23.88</v>
          </cell>
          <cell r="F866">
            <v>3725.28</v>
          </cell>
          <cell r="G866">
            <v>0.23</v>
          </cell>
          <cell r="H866">
            <v>2</v>
          </cell>
          <cell r="I866" t="str">
            <v>Canada</v>
          </cell>
          <cell r="J866" t="str">
            <v>Walmart</v>
          </cell>
        </row>
        <row r="867">
          <cell r="A867" t="str">
            <v>18-01-2021</v>
          </cell>
          <cell r="B867" t="str">
            <v>Vitamin C</v>
          </cell>
          <cell r="C867" t="str">
            <v>Vitamin</v>
          </cell>
          <cell r="D867">
            <v>153</v>
          </cell>
          <cell r="E867">
            <v>11.46</v>
          </cell>
          <cell r="F867">
            <v>1753.38</v>
          </cell>
          <cell r="G867">
            <v>0.15</v>
          </cell>
          <cell r="H867">
            <v>1</v>
          </cell>
          <cell r="I867" t="str">
            <v>USA</v>
          </cell>
          <cell r="J867" t="str">
            <v>Walmart</v>
          </cell>
        </row>
        <row r="868">
          <cell r="A868" t="str">
            <v>18-01-2021</v>
          </cell>
          <cell r="B868" t="str">
            <v>Fish Oil</v>
          </cell>
          <cell r="C868" t="str">
            <v>Omega</v>
          </cell>
          <cell r="D868">
            <v>152</v>
          </cell>
          <cell r="E868">
            <v>14.07</v>
          </cell>
          <cell r="F868">
            <v>2138.64</v>
          </cell>
          <cell r="G868">
            <v>0.05</v>
          </cell>
          <cell r="H868">
            <v>4</v>
          </cell>
          <cell r="I868" t="str">
            <v>USA</v>
          </cell>
          <cell r="J868" t="str">
            <v>Amazon</v>
          </cell>
        </row>
        <row r="869">
          <cell r="A869" t="str">
            <v>18-01-2021</v>
          </cell>
          <cell r="B869" t="str">
            <v>Multivitamin</v>
          </cell>
          <cell r="C869" t="str">
            <v>Vitamin</v>
          </cell>
          <cell r="D869">
            <v>147</v>
          </cell>
          <cell r="E869">
            <v>12.64</v>
          </cell>
          <cell r="F869">
            <v>1858.08</v>
          </cell>
          <cell r="G869">
            <v>0.01</v>
          </cell>
          <cell r="H869">
            <v>2</v>
          </cell>
          <cell r="I869" t="str">
            <v>UK</v>
          </cell>
          <cell r="J869" t="str">
            <v>iHerb</v>
          </cell>
        </row>
        <row r="870">
          <cell r="A870" t="str">
            <v>18-01-2021</v>
          </cell>
          <cell r="B870" t="str">
            <v>Pre-Workout</v>
          </cell>
          <cell r="C870" t="str">
            <v>Performance</v>
          </cell>
          <cell r="D870">
            <v>151</v>
          </cell>
          <cell r="E870">
            <v>22.16</v>
          </cell>
          <cell r="F870">
            <v>3346.16</v>
          </cell>
          <cell r="G870">
            <v>0.19</v>
          </cell>
          <cell r="H870">
            <v>0</v>
          </cell>
          <cell r="I870" t="str">
            <v>Canada</v>
          </cell>
          <cell r="J870" t="str">
            <v>Amazon</v>
          </cell>
        </row>
        <row r="871">
          <cell r="A871" t="str">
            <v>18-01-2021</v>
          </cell>
          <cell r="B871" t="str">
            <v>BCAA</v>
          </cell>
          <cell r="C871" t="str">
            <v>Amino Acid</v>
          </cell>
          <cell r="D871">
            <v>138</v>
          </cell>
          <cell r="E871">
            <v>24.31</v>
          </cell>
          <cell r="F871">
            <v>3354.78</v>
          </cell>
          <cell r="G871">
            <v>0.06</v>
          </cell>
          <cell r="H871">
            <v>2</v>
          </cell>
          <cell r="I871" t="str">
            <v>USA</v>
          </cell>
          <cell r="J871" t="str">
            <v>iHerb</v>
          </cell>
        </row>
        <row r="872">
          <cell r="A872" t="str">
            <v>18-01-2021</v>
          </cell>
          <cell r="B872" t="str">
            <v>Creatine</v>
          </cell>
          <cell r="C872" t="str">
            <v>Performance</v>
          </cell>
          <cell r="D872">
            <v>155</v>
          </cell>
          <cell r="E872">
            <v>30.89</v>
          </cell>
          <cell r="F872">
            <v>4787.95</v>
          </cell>
          <cell r="G872">
            <v>0.02</v>
          </cell>
          <cell r="H872">
            <v>1</v>
          </cell>
          <cell r="I872" t="str">
            <v>UK</v>
          </cell>
          <cell r="J872" t="str">
            <v>Walmart</v>
          </cell>
        </row>
        <row r="873">
          <cell r="A873" t="str">
            <v>18-01-2021</v>
          </cell>
          <cell r="B873" t="str">
            <v>Zinc</v>
          </cell>
          <cell r="C873" t="str">
            <v>Mineral</v>
          </cell>
          <cell r="D873">
            <v>158</v>
          </cell>
          <cell r="E873">
            <v>35.909999999999997</v>
          </cell>
          <cell r="F873">
            <v>5673.78</v>
          </cell>
          <cell r="G873">
            <v>0.01</v>
          </cell>
          <cell r="H873">
            <v>2</v>
          </cell>
          <cell r="I873" t="str">
            <v>UK</v>
          </cell>
          <cell r="J873" t="str">
            <v>iHerb</v>
          </cell>
        </row>
        <row r="874">
          <cell r="A874" t="str">
            <v>18-01-2021</v>
          </cell>
          <cell r="B874" t="str">
            <v>Collagen Peptides</v>
          </cell>
          <cell r="C874" t="str">
            <v>Protein</v>
          </cell>
          <cell r="D874">
            <v>151</v>
          </cell>
          <cell r="E874">
            <v>57.25</v>
          </cell>
          <cell r="F874">
            <v>8644.75</v>
          </cell>
          <cell r="G874">
            <v>0.17</v>
          </cell>
          <cell r="H874">
            <v>0</v>
          </cell>
          <cell r="I874" t="str">
            <v>Canada</v>
          </cell>
          <cell r="J874" t="str">
            <v>Amazon</v>
          </cell>
        </row>
        <row r="875">
          <cell r="A875" t="str">
            <v>18-01-2021</v>
          </cell>
          <cell r="B875" t="str">
            <v>Magnesium</v>
          </cell>
          <cell r="C875" t="str">
            <v>Mineral</v>
          </cell>
          <cell r="D875">
            <v>149</v>
          </cell>
          <cell r="E875">
            <v>33.49</v>
          </cell>
          <cell r="F875">
            <v>4990.01</v>
          </cell>
          <cell r="G875">
            <v>0.11</v>
          </cell>
          <cell r="H875">
            <v>2</v>
          </cell>
          <cell r="I875" t="str">
            <v>USA</v>
          </cell>
          <cell r="J875" t="str">
            <v>Walmart</v>
          </cell>
        </row>
        <row r="876">
          <cell r="A876" t="str">
            <v>18-01-2021</v>
          </cell>
          <cell r="B876" t="str">
            <v>Ashwagandha</v>
          </cell>
          <cell r="C876" t="str">
            <v>Herbal</v>
          </cell>
          <cell r="D876">
            <v>145</v>
          </cell>
          <cell r="E876">
            <v>35.19</v>
          </cell>
          <cell r="F876">
            <v>5102.55</v>
          </cell>
          <cell r="G876">
            <v>0.21</v>
          </cell>
          <cell r="H876">
            <v>2</v>
          </cell>
          <cell r="I876" t="str">
            <v>USA</v>
          </cell>
          <cell r="J876" t="str">
            <v>Amazon</v>
          </cell>
        </row>
        <row r="877">
          <cell r="A877" t="str">
            <v>18-01-2021</v>
          </cell>
          <cell r="B877" t="str">
            <v>Melatonin</v>
          </cell>
          <cell r="C877" t="str">
            <v>Sleep Aid</v>
          </cell>
          <cell r="D877">
            <v>144</v>
          </cell>
          <cell r="E877">
            <v>55.61</v>
          </cell>
          <cell r="F877">
            <v>8007.84</v>
          </cell>
          <cell r="G877">
            <v>0.05</v>
          </cell>
          <cell r="H877">
            <v>0</v>
          </cell>
          <cell r="I877" t="str">
            <v>Canada</v>
          </cell>
          <cell r="J877" t="str">
            <v>Amazon</v>
          </cell>
        </row>
        <row r="878">
          <cell r="A878" t="str">
            <v>18-01-2021</v>
          </cell>
          <cell r="B878" t="str">
            <v>Biotin</v>
          </cell>
          <cell r="C878" t="str">
            <v>Vitamin</v>
          </cell>
          <cell r="D878">
            <v>159</v>
          </cell>
          <cell r="E878">
            <v>58.39</v>
          </cell>
          <cell r="F878">
            <v>9284.01</v>
          </cell>
          <cell r="G878">
            <v>0.22</v>
          </cell>
          <cell r="H878">
            <v>2</v>
          </cell>
          <cell r="I878" t="str">
            <v>UK</v>
          </cell>
          <cell r="J878" t="str">
            <v>iHerb</v>
          </cell>
        </row>
        <row r="879">
          <cell r="A879" t="str">
            <v>18-01-2021</v>
          </cell>
          <cell r="B879" t="str">
            <v>Green Tea Extract</v>
          </cell>
          <cell r="C879" t="str">
            <v>Fat Burner</v>
          </cell>
          <cell r="D879">
            <v>151</v>
          </cell>
          <cell r="E879">
            <v>22.33</v>
          </cell>
          <cell r="F879">
            <v>3371.83</v>
          </cell>
          <cell r="G879">
            <v>0.11</v>
          </cell>
          <cell r="H879">
            <v>2</v>
          </cell>
          <cell r="I879" t="str">
            <v>USA</v>
          </cell>
          <cell r="J879" t="str">
            <v>Walmart</v>
          </cell>
        </row>
        <row r="880">
          <cell r="A880" t="str">
            <v>18-01-2021</v>
          </cell>
          <cell r="B880" t="str">
            <v>Iron Supplement</v>
          </cell>
          <cell r="C880" t="str">
            <v>Mineral</v>
          </cell>
          <cell r="D880">
            <v>152</v>
          </cell>
          <cell r="E880">
            <v>23.99</v>
          </cell>
          <cell r="F880">
            <v>3646.48</v>
          </cell>
          <cell r="G880">
            <v>0.14000000000000001</v>
          </cell>
          <cell r="H880">
            <v>0</v>
          </cell>
          <cell r="I880" t="str">
            <v>USA</v>
          </cell>
          <cell r="J880" t="str">
            <v>Walmart</v>
          </cell>
        </row>
        <row r="881">
          <cell r="A881" t="str">
            <v>18-01-2021</v>
          </cell>
          <cell r="B881" t="str">
            <v>Electrolyte Powder</v>
          </cell>
          <cell r="C881" t="str">
            <v>Hydration</v>
          </cell>
          <cell r="D881">
            <v>147</v>
          </cell>
          <cell r="E881">
            <v>44.67</v>
          </cell>
          <cell r="F881">
            <v>6566.49</v>
          </cell>
          <cell r="G881">
            <v>0.25</v>
          </cell>
          <cell r="H881">
            <v>1</v>
          </cell>
          <cell r="I881" t="str">
            <v>UK</v>
          </cell>
          <cell r="J881" t="str">
            <v>iHerb</v>
          </cell>
        </row>
        <row r="882">
          <cell r="A882" t="str">
            <v>25-01-2021</v>
          </cell>
          <cell r="B882" t="str">
            <v>Whey Protein</v>
          </cell>
          <cell r="C882" t="str">
            <v>Protein</v>
          </cell>
          <cell r="D882">
            <v>150</v>
          </cell>
          <cell r="E882">
            <v>32.03</v>
          </cell>
          <cell r="F882">
            <v>4804.5</v>
          </cell>
          <cell r="G882">
            <v>0.21</v>
          </cell>
          <cell r="H882">
            <v>2</v>
          </cell>
          <cell r="I882" t="str">
            <v>Canada</v>
          </cell>
          <cell r="J882" t="str">
            <v>iHerb</v>
          </cell>
        </row>
        <row r="883">
          <cell r="A883" t="str">
            <v>25-01-2021</v>
          </cell>
          <cell r="B883" t="str">
            <v>Vitamin C</v>
          </cell>
          <cell r="C883" t="str">
            <v>Vitamin</v>
          </cell>
          <cell r="D883">
            <v>167</v>
          </cell>
          <cell r="E883">
            <v>53.67</v>
          </cell>
          <cell r="F883">
            <v>8962.89</v>
          </cell>
          <cell r="G883">
            <v>0.01</v>
          </cell>
          <cell r="H883">
            <v>3</v>
          </cell>
          <cell r="I883" t="str">
            <v>UK</v>
          </cell>
          <cell r="J883" t="str">
            <v>Amazon</v>
          </cell>
        </row>
        <row r="884">
          <cell r="A884" t="str">
            <v>25-01-2021</v>
          </cell>
          <cell r="B884" t="str">
            <v>Fish Oil</v>
          </cell>
          <cell r="C884" t="str">
            <v>Omega</v>
          </cell>
          <cell r="D884">
            <v>144</v>
          </cell>
          <cell r="E884">
            <v>35.6</v>
          </cell>
          <cell r="F884">
            <v>5126.3999999999996</v>
          </cell>
          <cell r="G884">
            <v>0.24</v>
          </cell>
          <cell r="H884">
            <v>0</v>
          </cell>
          <cell r="I884" t="str">
            <v>UK</v>
          </cell>
          <cell r="J884" t="str">
            <v>Walmart</v>
          </cell>
        </row>
        <row r="885">
          <cell r="A885" t="str">
            <v>25-01-2021</v>
          </cell>
          <cell r="B885" t="str">
            <v>Multivitamin</v>
          </cell>
          <cell r="C885" t="str">
            <v>Vitamin</v>
          </cell>
          <cell r="D885">
            <v>145</v>
          </cell>
          <cell r="E885">
            <v>29.8</v>
          </cell>
          <cell r="F885">
            <v>4321</v>
          </cell>
          <cell r="G885">
            <v>0.05</v>
          </cell>
          <cell r="H885">
            <v>1</v>
          </cell>
          <cell r="I885" t="str">
            <v>UK</v>
          </cell>
          <cell r="J885" t="str">
            <v>Amazon</v>
          </cell>
        </row>
        <row r="886">
          <cell r="A886" t="str">
            <v>25-01-2021</v>
          </cell>
          <cell r="B886" t="str">
            <v>Pre-Workout</v>
          </cell>
          <cell r="C886" t="str">
            <v>Performance</v>
          </cell>
          <cell r="D886">
            <v>146</v>
          </cell>
          <cell r="E886">
            <v>48.1</v>
          </cell>
          <cell r="F886">
            <v>7022.6</v>
          </cell>
          <cell r="G886">
            <v>0.13</v>
          </cell>
          <cell r="H886">
            <v>5</v>
          </cell>
          <cell r="I886" t="str">
            <v>USA</v>
          </cell>
          <cell r="J886" t="str">
            <v>Amazon</v>
          </cell>
        </row>
        <row r="887">
          <cell r="A887" t="str">
            <v>25-01-2021</v>
          </cell>
          <cell r="B887" t="str">
            <v>BCAA</v>
          </cell>
          <cell r="C887" t="str">
            <v>Amino Acid</v>
          </cell>
          <cell r="D887">
            <v>149</v>
          </cell>
          <cell r="E887">
            <v>23.11</v>
          </cell>
          <cell r="F887">
            <v>3443.39</v>
          </cell>
          <cell r="G887">
            <v>0.11</v>
          </cell>
          <cell r="H887">
            <v>0</v>
          </cell>
          <cell r="I887" t="str">
            <v>USA</v>
          </cell>
          <cell r="J887" t="str">
            <v>iHerb</v>
          </cell>
        </row>
        <row r="888">
          <cell r="A888" t="str">
            <v>25-01-2021</v>
          </cell>
          <cell r="B888" t="str">
            <v>Creatine</v>
          </cell>
          <cell r="C888" t="str">
            <v>Performance</v>
          </cell>
          <cell r="D888">
            <v>177</v>
          </cell>
          <cell r="E888">
            <v>23.41</v>
          </cell>
          <cell r="F888">
            <v>4143.57</v>
          </cell>
          <cell r="G888">
            <v>0.15</v>
          </cell>
          <cell r="H888">
            <v>2</v>
          </cell>
          <cell r="I888" t="str">
            <v>Canada</v>
          </cell>
          <cell r="J888" t="str">
            <v>iHerb</v>
          </cell>
        </row>
        <row r="889">
          <cell r="A889" t="str">
            <v>25-01-2021</v>
          </cell>
          <cell r="B889" t="str">
            <v>Zinc</v>
          </cell>
          <cell r="C889" t="str">
            <v>Mineral</v>
          </cell>
          <cell r="D889">
            <v>150</v>
          </cell>
          <cell r="E889">
            <v>38.11</v>
          </cell>
          <cell r="F889">
            <v>5716.5</v>
          </cell>
          <cell r="G889">
            <v>0.14000000000000001</v>
          </cell>
          <cell r="H889">
            <v>0</v>
          </cell>
          <cell r="I889" t="str">
            <v>UK</v>
          </cell>
          <cell r="J889" t="str">
            <v>Walmart</v>
          </cell>
        </row>
        <row r="890">
          <cell r="A890" t="str">
            <v>25-01-2021</v>
          </cell>
          <cell r="B890" t="str">
            <v>Collagen Peptides</v>
          </cell>
          <cell r="C890" t="str">
            <v>Protein</v>
          </cell>
          <cell r="D890">
            <v>134</v>
          </cell>
          <cell r="E890">
            <v>23.44</v>
          </cell>
          <cell r="F890">
            <v>3140.96</v>
          </cell>
          <cell r="G890">
            <v>0.01</v>
          </cell>
          <cell r="H890">
            <v>2</v>
          </cell>
          <cell r="I890" t="str">
            <v>Canada</v>
          </cell>
          <cell r="J890" t="str">
            <v>Amazon</v>
          </cell>
        </row>
        <row r="891">
          <cell r="A891" t="str">
            <v>25-01-2021</v>
          </cell>
          <cell r="B891" t="str">
            <v>Magnesium</v>
          </cell>
          <cell r="C891" t="str">
            <v>Mineral</v>
          </cell>
          <cell r="D891">
            <v>151</v>
          </cell>
          <cell r="E891">
            <v>34.21</v>
          </cell>
          <cell r="F891">
            <v>5165.71</v>
          </cell>
          <cell r="G891">
            <v>0.02</v>
          </cell>
          <cell r="H891">
            <v>1</v>
          </cell>
          <cell r="I891" t="str">
            <v>USA</v>
          </cell>
          <cell r="J891" t="str">
            <v>Walmart</v>
          </cell>
        </row>
        <row r="892">
          <cell r="A892" t="str">
            <v>25-01-2021</v>
          </cell>
          <cell r="B892" t="str">
            <v>Ashwagandha</v>
          </cell>
          <cell r="C892" t="str">
            <v>Herbal</v>
          </cell>
          <cell r="D892">
            <v>147</v>
          </cell>
          <cell r="E892">
            <v>55.33</v>
          </cell>
          <cell r="F892">
            <v>8133.51</v>
          </cell>
          <cell r="G892">
            <v>0.05</v>
          </cell>
          <cell r="H892">
            <v>2</v>
          </cell>
          <cell r="I892" t="str">
            <v>UK</v>
          </cell>
          <cell r="J892" t="str">
            <v>Amazon</v>
          </cell>
        </row>
        <row r="893">
          <cell r="A893" t="str">
            <v>25-01-2021</v>
          </cell>
          <cell r="B893" t="str">
            <v>Melatonin</v>
          </cell>
          <cell r="C893" t="str">
            <v>Sleep Aid</v>
          </cell>
          <cell r="D893">
            <v>147</v>
          </cell>
          <cell r="E893">
            <v>27.36</v>
          </cell>
          <cell r="F893">
            <v>4021.92</v>
          </cell>
          <cell r="G893">
            <v>7.0000000000000007E-2</v>
          </cell>
          <cell r="H893">
            <v>2</v>
          </cell>
          <cell r="I893" t="str">
            <v>UK</v>
          </cell>
          <cell r="J893" t="str">
            <v>iHerb</v>
          </cell>
        </row>
        <row r="894">
          <cell r="A894" t="str">
            <v>25-01-2021</v>
          </cell>
          <cell r="B894" t="str">
            <v>Biotin</v>
          </cell>
          <cell r="C894" t="str">
            <v>Vitamin</v>
          </cell>
          <cell r="D894">
            <v>177</v>
          </cell>
          <cell r="E894">
            <v>50.57</v>
          </cell>
          <cell r="F894">
            <v>8950.89</v>
          </cell>
          <cell r="G894">
            <v>0.01</v>
          </cell>
          <cell r="H894">
            <v>2</v>
          </cell>
          <cell r="I894" t="str">
            <v>USA</v>
          </cell>
          <cell r="J894" t="str">
            <v>Walmart</v>
          </cell>
        </row>
        <row r="895">
          <cell r="A895" t="str">
            <v>25-01-2021</v>
          </cell>
          <cell r="B895" t="str">
            <v>Green Tea Extract</v>
          </cell>
          <cell r="C895" t="str">
            <v>Fat Burner</v>
          </cell>
          <cell r="D895">
            <v>160</v>
          </cell>
          <cell r="E895">
            <v>51.19</v>
          </cell>
          <cell r="F895">
            <v>8190.4</v>
          </cell>
          <cell r="G895">
            <v>0.16</v>
          </cell>
          <cell r="H895">
            <v>4</v>
          </cell>
          <cell r="I895" t="str">
            <v>USA</v>
          </cell>
          <cell r="J895" t="str">
            <v>Amazon</v>
          </cell>
        </row>
        <row r="896">
          <cell r="A896" t="str">
            <v>25-01-2021</v>
          </cell>
          <cell r="B896" t="str">
            <v>Iron Supplement</v>
          </cell>
          <cell r="C896" t="str">
            <v>Mineral</v>
          </cell>
          <cell r="D896">
            <v>151</v>
          </cell>
          <cell r="E896">
            <v>36.409999999999997</v>
          </cell>
          <cell r="F896">
            <v>5497.91</v>
          </cell>
          <cell r="G896">
            <v>0.03</v>
          </cell>
          <cell r="H896">
            <v>2</v>
          </cell>
          <cell r="I896" t="str">
            <v>USA</v>
          </cell>
          <cell r="J896" t="str">
            <v>iHerb</v>
          </cell>
        </row>
        <row r="897">
          <cell r="A897" t="str">
            <v>25-01-2021</v>
          </cell>
          <cell r="B897" t="str">
            <v>Electrolyte Powder</v>
          </cell>
          <cell r="C897" t="str">
            <v>Hydration</v>
          </cell>
          <cell r="D897">
            <v>149</v>
          </cell>
          <cell r="E897">
            <v>10.5</v>
          </cell>
          <cell r="F897">
            <v>1564.5</v>
          </cell>
          <cell r="G897">
            <v>0.05</v>
          </cell>
          <cell r="H897">
            <v>1</v>
          </cell>
          <cell r="I897" t="str">
            <v>Canada</v>
          </cell>
          <cell r="J897" t="str">
            <v>iHerb</v>
          </cell>
        </row>
        <row r="898">
          <cell r="A898" t="str">
            <v>01-02-2021</v>
          </cell>
          <cell r="B898" t="str">
            <v>Whey Protein</v>
          </cell>
          <cell r="C898" t="str">
            <v>Protein</v>
          </cell>
          <cell r="D898">
            <v>178</v>
          </cell>
          <cell r="E898">
            <v>31.22</v>
          </cell>
          <cell r="F898">
            <v>5557.16</v>
          </cell>
          <cell r="G898">
            <v>0.18</v>
          </cell>
          <cell r="H898">
            <v>2</v>
          </cell>
          <cell r="I898" t="str">
            <v>Canada</v>
          </cell>
          <cell r="J898" t="str">
            <v>Amazon</v>
          </cell>
        </row>
        <row r="899">
          <cell r="A899" t="str">
            <v>01-02-2021</v>
          </cell>
          <cell r="B899" t="str">
            <v>Vitamin C</v>
          </cell>
          <cell r="C899" t="str">
            <v>Vitamin</v>
          </cell>
          <cell r="D899">
            <v>143</v>
          </cell>
          <cell r="E899">
            <v>20.88</v>
          </cell>
          <cell r="F899">
            <v>2985.84</v>
          </cell>
          <cell r="G899">
            <v>0.24</v>
          </cell>
          <cell r="H899">
            <v>0</v>
          </cell>
          <cell r="I899" t="str">
            <v>UK</v>
          </cell>
          <cell r="J899" t="str">
            <v>Walmart</v>
          </cell>
        </row>
        <row r="900">
          <cell r="A900" t="str">
            <v>01-02-2021</v>
          </cell>
          <cell r="B900" t="str">
            <v>Fish Oil</v>
          </cell>
          <cell r="C900" t="str">
            <v>Omega</v>
          </cell>
          <cell r="D900">
            <v>145</v>
          </cell>
          <cell r="E900">
            <v>21.09</v>
          </cell>
          <cell r="F900">
            <v>3058.05</v>
          </cell>
          <cell r="G900">
            <v>0.2</v>
          </cell>
          <cell r="H900">
            <v>0</v>
          </cell>
          <cell r="I900" t="str">
            <v>UK</v>
          </cell>
          <cell r="J900" t="str">
            <v>Amazon</v>
          </cell>
        </row>
        <row r="901">
          <cell r="A901" t="str">
            <v>01-02-2021</v>
          </cell>
          <cell r="B901" t="str">
            <v>Multivitamin</v>
          </cell>
          <cell r="C901" t="str">
            <v>Vitamin</v>
          </cell>
          <cell r="D901">
            <v>129</v>
          </cell>
          <cell r="E901">
            <v>10.5</v>
          </cell>
          <cell r="F901">
            <v>1354.5</v>
          </cell>
          <cell r="G901">
            <v>0.02</v>
          </cell>
          <cell r="H901">
            <v>2</v>
          </cell>
          <cell r="I901" t="str">
            <v>UK</v>
          </cell>
          <cell r="J901" t="str">
            <v>iHerb</v>
          </cell>
        </row>
        <row r="902">
          <cell r="A902" t="str">
            <v>01-02-2021</v>
          </cell>
          <cell r="B902" t="str">
            <v>Pre-Workout</v>
          </cell>
          <cell r="C902" t="str">
            <v>Performance</v>
          </cell>
          <cell r="D902">
            <v>165</v>
          </cell>
          <cell r="E902">
            <v>12.62</v>
          </cell>
          <cell r="F902">
            <v>2082.3000000000002</v>
          </cell>
          <cell r="G902">
            <v>0.2</v>
          </cell>
          <cell r="H902">
            <v>3</v>
          </cell>
          <cell r="I902" t="str">
            <v>UK</v>
          </cell>
          <cell r="J902" t="str">
            <v>iHerb</v>
          </cell>
        </row>
        <row r="903">
          <cell r="A903" t="str">
            <v>01-02-2021</v>
          </cell>
          <cell r="B903" t="str">
            <v>BCAA</v>
          </cell>
          <cell r="C903" t="str">
            <v>Amino Acid</v>
          </cell>
          <cell r="D903">
            <v>162</v>
          </cell>
          <cell r="E903">
            <v>21.65</v>
          </cell>
          <cell r="F903">
            <v>3507.3</v>
          </cell>
          <cell r="G903">
            <v>0.21</v>
          </cell>
          <cell r="H903">
            <v>2</v>
          </cell>
          <cell r="I903" t="str">
            <v>USA</v>
          </cell>
          <cell r="J903" t="str">
            <v>iHerb</v>
          </cell>
        </row>
        <row r="904">
          <cell r="A904" t="str">
            <v>01-02-2021</v>
          </cell>
          <cell r="B904" t="str">
            <v>Creatine</v>
          </cell>
          <cell r="C904" t="str">
            <v>Performance</v>
          </cell>
          <cell r="D904">
            <v>139</v>
          </cell>
          <cell r="E904">
            <v>49.63</v>
          </cell>
          <cell r="F904">
            <v>6898.57</v>
          </cell>
          <cell r="G904">
            <v>0.05</v>
          </cell>
          <cell r="H904">
            <v>0</v>
          </cell>
          <cell r="I904" t="str">
            <v>Canada</v>
          </cell>
          <cell r="J904" t="str">
            <v>Walmart</v>
          </cell>
        </row>
        <row r="905">
          <cell r="A905" t="str">
            <v>01-02-2021</v>
          </cell>
          <cell r="B905" t="str">
            <v>Zinc</v>
          </cell>
          <cell r="C905" t="str">
            <v>Mineral</v>
          </cell>
          <cell r="D905">
            <v>164</v>
          </cell>
          <cell r="E905">
            <v>52.08</v>
          </cell>
          <cell r="F905">
            <v>8541.1200000000008</v>
          </cell>
          <cell r="G905">
            <v>0.14000000000000001</v>
          </cell>
          <cell r="H905">
            <v>3</v>
          </cell>
          <cell r="I905" t="str">
            <v>USA</v>
          </cell>
          <cell r="J905" t="str">
            <v>iHerb</v>
          </cell>
        </row>
        <row r="906">
          <cell r="A906" t="str">
            <v>01-02-2021</v>
          </cell>
          <cell r="B906" t="str">
            <v>Collagen Peptides</v>
          </cell>
          <cell r="C906" t="str">
            <v>Protein</v>
          </cell>
          <cell r="D906">
            <v>172</v>
          </cell>
          <cell r="E906">
            <v>13.77</v>
          </cell>
          <cell r="F906">
            <v>2368.44</v>
          </cell>
          <cell r="G906">
            <v>0.06</v>
          </cell>
          <cell r="H906">
            <v>2</v>
          </cell>
          <cell r="I906" t="str">
            <v>USA</v>
          </cell>
          <cell r="J906" t="str">
            <v>Walmart</v>
          </cell>
        </row>
        <row r="907">
          <cell r="A907" t="str">
            <v>01-02-2021</v>
          </cell>
          <cell r="B907" t="str">
            <v>Magnesium</v>
          </cell>
          <cell r="C907" t="str">
            <v>Mineral</v>
          </cell>
          <cell r="D907">
            <v>167</v>
          </cell>
          <cell r="E907">
            <v>40.35</v>
          </cell>
          <cell r="F907">
            <v>6738.45</v>
          </cell>
          <cell r="G907">
            <v>0.05</v>
          </cell>
          <cell r="H907">
            <v>3</v>
          </cell>
          <cell r="I907" t="str">
            <v>Canada</v>
          </cell>
          <cell r="J907" t="str">
            <v>Walmart</v>
          </cell>
        </row>
        <row r="908">
          <cell r="A908" t="str">
            <v>01-02-2021</v>
          </cell>
          <cell r="B908" t="str">
            <v>Ashwagandha</v>
          </cell>
          <cell r="C908" t="str">
            <v>Herbal</v>
          </cell>
          <cell r="D908">
            <v>186</v>
          </cell>
          <cell r="E908">
            <v>34.74</v>
          </cell>
          <cell r="F908">
            <v>6461.64</v>
          </cell>
          <cell r="G908">
            <v>0.02</v>
          </cell>
          <cell r="H908">
            <v>2</v>
          </cell>
          <cell r="I908" t="str">
            <v>Canada</v>
          </cell>
          <cell r="J908" t="str">
            <v>Walmart</v>
          </cell>
        </row>
        <row r="909">
          <cell r="A909" t="str">
            <v>01-02-2021</v>
          </cell>
          <cell r="B909" t="str">
            <v>Melatonin</v>
          </cell>
          <cell r="C909" t="str">
            <v>Sleep Aid</v>
          </cell>
          <cell r="D909">
            <v>150</v>
          </cell>
          <cell r="E909">
            <v>32.1</v>
          </cell>
          <cell r="F909">
            <v>4815</v>
          </cell>
          <cell r="G909">
            <v>0.08</v>
          </cell>
          <cell r="H909">
            <v>1</v>
          </cell>
          <cell r="I909" t="str">
            <v>UK</v>
          </cell>
          <cell r="J909" t="str">
            <v>Walmart</v>
          </cell>
        </row>
        <row r="910">
          <cell r="A910" t="str">
            <v>01-02-2021</v>
          </cell>
          <cell r="B910" t="str">
            <v>Biotin</v>
          </cell>
          <cell r="C910" t="str">
            <v>Vitamin</v>
          </cell>
          <cell r="D910">
            <v>153</v>
          </cell>
          <cell r="E910">
            <v>48.05</v>
          </cell>
          <cell r="F910">
            <v>7351.65</v>
          </cell>
          <cell r="G910">
            <v>0.18</v>
          </cell>
          <cell r="H910">
            <v>1</v>
          </cell>
          <cell r="I910" t="str">
            <v>UK</v>
          </cell>
          <cell r="J910" t="str">
            <v>Walmart</v>
          </cell>
        </row>
        <row r="911">
          <cell r="A911" t="str">
            <v>01-02-2021</v>
          </cell>
          <cell r="B911" t="str">
            <v>Green Tea Extract</v>
          </cell>
          <cell r="C911" t="str">
            <v>Fat Burner</v>
          </cell>
          <cell r="D911">
            <v>179</v>
          </cell>
          <cell r="E911">
            <v>26.18</v>
          </cell>
          <cell r="F911">
            <v>4686.22</v>
          </cell>
          <cell r="G911">
            <v>0.05</v>
          </cell>
          <cell r="H911">
            <v>2</v>
          </cell>
          <cell r="I911" t="str">
            <v>Canada</v>
          </cell>
          <cell r="J911" t="str">
            <v>iHerb</v>
          </cell>
        </row>
        <row r="912">
          <cell r="A912" t="str">
            <v>01-02-2021</v>
          </cell>
          <cell r="B912" t="str">
            <v>Iron Supplement</v>
          </cell>
          <cell r="C912" t="str">
            <v>Mineral</v>
          </cell>
          <cell r="D912">
            <v>136</v>
          </cell>
          <cell r="E912">
            <v>44.85</v>
          </cell>
          <cell r="F912">
            <v>6099.6</v>
          </cell>
          <cell r="G912">
            <v>0.14000000000000001</v>
          </cell>
          <cell r="H912">
            <v>1</v>
          </cell>
          <cell r="I912" t="str">
            <v>USA</v>
          </cell>
          <cell r="J912" t="str">
            <v>Amazon</v>
          </cell>
        </row>
        <row r="913">
          <cell r="A913" t="str">
            <v>01-02-2021</v>
          </cell>
          <cell r="B913" t="str">
            <v>Electrolyte Powder</v>
          </cell>
          <cell r="C913" t="str">
            <v>Hydration</v>
          </cell>
          <cell r="D913">
            <v>147</v>
          </cell>
          <cell r="E913">
            <v>10.29</v>
          </cell>
          <cell r="F913">
            <v>1512.63</v>
          </cell>
          <cell r="G913">
            <v>0.02</v>
          </cell>
          <cell r="H913">
            <v>3</v>
          </cell>
          <cell r="I913" t="str">
            <v>Canada</v>
          </cell>
          <cell r="J913" t="str">
            <v>Amazon</v>
          </cell>
        </row>
        <row r="914">
          <cell r="A914" t="str">
            <v>08-02-2021</v>
          </cell>
          <cell r="B914" t="str">
            <v>Whey Protein</v>
          </cell>
          <cell r="C914" t="str">
            <v>Protein</v>
          </cell>
          <cell r="D914">
            <v>129</v>
          </cell>
          <cell r="E914">
            <v>56</v>
          </cell>
          <cell r="F914">
            <v>7224</v>
          </cell>
          <cell r="G914">
            <v>7.0000000000000007E-2</v>
          </cell>
          <cell r="H914">
            <v>1</v>
          </cell>
          <cell r="I914" t="str">
            <v>UK</v>
          </cell>
          <cell r="J914" t="str">
            <v>Walmart</v>
          </cell>
        </row>
        <row r="915">
          <cell r="A915" t="str">
            <v>08-02-2021</v>
          </cell>
          <cell r="B915" t="str">
            <v>Vitamin C</v>
          </cell>
          <cell r="C915" t="str">
            <v>Vitamin</v>
          </cell>
          <cell r="D915">
            <v>152</v>
          </cell>
          <cell r="E915">
            <v>57.1</v>
          </cell>
          <cell r="F915">
            <v>8679.2000000000007</v>
          </cell>
          <cell r="G915">
            <v>0.18</v>
          </cell>
          <cell r="H915">
            <v>0</v>
          </cell>
          <cell r="I915" t="str">
            <v>Canada</v>
          </cell>
          <cell r="J915" t="str">
            <v>iHerb</v>
          </cell>
        </row>
        <row r="916">
          <cell r="A916" t="str">
            <v>08-02-2021</v>
          </cell>
          <cell r="B916" t="str">
            <v>Fish Oil</v>
          </cell>
          <cell r="C916" t="str">
            <v>Omega</v>
          </cell>
          <cell r="D916">
            <v>156</v>
          </cell>
          <cell r="E916">
            <v>33.54</v>
          </cell>
          <cell r="F916">
            <v>5232.24</v>
          </cell>
          <cell r="G916">
            <v>0.01</v>
          </cell>
          <cell r="H916">
            <v>0</v>
          </cell>
          <cell r="I916" t="str">
            <v>Canada</v>
          </cell>
          <cell r="J916" t="str">
            <v>iHerb</v>
          </cell>
        </row>
        <row r="917">
          <cell r="A917" t="str">
            <v>08-02-2021</v>
          </cell>
          <cell r="B917" t="str">
            <v>Multivitamin</v>
          </cell>
          <cell r="C917" t="str">
            <v>Vitamin</v>
          </cell>
          <cell r="D917">
            <v>161</v>
          </cell>
          <cell r="E917">
            <v>25.08</v>
          </cell>
          <cell r="F917">
            <v>4037.88</v>
          </cell>
          <cell r="G917">
            <v>0.1</v>
          </cell>
          <cell r="H917">
            <v>3</v>
          </cell>
          <cell r="I917" t="str">
            <v>USA</v>
          </cell>
          <cell r="J917" t="str">
            <v>Walmart</v>
          </cell>
        </row>
        <row r="918">
          <cell r="A918" t="str">
            <v>08-02-2021</v>
          </cell>
          <cell r="B918" t="str">
            <v>Pre-Workout</v>
          </cell>
          <cell r="C918" t="str">
            <v>Performance</v>
          </cell>
          <cell r="D918">
            <v>159</v>
          </cell>
          <cell r="E918">
            <v>15.88</v>
          </cell>
          <cell r="F918">
            <v>2524.92</v>
          </cell>
          <cell r="G918">
            <v>0.06</v>
          </cell>
          <cell r="H918">
            <v>3</v>
          </cell>
          <cell r="I918" t="str">
            <v>Canada</v>
          </cell>
          <cell r="J918" t="str">
            <v>Walmart</v>
          </cell>
        </row>
        <row r="919">
          <cell r="A919" t="str">
            <v>08-02-2021</v>
          </cell>
          <cell r="B919" t="str">
            <v>BCAA</v>
          </cell>
          <cell r="C919" t="str">
            <v>Amino Acid</v>
          </cell>
          <cell r="D919">
            <v>153</v>
          </cell>
          <cell r="E919">
            <v>39.82</v>
          </cell>
          <cell r="F919">
            <v>6092.46</v>
          </cell>
          <cell r="G919">
            <v>0.09</v>
          </cell>
          <cell r="H919">
            <v>3</v>
          </cell>
          <cell r="I919" t="str">
            <v>UK</v>
          </cell>
          <cell r="J919" t="str">
            <v>iHerb</v>
          </cell>
        </row>
        <row r="920">
          <cell r="A920" t="str">
            <v>08-02-2021</v>
          </cell>
          <cell r="B920" t="str">
            <v>Creatine</v>
          </cell>
          <cell r="C920" t="str">
            <v>Performance</v>
          </cell>
          <cell r="D920">
            <v>151</v>
          </cell>
          <cell r="E920">
            <v>16.45</v>
          </cell>
          <cell r="F920">
            <v>2483.9499999999998</v>
          </cell>
          <cell r="G920">
            <v>0.13</v>
          </cell>
          <cell r="H920">
            <v>4</v>
          </cell>
          <cell r="I920" t="str">
            <v>USA</v>
          </cell>
          <cell r="J920" t="str">
            <v>Walmart</v>
          </cell>
        </row>
        <row r="921">
          <cell r="A921" t="str">
            <v>08-02-2021</v>
          </cell>
          <cell r="B921" t="str">
            <v>Zinc</v>
          </cell>
          <cell r="C921" t="str">
            <v>Mineral</v>
          </cell>
          <cell r="D921">
            <v>143</v>
          </cell>
          <cell r="E921">
            <v>48.2</v>
          </cell>
          <cell r="F921">
            <v>6892.6</v>
          </cell>
          <cell r="G921">
            <v>0.06</v>
          </cell>
          <cell r="H921">
            <v>0</v>
          </cell>
          <cell r="I921" t="str">
            <v>UK</v>
          </cell>
          <cell r="J921" t="str">
            <v>Amazon</v>
          </cell>
        </row>
        <row r="922">
          <cell r="A922" t="str">
            <v>08-02-2021</v>
          </cell>
          <cell r="B922" t="str">
            <v>Collagen Peptides</v>
          </cell>
          <cell r="C922" t="str">
            <v>Protein</v>
          </cell>
          <cell r="D922">
            <v>131</v>
          </cell>
          <cell r="E922">
            <v>19.98</v>
          </cell>
          <cell r="F922">
            <v>2617.38</v>
          </cell>
          <cell r="G922">
            <v>0.09</v>
          </cell>
          <cell r="H922">
            <v>1</v>
          </cell>
          <cell r="I922" t="str">
            <v>Canada</v>
          </cell>
          <cell r="J922" t="str">
            <v>Amazon</v>
          </cell>
        </row>
        <row r="923">
          <cell r="A923" t="str">
            <v>08-02-2021</v>
          </cell>
          <cell r="B923" t="str">
            <v>Magnesium</v>
          </cell>
          <cell r="C923" t="str">
            <v>Mineral</v>
          </cell>
          <cell r="D923">
            <v>158</v>
          </cell>
          <cell r="E923">
            <v>30.32</v>
          </cell>
          <cell r="F923">
            <v>4790.5600000000004</v>
          </cell>
          <cell r="G923">
            <v>0.12</v>
          </cell>
          <cell r="H923">
            <v>2</v>
          </cell>
          <cell r="I923" t="str">
            <v>Canada</v>
          </cell>
          <cell r="J923" t="str">
            <v>Walmart</v>
          </cell>
        </row>
        <row r="924">
          <cell r="A924" t="str">
            <v>08-02-2021</v>
          </cell>
          <cell r="B924" t="str">
            <v>Ashwagandha</v>
          </cell>
          <cell r="C924" t="str">
            <v>Herbal</v>
          </cell>
          <cell r="D924">
            <v>163</v>
          </cell>
          <cell r="E924">
            <v>50.39</v>
          </cell>
          <cell r="F924">
            <v>8213.57</v>
          </cell>
          <cell r="G924">
            <v>0.17</v>
          </cell>
          <cell r="H924">
            <v>2</v>
          </cell>
          <cell r="I924" t="str">
            <v>USA</v>
          </cell>
          <cell r="J924" t="str">
            <v>iHerb</v>
          </cell>
        </row>
        <row r="925">
          <cell r="A925" t="str">
            <v>08-02-2021</v>
          </cell>
          <cell r="B925" t="str">
            <v>Melatonin</v>
          </cell>
          <cell r="C925" t="str">
            <v>Sleep Aid</v>
          </cell>
          <cell r="D925">
            <v>157</v>
          </cell>
          <cell r="E925">
            <v>16.920000000000002</v>
          </cell>
          <cell r="F925">
            <v>2656.44</v>
          </cell>
          <cell r="G925">
            <v>0.17</v>
          </cell>
          <cell r="H925">
            <v>1</v>
          </cell>
          <cell r="I925" t="str">
            <v>USA</v>
          </cell>
          <cell r="J925" t="str">
            <v>Walmart</v>
          </cell>
        </row>
        <row r="926">
          <cell r="A926" t="str">
            <v>08-02-2021</v>
          </cell>
          <cell r="B926" t="str">
            <v>Biotin</v>
          </cell>
          <cell r="C926" t="str">
            <v>Vitamin</v>
          </cell>
          <cell r="D926">
            <v>155</v>
          </cell>
          <cell r="E926">
            <v>55.34</v>
          </cell>
          <cell r="F926">
            <v>8577.7000000000007</v>
          </cell>
          <cell r="G926">
            <v>0.15</v>
          </cell>
          <cell r="H926">
            <v>0</v>
          </cell>
          <cell r="I926" t="str">
            <v>Canada</v>
          </cell>
          <cell r="J926" t="str">
            <v>Amazon</v>
          </cell>
        </row>
        <row r="927">
          <cell r="A927" t="str">
            <v>08-02-2021</v>
          </cell>
          <cell r="B927" t="str">
            <v>Green Tea Extract</v>
          </cell>
          <cell r="C927" t="str">
            <v>Fat Burner</v>
          </cell>
          <cell r="D927">
            <v>148</v>
          </cell>
          <cell r="E927">
            <v>49.71</v>
          </cell>
          <cell r="F927">
            <v>7357.08</v>
          </cell>
          <cell r="G927">
            <v>0.12</v>
          </cell>
          <cell r="H927">
            <v>3</v>
          </cell>
          <cell r="I927" t="str">
            <v>UK</v>
          </cell>
          <cell r="J927" t="str">
            <v>Walmart</v>
          </cell>
        </row>
        <row r="928">
          <cell r="A928" t="str">
            <v>08-02-2021</v>
          </cell>
          <cell r="B928" t="str">
            <v>Iron Supplement</v>
          </cell>
          <cell r="C928" t="str">
            <v>Mineral</v>
          </cell>
          <cell r="D928">
            <v>141</v>
          </cell>
          <cell r="E928">
            <v>54.93</v>
          </cell>
          <cell r="F928">
            <v>7745.13</v>
          </cell>
          <cell r="G928">
            <v>0.22</v>
          </cell>
          <cell r="H928">
            <v>2</v>
          </cell>
          <cell r="I928" t="str">
            <v>USA</v>
          </cell>
          <cell r="J928" t="str">
            <v>iHerb</v>
          </cell>
        </row>
        <row r="929">
          <cell r="A929" t="str">
            <v>08-02-2021</v>
          </cell>
          <cell r="B929" t="str">
            <v>Electrolyte Powder</v>
          </cell>
          <cell r="C929" t="str">
            <v>Hydration</v>
          </cell>
          <cell r="D929">
            <v>165</v>
          </cell>
          <cell r="E929">
            <v>53.25</v>
          </cell>
          <cell r="F929">
            <v>8786.25</v>
          </cell>
          <cell r="G929">
            <v>0.08</v>
          </cell>
          <cell r="H929">
            <v>0</v>
          </cell>
          <cell r="I929" t="str">
            <v>UK</v>
          </cell>
          <cell r="J929" t="str">
            <v>iHerb</v>
          </cell>
        </row>
        <row r="930">
          <cell r="A930" t="str">
            <v>15-02-2021</v>
          </cell>
          <cell r="B930" t="str">
            <v>Whey Protein</v>
          </cell>
          <cell r="C930" t="str">
            <v>Protein</v>
          </cell>
          <cell r="D930">
            <v>140</v>
          </cell>
          <cell r="E930">
            <v>22.56</v>
          </cell>
          <cell r="F930">
            <v>3158.4</v>
          </cell>
          <cell r="G930">
            <v>0.08</v>
          </cell>
          <cell r="H930">
            <v>0</v>
          </cell>
          <cell r="I930" t="str">
            <v>USA</v>
          </cell>
          <cell r="J930" t="str">
            <v>Walmart</v>
          </cell>
        </row>
        <row r="931">
          <cell r="A931" t="str">
            <v>15-02-2021</v>
          </cell>
          <cell r="B931" t="str">
            <v>Vitamin C</v>
          </cell>
          <cell r="C931" t="str">
            <v>Vitamin</v>
          </cell>
          <cell r="D931">
            <v>142</v>
          </cell>
          <cell r="E931">
            <v>32.090000000000003</v>
          </cell>
          <cell r="F931">
            <v>4556.78</v>
          </cell>
          <cell r="G931">
            <v>0.09</v>
          </cell>
          <cell r="H931">
            <v>2</v>
          </cell>
          <cell r="I931" t="str">
            <v>Canada</v>
          </cell>
          <cell r="J931" t="str">
            <v>iHerb</v>
          </cell>
        </row>
        <row r="932">
          <cell r="A932" t="str">
            <v>15-02-2021</v>
          </cell>
          <cell r="B932" t="str">
            <v>Fish Oil</v>
          </cell>
          <cell r="C932" t="str">
            <v>Omega</v>
          </cell>
          <cell r="D932">
            <v>168</v>
          </cell>
          <cell r="E932">
            <v>26.6</v>
          </cell>
          <cell r="F932">
            <v>4468.8</v>
          </cell>
          <cell r="G932">
            <v>0.19</v>
          </cell>
          <cell r="H932">
            <v>0</v>
          </cell>
          <cell r="I932" t="str">
            <v>UK</v>
          </cell>
          <cell r="J932" t="str">
            <v>Walmart</v>
          </cell>
        </row>
        <row r="933">
          <cell r="A933" t="str">
            <v>15-02-2021</v>
          </cell>
          <cell r="B933" t="str">
            <v>Multivitamin</v>
          </cell>
          <cell r="C933" t="str">
            <v>Vitamin</v>
          </cell>
          <cell r="D933">
            <v>134</v>
          </cell>
          <cell r="E933">
            <v>50.39</v>
          </cell>
          <cell r="F933">
            <v>6752.26</v>
          </cell>
          <cell r="G933">
            <v>0.06</v>
          </cell>
          <cell r="H933">
            <v>0</v>
          </cell>
          <cell r="I933" t="str">
            <v>USA</v>
          </cell>
          <cell r="J933" t="str">
            <v>Amazon</v>
          </cell>
        </row>
        <row r="934">
          <cell r="A934" t="str">
            <v>15-02-2021</v>
          </cell>
          <cell r="B934" t="str">
            <v>Pre-Workout</v>
          </cell>
          <cell r="C934" t="str">
            <v>Performance</v>
          </cell>
          <cell r="D934">
            <v>134</v>
          </cell>
          <cell r="E934">
            <v>41.69</v>
          </cell>
          <cell r="F934">
            <v>5586.46</v>
          </cell>
          <cell r="G934">
            <v>0.06</v>
          </cell>
          <cell r="H934">
            <v>1</v>
          </cell>
          <cell r="I934" t="str">
            <v>UK</v>
          </cell>
          <cell r="J934" t="str">
            <v>Walmart</v>
          </cell>
        </row>
        <row r="935">
          <cell r="A935" t="str">
            <v>15-02-2021</v>
          </cell>
          <cell r="B935" t="str">
            <v>BCAA</v>
          </cell>
          <cell r="C935" t="str">
            <v>Amino Acid</v>
          </cell>
          <cell r="D935">
            <v>151</v>
          </cell>
          <cell r="E935">
            <v>21.66</v>
          </cell>
          <cell r="F935">
            <v>3270.66</v>
          </cell>
          <cell r="G935">
            <v>0.22</v>
          </cell>
          <cell r="H935">
            <v>1</v>
          </cell>
          <cell r="I935" t="str">
            <v>Canada</v>
          </cell>
          <cell r="J935" t="str">
            <v>Amazon</v>
          </cell>
        </row>
        <row r="936">
          <cell r="A936" t="str">
            <v>15-02-2021</v>
          </cell>
          <cell r="B936" t="str">
            <v>Creatine</v>
          </cell>
          <cell r="C936" t="str">
            <v>Performance</v>
          </cell>
          <cell r="D936">
            <v>157</v>
          </cell>
          <cell r="E936">
            <v>28.63</v>
          </cell>
          <cell r="F936">
            <v>4494.91</v>
          </cell>
          <cell r="G936">
            <v>0.09</v>
          </cell>
          <cell r="H936">
            <v>2</v>
          </cell>
          <cell r="I936" t="str">
            <v>Canada</v>
          </cell>
          <cell r="J936" t="str">
            <v>iHerb</v>
          </cell>
        </row>
        <row r="937">
          <cell r="A937" t="str">
            <v>15-02-2021</v>
          </cell>
          <cell r="B937" t="str">
            <v>Zinc</v>
          </cell>
          <cell r="C937" t="str">
            <v>Mineral</v>
          </cell>
          <cell r="D937">
            <v>128</v>
          </cell>
          <cell r="E937">
            <v>20.89</v>
          </cell>
          <cell r="F937">
            <v>2673.92</v>
          </cell>
          <cell r="G937">
            <v>0.17</v>
          </cell>
          <cell r="H937">
            <v>2</v>
          </cell>
          <cell r="I937" t="str">
            <v>UK</v>
          </cell>
          <cell r="J937" t="str">
            <v>Amazon</v>
          </cell>
        </row>
        <row r="938">
          <cell r="A938" t="str">
            <v>15-02-2021</v>
          </cell>
          <cell r="B938" t="str">
            <v>Collagen Peptides</v>
          </cell>
          <cell r="C938" t="str">
            <v>Protein</v>
          </cell>
          <cell r="D938">
            <v>152</v>
          </cell>
          <cell r="E938">
            <v>43.09</v>
          </cell>
          <cell r="F938">
            <v>6549.68</v>
          </cell>
          <cell r="G938">
            <v>0.09</v>
          </cell>
          <cell r="H938">
            <v>3</v>
          </cell>
          <cell r="I938" t="str">
            <v>Canada</v>
          </cell>
          <cell r="J938" t="str">
            <v>Walmart</v>
          </cell>
        </row>
        <row r="939">
          <cell r="A939" t="str">
            <v>15-02-2021</v>
          </cell>
          <cell r="B939" t="str">
            <v>Magnesium</v>
          </cell>
          <cell r="C939" t="str">
            <v>Mineral</v>
          </cell>
          <cell r="D939">
            <v>142</v>
          </cell>
          <cell r="E939">
            <v>47.27</v>
          </cell>
          <cell r="F939">
            <v>6712.34</v>
          </cell>
          <cell r="G939">
            <v>0.09</v>
          </cell>
          <cell r="H939">
            <v>1</v>
          </cell>
          <cell r="I939" t="str">
            <v>Canada</v>
          </cell>
          <cell r="J939" t="str">
            <v>Walmart</v>
          </cell>
        </row>
        <row r="940">
          <cell r="A940" t="str">
            <v>15-02-2021</v>
          </cell>
          <cell r="B940" t="str">
            <v>Ashwagandha</v>
          </cell>
          <cell r="C940" t="str">
            <v>Herbal</v>
          </cell>
          <cell r="D940">
            <v>149</v>
          </cell>
          <cell r="E940">
            <v>56.5</v>
          </cell>
          <cell r="F940">
            <v>8418.5</v>
          </cell>
          <cell r="G940">
            <v>0.14000000000000001</v>
          </cell>
          <cell r="H940">
            <v>2</v>
          </cell>
          <cell r="I940" t="str">
            <v>UK</v>
          </cell>
          <cell r="J940" t="str">
            <v>Amazon</v>
          </cell>
        </row>
        <row r="941">
          <cell r="A941" t="str">
            <v>15-02-2021</v>
          </cell>
          <cell r="B941" t="str">
            <v>Melatonin</v>
          </cell>
          <cell r="C941" t="str">
            <v>Sleep Aid</v>
          </cell>
          <cell r="D941">
            <v>169</v>
          </cell>
          <cell r="E941">
            <v>21.6</v>
          </cell>
          <cell r="F941">
            <v>3650.4</v>
          </cell>
          <cell r="G941">
            <v>0.18</v>
          </cell>
          <cell r="H941">
            <v>3</v>
          </cell>
          <cell r="I941" t="str">
            <v>USA</v>
          </cell>
          <cell r="J941" t="str">
            <v>iHerb</v>
          </cell>
        </row>
        <row r="942">
          <cell r="A942" t="str">
            <v>15-02-2021</v>
          </cell>
          <cell r="B942" t="str">
            <v>Biotin</v>
          </cell>
          <cell r="C942" t="str">
            <v>Vitamin</v>
          </cell>
          <cell r="D942">
            <v>165</v>
          </cell>
          <cell r="E942">
            <v>14.47</v>
          </cell>
          <cell r="F942">
            <v>2387.5500000000002</v>
          </cell>
          <cell r="G942">
            <v>0.11</v>
          </cell>
          <cell r="H942">
            <v>1</v>
          </cell>
          <cell r="I942" t="str">
            <v>USA</v>
          </cell>
          <cell r="J942" t="str">
            <v>Walmart</v>
          </cell>
        </row>
        <row r="943">
          <cell r="A943" t="str">
            <v>15-02-2021</v>
          </cell>
          <cell r="B943" t="str">
            <v>Green Tea Extract</v>
          </cell>
          <cell r="C943" t="str">
            <v>Fat Burner</v>
          </cell>
          <cell r="D943">
            <v>142</v>
          </cell>
          <cell r="E943">
            <v>13.78</v>
          </cell>
          <cell r="F943">
            <v>1956.76</v>
          </cell>
          <cell r="G943">
            <v>0.21</v>
          </cell>
          <cell r="H943">
            <v>1</v>
          </cell>
          <cell r="I943" t="str">
            <v>Canada</v>
          </cell>
          <cell r="J943" t="str">
            <v>Walmart</v>
          </cell>
        </row>
        <row r="944">
          <cell r="A944" t="str">
            <v>15-02-2021</v>
          </cell>
          <cell r="B944" t="str">
            <v>Iron Supplement</v>
          </cell>
          <cell r="C944" t="str">
            <v>Mineral</v>
          </cell>
          <cell r="D944">
            <v>153</v>
          </cell>
          <cell r="E944">
            <v>26.87</v>
          </cell>
          <cell r="F944">
            <v>4111.1099999999997</v>
          </cell>
          <cell r="G944">
            <v>0.02</v>
          </cell>
          <cell r="H944">
            <v>4</v>
          </cell>
          <cell r="I944" t="str">
            <v>Canada</v>
          </cell>
          <cell r="J944" t="str">
            <v>iHerb</v>
          </cell>
        </row>
        <row r="945">
          <cell r="A945" t="str">
            <v>15-02-2021</v>
          </cell>
          <cell r="B945" t="str">
            <v>Electrolyte Powder</v>
          </cell>
          <cell r="C945" t="str">
            <v>Hydration</v>
          </cell>
          <cell r="D945">
            <v>162</v>
          </cell>
          <cell r="E945">
            <v>21.18</v>
          </cell>
          <cell r="F945">
            <v>3431.16</v>
          </cell>
          <cell r="G945">
            <v>0.23</v>
          </cell>
          <cell r="H945">
            <v>1</v>
          </cell>
          <cell r="I945" t="str">
            <v>USA</v>
          </cell>
          <cell r="J945" t="str">
            <v>iHerb</v>
          </cell>
        </row>
        <row r="946">
          <cell r="A946" t="str">
            <v>22-02-2021</v>
          </cell>
          <cell r="B946" t="str">
            <v>Whey Protein</v>
          </cell>
          <cell r="C946" t="str">
            <v>Protein</v>
          </cell>
          <cell r="D946">
            <v>136</v>
          </cell>
          <cell r="E946">
            <v>57.19</v>
          </cell>
          <cell r="F946">
            <v>7777.84</v>
          </cell>
          <cell r="G946">
            <v>0</v>
          </cell>
          <cell r="H946">
            <v>0</v>
          </cell>
          <cell r="I946" t="str">
            <v>Canada</v>
          </cell>
          <cell r="J946" t="str">
            <v>Walmart</v>
          </cell>
        </row>
        <row r="947">
          <cell r="A947" t="str">
            <v>22-02-2021</v>
          </cell>
          <cell r="B947" t="str">
            <v>Vitamin C</v>
          </cell>
          <cell r="C947" t="str">
            <v>Vitamin</v>
          </cell>
          <cell r="D947">
            <v>174</v>
          </cell>
          <cell r="E947">
            <v>15.66</v>
          </cell>
          <cell r="F947">
            <v>2724.84</v>
          </cell>
          <cell r="G947">
            <v>0.14000000000000001</v>
          </cell>
          <cell r="H947">
            <v>3</v>
          </cell>
          <cell r="I947" t="str">
            <v>UK</v>
          </cell>
          <cell r="J947" t="str">
            <v>iHerb</v>
          </cell>
        </row>
        <row r="948">
          <cell r="A948" t="str">
            <v>22-02-2021</v>
          </cell>
          <cell r="B948" t="str">
            <v>Fish Oil</v>
          </cell>
          <cell r="C948" t="str">
            <v>Omega</v>
          </cell>
          <cell r="D948">
            <v>156</v>
          </cell>
          <cell r="E948">
            <v>59.64</v>
          </cell>
          <cell r="F948">
            <v>9303.84</v>
          </cell>
          <cell r="G948">
            <v>0.1</v>
          </cell>
          <cell r="H948">
            <v>1</v>
          </cell>
          <cell r="I948" t="str">
            <v>USA</v>
          </cell>
          <cell r="J948" t="str">
            <v>Amazon</v>
          </cell>
        </row>
        <row r="949">
          <cell r="A949" t="str">
            <v>22-02-2021</v>
          </cell>
          <cell r="B949" t="str">
            <v>Multivitamin</v>
          </cell>
          <cell r="C949" t="str">
            <v>Vitamin</v>
          </cell>
          <cell r="D949">
            <v>152</v>
          </cell>
          <cell r="E949">
            <v>14.32</v>
          </cell>
          <cell r="F949">
            <v>2176.64</v>
          </cell>
          <cell r="G949">
            <v>0</v>
          </cell>
          <cell r="H949">
            <v>1</v>
          </cell>
          <cell r="I949" t="str">
            <v>Canada</v>
          </cell>
          <cell r="J949" t="str">
            <v>iHerb</v>
          </cell>
        </row>
        <row r="950">
          <cell r="A950" t="str">
            <v>22-02-2021</v>
          </cell>
          <cell r="B950" t="str">
            <v>Pre-Workout</v>
          </cell>
          <cell r="C950" t="str">
            <v>Performance</v>
          </cell>
          <cell r="D950">
            <v>164</v>
          </cell>
          <cell r="E950">
            <v>59.96</v>
          </cell>
          <cell r="F950">
            <v>9833.44</v>
          </cell>
          <cell r="G950">
            <v>7.0000000000000007E-2</v>
          </cell>
          <cell r="H950">
            <v>1</v>
          </cell>
          <cell r="I950" t="str">
            <v>UK</v>
          </cell>
          <cell r="J950" t="str">
            <v>Walmart</v>
          </cell>
        </row>
        <row r="951">
          <cell r="A951" t="str">
            <v>22-02-2021</v>
          </cell>
          <cell r="B951" t="str">
            <v>BCAA</v>
          </cell>
          <cell r="C951" t="str">
            <v>Amino Acid</v>
          </cell>
          <cell r="D951">
            <v>136</v>
          </cell>
          <cell r="E951">
            <v>24.26</v>
          </cell>
          <cell r="F951">
            <v>3299.36</v>
          </cell>
          <cell r="G951">
            <v>0.2</v>
          </cell>
          <cell r="H951">
            <v>3</v>
          </cell>
          <cell r="I951" t="str">
            <v>UK</v>
          </cell>
          <cell r="J951" t="str">
            <v>iHerb</v>
          </cell>
        </row>
        <row r="952">
          <cell r="A952" t="str">
            <v>22-02-2021</v>
          </cell>
          <cell r="B952" t="str">
            <v>Creatine</v>
          </cell>
          <cell r="C952" t="str">
            <v>Performance</v>
          </cell>
          <cell r="D952">
            <v>167</v>
          </cell>
          <cell r="E952">
            <v>15.64</v>
          </cell>
          <cell r="F952">
            <v>2611.88</v>
          </cell>
          <cell r="G952">
            <v>0.22</v>
          </cell>
          <cell r="H952">
            <v>2</v>
          </cell>
          <cell r="I952" t="str">
            <v>USA</v>
          </cell>
          <cell r="J952" t="str">
            <v>Walmart</v>
          </cell>
        </row>
        <row r="953">
          <cell r="A953" t="str">
            <v>22-02-2021</v>
          </cell>
          <cell r="B953" t="str">
            <v>Zinc</v>
          </cell>
          <cell r="C953" t="str">
            <v>Mineral</v>
          </cell>
          <cell r="D953">
            <v>136</v>
          </cell>
          <cell r="E953">
            <v>24.36</v>
          </cell>
          <cell r="F953">
            <v>3312.96</v>
          </cell>
          <cell r="G953">
            <v>0.18</v>
          </cell>
          <cell r="H953">
            <v>1</v>
          </cell>
          <cell r="I953" t="str">
            <v>UK</v>
          </cell>
          <cell r="J953" t="str">
            <v>Walmart</v>
          </cell>
        </row>
        <row r="954">
          <cell r="A954" t="str">
            <v>22-02-2021</v>
          </cell>
          <cell r="B954" t="str">
            <v>Collagen Peptides</v>
          </cell>
          <cell r="C954" t="str">
            <v>Protein</v>
          </cell>
          <cell r="D954">
            <v>145</v>
          </cell>
          <cell r="E954">
            <v>35.159999999999997</v>
          </cell>
          <cell r="F954">
            <v>5098.2</v>
          </cell>
          <cell r="G954">
            <v>0.08</v>
          </cell>
          <cell r="H954">
            <v>2</v>
          </cell>
          <cell r="I954" t="str">
            <v>UK</v>
          </cell>
          <cell r="J954" t="str">
            <v>Walmart</v>
          </cell>
        </row>
        <row r="955">
          <cell r="A955" t="str">
            <v>22-02-2021</v>
          </cell>
          <cell r="B955" t="str">
            <v>Magnesium</v>
          </cell>
          <cell r="C955" t="str">
            <v>Mineral</v>
          </cell>
          <cell r="D955">
            <v>162</v>
          </cell>
          <cell r="E955">
            <v>37.53</v>
          </cell>
          <cell r="F955">
            <v>6079.86</v>
          </cell>
          <cell r="G955">
            <v>0.21</v>
          </cell>
          <cell r="H955">
            <v>1</v>
          </cell>
          <cell r="I955" t="str">
            <v>USA</v>
          </cell>
          <cell r="J955" t="str">
            <v>iHerb</v>
          </cell>
        </row>
        <row r="956">
          <cell r="A956" t="str">
            <v>22-02-2021</v>
          </cell>
          <cell r="B956" t="str">
            <v>Ashwagandha</v>
          </cell>
          <cell r="C956" t="str">
            <v>Herbal</v>
          </cell>
          <cell r="D956">
            <v>146</v>
          </cell>
          <cell r="E956">
            <v>33.369999999999997</v>
          </cell>
          <cell r="F956">
            <v>4872.0200000000004</v>
          </cell>
          <cell r="G956">
            <v>7.0000000000000007E-2</v>
          </cell>
          <cell r="H956">
            <v>4</v>
          </cell>
          <cell r="I956" t="str">
            <v>USA</v>
          </cell>
          <cell r="J956" t="str">
            <v>Walmart</v>
          </cell>
        </row>
        <row r="957">
          <cell r="A957" t="str">
            <v>22-02-2021</v>
          </cell>
          <cell r="B957" t="str">
            <v>Melatonin</v>
          </cell>
          <cell r="C957" t="str">
            <v>Sleep Aid</v>
          </cell>
          <cell r="D957">
            <v>143</v>
          </cell>
          <cell r="E957">
            <v>36.340000000000003</v>
          </cell>
          <cell r="F957">
            <v>5196.62</v>
          </cell>
          <cell r="G957">
            <v>0.01</v>
          </cell>
          <cell r="H957">
            <v>0</v>
          </cell>
          <cell r="I957" t="str">
            <v>Canada</v>
          </cell>
          <cell r="J957" t="str">
            <v>iHerb</v>
          </cell>
        </row>
        <row r="958">
          <cell r="A958" t="str">
            <v>22-02-2021</v>
          </cell>
          <cell r="B958" t="str">
            <v>Biotin</v>
          </cell>
          <cell r="C958" t="str">
            <v>Vitamin</v>
          </cell>
          <cell r="D958">
            <v>139</v>
          </cell>
          <cell r="E958">
            <v>31.66</v>
          </cell>
          <cell r="F958">
            <v>4400.74</v>
          </cell>
          <cell r="G958">
            <v>0.2</v>
          </cell>
          <cell r="H958">
            <v>2</v>
          </cell>
          <cell r="I958" t="str">
            <v>UK</v>
          </cell>
          <cell r="J958" t="str">
            <v>iHerb</v>
          </cell>
        </row>
        <row r="959">
          <cell r="A959" t="str">
            <v>22-02-2021</v>
          </cell>
          <cell r="B959" t="str">
            <v>Green Tea Extract</v>
          </cell>
          <cell r="C959" t="str">
            <v>Fat Burner</v>
          </cell>
          <cell r="D959">
            <v>147</v>
          </cell>
          <cell r="E959">
            <v>25.82</v>
          </cell>
          <cell r="F959">
            <v>3795.54</v>
          </cell>
          <cell r="G959">
            <v>0.19</v>
          </cell>
          <cell r="H959">
            <v>0</v>
          </cell>
          <cell r="I959" t="str">
            <v>UK</v>
          </cell>
          <cell r="J959" t="str">
            <v>Walmart</v>
          </cell>
        </row>
        <row r="960">
          <cell r="A960" t="str">
            <v>22-02-2021</v>
          </cell>
          <cell r="B960" t="str">
            <v>Iron Supplement</v>
          </cell>
          <cell r="C960" t="str">
            <v>Mineral</v>
          </cell>
          <cell r="D960">
            <v>149</v>
          </cell>
          <cell r="E960">
            <v>21.78</v>
          </cell>
          <cell r="F960">
            <v>3245.22</v>
          </cell>
          <cell r="G960">
            <v>0.23</v>
          </cell>
          <cell r="H960">
            <v>3</v>
          </cell>
          <cell r="I960" t="str">
            <v>UK</v>
          </cell>
          <cell r="J960" t="str">
            <v>iHerb</v>
          </cell>
        </row>
        <row r="961">
          <cell r="A961" t="str">
            <v>22-02-2021</v>
          </cell>
          <cell r="B961" t="str">
            <v>Electrolyte Powder</v>
          </cell>
          <cell r="C961" t="str">
            <v>Hydration</v>
          </cell>
          <cell r="D961">
            <v>158</v>
          </cell>
          <cell r="E961">
            <v>36.020000000000003</v>
          </cell>
          <cell r="F961">
            <v>5691.16</v>
          </cell>
          <cell r="G961">
            <v>0.24</v>
          </cell>
          <cell r="H961">
            <v>4</v>
          </cell>
          <cell r="I961" t="str">
            <v>UK</v>
          </cell>
          <cell r="J961" t="str">
            <v>Amazon</v>
          </cell>
        </row>
        <row r="962">
          <cell r="A962" t="str">
            <v>01-03-2021</v>
          </cell>
          <cell r="B962" t="str">
            <v>Whey Protein</v>
          </cell>
          <cell r="C962" t="str">
            <v>Protein</v>
          </cell>
          <cell r="D962">
            <v>139</v>
          </cell>
          <cell r="E962">
            <v>19.86</v>
          </cell>
          <cell r="F962">
            <v>2760.54</v>
          </cell>
          <cell r="G962">
            <v>0.05</v>
          </cell>
          <cell r="H962">
            <v>2</v>
          </cell>
          <cell r="I962" t="str">
            <v>Canada</v>
          </cell>
          <cell r="J962" t="str">
            <v>Walmart</v>
          </cell>
        </row>
        <row r="963">
          <cell r="A963" t="str">
            <v>01-03-2021</v>
          </cell>
          <cell r="B963" t="str">
            <v>Vitamin C</v>
          </cell>
          <cell r="C963" t="str">
            <v>Vitamin</v>
          </cell>
          <cell r="D963">
            <v>147</v>
          </cell>
          <cell r="E963">
            <v>14.45</v>
          </cell>
          <cell r="F963">
            <v>2124.15</v>
          </cell>
          <cell r="G963">
            <v>0.13</v>
          </cell>
          <cell r="H963">
            <v>3</v>
          </cell>
          <cell r="I963" t="str">
            <v>USA</v>
          </cell>
          <cell r="J963" t="str">
            <v>iHerb</v>
          </cell>
        </row>
        <row r="964">
          <cell r="A964" t="str">
            <v>01-03-2021</v>
          </cell>
          <cell r="B964" t="str">
            <v>Fish Oil</v>
          </cell>
          <cell r="C964" t="str">
            <v>Omega</v>
          </cell>
          <cell r="D964">
            <v>169</v>
          </cell>
          <cell r="E964">
            <v>28.33</v>
          </cell>
          <cell r="F964">
            <v>4787.7700000000004</v>
          </cell>
          <cell r="G964">
            <v>0.15</v>
          </cell>
          <cell r="H964">
            <v>0</v>
          </cell>
          <cell r="I964" t="str">
            <v>UK</v>
          </cell>
          <cell r="J964" t="str">
            <v>Amazon</v>
          </cell>
        </row>
        <row r="965">
          <cell r="A965" t="str">
            <v>01-03-2021</v>
          </cell>
          <cell r="B965" t="str">
            <v>Multivitamin</v>
          </cell>
          <cell r="C965" t="str">
            <v>Vitamin</v>
          </cell>
          <cell r="D965">
            <v>136</v>
          </cell>
          <cell r="E965">
            <v>14.27</v>
          </cell>
          <cell r="F965">
            <v>1940.72</v>
          </cell>
          <cell r="G965">
            <v>0.23</v>
          </cell>
          <cell r="H965">
            <v>0</v>
          </cell>
          <cell r="I965" t="str">
            <v>UK</v>
          </cell>
          <cell r="J965" t="str">
            <v>Walmart</v>
          </cell>
        </row>
        <row r="966">
          <cell r="A966" t="str">
            <v>01-03-2021</v>
          </cell>
          <cell r="B966" t="str">
            <v>Pre-Workout</v>
          </cell>
          <cell r="C966" t="str">
            <v>Performance</v>
          </cell>
          <cell r="D966">
            <v>147</v>
          </cell>
          <cell r="E966">
            <v>39.950000000000003</v>
          </cell>
          <cell r="F966">
            <v>5872.65</v>
          </cell>
          <cell r="G966">
            <v>0.02</v>
          </cell>
          <cell r="H966">
            <v>0</v>
          </cell>
          <cell r="I966" t="str">
            <v>Canada</v>
          </cell>
          <cell r="J966" t="str">
            <v>iHerb</v>
          </cell>
        </row>
        <row r="967">
          <cell r="A967" t="str">
            <v>01-03-2021</v>
          </cell>
          <cell r="B967" t="str">
            <v>BCAA</v>
          </cell>
          <cell r="C967" t="str">
            <v>Amino Acid</v>
          </cell>
          <cell r="D967">
            <v>173</v>
          </cell>
          <cell r="E967">
            <v>49.06</v>
          </cell>
          <cell r="F967">
            <v>8487.3799999999992</v>
          </cell>
          <cell r="G967">
            <v>0</v>
          </cell>
          <cell r="H967">
            <v>1</v>
          </cell>
          <cell r="I967" t="str">
            <v>UK</v>
          </cell>
          <cell r="J967" t="str">
            <v>Walmart</v>
          </cell>
        </row>
        <row r="968">
          <cell r="A968" t="str">
            <v>01-03-2021</v>
          </cell>
          <cell r="B968" t="str">
            <v>Creatine</v>
          </cell>
          <cell r="C968" t="str">
            <v>Performance</v>
          </cell>
          <cell r="D968">
            <v>155</v>
          </cell>
          <cell r="E968">
            <v>55.48</v>
          </cell>
          <cell r="F968">
            <v>8599.4</v>
          </cell>
          <cell r="G968">
            <v>0.16</v>
          </cell>
          <cell r="H968">
            <v>0</v>
          </cell>
          <cell r="I968" t="str">
            <v>Canada</v>
          </cell>
          <cell r="J968" t="str">
            <v>iHerb</v>
          </cell>
        </row>
        <row r="969">
          <cell r="A969" t="str">
            <v>01-03-2021</v>
          </cell>
          <cell r="B969" t="str">
            <v>Zinc</v>
          </cell>
          <cell r="C969" t="str">
            <v>Mineral</v>
          </cell>
          <cell r="D969">
            <v>128</v>
          </cell>
          <cell r="E969">
            <v>25.17</v>
          </cell>
          <cell r="F969">
            <v>3221.76</v>
          </cell>
          <cell r="G969">
            <v>0.1</v>
          </cell>
          <cell r="H969">
            <v>0</v>
          </cell>
          <cell r="I969" t="str">
            <v>UK</v>
          </cell>
          <cell r="J969" t="str">
            <v>Walmart</v>
          </cell>
        </row>
        <row r="970">
          <cell r="A970" t="str">
            <v>01-03-2021</v>
          </cell>
          <cell r="B970" t="str">
            <v>Collagen Peptides</v>
          </cell>
          <cell r="C970" t="str">
            <v>Protein</v>
          </cell>
          <cell r="D970">
            <v>153</v>
          </cell>
          <cell r="E970">
            <v>35.15</v>
          </cell>
          <cell r="F970">
            <v>5377.95</v>
          </cell>
          <cell r="G970">
            <v>0.02</v>
          </cell>
          <cell r="H970">
            <v>2</v>
          </cell>
          <cell r="I970" t="str">
            <v>USA</v>
          </cell>
          <cell r="J970" t="str">
            <v>Amazon</v>
          </cell>
        </row>
        <row r="971">
          <cell r="A971" t="str">
            <v>01-03-2021</v>
          </cell>
          <cell r="B971" t="str">
            <v>Magnesium</v>
          </cell>
          <cell r="C971" t="str">
            <v>Mineral</v>
          </cell>
          <cell r="D971">
            <v>144</v>
          </cell>
          <cell r="E971">
            <v>31.73</v>
          </cell>
          <cell r="F971">
            <v>4569.12</v>
          </cell>
          <cell r="G971">
            <v>0.05</v>
          </cell>
          <cell r="H971">
            <v>0</v>
          </cell>
          <cell r="I971" t="str">
            <v>Canada</v>
          </cell>
          <cell r="J971" t="str">
            <v>Walmart</v>
          </cell>
        </row>
        <row r="972">
          <cell r="A972" t="str">
            <v>01-03-2021</v>
          </cell>
          <cell r="B972" t="str">
            <v>Ashwagandha</v>
          </cell>
          <cell r="C972" t="str">
            <v>Herbal</v>
          </cell>
          <cell r="D972">
            <v>160</v>
          </cell>
          <cell r="E972">
            <v>48.36</v>
          </cell>
          <cell r="F972">
            <v>7737.6</v>
          </cell>
          <cell r="G972">
            <v>0.05</v>
          </cell>
          <cell r="H972">
            <v>1</v>
          </cell>
          <cell r="I972" t="str">
            <v>UK</v>
          </cell>
          <cell r="J972" t="str">
            <v>Walmart</v>
          </cell>
        </row>
        <row r="973">
          <cell r="A973" t="str">
            <v>01-03-2021</v>
          </cell>
          <cell r="B973" t="str">
            <v>Melatonin</v>
          </cell>
          <cell r="C973" t="str">
            <v>Sleep Aid</v>
          </cell>
          <cell r="D973">
            <v>149</v>
          </cell>
          <cell r="E973">
            <v>56.59</v>
          </cell>
          <cell r="F973">
            <v>8431.91</v>
          </cell>
          <cell r="G973">
            <v>0.05</v>
          </cell>
          <cell r="H973">
            <v>1</v>
          </cell>
          <cell r="I973" t="str">
            <v>UK</v>
          </cell>
          <cell r="J973" t="str">
            <v>Amazon</v>
          </cell>
        </row>
        <row r="974">
          <cell r="A974" t="str">
            <v>01-03-2021</v>
          </cell>
          <cell r="B974" t="str">
            <v>Biotin</v>
          </cell>
          <cell r="C974" t="str">
            <v>Vitamin</v>
          </cell>
          <cell r="D974">
            <v>135</v>
          </cell>
          <cell r="E974">
            <v>33.03</v>
          </cell>
          <cell r="F974">
            <v>4459.05</v>
          </cell>
          <cell r="G974">
            <v>0.23</v>
          </cell>
          <cell r="H974">
            <v>3</v>
          </cell>
          <cell r="I974" t="str">
            <v>Canada</v>
          </cell>
          <cell r="J974" t="str">
            <v>Amazon</v>
          </cell>
        </row>
        <row r="975">
          <cell r="A975" t="str">
            <v>01-03-2021</v>
          </cell>
          <cell r="B975" t="str">
            <v>Green Tea Extract</v>
          </cell>
          <cell r="C975" t="str">
            <v>Fat Burner</v>
          </cell>
          <cell r="D975">
            <v>146</v>
          </cell>
          <cell r="E975">
            <v>54.81</v>
          </cell>
          <cell r="F975">
            <v>8002.26</v>
          </cell>
          <cell r="G975">
            <v>0.2</v>
          </cell>
          <cell r="H975">
            <v>0</v>
          </cell>
          <cell r="I975" t="str">
            <v>USA</v>
          </cell>
          <cell r="J975" t="str">
            <v>Walmart</v>
          </cell>
        </row>
        <row r="976">
          <cell r="A976" t="str">
            <v>01-03-2021</v>
          </cell>
          <cell r="B976" t="str">
            <v>Iron Supplement</v>
          </cell>
          <cell r="C976" t="str">
            <v>Mineral</v>
          </cell>
          <cell r="D976">
            <v>143</v>
          </cell>
          <cell r="E976">
            <v>21.49</v>
          </cell>
          <cell r="F976">
            <v>3073.07</v>
          </cell>
          <cell r="G976">
            <v>0.05</v>
          </cell>
          <cell r="H976">
            <v>0</v>
          </cell>
          <cell r="I976" t="str">
            <v>UK</v>
          </cell>
          <cell r="J976" t="str">
            <v>Walmart</v>
          </cell>
        </row>
        <row r="977">
          <cell r="A977" t="str">
            <v>01-03-2021</v>
          </cell>
          <cell r="B977" t="str">
            <v>Electrolyte Powder</v>
          </cell>
          <cell r="C977" t="str">
            <v>Hydration</v>
          </cell>
          <cell r="D977">
            <v>155</v>
          </cell>
          <cell r="E977">
            <v>12.62</v>
          </cell>
          <cell r="F977">
            <v>1956.1</v>
          </cell>
          <cell r="G977">
            <v>0.06</v>
          </cell>
          <cell r="H977">
            <v>3</v>
          </cell>
          <cell r="I977" t="str">
            <v>Canada</v>
          </cell>
          <cell r="J977" t="str">
            <v>Walmart</v>
          </cell>
        </row>
        <row r="978">
          <cell r="A978" t="str">
            <v>08-03-2021</v>
          </cell>
          <cell r="B978" t="str">
            <v>Whey Protein</v>
          </cell>
          <cell r="C978" t="str">
            <v>Protein</v>
          </cell>
          <cell r="D978">
            <v>165</v>
          </cell>
          <cell r="E978">
            <v>30.8</v>
          </cell>
          <cell r="F978">
            <v>5082</v>
          </cell>
          <cell r="G978">
            <v>0.24</v>
          </cell>
          <cell r="H978">
            <v>1</v>
          </cell>
          <cell r="I978" t="str">
            <v>UK</v>
          </cell>
          <cell r="J978" t="str">
            <v>Amazon</v>
          </cell>
        </row>
        <row r="979">
          <cell r="A979" t="str">
            <v>08-03-2021</v>
          </cell>
          <cell r="B979" t="str">
            <v>Vitamin C</v>
          </cell>
          <cell r="C979" t="str">
            <v>Vitamin</v>
          </cell>
          <cell r="D979">
            <v>139</v>
          </cell>
          <cell r="E979">
            <v>18.64</v>
          </cell>
          <cell r="F979">
            <v>2590.96</v>
          </cell>
          <cell r="G979">
            <v>0.09</v>
          </cell>
          <cell r="H979">
            <v>3</v>
          </cell>
          <cell r="I979" t="str">
            <v>USA</v>
          </cell>
          <cell r="J979" t="str">
            <v>Amazon</v>
          </cell>
        </row>
        <row r="980">
          <cell r="A980" t="str">
            <v>08-03-2021</v>
          </cell>
          <cell r="B980" t="str">
            <v>Fish Oil</v>
          </cell>
          <cell r="C980" t="str">
            <v>Omega</v>
          </cell>
          <cell r="D980">
            <v>154</v>
          </cell>
          <cell r="E980">
            <v>56.72</v>
          </cell>
          <cell r="F980">
            <v>8734.8799999999992</v>
          </cell>
          <cell r="G980">
            <v>0.01</v>
          </cell>
          <cell r="H980">
            <v>0</v>
          </cell>
          <cell r="I980" t="str">
            <v>UK</v>
          </cell>
          <cell r="J980" t="str">
            <v>iHerb</v>
          </cell>
        </row>
        <row r="981">
          <cell r="A981" t="str">
            <v>08-03-2021</v>
          </cell>
          <cell r="B981" t="str">
            <v>Multivitamin</v>
          </cell>
          <cell r="C981" t="str">
            <v>Vitamin</v>
          </cell>
          <cell r="D981">
            <v>152</v>
          </cell>
          <cell r="E981">
            <v>11.98</v>
          </cell>
          <cell r="F981">
            <v>1820.96</v>
          </cell>
          <cell r="G981">
            <v>0.1</v>
          </cell>
          <cell r="H981">
            <v>2</v>
          </cell>
          <cell r="I981" t="str">
            <v>UK</v>
          </cell>
          <cell r="J981" t="str">
            <v>Walmart</v>
          </cell>
        </row>
        <row r="982">
          <cell r="A982" t="str">
            <v>08-03-2021</v>
          </cell>
          <cell r="B982" t="str">
            <v>Pre-Workout</v>
          </cell>
          <cell r="C982" t="str">
            <v>Performance</v>
          </cell>
          <cell r="D982">
            <v>157</v>
          </cell>
          <cell r="E982">
            <v>26.03</v>
          </cell>
          <cell r="F982">
            <v>4086.71</v>
          </cell>
          <cell r="G982">
            <v>0.02</v>
          </cell>
          <cell r="H982">
            <v>1</v>
          </cell>
          <cell r="I982" t="str">
            <v>USA</v>
          </cell>
          <cell r="J982" t="str">
            <v>iHerb</v>
          </cell>
        </row>
        <row r="983">
          <cell r="A983" t="str">
            <v>08-03-2021</v>
          </cell>
          <cell r="B983" t="str">
            <v>BCAA</v>
          </cell>
          <cell r="C983" t="str">
            <v>Amino Acid</v>
          </cell>
          <cell r="D983">
            <v>149</v>
          </cell>
          <cell r="E983">
            <v>48.32</v>
          </cell>
          <cell r="F983">
            <v>7199.68</v>
          </cell>
          <cell r="G983">
            <v>0.12</v>
          </cell>
          <cell r="H983">
            <v>1</v>
          </cell>
          <cell r="I983" t="str">
            <v>UK</v>
          </cell>
          <cell r="J983" t="str">
            <v>Amazon</v>
          </cell>
        </row>
        <row r="984">
          <cell r="A984" t="str">
            <v>08-03-2021</v>
          </cell>
          <cell r="B984" t="str">
            <v>Creatine</v>
          </cell>
          <cell r="C984" t="str">
            <v>Performance</v>
          </cell>
          <cell r="D984">
            <v>162</v>
          </cell>
          <cell r="E984">
            <v>43.65</v>
          </cell>
          <cell r="F984">
            <v>7071.3</v>
          </cell>
          <cell r="G984">
            <v>0.01</v>
          </cell>
          <cell r="H984">
            <v>2</v>
          </cell>
          <cell r="I984" t="str">
            <v>UK</v>
          </cell>
          <cell r="J984" t="str">
            <v>Walmart</v>
          </cell>
        </row>
        <row r="985">
          <cell r="A985" t="str">
            <v>08-03-2021</v>
          </cell>
          <cell r="B985" t="str">
            <v>Zinc</v>
          </cell>
          <cell r="C985" t="str">
            <v>Mineral</v>
          </cell>
          <cell r="D985">
            <v>160</v>
          </cell>
          <cell r="E985">
            <v>21.43</v>
          </cell>
          <cell r="F985">
            <v>3428.8</v>
          </cell>
          <cell r="G985">
            <v>0.22</v>
          </cell>
          <cell r="H985">
            <v>0</v>
          </cell>
          <cell r="I985" t="str">
            <v>UK</v>
          </cell>
          <cell r="J985" t="str">
            <v>iHerb</v>
          </cell>
        </row>
        <row r="986">
          <cell r="A986" t="str">
            <v>08-03-2021</v>
          </cell>
          <cell r="B986" t="str">
            <v>Collagen Peptides</v>
          </cell>
          <cell r="C986" t="str">
            <v>Protein</v>
          </cell>
          <cell r="D986">
            <v>159</v>
          </cell>
          <cell r="E986">
            <v>32.340000000000003</v>
          </cell>
          <cell r="F986">
            <v>5142.0600000000004</v>
          </cell>
          <cell r="G986">
            <v>0</v>
          </cell>
          <cell r="H986">
            <v>3</v>
          </cell>
          <cell r="I986" t="str">
            <v>USA</v>
          </cell>
          <cell r="J986" t="str">
            <v>Amazon</v>
          </cell>
        </row>
        <row r="987">
          <cell r="A987" t="str">
            <v>08-03-2021</v>
          </cell>
          <cell r="B987" t="str">
            <v>Magnesium</v>
          </cell>
          <cell r="C987" t="str">
            <v>Mineral</v>
          </cell>
          <cell r="D987">
            <v>145</v>
          </cell>
          <cell r="E987">
            <v>43.87</v>
          </cell>
          <cell r="F987">
            <v>6361.15</v>
          </cell>
          <cell r="G987">
            <v>0.18</v>
          </cell>
          <cell r="H987">
            <v>4</v>
          </cell>
          <cell r="I987" t="str">
            <v>UK</v>
          </cell>
          <cell r="J987" t="str">
            <v>Amazon</v>
          </cell>
        </row>
        <row r="988">
          <cell r="A988" t="str">
            <v>08-03-2021</v>
          </cell>
          <cell r="B988" t="str">
            <v>Ashwagandha</v>
          </cell>
          <cell r="C988" t="str">
            <v>Herbal</v>
          </cell>
          <cell r="D988">
            <v>151</v>
          </cell>
          <cell r="E988">
            <v>57.69</v>
          </cell>
          <cell r="F988">
            <v>8711.19</v>
          </cell>
          <cell r="G988">
            <v>0.16</v>
          </cell>
          <cell r="H988">
            <v>1</v>
          </cell>
          <cell r="I988" t="str">
            <v>UK</v>
          </cell>
          <cell r="J988" t="str">
            <v>iHerb</v>
          </cell>
        </row>
        <row r="989">
          <cell r="A989" t="str">
            <v>08-03-2021</v>
          </cell>
          <cell r="B989" t="str">
            <v>Melatonin</v>
          </cell>
          <cell r="C989" t="str">
            <v>Sleep Aid</v>
          </cell>
          <cell r="D989">
            <v>134</v>
          </cell>
          <cell r="E989">
            <v>28.11</v>
          </cell>
          <cell r="F989">
            <v>3766.74</v>
          </cell>
          <cell r="G989">
            <v>0.17</v>
          </cell>
          <cell r="H989">
            <v>1</v>
          </cell>
          <cell r="I989" t="str">
            <v>USA</v>
          </cell>
          <cell r="J989" t="str">
            <v>iHerb</v>
          </cell>
        </row>
        <row r="990">
          <cell r="A990" t="str">
            <v>08-03-2021</v>
          </cell>
          <cell r="B990" t="str">
            <v>Biotin</v>
          </cell>
          <cell r="C990" t="str">
            <v>Vitamin</v>
          </cell>
          <cell r="D990">
            <v>138</v>
          </cell>
          <cell r="E990">
            <v>13.03</v>
          </cell>
          <cell r="F990">
            <v>1798.14</v>
          </cell>
          <cell r="G990">
            <v>0.1</v>
          </cell>
          <cell r="H990">
            <v>1</v>
          </cell>
          <cell r="I990" t="str">
            <v>USA</v>
          </cell>
          <cell r="J990" t="str">
            <v>iHerb</v>
          </cell>
        </row>
        <row r="991">
          <cell r="A991" t="str">
            <v>08-03-2021</v>
          </cell>
          <cell r="B991" t="str">
            <v>Green Tea Extract</v>
          </cell>
          <cell r="C991" t="str">
            <v>Fat Burner</v>
          </cell>
          <cell r="D991">
            <v>148</v>
          </cell>
          <cell r="E991">
            <v>51.4</v>
          </cell>
          <cell r="F991">
            <v>7607.2</v>
          </cell>
          <cell r="G991">
            <v>0.19</v>
          </cell>
          <cell r="H991">
            <v>0</v>
          </cell>
          <cell r="I991" t="str">
            <v>UK</v>
          </cell>
          <cell r="J991" t="str">
            <v>Amazon</v>
          </cell>
        </row>
        <row r="992">
          <cell r="A992" t="str">
            <v>08-03-2021</v>
          </cell>
          <cell r="B992" t="str">
            <v>Iron Supplement</v>
          </cell>
          <cell r="C992" t="str">
            <v>Mineral</v>
          </cell>
          <cell r="D992">
            <v>138</v>
          </cell>
          <cell r="E992">
            <v>56.74</v>
          </cell>
          <cell r="F992">
            <v>7830.12</v>
          </cell>
          <cell r="G992">
            <v>0.21</v>
          </cell>
          <cell r="H992">
            <v>3</v>
          </cell>
          <cell r="I992" t="str">
            <v>USA</v>
          </cell>
          <cell r="J992" t="str">
            <v>iHerb</v>
          </cell>
        </row>
        <row r="993">
          <cell r="A993" t="str">
            <v>08-03-2021</v>
          </cell>
          <cell r="B993" t="str">
            <v>Electrolyte Powder</v>
          </cell>
          <cell r="C993" t="str">
            <v>Hydration</v>
          </cell>
          <cell r="D993">
            <v>143</v>
          </cell>
          <cell r="E993">
            <v>33.54</v>
          </cell>
          <cell r="F993">
            <v>4796.22</v>
          </cell>
          <cell r="G993">
            <v>0.04</v>
          </cell>
          <cell r="H993">
            <v>0</v>
          </cell>
          <cell r="I993" t="str">
            <v>Canada</v>
          </cell>
          <cell r="J993" t="str">
            <v>iHerb</v>
          </cell>
        </row>
        <row r="994">
          <cell r="A994" t="str">
            <v>15-03-2021</v>
          </cell>
          <cell r="B994" t="str">
            <v>Whey Protein</v>
          </cell>
          <cell r="C994" t="str">
            <v>Protein</v>
          </cell>
          <cell r="D994">
            <v>177</v>
          </cell>
          <cell r="E994">
            <v>22</v>
          </cell>
          <cell r="F994">
            <v>3894</v>
          </cell>
          <cell r="G994">
            <v>0.02</v>
          </cell>
          <cell r="H994">
            <v>4</v>
          </cell>
          <cell r="I994" t="str">
            <v>USA</v>
          </cell>
          <cell r="J994" t="str">
            <v>Amazon</v>
          </cell>
        </row>
        <row r="995">
          <cell r="A995" t="str">
            <v>15-03-2021</v>
          </cell>
          <cell r="B995" t="str">
            <v>Vitamin C</v>
          </cell>
          <cell r="C995" t="str">
            <v>Vitamin</v>
          </cell>
          <cell r="D995">
            <v>153</v>
          </cell>
          <cell r="E995">
            <v>55.58</v>
          </cell>
          <cell r="F995">
            <v>8503.74</v>
          </cell>
          <cell r="G995">
            <v>0.09</v>
          </cell>
          <cell r="H995">
            <v>2</v>
          </cell>
          <cell r="I995" t="str">
            <v>UK</v>
          </cell>
          <cell r="J995" t="str">
            <v>Walmart</v>
          </cell>
        </row>
        <row r="996">
          <cell r="A996" t="str">
            <v>15-03-2021</v>
          </cell>
          <cell r="B996" t="str">
            <v>Fish Oil</v>
          </cell>
          <cell r="C996" t="str">
            <v>Omega</v>
          </cell>
          <cell r="D996">
            <v>118</v>
          </cell>
          <cell r="E996">
            <v>51.56</v>
          </cell>
          <cell r="F996">
            <v>6084.08</v>
          </cell>
          <cell r="G996">
            <v>0.19</v>
          </cell>
          <cell r="H996">
            <v>1</v>
          </cell>
          <cell r="I996" t="str">
            <v>Canada</v>
          </cell>
          <cell r="J996" t="str">
            <v>iHerb</v>
          </cell>
        </row>
        <row r="997">
          <cell r="A997" t="str">
            <v>15-03-2021</v>
          </cell>
          <cell r="B997" t="str">
            <v>Multivitamin</v>
          </cell>
          <cell r="C997" t="str">
            <v>Vitamin</v>
          </cell>
          <cell r="D997">
            <v>146</v>
          </cell>
          <cell r="E997">
            <v>10.01</v>
          </cell>
          <cell r="F997">
            <v>1461.46</v>
          </cell>
          <cell r="G997">
            <v>0.06</v>
          </cell>
          <cell r="H997">
            <v>0</v>
          </cell>
          <cell r="I997" t="str">
            <v>USA</v>
          </cell>
          <cell r="J997" t="str">
            <v>iHerb</v>
          </cell>
        </row>
        <row r="998">
          <cell r="A998" t="str">
            <v>15-03-2021</v>
          </cell>
          <cell r="B998" t="str">
            <v>Pre-Workout</v>
          </cell>
          <cell r="C998" t="str">
            <v>Performance</v>
          </cell>
          <cell r="D998">
            <v>141</v>
          </cell>
          <cell r="E998">
            <v>23.98</v>
          </cell>
          <cell r="F998">
            <v>3381.18</v>
          </cell>
          <cell r="G998">
            <v>0.05</v>
          </cell>
          <cell r="H998">
            <v>1</v>
          </cell>
          <cell r="I998" t="str">
            <v>Canada</v>
          </cell>
          <cell r="J998" t="str">
            <v>Walmart</v>
          </cell>
        </row>
        <row r="999">
          <cell r="A999" t="str">
            <v>15-03-2021</v>
          </cell>
          <cell r="B999" t="str">
            <v>BCAA</v>
          </cell>
          <cell r="C999" t="str">
            <v>Amino Acid</v>
          </cell>
          <cell r="D999">
            <v>166</v>
          </cell>
          <cell r="E999">
            <v>13.93</v>
          </cell>
          <cell r="F999">
            <v>2312.38</v>
          </cell>
          <cell r="G999">
            <v>0.09</v>
          </cell>
          <cell r="H999">
            <v>2</v>
          </cell>
          <cell r="I999" t="str">
            <v>UK</v>
          </cell>
          <cell r="J999" t="str">
            <v>iHerb</v>
          </cell>
        </row>
        <row r="1000">
          <cell r="A1000" t="str">
            <v>15-03-2021</v>
          </cell>
          <cell r="B1000" t="str">
            <v>Creatine</v>
          </cell>
          <cell r="C1000" t="str">
            <v>Performance</v>
          </cell>
          <cell r="D1000">
            <v>152</v>
          </cell>
          <cell r="E1000">
            <v>57.98</v>
          </cell>
          <cell r="F1000">
            <v>8812.9599999999991</v>
          </cell>
          <cell r="G1000">
            <v>0.2</v>
          </cell>
          <cell r="H1000">
            <v>2</v>
          </cell>
          <cell r="I1000" t="str">
            <v>USA</v>
          </cell>
          <cell r="J1000" t="str">
            <v>Amazon</v>
          </cell>
        </row>
        <row r="1001">
          <cell r="A1001" t="str">
            <v>15-03-2021</v>
          </cell>
          <cell r="B1001" t="str">
            <v>Zinc</v>
          </cell>
          <cell r="C1001" t="str">
            <v>Mineral</v>
          </cell>
          <cell r="D1001">
            <v>150</v>
          </cell>
          <cell r="E1001">
            <v>59.22</v>
          </cell>
          <cell r="F1001">
            <v>8883</v>
          </cell>
          <cell r="G1001">
            <v>0.1</v>
          </cell>
          <cell r="H1001">
            <v>0</v>
          </cell>
          <cell r="I1001" t="str">
            <v>Canada</v>
          </cell>
          <cell r="J1001" t="str">
            <v>iHerb</v>
          </cell>
        </row>
        <row r="1002">
          <cell r="A1002" t="str">
            <v>15-03-2021</v>
          </cell>
          <cell r="B1002" t="str">
            <v>Collagen Peptides</v>
          </cell>
          <cell r="C1002" t="str">
            <v>Protein</v>
          </cell>
          <cell r="D1002">
            <v>156</v>
          </cell>
          <cell r="E1002">
            <v>39.29</v>
          </cell>
          <cell r="F1002">
            <v>6129.24</v>
          </cell>
          <cell r="G1002">
            <v>0.15</v>
          </cell>
          <cell r="H1002">
            <v>1</v>
          </cell>
          <cell r="I1002" t="str">
            <v>UK</v>
          </cell>
          <cell r="J1002" t="str">
            <v>Walmart</v>
          </cell>
        </row>
        <row r="1003">
          <cell r="A1003" t="str">
            <v>15-03-2021</v>
          </cell>
          <cell r="B1003" t="str">
            <v>Magnesium</v>
          </cell>
          <cell r="C1003" t="str">
            <v>Mineral</v>
          </cell>
          <cell r="D1003">
            <v>164</v>
          </cell>
          <cell r="E1003">
            <v>32.43</v>
          </cell>
          <cell r="F1003">
            <v>5318.52</v>
          </cell>
          <cell r="G1003">
            <v>0.13</v>
          </cell>
          <cell r="H1003">
            <v>2</v>
          </cell>
          <cell r="I1003" t="str">
            <v>Canada</v>
          </cell>
          <cell r="J1003" t="str">
            <v>Amazon</v>
          </cell>
        </row>
        <row r="1004">
          <cell r="A1004" t="str">
            <v>15-03-2021</v>
          </cell>
          <cell r="B1004" t="str">
            <v>Ashwagandha</v>
          </cell>
          <cell r="C1004" t="str">
            <v>Herbal</v>
          </cell>
          <cell r="D1004">
            <v>161</v>
          </cell>
          <cell r="E1004">
            <v>42.3</v>
          </cell>
          <cell r="F1004">
            <v>6810.3</v>
          </cell>
          <cell r="G1004">
            <v>0.04</v>
          </cell>
          <cell r="H1004">
            <v>4</v>
          </cell>
          <cell r="I1004" t="str">
            <v>UK</v>
          </cell>
          <cell r="J1004" t="str">
            <v>Amazon</v>
          </cell>
        </row>
        <row r="1005">
          <cell r="A1005" t="str">
            <v>15-03-2021</v>
          </cell>
          <cell r="B1005" t="str">
            <v>Melatonin</v>
          </cell>
          <cell r="C1005" t="str">
            <v>Sleep Aid</v>
          </cell>
          <cell r="D1005">
            <v>146</v>
          </cell>
          <cell r="E1005">
            <v>11.02</v>
          </cell>
          <cell r="F1005">
            <v>1608.92</v>
          </cell>
          <cell r="G1005">
            <v>0.05</v>
          </cell>
          <cell r="H1005">
            <v>1</v>
          </cell>
          <cell r="I1005" t="str">
            <v>Canada</v>
          </cell>
          <cell r="J1005" t="str">
            <v>Amazon</v>
          </cell>
        </row>
        <row r="1006">
          <cell r="A1006" t="str">
            <v>15-03-2021</v>
          </cell>
          <cell r="B1006" t="str">
            <v>Biotin</v>
          </cell>
          <cell r="C1006" t="str">
            <v>Vitamin</v>
          </cell>
          <cell r="D1006">
            <v>167</v>
          </cell>
          <cell r="E1006">
            <v>56.49</v>
          </cell>
          <cell r="F1006">
            <v>9433.83</v>
          </cell>
          <cell r="G1006">
            <v>0.12</v>
          </cell>
          <cell r="H1006">
            <v>1</v>
          </cell>
          <cell r="I1006" t="str">
            <v>USA</v>
          </cell>
          <cell r="J1006" t="str">
            <v>iHerb</v>
          </cell>
        </row>
        <row r="1007">
          <cell r="A1007" t="str">
            <v>15-03-2021</v>
          </cell>
          <cell r="B1007" t="str">
            <v>Green Tea Extract</v>
          </cell>
          <cell r="C1007" t="str">
            <v>Fat Burner</v>
          </cell>
          <cell r="D1007">
            <v>133</v>
          </cell>
          <cell r="E1007">
            <v>22.35</v>
          </cell>
          <cell r="F1007">
            <v>2972.55</v>
          </cell>
          <cell r="G1007">
            <v>0.22</v>
          </cell>
          <cell r="H1007">
            <v>3</v>
          </cell>
          <cell r="I1007" t="str">
            <v>UK</v>
          </cell>
          <cell r="J1007" t="str">
            <v>Walmart</v>
          </cell>
        </row>
        <row r="1008">
          <cell r="A1008" t="str">
            <v>15-03-2021</v>
          </cell>
          <cell r="B1008" t="str">
            <v>Iron Supplement</v>
          </cell>
          <cell r="C1008" t="str">
            <v>Mineral</v>
          </cell>
          <cell r="D1008">
            <v>176</v>
          </cell>
          <cell r="E1008">
            <v>43.85</v>
          </cell>
          <cell r="F1008">
            <v>7717.6</v>
          </cell>
          <cell r="G1008">
            <v>0.19</v>
          </cell>
          <cell r="H1008">
            <v>0</v>
          </cell>
          <cell r="I1008" t="str">
            <v>UK</v>
          </cell>
          <cell r="J1008" t="str">
            <v>Amazon</v>
          </cell>
        </row>
        <row r="1009">
          <cell r="A1009" t="str">
            <v>15-03-2021</v>
          </cell>
          <cell r="B1009" t="str">
            <v>Electrolyte Powder</v>
          </cell>
          <cell r="C1009" t="str">
            <v>Hydration</v>
          </cell>
          <cell r="D1009">
            <v>154</v>
          </cell>
          <cell r="E1009">
            <v>34.880000000000003</v>
          </cell>
          <cell r="F1009">
            <v>5371.52</v>
          </cell>
          <cell r="G1009">
            <v>0.04</v>
          </cell>
          <cell r="H1009">
            <v>0</v>
          </cell>
          <cell r="I1009" t="str">
            <v>Canada</v>
          </cell>
          <cell r="J1009" t="str">
            <v>iHerb</v>
          </cell>
        </row>
        <row r="1010">
          <cell r="A1010" t="str">
            <v>22-03-2021</v>
          </cell>
          <cell r="B1010" t="str">
            <v>Whey Protein</v>
          </cell>
          <cell r="C1010" t="str">
            <v>Protein</v>
          </cell>
          <cell r="D1010">
            <v>145</v>
          </cell>
          <cell r="E1010">
            <v>41.16</v>
          </cell>
          <cell r="F1010">
            <v>5968.2</v>
          </cell>
          <cell r="G1010">
            <v>0.02</v>
          </cell>
          <cell r="H1010">
            <v>1</v>
          </cell>
          <cell r="I1010" t="str">
            <v>UK</v>
          </cell>
          <cell r="J1010" t="str">
            <v>Walmart</v>
          </cell>
        </row>
        <row r="1011">
          <cell r="A1011" t="str">
            <v>22-03-2021</v>
          </cell>
          <cell r="B1011" t="str">
            <v>Vitamin C</v>
          </cell>
          <cell r="C1011" t="str">
            <v>Vitamin</v>
          </cell>
          <cell r="D1011">
            <v>137</v>
          </cell>
          <cell r="E1011">
            <v>41.87</v>
          </cell>
          <cell r="F1011">
            <v>5736.19</v>
          </cell>
          <cell r="G1011">
            <v>0.14000000000000001</v>
          </cell>
          <cell r="H1011">
            <v>2</v>
          </cell>
          <cell r="I1011" t="str">
            <v>USA</v>
          </cell>
          <cell r="J1011" t="str">
            <v>Walmart</v>
          </cell>
        </row>
        <row r="1012">
          <cell r="A1012" t="str">
            <v>22-03-2021</v>
          </cell>
          <cell r="B1012" t="str">
            <v>Fish Oil</v>
          </cell>
          <cell r="C1012" t="str">
            <v>Omega</v>
          </cell>
          <cell r="D1012">
            <v>144</v>
          </cell>
          <cell r="E1012">
            <v>31.64</v>
          </cell>
          <cell r="F1012">
            <v>4556.16</v>
          </cell>
          <cell r="G1012">
            <v>0.12</v>
          </cell>
          <cell r="H1012">
            <v>2</v>
          </cell>
          <cell r="I1012" t="str">
            <v>UK</v>
          </cell>
          <cell r="J1012" t="str">
            <v>Amazon</v>
          </cell>
        </row>
        <row r="1013">
          <cell r="A1013" t="str">
            <v>22-03-2021</v>
          </cell>
          <cell r="B1013" t="str">
            <v>Multivitamin</v>
          </cell>
          <cell r="C1013" t="str">
            <v>Vitamin</v>
          </cell>
          <cell r="D1013">
            <v>154</v>
          </cell>
          <cell r="E1013">
            <v>14.29</v>
          </cell>
          <cell r="F1013">
            <v>2200.66</v>
          </cell>
          <cell r="G1013">
            <v>0.02</v>
          </cell>
          <cell r="H1013">
            <v>3</v>
          </cell>
          <cell r="I1013" t="str">
            <v>UK</v>
          </cell>
          <cell r="J1013" t="str">
            <v>Walmart</v>
          </cell>
        </row>
        <row r="1014">
          <cell r="A1014" t="str">
            <v>22-03-2021</v>
          </cell>
          <cell r="B1014" t="str">
            <v>Pre-Workout</v>
          </cell>
          <cell r="C1014" t="str">
            <v>Performance</v>
          </cell>
          <cell r="D1014">
            <v>157</v>
          </cell>
          <cell r="E1014">
            <v>27.84</v>
          </cell>
          <cell r="F1014">
            <v>4370.88</v>
          </cell>
          <cell r="G1014">
            <v>0.15</v>
          </cell>
          <cell r="H1014">
            <v>3</v>
          </cell>
          <cell r="I1014" t="str">
            <v>UK</v>
          </cell>
          <cell r="J1014" t="str">
            <v>Amazon</v>
          </cell>
        </row>
        <row r="1015">
          <cell r="A1015" t="str">
            <v>22-03-2021</v>
          </cell>
          <cell r="B1015" t="str">
            <v>BCAA</v>
          </cell>
          <cell r="C1015" t="str">
            <v>Amino Acid</v>
          </cell>
          <cell r="D1015">
            <v>120</v>
          </cell>
          <cell r="E1015">
            <v>54.49</v>
          </cell>
          <cell r="F1015">
            <v>6538.8</v>
          </cell>
          <cell r="G1015">
            <v>0</v>
          </cell>
          <cell r="H1015">
            <v>0</v>
          </cell>
          <cell r="I1015" t="str">
            <v>UK</v>
          </cell>
          <cell r="J1015" t="str">
            <v>Walmart</v>
          </cell>
        </row>
        <row r="1016">
          <cell r="A1016" t="str">
            <v>22-03-2021</v>
          </cell>
          <cell r="B1016" t="str">
            <v>Creatine</v>
          </cell>
          <cell r="C1016" t="str">
            <v>Performance</v>
          </cell>
          <cell r="D1016">
            <v>141</v>
          </cell>
          <cell r="E1016">
            <v>11.41</v>
          </cell>
          <cell r="F1016">
            <v>1608.81</v>
          </cell>
          <cell r="G1016">
            <v>0.06</v>
          </cell>
          <cell r="H1016">
            <v>3</v>
          </cell>
          <cell r="I1016" t="str">
            <v>Canada</v>
          </cell>
          <cell r="J1016" t="str">
            <v>Walmart</v>
          </cell>
        </row>
        <row r="1017">
          <cell r="A1017" t="str">
            <v>22-03-2021</v>
          </cell>
          <cell r="B1017" t="str">
            <v>Zinc</v>
          </cell>
          <cell r="C1017" t="str">
            <v>Mineral</v>
          </cell>
          <cell r="D1017">
            <v>147</v>
          </cell>
          <cell r="E1017">
            <v>55.91</v>
          </cell>
          <cell r="F1017">
            <v>8218.77</v>
          </cell>
          <cell r="G1017">
            <v>0.1</v>
          </cell>
          <cell r="H1017">
            <v>0</v>
          </cell>
          <cell r="I1017" t="str">
            <v>Canada</v>
          </cell>
          <cell r="J1017" t="str">
            <v>Amazon</v>
          </cell>
        </row>
        <row r="1018">
          <cell r="A1018" t="str">
            <v>22-03-2021</v>
          </cell>
          <cell r="B1018" t="str">
            <v>Collagen Peptides</v>
          </cell>
          <cell r="C1018" t="str">
            <v>Protein</v>
          </cell>
          <cell r="D1018">
            <v>151</v>
          </cell>
          <cell r="E1018">
            <v>50.22</v>
          </cell>
          <cell r="F1018">
            <v>7583.22</v>
          </cell>
          <cell r="G1018">
            <v>0.02</v>
          </cell>
          <cell r="H1018">
            <v>2</v>
          </cell>
          <cell r="I1018" t="str">
            <v>USA</v>
          </cell>
          <cell r="J1018" t="str">
            <v>Amazon</v>
          </cell>
        </row>
        <row r="1019">
          <cell r="A1019" t="str">
            <v>22-03-2021</v>
          </cell>
          <cell r="B1019" t="str">
            <v>Magnesium</v>
          </cell>
          <cell r="C1019" t="str">
            <v>Mineral</v>
          </cell>
          <cell r="D1019">
            <v>152</v>
          </cell>
          <cell r="E1019">
            <v>16.12</v>
          </cell>
          <cell r="F1019">
            <v>2450.2399999999998</v>
          </cell>
          <cell r="G1019">
            <v>0.13</v>
          </cell>
          <cell r="H1019">
            <v>3</v>
          </cell>
          <cell r="I1019" t="str">
            <v>UK</v>
          </cell>
          <cell r="J1019" t="str">
            <v>Walmart</v>
          </cell>
        </row>
        <row r="1020">
          <cell r="A1020" t="str">
            <v>22-03-2021</v>
          </cell>
          <cell r="B1020" t="str">
            <v>Ashwagandha</v>
          </cell>
          <cell r="C1020" t="str">
            <v>Herbal</v>
          </cell>
          <cell r="D1020">
            <v>147</v>
          </cell>
          <cell r="E1020">
            <v>13.52</v>
          </cell>
          <cell r="F1020">
            <v>1987.44</v>
          </cell>
          <cell r="G1020">
            <v>7.0000000000000007E-2</v>
          </cell>
          <cell r="H1020">
            <v>1</v>
          </cell>
          <cell r="I1020" t="str">
            <v>UK</v>
          </cell>
          <cell r="J1020" t="str">
            <v>iHerb</v>
          </cell>
        </row>
        <row r="1021">
          <cell r="A1021" t="str">
            <v>22-03-2021</v>
          </cell>
          <cell r="B1021" t="str">
            <v>Melatonin</v>
          </cell>
          <cell r="C1021" t="str">
            <v>Sleep Aid</v>
          </cell>
          <cell r="D1021">
            <v>176</v>
          </cell>
          <cell r="E1021">
            <v>33.04</v>
          </cell>
          <cell r="F1021">
            <v>5815.04</v>
          </cell>
          <cell r="G1021">
            <v>0.17</v>
          </cell>
          <cell r="H1021">
            <v>0</v>
          </cell>
          <cell r="I1021" t="str">
            <v>Canada</v>
          </cell>
          <cell r="J1021" t="str">
            <v>iHerb</v>
          </cell>
        </row>
        <row r="1022">
          <cell r="A1022" t="str">
            <v>22-03-2021</v>
          </cell>
          <cell r="B1022" t="str">
            <v>Biotin</v>
          </cell>
          <cell r="C1022" t="str">
            <v>Vitamin</v>
          </cell>
          <cell r="D1022">
            <v>149</v>
          </cell>
          <cell r="E1022">
            <v>53.34</v>
          </cell>
          <cell r="F1022">
            <v>7947.66</v>
          </cell>
          <cell r="G1022">
            <v>0.16</v>
          </cell>
          <cell r="H1022">
            <v>2</v>
          </cell>
          <cell r="I1022" t="str">
            <v>UK</v>
          </cell>
          <cell r="J1022" t="str">
            <v>Walmart</v>
          </cell>
        </row>
        <row r="1023">
          <cell r="A1023" t="str">
            <v>22-03-2021</v>
          </cell>
          <cell r="B1023" t="str">
            <v>Green Tea Extract</v>
          </cell>
          <cell r="C1023" t="str">
            <v>Fat Burner</v>
          </cell>
          <cell r="D1023">
            <v>134</v>
          </cell>
          <cell r="E1023">
            <v>16.63</v>
          </cell>
          <cell r="F1023">
            <v>2228.42</v>
          </cell>
          <cell r="G1023">
            <v>0.19</v>
          </cell>
          <cell r="H1023">
            <v>1</v>
          </cell>
          <cell r="I1023" t="str">
            <v>Canada</v>
          </cell>
          <cell r="J1023" t="str">
            <v>Amazon</v>
          </cell>
        </row>
        <row r="1024">
          <cell r="A1024" t="str">
            <v>22-03-2021</v>
          </cell>
          <cell r="B1024" t="str">
            <v>Iron Supplement</v>
          </cell>
          <cell r="C1024" t="str">
            <v>Mineral</v>
          </cell>
          <cell r="D1024">
            <v>173</v>
          </cell>
          <cell r="E1024">
            <v>47.69</v>
          </cell>
          <cell r="F1024">
            <v>8250.3700000000008</v>
          </cell>
          <cell r="G1024">
            <v>0.05</v>
          </cell>
          <cell r="H1024">
            <v>1</v>
          </cell>
          <cell r="I1024" t="str">
            <v>UK</v>
          </cell>
          <cell r="J1024" t="str">
            <v>iHerb</v>
          </cell>
        </row>
        <row r="1025">
          <cell r="A1025" t="str">
            <v>22-03-2021</v>
          </cell>
          <cell r="B1025" t="str">
            <v>Electrolyte Powder</v>
          </cell>
          <cell r="C1025" t="str">
            <v>Hydration</v>
          </cell>
          <cell r="D1025">
            <v>154</v>
          </cell>
          <cell r="E1025">
            <v>15.2</v>
          </cell>
          <cell r="F1025">
            <v>2340.8000000000002</v>
          </cell>
          <cell r="G1025">
            <v>0.24</v>
          </cell>
          <cell r="H1025">
            <v>3</v>
          </cell>
          <cell r="I1025" t="str">
            <v>USA</v>
          </cell>
          <cell r="J1025" t="str">
            <v>Amazon</v>
          </cell>
        </row>
        <row r="1026">
          <cell r="A1026" t="str">
            <v>29-03-2021</v>
          </cell>
          <cell r="B1026" t="str">
            <v>Whey Protein</v>
          </cell>
          <cell r="C1026" t="str">
            <v>Protein</v>
          </cell>
          <cell r="D1026">
            <v>141</v>
          </cell>
          <cell r="E1026">
            <v>35.92</v>
          </cell>
          <cell r="F1026">
            <v>5064.72</v>
          </cell>
          <cell r="G1026">
            <v>0.12</v>
          </cell>
          <cell r="H1026">
            <v>1</v>
          </cell>
          <cell r="I1026" t="str">
            <v>Canada</v>
          </cell>
          <cell r="J1026" t="str">
            <v>Amazon</v>
          </cell>
        </row>
        <row r="1027">
          <cell r="A1027" t="str">
            <v>29-03-2021</v>
          </cell>
          <cell r="B1027" t="str">
            <v>Vitamin C</v>
          </cell>
          <cell r="C1027" t="str">
            <v>Vitamin</v>
          </cell>
          <cell r="D1027">
            <v>153</v>
          </cell>
          <cell r="E1027">
            <v>30.55</v>
          </cell>
          <cell r="F1027">
            <v>4674.1499999999996</v>
          </cell>
          <cell r="G1027">
            <v>0.16</v>
          </cell>
          <cell r="H1027">
            <v>2</v>
          </cell>
          <cell r="I1027" t="str">
            <v>Canada</v>
          </cell>
          <cell r="J1027" t="str">
            <v>Walmart</v>
          </cell>
        </row>
        <row r="1028">
          <cell r="A1028" t="str">
            <v>29-03-2021</v>
          </cell>
          <cell r="B1028" t="str">
            <v>Fish Oil</v>
          </cell>
          <cell r="C1028" t="str">
            <v>Omega</v>
          </cell>
          <cell r="D1028">
            <v>158</v>
          </cell>
          <cell r="E1028">
            <v>52.99</v>
          </cell>
          <cell r="F1028">
            <v>8372.42</v>
          </cell>
          <cell r="G1028">
            <v>0.11</v>
          </cell>
          <cell r="H1028">
            <v>1</v>
          </cell>
          <cell r="I1028" t="str">
            <v>USA</v>
          </cell>
          <cell r="J1028" t="str">
            <v>Amazon</v>
          </cell>
        </row>
        <row r="1029">
          <cell r="A1029" t="str">
            <v>29-03-2021</v>
          </cell>
          <cell r="B1029" t="str">
            <v>Multivitamin</v>
          </cell>
          <cell r="C1029" t="str">
            <v>Vitamin</v>
          </cell>
          <cell r="D1029">
            <v>140</v>
          </cell>
          <cell r="E1029">
            <v>54.34</v>
          </cell>
          <cell r="F1029">
            <v>7607.6</v>
          </cell>
          <cell r="G1029">
            <v>0.09</v>
          </cell>
          <cell r="H1029">
            <v>2</v>
          </cell>
          <cell r="I1029" t="str">
            <v>UK</v>
          </cell>
          <cell r="J1029" t="str">
            <v>Walmart</v>
          </cell>
        </row>
        <row r="1030">
          <cell r="A1030" t="str">
            <v>29-03-2021</v>
          </cell>
          <cell r="B1030" t="str">
            <v>Pre-Workout</v>
          </cell>
          <cell r="C1030" t="str">
            <v>Performance</v>
          </cell>
          <cell r="D1030">
            <v>131</v>
          </cell>
          <cell r="E1030">
            <v>59.58</v>
          </cell>
          <cell r="F1030">
            <v>7804.98</v>
          </cell>
          <cell r="G1030">
            <v>0.19</v>
          </cell>
          <cell r="H1030">
            <v>0</v>
          </cell>
          <cell r="I1030" t="str">
            <v>UK</v>
          </cell>
          <cell r="J1030" t="str">
            <v>Walmart</v>
          </cell>
        </row>
        <row r="1031">
          <cell r="A1031" t="str">
            <v>29-03-2021</v>
          </cell>
          <cell r="B1031" t="str">
            <v>BCAA</v>
          </cell>
          <cell r="C1031" t="str">
            <v>Amino Acid</v>
          </cell>
          <cell r="D1031">
            <v>150</v>
          </cell>
          <cell r="E1031">
            <v>30.48</v>
          </cell>
          <cell r="F1031">
            <v>4572</v>
          </cell>
          <cell r="G1031">
            <v>0.2</v>
          </cell>
          <cell r="H1031">
            <v>2</v>
          </cell>
          <cell r="I1031" t="str">
            <v>UK</v>
          </cell>
          <cell r="J1031" t="str">
            <v>iHerb</v>
          </cell>
        </row>
        <row r="1032">
          <cell r="A1032" t="str">
            <v>29-03-2021</v>
          </cell>
          <cell r="B1032" t="str">
            <v>Creatine</v>
          </cell>
          <cell r="C1032" t="str">
            <v>Performance</v>
          </cell>
          <cell r="D1032">
            <v>140</v>
          </cell>
          <cell r="E1032">
            <v>39.630000000000003</v>
          </cell>
          <cell r="F1032">
            <v>5548.2</v>
          </cell>
          <cell r="G1032">
            <v>0.09</v>
          </cell>
          <cell r="H1032">
            <v>1</v>
          </cell>
          <cell r="I1032" t="str">
            <v>USA</v>
          </cell>
          <cell r="J1032" t="str">
            <v>iHerb</v>
          </cell>
        </row>
        <row r="1033">
          <cell r="A1033" t="str">
            <v>29-03-2021</v>
          </cell>
          <cell r="B1033" t="str">
            <v>Zinc</v>
          </cell>
          <cell r="C1033" t="str">
            <v>Mineral</v>
          </cell>
          <cell r="D1033">
            <v>154</v>
          </cell>
          <cell r="E1033">
            <v>34.32</v>
          </cell>
          <cell r="F1033">
            <v>5285.28</v>
          </cell>
          <cell r="G1033">
            <v>0.13</v>
          </cell>
          <cell r="H1033">
            <v>0</v>
          </cell>
          <cell r="I1033" t="str">
            <v>UK</v>
          </cell>
          <cell r="J1033" t="str">
            <v>Amazon</v>
          </cell>
        </row>
        <row r="1034">
          <cell r="A1034" t="str">
            <v>29-03-2021</v>
          </cell>
          <cell r="B1034" t="str">
            <v>Collagen Peptides</v>
          </cell>
          <cell r="C1034" t="str">
            <v>Protein</v>
          </cell>
          <cell r="D1034">
            <v>162</v>
          </cell>
          <cell r="E1034">
            <v>16.55</v>
          </cell>
          <cell r="F1034">
            <v>2681.1</v>
          </cell>
          <cell r="G1034">
            <v>0.19</v>
          </cell>
          <cell r="H1034">
            <v>4</v>
          </cell>
          <cell r="I1034" t="str">
            <v>Canada</v>
          </cell>
          <cell r="J1034" t="str">
            <v>Walmart</v>
          </cell>
        </row>
        <row r="1035">
          <cell r="A1035" t="str">
            <v>29-03-2021</v>
          </cell>
          <cell r="B1035" t="str">
            <v>Magnesium</v>
          </cell>
          <cell r="C1035" t="str">
            <v>Mineral</v>
          </cell>
          <cell r="D1035">
            <v>177</v>
          </cell>
          <cell r="E1035">
            <v>16.78</v>
          </cell>
          <cell r="F1035">
            <v>2970.06</v>
          </cell>
          <cell r="G1035">
            <v>0.13</v>
          </cell>
          <cell r="H1035">
            <v>0</v>
          </cell>
          <cell r="I1035" t="str">
            <v>USA</v>
          </cell>
          <cell r="J1035" t="str">
            <v>iHerb</v>
          </cell>
        </row>
        <row r="1036">
          <cell r="A1036" t="str">
            <v>29-03-2021</v>
          </cell>
          <cell r="B1036" t="str">
            <v>Ashwagandha</v>
          </cell>
          <cell r="C1036" t="str">
            <v>Herbal</v>
          </cell>
          <cell r="D1036">
            <v>173</v>
          </cell>
          <cell r="E1036">
            <v>22.64</v>
          </cell>
          <cell r="F1036">
            <v>3916.72</v>
          </cell>
          <cell r="G1036">
            <v>0.1</v>
          </cell>
          <cell r="H1036">
            <v>1</v>
          </cell>
          <cell r="I1036" t="str">
            <v>Canada</v>
          </cell>
          <cell r="J1036" t="str">
            <v>Walmart</v>
          </cell>
        </row>
        <row r="1037">
          <cell r="A1037" t="str">
            <v>29-03-2021</v>
          </cell>
          <cell r="B1037" t="str">
            <v>Melatonin</v>
          </cell>
          <cell r="C1037" t="str">
            <v>Sleep Aid</v>
          </cell>
          <cell r="D1037">
            <v>161</v>
          </cell>
          <cell r="E1037">
            <v>18.54</v>
          </cell>
          <cell r="F1037">
            <v>2984.94</v>
          </cell>
          <cell r="G1037">
            <v>7.0000000000000007E-2</v>
          </cell>
          <cell r="H1037">
            <v>1</v>
          </cell>
          <cell r="I1037" t="str">
            <v>UK</v>
          </cell>
          <cell r="J1037" t="str">
            <v>iHerb</v>
          </cell>
        </row>
        <row r="1038">
          <cell r="A1038" t="str">
            <v>29-03-2021</v>
          </cell>
          <cell r="B1038" t="str">
            <v>Biotin</v>
          </cell>
          <cell r="C1038" t="str">
            <v>Vitamin</v>
          </cell>
          <cell r="D1038">
            <v>135</v>
          </cell>
          <cell r="E1038">
            <v>38.29</v>
          </cell>
          <cell r="F1038">
            <v>5169.1499999999996</v>
          </cell>
          <cell r="G1038">
            <v>0.18</v>
          </cell>
          <cell r="H1038">
            <v>3</v>
          </cell>
          <cell r="I1038" t="str">
            <v>UK</v>
          </cell>
          <cell r="J1038" t="str">
            <v>iHerb</v>
          </cell>
        </row>
        <row r="1039">
          <cell r="A1039" t="str">
            <v>29-03-2021</v>
          </cell>
          <cell r="B1039" t="str">
            <v>Green Tea Extract</v>
          </cell>
          <cell r="C1039" t="str">
            <v>Fat Burner</v>
          </cell>
          <cell r="D1039">
            <v>140</v>
          </cell>
          <cell r="E1039">
            <v>25.11</v>
          </cell>
          <cell r="F1039">
            <v>3515.4</v>
          </cell>
          <cell r="G1039">
            <v>0.22</v>
          </cell>
          <cell r="H1039">
            <v>4</v>
          </cell>
          <cell r="I1039" t="str">
            <v>USA</v>
          </cell>
          <cell r="J1039" t="str">
            <v>iHerb</v>
          </cell>
        </row>
        <row r="1040">
          <cell r="A1040" t="str">
            <v>29-03-2021</v>
          </cell>
          <cell r="B1040" t="str">
            <v>Iron Supplement</v>
          </cell>
          <cell r="C1040" t="str">
            <v>Mineral</v>
          </cell>
          <cell r="D1040">
            <v>165</v>
          </cell>
          <cell r="E1040">
            <v>57.37</v>
          </cell>
          <cell r="F1040">
            <v>9466.0499999999993</v>
          </cell>
          <cell r="G1040">
            <v>0.11</v>
          </cell>
          <cell r="H1040">
            <v>0</v>
          </cell>
          <cell r="I1040" t="str">
            <v>UK</v>
          </cell>
          <cell r="J1040" t="str">
            <v>iHerb</v>
          </cell>
        </row>
        <row r="1041">
          <cell r="A1041" t="str">
            <v>29-03-2021</v>
          </cell>
          <cell r="B1041" t="str">
            <v>Electrolyte Powder</v>
          </cell>
          <cell r="C1041" t="str">
            <v>Hydration</v>
          </cell>
          <cell r="D1041">
            <v>148</v>
          </cell>
          <cell r="E1041">
            <v>37.19</v>
          </cell>
          <cell r="F1041">
            <v>5504.12</v>
          </cell>
          <cell r="G1041">
            <v>0.08</v>
          </cell>
          <cell r="H1041">
            <v>1</v>
          </cell>
          <cell r="I1041" t="str">
            <v>USA</v>
          </cell>
          <cell r="J1041" t="str">
            <v>Amazon</v>
          </cell>
        </row>
        <row r="1042">
          <cell r="A1042" t="str">
            <v>05-04-2021</v>
          </cell>
          <cell r="B1042" t="str">
            <v>Whey Protein</v>
          </cell>
          <cell r="C1042" t="str">
            <v>Protein</v>
          </cell>
          <cell r="D1042">
            <v>154</v>
          </cell>
          <cell r="E1042">
            <v>43.1</v>
          </cell>
          <cell r="F1042">
            <v>6637.4</v>
          </cell>
          <cell r="G1042">
            <v>0.11</v>
          </cell>
          <cell r="H1042">
            <v>3</v>
          </cell>
          <cell r="I1042" t="str">
            <v>UK</v>
          </cell>
          <cell r="J1042" t="str">
            <v>Amazon</v>
          </cell>
        </row>
        <row r="1043">
          <cell r="A1043" t="str">
            <v>05-04-2021</v>
          </cell>
          <cell r="B1043" t="str">
            <v>Vitamin C</v>
          </cell>
          <cell r="C1043" t="str">
            <v>Vitamin</v>
          </cell>
          <cell r="D1043">
            <v>169</v>
          </cell>
          <cell r="E1043">
            <v>36.6</v>
          </cell>
          <cell r="F1043">
            <v>6185.4</v>
          </cell>
          <cell r="G1043">
            <v>7.0000000000000007E-2</v>
          </cell>
          <cell r="H1043">
            <v>0</v>
          </cell>
          <cell r="I1043" t="str">
            <v>Canada</v>
          </cell>
          <cell r="J1043" t="str">
            <v>iHerb</v>
          </cell>
        </row>
        <row r="1044">
          <cell r="A1044" t="str">
            <v>05-04-2021</v>
          </cell>
          <cell r="B1044" t="str">
            <v>Fish Oil</v>
          </cell>
          <cell r="C1044" t="str">
            <v>Omega</v>
          </cell>
          <cell r="D1044">
            <v>156</v>
          </cell>
          <cell r="E1044">
            <v>18.149999999999999</v>
          </cell>
          <cell r="F1044">
            <v>2831.4</v>
          </cell>
          <cell r="G1044">
            <v>0.2</v>
          </cell>
          <cell r="H1044">
            <v>3</v>
          </cell>
          <cell r="I1044" t="str">
            <v>UK</v>
          </cell>
          <cell r="J1044" t="str">
            <v>Amazon</v>
          </cell>
        </row>
        <row r="1045">
          <cell r="A1045" t="str">
            <v>05-04-2021</v>
          </cell>
          <cell r="B1045" t="str">
            <v>Multivitamin</v>
          </cell>
          <cell r="C1045" t="str">
            <v>Vitamin</v>
          </cell>
          <cell r="D1045">
            <v>170</v>
          </cell>
          <cell r="E1045">
            <v>55.2</v>
          </cell>
          <cell r="F1045">
            <v>9384</v>
          </cell>
          <cell r="G1045">
            <v>0.08</v>
          </cell>
          <cell r="H1045">
            <v>2</v>
          </cell>
          <cell r="I1045" t="str">
            <v>Canada</v>
          </cell>
          <cell r="J1045" t="str">
            <v>Amazon</v>
          </cell>
        </row>
        <row r="1046">
          <cell r="A1046" t="str">
            <v>05-04-2021</v>
          </cell>
          <cell r="B1046" t="str">
            <v>Pre-Workout</v>
          </cell>
          <cell r="C1046" t="str">
            <v>Performance</v>
          </cell>
          <cell r="D1046">
            <v>123</v>
          </cell>
          <cell r="E1046">
            <v>46.02</v>
          </cell>
          <cell r="F1046">
            <v>5660.46</v>
          </cell>
          <cell r="G1046">
            <v>0.11</v>
          </cell>
          <cell r="H1046">
            <v>0</v>
          </cell>
          <cell r="I1046" t="str">
            <v>UK</v>
          </cell>
          <cell r="J1046" t="str">
            <v>Amazon</v>
          </cell>
        </row>
        <row r="1047">
          <cell r="A1047" t="str">
            <v>05-04-2021</v>
          </cell>
          <cell r="B1047" t="str">
            <v>BCAA</v>
          </cell>
          <cell r="C1047" t="str">
            <v>Amino Acid</v>
          </cell>
          <cell r="D1047">
            <v>138</v>
          </cell>
          <cell r="E1047">
            <v>10.02</v>
          </cell>
          <cell r="F1047">
            <v>1382.76</v>
          </cell>
          <cell r="G1047">
            <v>0.2</v>
          </cell>
          <cell r="H1047">
            <v>0</v>
          </cell>
          <cell r="I1047" t="str">
            <v>Canada</v>
          </cell>
          <cell r="J1047" t="str">
            <v>Walmart</v>
          </cell>
        </row>
        <row r="1048">
          <cell r="A1048" t="str">
            <v>05-04-2021</v>
          </cell>
          <cell r="B1048" t="str">
            <v>Creatine</v>
          </cell>
          <cell r="C1048" t="str">
            <v>Performance</v>
          </cell>
          <cell r="D1048">
            <v>138</v>
          </cell>
          <cell r="E1048">
            <v>34.24</v>
          </cell>
          <cell r="F1048">
            <v>4725.12</v>
          </cell>
          <cell r="G1048">
            <v>0.09</v>
          </cell>
          <cell r="H1048">
            <v>1</v>
          </cell>
          <cell r="I1048" t="str">
            <v>Canada</v>
          </cell>
          <cell r="J1048" t="str">
            <v>Walmart</v>
          </cell>
        </row>
        <row r="1049">
          <cell r="A1049" t="str">
            <v>05-04-2021</v>
          </cell>
          <cell r="B1049" t="str">
            <v>Zinc</v>
          </cell>
          <cell r="C1049" t="str">
            <v>Mineral</v>
          </cell>
          <cell r="D1049">
            <v>166</v>
          </cell>
          <cell r="E1049">
            <v>14.73</v>
          </cell>
          <cell r="F1049">
            <v>2445.1799999999998</v>
          </cell>
          <cell r="G1049">
            <v>0.19</v>
          </cell>
          <cell r="H1049">
            <v>2</v>
          </cell>
          <cell r="I1049" t="str">
            <v>USA</v>
          </cell>
          <cell r="J1049" t="str">
            <v>iHerb</v>
          </cell>
        </row>
        <row r="1050">
          <cell r="A1050" t="str">
            <v>05-04-2021</v>
          </cell>
          <cell r="B1050" t="str">
            <v>Collagen Peptides</v>
          </cell>
          <cell r="C1050" t="str">
            <v>Protein</v>
          </cell>
          <cell r="D1050">
            <v>152</v>
          </cell>
          <cell r="E1050">
            <v>17.02</v>
          </cell>
          <cell r="F1050">
            <v>2587.04</v>
          </cell>
          <cell r="G1050">
            <v>0.16</v>
          </cell>
          <cell r="H1050">
            <v>0</v>
          </cell>
          <cell r="I1050" t="str">
            <v>Canada</v>
          </cell>
          <cell r="J1050" t="str">
            <v>iHerb</v>
          </cell>
        </row>
        <row r="1051">
          <cell r="A1051" t="str">
            <v>05-04-2021</v>
          </cell>
          <cell r="B1051" t="str">
            <v>Magnesium</v>
          </cell>
          <cell r="C1051" t="str">
            <v>Mineral</v>
          </cell>
          <cell r="D1051">
            <v>150</v>
          </cell>
          <cell r="E1051">
            <v>24.18</v>
          </cell>
          <cell r="F1051">
            <v>3627</v>
          </cell>
          <cell r="G1051">
            <v>0.24</v>
          </cell>
          <cell r="H1051">
            <v>3</v>
          </cell>
          <cell r="I1051" t="str">
            <v>UK</v>
          </cell>
          <cell r="J1051" t="str">
            <v>iHerb</v>
          </cell>
        </row>
        <row r="1052">
          <cell r="A1052" t="str">
            <v>05-04-2021</v>
          </cell>
          <cell r="B1052" t="str">
            <v>Ashwagandha</v>
          </cell>
          <cell r="C1052" t="str">
            <v>Herbal</v>
          </cell>
          <cell r="D1052">
            <v>158</v>
          </cell>
          <cell r="E1052">
            <v>15.31</v>
          </cell>
          <cell r="F1052">
            <v>2418.98</v>
          </cell>
          <cell r="G1052">
            <v>0.12</v>
          </cell>
          <cell r="H1052">
            <v>0</v>
          </cell>
          <cell r="I1052" t="str">
            <v>Canada</v>
          </cell>
          <cell r="J1052" t="str">
            <v>Amazon</v>
          </cell>
        </row>
        <row r="1053">
          <cell r="A1053" t="str">
            <v>05-04-2021</v>
          </cell>
          <cell r="B1053" t="str">
            <v>Melatonin</v>
          </cell>
          <cell r="C1053" t="str">
            <v>Sleep Aid</v>
          </cell>
          <cell r="D1053">
            <v>149</v>
          </cell>
          <cell r="E1053">
            <v>41.97</v>
          </cell>
          <cell r="F1053">
            <v>6253.53</v>
          </cell>
          <cell r="G1053">
            <v>0.03</v>
          </cell>
          <cell r="H1053">
            <v>1</v>
          </cell>
          <cell r="I1053" t="str">
            <v>Canada</v>
          </cell>
          <cell r="J1053" t="str">
            <v>iHerb</v>
          </cell>
        </row>
        <row r="1054">
          <cell r="A1054" t="str">
            <v>05-04-2021</v>
          </cell>
          <cell r="B1054" t="str">
            <v>Biotin</v>
          </cell>
          <cell r="C1054" t="str">
            <v>Vitamin</v>
          </cell>
          <cell r="D1054">
            <v>142</v>
          </cell>
          <cell r="E1054">
            <v>12.03</v>
          </cell>
          <cell r="F1054">
            <v>1708.26</v>
          </cell>
          <cell r="G1054">
            <v>0.23</v>
          </cell>
          <cell r="H1054">
            <v>3</v>
          </cell>
          <cell r="I1054" t="str">
            <v>UK</v>
          </cell>
          <cell r="J1054" t="str">
            <v>Amazon</v>
          </cell>
        </row>
        <row r="1055">
          <cell r="A1055" t="str">
            <v>05-04-2021</v>
          </cell>
          <cell r="B1055" t="str">
            <v>Green Tea Extract</v>
          </cell>
          <cell r="C1055" t="str">
            <v>Fat Burner</v>
          </cell>
          <cell r="D1055">
            <v>142</v>
          </cell>
          <cell r="E1055">
            <v>11.56</v>
          </cell>
          <cell r="F1055">
            <v>1641.52</v>
          </cell>
          <cell r="G1055">
            <v>0.24</v>
          </cell>
          <cell r="H1055">
            <v>1</v>
          </cell>
          <cell r="I1055" t="str">
            <v>UK</v>
          </cell>
          <cell r="J1055" t="str">
            <v>Amazon</v>
          </cell>
        </row>
        <row r="1056">
          <cell r="A1056" t="str">
            <v>05-04-2021</v>
          </cell>
          <cell r="B1056" t="str">
            <v>Iron Supplement</v>
          </cell>
          <cell r="C1056" t="str">
            <v>Mineral</v>
          </cell>
          <cell r="D1056">
            <v>143</v>
          </cell>
          <cell r="E1056">
            <v>13.32</v>
          </cell>
          <cell r="F1056">
            <v>1904.76</v>
          </cell>
          <cell r="G1056">
            <v>0.25</v>
          </cell>
          <cell r="H1056">
            <v>0</v>
          </cell>
          <cell r="I1056" t="str">
            <v>Canada</v>
          </cell>
          <cell r="J1056" t="str">
            <v>iHerb</v>
          </cell>
        </row>
        <row r="1057">
          <cell r="A1057" t="str">
            <v>05-04-2021</v>
          </cell>
          <cell r="B1057" t="str">
            <v>Electrolyte Powder</v>
          </cell>
          <cell r="C1057" t="str">
            <v>Hydration</v>
          </cell>
          <cell r="D1057">
            <v>156</v>
          </cell>
          <cell r="E1057">
            <v>57.45</v>
          </cell>
          <cell r="F1057">
            <v>8962.2000000000007</v>
          </cell>
          <cell r="G1057">
            <v>0.06</v>
          </cell>
          <cell r="H1057">
            <v>1</v>
          </cell>
          <cell r="I1057" t="str">
            <v>Canada</v>
          </cell>
          <cell r="J1057" t="str">
            <v>Amazon</v>
          </cell>
        </row>
        <row r="1058">
          <cell r="A1058" t="str">
            <v>12-04-2021</v>
          </cell>
          <cell r="B1058" t="str">
            <v>Whey Protein</v>
          </cell>
          <cell r="C1058" t="str">
            <v>Protein</v>
          </cell>
          <cell r="D1058">
            <v>149</v>
          </cell>
          <cell r="E1058">
            <v>13.4</v>
          </cell>
          <cell r="F1058">
            <v>1996.6</v>
          </cell>
          <cell r="G1058">
            <v>0.05</v>
          </cell>
          <cell r="H1058">
            <v>0</v>
          </cell>
          <cell r="I1058" t="str">
            <v>USA</v>
          </cell>
          <cell r="J1058" t="str">
            <v>iHerb</v>
          </cell>
        </row>
        <row r="1059">
          <cell r="A1059" t="str">
            <v>12-04-2021</v>
          </cell>
          <cell r="B1059" t="str">
            <v>Vitamin C</v>
          </cell>
          <cell r="C1059" t="str">
            <v>Vitamin</v>
          </cell>
          <cell r="D1059">
            <v>159</v>
          </cell>
          <cell r="E1059">
            <v>38.67</v>
          </cell>
          <cell r="F1059">
            <v>6148.53</v>
          </cell>
          <cell r="G1059">
            <v>0.05</v>
          </cell>
          <cell r="H1059">
            <v>3</v>
          </cell>
          <cell r="I1059" t="str">
            <v>USA</v>
          </cell>
          <cell r="J1059" t="str">
            <v>iHerb</v>
          </cell>
        </row>
        <row r="1060">
          <cell r="A1060" t="str">
            <v>12-04-2021</v>
          </cell>
          <cell r="B1060" t="str">
            <v>Fish Oil</v>
          </cell>
          <cell r="C1060" t="str">
            <v>Omega</v>
          </cell>
          <cell r="D1060">
            <v>175</v>
          </cell>
          <cell r="E1060">
            <v>27.62</v>
          </cell>
          <cell r="F1060">
            <v>4833.5</v>
          </cell>
          <cell r="G1060">
            <v>0.06</v>
          </cell>
          <cell r="H1060">
            <v>0</v>
          </cell>
          <cell r="I1060" t="str">
            <v>Canada</v>
          </cell>
          <cell r="J1060" t="str">
            <v>iHerb</v>
          </cell>
        </row>
        <row r="1061">
          <cell r="A1061" t="str">
            <v>12-04-2021</v>
          </cell>
          <cell r="B1061" t="str">
            <v>Multivitamin</v>
          </cell>
          <cell r="C1061" t="str">
            <v>Vitamin</v>
          </cell>
          <cell r="D1061">
            <v>141</v>
          </cell>
          <cell r="E1061">
            <v>36.68</v>
          </cell>
          <cell r="F1061">
            <v>5171.88</v>
          </cell>
          <cell r="G1061">
            <v>0.24</v>
          </cell>
          <cell r="H1061">
            <v>1</v>
          </cell>
          <cell r="I1061" t="str">
            <v>UK</v>
          </cell>
          <cell r="J1061" t="str">
            <v>Amazon</v>
          </cell>
        </row>
        <row r="1062">
          <cell r="A1062" t="str">
            <v>12-04-2021</v>
          </cell>
          <cell r="B1062" t="str">
            <v>Pre-Workout</v>
          </cell>
          <cell r="C1062" t="str">
            <v>Performance</v>
          </cell>
          <cell r="D1062">
            <v>157</v>
          </cell>
          <cell r="E1062">
            <v>35.630000000000003</v>
          </cell>
          <cell r="F1062">
            <v>5593.91</v>
          </cell>
          <cell r="G1062">
            <v>7.0000000000000007E-2</v>
          </cell>
          <cell r="H1062">
            <v>1</v>
          </cell>
          <cell r="I1062" t="str">
            <v>Canada</v>
          </cell>
          <cell r="J1062" t="str">
            <v>Walmart</v>
          </cell>
        </row>
        <row r="1063">
          <cell r="A1063" t="str">
            <v>12-04-2021</v>
          </cell>
          <cell r="B1063" t="str">
            <v>BCAA</v>
          </cell>
          <cell r="C1063" t="str">
            <v>Amino Acid</v>
          </cell>
          <cell r="D1063">
            <v>149</v>
          </cell>
          <cell r="E1063">
            <v>57.03</v>
          </cell>
          <cell r="F1063">
            <v>8497.4699999999993</v>
          </cell>
          <cell r="G1063">
            <v>0.08</v>
          </cell>
          <cell r="H1063">
            <v>0</v>
          </cell>
          <cell r="I1063" t="str">
            <v>UK</v>
          </cell>
          <cell r="J1063" t="str">
            <v>Walmart</v>
          </cell>
        </row>
        <row r="1064">
          <cell r="A1064" t="str">
            <v>12-04-2021</v>
          </cell>
          <cell r="B1064" t="str">
            <v>Creatine</v>
          </cell>
          <cell r="C1064" t="str">
            <v>Performance</v>
          </cell>
          <cell r="D1064">
            <v>150</v>
          </cell>
          <cell r="E1064">
            <v>18.420000000000002</v>
          </cell>
          <cell r="F1064">
            <v>2763</v>
          </cell>
          <cell r="G1064">
            <v>0.19</v>
          </cell>
          <cell r="H1064">
            <v>5</v>
          </cell>
          <cell r="I1064" t="str">
            <v>Canada</v>
          </cell>
          <cell r="J1064" t="str">
            <v>iHerb</v>
          </cell>
        </row>
        <row r="1065">
          <cell r="A1065" t="str">
            <v>12-04-2021</v>
          </cell>
          <cell r="B1065" t="str">
            <v>Zinc</v>
          </cell>
          <cell r="C1065" t="str">
            <v>Mineral</v>
          </cell>
          <cell r="D1065">
            <v>176</v>
          </cell>
          <cell r="E1065">
            <v>53.77</v>
          </cell>
          <cell r="F1065">
            <v>9463.52</v>
          </cell>
          <cell r="G1065">
            <v>0.18</v>
          </cell>
          <cell r="H1065">
            <v>1</v>
          </cell>
          <cell r="I1065" t="str">
            <v>USA</v>
          </cell>
          <cell r="J1065" t="str">
            <v>iHerb</v>
          </cell>
        </row>
        <row r="1066">
          <cell r="A1066" t="str">
            <v>12-04-2021</v>
          </cell>
          <cell r="B1066" t="str">
            <v>Collagen Peptides</v>
          </cell>
          <cell r="C1066" t="str">
            <v>Protein</v>
          </cell>
          <cell r="D1066">
            <v>151</v>
          </cell>
          <cell r="E1066">
            <v>34.01</v>
          </cell>
          <cell r="F1066">
            <v>5135.51</v>
          </cell>
          <cell r="G1066">
            <v>0.09</v>
          </cell>
          <cell r="H1066">
            <v>1</v>
          </cell>
          <cell r="I1066" t="str">
            <v>Canada</v>
          </cell>
          <cell r="J1066" t="str">
            <v>Amazon</v>
          </cell>
        </row>
        <row r="1067">
          <cell r="A1067" t="str">
            <v>12-04-2021</v>
          </cell>
          <cell r="B1067" t="str">
            <v>Magnesium</v>
          </cell>
          <cell r="C1067" t="str">
            <v>Mineral</v>
          </cell>
          <cell r="D1067">
            <v>153</v>
          </cell>
          <cell r="E1067">
            <v>55.05</v>
          </cell>
          <cell r="F1067">
            <v>8422.65</v>
          </cell>
          <cell r="G1067">
            <v>0.17</v>
          </cell>
          <cell r="H1067">
            <v>2</v>
          </cell>
          <cell r="I1067" t="str">
            <v>USA</v>
          </cell>
          <cell r="J1067" t="str">
            <v>iHerb</v>
          </cell>
        </row>
        <row r="1068">
          <cell r="A1068" t="str">
            <v>12-04-2021</v>
          </cell>
          <cell r="B1068" t="str">
            <v>Ashwagandha</v>
          </cell>
          <cell r="C1068" t="str">
            <v>Herbal</v>
          </cell>
          <cell r="D1068">
            <v>131</v>
          </cell>
          <cell r="E1068">
            <v>16.05</v>
          </cell>
          <cell r="F1068">
            <v>2102.5500000000002</v>
          </cell>
          <cell r="G1068">
            <v>0.02</v>
          </cell>
          <cell r="H1068">
            <v>1</v>
          </cell>
          <cell r="I1068" t="str">
            <v>UK</v>
          </cell>
          <cell r="J1068" t="str">
            <v>Walmart</v>
          </cell>
        </row>
        <row r="1069">
          <cell r="A1069" t="str">
            <v>12-04-2021</v>
          </cell>
          <cell r="B1069" t="str">
            <v>Melatonin</v>
          </cell>
          <cell r="C1069" t="str">
            <v>Sleep Aid</v>
          </cell>
          <cell r="D1069">
            <v>146</v>
          </cell>
          <cell r="E1069">
            <v>14.46</v>
          </cell>
          <cell r="F1069">
            <v>2111.16</v>
          </cell>
          <cell r="G1069">
            <v>0.11</v>
          </cell>
          <cell r="H1069">
            <v>0</v>
          </cell>
          <cell r="I1069" t="str">
            <v>Canada</v>
          </cell>
          <cell r="J1069" t="str">
            <v>Walmart</v>
          </cell>
        </row>
        <row r="1070">
          <cell r="A1070" t="str">
            <v>12-04-2021</v>
          </cell>
          <cell r="B1070" t="str">
            <v>Biotin</v>
          </cell>
          <cell r="C1070" t="str">
            <v>Vitamin</v>
          </cell>
          <cell r="D1070">
            <v>157</v>
          </cell>
          <cell r="E1070">
            <v>14.74</v>
          </cell>
          <cell r="F1070">
            <v>2314.1799999999998</v>
          </cell>
          <cell r="G1070">
            <v>0.24</v>
          </cell>
          <cell r="H1070">
            <v>1</v>
          </cell>
          <cell r="I1070" t="str">
            <v>Canada</v>
          </cell>
          <cell r="J1070" t="str">
            <v>Walmart</v>
          </cell>
        </row>
        <row r="1071">
          <cell r="A1071" t="str">
            <v>12-04-2021</v>
          </cell>
          <cell r="B1071" t="str">
            <v>Green Tea Extract</v>
          </cell>
          <cell r="C1071" t="str">
            <v>Fat Burner</v>
          </cell>
          <cell r="D1071">
            <v>147</v>
          </cell>
          <cell r="E1071">
            <v>11.23</v>
          </cell>
          <cell r="F1071">
            <v>1650.81</v>
          </cell>
          <cell r="G1071">
            <v>0.2</v>
          </cell>
          <cell r="H1071">
            <v>1</v>
          </cell>
          <cell r="I1071" t="str">
            <v>Canada</v>
          </cell>
          <cell r="J1071" t="str">
            <v>Walmart</v>
          </cell>
        </row>
        <row r="1072">
          <cell r="A1072" t="str">
            <v>12-04-2021</v>
          </cell>
          <cell r="B1072" t="str">
            <v>Iron Supplement</v>
          </cell>
          <cell r="C1072" t="str">
            <v>Mineral</v>
          </cell>
          <cell r="D1072">
            <v>142</v>
          </cell>
          <cell r="E1072">
            <v>18.12</v>
          </cell>
          <cell r="F1072">
            <v>2573.04</v>
          </cell>
          <cell r="G1072">
            <v>0.22</v>
          </cell>
          <cell r="H1072">
            <v>2</v>
          </cell>
          <cell r="I1072" t="str">
            <v>UK</v>
          </cell>
          <cell r="J1072" t="str">
            <v>Walmart</v>
          </cell>
        </row>
        <row r="1073">
          <cell r="A1073" t="str">
            <v>12-04-2021</v>
          </cell>
          <cell r="B1073" t="str">
            <v>Electrolyte Powder</v>
          </cell>
          <cell r="C1073" t="str">
            <v>Hydration</v>
          </cell>
          <cell r="D1073">
            <v>140</v>
          </cell>
          <cell r="E1073">
            <v>44.53</v>
          </cell>
          <cell r="F1073">
            <v>6234.2</v>
          </cell>
          <cell r="G1073">
            <v>0.14000000000000001</v>
          </cell>
          <cell r="H1073">
            <v>1</v>
          </cell>
          <cell r="I1073" t="str">
            <v>USA</v>
          </cell>
          <cell r="J1073" t="str">
            <v>Amazon</v>
          </cell>
        </row>
        <row r="1074">
          <cell r="A1074" t="str">
            <v>19-04-2021</v>
          </cell>
          <cell r="B1074" t="str">
            <v>Whey Protein</v>
          </cell>
          <cell r="C1074" t="str">
            <v>Protein</v>
          </cell>
          <cell r="D1074">
            <v>145</v>
          </cell>
          <cell r="E1074">
            <v>43.48</v>
          </cell>
          <cell r="F1074">
            <v>6304.6</v>
          </cell>
          <cell r="G1074">
            <v>0.24</v>
          </cell>
          <cell r="H1074">
            <v>0</v>
          </cell>
          <cell r="I1074" t="str">
            <v>Canada</v>
          </cell>
          <cell r="J1074" t="str">
            <v>Walmart</v>
          </cell>
        </row>
        <row r="1075">
          <cell r="A1075" t="str">
            <v>19-04-2021</v>
          </cell>
          <cell r="B1075" t="str">
            <v>Vitamin C</v>
          </cell>
          <cell r="C1075" t="str">
            <v>Vitamin</v>
          </cell>
          <cell r="D1075">
            <v>153</v>
          </cell>
          <cell r="E1075">
            <v>32.33</v>
          </cell>
          <cell r="F1075">
            <v>4946.49</v>
          </cell>
          <cell r="G1075">
            <v>0.06</v>
          </cell>
          <cell r="H1075">
            <v>3</v>
          </cell>
          <cell r="I1075" t="str">
            <v>USA</v>
          </cell>
          <cell r="J1075" t="str">
            <v>Amazon</v>
          </cell>
        </row>
        <row r="1076">
          <cell r="A1076" t="str">
            <v>19-04-2021</v>
          </cell>
          <cell r="B1076" t="str">
            <v>Fish Oil</v>
          </cell>
          <cell r="C1076" t="str">
            <v>Omega</v>
          </cell>
          <cell r="D1076">
            <v>149</v>
          </cell>
          <cell r="E1076">
            <v>25.24</v>
          </cell>
          <cell r="F1076">
            <v>3760.76</v>
          </cell>
          <cell r="G1076">
            <v>0.05</v>
          </cell>
          <cell r="H1076">
            <v>0</v>
          </cell>
          <cell r="I1076" t="str">
            <v>USA</v>
          </cell>
          <cell r="J1076" t="str">
            <v>iHerb</v>
          </cell>
        </row>
        <row r="1077">
          <cell r="A1077" t="str">
            <v>19-04-2021</v>
          </cell>
          <cell r="B1077" t="str">
            <v>Multivitamin</v>
          </cell>
          <cell r="C1077" t="str">
            <v>Vitamin</v>
          </cell>
          <cell r="D1077">
            <v>158</v>
          </cell>
          <cell r="E1077">
            <v>44.5</v>
          </cell>
          <cell r="F1077">
            <v>7031</v>
          </cell>
          <cell r="G1077">
            <v>0.1</v>
          </cell>
          <cell r="H1077">
            <v>1</v>
          </cell>
          <cell r="I1077" t="str">
            <v>USA</v>
          </cell>
          <cell r="J1077" t="str">
            <v>Walmart</v>
          </cell>
        </row>
        <row r="1078">
          <cell r="A1078" t="str">
            <v>19-04-2021</v>
          </cell>
          <cell r="B1078" t="str">
            <v>Pre-Workout</v>
          </cell>
          <cell r="C1078" t="str">
            <v>Performance</v>
          </cell>
          <cell r="D1078">
            <v>149</v>
          </cell>
          <cell r="E1078">
            <v>15.03</v>
          </cell>
          <cell r="F1078">
            <v>2239.4699999999998</v>
          </cell>
          <cell r="G1078">
            <v>0.08</v>
          </cell>
          <cell r="H1078">
            <v>2</v>
          </cell>
          <cell r="I1078" t="str">
            <v>Canada</v>
          </cell>
          <cell r="J1078" t="str">
            <v>Amazon</v>
          </cell>
        </row>
        <row r="1079">
          <cell r="A1079" t="str">
            <v>19-04-2021</v>
          </cell>
          <cell r="B1079" t="str">
            <v>BCAA</v>
          </cell>
          <cell r="C1079" t="str">
            <v>Amino Acid</v>
          </cell>
          <cell r="D1079">
            <v>156</v>
          </cell>
          <cell r="E1079">
            <v>33.01</v>
          </cell>
          <cell r="F1079">
            <v>5149.5600000000004</v>
          </cell>
          <cell r="G1079">
            <v>0.05</v>
          </cell>
          <cell r="H1079">
            <v>1</v>
          </cell>
          <cell r="I1079" t="str">
            <v>UK</v>
          </cell>
          <cell r="J1079" t="str">
            <v>Walmart</v>
          </cell>
        </row>
        <row r="1080">
          <cell r="A1080" t="str">
            <v>19-04-2021</v>
          </cell>
          <cell r="B1080" t="str">
            <v>Creatine</v>
          </cell>
          <cell r="C1080" t="str">
            <v>Performance</v>
          </cell>
          <cell r="D1080">
            <v>139</v>
          </cell>
          <cell r="E1080">
            <v>23.98</v>
          </cell>
          <cell r="F1080">
            <v>3333.22</v>
          </cell>
          <cell r="G1080">
            <v>0.03</v>
          </cell>
          <cell r="H1080">
            <v>2</v>
          </cell>
          <cell r="I1080" t="str">
            <v>USA</v>
          </cell>
          <cell r="J1080" t="str">
            <v>iHerb</v>
          </cell>
        </row>
        <row r="1081">
          <cell r="A1081" t="str">
            <v>19-04-2021</v>
          </cell>
          <cell r="B1081" t="str">
            <v>Zinc</v>
          </cell>
          <cell r="C1081" t="str">
            <v>Mineral</v>
          </cell>
          <cell r="D1081">
            <v>128</v>
          </cell>
          <cell r="E1081">
            <v>42.24</v>
          </cell>
          <cell r="F1081">
            <v>5406.72</v>
          </cell>
          <cell r="G1081">
            <v>0.08</v>
          </cell>
          <cell r="H1081">
            <v>2</v>
          </cell>
          <cell r="I1081" t="str">
            <v>UK</v>
          </cell>
          <cell r="J1081" t="str">
            <v>iHerb</v>
          </cell>
        </row>
        <row r="1082">
          <cell r="A1082" t="str">
            <v>19-04-2021</v>
          </cell>
          <cell r="B1082" t="str">
            <v>Collagen Peptides</v>
          </cell>
          <cell r="C1082" t="str">
            <v>Protein</v>
          </cell>
          <cell r="D1082">
            <v>152</v>
          </cell>
          <cell r="E1082">
            <v>42.54</v>
          </cell>
          <cell r="F1082">
            <v>6466.08</v>
          </cell>
          <cell r="G1082">
            <v>0.03</v>
          </cell>
          <cell r="H1082">
            <v>1</v>
          </cell>
          <cell r="I1082" t="str">
            <v>USA</v>
          </cell>
          <cell r="J1082" t="str">
            <v>Walmart</v>
          </cell>
        </row>
        <row r="1083">
          <cell r="A1083" t="str">
            <v>19-04-2021</v>
          </cell>
          <cell r="B1083" t="str">
            <v>Magnesium</v>
          </cell>
          <cell r="C1083" t="str">
            <v>Mineral</v>
          </cell>
          <cell r="D1083">
            <v>148</v>
          </cell>
          <cell r="E1083">
            <v>40.200000000000003</v>
          </cell>
          <cell r="F1083">
            <v>5949.6</v>
          </cell>
          <cell r="G1083">
            <v>0.22</v>
          </cell>
          <cell r="H1083">
            <v>6</v>
          </cell>
          <cell r="I1083" t="str">
            <v>UK</v>
          </cell>
          <cell r="J1083" t="str">
            <v>Amazon</v>
          </cell>
        </row>
        <row r="1084">
          <cell r="A1084" t="str">
            <v>19-04-2021</v>
          </cell>
          <cell r="B1084" t="str">
            <v>Ashwagandha</v>
          </cell>
          <cell r="C1084" t="str">
            <v>Herbal</v>
          </cell>
          <cell r="D1084">
            <v>154</v>
          </cell>
          <cell r="E1084">
            <v>21.26</v>
          </cell>
          <cell r="F1084">
            <v>3274.04</v>
          </cell>
          <cell r="G1084">
            <v>0.06</v>
          </cell>
          <cell r="H1084">
            <v>1</v>
          </cell>
          <cell r="I1084" t="str">
            <v>UK</v>
          </cell>
          <cell r="J1084" t="str">
            <v>Walmart</v>
          </cell>
        </row>
        <row r="1085">
          <cell r="A1085" t="str">
            <v>19-04-2021</v>
          </cell>
          <cell r="B1085" t="str">
            <v>Melatonin</v>
          </cell>
          <cell r="C1085" t="str">
            <v>Sleep Aid</v>
          </cell>
          <cell r="D1085">
            <v>145</v>
          </cell>
          <cell r="E1085">
            <v>28.41</v>
          </cell>
          <cell r="F1085">
            <v>4119.45</v>
          </cell>
          <cell r="G1085">
            <v>0.09</v>
          </cell>
          <cell r="H1085">
            <v>1</v>
          </cell>
          <cell r="I1085" t="str">
            <v>Canada</v>
          </cell>
          <cell r="J1085" t="str">
            <v>iHerb</v>
          </cell>
        </row>
        <row r="1086">
          <cell r="A1086" t="str">
            <v>19-04-2021</v>
          </cell>
          <cell r="B1086" t="str">
            <v>Biotin</v>
          </cell>
          <cell r="C1086" t="str">
            <v>Vitamin</v>
          </cell>
          <cell r="D1086">
            <v>164</v>
          </cell>
          <cell r="E1086">
            <v>40.71</v>
          </cell>
          <cell r="F1086">
            <v>6676.44</v>
          </cell>
          <cell r="G1086">
            <v>0.08</v>
          </cell>
          <cell r="H1086">
            <v>3</v>
          </cell>
          <cell r="I1086" t="str">
            <v>USA</v>
          </cell>
          <cell r="J1086" t="str">
            <v>iHerb</v>
          </cell>
        </row>
        <row r="1087">
          <cell r="A1087" t="str">
            <v>19-04-2021</v>
          </cell>
          <cell r="B1087" t="str">
            <v>Green Tea Extract</v>
          </cell>
          <cell r="C1087" t="str">
            <v>Fat Burner</v>
          </cell>
          <cell r="D1087">
            <v>150</v>
          </cell>
          <cell r="E1087">
            <v>34.86</v>
          </cell>
          <cell r="F1087">
            <v>5229</v>
          </cell>
          <cell r="G1087">
            <v>0.17</v>
          </cell>
          <cell r="H1087">
            <v>0</v>
          </cell>
          <cell r="I1087" t="str">
            <v>Canada</v>
          </cell>
          <cell r="J1087" t="str">
            <v>Walmart</v>
          </cell>
        </row>
        <row r="1088">
          <cell r="A1088" t="str">
            <v>19-04-2021</v>
          </cell>
          <cell r="B1088" t="str">
            <v>Iron Supplement</v>
          </cell>
          <cell r="C1088" t="str">
            <v>Mineral</v>
          </cell>
          <cell r="D1088">
            <v>166</v>
          </cell>
          <cell r="E1088">
            <v>27.15</v>
          </cell>
          <cell r="F1088">
            <v>4506.8999999999996</v>
          </cell>
          <cell r="G1088">
            <v>0.03</v>
          </cell>
          <cell r="H1088">
            <v>1</v>
          </cell>
          <cell r="I1088" t="str">
            <v>UK</v>
          </cell>
          <cell r="J1088" t="str">
            <v>Amazon</v>
          </cell>
        </row>
        <row r="1089">
          <cell r="A1089" t="str">
            <v>19-04-2021</v>
          </cell>
          <cell r="B1089" t="str">
            <v>Electrolyte Powder</v>
          </cell>
          <cell r="C1089" t="str">
            <v>Hydration</v>
          </cell>
          <cell r="D1089">
            <v>150</v>
          </cell>
          <cell r="E1089">
            <v>43.93</v>
          </cell>
          <cell r="F1089">
            <v>6589.5</v>
          </cell>
          <cell r="G1089">
            <v>0.11</v>
          </cell>
          <cell r="H1089">
            <v>4</v>
          </cell>
          <cell r="I1089" t="str">
            <v>UK</v>
          </cell>
          <cell r="J1089" t="str">
            <v>Walmart</v>
          </cell>
        </row>
        <row r="1090">
          <cell r="A1090" t="str">
            <v>26-04-2021</v>
          </cell>
          <cell r="B1090" t="str">
            <v>Whey Protein</v>
          </cell>
          <cell r="C1090" t="str">
            <v>Protein</v>
          </cell>
          <cell r="D1090">
            <v>153</v>
          </cell>
          <cell r="E1090">
            <v>15.47</v>
          </cell>
          <cell r="F1090">
            <v>2366.91</v>
          </cell>
          <cell r="G1090">
            <v>0.1</v>
          </cell>
          <cell r="H1090">
            <v>1</v>
          </cell>
          <cell r="I1090" t="str">
            <v>USA</v>
          </cell>
          <cell r="J1090" t="str">
            <v>Amazon</v>
          </cell>
        </row>
        <row r="1091">
          <cell r="A1091" t="str">
            <v>26-04-2021</v>
          </cell>
          <cell r="B1091" t="str">
            <v>Vitamin C</v>
          </cell>
          <cell r="C1091" t="str">
            <v>Vitamin</v>
          </cell>
          <cell r="D1091">
            <v>152</v>
          </cell>
          <cell r="E1091">
            <v>13.92</v>
          </cell>
          <cell r="F1091">
            <v>2115.84</v>
          </cell>
          <cell r="G1091">
            <v>0.02</v>
          </cell>
          <cell r="H1091">
            <v>3</v>
          </cell>
          <cell r="I1091" t="str">
            <v>Canada</v>
          </cell>
          <cell r="J1091" t="str">
            <v>iHerb</v>
          </cell>
        </row>
        <row r="1092">
          <cell r="A1092" t="str">
            <v>26-04-2021</v>
          </cell>
          <cell r="B1092" t="str">
            <v>Fish Oil</v>
          </cell>
          <cell r="C1092" t="str">
            <v>Omega</v>
          </cell>
          <cell r="D1092">
            <v>139</v>
          </cell>
          <cell r="E1092">
            <v>37.14</v>
          </cell>
          <cell r="F1092">
            <v>5162.46</v>
          </cell>
          <cell r="G1092">
            <v>0.21</v>
          </cell>
          <cell r="H1092">
            <v>0</v>
          </cell>
          <cell r="I1092" t="str">
            <v>Canada</v>
          </cell>
          <cell r="J1092" t="str">
            <v>Walmart</v>
          </cell>
        </row>
        <row r="1093">
          <cell r="A1093" t="str">
            <v>26-04-2021</v>
          </cell>
          <cell r="B1093" t="str">
            <v>Multivitamin</v>
          </cell>
          <cell r="C1093" t="str">
            <v>Vitamin</v>
          </cell>
          <cell r="D1093">
            <v>134</v>
          </cell>
          <cell r="E1093">
            <v>57.32</v>
          </cell>
          <cell r="F1093">
            <v>7680.88</v>
          </cell>
          <cell r="G1093">
            <v>0.1</v>
          </cell>
          <cell r="H1093">
            <v>1</v>
          </cell>
          <cell r="I1093" t="str">
            <v>UK</v>
          </cell>
          <cell r="J1093" t="str">
            <v>iHerb</v>
          </cell>
        </row>
        <row r="1094">
          <cell r="A1094" t="str">
            <v>26-04-2021</v>
          </cell>
          <cell r="B1094" t="str">
            <v>Pre-Workout</v>
          </cell>
          <cell r="C1094" t="str">
            <v>Performance</v>
          </cell>
          <cell r="D1094">
            <v>154</v>
          </cell>
          <cell r="E1094">
            <v>51.85</v>
          </cell>
          <cell r="F1094">
            <v>7984.9</v>
          </cell>
          <cell r="G1094">
            <v>0.25</v>
          </cell>
          <cell r="H1094">
            <v>0</v>
          </cell>
          <cell r="I1094" t="str">
            <v>UK</v>
          </cell>
          <cell r="J1094" t="str">
            <v>Amazon</v>
          </cell>
        </row>
        <row r="1095">
          <cell r="A1095" t="str">
            <v>26-04-2021</v>
          </cell>
          <cell r="B1095" t="str">
            <v>BCAA</v>
          </cell>
          <cell r="C1095" t="str">
            <v>Amino Acid</v>
          </cell>
          <cell r="D1095">
            <v>133</v>
          </cell>
          <cell r="E1095">
            <v>51.03</v>
          </cell>
          <cell r="F1095">
            <v>6786.99</v>
          </cell>
          <cell r="G1095">
            <v>7.0000000000000007E-2</v>
          </cell>
          <cell r="H1095">
            <v>0</v>
          </cell>
          <cell r="I1095" t="str">
            <v>USA</v>
          </cell>
          <cell r="J1095" t="str">
            <v>Walmart</v>
          </cell>
        </row>
        <row r="1096">
          <cell r="A1096" t="str">
            <v>26-04-2021</v>
          </cell>
          <cell r="B1096" t="str">
            <v>Creatine</v>
          </cell>
          <cell r="C1096" t="str">
            <v>Performance</v>
          </cell>
          <cell r="D1096">
            <v>161</v>
          </cell>
          <cell r="E1096">
            <v>28.47</v>
          </cell>
          <cell r="F1096">
            <v>4583.67</v>
          </cell>
          <cell r="G1096">
            <v>0.13</v>
          </cell>
          <cell r="H1096">
            <v>2</v>
          </cell>
          <cell r="I1096" t="str">
            <v>Canada</v>
          </cell>
          <cell r="J1096" t="str">
            <v>Walmart</v>
          </cell>
        </row>
        <row r="1097">
          <cell r="A1097" t="str">
            <v>26-04-2021</v>
          </cell>
          <cell r="B1097" t="str">
            <v>Zinc</v>
          </cell>
          <cell r="C1097" t="str">
            <v>Mineral</v>
          </cell>
          <cell r="D1097">
            <v>158</v>
          </cell>
          <cell r="E1097">
            <v>40.630000000000003</v>
          </cell>
          <cell r="F1097">
            <v>6419.54</v>
          </cell>
          <cell r="G1097">
            <v>0.15</v>
          </cell>
          <cell r="H1097">
            <v>2</v>
          </cell>
          <cell r="I1097" t="str">
            <v>Canada</v>
          </cell>
          <cell r="J1097" t="str">
            <v>Amazon</v>
          </cell>
        </row>
        <row r="1098">
          <cell r="A1098" t="str">
            <v>26-04-2021</v>
          </cell>
          <cell r="B1098" t="str">
            <v>Collagen Peptides</v>
          </cell>
          <cell r="C1098" t="str">
            <v>Protein</v>
          </cell>
          <cell r="D1098">
            <v>155</v>
          </cell>
          <cell r="E1098">
            <v>14.23</v>
          </cell>
          <cell r="F1098">
            <v>2205.65</v>
          </cell>
          <cell r="G1098">
            <v>0.03</v>
          </cell>
          <cell r="H1098">
            <v>1</v>
          </cell>
          <cell r="I1098" t="str">
            <v>UK</v>
          </cell>
          <cell r="J1098" t="str">
            <v>Amazon</v>
          </cell>
        </row>
        <row r="1099">
          <cell r="A1099" t="str">
            <v>26-04-2021</v>
          </cell>
          <cell r="B1099" t="str">
            <v>Magnesium</v>
          </cell>
          <cell r="C1099" t="str">
            <v>Mineral</v>
          </cell>
          <cell r="D1099">
            <v>150</v>
          </cell>
          <cell r="E1099">
            <v>45.06</v>
          </cell>
          <cell r="F1099">
            <v>6759</v>
          </cell>
          <cell r="G1099">
            <v>0.2</v>
          </cell>
          <cell r="H1099">
            <v>1</v>
          </cell>
          <cell r="I1099" t="str">
            <v>Canada</v>
          </cell>
          <cell r="J1099" t="str">
            <v>iHerb</v>
          </cell>
        </row>
        <row r="1100">
          <cell r="A1100" t="str">
            <v>26-04-2021</v>
          </cell>
          <cell r="B1100" t="str">
            <v>Ashwagandha</v>
          </cell>
          <cell r="C1100" t="str">
            <v>Herbal</v>
          </cell>
          <cell r="D1100">
            <v>147</v>
          </cell>
          <cell r="E1100">
            <v>19.59</v>
          </cell>
          <cell r="F1100">
            <v>2879.73</v>
          </cell>
          <cell r="G1100">
            <v>0.02</v>
          </cell>
          <cell r="H1100">
            <v>2</v>
          </cell>
          <cell r="I1100" t="str">
            <v>UK</v>
          </cell>
          <cell r="J1100" t="str">
            <v>Walmart</v>
          </cell>
        </row>
        <row r="1101">
          <cell r="A1101" t="str">
            <v>26-04-2021</v>
          </cell>
          <cell r="B1101" t="str">
            <v>Melatonin</v>
          </cell>
          <cell r="C1101" t="str">
            <v>Sleep Aid</v>
          </cell>
          <cell r="D1101">
            <v>141</v>
          </cell>
          <cell r="E1101">
            <v>45.2</v>
          </cell>
          <cell r="F1101">
            <v>6373.2</v>
          </cell>
          <cell r="G1101">
            <v>0.24</v>
          </cell>
          <cell r="H1101">
            <v>1</v>
          </cell>
          <cell r="I1101" t="str">
            <v>UK</v>
          </cell>
          <cell r="J1101" t="str">
            <v>Amazon</v>
          </cell>
        </row>
        <row r="1102">
          <cell r="A1102" t="str">
            <v>26-04-2021</v>
          </cell>
          <cell r="B1102" t="str">
            <v>Biotin</v>
          </cell>
          <cell r="C1102" t="str">
            <v>Vitamin</v>
          </cell>
          <cell r="D1102">
            <v>156</v>
          </cell>
          <cell r="E1102">
            <v>41.53</v>
          </cell>
          <cell r="F1102">
            <v>6478.68</v>
          </cell>
          <cell r="G1102">
            <v>0.11</v>
          </cell>
          <cell r="H1102">
            <v>0</v>
          </cell>
          <cell r="I1102" t="str">
            <v>Canada</v>
          </cell>
          <cell r="J1102" t="str">
            <v>Walmart</v>
          </cell>
        </row>
        <row r="1103">
          <cell r="A1103" t="str">
            <v>26-04-2021</v>
          </cell>
          <cell r="B1103" t="str">
            <v>Green Tea Extract</v>
          </cell>
          <cell r="C1103" t="str">
            <v>Fat Burner</v>
          </cell>
          <cell r="D1103">
            <v>150</v>
          </cell>
          <cell r="E1103">
            <v>50.53</v>
          </cell>
          <cell r="F1103">
            <v>7579.5</v>
          </cell>
          <cell r="G1103">
            <v>0.18</v>
          </cell>
          <cell r="H1103">
            <v>2</v>
          </cell>
          <cell r="I1103" t="str">
            <v>Canada</v>
          </cell>
          <cell r="J1103" t="str">
            <v>Walmart</v>
          </cell>
        </row>
        <row r="1104">
          <cell r="A1104" t="str">
            <v>26-04-2021</v>
          </cell>
          <cell r="B1104" t="str">
            <v>Iron Supplement</v>
          </cell>
          <cell r="C1104" t="str">
            <v>Mineral</v>
          </cell>
          <cell r="D1104">
            <v>133</v>
          </cell>
          <cell r="E1104">
            <v>35.020000000000003</v>
          </cell>
          <cell r="F1104">
            <v>4657.66</v>
          </cell>
          <cell r="G1104">
            <v>0.22</v>
          </cell>
          <cell r="H1104">
            <v>3</v>
          </cell>
          <cell r="I1104" t="str">
            <v>UK</v>
          </cell>
          <cell r="J1104" t="str">
            <v>Walmart</v>
          </cell>
        </row>
        <row r="1105">
          <cell r="A1105" t="str">
            <v>26-04-2021</v>
          </cell>
          <cell r="B1105" t="str">
            <v>Electrolyte Powder</v>
          </cell>
          <cell r="C1105" t="str">
            <v>Hydration</v>
          </cell>
          <cell r="D1105">
            <v>151</v>
          </cell>
          <cell r="E1105">
            <v>47.32</v>
          </cell>
          <cell r="F1105">
            <v>7145.32</v>
          </cell>
          <cell r="G1105">
            <v>0</v>
          </cell>
          <cell r="H1105">
            <v>0</v>
          </cell>
          <cell r="I1105" t="str">
            <v>UK</v>
          </cell>
          <cell r="J1105" t="str">
            <v>iHerb</v>
          </cell>
        </row>
        <row r="1106">
          <cell r="A1106" t="str">
            <v>03-05-2021</v>
          </cell>
          <cell r="B1106" t="str">
            <v>Whey Protein</v>
          </cell>
          <cell r="C1106" t="str">
            <v>Protein</v>
          </cell>
          <cell r="D1106">
            <v>153</v>
          </cell>
          <cell r="E1106">
            <v>55.83</v>
          </cell>
          <cell r="F1106">
            <v>8541.99</v>
          </cell>
          <cell r="G1106">
            <v>0.18</v>
          </cell>
          <cell r="H1106">
            <v>2</v>
          </cell>
          <cell r="I1106" t="str">
            <v>UK</v>
          </cell>
          <cell r="J1106" t="str">
            <v>Amazon</v>
          </cell>
        </row>
        <row r="1107">
          <cell r="A1107" t="str">
            <v>03-05-2021</v>
          </cell>
          <cell r="B1107" t="str">
            <v>Vitamin C</v>
          </cell>
          <cell r="C1107" t="str">
            <v>Vitamin</v>
          </cell>
          <cell r="D1107">
            <v>146</v>
          </cell>
          <cell r="E1107">
            <v>16.010000000000002</v>
          </cell>
          <cell r="F1107">
            <v>2337.46</v>
          </cell>
          <cell r="G1107">
            <v>0.13</v>
          </cell>
          <cell r="H1107">
            <v>2</v>
          </cell>
          <cell r="I1107" t="str">
            <v>UK</v>
          </cell>
          <cell r="J1107" t="str">
            <v>Amazon</v>
          </cell>
        </row>
        <row r="1108">
          <cell r="A1108" t="str">
            <v>03-05-2021</v>
          </cell>
          <cell r="B1108" t="str">
            <v>Fish Oil</v>
          </cell>
          <cell r="C1108" t="str">
            <v>Omega</v>
          </cell>
          <cell r="D1108">
            <v>147</v>
          </cell>
          <cell r="E1108">
            <v>36.090000000000003</v>
          </cell>
          <cell r="F1108">
            <v>5305.23</v>
          </cell>
          <cell r="G1108">
            <v>0.02</v>
          </cell>
          <cell r="H1108">
            <v>0</v>
          </cell>
          <cell r="I1108" t="str">
            <v>USA</v>
          </cell>
          <cell r="J1108" t="str">
            <v>Walmart</v>
          </cell>
        </row>
        <row r="1109">
          <cell r="A1109" t="str">
            <v>03-05-2021</v>
          </cell>
          <cell r="B1109" t="str">
            <v>Multivitamin</v>
          </cell>
          <cell r="C1109" t="str">
            <v>Vitamin</v>
          </cell>
          <cell r="D1109">
            <v>164</v>
          </cell>
          <cell r="E1109">
            <v>54.74</v>
          </cell>
          <cell r="F1109">
            <v>8977.36</v>
          </cell>
          <cell r="G1109">
            <v>0.03</v>
          </cell>
          <cell r="H1109">
            <v>5</v>
          </cell>
          <cell r="I1109" t="str">
            <v>Canada</v>
          </cell>
          <cell r="J1109" t="str">
            <v>Amazon</v>
          </cell>
        </row>
        <row r="1110">
          <cell r="A1110" t="str">
            <v>03-05-2021</v>
          </cell>
          <cell r="B1110" t="str">
            <v>Pre-Workout</v>
          </cell>
          <cell r="C1110" t="str">
            <v>Performance</v>
          </cell>
          <cell r="D1110">
            <v>139</v>
          </cell>
          <cell r="E1110">
            <v>59.87</v>
          </cell>
          <cell r="F1110">
            <v>8321.93</v>
          </cell>
          <cell r="G1110">
            <v>7.0000000000000007E-2</v>
          </cell>
          <cell r="H1110">
            <v>2</v>
          </cell>
          <cell r="I1110" t="str">
            <v>USA</v>
          </cell>
          <cell r="J1110" t="str">
            <v>Walmart</v>
          </cell>
        </row>
        <row r="1111">
          <cell r="A1111" t="str">
            <v>03-05-2021</v>
          </cell>
          <cell r="B1111" t="str">
            <v>BCAA</v>
          </cell>
          <cell r="C1111" t="str">
            <v>Amino Acid</v>
          </cell>
          <cell r="D1111">
            <v>137</v>
          </cell>
          <cell r="E1111">
            <v>55.2</v>
          </cell>
          <cell r="F1111">
            <v>7562.4</v>
          </cell>
          <cell r="G1111">
            <v>0.08</v>
          </cell>
          <cell r="H1111">
            <v>2</v>
          </cell>
          <cell r="I1111" t="str">
            <v>UK</v>
          </cell>
          <cell r="J1111" t="str">
            <v>iHerb</v>
          </cell>
        </row>
        <row r="1112">
          <cell r="A1112" t="str">
            <v>03-05-2021</v>
          </cell>
          <cell r="B1112" t="str">
            <v>Creatine</v>
          </cell>
          <cell r="C1112" t="str">
            <v>Performance</v>
          </cell>
          <cell r="D1112">
            <v>138</v>
          </cell>
          <cell r="E1112">
            <v>26.82</v>
          </cell>
          <cell r="F1112">
            <v>3701.16</v>
          </cell>
          <cell r="G1112">
            <v>0.05</v>
          </cell>
          <cell r="H1112">
            <v>1</v>
          </cell>
          <cell r="I1112" t="str">
            <v>Canada</v>
          </cell>
          <cell r="J1112" t="str">
            <v>Walmart</v>
          </cell>
        </row>
        <row r="1113">
          <cell r="A1113" t="str">
            <v>03-05-2021</v>
          </cell>
          <cell r="B1113" t="str">
            <v>Zinc</v>
          </cell>
          <cell r="C1113" t="str">
            <v>Mineral</v>
          </cell>
          <cell r="D1113">
            <v>146</v>
          </cell>
          <cell r="E1113">
            <v>32.42</v>
          </cell>
          <cell r="F1113">
            <v>4733.32</v>
          </cell>
          <cell r="G1113">
            <v>0.08</v>
          </cell>
          <cell r="H1113">
            <v>2</v>
          </cell>
          <cell r="I1113" t="str">
            <v>USA</v>
          </cell>
          <cell r="J1113" t="str">
            <v>iHerb</v>
          </cell>
        </row>
        <row r="1114">
          <cell r="A1114" t="str">
            <v>03-05-2021</v>
          </cell>
          <cell r="B1114" t="str">
            <v>Collagen Peptides</v>
          </cell>
          <cell r="C1114" t="str">
            <v>Protein</v>
          </cell>
          <cell r="D1114">
            <v>165</v>
          </cell>
          <cell r="E1114">
            <v>17.86</v>
          </cell>
          <cell r="F1114">
            <v>2946.9</v>
          </cell>
          <cell r="G1114">
            <v>0.17</v>
          </cell>
          <cell r="H1114">
            <v>2</v>
          </cell>
          <cell r="I1114" t="str">
            <v>UK</v>
          </cell>
          <cell r="J1114" t="str">
            <v>Amazon</v>
          </cell>
        </row>
        <row r="1115">
          <cell r="A1115" t="str">
            <v>03-05-2021</v>
          </cell>
          <cell r="B1115" t="str">
            <v>Magnesium</v>
          </cell>
          <cell r="C1115" t="str">
            <v>Mineral</v>
          </cell>
          <cell r="D1115">
            <v>155</v>
          </cell>
          <cell r="E1115">
            <v>32.020000000000003</v>
          </cell>
          <cell r="F1115">
            <v>4963.1000000000004</v>
          </cell>
          <cell r="G1115">
            <v>0.23</v>
          </cell>
          <cell r="H1115">
            <v>2</v>
          </cell>
          <cell r="I1115" t="str">
            <v>USA</v>
          </cell>
          <cell r="J1115" t="str">
            <v>Walmart</v>
          </cell>
        </row>
        <row r="1116">
          <cell r="A1116" t="str">
            <v>03-05-2021</v>
          </cell>
          <cell r="B1116" t="str">
            <v>Ashwagandha</v>
          </cell>
          <cell r="C1116" t="str">
            <v>Herbal</v>
          </cell>
          <cell r="D1116">
            <v>150</v>
          </cell>
          <cell r="E1116">
            <v>26.28</v>
          </cell>
          <cell r="F1116">
            <v>3942</v>
          </cell>
          <cell r="G1116">
            <v>0.25</v>
          </cell>
          <cell r="H1116">
            <v>2</v>
          </cell>
          <cell r="I1116" t="str">
            <v>UK</v>
          </cell>
          <cell r="J1116" t="str">
            <v>Walmart</v>
          </cell>
        </row>
        <row r="1117">
          <cell r="A1117" t="str">
            <v>03-05-2021</v>
          </cell>
          <cell r="B1117" t="str">
            <v>Melatonin</v>
          </cell>
          <cell r="C1117" t="str">
            <v>Sleep Aid</v>
          </cell>
          <cell r="D1117">
            <v>120</v>
          </cell>
          <cell r="E1117">
            <v>41.17</v>
          </cell>
          <cell r="F1117">
            <v>4940.3999999999996</v>
          </cell>
          <cell r="G1117">
            <v>0.01</v>
          </cell>
          <cell r="H1117">
            <v>0</v>
          </cell>
          <cell r="I1117" t="str">
            <v>Canada</v>
          </cell>
          <cell r="J1117" t="str">
            <v>Amazon</v>
          </cell>
        </row>
        <row r="1118">
          <cell r="A1118" t="str">
            <v>03-05-2021</v>
          </cell>
          <cell r="B1118" t="str">
            <v>Biotin</v>
          </cell>
          <cell r="C1118" t="str">
            <v>Vitamin</v>
          </cell>
          <cell r="D1118">
            <v>148</v>
          </cell>
          <cell r="E1118">
            <v>31.91</v>
          </cell>
          <cell r="F1118">
            <v>4722.68</v>
          </cell>
          <cell r="G1118">
            <v>7.0000000000000007E-2</v>
          </cell>
          <cell r="H1118">
            <v>0</v>
          </cell>
          <cell r="I1118" t="str">
            <v>USA</v>
          </cell>
          <cell r="J1118" t="str">
            <v>Amazon</v>
          </cell>
        </row>
        <row r="1119">
          <cell r="A1119" t="str">
            <v>03-05-2021</v>
          </cell>
          <cell r="B1119" t="str">
            <v>Green Tea Extract</v>
          </cell>
          <cell r="C1119" t="str">
            <v>Fat Burner</v>
          </cell>
          <cell r="D1119">
            <v>157</v>
          </cell>
          <cell r="E1119">
            <v>20.010000000000002</v>
          </cell>
          <cell r="F1119">
            <v>3141.57</v>
          </cell>
          <cell r="G1119">
            <v>0.08</v>
          </cell>
          <cell r="H1119">
            <v>2</v>
          </cell>
          <cell r="I1119" t="str">
            <v>UK</v>
          </cell>
          <cell r="J1119" t="str">
            <v>Amazon</v>
          </cell>
        </row>
        <row r="1120">
          <cell r="A1120" t="str">
            <v>03-05-2021</v>
          </cell>
          <cell r="B1120" t="str">
            <v>Iron Supplement</v>
          </cell>
          <cell r="C1120" t="str">
            <v>Mineral</v>
          </cell>
          <cell r="D1120">
            <v>128</v>
          </cell>
          <cell r="E1120">
            <v>13.66</v>
          </cell>
          <cell r="F1120">
            <v>1748.48</v>
          </cell>
          <cell r="G1120">
            <v>0.2</v>
          </cell>
          <cell r="H1120">
            <v>2</v>
          </cell>
          <cell r="I1120" t="str">
            <v>USA</v>
          </cell>
          <cell r="J1120" t="str">
            <v>Amazon</v>
          </cell>
        </row>
        <row r="1121">
          <cell r="A1121" t="str">
            <v>03-05-2021</v>
          </cell>
          <cell r="B1121" t="str">
            <v>Electrolyte Powder</v>
          </cell>
          <cell r="C1121" t="str">
            <v>Hydration</v>
          </cell>
          <cell r="D1121">
            <v>160</v>
          </cell>
          <cell r="E1121">
            <v>43.47</v>
          </cell>
          <cell r="F1121">
            <v>6955.2</v>
          </cell>
          <cell r="G1121">
            <v>0.12</v>
          </cell>
          <cell r="H1121">
            <v>2</v>
          </cell>
          <cell r="I1121" t="str">
            <v>USA</v>
          </cell>
          <cell r="J1121" t="str">
            <v>Walmart</v>
          </cell>
        </row>
        <row r="1122">
          <cell r="A1122" t="str">
            <v>10-05-2021</v>
          </cell>
          <cell r="B1122" t="str">
            <v>Whey Protein</v>
          </cell>
          <cell r="C1122" t="str">
            <v>Protein</v>
          </cell>
          <cell r="D1122">
            <v>161</v>
          </cell>
          <cell r="E1122">
            <v>27.88</v>
          </cell>
          <cell r="F1122">
            <v>4488.68</v>
          </cell>
          <cell r="G1122">
            <v>7.0000000000000007E-2</v>
          </cell>
          <cell r="H1122">
            <v>2</v>
          </cell>
          <cell r="I1122" t="str">
            <v>USA</v>
          </cell>
          <cell r="J1122" t="str">
            <v>Walmart</v>
          </cell>
        </row>
        <row r="1123">
          <cell r="A1123" t="str">
            <v>10-05-2021</v>
          </cell>
          <cell r="B1123" t="str">
            <v>Vitamin C</v>
          </cell>
          <cell r="C1123" t="str">
            <v>Vitamin</v>
          </cell>
          <cell r="D1123">
            <v>157</v>
          </cell>
          <cell r="E1123">
            <v>27.12</v>
          </cell>
          <cell r="F1123">
            <v>4257.84</v>
          </cell>
          <cell r="G1123">
            <v>0.19</v>
          </cell>
          <cell r="H1123">
            <v>2</v>
          </cell>
          <cell r="I1123" t="str">
            <v>USA</v>
          </cell>
          <cell r="J1123" t="str">
            <v>iHerb</v>
          </cell>
        </row>
        <row r="1124">
          <cell r="A1124" t="str">
            <v>10-05-2021</v>
          </cell>
          <cell r="B1124" t="str">
            <v>Fish Oil</v>
          </cell>
          <cell r="C1124" t="str">
            <v>Omega</v>
          </cell>
          <cell r="D1124">
            <v>167</v>
          </cell>
          <cell r="E1124">
            <v>35.880000000000003</v>
          </cell>
          <cell r="F1124">
            <v>5991.96</v>
          </cell>
          <cell r="G1124">
            <v>0.14000000000000001</v>
          </cell>
          <cell r="H1124">
            <v>2</v>
          </cell>
          <cell r="I1124" t="str">
            <v>UK</v>
          </cell>
          <cell r="J1124" t="str">
            <v>Amazon</v>
          </cell>
        </row>
        <row r="1125">
          <cell r="A1125" t="str">
            <v>10-05-2021</v>
          </cell>
          <cell r="B1125" t="str">
            <v>Multivitamin</v>
          </cell>
          <cell r="C1125" t="str">
            <v>Vitamin</v>
          </cell>
          <cell r="D1125">
            <v>184</v>
          </cell>
          <cell r="E1125">
            <v>12.67</v>
          </cell>
          <cell r="F1125">
            <v>2331.2800000000002</v>
          </cell>
          <cell r="G1125">
            <v>0.23</v>
          </cell>
          <cell r="H1125">
            <v>2</v>
          </cell>
          <cell r="I1125" t="str">
            <v>USA</v>
          </cell>
          <cell r="J1125" t="str">
            <v>iHerb</v>
          </cell>
        </row>
        <row r="1126">
          <cell r="A1126" t="str">
            <v>10-05-2021</v>
          </cell>
          <cell r="B1126" t="str">
            <v>Pre-Workout</v>
          </cell>
          <cell r="C1126" t="str">
            <v>Performance</v>
          </cell>
          <cell r="D1126">
            <v>154</v>
          </cell>
          <cell r="E1126">
            <v>14.68</v>
          </cell>
          <cell r="F1126">
            <v>2260.7199999999998</v>
          </cell>
          <cell r="G1126">
            <v>0.19</v>
          </cell>
          <cell r="H1126">
            <v>2</v>
          </cell>
          <cell r="I1126" t="str">
            <v>UK</v>
          </cell>
          <cell r="J1126" t="str">
            <v>Walmart</v>
          </cell>
        </row>
        <row r="1127">
          <cell r="A1127" t="str">
            <v>10-05-2021</v>
          </cell>
          <cell r="B1127" t="str">
            <v>BCAA</v>
          </cell>
          <cell r="C1127" t="str">
            <v>Amino Acid</v>
          </cell>
          <cell r="D1127">
            <v>143</v>
          </cell>
          <cell r="E1127">
            <v>51.89</v>
          </cell>
          <cell r="F1127">
            <v>7420.27</v>
          </cell>
          <cell r="G1127">
            <v>0.02</v>
          </cell>
          <cell r="H1127">
            <v>3</v>
          </cell>
          <cell r="I1127" t="str">
            <v>USA</v>
          </cell>
          <cell r="J1127" t="str">
            <v>iHerb</v>
          </cell>
        </row>
        <row r="1128">
          <cell r="A1128" t="str">
            <v>10-05-2021</v>
          </cell>
          <cell r="B1128" t="str">
            <v>Creatine</v>
          </cell>
          <cell r="C1128" t="str">
            <v>Performance</v>
          </cell>
          <cell r="D1128">
            <v>141</v>
          </cell>
          <cell r="E1128">
            <v>56.8</v>
          </cell>
          <cell r="F1128">
            <v>8008.8</v>
          </cell>
          <cell r="G1128">
            <v>0.17</v>
          </cell>
          <cell r="H1128">
            <v>1</v>
          </cell>
          <cell r="I1128" t="str">
            <v>UK</v>
          </cell>
          <cell r="J1128" t="str">
            <v>Amazon</v>
          </cell>
        </row>
        <row r="1129">
          <cell r="A1129" t="str">
            <v>10-05-2021</v>
          </cell>
          <cell r="B1129" t="str">
            <v>Zinc</v>
          </cell>
          <cell r="C1129" t="str">
            <v>Mineral</v>
          </cell>
          <cell r="D1129">
            <v>157</v>
          </cell>
          <cell r="E1129">
            <v>23.86</v>
          </cell>
          <cell r="F1129">
            <v>3746.02</v>
          </cell>
          <cell r="G1129">
            <v>0.25</v>
          </cell>
          <cell r="H1129">
            <v>2</v>
          </cell>
          <cell r="I1129" t="str">
            <v>Canada</v>
          </cell>
          <cell r="J1129" t="str">
            <v>Amazon</v>
          </cell>
        </row>
        <row r="1130">
          <cell r="A1130" t="str">
            <v>10-05-2021</v>
          </cell>
          <cell r="B1130" t="str">
            <v>Collagen Peptides</v>
          </cell>
          <cell r="C1130" t="str">
            <v>Protein</v>
          </cell>
          <cell r="D1130">
            <v>155</v>
          </cell>
          <cell r="E1130">
            <v>12.46</v>
          </cell>
          <cell r="F1130">
            <v>1931.3</v>
          </cell>
          <cell r="G1130">
            <v>0.01</v>
          </cell>
          <cell r="H1130">
            <v>2</v>
          </cell>
          <cell r="I1130" t="str">
            <v>Canada</v>
          </cell>
          <cell r="J1130" t="str">
            <v>Walmart</v>
          </cell>
        </row>
        <row r="1131">
          <cell r="A1131" t="str">
            <v>10-05-2021</v>
          </cell>
          <cell r="B1131" t="str">
            <v>Magnesium</v>
          </cell>
          <cell r="C1131" t="str">
            <v>Mineral</v>
          </cell>
          <cell r="D1131">
            <v>160</v>
          </cell>
          <cell r="E1131">
            <v>52.04</v>
          </cell>
          <cell r="F1131">
            <v>8326.4</v>
          </cell>
          <cell r="G1131">
            <v>0.01</v>
          </cell>
          <cell r="H1131">
            <v>1</v>
          </cell>
          <cell r="I1131" t="str">
            <v>Canada</v>
          </cell>
          <cell r="J1131" t="str">
            <v>Amazon</v>
          </cell>
        </row>
        <row r="1132">
          <cell r="A1132" t="str">
            <v>10-05-2021</v>
          </cell>
          <cell r="B1132" t="str">
            <v>Ashwagandha</v>
          </cell>
          <cell r="C1132" t="str">
            <v>Herbal</v>
          </cell>
          <cell r="D1132">
            <v>140</v>
          </cell>
          <cell r="E1132">
            <v>13.62</v>
          </cell>
          <cell r="F1132">
            <v>1906.8</v>
          </cell>
          <cell r="G1132">
            <v>0.24</v>
          </cell>
          <cell r="H1132">
            <v>0</v>
          </cell>
          <cell r="I1132" t="str">
            <v>UK</v>
          </cell>
          <cell r="J1132" t="str">
            <v>iHerb</v>
          </cell>
        </row>
        <row r="1133">
          <cell r="A1133" t="str">
            <v>10-05-2021</v>
          </cell>
          <cell r="B1133" t="str">
            <v>Melatonin</v>
          </cell>
          <cell r="C1133" t="str">
            <v>Sleep Aid</v>
          </cell>
          <cell r="D1133">
            <v>171</v>
          </cell>
          <cell r="E1133">
            <v>59.28</v>
          </cell>
          <cell r="F1133">
            <v>10136.879999999999</v>
          </cell>
          <cell r="G1133">
            <v>0.14000000000000001</v>
          </cell>
          <cell r="H1133">
            <v>4</v>
          </cell>
          <cell r="I1133" t="str">
            <v>Canada</v>
          </cell>
          <cell r="J1133" t="str">
            <v>iHerb</v>
          </cell>
        </row>
        <row r="1134">
          <cell r="A1134" t="str">
            <v>10-05-2021</v>
          </cell>
          <cell r="B1134" t="str">
            <v>Biotin</v>
          </cell>
          <cell r="C1134" t="str">
            <v>Vitamin</v>
          </cell>
          <cell r="D1134">
            <v>169</v>
          </cell>
          <cell r="E1134">
            <v>14.81</v>
          </cell>
          <cell r="F1134">
            <v>2502.89</v>
          </cell>
          <cell r="G1134">
            <v>0.11</v>
          </cell>
          <cell r="H1134">
            <v>4</v>
          </cell>
          <cell r="I1134" t="str">
            <v>USA</v>
          </cell>
          <cell r="J1134" t="str">
            <v>Walmart</v>
          </cell>
        </row>
        <row r="1135">
          <cell r="A1135" t="str">
            <v>10-05-2021</v>
          </cell>
          <cell r="B1135" t="str">
            <v>Green Tea Extract</v>
          </cell>
          <cell r="C1135" t="str">
            <v>Fat Burner</v>
          </cell>
          <cell r="D1135">
            <v>151</v>
          </cell>
          <cell r="E1135">
            <v>17.059999999999999</v>
          </cell>
          <cell r="F1135">
            <v>2576.06</v>
          </cell>
          <cell r="G1135">
            <v>0</v>
          </cell>
          <cell r="H1135">
            <v>3</v>
          </cell>
          <cell r="I1135" t="str">
            <v>Canada</v>
          </cell>
          <cell r="J1135" t="str">
            <v>iHerb</v>
          </cell>
        </row>
        <row r="1136">
          <cell r="A1136" t="str">
            <v>10-05-2021</v>
          </cell>
          <cell r="B1136" t="str">
            <v>Iron Supplement</v>
          </cell>
          <cell r="C1136" t="str">
            <v>Mineral</v>
          </cell>
          <cell r="D1136">
            <v>130</v>
          </cell>
          <cell r="E1136">
            <v>55.73</v>
          </cell>
          <cell r="F1136">
            <v>7244.9</v>
          </cell>
          <cell r="G1136">
            <v>0.05</v>
          </cell>
          <cell r="H1136">
            <v>2</v>
          </cell>
          <cell r="I1136" t="str">
            <v>Canada</v>
          </cell>
          <cell r="J1136" t="str">
            <v>Walmart</v>
          </cell>
        </row>
        <row r="1137">
          <cell r="A1137" t="str">
            <v>10-05-2021</v>
          </cell>
          <cell r="B1137" t="str">
            <v>Electrolyte Powder</v>
          </cell>
          <cell r="C1137" t="str">
            <v>Hydration</v>
          </cell>
          <cell r="D1137">
            <v>129</v>
          </cell>
          <cell r="E1137">
            <v>18.2</v>
          </cell>
          <cell r="F1137">
            <v>2347.8000000000002</v>
          </cell>
          <cell r="G1137">
            <v>0.18</v>
          </cell>
          <cell r="H1137">
            <v>1</v>
          </cell>
          <cell r="I1137" t="str">
            <v>UK</v>
          </cell>
          <cell r="J1137" t="str">
            <v>Amazon</v>
          </cell>
        </row>
        <row r="1138">
          <cell r="A1138" t="str">
            <v>17-05-2021</v>
          </cell>
          <cell r="B1138" t="str">
            <v>Whey Protein</v>
          </cell>
          <cell r="C1138" t="str">
            <v>Protein</v>
          </cell>
          <cell r="D1138">
            <v>149</v>
          </cell>
          <cell r="E1138">
            <v>18.559999999999999</v>
          </cell>
          <cell r="F1138">
            <v>2765.44</v>
          </cell>
          <cell r="G1138">
            <v>0.19</v>
          </cell>
          <cell r="H1138">
            <v>1</v>
          </cell>
          <cell r="I1138" t="str">
            <v>UK</v>
          </cell>
          <cell r="J1138" t="str">
            <v>Walmart</v>
          </cell>
        </row>
        <row r="1139">
          <cell r="A1139" t="str">
            <v>17-05-2021</v>
          </cell>
          <cell r="B1139" t="str">
            <v>Vitamin C</v>
          </cell>
          <cell r="C1139" t="str">
            <v>Vitamin</v>
          </cell>
          <cell r="D1139">
            <v>156</v>
          </cell>
          <cell r="E1139">
            <v>44.41</v>
          </cell>
          <cell r="F1139">
            <v>6927.96</v>
          </cell>
          <cell r="G1139">
            <v>0.03</v>
          </cell>
          <cell r="H1139">
            <v>1</v>
          </cell>
          <cell r="I1139" t="str">
            <v>Canada</v>
          </cell>
          <cell r="J1139" t="str">
            <v>Walmart</v>
          </cell>
        </row>
        <row r="1140">
          <cell r="A1140" t="str">
            <v>17-05-2021</v>
          </cell>
          <cell r="B1140" t="str">
            <v>Fish Oil</v>
          </cell>
          <cell r="C1140" t="str">
            <v>Omega</v>
          </cell>
          <cell r="D1140">
            <v>140</v>
          </cell>
          <cell r="E1140">
            <v>23.1</v>
          </cell>
          <cell r="F1140">
            <v>3234</v>
          </cell>
          <cell r="G1140">
            <v>0.22</v>
          </cell>
          <cell r="H1140">
            <v>3</v>
          </cell>
          <cell r="I1140" t="str">
            <v>UK</v>
          </cell>
          <cell r="J1140" t="str">
            <v>Walmart</v>
          </cell>
        </row>
        <row r="1141">
          <cell r="A1141" t="str">
            <v>17-05-2021</v>
          </cell>
          <cell r="B1141" t="str">
            <v>Multivitamin</v>
          </cell>
          <cell r="C1141" t="str">
            <v>Vitamin</v>
          </cell>
          <cell r="D1141">
            <v>138</v>
          </cell>
          <cell r="E1141">
            <v>14.39</v>
          </cell>
          <cell r="F1141">
            <v>1985.82</v>
          </cell>
          <cell r="G1141">
            <v>0.1</v>
          </cell>
          <cell r="H1141">
            <v>2</v>
          </cell>
          <cell r="I1141" t="str">
            <v>UK</v>
          </cell>
          <cell r="J1141" t="str">
            <v>Amazon</v>
          </cell>
        </row>
        <row r="1142">
          <cell r="A1142" t="str">
            <v>17-05-2021</v>
          </cell>
          <cell r="B1142" t="str">
            <v>Pre-Workout</v>
          </cell>
          <cell r="C1142" t="str">
            <v>Performance</v>
          </cell>
          <cell r="D1142">
            <v>156</v>
          </cell>
          <cell r="E1142">
            <v>24.13</v>
          </cell>
          <cell r="F1142">
            <v>3764.28</v>
          </cell>
          <cell r="G1142">
            <v>0.09</v>
          </cell>
          <cell r="H1142">
            <v>0</v>
          </cell>
          <cell r="I1142" t="str">
            <v>UK</v>
          </cell>
          <cell r="J1142" t="str">
            <v>iHerb</v>
          </cell>
        </row>
        <row r="1143">
          <cell r="A1143" t="str">
            <v>17-05-2021</v>
          </cell>
          <cell r="B1143" t="str">
            <v>BCAA</v>
          </cell>
          <cell r="C1143" t="str">
            <v>Amino Acid</v>
          </cell>
          <cell r="D1143">
            <v>158</v>
          </cell>
          <cell r="E1143">
            <v>45.44</v>
          </cell>
          <cell r="F1143">
            <v>7179.52</v>
          </cell>
          <cell r="G1143">
            <v>0.06</v>
          </cell>
          <cell r="H1143">
            <v>1</v>
          </cell>
          <cell r="I1143" t="str">
            <v>Canada</v>
          </cell>
          <cell r="J1143" t="str">
            <v>Walmart</v>
          </cell>
        </row>
        <row r="1144">
          <cell r="A1144" t="str">
            <v>17-05-2021</v>
          </cell>
          <cell r="B1144" t="str">
            <v>Creatine</v>
          </cell>
          <cell r="C1144" t="str">
            <v>Performance</v>
          </cell>
          <cell r="D1144">
            <v>144</v>
          </cell>
          <cell r="E1144">
            <v>27.05</v>
          </cell>
          <cell r="F1144">
            <v>3895.2</v>
          </cell>
          <cell r="G1144">
            <v>0.2</v>
          </cell>
          <cell r="H1144">
            <v>3</v>
          </cell>
          <cell r="I1144" t="str">
            <v>Canada</v>
          </cell>
          <cell r="J1144" t="str">
            <v>iHerb</v>
          </cell>
        </row>
        <row r="1145">
          <cell r="A1145" t="str">
            <v>17-05-2021</v>
          </cell>
          <cell r="B1145" t="str">
            <v>Zinc</v>
          </cell>
          <cell r="C1145" t="str">
            <v>Mineral</v>
          </cell>
          <cell r="D1145">
            <v>151</v>
          </cell>
          <cell r="E1145">
            <v>11.54</v>
          </cell>
          <cell r="F1145">
            <v>1742.54</v>
          </cell>
          <cell r="G1145">
            <v>0.22</v>
          </cell>
          <cell r="H1145">
            <v>0</v>
          </cell>
          <cell r="I1145" t="str">
            <v>UK</v>
          </cell>
          <cell r="J1145" t="str">
            <v>iHerb</v>
          </cell>
        </row>
        <row r="1146">
          <cell r="A1146" t="str">
            <v>17-05-2021</v>
          </cell>
          <cell r="B1146" t="str">
            <v>Collagen Peptides</v>
          </cell>
          <cell r="C1146" t="str">
            <v>Protein</v>
          </cell>
          <cell r="D1146">
            <v>176</v>
          </cell>
          <cell r="E1146">
            <v>27.1</v>
          </cell>
          <cell r="F1146">
            <v>4769.6000000000004</v>
          </cell>
          <cell r="G1146">
            <v>0.23</v>
          </cell>
          <cell r="H1146">
            <v>0</v>
          </cell>
          <cell r="I1146" t="str">
            <v>UK</v>
          </cell>
          <cell r="J1146" t="str">
            <v>Walmart</v>
          </cell>
        </row>
        <row r="1147">
          <cell r="A1147" t="str">
            <v>17-05-2021</v>
          </cell>
          <cell r="B1147" t="str">
            <v>Magnesium</v>
          </cell>
          <cell r="C1147" t="str">
            <v>Mineral</v>
          </cell>
          <cell r="D1147">
            <v>153</v>
          </cell>
          <cell r="E1147">
            <v>20.97</v>
          </cell>
          <cell r="F1147">
            <v>3208.41</v>
          </cell>
          <cell r="G1147">
            <v>0.11</v>
          </cell>
          <cell r="H1147">
            <v>2</v>
          </cell>
          <cell r="I1147" t="str">
            <v>UK</v>
          </cell>
          <cell r="J1147" t="str">
            <v>Walmart</v>
          </cell>
        </row>
        <row r="1148">
          <cell r="A1148" t="str">
            <v>17-05-2021</v>
          </cell>
          <cell r="B1148" t="str">
            <v>Ashwagandha</v>
          </cell>
          <cell r="C1148" t="str">
            <v>Herbal</v>
          </cell>
          <cell r="D1148">
            <v>158</v>
          </cell>
          <cell r="E1148">
            <v>56.84</v>
          </cell>
          <cell r="F1148">
            <v>8980.7199999999993</v>
          </cell>
          <cell r="G1148">
            <v>0.04</v>
          </cell>
          <cell r="H1148">
            <v>1</v>
          </cell>
          <cell r="I1148" t="str">
            <v>USA</v>
          </cell>
          <cell r="J1148" t="str">
            <v>Walmart</v>
          </cell>
        </row>
        <row r="1149">
          <cell r="A1149" t="str">
            <v>17-05-2021</v>
          </cell>
          <cell r="B1149" t="str">
            <v>Melatonin</v>
          </cell>
          <cell r="C1149" t="str">
            <v>Sleep Aid</v>
          </cell>
          <cell r="D1149">
            <v>141</v>
          </cell>
          <cell r="E1149">
            <v>16.149999999999999</v>
          </cell>
          <cell r="F1149">
            <v>2277.15</v>
          </cell>
          <cell r="G1149">
            <v>0.25</v>
          </cell>
          <cell r="H1149">
            <v>1</v>
          </cell>
          <cell r="I1149" t="str">
            <v>UK</v>
          </cell>
          <cell r="J1149" t="str">
            <v>iHerb</v>
          </cell>
        </row>
        <row r="1150">
          <cell r="A1150" t="str">
            <v>17-05-2021</v>
          </cell>
          <cell r="B1150" t="str">
            <v>Biotin</v>
          </cell>
          <cell r="C1150" t="str">
            <v>Vitamin</v>
          </cell>
          <cell r="D1150">
            <v>133</v>
          </cell>
          <cell r="E1150">
            <v>45.97</v>
          </cell>
          <cell r="F1150">
            <v>6114.01</v>
          </cell>
          <cell r="G1150">
            <v>0.21</v>
          </cell>
          <cell r="H1150">
            <v>0</v>
          </cell>
          <cell r="I1150" t="str">
            <v>Canada</v>
          </cell>
          <cell r="J1150" t="str">
            <v>Walmart</v>
          </cell>
        </row>
        <row r="1151">
          <cell r="A1151" t="str">
            <v>17-05-2021</v>
          </cell>
          <cell r="B1151" t="str">
            <v>Green Tea Extract</v>
          </cell>
          <cell r="C1151" t="str">
            <v>Fat Burner</v>
          </cell>
          <cell r="D1151">
            <v>124</v>
          </cell>
          <cell r="E1151">
            <v>31.58</v>
          </cell>
          <cell r="F1151">
            <v>3915.92</v>
          </cell>
          <cell r="G1151">
            <v>0.06</v>
          </cell>
          <cell r="H1151">
            <v>1</v>
          </cell>
          <cell r="I1151" t="str">
            <v>USA</v>
          </cell>
          <cell r="J1151" t="str">
            <v>Amazon</v>
          </cell>
        </row>
        <row r="1152">
          <cell r="A1152" t="str">
            <v>17-05-2021</v>
          </cell>
          <cell r="B1152" t="str">
            <v>Iron Supplement</v>
          </cell>
          <cell r="C1152" t="str">
            <v>Mineral</v>
          </cell>
          <cell r="D1152">
            <v>141</v>
          </cell>
          <cell r="E1152">
            <v>55.3</v>
          </cell>
          <cell r="F1152">
            <v>7797.3</v>
          </cell>
          <cell r="G1152">
            <v>0.14000000000000001</v>
          </cell>
          <cell r="H1152">
            <v>1</v>
          </cell>
          <cell r="I1152" t="str">
            <v>USA</v>
          </cell>
          <cell r="J1152" t="str">
            <v>Amazon</v>
          </cell>
        </row>
        <row r="1153">
          <cell r="A1153" t="str">
            <v>17-05-2021</v>
          </cell>
          <cell r="B1153" t="str">
            <v>Electrolyte Powder</v>
          </cell>
          <cell r="C1153" t="str">
            <v>Hydration</v>
          </cell>
          <cell r="D1153">
            <v>146</v>
          </cell>
          <cell r="E1153">
            <v>46.38</v>
          </cell>
          <cell r="F1153">
            <v>6771.48</v>
          </cell>
          <cell r="G1153">
            <v>0.11</v>
          </cell>
          <cell r="H1153">
            <v>3</v>
          </cell>
          <cell r="I1153" t="str">
            <v>Canada</v>
          </cell>
          <cell r="J1153" t="str">
            <v>iHerb</v>
          </cell>
        </row>
        <row r="1154">
          <cell r="A1154" t="str">
            <v>24-05-2021</v>
          </cell>
          <cell r="B1154" t="str">
            <v>Whey Protein</v>
          </cell>
          <cell r="C1154" t="str">
            <v>Protein</v>
          </cell>
          <cell r="D1154">
            <v>176</v>
          </cell>
          <cell r="E1154">
            <v>38.03</v>
          </cell>
          <cell r="F1154">
            <v>6693.28</v>
          </cell>
          <cell r="G1154">
            <v>0.02</v>
          </cell>
          <cell r="H1154">
            <v>1</v>
          </cell>
          <cell r="I1154" t="str">
            <v>UK</v>
          </cell>
          <cell r="J1154" t="str">
            <v>Walmart</v>
          </cell>
        </row>
        <row r="1155">
          <cell r="A1155" t="str">
            <v>24-05-2021</v>
          </cell>
          <cell r="B1155" t="str">
            <v>Vitamin C</v>
          </cell>
          <cell r="C1155" t="str">
            <v>Vitamin</v>
          </cell>
          <cell r="D1155">
            <v>147</v>
          </cell>
          <cell r="E1155">
            <v>53.83</v>
          </cell>
          <cell r="F1155">
            <v>7913.01</v>
          </cell>
          <cell r="G1155">
            <v>0.04</v>
          </cell>
          <cell r="H1155">
            <v>1</v>
          </cell>
          <cell r="I1155" t="str">
            <v>USA</v>
          </cell>
          <cell r="J1155" t="str">
            <v>Amazon</v>
          </cell>
        </row>
        <row r="1156">
          <cell r="A1156" t="str">
            <v>24-05-2021</v>
          </cell>
          <cell r="B1156" t="str">
            <v>Fish Oil</v>
          </cell>
          <cell r="C1156" t="str">
            <v>Omega</v>
          </cell>
          <cell r="D1156">
            <v>154</v>
          </cell>
          <cell r="E1156">
            <v>29.15</v>
          </cell>
          <cell r="F1156">
            <v>4489.1000000000004</v>
          </cell>
          <cell r="G1156">
            <v>0.22</v>
          </cell>
          <cell r="H1156">
            <v>2</v>
          </cell>
          <cell r="I1156" t="str">
            <v>Canada</v>
          </cell>
          <cell r="J1156" t="str">
            <v>iHerb</v>
          </cell>
        </row>
        <row r="1157">
          <cell r="A1157" t="str">
            <v>24-05-2021</v>
          </cell>
          <cell r="B1157" t="str">
            <v>Multivitamin</v>
          </cell>
          <cell r="C1157" t="str">
            <v>Vitamin</v>
          </cell>
          <cell r="D1157">
            <v>148</v>
          </cell>
          <cell r="E1157">
            <v>33.229999999999997</v>
          </cell>
          <cell r="F1157">
            <v>4918.04</v>
          </cell>
          <cell r="G1157">
            <v>0.21</v>
          </cell>
          <cell r="H1157">
            <v>2</v>
          </cell>
          <cell r="I1157" t="str">
            <v>UK</v>
          </cell>
          <cell r="J1157" t="str">
            <v>Amazon</v>
          </cell>
        </row>
        <row r="1158">
          <cell r="A1158" t="str">
            <v>24-05-2021</v>
          </cell>
          <cell r="B1158" t="str">
            <v>Pre-Workout</v>
          </cell>
          <cell r="C1158" t="str">
            <v>Performance</v>
          </cell>
          <cell r="D1158">
            <v>163</v>
          </cell>
          <cell r="E1158">
            <v>15.92</v>
          </cell>
          <cell r="F1158">
            <v>2594.96</v>
          </cell>
          <cell r="G1158">
            <v>0</v>
          </cell>
          <cell r="H1158">
            <v>1</v>
          </cell>
          <cell r="I1158" t="str">
            <v>Canada</v>
          </cell>
          <cell r="J1158" t="str">
            <v>Walmart</v>
          </cell>
        </row>
        <row r="1159">
          <cell r="A1159" t="str">
            <v>24-05-2021</v>
          </cell>
          <cell r="B1159" t="str">
            <v>BCAA</v>
          </cell>
          <cell r="C1159" t="str">
            <v>Amino Acid</v>
          </cell>
          <cell r="D1159">
            <v>157</v>
          </cell>
          <cell r="E1159">
            <v>24.79</v>
          </cell>
          <cell r="F1159">
            <v>3892.03</v>
          </cell>
          <cell r="G1159">
            <v>0.12</v>
          </cell>
          <cell r="H1159">
            <v>1</v>
          </cell>
          <cell r="I1159" t="str">
            <v>USA</v>
          </cell>
          <cell r="J1159" t="str">
            <v>Amazon</v>
          </cell>
        </row>
        <row r="1160">
          <cell r="A1160" t="str">
            <v>24-05-2021</v>
          </cell>
          <cell r="B1160" t="str">
            <v>Creatine</v>
          </cell>
          <cell r="C1160" t="str">
            <v>Performance</v>
          </cell>
          <cell r="D1160">
            <v>147</v>
          </cell>
          <cell r="E1160">
            <v>16.82</v>
          </cell>
          <cell r="F1160">
            <v>2472.54</v>
          </cell>
          <cell r="G1160">
            <v>0.05</v>
          </cell>
          <cell r="H1160">
            <v>0</v>
          </cell>
          <cell r="I1160" t="str">
            <v>USA</v>
          </cell>
          <cell r="J1160" t="str">
            <v>Walmart</v>
          </cell>
        </row>
        <row r="1161">
          <cell r="A1161" t="str">
            <v>24-05-2021</v>
          </cell>
          <cell r="B1161" t="str">
            <v>Zinc</v>
          </cell>
          <cell r="C1161" t="str">
            <v>Mineral</v>
          </cell>
          <cell r="D1161">
            <v>138</v>
          </cell>
          <cell r="E1161">
            <v>41.36</v>
          </cell>
          <cell r="F1161">
            <v>5707.68</v>
          </cell>
          <cell r="G1161">
            <v>0.08</v>
          </cell>
          <cell r="H1161">
            <v>4</v>
          </cell>
          <cell r="I1161" t="str">
            <v>USA</v>
          </cell>
          <cell r="J1161" t="str">
            <v>iHerb</v>
          </cell>
        </row>
        <row r="1162">
          <cell r="A1162" t="str">
            <v>24-05-2021</v>
          </cell>
          <cell r="B1162" t="str">
            <v>Collagen Peptides</v>
          </cell>
          <cell r="C1162" t="str">
            <v>Protein</v>
          </cell>
          <cell r="D1162">
            <v>138</v>
          </cell>
          <cell r="E1162">
            <v>27.89</v>
          </cell>
          <cell r="F1162">
            <v>3848.82</v>
          </cell>
          <cell r="G1162">
            <v>0</v>
          </cell>
          <cell r="H1162">
            <v>3</v>
          </cell>
          <cell r="I1162" t="str">
            <v>USA</v>
          </cell>
          <cell r="J1162" t="str">
            <v>Amazon</v>
          </cell>
        </row>
        <row r="1163">
          <cell r="A1163" t="str">
            <v>24-05-2021</v>
          </cell>
          <cell r="B1163" t="str">
            <v>Magnesium</v>
          </cell>
          <cell r="C1163" t="str">
            <v>Mineral</v>
          </cell>
          <cell r="D1163">
            <v>168</v>
          </cell>
          <cell r="E1163">
            <v>37.18</v>
          </cell>
          <cell r="F1163">
            <v>6246.24</v>
          </cell>
          <cell r="G1163">
            <v>0.16</v>
          </cell>
          <cell r="H1163">
            <v>1</v>
          </cell>
          <cell r="I1163" t="str">
            <v>Canada</v>
          </cell>
          <cell r="J1163" t="str">
            <v>Walmart</v>
          </cell>
        </row>
        <row r="1164">
          <cell r="A1164" t="str">
            <v>24-05-2021</v>
          </cell>
          <cell r="B1164" t="str">
            <v>Ashwagandha</v>
          </cell>
          <cell r="C1164" t="str">
            <v>Herbal</v>
          </cell>
          <cell r="D1164">
            <v>155</v>
          </cell>
          <cell r="E1164">
            <v>12.7</v>
          </cell>
          <cell r="F1164">
            <v>1968.5</v>
          </cell>
          <cell r="G1164">
            <v>0.11</v>
          </cell>
          <cell r="H1164">
            <v>2</v>
          </cell>
          <cell r="I1164" t="str">
            <v>UK</v>
          </cell>
          <cell r="J1164" t="str">
            <v>iHerb</v>
          </cell>
        </row>
        <row r="1165">
          <cell r="A1165" t="str">
            <v>24-05-2021</v>
          </cell>
          <cell r="B1165" t="str">
            <v>Melatonin</v>
          </cell>
          <cell r="C1165" t="str">
            <v>Sleep Aid</v>
          </cell>
          <cell r="D1165">
            <v>167</v>
          </cell>
          <cell r="E1165">
            <v>51.13</v>
          </cell>
          <cell r="F1165">
            <v>8538.7099999999991</v>
          </cell>
          <cell r="G1165">
            <v>0.05</v>
          </cell>
          <cell r="H1165">
            <v>1</v>
          </cell>
          <cell r="I1165" t="str">
            <v>Canada</v>
          </cell>
          <cell r="J1165" t="str">
            <v>iHerb</v>
          </cell>
        </row>
        <row r="1166">
          <cell r="A1166" t="str">
            <v>24-05-2021</v>
          </cell>
          <cell r="B1166" t="str">
            <v>Biotin</v>
          </cell>
          <cell r="C1166" t="str">
            <v>Vitamin</v>
          </cell>
          <cell r="D1166">
            <v>143</v>
          </cell>
          <cell r="E1166">
            <v>17.52</v>
          </cell>
          <cell r="F1166">
            <v>2505.36</v>
          </cell>
          <cell r="G1166">
            <v>0.13</v>
          </cell>
          <cell r="H1166">
            <v>2</v>
          </cell>
          <cell r="I1166" t="str">
            <v>UK</v>
          </cell>
          <cell r="J1166" t="str">
            <v>iHerb</v>
          </cell>
        </row>
        <row r="1167">
          <cell r="A1167" t="str">
            <v>24-05-2021</v>
          </cell>
          <cell r="B1167" t="str">
            <v>Green Tea Extract</v>
          </cell>
          <cell r="C1167" t="str">
            <v>Fat Burner</v>
          </cell>
          <cell r="D1167">
            <v>148</v>
          </cell>
          <cell r="E1167">
            <v>52.44</v>
          </cell>
          <cell r="F1167">
            <v>7761.12</v>
          </cell>
          <cell r="G1167">
            <v>0.18</v>
          </cell>
          <cell r="H1167">
            <v>1</v>
          </cell>
          <cell r="I1167" t="str">
            <v>USA</v>
          </cell>
          <cell r="J1167" t="str">
            <v>iHerb</v>
          </cell>
        </row>
        <row r="1168">
          <cell r="A1168" t="str">
            <v>24-05-2021</v>
          </cell>
          <cell r="B1168" t="str">
            <v>Iron Supplement</v>
          </cell>
          <cell r="C1168" t="str">
            <v>Mineral</v>
          </cell>
          <cell r="D1168">
            <v>141</v>
          </cell>
          <cell r="E1168">
            <v>38.85</v>
          </cell>
          <cell r="F1168">
            <v>5477.85</v>
          </cell>
          <cell r="G1168">
            <v>0.06</v>
          </cell>
          <cell r="H1168">
            <v>1</v>
          </cell>
          <cell r="I1168" t="str">
            <v>Canada</v>
          </cell>
          <cell r="J1168" t="str">
            <v>Amazon</v>
          </cell>
        </row>
        <row r="1169">
          <cell r="A1169" t="str">
            <v>24-05-2021</v>
          </cell>
          <cell r="B1169" t="str">
            <v>Electrolyte Powder</v>
          </cell>
          <cell r="C1169" t="str">
            <v>Hydration</v>
          </cell>
          <cell r="D1169">
            <v>162</v>
          </cell>
          <cell r="E1169">
            <v>59.6</v>
          </cell>
          <cell r="F1169">
            <v>9655.2000000000007</v>
          </cell>
          <cell r="G1169">
            <v>0.03</v>
          </cell>
          <cell r="H1169">
            <v>3</v>
          </cell>
          <cell r="I1169" t="str">
            <v>UK</v>
          </cell>
          <cell r="J1169" t="str">
            <v>iHerb</v>
          </cell>
        </row>
        <row r="1170">
          <cell r="A1170" t="str">
            <v>31-05-2021</v>
          </cell>
          <cell r="B1170" t="str">
            <v>Whey Protein</v>
          </cell>
          <cell r="C1170" t="str">
            <v>Protein</v>
          </cell>
          <cell r="D1170">
            <v>146</v>
          </cell>
          <cell r="E1170">
            <v>54.03</v>
          </cell>
          <cell r="F1170">
            <v>7888.38</v>
          </cell>
          <cell r="G1170">
            <v>0.1</v>
          </cell>
          <cell r="H1170">
            <v>1</v>
          </cell>
          <cell r="I1170" t="str">
            <v>UK</v>
          </cell>
          <cell r="J1170" t="str">
            <v>iHerb</v>
          </cell>
        </row>
        <row r="1171">
          <cell r="A1171" t="str">
            <v>31-05-2021</v>
          </cell>
          <cell r="B1171" t="str">
            <v>Vitamin C</v>
          </cell>
          <cell r="C1171" t="str">
            <v>Vitamin</v>
          </cell>
          <cell r="D1171">
            <v>122</v>
          </cell>
          <cell r="E1171">
            <v>22.24</v>
          </cell>
          <cell r="F1171">
            <v>2713.28</v>
          </cell>
          <cell r="G1171">
            <v>0.17</v>
          </cell>
          <cell r="H1171">
            <v>0</v>
          </cell>
          <cell r="I1171" t="str">
            <v>Canada</v>
          </cell>
          <cell r="J1171" t="str">
            <v>iHerb</v>
          </cell>
        </row>
        <row r="1172">
          <cell r="A1172" t="str">
            <v>31-05-2021</v>
          </cell>
          <cell r="B1172" t="str">
            <v>Fish Oil</v>
          </cell>
          <cell r="C1172" t="str">
            <v>Omega</v>
          </cell>
          <cell r="D1172">
            <v>133</v>
          </cell>
          <cell r="E1172">
            <v>42.39</v>
          </cell>
          <cell r="F1172">
            <v>5637.87</v>
          </cell>
          <cell r="G1172">
            <v>0.18</v>
          </cell>
          <cell r="H1172">
            <v>0</v>
          </cell>
          <cell r="I1172" t="str">
            <v>USA</v>
          </cell>
          <cell r="J1172" t="str">
            <v>Walmart</v>
          </cell>
        </row>
        <row r="1173">
          <cell r="A1173" t="str">
            <v>31-05-2021</v>
          </cell>
          <cell r="B1173" t="str">
            <v>Multivitamin</v>
          </cell>
          <cell r="C1173" t="str">
            <v>Vitamin</v>
          </cell>
          <cell r="D1173">
            <v>129</v>
          </cell>
          <cell r="E1173">
            <v>23.03</v>
          </cell>
          <cell r="F1173">
            <v>2970.87</v>
          </cell>
          <cell r="G1173">
            <v>0.21</v>
          </cell>
          <cell r="H1173">
            <v>3</v>
          </cell>
          <cell r="I1173" t="str">
            <v>USA</v>
          </cell>
          <cell r="J1173" t="str">
            <v>Walmart</v>
          </cell>
        </row>
        <row r="1174">
          <cell r="A1174" t="str">
            <v>31-05-2021</v>
          </cell>
          <cell r="B1174" t="str">
            <v>Pre-Workout</v>
          </cell>
          <cell r="C1174" t="str">
            <v>Performance</v>
          </cell>
          <cell r="D1174">
            <v>160</v>
          </cell>
          <cell r="E1174">
            <v>51.09</v>
          </cell>
          <cell r="F1174">
            <v>8174.4</v>
          </cell>
          <cell r="G1174">
            <v>0.19</v>
          </cell>
          <cell r="H1174">
            <v>2</v>
          </cell>
          <cell r="I1174" t="str">
            <v>USA</v>
          </cell>
          <cell r="J1174" t="str">
            <v>Amazon</v>
          </cell>
        </row>
        <row r="1175">
          <cell r="A1175" t="str">
            <v>31-05-2021</v>
          </cell>
          <cell r="B1175" t="str">
            <v>BCAA</v>
          </cell>
          <cell r="C1175" t="str">
            <v>Amino Acid</v>
          </cell>
          <cell r="D1175">
            <v>144</v>
          </cell>
          <cell r="E1175">
            <v>16.09</v>
          </cell>
          <cell r="F1175">
            <v>2316.96</v>
          </cell>
          <cell r="G1175">
            <v>0.13</v>
          </cell>
          <cell r="H1175">
            <v>2</v>
          </cell>
          <cell r="I1175" t="str">
            <v>USA</v>
          </cell>
          <cell r="J1175" t="str">
            <v>iHerb</v>
          </cell>
        </row>
        <row r="1176">
          <cell r="A1176" t="str">
            <v>31-05-2021</v>
          </cell>
          <cell r="B1176" t="str">
            <v>Creatine</v>
          </cell>
          <cell r="C1176" t="str">
            <v>Performance</v>
          </cell>
          <cell r="D1176">
            <v>145</v>
          </cell>
          <cell r="E1176">
            <v>28.18</v>
          </cell>
          <cell r="F1176">
            <v>4086.1</v>
          </cell>
          <cell r="G1176">
            <v>0.16</v>
          </cell>
          <cell r="H1176">
            <v>3</v>
          </cell>
          <cell r="I1176" t="str">
            <v>USA</v>
          </cell>
          <cell r="J1176" t="str">
            <v>Amazon</v>
          </cell>
        </row>
        <row r="1177">
          <cell r="A1177" t="str">
            <v>31-05-2021</v>
          </cell>
          <cell r="B1177" t="str">
            <v>Zinc</v>
          </cell>
          <cell r="C1177" t="str">
            <v>Mineral</v>
          </cell>
          <cell r="D1177">
            <v>136</v>
          </cell>
          <cell r="E1177">
            <v>17.04</v>
          </cell>
          <cell r="F1177">
            <v>2317.44</v>
          </cell>
          <cell r="G1177">
            <v>0.16</v>
          </cell>
          <cell r="H1177">
            <v>2</v>
          </cell>
          <cell r="I1177" t="str">
            <v>UK</v>
          </cell>
          <cell r="J1177" t="str">
            <v>Walmart</v>
          </cell>
        </row>
        <row r="1178">
          <cell r="A1178" t="str">
            <v>31-05-2021</v>
          </cell>
          <cell r="B1178" t="str">
            <v>Collagen Peptides</v>
          </cell>
          <cell r="C1178" t="str">
            <v>Protein</v>
          </cell>
          <cell r="D1178">
            <v>173</v>
          </cell>
          <cell r="E1178">
            <v>57.51</v>
          </cell>
          <cell r="F1178">
            <v>9949.23</v>
          </cell>
          <cell r="G1178">
            <v>0.02</v>
          </cell>
          <cell r="H1178">
            <v>2</v>
          </cell>
          <cell r="I1178" t="str">
            <v>Canada</v>
          </cell>
          <cell r="J1178" t="str">
            <v>Amazon</v>
          </cell>
        </row>
        <row r="1179">
          <cell r="A1179" t="str">
            <v>31-05-2021</v>
          </cell>
          <cell r="B1179" t="str">
            <v>Magnesium</v>
          </cell>
          <cell r="C1179" t="str">
            <v>Mineral</v>
          </cell>
          <cell r="D1179">
            <v>151</v>
          </cell>
          <cell r="E1179">
            <v>51.58</v>
          </cell>
          <cell r="F1179">
            <v>7788.58</v>
          </cell>
          <cell r="G1179">
            <v>0.04</v>
          </cell>
          <cell r="H1179">
            <v>0</v>
          </cell>
          <cell r="I1179" t="str">
            <v>UK</v>
          </cell>
          <cell r="J1179" t="str">
            <v>Walmart</v>
          </cell>
        </row>
        <row r="1180">
          <cell r="A1180" t="str">
            <v>31-05-2021</v>
          </cell>
          <cell r="B1180" t="str">
            <v>Ashwagandha</v>
          </cell>
          <cell r="C1180" t="str">
            <v>Herbal</v>
          </cell>
          <cell r="D1180">
            <v>167</v>
          </cell>
          <cell r="E1180">
            <v>16.45</v>
          </cell>
          <cell r="F1180">
            <v>2747.15</v>
          </cell>
          <cell r="G1180">
            <v>0.12</v>
          </cell>
          <cell r="H1180">
            <v>2</v>
          </cell>
          <cell r="I1180" t="str">
            <v>UK</v>
          </cell>
          <cell r="J1180" t="str">
            <v>iHerb</v>
          </cell>
        </row>
        <row r="1181">
          <cell r="A1181" t="str">
            <v>31-05-2021</v>
          </cell>
          <cell r="B1181" t="str">
            <v>Melatonin</v>
          </cell>
          <cell r="C1181" t="str">
            <v>Sleep Aid</v>
          </cell>
          <cell r="D1181">
            <v>155</v>
          </cell>
          <cell r="E1181">
            <v>55.29</v>
          </cell>
          <cell r="F1181">
            <v>8569.9500000000007</v>
          </cell>
          <cell r="G1181">
            <v>0.13</v>
          </cell>
          <cell r="H1181">
            <v>0</v>
          </cell>
          <cell r="I1181" t="str">
            <v>UK</v>
          </cell>
          <cell r="J1181" t="str">
            <v>Amazon</v>
          </cell>
        </row>
        <row r="1182">
          <cell r="A1182" t="str">
            <v>31-05-2021</v>
          </cell>
          <cell r="B1182" t="str">
            <v>Biotin</v>
          </cell>
          <cell r="C1182" t="str">
            <v>Vitamin</v>
          </cell>
          <cell r="D1182">
            <v>171</v>
          </cell>
          <cell r="E1182">
            <v>46.59</v>
          </cell>
          <cell r="F1182">
            <v>7966.89</v>
          </cell>
          <cell r="G1182">
            <v>0.18</v>
          </cell>
          <cell r="H1182">
            <v>1</v>
          </cell>
          <cell r="I1182" t="str">
            <v>USA</v>
          </cell>
          <cell r="J1182" t="str">
            <v>Amazon</v>
          </cell>
        </row>
        <row r="1183">
          <cell r="A1183" t="str">
            <v>31-05-2021</v>
          </cell>
          <cell r="B1183" t="str">
            <v>Green Tea Extract</v>
          </cell>
          <cell r="C1183" t="str">
            <v>Fat Burner</v>
          </cell>
          <cell r="D1183">
            <v>139</v>
          </cell>
          <cell r="E1183">
            <v>20.99</v>
          </cell>
          <cell r="F1183">
            <v>2917.61</v>
          </cell>
          <cell r="G1183">
            <v>0.11</v>
          </cell>
          <cell r="H1183">
            <v>2</v>
          </cell>
          <cell r="I1183" t="str">
            <v>UK</v>
          </cell>
          <cell r="J1183" t="str">
            <v>iHerb</v>
          </cell>
        </row>
        <row r="1184">
          <cell r="A1184" t="str">
            <v>31-05-2021</v>
          </cell>
          <cell r="B1184" t="str">
            <v>Iron Supplement</v>
          </cell>
          <cell r="C1184" t="str">
            <v>Mineral</v>
          </cell>
          <cell r="D1184">
            <v>161</v>
          </cell>
          <cell r="E1184">
            <v>49.61</v>
          </cell>
          <cell r="F1184">
            <v>7987.21</v>
          </cell>
          <cell r="G1184">
            <v>0.21</v>
          </cell>
          <cell r="H1184">
            <v>2</v>
          </cell>
          <cell r="I1184" t="str">
            <v>Canada</v>
          </cell>
          <cell r="J1184" t="str">
            <v>iHerb</v>
          </cell>
        </row>
        <row r="1185">
          <cell r="A1185" t="str">
            <v>31-05-2021</v>
          </cell>
          <cell r="B1185" t="str">
            <v>Electrolyte Powder</v>
          </cell>
          <cell r="C1185" t="str">
            <v>Hydration</v>
          </cell>
          <cell r="D1185">
            <v>140</v>
          </cell>
          <cell r="E1185">
            <v>25.74</v>
          </cell>
          <cell r="F1185">
            <v>3603.6</v>
          </cell>
          <cell r="G1185">
            <v>0.03</v>
          </cell>
          <cell r="H1185">
            <v>1</v>
          </cell>
          <cell r="I1185" t="str">
            <v>USA</v>
          </cell>
          <cell r="J1185" t="str">
            <v>Amazon</v>
          </cell>
        </row>
        <row r="1186">
          <cell r="A1186" t="str">
            <v>07-06-2021</v>
          </cell>
          <cell r="B1186" t="str">
            <v>Whey Protein</v>
          </cell>
          <cell r="C1186" t="str">
            <v>Protein</v>
          </cell>
          <cell r="D1186">
            <v>139</v>
          </cell>
          <cell r="E1186">
            <v>55.42</v>
          </cell>
          <cell r="F1186">
            <v>7703.38</v>
          </cell>
          <cell r="G1186">
            <v>0.03</v>
          </cell>
          <cell r="H1186">
            <v>2</v>
          </cell>
          <cell r="I1186" t="str">
            <v>UK</v>
          </cell>
          <cell r="J1186" t="str">
            <v>iHerb</v>
          </cell>
        </row>
        <row r="1187">
          <cell r="A1187" t="str">
            <v>07-06-2021</v>
          </cell>
          <cell r="B1187" t="str">
            <v>Vitamin C</v>
          </cell>
          <cell r="C1187" t="str">
            <v>Vitamin</v>
          </cell>
          <cell r="D1187">
            <v>157</v>
          </cell>
          <cell r="E1187">
            <v>56.13</v>
          </cell>
          <cell r="F1187">
            <v>8812.41</v>
          </cell>
          <cell r="G1187">
            <v>0.14000000000000001</v>
          </cell>
          <cell r="H1187">
            <v>1</v>
          </cell>
          <cell r="I1187" t="str">
            <v>UK</v>
          </cell>
          <cell r="J1187" t="str">
            <v>Walmart</v>
          </cell>
        </row>
        <row r="1188">
          <cell r="A1188" t="str">
            <v>07-06-2021</v>
          </cell>
          <cell r="B1188" t="str">
            <v>Fish Oil</v>
          </cell>
          <cell r="C1188" t="str">
            <v>Omega</v>
          </cell>
          <cell r="D1188">
            <v>160</v>
          </cell>
          <cell r="E1188">
            <v>44.68</v>
          </cell>
          <cell r="F1188">
            <v>7148.8</v>
          </cell>
          <cell r="G1188">
            <v>0.01</v>
          </cell>
          <cell r="H1188">
            <v>3</v>
          </cell>
          <cell r="I1188" t="str">
            <v>UK</v>
          </cell>
          <cell r="J1188" t="str">
            <v>iHerb</v>
          </cell>
        </row>
        <row r="1189">
          <cell r="A1189" t="str">
            <v>07-06-2021</v>
          </cell>
          <cell r="B1189" t="str">
            <v>Multivitamin</v>
          </cell>
          <cell r="C1189" t="str">
            <v>Vitamin</v>
          </cell>
          <cell r="D1189">
            <v>148</v>
          </cell>
          <cell r="E1189">
            <v>21.06</v>
          </cell>
          <cell r="F1189">
            <v>3116.88</v>
          </cell>
          <cell r="G1189">
            <v>0.17</v>
          </cell>
          <cell r="H1189">
            <v>2</v>
          </cell>
          <cell r="I1189" t="str">
            <v>UK</v>
          </cell>
          <cell r="J1189" t="str">
            <v>Walmart</v>
          </cell>
        </row>
        <row r="1190">
          <cell r="A1190" t="str">
            <v>07-06-2021</v>
          </cell>
          <cell r="B1190" t="str">
            <v>Pre-Workout</v>
          </cell>
          <cell r="C1190" t="str">
            <v>Performance</v>
          </cell>
          <cell r="D1190">
            <v>149</v>
          </cell>
          <cell r="E1190">
            <v>32.82</v>
          </cell>
          <cell r="F1190">
            <v>4890.18</v>
          </cell>
          <cell r="G1190">
            <v>0.22</v>
          </cell>
          <cell r="H1190">
            <v>1</v>
          </cell>
          <cell r="I1190" t="str">
            <v>Canada</v>
          </cell>
          <cell r="J1190" t="str">
            <v>Amazon</v>
          </cell>
        </row>
        <row r="1191">
          <cell r="A1191" t="str">
            <v>07-06-2021</v>
          </cell>
          <cell r="B1191" t="str">
            <v>BCAA</v>
          </cell>
          <cell r="C1191" t="str">
            <v>Amino Acid</v>
          </cell>
          <cell r="D1191">
            <v>164</v>
          </cell>
          <cell r="E1191">
            <v>30.53</v>
          </cell>
          <cell r="F1191">
            <v>5006.92</v>
          </cell>
          <cell r="G1191">
            <v>0.06</v>
          </cell>
          <cell r="H1191">
            <v>1</v>
          </cell>
          <cell r="I1191" t="str">
            <v>UK</v>
          </cell>
          <cell r="J1191" t="str">
            <v>Walmart</v>
          </cell>
        </row>
        <row r="1192">
          <cell r="A1192" t="str">
            <v>07-06-2021</v>
          </cell>
          <cell r="B1192" t="str">
            <v>Creatine</v>
          </cell>
          <cell r="C1192" t="str">
            <v>Performance</v>
          </cell>
          <cell r="D1192">
            <v>163</v>
          </cell>
          <cell r="E1192">
            <v>36.22</v>
          </cell>
          <cell r="F1192">
            <v>5903.86</v>
          </cell>
          <cell r="G1192">
            <v>0.2</v>
          </cell>
          <cell r="H1192">
            <v>1</v>
          </cell>
          <cell r="I1192" t="str">
            <v>USA</v>
          </cell>
          <cell r="J1192" t="str">
            <v>iHerb</v>
          </cell>
        </row>
        <row r="1193">
          <cell r="A1193" t="str">
            <v>07-06-2021</v>
          </cell>
          <cell r="B1193" t="str">
            <v>Zinc</v>
          </cell>
          <cell r="C1193" t="str">
            <v>Mineral</v>
          </cell>
          <cell r="D1193">
            <v>155</v>
          </cell>
          <cell r="E1193">
            <v>15.46</v>
          </cell>
          <cell r="F1193">
            <v>2396.3000000000002</v>
          </cell>
          <cell r="G1193">
            <v>0.2</v>
          </cell>
          <cell r="H1193">
            <v>0</v>
          </cell>
          <cell r="I1193" t="str">
            <v>UK</v>
          </cell>
          <cell r="J1193" t="str">
            <v>Amazon</v>
          </cell>
        </row>
        <row r="1194">
          <cell r="A1194" t="str">
            <v>07-06-2021</v>
          </cell>
          <cell r="B1194" t="str">
            <v>Collagen Peptides</v>
          </cell>
          <cell r="C1194" t="str">
            <v>Protein</v>
          </cell>
          <cell r="D1194">
            <v>141</v>
          </cell>
          <cell r="E1194">
            <v>27.32</v>
          </cell>
          <cell r="F1194">
            <v>3852.12</v>
          </cell>
          <cell r="G1194">
            <v>0.24</v>
          </cell>
          <cell r="H1194">
            <v>4</v>
          </cell>
          <cell r="I1194" t="str">
            <v>UK</v>
          </cell>
          <cell r="J1194" t="str">
            <v>Walmart</v>
          </cell>
        </row>
        <row r="1195">
          <cell r="A1195" t="str">
            <v>07-06-2021</v>
          </cell>
          <cell r="B1195" t="str">
            <v>Magnesium</v>
          </cell>
          <cell r="C1195" t="str">
            <v>Mineral</v>
          </cell>
          <cell r="D1195">
            <v>141</v>
          </cell>
          <cell r="E1195">
            <v>45.25</v>
          </cell>
          <cell r="F1195">
            <v>6380.25</v>
          </cell>
          <cell r="G1195">
            <v>0.11</v>
          </cell>
          <cell r="H1195">
            <v>0</v>
          </cell>
          <cell r="I1195" t="str">
            <v>UK</v>
          </cell>
          <cell r="J1195" t="str">
            <v>Walmart</v>
          </cell>
        </row>
        <row r="1196">
          <cell r="A1196" t="str">
            <v>07-06-2021</v>
          </cell>
          <cell r="B1196" t="str">
            <v>Ashwagandha</v>
          </cell>
          <cell r="C1196" t="str">
            <v>Herbal</v>
          </cell>
          <cell r="D1196">
            <v>158</v>
          </cell>
          <cell r="E1196">
            <v>53.51</v>
          </cell>
          <cell r="F1196">
            <v>8454.58</v>
          </cell>
          <cell r="G1196">
            <v>0.03</v>
          </cell>
          <cell r="H1196">
            <v>0</v>
          </cell>
          <cell r="I1196" t="str">
            <v>USA</v>
          </cell>
          <cell r="J1196" t="str">
            <v>iHerb</v>
          </cell>
        </row>
        <row r="1197">
          <cell r="A1197" t="str">
            <v>07-06-2021</v>
          </cell>
          <cell r="B1197" t="str">
            <v>Melatonin</v>
          </cell>
          <cell r="C1197" t="str">
            <v>Sleep Aid</v>
          </cell>
          <cell r="D1197">
            <v>157</v>
          </cell>
          <cell r="E1197">
            <v>29.88</v>
          </cell>
          <cell r="F1197">
            <v>4691.16</v>
          </cell>
          <cell r="G1197">
            <v>0.08</v>
          </cell>
          <cell r="H1197">
            <v>1</v>
          </cell>
          <cell r="I1197" t="str">
            <v>Canada</v>
          </cell>
          <cell r="J1197" t="str">
            <v>iHerb</v>
          </cell>
        </row>
        <row r="1198">
          <cell r="A1198" t="str">
            <v>07-06-2021</v>
          </cell>
          <cell r="B1198" t="str">
            <v>Biotin</v>
          </cell>
          <cell r="C1198" t="str">
            <v>Vitamin</v>
          </cell>
          <cell r="D1198">
            <v>149</v>
          </cell>
          <cell r="E1198">
            <v>41.59</v>
          </cell>
          <cell r="F1198">
            <v>6196.91</v>
          </cell>
          <cell r="G1198">
            <v>0.06</v>
          </cell>
          <cell r="H1198">
            <v>4</v>
          </cell>
          <cell r="I1198" t="str">
            <v>Canada</v>
          </cell>
          <cell r="J1198" t="str">
            <v>Walmart</v>
          </cell>
        </row>
        <row r="1199">
          <cell r="A1199" t="str">
            <v>07-06-2021</v>
          </cell>
          <cell r="B1199" t="str">
            <v>Green Tea Extract</v>
          </cell>
          <cell r="C1199" t="str">
            <v>Fat Burner</v>
          </cell>
          <cell r="D1199">
            <v>144</v>
          </cell>
          <cell r="E1199">
            <v>38.53</v>
          </cell>
          <cell r="F1199">
            <v>5548.32</v>
          </cell>
          <cell r="G1199">
            <v>0.11</v>
          </cell>
          <cell r="H1199">
            <v>1</v>
          </cell>
          <cell r="I1199" t="str">
            <v>UK</v>
          </cell>
          <cell r="J1199" t="str">
            <v>Walmart</v>
          </cell>
        </row>
        <row r="1200">
          <cell r="A1200" t="str">
            <v>07-06-2021</v>
          </cell>
          <cell r="B1200" t="str">
            <v>Iron Supplement</v>
          </cell>
          <cell r="C1200" t="str">
            <v>Mineral</v>
          </cell>
          <cell r="D1200">
            <v>159</v>
          </cell>
          <cell r="E1200">
            <v>51.66</v>
          </cell>
          <cell r="F1200">
            <v>8213.94</v>
          </cell>
          <cell r="G1200">
            <v>0.06</v>
          </cell>
          <cell r="H1200">
            <v>2</v>
          </cell>
          <cell r="I1200" t="str">
            <v>UK</v>
          </cell>
          <cell r="J1200" t="str">
            <v>iHerb</v>
          </cell>
        </row>
        <row r="1201">
          <cell r="A1201" t="str">
            <v>07-06-2021</v>
          </cell>
          <cell r="B1201" t="str">
            <v>Electrolyte Powder</v>
          </cell>
          <cell r="C1201" t="str">
            <v>Hydration</v>
          </cell>
          <cell r="D1201">
            <v>153</v>
          </cell>
          <cell r="E1201">
            <v>34.299999999999997</v>
          </cell>
          <cell r="F1201">
            <v>5247.9</v>
          </cell>
          <cell r="G1201">
            <v>0.08</v>
          </cell>
          <cell r="H1201">
            <v>0</v>
          </cell>
          <cell r="I1201" t="str">
            <v>UK</v>
          </cell>
          <cell r="J1201" t="str">
            <v>iHerb</v>
          </cell>
        </row>
        <row r="1202">
          <cell r="A1202" t="str">
            <v>14-06-2021</v>
          </cell>
          <cell r="B1202" t="str">
            <v>Whey Protein</v>
          </cell>
          <cell r="C1202" t="str">
            <v>Protein</v>
          </cell>
          <cell r="D1202">
            <v>139</v>
          </cell>
          <cell r="E1202">
            <v>44.15</v>
          </cell>
          <cell r="F1202">
            <v>6136.85</v>
          </cell>
          <cell r="G1202">
            <v>0.17</v>
          </cell>
          <cell r="H1202">
            <v>4</v>
          </cell>
          <cell r="I1202" t="str">
            <v>USA</v>
          </cell>
          <cell r="J1202" t="str">
            <v>Amazon</v>
          </cell>
        </row>
        <row r="1203">
          <cell r="A1203" t="str">
            <v>14-06-2021</v>
          </cell>
          <cell r="B1203" t="str">
            <v>Vitamin C</v>
          </cell>
          <cell r="C1203" t="str">
            <v>Vitamin</v>
          </cell>
          <cell r="D1203">
            <v>159</v>
          </cell>
          <cell r="E1203">
            <v>54.21</v>
          </cell>
          <cell r="F1203">
            <v>8619.39</v>
          </cell>
          <cell r="G1203">
            <v>0.22</v>
          </cell>
          <cell r="H1203">
            <v>1</v>
          </cell>
          <cell r="I1203" t="str">
            <v>Canada</v>
          </cell>
          <cell r="J1203" t="str">
            <v>iHerb</v>
          </cell>
        </row>
        <row r="1204">
          <cell r="A1204" t="str">
            <v>14-06-2021</v>
          </cell>
          <cell r="B1204" t="str">
            <v>Fish Oil</v>
          </cell>
          <cell r="C1204" t="str">
            <v>Omega</v>
          </cell>
          <cell r="D1204">
            <v>151</v>
          </cell>
          <cell r="E1204">
            <v>14.15</v>
          </cell>
          <cell r="F1204">
            <v>2136.65</v>
          </cell>
          <cell r="G1204">
            <v>0.05</v>
          </cell>
          <cell r="H1204">
            <v>1</v>
          </cell>
          <cell r="I1204" t="str">
            <v>Canada</v>
          </cell>
          <cell r="J1204" t="str">
            <v>iHerb</v>
          </cell>
        </row>
        <row r="1205">
          <cell r="A1205" t="str">
            <v>14-06-2021</v>
          </cell>
          <cell r="B1205" t="str">
            <v>Multivitamin</v>
          </cell>
          <cell r="C1205" t="str">
            <v>Vitamin</v>
          </cell>
          <cell r="D1205">
            <v>153</v>
          </cell>
          <cell r="E1205">
            <v>59.41</v>
          </cell>
          <cell r="F1205">
            <v>9089.73</v>
          </cell>
          <cell r="G1205">
            <v>0.1</v>
          </cell>
          <cell r="H1205">
            <v>0</v>
          </cell>
          <cell r="I1205" t="str">
            <v>USA</v>
          </cell>
          <cell r="J1205" t="str">
            <v>Amazon</v>
          </cell>
        </row>
        <row r="1206">
          <cell r="A1206" t="str">
            <v>14-06-2021</v>
          </cell>
          <cell r="B1206" t="str">
            <v>Pre-Workout</v>
          </cell>
          <cell r="C1206" t="str">
            <v>Performance</v>
          </cell>
          <cell r="D1206">
            <v>162</v>
          </cell>
          <cell r="E1206">
            <v>19.93</v>
          </cell>
          <cell r="F1206">
            <v>3228.66</v>
          </cell>
          <cell r="G1206">
            <v>0.12</v>
          </cell>
          <cell r="H1206">
            <v>2</v>
          </cell>
          <cell r="I1206" t="str">
            <v>UK</v>
          </cell>
          <cell r="J1206" t="str">
            <v>Walmart</v>
          </cell>
        </row>
        <row r="1207">
          <cell r="A1207" t="str">
            <v>14-06-2021</v>
          </cell>
          <cell r="B1207" t="str">
            <v>BCAA</v>
          </cell>
          <cell r="C1207" t="str">
            <v>Amino Acid</v>
          </cell>
          <cell r="D1207">
            <v>160</v>
          </cell>
          <cell r="E1207">
            <v>25.26</v>
          </cell>
          <cell r="F1207">
            <v>4041.6</v>
          </cell>
          <cell r="G1207">
            <v>0.24</v>
          </cell>
          <cell r="H1207">
            <v>2</v>
          </cell>
          <cell r="I1207" t="str">
            <v>UK</v>
          </cell>
          <cell r="J1207" t="str">
            <v>Walmart</v>
          </cell>
        </row>
        <row r="1208">
          <cell r="A1208" t="str">
            <v>14-06-2021</v>
          </cell>
          <cell r="B1208" t="str">
            <v>Creatine</v>
          </cell>
          <cell r="C1208" t="str">
            <v>Performance</v>
          </cell>
          <cell r="D1208">
            <v>147</v>
          </cell>
          <cell r="E1208">
            <v>46.56</v>
          </cell>
          <cell r="F1208">
            <v>6844.32</v>
          </cell>
          <cell r="G1208">
            <v>0.06</v>
          </cell>
          <cell r="H1208">
            <v>0</v>
          </cell>
          <cell r="I1208" t="str">
            <v>Canada</v>
          </cell>
          <cell r="J1208" t="str">
            <v>iHerb</v>
          </cell>
        </row>
        <row r="1209">
          <cell r="A1209" t="str">
            <v>14-06-2021</v>
          </cell>
          <cell r="B1209" t="str">
            <v>Zinc</v>
          </cell>
          <cell r="C1209" t="str">
            <v>Mineral</v>
          </cell>
          <cell r="D1209">
            <v>151</v>
          </cell>
          <cell r="E1209">
            <v>41.45</v>
          </cell>
          <cell r="F1209">
            <v>6258.95</v>
          </cell>
          <cell r="G1209">
            <v>0.03</v>
          </cell>
          <cell r="H1209">
            <v>2</v>
          </cell>
          <cell r="I1209" t="str">
            <v>USA</v>
          </cell>
          <cell r="J1209" t="str">
            <v>iHerb</v>
          </cell>
        </row>
        <row r="1210">
          <cell r="A1210" t="str">
            <v>14-06-2021</v>
          </cell>
          <cell r="B1210" t="str">
            <v>Collagen Peptides</v>
          </cell>
          <cell r="C1210" t="str">
            <v>Protein</v>
          </cell>
          <cell r="D1210">
            <v>142</v>
          </cell>
          <cell r="E1210">
            <v>16.350000000000001</v>
          </cell>
          <cell r="F1210">
            <v>2321.6999999999998</v>
          </cell>
          <cell r="G1210">
            <v>0.23</v>
          </cell>
          <cell r="H1210">
            <v>3</v>
          </cell>
          <cell r="I1210" t="str">
            <v>USA</v>
          </cell>
          <cell r="J1210" t="str">
            <v>Walmart</v>
          </cell>
        </row>
        <row r="1211">
          <cell r="A1211" t="str">
            <v>14-06-2021</v>
          </cell>
          <cell r="B1211" t="str">
            <v>Magnesium</v>
          </cell>
          <cell r="C1211" t="str">
            <v>Mineral</v>
          </cell>
          <cell r="D1211">
            <v>140</v>
          </cell>
          <cell r="E1211">
            <v>40.43</v>
          </cell>
          <cell r="F1211">
            <v>5660.2</v>
          </cell>
          <cell r="G1211">
            <v>0.24</v>
          </cell>
          <cell r="H1211">
            <v>1</v>
          </cell>
          <cell r="I1211" t="str">
            <v>UK</v>
          </cell>
          <cell r="J1211" t="str">
            <v>Walmart</v>
          </cell>
        </row>
        <row r="1212">
          <cell r="A1212" t="str">
            <v>14-06-2021</v>
          </cell>
          <cell r="B1212" t="str">
            <v>Ashwagandha</v>
          </cell>
          <cell r="C1212" t="str">
            <v>Herbal</v>
          </cell>
          <cell r="D1212">
            <v>157</v>
          </cell>
          <cell r="E1212">
            <v>29.81</v>
          </cell>
          <cell r="F1212">
            <v>4680.17</v>
          </cell>
          <cell r="G1212">
            <v>0.24</v>
          </cell>
          <cell r="H1212">
            <v>2</v>
          </cell>
          <cell r="I1212" t="str">
            <v>Canada</v>
          </cell>
          <cell r="J1212" t="str">
            <v>Walmart</v>
          </cell>
        </row>
        <row r="1213">
          <cell r="A1213" t="str">
            <v>14-06-2021</v>
          </cell>
          <cell r="B1213" t="str">
            <v>Melatonin</v>
          </cell>
          <cell r="C1213" t="str">
            <v>Sleep Aid</v>
          </cell>
          <cell r="D1213">
            <v>142</v>
          </cell>
          <cell r="E1213">
            <v>45.18</v>
          </cell>
          <cell r="F1213">
            <v>6415.56</v>
          </cell>
          <cell r="G1213">
            <v>0.16</v>
          </cell>
          <cell r="H1213">
            <v>1</v>
          </cell>
          <cell r="I1213" t="str">
            <v>UK</v>
          </cell>
          <cell r="J1213" t="str">
            <v>Walmart</v>
          </cell>
        </row>
        <row r="1214">
          <cell r="A1214" t="str">
            <v>14-06-2021</v>
          </cell>
          <cell r="B1214" t="str">
            <v>Biotin</v>
          </cell>
          <cell r="C1214" t="str">
            <v>Vitamin</v>
          </cell>
          <cell r="D1214">
            <v>178</v>
          </cell>
          <cell r="E1214">
            <v>25.19</v>
          </cell>
          <cell r="F1214">
            <v>4483.82</v>
          </cell>
          <cell r="G1214">
            <v>0.23</v>
          </cell>
          <cell r="H1214">
            <v>1</v>
          </cell>
          <cell r="I1214" t="str">
            <v>USA</v>
          </cell>
          <cell r="J1214" t="str">
            <v>iHerb</v>
          </cell>
        </row>
        <row r="1215">
          <cell r="A1215" t="str">
            <v>14-06-2021</v>
          </cell>
          <cell r="B1215" t="str">
            <v>Green Tea Extract</v>
          </cell>
          <cell r="C1215" t="str">
            <v>Fat Burner</v>
          </cell>
          <cell r="D1215">
            <v>141</v>
          </cell>
          <cell r="E1215">
            <v>51.19</v>
          </cell>
          <cell r="F1215">
            <v>7217.79</v>
          </cell>
          <cell r="G1215">
            <v>0.03</v>
          </cell>
          <cell r="H1215">
            <v>3</v>
          </cell>
          <cell r="I1215" t="str">
            <v>UK</v>
          </cell>
          <cell r="J1215" t="str">
            <v>Amazon</v>
          </cell>
        </row>
        <row r="1216">
          <cell r="A1216" t="str">
            <v>14-06-2021</v>
          </cell>
          <cell r="B1216" t="str">
            <v>Iron Supplement</v>
          </cell>
          <cell r="C1216" t="str">
            <v>Mineral</v>
          </cell>
          <cell r="D1216">
            <v>161</v>
          </cell>
          <cell r="E1216">
            <v>45.6</v>
          </cell>
          <cell r="F1216">
            <v>7341.6</v>
          </cell>
          <cell r="G1216">
            <v>0.1</v>
          </cell>
          <cell r="H1216">
            <v>1</v>
          </cell>
          <cell r="I1216" t="str">
            <v>Canada</v>
          </cell>
          <cell r="J1216" t="str">
            <v>iHerb</v>
          </cell>
        </row>
        <row r="1217">
          <cell r="A1217" t="str">
            <v>14-06-2021</v>
          </cell>
          <cell r="B1217" t="str">
            <v>Electrolyte Powder</v>
          </cell>
          <cell r="C1217" t="str">
            <v>Hydration</v>
          </cell>
          <cell r="D1217">
            <v>134</v>
          </cell>
          <cell r="E1217">
            <v>34.049999999999997</v>
          </cell>
          <cell r="F1217">
            <v>4562.7</v>
          </cell>
          <cell r="G1217">
            <v>0.09</v>
          </cell>
          <cell r="H1217">
            <v>1</v>
          </cell>
          <cell r="I1217" t="str">
            <v>USA</v>
          </cell>
          <cell r="J1217" t="str">
            <v>Amazon</v>
          </cell>
        </row>
        <row r="1218">
          <cell r="A1218" t="str">
            <v>21-06-2021</v>
          </cell>
          <cell r="B1218" t="str">
            <v>Whey Protein</v>
          </cell>
          <cell r="C1218" t="str">
            <v>Protein</v>
          </cell>
          <cell r="D1218">
            <v>123</v>
          </cell>
          <cell r="E1218">
            <v>31.81</v>
          </cell>
          <cell r="F1218">
            <v>3912.63</v>
          </cell>
          <cell r="G1218">
            <v>0.05</v>
          </cell>
          <cell r="H1218">
            <v>2</v>
          </cell>
          <cell r="I1218" t="str">
            <v>Canada</v>
          </cell>
          <cell r="J1218" t="str">
            <v>Walmart</v>
          </cell>
        </row>
        <row r="1219">
          <cell r="A1219" t="str">
            <v>21-06-2021</v>
          </cell>
          <cell r="B1219" t="str">
            <v>Vitamin C</v>
          </cell>
          <cell r="C1219" t="str">
            <v>Vitamin</v>
          </cell>
          <cell r="D1219">
            <v>162</v>
          </cell>
          <cell r="E1219">
            <v>24.92</v>
          </cell>
          <cell r="F1219">
            <v>4037.04</v>
          </cell>
          <cell r="G1219">
            <v>0.16</v>
          </cell>
          <cell r="H1219">
            <v>1</v>
          </cell>
          <cell r="I1219" t="str">
            <v>UK</v>
          </cell>
          <cell r="J1219" t="str">
            <v>Walmart</v>
          </cell>
        </row>
        <row r="1220">
          <cell r="A1220" t="str">
            <v>21-06-2021</v>
          </cell>
          <cell r="B1220" t="str">
            <v>Fish Oil</v>
          </cell>
          <cell r="C1220" t="str">
            <v>Omega</v>
          </cell>
          <cell r="D1220">
            <v>140</v>
          </cell>
          <cell r="E1220">
            <v>12.02</v>
          </cell>
          <cell r="F1220">
            <v>1682.8</v>
          </cell>
          <cell r="G1220">
            <v>0.02</v>
          </cell>
          <cell r="H1220">
            <v>0</v>
          </cell>
          <cell r="I1220" t="str">
            <v>Canada</v>
          </cell>
          <cell r="J1220" t="str">
            <v>Amazon</v>
          </cell>
        </row>
        <row r="1221">
          <cell r="A1221" t="str">
            <v>21-06-2021</v>
          </cell>
          <cell r="B1221" t="str">
            <v>Multivitamin</v>
          </cell>
          <cell r="C1221" t="str">
            <v>Vitamin</v>
          </cell>
          <cell r="D1221">
            <v>136</v>
          </cell>
          <cell r="E1221">
            <v>59.79</v>
          </cell>
          <cell r="F1221">
            <v>8131.44</v>
          </cell>
          <cell r="G1221">
            <v>7.0000000000000007E-2</v>
          </cell>
          <cell r="H1221">
            <v>0</v>
          </cell>
          <cell r="I1221" t="str">
            <v>USA</v>
          </cell>
          <cell r="J1221" t="str">
            <v>Walmart</v>
          </cell>
        </row>
        <row r="1222">
          <cell r="A1222" t="str">
            <v>21-06-2021</v>
          </cell>
          <cell r="B1222" t="str">
            <v>Pre-Workout</v>
          </cell>
          <cell r="C1222" t="str">
            <v>Performance</v>
          </cell>
          <cell r="D1222">
            <v>151</v>
          </cell>
          <cell r="E1222">
            <v>53.67</v>
          </cell>
          <cell r="F1222">
            <v>8104.17</v>
          </cell>
          <cell r="G1222">
            <v>0.1</v>
          </cell>
          <cell r="H1222">
            <v>1</v>
          </cell>
          <cell r="I1222" t="str">
            <v>UK</v>
          </cell>
          <cell r="J1222" t="str">
            <v>Amazon</v>
          </cell>
        </row>
        <row r="1223">
          <cell r="A1223" t="str">
            <v>21-06-2021</v>
          </cell>
          <cell r="B1223" t="str">
            <v>BCAA</v>
          </cell>
          <cell r="C1223" t="str">
            <v>Amino Acid</v>
          </cell>
          <cell r="D1223">
            <v>139</v>
          </cell>
          <cell r="E1223">
            <v>25.83</v>
          </cell>
          <cell r="F1223">
            <v>3590.37</v>
          </cell>
          <cell r="G1223">
            <v>0.17</v>
          </cell>
          <cell r="H1223">
            <v>1</v>
          </cell>
          <cell r="I1223" t="str">
            <v>UK</v>
          </cell>
          <cell r="J1223" t="str">
            <v>Walmart</v>
          </cell>
        </row>
        <row r="1224">
          <cell r="A1224" t="str">
            <v>21-06-2021</v>
          </cell>
          <cell r="B1224" t="str">
            <v>Creatine</v>
          </cell>
          <cell r="C1224" t="str">
            <v>Performance</v>
          </cell>
          <cell r="D1224">
            <v>153</v>
          </cell>
          <cell r="E1224">
            <v>19.559999999999999</v>
          </cell>
          <cell r="F1224">
            <v>2992.68</v>
          </cell>
          <cell r="G1224">
            <v>0.1</v>
          </cell>
          <cell r="H1224">
            <v>4</v>
          </cell>
          <cell r="I1224" t="str">
            <v>USA</v>
          </cell>
          <cell r="J1224" t="str">
            <v>iHerb</v>
          </cell>
        </row>
        <row r="1225">
          <cell r="A1225" t="str">
            <v>21-06-2021</v>
          </cell>
          <cell r="B1225" t="str">
            <v>Zinc</v>
          </cell>
          <cell r="C1225" t="str">
            <v>Mineral</v>
          </cell>
          <cell r="D1225">
            <v>146</v>
          </cell>
          <cell r="E1225">
            <v>22.75</v>
          </cell>
          <cell r="F1225">
            <v>3321.5</v>
          </cell>
          <cell r="G1225">
            <v>0.03</v>
          </cell>
          <cell r="H1225">
            <v>0</v>
          </cell>
          <cell r="I1225" t="str">
            <v>Canada</v>
          </cell>
          <cell r="J1225" t="str">
            <v>Amazon</v>
          </cell>
        </row>
        <row r="1226">
          <cell r="A1226" t="str">
            <v>21-06-2021</v>
          </cell>
          <cell r="B1226" t="str">
            <v>Collagen Peptides</v>
          </cell>
          <cell r="C1226" t="str">
            <v>Protein</v>
          </cell>
          <cell r="D1226">
            <v>143</v>
          </cell>
          <cell r="E1226">
            <v>18.7</v>
          </cell>
          <cell r="F1226">
            <v>2674.1</v>
          </cell>
          <cell r="G1226">
            <v>0.19</v>
          </cell>
          <cell r="H1226">
            <v>0</v>
          </cell>
          <cell r="I1226" t="str">
            <v>Canada</v>
          </cell>
          <cell r="J1226" t="str">
            <v>Amazon</v>
          </cell>
        </row>
        <row r="1227">
          <cell r="A1227" t="str">
            <v>21-06-2021</v>
          </cell>
          <cell r="B1227" t="str">
            <v>Magnesium</v>
          </cell>
          <cell r="C1227" t="str">
            <v>Mineral</v>
          </cell>
          <cell r="D1227">
            <v>152</v>
          </cell>
          <cell r="E1227">
            <v>35.33</v>
          </cell>
          <cell r="F1227">
            <v>5370.16</v>
          </cell>
          <cell r="G1227">
            <v>0.14000000000000001</v>
          </cell>
          <cell r="H1227">
            <v>1</v>
          </cell>
          <cell r="I1227" t="str">
            <v>Canada</v>
          </cell>
          <cell r="J1227" t="str">
            <v>Walmart</v>
          </cell>
        </row>
        <row r="1228">
          <cell r="A1228" t="str">
            <v>21-06-2021</v>
          </cell>
          <cell r="B1228" t="str">
            <v>Ashwagandha</v>
          </cell>
          <cell r="C1228" t="str">
            <v>Herbal</v>
          </cell>
          <cell r="D1228">
            <v>142</v>
          </cell>
          <cell r="E1228">
            <v>53.56</v>
          </cell>
          <cell r="F1228">
            <v>7605.52</v>
          </cell>
          <cell r="G1228">
            <v>0.05</v>
          </cell>
          <cell r="H1228">
            <v>0</v>
          </cell>
          <cell r="I1228" t="str">
            <v>UK</v>
          </cell>
          <cell r="J1228" t="str">
            <v>Amazon</v>
          </cell>
        </row>
        <row r="1229">
          <cell r="A1229" t="str">
            <v>21-06-2021</v>
          </cell>
          <cell r="B1229" t="str">
            <v>Melatonin</v>
          </cell>
          <cell r="C1229" t="str">
            <v>Sleep Aid</v>
          </cell>
          <cell r="D1229">
            <v>168</v>
          </cell>
          <cell r="E1229">
            <v>37.57</v>
          </cell>
          <cell r="F1229">
            <v>6311.76</v>
          </cell>
          <cell r="G1229">
            <v>0.09</v>
          </cell>
          <cell r="H1229">
            <v>0</v>
          </cell>
          <cell r="I1229" t="str">
            <v>USA</v>
          </cell>
          <cell r="J1229" t="str">
            <v>iHerb</v>
          </cell>
        </row>
        <row r="1230">
          <cell r="A1230" t="str">
            <v>21-06-2021</v>
          </cell>
          <cell r="B1230" t="str">
            <v>Biotin</v>
          </cell>
          <cell r="C1230" t="str">
            <v>Vitamin</v>
          </cell>
          <cell r="D1230">
            <v>153</v>
          </cell>
          <cell r="E1230">
            <v>20.149999999999999</v>
          </cell>
          <cell r="F1230">
            <v>3082.95</v>
          </cell>
          <cell r="G1230">
            <v>0.11</v>
          </cell>
          <cell r="H1230">
            <v>2</v>
          </cell>
          <cell r="I1230" t="str">
            <v>USA</v>
          </cell>
          <cell r="J1230" t="str">
            <v>Amazon</v>
          </cell>
        </row>
        <row r="1231">
          <cell r="A1231" t="str">
            <v>21-06-2021</v>
          </cell>
          <cell r="B1231" t="str">
            <v>Green Tea Extract</v>
          </cell>
          <cell r="C1231" t="str">
            <v>Fat Burner</v>
          </cell>
          <cell r="D1231">
            <v>153</v>
          </cell>
          <cell r="E1231">
            <v>37.4</v>
          </cell>
          <cell r="F1231">
            <v>5722.2</v>
          </cell>
          <cell r="G1231">
            <v>0.18</v>
          </cell>
          <cell r="H1231">
            <v>2</v>
          </cell>
          <cell r="I1231" t="str">
            <v>UK</v>
          </cell>
          <cell r="J1231" t="str">
            <v>iHerb</v>
          </cell>
        </row>
        <row r="1232">
          <cell r="A1232" t="str">
            <v>21-06-2021</v>
          </cell>
          <cell r="B1232" t="str">
            <v>Iron Supplement</v>
          </cell>
          <cell r="C1232" t="str">
            <v>Mineral</v>
          </cell>
          <cell r="D1232">
            <v>155</v>
          </cell>
          <cell r="E1232">
            <v>45.51</v>
          </cell>
          <cell r="F1232">
            <v>7054.05</v>
          </cell>
          <cell r="G1232">
            <v>0.17</v>
          </cell>
          <cell r="H1232">
            <v>0</v>
          </cell>
          <cell r="I1232" t="str">
            <v>UK</v>
          </cell>
          <cell r="J1232" t="str">
            <v>Walmart</v>
          </cell>
        </row>
        <row r="1233">
          <cell r="A1233" t="str">
            <v>21-06-2021</v>
          </cell>
          <cell r="B1233" t="str">
            <v>Electrolyte Powder</v>
          </cell>
          <cell r="C1233" t="str">
            <v>Hydration</v>
          </cell>
          <cell r="D1233">
            <v>147</v>
          </cell>
          <cell r="E1233">
            <v>43.47</v>
          </cell>
          <cell r="F1233">
            <v>6390.09</v>
          </cell>
          <cell r="G1233">
            <v>0.05</v>
          </cell>
          <cell r="H1233">
            <v>2</v>
          </cell>
          <cell r="I1233" t="str">
            <v>USA</v>
          </cell>
          <cell r="J1233" t="str">
            <v>iHerb</v>
          </cell>
        </row>
        <row r="1234">
          <cell r="A1234" t="str">
            <v>28-06-2021</v>
          </cell>
          <cell r="B1234" t="str">
            <v>Whey Protein</v>
          </cell>
          <cell r="C1234" t="str">
            <v>Protein</v>
          </cell>
          <cell r="D1234">
            <v>170</v>
          </cell>
          <cell r="E1234">
            <v>56.07</v>
          </cell>
          <cell r="F1234">
            <v>9531.9</v>
          </cell>
          <cell r="G1234">
            <v>0.24</v>
          </cell>
          <cell r="H1234">
            <v>0</v>
          </cell>
          <cell r="I1234" t="str">
            <v>UK</v>
          </cell>
          <cell r="J1234" t="str">
            <v>Walmart</v>
          </cell>
        </row>
        <row r="1235">
          <cell r="A1235" t="str">
            <v>28-06-2021</v>
          </cell>
          <cell r="B1235" t="str">
            <v>Vitamin C</v>
          </cell>
          <cell r="C1235" t="str">
            <v>Vitamin</v>
          </cell>
          <cell r="D1235">
            <v>154</v>
          </cell>
          <cell r="E1235">
            <v>52.99</v>
          </cell>
          <cell r="F1235">
            <v>8160.46</v>
          </cell>
          <cell r="G1235">
            <v>0.06</v>
          </cell>
          <cell r="H1235">
            <v>5</v>
          </cell>
          <cell r="I1235" t="str">
            <v>UK</v>
          </cell>
          <cell r="J1235" t="str">
            <v>Amazon</v>
          </cell>
        </row>
        <row r="1236">
          <cell r="A1236" t="str">
            <v>28-06-2021</v>
          </cell>
          <cell r="B1236" t="str">
            <v>Fish Oil</v>
          </cell>
          <cell r="C1236" t="str">
            <v>Omega</v>
          </cell>
          <cell r="D1236">
            <v>154</v>
          </cell>
          <cell r="E1236">
            <v>14.28</v>
          </cell>
          <cell r="F1236">
            <v>2199.12</v>
          </cell>
          <cell r="G1236">
            <v>0.05</v>
          </cell>
          <cell r="H1236">
            <v>2</v>
          </cell>
          <cell r="I1236" t="str">
            <v>USA</v>
          </cell>
          <cell r="J1236" t="str">
            <v>Walmart</v>
          </cell>
        </row>
        <row r="1237">
          <cell r="A1237" t="str">
            <v>28-06-2021</v>
          </cell>
          <cell r="B1237" t="str">
            <v>Multivitamin</v>
          </cell>
          <cell r="C1237" t="str">
            <v>Vitamin</v>
          </cell>
          <cell r="D1237">
            <v>145</v>
          </cell>
          <cell r="E1237">
            <v>44.8</v>
          </cell>
          <cell r="F1237">
            <v>6496</v>
          </cell>
          <cell r="G1237">
            <v>0.09</v>
          </cell>
          <cell r="H1237">
            <v>0</v>
          </cell>
          <cell r="I1237" t="str">
            <v>UK</v>
          </cell>
          <cell r="J1237" t="str">
            <v>Walmart</v>
          </cell>
        </row>
        <row r="1238">
          <cell r="A1238" t="str">
            <v>28-06-2021</v>
          </cell>
          <cell r="B1238" t="str">
            <v>Pre-Workout</v>
          </cell>
          <cell r="C1238" t="str">
            <v>Performance</v>
          </cell>
          <cell r="D1238">
            <v>127</v>
          </cell>
          <cell r="E1238">
            <v>36.03</v>
          </cell>
          <cell r="F1238">
            <v>4575.8100000000004</v>
          </cell>
          <cell r="G1238">
            <v>0.19</v>
          </cell>
          <cell r="H1238">
            <v>1</v>
          </cell>
          <cell r="I1238" t="str">
            <v>USA</v>
          </cell>
          <cell r="J1238" t="str">
            <v>Amazon</v>
          </cell>
        </row>
        <row r="1239">
          <cell r="A1239" t="str">
            <v>28-06-2021</v>
          </cell>
          <cell r="B1239" t="str">
            <v>BCAA</v>
          </cell>
          <cell r="C1239" t="str">
            <v>Amino Acid</v>
          </cell>
          <cell r="D1239">
            <v>147</v>
          </cell>
          <cell r="E1239">
            <v>11.32</v>
          </cell>
          <cell r="F1239">
            <v>1664.04</v>
          </cell>
          <cell r="G1239">
            <v>0.08</v>
          </cell>
          <cell r="H1239">
            <v>4</v>
          </cell>
          <cell r="I1239" t="str">
            <v>UK</v>
          </cell>
          <cell r="J1239" t="str">
            <v>iHerb</v>
          </cell>
        </row>
        <row r="1240">
          <cell r="A1240" t="str">
            <v>28-06-2021</v>
          </cell>
          <cell r="B1240" t="str">
            <v>Creatine</v>
          </cell>
          <cell r="C1240" t="str">
            <v>Performance</v>
          </cell>
          <cell r="D1240">
            <v>166</v>
          </cell>
          <cell r="E1240">
            <v>39.39</v>
          </cell>
          <cell r="F1240">
            <v>6538.74</v>
          </cell>
          <cell r="G1240">
            <v>0.21</v>
          </cell>
          <cell r="H1240">
            <v>1</v>
          </cell>
          <cell r="I1240" t="str">
            <v>USA</v>
          </cell>
          <cell r="J1240" t="str">
            <v>Walmart</v>
          </cell>
        </row>
        <row r="1241">
          <cell r="A1241" t="str">
            <v>28-06-2021</v>
          </cell>
          <cell r="B1241" t="str">
            <v>Zinc</v>
          </cell>
          <cell r="C1241" t="str">
            <v>Mineral</v>
          </cell>
          <cell r="D1241">
            <v>150</v>
          </cell>
          <cell r="E1241">
            <v>44.66</v>
          </cell>
          <cell r="F1241">
            <v>6699</v>
          </cell>
          <cell r="G1241">
            <v>0.02</v>
          </cell>
          <cell r="H1241">
            <v>0</v>
          </cell>
          <cell r="I1241" t="str">
            <v>Canada</v>
          </cell>
          <cell r="J1241" t="str">
            <v>iHerb</v>
          </cell>
        </row>
        <row r="1242">
          <cell r="A1242" t="str">
            <v>28-06-2021</v>
          </cell>
          <cell r="B1242" t="str">
            <v>Collagen Peptides</v>
          </cell>
          <cell r="C1242" t="str">
            <v>Protein</v>
          </cell>
          <cell r="D1242">
            <v>160</v>
          </cell>
          <cell r="E1242">
            <v>40.880000000000003</v>
          </cell>
          <cell r="F1242">
            <v>6540.8</v>
          </cell>
          <cell r="G1242">
            <v>0.16</v>
          </cell>
          <cell r="H1242">
            <v>0</v>
          </cell>
          <cell r="I1242" t="str">
            <v>USA</v>
          </cell>
          <cell r="J1242" t="str">
            <v>Walmart</v>
          </cell>
        </row>
        <row r="1243">
          <cell r="A1243" t="str">
            <v>28-06-2021</v>
          </cell>
          <cell r="B1243" t="str">
            <v>Magnesium</v>
          </cell>
          <cell r="C1243" t="str">
            <v>Mineral</v>
          </cell>
          <cell r="D1243">
            <v>163</v>
          </cell>
          <cell r="E1243">
            <v>22.95</v>
          </cell>
          <cell r="F1243">
            <v>3740.85</v>
          </cell>
          <cell r="G1243">
            <v>0.18</v>
          </cell>
          <cell r="H1243">
            <v>1</v>
          </cell>
          <cell r="I1243" t="str">
            <v>Canada</v>
          </cell>
          <cell r="J1243" t="str">
            <v>iHerb</v>
          </cell>
        </row>
        <row r="1244">
          <cell r="A1244" t="str">
            <v>28-06-2021</v>
          </cell>
          <cell r="B1244" t="str">
            <v>Ashwagandha</v>
          </cell>
          <cell r="C1244" t="str">
            <v>Herbal</v>
          </cell>
          <cell r="D1244">
            <v>119</v>
          </cell>
          <cell r="E1244">
            <v>18.93</v>
          </cell>
          <cell r="F1244">
            <v>2252.67</v>
          </cell>
          <cell r="G1244">
            <v>0.08</v>
          </cell>
          <cell r="H1244">
            <v>1</v>
          </cell>
          <cell r="I1244" t="str">
            <v>USA</v>
          </cell>
          <cell r="J1244" t="str">
            <v>Walmart</v>
          </cell>
        </row>
        <row r="1245">
          <cell r="A1245" t="str">
            <v>28-06-2021</v>
          </cell>
          <cell r="B1245" t="str">
            <v>Melatonin</v>
          </cell>
          <cell r="C1245" t="str">
            <v>Sleep Aid</v>
          </cell>
          <cell r="D1245">
            <v>150</v>
          </cell>
          <cell r="E1245">
            <v>23.53</v>
          </cell>
          <cell r="F1245">
            <v>3529.5</v>
          </cell>
          <cell r="G1245">
            <v>0.01</v>
          </cell>
          <cell r="H1245">
            <v>2</v>
          </cell>
          <cell r="I1245" t="str">
            <v>USA</v>
          </cell>
          <cell r="J1245" t="str">
            <v>Walmart</v>
          </cell>
        </row>
        <row r="1246">
          <cell r="A1246" t="str">
            <v>28-06-2021</v>
          </cell>
          <cell r="B1246" t="str">
            <v>Biotin</v>
          </cell>
          <cell r="C1246" t="str">
            <v>Vitamin</v>
          </cell>
          <cell r="D1246">
            <v>146</v>
          </cell>
          <cell r="E1246">
            <v>53.35</v>
          </cell>
          <cell r="F1246">
            <v>7789.1</v>
          </cell>
          <cell r="G1246">
            <v>0.19</v>
          </cell>
          <cell r="H1246">
            <v>3</v>
          </cell>
          <cell r="I1246" t="str">
            <v>USA</v>
          </cell>
          <cell r="J1246" t="str">
            <v>Amazon</v>
          </cell>
        </row>
        <row r="1247">
          <cell r="A1247" t="str">
            <v>28-06-2021</v>
          </cell>
          <cell r="B1247" t="str">
            <v>Green Tea Extract</v>
          </cell>
          <cell r="C1247" t="str">
            <v>Fat Burner</v>
          </cell>
          <cell r="D1247">
            <v>150</v>
          </cell>
          <cell r="E1247">
            <v>44.81</v>
          </cell>
          <cell r="F1247">
            <v>6721.5</v>
          </cell>
          <cell r="G1247">
            <v>0.05</v>
          </cell>
          <cell r="H1247">
            <v>1</v>
          </cell>
          <cell r="I1247" t="str">
            <v>Canada</v>
          </cell>
          <cell r="J1247" t="str">
            <v>iHerb</v>
          </cell>
        </row>
        <row r="1248">
          <cell r="A1248" t="str">
            <v>28-06-2021</v>
          </cell>
          <cell r="B1248" t="str">
            <v>Iron Supplement</v>
          </cell>
          <cell r="C1248" t="str">
            <v>Mineral</v>
          </cell>
          <cell r="D1248">
            <v>134</v>
          </cell>
          <cell r="E1248">
            <v>53.21</v>
          </cell>
          <cell r="F1248">
            <v>7130.14</v>
          </cell>
          <cell r="G1248">
            <v>0.12</v>
          </cell>
          <cell r="H1248">
            <v>2</v>
          </cell>
          <cell r="I1248" t="str">
            <v>Canada</v>
          </cell>
          <cell r="J1248" t="str">
            <v>iHerb</v>
          </cell>
        </row>
        <row r="1249">
          <cell r="A1249" t="str">
            <v>28-06-2021</v>
          </cell>
          <cell r="B1249" t="str">
            <v>Electrolyte Powder</v>
          </cell>
          <cell r="C1249" t="str">
            <v>Hydration</v>
          </cell>
          <cell r="D1249">
            <v>154</v>
          </cell>
          <cell r="E1249">
            <v>31.59</v>
          </cell>
          <cell r="F1249">
            <v>4864.8599999999997</v>
          </cell>
          <cell r="G1249">
            <v>0.2</v>
          </cell>
          <cell r="H1249">
            <v>1</v>
          </cell>
          <cell r="I1249" t="str">
            <v>Canada</v>
          </cell>
          <cell r="J1249" t="str">
            <v>Walmart</v>
          </cell>
        </row>
        <row r="1250">
          <cell r="A1250" t="str">
            <v>05-07-2021</v>
          </cell>
          <cell r="B1250" t="str">
            <v>Whey Protein</v>
          </cell>
          <cell r="C1250" t="str">
            <v>Protein</v>
          </cell>
          <cell r="D1250">
            <v>175</v>
          </cell>
          <cell r="E1250">
            <v>33.130000000000003</v>
          </cell>
          <cell r="F1250">
            <v>5797.75</v>
          </cell>
          <cell r="G1250">
            <v>0.2</v>
          </cell>
          <cell r="H1250">
            <v>3</v>
          </cell>
          <cell r="I1250" t="str">
            <v>UK</v>
          </cell>
          <cell r="J1250" t="str">
            <v>iHerb</v>
          </cell>
        </row>
        <row r="1251">
          <cell r="A1251" t="str">
            <v>05-07-2021</v>
          </cell>
          <cell r="B1251" t="str">
            <v>Vitamin C</v>
          </cell>
          <cell r="C1251" t="str">
            <v>Vitamin</v>
          </cell>
          <cell r="D1251">
            <v>152</v>
          </cell>
          <cell r="E1251">
            <v>33.39</v>
          </cell>
          <cell r="F1251">
            <v>5075.28</v>
          </cell>
          <cell r="G1251">
            <v>0.24</v>
          </cell>
          <cell r="H1251">
            <v>2</v>
          </cell>
          <cell r="I1251" t="str">
            <v>Canada</v>
          </cell>
          <cell r="J1251" t="str">
            <v>Walmart</v>
          </cell>
        </row>
        <row r="1252">
          <cell r="A1252" t="str">
            <v>05-07-2021</v>
          </cell>
          <cell r="B1252" t="str">
            <v>Fish Oil</v>
          </cell>
          <cell r="C1252" t="str">
            <v>Omega</v>
          </cell>
          <cell r="D1252">
            <v>162</v>
          </cell>
          <cell r="E1252">
            <v>33.39</v>
          </cell>
          <cell r="F1252">
            <v>5409.18</v>
          </cell>
          <cell r="G1252">
            <v>0.16</v>
          </cell>
          <cell r="H1252">
            <v>3</v>
          </cell>
          <cell r="I1252" t="str">
            <v>UK</v>
          </cell>
          <cell r="J1252" t="str">
            <v>Amazon</v>
          </cell>
        </row>
        <row r="1253">
          <cell r="A1253" t="str">
            <v>05-07-2021</v>
          </cell>
          <cell r="B1253" t="str">
            <v>Multivitamin</v>
          </cell>
          <cell r="C1253" t="str">
            <v>Vitamin</v>
          </cell>
          <cell r="D1253">
            <v>152</v>
          </cell>
          <cell r="E1253">
            <v>25.86</v>
          </cell>
          <cell r="F1253">
            <v>3930.72</v>
          </cell>
          <cell r="G1253">
            <v>7.0000000000000007E-2</v>
          </cell>
          <cell r="H1253">
            <v>1</v>
          </cell>
          <cell r="I1253" t="str">
            <v>USA</v>
          </cell>
          <cell r="J1253" t="str">
            <v>Amazon</v>
          </cell>
        </row>
        <row r="1254">
          <cell r="A1254" t="str">
            <v>05-07-2021</v>
          </cell>
          <cell r="B1254" t="str">
            <v>Pre-Workout</v>
          </cell>
          <cell r="C1254" t="str">
            <v>Performance</v>
          </cell>
          <cell r="D1254">
            <v>123</v>
          </cell>
          <cell r="E1254">
            <v>50.63</v>
          </cell>
          <cell r="F1254">
            <v>6227.49</v>
          </cell>
          <cell r="G1254">
            <v>0.03</v>
          </cell>
          <cell r="H1254">
            <v>0</v>
          </cell>
          <cell r="I1254" t="str">
            <v>UK</v>
          </cell>
          <cell r="J1254" t="str">
            <v>Amazon</v>
          </cell>
        </row>
        <row r="1255">
          <cell r="A1255" t="str">
            <v>05-07-2021</v>
          </cell>
          <cell r="B1255" t="str">
            <v>BCAA</v>
          </cell>
          <cell r="C1255" t="str">
            <v>Amino Acid</v>
          </cell>
          <cell r="D1255">
            <v>148</v>
          </cell>
          <cell r="E1255">
            <v>48.18</v>
          </cell>
          <cell r="F1255">
            <v>7130.64</v>
          </cell>
          <cell r="G1255">
            <v>0.11</v>
          </cell>
          <cell r="H1255">
            <v>2</v>
          </cell>
          <cell r="I1255" t="str">
            <v>USA</v>
          </cell>
          <cell r="J1255" t="str">
            <v>Amazon</v>
          </cell>
        </row>
        <row r="1256">
          <cell r="A1256" t="str">
            <v>05-07-2021</v>
          </cell>
          <cell r="B1256" t="str">
            <v>Creatine</v>
          </cell>
          <cell r="C1256" t="str">
            <v>Performance</v>
          </cell>
          <cell r="D1256">
            <v>154</v>
          </cell>
          <cell r="E1256">
            <v>17.82</v>
          </cell>
          <cell r="F1256">
            <v>2744.28</v>
          </cell>
          <cell r="G1256">
            <v>0.11</v>
          </cell>
          <cell r="H1256">
            <v>1</v>
          </cell>
          <cell r="I1256" t="str">
            <v>Canada</v>
          </cell>
          <cell r="J1256" t="str">
            <v>iHerb</v>
          </cell>
        </row>
        <row r="1257">
          <cell r="A1257" t="str">
            <v>05-07-2021</v>
          </cell>
          <cell r="B1257" t="str">
            <v>Zinc</v>
          </cell>
          <cell r="C1257" t="str">
            <v>Mineral</v>
          </cell>
          <cell r="D1257">
            <v>159</v>
          </cell>
          <cell r="E1257">
            <v>29.41</v>
          </cell>
          <cell r="F1257">
            <v>4676.1899999999996</v>
          </cell>
          <cell r="G1257">
            <v>0.04</v>
          </cell>
          <cell r="H1257">
            <v>1</v>
          </cell>
          <cell r="I1257" t="str">
            <v>UK</v>
          </cell>
          <cell r="J1257" t="str">
            <v>iHerb</v>
          </cell>
        </row>
        <row r="1258">
          <cell r="A1258" t="str">
            <v>05-07-2021</v>
          </cell>
          <cell r="B1258" t="str">
            <v>Collagen Peptides</v>
          </cell>
          <cell r="C1258" t="str">
            <v>Protein</v>
          </cell>
          <cell r="D1258">
            <v>153</v>
          </cell>
          <cell r="E1258">
            <v>35.75</v>
          </cell>
          <cell r="F1258">
            <v>5469.75</v>
          </cell>
          <cell r="G1258">
            <v>0.04</v>
          </cell>
          <cell r="H1258">
            <v>2</v>
          </cell>
          <cell r="I1258" t="str">
            <v>Canada</v>
          </cell>
          <cell r="J1258" t="str">
            <v>Amazon</v>
          </cell>
        </row>
        <row r="1259">
          <cell r="A1259" t="str">
            <v>05-07-2021</v>
          </cell>
          <cell r="B1259" t="str">
            <v>Magnesium</v>
          </cell>
          <cell r="C1259" t="str">
            <v>Mineral</v>
          </cell>
          <cell r="D1259">
            <v>165</v>
          </cell>
          <cell r="E1259">
            <v>34.58</v>
          </cell>
          <cell r="F1259">
            <v>5705.7</v>
          </cell>
          <cell r="G1259">
            <v>0.24</v>
          </cell>
          <cell r="H1259">
            <v>1</v>
          </cell>
          <cell r="I1259" t="str">
            <v>USA</v>
          </cell>
          <cell r="J1259" t="str">
            <v>Amazon</v>
          </cell>
        </row>
        <row r="1260">
          <cell r="A1260" t="str">
            <v>05-07-2021</v>
          </cell>
          <cell r="B1260" t="str">
            <v>Ashwagandha</v>
          </cell>
          <cell r="C1260" t="str">
            <v>Herbal</v>
          </cell>
          <cell r="D1260">
            <v>153</v>
          </cell>
          <cell r="E1260">
            <v>40.299999999999997</v>
          </cell>
          <cell r="F1260">
            <v>6165.9</v>
          </cell>
          <cell r="G1260">
            <v>0.02</v>
          </cell>
          <cell r="H1260">
            <v>4</v>
          </cell>
          <cell r="I1260" t="str">
            <v>Canada</v>
          </cell>
          <cell r="J1260" t="str">
            <v>Walmart</v>
          </cell>
        </row>
        <row r="1261">
          <cell r="A1261" t="str">
            <v>05-07-2021</v>
          </cell>
          <cell r="B1261" t="str">
            <v>Melatonin</v>
          </cell>
          <cell r="C1261" t="str">
            <v>Sleep Aid</v>
          </cell>
          <cell r="D1261">
            <v>158</v>
          </cell>
          <cell r="E1261">
            <v>45.21</v>
          </cell>
          <cell r="F1261">
            <v>7143.18</v>
          </cell>
          <cell r="G1261">
            <v>0.15</v>
          </cell>
          <cell r="H1261">
            <v>1</v>
          </cell>
          <cell r="I1261" t="str">
            <v>USA</v>
          </cell>
          <cell r="J1261" t="str">
            <v>Walmart</v>
          </cell>
        </row>
        <row r="1262">
          <cell r="A1262" t="str">
            <v>05-07-2021</v>
          </cell>
          <cell r="B1262" t="str">
            <v>Biotin</v>
          </cell>
          <cell r="C1262" t="str">
            <v>Vitamin</v>
          </cell>
          <cell r="D1262">
            <v>150</v>
          </cell>
          <cell r="E1262">
            <v>39.17</v>
          </cell>
          <cell r="F1262">
            <v>5875.5</v>
          </cell>
          <cell r="G1262">
            <v>0.13</v>
          </cell>
          <cell r="H1262">
            <v>1</v>
          </cell>
          <cell r="I1262" t="str">
            <v>Canada</v>
          </cell>
          <cell r="J1262" t="str">
            <v>Amazon</v>
          </cell>
        </row>
        <row r="1263">
          <cell r="A1263" t="str">
            <v>05-07-2021</v>
          </cell>
          <cell r="B1263" t="str">
            <v>Green Tea Extract</v>
          </cell>
          <cell r="C1263" t="str">
            <v>Fat Burner</v>
          </cell>
          <cell r="D1263">
            <v>139</v>
          </cell>
          <cell r="E1263">
            <v>22.08</v>
          </cell>
          <cell r="F1263">
            <v>3069.12</v>
          </cell>
          <cell r="G1263">
            <v>0.13</v>
          </cell>
          <cell r="H1263">
            <v>1</v>
          </cell>
          <cell r="I1263" t="str">
            <v>USA</v>
          </cell>
          <cell r="J1263" t="str">
            <v>Walmart</v>
          </cell>
        </row>
        <row r="1264">
          <cell r="A1264" t="str">
            <v>05-07-2021</v>
          </cell>
          <cell r="B1264" t="str">
            <v>Iron Supplement</v>
          </cell>
          <cell r="C1264" t="str">
            <v>Mineral</v>
          </cell>
          <cell r="D1264">
            <v>148</v>
          </cell>
          <cell r="E1264">
            <v>27.51</v>
          </cell>
          <cell r="F1264">
            <v>4071.48</v>
          </cell>
          <cell r="G1264">
            <v>0.11</v>
          </cell>
          <cell r="H1264">
            <v>0</v>
          </cell>
          <cell r="I1264" t="str">
            <v>Canada</v>
          </cell>
          <cell r="J1264" t="str">
            <v>Amazon</v>
          </cell>
        </row>
        <row r="1265">
          <cell r="A1265" t="str">
            <v>05-07-2021</v>
          </cell>
          <cell r="B1265" t="str">
            <v>Electrolyte Powder</v>
          </cell>
          <cell r="C1265" t="str">
            <v>Hydration</v>
          </cell>
          <cell r="D1265">
            <v>152</v>
          </cell>
          <cell r="E1265">
            <v>17.489999999999998</v>
          </cell>
          <cell r="F1265">
            <v>2658.48</v>
          </cell>
          <cell r="G1265">
            <v>0.14000000000000001</v>
          </cell>
          <cell r="H1265">
            <v>1</v>
          </cell>
          <cell r="I1265" t="str">
            <v>USA</v>
          </cell>
          <cell r="J1265" t="str">
            <v>iHerb</v>
          </cell>
        </row>
        <row r="1266">
          <cell r="A1266" t="str">
            <v>12-07-2021</v>
          </cell>
          <cell r="B1266" t="str">
            <v>Whey Protein</v>
          </cell>
          <cell r="C1266" t="str">
            <v>Protein</v>
          </cell>
          <cell r="D1266">
            <v>140</v>
          </cell>
          <cell r="E1266">
            <v>16.52</v>
          </cell>
          <cell r="F1266">
            <v>2312.8000000000002</v>
          </cell>
          <cell r="G1266">
            <v>0.08</v>
          </cell>
          <cell r="H1266">
            <v>0</v>
          </cell>
          <cell r="I1266" t="str">
            <v>Canada</v>
          </cell>
          <cell r="J1266" t="str">
            <v>iHerb</v>
          </cell>
        </row>
        <row r="1267">
          <cell r="A1267" t="str">
            <v>12-07-2021</v>
          </cell>
          <cell r="B1267" t="str">
            <v>Vitamin C</v>
          </cell>
          <cell r="C1267" t="str">
            <v>Vitamin</v>
          </cell>
          <cell r="D1267">
            <v>134</v>
          </cell>
          <cell r="E1267">
            <v>39.39</v>
          </cell>
          <cell r="F1267">
            <v>5278.26</v>
          </cell>
          <cell r="G1267">
            <v>0.02</v>
          </cell>
          <cell r="H1267">
            <v>3</v>
          </cell>
          <cell r="I1267" t="str">
            <v>UK</v>
          </cell>
          <cell r="J1267" t="str">
            <v>Walmart</v>
          </cell>
        </row>
        <row r="1268">
          <cell r="A1268" t="str">
            <v>12-07-2021</v>
          </cell>
          <cell r="B1268" t="str">
            <v>Fish Oil</v>
          </cell>
          <cell r="C1268" t="str">
            <v>Omega</v>
          </cell>
          <cell r="D1268">
            <v>182</v>
          </cell>
          <cell r="E1268">
            <v>32.5</v>
          </cell>
          <cell r="F1268">
            <v>5915</v>
          </cell>
          <cell r="G1268">
            <v>0.01</v>
          </cell>
          <cell r="H1268">
            <v>2</v>
          </cell>
          <cell r="I1268" t="str">
            <v>Canada</v>
          </cell>
          <cell r="J1268" t="str">
            <v>Amazon</v>
          </cell>
        </row>
        <row r="1269">
          <cell r="A1269" t="str">
            <v>12-07-2021</v>
          </cell>
          <cell r="B1269" t="str">
            <v>Multivitamin</v>
          </cell>
          <cell r="C1269" t="str">
            <v>Vitamin</v>
          </cell>
          <cell r="D1269">
            <v>147</v>
          </cell>
          <cell r="E1269">
            <v>20.34</v>
          </cell>
          <cell r="F1269">
            <v>2989.98</v>
          </cell>
          <cell r="G1269">
            <v>0.16</v>
          </cell>
          <cell r="H1269">
            <v>1</v>
          </cell>
          <cell r="I1269" t="str">
            <v>Canada</v>
          </cell>
          <cell r="J1269" t="str">
            <v>Walmart</v>
          </cell>
        </row>
        <row r="1270">
          <cell r="A1270" t="str">
            <v>12-07-2021</v>
          </cell>
          <cell r="B1270" t="str">
            <v>Pre-Workout</v>
          </cell>
          <cell r="C1270" t="str">
            <v>Performance</v>
          </cell>
          <cell r="D1270">
            <v>137</v>
          </cell>
          <cell r="E1270">
            <v>38.25</v>
          </cell>
          <cell r="F1270">
            <v>5240.25</v>
          </cell>
          <cell r="G1270">
            <v>0.21</v>
          </cell>
          <cell r="H1270">
            <v>0</v>
          </cell>
          <cell r="I1270" t="str">
            <v>USA</v>
          </cell>
          <cell r="J1270" t="str">
            <v>iHerb</v>
          </cell>
        </row>
        <row r="1271">
          <cell r="A1271" t="str">
            <v>12-07-2021</v>
          </cell>
          <cell r="B1271" t="str">
            <v>BCAA</v>
          </cell>
          <cell r="C1271" t="str">
            <v>Amino Acid</v>
          </cell>
          <cell r="D1271">
            <v>161</v>
          </cell>
          <cell r="E1271">
            <v>15.75</v>
          </cell>
          <cell r="F1271">
            <v>2535.75</v>
          </cell>
          <cell r="G1271">
            <v>0.17</v>
          </cell>
          <cell r="H1271">
            <v>1</v>
          </cell>
          <cell r="I1271" t="str">
            <v>USA</v>
          </cell>
          <cell r="J1271" t="str">
            <v>Amazon</v>
          </cell>
        </row>
        <row r="1272">
          <cell r="A1272" t="str">
            <v>12-07-2021</v>
          </cell>
          <cell r="B1272" t="str">
            <v>Creatine</v>
          </cell>
          <cell r="C1272" t="str">
            <v>Performance</v>
          </cell>
          <cell r="D1272">
            <v>176</v>
          </cell>
          <cell r="E1272">
            <v>42.14</v>
          </cell>
          <cell r="F1272">
            <v>7416.64</v>
          </cell>
          <cell r="G1272">
            <v>0.1</v>
          </cell>
          <cell r="H1272">
            <v>4</v>
          </cell>
          <cell r="I1272" t="str">
            <v>UK</v>
          </cell>
          <cell r="J1272" t="str">
            <v>Walmart</v>
          </cell>
        </row>
        <row r="1273">
          <cell r="A1273" t="str">
            <v>12-07-2021</v>
          </cell>
          <cell r="B1273" t="str">
            <v>Zinc</v>
          </cell>
          <cell r="C1273" t="str">
            <v>Mineral</v>
          </cell>
          <cell r="D1273">
            <v>144</v>
          </cell>
          <cell r="E1273">
            <v>55.07</v>
          </cell>
          <cell r="F1273">
            <v>7930.08</v>
          </cell>
          <cell r="G1273">
            <v>7.0000000000000007E-2</v>
          </cell>
          <cell r="H1273">
            <v>2</v>
          </cell>
          <cell r="I1273" t="str">
            <v>USA</v>
          </cell>
          <cell r="J1273" t="str">
            <v>iHerb</v>
          </cell>
        </row>
        <row r="1274">
          <cell r="A1274" t="str">
            <v>12-07-2021</v>
          </cell>
          <cell r="B1274" t="str">
            <v>Collagen Peptides</v>
          </cell>
          <cell r="C1274" t="str">
            <v>Protein</v>
          </cell>
          <cell r="D1274">
            <v>148</v>
          </cell>
          <cell r="E1274">
            <v>24.75</v>
          </cell>
          <cell r="F1274">
            <v>3663</v>
          </cell>
          <cell r="G1274">
            <v>0</v>
          </cell>
          <cell r="H1274">
            <v>0</v>
          </cell>
          <cell r="I1274" t="str">
            <v>UK</v>
          </cell>
          <cell r="J1274" t="str">
            <v>Walmart</v>
          </cell>
        </row>
        <row r="1275">
          <cell r="A1275" t="str">
            <v>12-07-2021</v>
          </cell>
          <cell r="B1275" t="str">
            <v>Magnesium</v>
          </cell>
          <cell r="C1275" t="str">
            <v>Mineral</v>
          </cell>
          <cell r="D1275">
            <v>142</v>
          </cell>
          <cell r="E1275">
            <v>18.559999999999999</v>
          </cell>
          <cell r="F1275">
            <v>2635.52</v>
          </cell>
          <cell r="G1275">
            <v>0.22</v>
          </cell>
          <cell r="H1275">
            <v>2</v>
          </cell>
          <cell r="I1275" t="str">
            <v>Canada</v>
          </cell>
          <cell r="J1275" t="str">
            <v>iHerb</v>
          </cell>
        </row>
        <row r="1276">
          <cell r="A1276" t="str">
            <v>12-07-2021</v>
          </cell>
          <cell r="B1276" t="str">
            <v>Ashwagandha</v>
          </cell>
          <cell r="C1276" t="str">
            <v>Herbal</v>
          </cell>
          <cell r="D1276">
            <v>130</v>
          </cell>
          <cell r="E1276">
            <v>42.68</v>
          </cell>
          <cell r="F1276">
            <v>5548.4</v>
          </cell>
          <cell r="G1276">
            <v>0.24</v>
          </cell>
          <cell r="H1276">
            <v>0</v>
          </cell>
          <cell r="I1276" t="str">
            <v>Canada</v>
          </cell>
          <cell r="J1276" t="str">
            <v>Walmart</v>
          </cell>
        </row>
        <row r="1277">
          <cell r="A1277" t="str">
            <v>12-07-2021</v>
          </cell>
          <cell r="B1277" t="str">
            <v>Melatonin</v>
          </cell>
          <cell r="C1277" t="str">
            <v>Sleep Aid</v>
          </cell>
          <cell r="D1277">
            <v>173</v>
          </cell>
          <cell r="E1277">
            <v>48.29</v>
          </cell>
          <cell r="F1277">
            <v>8354.17</v>
          </cell>
          <cell r="G1277">
            <v>0.02</v>
          </cell>
          <cell r="H1277">
            <v>2</v>
          </cell>
          <cell r="I1277" t="str">
            <v>UK</v>
          </cell>
          <cell r="J1277" t="str">
            <v>Walmart</v>
          </cell>
        </row>
        <row r="1278">
          <cell r="A1278" t="str">
            <v>12-07-2021</v>
          </cell>
          <cell r="B1278" t="str">
            <v>Biotin</v>
          </cell>
          <cell r="C1278" t="str">
            <v>Vitamin</v>
          </cell>
          <cell r="D1278">
            <v>140</v>
          </cell>
          <cell r="E1278">
            <v>50.52</v>
          </cell>
          <cell r="F1278">
            <v>7072.8</v>
          </cell>
          <cell r="G1278">
            <v>0.03</v>
          </cell>
          <cell r="H1278">
            <v>1</v>
          </cell>
          <cell r="I1278" t="str">
            <v>USA</v>
          </cell>
          <cell r="J1278" t="str">
            <v>iHerb</v>
          </cell>
        </row>
        <row r="1279">
          <cell r="A1279" t="str">
            <v>12-07-2021</v>
          </cell>
          <cell r="B1279" t="str">
            <v>Green Tea Extract</v>
          </cell>
          <cell r="C1279" t="str">
            <v>Fat Burner</v>
          </cell>
          <cell r="D1279">
            <v>174</v>
          </cell>
          <cell r="E1279">
            <v>58.9</v>
          </cell>
          <cell r="F1279">
            <v>10248.6</v>
          </cell>
          <cell r="G1279">
            <v>0.25</v>
          </cell>
          <cell r="H1279">
            <v>2</v>
          </cell>
          <cell r="I1279" t="str">
            <v>Canada</v>
          </cell>
          <cell r="J1279" t="str">
            <v>Walmart</v>
          </cell>
        </row>
        <row r="1280">
          <cell r="A1280" t="str">
            <v>12-07-2021</v>
          </cell>
          <cell r="B1280" t="str">
            <v>Iron Supplement</v>
          </cell>
          <cell r="C1280" t="str">
            <v>Mineral</v>
          </cell>
          <cell r="D1280">
            <v>137</v>
          </cell>
          <cell r="E1280">
            <v>31.22</v>
          </cell>
          <cell r="F1280">
            <v>4277.1400000000003</v>
          </cell>
          <cell r="G1280">
            <v>0.08</v>
          </cell>
          <cell r="H1280">
            <v>1</v>
          </cell>
          <cell r="I1280" t="str">
            <v>Canada</v>
          </cell>
          <cell r="J1280" t="str">
            <v>iHerb</v>
          </cell>
        </row>
        <row r="1281">
          <cell r="A1281" t="str">
            <v>12-07-2021</v>
          </cell>
          <cell r="B1281" t="str">
            <v>Electrolyte Powder</v>
          </cell>
          <cell r="C1281" t="str">
            <v>Hydration</v>
          </cell>
          <cell r="D1281">
            <v>190</v>
          </cell>
          <cell r="E1281">
            <v>46.67</v>
          </cell>
          <cell r="F1281">
            <v>8867.2999999999993</v>
          </cell>
          <cell r="G1281">
            <v>0</v>
          </cell>
          <cell r="H1281">
            <v>2</v>
          </cell>
          <cell r="I1281" t="str">
            <v>UK</v>
          </cell>
          <cell r="J1281" t="str">
            <v>Walmart</v>
          </cell>
        </row>
        <row r="1282">
          <cell r="A1282" t="str">
            <v>19-07-2021</v>
          </cell>
          <cell r="B1282" t="str">
            <v>Whey Protein</v>
          </cell>
          <cell r="C1282" t="str">
            <v>Protein</v>
          </cell>
          <cell r="D1282">
            <v>170</v>
          </cell>
          <cell r="E1282">
            <v>19.28</v>
          </cell>
          <cell r="F1282">
            <v>3277.6</v>
          </cell>
          <cell r="G1282">
            <v>0.16</v>
          </cell>
          <cell r="H1282">
            <v>2</v>
          </cell>
          <cell r="I1282" t="str">
            <v>UK</v>
          </cell>
          <cell r="J1282" t="str">
            <v>Walmart</v>
          </cell>
        </row>
        <row r="1283">
          <cell r="A1283" t="str">
            <v>19-07-2021</v>
          </cell>
          <cell r="B1283" t="str">
            <v>Vitamin C</v>
          </cell>
          <cell r="C1283" t="str">
            <v>Vitamin</v>
          </cell>
          <cell r="D1283">
            <v>157</v>
          </cell>
          <cell r="E1283">
            <v>22.61</v>
          </cell>
          <cell r="F1283">
            <v>3549.77</v>
          </cell>
          <cell r="G1283">
            <v>0.24</v>
          </cell>
          <cell r="H1283">
            <v>3</v>
          </cell>
          <cell r="I1283" t="str">
            <v>UK</v>
          </cell>
          <cell r="J1283" t="str">
            <v>iHerb</v>
          </cell>
        </row>
        <row r="1284">
          <cell r="A1284" t="str">
            <v>19-07-2021</v>
          </cell>
          <cell r="B1284" t="str">
            <v>Fish Oil</v>
          </cell>
          <cell r="C1284" t="str">
            <v>Omega</v>
          </cell>
          <cell r="D1284">
            <v>148</v>
          </cell>
          <cell r="E1284">
            <v>32.619999999999997</v>
          </cell>
          <cell r="F1284">
            <v>4827.76</v>
          </cell>
          <cell r="G1284">
            <v>0.11</v>
          </cell>
          <cell r="H1284">
            <v>0</v>
          </cell>
          <cell r="I1284" t="str">
            <v>Canada</v>
          </cell>
          <cell r="J1284" t="str">
            <v>Amazon</v>
          </cell>
        </row>
        <row r="1285">
          <cell r="A1285" t="str">
            <v>19-07-2021</v>
          </cell>
          <cell r="B1285" t="str">
            <v>Multivitamin</v>
          </cell>
          <cell r="C1285" t="str">
            <v>Vitamin</v>
          </cell>
          <cell r="D1285">
            <v>147</v>
          </cell>
          <cell r="E1285">
            <v>11.13</v>
          </cell>
          <cell r="F1285">
            <v>1636.11</v>
          </cell>
          <cell r="G1285">
            <v>0.11</v>
          </cell>
          <cell r="H1285">
            <v>2</v>
          </cell>
          <cell r="I1285" t="str">
            <v>USA</v>
          </cell>
          <cell r="J1285" t="str">
            <v>Walmart</v>
          </cell>
        </row>
        <row r="1286">
          <cell r="A1286" t="str">
            <v>19-07-2021</v>
          </cell>
          <cell r="B1286" t="str">
            <v>Pre-Workout</v>
          </cell>
          <cell r="C1286" t="str">
            <v>Performance</v>
          </cell>
          <cell r="D1286">
            <v>157</v>
          </cell>
          <cell r="E1286">
            <v>55.48</v>
          </cell>
          <cell r="F1286">
            <v>8710.36</v>
          </cell>
          <cell r="G1286">
            <v>0</v>
          </cell>
          <cell r="H1286">
            <v>2</v>
          </cell>
          <cell r="I1286" t="str">
            <v>USA</v>
          </cell>
          <cell r="J1286" t="str">
            <v>iHerb</v>
          </cell>
        </row>
        <row r="1287">
          <cell r="A1287" t="str">
            <v>19-07-2021</v>
          </cell>
          <cell r="B1287" t="str">
            <v>BCAA</v>
          </cell>
          <cell r="C1287" t="str">
            <v>Amino Acid</v>
          </cell>
          <cell r="D1287">
            <v>161</v>
          </cell>
          <cell r="E1287">
            <v>26.19</v>
          </cell>
          <cell r="F1287">
            <v>4216.59</v>
          </cell>
          <cell r="G1287">
            <v>0.03</v>
          </cell>
          <cell r="H1287">
            <v>3</v>
          </cell>
          <cell r="I1287" t="str">
            <v>UK</v>
          </cell>
          <cell r="J1287" t="str">
            <v>Walmart</v>
          </cell>
        </row>
        <row r="1288">
          <cell r="A1288" t="str">
            <v>19-07-2021</v>
          </cell>
          <cell r="B1288" t="str">
            <v>Creatine</v>
          </cell>
          <cell r="C1288" t="str">
            <v>Performance</v>
          </cell>
          <cell r="D1288">
            <v>149</v>
          </cell>
          <cell r="E1288">
            <v>39.29</v>
          </cell>
          <cell r="F1288">
            <v>5854.21</v>
          </cell>
          <cell r="G1288">
            <v>0.17</v>
          </cell>
          <cell r="H1288">
            <v>2</v>
          </cell>
          <cell r="I1288" t="str">
            <v>UK</v>
          </cell>
          <cell r="J1288" t="str">
            <v>Amazon</v>
          </cell>
        </row>
        <row r="1289">
          <cell r="A1289" t="str">
            <v>19-07-2021</v>
          </cell>
          <cell r="B1289" t="str">
            <v>Zinc</v>
          </cell>
          <cell r="C1289" t="str">
            <v>Mineral</v>
          </cell>
          <cell r="D1289">
            <v>156</v>
          </cell>
          <cell r="E1289">
            <v>35.68</v>
          </cell>
          <cell r="F1289">
            <v>5566.08</v>
          </cell>
          <cell r="G1289">
            <v>0.2</v>
          </cell>
          <cell r="H1289">
            <v>1</v>
          </cell>
          <cell r="I1289" t="str">
            <v>Canada</v>
          </cell>
          <cell r="J1289" t="str">
            <v>Walmart</v>
          </cell>
        </row>
        <row r="1290">
          <cell r="A1290" t="str">
            <v>19-07-2021</v>
          </cell>
          <cell r="B1290" t="str">
            <v>Collagen Peptides</v>
          </cell>
          <cell r="C1290" t="str">
            <v>Protein</v>
          </cell>
          <cell r="D1290">
            <v>146</v>
          </cell>
          <cell r="E1290">
            <v>55.73</v>
          </cell>
          <cell r="F1290">
            <v>8136.58</v>
          </cell>
          <cell r="G1290">
            <v>0.02</v>
          </cell>
          <cell r="H1290">
            <v>2</v>
          </cell>
          <cell r="I1290" t="str">
            <v>USA</v>
          </cell>
          <cell r="J1290" t="str">
            <v>iHerb</v>
          </cell>
        </row>
        <row r="1291">
          <cell r="A1291" t="str">
            <v>19-07-2021</v>
          </cell>
          <cell r="B1291" t="str">
            <v>Magnesium</v>
          </cell>
          <cell r="C1291" t="str">
            <v>Mineral</v>
          </cell>
          <cell r="D1291">
            <v>147</v>
          </cell>
          <cell r="E1291">
            <v>43.98</v>
          </cell>
          <cell r="F1291">
            <v>6465.06</v>
          </cell>
          <cell r="G1291">
            <v>0.02</v>
          </cell>
          <cell r="H1291">
            <v>2</v>
          </cell>
          <cell r="I1291" t="str">
            <v>USA</v>
          </cell>
          <cell r="J1291" t="str">
            <v>Walmart</v>
          </cell>
        </row>
        <row r="1292">
          <cell r="A1292" t="str">
            <v>19-07-2021</v>
          </cell>
          <cell r="B1292" t="str">
            <v>Ashwagandha</v>
          </cell>
          <cell r="C1292" t="str">
            <v>Herbal</v>
          </cell>
          <cell r="D1292">
            <v>160</v>
          </cell>
          <cell r="E1292">
            <v>18.53</v>
          </cell>
          <cell r="F1292">
            <v>2964.8</v>
          </cell>
          <cell r="G1292">
            <v>0.22</v>
          </cell>
          <cell r="H1292">
            <v>2</v>
          </cell>
          <cell r="I1292" t="str">
            <v>Canada</v>
          </cell>
          <cell r="J1292" t="str">
            <v>Amazon</v>
          </cell>
        </row>
        <row r="1293">
          <cell r="A1293" t="str">
            <v>19-07-2021</v>
          </cell>
          <cell r="B1293" t="str">
            <v>Melatonin</v>
          </cell>
          <cell r="C1293" t="str">
            <v>Sleep Aid</v>
          </cell>
          <cell r="D1293">
            <v>167</v>
          </cell>
          <cell r="E1293">
            <v>37.1</v>
          </cell>
          <cell r="F1293">
            <v>6195.7</v>
          </cell>
          <cell r="G1293">
            <v>0.23</v>
          </cell>
          <cell r="H1293">
            <v>3</v>
          </cell>
          <cell r="I1293" t="str">
            <v>Canada</v>
          </cell>
          <cell r="J1293" t="str">
            <v>iHerb</v>
          </cell>
        </row>
        <row r="1294">
          <cell r="A1294" t="str">
            <v>19-07-2021</v>
          </cell>
          <cell r="B1294" t="str">
            <v>Biotin</v>
          </cell>
          <cell r="C1294" t="str">
            <v>Vitamin</v>
          </cell>
          <cell r="D1294">
            <v>148</v>
          </cell>
          <cell r="E1294">
            <v>29.66</v>
          </cell>
          <cell r="F1294">
            <v>4389.68</v>
          </cell>
          <cell r="G1294">
            <v>0.1</v>
          </cell>
          <cell r="H1294">
            <v>1</v>
          </cell>
          <cell r="I1294" t="str">
            <v>UK</v>
          </cell>
          <cell r="J1294" t="str">
            <v>iHerb</v>
          </cell>
        </row>
        <row r="1295">
          <cell r="A1295" t="str">
            <v>19-07-2021</v>
          </cell>
          <cell r="B1295" t="str">
            <v>Green Tea Extract</v>
          </cell>
          <cell r="C1295" t="str">
            <v>Fat Burner</v>
          </cell>
          <cell r="D1295">
            <v>141</v>
          </cell>
          <cell r="E1295">
            <v>13.49</v>
          </cell>
          <cell r="F1295">
            <v>1902.09</v>
          </cell>
          <cell r="G1295">
            <v>0.17</v>
          </cell>
          <cell r="H1295">
            <v>0</v>
          </cell>
          <cell r="I1295" t="str">
            <v>USA</v>
          </cell>
          <cell r="J1295" t="str">
            <v>Walmart</v>
          </cell>
        </row>
        <row r="1296">
          <cell r="A1296" t="str">
            <v>19-07-2021</v>
          </cell>
          <cell r="B1296" t="str">
            <v>Iron Supplement</v>
          </cell>
          <cell r="C1296" t="str">
            <v>Mineral</v>
          </cell>
          <cell r="D1296">
            <v>144</v>
          </cell>
          <cell r="E1296">
            <v>23.5</v>
          </cell>
          <cell r="F1296">
            <v>3384</v>
          </cell>
          <cell r="G1296">
            <v>0.19</v>
          </cell>
          <cell r="H1296">
            <v>3</v>
          </cell>
          <cell r="I1296" t="str">
            <v>USA</v>
          </cell>
          <cell r="J1296" t="str">
            <v>iHerb</v>
          </cell>
        </row>
        <row r="1297">
          <cell r="A1297" t="str">
            <v>19-07-2021</v>
          </cell>
          <cell r="B1297" t="str">
            <v>Electrolyte Powder</v>
          </cell>
          <cell r="C1297" t="str">
            <v>Hydration</v>
          </cell>
          <cell r="D1297">
            <v>139</v>
          </cell>
          <cell r="E1297">
            <v>33.520000000000003</v>
          </cell>
          <cell r="F1297">
            <v>4659.28</v>
          </cell>
          <cell r="G1297">
            <v>0.22</v>
          </cell>
          <cell r="H1297">
            <v>2</v>
          </cell>
          <cell r="I1297" t="str">
            <v>USA</v>
          </cell>
          <cell r="J1297" t="str">
            <v>iHerb</v>
          </cell>
        </row>
        <row r="1298">
          <cell r="A1298" t="str">
            <v>26-07-2021</v>
          </cell>
          <cell r="B1298" t="str">
            <v>Whey Protein</v>
          </cell>
          <cell r="C1298" t="str">
            <v>Protein</v>
          </cell>
          <cell r="D1298">
            <v>150</v>
          </cell>
          <cell r="E1298">
            <v>52.37</v>
          </cell>
          <cell r="F1298">
            <v>7855.5</v>
          </cell>
          <cell r="G1298">
            <v>0</v>
          </cell>
          <cell r="H1298">
            <v>1</v>
          </cell>
          <cell r="I1298" t="str">
            <v>UK</v>
          </cell>
          <cell r="J1298" t="str">
            <v>Amazon</v>
          </cell>
        </row>
        <row r="1299">
          <cell r="A1299" t="str">
            <v>26-07-2021</v>
          </cell>
          <cell r="B1299" t="str">
            <v>Vitamin C</v>
          </cell>
          <cell r="C1299" t="str">
            <v>Vitamin</v>
          </cell>
          <cell r="D1299">
            <v>169</v>
          </cell>
          <cell r="E1299">
            <v>37.14</v>
          </cell>
          <cell r="F1299">
            <v>6276.66</v>
          </cell>
          <cell r="G1299">
            <v>0.13</v>
          </cell>
          <cell r="H1299">
            <v>1</v>
          </cell>
          <cell r="I1299" t="str">
            <v>Canada</v>
          </cell>
          <cell r="J1299" t="str">
            <v>iHerb</v>
          </cell>
        </row>
        <row r="1300">
          <cell r="A1300" t="str">
            <v>26-07-2021</v>
          </cell>
          <cell r="B1300" t="str">
            <v>Fish Oil</v>
          </cell>
          <cell r="C1300" t="str">
            <v>Omega</v>
          </cell>
          <cell r="D1300">
            <v>151</v>
          </cell>
          <cell r="E1300">
            <v>30.92</v>
          </cell>
          <cell r="F1300">
            <v>4668.92</v>
          </cell>
          <cell r="G1300">
            <v>0.18</v>
          </cell>
          <cell r="H1300">
            <v>3</v>
          </cell>
          <cell r="I1300" t="str">
            <v>Canada</v>
          </cell>
          <cell r="J1300" t="str">
            <v>Amazon</v>
          </cell>
        </row>
        <row r="1301">
          <cell r="A1301" t="str">
            <v>26-07-2021</v>
          </cell>
          <cell r="B1301" t="str">
            <v>Multivitamin</v>
          </cell>
          <cell r="C1301" t="str">
            <v>Vitamin</v>
          </cell>
          <cell r="D1301">
            <v>136</v>
          </cell>
          <cell r="E1301">
            <v>30.4</v>
          </cell>
          <cell r="F1301">
            <v>4134.3999999999996</v>
          </cell>
          <cell r="G1301">
            <v>0.17</v>
          </cell>
          <cell r="H1301">
            <v>0</v>
          </cell>
          <cell r="I1301" t="str">
            <v>USA</v>
          </cell>
          <cell r="J1301" t="str">
            <v>iHerb</v>
          </cell>
        </row>
        <row r="1302">
          <cell r="A1302" t="str">
            <v>26-07-2021</v>
          </cell>
          <cell r="B1302" t="str">
            <v>Pre-Workout</v>
          </cell>
          <cell r="C1302" t="str">
            <v>Performance</v>
          </cell>
          <cell r="D1302">
            <v>155</v>
          </cell>
          <cell r="E1302">
            <v>30.91</v>
          </cell>
          <cell r="F1302">
            <v>4791.05</v>
          </cell>
          <cell r="G1302">
            <v>0.23</v>
          </cell>
          <cell r="H1302">
            <v>5</v>
          </cell>
          <cell r="I1302" t="str">
            <v>UK</v>
          </cell>
          <cell r="J1302" t="str">
            <v>Amazon</v>
          </cell>
        </row>
        <row r="1303">
          <cell r="A1303" t="str">
            <v>26-07-2021</v>
          </cell>
          <cell r="B1303" t="str">
            <v>BCAA</v>
          </cell>
          <cell r="C1303" t="str">
            <v>Amino Acid</v>
          </cell>
          <cell r="D1303">
            <v>132</v>
          </cell>
          <cell r="E1303">
            <v>57.52</v>
          </cell>
          <cell r="F1303">
            <v>7592.64</v>
          </cell>
          <cell r="G1303">
            <v>0.24</v>
          </cell>
          <cell r="H1303">
            <v>0</v>
          </cell>
          <cell r="I1303" t="str">
            <v>USA</v>
          </cell>
          <cell r="J1303" t="str">
            <v>Walmart</v>
          </cell>
        </row>
        <row r="1304">
          <cell r="A1304" t="str">
            <v>26-07-2021</v>
          </cell>
          <cell r="B1304" t="str">
            <v>Creatine</v>
          </cell>
          <cell r="C1304" t="str">
            <v>Performance</v>
          </cell>
          <cell r="D1304">
            <v>150</v>
          </cell>
          <cell r="E1304">
            <v>11.02</v>
          </cell>
          <cell r="F1304">
            <v>1653</v>
          </cell>
          <cell r="G1304">
            <v>0.15</v>
          </cell>
          <cell r="H1304">
            <v>1</v>
          </cell>
          <cell r="I1304" t="str">
            <v>USA</v>
          </cell>
          <cell r="J1304" t="str">
            <v>iHerb</v>
          </cell>
        </row>
        <row r="1305">
          <cell r="A1305" t="str">
            <v>26-07-2021</v>
          </cell>
          <cell r="B1305" t="str">
            <v>Zinc</v>
          </cell>
          <cell r="C1305" t="str">
            <v>Mineral</v>
          </cell>
          <cell r="D1305">
            <v>165</v>
          </cell>
          <cell r="E1305">
            <v>44.34</v>
          </cell>
          <cell r="F1305">
            <v>7316.1</v>
          </cell>
          <cell r="G1305">
            <v>0.17</v>
          </cell>
          <cell r="H1305">
            <v>1</v>
          </cell>
          <cell r="I1305" t="str">
            <v>UK</v>
          </cell>
          <cell r="J1305" t="str">
            <v>Walmart</v>
          </cell>
        </row>
        <row r="1306">
          <cell r="A1306" t="str">
            <v>26-07-2021</v>
          </cell>
          <cell r="B1306" t="str">
            <v>Collagen Peptides</v>
          </cell>
          <cell r="C1306" t="str">
            <v>Protein</v>
          </cell>
          <cell r="D1306">
            <v>142</v>
          </cell>
          <cell r="E1306">
            <v>50.02</v>
          </cell>
          <cell r="F1306">
            <v>7102.84</v>
          </cell>
          <cell r="G1306">
            <v>0.11</v>
          </cell>
          <cell r="H1306">
            <v>2</v>
          </cell>
          <cell r="I1306" t="str">
            <v>Canada</v>
          </cell>
          <cell r="J1306" t="str">
            <v>iHerb</v>
          </cell>
        </row>
        <row r="1307">
          <cell r="A1307" t="str">
            <v>26-07-2021</v>
          </cell>
          <cell r="B1307" t="str">
            <v>Magnesium</v>
          </cell>
          <cell r="C1307" t="str">
            <v>Mineral</v>
          </cell>
          <cell r="D1307">
            <v>154</v>
          </cell>
          <cell r="E1307">
            <v>31.25</v>
          </cell>
          <cell r="F1307">
            <v>4812.5</v>
          </cell>
          <cell r="G1307">
            <v>7.0000000000000007E-2</v>
          </cell>
          <cell r="H1307">
            <v>1</v>
          </cell>
          <cell r="I1307" t="str">
            <v>Canada</v>
          </cell>
          <cell r="J1307" t="str">
            <v>Amazon</v>
          </cell>
        </row>
        <row r="1308">
          <cell r="A1308" t="str">
            <v>26-07-2021</v>
          </cell>
          <cell r="B1308" t="str">
            <v>Ashwagandha</v>
          </cell>
          <cell r="C1308" t="str">
            <v>Herbal</v>
          </cell>
          <cell r="D1308">
            <v>151</v>
          </cell>
          <cell r="E1308">
            <v>32.01</v>
          </cell>
          <cell r="F1308">
            <v>4833.51</v>
          </cell>
          <cell r="G1308">
            <v>0.02</v>
          </cell>
          <cell r="H1308">
            <v>2</v>
          </cell>
          <cell r="I1308" t="str">
            <v>UK</v>
          </cell>
          <cell r="J1308" t="str">
            <v>Walmart</v>
          </cell>
        </row>
        <row r="1309">
          <cell r="A1309" t="str">
            <v>26-07-2021</v>
          </cell>
          <cell r="B1309" t="str">
            <v>Melatonin</v>
          </cell>
          <cell r="C1309" t="str">
            <v>Sleep Aid</v>
          </cell>
          <cell r="D1309">
            <v>139</v>
          </cell>
          <cell r="E1309">
            <v>30.64</v>
          </cell>
          <cell r="F1309">
            <v>4258.96</v>
          </cell>
          <cell r="G1309">
            <v>0.06</v>
          </cell>
          <cell r="H1309">
            <v>1</v>
          </cell>
          <cell r="I1309" t="str">
            <v>UK</v>
          </cell>
          <cell r="J1309" t="str">
            <v>Walmart</v>
          </cell>
        </row>
        <row r="1310">
          <cell r="A1310" t="str">
            <v>26-07-2021</v>
          </cell>
          <cell r="B1310" t="str">
            <v>Biotin</v>
          </cell>
          <cell r="C1310" t="str">
            <v>Vitamin</v>
          </cell>
          <cell r="D1310">
            <v>145</v>
          </cell>
          <cell r="E1310">
            <v>36.86</v>
          </cell>
          <cell r="F1310">
            <v>5344.7</v>
          </cell>
          <cell r="G1310">
            <v>0.05</v>
          </cell>
          <cell r="H1310">
            <v>0</v>
          </cell>
          <cell r="I1310" t="str">
            <v>UK</v>
          </cell>
          <cell r="J1310" t="str">
            <v>Walmart</v>
          </cell>
        </row>
        <row r="1311">
          <cell r="A1311" t="str">
            <v>26-07-2021</v>
          </cell>
          <cell r="B1311" t="str">
            <v>Green Tea Extract</v>
          </cell>
          <cell r="C1311" t="str">
            <v>Fat Burner</v>
          </cell>
          <cell r="D1311">
            <v>167</v>
          </cell>
          <cell r="E1311">
            <v>30.6</v>
          </cell>
          <cell r="F1311">
            <v>5110.2</v>
          </cell>
          <cell r="G1311">
            <v>0.01</v>
          </cell>
          <cell r="H1311">
            <v>1</v>
          </cell>
          <cell r="I1311" t="str">
            <v>UK</v>
          </cell>
          <cell r="J1311" t="str">
            <v>Amazon</v>
          </cell>
        </row>
        <row r="1312">
          <cell r="A1312" t="str">
            <v>26-07-2021</v>
          </cell>
          <cell r="B1312" t="str">
            <v>Iron Supplement</v>
          </cell>
          <cell r="C1312" t="str">
            <v>Mineral</v>
          </cell>
          <cell r="D1312">
            <v>152</v>
          </cell>
          <cell r="E1312">
            <v>45.35</v>
          </cell>
          <cell r="F1312">
            <v>6893.2</v>
          </cell>
          <cell r="G1312">
            <v>0.04</v>
          </cell>
          <cell r="H1312">
            <v>1</v>
          </cell>
          <cell r="I1312" t="str">
            <v>Canada</v>
          </cell>
          <cell r="J1312" t="str">
            <v>iHerb</v>
          </cell>
        </row>
        <row r="1313">
          <cell r="A1313" t="str">
            <v>26-07-2021</v>
          </cell>
          <cell r="B1313" t="str">
            <v>Electrolyte Powder</v>
          </cell>
          <cell r="C1313" t="str">
            <v>Hydration</v>
          </cell>
          <cell r="D1313">
            <v>134</v>
          </cell>
          <cell r="E1313">
            <v>20.71</v>
          </cell>
          <cell r="F1313">
            <v>2775.14</v>
          </cell>
          <cell r="G1313">
            <v>0.02</v>
          </cell>
          <cell r="H1313">
            <v>1</v>
          </cell>
          <cell r="I1313" t="str">
            <v>UK</v>
          </cell>
          <cell r="J1313" t="str">
            <v>iHerb</v>
          </cell>
        </row>
        <row r="1314">
          <cell r="A1314" t="str">
            <v>02-08-2021</v>
          </cell>
          <cell r="B1314" t="str">
            <v>Whey Protein</v>
          </cell>
          <cell r="C1314" t="str">
            <v>Protein</v>
          </cell>
          <cell r="D1314">
            <v>135</v>
          </cell>
          <cell r="E1314">
            <v>36.69</v>
          </cell>
          <cell r="F1314">
            <v>4953.1499999999996</v>
          </cell>
          <cell r="G1314">
            <v>0.04</v>
          </cell>
          <cell r="H1314">
            <v>0</v>
          </cell>
          <cell r="I1314" t="str">
            <v>Canada</v>
          </cell>
          <cell r="J1314" t="str">
            <v>iHerb</v>
          </cell>
        </row>
        <row r="1315">
          <cell r="A1315" t="str">
            <v>02-08-2021</v>
          </cell>
          <cell r="B1315" t="str">
            <v>Vitamin C</v>
          </cell>
          <cell r="C1315" t="str">
            <v>Vitamin</v>
          </cell>
          <cell r="D1315">
            <v>162</v>
          </cell>
          <cell r="E1315">
            <v>40.31</v>
          </cell>
          <cell r="F1315">
            <v>6530.22</v>
          </cell>
          <cell r="G1315">
            <v>0.08</v>
          </cell>
          <cell r="H1315">
            <v>2</v>
          </cell>
          <cell r="I1315" t="str">
            <v>USA</v>
          </cell>
          <cell r="J1315" t="str">
            <v>Amazon</v>
          </cell>
        </row>
        <row r="1316">
          <cell r="A1316" t="str">
            <v>02-08-2021</v>
          </cell>
          <cell r="B1316" t="str">
            <v>Fish Oil</v>
          </cell>
          <cell r="C1316" t="str">
            <v>Omega</v>
          </cell>
          <cell r="D1316">
            <v>143</v>
          </cell>
          <cell r="E1316">
            <v>21.15</v>
          </cell>
          <cell r="F1316">
            <v>3024.45</v>
          </cell>
          <cell r="G1316">
            <v>0.05</v>
          </cell>
          <cell r="H1316">
            <v>1</v>
          </cell>
          <cell r="I1316" t="str">
            <v>USA</v>
          </cell>
          <cell r="J1316" t="str">
            <v>iHerb</v>
          </cell>
        </row>
        <row r="1317">
          <cell r="A1317" t="str">
            <v>02-08-2021</v>
          </cell>
          <cell r="B1317" t="str">
            <v>Multivitamin</v>
          </cell>
          <cell r="C1317" t="str">
            <v>Vitamin</v>
          </cell>
          <cell r="D1317">
            <v>156</v>
          </cell>
          <cell r="E1317">
            <v>10.6</v>
          </cell>
          <cell r="F1317">
            <v>1653.6</v>
          </cell>
          <cell r="G1317">
            <v>0.13</v>
          </cell>
          <cell r="H1317">
            <v>2</v>
          </cell>
          <cell r="I1317" t="str">
            <v>USA</v>
          </cell>
          <cell r="J1317" t="str">
            <v>Amazon</v>
          </cell>
        </row>
        <row r="1318">
          <cell r="A1318" t="str">
            <v>02-08-2021</v>
          </cell>
          <cell r="B1318" t="str">
            <v>Pre-Workout</v>
          </cell>
          <cell r="C1318" t="str">
            <v>Performance</v>
          </cell>
          <cell r="D1318">
            <v>149</v>
          </cell>
          <cell r="E1318">
            <v>56.4</v>
          </cell>
          <cell r="F1318">
            <v>8403.6</v>
          </cell>
          <cell r="G1318">
            <v>0.21</v>
          </cell>
          <cell r="H1318">
            <v>1</v>
          </cell>
          <cell r="I1318" t="str">
            <v>UK</v>
          </cell>
          <cell r="J1318" t="str">
            <v>iHerb</v>
          </cell>
        </row>
        <row r="1319">
          <cell r="A1319" t="str">
            <v>02-08-2021</v>
          </cell>
          <cell r="B1319" t="str">
            <v>BCAA</v>
          </cell>
          <cell r="C1319" t="str">
            <v>Amino Acid</v>
          </cell>
          <cell r="D1319">
            <v>140</v>
          </cell>
          <cell r="E1319">
            <v>35.22</v>
          </cell>
          <cell r="F1319">
            <v>4930.8</v>
          </cell>
          <cell r="G1319">
            <v>0.19</v>
          </cell>
          <cell r="H1319">
            <v>1</v>
          </cell>
          <cell r="I1319" t="str">
            <v>UK</v>
          </cell>
          <cell r="J1319" t="str">
            <v>iHerb</v>
          </cell>
        </row>
        <row r="1320">
          <cell r="A1320" t="str">
            <v>02-08-2021</v>
          </cell>
          <cell r="B1320" t="str">
            <v>Creatine</v>
          </cell>
          <cell r="C1320" t="str">
            <v>Performance</v>
          </cell>
          <cell r="D1320">
            <v>127</v>
          </cell>
          <cell r="E1320">
            <v>50.3</v>
          </cell>
          <cell r="F1320">
            <v>6388.1</v>
          </cell>
          <cell r="G1320">
            <v>7.0000000000000007E-2</v>
          </cell>
          <cell r="H1320">
            <v>2</v>
          </cell>
          <cell r="I1320" t="str">
            <v>Canada</v>
          </cell>
          <cell r="J1320" t="str">
            <v>Amazon</v>
          </cell>
        </row>
        <row r="1321">
          <cell r="A1321" t="str">
            <v>02-08-2021</v>
          </cell>
          <cell r="B1321" t="str">
            <v>Zinc</v>
          </cell>
          <cell r="C1321" t="str">
            <v>Mineral</v>
          </cell>
          <cell r="D1321">
            <v>147</v>
          </cell>
          <cell r="E1321">
            <v>52.26</v>
          </cell>
          <cell r="F1321">
            <v>7682.22</v>
          </cell>
          <cell r="G1321">
            <v>0.13</v>
          </cell>
          <cell r="H1321">
            <v>2</v>
          </cell>
          <cell r="I1321" t="str">
            <v>UK</v>
          </cell>
          <cell r="J1321" t="str">
            <v>iHerb</v>
          </cell>
        </row>
        <row r="1322">
          <cell r="A1322" t="str">
            <v>02-08-2021</v>
          </cell>
          <cell r="B1322" t="str">
            <v>Collagen Peptides</v>
          </cell>
          <cell r="C1322" t="str">
            <v>Protein</v>
          </cell>
          <cell r="D1322">
            <v>167</v>
          </cell>
          <cell r="E1322">
            <v>25.66</v>
          </cell>
          <cell r="F1322">
            <v>4285.22</v>
          </cell>
          <cell r="G1322">
            <v>0.19</v>
          </cell>
          <cell r="H1322">
            <v>1</v>
          </cell>
          <cell r="I1322" t="str">
            <v>Canada</v>
          </cell>
          <cell r="J1322" t="str">
            <v>iHerb</v>
          </cell>
        </row>
        <row r="1323">
          <cell r="A1323" t="str">
            <v>02-08-2021</v>
          </cell>
          <cell r="B1323" t="str">
            <v>Magnesium</v>
          </cell>
          <cell r="C1323" t="str">
            <v>Mineral</v>
          </cell>
          <cell r="D1323">
            <v>146</v>
          </cell>
          <cell r="E1323">
            <v>46.22</v>
          </cell>
          <cell r="F1323">
            <v>6748.12</v>
          </cell>
          <cell r="G1323">
            <v>0.1</v>
          </cell>
          <cell r="H1323">
            <v>0</v>
          </cell>
          <cell r="I1323" t="str">
            <v>UK</v>
          </cell>
          <cell r="J1323" t="str">
            <v>iHerb</v>
          </cell>
        </row>
        <row r="1324">
          <cell r="A1324" t="str">
            <v>02-08-2021</v>
          </cell>
          <cell r="B1324" t="str">
            <v>Ashwagandha</v>
          </cell>
          <cell r="C1324" t="str">
            <v>Herbal</v>
          </cell>
          <cell r="D1324">
            <v>145</v>
          </cell>
          <cell r="E1324">
            <v>18.8</v>
          </cell>
          <cell r="F1324">
            <v>2726</v>
          </cell>
          <cell r="G1324">
            <v>0.19</v>
          </cell>
          <cell r="H1324">
            <v>1</v>
          </cell>
          <cell r="I1324" t="str">
            <v>USA</v>
          </cell>
          <cell r="J1324" t="str">
            <v>iHerb</v>
          </cell>
        </row>
        <row r="1325">
          <cell r="A1325" t="str">
            <v>02-08-2021</v>
          </cell>
          <cell r="B1325" t="str">
            <v>Melatonin</v>
          </cell>
          <cell r="C1325" t="str">
            <v>Sleep Aid</v>
          </cell>
          <cell r="D1325">
            <v>148</v>
          </cell>
          <cell r="E1325">
            <v>59.1</v>
          </cell>
          <cell r="F1325">
            <v>8746.7999999999993</v>
          </cell>
          <cell r="G1325">
            <v>0.1</v>
          </cell>
          <cell r="H1325">
            <v>0</v>
          </cell>
          <cell r="I1325" t="str">
            <v>USA</v>
          </cell>
          <cell r="J1325" t="str">
            <v>Walmart</v>
          </cell>
        </row>
        <row r="1326">
          <cell r="A1326" t="str">
            <v>02-08-2021</v>
          </cell>
          <cell r="B1326" t="str">
            <v>Biotin</v>
          </cell>
          <cell r="C1326" t="str">
            <v>Vitamin</v>
          </cell>
          <cell r="D1326">
            <v>130</v>
          </cell>
          <cell r="E1326">
            <v>39.97</v>
          </cell>
          <cell r="F1326">
            <v>5196.1000000000004</v>
          </cell>
          <cell r="G1326">
            <v>0.1</v>
          </cell>
          <cell r="H1326">
            <v>1</v>
          </cell>
          <cell r="I1326" t="str">
            <v>UK</v>
          </cell>
          <cell r="J1326" t="str">
            <v>Walmart</v>
          </cell>
        </row>
        <row r="1327">
          <cell r="A1327" t="str">
            <v>02-08-2021</v>
          </cell>
          <cell r="B1327" t="str">
            <v>Green Tea Extract</v>
          </cell>
          <cell r="C1327" t="str">
            <v>Fat Burner</v>
          </cell>
          <cell r="D1327">
            <v>124</v>
          </cell>
          <cell r="E1327">
            <v>35.24</v>
          </cell>
          <cell r="F1327">
            <v>4369.76</v>
          </cell>
          <cell r="G1327">
            <v>0.04</v>
          </cell>
          <cell r="H1327">
            <v>0</v>
          </cell>
          <cell r="I1327" t="str">
            <v>UK</v>
          </cell>
          <cell r="J1327" t="str">
            <v>iHerb</v>
          </cell>
        </row>
        <row r="1328">
          <cell r="A1328" t="str">
            <v>02-08-2021</v>
          </cell>
          <cell r="B1328" t="str">
            <v>Iron Supplement</v>
          </cell>
          <cell r="C1328" t="str">
            <v>Mineral</v>
          </cell>
          <cell r="D1328">
            <v>133</v>
          </cell>
          <cell r="E1328">
            <v>40.49</v>
          </cell>
          <cell r="F1328">
            <v>5385.17</v>
          </cell>
          <cell r="G1328">
            <v>0.05</v>
          </cell>
          <cell r="H1328">
            <v>0</v>
          </cell>
          <cell r="I1328" t="str">
            <v>UK</v>
          </cell>
          <cell r="J1328" t="str">
            <v>Amazon</v>
          </cell>
        </row>
        <row r="1329">
          <cell r="A1329" t="str">
            <v>02-08-2021</v>
          </cell>
          <cell r="B1329" t="str">
            <v>Electrolyte Powder</v>
          </cell>
          <cell r="C1329" t="str">
            <v>Hydration</v>
          </cell>
          <cell r="D1329">
            <v>165</v>
          </cell>
          <cell r="E1329">
            <v>26.38</v>
          </cell>
          <cell r="F1329">
            <v>4352.7</v>
          </cell>
          <cell r="G1329">
            <v>0.05</v>
          </cell>
          <cell r="H1329">
            <v>1</v>
          </cell>
          <cell r="I1329" t="str">
            <v>UK</v>
          </cell>
          <cell r="J1329" t="str">
            <v>Amazon</v>
          </cell>
        </row>
        <row r="1330">
          <cell r="A1330" t="str">
            <v>09-08-2021</v>
          </cell>
          <cell r="B1330" t="str">
            <v>Whey Protein</v>
          </cell>
          <cell r="C1330" t="str">
            <v>Protein</v>
          </cell>
          <cell r="D1330">
            <v>151</v>
          </cell>
          <cell r="E1330">
            <v>18.22</v>
          </cell>
          <cell r="F1330">
            <v>2751.22</v>
          </cell>
          <cell r="G1330">
            <v>0.2</v>
          </cell>
          <cell r="H1330">
            <v>2</v>
          </cell>
          <cell r="I1330" t="str">
            <v>UK</v>
          </cell>
          <cell r="J1330" t="str">
            <v>Walmart</v>
          </cell>
        </row>
        <row r="1331">
          <cell r="A1331" t="str">
            <v>09-08-2021</v>
          </cell>
          <cell r="B1331" t="str">
            <v>Vitamin C</v>
          </cell>
          <cell r="C1331" t="str">
            <v>Vitamin</v>
          </cell>
          <cell r="D1331">
            <v>134</v>
          </cell>
          <cell r="E1331">
            <v>18.510000000000002</v>
          </cell>
          <cell r="F1331">
            <v>2480.34</v>
          </cell>
          <cell r="G1331">
            <v>0.06</v>
          </cell>
          <cell r="H1331">
            <v>1</v>
          </cell>
          <cell r="I1331" t="str">
            <v>Canada</v>
          </cell>
          <cell r="J1331" t="str">
            <v>iHerb</v>
          </cell>
        </row>
        <row r="1332">
          <cell r="A1332" t="str">
            <v>09-08-2021</v>
          </cell>
          <cell r="B1332" t="str">
            <v>Fish Oil</v>
          </cell>
          <cell r="C1332" t="str">
            <v>Omega</v>
          </cell>
          <cell r="D1332">
            <v>152</v>
          </cell>
          <cell r="E1332">
            <v>57.39</v>
          </cell>
          <cell r="F1332">
            <v>8723.2800000000007</v>
          </cell>
          <cell r="G1332">
            <v>0.03</v>
          </cell>
          <cell r="H1332">
            <v>4</v>
          </cell>
          <cell r="I1332" t="str">
            <v>Canada</v>
          </cell>
          <cell r="J1332" t="str">
            <v>iHerb</v>
          </cell>
        </row>
        <row r="1333">
          <cell r="A1333" t="str">
            <v>09-08-2021</v>
          </cell>
          <cell r="B1333" t="str">
            <v>Multivitamin</v>
          </cell>
          <cell r="C1333" t="str">
            <v>Vitamin</v>
          </cell>
          <cell r="D1333">
            <v>140</v>
          </cell>
          <cell r="E1333">
            <v>26.95</v>
          </cell>
          <cell r="F1333">
            <v>3773</v>
          </cell>
          <cell r="G1333">
            <v>0.04</v>
          </cell>
          <cell r="H1333">
            <v>3</v>
          </cell>
          <cell r="I1333" t="str">
            <v>UK</v>
          </cell>
          <cell r="J1333" t="str">
            <v>iHerb</v>
          </cell>
        </row>
        <row r="1334">
          <cell r="A1334" t="str">
            <v>09-08-2021</v>
          </cell>
          <cell r="B1334" t="str">
            <v>Pre-Workout</v>
          </cell>
          <cell r="C1334" t="str">
            <v>Performance</v>
          </cell>
          <cell r="D1334">
            <v>143</v>
          </cell>
          <cell r="E1334">
            <v>38.32</v>
          </cell>
          <cell r="F1334">
            <v>5479.76</v>
          </cell>
          <cell r="G1334">
            <v>0.12</v>
          </cell>
          <cell r="H1334">
            <v>1</v>
          </cell>
          <cell r="I1334" t="str">
            <v>Canada</v>
          </cell>
          <cell r="J1334" t="str">
            <v>Walmart</v>
          </cell>
        </row>
        <row r="1335">
          <cell r="A1335" t="str">
            <v>09-08-2021</v>
          </cell>
          <cell r="B1335" t="str">
            <v>BCAA</v>
          </cell>
          <cell r="C1335" t="str">
            <v>Amino Acid</v>
          </cell>
          <cell r="D1335">
            <v>159</v>
          </cell>
          <cell r="E1335">
            <v>43.41</v>
          </cell>
          <cell r="F1335">
            <v>6902.19</v>
          </cell>
          <cell r="G1335">
            <v>0.22</v>
          </cell>
          <cell r="H1335">
            <v>0</v>
          </cell>
          <cell r="I1335" t="str">
            <v>USA</v>
          </cell>
          <cell r="J1335" t="str">
            <v>iHerb</v>
          </cell>
        </row>
        <row r="1336">
          <cell r="A1336" t="str">
            <v>09-08-2021</v>
          </cell>
          <cell r="B1336" t="str">
            <v>Creatine</v>
          </cell>
          <cell r="C1336" t="str">
            <v>Performance</v>
          </cell>
          <cell r="D1336">
            <v>135</v>
          </cell>
          <cell r="E1336">
            <v>31.86</v>
          </cell>
          <cell r="F1336">
            <v>4301.1000000000004</v>
          </cell>
          <cell r="G1336">
            <v>0.1</v>
          </cell>
          <cell r="H1336">
            <v>0</v>
          </cell>
          <cell r="I1336" t="str">
            <v>Canada</v>
          </cell>
          <cell r="J1336" t="str">
            <v>Walmart</v>
          </cell>
        </row>
        <row r="1337">
          <cell r="A1337" t="str">
            <v>09-08-2021</v>
          </cell>
          <cell r="B1337" t="str">
            <v>Zinc</v>
          </cell>
          <cell r="C1337" t="str">
            <v>Mineral</v>
          </cell>
          <cell r="D1337">
            <v>150</v>
          </cell>
          <cell r="E1337">
            <v>33.83</v>
          </cell>
          <cell r="F1337">
            <v>5074.5</v>
          </cell>
          <cell r="G1337">
            <v>0.19</v>
          </cell>
          <cell r="H1337">
            <v>1</v>
          </cell>
          <cell r="I1337" t="str">
            <v>USA</v>
          </cell>
          <cell r="J1337" t="str">
            <v>Walmart</v>
          </cell>
        </row>
        <row r="1338">
          <cell r="A1338" t="str">
            <v>09-08-2021</v>
          </cell>
          <cell r="B1338" t="str">
            <v>Collagen Peptides</v>
          </cell>
          <cell r="C1338" t="str">
            <v>Protein</v>
          </cell>
          <cell r="D1338">
            <v>157</v>
          </cell>
          <cell r="E1338">
            <v>30.74</v>
          </cell>
          <cell r="F1338">
            <v>4826.18</v>
          </cell>
          <cell r="G1338">
            <v>0.19</v>
          </cell>
          <cell r="H1338">
            <v>0</v>
          </cell>
          <cell r="I1338" t="str">
            <v>Canada</v>
          </cell>
          <cell r="J1338" t="str">
            <v>Walmart</v>
          </cell>
        </row>
        <row r="1339">
          <cell r="A1339" t="str">
            <v>09-08-2021</v>
          </cell>
          <cell r="B1339" t="str">
            <v>Magnesium</v>
          </cell>
          <cell r="C1339" t="str">
            <v>Mineral</v>
          </cell>
          <cell r="D1339">
            <v>133</v>
          </cell>
          <cell r="E1339">
            <v>30.1</v>
          </cell>
          <cell r="F1339">
            <v>4003.3</v>
          </cell>
          <cell r="G1339">
            <v>0.21</v>
          </cell>
          <cell r="H1339">
            <v>1</v>
          </cell>
          <cell r="I1339" t="str">
            <v>USA</v>
          </cell>
          <cell r="J1339" t="str">
            <v>iHerb</v>
          </cell>
        </row>
        <row r="1340">
          <cell r="A1340" t="str">
            <v>09-08-2021</v>
          </cell>
          <cell r="B1340" t="str">
            <v>Ashwagandha</v>
          </cell>
          <cell r="C1340" t="str">
            <v>Herbal</v>
          </cell>
          <cell r="D1340">
            <v>156</v>
          </cell>
          <cell r="E1340">
            <v>39.31</v>
          </cell>
          <cell r="F1340">
            <v>6132.36</v>
          </cell>
          <cell r="G1340">
            <v>0.09</v>
          </cell>
          <cell r="H1340">
            <v>2</v>
          </cell>
          <cell r="I1340" t="str">
            <v>Canada</v>
          </cell>
          <cell r="J1340" t="str">
            <v>Amazon</v>
          </cell>
        </row>
        <row r="1341">
          <cell r="A1341" t="str">
            <v>09-08-2021</v>
          </cell>
          <cell r="B1341" t="str">
            <v>Melatonin</v>
          </cell>
          <cell r="C1341" t="str">
            <v>Sleep Aid</v>
          </cell>
          <cell r="D1341">
            <v>144</v>
          </cell>
          <cell r="E1341">
            <v>59.64</v>
          </cell>
          <cell r="F1341">
            <v>8588.16</v>
          </cell>
          <cell r="G1341">
            <v>0.03</v>
          </cell>
          <cell r="H1341">
            <v>0</v>
          </cell>
          <cell r="I1341" t="str">
            <v>UK</v>
          </cell>
          <cell r="J1341" t="str">
            <v>Walmart</v>
          </cell>
        </row>
        <row r="1342">
          <cell r="A1342" t="str">
            <v>09-08-2021</v>
          </cell>
          <cell r="B1342" t="str">
            <v>Biotin</v>
          </cell>
          <cell r="C1342" t="str">
            <v>Vitamin</v>
          </cell>
          <cell r="D1342">
            <v>167</v>
          </cell>
          <cell r="E1342">
            <v>42.51</v>
          </cell>
          <cell r="F1342">
            <v>7099.17</v>
          </cell>
          <cell r="G1342">
            <v>0.08</v>
          </cell>
          <cell r="H1342">
            <v>1</v>
          </cell>
          <cell r="I1342" t="str">
            <v>USA</v>
          </cell>
          <cell r="J1342" t="str">
            <v>iHerb</v>
          </cell>
        </row>
        <row r="1343">
          <cell r="A1343" t="str">
            <v>09-08-2021</v>
          </cell>
          <cell r="B1343" t="str">
            <v>Green Tea Extract</v>
          </cell>
          <cell r="C1343" t="str">
            <v>Fat Burner</v>
          </cell>
          <cell r="D1343">
            <v>141</v>
          </cell>
          <cell r="E1343">
            <v>30.54</v>
          </cell>
          <cell r="F1343">
            <v>4306.1400000000003</v>
          </cell>
          <cell r="G1343">
            <v>0.18</v>
          </cell>
          <cell r="H1343">
            <v>1</v>
          </cell>
          <cell r="I1343" t="str">
            <v>UK</v>
          </cell>
          <cell r="J1343" t="str">
            <v>iHerb</v>
          </cell>
        </row>
        <row r="1344">
          <cell r="A1344" t="str">
            <v>09-08-2021</v>
          </cell>
          <cell r="B1344" t="str">
            <v>Iron Supplement</v>
          </cell>
          <cell r="C1344" t="str">
            <v>Mineral</v>
          </cell>
          <cell r="D1344">
            <v>176</v>
          </cell>
          <cell r="E1344">
            <v>35.15</v>
          </cell>
          <cell r="F1344">
            <v>6186.4</v>
          </cell>
          <cell r="G1344">
            <v>0.15</v>
          </cell>
          <cell r="H1344">
            <v>4</v>
          </cell>
          <cell r="I1344" t="str">
            <v>Canada</v>
          </cell>
          <cell r="J1344" t="str">
            <v>iHerb</v>
          </cell>
        </row>
        <row r="1345">
          <cell r="A1345" t="str">
            <v>09-08-2021</v>
          </cell>
          <cell r="B1345" t="str">
            <v>Electrolyte Powder</v>
          </cell>
          <cell r="C1345" t="str">
            <v>Hydration</v>
          </cell>
          <cell r="D1345">
            <v>122</v>
          </cell>
          <cell r="E1345">
            <v>52.68</v>
          </cell>
          <cell r="F1345">
            <v>6426.96</v>
          </cell>
          <cell r="G1345">
            <v>0.06</v>
          </cell>
          <cell r="H1345">
            <v>3</v>
          </cell>
          <cell r="I1345" t="str">
            <v>Canada</v>
          </cell>
          <cell r="J1345" t="str">
            <v>Amazon</v>
          </cell>
        </row>
        <row r="1346">
          <cell r="A1346" t="str">
            <v>16-08-2021</v>
          </cell>
          <cell r="B1346" t="str">
            <v>Whey Protein</v>
          </cell>
          <cell r="C1346" t="str">
            <v>Protein</v>
          </cell>
          <cell r="D1346">
            <v>173</v>
          </cell>
          <cell r="E1346">
            <v>31.95</v>
          </cell>
          <cell r="F1346">
            <v>5527.35</v>
          </cell>
          <cell r="G1346">
            <v>0.01</v>
          </cell>
          <cell r="H1346">
            <v>4</v>
          </cell>
          <cell r="I1346" t="str">
            <v>UK</v>
          </cell>
          <cell r="J1346" t="str">
            <v>Walmart</v>
          </cell>
        </row>
        <row r="1347">
          <cell r="A1347" t="str">
            <v>16-08-2021</v>
          </cell>
          <cell r="B1347" t="str">
            <v>Vitamin C</v>
          </cell>
          <cell r="C1347" t="str">
            <v>Vitamin</v>
          </cell>
          <cell r="D1347">
            <v>149</v>
          </cell>
          <cell r="E1347">
            <v>44.49</v>
          </cell>
          <cell r="F1347">
            <v>6629.01</v>
          </cell>
          <cell r="G1347">
            <v>0.12</v>
          </cell>
          <cell r="H1347">
            <v>0</v>
          </cell>
          <cell r="I1347" t="str">
            <v>Canada</v>
          </cell>
          <cell r="J1347" t="str">
            <v>iHerb</v>
          </cell>
        </row>
        <row r="1348">
          <cell r="A1348" t="str">
            <v>16-08-2021</v>
          </cell>
          <cell r="B1348" t="str">
            <v>Fish Oil</v>
          </cell>
          <cell r="C1348" t="str">
            <v>Omega</v>
          </cell>
          <cell r="D1348">
            <v>139</v>
          </cell>
          <cell r="E1348">
            <v>38.71</v>
          </cell>
          <cell r="F1348">
            <v>5380.69</v>
          </cell>
          <cell r="G1348">
            <v>0.16</v>
          </cell>
          <cell r="H1348">
            <v>1</v>
          </cell>
          <cell r="I1348" t="str">
            <v>Canada</v>
          </cell>
          <cell r="J1348" t="str">
            <v>iHerb</v>
          </cell>
        </row>
        <row r="1349">
          <cell r="A1349" t="str">
            <v>16-08-2021</v>
          </cell>
          <cell r="B1349" t="str">
            <v>Multivitamin</v>
          </cell>
          <cell r="C1349" t="str">
            <v>Vitamin</v>
          </cell>
          <cell r="D1349">
            <v>154</v>
          </cell>
          <cell r="E1349">
            <v>44.76</v>
          </cell>
          <cell r="F1349">
            <v>6893.04</v>
          </cell>
          <cell r="G1349">
            <v>0.1</v>
          </cell>
          <cell r="H1349">
            <v>2</v>
          </cell>
          <cell r="I1349" t="str">
            <v>Canada</v>
          </cell>
          <cell r="J1349" t="str">
            <v>Walmart</v>
          </cell>
        </row>
        <row r="1350">
          <cell r="A1350" t="str">
            <v>16-08-2021</v>
          </cell>
          <cell r="B1350" t="str">
            <v>Pre-Workout</v>
          </cell>
          <cell r="C1350" t="str">
            <v>Performance</v>
          </cell>
          <cell r="D1350">
            <v>155</v>
          </cell>
          <cell r="E1350">
            <v>55.85</v>
          </cell>
          <cell r="F1350">
            <v>8656.75</v>
          </cell>
          <cell r="G1350">
            <v>0.03</v>
          </cell>
          <cell r="H1350">
            <v>2</v>
          </cell>
          <cell r="I1350" t="str">
            <v>USA</v>
          </cell>
          <cell r="J1350" t="str">
            <v>iHerb</v>
          </cell>
        </row>
        <row r="1351">
          <cell r="A1351" t="str">
            <v>16-08-2021</v>
          </cell>
          <cell r="B1351" t="str">
            <v>BCAA</v>
          </cell>
          <cell r="C1351" t="str">
            <v>Amino Acid</v>
          </cell>
          <cell r="D1351">
            <v>133</v>
          </cell>
          <cell r="E1351">
            <v>26.65</v>
          </cell>
          <cell r="F1351">
            <v>3544.45</v>
          </cell>
          <cell r="G1351">
            <v>0.09</v>
          </cell>
          <cell r="H1351">
            <v>0</v>
          </cell>
          <cell r="I1351" t="str">
            <v>Canada</v>
          </cell>
          <cell r="J1351" t="str">
            <v>iHerb</v>
          </cell>
        </row>
        <row r="1352">
          <cell r="A1352" t="str">
            <v>16-08-2021</v>
          </cell>
          <cell r="B1352" t="str">
            <v>Creatine</v>
          </cell>
          <cell r="C1352" t="str">
            <v>Performance</v>
          </cell>
          <cell r="D1352">
            <v>153</v>
          </cell>
          <cell r="E1352">
            <v>11.71</v>
          </cell>
          <cell r="F1352">
            <v>1791.63</v>
          </cell>
          <cell r="G1352">
            <v>0.08</v>
          </cell>
          <cell r="H1352">
            <v>3</v>
          </cell>
          <cell r="I1352" t="str">
            <v>UK</v>
          </cell>
          <cell r="J1352" t="str">
            <v>Walmart</v>
          </cell>
        </row>
        <row r="1353">
          <cell r="A1353" t="str">
            <v>16-08-2021</v>
          </cell>
          <cell r="B1353" t="str">
            <v>Zinc</v>
          </cell>
          <cell r="C1353" t="str">
            <v>Mineral</v>
          </cell>
          <cell r="D1353">
            <v>157</v>
          </cell>
          <cell r="E1353">
            <v>44.91</v>
          </cell>
          <cell r="F1353">
            <v>7050.87</v>
          </cell>
          <cell r="G1353">
            <v>0.08</v>
          </cell>
          <cell r="H1353">
            <v>0</v>
          </cell>
          <cell r="I1353" t="str">
            <v>UK</v>
          </cell>
          <cell r="J1353" t="str">
            <v>Amazon</v>
          </cell>
        </row>
        <row r="1354">
          <cell r="A1354" t="str">
            <v>16-08-2021</v>
          </cell>
          <cell r="B1354" t="str">
            <v>Collagen Peptides</v>
          </cell>
          <cell r="C1354" t="str">
            <v>Protein</v>
          </cell>
          <cell r="D1354">
            <v>141</v>
          </cell>
          <cell r="E1354">
            <v>59.02</v>
          </cell>
          <cell r="F1354">
            <v>8321.82</v>
          </cell>
          <cell r="G1354">
            <v>0.12</v>
          </cell>
          <cell r="H1354">
            <v>0</v>
          </cell>
          <cell r="I1354" t="str">
            <v>UK</v>
          </cell>
          <cell r="J1354" t="str">
            <v>Walmart</v>
          </cell>
        </row>
        <row r="1355">
          <cell r="A1355" t="str">
            <v>16-08-2021</v>
          </cell>
          <cell r="B1355" t="str">
            <v>Magnesium</v>
          </cell>
          <cell r="C1355" t="str">
            <v>Mineral</v>
          </cell>
          <cell r="D1355">
            <v>135</v>
          </cell>
          <cell r="E1355">
            <v>38.93</v>
          </cell>
          <cell r="F1355">
            <v>5255.55</v>
          </cell>
          <cell r="G1355">
            <v>0.02</v>
          </cell>
          <cell r="H1355">
            <v>3</v>
          </cell>
          <cell r="I1355" t="str">
            <v>UK</v>
          </cell>
          <cell r="J1355" t="str">
            <v>Amazon</v>
          </cell>
        </row>
        <row r="1356">
          <cell r="A1356" t="str">
            <v>16-08-2021</v>
          </cell>
          <cell r="B1356" t="str">
            <v>Ashwagandha</v>
          </cell>
          <cell r="C1356" t="str">
            <v>Herbal</v>
          </cell>
          <cell r="D1356">
            <v>145</v>
          </cell>
          <cell r="E1356">
            <v>49.03</v>
          </cell>
          <cell r="F1356">
            <v>7109.35</v>
          </cell>
          <cell r="G1356">
            <v>0.19</v>
          </cell>
          <cell r="H1356">
            <v>2</v>
          </cell>
          <cell r="I1356" t="str">
            <v>USA</v>
          </cell>
          <cell r="J1356" t="str">
            <v>iHerb</v>
          </cell>
        </row>
        <row r="1357">
          <cell r="A1357" t="str">
            <v>16-08-2021</v>
          </cell>
          <cell r="B1357" t="str">
            <v>Melatonin</v>
          </cell>
          <cell r="C1357" t="str">
            <v>Sleep Aid</v>
          </cell>
          <cell r="D1357">
            <v>154</v>
          </cell>
          <cell r="E1357">
            <v>41.44</v>
          </cell>
          <cell r="F1357">
            <v>6381.76</v>
          </cell>
          <cell r="G1357">
            <v>0.14000000000000001</v>
          </cell>
          <cell r="H1357">
            <v>5</v>
          </cell>
          <cell r="I1357" t="str">
            <v>USA</v>
          </cell>
          <cell r="J1357" t="str">
            <v>Walmart</v>
          </cell>
        </row>
        <row r="1358">
          <cell r="A1358" t="str">
            <v>16-08-2021</v>
          </cell>
          <cell r="B1358" t="str">
            <v>Biotin</v>
          </cell>
          <cell r="C1358" t="str">
            <v>Vitamin</v>
          </cell>
          <cell r="D1358">
            <v>159</v>
          </cell>
          <cell r="E1358">
            <v>53.62</v>
          </cell>
          <cell r="F1358">
            <v>8525.58</v>
          </cell>
          <cell r="G1358">
            <v>0.05</v>
          </cell>
          <cell r="H1358">
            <v>0</v>
          </cell>
          <cell r="I1358" t="str">
            <v>USA</v>
          </cell>
          <cell r="J1358" t="str">
            <v>iHerb</v>
          </cell>
        </row>
        <row r="1359">
          <cell r="A1359" t="str">
            <v>16-08-2021</v>
          </cell>
          <cell r="B1359" t="str">
            <v>Green Tea Extract</v>
          </cell>
          <cell r="C1359" t="str">
            <v>Fat Burner</v>
          </cell>
          <cell r="D1359">
            <v>149</v>
          </cell>
          <cell r="E1359">
            <v>51.46</v>
          </cell>
          <cell r="F1359">
            <v>7667.54</v>
          </cell>
          <cell r="G1359">
            <v>0.11</v>
          </cell>
          <cell r="H1359">
            <v>2</v>
          </cell>
          <cell r="I1359" t="str">
            <v>Canada</v>
          </cell>
          <cell r="J1359" t="str">
            <v>Amazon</v>
          </cell>
        </row>
        <row r="1360">
          <cell r="A1360" t="str">
            <v>16-08-2021</v>
          </cell>
          <cell r="B1360" t="str">
            <v>Iron Supplement</v>
          </cell>
          <cell r="C1360" t="str">
            <v>Mineral</v>
          </cell>
          <cell r="D1360">
            <v>151</v>
          </cell>
          <cell r="E1360">
            <v>40.76</v>
          </cell>
          <cell r="F1360">
            <v>6154.76</v>
          </cell>
          <cell r="G1360">
            <v>0.21</v>
          </cell>
          <cell r="H1360">
            <v>0</v>
          </cell>
          <cell r="I1360" t="str">
            <v>USA</v>
          </cell>
          <cell r="J1360" t="str">
            <v>Walmart</v>
          </cell>
        </row>
        <row r="1361">
          <cell r="A1361" t="str">
            <v>16-08-2021</v>
          </cell>
          <cell r="B1361" t="str">
            <v>Electrolyte Powder</v>
          </cell>
          <cell r="C1361" t="str">
            <v>Hydration</v>
          </cell>
          <cell r="D1361">
            <v>153</v>
          </cell>
          <cell r="E1361">
            <v>18.21</v>
          </cell>
          <cell r="F1361">
            <v>2786.13</v>
          </cell>
          <cell r="G1361">
            <v>0.03</v>
          </cell>
          <cell r="H1361">
            <v>4</v>
          </cell>
          <cell r="I1361" t="str">
            <v>USA</v>
          </cell>
          <cell r="J1361" t="str">
            <v>Amazon</v>
          </cell>
        </row>
        <row r="1362">
          <cell r="A1362" t="str">
            <v>23-08-2021</v>
          </cell>
          <cell r="B1362" t="str">
            <v>Whey Protein</v>
          </cell>
          <cell r="C1362" t="str">
            <v>Protein</v>
          </cell>
          <cell r="D1362">
            <v>146</v>
          </cell>
          <cell r="E1362">
            <v>18.57</v>
          </cell>
          <cell r="F1362">
            <v>2711.22</v>
          </cell>
          <cell r="G1362">
            <v>0.17</v>
          </cell>
          <cell r="H1362">
            <v>2</v>
          </cell>
          <cell r="I1362" t="str">
            <v>UK</v>
          </cell>
          <cell r="J1362" t="str">
            <v>Walmart</v>
          </cell>
        </row>
        <row r="1363">
          <cell r="A1363" t="str">
            <v>23-08-2021</v>
          </cell>
          <cell r="B1363" t="str">
            <v>Vitamin C</v>
          </cell>
          <cell r="C1363" t="str">
            <v>Vitamin</v>
          </cell>
          <cell r="D1363">
            <v>155</v>
          </cell>
          <cell r="E1363">
            <v>54.68</v>
          </cell>
          <cell r="F1363">
            <v>8475.4</v>
          </cell>
          <cell r="G1363">
            <v>0.1</v>
          </cell>
          <cell r="H1363">
            <v>1</v>
          </cell>
          <cell r="I1363" t="str">
            <v>Canada</v>
          </cell>
          <cell r="J1363" t="str">
            <v>Amazon</v>
          </cell>
        </row>
        <row r="1364">
          <cell r="A1364" t="str">
            <v>23-08-2021</v>
          </cell>
          <cell r="B1364" t="str">
            <v>Fish Oil</v>
          </cell>
          <cell r="C1364" t="str">
            <v>Omega</v>
          </cell>
          <cell r="D1364">
            <v>149</v>
          </cell>
          <cell r="E1364">
            <v>53.18</v>
          </cell>
          <cell r="F1364">
            <v>7923.82</v>
          </cell>
          <cell r="G1364">
            <v>0.23</v>
          </cell>
          <cell r="H1364">
            <v>1</v>
          </cell>
          <cell r="I1364" t="str">
            <v>USA</v>
          </cell>
          <cell r="J1364" t="str">
            <v>Walmart</v>
          </cell>
        </row>
        <row r="1365">
          <cell r="A1365" t="str">
            <v>23-08-2021</v>
          </cell>
          <cell r="B1365" t="str">
            <v>Multivitamin</v>
          </cell>
          <cell r="C1365" t="str">
            <v>Vitamin</v>
          </cell>
          <cell r="D1365">
            <v>165</v>
          </cell>
          <cell r="E1365">
            <v>56.54</v>
          </cell>
          <cell r="F1365">
            <v>9329.1</v>
          </cell>
          <cell r="G1365">
            <v>0.06</v>
          </cell>
          <cell r="H1365">
            <v>2</v>
          </cell>
          <cell r="I1365" t="str">
            <v>USA</v>
          </cell>
          <cell r="J1365" t="str">
            <v>iHerb</v>
          </cell>
        </row>
        <row r="1366">
          <cell r="A1366" t="str">
            <v>23-08-2021</v>
          </cell>
          <cell r="B1366" t="str">
            <v>Pre-Workout</v>
          </cell>
          <cell r="C1366" t="str">
            <v>Performance</v>
          </cell>
          <cell r="D1366">
            <v>142</v>
          </cell>
          <cell r="E1366">
            <v>10.27</v>
          </cell>
          <cell r="F1366">
            <v>1458.34</v>
          </cell>
          <cell r="G1366">
            <v>0.14000000000000001</v>
          </cell>
          <cell r="H1366">
            <v>1</v>
          </cell>
          <cell r="I1366" t="str">
            <v>UK</v>
          </cell>
          <cell r="J1366" t="str">
            <v>Amazon</v>
          </cell>
        </row>
        <row r="1367">
          <cell r="A1367" t="str">
            <v>23-08-2021</v>
          </cell>
          <cell r="B1367" t="str">
            <v>BCAA</v>
          </cell>
          <cell r="C1367" t="str">
            <v>Amino Acid</v>
          </cell>
          <cell r="D1367">
            <v>143</v>
          </cell>
          <cell r="E1367">
            <v>52.57</v>
          </cell>
          <cell r="F1367">
            <v>7517.51</v>
          </cell>
          <cell r="G1367">
            <v>0.15</v>
          </cell>
          <cell r="H1367">
            <v>3</v>
          </cell>
          <cell r="I1367" t="str">
            <v>USA</v>
          </cell>
          <cell r="J1367" t="str">
            <v>Walmart</v>
          </cell>
        </row>
        <row r="1368">
          <cell r="A1368" t="str">
            <v>23-08-2021</v>
          </cell>
          <cell r="B1368" t="str">
            <v>Creatine</v>
          </cell>
          <cell r="C1368" t="str">
            <v>Performance</v>
          </cell>
          <cell r="D1368">
            <v>141</v>
          </cell>
          <cell r="E1368">
            <v>32.53</v>
          </cell>
          <cell r="F1368">
            <v>4586.7299999999996</v>
          </cell>
          <cell r="G1368">
            <v>0</v>
          </cell>
          <cell r="H1368">
            <v>1</v>
          </cell>
          <cell r="I1368" t="str">
            <v>Canada</v>
          </cell>
          <cell r="J1368" t="str">
            <v>Walmart</v>
          </cell>
        </row>
        <row r="1369">
          <cell r="A1369" t="str">
            <v>23-08-2021</v>
          </cell>
          <cell r="B1369" t="str">
            <v>Zinc</v>
          </cell>
          <cell r="C1369" t="str">
            <v>Mineral</v>
          </cell>
          <cell r="D1369">
            <v>156</v>
          </cell>
          <cell r="E1369">
            <v>46.81</v>
          </cell>
          <cell r="F1369">
            <v>7302.36</v>
          </cell>
          <cell r="G1369">
            <v>0.14000000000000001</v>
          </cell>
          <cell r="H1369">
            <v>0</v>
          </cell>
          <cell r="I1369" t="str">
            <v>USA</v>
          </cell>
          <cell r="J1369" t="str">
            <v>Walmart</v>
          </cell>
        </row>
        <row r="1370">
          <cell r="A1370" t="str">
            <v>23-08-2021</v>
          </cell>
          <cell r="B1370" t="str">
            <v>Collagen Peptides</v>
          </cell>
          <cell r="C1370" t="str">
            <v>Protein</v>
          </cell>
          <cell r="D1370">
            <v>133</v>
          </cell>
          <cell r="E1370">
            <v>23.75</v>
          </cell>
          <cell r="F1370">
            <v>3158.75</v>
          </cell>
          <cell r="G1370">
            <v>0.02</v>
          </cell>
          <cell r="H1370">
            <v>1</v>
          </cell>
          <cell r="I1370" t="str">
            <v>Canada</v>
          </cell>
          <cell r="J1370" t="str">
            <v>Amazon</v>
          </cell>
        </row>
        <row r="1371">
          <cell r="A1371" t="str">
            <v>23-08-2021</v>
          </cell>
          <cell r="B1371" t="str">
            <v>Magnesium</v>
          </cell>
          <cell r="C1371" t="str">
            <v>Mineral</v>
          </cell>
          <cell r="D1371">
            <v>152</v>
          </cell>
          <cell r="E1371">
            <v>46.02</v>
          </cell>
          <cell r="F1371">
            <v>6995.04</v>
          </cell>
          <cell r="G1371">
            <v>0.16</v>
          </cell>
          <cell r="H1371">
            <v>1</v>
          </cell>
          <cell r="I1371" t="str">
            <v>USA</v>
          </cell>
          <cell r="J1371" t="str">
            <v>iHerb</v>
          </cell>
        </row>
        <row r="1372">
          <cell r="A1372" t="str">
            <v>23-08-2021</v>
          </cell>
          <cell r="B1372" t="str">
            <v>Ashwagandha</v>
          </cell>
          <cell r="C1372" t="str">
            <v>Herbal</v>
          </cell>
          <cell r="D1372">
            <v>160</v>
          </cell>
          <cell r="E1372">
            <v>41.87</v>
          </cell>
          <cell r="F1372">
            <v>6699.2</v>
          </cell>
          <cell r="G1372">
            <v>0.14000000000000001</v>
          </cell>
          <cell r="H1372">
            <v>0</v>
          </cell>
          <cell r="I1372" t="str">
            <v>Canada</v>
          </cell>
          <cell r="J1372" t="str">
            <v>Walmart</v>
          </cell>
        </row>
        <row r="1373">
          <cell r="A1373" t="str">
            <v>23-08-2021</v>
          </cell>
          <cell r="B1373" t="str">
            <v>Melatonin</v>
          </cell>
          <cell r="C1373" t="str">
            <v>Sleep Aid</v>
          </cell>
          <cell r="D1373">
            <v>157</v>
          </cell>
          <cell r="E1373">
            <v>57.13</v>
          </cell>
          <cell r="F1373">
            <v>8969.41</v>
          </cell>
          <cell r="G1373">
            <v>0.2</v>
          </cell>
          <cell r="H1373">
            <v>2</v>
          </cell>
          <cell r="I1373" t="str">
            <v>USA</v>
          </cell>
          <cell r="J1373" t="str">
            <v>Amazon</v>
          </cell>
        </row>
        <row r="1374">
          <cell r="A1374" t="str">
            <v>23-08-2021</v>
          </cell>
          <cell r="B1374" t="str">
            <v>Biotin</v>
          </cell>
          <cell r="C1374" t="str">
            <v>Vitamin</v>
          </cell>
          <cell r="D1374">
            <v>141</v>
          </cell>
          <cell r="E1374">
            <v>27.02</v>
          </cell>
          <cell r="F1374">
            <v>3809.82</v>
          </cell>
          <cell r="G1374">
            <v>0.12</v>
          </cell>
          <cell r="H1374">
            <v>1</v>
          </cell>
          <cell r="I1374" t="str">
            <v>UK</v>
          </cell>
          <cell r="J1374" t="str">
            <v>Amazon</v>
          </cell>
        </row>
        <row r="1375">
          <cell r="A1375" t="str">
            <v>23-08-2021</v>
          </cell>
          <cell r="B1375" t="str">
            <v>Green Tea Extract</v>
          </cell>
          <cell r="C1375" t="str">
            <v>Fat Burner</v>
          </cell>
          <cell r="D1375">
            <v>150</v>
          </cell>
          <cell r="E1375">
            <v>58.89</v>
          </cell>
          <cell r="F1375">
            <v>8833.5</v>
          </cell>
          <cell r="G1375">
            <v>0.03</v>
          </cell>
          <cell r="H1375">
            <v>3</v>
          </cell>
          <cell r="I1375" t="str">
            <v>Canada</v>
          </cell>
          <cell r="J1375" t="str">
            <v>iHerb</v>
          </cell>
        </row>
        <row r="1376">
          <cell r="A1376" t="str">
            <v>23-08-2021</v>
          </cell>
          <cell r="B1376" t="str">
            <v>Iron Supplement</v>
          </cell>
          <cell r="C1376" t="str">
            <v>Mineral</v>
          </cell>
          <cell r="D1376">
            <v>170</v>
          </cell>
          <cell r="E1376">
            <v>46.25</v>
          </cell>
          <cell r="F1376">
            <v>7862.5</v>
          </cell>
          <cell r="G1376">
            <v>0.11</v>
          </cell>
          <cell r="H1376">
            <v>2</v>
          </cell>
          <cell r="I1376" t="str">
            <v>USA</v>
          </cell>
          <cell r="J1376" t="str">
            <v>Amazon</v>
          </cell>
        </row>
        <row r="1377">
          <cell r="A1377" t="str">
            <v>23-08-2021</v>
          </cell>
          <cell r="B1377" t="str">
            <v>Electrolyte Powder</v>
          </cell>
          <cell r="C1377" t="str">
            <v>Hydration</v>
          </cell>
          <cell r="D1377">
            <v>144</v>
          </cell>
          <cell r="E1377">
            <v>38.909999999999997</v>
          </cell>
          <cell r="F1377">
            <v>5603.04</v>
          </cell>
          <cell r="G1377">
            <v>0.12</v>
          </cell>
          <cell r="H1377">
            <v>2</v>
          </cell>
          <cell r="I1377" t="str">
            <v>Canada</v>
          </cell>
          <cell r="J1377" t="str">
            <v>Amazon</v>
          </cell>
        </row>
        <row r="1378">
          <cell r="A1378" t="str">
            <v>30-08-2021</v>
          </cell>
          <cell r="B1378" t="str">
            <v>Whey Protein</v>
          </cell>
          <cell r="C1378" t="str">
            <v>Protein</v>
          </cell>
          <cell r="D1378">
            <v>142</v>
          </cell>
          <cell r="E1378">
            <v>14.19</v>
          </cell>
          <cell r="F1378">
            <v>2014.98</v>
          </cell>
          <cell r="G1378">
            <v>0.01</v>
          </cell>
          <cell r="H1378">
            <v>1</v>
          </cell>
          <cell r="I1378" t="str">
            <v>USA</v>
          </cell>
          <cell r="J1378" t="str">
            <v>Walmart</v>
          </cell>
        </row>
        <row r="1379">
          <cell r="A1379" t="str">
            <v>30-08-2021</v>
          </cell>
          <cell r="B1379" t="str">
            <v>Vitamin C</v>
          </cell>
          <cell r="C1379" t="str">
            <v>Vitamin</v>
          </cell>
          <cell r="D1379">
            <v>128</v>
          </cell>
          <cell r="E1379">
            <v>50.65</v>
          </cell>
          <cell r="F1379">
            <v>6483.2</v>
          </cell>
          <cell r="G1379">
            <v>0.01</v>
          </cell>
          <cell r="H1379">
            <v>2</v>
          </cell>
          <cell r="I1379" t="str">
            <v>UK</v>
          </cell>
          <cell r="J1379" t="str">
            <v>Amazon</v>
          </cell>
        </row>
        <row r="1380">
          <cell r="A1380" t="str">
            <v>30-08-2021</v>
          </cell>
          <cell r="B1380" t="str">
            <v>Fish Oil</v>
          </cell>
          <cell r="C1380" t="str">
            <v>Omega</v>
          </cell>
          <cell r="D1380">
            <v>141</v>
          </cell>
          <cell r="E1380">
            <v>34.25</v>
          </cell>
          <cell r="F1380">
            <v>4829.25</v>
          </cell>
          <cell r="G1380">
            <v>0.08</v>
          </cell>
          <cell r="H1380">
            <v>1</v>
          </cell>
          <cell r="I1380" t="str">
            <v>Canada</v>
          </cell>
          <cell r="J1380" t="str">
            <v>Walmart</v>
          </cell>
        </row>
        <row r="1381">
          <cell r="A1381" t="str">
            <v>30-08-2021</v>
          </cell>
          <cell r="B1381" t="str">
            <v>Multivitamin</v>
          </cell>
          <cell r="C1381" t="str">
            <v>Vitamin</v>
          </cell>
          <cell r="D1381">
            <v>146</v>
          </cell>
          <cell r="E1381">
            <v>15.73</v>
          </cell>
          <cell r="F1381">
            <v>2296.58</v>
          </cell>
          <cell r="G1381">
            <v>0.25</v>
          </cell>
          <cell r="H1381">
            <v>1</v>
          </cell>
          <cell r="I1381" t="str">
            <v>Canada</v>
          </cell>
          <cell r="J1381" t="str">
            <v>Amazon</v>
          </cell>
        </row>
        <row r="1382">
          <cell r="A1382" t="str">
            <v>30-08-2021</v>
          </cell>
          <cell r="B1382" t="str">
            <v>Pre-Workout</v>
          </cell>
          <cell r="C1382" t="str">
            <v>Performance</v>
          </cell>
          <cell r="D1382">
            <v>144</v>
          </cell>
          <cell r="E1382">
            <v>28.19</v>
          </cell>
          <cell r="F1382">
            <v>4059.36</v>
          </cell>
          <cell r="G1382">
            <v>0.21</v>
          </cell>
          <cell r="H1382">
            <v>1</v>
          </cell>
          <cell r="I1382" t="str">
            <v>USA</v>
          </cell>
          <cell r="J1382" t="str">
            <v>iHerb</v>
          </cell>
        </row>
        <row r="1383">
          <cell r="A1383" t="str">
            <v>30-08-2021</v>
          </cell>
          <cell r="B1383" t="str">
            <v>BCAA</v>
          </cell>
          <cell r="C1383" t="str">
            <v>Amino Acid</v>
          </cell>
          <cell r="D1383">
            <v>158</v>
          </cell>
          <cell r="E1383">
            <v>52.31</v>
          </cell>
          <cell r="F1383">
            <v>8264.98</v>
          </cell>
          <cell r="G1383">
            <v>0.18</v>
          </cell>
          <cell r="H1383">
            <v>1</v>
          </cell>
          <cell r="I1383" t="str">
            <v>UK</v>
          </cell>
          <cell r="J1383" t="str">
            <v>Walmart</v>
          </cell>
        </row>
        <row r="1384">
          <cell r="A1384" t="str">
            <v>30-08-2021</v>
          </cell>
          <cell r="B1384" t="str">
            <v>Creatine</v>
          </cell>
          <cell r="C1384" t="str">
            <v>Performance</v>
          </cell>
          <cell r="D1384">
            <v>135</v>
          </cell>
          <cell r="E1384">
            <v>58.8</v>
          </cell>
          <cell r="F1384">
            <v>7938</v>
          </cell>
          <cell r="G1384">
            <v>0.06</v>
          </cell>
          <cell r="H1384">
            <v>1</v>
          </cell>
          <cell r="I1384" t="str">
            <v>Canada</v>
          </cell>
          <cell r="J1384" t="str">
            <v>iHerb</v>
          </cell>
        </row>
        <row r="1385">
          <cell r="A1385" t="str">
            <v>30-08-2021</v>
          </cell>
          <cell r="B1385" t="str">
            <v>Zinc</v>
          </cell>
          <cell r="C1385" t="str">
            <v>Mineral</v>
          </cell>
          <cell r="D1385">
            <v>152</v>
          </cell>
          <cell r="E1385">
            <v>35.840000000000003</v>
          </cell>
          <cell r="F1385">
            <v>5447.68</v>
          </cell>
          <cell r="G1385">
            <v>0.2</v>
          </cell>
          <cell r="H1385">
            <v>1</v>
          </cell>
          <cell r="I1385" t="str">
            <v>USA</v>
          </cell>
          <cell r="J1385" t="str">
            <v>Walmart</v>
          </cell>
        </row>
        <row r="1386">
          <cell r="A1386" t="str">
            <v>30-08-2021</v>
          </cell>
          <cell r="B1386" t="str">
            <v>Collagen Peptides</v>
          </cell>
          <cell r="C1386" t="str">
            <v>Protein</v>
          </cell>
          <cell r="D1386">
            <v>119</v>
          </cell>
          <cell r="E1386">
            <v>38.78</v>
          </cell>
          <cell r="F1386">
            <v>4614.82</v>
          </cell>
          <cell r="G1386">
            <v>0.24</v>
          </cell>
          <cell r="H1386">
            <v>2</v>
          </cell>
          <cell r="I1386" t="str">
            <v>Canada</v>
          </cell>
          <cell r="J1386" t="str">
            <v>Walmart</v>
          </cell>
        </row>
        <row r="1387">
          <cell r="A1387" t="str">
            <v>30-08-2021</v>
          </cell>
          <cell r="B1387" t="str">
            <v>Magnesium</v>
          </cell>
          <cell r="C1387" t="str">
            <v>Mineral</v>
          </cell>
          <cell r="D1387">
            <v>140</v>
          </cell>
          <cell r="E1387">
            <v>20.059999999999999</v>
          </cell>
          <cell r="F1387">
            <v>2808.4</v>
          </cell>
          <cell r="G1387">
            <v>0.23</v>
          </cell>
          <cell r="H1387">
            <v>3</v>
          </cell>
          <cell r="I1387" t="str">
            <v>UK</v>
          </cell>
          <cell r="J1387" t="str">
            <v>Walmart</v>
          </cell>
        </row>
        <row r="1388">
          <cell r="A1388" t="str">
            <v>30-08-2021</v>
          </cell>
          <cell r="B1388" t="str">
            <v>Ashwagandha</v>
          </cell>
          <cell r="C1388" t="str">
            <v>Herbal</v>
          </cell>
          <cell r="D1388">
            <v>160</v>
          </cell>
          <cell r="E1388">
            <v>35.22</v>
          </cell>
          <cell r="F1388">
            <v>5635.2</v>
          </cell>
          <cell r="G1388">
            <v>0.12</v>
          </cell>
          <cell r="H1388">
            <v>1</v>
          </cell>
          <cell r="I1388" t="str">
            <v>Canada</v>
          </cell>
          <cell r="J1388" t="str">
            <v>iHerb</v>
          </cell>
        </row>
        <row r="1389">
          <cell r="A1389" t="str">
            <v>30-08-2021</v>
          </cell>
          <cell r="B1389" t="str">
            <v>Melatonin</v>
          </cell>
          <cell r="C1389" t="str">
            <v>Sleep Aid</v>
          </cell>
          <cell r="D1389">
            <v>150</v>
          </cell>
          <cell r="E1389">
            <v>16.59</v>
          </cell>
          <cell r="F1389">
            <v>2488.5</v>
          </cell>
          <cell r="G1389">
            <v>0.22</v>
          </cell>
          <cell r="H1389">
            <v>2</v>
          </cell>
          <cell r="I1389" t="str">
            <v>UK</v>
          </cell>
          <cell r="J1389" t="str">
            <v>iHerb</v>
          </cell>
        </row>
        <row r="1390">
          <cell r="A1390" t="str">
            <v>30-08-2021</v>
          </cell>
          <cell r="B1390" t="str">
            <v>Biotin</v>
          </cell>
          <cell r="C1390" t="str">
            <v>Vitamin</v>
          </cell>
          <cell r="D1390">
            <v>147</v>
          </cell>
          <cell r="E1390">
            <v>28.5</v>
          </cell>
          <cell r="F1390">
            <v>4189.5</v>
          </cell>
          <cell r="G1390">
            <v>0.19</v>
          </cell>
          <cell r="H1390">
            <v>2</v>
          </cell>
          <cell r="I1390" t="str">
            <v>UK</v>
          </cell>
          <cell r="J1390" t="str">
            <v>Walmart</v>
          </cell>
        </row>
        <row r="1391">
          <cell r="A1391" t="str">
            <v>30-08-2021</v>
          </cell>
          <cell r="B1391" t="str">
            <v>Green Tea Extract</v>
          </cell>
          <cell r="C1391" t="str">
            <v>Fat Burner</v>
          </cell>
          <cell r="D1391">
            <v>160</v>
          </cell>
          <cell r="E1391">
            <v>20.23</v>
          </cell>
          <cell r="F1391">
            <v>3236.8</v>
          </cell>
          <cell r="G1391">
            <v>0.08</v>
          </cell>
          <cell r="H1391">
            <v>1</v>
          </cell>
          <cell r="I1391" t="str">
            <v>UK</v>
          </cell>
          <cell r="J1391" t="str">
            <v>iHerb</v>
          </cell>
        </row>
        <row r="1392">
          <cell r="A1392" t="str">
            <v>30-08-2021</v>
          </cell>
          <cell r="B1392" t="str">
            <v>Iron Supplement</v>
          </cell>
          <cell r="C1392" t="str">
            <v>Mineral</v>
          </cell>
          <cell r="D1392">
            <v>144</v>
          </cell>
          <cell r="E1392">
            <v>26.47</v>
          </cell>
          <cell r="F1392">
            <v>3811.68</v>
          </cell>
          <cell r="G1392">
            <v>0.03</v>
          </cell>
          <cell r="H1392">
            <v>1</v>
          </cell>
          <cell r="I1392" t="str">
            <v>Canada</v>
          </cell>
          <cell r="J1392" t="str">
            <v>iHerb</v>
          </cell>
        </row>
        <row r="1393">
          <cell r="A1393" t="str">
            <v>30-08-2021</v>
          </cell>
          <cell r="B1393" t="str">
            <v>Electrolyte Powder</v>
          </cell>
          <cell r="C1393" t="str">
            <v>Hydration</v>
          </cell>
          <cell r="D1393">
            <v>154</v>
          </cell>
          <cell r="E1393">
            <v>13.55</v>
          </cell>
          <cell r="F1393">
            <v>2086.6999999999998</v>
          </cell>
          <cell r="G1393">
            <v>0.12</v>
          </cell>
          <cell r="H1393">
            <v>2</v>
          </cell>
          <cell r="I1393" t="str">
            <v>USA</v>
          </cell>
          <cell r="J1393" t="str">
            <v>Walmart</v>
          </cell>
        </row>
        <row r="1394">
          <cell r="A1394" t="str">
            <v>06-09-2021</v>
          </cell>
          <cell r="B1394" t="str">
            <v>Whey Protein</v>
          </cell>
          <cell r="C1394" t="str">
            <v>Protein</v>
          </cell>
          <cell r="D1394">
            <v>150</v>
          </cell>
          <cell r="E1394">
            <v>24.45</v>
          </cell>
          <cell r="F1394">
            <v>3667.5</v>
          </cell>
          <cell r="G1394">
            <v>0.02</v>
          </cell>
          <cell r="H1394">
            <v>4</v>
          </cell>
          <cell r="I1394" t="str">
            <v>Canada</v>
          </cell>
          <cell r="J1394" t="str">
            <v>iHerb</v>
          </cell>
        </row>
        <row r="1395">
          <cell r="A1395" t="str">
            <v>06-09-2021</v>
          </cell>
          <cell r="B1395" t="str">
            <v>Vitamin C</v>
          </cell>
          <cell r="C1395" t="str">
            <v>Vitamin</v>
          </cell>
          <cell r="D1395">
            <v>146</v>
          </cell>
          <cell r="E1395">
            <v>49.6</v>
          </cell>
          <cell r="F1395">
            <v>7241.6</v>
          </cell>
          <cell r="G1395">
            <v>0.08</v>
          </cell>
          <cell r="H1395">
            <v>2</v>
          </cell>
          <cell r="I1395" t="str">
            <v>USA</v>
          </cell>
          <cell r="J1395" t="str">
            <v>iHerb</v>
          </cell>
        </row>
        <row r="1396">
          <cell r="A1396" t="str">
            <v>06-09-2021</v>
          </cell>
          <cell r="B1396" t="str">
            <v>Fish Oil</v>
          </cell>
          <cell r="C1396" t="str">
            <v>Omega</v>
          </cell>
          <cell r="D1396">
            <v>134</v>
          </cell>
          <cell r="E1396">
            <v>17.239999999999998</v>
          </cell>
          <cell r="F1396">
            <v>2310.16</v>
          </cell>
          <cell r="G1396">
            <v>0.2</v>
          </cell>
          <cell r="H1396">
            <v>0</v>
          </cell>
          <cell r="I1396" t="str">
            <v>Canada</v>
          </cell>
          <cell r="J1396" t="str">
            <v>iHerb</v>
          </cell>
        </row>
        <row r="1397">
          <cell r="A1397" t="str">
            <v>06-09-2021</v>
          </cell>
          <cell r="B1397" t="str">
            <v>Multivitamin</v>
          </cell>
          <cell r="C1397" t="str">
            <v>Vitamin</v>
          </cell>
          <cell r="D1397">
            <v>151</v>
          </cell>
          <cell r="E1397">
            <v>33.049999999999997</v>
          </cell>
          <cell r="F1397">
            <v>4990.55</v>
          </cell>
          <cell r="G1397">
            <v>0.08</v>
          </cell>
          <cell r="H1397">
            <v>1</v>
          </cell>
          <cell r="I1397" t="str">
            <v>USA</v>
          </cell>
          <cell r="J1397" t="str">
            <v>Amazon</v>
          </cell>
        </row>
        <row r="1398">
          <cell r="A1398" t="str">
            <v>06-09-2021</v>
          </cell>
          <cell r="B1398" t="str">
            <v>Pre-Workout</v>
          </cell>
          <cell r="C1398" t="str">
            <v>Performance</v>
          </cell>
          <cell r="D1398">
            <v>174</v>
          </cell>
          <cell r="E1398">
            <v>54.46</v>
          </cell>
          <cell r="F1398">
            <v>9476.0400000000009</v>
          </cell>
          <cell r="G1398">
            <v>0.12</v>
          </cell>
          <cell r="H1398">
            <v>2</v>
          </cell>
          <cell r="I1398" t="str">
            <v>Canada</v>
          </cell>
          <cell r="J1398" t="str">
            <v>Amazon</v>
          </cell>
        </row>
        <row r="1399">
          <cell r="A1399" t="str">
            <v>06-09-2021</v>
          </cell>
          <cell r="B1399" t="str">
            <v>BCAA</v>
          </cell>
          <cell r="C1399" t="str">
            <v>Amino Acid</v>
          </cell>
          <cell r="D1399">
            <v>168</v>
          </cell>
          <cell r="E1399">
            <v>58.09</v>
          </cell>
          <cell r="F1399">
            <v>9759.1200000000008</v>
          </cell>
          <cell r="G1399">
            <v>0.1</v>
          </cell>
          <cell r="H1399">
            <v>2</v>
          </cell>
          <cell r="I1399" t="str">
            <v>USA</v>
          </cell>
          <cell r="J1399" t="str">
            <v>Amazon</v>
          </cell>
        </row>
        <row r="1400">
          <cell r="A1400" t="str">
            <v>06-09-2021</v>
          </cell>
          <cell r="B1400" t="str">
            <v>Creatine</v>
          </cell>
          <cell r="C1400" t="str">
            <v>Performance</v>
          </cell>
          <cell r="D1400">
            <v>140</v>
          </cell>
          <cell r="E1400">
            <v>36.04</v>
          </cell>
          <cell r="F1400">
            <v>5045.6000000000004</v>
          </cell>
          <cell r="G1400">
            <v>7.0000000000000007E-2</v>
          </cell>
          <cell r="H1400">
            <v>2</v>
          </cell>
          <cell r="I1400" t="str">
            <v>UK</v>
          </cell>
          <cell r="J1400" t="str">
            <v>Amazon</v>
          </cell>
        </row>
        <row r="1401">
          <cell r="A1401" t="str">
            <v>06-09-2021</v>
          </cell>
          <cell r="B1401" t="str">
            <v>Zinc</v>
          </cell>
          <cell r="C1401" t="str">
            <v>Mineral</v>
          </cell>
          <cell r="D1401">
            <v>152</v>
          </cell>
          <cell r="E1401">
            <v>26.15</v>
          </cell>
          <cell r="F1401">
            <v>3974.8</v>
          </cell>
          <cell r="G1401">
            <v>0.12</v>
          </cell>
          <cell r="H1401">
            <v>2</v>
          </cell>
          <cell r="I1401" t="str">
            <v>Canada</v>
          </cell>
          <cell r="J1401" t="str">
            <v>iHerb</v>
          </cell>
        </row>
        <row r="1402">
          <cell r="A1402" t="str">
            <v>06-09-2021</v>
          </cell>
          <cell r="B1402" t="str">
            <v>Collagen Peptides</v>
          </cell>
          <cell r="C1402" t="str">
            <v>Protein</v>
          </cell>
          <cell r="D1402">
            <v>147</v>
          </cell>
          <cell r="E1402">
            <v>58.08</v>
          </cell>
          <cell r="F1402">
            <v>8537.76</v>
          </cell>
          <cell r="G1402">
            <v>0.13</v>
          </cell>
          <cell r="H1402">
            <v>2</v>
          </cell>
          <cell r="I1402" t="str">
            <v>Canada</v>
          </cell>
          <cell r="J1402" t="str">
            <v>Amazon</v>
          </cell>
        </row>
        <row r="1403">
          <cell r="A1403" t="str">
            <v>06-09-2021</v>
          </cell>
          <cell r="B1403" t="str">
            <v>Magnesium</v>
          </cell>
          <cell r="C1403" t="str">
            <v>Mineral</v>
          </cell>
          <cell r="D1403">
            <v>147</v>
          </cell>
          <cell r="E1403">
            <v>30.36</v>
          </cell>
          <cell r="F1403">
            <v>4462.92</v>
          </cell>
          <cell r="G1403">
            <v>0.1</v>
          </cell>
          <cell r="H1403">
            <v>1</v>
          </cell>
          <cell r="I1403" t="str">
            <v>Canada</v>
          </cell>
          <cell r="J1403" t="str">
            <v>Walmart</v>
          </cell>
        </row>
        <row r="1404">
          <cell r="A1404" t="str">
            <v>06-09-2021</v>
          </cell>
          <cell r="B1404" t="str">
            <v>Ashwagandha</v>
          </cell>
          <cell r="C1404" t="str">
            <v>Herbal</v>
          </cell>
          <cell r="D1404">
            <v>151</v>
          </cell>
          <cell r="E1404">
            <v>16.739999999999998</v>
          </cell>
          <cell r="F1404">
            <v>2527.7399999999998</v>
          </cell>
          <cell r="G1404">
            <v>0.12</v>
          </cell>
          <cell r="H1404">
            <v>0</v>
          </cell>
          <cell r="I1404" t="str">
            <v>USA</v>
          </cell>
          <cell r="J1404" t="str">
            <v>Amazon</v>
          </cell>
        </row>
        <row r="1405">
          <cell r="A1405" t="str">
            <v>06-09-2021</v>
          </cell>
          <cell r="B1405" t="str">
            <v>Melatonin</v>
          </cell>
          <cell r="C1405" t="str">
            <v>Sleep Aid</v>
          </cell>
          <cell r="D1405">
            <v>134</v>
          </cell>
          <cell r="E1405">
            <v>40.25</v>
          </cell>
          <cell r="F1405">
            <v>5393.5</v>
          </cell>
          <cell r="G1405">
            <v>0.16</v>
          </cell>
          <cell r="H1405">
            <v>1</v>
          </cell>
          <cell r="I1405" t="str">
            <v>UK</v>
          </cell>
          <cell r="J1405" t="str">
            <v>Amazon</v>
          </cell>
        </row>
        <row r="1406">
          <cell r="A1406" t="str">
            <v>06-09-2021</v>
          </cell>
          <cell r="B1406" t="str">
            <v>Biotin</v>
          </cell>
          <cell r="C1406" t="str">
            <v>Vitamin</v>
          </cell>
          <cell r="D1406">
            <v>170</v>
          </cell>
          <cell r="E1406">
            <v>48.46</v>
          </cell>
          <cell r="F1406">
            <v>8238.2000000000007</v>
          </cell>
          <cell r="G1406">
            <v>0.09</v>
          </cell>
          <cell r="H1406">
            <v>4</v>
          </cell>
          <cell r="I1406" t="str">
            <v>Canada</v>
          </cell>
          <cell r="J1406" t="str">
            <v>iHerb</v>
          </cell>
        </row>
        <row r="1407">
          <cell r="A1407" t="str">
            <v>06-09-2021</v>
          </cell>
          <cell r="B1407" t="str">
            <v>Green Tea Extract</v>
          </cell>
          <cell r="C1407" t="str">
            <v>Fat Burner</v>
          </cell>
          <cell r="D1407">
            <v>137</v>
          </cell>
          <cell r="E1407">
            <v>24.28</v>
          </cell>
          <cell r="F1407">
            <v>3326.36</v>
          </cell>
          <cell r="G1407">
            <v>7.0000000000000007E-2</v>
          </cell>
          <cell r="H1407">
            <v>3</v>
          </cell>
          <cell r="I1407" t="str">
            <v>UK</v>
          </cell>
          <cell r="J1407" t="str">
            <v>Walmart</v>
          </cell>
        </row>
        <row r="1408">
          <cell r="A1408" t="str">
            <v>06-09-2021</v>
          </cell>
          <cell r="B1408" t="str">
            <v>Iron Supplement</v>
          </cell>
          <cell r="C1408" t="str">
            <v>Mineral</v>
          </cell>
          <cell r="D1408">
            <v>113</v>
          </cell>
          <cell r="E1408">
            <v>23.7</v>
          </cell>
          <cell r="F1408">
            <v>2678.1</v>
          </cell>
          <cell r="G1408">
            <v>0.05</v>
          </cell>
          <cell r="H1408">
            <v>0</v>
          </cell>
          <cell r="I1408" t="str">
            <v>Canada</v>
          </cell>
          <cell r="J1408" t="str">
            <v>iHerb</v>
          </cell>
        </row>
        <row r="1409">
          <cell r="A1409" t="str">
            <v>06-09-2021</v>
          </cell>
          <cell r="B1409" t="str">
            <v>Electrolyte Powder</v>
          </cell>
          <cell r="C1409" t="str">
            <v>Hydration</v>
          </cell>
          <cell r="D1409">
            <v>162</v>
          </cell>
          <cell r="E1409">
            <v>10.29</v>
          </cell>
          <cell r="F1409">
            <v>1666.98</v>
          </cell>
          <cell r="G1409">
            <v>0.11</v>
          </cell>
          <cell r="H1409">
            <v>1</v>
          </cell>
          <cell r="I1409" t="str">
            <v>Canada</v>
          </cell>
          <cell r="J1409" t="str">
            <v>Walmart</v>
          </cell>
        </row>
        <row r="1410">
          <cell r="A1410" t="str">
            <v>13-09-2021</v>
          </cell>
          <cell r="B1410" t="str">
            <v>Whey Protein</v>
          </cell>
          <cell r="C1410" t="str">
            <v>Protein</v>
          </cell>
          <cell r="D1410">
            <v>133</v>
          </cell>
          <cell r="E1410">
            <v>45.1</v>
          </cell>
          <cell r="F1410">
            <v>5998.3</v>
          </cell>
          <cell r="G1410">
            <v>0.18</v>
          </cell>
          <cell r="H1410">
            <v>2</v>
          </cell>
          <cell r="I1410" t="str">
            <v>Canada</v>
          </cell>
          <cell r="J1410" t="str">
            <v>iHerb</v>
          </cell>
        </row>
        <row r="1411">
          <cell r="A1411" t="str">
            <v>13-09-2021</v>
          </cell>
          <cell r="B1411" t="str">
            <v>Vitamin C</v>
          </cell>
          <cell r="C1411" t="str">
            <v>Vitamin</v>
          </cell>
          <cell r="D1411">
            <v>162</v>
          </cell>
          <cell r="E1411">
            <v>14.66</v>
          </cell>
          <cell r="F1411">
            <v>2374.92</v>
          </cell>
          <cell r="G1411">
            <v>0.18</v>
          </cell>
          <cell r="H1411">
            <v>4</v>
          </cell>
          <cell r="I1411" t="str">
            <v>Canada</v>
          </cell>
          <cell r="J1411" t="str">
            <v>Amazon</v>
          </cell>
        </row>
        <row r="1412">
          <cell r="A1412" t="str">
            <v>13-09-2021</v>
          </cell>
          <cell r="B1412" t="str">
            <v>Fish Oil</v>
          </cell>
          <cell r="C1412" t="str">
            <v>Omega</v>
          </cell>
          <cell r="D1412">
            <v>156</v>
          </cell>
          <cell r="E1412">
            <v>57.28</v>
          </cell>
          <cell r="F1412">
            <v>8935.68</v>
          </cell>
          <cell r="G1412">
            <v>0.11</v>
          </cell>
          <cell r="H1412">
            <v>2</v>
          </cell>
          <cell r="I1412" t="str">
            <v>Canada</v>
          </cell>
          <cell r="J1412" t="str">
            <v>Amazon</v>
          </cell>
        </row>
        <row r="1413">
          <cell r="A1413" t="str">
            <v>13-09-2021</v>
          </cell>
          <cell r="B1413" t="str">
            <v>Multivitamin</v>
          </cell>
          <cell r="C1413" t="str">
            <v>Vitamin</v>
          </cell>
          <cell r="D1413">
            <v>149</v>
          </cell>
          <cell r="E1413">
            <v>13.8</v>
          </cell>
          <cell r="F1413">
            <v>2056.1999999999998</v>
          </cell>
          <cell r="G1413">
            <v>0.13</v>
          </cell>
          <cell r="H1413">
            <v>2</v>
          </cell>
          <cell r="I1413" t="str">
            <v>UK</v>
          </cell>
          <cell r="J1413" t="str">
            <v>Walmart</v>
          </cell>
        </row>
        <row r="1414">
          <cell r="A1414" t="str">
            <v>13-09-2021</v>
          </cell>
          <cell r="B1414" t="str">
            <v>Pre-Workout</v>
          </cell>
          <cell r="C1414" t="str">
            <v>Performance</v>
          </cell>
          <cell r="D1414">
            <v>161</v>
          </cell>
          <cell r="E1414">
            <v>55.45</v>
          </cell>
          <cell r="F1414">
            <v>8927.4500000000007</v>
          </cell>
          <cell r="G1414">
            <v>0.24</v>
          </cell>
          <cell r="H1414">
            <v>0</v>
          </cell>
          <cell r="I1414" t="str">
            <v>Canada</v>
          </cell>
          <cell r="J1414" t="str">
            <v>Walmart</v>
          </cell>
        </row>
        <row r="1415">
          <cell r="A1415" t="str">
            <v>13-09-2021</v>
          </cell>
          <cell r="B1415" t="str">
            <v>BCAA</v>
          </cell>
          <cell r="C1415" t="str">
            <v>Amino Acid</v>
          </cell>
          <cell r="D1415">
            <v>146</v>
          </cell>
          <cell r="E1415">
            <v>26.47</v>
          </cell>
          <cell r="F1415">
            <v>3864.62</v>
          </cell>
          <cell r="G1415">
            <v>0.13</v>
          </cell>
          <cell r="H1415">
            <v>3</v>
          </cell>
          <cell r="I1415" t="str">
            <v>Canada</v>
          </cell>
          <cell r="J1415" t="str">
            <v>Amazon</v>
          </cell>
        </row>
        <row r="1416">
          <cell r="A1416" t="str">
            <v>13-09-2021</v>
          </cell>
          <cell r="B1416" t="str">
            <v>Creatine</v>
          </cell>
          <cell r="C1416" t="str">
            <v>Performance</v>
          </cell>
          <cell r="D1416">
            <v>164</v>
          </cell>
          <cell r="E1416">
            <v>14.65</v>
          </cell>
          <cell r="F1416">
            <v>2402.6</v>
          </cell>
          <cell r="G1416">
            <v>0.15</v>
          </cell>
          <cell r="H1416">
            <v>2</v>
          </cell>
          <cell r="I1416" t="str">
            <v>USA</v>
          </cell>
          <cell r="J1416" t="str">
            <v>Amazon</v>
          </cell>
        </row>
        <row r="1417">
          <cell r="A1417" t="str">
            <v>13-09-2021</v>
          </cell>
          <cell r="B1417" t="str">
            <v>Zinc</v>
          </cell>
          <cell r="C1417" t="str">
            <v>Mineral</v>
          </cell>
          <cell r="D1417">
            <v>141</v>
          </cell>
          <cell r="E1417">
            <v>56.37</v>
          </cell>
          <cell r="F1417">
            <v>7948.17</v>
          </cell>
          <cell r="G1417">
            <v>0.1</v>
          </cell>
          <cell r="H1417">
            <v>3</v>
          </cell>
          <cell r="I1417" t="str">
            <v>UK</v>
          </cell>
          <cell r="J1417" t="str">
            <v>Walmart</v>
          </cell>
        </row>
        <row r="1418">
          <cell r="A1418" t="str">
            <v>13-09-2021</v>
          </cell>
          <cell r="B1418" t="str">
            <v>Collagen Peptides</v>
          </cell>
          <cell r="C1418" t="str">
            <v>Protein</v>
          </cell>
          <cell r="D1418">
            <v>146</v>
          </cell>
          <cell r="E1418">
            <v>33.799999999999997</v>
          </cell>
          <cell r="F1418">
            <v>4934.8</v>
          </cell>
          <cell r="G1418">
            <v>0.03</v>
          </cell>
          <cell r="H1418">
            <v>3</v>
          </cell>
          <cell r="I1418" t="str">
            <v>Canada</v>
          </cell>
          <cell r="J1418" t="str">
            <v>Amazon</v>
          </cell>
        </row>
        <row r="1419">
          <cell r="A1419" t="str">
            <v>13-09-2021</v>
          </cell>
          <cell r="B1419" t="str">
            <v>Magnesium</v>
          </cell>
          <cell r="C1419" t="str">
            <v>Mineral</v>
          </cell>
          <cell r="D1419">
            <v>148</v>
          </cell>
          <cell r="E1419">
            <v>28.36</v>
          </cell>
          <cell r="F1419">
            <v>4197.28</v>
          </cell>
          <cell r="G1419">
            <v>0</v>
          </cell>
          <cell r="H1419">
            <v>0</v>
          </cell>
          <cell r="I1419" t="str">
            <v>Canada</v>
          </cell>
          <cell r="J1419" t="str">
            <v>iHerb</v>
          </cell>
        </row>
        <row r="1420">
          <cell r="A1420" t="str">
            <v>13-09-2021</v>
          </cell>
          <cell r="B1420" t="str">
            <v>Ashwagandha</v>
          </cell>
          <cell r="C1420" t="str">
            <v>Herbal</v>
          </cell>
          <cell r="D1420">
            <v>150</v>
          </cell>
          <cell r="E1420">
            <v>26.74</v>
          </cell>
          <cell r="F1420">
            <v>4011</v>
          </cell>
          <cell r="G1420">
            <v>0.17</v>
          </cell>
          <cell r="H1420">
            <v>2</v>
          </cell>
          <cell r="I1420" t="str">
            <v>Canada</v>
          </cell>
          <cell r="J1420" t="str">
            <v>Amazon</v>
          </cell>
        </row>
        <row r="1421">
          <cell r="A1421" t="str">
            <v>13-09-2021</v>
          </cell>
          <cell r="B1421" t="str">
            <v>Melatonin</v>
          </cell>
          <cell r="C1421" t="str">
            <v>Sleep Aid</v>
          </cell>
          <cell r="D1421">
            <v>157</v>
          </cell>
          <cell r="E1421">
            <v>55.74</v>
          </cell>
          <cell r="F1421">
            <v>8751.18</v>
          </cell>
          <cell r="G1421">
            <v>0.12</v>
          </cell>
          <cell r="H1421">
            <v>1</v>
          </cell>
          <cell r="I1421" t="str">
            <v>Canada</v>
          </cell>
          <cell r="J1421" t="str">
            <v>Walmart</v>
          </cell>
        </row>
        <row r="1422">
          <cell r="A1422" t="str">
            <v>13-09-2021</v>
          </cell>
          <cell r="B1422" t="str">
            <v>Biotin</v>
          </cell>
          <cell r="C1422" t="str">
            <v>Vitamin</v>
          </cell>
          <cell r="D1422">
            <v>138</v>
          </cell>
          <cell r="E1422">
            <v>12.12</v>
          </cell>
          <cell r="F1422">
            <v>1672.56</v>
          </cell>
          <cell r="G1422">
            <v>0.16</v>
          </cell>
          <cell r="H1422">
            <v>0</v>
          </cell>
          <cell r="I1422" t="str">
            <v>USA</v>
          </cell>
          <cell r="J1422" t="str">
            <v>Amazon</v>
          </cell>
        </row>
        <row r="1423">
          <cell r="A1423" t="str">
            <v>13-09-2021</v>
          </cell>
          <cell r="B1423" t="str">
            <v>Green Tea Extract</v>
          </cell>
          <cell r="C1423" t="str">
            <v>Fat Burner</v>
          </cell>
          <cell r="D1423">
            <v>143</v>
          </cell>
          <cell r="E1423">
            <v>26.36</v>
          </cell>
          <cell r="F1423">
            <v>3769.48</v>
          </cell>
          <cell r="G1423">
            <v>0.06</v>
          </cell>
          <cell r="H1423">
            <v>0</v>
          </cell>
          <cell r="I1423" t="str">
            <v>USA</v>
          </cell>
          <cell r="J1423" t="str">
            <v>Walmart</v>
          </cell>
        </row>
        <row r="1424">
          <cell r="A1424" t="str">
            <v>13-09-2021</v>
          </cell>
          <cell r="B1424" t="str">
            <v>Iron Supplement</v>
          </cell>
          <cell r="C1424" t="str">
            <v>Mineral</v>
          </cell>
          <cell r="D1424">
            <v>160</v>
          </cell>
          <cell r="E1424">
            <v>32.69</v>
          </cell>
          <cell r="F1424">
            <v>5230.3999999999996</v>
          </cell>
          <cell r="G1424">
            <v>0.13</v>
          </cell>
          <cell r="H1424">
            <v>2</v>
          </cell>
          <cell r="I1424" t="str">
            <v>USA</v>
          </cell>
          <cell r="J1424" t="str">
            <v>iHerb</v>
          </cell>
        </row>
        <row r="1425">
          <cell r="A1425" t="str">
            <v>13-09-2021</v>
          </cell>
          <cell r="B1425" t="str">
            <v>Electrolyte Powder</v>
          </cell>
          <cell r="C1425" t="str">
            <v>Hydration</v>
          </cell>
          <cell r="D1425">
            <v>155</v>
          </cell>
          <cell r="E1425">
            <v>12.24</v>
          </cell>
          <cell r="F1425">
            <v>1897.2</v>
          </cell>
          <cell r="G1425">
            <v>7.0000000000000007E-2</v>
          </cell>
          <cell r="H1425">
            <v>1</v>
          </cell>
          <cell r="I1425" t="str">
            <v>Canada</v>
          </cell>
          <cell r="J1425" t="str">
            <v>Amazon</v>
          </cell>
        </row>
        <row r="1426">
          <cell r="A1426" t="str">
            <v>20-09-2021</v>
          </cell>
          <cell r="B1426" t="str">
            <v>Whey Protein</v>
          </cell>
          <cell r="C1426" t="str">
            <v>Protein</v>
          </cell>
          <cell r="D1426">
            <v>135</v>
          </cell>
          <cell r="E1426">
            <v>25.49</v>
          </cell>
          <cell r="F1426">
            <v>3441.15</v>
          </cell>
          <cell r="G1426">
            <v>0.13</v>
          </cell>
          <cell r="H1426">
            <v>2</v>
          </cell>
          <cell r="I1426" t="str">
            <v>UK</v>
          </cell>
          <cell r="J1426" t="str">
            <v>iHerb</v>
          </cell>
        </row>
        <row r="1427">
          <cell r="A1427" t="str">
            <v>20-09-2021</v>
          </cell>
          <cell r="B1427" t="str">
            <v>Vitamin C</v>
          </cell>
          <cell r="C1427" t="str">
            <v>Vitamin</v>
          </cell>
          <cell r="D1427">
            <v>146</v>
          </cell>
          <cell r="E1427">
            <v>26.81</v>
          </cell>
          <cell r="F1427">
            <v>3914.26</v>
          </cell>
          <cell r="G1427">
            <v>7.0000000000000007E-2</v>
          </cell>
          <cell r="H1427">
            <v>1</v>
          </cell>
          <cell r="I1427" t="str">
            <v>Canada</v>
          </cell>
          <cell r="J1427" t="str">
            <v>Amazon</v>
          </cell>
        </row>
        <row r="1428">
          <cell r="A1428" t="str">
            <v>20-09-2021</v>
          </cell>
          <cell r="B1428" t="str">
            <v>Fish Oil</v>
          </cell>
          <cell r="C1428" t="str">
            <v>Omega</v>
          </cell>
          <cell r="D1428">
            <v>147</v>
          </cell>
          <cell r="E1428">
            <v>46.08</v>
          </cell>
          <cell r="F1428">
            <v>6773.76</v>
          </cell>
          <cell r="G1428">
            <v>0.02</v>
          </cell>
          <cell r="H1428">
            <v>3</v>
          </cell>
          <cell r="I1428" t="str">
            <v>USA</v>
          </cell>
          <cell r="J1428" t="str">
            <v>iHerb</v>
          </cell>
        </row>
        <row r="1429">
          <cell r="A1429" t="str">
            <v>20-09-2021</v>
          </cell>
          <cell r="B1429" t="str">
            <v>Multivitamin</v>
          </cell>
          <cell r="C1429" t="str">
            <v>Vitamin</v>
          </cell>
          <cell r="D1429">
            <v>159</v>
          </cell>
          <cell r="E1429">
            <v>51.01</v>
          </cell>
          <cell r="F1429">
            <v>8110.59</v>
          </cell>
          <cell r="G1429">
            <v>0.1</v>
          </cell>
          <cell r="H1429">
            <v>1</v>
          </cell>
          <cell r="I1429" t="str">
            <v>USA</v>
          </cell>
          <cell r="J1429" t="str">
            <v>iHerb</v>
          </cell>
        </row>
        <row r="1430">
          <cell r="A1430" t="str">
            <v>20-09-2021</v>
          </cell>
          <cell r="B1430" t="str">
            <v>Pre-Workout</v>
          </cell>
          <cell r="C1430" t="str">
            <v>Performance</v>
          </cell>
          <cell r="D1430">
            <v>150</v>
          </cell>
          <cell r="E1430">
            <v>36.92</v>
          </cell>
          <cell r="F1430">
            <v>5538</v>
          </cell>
          <cell r="G1430">
            <v>0.14000000000000001</v>
          </cell>
          <cell r="H1430">
            <v>4</v>
          </cell>
          <cell r="I1430" t="str">
            <v>UK</v>
          </cell>
          <cell r="J1430" t="str">
            <v>Walmart</v>
          </cell>
        </row>
        <row r="1431">
          <cell r="A1431" t="str">
            <v>20-09-2021</v>
          </cell>
          <cell r="B1431" t="str">
            <v>BCAA</v>
          </cell>
          <cell r="C1431" t="str">
            <v>Amino Acid</v>
          </cell>
          <cell r="D1431">
            <v>169</v>
          </cell>
          <cell r="E1431">
            <v>50.07</v>
          </cell>
          <cell r="F1431">
            <v>8461.83</v>
          </cell>
          <cell r="G1431">
            <v>0.24</v>
          </cell>
          <cell r="H1431">
            <v>0</v>
          </cell>
          <cell r="I1431" t="str">
            <v>USA</v>
          </cell>
          <cell r="J1431" t="str">
            <v>iHerb</v>
          </cell>
        </row>
        <row r="1432">
          <cell r="A1432" t="str">
            <v>20-09-2021</v>
          </cell>
          <cell r="B1432" t="str">
            <v>Creatine</v>
          </cell>
          <cell r="C1432" t="str">
            <v>Performance</v>
          </cell>
          <cell r="D1432">
            <v>141</v>
          </cell>
          <cell r="E1432">
            <v>52.33</v>
          </cell>
          <cell r="F1432">
            <v>7378.53</v>
          </cell>
          <cell r="G1432">
            <v>0.13</v>
          </cell>
          <cell r="H1432">
            <v>2</v>
          </cell>
          <cell r="I1432" t="str">
            <v>USA</v>
          </cell>
          <cell r="J1432" t="str">
            <v>Amazon</v>
          </cell>
        </row>
        <row r="1433">
          <cell r="A1433" t="str">
            <v>20-09-2021</v>
          </cell>
          <cell r="B1433" t="str">
            <v>Zinc</v>
          </cell>
          <cell r="C1433" t="str">
            <v>Mineral</v>
          </cell>
          <cell r="D1433">
            <v>135</v>
          </cell>
          <cell r="E1433">
            <v>46.59</v>
          </cell>
          <cell r="F1433">
            <v>6289.65</v>
          </cell>
          <cell r="G1433">
            <v>0.04</v>
          </cell>
          <cell r="H1433">
            <v>1</v>
          </cell>
          <cell r="I1433" t="str">
            <v>Canada</v>
          </cell>
          <cell r="J1433" t="str">
            <v>iHerb</v>
          </cell>
        </row>
        <row r="1434">
          <cell r="A1434" t="str">
            <v>20-09-2021</v>
          </cell>
          <cell r="B1434" t="str">
            <v>Collagen Peptides</v>
          </cell>
          <cell r="C1434" t="str">
            <v>Protein</v>
          </cell>
          <cell r="D1434">
            <v>141</v>
          </cell>
          <cell r="E1434">
            <v>45.42</v>
          </cell>
          <cell r="F1434">
            <v>6404.22</v>
          </cell>
          <cell r="G1434">
            <v>0.09</v>
          </cell>
          <cell r="H1434">
            <v>1</v>
          </cell>
          <cell r="I1434" t="str">
            <v>Canada</v>
          </cell>
          <cell r="J1434" t="str">
            <v>iHerb</v>
          </cell>
        </row>
        <row r="1435">
          <cell r="A1435" t="str">
            <v>20-09-2021</v>
          </cell>
          <cell r="B1435" t="str">
            <v>Magnesium</v>
          </cell>
          <cell r="C1435" t="str">
            <v>Mineral</v>
          </cell>
          <cell r="D1435">
            <v>131</v>
          </cell>
          <cell r="E1435">
            <v>28.49</v>
          </cell>
          <cell r="F1435">
            <v>3732.19</v>
          </cell>
          <cell r="G1435">
            <v>0.16</v>
          </cell>
          <cell r="H1435">
            <v>2</v>
          </cell>
          <cell r="I1435" t="str">
            <v>UK</v>
          </cell>
          <cell r="J1435" t="str">
            <v>iHerb</v>
          </cell>
        </row>
        <row r="1436">
          <cell r="A1436" t="str">
            <v>20-09-2021</v>
          </cell>
          <cell r="B1436" t="str">
            <v>Ashwagandha</v>
          </cell>
          <cell r="C1436" t="str">
            <v>Herbal</v>
          </cell>
          <cell r="D1436">
            <v>139</v>
          </cell>
          <cell r="E1436">
            <v>40.81</v>
          </cell>
          <cell r="F1436">
            <v>5672.59</v>
          </cell>
          <cell r="G1436">
            <v>0.11</v>
          </cell>
          <cell r="H1436">
            <v>0</v>
          </cell>
          <cell r="I1436" t="str">
            <v>Canada</v>
          </cell>
          <cell r="J1436" t="str">
            <v>Amazon</v>
          </cell>
        </row>
        <row r="1437">
          <cell r="A1437" t="str">
            <v>20-09-2021</v>
          </cell>
          <cell r="B1437" t="str">
            <v>Melatonin</v>
          </cell>
          <cell r="C1437" t="str">
            <v>Sleep Aid</v>
          </cell>
          <cell r="D1437">
            <v>175</v>
          </cell>
          <cell r="E1437">
            <v>20.399999999999999</v>
          </cell>
          <cell r="F1437">
            <v>3570</v>
          </cell>
          <cell r="G1437">
            <v>0.08</v>
          </cell>
          <cell r="H1437">
            <v>3</v>
          </cell>
          <cell r="I1437" t="str">
            <v>UK</v>
          </cell>
          <cell r="J1437" t="str">
            <v>Walmart</v>
          </cell>
        </row>
        <row r="1438">
          <cell r="A1438" t="str">
            <v>20-09-2021</v>
          </cell>
          <cell r="B1438" t="str">
            <v>Biotin</v>
          </cell>
          <cell r="C1438" t="str">
            <v>Vitamin</v>
          </cell>
          <cell r="D1438">
            <v>157</v>
          </cell>
          <cell r="E1438">
            <v>32.06</v>
          </cell>
          <cell r="F1438">
            <v>5033.42</v>
          </cell>
          <cell r="G1438">
            <v>0.18</v>
          </cell>
          <cell r="H1438">
            <v>1</v>
          </cell>
          <cell r="I1438" t="str">
            <v>UK</v>
          </cell>
          <cell r="J1438" t="str">
            <v>Walmart</v>
          </cell>
        </row>
        <row r="1439">
          <cell r="A1439" t="str">
            <v>20-09-2021</v>
          </cell>
          <cell r="B1439" t="str">
            <v>Green Tea Extract</v>
          </cell>
          <cell r="C1439" t="str">
            <v>Fat Burner</v>
          </cell>
          <cell r="D1439">
            <v>139</v>
          </cell>
          <cell r="E1439">
            <v>58.8</v>
          </cell>
          <cell r="F1439">
            <v>8173.2</v>
          </cell>
          <cell r="G1439">
            <v>0.08</v>
          </cell>
          <cell r="H1439">
            <v>1</v>
          </cell>
          <cell r="I1439" t="str">
            <v>Canada</v>
          </cell>
          <cell r="J1439" t="str">
            <v>Walmart</v>
          </cell>
        </row>
        <row r="1440">
          <cell r="A1440" t="str">
            <v>20-09-2021</v>
          </cell>
          <cell r="B1440" t="str">
            <v>Iron Supplement</v>
          </cell>
          <cell r="C1440" t="str">
            <v>Mineral</v>
          </cell>
          <cell r="D1440">
            <v>156</v>
          </cell>
          <cell r="E1440">
            <v>52.17</v>
          </cell>
          <cell r="F1440">
            <v>8138.52</v>
          </cell>
          <cell r="G1440">
            <v>0.19</v>
          </cell>
          <cell r="H1440">
            <v>0</v>
          </cell>
          <cell r="I1440" t="str">
            <v>Canada</v>
          </cell>
          <cell r="J1440" t="str">
            <v>iHerb</v>
          </cell>
        </row>
        <row r="1441">
          <cell r="A1441" t="str">
            <v>20-09-2021</v>
          </cell>
          <cell r="B1441" t="str">
            <v>Electrolyte Powder</v>
          </cell>
          <cell r="C1441" t="str">
            <v>Hydration</v>
          </cell>
          <cell r="D1441">
            <v>165</v>
          </cell>
          <cell r="E1441">
            <v>52.81</v>
          </cell>
          <cell r="F1441">
            <v>8713.65</v>
          </cell>
          <cell r="G1441">
            <v>0.03</v>
          </cell>
          <cell r="H1441">
            <v>1</v>
          </cell>
          <cell r="I1441" t="str">
            <v>Canada</v>
          </cell>
          <cell r="J1441" t="str">
            <v>Walmart</v>
          </cell>
        </row>
        <row r="1442">
          <cell r="A1442" t="str">
            <v>27-09-2021</v>
          </cell>
          <cell r="B1442" t="str">
            <v>Whey Protein</v>
          </cell>
          <cell r="C1442" t="str">
            <v>Protein</v>
          </cell>
          <cell r="D1442">
            <v>166</v>
          </cell>
          <cell r="E1442">
            <v>13.91</v>
          </cell>
          <cell r="F1442">
            <v>2309.06</v>
          </cell>
          <cell r="G1442">
            <v>0.2</v>
          </cell>
          <cell r="H1442">
            <v>3</v>
          </cell>
          <cell r="I1442" t="str">
            <v>Canada</v>
          </cell>
          <cell r="J1442" t="str">
            <v>Amazon</v>
          </cell>
        </row>
        <row r="1443">
          <cell r="A1443" t="str">
            <v>27-09-2021</v>
          </cell>
          <cell r="B1443" t="str">
            <v>Vitamin C</v>
          </cell>
          <cell r="C1443" t="str">
            <v>Vitamin</v>
          </cell>
          <cell r="D1443">
            <v>136</v>
          </cell>
          <cell r="E1443">
            <v>44.34</v>
          </cell>
          <cell r="F1443">
            <v>6030.24</v>
          </cell>
          <cell r="G1443">
            <v>0.13</v>
          </cell>
          <cell r="H1443">
            <v>2</v>
          </cell>
          <cell r="I1443" t="str">
            <v>UK</v>
          </cell>
          <cell r="J1443" t="str">
            <v>Walmart</v>
          </cell>
        </row>
        <row r="1444">
          <cell r="A1444" t="str">
            <v>27-09-2021</v>
          </cell>
          <cell r="B1444" t="str">
            <v>Fish Oil</v>
          </cell>
          <cell r="C1444" t="str">
            <v>Omega</v>
          </cell>
          <cell r="D1444">
            <v>147</v>
          </cell>
          <cell r="E1444">
            <v>24.24</v>
          </cell>
          <cell r="F1444">
            <v>3563.28</v>
          </cell>
          <cell r="G1444">
            <v>0.13</v>
          </cell>
          <cell r="H1444">
            <v>1</v>
          </cell>
          <cell r="I1444" t="str">
            <v>UK</v>
          </cell>
          <cell r="J1444" t="str">
            <v>Amazon</v>
          </cell>
        </row>
        <row r="1445">
          <cell r="A1445" t="str">
            <v>27-09-2021</v>
          </cell>
          <cell r="B1445" t="str">
            <v>Multivitamin</v>
          </cell>
          <cell r="C1445" t="str">
            <v>Vitamin</v>
          </cell>
          <cell r="D1445">
            <v>162</v>
          </cell>
          <cell r="E1445">
            <v>39.07</v>
          </cell>
          <cell r="F1445">
            <v>6329.34</v>
          </cell>
          <cell r="G1445">
            <v>0.2</v>
          </cell>
          <cell r="H1445">
            <v>0</v>
          </cell>
          <cell r="I1445" t="str">
            <v>UK</v>
          </cell>
          <cell r="J1445" t="str">
            <v>iHerb</v>
          </cell>
        </row>
        <row r="1446">
          <cell r="A1446" t="str">
            <v>27-09-2021</v>
          </cell>
          <cell r="B1446" t="str">
            <v>Pre-Workout</v>
          </cell>
          <cell r="C1446" t="str">
            <v>Performance</v>
          </cell>
          <cell r="D1446">
            <v>128</v>
          </cell>
          <cell r="E1446">
            <v>44.77</v>
          </cell>
          <cell r="F1446">
            <v>5730.56</v>
          </cell>
          <cell r="G1446">
            <v>0.1</v>
          </cell>
          <cell r="H1446">
            <v>3</v>
          </cell>
          <cell r="I1446" t="str">
            <v>USA</v>
          </cell>
          <cell r="J1446" t="str">
            <v>Walmart</v>
          </cell>
        </row>
        <row r="1447">
          <cell r="A1447" t="str">
            <v>27-09-2021</v>
          </cell>
          <cell r="B1447" t="str">
            <v>BCAA</v>
          </cell>
          <cell r="C1447" t="str">
            <v>Amino Acid</v>
          </cell>
          <cell r="D1447">
            <v>142</v>
          </cell>
          <cell r="E1447">
            <v>25.03</v>
          </cell>
          <cell r="F1447">
            <v>3554.26</v>
          </cell>
          <cell r="G1447">
            <v>0.14000000000000001</v>
          </cell>
          <cell r="H1447">
            <v>1</v>
          </cell>
          <cell r="I1447" t="str">
            <v>Canada</v>
          </cell>
          <cell r="J1447" t="str">
            <v>iHerb</v>
          </cell>
        </row>
        <row r="1448">
          <cell r="A1448" t="str">
            <v>27-09-2021</v>
          </cell>
          <cell r="B1448" t="str">
            <v>Creatine</v>
          </cell>
          <cell r="C1448" t="str">
            <v>Performance</v>
          </cell>
          <cell r="D1448">
            <v>151</v>
          </cell>
          <cell r="E1448">
            <v>55.62</v>
          </cell>
          <cell r="F1448">
            <v>8398.6200000000008</v>
          </cell>
          <cell r="G1448">
            <v>7.0000000000000007E-2</v>
          </cell>
          <cell r="H1448">
            <v>1</v>
          </cell>
          <cell r="I1448" t="str">
            <v>USA</v>
          </cell>
          <cell r="J1448" t="str">
            <v>iHerb</v>
          </cell>
        </row>
        <row r="1449">
          <cell r="A1449" t="str">
            <v>27-09-2021</v>
          </cell>
          <cell r="B1449" t="str">
            <v>Zinc</v>
          </cell>
          <cell r="C1449" t="str">
            <v>Mineral</v>
          </cell>
          <cell r="D1449">
            <v>152</v>
          </cell>
          <cell r="E1449">
            <v>59.93</v>
          </cell>
          <cell r="F1449">
            <v>9109.36</v>
          </cell>
          <cell r="G1449">
            <v>0.06</v>
          </cell>
          <cell r="H1449">
            <v>2</v>
          </cell>
          <cell r="I1449" t="str">
            <v>UK</v>
          </cell>
          <cell r="J1449" t="str">
            <v>Amazon</v>
          </cell>
        </row>
        <row r="1450">
          <cell r="A1450" t="str">
            <v>27-09-2021</v>
          </cell>
          <cell r="B1450" t="str">
            <v>Collagen Peptides</v>
          </cell>
          <cell r="C1450" t="str">
            <v>Protein</v>
          </cell>
          <cell r="D1450">
            <v>146</v>
          </cell>
          <cell r="E1450">
            <v>10.46</v>
          </cell>
          <cell r="F1450">
            <v>1527.16</v>
          </cell>
          <cell r="G1450">
            <v>0.12</v>
          </cell>
          <cell r="H1450">
            <v>1</v>
          </cell>
          <cell r="I1450" t="str">
            <v>Canada</v>
          </cell>
          <cell r="J1450" t="str">
            <v>iHerb</v>
          </cell>
        </row>
        <row r="1451">
          <cell r="A1451" t="str">
            <v>27-09-2021</v>
          </cell>
          <cell r="B1451" t="str">
            <v>Magnesium</v>
          </cell>
          <cell r="C1451" t="str">
            <v>Mineral</v>
          </cell>
          <cell r="D1451">
            <v>142</v>
          </cell>
          <cell r="E1451">
            <v>25.05</v>
          </cell>
          <cell r="F1451">
            <v>3557.1</v>
          </cell>
          <cell r="G1451">
            <v>0.04</v>
          </cell>
          <cell r="H1451">
            <v>1</v>
          </cell>
          <cell r="I1451" t="str">
            <v>USA</v>
          </cell>
          <cell r="J1451" t="str">
            <v>Walmart</v>
          </cell>
        </row>
        <row r="1452">
          <cell r="A1452" t="str">
            <v>27-09-2021</v>
          </cell>
          <cell r="B1452" t="str">
            <v>Ashwagandha</v>
          </cell>
          <cell r="C1452" t="str">
            <v>Herbal</v>
          </cell>
          <cell r="D1452">
            <v>140</v>
          </cell>
          <cell r="E1452">
            <v>19.940000000000001</v>
          </cell>
          <cell r="F1452">
            <v>2791.6</v>
          </cell>
          <cell r="G1452">
            <v>0.13</v>
          </cell>
          <cell r="H1452">
            <v>0</v>
          </cell>
          <cell r="I1452" t="str">
            <v>UK</v>
          </cell>
          <cell r="J1452" t="str">
            <v>Amazon</v>
          </cell>
        </row>
        <row r="1453">
          <cell r="A1453" t="str">
            <v>27-09-2021</v>
          </cell>
          <cell r="B1453" t="str">
            <v>Melatonin</v>
          </cell>
          <cell r="C1453" t="str">
            <v>Sleep Aid</v>
          </cell>
          <cell r="D1453">
            <v>156</v>
          </cell>
          <cell r="E1453">
            <v>15.52</v>
          </cell>
          <cell r="F1453">
            <v>2421.12</v>
          </cell>
          <cell r="G1453">
            <v>0.12</v>
          </cell>
          <cell r="H1453">
            <v>0</v>
          </cell>
          <cell r="I1453" t="str">
            <v>Canada</v>
          </cell>
          <cell r="J1453" t="str">
            <v>iHerb</v>
          </cell>
        </row>
        <row r="1454">
          <cell r="A1454" t="str">
            <v>27-09-2021</v>
          </cell>
          <cell r="B1454" t="str">
            <v>Biotin</v>
          </cell>
          <cell r="C1454" t="str">
            <v>Vitamin</v>
          </cell>
          <cell r="D1454">
            <v>153</v>
          </cell>
          <cell r="E1454">
            <v>36.380000000000003</v>
          </cell>
          <cell r="F1454">
            <v>5566.14</v>
          </cell>
          <cell r="G1454">
            <v>0.13</v>
          </cell>
          <cell r="H1454">
            <v>3</v>
          </cell>
          <cell r="I1454" t="str">
            <v>UK</v>
          </cell>
          <cell r="J1454" t="str">
            <v>Walmart</v>
          </cell>
        </row>
        <row r="1455">
          <cell r="A1455" t="str">
            <v>27-09-2021</v>
          </cell>
          <cell r="B1455" t="str">
            <v>Green Tea Extract</v>
          </cell>
          <cell r="C1455" t="str">
            <v>Fat Burner</v>
          </cell>
          <cell r="D1455">
            <v>152</v>
          </cell>
          <cell r="E1455">
            <v>30.08</v>
          </cell>
          <cell r="F1455">
            <v>4572.16</v>
          </cell>
          <cell r="G1455">
            <v>0.24</v>
          </cell>
          <cell r="H1455">
            <v>2</v>
          </cell>
          <cell r="I1455" t="str">
            <v>UK</v>
          </cell>
          <cell r="J1455" t="str">
            <v>Amazon</v>
          </cell>
        </row>
        <row r="1456">
          <cell r="A1456" t="str">
            <v>27-09-2021</v>
          </cell>
          <cell r="B1456" t="str">
            <v>Iron Supplement</v>
          </cell>
          <cell r="C1456" t="str">
            <v>Mineral</v>
          </cell>
          <cell r="D1456">
            <v>142</v>
          </cell>
          <cell r="E1456">
            <v>31.62</v>
          </cell>
          <cell r="F1456">
            <v>4490.04</v>
          </cell>
          <cell r="G1456">
            <v>0.21</v>
          </cell>
          <cell r="H1456">
            <v>2</v>
          </cell>
          <cell r="I1456" t="str">
            <v>USA</v>
          </cell>
          <cell r="J1456" t="str">
            <v>Walmart</v>
          </cell>
        </row>
        <row r="1457">
          <cell r="A1457" t="str">
            <v>27-09-2021</v>
          </cell>
          <cell r="B1457" t="str">
            <v>Electrolyte Powder</v>
          </cell>
          <cell r="C1457" t="str">
            <v>Hydration</v>
          </cell>
          <cell r="D1457">
            <v>138</v>
          </cell>
          <cell r="E1457">
            <v>24.53</v>
          </cell>
          <cell r="F1457">
            <v>3385.14</v>
          </cell>
          <cell r="G1457">
            <v>7.0000000000000007E-2</v>
          </cell>
          <cell r="H1457">
            <v>1</v>
          </cell>
          <cell r="I1457" t="str">
            <v>USA</v>
          </cell>
          <cell r="J1457" t="str">
            <v>iHerb</v>
          </cell>
        </row>
        <row r="1458">
          <cell r="A1458" t="str">
            <v>04-10-2021</v>
          </cell>
          <cell r="B1458" t="str">
            <v>Whey Protein</v>
          </cell>
          <cell r="C1458" t="str">
            <v>Protein</v>
          </cell>
          <cell r="D1458">
            <v>158</v>
          </cell>
          <cell r="E1458">
            <v>10.050000000000001</v>
          </cell>
          <cell r="F1458">
            <v>1587.9</v>
          </cell>
          <cell r="G1458">
            <v>0.18</v>
          </cell>
          <cell r="H1458">
            <v>0</v>
          </cell>
          <cell r="I1458" t="str">
            <v>USA</v>
          </cell>
          <cell r="J1458" t="str">
            <v>iHerb</v>
          </cell>
        </row>
        <row r="1459">
          <cell r="A1459" t="str">
            <v>04-10-2021</v>
          </cell>
          <cell r="B1459" t="str">
            <v>Vitamin C</v>
          </cell>
          <cell r="C1459" t="str">
            <v>Vitamin</v>
          </cell>
          <cell r="D1459">
            <v>132</v>
          </cell>
          <cell r="E1459">
            <v>29</v>
          </cell>
          <cell r="F1459">
            <v>3828</v>
          </cell>
          <cell r="G1459">
            <v>0.12</v>
          </cell>
          <cell r="H1459">
            <v>0</v>
          </cell>
          <cell r="I1459" t="str">
            <v>UK</v>
          </cell>
          <cell r="J1459" t="str">
            <v>Amazon</v>
          </cell>
        </row>
        <row r="1460">
          <cell r="A1460" t="str">
            <v>04-10-2021</v>
          </cell>
          <cell r="B1460" t="str">
            <v>Fish Oil</v>
          </cell>
          <cell r="C1460" t="str">
            <v>Omega</v>
          </cell>
          <cell r="D1460">
            <v>143</v>
          </cell>
          <cell r="E1460">
            <v>32.43</v>
          </cell>
          <cell r="F1460">
            <v>4637.49</v>
          </cell>
          <cell r="G1460">
            <v>0.16</v>
          </cell>
          <cell r="H1460">
            <v>0</v>
          </cell>
          <cell r="I1460" t="str">
            <v>Canada</v>
          </cell>
          <cell r="J1460" t="str">
            <v>Amazon</v>
          </cell>
        </row>
        <row r="1461">
          <cell r="A1461" t="str">
            <v>04-10-2021</v>
          </cell>
          <cell r="B1461" t="str">
            <v>Multivitamin</v>
          </cell>
          <cell r="C1461" t="str">
            <v>Vitamin</v>
          </cell>
          <cell r="D1461">
            <v>138</v>
          </cell>
          <cell r="E1461">
            <v>22.81</v>
          </cell>
          <cell r="F1461">
            <v>3147.78</v>
          </cell>
          <cell r="G1461">
            <v>0.1</v>
          </cell>
          <cell r="H1461">
            <v>3</v>
          </cell>
          <cell r="I1461" t="str">
            <v>UK</v>
          </cell>
          <cell r="J1461" t="str">
            <v>iHerb</v>
          </cell>
        </row>
        <row r="1462">
          <cell r="A1462" t="str">
            <v>04-10-2021</v>
          </cell>
          <cell r="B1462" t="str">
            <v>Pre-Workout</v>
          </cell>
          <cell r="C1462" t="str">
            <v>Performance</v>
          </cell>
          <cell r="D1462">
            <v>156</v>
          </cell>
          <cell r="E1462">
            <v>44.18</v>
          </cell>
          <cell r="F1462">
            <v>6892.08</v>
          </cell>
          <cell r="G1462">
            <v>0</v>
          </cell>
          <cell r="H1462">
            <v>2</v>
          </cell>
          <cell r="I1462" t="str">
            <v>USA</v>
          </cell>
          <cell r="J1462" t="str">
            <v>Amazon</v>
          </cell>
        </row>
        <row r="1463">
          <cell r="A1463" t="str">
            <v>04-10-2021</v>
          </cell>
          <cell r="B1463" t="str">
            <v>BCAA</v>
          </cell>
          <cell r="C1463" t="str">
            <v>Amino Acid</v>
          </cell>
          <cell r="D1463">
            <v>149</v>
          </cell>
          <cell r="E1463">
            <v>57.73</v>
          </cell>
          <cell r="F1463">
            <v>8601.77</v>
          </cell>
          <cell r="G1463">
            <v>0.23</v>
          </cell>
          <cell r="H1463">
            <v>3</v>
          </cell>
          <cell r="I1463" t="str">
            <v>USA</v>
          </cell>
          <cell r="J1463" t="str">
            <v>Amazon</v>
          </cell>
        </row>
        <row r="1464">
          <cell r="A1464" t="str">
            <v>04-10-2021</v>
          </cell>
          <cell r="B1464" t="str">
            <v>Creatine</v>
          </cell>
          <cell r="C1464" t="str">
            <v>Performance</v>
          </cell>
          <cell r="D1464">
            <v>150</v>
          </cell>
          <cell r="E1464">
            <v>33.25</v>
          </cell>
          <cell r="F1464">
            <v>4987.5</v>
          </cell>
          <cell r="G1464">
            <v>0.17</v>
          </cell>
          <cell r="H1464">
            <v>3</v>
          </cell>
          <cell r="I1464" t="str">
            <v>Canada</v>
          </cell>
          <cell r="J1464" t="str">
            <v>Amazon</v>
          </cell>
        </row>
        <row r="1465">
          <cell r="A1465" t="str">
            <v>04-10-2021</v>
          </cell>
          <cell r="B1465" t="str">
            <v>Zinc</v>
          </cell>
          <cell r="C1465" t="str">
            <v>Mineral</v>
          </cell>
          <cell r="D1465">
            <v>139</v>
          </cell>
          <cell r="E1465">
            <v>50.76</v>
          </cell>
          <cell r="F1465">
            <v>7055.64</v>
          </cell>
          <cell r="G1465">
            <v>0.24</v>
          </cell>
          <cell r="H1465">
            <v>3</v>
          </cell>
          <cell r="I1465" t="str">
            <v>UK</v>
          </cell>
          <cell r="J1465" t="str">
            <v>iHerb</v>
          </cell>
        </row>
        <row r="1466">
          <cell r="A1466" t="str">
            <v>04-10-2021</v>
          </cell>
          <cell r="B1466" t="str">
            <v>Collagen Peptides</v>
          </cell>
          <cell r="C1466" t="str">
            <v>Protein</v>
          </cell>
          <cell r="D1466">
            <v>142</v>
          </cell>
          <cell r="E1466">
            <v>15.61</v>
          </cell>
          <cell r="F1466">
            <v>2216.62</v>
          </cell>
          <cell r="G1466">
            <v>7.0000000000000007E-2</v>
          </cell>
          <cell r="H1466">
            <v>2</v>
          </cell>
          <cell r="I1466" t="str">
            <v>USA</v>
          </cell>
          <cell r="J1466" t="str">
            <v>Amazon</v>
          </cell>
        </row>
        <row r="1467">
          <cell r="A1467" t="str">
            <v>04-10-2021</v>
          </cell>
          <cell r="B1467" t="str">
            <v>Magnesium</v>
          </cell>
          <cell r="C1467" t="str">
            <v>Mineral</v>
          </cell>
          <cell r="D1467">
            <v>154</v>
          </cell>
          <cell r="E1467">
            <v>19.32</v>
          </cell>
          <cell r="F1467">
            <v>2975.28</v>
          </cell>
          <cell r="G1467">
            <v>0.02</v>
          </cell>
          <cell r="H1467">
            <v>1</v>
          </cell>
          <cell r="I1467" t="str">
            <v>UK</v>
          </cell>
          <cell r="J1467" t="str">
            <v>Amazon</v>
          </cell>
        </row>
        <row r="1468">
          <cell r="A1468" t="str">
            <v>04-10-2021</v>
          </cell>
          <cell r="B1468" t="str">
            <v>Ashwagandha</v>
          </cell>
          <cell r="C1468" t="str">
            <v>Herbal</v>
          </cell>
          <cell r="D1468">
            <v>150</v>
          </cell>
          <cell r="E1468">
            <v>27.42</v>
          </cell>
          <cell r="F1468">
            <v>4113</v>
          </cell>
          <cell r="G1468">
            <v>0.04</v>
          </cell>
          <cell r="H1468">
            <v>2</v>
          </cell>
          <cell r="I1468" t="str">
            <v>USA</v>
          </cell>
          <cell r="J1468" t="str">
            <v>Walmart</v>
          </cell>
        </row>
        <row r="1469">
          <cell r="A1469" t="str">
            <v>04-10-2021</v>
          </cell>
          <cell r="B1469" t="str">
            <v>Melatonin</v>
          </cell>
          <cell r="C1469" t="str">
            <v>Sleep Aid</v>
          </cell>
          <cell r="D1469">
            <v>149</v>
          </cell>
          <cell r="E1469">
            <v>31.38</v>
          </cell>
          <cell r="F1469">
            <v>4675.62</v>
          </cell>
          <cell r="G1469">
            <v>0.24</v>
          </cell>
          <cell r="H1469">
            <v>0</v>
          </cell>
          <cell r="I1469" t="str">
            <v>Canada</v>
          </cell>
          <cell r="J1469" t="str">
            <v>iHerb</v>
          </cell>
        </row>
        <row r="1470">
          <cell r="A1470" t="str">
            <v>04-10-2021</v>
          </cell>
          <cell r="B1470" t="str">
            <v>Biotin</v>
          </cell>
          <cell r="C1470" t="str">
            <v>Vitamin</v>
          </cell>
          <cell r="D1470">
            <v>151</v>
          </cell>
          <cell r="E1470">
            <v>37.840000000000003</v>
          </cell>
          <cell r="F1470">
            <v>5713.84</v>
          </cell>
          <cell r="G1470">
            <v>0.23</v>
          </cell>
          <cell r="H1470">
            <v>1</v>
          </cell>
          <cell r="I1470" t="str">
            <v>UK</v>
          </cell>
          <cell r="J1470" t="str">
            <v>Walmart</v>
          </cell>
        </row>
        <row r="1471">
          <cell r="A1471" t="str">
            <v>04-10-2021</v>
          </cell>
          <cell r="B1471" t="str">
            <v>Green Tea Extract</v>
          </cell>
          <cell r="C1471" t="str">
            <v>Fat Burner</v>
          </cell>
          <cell r="D1471">
            <v>149</v>
          </cell>
          <cell r="E1471">
            <v>40.450000000000003</v>
          </cell>
          <cell r="F1471">
            <v>6027.05</v>
          </cell>
          <cell r="G1471">
            <v>7.0000000000000007E-2</v>
          </cell>
          <cell r="H1471">
            <v>0</v>
          </cell>
          <cell r="I1471" t="str">
            <v>USA</v>
          </cell>
          <cell r="J1471" t="str">
            <v>Amazon</v>
          </cell>
        </row>
        <row r="1472">
          <cell r="A1472" t="str">
            <v>04-10-2021</v>
          </cell>
          <cell r="B1472" t="str">
            <v>Iron Supplement</v>
          </cell>
          <cell r="C1472" t="str">
            <v>Mineral</v>
          </cell>
          <cell r="D1472">
            <v>151</v>
          </cell>
          <cell r="E1472">
            <v>13.79</v>
          </cell>
          <cell r="F1472">
            <v>2082.29</v>
          </cell>
          <cell r="G1472">
            <v>0.17</v>
          </cell>
          <cell r="H1472">
            <v>2</v>
          </cell>
          <cell r="I1472" t="str">
            <v>USA</v>
          </cell>
          <cell r="J1472" t="str">
            <v>Amazon</v>
          </cell>
        </row>
        <row r="1473">
          <cell r="A1473" t="str">
            <v>04-10-2021</v>
          </cell>
          <cell r="B1473" t="str">
            <v>Electrolyte Powder</v>
          </cell>
          <cell r="C1473" t="str">
            <v>Hydration</v>
          </cell>
          <cell r="D1473">
            <v>138</v>
          </cell>
          <cell r="E1473">
            <v>46.02</v>
          </cell>
          <cell r="F1473">
            <v>6350.76</v>
          </cell>
          <cell r="G1473">
            <v>0.13</v>
          </cell>
          <cell r="H1473">
            <v>1</v>
          </cell>
          <cell r="I1473" t="str">
            <v>Canada</v>
          </cell>
          <cell r="J1473" t="str">
            <v>Walmart</v>
          </cell>
        </row>
        <row r="1474">
          <cell r="A1474" t="str">
            <v>11-10-2021</v>
          </cell>
          <cell r="B1474" t="str">
            <v>Whey Protein</v>
          </cell>
          <cell r="C1474" t="str">
            <v>Protein</v>
          </cell>
          <cell r="D1474">
            <v>143</v>
          </cell>
          <cell r="E1474">
            <v>56.96</v>
          </cell>
          <cell r="F1474">
            <v>8145.28</v>
          </cell>
          <cell r="G1474">
            <v>0.17</v>
          </cell>
          <cell r="H1474">
            <v>0</v>
          </cell>
          <cell r="I1474" t="str">
            <v>Canada</v>
          </cell>
          <cell r="J1474" t="str">
            <v>Amazon</v>
          </cell>
        </row>
        <row r="1475">
          <cell r="A1475" t="str">
            <v>11-10-2021</v>
          </cell>
          <cell r="B1475" t="str">
            <v>Vitamin C</v>
          </cell>
          <cell r="C1475" t="str">
            <v>Vitamin</v>
          </cell>
          <cell r="D1475">
            <v>149</v>
          </cell>
          <cell r="E1475">
            <v>14.72</v>
          </cell>
          <cell r="F1475">
            <v>2193.2800000000002</v>
          </cell>
          <cell r="G1475">
            <v>0.25</v>
          </cell>
          <cell r="H1475">
            <v>4</v>
          </cell>
          <cell r="I1475" t="str">
            <v>UK</v>
          </cell>
          <cell r="J1475" t="str">
            <v>Walmart</v>
          </cell>
        </row>
        <row r="1476">
          <cell r="A1476" t="str">
            <v>11-10-2021</v>
          </cell>
          <cell r="B1476" t="str">
            <v>Fish Oil</v>
          </cell>
          <cell r="C1476" t="str">
            <v>Omega</v>
          </cell>
          <cell r="D1476">
            <v>129</v>
          </cell>
          <cell r="E1476">
            <v>28.16</v>
          </cell>
          <cell r="F1476">
            <v>3632.64</v>
          </cell>
          <cell r="G1476">
            <v>0.21</v>
          </cell>
          <cell r="H1476">
            <v>1</v>
          </cell>
          <cell r="I1476" t="str">
            <v>UK</v>
          </cell>
          <cell r="J1476" t="str">
            <v>Amazon</v>
          </cell>
        </row>
        <row r="1477">
          <cell r="A1477" t="str">
            <v>11-10-2021</v>
          </cell>
          <cell r="B1477" t="str">
            <v>Multivitamin</v>
          </cell>
          <cell r="C1477" t="str">
            <v>Vitamin</v>
          </cell>
          <cell r="D1477">
            <v>148</v>
          </cell>
          <cell r="E1477">
            <v>48.72</v>
          </cell>
          <cell r="F1477">
            <v>7210.56</v>
          </cell>
          <cell r="G1477">
            <v>0.01</v>
          </cell>
          <cell r="H1477">
            <v>2</v>
          </cell>
          <cell r="I1477" t="str">
            <v>Canada</v>
          </cell>
          <cell r="J1477" t="str">
            <v>Amazon</v>
          </cell>
        </row>
        <row r="1478">
          <cell r="A1478" t="str">
            <v>11-10-2021</v>
          </cell>
          <cell r="B1478" t="str">
            <v>Pre-Workout</v>
          </cell>
          <cell r="C1478" t="str">
            <v>Performance</v>
          </cell>
          <cell r="D1478">
            <v>137</v>
          </cell>
          <cell r="E1478">
            <v>27.4</v>
          </cell>
          <cell r="F1478">
            <v>3753.8</v>
          </cell>
          <cell r="G1478">
            <v>0.12</v>
          </cell>
          <cell r="H1478">
            <v>1</v>
          </cell>
          <cell r="I1478" t="str">
            <v>USA</v>
          </cell>
          <cell r="J1478" t="str">
            <v>Amazon</v>
          </cell>
        </row>
        <row r="1479">
          <cell r="A1479" t="str">
            <v>11-10-2021</v>
          </cell>
          <cell r="B1479" t="str">
            <v>BCAA</v>
          </cell>
          <cell r="C1479" t="str">
            <v>Amino Acid</v>
          </cell>
          <cell r="D1479">
            <v>132</v>
          </cell>
          <cell r="E1479">
            <v>11.67</v>
          </cell>
          <cell r="F1479">
            <v>1540.44</v>
          </cell>
          <cell r="G1479">
            <v>0.12</v>
          </cell>
          <cell r="H1479">
            <v>3</v>
          </cell>
          <cell r="I1479" t="str">
            <v>UK</v>
          </cell>
          <cell r="J1479" t="str">
            <v>iHerb</v>
          </cell>
        </row>
        <row r="1480">
          <cell r="A1480" t="str">
            <v>11-10-2021</v>
          </cell>
          <cell r="B1480" t="str">
            <v>Creatine</v>
          </cell>
          <cell r="C1480" t="str">
            <v>Performance</v>
          </cell>
          <cell r="D1480">
            <v>159</v>
          </cell>
          <cell r="E1480">
            <v>42.26</v>
          </cell>
          <cell r="F1480">
            <v>6719.34</v>
          </cell>
          <cell r="G1480">
            <v>0.21</v>
          </cell>
          <cell r="H1480">
            <v>0</v>
          </cell>
          <cell r="I1480" t="str">
            <v>USA</v>
          </cell>
          <cell r="J1480" t="str">
            <v>Amazon</v>
          </cell>
        </row>
        <row r="1481">
          <cell r="A1481" t="str">
            <v>11-10-2021</v>
          </cell>
          <cell r="B1481" t="str">
            <v>Zinc</v>
          </cell>
          <cell r="C1481" t="str">
            <v>Mineral</v>
          </cell>
          <cell r="D1481">
            <v>150</v>
          </cell>
          <cell r="E1481">
            <v>39.340000000000003</v>
          </cell>
          <cell r="F1481">
            <v>5901</v>
          </cell>
          <cell r="G1481">
            <v>0.21</v>
          </cell>
          <cell r="H1481">
            <v>0</v>
          </cell>
          <cell r="I1481" t="str">
            <v>Canada</v>
          </cell>
          <cell r="J1481" t="str">
            <v>Amazon</v>
          </cell>
        </row>
        <row r="1482">
          <cell r="A1482" t="str">
            <v>11-10-2021</v>
          </cell>
          <cell r="B1482" t="str">
            <v>Collagen Peptides</v>
          </cell>
          <cell r="C1482" t="str">
            <v>Protein</v>
          </cell>
          <cell r="D1482">
            <v>157</v>
          </cell>
          <cell r="E1482">
            <v>28.96</v>
          </cell>
          <cell r="F1482">
            <v>4546.72</v>
          </cell>
          <cell r="G1482">
            <v>0.09</v>
          </cell>
          <cell r="H1482">
            <v>2</v>
          </cell>
          <cell r="I1482" t="str">
            <v>UK</v>
          </cell>
          <cell r="J1482" t="str">
            <v>Walmart</v>
          </cell>
        </row>
        <row r="1483">
          <cell r="A1483" t="str">
            <v>11-10-2021</v>
          </cell>
          <cell r="B1483" t="str">
            <v>Magnesium</v>
          </cell>
          <cell r="C1483" t="str">
            <v>Mineral</v>
          </cell>
          <cell r="D1483">
            <v>168</v>
          </cell>
          <cell r="E1483">
            <v>51.24</v>
          </cell>
          <cell r="F1483">
            <v>8608.32</v>
          </cell>
          <cell r="G1483">
            <v>0.1</v>
          </cell>
          <cell r="H1483">
            <v>0</v>
          </cell>
          <cell r="I1483" t="str">
            <v>USA</v>
          </cell>
          <cell r="J1483" t="str">
            <v>Walmart</v>
          </cell>
        </row>
        <row r="1484">
          <cell r="A1484" t="str">
            <v>11-10-2021</v>
          </cell>
          <cell r="B1484" t="str">
            <v>Ashwagandha</v>
          </cell>
          <cell r="C1484" t="str">
            <v>Herbal</v>
          </cell>
          <cell r="D1484">
            <v>125</v>
          </cell>
          <cell r="E1484">
            <v>29.01</v>
          </cell>
          <cell r="F1484">
            <v>3626.25</v>
          </cell>
          <cell r="G1484">
            <v>0.08</v>
          </cell>
          <cell r="H1484">
            <v>2</v>
          </cell>
          <cell r="I1484" t="str">
            <v>USA</v>
          </cell>
          <cell r="J1484" t="str">
            <v>Walmart</v>
          </cell>
        </row>
        <row r="1485">
          <cell r="A1485" t="str">
            <v>11-10-2021</v>
          </cell>
          <cell r="B1485" t="str">
            <v>Melatonin</v>
          </cell>
          <cell r="C1485" t="str">
            <v>Sleep Aid</v>
          </cell>
          <cell r="D1485">
            <v>159</v>
          </cell>
          <cell r="E1485">
            <v>21.06</v>
          </cell>
          <cell r="F1485">
            <v>3348.54</v>
          </cell>
          <cell r="G1485">
            <v>7.0000000000000007E-2</v>
          </cell>
          <cell r="H1485">
            <v>2</v>
          </cell>
          <cell r="I1485" t="str">
            <v>USA</v>
          </cell>
          <cell r="J1485" t="str">
            <v>Walmart</v>
          </cell>
        </row>
        <row r="1486">
          <cell r="A1486" t="str">
            <v>11-10-2021</v>
          </cell>
          <cell r="B1486" t="str">
            <v>Biotin</v>
          </cell>
          <cell r="C1486" t="str">
            <v>Vitamin</v>
          </cell>
          <cell r="D1486">
            <v>135</v>
          </cell>
          <cell r="E1486">
            <v>57.19</v>
          </cell>
          <cell r="F1486">
            <v>7720.65</v>
          </cell>
          <cell r="G1486">
            <v>0.2</v>
          </cell>
          <cell r="H1486">
            <v>0</v>
          </cell>
          <cell r="I1486" t="str">
            <v>Canada</v>
          </cell>
          <cell r="J1486" t="str">
            <v>iHerb</v>
          </cell>
        </row>
        <row r="1487">
          <cell r="A1487" t="str">
            <v>11-10-2021</v>
          </cell>
          <cell r="B1487" t="str">
            <v>Green Tea Extract</v>
          </cell>
          <cell r="C1487" t="str">
            <v>Fat Burner</v>
          </cell>
          <cell r="D1487">
            <v>147</v>
          </cell>
          <cell r="E1487">
            <v>49.55</v>
          </cell>
          <cell r="F1487">
            <v>7283.85</v>
          </cell>
          <cell r="G1487">
            <v>0.13</v>
          </cell>
          <cell r="H1487">
            <v>0</v>
          </cell>
          <cell r="I1487" t="str">
            <v>USA</v>
          </cell>
          <cell r="J1487" t="str">
            <v>iHerb</v>
          </cell>
        </row>
        <row r="1488">
          <cell r="A1488" t="str">
            <v>11-10-2021</v>
          </cell>
          <cell r="B1488" t="str">
            <v>Iron Supplement</v>
          </cell>
          <cell r="C1488" t="str">
            <v>Mineral</v>
          </cell>
          <cell r="D1488">
            <v>159</v>
          </cell>
          <cell r="E1488">
            <v>23.15</v>
          </cell>
          <cell r="F1488">
            <v>3680.85</v>
          </cell>
          <cell r="G1488">
            <v>0.09</v>
          </cell>
          <cell r="H1488">
            <v>1</v>
          </cell>
          <cell r="I1488" t="str">
            <v>USA</v>
          </cell>
          <cell r="J1488" t="str">
            <v>Walmart</v>
          </cell>
        </row>
        <row r="1489">
          <cell r="A1489" t="str">
            <v>11-10-2021</v>
          </cell>
          <cell r="B1489" t="str">
            <v>Electrolyte Powder</v>
          </cell>
          <cell r="C1489" t="str">
            <v>Hydration</v>
          </cell>
          <cell r="D1489">
            <v>144</v>
          </cell>
          <cell r="E1489">
            <v>29.93</v>
          </cell>
          <cell r="F1489">
            <v>4309.92</v>
          </cell>
          <cell r="G1489">
            <v>0</v>
          </cell>
          <cell r="H1489">
            <v>2</v>
          </cell>
          <cell r="I1489" t="str">
            <v>Canada</v>
          </cell>
          <cell r="J1489" t="str">
            <v>Amazon</v>
          </cell>
        </row>
        <row r="1490">
          <cell r="A1490" t="str">
            <v>18-10-2021</v>
          </cell>
          <cell r="B1490" t="str">
            <v>Whey Protein</v>
          </cell>
          <cell r="C1490" t="str">
            <v>Protein</v>
          </cell>
          <cell r="D1490">
            <v>137</v>
          </cell>
          <cell r="E1490">
            <v>42.68</v>
          </cell>
          <cell r="F1490">
            <v>5847.16</v>
          </cell>
          <cell r="G1490">
            <v>0.19</v>
          </cell>
          <cell r="H1490">
            <v>2</v>
          </cell>
          <cell r="I1490" t="str">
            <v>USA</v>
          </cell>
          <cell r="J1490" t="str">
            <v>Walmart</v>
          </cell>
        </row>
        <row r="1491">
          <cell r="A1491" t="str">
            <v>18-10-2021</v>
          </cell>
          <cell r="B1491" t="str">
            <v>Vitamin C</v>
          </cell>
          <cell r="C1491" t="str">
            <v>Vitamin</v>
          </cell>
          <cell r="D1491">
            <v>150</v>
          </cell>
          <cell r="E1491">
            <v>46.86</v>
          </cell>
          <cell r="F1491">
            <v>7029</v>
          </cell>
          <cell r="G1491">
            <v>0.17</v>
          </cell>
          <cell r="H1491">
            <v>1</v>
          </cell>
          <cell r="I1491" t="str">
            <v>UK</v>
          </cell>
          <cell r="J1491" t="str">
            <v>iHerb</v>
          </cell>
        </row>
        <row r="1492">
          <cell r="A1492" t="str">
            <v>18-10-2021</v>
          </cell>
          <cell r="B1492" t="str">
            <v>Fish Oil</v>
          </cell>
          <cell r="C1492" t="str">
            <v>Omega</v>
          </cell>
          <cell r="D1492">
            <v>169</v>
          </cell>
          <cell r="E1492">
            <v>59.13</v>
          </cell>
          <cell r="F1492">
            <v>9992.9699999999993</v>
          </cell>
          <cell r="G1492">
            <v>0.22</v>
          </cell>
          <cell r="H1492">
            <v>2</v>
          </cell>
          <cell r="I1492" t="str">
            <v>UK</v>
          </cell>
          <cell r="J1492" t="str">
            <v>iHerb</v>
          </cell>
        </row>
        <row r="1493">
          <cell r="A1493" t="str">
            <v>18-10-2021</v>
          </cell>
          <cell r="B1493" t="str">
            <v>Multivitamin</v>
          </cell>
          <cell r="C1493" t="str">
            <v>Vitamin</v>
          </cell>
          <cell r="D1493">
            <v>174</v>
          </cell>
          <cell r="E1493">
            <v>19.52</v>
          </cell>
          <cell r="F1493">
            <v>3396.48</v>
          </cell>
          <cell r="G1493">
            <v>0.11</v>
          </cell>
          <cell r="H1493">
            <v>0</v>
          </cell>
          <cell r="I1493" t="str">
            <v>USA</v>
          </cell>
          <cell r="J1493" t="str">
            <v>Walmart</v>
          </cell>
        </row>
        <row r="1494">
          <cell r="A1494" t="str">
            <v>18-10-2021</v>
          </cell>
          <cell r="B1494" t="str">
            <v>Pre-Workout</v>
          </cell>
          <cell r="C1494" t="str">
            <v>Performance</v>
          </cell>
          <cell r="D1494">
            <v>146</v>
          </cell>
          <cell r="E1494">
            <v>29.32</v>
          </cell>
          <cell r="F1494">
            <v>4280.72</v>
          </cell>
          <cell r="G1494">
            <v>0.08</v>
          </cell>
          <cell r="H1494">
            <v>2</v>
          </cell>
          <cell r="I1494" t="str">
            <v>USA</v>
          </cell>
          <cell r="J1494" t="str">
            <v>iHerb</v>
          </cell>
        </row>
        <row r="1495">
          <cell r="A1495" t="str">
            <v>18-10-2021</v>
          </cell>
          <cell r="B1495" t="str">
            <v>BCAA</v>
          </cell>
          <cell r="C1495" t="str">
            <v>Amino Acid</v>
          </cell>
          <cell r="D1495">
            <v>166</v>
          </cell>
          <cell r="E1495">
            <v>29.27</v>
          </cell>
          <cell r="F1495">
            <v>4858.82</v>
          </cell>
          <cell r="G1495">
            <v>0.04</v>
          </cell>
          <cell r="H1495">
            <v>2</v>
          </cell>
          <cell r="I1495" t="str">
            <v>UK</v>
          </cell>
          <cell r="J1495" t="str">
            <v>iHerb</v>
          </cell>
        </row>
        <row r="1496">
          <cell r="A1496" t="str">
            <v>18-10-2021</v>
          </cell>
          <cell r="B1496" t="str">
            <v>Creatine</v>
          </cell>
          <cell r="C1496" t="str">
            <v>Performance</v>
          </cell>
          <cell r="D1496">
            <v>132</v>
          </cell>
          <cell r="E1496">
            <v>24.31</v>
          </cell>
          <cell r="F1496">
            <v>3208.92</v>
          </cell>
          <cell r="G1496">
            <v>0.05</v>
          </cell>
          <cell r="H1496">
            <v>3</v>
          </cell>
          <cell r="I1496" t="str">
            <v>Canada</v>
          </cell>
          <cell r="J1496" t="str">
            <v>Amazon</v>
          </cell>
        </row>
        <row r="1497">
          <cell r="A1497" t="str">
            <v>18-10-2021</v>
          </cell>
          <cell r="B1497" t="str">
            <v>Zinc</v>
          </cell>
          <cell r="C1497" t="str">
            <v>Mineral</v>
          </cell>
          <cell r="D1497">
            <v>150</v>
          </cell>
          <cell r="E1497">
            <v>16.61</v>
          </cell>
          <cell r="F1497">
            <v>2491.5</v>
          </cell>
          <cell r="G1497">
            <v>0.09</v>
          </cell>
          <cell r="H1497">
            <v>2</v>
          </cell>
          <cell r="I1497" t="str">
            <v>USA</v>
          </cell>
          <cell r="J1497" t="str">
            <v>iHerb</v>
          </cell>
        </row>
        <row r="1498">
          <cell r="A1498" t="str">
            <v>18-10-2021</v>
          </cell>
          <cell r="B1498" t="str">
            <v>Collagen Peptides</v>
          </cell>
          <cell r="C1498" t="str">
            <v>Protein</v>
          </cell>
          <cell r="D1498">
            <v>161</v>
          </cell>
          <cell r="E1498">
            <v>39.49</v>
          </cell>
          <cell r="F1498">
            <v>6357.89</v>
          </cell>
          <cell r="G1498">
            <v>0.05</v>
          </cell>
          <cell r="H1498">
            <v>1</v>
          </cell>
          <cell r="I1498" t="str">
            <v>USA</v>
          </cell>
          <cell r="J1498" t="str">
            <v>Amazon</v>
          </cell>
        </row>
        <row r="1499">
          <cell r="A1499" t="str">
            <v>18-10-2021</v>
          </cell>
          <cell r="B1499" t="str">
            <v>Magnesium</v>
          </cell>
          <cell r="C1499" t="str">
            <v>Mineral</v>
          </cell>
          <cell r="D1499">
            <v>136</v>
          </cell>
          <cell r="E1499">
            <v>21.24</v>
          </cell>
          <cell r="F1499">
            <v>2888.64</v>
          </cell>
          <cell r="G1499">
            <v>0.13</v>
          </cell>
          <cell r="H1499">
            <v>1</v>
          </cell>
          <cell r="I1499" t="str">
            <v>USA</v>
          </cell>
          <cell r="J1499" t="str">
            <v>iHerb</v>
          </cell>
        </row>
        <row r="1500">
          <cell r="A1500" t="str">
            <v>18-10-2021</v>
          </cell>
          <cell r="B1500" t="str">
            <v>Ashwagandha</v>
          </cell>
          <cell r="C1500" t="str">
            <v>Herbal</v>
          </cell>
          <cell r="D1500">
            <v>176</v>
          </cell>
          <cell r="E1500">
            <v>42.08</v>
          </cell>
          <cell r="F1500">
            <v>7406.08</v>
          </cell>
          <cell r="G1500">
            <v>0.2</v>
          </cell>
          <cell r="H1500">
            <v>2</v>
          </cell>
          <cell r="I1500" t="str">
            <v>Canada</v>
          </cell>
          <cell r="J1500" t="str">
            <v>iHerb</v>
          </cell>
        </row>
        <row r="1501">
          <cell r="A1501" t="str">
            <v>18-10-2021</v>
          </cell>
          <cell r="B1501" t="str">
            <v>Melatonin</v>
          </cell>
          <cell r="C1501" t="str">
            <v>Sleep Aid</v>
          </cell>
          <cell r="D1501">
            <v>141</v>
          </cell>
          <cell r="E1501">
            <v>11.96</v>
          </cell>
          <cell r="F1501">
            <v>1686.36</v>
          </cell>
          <cell r="G1501">
            <v>0.08</v>
          </cell>
          <cell r="H1501">
            <v>2</v>
          </cell>
          <cell r="I1501" t="str">
            <v>Canada</v>
          </cell>
          <cell r="J1501" t="str">
            <v>Walmart</v>
          </cell>
        </row>
        <row r="1502">
          <cell r="A1502" t="str">
            <v>18-10-2021</v>
          </cell>
          <cell r="B1502" t="str">
            <v>Biotin</v>
          </cell>
          <cell r="C1502" t="str">
            <v>Vitamin</v>
          </cell>
          <cell r="D1502">
            <v>122</v>
          </cell>
          <cell r="E1502">
            <v>45.31</v>
          </cell>
          <cell r="F1502">
            <v>5527.82</v>
          </cell>
          <cell r="G1502">
            <v>0.2</v>
          </cell>
          <cell r="H1502">
            <v>1</v>
          </cell>
          <cell r="I1502" t="str">
            <v>UK</v>
          </cell>
          <cell r="J1502" t="str">
            <v>Amazon</v>
          </cell>
        </row>
        <row r="1503">
          <cell r="A1503" t="str">
            <v>18-10-2021</v>
          </cell>
          <cell r="B1503" t="str">
            <v>Green Tea Extract</v>
          </cell>
          <cell r="C1503" t="str">
            <v>Fat Burner</v>
          </cell>
          <cell r="D1503">
            <v>157</v>
          </cell>
          <cell r="E1503">
            <v>18</v>
          </cell>
          <cell r="F1503">
            <v>2826</v>
          </cell>
          <cell r="G1503">
            <v>0.1</v>
          </cell>
          <cell r="H1503">
            <v>2</v>
          </cell>
          <cell r="I1503" t="str">
            <v>USA</v>
          </cell>
          <cell r="J1503" t="str">
            <v>Amazon</v>
          </cell>
        </row>
        <row r="1504">
          <cell r="A1504" t="str">
            <v>18-10-2021</v>
          </cell>
          <cell r="B1504" t="str">
            <v>Iron Supplement</v>
          </cell>
          <cell r="C1504" t="str">
            <v>Mineral</v>
          </cell>
          <cell r="D1504">
            <v>177</v>
          </cell>
          <cell r="E1504">
            <v>35.369999999999997</v>
          </cell>
          <cell r="F1504">
            <v>6260.49</v>
          </cell>
          <cell r="G1504">
            <v>0.08</v>
          </cell>
          <cell r="H1504">
            <v>2</v>
          </cell>
          <cell r="I1504" t="str">
            <v>USA</v>
          </cell>
          <cell r="J1504" t="str">
            <v>iHerb</v>
          </cell>
        </row>
        <row r="1505">
          <cell r="A1505" t="str">
            <v>18-10-2021</v>
          </cell>
          <cell r="B1505" t="str">
            <v>Electrolyte Powder</v>
          </cell>
          <cell r="C1505" t="str">
            <v>Hydration</v>
          </cell>
          <cell r="D1505">
            <v>163</v>
          </cell>
          <cell r="E1505">
            <v>32.53</v>
          </cell>
          <cell r="F1505">
            <v>5302.39</v>
          </cell>
          <cell r="G1505">
            <v>7.0000000000000007E-2</v>
          </cell>
          <cell r="H1505">
            <v>1</v>
          </cell>
          <cell r="I1505" t="str">
            <v>Canada</v>
          </cell>
          <cell r="J1505" t="str">
            <v>Walmart</v>
          </cell>
        </row>
        <row r="1506">
          <cell r="A1506" t="str">
            <v>25-10-2021</v>
          </cell>
          <cell r="B1506" t="str">
            <v>Whey Protein</v>
          </cell>
          <cell r="C1506" t="str">
            <v>Protein</v>
          </cell>
          <cell r="D1506">
            <v>146</v>
          </cell>
          <cell r="E1506">
            <v>58.36</v>
          </cell>
          <cell r="F1506">
            <v>8520.56</v>
          </cell>
          <cell r="G1506">
            <v>0.11</v>
          </cell>
          <cell r="H1506">
            <v>1</v>
          </cell>
          <cell r="I1506" t="str">
            <v>USA</v>
          </cell>
          <cell r="J1506" t="str">
            <v>Walmart</v>
          </cell>
        </row>
        <row r="1507">
          <cell r="A1507" t="str">
            <v>25-10-2021</v>
          </cell>
          <cell r="B1507" t="str">
            <v>Vitamin C</v>
          </cell>
          <cell r="C1507" t="str">
            <v>Vitamin</v>
          </cell>
          <cell r="D1507">
            <v>164</v>
          </cell>
          <cell r="E1507">
            <v>37.6</v>
          </cell>
          <cell r="F1507">
            <v>6166.4</v>
          </cell>
          <cell r="G1507">
            <v>0.06</v>
          </cell>
          <cell r="H1507">
            <v>2</v>
          </cell>
          <cell r="I1507" t="str">
            <v>USA</v>
          </cell>
          <cell r="J1507" t="str">
            <v>Amazon</v>
          </cell>
        </row>
        <row r="1508">
          <cell r="A1508" t="str">
            <v>25-10-2021</v>
          </cell>
          <cell r="B1508" t="str">
            <v>Fish Oil</v>
          </cell>
          <cell r="C1508" t="str">
            <v>Omega</v>
          </cell>
          <cell r="D1508">
            <v>151</v>
          </cell>
          <cell r="E1508">
            <v>49.04</v>
          </cell>
          <cell r="F1508">
            <v>7405.04</v>
          </cell>
          <cell r="G1508">
            <v>0.05</v>
          </cell>
          <cell r="H1508">
            <v>2</v>
          </cell>
          <cell r="I1508" t="str">
            <v>USA</v>
          </cell>
          <cell r="J1508" t="str">
            <v>iHerb</v>
          </cell>
        </row>
        <row r="1509">
          <cell r="A1509" t="str">
            <v>25-10-2021</v>
          </cell>
          <cell r="B1509" t="str">
            <v>Multivitamin</v>
          </cell>
          <cell r="C1509" t="str">
            <v>Vitamin</v>
          </cell>
          <cell r="D1509">
            <v>162</v>
          </cell>
          <cell r="E1509">
            <v>18.63</v>
          </cell>
          <cell r="F1509">
            <v>3018.06</v>
          </cell>
          <cell r="G1509">
            <v>0</v>
          </cell>
          <cell r="H1509">
            <v>1</v>
          </cell>
          <cell r="I1509" t="str">
            <v>Canada</v>
          </cell>
          <cell r="J1509" t="str">
            <v>iHerb</v>
          </cell>
        </row>
        <row r="1510">
          <cell r="A1510" t="str">
            <v>25-10-2021</v>
          </cell>
          <cell r="B1510" t="str">
            <v>Pre-Workout</v>
          </cell>
          <cell r="C1510" t="str">
            <v>Performance</v>
          </cell>
          <cell r="D1510">
            <v>145</v>
          </cell>
          <cell r="E1510">
            <v>19.399999999999999</v>
          </cell>
          <cell r="F1510">
            <v>2813</v>
          </cell>
          <cell r="G1510">
            <v>0.21</v>
          </cell>
          <cell r="H1510">
            <v>1</v>
          </cell>
          <cell r="I1510" t="str">
            <v>UK</v>
          </cell>
          <cell r="J1510" t="str">
            <v>Walmart</v>
          </cell>
        </row>
        <row r="1511">
          <cell r="A1511" t="str">
            <v>25-10-2021</v>
          </cell>
          <cell r="B1511" t="str">
            <v>BCAA</v>
          </cell>
          <cell r="C1511" t="str">
            <v>Amino Acid</v>
          </cell>
          <cell r="D1511">
            <v>139</v>
          </cell>
          <cell r="E1511">
            <v>34.94</v>
          </cell>
          <cell r="F1511">
            <v>4856.66</v>
          </cell>
          <cell r="G1511">
            <v>0.05</v>
          </cell>
          <cell r="H1511">
            <v>1</v>
          </cell>
          <cell r="I1511" t="str">
            <v>Canada</v>
          </cell>
          <cell r="J1511" t="str">
            <v>iHerb</v>
          </cell>
        </row>
        <row r="1512">
          <cell r="A1512" t="str">
            <v>25-10-2021</v>
          </cell>
          <cell r="B1512" t="str">
            <v>Creatine</v>
          </cell>
          <cell r="C1512" t="str">
            <v>Performance</v>
          </cell>
          <cell r="D1512">
            <v>137</v>
          </cell>
          <cell r="E1512">
            <v>48.5</v>
          </cell>
          <cell r="F1512">
            <v>6644.5</v>
          </cell>
          <cell r="G1512">
            <v>0.12</v>
          </cell>
          <cell r="H1512">
            <v>2</v>
          </cell>
          <cell r="I1512" t="str">
            <v>USA</v>
          </cell>
          <cell r="J1512" t="str">
            <v>iHerb</v>
          </cell>
        </row>
        <row r="1513">
          <cell r="A1513" t="str">
            <v>25-10-2021</v>
          </cell>
          <cell r="B1513" t="str">
            <v>Zinc</v>
          </cell>
          <cell r="C1513" t="str">
            <v>Mineral</v>
          </cell>
          <cell r="D1513">
            <v>159</v>
          </cell>
          <cell r="E1513">
            <v>58.31</v>
          </cell>
          <cell r="F1513">
            <v>9271.2900000000009</v>
          </cell>
          <cell r="G1513">
            <v>0.21</v>
          </cell>
          <cell r="H1513">
            <v>1</v>
          </cell>
          <cell r="I1513" t="str">
            <v>USA</v>
          </cell>
          <cell r="J1513" t="str">
            <v>Amazon</v>
          </cell>
        </row>
        <row r="1514">
          <cell r="A1514" t="str">
            <v>25-10-2021</v>
          </cell>
          <cell r="B1514" t="str">
            <v>Collagen Peptides</v>
          </cell>
          <cell r="C1514" t="str">
            <v>Protein</v>
          </cell>
          <cell r="D1514">
            <v>137</v>
          </cell>
          <cell r="E1514">
            <v>16.920000000000002</v>
          </cell>
          <cell r="F1514">
            <v>2318.04</v>
          </cell>
          <cell r="G1514">
            <v>0.19</v>
          </cell>
          <cell r="H1514">
            <v>1</v>
          </cell>
          <cell r="I1514" t="str">
            <v>USA</v>
          </cell>
          <cell r="J1514" t="str">
            <v>Amazon</v>
          </cell>
        </row>
        <row r="1515">
          <cell r="A1515" t="str">
            <v>25-10-2021</v>
          </cell>
          <cell r="B1515" t="str">
            <v>Magnesium</v>
          </cell>
          <cell r="C1515" t="str">
            <v>Mineral</v>
          </cell>
          <cell r="D1515">
            <v>161</v>
          </cell>
          <cell r="E1515">
            <v>40.229999999999997</v>
          </cell>
          <cell r="F1515">
            <v>6477.03</v>
          </cell>
          <cell r="G1515">
            <v>0.17</v>
          </cell>
          <cell r="H1515">
            <v>0</v>
          </cell>
          <cell r="I1515" t="str">
            <v>UK</v>
          </cell>
          <cell r="J1515" t="str">
            <v>Amazon</v>
          </cell>
        </row>
        <row r="1516">
          <cell r="A1516" t="str">
            <v>25-10-2021</v>
          </cell>
          <cell r="B1516" t="str">
            <v>Ashwagandha</v>
          </cell>
          <cell r="C1516" t="str">
            <v>Herbal</v>
          </cell>
          <cell r="D1516">
            <v>143</v>
          </cell>
          <cell r="E1516">
            <v>10.47</v>
          </cell>
          <cell r="F1516">
            <v>1497.21</v>
          </cell>
          <cell r="G1516">
            <v>0.01</v>
          </cell>
          <cell r="H1516">
            <v>3</v>
          </cell>
          <cell r="I1516" t="str">
            <v>USA</v>
          </cell>
          <cell r="J1516" t="str">
            <v>Amazon</v>
          </cell>
        </row>
        <row r="1517">
          <cell r="A1517" t="str">
            <v>25-10-2021</v>
          </cell>
          <cell r="B1517" t="str">
            <v>Melatonin</v>
          </cell>
          <cell r="C1517" t="str">
            <v>Sleep Aid</v>
          </cell>
          <cell r="D1517">
            <v>157</v>
          </cell>
          <cell r="E1517">
            <v>44.4</v>
          </cell>
          <cell r="F1517">
            <v>6970.8</v>
          </cell>
          <cell r="G1517">
            <v>0.2</v>
          </cell>
          <cell r="H1517">
            <v>1</v>
          </cell>
          <cell r="I1517" t="str">
            <v>Canada</v>
          </cell>
          <cell r="J1517" t="str">
            <v>Amazon</v>
          </cell>
        </row>
        <row r="1518">
          <cell r="A1518" t="str">
            <v>25-10-2021</v>
          </cell>
          <cell r="B1518" t="str">
            <v>Biotin</v>
          </cell>
          <cell r="C1518" t="str">
            <v>Vitamin</v>
          </cell>
          <cell r="D1518">
            <v>144</v>
          </cell>
          <cell r="E1518">
            <v>34.590000000000003</v>
          </cell>
          <cell r="F1518">
            <v>4980.96</v>
          </cell>
          <cell r="G1518">
            <v>0.19</v>
          </cell>
          <cell r="H1518">
            <v>0</v>
          </cell>
          <cell r="I1518" t="str">
            <v>UK</v>
          </cell>
          <cell r="J1518" t="str">
            <v>iHerb</v>
          </cell>
        </row>
        <row r="1519">
          <cell r="A1519" t="str">
            <v>25-10-2021</v>
          </cell>
          <cell r="B1519" t="str">
            <v>Green Tea Extract</v>
          </cell>
          <cell r="C1519" t="str">
            <v>Fat Burner</v>
          </cell>
          <cell r="D1519">
            <v>141</v>
          </cell>
          <cell r="E1519">
            <v>59.58</v>
          </cell>
          <cell r="F1519">
            <v>8400.7800000000007</v>
          </cell>
          <cell r="G1519">
            <v>0.05</v>
          </cell>
          <cell r="H1519">
            <v>1</v>
          </cell>
          <cell r="I1519" t="str">
            <v>Canada</v>
          </cell>
          <cell r="J1519" t="str">
            <v>Walmart</v>
          </cell>
        </row>
        <row r="1520">
          <cell r="A1520" t="str">
            <v>25-10-2021</v>
          </cell>
          <cell r="B1520" t="str">
            <v>Iron Supplement</v>
          </cell>
          <cell r="C1520" t="str">
            <v>Mineral</v>
          </cell>
          <cell r="D1520">
            <v>172</v>
          </cell>
          <cell r="E1520">
            <v>58.54</v>
          </cell>
          <cell r="F1520">
            <v>10068.879999999999</v>
          </cell>
          <cell r="G1520">
            <v>0.24</v>
          </cell>
          <cell r="H1520">
            <v>3</v>
          </cell>
          <cell r="I1520" t="str">
            <v>Canada</v>
          </cell>
          <cell r="J1520" t="str">
            <v>Walmart</v>
          </cell>
        </row>
        <row r="1521">
          <cell r="A1521" t="str">
            <v>25-10-2021</v>
          </cell>
          <cell r="B1521" t="str">
            <v>Electrolyte Powder</v>
          </cell>
          <cell r="C1521" t="str">
            <v>Hydration</v>
          </cell>
          <cell r="D1521">
            <v>139</v>
          </cell>
          <cell r="E1521">
            <v>48.04</v>
          </cell>
          <cell r="F1521">
            <v>6677.56</v>
          </cell>
          <cell r="G1521">
            <v>0.25</v>
          </cell>
          <cell r="H1521">
            <v>0</v>
          </cell>
          <cell r="I1521" t="str">
            <v>UK</v>
          </cell>
          <cell r="J1521" t="str">
            <v>Walmart</v>
          </cell>
        </row>
        <row r="1522">
          <cell r="A1522" t="str">
            <v>01-11-2021</v>
          </cell>
          <cell r="B1522" t="str">
            <v>Whey Protein</v>
          </cell>
          <cell r="C1522" t="str">
            <v>Protein</v>
          </cell>
          <cell r="D1522">
            <v>160</v>
          </cell>
          <cell r="E1522">
            <v>18.78</v>
          </cell>
          <cell r="F1522">
            <v>3004.8</v>
          </cell>
          <cell r="G1522">
            <v>0.11</v>
          </cell>
          <cell r="H1522">
            <v>3</v>
          </cell>
          <cell r="I1522" t="str">
            <v>USA</v>
          </cell>
          <cell r="J1522" t="str">
            <v>Walmart</v>
          </cell>
        </row>
        <row r="1523">
          <cell r="A1523" t="str">
            <v>01-11-2021</v>
          </cell>
          <cell r="B1523" t="str">
            <v>Vitamin C</v>
          </cell>
          <cell r="C1523" t="str">
            <v>Vitamin</v>
          </cell>
          <cell r="D1523">
            <v>149</v>
          </cell>
          <cell r="E1523">
            <v>59.76</v>
          </cell>
          <cell r="F1523">
            <v>8904.24</v>
          </cell>
          <cell r="G1523">
            <v>0.1</v>
          </cell>
          <cell r="H1523">
            <v>2</v>
          </cell>
          <cell r="I1523" t="str">
            <v>USA</v>
          </cell>
          <cell r="J1523" t="str">
            <v>iHerb</v>
          </cell>
        </row>
        <row r="1524">
          <cell r="A1524" t="str">
            <v>01-11-2021</v>
          </cell>
          <cell r="B1524" t="str">
            <v>Fish Oil</v>
          </cell>
          <cell r="C1524" t="str">
            <v>Omega</v>
          </cell>
          <cell r="D1524">
            <v>145</v>
          </cell>
          <cell r="E1524">
            <v>44.78</v>
          </cell>
          <cell r="F1524">
            <v>6493.1</v>
          </cell>
          <cell r="G1524">
            <v>0.23</v>
          </cell>
          <cell r="H1524">
            <v>1</v>
          </cell>
          <cell r="I1524" t="str">
            <v>UK</v>
          </cell>
          <cell r="J1524" t="str">
            <v>Amazon</v>
          </cell>
        </row>
        <row r="1525">
          <cell r="A1525" t="str">
            <v>01-11-2021</v>
          </cell>
          <cell r="B1525" t="str">
            <v>Multivitamin</v>
          </cell>
          <cell r="C1525" t="str">
            <v>Vitamin</v>
          </cell>
          <cell r="D1525">
            <v>160</v>
          </cell>
          <cell r="E1525">
            <v>20.56</v>
          </cell>
          <cell r="F1525">
            <v>3289.6</v>
          </cell>
          <cell r="G1525">
            <v>0.13</v>
          </cell>
          <cell r="H1525">
            <v>0</v>
          </cell>
          <cell r="I1525" t="str">
            <v>Canada</v>
          </cell>
          <cell r="J1525" t="str">
            <v>Amazon</v>
          </cell>
        </row>
        <row r="1526">
          <cell r="A1526" t="str">
            <v>01-11-2021</v>
          </cell>
          <cell r="B1526" t="str">
            <v>Pre-Workout</v>
          </cell>
          <cell r="C1526" t="str">
            <v>Performance</v>
          </cell>
          <cell r="D1526">
            <v>141</v>
          </cell>
          <cell r="E1526">
            <v>10.75</v>
          </cell>
          <cell r="F1526">
            <v>1515.75</v>
          </cell>
          <cell r="G1526">
            <v>7.0000000000000007E-2</v>
          </cell>
          <cell r="H1526">
            <v>1</v>
          </cell>
          <cell r="I1526" t="str">
            <v>Canada</v>
          </cell>
          <cell r="J1526" t="str">
            <v>Walmart</v>
          </cell>
        </row>
        <row r="1527">
          <cell r="A1527" t="str">
            <v>01-11-2021</v>
          </cell>
          <cell r="B1527" t="str">
            <v>BCAA</v>
          </cell>
          <cell r="C1527" t="str">
            <v>Amino Acid</v>
          </cell>
          <cell r="D1527">
            <v>153</v>
          </cell>
          <cell r="E1527">
            <v>42.27</v>
          </cell>
          <cell r="F1527">
            <v>6467.31</v>
          </cell>
          <cell r="G1527">
            <v>0.1</v>
          </cell>
          <cell r="H1527">
            <v>3</v>
          </cell>
          <cell r="I1527" t="str">
            <v>UK</v>
          </cell>
          <cell r="J1527" t="str">
            <v>Walmart</v>
          </cell>
        </row>
        <row r="1528">
          <cell r="A1528" t="str">
            <v>01-11-2021</v>
          </cell>
          <cell r="B1528" t="str">
            <v>Creatine</v>
          </cell>
          <cell r="C1528" t="str">
            <v>Performance</v>
          </cell>
          <cell r="D1528">
            <v>161</v>
          </cell>
          <cell r="E1528">
            <v>16.54</v>
          </cell>
          <cell r="F1528">
            <v>2662.94</v>
          </cell>
          <cell r="G1528">
            <v>0.17</v>
          </cell>
          <cell r="H1528">
            <v>2</v>
          </cell>
          <cell r="I1528" t="str">
            <v>Canada</v>
          </cell>
          <cell r="J1528" t="str">
            <v>Walmart</v>
          </cell>
        </row>
        <row r="1529">
          <cell r="A1529" t="str">
            <v>01-11-2021</v>
          </cell>
          <cell r="B1529" t="str">
            <v>Zinc</v>
          </cell>
          <cell r="C1529" t="str">
            <v>Mineral</v>
          </cell>
          <cell r="D1529">
            <v>161</v>
          </cell>
          <cell r="E1529">
            <v>41.26</v>
          </cell>
          <cell r="F1529">
            <v>6642.86</v>
          </cell>
          <cell r="G1529">
            <v>0.25</v>
          </cell>
          <cell r="H1529">
            <v>2</v>
          </cell>
          <cell r="I1529" t="str">
            <v>UK</v>
          </cell>
          <cell r="J1529" t="str">
            <v>Walmart</v>
          </cell>
        </row>
        <row r="1530">
          <cell r="A1530" t="str">
            <v>01-11-2021</v>
          </cell>
          <cell r="B1530" t="str">
            <v>Collagen Peptides</v>
          </cell>
          <cell r="C1530" t="str">
            <v>Protein</v>
          </cell>
          <cell r="D1530">
            <v>133</v>
          </cell>
          <cell r="E1530">
            <v>22.59</v>
          </cell>
          <cell r="F1530">
            <v>3004.47</v>
          </cell>
          <cell r="G1530">
            <v>0.19</v>
          </cell>
          <cell r="H1530">
            <v>4</v>
          </cell>
          <cell r="I1530" t="str">
            <v>Canada</v>
          </cell>
          <cell r="J1530" t="str">
            <v>Walmart</v>
          </cell>
        </row>
        <row r="1531">
          <cell r="A1531" t="str">
            <v>01-11-2021</v>
          </cell>
          <cell r="B1531" t="str">
            <v>Magnesium</v>
          </cell>
          <cell r="C1531" t="str">
            <v>Mineral</v>
          </cell>
          <cell r="D1531">
            <v>157</v>
          </cell>
          <cell r="E1531">
            <v>33.020000000000003</v>
          </cell>
          <cell r="F1531">
            <v>5184.1400000000003</v>
          </cell>
          <cell r="G1531">
            <v>0.09</v>
          </cell>
          <cell r="H1531">
            <v>1</v>
          </cell>
          <cell r="I1531" t="str">
            <v>Canada</v>
          </cell>
          <cell r="J1531" t="str">
            <v>Amazon</v>
          </cell>
        </row>
        <row r="1532">
          <cell r="A1532" t="str">
            <v>01-11-2021</v>
          </cell>
          <cell r="B1532" t="str">
            <v>Ashwagandha</v>
          </cell>
          <cell r="C1532" t="str">
            <v>Herbal</v>
          </cell>
          <cell r="D1532">
            <v>155</v>
          </cell>
          <cell r="E1532">
            <v>43.93</v>
          </cell>
          <cell r="F1532">
            <v>6809.15</v>
          </cell>
          <cell r="G1532">
            <v>0.05</v>
          </cell>
          <cell r="H1532">
            <v>1</v>
          </cell>
          <cell r="I1532" t="str">
            <v>UK</v>
          </cell>
          <cell r="J1532" t="str">
            <v>Walmart</v>
          </cell>
        </row>
        <row r="1533">
          <cell r="A1533" t="str">
            <v>01-11-2021</v>
          </cell>
          <cell r="B1533" t="str">
            <v>Melatonin</v>
          </cell>
          <cell r="C1533" t="str">
            <v>Sleep Aid</v>
          </cell>
          <cell r="D1533">
            <v>161</v>
          </cell>
          <cell r="E1533">
            <v>36.83</v>
          </cell>
          <cell r="F1533">
            <v>5929.63</v>
          </cell>
          <cell r="G1533">
            <v>0.19</v>
          </cell>
          <cell r="H1533">
            <v>2</v>
          </cell>
          <cell r="I1533" t="str">
            <v>Canada</v>
          </cell>
          <cell r="J1533" t="str">
            <v>Walmart</v>
          </cell>
        </row>
        <row r="1534">
          <cell r="A1534" t="str">
            <v>01-11-2021</v>
          </cell>
          <cell r="B1534" t="str">
            <v>Biotin</v>
          </cell>
          <cell r="C1534" t="str">
            <v>Vitamin</v>
          </cell>
          <cell r="D1534">
            <v>147</v>
          </cell>
          <cell r="E1534">
            <v>18.13</v>
          </cell>
          <cell r="F1534">
            <v>2665.11</v>
          </cell>
          <cell r="G1534">
            <v>0.25</v>
          </cell>
          <cell r="H1534">
            <v>0</v>
          </cell>
          <cell r="I1534" t="str">
            <v>Canada</v>
          </cell>
          <cell r="J1534" t="str">
            <v>iHerb</v>
          </cell>
        </row>
        <row r="1535">
          <cell r="A1535" t="str">
            <v>01-11-2021</v>
          </cell>
          <cell r="B1535" t="str">
            <v>Green Tea Extract</v>
          </cell>
          <cell r="C1535" t="str">
            <v>Fat Burner</v>
          </cell>
          <cell r="D1535">
            <v>140</v>
          </cell>
          <cell r="E1535">
            <v>50.55</v>
          </cell>
          <cell r="F1535">
            <v>7077</v>
          </cell>
          <cell r="G1535">
            <v>0.21</v>
          </cell>
          <cell r="H1535">
            <v>5</v>
          </cell>
          <cell r="I1535" t="str">
            <v>Canada</v>
          </cell>
          <cell r="J1535" t="str">
            <v>iHerb</v>
          </cell>
        </row>
        <row r="1536">
          <cell r="A1536" t="str">
            <v>01-11-2021</v>
          </cell>
          <cell r="B1536" t="str">
            <v>Iron Supplement</v>
          </cell>
          <cell r="C1536" t="str">
            <v>Mineral</v>
          </cell>
          <cell r="D1536">
            <v>142</v>
          </cell>
          <cell r="E1536">
            <v>15.77</v>
          </cell>
          <cell r="F1536">
            <v>2239.34</v>
          </cell>
          <cell r="G1536">
            <v>0.1</v>
          </cell>
          <cell r="H1536">
            <v>3</v>
          </cell>
          <cell r="I1536" t="str">
            <v>UK</v>
          </cell>
          <cell r="J1536" t="str">
            <v>Amazon</v>
          </cell>
        </row>
        <row r="1537">
          <cell r="A1537" t="str">
            <v>01-11-2021</v>
          </cell>
          <cell r="B1537" t="str">
            <v>Electrolyte Powder</v>
          </cell>
          <cell r="C1537" t="str">
            <v>Hydration</v>
          </cell>
          <cell r="D1537">
            <v>145</v>
          </cell>
          <cell r="E1537">
            <v>35.19</v>
          </cell>
          <cell r="F1537">
            <v>5102.55</v>
          </cell>
          <cell r="G1537">
            <v>0.16</v>
          </cell>
          <cell r="H1537">
            <v>4</v>
          </cell>
          <cell r="I1537" t="str">
            <v>USA</v>
          </cell>
          <cell r="J1537" t="str">
            <v>Amazon</v>
          </cell>
        </row>
        <row r="1538">
          <cell r="A1538" t="str">
            <v>08-11-2021</v>
          </cell>
          <cell r="B1538" t="str">
            <v>Whey Protein</v>
          </cell>
          <cell r="C1538" t="str">
            <v>Protein</v>
          </cell>
          <cell r="D1538">
            <v>124</v>
          </cell>
          <cell r="E1538">
            <v>53.15</v>
          </cell>
          <cell r="F1538">
            <v>6590.6</v>
          </cell>
          <cell r="G1538">
            <v>0.12</v>
          </cell>
          <cell r="H1538">
            <v>0</v>
          </cell>
          <cell r="I1538" t="str">
            <v>USA</v>
          </cell>
          <cell r="J1538" t="str">
            <v>Walmart</v>
          </cell>
        </row>
        <row r="1539">
          <cell r="A1539" t="str">
            <v>08-11-2021</v>
          </cell>
          <cell r="B1539" t="str">
            <v>Vitamin C</v>
          </cell>
          <cell r="C1539" t="str">
            <v>Vitamin</v>
          </cell>
          <cell r="D1539">
            <v>152</v>
          </cell>
          <cell r="E1539">
            <v>17.75</v>
          </cell>
          <cell r="F1539">
            <v>2698</v>
          </cell>
          <cell r="G1539">
            <v>0.21</v>
          </cell>
          <cell r="H1539">
            <v>1</v>
          </cell>
          <cell r="I1539" t="str">
            <v>Canada</v>
          </cell>
          <cell r="J1539" t="str">
            <v>iHerb</v>
          </cell>
        </row>
        <row r="1540">
          <cell r="A1540" t="str">
            <v>08-11-2021</v>
          </cell>
          <cell r="B1540" t="str">
            <v>Fish Oil</v>
          </cell>
          <cell r="C1540" t="str">
            <v>Omega</v>
          </cell>
          <cell r="D1540">
            <v>173</v>
          </cell>
          <cell r="E1540">
            <v>44.65</v>
          </cell>
          <cell r="F1540">
            <v>7724.45</v>
          </cell>
          <cell r="G1540">
            <v>0</v>
          </cell>
          <cell r="H1540">
            <v>1</v>
          </cell>
          <cell r="I1540" t="str">
            <v>USA</v>
          </cell>
          <cell r="J1540" t="str">
            <v>iHerb</v>
          </cell>
        </row>
        <row r="1541">
          <cell r="A1541" t="str">
            <v>08-11-2021</v>
          </cell>
          <cell r="B1541" t="str">
            <v>Multivitamin</v>
          </cell>
          <cell r="C1541" t="str">
            <v>Vitamin</v>
          </cell>
          <cell r="D1541">
            <v>137</v>
          </cell>
          <cell r="E1541">
            <v>35.840000000000003</v>
          </cell>
          <cell r="F1541">
            <v>4910.08</v>
          </cell>
          <cell r="G1541">
            <v>7.0000000000000007E-2</v>
          </cell>
          <cell r="H1541">
            <v>0</v>
          </cell>
          <cell r="I1541" t="str">
            <v>USA</v>
          </cell>
          <cell r="J1541" t="str">
            <v>Walmart</v>
          </cell>
        </row>
        <row r="1542">
          <cell r="A1542" t="str">
            <v>08-11-2021</v>
          </cell>
          <cell r="B1542" t="str">
            <v>Pre-Workout</v>
          </cell>
          <cell r="C1542" t="str">
            <v>Performance</v>
          </cell>
          <cell r="D1542">
            <v>153</v>
          </cell>
          <cell r="E1542">
            <v>12.91</v>
          </cell>
          <cell r="F1542">
            <v>1975.23</v>
          </cell>
          <cell r="G1542">
            <v>0.09</v>
          </cell>
          <cell r="H1542">
            <v>2</v>
          </cell>
          <cell r="I1542" t="str">
            <v>UK</v>
          </cell>
          <cell r="J1542" t="str">
            <v>Amazon</v>
          </cell>
        </row>
        <row r="1543">
          <cell r="A1543" t="str">
            <v>08-11-2021</v>
          </cell>
          <cell r="B1543" t="str">
            <v>BCAA</v>
          </cell>
          <cell r="C1543" t="str">
            <v>Amino Acid</v>
          </cell>
          <cell r="D1543">
            <v>152</v>
          </cell>
          <cell r="E1543">
            <v>38.29</v>
          </cell>
          <cell r="F1543">
            <v>5820.08</v>
          </cell>
          <cell r="G1543">
            <v>0.09</v>
          </cell>
          <cell r="H1543">
            <v>4</v>
          </cell>
          <cell r="I1543" t="str">
            <v>USA</v>
          </cell>
          <cell r="J1543" t="str">
            <v>Amazon</v>
          </cell>
        </row>
        <row r="1544">
          <cell r="A1544" t="str">
            <v>08-11-2021</v>
          </cell>
          <cell r="B1544" t="str">
            <v>Creatine</v>
          </cell>
          <cell r="C1544" t="str">
            <v>Performance</v>
          </cell>
          <cell r="D1544">
            <v>124</v>
          </cell>
          <cell r="E1544">
            <v>54.56</v>
          </cell>
          <cell r="F1544">
            <v>6765.44</v>
          </cell>
          <cell r="G1544">
            <v>0.2</v>
          </cell>
          <cell r="H1544">
            <v>0</v>
          </cell>
          <cell r="I1544" t="str">
            <v>USA</v>
          </cell>
          <cell r="J1544" t="str">
            <v>Walmart</v>
          </cell>
        </row>
        <row r="1545">
          <cell r="A1545" t="str">
            <v>08-11-2021</v>
          </cell>
          <cell r="B1545" t="str">
            <v>Zinc</v>
          </cell>
          <cell r="C1545" t="str">
            <v>Mineral</v>
          </cell>
          <cell r="D1545">
            <v>142</v>
          </cell>
          <cell r="E1545">
            <v>14.21</v>
          </cell>
          <cell r="F1545">
            <v>2017.82</v>
          </cell>
          <cell r="G1545">
            <v>0.2</v>
          </cell>
          <cell r="H1545">
            <v>2</v>
          </cell>
          <cell r="I1545" t="str">
            <v>USA</v>
          </cell>
          <cell r="J1545" t="str">
            <v>Amazon</v>
          </cell>
        </row>
        <row r="1546">
          <cell r="A1546" t="str">
            <v>08-11-2021</v>
          </cell>
          <cell r="B1546" t="str">
            <v>Collagen Peptides</v>
          </cell>
          <cell r="C1546" t="str">
            <v>Protein</v>
          </cell>
          <cell r="D1546">
            <v>159</v>
          </cell>
          <cell r="E1546">
            <v>45.89</v>
          </cell>
          <cell r="F1546">
            <v>7296.51</v>
          </cell>
          <cell r="G1546">
            <v>0.17</v>
          </cell>
          <cell r="H1546">
            <v>3</v>
          </cell>
          <cell r="I1546" t="str">
            <v>Canada</v>
          </cell>
          <cell r="J1546" t="str">
            <v>iHerb</v>
          </cell>
        </row>
        <row r="1547">
          <cell r="A1547" t="str">
            <v>08-11-2021</v>
          </cell>
          <cell r="B1547" t="str">
            <v>Magnesium</v>
          </cell>
          <cell r="C1547" t="str">
            <v>Mineral</v>
          </cell>
          <cell r="D1547">
            <v>119</v>
          </cell>
          <cell r="E1547">
            <v>28.65</v>
          </cell>
          <cell r="F1547">
            <v>3409.35</v>
          </cell>
          <cell r="G1547">
            <v>0.04</v>
          </cell>
          <cell r="H1547">
            <v>1</v>
          </cell>
          <cell r="I1547" t="str">
            <v>Canada</v>
          </cell>
          <cell r="J1547" t="str">
            <v>iHerb</v>
          </cell>
        </row>
        <row r="1548">
          <cell r="A1548" t="str">
            <v>08-11-2021</v>
          </cell>
          <cell r="B1548" t="str">
            <v>Ashwagandha</v>
          </cell>
          <cell r="C1548" t="str">
            <v>Herbal</v>
          </cell>
          <cell r="D1548">
            <v>171</v>
          </cell>
          <cell r="E1548">
            <v>52.25</v>
          </cell>
          <cell r="F1548">
            <v>8934.75</v>
          </cell>
          <cell r="G1548">
            <v>0</v>
          </cell>
          <cell r="H1548">
            <v>0</v>
          </cell>
          <cell r="I1548" t="str">
            <v>UK</v>
          </cell>
          <cell r="J1548" t="str">
            <v>Walmart</v>
          </cell>
        </row>
        <row r="1549">
          <cell r="A1549" t="str">
            <v>08-11-2021</v>
          </cell>
          <cell r="B1549" t="str">
            <v>Melatonin</v>
          </cell>
          <cell r="C1549" t="str">
            <v>Sleep Aid</v>
          </cell>
          <cell r="D1549">
            <v>169</v>
          </cell>
          <cell r="E1549">
            <v>40.32</v>
          </cell>
          <cell r="F1549">
            <v>6814.08</v>
          </cell>
          <cell r="G1549">
            <v>0.11</v>
          </cell>
          <cell r="H1549">
            <v>4</v>
          </cell>
          <cell r="I1549" t="str">
            <v>UK</v>
          </cell>
          <cell r="J1549" t="str">
            <v>Walmart</v>
          </cell>
        </row>
        <row r="1550">
          <cell r="A1550" t="str">
            <v>08-11-2021</v>
          </cell>
          <cell r="B1550" t="str">
            <v>Biotin</v>
          </cell>
          <cell r="C1550" t="str">
            <v>Vitamin</v>
          </cell>
          <cell r="D1550">
            <v>133</v>
          </cell>
          <cell r="E1550">
            <v>11.48</v>
          </cell>
          <cell r="F1550">
            <v>1526.84</v>
          </cell>
          <cell r="G1550">
            <v>0.11</v>
          </cell>
          <cell r="H1550">
            <v>1</v>
          </cell>
          <cell r="I1550" t="str">
            <v>Canada</v>
          </cell>
          <cell r="J1550" t="str">
            <v>Walmart</v>
          </cell>
        </row>
        <row r="1551">
          <cell r="A1551" t="str">
            <v>08-11-2021</v>
          </cell>
          <cell r="B1551" t="str">
            <v>Green Tea Extract</v>
          </cell>
          <cell r="C1551" t="str">
            <v>Fat Burner</v>
          </cell>
          <cell r="D1551">
            <v>166</v>
          </cell>
          <cell r="E1551">
            <v>40.700000000000003</v>
          </cell>
          <cell r="F1551">
            <v>6756.2</v>
          </cell>
          <cell r="G1551">
            <v>0.13</v>
          </cell>
          <cell r="H1551">
            <v>0</v>
          </cell>
          <cell r="I1551" t="str">
            <v>UK</v>
          </cell>
          <cell r="J1551" t="str">
            <v>Walmart</v>
          </cell>
        </row>
        <row r="1552">
          <cell r="A1552" t="str">
            <v>08-11-2021</v>
          </cell>
          <cell r="B1552" t="str">
            <v>Iron Supplement</v>
          </cell>
          <cell r="C1552" t="str">
            <v>Mineral</v>
          </cell>
          <cell r="D1552">
            <v>163</v>
          </cell>
          <cell r="E1552">
            <v>21.37</v>
          </cell>
          <cell r="F1552">
            <v>3483.31</v>
          </cell>
          <cell r="G1552">
            <v>0</v>
          </cell>
          <cell r="H1552">
            <v>1</v>
          </cell>
          <cell r="I1552" t="str">
            <v>Canada</v>
          </cell>
          <cell r="J1552" t="str">
            <v>Amazon</v>
          </cell>
        </row>
        <row r="1553">
          <cell r="A1553" t="str">
            <v>08-11-2021</v>
          </cell>
          <cell r="B1553" t="str">
            <v>Electrolyte Powder</v>
          </cell>
          <cell r="C1553" t="str">
            <v>Hydration</v>
          </cell>
          <cell r="D1553">
            <v>132</v>
          </cell>
          <cell r="E1553">
            <v>43.86</v>
          </cell>
          <cell r="F1553">
            <v>5789.52</v>
          </cell>
          <cell r="G1553">
            <v>0.22</v>
          </cell>
          <cell r="H1553">
            <v>2</v>
          </cell>
          <cell r="I1553" t="str">
            <v>Canada</v>
          </cell>
          <cell r="J1553" t="str">
            <v>iHerb</v>
          </cell>
        </row>
        <row r="1554">
          <cell r="A1554" t="str">
            <v>15-11-2021</v>
          </cell>
          <cell r="B1554" t="str">
            <v>Whey Protein</v>
          </cell>
          <cell r="C1554" t="str">
            <v>Protein</v>
          </cell>
          <cell r="D1554">
            <v>174</v>
          </cell>
          <cell r="E1554">
            <v>10.61</v>
          </cell>
          <cell r="F1554">
            <v>1846.14</v>
          </cell>
          <cell r="G1554">
            <v>0.17</v>
          </cell>
          <cell r="H1554">
            <v>1</v>
          </cell>
          <cell r="I1554" t="str">
            <v>UK</v>
          </cell>
          <cell r="J1554" t="str">
            <v>Walmart</v>
          </cell>
        </row>
        <row r="1555">
          <cell r="A1555" t="str">
            <v>15-11-2021</v>
          </cell>
          <cell r="B1555" t="str">
            <v>Vitamin C</v>
          </cell>
          <cell r="C1555" t="str">
            <v>Vitamin</v>
          </cell>
          <cell r="D1555">
            <v>141</v>
          </cell>
          <cell r="E1555">
            <v>23.49</v>
          </cell>
          <cell r="F1555">
            <v>3312.09</v>
          </cell>
          <cell r="G1555">
            <v>0.13</v>
          </cell>
          <cell r="H1555">
            <v>1</v>
          </cell>
          <cell r="I1555" t="str">
            <v>UK</v>
          </cell>
          <cell r="J1555" t="str">
            <v>Walmart</v>
          </cell>
        </row>
        <row r="1556">
          <cell r="A1556" t="str">
            <v>15-11-2021</v>
          </cell>
          <cell r="B1556" t="str">
            <v>Fish Oil</v>
          </cell>
          <cell r="C1556" t="str">
            <v>Omega</v>
          </cell>
          <cell r="D1556">
            <v>150</v>
          </cell>
          <cell r="E1556">
            <v>29.36</v>
          </cell>
          <cell r="F1556">
            <v>4404</v>
          </cell>
          <cell r="G1556">
            <v>0.06</v>
          </cell>
          <cell r="H1556">
            <v>0</v>
          </cell>
          <cell r="I1556" t="str">
            <v>Canada</v>
          </cell>
          <cell r="J1556" t="str">
            <v>Walmart</v>
          </cell>
        </row>
        <row r="1557">
          <cell r="A1557" t="str">
            <v>15-11-2021</v>
          </cell>
          <cell r="B1557" t="str">
            <v>Multivitamin</v>
          </cell>
          <cell r="C1557" t="str">
            <v>Vitamin</v>
          </cell>
          <cell r="D1557">
            <v>144</v>
          </cell>
          <cell r="E1557">
            <v>47.84</v>
          </cell>
          <cell r="F1557">
            <v>6888.96</v>
          </cell>
          <cell r="G1557">
            <v>0.17</v>
          </cell>
          <cell r="H1557">
            <v>0</v>
          </cell>
          <cell r="I1557" t="str">
            <v>USA</v>
          </cell>
          <cell r="J1557" t="str">
            <v>iHerb</v>
          </cell>
        </row>
        <row r="1558">
          <cell r="A1558" t="str">
            <v>15-11-2021</v>
          </cell>
          <cell r="B1558" t="str">
            <v>Pre-Workout</v>
          </cell>
          <cell r="C1558" t="str">
            <v>Performance</v>
          </cell>
          <cell r="D1558">
            <v>153</v>
          </cell>
          <cell r="E1558">
            <v>34.21</v>
          </cell>
          <cell r="F1558">
            <v>5234.13</v>
          </cell>
          <cell r="G1558">
            <v>0.14000000000000001</v>
          </cell>
          <cell r="H1558">
            <v>1</v>
          </cell>
          <cell r="I1558" t="str">
            <v>USA</v>
          </cell>
          <cell r="J1558" t="str">
            <v>Walmart</v>
          </cell>
        </row>
        <row r="1559">
          <cell r="A1559" t="str">
            <v>15-11-2021</v>
          </cell>
          <cell r="B1559" t="str">
            <v>BCAA</v>
          </cell>
          <cell r="C1559" t="str">
            <v>Amino Acid</v>
          </cell>
          <cell r="D1559">
            <v>152</v>
          </cell>
          <cell r="E1559">
            <v>15.48</v>
          </cell>
          <cell r="F1559">
            <v>2352.96</v>
          </cell>
          <cell r="G1559">
            <v>0.19</v>
          </cell>
          <cell r="H1559">
            <v>0</v>
          </cell>
          <cell r="I1559" t="str">
            <v>USA</v>
          </cell>
          <cell r="J1559" t="str">
            <v>iHerb</v>
          </cell>
        </row>
        <row r="1560">
          <cell r="A1560" t="str">
            <v>15-11-2021</v>
          </cell>
          <cell r="B1560" t="str">
            <v>Creatine</v>
          </cell>
          <cell r="C1560" t="str">
            <v>Performance</v>
          </cell>
          <cell r="D1560">
            <v>180</v>
          </cell>
          <cell r="E1560">
            <v>32.159999999999997</v>
          </cell>
          <cell r="F1560">
            <v>5788.8</v>
          </cell>
          <cell r="G1560">
            <v>0.05</v>
          </cell>
          <cell r="H1560">
            <v>2</v>
          </cell>
          <cell r="I1560" t="str">
            <v>UK</v>
          </cell>
          <cell r="J1560" t="str">
            <v>Walmart</v>
          </cell>
        </row>
        <row r="1561">
          <cell r="A1561" t="str">
            <v>15-11-2021</v>
          </cell>
          <cell r="B1561" t="str">
            <v>Zinc</v>
          </cell>
          <cell r="C1561" t="str">
            <v>Mineral</v>
          </cell>
          <cell r="D1561">
            <v>155</v>
          </cell>
          <cell r="E1561">
            <v>40.17</v>
          </cell>
          <cell r="F1561">
            <v>6226.35</v>
          </cell>
          <cell r="G1561">
            <v>0.08</v>
          </cell>
          <cell r="H1561">
            <v>3</v>
          </cell>
          <cell r="I1561" t="str">
            <v>USA</v>
          </cell>
          <cell r="J1561" t="str">
            <v>Amazon</v>
          </cell>
        </row>
        <row r="1562">
          <cell r="A1562" t="str">
            <v>15-11-2021</v>
          </cell>
          <cell r="B1562" t="str">
            <v>Collagen Peptides</v>
          </cell>
          <cell r="C1562" t="str">
            <v>Protein</v>
          </cell>
          <cell r="D1562">
            <v>166</v>
          </cell>
          <cell r="E1562">
            <v>26.24</v>
          </cell>
          <cell r="F1562">
            <v>4355.84</v>
          </cell>
          <cell r="G1562">
            <v>7.0000000000000007E-2</v>
          </cell>
          <cell r="H1562">
            <v>0</v>
          </cell>
          <cell r="I1562" t="str">
            <v>UK</v>
          </cell>
          <cell r="J1562" t="str">
            <v>Amazon</v>
          </cell>
        </row>
        <row r="1563">
          <cell r="A1563" t="str">
            <v>15-11-2021</v>
          </cell>
          <cell r="B1563" t="str">
            <v>Magnesium</v>
          </cell>
          <cell r="C1563" t="str">
            <v>Mineral</v>
          </cell>
          <cell r="D1563">
            <v>163</v>
          </cell>
          <cell r="E1563">
            <v>26.26</v>
          </cell>
          <cell r="F1563">
            <v>4280.38</v>
          </cell>
          <cell r="G1563">
            <v>0.12</v>
          </cell>
          <cell r="H1563">
            <v>3</v>
          </cell>
          <cell r="I1563" t="str">
            <v>USA</v>
          </cell>
          <cell r="J1563" t="str">
            <v>iHerb</v>
          </cell>
        </row>
        <row r="1564">
          <cell r="A1564" t="str">
            <v>15-11-2021</v>
          </cell>
          <cell r="B1564" t="str">
            <v>Ashwagandha</v>
          </cell>
          <cell r="C1564" t="str">
            <v>Herbal</v>
          </cell>
          <cell r="D1564">
            <v>134</v>
          </cell>
          <cell r="E1564">
            <v>54.88</v>
          </cell>
          <cell r="F1564">
            <v>7353.92</v>
          </cell>
          <cell r="G1564">
            <v>0.24</v>
          </cell>
          <cell r="H1564">
            <v>1</v>
          </cell>
          <cell r="I1564" t="str">
            <v>USA</v>
          </cell>
          <cell r="J1564" t="str">
            <v>Amazon</v>
          </cell>
        </row>
        <row r="1565">
          <cell r="A1565" t="str">
            <v>15-11-2021</v>
          </cell>
          <cell r="B1565" t="str">
            <v>Melatonin</v>
          </cell>
          <cell r="C1565" t="str">
            <v>Sleep Aid</v>
          </cell>
          <cell r="D1565">
            <v>139</v>
          </cell>
          <cell r="E1565">
            <v>26.65</v>
          </cell>
          <cell r="F1565">
            <v>3704.35</v>
          </cell>
          <cell r="G1565">
            <v>0.04</v>
          </cell>
          <cell r="H1565">
            <v>2</v>
          </cell>
          <cell r="I1565" t="str">
            <v>UK</v>
          </cell>
          <cell r="J1565" t="str">
            <v>Walmart</v>
          </cell>
        </row>
        <row r="1566">
          <cell r="A1566" t="str">
            <v>15-11-2021</v>
          </cell>
          <cell r="B1566" t="str">
            <v>Biotin</v>
          </cell>
          <cell r="C1566" t="str">
            <v>Vitamin</v>
          </cell>
          <cell r="D1566">
            <v>149</v>
          </cell>
          <cell r="E1566">
            <v>11.61</v>
          </cell>
          <cell r="F1566">
            <v>1729.89</v>
          </cell>
          <cell r="G1566">
            <v>0.16</v>
          </cell>
          <cell r="H1566">
            <v>2</v>
          </cell>
          <cell r="I1566" t="str">
            <v>Canada</v>
          </cell>
          <cell r="J1566" t="str">
            <v>Amazon</v>
          </cell>
        </row>
        <row r="1567">
          <cell r="A1567" t="str">
            <v>15-11-2021</v>
          </cell>
          <cell r="B1567" t="str">
            <v>Green Tea Extract</v>
          </cell>
          <cell r="C1567" t="str">
            <v>Fat Burner</v>
          </cell>
          <cell r="D1567">
            <v>144</v>
          </cell>
          <cell r="E1567">
            <v>10.7</v>
          </cell>
          <cell r="F1567">
            <v>1540.8</v>
          </cell>
          <cell r="G1567">
            <v>0</v>
          </cell>
          <cell r="H1567">
            <v>1</v>
          </cell>
          <cell r="I1567" t="str">
            <v>UK</v>
          </cell>
          <cell r="J1567" t="str">
            <v>iHerb</v>
          </cell>
        </row>
        <row r="1568">
          <cell r="A1568" t="str">
            <v>15-11-2021</v>
          </cell>
          <cell r="B1568" t="str">
            <v>Iron Supplement</v>
          </cell>
          <cell r="C1568" t="str">
            <v>Mineral</v>
          </cell>
          <cell r="D1568">
            <v>131</v>
          </cell>
          <cell r="E1568">
            <v>18.850000000000001</v>
          </cell>
          <cell r="F1568">
            <v>2469.35</v>
          </cell>
          <cell r="G1568">
            <v>0.01</v>
          </cell>
          <cell r="H1568">
            <v>3</v>
          </cell>
          <cell r="I1568" t="str">
            <v>Canada</v>
          </cell>
          <cell r="J1568" t="str">
            <v>Amazon</v>
          </cell>
        </row>
        <row r="1569">
          <cell r="A1569" t="str">
            <v>15-11-2021</v>
          </cell>
          <cell r="B1569" t="str">
            <v>Electrolyte Powder</v>
          </cell>
          <cell r="C1569" t="str">
            <v>Hydration</v>
          </cell>
          <cell r="D1569">
            <v>168</v>
          </cell>
          <cell r="E1569">
            <v>43.61</v>
          </cell>
          <cell r="F1569">
            <v>7326.48</v>
          </cell>
          <cell r="G1569">
            <v>0</v>
          </cell>
          <cell r="H1569">
            <v>5</v>
          </cell>
          <cell r="I1569" t="str">
            <v>USA</v>
          </cell>
          <cell r="J1569" t="str">
            <v>iHerb</v>
          </cell>
        </row>
        <row r="1570">
          <cell r="A1570" t="str">
            <v>22-11-2021</v>
          </cell>
          <cell r="B1570" t="str">
            <v>Whey Protein</v>
          </cell>
          <cell r="C1570" t="str">
            <v>Protein</v>
          </cell>
          <cell r="D1570">
            <v>156</v>
          </cell>
          <cell r="E1570">
            <v>54.68</v>
          </cell>
          <cell r="F1570">
            <v>8530.08</v>
          </cell>
          <cell r="G1570">
            <v>7.0000000000000007E-2</v>
          </cell>
          <cell r="H1570">
            <v>2</v>
          </cell>
          <cell r="I1570" t="str">
            <v>Canada</v>
          </cell>
          <cell r="J1570" t="str">
            <v>iHerb</v>
          </cell>
        </row>
        <row r="1571">
          <cell r="A1571" t="str">
            <v>22-11-2021</v>
          </cell>
          <cell r="B1571" t="str">
            <v>Vitamin C</v>
          </cell>
          <cell r="C1571" t="str">
            <v>Vitamin</v>
          </cell>
          <cell r="D1571">
            <v>135</v>
          </cell>
          <cell r="E1571">
            <v>37.909999999999997</v>
          </cell>
          <cell r="F1571">
            <v>5117.8500000000004</v>
          </cell>
          <cell r="G1571">
            <v>0.19</v>
          </cell>
          <cell r="H1571">
            <v>2</v>
          </cell>
          <cell r="I1571" t="str">
            <v>UK</v>
          </cell>
          <cell r="J1571" t="str">
            <v>Amazon</v>
          </cell>
        </row>
        <row r="1572">
          <cell r="A1572" t="str">
            <v>22-11-2021</v>
          </cell>
          <cell r="B1572" t="str">
            <v>Fish Oil</v>
          </cell>
          <cell r="C1572" t="str">
            <v>Omega</v>
          </cell>
          <cell r="D1572">
            <v>140</v>
          </cell>
          <cell r="E1572">
            <v>47.86</v>
          </cell>
          <cell r="F1572">
            <v>6700.4</v>
          </cell>
          <cell r="G1572">
            <v>0.25</v>
          </cell>
          <cell r="H1572">
            <v>2</v>
          </cell>
          <cell r="I1572" t="str">
            <v>USA</v>
          </cell>
          <cell r="J1572" t="str">
            <v>Amazon</v>
          </cell>
        </row>
        <row r="1573">
          <cell r="A1573" t="str">
            <v>22-11-2021</v>
          </cell>
          <cell r="B1573" t="str">
            <v>Multivitamin</v>
          </cell>
          <cell r="C1573" t="str">
            <v>Vitamin</v>
          </cell>
          <cell r="D1573">
            <v>149</v>
          </cell>
          <cell r="E1573">
            <v>30.49</v>
          </cell>
          <cell r="F1573">
            <v>4543.01</v>
          </cell>
          <cell r="G1573">
            <v>0.13</v>
          </cell>
          <cell r="H1573">
            <v>1</v>
          </cell>
          <cell r="I1573" t="str">
            <v>USA</v>
          </cell>
          <cell r="J1573" t="str">
            <v>iHerb</v>
          </cell>
        </row>
        <row r="1574">
          <cell r="A1574" t="str">
            <v>22-11-2021</v>
          </cell>
          <cell r="B1574" t="str">
            <v>Pre-Workout</v>
          </cell>
          <cell r="C1574" t="str">
            <v>Performance</v>
          </cell>
          <cell r="D1574">
            <v>148</v>
          </cell>
          <cell r="E1574">
            <v>36.340000000000003</v>
          </cell>
          <cell r="F1574">
            <v>5378.32</v>
          </cell>
          <cell r="G1574">
            <v>0.08</v>
          </cell>
          <cell r="H1574">
            <v>1</v>
          </cell>
          <cell r="I1574" t="str">
            <v>Canada</v>
          </cell>
          <cell r="J1574" t="str">
            <v>Amazon</v>
          </cell>
        </row>
        <row r="1575">
          <cell r="A1575" t="str">
            <v>22-11-2021</v>
          </cell>
          <cell r="B1575" t="str">
            <v>BCAA</v>
          </cell>
          <cell r="C1575" t="str">
            <v>Amino Acid</v>
          </cell>
          <cell r="D1575">
            <v>140</v>
          </cell>
          <cell r="E1575">
            <v>42.69</v>
          </cell>
          <cell r="F1575">
            <v>5976.6</v>
          </cell>
          <cell r="G1575">
            <v>0.17</v>
          </cell>
          <cell r="H1575">
            <v>2</v>
          </cell>
          <cell r="I1575" t="str">
            <v>Canada</v>
          </cell>
          <cell r="J1575" t="str">
            <v>Walmart</v>
          </cell>
        </row>
        <row r="1576">
          <cell r="A1576" t="str">
            <v>22-11-2021</v>
          </cell>
          <cell r="B1576" t="str">
            <v>Creatine</v>
          </cell>
          <cell r="C1576" t="str">
            <v>Performance</v>
          </cell>
          <cell r="D1576">
            <v>150</v>
          </cell>
          <cell r="E1576">
            <v>56.82</v>
          </cell>
          <cell r="F1576">
            <v>8523</v>
          </cell>
          <cell r="G1576">
            <v>0.2</v>
          </cell>
          <cell r="H1576">
            <v>2</v>
          </cell>
          <cell r="I1576" t="str">
            <v>USA</v>
          </cell>
          <cell r="J1576" t="str">
            <v>Walmart</v>
          </cell>
        </row>
        <row r="1577">
          <cell r="A1577" t="str">
            <v>22-11-2021</v>
          </cell>
          <cell r="B1577" t="str">
            <v>Zinc</v>
          </cell>
          <cell r="C1577" t="str">
            <v>Mineral</v>
          </cell>
          <cell r="D1577">
            <v>142</v>
          </cell>
          <cell r="E1577">
            <v>32.11</v>
          </cell>
          <cell r="F1577">
            <v>4559.62</v>
          </cell>
          <cell r="G1577">
            <v>0.01</v>
          </cell>
          <cell r="H1577">
            <v>4</v>
          </cell>
          <cell r="I1577" t="str">
            <v>USA</v>
          </cell>
          <cell r="J1577" t="str">
            <v>iHerb</v>
          </cell>
        </row>
        <row r="1578">
          <cell r="A1578" t="str">
            <v>22-11-2021</v>
          </cell>
          <cell r="B1578" t="str">
            <v>Collagen Peptides</v>
          </cell>
          <cell r="C1578" t="str">
            <v>Protein</v>
          </cell>
          <cell r="D1578">
            <v>153</v>
          </cell>
          <cell r="E1578">
            <v>42.79</v>
          </cell>
          <cell r="F1578">
            <v>6546.87</v>
          </cell>
          <cell r="G1578">
            <v>0.12</v>
          </cell>
          <cell r="H1578">
            <v>0</v>
          </cell>
          <cell r="I1578" t="str">
            <v>USA</v>
          </cell>
          <cell r="J1578" t="str">
            <v>Walmart</v>
          </cell>
        </row>
        <row r="1579">
          <cell r="A1579" t="str">
            <v>22-11-2021</v>
          </cell>
          <cell r="B1579" t="str">
            <v>Magnesium</v>
          </cell>
          <cell r="C1579" t="str">
            <v>Mineral</v>
          </cell>
          <cell r="D1579">
            <v>154</v>
          </cell>
          <cell r="E1579">
            <v>30.84</v>
          </cell>
          <cell r="F1579">
            <v>4749.3599999999997</v>
          </cell>
          <cell r="G1579">
            <v>0.19</v>
          </cell>
          <cell r="H1579">
            <v>1</v>
          </cell>
          <cell r="I1579" t="str">
            <v>USA</v>
          </cell>
          <cell r="J1579" t="str">
            <v>iHerb</v>
          </cell>
        </row>
        <row r="1580">
          <cell r="A1580" t="str">
            <v>22-11-2021</v>
          </cell>
          <cell r="B1580" t="str">
            <v>Ashwagandha</v>
          </cell>
          <cell r="C1580" t="str">
            <v>Herbal</v>
          </cell>
          <cell r="D1580">
            <v>139</v>
          </cell>
          <cell r="E1580">
            <v>28.6</v>
          </cell>
          <cell r="F1580">
            <v>3975.4</v>
          </cell>
          <cell r="G1580">
            <v>0.21</v>
          </cell>
          <cell r="H1580">
            <v>2</v>
          </cell>
          <cell r="I1580" t="str">
            <v>USA</v>
          </cell>
          <cell r="J1580" t="str">
            <v>iHerb</v>
          </cell>
        </row>
        <row r="1581">
          <cell r="A1581" t="str">
            <v>22-11-2021</v>
          </cell>
          <cell r="B1581" t="str">
            <v>Melatonin</v>
          </cell>
          <cell r="C1581" t="str">
            <v>Sleep Aid</v>
          </cell>
          <cell r="D1581">
            <v>146</v>
          </cell>
          <cell r="E1581">
            <v>46.04</v>
          </cell>
          <cell r="F1581">
            <v>6721.84</v>
          </cell>
          <cell r="G1581">
            <v>0.06</v>
          </cell>
          <cell r="H1581">
            <v>0</v>
          </cell>
          <cell r="I1581" t="str">
            <v>Canada</v>
          </cell>
          <cell r="J1581" t="str">
            <v>iHerb</v>
          </cell>
        </row>
        <row r="1582">
          <cell r="A1582" t="str">
            <v>22-11-2021</v>
          </cell>
          <cell r="B1582" t="str">
            <v>Biotin</v>
          </cell>
          <cell r="C1582" t="str">
            <v>Vitamin</v>
          </cell>
          <cell r="D1582">
            <v>157</v>
          </cell>
          <cell r="E1582">
            <v>23.06</v>
          </cell>
          <cell r="F1582">
            <v>3620.42</v>
          </cell>
          <cell r="G1582">
            <v>0.13</v>
          </cell>
          <cell r="H1582">
            <v>1</v>
          </cell>
          <cell r="I1582" t="str">
            <v>Canada</v>
          </cell>
          <cell r="J1582" t="str">
            <v>Walmart</v>
          </cell>
        </row>
        <row r="1583">
          <cell r="A1583" t="str">
            <v>22-11-2021</v>
          </cell>
          <cell r="B1583" t="str">
            <v>Green Tea Extract</v>
          </cell>
          <cell r="C1583" t="str">
            <v>Fat Burner</v>
          </cell>
          <cell r="D1583">
            <v>136</v>
          </cell>
          <cell r="E1583">
            <v>11.79</v>
          </cell>
          <cell r="F1583">
            <v>1603.44</v>
          </cell>
          <cell r="G1583">
            <v>0.18</v>
          </cell>
          <cell r="H1583">
            <v>1</v>
          </cell>
          <cell r="I1583" t="str">
            <v>Canada</v>
          </cell>
          <cell r="J1583" t="str">
            <v>iHerb</v>
          </cell>
        </row>
        <row r="1584">
          <cell r="A1584" t="str">
            <v>22-11-2021</v>
          </cell>
          <cell r="B1584" t="str">
            <v>Iron Supplement</v>
          </cell>
          <cell r="C1584" t="str">
            <v>Mineral</v>
          </cell>
          <cell r="D1584">
            <v>131</v>
          </cell>
          <cell r="E1584">
            <v>15.13</v>
          </cell>
          <cell r="F1584">
            <v>1982.03</v>
          </cell>
          <cell r="G1584">
            <v>0.15</v>
          </cell>
          <cell r="H1584">
            <v>0</v>
          </cell>
          <cell r="I1584" t="str">
            <v>USA</v>
          </cell>
          <cell r="J1584" t="str">
            <v>iHerb</v>
          </cell>
        </row>
        <row r="1585">
          <cell r="A1585" t="str">
            <v>22-11-2021</v>
          </cell>
          <cell r="B1585" t="str">
            <v>Electrolyte Powder</v>
          </cell>
          <cell r="C1585" t="str">
            <v>Hydration</v>
          </cell>
          <cell r="D1585">
            <v>160</v>
          </cell>
          <cell r="E1585">
            <v>22.47</v>
          </cell>
          <cell r="F1585">
            <v>3595.2</v>
          </cell>
          <cell r="G1585">
            <v>0.22</v>
          </cell>
          <cell r="H1585">
            <v>2</v>
          </cell>
          <cell r="I1585" t="str">
            <v>Canada</v>
          </cell>
          <cell r="J1585" t="str">
            <v>Walmart</v>
          </cell>
        </row>
        <row r="1586">
          <cell r="A1586" t="str">
            <v>29-11-2021</v>
          </cell>
          <cell r="B1586" t="str">
            <v>Whey Protein</v>
          </cell>
          <cell r="C1586" t="str">
            <v>Protein</v>
          </cell>
          <cell r="D1586">
            <v>128</v>
          </cell>
          <cell r="E1586">
            <v>34.65</v>
          </cell>
          <cell r="F1586">
            <v>4435.2</v>
          </cell>
          <cell r="G1586">
            <v>0.21</v>
          </cell>
          <cell r="H1586">
            <v>1</v>
          </cell>
          <cell r="I1586" t="str">
            <v>USA</v>
          </cell>
          <cell r="J1586" t="str">
            <v>iHerb</v>
          </cell>
        </row>
        <row r="1587">
          <cell r="A1587" t="str">
            <v>29-11-2021</v>
          </cell>
          <cell r="B1587" t="str">
            <v>Vitamin C</v>
          </cell>
          <cell r="C1587" t="str">
            <v>Vitamin</v>
          </cell>
          <cell r="D1587">
            <v>140</v>
          </cell>
          <cell r="E1587">
            <v>33.020000000000003</v>
          </cell>
          <cell r="F1587">
            <v>4622.8</v>
          </cell>
          <cell r="G1587">
            <v>0.01</v>
          </cell>
          <cell r="H1587">
            <v>0</v>
          </cell>
          <cell r="I1587" t="str">
            <v>Canada</v>
          </cell>
          <cell r="J1587" t="str">
            <v>iHerb</v>
          </cell>
        </row>
        <row r="1588">
          <cell r="A1588" t="str">
            <v>29-11-2021</v>
          </cell>
          <cell r="B1588" t="str">
            <v>Fish Oil</v>
          </cell>
          <cell r="C1588" t="str">
            <v>Omega</v>
          </cell>
          <cell r="D1588">
            <v>133</v>
          </cell>
          <cell r="E1588">
            <v>38.36</v>
          </cell>
          <cell r="F1588">
            <v>5101.88</v>
          </cell>
          <cell r="G1588">
            <v>0.14000000000000001</v>
          </cell>
          <cell r="H1588">
            <v>0</v>
          </cell>
          <cell r="I1588" t="str">
            <v>Canada</v>
          </cell>
          <cell r="J1588" t="str">
            <v>Amazon</v>
          </cell>
        </row>
        <row r="1589">
          <cell r="A1589" t="str">
            <v>29-11-2021</v>
          </cell>
          <cell r="B1589" t="str">
            <v>Multivitamin</v>
          </cell>
          <cell r="C1589" t="str">
            <v>Vitamin</v>
          </cell>
          <cell r="D1589">
            <v>149</v>
          </cell>
          <cell r="E1589">
            <v>29.88</v>
          </cell>
          <cell r="F1589">
            <v>4452.12</v>
          </cell>
          <cell r="G1589">
            <v>0.16</v>
          </cell>
          <cell r="H1589">
            <v>2</v>
          </cell>
          <cell r="I1589" t="str">
            <v>UK</v>
          </cell>
          <cell r="J1589" t="str">
            <v>Walmart</v>
          </cell>
        </row>
        <row r="1590">
          <cell r="A1590" t="str">
            <v>29-11-2021</v>
          </cell>
          <cell r="B1590" t="str">
            <v>Pre-Workout</v>
          </cell>
          <cell r="C1590" t="str">
            <v>Performance</v>
          </cell>
          <cell r="D1590">
            <v>161</v>
          </cell>
          <cell r="E1590">
            <v>52.9</v>
          </cell>
          <cell r="F1590">
            <v>8516.9</v>
          </cell>
          <cell r="G1590">
            <v>0.1</v>
          </cell>
          <cell r="H1590">
            <v>3</v>
          </cell>
          <cell r="I1590" t="str">
            <v>Canada</v>
          </cell>
          <cell r="J1590" t="str">
            <v>Amazon</v>
          </cell>
        </row>
        <row r="1591">
          <cell r="A1591" t="str">
            <v>29-11-2021</v>
          </cell>
          <cell r="B1591" t="str">
            <v>BCAA</v>
          </cell>
          <cell r="C1591" t="str">
            <v>Amino Acid</v>
          </cell>
          <cell r="D1591">
            <v>140</v>
          </cell>
          <cell r="E1591">
            <v>12.66</v>
          </cell>
          <cell r="F1591">
            <v>1772.4</v>
          </cell>
          <cell r="G1591">
            <v>0.2</v>
          </cell>
          <cell r="H1591">
            <v>1</v>
          </cell>
          <cell r="I1591" t="str">
            <v>USA</v>
          </cell>
          <cell r="J1591" t="str">
            <v>Walmart</v>
          </cell>
        </row>
        <row r="1592">
          <cell r="A1592" t="str">
            <v>29-11-2021</v>
          </cell>
          <cell r="B1592" t="str">
            <v>Creatine</v>
          </cell>
          <cell r="C1592" t="str">
            <v>Performance</v>
          </cell>
          <cell r="D1592">
            <v>140</v>
          </cell>
          <cell r="E1592">
            <v>55.07</v>
          </cell>
          <cell r="F1592">
            <v>7709.8</v>
          </cell>
          <cell r="G1592">
            <v>0.21</v>
          </cell>
          <cell r="H1592">
            <v>1</v>
          </cell>
          <cell r="I1592" t="str">
            <v>USA</v>
          </cell>
          <cell r="J1592" t="str">
            <v>Walmart</v>
          </cell>
        </row>
        <row r="1593">
          <cell r="A1593" t="str">
            <v>29-11-2021</v>
          </cell>
          <cell r="B1593" t="str">
            <v>Zinc</v>
          </cell>
          <cell r="C1593" t="str">
            <v>Mineral</v>
          </cell>
          <cell r="D1593">
            <v>154</v>
          </cell>
          <cell r="E1593">
            <v>29.58</v>
          </cell>
          <cell r="F1593">
            <v>4555.32</v>
          </cell>
          <cell r="G1593">
            <v>0.23</v>
          </cell>
          <cell r="H1593">
            <v>0</v>
          </cell>
          <cell r="I1593" t="str">
            <v>UK</v>
          </cell>
          <cell r="J1593" t="str">
            <v>Walmart</v>
          </cell>
        </row>
        <row r="1594">
          <cell r="A1594" t="str">
            <v>29-11-2021</v>
          </cell>
          <cell r="B1594" t="str">
            <v>Collagen Peptides</v>
          </cell>
          <cell r="C1594" t="str">
            <v>Protein</v>
          </cell>
          <cell r="D1594">
            <v>147</v>
          </cell>
          <cell r="E1594">
            <v>34.909999999999997</v>
          </cell>
          <cell r="F1594">
            <v>5131.7700000000004</v>
          </cell>
          <cell r="G1594">
            <v>0.11</v>
          </cell>
          <cell r="H1594">
            <v>1</v>
          </cell>
          <cell r="I1594" t="str">
            <v>UK</v>
          </cell>
          <cell r="J1594" t="str">
            <v>iHerb</v>
          </cell>
        </row>
        <row r="1595">
          <cell r="A1595" t="str">
            <v>29-11-2021</v>
          </cell>
          <cell r="B1595" t="str">
            <v>Magnesium</v>
          </cell>
          <cell r="C1595" t="str">
            <v>Mineral</v>
          </cell>
          <cell r="D1595">
            <v>135</v>
          </cell>
          <cell r="E1595">
            <v>22.12</v>
          </cell>
          <cell r="F1595">
            <v>2986.2</v>
          </cell>
          <cell r="G1595">
            <v>0.05</v>
          </cell>
          <cell r="H1595">
            <v>0</v>
          </cell>
          <cell r="I1595" t="str">
            <v>Canada</v>
          </cell>
          <cell r="J1595" t="str">
            <v>Amazon</v>
          </cell>
        </row>
        <row r="1596">
          <cell r="A1596" t="str">
            <v>29-11-2021</v>
          </cell>
          <cell r="B1596" t="str">
            <v>Ashwagandha</v>
          </cell>
          <cell r="C1596" t="str">
            <v>Herbal</v>
          </cell>
          <cell r="D1596">
            <v>160</v>
          </cell>
          <cell r="E1596">
            <v>41.33</v>
          </cell>
          <cell r="F1596">
            <v>6612.8</v>
          </cell>
          <cell r="G1596">
            <v>0.18</v>
          </cell>
          <cell r="H1596">
            <v>2</v>
          </cell>
          <cell r="I1596" t="str">
            <v>USA</v>
          </cell>
          <cell r="J1596" t="str">
            <v>Walmart</v>
          </cell>
        </row>
        <row r="1597">
          <cell r="A1597" t="str">
            <v>29-11-2021</v>
          </cell>
          <cell r="B1597" t="str">
            <v>Melatonin</v>
          </cell>
          <cell r="C1597" t="str">
            <v>Sleep Aid</v>
          </cell>
          <cell r="D1597">
            <v>149</v>
          </cell>
          <cell r="E1597">
            <v>28.8</v>
          </cell>
          <cell r="F1597">
            <v>4291.2</v>
          </cell>
          <cell r="G1597">
            <v>0.16</v>
          </cell>
          <cell r="H1597">
            <v>1</v>
          </cell>
          <cell r="I1597" t="str">
            <v>UK</v>
          </cell>
          <cell r="J1597" t="str">
            <v>Amazon</v>
          </cell>
        </row>
        <row r="1598">
          <cell r="A1598" t="str">
            <v>29-11-2021</v>
          </cell>
          <cell r="B1598" t="str">
            <v>Biotin</v>
          </cell>
          <cell r="C1598" t="str">
            <v>Vitamin</v>
          </cell>
          <cell r="D1598">
            <v>164</v>
          </cell>
          <cell r="E1598">
            <v>18.53</v>
          </cell>
          <cell r="F1598">
            <v>3038.92</v>
          </cell>
          <cell r="G1598">
            <v>0.03</v>
          </cell>
          <cell r="H1598">
            <v>2</v>
          </cell>
          <cell r="I1598" t="str">
            <v>USA</v>
          </cell>
          <cell r="J1598" t="str">
            <v>Walmart</v>
          </cell>
        </row>
        <row r="1599">
          <cell r="A1599" t="str">
            <v>29-11-2021</v>
          </cell>
          <cell r="B1599" t="str">
            <v>Green Tea Extract</v>
          </cell>
          <cell r="C1599" t="str">
            <v>Fat Burner</v>
          </cell>
          <cell r="D1599">
            <v>143</v>
          </cell>
          <cell r="E1599">
            <v>54.43</v>
          </cell>
          <cell r="F1599">
            <v>7783.49</v>
          </cell>
          <cell r="G1599">
            <v>0.06</v>
          </cell>
          <cell r="H1599">
            <v>3</v>
          </cell>
          <cell r="I1599" t="str">
            <v>Canada</v>
          </cell>
          <cell r="J1599" t="str">
            <v>iHerb</v>
          </cell>
        </row>
        <row r="1600">
          <cell r="A1600" t="str">
            <v>29-11-2021</v>
          </cell>
          <cell r="B1600" t="str">
            <v>Iron Supplement</v>
          </cell>
          <cell r="C1600" t="str">
            <v>Mineral</v>
          </cell>
          <cell r="D1600">
            <v>158</v>
          </cell>
          <cell r="E1600">
            <v>20.07</v>
          </cell>
          <cell r="F1600">
            <v>3171.06</v>
          </cell>
          <cell r="G1600">
            <v>0.06</v>
          </cell>
          <cell r="H1600">
            <v>1</v>
          </cell>
          <cell r="I1600" t="str">
            <v>UK</v>
          </cell>
          <cell r="J1600" t="str">
            <v>Amazon</v>
          </cell>
        </row>
        <row r="1601">
          <cell r="A1601" t="str">
            <v>29-11-2021</v>
          </cell>
          <cell r="B1601" t="str">
            <v>Electrolyte Powder</v>
          </cell>
          <cell r="C1601" t="str">
            <v>Hydration</v>
          </cell>
          <cell r="D1601">
            <v>137</v>
          </cell>
          <cell r="E1601">
            <v>26.07</v>
          </cell>
          <cell r="F1601">
            <v>3571.59</v>
          </cell>
          <cell r="G1601">
            <v>0.04</v>
          </cell>
          <cell r="H1601">
            <v>0</v>
          </cell>
          <cell r="I1601" t="str">
            <v>Canada</v>
          </cell>
          <cell r="J1601" t="str">
            <v>Walmart</v>
          </cell>
        </row>
        <row r="1602">
          <cell r="A1602" t="str">
            <v>06-12-2021</v>
          </cell>
          <cell r="B1602" t="str">
            <v>Whey Protein</v>
          </cell>
          <cell r="C1602" t="str">
            <v>Protein</v>
          </cell>
          <cell r="D1602">
            <v>161</v>
          </cell>
          <cell r="E1602">
            <v>11.42</v>
          </cell>
          <cell r="F1602">
            <v>1838.62</v>
          </cell>
          <cell r="G1602">
            <v>0.16</v>
          </cell>
          <cell r="H1602">
            <v>4</v>
          </cell>
          <cell r="I1602" t="str">
            <v>Canada</v>
          </cell>
          <cell r="J1602" t="str">
            <v>Amazon</v>
          </cell>
        </row>
        <row r="1603">
          <cell r="A1603" t="str">
            <v>06-12-2021</v>
          </cell>
          <cell r="B1603" t="str">
            <v>Vitamin C</v>
          </cell>
          <cell r="C1603" t="str">
            <v>Vitamin</v>
          </cell>
          <cell r="D1603">
            <v>144</v>
          </cell>
          <cell r="E1603">
            <v>38.520000000000003</v>
          </cell>
          <cell r="F1603">
            <v>5546.88</v>
          </cell>
          <cell r="G1603">
            <v>0.23</v>
          </cell>
          <cell r="H1603">
            <v>2</v>
          </cell>
          <cell r="I1603" t="str">
            <v>UK</v>
          </cell>
          <cell r="J1603" t="str">
            <v>iHerb</v>
          </cell>
        </row>
        <row r="1604">
          <cell r="A1604" t="str">
            <v>06-12-2021</v>
          </cell>
          <cell r="B1604" t="str">
            <v>Fish Oil</v>
          </cell>
          <cell r="C1604" t="str">
            <v>Omega</v>
          </cell>
          <cell r="D1604">
            <v>154</v>
          </cell>
          <cell r="E1604">
            <v>37.090000000000003</v>
          </cell>
          <cell r="F1604">
            <v>5711.86</v>
          </cell>
          <cell r="G1604">
            <v>0.02</v>
          </cell>
          <cell r="H1604">
            <v>2</v>
          </cell>
          <cell r="I1604" t="str">
            <v>Canada</v>
          </cell>
          <cell r="J1604" t="str">
            <v>Amazon</v>
          </cell>
        </row>
        <row r="1605">
          <cell r="A1605" t="str">
            <v>06-12-2021</v>
          </cell>
          <cell r="B1605" t="str">
            <v>Multivitamin</v>
          </cell>
          <cell r="C1605" t="str">
            <v>Vitamin</v>
          </cell>
          <cell r="D1605">
            <v>141</v>
          </cell>
          <cell r="E1605">
            <v>37.28</v>
          </cell>
          <cell r="F1605">
            <v>5256.48</v>
          </cell>
          <cell r="G1605">
            <v>0.18</v>
          </cell>
          <cell r="H1605">
            <v>2</v>
          </cell>
          <cell r="I1605" t="str">
            <v>UK</v>
          </cell>
          <cell r="J1605" t="str">
            <v>Amazon</v>
          </cell>
        </row>
        <row r="1606">
          <cell r="A1606" t="str">
            <v>06-12-2021</v>
          </cell>
          <cell r="B1606" t="str">
            <v>Pre-Workout</v>
          </cell>
          <cell r="C1606" t="str">
            <v>Performance</v>
          </cell>
          <cell r="D1606">
            <v>138</v>
          </cell>
          <cell r="E1606">
            <v>35.630000000000003</v>
          </cell>
          <cell r="F1606">
            <v>4916.9399999999996</v>
          </cell>
          <cell r="G1606">
            <v>0.08</v>
          </cell>
          <cell r="H1606">
            <v>3</v>
          </cell>
          <cell r="I1606" t="str">
            <v>UK</v>
          </cell>
          <cell r="J1606" t="str">
            <v>Walmart</v>
          </cell>
        </row>
        <row r="1607">
          <cell r="A1607" t="str">
            <v>06-12-2021</v>
          </cell>
          <cell r="B1607" t="str">
            <v>BCAA</v>
          </cell>
          <cell r="C1607" t="str">
            <v>Amino Acid</v>
          </cell>
          <cell r="D1607">
            <v>149</v>
          </cell>
          <cell r="E1607">
            <v>39.03</v>
          </cell>
          <cell r="F1607">
            <v>5815.47</v>
          </cell>
          <cell r="G1607">
            <v>0.19</v>
          </cell>
          <cell r="H1607">
            <v>1</v>
          </cell>
          <cell r="I1607" t="str">
            <v>UK</v>
          </cell>
          <cell r="J1607" t="str">
            <v>iHerb</v>
          </cell>
        </row>
        <row r="1608">
          <cell r="A1608" t="str">
            <v>06-12-2021</v>
          </cell>
          <cell r="B1608" t="str">
            <v>Creatine</v>
          </cell>
          <cell r="C1608" t="str">
            <v>Performance</v>
          </cell>
          <cell r="D1608">
            <v>163</v>
          </cell>
          <cell r="E1608">
            <v>37.299999999999997</v>
          </cell>
          <cell r="F1608">
            <v>6079.9</v>
          </cell>
          <cell r="G1608">
            <v>0.05</v>
          </cell>
          <cell r="H1608">
            <v>1</v>
          </cell>
          <cell r="I1608" t="str">
            <v>USA</v>
          </cell>
          <cell r="J1608" t="str">
            <v>Amazon</v>
          </cell>
        </row>
        <row r="1609">
          <cell r="A1609" t="str">
            <v>06-12-2021</v>
          </cell>
          <cell r="B1609" t="str">
            <v>Zinc</v>
          </cell>
          <cell r="C1609" t="str">
            <v>Mineral</v>
          </cell>
          <cell r="D1609">
            <v>143</v>
          </cell>
          <cell r="E1609">
            <v>58.35</v>
          </cell>
          <cell r="F1609">
            <v>8344.0499999999993</v>
          </cell>
          <cell r="G1609">
            <v>0.04</v>
          </cell>
          <cell r="H1609">
            <v>2</v>
          </cell>
          <cell r="I1609" t="str">
            <v>UK</v>
          </cell>
          <cell r="J1609" t="str">
            <v>Amazon</v>
          </cell>
        </row>
        <row r="1610">
          <cell r="A1610" t="str">
            <v>06-12-2021</v>
          </cell>
          <cell r="B1610" t="str">
            <v>Collagen Peptides</v>
          </cell>
          <cell r="C1610" t="str">
            <v>Protein</v>
          </cell>
          <cell r="D1610">
            <v>157</v>
          </cell>
          <cell r="E1610">
            <v>12.02</v>
          </cell>
          <cell r="F1610">
            <v>1887.14</v>
          </cell>
          <cell r="G1610">
            <v>0.1</v>
          </cell>
          <cell r="H1610">
            <v>4</v>
          </cell>
          <cell r="I1610" t="str">
            <v>UK</v>
          </cell>
          <cell r="J1610" t="str">
            <v>Amazon</v>
          </cell>
        </row>
        <row r="1611">
          <cell r="A1611" t="str">
            <v>06-12-2021</v>
          </cell>
          <cell r="B1611" t="str">
            <v>Magnesium</v>
          </cell>
          <cell r="C1611" t="str">
            <v>Mineral</v>
          </cell>
          <cell r="D1611">
            <v>150</v>
          </cell>
          <cell r="E1611">
            <v>14.2</v>
          </cell>
          <cell r="F1611">
            <v>2130</v>
          </cell>
          <cell r="G1611">
            <v>0.17</v>
          </cell>
          <cell r="H1611">
            <v>2</v>
          </cell>
          <cell r="I1611" t="str">
            <v>Canada</v>
          </cell>
          <cell r="J1611" t="str">
            <v>Amazon</v>
          </cell>
        </row>
        <row r="1612">
          <cell r="A1612" t="str">
            <v>06-12-2021</v>
          </cell>
          <cell r="B1612" t="str">
            <v>Ashwagandha</v>
          </cell>
          <cell r="C1612" t="str">
            <v>Herbal</v>
          </cell>
          <cell r="D1612">
            <v>163</v>
          </cell>
          <cell r="E1612">
            <v>33.549999999999997</v>
          </cell>
          <cell r="F1612">
            <v>5468.65</v>
          </cell>
          <cell r="G1612">
            <v>0.1</v>
          </cell>
          <cell r="H1612">
            <v>1</v>
          </cell>
          <cell r="I1612" t="str">
            <v>USA</v>
          </cell>
          <cell r="J1612" t="str">
            <v>Walmart</v>
          </cell>
        </row>
        <row r="1613">
          <cell r="A1613" t="str">
            <v>06-12-2021</v>
          </cell>
          <cell r="B1613" t="str">
            <v>Melatonin</v>
          </cell>
          <cell r="C1613" t="str">
            <v>Sleep Aid</v>
          </cell>
          <cell r="D1613">
            <v>148</v>
          </cell>
          <cell r="E1613">
            <v>31.62</v>
          </cell>
          <cell r="F1613">
            <v>4679.76</v>
          </cell>
          <cell r="G1613">
            <v>0.24</v>
          </cell>
          <cell r="H1613">
            <v>0</v>
          </cell>
          <cell r="I1613" t="str">
            <v>UK</v>
          </cell>
          <cell r="J1613" t="str">
            <v>iHerb</v>
          </cell>
        </row>
        <row r="1614">
          <cell r="A1614" t="str">
            <v>06-12-2021</v>
          </cell>
          <cell r="B1614" t="str">
            <v>Biotin</v>
          </cell>
          <cell r="C1614" t="str">
            <v>Vitamin</v>
          </cell>
          <cell r="D1614">
            <v>171</v>
          </cell>
          <cell r="E1614">
            <v>41.19</v>
          </cell>
          <cell r="F1614">
            <v>7043.49</v>
          </cell>
          <cell r="G1614">
            <v>0.21</v>
          </cell>
          <cell r="H1614">
            <v>1</v>
          </cell>
          <cell r="I1614" t="str">
            <v>UK</v>
          </cell>
          <cell r="J1614" t="str">
            <v>iHerb</v>
          </cell>
        </row>
        <row r="1615">
          <cell r="A1615" t="str">
            <v>06-12-2021</v>
          </cell>
          <cell r="B1615" t="str">
            <v>Green Tea Extract</v>
          </cell>
          <cell r="C1615" t="str">
            <v>Fat Burner</v>
          </cell>
          <cell r="D1615">
            <v>147</v>
          </cell>
          <cell r="E1615">
            <v>28.74</v>
          </cell>
          <cell r="F1615">
            <v>4224.78</v>
          </cell>
          <cell r="G1615">
            <v>0.23</v>
          </cell>
          <cell r="H1615">
            <v>3</v>
          </cell>
          <cell r="I1615" t="str">
            <v>UK</v>
          </cell>
          <cell r="J1615" t="str">
            <v>Walmart</v>
          </cell>
        </row>
        <row r="1616">
          <cell r="A1616" t="str">
            <v>06-12-2021</v>
          </cell>
          <cell r="B1616" t="str">
            <v>Iron Supplement</v>
          </cell>
          <cell r="C1616" t="str">
            <v>Mineral</v>
          </cell>
          <cell r="D1616">
            <v>132</v>
          </cell>
          <cell r="E1616">
            <v>31.39</v>
          </cell>
          <cell r="F1616">
            <v>4143.4799999999996</v>
          </cell>
          <cell r="G1616">
            <v>0.02</v>
          </cell>
          <cell r="H1616">
            <v>1</v>
          </cell>
          <cell r="I1616" t="str">
            <v>USA</v>
          </cell>
          <cell r="J1616" t="str">
            <v>iHerb</v>
          </cell>
        </row>
        <row r="1617">
          <cell r="A1617" t="str">
            <v>06-12-2021</v>
          </cell>
          <cell r="B1617" t="str">
            <v>Electrolyte Powder</v>
          </cell>
          <cell r="C1617" t="str">
            <v>Hydration</v>
          </cell>
          <cell r="D1617">
            <v>135</v>
          </cell>
          <cell r="E1617">
            <v>10.36</v>
          </cell>
          <cell r="F1617">
            <v>1398.6</v>
          </cell>
          <cell r="G1617">
            <v>0.08</v>
          </cell>
          <cell r="H1617">
            <v>2</v>
          </cell>
          <cell r="I1617" t="str">
            <v>Canada</v>
          </cell>
          <cell r="J1617" t="str">
            <v>iHerb</v>
          </cell>
        </row>
        <row r="1618">
          <cell r="A1618" t="str">
            <v>13-12-2021</v>
          </cell>
          <cell r="B1618" t="str">
            <v>Whey Protein</v>
          </cell>
          <cell r="C1618" t="str">
            <v>Protein</v>
          </cell>
          <cell r="D1618">
            <v>149</v>
          </cell>
          <cell r="E1618">
            <v>53.71</v>
          </cell>
          <cell r="F1618">
            <v>8002.79</v>
          </cell>
          <cell r="G1618">
            <v>0.09</v>
          </cell>
          <cell r="H1618">
            <v>0</v>
          </cell>
          <cell r="I1618" t="str">
            <v>Canada</v>
          </cell>
          <cell r="J1618" t="str">
            <v>Amazon</v>
          </cell>
        </row>
        <row r="1619">
          <cell r="A1619" t="str">
            <v>13-12-2021</v>
          </cell>
          <cell r="B1619" t="str">
            <v>Vitamin C</v>
          </cell>
          <cell r="C1619" t="str">
            <v>Vitamin</v>
          </cell>
          <cell r="D1619">
            <v>163</v>
          </cell>
          <cell r="E1619">
            <v>59.9</v>
          </cell>
          <cell r="F1619">
            <v>9763.7000000000007</v>
          </cell>
          <cell r="G1619">
            <v>0.06</v>
          </cell>
          <cell r="H1619">
            <v>2</v>
          </cell>
          <cell r="I1619" t="str">
            <v>Canada</v>
          </cell>
          <cell r="J1619" t="str">
            <v>Walmart</v>
          </cell>
        </row>
        <row r="1620">
          <cell r="A1620" t="str">
            <v>13-12-2021</v>
          </cell>
          <cell r="B1620" t="str">
            <v>Fish Oil</v>
          </cell>
          <cell r="C1620" t="str">
            <v>Omega</v>
          </cell>
          <cell r="D1620">
            <v>169</v>
          </cell>
          <cell r="E1620">
            <v>55.41</v>
          </cell>
          <cell r="F1620">
            <v>9364.2900000000009</v>
          </cell>
          <cell r="G1620">
            <v>0.08</v>
          </cell>
          <cell r="H1620">
            <v>5</v>
          </cell>
          <cell r="I1620" t="str">
            <v>UK</v>
          </cell>
          <cell r="J1620" t="str">
            <v>Amazon</v>
          </cell>
        </row>
        <row r="1621">
          <cell r="A1621" t="str">
            <v>13-12-2021</v>
          </cell>
          <cell r="B1621" t="str">
            <v>Multivitamin</v>
          </cell>
          <cell r="C1621" t="str">
            <v>Vitamin</v>
          </cell>
          <cell r="D1621">
            <v>151</v>
          </cell>
          <cell r="E1621">
            <v>21.17</v>
          </cell>
          <cell r="F1621">
            <v>3196.67</v>
          </cell>
          <cell r="G1621">
            <v>0.18</v>
          </cell>
          <cell r="H1621">
            <v>0</v>
          </cell>
          <cell r="I1621" t="str">
            <v>Canada</v>
          </cell>
          <cell r="J1621" t="str">
            <v>Amazon</v>
          </cell>
        </row>
        <row r="1622">
          <cell r="A1622" t="str">
            <v>13-12-2021</v>
          </cell>
          <cell r="B1622" t="str">
            <v>Pre-Workout</v>
          </cell>
          <cell r="C1622" t="str">
            <v>Performance</v>
          </cell>
          <cell r="D1622">
            <v>152</v>
          </cell>
          <cell r="E1622">
            <v>57.78</v>
          </cell>
          <cell r="F1622">
            <v>8782.56</v>
          </cell>
          <cell r="G1622">
            <v>0.01</v>
          </cell>
          <cell r="H1622">
            <v>0</v>
          </cell>
          <cell r="I1622" t="str">
            <v>UK</v>
          </cell>
          <cell r="J1622" t="str">
            <v>iHerb</v>
          </cell>
        </row>
        <row r="1623">
          <cell r="A1623" t="str">
            <v>13-12-2021</v>
          </cell>
          <cell r="B1623" t="str">
            <v>BCAA</v>
          </cell>
          <cell r="C1623" t="str">
            <v>Amino Acid</v>
          </cell>
          <cell r="D1623">
            <v>140</v>
          </cell>
          <cell r="E1623">
            <v>21.64</v>
          </cell>
          <cell r="F1623">
            <v>3029.6</v>
          </cell>
          <cell r="G1623">
            <v>0.12</v>
          </cell>
          <cell r="H1623">
            <v>3</v>
          </cell>
          <cell r="I1623" t="str">
            <v>USA</v>
          </cell>
          <cell r="J1623" t="str">
            <v>iHerb</v>
          </cell>
        </row>
        <row r="1624">
          <cell r="A1624" t="str">
            <v>13-12-2021</v>
          </cell>
          <cell r="B1624" t="str">
            <v>Creatine</v>
          </cell>
          <cell r="C1624" t="str">
            <v>Performance</v>
          </cell>
          <cell r="D1624">
            <v>158</v>
          </cell>
          <cell r="E1624">
            <v>14.45</v>
          </cell>
          <cell r="F1624">
            <v>2283.1</v>
          </cell>
          <cell r="G1624">
            <v>0.17</v>
          </cell>
          <cell r="H1624">
            <v>0</v>
          </cell>
          <cell r="I1624" t="str">
            <v>USA</v>
          </cell>
          <cell r="J1624" t="str">
            <v>Amazon</v>
          </cell>
        </row>
        <row r="1625">
          <cell r="A1625" t="str">
            <v>13-12-2021</v>
          </cell>
          <cell r="B1625" t="str">
            <v>Zinc</v>
          </cell>
          <cell r="C1625" t="str">
            <v>Mineral</v>
          </cell>
          <cell r="D1625">
            <v>161</v>
          </cell>
          <cell r="E1625">
            <v>30.85</v>
          </cell>
          <cell r="F1625">
            <v>4966.8500000000004</v>
          </cell>
          <cell r="G1625">
            <v>0.09</v>
          </cell>
          <cell r="H1625">
            <v>3</v>
          </cell>
          <cell r="I1625" t="str">
            <v>Canada</v>
          </cell>
          <cell r="J1625" t="str">
            <v>Amazon</v>
          </cell>
        </row>
        <row r="1626">
          <cell r="A1626" t="str">
            <v>13-12-2021</v>
          </cell>
          <cell r="B1626" t="str">
            <v>Collagen Peptides</v>
          </cell>
          <cell r="C1626" t="str">
            <v>Protein</v>
          </cell>
          <cell r="D1626">
            <v>134</v>
          </cell>
          <cell r="E1626">
            <v>17.100000000000001</v>
          </cell>
          <cell r="F1626">
            <v>2291.4</v>
          </cell>
          <cell r="G1626">
            <v>0.18</v>
          </cell>
          <cell r="H1626">
            <v>3</v>
          </cell>
          <cell r="I1626" t="str">
            <v>UK</v>
          </cell>
          <cell r="J1626" t="str">
            <v>Walmart</v>
          </cell>
        </row>
        <row r="1627">
          <cell r="A1627" t="str">
            <v>13-12-2021</v>
          </cell>
          <cell r="B1627" t="str">
            <v>Magnesium</v>
          </cell>
          <cell r="C1627" t="str">
            <v>Mineral</v>
          </cell>
          <cell r="D1627">
            <v>148</v>
          </cell>
          <cell r="E1627">
            <v>56.37</v>
          </cell>
          <cell r="F1627">
            <v>8342.76</v>
          </cell>
          <cell r="G1627">
            <v>0.13</v>
          </cell>
          <cell r="H1627">
            <v>1</v>
          </cell>
          <cell r="I1627" t="str">
            <v>UK</v>
          </cell>
          <cell r="J1627" t="str">
            <v>iHerb</v>
          </cell>
        </row>
        <row r="1628">
          <cell r="A1628" t="str">
            <v>13-12-2021</v>
          </cell>
          <cell r="B1628" t="str">
            <v>Ashwagandha</v>
          </cell>
          <cell r="C1628" t="str">
            <v>Herbal</v>
          </cell>
          <cell r="D1628">
            <v>153</v>
          </cell>
          <cell r="E1628">
            <v>15.34</v>
          </cell>
          <cell r="F1628">
            <v>2347.02</v>
          </cell>
          <cell r="G1628">
            <v>0.21</v>
          </cell>
          <cell r="H1628">
            <v>1</v>
          </cell>
          <cell r="I1628" t="str">
            <v>UK</v>
          </cell>
          <cell r="J1628" t="str">
            <v>Walmart</v>
          </cell>
        </row>
        <row r="1629">
          <cell r="A1629" t="str">
            <v>13-12-2021</v>
          </cell>
          <cell r="B1629" t="str">
            <v>Melatonin</v>
          </cell>
          <cell r="C1629" t="str">
            <v>Sleep Aid</v>
          </cell>
          <cell r="D1629">
            <v>128</v>
          </cell>
          <cell r="E1629">
            <v>28.85</v>
          </cell>
          <cell r="F1629">
            <v>3692.8</v>
          </cell>
          <cell r="G1629">
            <v>0.03</v>
          </cell>
          <cell r="H1629">
            <v>2</v>
          </cell>
          <cell r="I1629" t="str">
            <v>USA</v>
          </cell>
          <cell r="J1629" t="str">
            <v>iHerb</v>
          </cell>
        </row>
        <row r="1630">
          <cell r="A1630" t="str">
            <v>13-12-2021</v>
          </cell>
          <cell r="B1630" t="str">
            <v>Biotin</v>
          </cell>
          <cell r="C1630" t="str">
            <v>Vitamin</v>
          </cell>
          <cell r="D1630">
            <v>163</v>
          </cell>
          <cell r="E1630">
            <v>40.08</v>
          </cell>
          <cell r="F1630">
            <v>6533.04</v>
          </cell>
          <cell r="G1630">
            <v>0.15</v>
          </cell>
          <cell r="H1630">
            <v>1</v>
          </cell>
          <cell r="I1630" t="str">
            <v>USA</v>
          </cell>
          <cell r="J1630" t="str">
            <v>Amazon</v>
          </cell>
        </row>
        <row r="1631">
          <cell r="A1631" t="str">
            <v>13-12-2021</v>
          </cell>
          <cell r="B1631" t="str">
            <v>Green Tea Extract</v>
          </cell>
          <cell r="C1631" t="str">
            <v>Fat Burner</v>
          </cell>
          <cell r="D1631">
            <v>169</v>
          </cell>
          <cell r="E1631">
            <v>33.24</v>
          </cell>
          <cell r="F1631">
            <v>5617.56</v>
          </cell>
          <cell r="G1631">
            <v>0.25</v>
          </cell>
          <cell r="H1631">
            <v>1</v>
          </cell>
          <cell r="I1631" t="str">
            <v>Canada</v>
          </cell>
          <cell r="J1631" t="str">
            <v>Amazon</v>
          </cell>
        </row>
        <row r="1632">
          <cell r="A1632" t="str">
            <v>13-12-2021</v>
          </cell>
          <cell r="B1632" t="str">
            <v>Iron Supplement</v>
          </cell>
          <cell r="C1632" t="str">
            <v>Mineral</v>
          </cell>
          <cell r="D1632">
            <v>137</v>
          </cell>
          <cell r="E1632">
            <v>50.7</v>
          </cell>
          <cell r="F1632">
            <v>6945.9</v>
          </cell>
          <cell r="G1632">
            <v>0.19</v>
          </cell>
          <cell r="H1632">
            <v>2</v>
          </cell>
          <cell r="I1632" t="str">
            <v>Canada</v>
          </cell>
          <cell r="J1632" t="str">
            <v>Walmart</v>
          </cell>
        </row>
        <row r="1633">
          <cell r="A1633" t="str">
            <v>13-12-2021</v>
          </cell>
          <cell r="B1633" t="str">
            <v>Electrolyte Powder</v>
          </cell>
          <cell r="C1633" t="str">
            <v>Hydration</v>
          </cell>
          <cell r="D1633">
            <v>158</v>
          </cell>
          <cell r="E1633">
            <v>53.1</v>
          </cell>
          <cell r="F1633">
            <v>8389.7999999999993</v>
          </cell>
          <cell r="G1633">
            <v>0.22</v>
          </cell>
          <cell r="H1633">
            <v>0</v>
          </cell>
          <cell r="I1633" t="str">
            <v>UK</v>
          </cell>
          <cell r="J1633" t="str">
            <v>Walmart</v>
          </cell>
        </row>
        <row r="1634">
          <cell r="A1634" t="str">
            <v>20-12-2021</v>
          </cell>
          <cell r="B1634" t="str">
            <v>Whey Protein</v>
          </cell>
          <cell r="C1634" t="str">
            <v>Protein</v>
          </cell>
          <cell r="D1634">
            <v>167</v>
          </cell>
          <cell r="E1634">
            <v>42.32</v>
          </cell>
          <cell r="F1634">
            <v>7067.44</v>
          </cell>
          <cell r="G1634">
            <v>0.14000000000000001</v>
          </cell>
          <cell r="H1634">
            <v>0</v>
          </cell>
          <cell r="I1634" t="str">
            <v>Canada</v>
          </cell>
          <cell r="J1634" t="str">
            <v>Walmart</v>
          </cell>
        </row>
        <row r="1635">
          <cell r="A1635" t="str">
            <v>20-12-2021</v>
          </cell>
          <cell r="B1635" t="str">
            <v>Vitamin C</v>
          </cell>
          <cell r="C1635" t="str">
            <v>Vitamin</v>
          </cell>
          <cell r="D1635">
            <v>159</v>
          </cell>
          <cell r="E1635">
            <v>42.39</v>
          </cell>
          <cell r="F1635">
            <v>6740.01</v>
          </cell>
          <cell r="G1635">
            <v>0.13</v>
          </cell>
          <cell r="H1635">
            <v>1</v>
          </cell>
          <cell r="I1635" t="str">
            <v>Canada</v>
          </cell>
          <cell r="J1635" t="str">
            <v>iHerb</v>
          </cell>
        </row>
        <row r="1636">
          <cell r="A1636" t="str">
            <v>20-12-2021</v>
          </cell>
          <cell r="B1636" t="str">
            <v>Fish Oil</v>
          </cell>
          <cell r="C1636" t="str">
            <v>Omega</v>
          </cell>
          <cell r="D1636">
            <v>137</v>
          </cell>
          <cell r="E1636">
            <v>17.940000000000001</v>
          </cell>
          <cell r="F1636">
            <v>2457.7800000000002</v>
          </cell>
          <cell r="G1636">
            <v>0.05</v>
          </cell>
          <cell r="H1636">
            <v>4</v>
          </cell>
          <cell r="I1636" t="str">
            <v>UK</v>
          </cell>
          <cell r="J1636" t="str">
            <v>Amazon</v>
          </cell>
        </row>
        <row r="1637">
          <cell r="A1637" t="str">
            <v>20-12-2021</v>
          </cell>
          <cell r="B1637" t="str">
            <v>Multivitamin</v>
          </cell>
          <cell r="C1637" t="str">
            <v>Vitamin</v>
          </cell>
          <cell r="D1637">
            <v>136</v>
          </cell>
          <cell r="E1637">
            <v>39.53</v>
          </cell>
          <cell r="F1637">
            <v>5376.08</v>
          </cell>
          <cell r="G1637">
            <v>0.15</v>
          </cell>
          <cell r="H1637">
            <v>0</v>
          </cell>
          <cell r="I1637" t="str">
            <v>USA</v>
          </cell>
          <cell r="J1637" t="str">
            <v>Walmart</v>
          </cell>
        </row>
        <row r="1638">
          <cell r="A1638" t="str">
            <v>20-12-2021</v>
          </cell>
          <cell r="B1638" t="str">
            <v>Pre-Workout</v>
          </cell>
          <cell r="C1638" t="str">
            <v>Performance</v>
          </cell>
          <cell r="D1638">
            <v>161</v>
          </cell>
          <cell r="E1638">
            <v>21.87</v>
          </cell>
          <cell r="F1638">
            <v>3521.07</v>
          </cell>
          <cell r="G1638">
            <v>7.0000000000000007E-2</v>
          </cell>
          <cell r="H1638">
            <v>4</v>
          </cell>
          <cell r="I1638" t="str">
            <v>USA</v>
          </cell>
          <cell r="J1638" t="str">
            <v>Amazon</v>
          </cell>
        </row>
        <row r="1639">
          <cell r="A1639" t="str">
            <v>20-12-2021</v>
          </cell>
          <cell r="B1639" t="str">
            <v>BCAA</v>
          </cell>
          <cell r="C1639" t="str">
            <v>Amino Acid</v>
          </cell>
          <cell r="D1639">
            <v>163</v>
          </cell>
          <cell r="E1639">
            <v>14.11</v>
          </cell>
          <cell r="F1639">
            <v>2299.9299999999998</v>
          </cell>
          <cell r="G1639">
            <v>0.1</v>
          </cell>
          <cell r="H1639">
            <v>2</v>
          </cell>
          <cell r="I1639" t="str">
            <v>USA</v>
          </cell>
          <cell r="J1639" t="str">
            <v>Walmart</v>
          </cell>
        </row>
        <row r="1640">
          <cell r="A1640" t="str">
            <v>20-12-2021</v>
          </cell>
          <cell r="B1640" t="str">
            <v>Creatine</v>
          </cell>
          <cell r="C1640" t="str">
            <v>Performance</v>
          </cell>
          <cell r="D1640">
            <v>138</v>
          </cell>
          <cell r="E1640">
            <v>40.049999999999997</v>
          </cell>
          <cell r="F1640">
            <v>5526.9</v>
          </cell>
          <cell r="G1640">
            <v>0.08</v>
          </cell>
          <cell r="H1640">
            <v>2</v>
          </cell>
          <cell r="I1640" t="str">
            <v>USA</v>
          </cell>
          <cell r="J1640" t="str">
            <v>Amazon</v>
          </cell>
        </row>
        <row r="1641">
          <cell r="A1641" t="str">
            <v>20-12-2021</v>
          </cell>
          <cell r="B1641" t="str">
            <v>Zinc</v>
          </cell>
          <cell r="C1641" t="str">
            <v>Mineral</v>
          </cell>
          <cell r="D1641">
            <v>164</v>
          </cell>
          <cell r="E1641">
            <v>51.93</v>
          </cell>
          <cell r="F1641">
            <v>8516.52</v>
          </cell>
          <cell r="G1641">
            <v>0.03</v>
          </cell>
          <cell r="H1641">
            <v>3</v>
          </cell>
          <cell r="I1641" t="str">
            <v>Canada</v>
          </cell>
          <cell r="J1641" t="str">
            <v>Walmart</v>
          </cell>
        </row>
        <row r="1642">
          <cell r="A1642" t="str">
            <v>20-12-2021</v>
          </cell>
          <cell r="B1642" t="str">
            <v>Collagen Peptides</v>
          </cell>
          <cell r="C1642" t="str">
            <v>Protein</v>
          </cell>
          <cell r="D1642">
            <v>136</v>
          </cell>
          <cell r="E1642">
            <v>42.09</v>
          </cell>
          <cell r="F1642">
            <v>5724.24</v>
          </cell>
          <cell r="G1642">
            <v>0.12</v>
          </cell>
          <cell r="H1642">
            <v>3</v>
          </cell>
          <cell r="I1642" t="str">
            <v>USA</v>
          </cell>
          <cell r="J1642" t="str">
            <v>Walmart</v>
          </cell>
        </row>
        <row r="1643">
          <cell r="A1643" t="str">
            <v>20-12-2021</v>
          </cell>
          <cell r="B1643" t="str">
            <v>Magnesium</v>
          </cell>
          <cell r="C1643" t="str">
            <v>Mineral</v>
          </cell>
          <cell r="D1643">
            <v>145</v>
          </cell>
          <cell r="E1643">
            <v>35.04</v>
          </cell>
          <cell r="F1643">
            <v>5080.8</v>
          </cell>
          <cell r="G1643">
            <v>0.11</v>
          </cell>
          <cell r="H1643">
            <v>1</v>
          </cell>
          <cell r="I1643" t="str">
            <v>UK</v>
          </cell>
          <cell r="J1643" t="str">
            <v>Walmart</v>
          </cell>
        </row>
        <row r="1644">
          <cell r="A1644" t="str">
            <v>20-12-2021</v>
          </cell>
          <cell r="B1644" t="str">
            <v>Ashwagandha</v>
          </cell>
          <cell r="C1644" t="str">
            <v>Herbal</v>
          </cell>
          <cell r="D1644">
            <v>157</v>
          </cell>
          <cell r="E1644">
            <v>52.65</v>
          </cell>
          <cell r="F1644">
            <v>8266.0499999999993</v>
          </cell>
          <cell r="G1644">
            <v>0.24</v>
          </cell>
          <cell r="H1644">
            <v>1</v>
          </cell>
          <cell r="I1644" t="str">
            <v>Canada</v>
          </cell>
          <cell r="J1644" t="str">
            <v>iHerb</v>
          </cell>
        </row>
        <row r="1645">
          <cell r="A1645" t="str">
            <v>20-12-2021</v>
          </cell>
          <cell r="B1645" t="str">
            <v>Melatonin</v>
          </cell>
          <cell r="C1645" t="str">
            <v>Sleep Aid</v>
          </cell>
          <cell r="D1645">
            <v>158</v>
          </cell>
          <cell r="E1645">
            <v>43.85</v>
          </cell>
          <cell r="F1645">
            <v>6928.3</v>
          </cell>
          <cell r="G1645">
            <v>0.12</v>
          </cell>
          <cell r="H1645">
            <v>5</v>
          </cell>
          <cell r="I1645" t="str">
            <v>Canada</v>
          </cell>
          <cell r="J1645" t="str">
            <v>Walmart</v>
          </cell>
        </row>
        <row r="1646">
          <cell r="A1646" t="str">
            <v>20-12-2021</v>
          </cell>
          <cell r="B1646" t="str">
            <v>Biotin</v>
          </cell>
          <cell r="C1646" t="str">
            <v>Vitamin</v>
          </cell>
          <cell r="D1646">
            <v>162</v>
          </cell>
          <cell r="E1646">
            <v>22.59</v>
          </cell>
          <cell r="F1646">
            <v>3659.58</v>
          </cell>
          <cell r="G1646">
            <v>0.09</v>
          </cell>
          <cell r="H1646">
            <v>0</v>
          </cell>
          <cell r="I1646" t="str">
            <v>UK</v>
          </cell>
          <cell r="J1646" t="str">
            <v>Amazon</v>
          </cell>
        </row>
        <row r="1647">
          <cell r="A1647" t="str">
            <v>20-12-2021</v>
          </cell>
          <cell r="B1647" t="str">
            <v>Green Tea Extract</v>
          </cell>
          <cell r="C1647" t="str">
            <v>Fat Burner</v>
          </cell>
          <cell r="D1647">
            <v>151</v>
          </cell>
          <cell r="E1647">
            <v>36.26</v>
          </cell>
          <cell r="F1647">
            <v>5475.26</v>
          </cell>
          <cell r="G1647">
            <v>0.24</v>
          </cell>
          <cell r="H1647">
            <v>3</v>
          </cell>
          <cell r="I1647" t="str">
            <v>Canada</v>
          </cell>
          <cell r="J1647" t="str">
            <v>Amazon</v>
          </cell>
        </row>
        <row r="1648">
          <cell r="A1648" t="str">
            <v>20-12-2021</v>
          </cell>
          <cell r="B1648" t="str">
            <v>Iron Supplement</v>
          </cell>
          <cell r="C1648" t="str">
            <v>Mineral</v>
          </cell>
          <cell r="D1648">
            <v>136</v>
          </cell>
          <cell r="E1648">
            <v>31.2</v>
          </cell>
          <cell r="F1648">
            <v>4243.2</v>
          </cell>
          <cell r="G1648">
            <v>0.09</v>
          </cell>
          <cell r="H1648">
            <v>2</v>
          </cell>
          <cell r="I1648" t="str">
            <v>UK</v>
          </cell>
          <cell r="J1648" t="str">
            <v>iHerb</v>
          </cell>
        </row>
        <row r="1649">
          <cell r="A1649" t="str">
            <v>20-12-2021</v>
          </cell>
          <cell r="B1649" t="str">
            <v>Electrolyte Powder</v>
          </cell>
          <cell r="C1649" t="str">
            <v>Hydration</v>
          </cell>
          <cell r="D1649">
            <v>151</v>
          </cell>
          <cell r="E1649">
            <v>52.65</v>
          </cell>
          <cell r="F1649">
            <v>7950.15</v>
          </cell>
          <cell r="G1649">
            <v>0.2</v>
          </cell>
          <cell r="H1649">
            <v>0</v>
          </cell>
          <cell r="I1649" t="str">
            <v>USA</v>
          </cell>
          <cell r="J1649" t="str">
            <v>iHerb</v>
          </cell>
        </row>
        <row r="1650">
          <cell r="A1650" t="str">
            <v>27-12-2021</v>
          </cell>
          <cell r="B1650" t="str">
            <v>Whey Protein</v>
          </cell>
          <cell r="C1650" t="str">
            <v>Protein</v>
          </cell>
          <cell r="D1650">
            <v>158</v>
          </cell>
          <cell r="E1650">
            <v>24.73</v>
          </cell>
          <cell r="F1650">
            <v>3907.34</v>
          </cell>
          <cell r="G1650">
            <v>0.01</v>
          </cell>
          <cell r="H1650">
            <v>1</v>
          </cell>
          <cell r="I1650" t="str">
            <v>UK</v>
          </cell>
          <cell r="J1650" t="str">
            <v>iHerb</v>
          </cell>
        </row>
        <row r="1651">
          <cell r="A1651" t="str">
            <v>27-12-2021</v>
          </cell>
          <cell r="B1651" t="str">
            <v>Vitamin C</v>
          </cell>
          <cell r="C1651" t="str">
            <v>Vitamin</v>
          </cell>
          <cell r="D1651">
            <v>145</v>
          </cell>
          <cell r="E1651">
            <v>44.73</v>
          </cell>
          <cell r="F1651">
            <v>6485.85</v>
          </cell>
          <cell r="G1651">
            <v>0.19</v>
          </cell>
          <cell r="H1651">
            <v>1</v>
          </cell>
          <cell r="I1651" t="str">
            <v>USA</v>
          </cell>
          <cell r="J1651" t="str">
            <v>Amazon</v>
          </cell>
        </row>
        <row r="1652">
          <cell r="A1652" t="str">
            <v>27-12-2021</v>
          </cell>
          <cell r="B1652" t="str">
            <v>Fish Oil</v>
          </cell>
          <cell r="C1652" t="str">
            <v>Omega</v>
          </cell>
          <cell r="D1652">
            <v>155</v>
          </cell>
          <cell r="E1652">
            <v>22.32</v>
          </cell>
          <cell r="F1652">
            <v>3459.6</v>
          </cell>
          <cell r="G1652">
            <v>0</v>
          </cell>
          <cell r="H1652">
            <v>1</v>
          </cell>
          <cell r="I1652" t="str">
            <v>Canada</v>
          </cell>
          <cell r="J1652" t="str">
            <v>Walmart</v>
          </cell>
        </row>
        <row r="1653">
          <cell r="A1653" t="str">
            <v>27-12-2021</v>
          </cell>
          <cell r="B1653" t="str">
            <v>Multivitamin</v>
          </cell>
          <cell r="C1653" t="str">
            <v>Vitamin</v>
          </cell>
          <cell r="D1653">
            <v>135</v>
          </cell>
          <cell r="E1653">
            <v>18.329999999999998</v>
          </cell>
          <cell r="F1653">
            <v>2474.5500000000002</v>
          </cell>
          <cell r="G1653">
            <v>0.13</v>
          </cell>
          <cell r="H1653">
            <v>1</v>
          </cell>
          <cell r="I1653" t="str">
            <v>USA</v>
          </cell>
          <cell r="J1653" t="str">
            <v>iHerb</v>
          </cell>
        </row>
        <row r="1654">
          <cell r="A1654" t="str">
            <v>27-12-2021</v>
          </cell>
          <cell r="B1654" t="str">
            <v>Pre-Workout</v>
          </cell>
          <cell r="C1654" t="str">
            <v>Performance</v>
          </cell>
          <cell r="D1654">
            <v>142</v>
          </cell>
          <cell r="E1654">
            <v>11.86</v>
          </cell>
          <cell r="F1654">
            <v>1684.12</v>
          </cell>
          <cell r="G1654">
            <v>0.01</v>
          </cell>
          <cell r="H1654">
            <v>2</v>
          </cell>
          <cell r="I1654" t="str">
            <v>Canada</v>
          </cell>
          <cell r="J1654" t="str">
            <v>Amazon</v>
          </cell>
        </row>
        <row r="1655">
          <cell r="A1655" t="str">
            <v>27-12-2021</v>
          </cell>
          <cell r="B1655" t="str">
            <v>BCAA</v>
          </cell>
          <cell r="C1655" t="str">
            <v>Amino Acid</v>
          </cell>
          <cell r="D1655">
            <v>143</v>
          </cell>
          <cell r="E1655">
            <v>31.59</v>
          </cell>
          <cell r="F1655">
            <v>4517.37</v>
          </cell>
          <cell r="G1655">
            <v>0.11</v>
          </cell>
          <cell r="H1655">
            <v>1</v>
          </cell>
          <cell r="I1655" t="str">
            <v>Canada</v>
          </cell>
          <cell r="J1655" t="str">
            <v>iHerb</v>
          </cell>
        </row>
        <row r="1656">
          <cell r="A1656" t="str">
            <v>27-12-2021</v>
          </cell>
          <cell r="B1656" t="str">
            <v>Creatine</v>
          </cell>
          <cell r="C1656" t="str">
            <v>Performance</v>
          </cell>
          <cell r="D1656">
            <v>158</v>
          </cell>
          <cell r="E1656">
            <v>16.079999999999998</v>
          </cell>
          <cell r="F1656">
            <v>2540.64</v>
          </cell>
          <cell r="G1656">
            <v>0.14000000000000001</v>
          </cell>
          <cell r="H1656">
            <v>1</v>
          </cell>
          <cell r="I1656" t="str">
            <v>Canada</v>
          </cell>
          <cell r="J1656" t="str">
            <v>Walmart</v>
          </cell>
        </row>
        <row r="1657">
          <cell r="A1657" t="str">
            <v>27-12-2021</v>
          </cell>
          <cell r="B1657" t="str">
            <v>Zinc</v>
          </cell>
          <cell r="C1657" t="str">
            <v>Mineral</v>
          </cell>
          <cell r="D1657">
            <v>148</v>
          </cell>
          <cell r="E1657">
            <v>34.71</v>
          </cell>
          <cell r="F1657">
            <v>5137.08</v>
          </cell>
          <cell r="G1657">
            <v>0.16</v>
          </cell>
          <cell r="H1657">
            <v>1</v>
          </cell>
          <cell r="I1657" t="str">
            <v>USA</v>
          </cell>
          <cell r="J1657" t="str">
            <v>Walmart</v>
          </cell>
        </row>
        <row r="1658">
          <cell r="A1658" t="str">
            <v>27-12-2021</v>
          </cell>
          <cell r="B1658" t="str">
            <v>Collagen Peptides</v>
          </cell>
          <cell r="C1658" t="str">
            <v>Protein</v>
          </cell>
          <cell r="D1658">
            <v>159</v>
          </cell>
          <cell r="E1658">
            <v>36.71</v>
          </cell>
          <cell r="F1658">
            <v>5836.89</v>
          </cell>
          <cell r="G1658">
            <v>0.17</v>
          </cell>
          <cell r="H1658">
            <v>3</v>
          </cell>
          <cell r="I1658" t="str">
            <v>UK</v>
          </cell>
          <cell r="J1658" t="str">
            <v>iHerb</v>
          </cell>
        </row>
        <row r="1659">
          <cell r="A1659" t="str">
            <v>27-12-2021</v>
          </cell>
          <cell r="B1659" t="str">
            <v>Magnesium</v>
          </cell>
          <cell r="C1659" t="str">
            <v>Mineral</v>
          </cell>
          <cell r="D1659">
            <v>148</v>
          </cell>
          <cell r="E1659">
            <v>48.21</v>
          </cell>
          <cell r="F1659">
            <v>7135.08</v>
          </cell>
          <cell r="G1659">
            <v>0.15</v>
          </cell>
          <cell r="H1659">
            <v>0</v>
          </cell>
          <cell r="I1659" t="str">
            <v>USA</v>
          </cell>
          <cell r="J1659" t="str">
            <v>iHerb</v>
          </cell>
        </row>
        <row r="1660">
          <cell r="A1660" t="str">
            <v>27-12-2021</v>
          </cell>
          <cell r="B1660" t="str">
            <v>Ashwagandha</v>
          </cell>
          <cell r="C1660" t="str">
            <v>Herbal</v>
          </cell>
          <cell r="D1660">
            <v>168</v>
          </cell>
          <cell r="E1660">
            <v>47.42</v>
          </cell>
          <cell r="F1660">
            <v>7966.56</v>
          </cell>
          <cell r="G1660">
            <v>0.19</v>
          </cell>
          <cell r="H1660">
            <v>4</v>
          </cell>
          <cell r="I1660" t="str">
            <v>Canada</v>
          </cell>
          <cell r="J1660" t="str">
            <v>iHerb</v>
          </cell>
        </row>
        <row r="1661">
          <cell r="A1661" t="str">
            <v>27-12-2021</v>
          </cell>
          <cell r="B1661" t="str">
            <v>Melatonin</v>
          </cell>
          <cell r="C1661" t="str">
            <v>Sleep Aid</v>
          </cell>
          <cell r="D1661">
            <v>124</v>
          </cell>
          <cell r="E1661">
            <v>31.39</v>
          </cell>
          <cell r="F1661">
            <v>3892.36</v>
          </cell>
          <cell r="G1661">
            <v>0.08</v>
          </cell>
          <cell r="H1661">
            <v>0</v>
          </cell>
          <cell r="I1661" t="str">
            <v>USA</v>
          </cell>
          <cell r="J1661" t="str">
            <v>Walmart</v>
          </cell>
        </row>
        <row r="1662">
          <cell r="A1662" t="str">
            <v>27-12-2021</v>
          </cell>
          <cell r="B1662" t="str">
            <v>Biotin</v>
          </cell>
          <cell r="C1662" t="str">
            <v>Vitamin</v>
          </cell>
          <cell r="D1662">
            <v>152</v>
          </cell>
          <cell r="E1662">
            <v>15.23</v>
          </cell>
          <cell r="F1662">
            <v>2314.96</v>
          </cell>
          <cell r="G1662">
            <v>0.15</v>
          </cell>
          <cell r="H1662">
            <v>2</v>
          </cell>
          <cell r="I1662" t="str">
            <v>UK</v>
          </cell>
          <cell r="J1662" t="str">
            <v>Amazon</v>
          </cell>
        </row>
        <row r="1663">
          <cell r="A1663" t="str">
            <v>27-12-2021</v>
          </cell>
          <cell r="B1663" t="str">
            <v>Green Tea Extract</v>
          </cell>
          <cell r="C1663" t="str">
            <v>Fat Burner</v>
          </cell>
          <cell r="D1663">
            <v>147</v>
          </cell>
          <cell r="E1663">
            <v>53.27</v>
          </cell>
          <cell r="F1663">
            <v>7830.69</v>
          </cell>
          <cell r="G1663">
            <v>7.0000000000000007E-2</v>
          </cell>
          <cell r="H1663">
            <v>0</v>
          </cell>
          <cell r="I1663" t="str">
            <v>USA</v>
          </cell>
          <cell r="J1663" t="str">
            <v>Amazon</v>
          </cell>
        </row>
        <row r="1664">
          <cell r="A1664" t="str">
            <v>27-12-2021</v>
          </cell>
          <cell r="B1664" t="str">
            <v>Iron Supplement</v>
          </cell>
          <cell r="C1664" t="str">
            <v>Mineral</v>
          </cell>
          <cell r="D1664">
            <v>148</v>
          </cell>
          <cell r="E1664">
            <v>38.79</v>
          </cell>
          <cell r="F1664">
            <v>5740.92</v>
          </cell>
          <cell r="G1664">
            <v>0.15</v>
          </cell>
          <cell r="H1664">
            <v>2</v>
          </cell>
          <cell r="I1664" t="str">
            <v>Canada</v>
          </cell>
          <cell r="J1664" t="str">
            <v>iHerb</v>
          </cell>
        </row>
        <row r="1665">
          <cell r="A1665" t="str">
            <v>27-12-2021</v>
          </cell>
          <cell r="B1665" t="str">
            <v>Electrolyte Powder</v>
          </cell>
          <cell r="C1665" t="str">
            <v>Hydration</v>
          </cell>
          <cell r="D1665">
            <v>150</v>
          </cell>
          <cell r="E1665">
            <v>52.91</v>
          </cell>
          <cell r="F1665">
            <v>7936.5</v>
          </cell>
          <cell r="G1665">
            <v>0.08</v>
          </cell>
          <cell r="H1665">
            <v>4</v>
          </cell>
          <cell r="I1665" t="str">
            <v>USA</v>
          </cell>
          <cell r="J1665" t="str">
            <v>iHerb</v>
          </cell>
        </row>
        <row r="1666">
          <cell r="A1666" t="str">
            <v>03-01-2022</v>
          </cell>
          <cell r="B1666" t="str">
            <v>Whey Protein</v>
          </cell>
          <cell r="C1666" t="str">
            <v>Protein</v>
          </cell>
          <cell r="D1666">
            <v>130</v>
          </cell>
          <cell r="E1666">
            <v>12.33</v>
          </cell>
          <cell r="F1666">
            <v>1602.9</v>
          </cell>
          <cell r="G1666">
            <v>0.18</v>
          </cell>
          <cell r="H1666">
            <v>2</v>
          </cell>
          <cell r="I1666" t="str">
            <v>Canada</v>
          </cell>
          <cell r="J1666" t="str">
            <v>iHerb</v>
          </cell>
        </row>
        <row r="1667">
          <cell r="A1667" t="str">
            <v>03-01-2022</v>
          </cell>
          <cell r="B1667" t="str">
            <v>Vitamin C</v>
          </cell>
          <cell r="C1667" t="str">
            <v>Vitamin</v>
          </cell>
          <cell r="D1667">
            <v>148</v>
          </cell>
          <cell r="E1667">
            <v>39.51</v>
          </cell>
          <cell r="F1667">
            <v>5847.48</v>
          </cell>
          <cell r="G1667">
            <v>0.16</v>
          </cell>
          <cell r="H1667">
            <v>3</v>
          </cell>
          <cell r="I1667" t="str">
            <v>USA</v>
          </cell>
          <cell r="J1667" t="str">
            <v>Walmart</v>
          </cell>
        </row>
        <row r="1668">
          <cell r="A1668" t="str">
            <v>03-01-2022</v>
          </cell>
          <cell r="B1668" t="str">
            <v>Fish Oil</v>
          </cell>
          <cell r="C1668" t="str">
            <v>Omega</v>
          </cell>
          <cell r="D1668">
            <v>142</v>
          </cell>
          <cell r="E1668">
            <v>55.3</v>
          </cell>
          <cell r="F1668">
            <v>7852.6</v>
          </cell>
          <cell r="G1668">
            <v>0.23</v>
          </cell>
          <cell r="H1668">
            <v>4</v>
          </cell>
          <cell r="I1668" t="str">
            <v>USA</v>
          </cell>
          <cell r="J1668" t="str">
            <v>Amazon</v>
          </cell>
        </row>
        <row r="1669">
          <cell r="A1669" t="str">
            <v>03-01-2022</v>
          </cell>
          <cell r="B1669" t="str">
            <v>Multivitamin</v>
          </cell>
          <cell r="C1669" t="str">
            <v>Vitamin</v>
          </cell>
          <cell r="D1669">
            <v>169</v>
          </cell>
          <cell r="E1669">
            <v>51.19</v>
          </cell>
          <cell r="F1669">
            <v>8651.11</v>
          </cell>
          <cell r="G1669">
            <v>0.1</v>
          </cell>
          <cell r="H1669">
            <v>5</v>
          </cell>
          <cell r="I1669" t="str">
            <v>UK</v>
          </cell>
          <cell r="J1669" t="str">
            <v>Walmart</v>
          </cell>
        </row>
        <row r="1670">
          <cell r="A1670" t="str">
            <v>03-01-2022</v>
          </cell>
          <cell r="B1670" t="str">
            <v>Pre-Workout</v>
          </cell>
          <cell r="C1670" t="str">
            <v>Performance</v>
          </cell>
          <cell r="D1670">
            <v>149</v>
          </cell>
          <cell r="E1670">
            <v>36.49</v>
          </cell>
          <cell r="F1670">
            <v>5437.01</v>
          </cell>
          <cell r="G1670">
            <v>0.08</v>
          </cell>
          <cell r="H1670">
            <v>0</v>
          </cell>
          <cell r="I1670" t="str">
            <v>USA</v>
          </cell>
          <cell r="J1670" t="str">
            <v>Walmart</v>
          </cell>
        </row>
        <row r="1671">
          <cell r="A1671" t="str">
            <v>03-01-2022</v>
          </cell>
          <cell r="B1671" t="str">
            <v>BCAA</v>
          </cell>
          <cell r="C1671" t="str">
            <v>Amino Acid</v>
          </cell>
          <cell r="D1671">
            <v>168</v>
          </cell>
          <cell r="E1671">
            <v>16.98</v>
          </cell>
          <cell r="F1671">
            <v>2852.64</v>
          </cell>
          <cell r="G1671">
            <v>0.19</v>
          </cell>
          <cell r="H1671">
            <v>2</v>
          </cell>
          <cell r="I1671" t="str">
            <v>UK</v>
          </cell>
          <cell r="J1671" t="str">
            <v>Walmart</v>
          </cell>
        </row>
        <row r="1672">
          <cell r="A1672" t="str">
            <v>03-01-2022</v>
          </cell>
          <cell r="B1672" t="str">
            <v>Creatine</v>
          </cell>
          <cell r="C1672" t="str">
            <v>Performance</v>
          </cell>
          <cell r="D1672">
            <v>147</v>
          </cell>
          <cell r="E1672">
            <v>52.99</v>
          </cell>
          <cell r="F1672">
            <v>7789.53</v>
          </cell>
          <cell r="G1672">
            <v>0.18</v>
          </cell>
          <cell r="H1672">
            <v>1</v>
          </cell>
          <cell r="I1672" t="str">
            <v>Canada</v>
          </cell>
          <cell r="J1672" t="str">
            <v>iHerb</v>
          </cell>
        </row>
        <row r="1673">
          <cell r="A1673" t="str">
            <v>03-01-2022</v>
          </cell>
          <cell r="B1673" t="str">
            <v>Zinc</v>
          </cell>
          <cell r="C1673" t="str">
            <v>Mineral</v>
          </cell>
          <cell r="D1673">
            <v>154</v>
          </cell>
          <cell r="E1673">
            <v>33.700000000000003</v>
          </cell>
          <cell r="F1673">
            <v>5189.8</v>
          </cell>
          <cell r="G1673">
            <v>0.05</v>
          </cell>
          <cell r="H1673">
            <v>0</v>
          </cell>
          <cell r="I1673" t="str">
            <v>Canada</v>
          </cell>
          <cell r="J1673" t="str">
            <v>Amazon</v>
          </cell>
        </row>
        <row r="1674">
          <cell r="A1674" t="str">
            <v>03-01-2022</v>
          </cell>
          <cell r="B1674" t="str">
            <v>Collagen Peptides</v>
          </cell>
          <cell r="C1674" t="str">
            <v>Protein</v>
          </cell>
          <cell r="D1674">
            <v>156</v>
          </cell>
          <cell r="E1674">
            <v>30.19</v>
          </cell>
          <cell r="F1674">
            <v>4709.6400000000003</v>
          </cell>
          <cell r="G1674">
            <v>0.05</v>
          </cell>
          <cell r="H1674">
            <v>2</v>
          </cell>
          <cell r="I1674" t="str">
            <v>Canada</v>
          </cell>
          <cell r="J1674" t="str">
            <v>Walmart</v>
          </cell>
        </row>
        <row r="1675">
          <cell r="A1675" t="str">
            <v>03-01-2022</v>
          </cell>
          <cell r="B1675" t="str">
            <v>Magnesium</v>
          </cell>
          <cell r="C1675" t="str">
            <v>Mineral</v>
          </cell>
          <cell r="D1675">
            <v>166</v>
          </cell>
          <cell r="E1675">
            <v>53.44</v>
          </cell>
          <cell r="F1675">
            <v>8871.0400000000009</v>
          </cell>
          <cell r="G1675">
            <v>0.13</v>
          </cell>
          <cell r="H1675">
            <v>2</v>
          </cell>
          <cell r="I1675" t="str">
            <v>USA</v>
          </cell>
          <cell r="J1675" t="str">
            <v>Amazon</v>
          </cell>
        </row>
        <row r="1676">
          <cell r="A1676" t="str">
            <v>03-01-2022</v>
          </cell>
          <cell r="B1676" t="str">
            <v>Ashwagandha</v>
          </cell>
          <cell r="C1676" t="str">
            <v>Herbal</v>
          </cell>
          <cell r="D1676">
            <v>135</v>
          </cell>
          <cell r="E1676">
            <v>29.48</v>
          </cell>
          <cell r="F1676">
            <v>3979.8</v>
          </cell>
          <cell r="G1676">
            <v>0.13</v>
          </cell>
          <cell r="H1676">
            <v>3</v>
          </cell>
          <cell r="I1676" t="str">
            <v>UK</v>
          </cell>
          <cell r="J1676" t="str">
            <v>iHerb</v>
          </cell>
        </row>
        <row r="1677">
          <cell r="A1677" t="str">
            <v>03-01-2022</v>
          </cell>
          <cell r="B1677" t="str">
            <v>Melatonin</v>
          </cell>
          <cell r="C1677" t="str">
            <v>Sleep Aid</v>
          </cell>
          <cell r="D1677">
            <v>166</v>
          </cell>
          <cell r="E1677">
            <v>18.64</v>
          </cell>
          <cell r="F1677">
            <v>3094.24</v>
          </cell>
          <cell r="G1677">
            <v>0.09</v>
          </cell>
          <cell r="H1677">
            <v>1</v>
          </cell>
          <cell r="I1677" t="str">
            <v>USA</v>
          </cell>
          <cell r="J1677" t="str">
            <v>Walmart</v>
          </cell>
        </row>
        <row r="1678">
          <cell r="A1678" t="str">
            <v>03-01-2022</v>
          </cell>
          <cell r="B1678" t="str">
            <v>Biotin</v>
          </cell>
          <cell r="C1678" t="str">
            <v>Vitamin</v>
          </cell>
          <cell r="D1678">
            <v>154</v>
          </cell>
          <cell r="E1678">
            <v>58.11</v>
          </cell>
          <cell r="F1678">
            <v>8948.94</v>
          </cell>
          <cell r="G1678">
            <v>0.16</v>
          </cell>
          <cell r="H1678">
            <v>3</v>
          </cell>
          <cell r="I1678" t="str">
            <v>UK</v>
          </cell>
          <cell r="J1678" t="str">
            <v>Amazon</v>
          </cell>
        </row>
        <row r="1679">
          <cell r="A1679" t="str">
            <v>03-01-2022</v>
          </cell>
          <cell r="B1679" t="str">
            <v>Green Tea Extract</v>
          </cell>
          <cell r="C1679" t="str">
            <v>Fat Burner</v>
          </cell>
          <cell r="D1679">
            <v>151</v>
          </cell>
          <cell r="E1679">
            <v>36.229999999999997</v>
          </cell>
          <cell r="F1679">
            <v>5470.73</v>
          </cell>
          <cell r="G1679">
            <v>0.14000000000000001</v>
          </cell>
          <cell r="H1679">
            <v>2</v>
          </cell>
          <cell r="I1679" t="str">
            <v>UK</v>
          </cell>
          <cell r="J1679" t="str">
            <v>Amazon</v>
          </cell>
        </row>
        <row r="1680">
          <cell r="A1680" t="str">
            <v>03-01-2022</v>
          </cell>
          <cell r="B1680" t="str">
            <v>Iron Supplement</v>
          </cell>
          <cell r="C1680" t="str">
            <v>Mineral</v>
          </cell>
          <cell r="D1680">
            <v>139</v>
          </cell>
          <cell r="E1680">
            <v>28.2</v>
          </cell>
          <cell r="F1680">
            <v>3919.8</v>
          </cell>
          <cell r="G1680">
            <v>0.24</v>
          </cell>
          <cell r="H1680">
            <v>1</v>
          </cell>
          <cell r="I1680" t="str">
            <v>Canada</v>
          </cell>
          <cell r="J1680" t="str">
            <v>iHerb</v>
          </cell>
        </row>
        <row r="1681">
          <cell r="A1681" t="str">
            <v>03-01-2022</v>
          </cell>
          <cell r="B1681" t="str">
            <v>Electrolyte Powder</v>
          </cell>
          <cell r="C1681" t="str">
            <v>Hydration</v>
          </cell>
          <cell r="D1681">
            <v>160</v>
          </cell>
          <cell r="E1681">
            <v>23.28</v>
          </cell>
          <cell r="F1681">
            <v>3724.8</v>
          </cell>
          <cell r="G1681">
            <v>0.14000000000000001</v>
          </cell>
          <cell r="H1681">
            <v>3</v>
          </cell>
          <cell r="I1681" t="str">
            <v>USA</v>
          </cell>
          <cell r="J1681" t="str">
            <v>iHerb</v>
          </cell>
        </row>
        <row r="1682">
          <cell r="A1682" t="str">
            <v>10-01-2022</v>
          </cell>
          <cell r="B1682" t="str">
            <v>Whey Protein</v>
          </cell>
          <cell r="C1682" t="str">
            <v>Protein</v>
          </cell>
          <cell r="D1682">
            <v>149</v>
          </cell>
          <cell r="E1682">
            <v>20.72</v>
          </cell>
          <cell r="F1682">
            <v>3087.28</v>
          </cell>
          <cell r="G1682">
            <v>0.02</v>
          </cell>
          <cell r="H1682">
            <v>3</v>
          </cell>
          <cell r="I1682" t="str">
            <v>Canada</v>
          </cell>
          <cell r="J1682" t="str">
            <v>Amazon</v>
          </cell>
        </row>
        <row r="1683">
          <cell r="A1683" t="str">
            <v>10-01-2022</v>
          </cell>
          <cell r="B1683" t="str">
            <v>Vitamin C</v>
          </cell>
          <cell r="C1683" t="str">
            <v>Vitamin</v>
          </cell>
          <cell r="D1683">
            <v>156</v>
          </cell>
          <cell r="E1683">
            <v>51.35</v>
          </cell>
          <cell r="F1683">
            <v>8010.6</v>
          </cell>
          <cell r="G1683">
            <v>0.21</v>
          </cell>
          <cell r="H1683">
            <v>2</v>
          </cell>
          <cell r="I1683" t="str">
            <v>USA</v>
          </cell>
          <cell r="J1683" t="str">
            <v>Amazon</v>
          </cell>
        </row>
        <row r="1684">
          <cell r="A1684" t="str">
            <v>10-01-2022</v>
          </cell>
          <cell r="B1684" t="str">
            <v>Fish Oil</v>
          </cell>
          <cell r="C1684" t="str">
            <v>Omega</v>
          </cell>
          <cell r="D1684">
            <v>146</v>
          </cell>
          <cell r="E1684">
            <v>31.61</v>
          </cell>
          <cell r="F1684">
            <v>4615.0600000000004</v>
          </cell>
          <cell r="G1684">
            <v>0.13</v>
          </cell>
          <cell r="H1684">
            <v>1</v>
          </cell>
          <cell r="I1684" t="str">
            <v>UK</v>
          </cell>
          <cell r="J1684" t="str">
            <v>Amazon</v>
          </cell>
        </row>
        <row r="1685">
          <cell r="A1685" t="str">
            <v>10-01-2022</v>
          </cell>
          <cell r="B1685" t="str">
            <v>Multivitamin</v>
          </cell>
          <cell r="C1685" t="str">
            <v>Vitamin</v>
          </cell>
          <cell r="D1685">
            <v>152</v>
          </cell>
          <cell r="E1685">
            <v>12.4</v>
          </cell>
          <cell r="F1685">
            <v>1884.8</v>
          </cell>
          <cell r="G1685">
            <v>0.22</v>
          </cell>
          <cell r="H1685">
            <v>1</v>
          </cell>
          <cell r="I1685" t="str">
            <v>Canada</v>
          </cell>
          <cell r="J1685" t="str">
            <v>Walmart</v>
          </cell>
        </row>
        <row r="1686">
          <cell r="A1686" t="str">
            <v>10-01-2022</v>
          </cell>
          <cell r="B1686" t="str">
            <v>Pre-Workout</v>
          </cell>
          <cell r="C1686" t="str">
            <v>Performance</v>
          </cell>
          <cell r="D1686">
            <v>153</v>
          </cell>
          <cell r="E1686">
            <v>10.17</v>
          </cell>
          <cell r="F1686">
            <v>1556.01</v>
          </cell>
          <cell r="G1686">
            <v>0.06</v>
          </cell>
          <cell r="H1686">
            <v>2</v>
          </cell>
          <cell r="I1686" t="str">
            <v>UK</v>
          </cell>
          <cell r="J1686" t="str">
            <v>Amazon</v>
          </cell>
        </row>
        <row r="1687">
          <cell r="A1687" t="str">
            <v>10-01-2022</v>
          </cell>
          <cell r="B1687" t="str">
            <v>BCAA</v>
          </cell>
          <cell r="C1687" t="str">
            <v>Amino Acid</v>
          </cell>
          <cell r="D1687">
            <v>139</v>
          </cell>
          <cell r="E1687">
            <v>19.079999999999998</v>
          </cell>
          <cell r="F1687">
            <v>2652.12</v>
          </cell>
          <cell r="G1687">
            <v>0</v>
          </cell>
          <cell r="H1687">
            <v>2</v>
          </cell>
          <cell r="I1687" t="str">
            <v>USA</v>
          </cell>
          <cell r="J1687" t="str">
            <v>Walmart</v>
          </cell>
        </row>
        <row r="1688">
          <cell r="A1688" t="str">
            <v>10-01-2022</v>
          </cell>
          <cell r="B1688" t="str">
            <v>Creatine</v>
          </cell>
          <cell r="C1688" t="str">
            <v>Performance</v>
          </cell>
          <cell r="D1688">
            <v>166</v>
          </cell>
          <cell r="E1688">
            <v>19.41</v>
          </cell>
          <cell r="F1688">
            <v>3222.06</v>
          </cell>
          <cell r="G1688">
            <v>7.0000000000000007E-2</v>
          </cell>
          <cell r="H1688">
            <v>1</v>
          </cell>
          <cell r="I1688" t="str">
            <v>UK</v>
          </cell>
          <cell r="J1688" t="str">
            <v>Walmart</v>
          </cell>
        </row>
        <row r="1689">
          <cell r="A1689" t="str">
            <v>10-01-2022</v>
          </cell>
          <cell r="B1689" t="str">
            <v>Zinc</v>
          </cell>
          <cell r="C1689" t="str">
            <v>Mineral</v>
          </cell>
          <cell r="D1689">
            <v>179</v>
          </cell>
          <cell r="E1689">
            <v>46.58</v>
          </cell>
          <cell r="F1689">
            <v>8337.82</v>
          </cell>
          <cell r="G1689">
            <v>0.11</v>
          </cell>
          <cell r="H1689">
            <v>1</v>
          </cell>
          <cell r="I1689" t="str">
            <v>Canada</v>
          </cell>
          <cell r="J1689" t="str">
            <v>Amazon</v>
          </cell>
        </row>
        <row r="1690">
          <cell r="A1690" t="str">
            <v>10-01-2022</v>
          </cell>
          <cell r="B1690" t="str">
            <v>Collagen Peptides</v>
          </cell>
          <cell r="C1690" t="str">
            <v>Protein</v>
          </cell>
          <cell r="D1690">
            <v>148</v>
          </cell>
          <cell r="E1690">
            <v>49.93</v>
          </cell>
          <cell r="F1690">
            <v>7389.64</v>
          </cell>
          <cell r="G1690">
            <v>0.06</v>
          </cell>
          <cell r="H1690">
            <v>2</v>
          </cell>
          <cell r="I1690" t="str">
            <v>UK</v>
          </cell>
          <cell r="J1690" t="str">
            <v>Amazon</v>
          </cell>
        </row>
        <row r="1691">
          <cell r="A1691" t="str">
            <v>10-01-2022</v>
          </cell>
          <cell r="B1691" t="str">
            <v>Magnesium</v>
          </cell>
          <cell r="C1691" t="str">
            <v>Mineral</v>
          </cell>
          <cell r="D1691">
            <v>138</v>
          </cell>
          <cell r="E1691">
            <v>50.47</v>
          </cell>
          <cell r="F1691">
            <v>6964.86</v>
          </cell>
          <cell r="G1691">
            <v>0.24</v>
          </cell>
          <cell r="H1691">
            <v>1</v>
          </cell>
          <cell r="I1691" t="str">
            <v>USA</v>
          </cell>
          <cell r="J1691" t="str">
            <v>Amazon</v>
          </cell>
        </row>
        <row r="1692">
          <cell r="A1692" t="str">
            <v>10-01-2022</v>
          </cell>
          <cell r="B1692" t="str">
            <v>Ashwagandha</v>
          </cell>
          <cell r="C1692" t="str">
            <v>Herbal</v>
          </cell>
          <cell r="D1692">
            <v>158</v>
          </cell>
          <cell r="E1692">
            <v>19.22</v>
          </cell>
          <cell r="F1692">
            <v>3036.76</v>
          </cell>
          <cell r="G1692">
            <v>0.11</v>
          </cell>
          <cell r="H1692">
            <v>0</v>
          </cell>
          <cell r="I1692" t="str">
            <v>Canada</v>
          </cell>
          <cell r="J1692" t="str">
            <v>iHerb</v>
          </cell>
        </row>
        <row r="1693">
          <cell r="A1693" t="str">
            <v>10-01-2022</v>
          </cell>
          <cell r="B1693" t="str">
            <v>Melatonin</v>
          </cell>
          <cell r="C1693" t="str">
            <v>Sleep Aid</v>
          </cell>
          <cell r="D1693">
            <v>153</v>
          </cell>
          <cell r="E1693">
            <v>36.9</v>
          </cell>
          <cell r="F1693">
            <v>5645.7</v>
          </cell>
          <cell r="G1693">
            <v>0.17</v>
          </cell>
          <cell r="H1693">
            <v>0</v>
          </cell>
          <cell r="I1693" t="str">
            <v>USA</v>
          </cell>
          <cell r="J1693" t="str">
            <v>Amazon</v>
          </cell>
        </row>
        <row r="1694">
          <cell r="A1694" t="str">
            <v>10-01-2022</v>
          </cell>
          <cell r="B1694" t="str">
            <v>Biotin</v>
          </cell>
          <cell r="C1694" t="str">
            <v>Vitamin</v>
          </cell>
          <cell r="D1694">
            <v>152</v>
          </cell>
          <cell r="E1694">
            <v>57.01</v>
          </cell>
          <cell r="F1694">
            <v>8665.52</v>
          </cell>
          <cell r="G1694">
            <v>0.19</v>
          </cell>
          <cell r="H1694">
            <v>4</v>
          </cell>
          <cell r="I1694" t="str">
            <v>USA</v>
          </cell>
          <cell r="J1694" t="str">
            <v>Walmart</v>
          </cell>
        </row>
        <row r="1695">
          <cell r="A1695" t="str">
            <v>10-01-2022</v>
          </cell>
          <cell r="B1695" t="str">
            <v>Green Tea Extract</v>
          </cell>
          <cell r="C1695" t="str">
            <v>Fat Burner</v>
          </cell>
          <cell r="D1695">
            <v>117</v>
          </cell>
          <cell r="E1695">
            <v>19.77</v>
          </cell>
          <cell r="F1695">
            <v>2313.09</v>
          </cell>
          <cell r="G1695">
            <v>0</v>
          </cell>
          <cell r="H1695">
            <v>0</v>
          </cell>
          <cell r="I1695" t="str">
            <v>UK</v>
          </cell>
          <cell r="J1695" t="str">
            <v>Amazon</v>
          </cell>
        </row>
        <row r="1696">
          <cell r="A1696" t="str">
            <v>10-01-2022</v>
          </cell>
          <cell r="B1696" t="str">
            <v>Iron Supplement</v>
          </cell>
          <cell r="C1696" t="str">
            <v>Mineral</v>
          </cell>
          <cell r="D1696">
            <v>156</v>
          </cell>
          <cell r="E1696">
            <v>35.450000000000003</v>
          </cell>
          <cell r="F1696">
            <v>5530.2</v>
          </cell>
          <cell r="G1696">
            <v>0.22</v>
          </cell>
          <cell r="H1696">
            <v>2</v>
          </cell>
          <cell r="I1696" t="str">
            <v>USA</v>
          </cell>
          <cell r="J1696" t="str">
            <v>iHerb</v>
          </cell>
        </row>
        <row r="1697">
          <cell r="A1697" t="str">
            <v>10-01-2022</v>
          </cell>
          <cell r="B1697" t="str">
            <v>Electrolyte Powder</v>
          </cell>
          <cell r="C1697" t="str">
            <v>Hydration</v>
          </cell>
          <cell r="D1697">
            <v>146</v>
          </cell>
          <cell r="E1697">
            <v>32.79</v>
          </cell>
          <cell r="F1697">
            <v>4787.34</v>
          </cell>
          <cell r="G1697">
            <v>0.04</v>
          </cell>
          <cell r="H1697">
            <v>2</v>
          </cell>
          <cell r="I1697" t="str">
            <v>UK</v>
          </cell>
          <cell r="J1697" t="str">
            <v>Walmart</v>
          </cell>
        </row>
        <row r="1698">
          <cell r="A1698" t="str">
            <v>17-01-2022</v>
          </cell>
          <cell r="B1698" t="str">
            <v>Whey Protein</v>
          </cell>
          <cell r="C1698" t="str">
            <v>Protein</v>
          </cell>
          <cell r="D1698">
            <v>145</v>
          </cell>
          <cell r="E1698">
            <v>47.83</v>
          </cell>
          <cell r="F1698">
            <v>6935.35</v>
          </cell>
          <cell r="G1698">
            <v>0.15</v>
          </cell>
          <cell r="H1698">
            <v>1</v>
          </cell>
          <cell r="I1698" t="str">
            <v>USA</v>
          </cell>
          <cell r="J1698" t="str">
            <v>Amazon</v>
          </cell>
        </row>
        <row r="1699">
          <cell r="A1699" t="str">
            <v>17-01-2022</v>
          </cell>
          <cell r="B1699" t="str">
            <v>Vitamin C</v>
          </cell>
          <cell r="C1699" t="str">
            <v>Vitamin</v>
          </cell>
          <cell r="D1699">
            <v>139</v>
          </cell>
          <cell r="E1699">
            <v>34.32</v>
          </cell>
          <cell r="F1699">
            <v>4770.4799999999996</v>
          </cell>
          <cell r="G1699">
            <v>0.06</v>
          </cell>
          <cell r="H1699">
            <v>0</v>
          </cell>
          <cell r="I1699" t="str">
            <v>Canada</v>
          </cell>
          <cell r="J1699" t="str">
            <v>iHerb</v>
          </cell>
        </row>
        <row r="1700">
          <cell r="A1700" t="str">
            <v>17-01-2022</v>
          </cell>
          <cell r="B1700" t="str">
            <v>Fish Oil</v>
          </cell>
          <cell r="C1700" t="str">
            <v>Omega</v>
          </cell>
          <cell r="D1700">
            <v>136</v>
          </cell>
          <cell r="E1700">
            <v>21.45</v>
          </cell>
          <cell r="F1700">
            <v>2917.2</v>
          </cell>
          <cell r="G1700">
            <v>0.13</v>
          </cell>
          <cell r="H1700">
            <v>1</v>
          </cell>
          <cell r="I1700" t="str">
            <v>Canada</v>
          </cell>
          <cell r="J1700" t="str">
            <v>Amazon</v>
          </cell>
        </row>
        <row r="1701">
          <cell r="A1701" t="str">
            <v>17-01-2022</v>
          </cell>
          <cell r="B1701" t="str">
            <v>Multivitamin</v>
          </cell>
          <cell r="C1701" t="str">
            <v>Vitamin</v>
          </cell>
          <cell r="D1701">
            <v>153</v>
          </cell>
          <cell r="E1701">
            <v>53.39</v>
          </cell>
          <cell r="F1701">
            <v>8168.67</v>
          </cell>
          <cell r="G1701">
            <v>0.11</v>
          </cell>
          <cell r="H1701">
            <v>0</v>
          </cell>
          <cell r="I1701" t="str">
            <v>Canada</v>
          </cell>
          <cell r="J1701" t="str">
            <v>Walmart</v>
          </cell>
        </row>
        <row r="1702">
          <cell r="A1702" t="str">
            <v>17-01-2022</v>
          </cell>
          <cell r="B1702" t="str">
            <v>Pre-Workout</v>
          </cell>
          <cell r="C1702" t="str">
            <v>Performance</v>
          </cell>
          <cell r="D1702">
            <v>147</v>
          </cell>
          <cell r="E1702">
            <v>37.89</v>
          </cell>
          <cell r="F1702">
            <v>5569.83</v>
          </cell>
          <cell r="G1702">
            <v>0.16</v>
          </cell>
          <cell r="H1702">
            <v>0</v>
          </cell>
          <cell r="I1702" t="str">
            <v>UK</v>
          </cell>
          <cell r="J1702" t="str">
            <v>Walmart</v>
          </cell>
        </row>
        <row r="1703">
          <cell r="A1703" t="str">
            <v>17-01-2022</v>
          </cell>
          <cell r="B1703" t="str">
            <v>BCAA</v>
          </cell>
          <cell r="C1703" t="str">
            <v>Amino Acid</v>
          </cell>
          <cell r="D1703">
            <v>155</v>
          </cell>
          <cell r="E1703">
            <v>47.53</v>
          </cell>
          <cell r="F1703">
            <v>7367.15</v>
          </cell>
          <cell r="G1703">
            <v>0.08</v>
          </cell>
          <cell r="H1703">
            <v>2</v>
          </cell>
          <cell r="I1703" t="str">
            <v>USA</v>
          </cell>
          <cell r="J1703" t="str">
            <v>iHerb</v>
          </cell>
        </row>
        <row r="1704">
          <cell r="A1704" t="str">
            <v>17-01-2022</v>
          </cell>
          <cell r="B1704" t="str">
            <v>Creatine</v>
          </cell>
          <cell r="C1704" t="str">
            <v>Performance</v>
          </cell>
          <cell r="D1704">
            <v>122</v>
          </cell>
          <cell r="E1704">
            <v>45.25</v>
          </cell>
          <cell r="F1704">
            <v>5520.5</v>
          </cell>
          <cell r="G1704">
            <v>0.06</v>
          </cell>
          <cell r="H1704">
            <v>2</v>
          </cell>
          <cell r="I1704" t="str">
            <v>USA</v>
          </cell>
          <cell r="J1704" t="str">
            <v>Amazon</v>
          </cell>
        </row>
        <row r="1705">
          <cell r="A1705" t="str">
            <v>17-01-2022</v>
          </cell>
          <cell r="B1705" t="str">
            <v>Zinc</v>
          </cell>
          <cell r="C1705" t="str">
            <v>Mineral</v>
          </cell>
          <cell r="D1705">
            <v>155</v>
          </cell>
          <cell r="E1705">
            <v>27.68</v>
          </cell>
          <cell r="F1705">
            <v>4290.3999999999996</v>
          </cell>
          <cell r="G1705">
            <v>0.12</v>
          </cell>
          <cell r="H1705">
            <v>2</v>
          </cell>
          <cell r="I1705" t="str">
            <v>UK</v>
          </cell>
          <cell r="J1705" t="str">
            <v>Walmart</v>
          </cell>
        </row>
        <row r="1706">
          <cell r="A1706" t="str">
            <v>17-01-2022</v>
          </cell>
          <cell r="B1706" t="str">
            <v>Collagen Peptides</v>
          </cell>
          <cell r="C1706" t="str">
            <v>Protein</v>
          </cell>
          <cell r="D1706">
            <v>149</v>
          </cell>
          <cell r="E1706">
            <v>31.68</v>
          </cell>
          <cell r="F1706">
            <v>4720.32</v>
          </cell>
          <cell r="G1706">
            <v>0.05</v>
          </cell>
          <cell r="H1706">
            <v>0</v>
          </cell>
          <cell r="I1706" t="str">
            <v>USA</v>
          </cell>
          <cell r="J1706" t="str">
            <v>Walmart</v>
          </cell>
        </row>
        <row r="1707">
          <cell r="A1707" t="str">
            <v>17-01-2022</v>
          </cell>
          <cell r="B1707" t="str">
            <v>Magnesium</v>
          </cell>
          <cell r="C1707" t="str">
            <v>Mineral</v>
          </cell>
          <cell r="D1707">
            <v>159</v>
          </cell>
          <cell r="E1707">
            <v>20.12</v>
          </cell>
          <cell r="F1707">
            <v>3199.08</v>
          </cell>
          <cell r="G1707">
            <v>0.24</v>
          </cell>
          <cell r="H1707">
            <v>1</v>
          </cell>
          <cell r="I1707" t="str">
            <v>Canada</v>
          </cell>
          <cell r="J1707" t="str">
            <v>Walmart</v>
          </cell>
        </row>
        <row r="1708">
          <cell r="A1708" t="str">
            <v>17-01-2022</v>
          </cell>
          <cell r="B1708" t="str">
            <v>Ashwagandha</v>
          </cell>
          <cell r="C1708" t="str">
            <v>Herbal</v>
          </cell>
          <cell r="D1708">
            <v>171</v>
          </cell>
          <cell r="E1708">
            <v>46.12</v>
          </cell>
          <cell r="F1708">
            <v>7886.52</v>
          </cell>
          <cell r="G1708">
            <v>0.02</v>
          </cell>
          <cell r="H1708">
            <v>1</v>
          </cell>
          <cell r="I1708" t="str">
            <v>Canada</v>
          </cell>
          <cell r="J1708" t="str">
            <v>Walmart</v>
          </cell>
        </row>
        <row r="1709">
          <cell r="A1709" t="str">
            <v>17-01-2022</v>
          </cell>
          <cell r="B1709" t="str">
            <v>Melatonin</v>
          </cell>
          <cell r="C1709" t="str">
            <v>Sleep Aid</v>
          </cell>
          <cell r="D1709">
            <v>144</v>
          </cell>
          <cell r="E1709">
            <v>26.95</v>
          </cell>
          <cell r="F1709">
            <v>3880.8</v>
          </cell>
          <cell r="G1709">
            <v>0.2</v>
          </cell>
          <cell r="H1709">
            <v>0</v>
          </cell>
          <cell r="I1709" t="str">
            <v>Canada</v>
          </cell>
          <cell r="J1709" t="str">
            <v>Walmart</v>
          </cell>
        </row>
        <row r="1710">
          <cell r="A1710" t="str">
            <v>17-01-2022</v>
          </cell>
          <cell r="B1710" t="str">
            <v>Biotin</v>
          </cell>
          <cell r="C1710" t="str">
            <v>Vitamin</v>
          </cell>
          <cell r="D1710">
            <v>137</v>
          </cell>
          <cell r="E1710">
            <v>30.42</v>
          </cell>
          <cell r="F1710">
            <v>4167.54</v>
          </cell>
          <cell r="G1710">
            <v>0.09</v>
          </cell>
          <cell r="H1710">
            <v>2</v>
          </cell>
          <cell r="I1710" t="str">
            <v>USA</v>
          </cell>
          <cell r="J1710" t="str">
            <v>iHerb</v>
          </cell>
        </row>
        <row r="1711">
          <cell r="A1711" t="str">
            <v>17-01-2022</v>
          </cell>
          <cell r="B1711" t="str">
            <v>Green Tea Extract</v>
          </cell>
          <cell r="C1711" t="str">
            <v>Fat Burner</v>
          </cell>
          <cell r="D1711">
            <v>131</v>
          </cell>
          <cell r="E1711">
            <v>51.86</v>
          </cell>
          <cell r="F1711">
            <v>6793.66</v>
          </cell>
          <cell r="G1711">
            <v>0.02</v>
          </cell>
          <cell r="H1711">
            <v>3</v>
          </cell>
          <cell r="I1711" t="str">
            <v>Canada</v>
          </cell>
          <cell r="J1711" t="str">
            <v>Amazon</v>
          </cell>
        </row>
        <row r="1712">
          <cell r="A1712" t="str">
            <v>17-01-2022</v>
          </cell>
          <cell r="B1712" t="str">
            <v>Iron Supplement</v>
          </cell>
          <cell r="C1712" t="str">
            <v>Mineral</v>
          </cell>
          <cell r="D1712">
            <v>142</v>
          </cell>
          <cell r="E1712">
            <v>48.82</v>
          </cell>
          <cell r="F1712">
            <v>6932.44</v>
          </cell>
          <cell r="G1712">
            <v>0.15</v>
          </cell>
          <cell r="H1712">
            <v>2</v>
          </cell>
          <cell r="I1712" t="str">
            <v>USA</v>
          </cell>
          <cell r="J1712" t="str">
            <v>Amazon</v>
          </cell>
        </row>
        <row r="1713">
          <cell r="A1713" t="str">
            <v>17-01-2022</v>
          </cell>
          <cell r="B1713" t="str">
            <v>Electrolyte Powder</v>
          </cell>
          <cell r="C1713" t="str">
            <v>Hydration</v>
          </cell>
          <cell r="D1713">
            <v>160</v>
          </cell>
          <cell r="E1713">
            <v>51.66</v>
          </cell>
          <cell r="F1713">
            <v>8265.6</v>
          </cell>
          <cell r="G1713">
            <v>0.18</v>
          </cell>
          <cell r="H1713">
            <v>2</v>
          </cell>
          <cell r="I1713" t="str">
            <v>USA</v>
          </cell>
          <cell r="J1713" t="str">
            <v>iHerb</v>
          </cell>
        </row>
        <row r="1714">
          <cell r="A1714" t="str">
            <v>24-01-2022</v>
          </cell>
          <cell r="B1714" t="str">
            <v>Whey Protein</v>
          </cell>
          <cell r="C1714" t="str">
            <v>Protein</v>
          </cell>
          <cell r="D1714">
            <v>168</v>
          </cell>
          <cell r="E1714">
            <v>20.079999999999998</v>
          </cell>
          <cell r="F1714">
            <v>3373.44</v>
          </cell>
          <cell r="G1714">
            <v>0.11</v>
          </cell>
          <cell r="H1714">
            <v>1</v>
          </cell>
          <cell r="I1714" t="str">
            <v>Canada</v>
          </cell>
          <cell r="J1714" t="str">
            <v>Amazon</v>
          </cell>
        </row>
        <row r="1715">
          <cell r="A1715" t="str">
            <v>24-01-2022</v>
          </cell>
          <cell r="B1715" t="str">
            <v>Vitamin C</v>
          </cell>
          <cell r="C1715" t="str">
            <v>Vitamin</v>
          </cell>
          <cell r="D1715">
            <v>134</v>
          </cell>
          <cell r="E1715">
            <v>35.31</v>
          </cell>
          <cell r="F1715">
            <v>4731.54</v>
          </cell>
          <cell r="G1715">
            <v>0.01</v>
          </cell>
          <cell r="H1715">
            <v>3</v>
          </cell>
          <cell r="I1715" t="str">
            <v>UK</v>
          </cell>
          <cell r="J1715" t="str">
            <v>Walmart</v>
          </cell>
        </row>
        <row r="1716">
          <cell r="A1716" t="str">
            <v>24-01-2022</v>
          </cell>
          <cell r="B1716" t="str">
            <v>Fish Oil</v>
          </cell>
          <cell r="C1716" t="str">
            <v>Omega</v>
          </cell>
          <cell r="D1716">
            <v>165</v>
          </cell>
          <cell r="E1716">
            <v>21.45</v>
          </cell>
          <cell r="F1716">
            <v>3539.25</v>
          </cell>
          <cell r="G1716">
            <v>0.03</v>
          </cell>
          <cell r="H1716">
            <v>1</v>
          </cell>
          <cell r="I1716" t="str">
            <v>UK</v>
          </cell>
          <cell r="J1716" t="str">
            <v>iHerb</v>
          </cell>
        </row>
        <row r="1717">
          <cell r="A1717" t="str">
            <v>24-01-2022</v>
          </cell>
          <cell r="B1717" t="str">
            <v>Multivitamin</v>
          </cell>
          <cell r="C1717" t="str">
            <v>Vitamin</v>
          </cell>
          <cell r="D1717">
            <v>141</v>
          </cell>
          <cell r="E1717">
            <v>58.32</v>
          </cell>
          <cell r="F1717">
            <v>8223.1200000000008</v>
          </cell>
          <cell r="G1717">
            <v>0.14000000000000001</v>
          </cell>
          <cell r="H1717">
            <v>3</v>
          </cell>
          <cell r="I1717" t="str">
            <v>UK</v>
          </cell>
          <cell r="J1717" t="str">
            <v>Walmart</v>
          </cell>
        </row>
        <row r="1718">
          <cell r="A1718" t="str">
            <v>24-01-2022</v>
          </cell>
          <cell r="B1718" t="str">
            <v>Pre-Workout</v>
          </cell>
          <cell r="C1718" t="str">
            <v>Performance</v>
          </cell>
          <cell r="D1718">
            <v>155</v>
          </cell>
          <cell r="E1718">
            <v>52.73</v>
          </cell>
          <cell r="F1718">
            <v>8173.15</v>
          </cell>
          <cell r="G1718">
            <v>0.12</v>
          </cell>
          <cell r="H1718">
            <v>3</v>
          </cell>
          <cell r="I1718" t="str">
            <v>Canada</v>
          </cell>
          <cell r="J1718" t="str">
            <v>Amazon</v>
          </cell>
        </row>
        <row r="1719">
          <cell r="A1719" t="str">
            <v>24-01-2022</v>
          </cell>
          <cell r="B1719" t="str">
            <v>BCAA</v>
          </cell>
          <cell r="C1719" t="str">
            <v>Amino Acid</v>
          </cell>
          <cell r="D1719">
            <v>142</v>
          </cell>
          <cell r="E1719">
            <v>52.77</v>
          </cell>
          <cell r="F1719">
            <v>7493.34</v>
          </cell>
          <cell r="G1719">
            <v>0.15</v>
          </cell>
          <cell r="H1719">
            <v>3</v>
          </cell>
          <cell r="I1719" t="str">
            <v>UK</v>
          </cell>
          <cell r="J1719" t="str">
            <v>Amazon</v>
          </cell>
        </row>
        <row r="1720">
          <cell r="A1720" t="str">
            <v>24-01-2022</v>
          </cell>
          <cell r="B1720" t="str">
            <v>Creatine</v>
          </cell>
          <cell r="C1720" t="str">
            <v>Performance</v>
          </cell>
          <cell r="D1720">
            <v>174</v>
          </cell>
          <cell r="E1720">
            <v>35.049999999999997</v>
          </cell>
          <cell r="F1720">
            <v>6098.7</v>
          </cell>
          <cell r="G1720">
            <v>0.09</v>
          </cell>
          <cell r="H1720">
            <v>2</v>
          </cell>
          <cell r="I1720" t="str">
            <v>Canada</v>
          </cell>
          <cell r="J1720" t="str">
            <v>Amazon</v>
          </cell>
        </row>
        <row r="1721">
          <cell r="A1721" t="str">
            <v>24-01-2022</v>
          </cell>
          <cell r="B1721" t="str">
            <v>Zinc</v>
          </cell>
          <cell r="C1721" t="str">
            <v>Mineral</v>
          </cell>
          <cell r="D1721">
            <v>161</v>
          </cell>
          <cell r="E1721">
            <v>37.840000000000003</v>
          </cell>
          <cell r="F1721">
            <v>6092.24</v>
          </cell>
          <cell r="G1721">
            <v>0.18</v>
          </cell>
          <cell r="H1721">
            <v>0</v>
          </cell>
          <cell r="I1721" t="str">
            <v>Canada</v>
          </cell>
          <cell r="J1721" t="str">
            <v>iHerb</v>
          </cell>
        </row>
        <row r="1722">
          <cell r="A1722" t="str">
            <v>24-01-2022</v>
          </cell>
          <cell r="B1722" t="str">
            <v>Collagen Peptides</v>
          </cell>
          <cell r="C1722" t="str">
            <v>Protein</v>
          </cell>
          <cell r="D1722">
            <v>162</v>
          </cell>
          <cell r="E1722">
            <v>57.48</v>
          </cell>
          <cell r="F1722">
            <v>9311.76</v>
          </cell>
          <cell r="G1722">
            <v>0.08</v>
          </cell>
          <cell r="H1722">
            <v>0</v>
          </cell>
          <cell r="I1722" t="str">
            <v>Canada</v>
          </cell>
          <cell r="J1722" t="str">
            <v>iHerb</v>
          </cell>
        </row>
        <row r="1723">
          <cell r="A1723" t="str">
            <v>24-01-2022</v>
          </cell>
          <cell r="B1723" t="str">
            <v>Magnesium</v>
          </cell>
          <cell r="C1723" t="str">
            <v>Mineral</v>
          </cell>
          <cell r="D1723">
            <v>150</v>
          </cell>
          <cell r="E1723">
            <v>58.48</v>
          </cell>
          <cell r="F1723">
            <v>8772</v>
          </cell>
          <cell r="G1723">
            <v>0.01</v>
          </cell>
          <cell r="H1723">
            <v>2</v>
          </cell>
          <cell r="I1723" t="str">
            <v>UK</v>
          </cell>
          <cell r="J1723" t="str">
            <v>Amazon</v>
          </cell>
        </row>
        <row r="1724">
          <cell r="A1724" t="str">
            <v>24-01-2022</v>
          </cell>
          <cell r="B1724" t="str">
            <v>Ashwagandha</v>
          </cell>
          <cell r="C1724" t="str">
            <v>Herbal</v>
          </cell>
          <cell r="D1724">
            <v>151</v>
          </cell>
          <cell r="E1724">
            <v>13.29</v>
          </cell>
          <cell r="F1724">
            <v>2006.79</v>
          </cell>
          <cell r="G1724">
            <v>0.16</v>
          </cell>
          <cell r="H1724">
            <v>2</v>
          </cell>
          <cell r="I1724" t="str">
            <v>UK</v>
          </cell>
          <cell r="J1724" t="str">
            <v>Amazon</v>
          </cell>
        </row>
        <row r="1725">
          <cell r="A1725" t="str">
            <v>24-01-2022</v>
          </cell>
          <cell r="B1725" t="str">
            <v>Melatonin</v>
          </cell>
          <cell r="C1725" t="str">
            <v>Sleep Aid</v>
          </cell>
          <cell r="D1725">
            <v>142</v>
          </cell>
          <cell r="E1725">
            <v>25.21</v>
          </cell>
          <cell r="F1725">
            <v>3579.82</v>
          </cell>
          <cell r="G1725">
            <v>0.11</v>
          </cell>
          <cell r="H1725">
            <v>1</v>
          </cell>
          <cell r="I1725" t="str">
            <v>UK</v>
          </cell>
          <cell r="J1725" t="str">
            <v>Amazon</v>
          </cell>
        </row>
        <row r="1726">
          <cell r="A1726" t="str">
            <v>24-01-2022</v>
          </cell>
          <cell r="B1726" t="str">
            <v>Biotin</v>
          </cell>
          <cell r="C1726" t="str">
            <v>Vitamin</v>
          </cell>
          <cell r="D1726">
            <v>145</v>
          </cell>
          <cell r="E1726">
            <v>29.36</v>
          </cell>
          <cell r="F1726">
            <v>4257.2</v>
          </cell>
          <cell r="G1726">
            <v>0.15</v>
          </cell>
          <cell r="H1726">
            <v>1</v>
          </cell>
          <cell r="I1726" t="str">
            <v>USA</v>
          </cell>
          <cell r="J1726" t="str">
            <v>iHerb</v>
          </cell>
        </row>
        <row r="1727">
          <cell r="A1727" t="str">
            <v>24-01-2022</v>
          </cell>
          <cell r="B1727" t="str">
            <v>Green Tea Extract</v>
          </cell>
          <cell r="C1727" t="str">
            <v>Fat Burner</v>
          </cell>
          <cell r="D1727">
            <v>157</v>
          </cell>
          <cell r="E1727">
            <v>24.23</v>
          </cell>
          <cell r="F1727">
            <v>3804.11</v>
          </cell>
          <cell r="G1727">
            <v>0.2</v>
          </cell>
          <cell r="H1727">
            <v>0</v>
          </cell>
          <cell r="I1727" t="str">
            <v>Canada</v>
          </cell>
          <cell r="J1727" t="str">
            <v>Walmart</v>
          </cell>
        </row>
        <row r="1728">
          <cell r="A1728" t="str">
            <v>24-01-2022</v>
          </cell>
          <cell r="B1728" t="str">
            <v>Iron Supplement</v>
          </cell>
          <cell r="C1728" t="str">
            <v>Mineral</v>
          </cell>
          <cell r="D1728">
            <v>165</v>
          </cell>
          <cell r="E1728">
            <v>51.72</v>
          </cell>
          <cell r="F1728">
            <v>8533.7999999999993</v>
          </cell>
          <cell r="G1728">
            <v>0.09</v>
          </cell>
          <cell r="H1728">
            <v>2</v>
          </cell>
          <cell r="I1728" t="str">
            <v>UK</v>
          </cell>
          <cell r="J1728" t="str">
            <v>Walmart</v>
          </cell>
        </row>
        <row r="1729">
          <cell r="A1729" t="str">
            <v>24-01-2022</v>
          </cell>
          <cell r="B1729" t="str">
            <v>Electrolyte Powder</v>
          </cell>
          <cell r="C1729" t="str">
            <v>Hydration</v>
          </cell>
          <cell r="D1729">
            <v>136</v>
          </cell>
          <cell r="E1729">
            <v>20.8</v>
          </cell>
          <cell r="F1729">
            <v>2828.8</v>
          </cell>
          <cell r="G1729">
            <v>0.03</v>
          </cell>
          <cell r="H1729">
            <v>1</v>
          </cell>
          <cell r="I1729" t="str">
            <v>Canada</v>
          </cell>
          <cell r="J1729" t="str">
            <v>Amazon</v>
          </cell>
        </row>
        <row r="1730">
          <cell r="A1730" t="str">
            <v>31-01-2022</v>
          </cell>
          <cell r="B1730" t="str">
            <v>Whey Protein</v>
          </cell>
          <cell r="C1730" t="str">
            <v>Protein</v>
          </cell>
          <cell r="D1730">
            <v>150</v>
          </cell>
          <cell r="E1730">
            <v>49.49</v>
          </cell>
          <cell r="F1730">
            <v>7423.5</v>
          </cell>
          <cell r="G1730">
            <v>0.16</v>
          </cell>
          <cell r="H1730">
            <v>2</v>
          </cell>
          <cell r="I1730" t="str">
            <v>Canada</v>
          </cell>
          <cell r="J1730" t="str">
            <v>Walmart</v>
          </cell>
        </row>
        <row r="1731">
          <cell r="A1731" t="str">
            <v>31-01-2022</v>
          </cell>
          <cell r="B1731" t="str">
            <v>Vitamin C</v>
          </cell>
          <cell r="C1731" t="str">
            <v>Vitamin</v>
          </cell>
          <cell r="D1731">
            <v>147</v>
          </cell>
          <cell r="E1731">
            <v>30.73</v>
          </cell>
          <cell r="F1731">
            <v>4517.3100000000004</v>
          </cell>
          <cell r="G1731">
            <v>0.21</v>
          </cell>
          <cell r="H1731">
            <v>1</v>
          </cell>
          <cell r="I1731" t="str">
            <v>USA</v>
          </cell>
          <cell r="J1731" t="str">
            <v>iHerb</v>
          </cell>
        </row>
        <row r="1732">
          <cell r="A1732" t="str">
            <v>31-01-2022</v>
          </cell>
          <cell r="B1732" t="str">
            <v>Fish Oil</v>
          </cell>
          <cell r="C1732" t="str">
            <v>Omega</v>
          </cell>
          <cell r="D1732">
            <v>165</v>
          </cell>
          <cell r="E1732">
            <v>15.32</v>
          </cell>
          <cell r="F1732">
            <v>2527.8000000000002</v>
          </cell>
          <cell r="G1732">
            <v>0.12</v>
          </cell>
          <cell r="H1732">
            <v>2</v>
          </cell>
          <cell r="I1732" t="str">
            <v>Canada</v>
          </cell>
          <cell r="J1732" t="str">
            <v>Amazon</v>
          </cell>
        </row>
        <row r="1733">
          <cell r="A1733" t="str">
            <v>31-01-2022</v>
          </cell>
          <cell r="B1733" t="str">
            <v>Multivitamin</v>
          </cell>
          <cell r="C1733" t="str">
            <v>Vitamin</v>
          </cell>
          <cell r="D1733">
            <v>142</v>
          </cell>
          <cell r="E1733">
            <v>39.75</v>
          </cell>
          <cell r="F1733">
            <v>5644.5</v>
          </cell>
          <cell r="G1733">
            <v>0.08</v>
          </cell>
          <cell r="H1733">
            <v>0</v>
          </cell>
          <cell r="I1733" t="str">
            <v>USA</v>
          </cell>
          <cell r="J1733" t="str">
            <v>Walmart</v>
          </cell>
        </row>
        <row r="1734">
          <cell r="A1734" t="str">
            <v>31-01-2022</v>
          </cell>
          <cell r="B1734" t="str">
            <v>Pre-Workout</v>
          </cell>
          <cell r="C1734" t="str">
            <v>Performance</v>
          </cell>
          <cell r="D1734">
            <v>159</v>
          </cell>
          <cell r="E1734">
            <v>51.72</v>
          </cell>
          <cell r="F1734">
            <v>8223.48</v>
          </cell>
          <cell r="G1734">
            <v>0.11</v>
          </cell>
          <cell r="H1734">
            <v>2</v>
          </cell>
          <cell r="I1734" t="str">
            <v>Canada</v>
          </cell>
          <cell r="J1734" t="str">
            <v>Walmart</v>
          </cell>
        </row>
        <row r="1735">
          <cell r="A1735" t="str">
            <v>31-01-2022</v>
          </cell>
          <cell r="B1735" t="str">
            <v>BCAA</v>
          </cell>
          <cell r="C1735" t="str">
            <v>Amino Acid</v>
          </cell>
          <cell r="D1735">
            <v>166</v>
          </cell>
          <cell r="E1735">
            <v>28.58</v>
          </cell>
          <cell r="F1735">
            <v>4744.28</v>
          </cell>
          <cell r="G1735">
            <v>0.05</v>
          </cell>
          <cell r="H1735">
            <v>3</v>
          </cell>
          <cell r="I1735" t="str">
            <v>UK</v>
          </cell>
          <cell r="J1735" t="str">
            <v>Walmart</v>
          </cell>
        </row>
        <row r="1736">
          <cell r="A1736" t="str">
            <v>31-01-2022</v>
          </cell>
          <cell r="B1736" t="str">
            <v>Creatine</v>
          </cell>
          <cell r="C1736" t="str">
            <v>Performance</v>
          </cell>
          <cell r="D1736">
            <v>148</v>
          </cell>
          <cell r="E1736">
            <v>55.22</v>
          </cell>
          <cell r="F1736">
            <v>8172.56</v>
          </cell>
          <cell r="G1736">
            <v>0.05</v>
          </cell>
          <cell r="H1736">
            <v>0</v>
          </cell>
          <cell r="I1736" t="str">
            <v>Canada</v>
          </cell>
          <cell r="J1736" t="str">
            <v>iHerb</v>
          </cell>
        </row>
        <row r="1737">
          <cell r="A1737" t="str">
            <v>31-01-2022</v>
          </cell>
          <cell r="B1737" t="str">
            <v>Zinc</v>
          </cell>
          <cell r="C1737" t="str">
            <v>Mineral</v>
          </cell>
          <cell r="D1737">
            <v>156</v>
          </cell>
          <cell r="E1737">
            <v>26</v>
          </cell>
          <cell r="F1737">
            <v>4056</v>
          </cell>
          <cell r="G1737">
            <v>0.08</v>
          </cell>
          <cell r="H1737">
            <v>2</v>
          </cell>
          <cell r="I1737" t="str">
            <v>UK</v>
          </cell>
          <cell r="J1737" t="str">
            <v>Walmart</v>
          </cell>
        </row>
        <row r="1738">
          <cell r="A1738" t="str">
            <v>31-01-2022</v>
          </cell>
          <cell r="B1738" t="str">
            <v>Collagen Peptides</v>
          </cell>
          <cell r="C1738" t="str">
            <v>Protein</v>
          </cell>
          <cell r="D1738">
            <v>137</v>
          </cell>
          <cell r="E1738">
            <v>21.17</v>
          </cell>
          <cell r="F1738">
            <v>2900.29</v>
          </cell>
          <cell r="G1738">
            <v>0.02</v>
          </cell>
          <cell r="H1738">
            <v>3</v>
          </cell>
          <cell r="I1738" t="str">
            <v>UK</v>
          </cell>
          <cell r="J1738" t="str">
            <v>iHerb</v>
          </cell>
        </row>
        <row r="1739">
          <cell r="A1739" t="str">
            <v>31-01-2022</v>
          </cell>
          <cell r="B1739" t="str">
            <v>Magnesium</v>
          </cell>
          <cell r="C1739" t="str">
            <v>Mineral</v>
          </cell>
          <cell r="D1739">
            <v>165</v>
          </cell>
          <cell r="E1739">
            <v>45.12</v>
          </cell>
          <cell r="F1739">
            <v>7444.8</v>
          </cell>
          <cell r="G1739">
            <v>0.14000000000000001</v>
          </cell>
          <cell r="H1739">
            <v>3</v>
          </cell>
          <cell r="I1739" t="str">
            <v>UK</v>
          </cell>
          <cell r="J1739" t="str">
            <v>Amazon</v>
          </cell>
        </row>
        <row r="1740">
          <cell r="A1740" t="str">
            <v>31-01-2022</v>
          </cell>
          <cell r="B1740" t="str">
            <v>Ashwagandha</v>
          </cell>
          <cell r="C1740" t="str">
            <v>Herbal</v>
          </cell>
          <cell r="D1740">
            <v>143</v>
          </cell>
          <cell r="E1740">
            <v>34.270000000000003</v>
          </cell>
          <cell r="F1740">
            <v>4900.6099999999997</v>
          </cell>
          <cell r="G1740">
            <v>0.09</v>
          </cell>
          <cell r="H1740">
            <v>3</v>
          </cell>
          <cell r="I1740" t="str">
            <v>Canada</v>
          </cell>
          <cell r="J1740" t="str">
            <v>Amazon</v>
          </cell>
        </row>
        <row r="1741">
          <cell r="A1741" t="str">
            <v>31-01-2022</v>
          </cell>
          <cell r="B1741" t="str">
            <v>Melatonin</v>
          </cell>
          <cell r="C1741" t="str">
            <v>Sleep Aid</v>
          </cell>
          <cell r="D1741">
            <v>136</v>
          </cell>
          <cell r="E1741">
            <v>38.85</v>
          </cell>
          <cell r="F1741">
            <v>5283.6</v>
          </cell>
          <cell r="G1741">
            <v>0.16</v>
          </cell>
          <cell r="H1741">
            <v>0</v>
          </cell>
          <cell r="I1741" t="str">
            <v>UK</v>
          </cell>
          <cell r="J1741" t="str">
            <v>Walmart</v>
          </cell>
        </row>
        <row r="1742">
          <cell r="A1742" t="str">
            <v>31-01-2022</v>
          </cell>
          <cell r="B1742" t="str">
            <v>Biotin</v>
          </cell>
          <cell r="C1742" t="str">
            <v>Vitamin</v>
          </cell>
          <cell r="D1742">
            <v>146</v>
          </cell>
          <cell r="E1742">
            <v>22.33</v>
          </cell>
          <cell r="F1742">
            <v>3260.18</v>
          </cell>
          <cell r="G1742">
            <v>0.17</v>
          </cell>
          <cell r="H1742">
            <v>2</v>
          </cell>
          <cell r="I1742" t="str">
            <v>USA</v>
          </cell>
          <cell r="J1742" t="str">
            <v>Amazon</v>
          </cell>
        </row>
        <row r="1743">
          <cell r="A1743" t="str">
            <v>31-01-2022</v>
          </cell>
          <cell r="B1743" t="str">
            <v>Green Tea Extract</v>
          </cell>
          <cell r="C1743" t="str">
            <v>Fat Burner</v>
          </cell>
          <cell r="D1743">
            <v>148</v>
          </cell>
          <cell r="E1743">
            <v>46.83</v>
          </cell>
          <cell r="F1743">
            <v>6930.84</v>
          </cell>
          <cell r="G1743">
            <v>0.11</v>
          </cell>
          <cell r="H1743">
            <v>2</v>
          </cell>
          <cell r="I1743" t="str">
            <v>Canada</v>
          </cell>
          <cell r="J1743" t="str">
            <v>Walmart</v>
          </cell>
        </row>
        <row r="1744">
          <cell r="A1744" t="str">
            <v>31-01-2022</v>
          </cell>
          <cell r="B1744" t="str">
            <v>Iron Supplement</v>
          </cell>
          <cell r="C1744" t="str">
            <v>Mineral</v>
          </cell>
          <cell r="D1744">
            <v>157</v>
          </cell>
          <cell r="E1744">
            <v>53.93</v>
          </cell>
          <cell r="F1744">
            <v>8467.01</v>
          </cell>
          <cell r="G1744">
            <v>0.09</v>
          </cell>
          <cell r="H1744">
            <v>1</v>
          </cell>
          <cell r="I1744" t="str">
            <v>UK</v>
          </cell>
          <cell r="J1744" t="str">
            <v>Walmart</v>
          </cell>
        </row>
        <row r="1745">
          <cell r="A1745" t="str">
            <v>31-01-2022</v>
          </cell>
          <cell r="B1745" t="str">
            <v>Electrolyte Powder</v>
          </cell>
          <cell r="C1745" t="str">
            <v>Hydration</v>
          </cell>
          <cell r="D1745">
            <v>139</v>
          </cell>
          <cell r="E1745">
            <v>12.15</v>
          </cell>
          <cell r="F1745">
            <v>1688.85</v>
          </cell>
          <cell r="G1745">
            <v>0.22</v>
          </cell>
          <cell r="H1745">
            <v>2</v>
          </cell>
          <cell r="I1745" t="str">
            <v>USA</v>
          </cell>
          <cell r="J1745" t="str">
            <v>iHerb</v>
          </cell>
        </row>
        <row r="1746">
          <cell r="A1746" t="str">
            <v>07-02-2022</v>
          </cell>
          <cell r="B1746" t="str">
            <v>Whey Protein</v>
          </cell>
          <cell r="C1746" t="str">
            <v>Protein</v>
          </cell>
          <cell r="D1746">
            <v>156</v>
          </cell>
          <cell r="E1746">
            <v>52.46</v>
          </cell>
          <cell r="F1746">
            <v>8183.76</v>
          </cell>
          <cell r="G1746">
            <v>0.12</v>
          </cell>
          <cell r="H1746">
            <v>3</v>
          </cell>
          <cell r="I1746" t="str">
            <v>UK</v>
          </cell>
          <cell r="J1746" t="str">
            <v>Amazon</v>
          </cell>
        </row>
        <row r="1747">
          <cell r="A1747" t="str">
            <v>07-02-2022</v>
          </cell>
          <cell r="B1747" t="str">
            <v>Vitamin C</v>
          </cell>
          <cell r="C1747" t="str">
            <v>Vitamin</v>
          </cell>
          <cell r="D1747">
            <v>145</v>
          </cell>
          <cell r="E1747">
            <v>44.93</v>
          </cell>
          <cell r="F1747">
            <v>6514.85</v>
          </cell>
          <cell r="G1747">
            <v>0.06</v>
          </cell>
          <cell r="H1747">
            <v>1</v>
          </cell>
          <cell r="I1747" t="str">
            <v>Canada</v>
          </cell>
          <cell r="J1747" t="str">
            <v>Walmart</v>
          </cell>
        </row>
        <row r="1748">
          <cell r="A1748" t="str">
            <v>07-02-2022</v>
          </cell>
          <cell r="B1748" t="str">
            <v>Fish Oil</v>
          </cell>
          <cell r="C1748" t="str">
            <v>Omega</v>
          </cell>
          <cell r="D1748">
            <v>151</v>
          </cell>
          <cell r="E1748">
            <v>39.56</v>
          </cell>
          <cell r="F1748">
            <v>5973.56</v>
          </cell>
          <cell r="G1748">
            <v>0.08</v>
          </cell>
          <cell r="H1748">
            <v>0</v>
          </cell>
          <cell r="I1748" t="str">
            <v>Canada</v>
          </cell>
          <cell r="J1748" t="str">
            <v>Walmart</v>
          </cell>
        </row>
        <row r="1749">
          <cell r="A1749" t="str">
            <v>07-02-2022</v>
          </cell>
          <cell r="B1749" t="str">
            <v>Multivitamin</v>
          </cell>
          <cell r="C1749" t="str">
            <v>Vitamin</v>
          </cell>
          <cell r="D1749">
            <v>177</v>
          </cell>
          <cell r="E1749">
            <v>53.85</v>
          </cell>
          <cell r="F1749">
            <v>9531.4500000000007</v>
          </cell>
          <cell r="G1749">
            <v>0.17</v>
          </cell>
          <cell r="H1749">
            <v>1</v>
          </cell>
          <cell r="I1749" t="str">
            <v>USA</v>
          </cell>
          <cell r="J1749" t="str">
            <v>iHerb</v>
          </cell>
        </row>
        <row r="1750">
          <cell r="A1750" t="str">
            <v>07-02-2022</v>
          </cell>
          <cell r="B1750" t="str">
            <v>Pre-Workout</v>
          </cell>
          <cell r="C1750" t="str">
            <v>Performance</v>
          </cell>
          <cell r="D1750">
            <v>150</v>
          </cell>
          <cell r="E1750">
            <v>58.01</v>
          </cell>
          <cell r="F1750">
            <v>8701.5</v>
          </cell>
          <cell r="G1750">
            <v>0.06</v>
          </cell>
          <cell r="H1750">
            <v>3</v>
          </cell>
          <cell r="I1750" t="str">
            <v>Canada</v>
          </cell>
          <cell r="J1750" t="str">
            <v>Walmart</v>
          </cell>
        </row>
        <row r="1751">
          <cell r="A1751" t="str">
            <v>07-02-2022</v>
          </cell>
          <cell r="B1751" t="str">
            <v>BCAA</v>
          </cell>
          <cell r="C1751" t="str">
            <v>Amino Acid</v>
          </cell>
          <cell r="D1751">
            <v>172</v>
          </cell>
          <cell r="E1751">
            <v>56.56</v>
          </cell>
          <cell r="F1751">
            <v>9728.32</v>
          </cell>
          <cell r="G1751">
            <v>0.1</v>
          </cell>
          <cell r="H1751">
            <v>4</v>
          </cell>
          <cell r="I1751" t="str">
            <v>Canada</v>
          </cell>
          <cell r="J1751" t="str">
            <v>Walmart</v>
          </cell>
        </row>
        <row r="1752">
          <cell r="A1752" t="str">
            <v>07-02-2022</v>
          </cell>
          <cell r="B1752" t="str">
            <v>Creatine</v>
          </cell>
          <cell r="C1752" t="str">
            <v>Performance</v>
          </cell>
          <cell r="D1752">
            <v>157</v>
          </cell>
          <cell r="E1752">
            <v>55.34</v>
          </cell>
          <cell r="F1752">
            <v>8688.3799999999992</v>
          </cell>
          <cell r="G1752">
            <v>0.12</v>
          </cell>
          <cell r="H1752">
            <v>1</v>
          </cell>
          <cell r="I1752" t="str">
            <v>USA</v>
          </cell>
          <cell r="J1752" t="str">
            <v>Amazon</v>
          </cell>
        </row>
        <row r="1753">
          <cell r="A1753" t="str">
            <v>07-02-2022</v>
          </cell>
          <cell r="B1753" t="str">
            <v>Zinc</v>
          </cell>
          <cell r="C1753" t="str">
            <v>Mineral</v>
          </cell>
          <cell r="D1753">
            <v>152</v>
          </cell>
          <cell r="E1753">
            <v>33.46</v>
          </cell>
          <cell r="F1753">
            <v>5085.92</v>
          </cell>
          <cell r="G1753">
            <v>0.21</v>
          </cell>
          <cell r="H1753">
            <v>0</v>
          </cell>
          <cell r="I1753" t="str">
            <v>Canada</v>
          </cell>
          <cell r="J1753" t="str">
            <v>Walmart</v>
          </cell>
        </row>
        <row r="1754">
          <cell r="A1754" t="str">
            <v>07-02-2022</v>
          </cell>
          <cell r="B1754" t="str">
            <v>Collagen Peptides</v>
          </cell>
          <cell r="C1754" t="str">
            <v>Protein</v>
          </cell>
          <cell r="D1754">
            <v>141</v>
          </cell>
          <cell r="E1754">
            <v>30.79</v>
          </cell>
          <cell r="F1754">
            <v>4341.3900000000003</v>
          </cell>
          <cell r="G1754">
            <v>0.18</v>
          </cell>
          <cell r="H1754">
            <v>2</v>
          </cell>
          <cell r="I1754" t="str">
            <v>USA</v>
          </cell>
          <cell r="J1754" t="str">
            <v>Walmart</v>
          </cell>
        </row>
        <row r="1755">
          <cell r="A1755" t="str">
            <v>07-02-2022</v>
          </cell>
          <cell r="B1755" t="str">
            <v>Magnesium</v>
          </cell>
          <cell r="C1755" t="str">
            <v>Mineral</v>
          </cell>
          <cell r="D1755">
            <v>176</v>
          </cell>
          <cell r="E1755">
            <v>22.73</v>
          </cell>
          <cell r="F1755">
            <v>4000.48</v>
          </cell>
          <cell r="G1755">
            <v>0.23</v>
          </cell>
          <cell r="H1755">
            <v>3</v>
          </cell>
          <cell r="I1755" t="str">
            <v>USA</v>
          </cell>
          <cell r="J1755" t="str">
            <v>iHerb</v>
          </cell>
        </row>
        <row r="1756">
          <cell r="A1756" t="str">
            <v>07-02-2022</v>
          </cell>
          <cell r="B1756" t="str">
            <v>Ashwagandha</v>
          </cell>
          <cell r="C1756" t="str">
            <v>Herbal</v>
          </cell>
          <cell r="D1756">
            <v>153</v>
          </cell>
          <cell r="E1756">
            <v>56.22</v>
          </cell>
          <cell r="F1756">
            <v>8601.66</v>
          </cell>
          <cell r="G1756">
            <v>0.18</v>
          </cell>
          <cell r="H1756">
            <v>1</v>
          </cell>
          <cell r="I1756" t="str">
            <v>UK</v>
          </cell>
          <cell r="J1756" t="str">
            <v>Walmart</v>
          </cell>
        </row>
        <row r="1757">
          <cell r="A1757" t="str">
            <v>07-02-2022</v>
          </cell>
          <cell r="B1757" t="str">
            <v>Melatonin</v>
          </cell>
          <cell r="C1757" t="str">
            <v>Sleep Aid</v>
          </cell>
          <cell r="D1757">
            <v>158</v>
          </cell>
          <cell r="E1757">
            <v>29.32</v>
          </cell>
          <cell r="F1757">
            <v>4632.5600000000004</v>
          </cell>
          <cell r="G1757">
            <v>0.1</v>
          </cell>
          <cell r="H1757">
            <v>0</v>
          </cell>
          <cell r="I1757" t="str">
            <v>USA</v>
          </cell>
          <cell r="J1757" t="str">
            <v>iHerb</v>
          </cell>
        </row>
        <row r="1758">
          <cell r="A1758" t="str">
            <v>07-02-2022</v>
          </cell>
          <cell r="B1758" t="str">
            <v>Biotin</v>
          </cell>
          <cell r="C1758" t="str">
            <v>Vitamin</v>
          </cell>
          <cell r="D1758">
            <v>156</v>
          </cell>
          <cell r="E1758">
            <v>59.41</v>
          </cell>
          <cell r="F1758">
            <v>9267.9599999999991</v>
          </cell>
          <cell r="G1758">
            <v>0.09</v>
          </cell>
          <cell r="H1758">
            <v>2</v>
          </cell>
          <cell r="I1758" t="str">
            <v>UK</v>
          </cell>
          <cell r="J1758" t="str">
            <v>Walmart</v>
          </cell>
        </row>
        <row r="1759">
          <cell r="A1759" t="str">
            <v>07-02-2022</v>
          </cell>
          <cell r="B1759" t="str">
            <v>Green Tea Extract</v>
          </cell>
          <cell r="C1759" t="str">
            <v>Fat Burner</v>
          </cell>
          <cell r="D1759">
            <v>174</v>
          </cell>
          <cell r="E1759">
            <v>45.88</v>
          </cell>
          <cell r="F1759">
            <v>7983.12</v>
          </cell>
          <cell r="G1759">
            <v>0.19</v>
          </cell>
          <cell r="H1759">
            <v>0</v>
          </cell>
          <cell r="I1759" t="str">
            <v>UK</v>
          </cell>
          <cell r="J1759" t="str">
            <v>Walmart</v>
          </cell>
        </row>
        <row r="1760">
          <cell r="A1760" t="str">
            <v>07-02-2022</v>
          </cell>
          <cell r="B1760" t="str">
            <v>Iron Supplement</v>
          </cell>
          <cell r="C1760" t="str">
            <v>Mineral</v>
          </cell>
          <cell r="D1760">
            <v>165</v>
          </cell>
          <cell r="E1760">
            <v>11.67</v>
          </cell>
          <cell r="F1760">
            <v>1925.55</v>
          </cell>
          <cell r="G1760">
            <v>0.02</v>
          </cell>
          <cell r="H1760">
            <v>0</v>
          </cell>
          <cell r="I1760" t="str">
            <v>UK</v>
          </cell>
          <cell r="J1760" t="str">
            <v>Amazon</v>
          </cell>
        </row>
        <row r="1761">
          <cell r="A1761" t="str">
            <v>07-02-2022</v>
          </cell>
          <cell r="B1761" t="str">
            <v>Electrolyte Powder</v>
          </cell>
          <cell r="C1761" t="str">
            <v>Hydration</v>
          </cell>
          <cell r="D1761">
            <v>144</v>
          </cell>
          <cell r="E1761">
            <v>36.619999999999997</v>
          </cell>
          <cell r="F1761">
            <v>5273.28</v>
          </cell>
          <cell r="G1761">
            <v>7.0000000000000007E-2</v>
          </cell>
          <cell r="H1761">
            <v>3</v>
          </cell>
          <cell r="I1761" t="str">
            <v>Canada</v>
          </cell>
          <cell r="J1761" t="str">
            <v>Amazon</v>
          </cell>
        </row>
        <row r="1762">
          <cell r="A1762" t="str">
            <v>14-02-2022</v>
          </cell>
          <cell r="B1762" t="str">
            <v>Whey Protein</v>
          </cell>
          <cell r="C1762" t="str">
            <v>Protein</v>
          </cell>
          <cell r="D1762">
            <v>145</v>
          </cell>
          <cell r="E1762">
            <v>25.01</v>
          </cell>
          <cell r="F1762">
            <v>3626.45</v>
          </cell>
          <cell r="G1762">
            <v>0.13</v>
          </cell>
          <cell r="H1762">
            <v>1</v>
          </cell>
          <cell r="I1762" t="str">
            <v>Canada</v>
          </cell>
          <cell r="J1762" t="str">
            <v>Walmart</v>
          </cell>
        </row>
        <row r="1763">
          <cell r="A1763" t="str">
            <v>14-02-2022</v>
          </cell>
          <cell r="B1763" t="str">
            <v>Vitamin C</v>
          </cell>
          <cell r="C1763" t="str">
            <v>Vitamin</v>
          </cell>
          <cell r="D1763">
            <v>142</v>
          </cell>
          <cell r="E1763">
            <v>50.96</v>
          </cell>
          <cell r="F1763">
            <v>7236.32</v>
          </cell>
          <cell r="G1763">
            <v>0.25</v>
          </cell>
          <cell r="H1763">
            <v>1</v>
          </cell>
          <cell r="I1763" t="str">
            <v>UK</v>
          </cell>
          <cell r="J1763" t="str">
            <v>Walmart</v>
          </cell>
        </row>
        <row r="1764">
          <cell r="A1764" t="str">
            <v>14-02-2022</v>
          </cell>
          <cell r="B1764" t="str">
            <v>Fish Oil</v>
          </cell>
          <cell r="C1764" t="str">
            <v>Omega</v>
          </cell>
          <cell r="D1764">
            <v>146</v>
          </cell>
          <cell r="E1764">
            <v>45.92</v>
          </cell>
          <cell r="F1764">
            <v>6704.32</v>
          </cell>
          <cell r="G1764">
            <v>0.1</v>
          </cell>
          <cell r="H1764">
            <v>3</v>
          </cell>
          <cell r="I1764" t="str">
            <v>Canada</v>
          </cell>
          <cell r="J1764" t="str">
            <v>Walmart</v>
          </cell>
        </row>
        <row r="1765">
          <cell r="A1765" t="str">
            <v>14-02-2022</v>
          </cell>
          <cell r="B1765" t="str">
            <v>Multivitamin</v>
          </cell>
          <cell r="C1765" t="str">
            <v>Vitamin</v>
          </cell>
          <cell r="D1765">
            <v>152</v>
          </cell>
          <cell r="E1765">
            <v>42.33</v>
          </cell>
          <cell r="F1765">
            <v>6434.16</v>
          </cell>
          <cell r="G1765">
            <v>0.24</v>
          </cell>
          <cell r="H1765">
            <v>2</v>
          </cell>
          <cell r="I1765" t="str">
            <v>Canada</v>
          </cell>
          <cell r="J1765" t="str">
            <v>Walmart</v>
          </cell>
        </row>
        <row r="1766">
          <cell r="A1766" t="str">
            <v>14-02-2022</v>
          </cell>
          <cell r="B1766" t="str">
            <v>Pre-Workout</v>
          </cell>
          <cell r="C1766" t="str">
            <v>Performance</v>
          </cell>
          <cell r="D1766">
            <v>118</v>
          </cell>
          <cell r="E1766">
            <v>33.53</v>
          </cell>
          <cell r="F1766">
            <v>3956.54</v>
          </cell>
          <cell r="G1766">
            <v>0.08</v>
          </cell>
          <cell r="H1766">
            <v>2</v>
          </cell>
          <cell r="I1766" t="str">
            <v>UK</v>
          </cell>
          <cell r="J1766" t="str">
            <v>Amazon</v>
          </cell>
        </row>
        <row r="1767">
          <cell r="A1767" t="str">
            <v>14-02-2022</v>
          </cell>
          <cell r="B1767" t="str">
            <v>BCAA</v>
          </cell>
          <cell r="C1767" t="str">
            <v>Amino Acid</v>
          </cell>
          <cell r="D1767">
            <v>163</v>
          </cell>
          <cell r="E1767">
            <v>59.47</v>
          </cell>
          <cell r="F1767">
            <v>9693.61</v>
          </cell>
          <cell r="G1767">
            <v>7.0000000000000007E-2</v>
          </cell>
          <cell r="H1767">
            <v>3</v>
          </cell>
          <cell r="I1767" t="str">
            <v>USA</v>
          </cell>
          <cell r="J1767" t="str">
            <v>Amazon</v>
          </cell>
        </row>
        <row r="1768">
          <cell r="A1768" t="str">
            <v>14-02-2022</v>
          </cell>
          <cell r="B1768" t="str">
            <v>Creatine</v>
          </cell>
          <cell r="C1768" t="str">
            <v>Performance</v>
          </cell>
          <cell r="D1768">
            <v>160</v>
          </cell>
          <cell r="E1768">
            <v>46.71</v>
          </cell>
          <cell r="F1768">
            <v>7473.6</v>
          </cell>
          <cell r="G1768">
            <v>0.03</v>
          </cell>
          <cell r="H1768">
            <v>3</v>
          </cell>
          <cell r="I1768" t="str">
            <v>USA</v>
          </cell>
          <cell r="J1768" t="str">
            <v>Walmart</v>
          </cell>
        </row>
        <row r="1769">
          <cell r="A1769" t="str">
            <v>14-02-2022</v>
          </cell>
          <cell r="B1769" t="str">
            <v>Zinc</v>
          </cell>
          <cell r="C1769" t="str">
            <v>Mineral</v>
          </cell>
          <cell r="D1769">
            <v>151</v>
          </cell>
          <cell r="E1769">
            <v>42.79</v>
          </cell>
          <cell r="F1769">
            <v>6461.29</v>
          </cell>
          <cell r="G1769">
            <v>0.16</v>
          </cell>
          <cell r="H1769">
            <v>0</v>
          </cell>
          <cell r="I1769" t="str">
            <v>Canada</v>
          </cell>
          <cell r="J1769" t="str">
            <v>iHerb</v>
          </cell>
        </row>
        <row r="1770">
          <cell r="A1770" t="str">
            <v>14-02-2022</v>
          </cell>
          <cell r="B1770" t="str">
            <v>Collagen Peptides</v>
          </cell>
          <cell r="C1770" t="str">
            <v>Protein</v>
          </cell>
          <cell r="D1770">
            <v>152</v>
          </cell>
          <cell r="E1770">
            <v>56.41</v>
          </cell>
          <cell r="F1770">
            <v>8574.32</v>
          </cell>
          <cell r="G1770">
            <v>0.13</v>
          </cell>
          <cell r="H1770">
            <v>2</v>
          </cell>
          <cell r="I1770" t="str">
            <v>UK</v>
          </cell>
          <cell r="J1770" t="str">
            <v>iHerb</v>
          </cell>
        </row>
        <row r="1771">
          <cell r="A1771" t="str">
            <v>14-02-2022</v>
          </cell>
          <cell r="B1771" t="str">
            <v>Magnesium</v>
          </cell>
          <cell r="C1771" t="str">
            <v>Mineral</v>
          </cell>
          <cell r="D1771">
            <v>148</v>
          </cell>
          <cell r="E1771">
            <v>20.239999999999998</v>
          </cell>
          <cell r="F1771">
            <v>2995.52</v>
          </cell>
          <cell r="G1771">
            <v>0.09</v>
          </cell>
          <cell r="H1771">
            <v>2</v>
          </cell>
          <cell r="I1771" t="str">
            <v>USA</v>
          </cell>
          <cell r="J1771" t="str">
            <v>Walmart</v>
          </cell>
        </row>
        <row r="1772">
          <cell r="A1772" t="str">
            <v>14-02-2022</v>
          </cell>
          <cell r="B1772" t="str">
            <v>Ashwagandha</v>
          </cell>
          <cell r="C1772" t="str">
            <v>Herbal</v>
          </cell>
          <cell r="D1772">
            <v>164</v>
          </cell>
          <cell r="E1772">
            <v>32.4</v>
          </cell>
          <cell r="F1772">
            <v>5313.6</v>
          </cell>
          <cell r="G1772">
            <v>0.21</v>
          </cell>
          <cell r="H1772">
            <v>3</v>
          </cell>
          <cell r="I1772" t="str">
            <v>Canada</v>
          </cell>
          <cell r="J1772" t="str">
            <v>Amazon</v>
          </cell>
        </row>
        <row r="1773">
          <cell r="A1773" t="str">
            <v>14-02-2022</v>
          </cell>
          <cell r="B1773" t="str">
            <v>Melatonin</v>
          </cell>
          <cell r="C1773" t="str">
            <v>Sleep Aid</v>
          </cell>
          <cell r="D1773">
            <v>142</v>
          </cell>
          <cell r="E1773">
            <v>43.94</v>
          </cell>
          <cell r="F1773">
            <v>6239.48</v>
          </cell>
          <cell r="G1773">
            <v>0.14000000000000001</v>
          </cell>
          <cell r="H1773">
            <v>0</v>
          </cell>
          <cell r="I1773" t="str">
            <v>USA</v>
          </cell>
          <cell r="J1773" t="str">
            <v>Walmart</v>
          </cell>
        </row>
        <row r="1774">
          <cell r="A1774" t="str">
            <v>14-02-2022</v>
          </cell>
          <cell r="B1774" t="str">
            <v>Biotin</v>
          </cell>
          <cell r="C1774" t="str">
            <v>Vitamin</v>
          </cell>
          <cell r="D1774">
            <v>143</v>
          </cell>
          <cell r="E1774">
            <v>44.41</v>
          </cell>
          <cell r="F1774">
            <v>6350.63</v>
          </cell>
          <cell r="G1774">
            <v>0.25</v>
          </cell>
          <cell r="H1774">
            <v>2</v>
          </cell>
          <cell r="I1774" t="str">
            <v>Canada</v>
          </cell>
          <cell r="J1774" t="str">
            <v>iHerb</v>
          </cell>
        </row>
        <row r="1775">
          <cell r="A1775" t="str">
            <v>14-02-2022</v>
          </cell>
          <cell r="B1775" t="str">
            <v>Green Tea Extract</v>
          </cell>
          <cell r="C1775" t="str">
            <v>Fat Burner</v>
          </cell>
          <cell r="D1775">
            <v>175</v>
          </cell>
          <cell r="E1775">
            <v>48.57</v>
          </cell>
          <cell r="F1775">
            <v>8499.75</v>
          </cell>
          <cell r="G1775">
            <v>0.01</v>
          </cell>
          <cell r="H1775">
            <v>2</v>
          </cell>
          <cell r="I1775" t="str">
            <v>Canada</v>
          </cell>
          <cell r="J1775" t="str">
            <v>iHerb</v>
          </cell>
        </row>
        <row r="1776">
          <cell r="A1776" t="str">
            <v>14-02-2022</v>
          </cell>
          <cell r="B1776" t="str">
            <v>Iron Supplement</v>
          </cell>
          <cell r="C1776" t="str">
            <v>Mineral</v>
          </cell>
          <cell r="D1776">
            <v>149</v>
          </cell>
          <cell r="E1776">
            <v>53.12</v>
          </cell>
          <cell r="F1776">
            <v>7914.88</v>
          </cell>
          <cell r="G1776">
            <v>0.21</v>
          </cell>
          <cell r="H1776">
            <v>0</v>
          </cell>
          <cell r="I1776" t="str">
            <v>UK</v>
          </cell>
          <cell r="J1776" t="str">
            <v>Amazon</v>
          </cell>
        </row>
        <row r="1777">
          <cell r="A1777" t="str">
            <v>14-02-2022</v>
          </cell>
          <cell r="B1777" t="str">
            <v>Electrolyte Powder</v>
          </cell>
          <cell r="C1777" t="str">
            <v>Hydration</v>
          </cell>
          <cell r="D1777">
            <v>154</v>
          </cell>
          <cell r="E1777">
            <v>30.78</v>
          </cell>
          <cell r="F1777">
            <v>4740.12</v>
          </cell>
          <cell r="G1777">
            <v>0.21</v>
          </cell>
          <cell r="H1777">
            <v>1</v>
          </cell>
          <cell r="I1777" t="str">
            <v>UK</v>
          </cell>
          <cell r="J1777" t="str">
            <v>iHerb</v>
          </cell>
        </row>
        <row r="1778">
          <cell r="A1778" t="str">
            <v>21-02-2022</v>
          </cell>
          <cell r="B1778" t="str">
            <v>Whey Protein</v>
          </cell>
          <cell r="C1778" t="str">
            <v>Protein</v>
          </cell>
          <cell r="D1778">
            <v>175</v>
          </cell>
          <cell r="E1778">
            <v>43.14</v>
          </cell>
          <cell r="F1778">
            <v>7549.5</v>
          </cell>
          <cell r="G1778">
            <v>0.17</v>
          </cell>
          <cell r="H1778">
            <v>1</v>
          </cell>
          <cell r="I1778" t="str">
            <v>USA</v>
          </cell>
          <cell r="J1778" t="str">
            <v>iHerb</v>
          </cell>
        </row>
        <row r="1779">
          <cell r="A1779" t="str">
            <v>21-02-2022</v>
          </cell>
          <cell r="B1779" t="str">
            <v>Vitamin C</v>
          </cell>
          <cell r="C1779" t="str">
            <v>Vitamin</v>
          </cell>
          <cell r="D1779">
            <v>144</v>
          </cell>
          <cell r="E1779">
            <v>48.09</v>
          </cell>
          <cell r="F1779">
            <v>6924.96</v>
          </cell>
          <cell r="G1779">
            <v>0.08</v>
          </cell>
          <cell r="H1779">
            <v>1</v>
          </cell>
          <cell r="I1779" t="str">
            <v>UK</v>
          </cell>
          <cell r="J1779" t="str">
            <v>Walmart</v>
          </cell>
        </row>
        <row r="1780">
          <cell r="A1780" t="str">
            <v>21-02-2022</v>
          </cell>
          <cell r="B1780" t="str">
            <v>Fish Oil</v>
          </cell>
          <cell r="C1780" t="str">
            <v>Omega</v>
          </cell>
          <cell r="D1780">
            <v>126</v>
          </cell>
          <cell r="E1780">
            <v>34.29</v>
          </cell>
          <cell r="F1780">
            <v>4320.54</v>
          </cell>
          <cell r="G1780">
            <v>0.02</v>
          </cell>
          <cell r="H1780">
            <v>2</v>
          </cell>
          <cell r="I1780" t="str">
            <v>Canada</v>
          </cell>
          <cell r="J1780" t="str">
            <v>Amazon</v>
          </cell>
        </row>
        <row r="1781">
          <cell r="A1781" t="str">
            <v>21-02-2022</v>
          </cell>
          <cell r="B1781" t="str">
            <v>Multivitamin</v>
          </cell>
          <cell r="C1781" t="str">
            <v>Vitamin</v>
          </cell>
          <cell r="D1781">
            <v>152</v>
          </cell>
          <cell r="E1781">
            <v>58.85</v>
          </cell>
          <cell r="F1781">
            <v>8945.2000000000007</v>
          </cell>
          <cell r="G1781">
            <v>0.16</v>
          </cell>
          <cell r="H1781">
            <v>0</v>
          </cell>
          <cell r="I1781" t="str">
            <v>USA</v>
          </cell>
          <cell r="J1781" t="str">
            <v>iHerb</v>
          </cell>
        </row>
        <row r="1782">
          <cell r="A1782" t="str">
            <v>21-02-2022</v>
          </cell>
          <cell r="B1782" t="str">
            <v>Pre-Workout</v>
          </cell>
          <cell r="C1782" t="str">
            <v>Performance</v>
          </cell>
          <cell r="D1782">
            <v>158</v>
          </cell>
          <cell r="E1782">
            <v>49.78</v>
          </cell>
          <cell r="F1782">
            <v>7865.24</v>
          </cell>
          <cell r="G1782">
            <v>0.15</v>
          </cell>
          <cell r="H1782">
            <v>2</v>
          </cell>
          <cell r="I1782" t="str">
            <v>UK</v>
          </cell>
          <cell r="J1782" t="str">
            <v>iHerb</v>
          </cell>
        </row>
        <row r="1783">
          <cell r="A1783" t="str">
            <v>21-02-2022</v>
          </cell>
          <cell r="B1783" t="str">
            <v>BCAA</v>
          </cell>
          <cell r="C1783" t="str">
            <v>Amino Acid</v>
          </cell>
          <cell r="D1783">
            <v>156</v>
          </cell>
          <cell r="E1783">
            <v>42</v>
          </cell>
          <cell r="F1783">
            <v>6552</v>
          </cell>
          <cell r="G1783">
            <v>0.15</v>
          </cell>
          <cell r="H1783">
            <v>0</v>
          </cell>
          <cell r="I1783" t="str">
            <v>Canada</v>
          </cell>
          <cell r="J1783" t="str">
            <v>Amazon</v>
          </cell>
        </row>
        <row r="1784">
          <cell r="A1784" t="str">
            <v>21-02-2022</v>
          </cell>
          <cell r="B1784" t="str">
            <v>Creatine</v>
          </cell>
          <cell r="C1784" t="str">
            <v>Performance</v>
          </cell>
          <cell r="D1784">
            <v>138</v>
          </cell>
          <cell r="E1784">
            <v>16.41</v>
          </cell>
          <cell r="F1784">
            <v>2264.58</v>
          </cell>
          <cell r="G1784">
            <v>7.0000000000000007E-2</v>
          </cell>
          <cell r="H1784">
            <v>2</v>
          </cell>
          <cell r="I1784" t="str">
            <v>UK</v>
          </cell>
          <cell r="J1784" t="str">
            <v>iHerb</v>
          </cell>
        </row>
        <row r="1785">
          <cell r="A1785" t="str">
            <v>21-02-2022</v>
          </cell>
          <cell r="B1785" t="str">
            <v>Zinc</v>
          </cell>
          <cell r="C1785" t="str">
            <v>Mineral</v>
          </cell>
          <cell r="D1785">
            <v>144</v>
          </cell>
          <cell r="E1785">
            <v>57.06</v>
          </cell>
          <cell r="F1785">
            <v>8216.64</v>
          </cell>
          <cell r="G1785">
            <v>0.06</v>
          </cell>
          <cell r="H1785">
            <v>1</v>
          </cell>
          <cell r="I1785" t="str">
            <v>USA</v>
          </cell>
          <cell r="J1785" t="str">
            <v>iHerb</v>
          </cell>
        </row>
        <row r="1786">
          <cell r="A1786" t="str">
            <v>21-02-2022</v>
          </cell>
          <cell r="B1786" t="str">
            <v>Collagen Peptides</v>
          </cell>
          <cell r="C1786" t="str">
            <v>Protein</v>
          </cell>
          <cell r="D1786">
            <v>154</v>
          </cell>
          <cell r="E1786">
            <v>55.08</v>
          </cell>
          <cell r="F1786">
            <v>8482.32</v>
          </cell>
          <cell r="G1786">
            <v>0.23</v>
          </cell>
          <cell r="H1786">
            <v>2</v>
          </cell>
          <cell r="I1786" t="str">
            <v>UK</v>
          </cell>
          <cell r="J1786" t="str">
            <v>Walmart</v>
          </cell>
        </row>
        <row r="1787">
          <cell r="A1787" t="str">
            <v>21-02-2022</v>
          </cell>
          <cell r="B1787" t="str">
            <v>Magnesium</v>
          </cell>
          <cell r="C1787" t="str">
            <v>Mineral</v>
          </cell>
          <cell r="D1787">
            <v>140</v>
          </cell>
          <cell r="E1787">
            <v>29.19</v>
          </cell>
          <cell r="F1787">
            <v>4086.6</v>
          </cell>
          <cell r="G1787">
            <v>0.04</v>
          </cell>
          <cell r="H1787">
            <v>2</v>
          </cell>
          <cell r="I1787" t="str">
            <v>USA</v>
          </cell>
          <cell r="J1787" t="str">
            <v>iHerb</v>
          </cell>
        </row>
        <row r="1788">
          <cell r="A1788" t="str">
            <v>21-02-2022</v>
          </cell>
          <cell r="B1788" t="str">
            <v>Ashwagandha</v>
          </cell>
          <cell r="C1788" t="str">
            <v>Herbal</v>
          </cell>
          <cell r="D1788">
            <v>156</v>
          </cell>
          <cell r="E1788">
            <v>51.83</v>
          </cell>
          <cell r="F1788">
            <v>8085.48</v>
          </cell>
          <cell r="G1788">
            <v>0.06</v>
          </cell>
          <cell r="H1788">
            <v>1</v>
          </cell>
          <cell r="I1788" t="str">
            <v>Canada</v>
          </cell>
          <cell r="J1788" t="str">
            <v>Walmart</v>
          </cell>
        </row>
        <row r="1789">
          <cell r="A1789" t="str">
            <v>21-02-2022</v>
          </cell>
          <cell r="B1789" t="str">
            <v>Melatonin</v>
          </cell>
          <cell r="C1789" t="str">
            <v>Sleep Aid</v>
          </cell>
          <cell r="D1789">
            <v>156</v>
          </cell>
          <cell r="E1789">
            <v>32.06</v>
          </cell>
          <cell r="F1789">
            <v>5001.3599999999997</v>
          </cell>
          <cell r="G1789">
            <v>0.02</v>
          </cell>
          <cell r="H1789">
            <v>1</v>
          </cell>
          <cell r="I1789" t="str">
            <v>Canada</v>
          </cell>
          <cell r="J1789" t="str">
            <v>Amazon</v>
          </cell>
        </row>
        <row r="1790">
          <cell r="A1790" t="str">
            <v>21-02-2022</v>
          </cell>
          <cell r="B1790" t="str">
            <v>Biotin</v>
          </cell>
          <cell r="C1790" t="str">
            <v>Vitamin</v>
          </cell>
          <cell r="D1790">
            <v>147</v>
          </cell>
          <cell r="E1790">
            <v>45.13</v>
          </cell>
          <cell r="F1790">
            <v>6634.11</v>
          </cell>
          <cell r="G1790">
            <v>0.24</v>
          </cell>
          <cell r="H1790">
            <v>1</v>
          </cell>
          <cell r="I1790" t="str">
            <v>Canada</v>
          </cell>
          <cell r="J1790" t="str">
            <v>iHerb</v>
          </cell>
        </row>
        <row r="1791">
          <cell r="A1791" t="str">
            <v>21-02-2022</v>
          </cell>
          <cell r="B1791" t="str">
            <v>Green Tea Extract</v>
          </cell>
          <cell r="C1791" t="str">
            <v>Fat Burner</v>
          </cell>
          <cell r="D1791">
            <v>148</v>
          </cell>
          <cell r="E1791">
            <v>40.479999999999997</v>
          </cell>
          <cell r="F1791">
            <v>5991.04</v>
          </cell>
          <cell r="G1791">
            <v>0.03</v>
          </cell>
          <cell r="H1791">
            <v>2</v>
          </cell>
          <cell r="I1791" t="str">
            <v>USA</v>
          </cell>
          <cell r="J1791" t="str">
            <v>Walmart</v>
          </cell>
        </row>
        <row r="1792">
          <cell r="A1792" t="str">
            <v>21-02-2022</v>
          </cell>
          <cell r="B1792" t="str">
            <v>Iron Supplement</v>
          </cell>
          <cell r="C1792" t="str">
            <v>Mineral</v>
          </cell>
          <cell r="D1792">
            <v>137</v>
          </cell>
          <cell r="E1792">
            <v>36.46</v>
          </cell>
          <cell r="F1792">
            <v>4995.0200000000004</v>
          </cell>
          <cell r="G1792">
            <v>0.22</v>
          </cell>
          <cell r="H1792">
            <v>1</v>
          </cell>
          <cell r="I1792" t="str">
            <v>USA</v>
          </cell>
          <cell r="J1792" t="str">
            <v>iHerb</v>
          </cell>
        </row>
        <row r="1793">
          <cell r="A1793" t="str">
            <v>21-02-2022</v>
          </cell>
          <cell r="B1793" t="str">
            <v>Electrolyte Powder</v>
          </cell>
          <cell r="C1793" t="str">
            <v>Hydration</v>
          </cell>
          <cell r="D1793">
            <v>142</v>
          </cell>
          <cell r="E1793">
            <v>53.71</v>
          </cell>
          <cell r="F1793">
            <v>7626.82</v>
          </cell>
          <cell r="G1793">
            <v>0.04</v>
          </cell>
          <cell r="H1793">
            <v>1</v>
          </cell>
          <cell r="I1793" t="str">
            <v>Canada</v>
          </cell>
          <cell r="J1793" t="str">
            <v>iHerb</v>
          </cell>
        </row>
        <row r="1794">
          <cell r="A1794" t="str">
            <v>28-02-2022</v>
          </cell>
          <cell r="B1794" t="str">
            <v>Whey Protein</v>
          </cell>
          <cell r="C1794" t="str">
            <v>Protein</v>
          </cell>
          <cell r="D1794">
            <v>137</v>
          </cell>
          <cell r="E1794">
            <v>33.72</v>
          </cell>
          <cell r="F1794">
            <v>4619.6400000000003</v>
          </cell>
          <cell r="G1794">
            <v>0.09</v>
          </cell>
          <cell r="H1794">
            <v>1</v>
          </cell>
          <cell r="I1794" t="str">
            <v>Canada</v>
          </cell>
          <cell r="J1794" t="str">
            <v>Amazon</v>
          </cell>
        </row>
        <row r="1795">
          <cell r="A1795" t="str">
            <v>28-02-2022</v>
          </cell>
          <cell r="B1795" t="str">
            <v>Vitamin C</v>
          </cell>
          <cell r="C1795" t="str">
            <v>Vitamin</v>
          </cell>
          <cell r="D1795">
            <v>165</v>
          </cell>
          <cell r="E1795">
            <v>45.89</v>
          </cell>
          <cell r="F1795">
            <v>7571.85</v>
          </cell>
          <cell r="G1795">
            <v>0.22</v>
          </cell>
          <cell r="H1795">
            <v>3</v>
          </cell>
          <cell r="I1795" t="str">
            <v>USA</v>
          </cell>
          <cell r="J1795" t="str">
            <v>Amazon</v>
          </cell>
        </row>
        <row r="1796">
          <cell r="A1796" t="str">
            <v>28-02-2022</v>
          </cell>
          <cell r="B1796" t="str">
            <v>Fish Oil</v>
          </cell>
          <cell r="C1796" t="str">
            <v>Omega</v>
          </cell>
          <cell r="D1796">
            <v>144</v>
          </cell>
          <cell r="E1796">
            <v>11.24</v>
          </cell>
          <cell r="F1796">
            <v>1618.56</v>
          </cell>
          <cell r="G1796">
            <v>0.09</v>
          </cell>
          <cell r="H1796">
            <v>3</v>
          </cell>
          <cell r="I1796" t="str">
            <v>Canada</v>
          </cell>
          <cell r="J1796" t="str">
            <v>Amazon</v>
          </cell>
        </row>
        <row r="1797">
          <cell r="A1797" t="str">
            <v>28-02-2022</v>
          </cell>
          <cell r="B1797" t="str">
            <v>Multivitamin</v>
          </cell>
          <cell r="C1797" t="str">
            <v>Vitamin</v>
          </cell>
          <cell r="D1797">
            <v>142</v>
          </cell>
          <cell r="E1797">
            <v>25.13</v>
          </cell>
          <cell r="F1797">
            <v>3568.46</v>
          </cell>
          <cell r="G1797">
            <v>0.15</v>
          </cell>
          <cell r="H1797">
            <v>1</v>
          </cell>
          <cell r="I1797" t="str">
            <v>UK</v>
          </cell>
          <cell r="J1797" t="str">
            <v>iHerb</v>
          </cell>
        </row>
        <row r="1798">
          <cell r="A1798" t="str">
            <v>28-02-2022</v>
          </cell>
          <cell r="B1798" t="str">
            <v>Pre-Workout</v>
          </cell>
          <cell r="C1798" t="str">
            <v>Performance</v>
          </cell>
          <cell r="D1798">
            <v>158</v>
          </cell>
          <cell r="E1798">
            <v>43.71</v>
          </cell>
          <cell r="F1798">
            <v>6906.18</v>
          </cell>
          <cell r="G1798">
            <v>0.05</v>
          </cell>
          <cell r="H1798">
            <v>4</v>
          </cell>
          <cell r="I1798" t="str">
            <v>Canada</v>
          </cell>
          <cell r="J1798" t="str">
            <v>iHerb</v>
          </cell>
        </row>
        <row r="1799">
          <cell r="A1799" t="str">
            <v>28-02-2022</v>
          </cell>
          <cell r="B1799" t="str">
            <v>BCAA</v>
          </cell>
          <cell r="C1799" t="str">
            <v>Amino Acid</v>
          </cell>
          <cell r="D1799">
            <v>141</v>
          </cell>
          <cell r="E1799">
            <v>14.5</v>
          </cell>
          <cell r="F1799">
            <v>2044.5</v>
          </cell>
          <cell r="G1799">
            <v>0.14000000000000001</v>
          </cell>
          <cell r="H1799">
            <v>0</v>
          </cell>
          <cell r="I1799" t="str">
            <v>Canada</v>
          </cell>
          <cell r="J1799" t="str">
            <v>Walmart</v>
          </cell>
        </row>
        <row r="1800">
          <cell r="A1800" t="str">
            <v>28-02-2022</v>
          </cell>
          <cell r="B1800" t="str">
            <v>Creatine</v>
          </cell>
          <cell r="C1800" t="str">
            <v>Performance</v>
          </cell>
          <cell r="D1800">
            <v>135</v>
          </cell>
          <cell r="E1800">
            <v>24.08</v>
          </cell>
          <cell r="F1800">
            <v>3250.8</v>
          </cell>
          <cell r="G1800">
            <v>0.15</v>
          </cell>
          <cell r="H1800">
            <v>2</v>
          </cell>
          <cell r="I1800" t="str">
            <v>USA</v>
          </cell>
          <cell r="J1800" t="str">
            <v>Walmart</v>
          </cell>
        </row>
        <row r="1801">
          <cell r="A1801" t="str">
            <v>28-02-2022</v>
          </cell>
          <cell r="B1801" t="str">
            <v>Zinc</v>
          </cell>
          <cell r="C1801" t="str">
            <v>Mineral</v>
          </cell>
          <cell r="D1801">
            <v>160</v>
          </cell>
          <cell r="E1801">
            <v>22.27</v>
          </cell>
          <cell r="F1801">
            <v>3563.2</v>
          </cell>
          <cell r="G1801">
            <v>0.24</v>
          </cell>
          <cell r="H1801">
            <v>0</v>
          </cell>
          <cell r="I1801" t="str">
            <v>USA</v>
          </cell>
          <cell r="J1801" t="str">
            <v>iHerb</v>
          </cell>
        </row>
        <row r="1802">
          <cell r="A1802" t="str">
            <v>28-02-2022</v>
          </cell>
          <cell r="B1802" t="str">
            <v>Collagen Peptides</v>
          </cell>
          <cell r="C1802" t="str">
            <v>Protein</v>
          </cell>
          <cell r="D1802">
            <v>167</v>
          </cell>
          <cell r="E1802">
            <v>57.36</v>
          </cell>
          <cell r="F1802">
            <v>9579.1200000000008</v>
          </cell>
          <cell r="G1802">
            <v>0.09</v>
          </cell>
          <cell r="H1802">
            <v>1</v>
          </cell>
          <cell r="I1802" t="str">
            <v>USA</v>
          </cell>
          <cell r="J1802" t="str">
            <v>Amazon</v>
          </cell>
        </row>
        <row r="1803">
          <cell r="A1803" t="str">
            <v>28-02-2022</v>
          </cell>
          <cell r="B1803" t="str">
            <v>Magnesium</v>
          </cell>
          <cell r="C1803" t="str">
            <v>Mineral</v>
          </cell>
          <cell r="D1803">
            <v>158</v>
          </cell>
          <cell r="E1803">
            <v>25.9</v>
          </cell>
          <cell r="F1803">
            <v>4092.2</v>
          </cell>
          <cell r="G1803">
            <v>0.14000000000000001</v>
          </cell>
          <cell r="H1803">
            <v>2</v>
          </cell>
          <cell r="I1803" t="str">
            <v>USA</v>
          </cell>
          <cell r="J1803" t="str">
            <v>Amazon</v>
          </cell>
        </row>
        <row r="1804">
          <cell r="A1804" t="str">
            <v>28-02-2022</v>
          </cell>
          <cell r="B1804" t="str">
            <v>Ashwagandha</v>
          </cell>
          <cell r="C1804" t="str">
            <v>Herbal</v>
          </cell>
          <cell r="D1804">
            <v>119</v>
          </cell>
          <cell r="E1804">
            <v>32.9</v>
          </cell>
          <cell r="F1804">
            <v>3915.1</v>
          </cell>
          <cell r="G1804">
            <v>0.03</v>
          </cell>
          <cell r="H1804">
            <v>1</v>
          </cell>
          <cell r="I1804" t="str">
            <v>USA</v>
          </cell>
          <cell r="J1804" t="str">
            <v>iHerb</v>
          </cell>
        </row>
        <row r="1805">
          <cell r="A1805" t="str">
            <v>28-02-2022</v>
          </cell>
          <cell r="B1805" t="str">
            <v>Melatonin</v>
          </cell>
          <cell r="C1805" t="str">
            <v>Sleep Aid</v>
          </cell>
          <cell r="D1805">
            <v>139</v>
          </cell>
          <cell r="E1805">
            <v>19.88</v>
          </cell>
          <cell r="F1805">
            <v>2763.32</v>
          </cell>
          <cell r="G1805">
            <v>0.14000000000000001</v>
          </cell>
          <cell r="H1805">
            <v>0</v>
          </cell>
          <cell r="I1805" t="str">
            <v>USA</v>
          </cell>
          <cell r="J1805" t="str">
            <v>Walmart</v>
          </cell>
        </row>
        <row r="1806">
          <cell r="A1806" t="str">
            <v>28-02-2022</v>
          </cell>
          <cell r="B1806" t="str">
            <v>Biotin</v>
          </cell>
          <cell r="C1806" t="str">
            <v>Vitamin</v>
          </cell>
          <cell r="D1806">
            <v>179</v>
          </cell>
          <cell r="E1806">
            <v>45.42</v>
          </cell>
          <cell r="F1806">
            <v>8130.18</v>
          </cell>
          <cell r="G1806">
            <v>0.02</v>
          </cell>
          <cell r="H1806">
            <v>0</v>
          </cell>
          <cell r="I1806" t="str">
            <v>Canada</v>
          </cell>
          <cell r="J1806" t="str">
            <v>Walmart</v>
          </cell>
        </row>
        <row r="1807">
          <cell r="A1807" t="str">
            <v>28-02-2022</v>
          </cell>
          <cell r="B1807" t="str">
            <v>Green Tea Extract</v>
          </cell>
          <cell r="C1807" t="str">
            <v>Fat Burner</v>
          </cell>
          <cell r="D1807">
            <v>150</v>
          </cell>
          <cell r="E1807">
            <v>57.58</v>
          </cell>
          <cell r="F1807">
            <v>8637</v>
          </cell>
          <cell r="G1807">
            <v>0.24</v>
          </cell>
          <cell r="H1807">
            <v>2</v>
          </cell>
          <cell r="I1807" t="str">
            <v>UK</v>
          </cell>
          <cell r="J1807" t="str">
            <v>Walmart</v>
          </cell>
        </row>
        <row r="1808">
          <cell r="A1808" t="str">
            <v>28-02-2022</v>
          </cell>
          <cell r="B1808" t="str">
            <v>Iron Supplement</v>
          </cell>
          <cell r="C1808" t="str">
            <v>Mineral</v>
          </cell>
          <cell r="D1808">
            <v>154</v>
          </cell>
          <cell r="E1808">
            <v>27.81</v>
          </cell>
          <cell r="F1808">
            <v>4282.74</v>
          </cell>
          <cell r="G1808">
            <v>0.24</v>
          </cell>
          <cell r="H1808">
            <v>2</v>
          </cell>
          <cell r="I1808" t="str">
            <v>UK</v>
          </cell>
          <cell r="J1808" t="str">
            <v>Walmart</v>
          </cell>
        </row>
        <row r="1809">
          <cell r="A1809" t="str">
            <v>28-02-2022</v>
          </cell>
          <cell r="B1809" t="str">
            <v>Electrolyte Powder</v>
          </cell>
          <cell r="C1809" t="str">
            <v>Hydration</v>
          </cell>
          <cell r="D1809">
            <v>153</v>
          </cell>
          <cell r="E1809">
            <v>12.33</v>
          </cell>
          <cell r="F1809">
            <v>1886.49</v>
          </cell>
          <cell r="G1809">
            <v>0.24</v>
          </cell>
          <cell r="H1809">
            <v>1</v>
          </cell>
          <cell r="I1809" t="str">
            <v>Canada</v>
          </cell>
          <cell r="J1809" t="str">
            <v>Walmart</v>
          </cell>
        </row>
        <row r="1810">
          <cell r="A1810" t="str">
            <v>07-03-2022</v>
          </cell>
          <cell r="B1810" t="str">
            <v>Whey Protein</v>
          </cell>
          <cell r="C1810" t="str">
            <v>Protein</v>
          </cell>
          <cell r="D1810">
            <v>148</v>
          </cell>
          <cell r="E1810">
            <v>51.85</v>
          </cell>
          <cell r="F1810">
            <v>7673.8</v>
          </cell>
          <cell r="G1810">
            <v>0.01</v>
          </cell>
          <cell r="H1810">
            <v>3</v>
          </cell>
          <cell r="I1810" t="str">
            <v>UK</v>
          </cell>
          <cell r="J1810" t="str">
            <v>Amazon</v>
          </cell>
        </row>
        <row r="1811">
          <cell r="A1811" t="str">
            <v>07-03-2022</v>
          </cell>
          <cell r="B1811" t="str">
            <v>Vitamin C</v>
          </cell>
          <cell r="C1811" t="str">
            <v>Vitamin</v>
          </cell>
          <cell r="D1811">
            <v>135</v>
          </cell>
          <cell r="E1811">
            <v>46.49</v>
          </cell>
          <cell r="F1811">
            <v>6276.15</v>
          </cell>
          <cell r="G1811">
            <v>0.04</v>
          </cell>
          <cell r="H1811">
            <v>1</v>
          </cell>
          <cell r="I1811" t="str">
            <v>USA</v>
          </cell>
          <cell r="J1811" t="str">
            <v>Walmart</v>
          </cell>
        </row>
        <row r="1812">
          <cell r="A1812" t="str">
            <v>07-03-2022</v>
          </cell>
          <cell r="B1812" t="str">
            <v>Fish Oil</v>
          </cell>
          <cell r="C1812" t="str">
            <v>Omega</v>
          </cell>
          <cell r="D1812">
            <v>143</v>
          </cell>
          <cell r="E1812">
            <v>52.96</v>
          </cell>
          <cell r="F1812">
            <v>7573.28</v>
          </cell>
          <cell r="G1812">
            <v>0.1</v>
          </cell>
          <cell r="H1812">
            <v>1</v>
          </cell>
          <cell r="I1812" t="str">
            <v>UK</v>
          </cell>
          <cell r="J1812" t="str">
            <v>Walmart</v>
          </cell>
        </row>
        <row r="1813">
          <cell r="A1813" t="str">
            <v>07-03-2022</v>
          </cell>
          <cell r="B1813" t="str">
            <v>Multivitamin</v>
          </cell>
          <cell r="C1813" t="str">
            <v>Vitamin</v>
          </cell>
          <cell r="D1813">
            <v>137</v>
          </cell>
          <cell r="E1813">
            <v>53.58</v>
          </cell>
          <cell r="F1813">
            <v>7340.46</v>
          </cell>
          <cell r="G1813">
            <v>0.09</v>
          </cell>
          <cell r="H1813">
            <v>4</v>
          </cell>
          <cell r="I1813" t="str">
            <v>UK</v>
          </cell>
          <cell r="J1813" t="str">
            <v>Amazon</v>
          </cell>
        </row>
        <row r="1814">
          <cell r="A1814" t="str">
            <v>07-03-2022</v>
          </cell>
          <cell r="B1814" t="str">
            <v>Pre-Workout</v>
          </cell>
          <cell r="C1814" t="str">
            <v>Performance</v>
          </cell>
          <cell r="D1814">
            <v>176</v>
          </cell>
          <cell r="E1814">
            <v>18.87</v>
          </cell>
          <cell r="F1814">
            <v>3321.12</v>
          </cell>
          <cell r="G1814">
            <v>0.22</v>
          </cell>
          <cell r="H1814">
            <v>1</v>
          </cell>
          <cell r="I1814" t="str">
            <v>Canada</v>
          </cell>
          <cell r="J1814" t="str">
            <v>Walmart</v>
          </cell>
        </row>
        <row r="1815">
          <cell r="A1815" t="str">
            <v>07-03-2022</v>
          </cell>
          <cell r="B1815" t="str">
            <v>BCAA</v>
          </cell>
          <cell r="C1815" t="str">
            <v>Amino Acid</v>
          </cell>
          <cell r="D1815">
            <v>153</v>
          </cell>
          <cell r="E1815">
            <v>16.670000000000002</v>
          </cell>
          <cell r="F1815">
            <v>2550.5100000000002</v>
          </cell>
          <cell r="G1815">
            <v>0.03</v>
          </cell>
          <cell r="H1815">
            <v>3</v>
          </cell>
          <cell r="I1815" t="str">
            <v>UK</v>
          </cell>
          <cell r="J1815" t="str">
            <v>Amazon</v>
          </cell>
        </row>
        <row r="1816">
          <cell r="A1816" t="str">
            <v>07-03-2022</v>
          </cell>
          <cell r="B1816" t="str">
            <v>Creatine</v>
          </cell>
          <cell r="C1816" t="str">
            <v>Performance</v>
          </cell>
          <cell r="D1816">
            <v>159</v>
          </cell>
          <cell r="E1816">
            <v>48.46</v>
          </cell>
          <cell r="F1816">
            <v>7705.14</v>
          </cell>
          <cell r="G1816">
            <v>0.11</v>
          </cell>
          <cell r="H1816">
            <v>2</v>
          </cell>
          <cell r="I1816" t="str">
            <v>USA</v>
          </cell>
          <cell r="J1816" t="str">
            <v>Amazon</v>
          </cell>
        </row>
        <row r="1817">
          <cell r="A1817" t="str">
            <v>07-03-2022</v>
          </cell>
          <cell r="B1817" t="str">
            <v>Zinc</v>
          </cell>
          <cell r="C1817" t="str">
            <v>Mineral</v>
          </cell>
          <cell r="D1817">
            <v>145</v>
          </cell>
          <cell r="E1817">
            <v>46.45</v>
          </cell>
          <cell r="F1817">
            <v>6735.25</v>
          </cell>
          <cell r="G1817">
            <v>0.1</v>
          </cell>
          <cell r="H1817">
            <v>4</v>
          </cell>
          <cell r="I1817" t="str">
            <v>UK</v>
          </cell>
          <cell r="J1817" t="str">
            <v>iHerb</v>
          </cell>
        </row>
        <row r="1818">
          <cell r="A1818" t="str">
            <v>07-03-2022</v>
          </cell>
          <cell r="B1818" t="str">
            <v>Collagen Peptides</v>
          </cell>
          <cell r="C1818" t="str">
            <v>Protein</v>
          </cell>
          <cell r="D1818">
            <v>144</v>
          </cell>
          <cell r="E1818">
            <v>56.65</v>
          </cell>
          <cell r="F1818">
            <v>8157.6</v>
          </cell>
          <cell r="G1818">
            <v>0.06</v>
          </cell>
          <cell r="H1818">
            <v>2</v>
          </cell>
          <cell r="I1818" t="str">
            <v>UK</v>
          </cell>
          <cell r="J1818" t="str">
            <v>iHerb</v>
          </cell>
        </row>
        <row r="1819">
          <cell r="A1819" t="str">
            <v>07-03-2022</v>
          </cell>
          <cell r="B1819" t="str">
            <v>Magnesium</v>
          </cell>
          <cell r="C1819" t="str">
            <v>Mineral</v>
          </cell>
          <cell r="D1819">
            <v>148</v>
          </cell>
          <cell r="E1819">
            <v>32.51</v>
          </cell>
          <cell r="F1819">
            <v>4811.4799999999996</v>
          </cell>
          <cell r="G1819">
            <v>0.19</v>
          </cell>
          <cell r="H1819">
            <v>1</v>
          </cell>
          <cell r="I1819" t="str">
            <v>UK</v>
          </cell>
          <cell r="J1819" t="str">
            <v>Amazon</v>
          </cell>
        </row>
        <row r="1820">
          <cell r="A1820" t="str">
            <v>07-03-2022</v>
          </cell>
          <cell r="B1820" t="str">
            <v>Ashwagandha</v>
          </cell>
          <cell r="C1820" t="str">
            <v>Herbal</v>
          </cell>
          <cell r="D1820">
            <v>139</v>
          </cell>
          <cell r="E1820">
            <v>31.27</v>
          </cell>
          <cell r="F1820">
            <v>4346.53</v>
          </cell>
          <cell r="G1820">
            <v>0.19</v>
          </cell>
          <cell r="H1820">
            <v>2</v>
          </cell>
          <cell r="I1820" t="str">
            <v>USA</v>
          </cell>
          <cell r="J1820" t="str">
            <v>Amazon</v>
          </cell>
        </row>
        <row r="1821">
          <cell r="A1821" t="str">
            <v>07-03-2022</v>
          </cell>
          <cell r="B1821" t="str">
            <v>Melatonin</v>
          </cell>
          <cell r="C1821" t="str">
            <v>Sleep Aid</v>
          </cell>
          <cell r="D1821">
            <v>157</v>
          </cell>
          <cell r="E1821">
            <v>34.07</v>
          </cell>
          <cell r="F1821">
            <v>5348.99</v>
          </cell>
          <cell r="G1821">
            <v>0.01</v>
          </cell>
          <cell r="H1821">
            <v>3</v>
          </cell>
          <cell r="I1821" t="str">
            <v>Canada</v>
          </cell>
          <cell r="J1821" t="str">
            <v>Amazon</v>
          </cell>
        </row>
        <row r="1822">
          <cell r="A1822" t="str">
            <v>07-03-2022</v>
          </cell>
          <cell r="B1822" t="str">
            <v>Biotin</v>
          </cell>
          <cell r="C1822" t="str">
            <v>Vitamin</v>
          </cell>
          <cell r="D1822">
            <v>155</v>
          </cell>
          <cell r="E1822">
            <v>49.39</v>
          </cell>
          <cell r="F1822">
            <v>7655.45</v>
          </cell>
          <cell r="G1822">
            <v>0.06</v>
          </cell>
          <cell r="H1822">
            <v>2</v>
          </cell>
          <cell r="I1822" t="str">
            <v>UK</v>
          </cell>
          <cell r="J1822" t="str">
            <v>iHerb</v>
          </cell>
        </row>
        <row r="1823">
          <cell r="A1823" t="str">
            <v>07-03-2022</v>
          </cell>
          <cell r="B1823" t="str">
            <v>Green Tea Extract</v>
          </cell>
          <cell r="C1823" t="str">
            <v>Fat Burner</v>
          </cell>
          <cell r="D1823">
            <v>157</v>
          </cell>
          <cell r="E1823">
            <v>37.270000000000003</v>
          </cell>
          <cell r="F1823">
            <v>5851.39</v>
          </cell>
          <cell r="G1823">
            <v>0.04</v>
          </cell>
          <cell r="H1823">
            <v>1</v>
          </cell>
          <cell r="I1823" t="str">
            <v>USA</v>
          </cell>
          <cell r="J1823" t="str">
            <v>Amazon</v>
          </cell>
        </row>
        <row r="1824">
          <cell r="A1824" t="str">
            <v>07-03-2022</v>
          </cell>
          <cell r="B1824" t="str">
            <v>Iron Supplement</v>
          </cell>
          <cell r="C1824" t="str">
            <v>Mineral</v>
          </cell>
          <cell r="D1824">
            <v>167</v>
          </cell>
          <cell r="E1824">
            <v>51.98</v>
          </cell>
          <cell r="F1824">
            <v>8680.66</v>
          </cell>
          <cell r="G1824">
            <v>0.15</v>
          </cell>
          <cell r="H1824">
            <v>1</v>
          </cell>
          <cell r="I1824" t="str">
            <v>UK</v>
          </cell>
          <cell r="J1824" t="str">
            <v>iHerb</v>
          </cell>
        </row>
        <row r="1825">
          <cell r="A1825" t="str">
            <v>07-03-2022</v>
          </cell>
          <cell r="B1825" t="str">
            <v>Electrolyte Powder</v>
          </cell>
          <cell r="C1825" t="str">
            <v>Hydration</v>
          </cell>
          <cell r="D1825">
            <v>153</v>
          </cell>
          <cell r="E1825">
            <v>29.93</v>
          </cell>
          <cell r="F1825">
            <v>4579.29</v>
          </cell>
          <cell r="G1825">
            <v>0.03</v>
          </cell>
          <cell r="H1825">
            <v>1</v>
          </cell>
          <cell r="I1825" t="str">
            <v>UK</v>
          </cell>
          <cell r="J1825" t="str">
            <v>iHerb</v>
          </cell>
        </row>
        <row r="1826">
          <cell r="A1826" t="str">
            <v>14-03-2022</v>
          </cell>
          <cell r="B1826" t="str">
            <v>Whey Protein</v>
          </cell>
          <cell r="C1826" t="str">
            <v>Protein</v>
          </cell>
          <cell r="D1826">
            <v>128</v>
          </cell>
          <cell r="E1826">
            <v>30.8</v>
          </cell>
          <cell r="F1826">
            <v>3942.4</v>
          </cell>
          <cell r="G1826">
            <v>0.08</v>
          </cell>
          <cell r="H1826">
            <v>3</v>
          </cell>
          <cell r="I1826" t="str">
            <v>Canada</v>
          </cell>
          <cell r="J1826" t="str">
            <v>iHerb</v>
          </cell>
        </row>
        <row r="1827">
          <cell r="A1827" t="str">
            <v>14-03-2022</v>
          </cell>
          <cell r="B1827" t="str">
            <v>Vitamin C</v>
          </cell>
          <cell r="C1827" t="str">
            <v>Vitamin</v>
          </cell>
          <cell r="D1827">
            <v>145</v>
          </cell>
          <cell r="E1827">
            <v>36.51</v>
          </cell>
          <cell r="F1827">
            <v>5293.95</v>
          </cell>
          <cell r="G1827">
            <v>0.18</v>
          </cell>
          <cell r="H1827">
            <v>1</v>
          </cell>
          <cell r="I1827" t="str">
            <v>Canada</v>
          </cell>
          <cell r="J1827" t="str">
            <v>Amazon</v>
          </cell>
        </row>
        <row r="1828">
          <cell r="A1828" t="str">
            <v>14-03-2022</v>
          </cell>
          <cell r="B1828" t="str">
            <v>Fish Oil</v>
          </cell>
          <cell r="C1828" t="str">
            <v>Omega</v>
          </cell>
          <cell r="D1828">
            <v>175</v>
          </cell>
          <cell r="E1828">
            <v>51.57</v>
          </cell>
          <cell r="F1828">
            <v>9024.75</v>
          </cell>
          <cell r="G1828">
            <v>0.09</v>
          </cell>
          <cell r="H1828">
            <v>0</v>
          </cell>
          <cell r="I1828" t="str">
            <v>Canada</v>
          </cell>
          <cell r="J1828" t="str">
            <v>iHerb</v>
          </cell>
        </row>
        <row r="1829">
          <cell r="A1829" t="str">
            <v>14-03-2022</v>
          </cell>
          <cell r="B1829" t="str">
            <v>Multivitamin</v>
          </cell>
          <cell r="C1829" t="str">
            <v>Vitamin</v>
          </cell>
          <cell r="D1829">
            <v>156</v>
          </cell>
          <cell r="E1829">
            <v>33.76</v>
          </cell>
          <cell r="F1829">
            <v>5266.56</v>
          </cell>
          <cell r="G1829">
            <v>0.05</v>
          </cell>
          <cell r="H1829">
            <v>2</v>
          </cell>
          <cell r="I1829" t="str">
            <v>Canada</v>
          </cell>
          <cell r="J1829" t="str">
            <v>Walmart</v>
          </cell>
        </row>
        <row r="1830">
          <cell r="A1830" t="str">
            <v>14-03-2022</v>
          </cell>
          <cell r="B1830" t="str">
            <v>Pre-Workout</v>
          </cell>
          <cell r="C1830" t="str">
            <v>Performance</v>
          </cell>
          <cell r="D1830">
            <v>163</v>
          </cell>
          <cell r="E1830">
            <v>34.79</v>
          </cell>
          <cell r="F1830">
            <v>5670.77</v>
          </cell>
          <cell r="G1830">
            <v>0.23</v>
          </cell>
          <cell r="H1830">
            <v>3</v>
          </cell>
          <cell r="I1830" t="str">
            <v>USA</v>
          </cell>
          <cell r="J1830" t="str">
            <v>iHerb</v>
          </cell>
        </row>
        <row r="1831">
          <cell r="A1831" t="str">
            <v>14-03-2022</v>
          </cell>
          <cell r="B1831" t="str">
            <v>BCAA</v>
          </cell>
          <cell r="C1831" t="str">
            <v>Amino Acid</v>
          </cell>
          <cell r="D1831">
            <v>161</v>
          </cell>
          <cell r="E1831">
            <v>37.25</v>
          </cell>
          <cell r="F1831">
            <v>5997.25</v>
          </cell>
          <cell r="G1831">
            <v>0.06</v>
          </cell>
          <cell r="H1831">
            <v>1</v>
          </cell>
          <cell r="I1831" t="str">
            <v>USA</v>
          </cell>
          <cell r="J1831" t="str">
            <v>Amazon</v>
          </cell>
        </row>
        <row r="1832">
          <cell r="A1832" t="str">
            <v>14-03-2022</v>
          </cell>
          <cell r="B1832" t="str">
            <v>Creatine</v>
          </cell>
          <cell r="C1832" t="str">
            <v>Performance</v>
          </cell>
          <cell r="D1832">
            <v>149</v>
          </cell>
          <cell r="E1832">
            <v>54.8</v>
          </cell>
          <cell r="F1832">
            <v>8165.2</v>
          </cell>
          <cell r="G1832">
            <v>0.1</v>
          </cell>
          <cell r="H1832">
            <v>0</v>
          </cell>
          <cell r="I1832" t="str">
            <v>Canada</v>
          </cell>
          <cell r="J1832" t="str">
            <v>iHerb</v>
          </cell>
        </row>
        <row r="1833">
          <cell r="A1833" t="str">
            <v>14-03-2022</v>
          </cell>
          <cell r="B1833" t="str">
            <v>Zinc</v>
          </cell>
          <cell r="C1833" t="str">
            <v>Mineral</v>
          </cell>
          <cell r="D1833">
            <v>165</v>
          </cell>
          <cell r="E1833">
            <v>41.09</v>
          </cell>
          <cell r="F1833">
            <v>6779.85</v>
          </cell>
          <cell r="G1833">
            <v>0.01</v>
          </cell>
          <cell r="H1833">
            <v>1</v>
          </cell>
          <cell r="I1833" t="str">
            <v>UK</v>
          </cell>
          <cell r="J1833" t="str">
            <v>Walmart</v>
          </cell>
        </row>
        <row r="1834">
          <cell r="A1834" t="str">
            <v>14-03-2022</v>
          </cell>
          <cell r="B1834" t="str">
            <v>Collagen Peptides</v>
          </cell>
          <cell r="C1834" t="str">
            <v>Protein</v>
          </cell>
          <cell r="D1834">
            <v>147</v>
          </cell>
          <cell r="E1834">
            <v>55.25</v>
          </cell>
          <cell r="F1834">
            <v>8121.75</v>
          </cell>
          <cell r="G1834">
            <v>0.22</v>
          </cell>
          <cell r="H1834">
            <v>1</v>
          </cell>
          <cell r="I1834" t="str">
            <v>USA</v>
          </cell>
          <cell r="J1834" t="str">
            <v>Amazon</v>
          </cell>
        </row>
        <row r="1835">
          <cell r="A1835" t="str">
            <v>14-03-2022</v>
          </cell>
          <cell r="B1835" t="str">
            <v>Magnesium</v>
          </cell>
          <cell r="C1835" t="str">
            <v>Mineral</v>
          </cell>
          <cell r="D1835">
            <v>129</v>
          </cell>
          <cell r="E1835">
            <v>26.82</v>
          </cell>
          <cell r="F1835">
            <v>3459.78</v>
          </cell>
          <cell r="G1835">
            <v>0.17</v>
          </cell>
          <cell r="H1835">
            <v>0</v>
          </cell>
          <cell r="I1835" t="str">
            <v>Canada</v>
          </cell>
          <cell r="J1835" t="str">
            <v>Amazon</v>
          </cell>
        </row>
        <row r="1836">
          <cell r="A1836" t="str">
            <v>14-03-2022</v>
          </cell>
          <cell r="B1836" t="str">
            <v>Ashwagandha</v>
          </cell>
          <cell r="C1836" t="str">
            <v>Herbal</v>
          </cell>
          <cell r="D1836">
            <v>134</v>
          </cell>
          <cell r="E1836">
            <v>20.62</v>
          </cell>
          <cell r="F1836">
            <v>2763.08</v>
          </cell>
          <cell r="G1836">
            <v>0.21</v>
          </cell>
          <cell r="H1836">
            <v>0</v>
          </cell>
          <cell r="I1836" t="str">
            <v>Canada</v>
          </cell>
          <cell r="J1836" t="str">
            <v>iHerb</v>
          </cell>
        </row>
        <row r="1837">
          <cell r="A1837" t="str">
            <v>14-03-2022</v>
          </cell>
          <cell r="B1837" t="str">
            <v>Melatonin</v>
          </cell>
          <cell r="C1837" t="str">
            <v>Sleep Aid</v>
          </cell>
          <cell r="D1837">
            <v>148</v>
          </cell>
          <cell r="E1837">
            <v>19.13</v>
          </cell>
          <cell r="F1837">
            <v>2831.24</v>
          </cell>
          <cell r="G1837">
            <v>0.15</v>
          </cell>
          <cell r="H1837">
            <v>2</v>
          </cell>
          <cell r="I1837" t="str">
            <v>UK</v>
          </cell>
          <cell r="J1837" t="str">
            <v>iHerb</v>
          </cell>
        </row>
        <row r="1838">
          <cell r="A1838" t="str">
            <v>14-03-2022</v>
          </cell>
          <cell r="B1838" t="str">
            <v>Biotin</v>
          </cell>
          <cell r="C1838" t="str">
            <v>Vitamin</v>
          </cell>
          <cell r="D1838">
            <v>143</v>
          </cell>
          <cell r="E1838">
            <v>40.17</v>
          </cell>
          <cell r="F1838">
            <v>5744.31</v>
          </cell>
          <cell r="G1838">
            <v>0.1</v>
          </cell>
          <cell r="H1838">
            <v>1</v>
          </cell>
          <cell r="I1838" t="str">
            <v>Canada</v>
          </cell>
          <cell r="J1838" t="str">
            <v>iHerb</v>
          </cell>
        </row>
        <row r="1839">
          <cell r="A1839" t="str">
            <v>14-03-2022</v>
          </cell>
          <cell r="B1839" t="str">
            <v>Green Tea Extract</v>
          </cell>
          <cell r="C1839" t="str">
            <v>Fat Burner</v>
          </cell>
          <cell r="D1839">
            <v>153</v>
          </cell>
          <cell r="E1839">
            <v>30.14</v>
          </cell>
          <cell r="F1839">
            <v>4611.42</v>
          </cell>
          <cell r="G1839">
            <v>0.09</v>
          </cell>
          <cell r="H1839">
            <v>1</v>
          </cell>
          <cell r="I1839" t="str">
            <v>USA</v>
          </cell>
          <cell r="J1839" t="str">
            <v>Amazon</v>
          </cell>
        </row>
        <row r="1840">
          <cell r="A1840" t="str">
            <v>14-03-2022</v>
          </cell>
          <cell r="B1840" t="str">
            <v>Iron Supplement</v>
          </cell>
          <cell r="C1840" t="str">
            <v>Mineral</v>
          </cell>
          <cell r="D1840">
            <v>160</v>
          </cell>
          <cell r="E1840">
            <v>57.02</v>
          </cell>
          <cell r="F1840">
            <v>9123.2000000000007</v>
          </cell>
          <cell r="G1840">
            <v>7.0000000000000007E-2</v>
          </cell>
          <cell r="H1840">
            <v>1</v>
          </cell>
          <cell r="I1840" t="str">
            <v>USA</v>
          </cell>
          <cell r="J1840" t="str">
            <v>Walmart</v>
          </cell>
        </row>
        <row r="1841">
          <cell r="A1841" t="str">
            <v>14-03-2022</v>
          </cell>
          <cell r="B1841" t="str">
            <v>Electrolyte Powder</v>
          </cell>
          <cell r="C1841" t="str">
            <v>Hydration</v>
          </cell>
          <cell r="D1841">
            <v>161</v>
          </cell>
          <cell r="E1841">
            <v>37.35</v>
          </cell>
          <cell r="F1841">
            <v>6013.35</v>
          </cell>
          <cell r="G1841">
            <v>0.01</v>
          </cell>
          <cell r="H1841">
            <v>1</v>
          </cell>
          <cell r="I1841" t="str">
            <v>UK</v>
          </cell>
          <cell r="J1841" t="str">
            <v>iHerb</v>
          </cell>
        </row>
        <row r="1842">
          <cell r="A1842" t="str">
            <v>21-03-2022</v>
          </cell>
          <cell r="B1842" t="str">
            <v>Whey Protein</v>
          </cell>
          <cell r="C1842" t="str">
            <v>Protein</v>
          </cell>
          <cell r="D1842">
            <v>143</v>
          </cell>
          <cell r="E1842">
            <v>43.81</v>
          </cell>
          <cell r="F1842">
            <v>6264.83</v>
          </cell>
          <cell r="G1842">
            <v>0.09</v>
          </cell>
          <cell r="H1842">
            <v>1</v>
          </cell>
          <cell r="I1842" t="str">
            <v>UK</v>
          </cell>
          <cell r="J1842" t="str">
            <v>iHerb</v>
          </cell>
        </row>
        <row r="1843">
          <cell r="A1843" t="str">
            <v>21-03-2022</v>
          </cell>
          <cell r="B1843" t="str">
            <v>Vitamin C</v>
          </cell>
          <cell r="C1843" t="str">
            <v>Vitamin</v>
          </cell>
          <cell r="D1843">
            <v>136</v>
          </cell>
          <cell r="E1843">
            <v>26.76</v>
          </cell>
          <cell r="F1843">
            <v>3639.36</v>
          </cell>
          <cell r="G1843">
            <v>0.01</v>
          </cell>
          <cell r="H1843">
            <v>1</v>
          </cell>
          <cell r="I1843" t="str">
            <v>USA</v>
          </cell>
          <cell r="J1843" t="str">
            <v>iHerb</v>
          </cell>
        </row>
        <row r="1844">
          <cell r="A1844" t="str">
            <v>21-03-2022</v>
          </cell>
          <cell r="B1844" t="str">
            <v>Fish Oil</v>
          </cell>
          <cell r="C1844" t="str">
            <v>Omega</v>
          </cell>
          <cell r="D1844">
            <v>165</v>
          </cell>
          <cell r="E1844">
            <v>47</v>
          </cell>
          <cell r="F1844">
            <v>7755</v>
          </cell>
          <cell r="G1844">
            <v>0.16</v>
          </cell>
          <cell r="H1844">
            <v>1</v>
          </cell>
          <cell r="I1844" t="str">
            <v>Canada</v>
          </cell>
          <cell r="J1844" t="str">
            <v>iHerb</v>
          </cell>
        </row>
        <row r="1845">
          <cell r="A1845" t="str">
            <v>21-03-2022</v>
          </cell>
          <cell r="B1845" t="str">
            <v>Multivitamin</v>
          </cell>
          <cell r="C1845" t="str">
            <v>Vitamin</v>
          </cell>
          <cell r="D1845">
            <v>135</v>
          </cell>
          <cell r="E1845">
            <v>52.73</v>
          </cell>
          <cell r="F1845">
            <v>7118.55</v>
          </cell>
          <cell r="G1845">
            <v>0.17</v>
          </cell>
          <cell r="H1845">
            <v>0</v>
          </cell>
          <cell r="I1845" t="str">
            <v>UK</v>
          </cell>
          <cell r="J1845" t="str">
            <v>Amazon</v>
          </cell>
        </row>
        <row r="1846">
          <cell r="A1846" t="str">
            <v>21-03-2022</v>
          </cell>
          <cell r="B1846" t="str">
            <v>Pre-Workout</v>
          </cell>
          <cell r="C1846" t="str">
            <v>Performance</v>
          </cell>
          <cell r="D1846">
            <v>139</v>
          </cell>
          <cell r="E1846">
            <v>38.520000000000003</v>
          </cell>
          <cell r="F1846">
            <v>5354.28</v>
          </cell>
          <cell r="G1846">
            <v>0.19</v>
          </cell>
          <cell r="H1846">
            <v>0</v>
          </cell>
          <cell r="I1846" t="str">
            <v>UK</v>
          </cell>
          <cell r="J1846" t="str">
            <v>Amazon</v>
          </cell>
        </row>
        <row r="1847">
          <cell r="A1847" t="str">
            <v>21-03-2022</v>
          </cell>
          <cell r="B1847" t="str">
            <v>BCAA</v>
          </cell>
          <cell r="C1847" t="str">
            <v>Amino Acid</v>
          </cell>
          <cell r="D1847">
            <v>164</v>
          </cell>
          <cell r="E1847">
            <v>44.5</v>
          </cell>
          <cell r="F1847">
            <v>7298</v>
          </cell>
          <cell r="G1847">
            <v>0.24</v>
          </cell>
          <cell r="H1847">
            <v>0</v>
          </cell>
          <cell r="I1847" t="str">
            <v>Canada</v>
          </cell>
          <cell r="J1847" t="str">
            <v>iHerb</v>
          </cell>
        </row>
        <row r="1848">
          <cell r="A1848" t="str">
            <v>21-03-2022</v>
          </cell>
          <cell r="B1848" t="str">
            <v>Creatine</v>
          </cell>
          <cell r="C1848" t="str">
            <v>Performance</v>
          </cell>
          <cell r="D1848">
            <v>169</v>
          </cell>
          <cell r="E1848">
            <v>29.65</v>
          </cell>
          <cell r="F1848">
            <v>5010.8500000000004</v>
          </cell>
          <cell r="G1848">
            <v>0.21</v>
          </cell>
          <cell r="H1848">
            <v>3</v>
          </cell>
          <cell r="I1848" t="str">
            <v>USA</v>
          </cell>
          <cell r="J1848" t="str">
            <v>iHerb</v>
          </cell>
        </row>
        <row r="1849">
          <cell r="A1849" t="str">
            <v>21-03-2022</v>
          </cell>
          <cell r="B1849" t="str">
            <v>Zinc</v>
          </cell>
          <cell r="C1849" t="str">
            <v>Mineral</v>
          </cell>
          <cell r="D1849">
            <v>150</v>
          </cell>
          <cell r="E1849">
            <v>45.41</v>
          </cell>
          <cell r="F1849">
            <v>6811.5</v>
          </cell>
          <cell r="G1849">
            <v>0.21</v>
          </cell>
          <cell r="H1849">
            <v>0</v>
          </cell>
          <cell r="I1849" t="str">
            <v>USA</v>
          </cell>
          <cell r="J1849" t="str">
            <v>Walmart</v>
          </cell>
        </row>
        <row r="1850">
          <cell r="A1850" t="str">
            <v>21-03-2022</v>
          </cell>
          <cell r="B1850" t="str">
            <v>Collagen Peptides</v>
          </cell>
          <cell r="C1850" t="str">
            <v>Protein</v>
          </cell>
          <cell r="D1850">
            <v>162</v>
          </cell>
          <cell r="E1850">
            <v>32.53</v>
          </cell>
          <cell r="F1850">
            <v>5269.86</v>
          </cell>
          <cell r="G1850">
            <v>0.11</v>
          </cell>
          <cell r="H1850">
            <v>1</v>
          </cell>
          <cell r="I1850" t="str">
            <v>Canada</v>
          </cell>
          <cell r="J1850" t="str">
            <v>Amazon</v>
          </cell>
        </row>
        <row r="1851">
          <cell r="A1851" t="str">
            <v>21-03-2022</v>
          </cell>
          <cell r="B1851" t="str">
            <v>Magnesium</v>
          </cell>
          <cell r="C1851" t="str">
            <v>Mineral</v>
          </cell>
          <cell r="D1851">
            <v>176</v>
          </cell>
          <cell r="E1851">
            <v>57.66</v>
          </cell>
          <cell r="F1851">
            <v>10148.16</v>
          </cell>
          <cell r="G1851">
            <v>0.05</v>
          </cell>
          <cell r="H1851">
            <v>2</v>
          </cell>
          <cell r="I1851" t="str">
            <v>UK</v>
          </cell>
          <cell r="J1851" t="str">
            <v>Walmart</v>
          </cell>
        </row>
        <row r="1852">
          <cell r="A1852" t="str">
            <v>21-03-2022</v>
          </cell>
          <cell r="B1852" t="str">
            <v>Ashwagandha</v>
          </cell>
          <cell r="C1852" t="str">
            <v>Herbal</v>
          </cell>
          <cell r="D1852">
            <v>162</v>
          </cell>
          <cell r="E1852">
            <v>40.35</v>
          </cell>
          <cell r="F1852">
            <v>6536.7</v>
          </cell>
          <cell r="G1852">
            <v>0.14000000000000001</v>
          </cell>
          <cell r="H1852">
            <v>3</v>
          </cell>
          <cell r="I1852" t="str">
            <v>UK</v>
          </cell>
          <cell r="J1852" t="str">
            <v>iHerb</v>
          </cell>
        </row>
        <row r="1853">
          <cell r="A1853" t="str">
            <v>21-03-2022</v>
          </cell>
          <cell r="B1853" t="str">
            <v>Melatonin</v>
          </cell>
          <cell r="C1853" t="str">
            <v>Sleep Aid</v>
          </cell>
          <cell r="D1853">
            <v>163</v>
          </cell>
          <cell r="E1853">
            <v>52.43</v>
          </cell>
          <cell r="F1853">
            <v>8546.09</v>
          </cell>
          <cell r="G1853">
            <v>0.1</v>
          </cell>
          <cell r="H1853">
            <v>1</v>
          </cell>
          <cell r="I1853" t="str">
            <v>UK</v>
          </cell>
          <cell r="J1853" t="str">
            <v>Walmart</v>
          </cell>
        </row>
        <row r="1854">
          <cell r="A1854" t="str">
            <v>21-03-2022</v>
          </cell>
          <cell r="B1854" t="str">
            <v>Biotin</v>
          </cell>
          <cell r="C1854" t="str">
            <v>Vitamin</v>
          </cell>
          <cell r="D1854">
            <v>166</v>
          </cell>
          <cell r="E1854">
            <v>50.42</v>
          </cell>
          <cell r="F1854">
            <v>8369.7199999999993</v>
          </cell>
          <cell r="G1854">
            <v>7.0000000000000007E-2</v>
          </cell>
          <cell r="H1854">
            <v>0</v>
          </cell>
          <cell r="I1854" t="str">
            <v>USA</v>
          </cell>
          <cell r="J1854" t="str">
            <v>Amazon</v>
          </cell>
        </row>
        <row r="1855">
          <cell r="A1855" t="str">
            <v>21-03-2022</v>
          </cell>
          <cell r="B1855" t="str">
            <v>Green Tea Extract</v>
          </cell>
          <cell r="C1855" t="str">
            <v>Fat Burner</v>
          </cell>
          <cell r="D1855">
            <v>150</v>
          </cell>
          <cell r="E1855">
            <v>47.72</v>
          </cell>
          <cell r="F1855">
            <v>7158</v>
          </cell>
          <cell r="G1855">
            <v>7.0000000000000007E-2</v>
          </cell>
          <cell r="H1855">
            <v>1</v>
          </cell>
          <cell r="I1855" t="str">
            <v>UK</v>
          </cell>
          <cell r="J1855" t="str">
            <v>Walmart</v>
          </cell>
        </row>
        <row r="1856">
          <cell r="A1856" t="str">
            <v>21-03-2022</v>
          </cell>
          <cell r="B1856" t="str">
            <v>Iron Supplement</v>
          </cell>
          <cell r="C1856" t="str">
            <v>Mineral</v>
          </cell>
          <cell r="D1856">
            <v>130</v>
          </cell>
          <cell r="E1856">
            <v>49.07</v>
          </cell>
          <cell r="F1856">
            <v>6379.1</v>
          </cell>
          <cell r="G1856">
            <v>0.04</v>
          </cell>
          <cell r="H1856">
            <v>2</v>
          </cell>
          <cell r="I1856" t="str">
            <v>USA</v>
          </cell>
          <cell r="J1856" t="str">
            <v>iHerb</v>
          </cell>
        </row>
        <row r="1857">
          <cell r="A1857" t="str">
            <v>21-03-2022</v>
          </cell>
          <cell r="B1857" t="str">
            <v>Electrolyte Powder</v>
          </cell>
          <cell r="C1857" t="str">
            <v>Hydration</v>
          </cell>
          <cell r="D1857">
            <v>171</v>
          </cell>
          <cell r="E1857">
            <v>50.55</v>
          </cell>
          <cell r="F1857">
            <v>8644.0499999999993</v>
          </cell>
          <cell r="G1857">
            <v>0.03</v>
          </cell>
          <cell r="H1857">
            <v>1</v>
          </cell>
          <cell r="I1857" t="str">
            <v>UK</v>
          </cell>
          <cell r="J1857" t="str">
            <v>iHerb</v>
          </cell>
        </row>
        <row r="1858">
          <cell r="A1858" t="str">
            <v>28-03-2022</v>
          </cell>
          <cell r="B1858" t="str">
            <v>Whey Protein</v>
          </cell>
          <cell r="C1858" t="str">
            <v>Protein</v>
          </cell>
          <cell r="D1858">
            <v>168</v>
          </cell>
          <cell r="E1858">
            <v>41.98</v>
          </cell>
          <cell r="F1858">
            <v>7052.64</v>
          </cell>
          <cell r="G1858">
            <v>0.17</v>
          </cell>
          <cell r="H1858">
            <v>1</v>
          </cell>
          <cell r="I1858" t="str">
            <v>UK</v>
          </cell>
          <cell r="J1858" t="str">
            <v>iHerb</v>
          </cell>
        </row>
        <row r="1859">
          <cell r="A1859" t="str">
            <v>28-03-2022</v>
          </cell>
          <cell r="B1859" t="str">
            <v>Vitamin C</v>
          </cell>
          <cell r="C1859" t="str">
            <v>Vitamin</v>
          </cell>
          <cell r="D1859">
            <v>156</v>
          </cell>
          <cell r="E1859">
            <v>54.99</v>
          </cell>
          <cell r="F1859">
            <v>8578.44</v>
          </cell>
          <cell r="G1859">
            <v>0.08</v>
          </cell>
          <cell r="H1859">
            <v>1</v>
          </cell>
          <cell r="I1859" t="str">
            <v>Canada</v>
          </cell>
          <cell r="J1859" t="str">
            <v>Amazon</v>
          </cell>
        </row>
        <row r="1860">
          <cell r="A1860" t="str">
            <v>28-03-2022</v>
          </cell>
          <cell r="B1860" t="str">
            <v>Fish Oil</v>
          </cell>
          <cell r="C1860" t="str">
            <v>Omega</v>
          </cell>
          <cell r="D1860">
            <v>166</v>
          </cell>
          <cell r="E1860">
            <v>35.75</v>
          </cell>
          <cell r="F1860">
            <v>5934.5</v>
          </cell>
          <cell r="G1860">
            <v>0.03</v>
          </cell>
          <cell r="H1860">
            <v>1</v>
          </cell>
          <cell r="I1860" t="str">
            <v>USA</v>
          </cell>
          <cell r="J1860" t="str">
            <v>iHerb</v>
          </cell>
        </row>
        <row r="1861">
          <cell r="A1861" t="str">
            <v>28-03-2022</v>
          </cell>
          <cell r="B1861" t="str">
            <v>Multivitamin</v>
          </cell>
          <cell r="C1861" t="str">
            <v>Vitamin</v>
          </cell>
          <cell r="D1861">
            <v>156</v>
          </cell>
          <cell r="E1861">
            <v>51.82</v>
          </cell>
          <cell r="F1861">
            <v>8083.92</v>
          </cell>
          <cell r="G1861">
            <v>0.24</v>
          </cell>
          <cell r="H1861">
            <v>3</v>
          </cell>
          <cell r="I1861" t="str">
            <v>Canada</v>
          </cell>
          <cell r="J1861" t="str">
            <v>iHerb</v>
          </cell>
        </row>
        <row r="1862">
          <cell r="A1862" t="str">
            <v>28-03-2022</v>
          </cell>
          <cell r="B1862" t="str">
            <v>Pre-Workout</v>
          </cell>
          <cell r="C1862" t="str">
            <v>Performance</v>
          </cell>
          <cell r="D1862">
            <v>146</v>
          </cell>
          <cell r="E1862">
            <v>27.57</v>
          </cell>
          <cell r="F1862">
            <v>4025.22</v>
          </cell>
          <cell r="G1862">
            <v>0.04</v>
          </cell>
          <cell r="H1862">
            <v>0</v>
          </cell>
          <cell r="I1862" t="str">
            <v>Canada</v>
          </cell>
          <cell r="J1862" t="str">
            <v>Amazon</v>
          </cell>
        </row>
        <row r="1863">
          <cell r="A1863" t="str">
            <v>28-03-2022</v>
          </cell>
          <cell r="B1863" t="str">
            <v>BCAA</v>
          </cell>
          <cell r="C1863" t="str">
            <v>Amino Acid</v>
          </cell>
          <cell r="D1863">
            <v>146</v>
          </cell>
          <cell r="E1863">
            <v>21.95</v>
          </cell>
          <cell r="F1863">
            <v>3204.7</v>
          </cell>
          <cell r="G1863">
            <v>0.05</v>
          </cell>
          <cell r="H1863">
            <v>4</v>
          </cell>
          <cell r="I1863" t="str">
            <v>UK</v>
          </cell>
          <cell r="J1863" t="str">
            <v>Amazon</v>
          </cell>
        </row>
        <row r="1864">
          <cell r="A1864" t="str">
            <v>28-03-2022</v>
          </cell>
          <cell r="B1864" t="str">
            <v>Creatine</v>
          </cell>
          <cell r="C1864" t="str">
            <v>Performance</v>
          </cell>
          <cell r="D1864">
            <v>143</v>
          </cell>
          <cell r="E1864">
            <v>55.89</v>
          </cell>
          <cell r="F1864">
            <v>7992.27</v>
          </cell>
          <cell r="G1864">
            <v>0.03</v>
          </cell>
          <cell r="H1864">
            <v>1</v>
          </cell>
          <cell r="I1864" t="str">
            <v>Canada</v>
          </cell>
          <cell r="J1864" t="str">
            <v>Amazon</v>
          </cell>
        </row>
        <row r="1865">
          <cell r="A1865" t="str">
            <v>28-03-2022</v>
          </cell>
          <cell r="B1865" t="str">
            <v>Zinc</v>
          </cell>
          <cell r="C1865" t="str">
            <v>Mineral</v>
          </cell>
          <cell r="D1865">
            <v>142</v>
          </cell>
          <cell r="E1865">
            <v>12.5</v>
          </cell>
          <cell r="F1865">
            <v>1775</v>
          </cell>
          <cell r="G1865">
            <v>0.03</v>
          </cell>
          <cell r="H1865">
            <v>0</v>
          </cell>
          <cell r="I1865" t="str">
            <v>Canada</v>
          </cell>
          <cell r="J1865" t="str">
            <v>Amazon</v>
          </cell>
        </row>
        <row r="1866">
          <cell r="A1866" t="str">
            <v>28-03-2022</v>
          </cell>
          <cell r="B1866" t="str">
            <v>Collagen Peptides</v>
          </cell>
          <cell r="C1866" t="str">
            <v>Protein</v>
          </cell>
          <cell r="D1866">
            <v>160</v>
          </cell>
          <cell r="E1866">
            <v>27.14</v>
          </cell>
          <cell r="F1866">
            <v>4342.3999999999996</v>
          </cell>
          <cell r="G1866">
            <v>0.1</v>
          </cell>
          <cell r="H1866">
            <v>4</v>
          </cell>
          <cell r="I1866" t="str">
            <v>USA</v>
          </cell>
          <cell r="J1866" t="str">
            <v>Walmart</v>
          </cell>
        </row>
        <row r="1867">
          <cell r="A1867" t="str">
            <v>28-03-2022</v>
          </cell>
          <cell r="B1867" t="str">
            <v>Magnesium</v>
          </cell>
          <cell r="C1867" t="str">
            <v>Mineral</v>
          </cell>
          <cell r="D1867">
            <v>170</v>
          </cell>
          <cell r="E1867">
            <v>54.23</v>
          </cell>
          <cell r="F1867">
            <v>9219.1</v>
          </cell>
          <cell r="G1867">
            <v>0.08</v>
          </cell>
          <cell r="H1867">
            <v>1</v>
          </cell>
          <cell r="I1867" t="str">
            <v>UK</v>
          </cell>
          <cell r="J1867" t="str">
            <v>Walmart</v>
          </cell>
        </row>
        <row r="1868">
          <cell r="A1868" t="str">
            <v>28-03-2022</v>
          </cell>
          <cell r="B1868" t="str">
            <v>Ashwagandha</v>
          </cell>
          <cell r="C1868" t="str">
            <v>Herbal</v>
          </cell>
          <cell r="D1868">
            <v>154</v>
          </cell>
          <cell r="E1868">
            <v>34.08</v>
          </cell>
          <cell r="F1868">
            <v>5248.32</v>
          </cell>
          <cell r="G1868">
            <v>0.1</v>
          </cell>
          <cell r="H1868">
            <v>5</v>
          </cell>
          <cell r="I1868" t="str">
            <v>UK</v>
          </cell>
          <cell r="J1868" t="str">
            <v>Walmart</v>
          </cell>
        </row>
        <row r="1869">
          <cell r="A1869" t="str">
            <v>28-03-2022</v>
          </cell>
          <cell r="B1869" t="str">
            <v>Melatonin</v>
          </cell>
          <cell r="C1869" t="str">
            <v>Sleep Aid</v>
          </cell>
          <cell r="D1869">
            <v>163</v>
          </cell>
          <cell r="E1869">
            <v>46.36</v>
          </cell>
          <cell r="F1869">
            <v>7556.68</v>
          </cell>
          <cell r="G1869">
            <v>7.0000000000000007E-2</v>
          </cell>
          <cell r="H1869">
            <v>0</v>
          </cell>
          <cell r="I1869" t="str">
            <v>Canada</v>
          </cell>
          <cell r="J1869" t="str">
            <v>iHerb</v>
          </cell>
        </row>
        <row r="1870">
          <cell r="A1870" t="str">
            <v>28-03-2022</v>
          </cell>
          <cell r="B1870" t="str">
            <v>Biotin</v>
          </cell>
          <cell r="C1870" t="str">
            <v>Vitamin</v>
          </cell>
          <cell r="D1870">
            <v>145</v>
          </cell>
          <cell r="E1870">
            <v>10.83</v>
          </cell>
          <cell r="F1870">
            <v>1570.35</v>
          </cell>
          <cell r="G1870">
            <v>0.2</v>
          </cell>
          <cell r="H1870">
            <v>1</v>
          </cell>
          <cell r="I1870" t="str">
            <v>USA</v>
          </cell>
          <cell r="J1870" t="str">
            <v>Walmart</v>
          </cell>
        </row>
        <row r="1871">
          <cell r="A1871" t="str">
            <v>28-03-2022</v>
          </cell>
          <cell r="B1871" t="str">
            <v>Green Tea Extract</v>
          </cell>
          <cell r="C1871" t="str">
            <v>Fat Burner</v>
          </cell>
          <cell r="D1871">
            <v>153</v>
          </cell>
          <cell r="E1871">
            <v>18.75</v>
          </cell>
          <cell r="F1871">
            <v>2868.75</v>
          </cell>
          <cell r="G1871">
            <v>0.22</v>
          </cell>
          <cell r="H1871">
            <v>2</v>
          </cell>
          <cell r="I1871" t="str">
            <v>Canada</v>
          </cell>
          <cell r="J1871" t="str">
            <v>Walmart</v>
          </cell>
        </row>
        <row r="1872">
          <cell r="A1872" t="str">
            <v>28-03-2022</v>
          </cell>
          <cell r="B1872" t="str">
            <v>Iron Supplement</v>
          </cell>
          <cell r="C1872" t="str">
            <v>Mineral</v>
          </cell>
          <cell r="D1872">
            <v>145</v>
          </cell>
          <cell r="E1872">
            <v>52.92</v>
          </cell>
          <cell r="F1872">
            <v>7673.4</v>
          </cell>
          <cell r="G1872">
            <v>0.25</v>
          </cell>
          <cell r="H1872">
            <v>2</v>
          </cell>
          <cell r="I1872" t="str">
            <v>Canada</v>
          </cell>
          <cell r="J1872" t="str">
            <v>Walmart</v>
          </cell>
        </row>
        <row r="1873">
          <cell r="A1873" t="str">
            <v>28-03-2022</v>
          </cell>
          <cell r="B1873" t="str">
            <v>Electrolyte Powder</v>
          </cell>
          <cell r="C1873" t="str">
            <v>Hydration</v>
          </cell>
          <cell r="D1873">
            <v>161</v>
          </cell>
          <cell r="E1873">
            <v>27.77</v>
          </cell>
          <cell r="F1873">
            <v>4470.97</v>
          </cell>
          <cell r="G1873">
            <v>0.14000000000000001</v>
          </cell>
          <cell r="H1873">
            <v>3</v>
          </cell>
          <cell r="I1873" t="str">
            <v>UK</v>
          </cell>
          <cell r="J1873" t="str">
            <v>iHerb</v>
          </cell>
        </row>
        <row r="1874">
          <cell r="A1874" t="str">
            <v>04-04-2022</v>
          </cell>
          <cell r="B1874" t="str">
            <v>Whey Protein</v>
          </cell>
          <cell r="C1874" t="str">
            <v>Protein</v>
          </cell>
          <cell r="D1874">
            <v>157</v>
          </cell>
          <cell r="E1874">
            <v>26.84</v>
          </cell>
          <cell r="F1874">
            <v>4213.88</v>
          </cell>
          <cell r="G1874">
            <v>0.04</v>
          </cell>
          <cell r="H1874">
            <v>1</v>
          </cell>
          <cell r="I1874" t="str">
            <v>UK</v>
          </cell>
          <cell r="J1874" t="str">
            <v>Walmart</v>
          </cell>
        </row>
        <row r="1875">
          <cell r="A1875" t="str">
            <v>04-04-2022</v>
          </cell>
          <cell r="B1875" t="str">
            <v>Vitamin C</v>
          </cell>
          <cell r="C1875" t="str">
            <v>Vitamin</v>
          </cell>
          <cell r="D1875">
            <v>169</v>
          </cell>
          <cell r="E1875">
            <v>20.99</v>
          </cell>
          <cell r="F1875">
            <v>3547.31</v>
          </cell>
          <cell r="G1875">
            <v>0.08</v>
          </cell>
          <cell r="H1875">
            <v>2</v>
          </cell>
          <cell r="I1875" t="str">
            <v>UK</v>
          </cell>
          <cell r="J1875" t="str">
            <v>iHerb</v>
          </cell>
        </row>
        <row r="1876">
          <cell r="A1876" t="str">
            <v>04-04-2022</v>
          </cell>
          <cell r="B1876" t="str">
            <v>Fish Oil</v>
          </cell>
          <cell r="C1876" t="str">
            <v>Omega</v>
          </cell>
          <cell r="D1876">
            <v>151</v>
          </cell>
          <cell r="E1876">
            <v>18.21</v>
          </cell>
          <cell r="F1876">
            <v>2749.71</v>
          </cell>
          <cell r="G1876">
            <v>0.06</v>
          </cell>
          <cell r="H1876">
            <v>1</v>
          </cell>
          <cell r="I1876" t="str">
            <v>UK</v>
          </cell>
          <cell r="J1876" t="str">
            <v>iHerb</v>
          </cell>
        </row>
        <row r="1877">
          <cell r="A1877" t="str">
            <v>04-04-2022</v>
          </cell>
          <cell r="B1877" t="str">
            <v>Multivitamin</v>
          </cell>
          <cell r="C1877" t="str">
            <v>Vitamin</v>
          </cell>
          <cell r="D1877">
            <v>149</v>
          </cell>
          <cell r="E1877">
            <v>46.46</v>
          </cell>
          <cell r="F1877">
            <v>6922.54</v>
          </cell>
          <cell r="G1877">
            <v>0.08</v>
          </cell>
          <cell r="H1877">
            <v>2</v>
          </cell>
          <cell r="I1877" t="str">
            <v>UK</v>
          </cell>
          <cell r="J1877" t="str">
            <v>iHerb</v>
          </cell>
        </row>
        <row r="1878">
          <cell r="A1878" t="str">
            <v>04-04-2022</v>
          </cell>
          <cell r="B1878" t="str">
            <v>Pre-Workout</v>
          </cell>
          <cell r="C1878" t="str">
            <v>Performance</v>
          </cell>
          <cell r="D1878">
            <v>142</v>
          </cell>
          <cell r="E1878">
            <v>48.61</v>
          </cell>
          <cell r="F1878">
            <v>6902.62</v>
          </cell>
          <cell r="G1878">
            <v>0.23</v>
          </cell>
          <cell r="H1878">
            <v>1</v>
          </cell>
          <cell r="I1878" t="str">
            <v>USA</v>
          </cell>
          <cell r="J1878" t="str">
            <v>Walmart</v>
          </cell>
        </row>
        <row r="1879">
          <cell r="A1879" t="str">
            <v>04-04-2022</v>
          </cell>
          <cell r="B1879" t="str">
            <v>BCAA</v>
          </cell>
          <cell r="C1879" t="str">
            <v>Amino Acid</v>
          </cell>
          <cell r="D1879">
            <v>144</v>
          </cell>
          <cell r="E1879">
            <v>56.36</v>
          </cell>
          <cell r="F1879">
            <v>8115.84</v>
          </cell>
          <cell r="G1879">
            <v>0.23</v>
          </cell>
          <cell r="H1879">
            <v>0</v>
          </cell>
          <cell r="I1879" t="str">
            <v>Canada</v>
          </cell>
          <cell r="J1879" t="str">
            <v>Walmart</v>
          </cell>
        </row>
        <row r="1880">
          <cell r="A1880" t="str">
            <v>04-04-2022</v>
          </cell>
          <cell r="B1880" t="str">
            <v>Creatine</v>
          </cell>
          <cell r="C1880" t="str">
            <v>Performance</v>
          </cell>
          <cell r="D1880">
            <v>134</v>
          </cell>
          <cell r="E1880">
            <v>15.33</v>
          </cell>
          <cell r="F1880">
            <v>2054.2199999999998</v>
          </cell>
          <cell r="G1880">
            <v>0.09</v>
          </cell>
          <cell r="H1880">
            <v>0</v>
          </cell>
          <cell r="I1880" t="str">
            <v>Canada</v>
          </cell>
          <cell r="J1880" t="str">
            <v>Walmart</v>
          </cell>
        </row>
        <row r="1881">
          <cell r="A1881" t="str">
            <v>04-04-2022</v>
          </cell>
          <cell r="B1881" t="str">
            <v>Zinc</v>
          </cell>
          <cell r="C1881" t="str">
            <v>Mineral</v>
          </cell>
          <cell r="D1881">
            <v>153</v>
          </cell>
          <cell r="E1881">
            <v>15.87</v>
          </cell>
          <cell r="F1881">
            <v>2428.11</v>
          </cell>
          <cell r="G1881">
            <v>0.17</v>
          </cell>
          <cell r="H1881">
            <v>1</v>
          </cell>
          <cell r="I1881" t="str">
            <v>Canada</v>
          </cell>
          <cell r="J1881" t="str">
            <v>Walmart</v>
          </cell>
        </row>
        <row r="1882">
          <cell r="A1882" t="str">
            <v>04-04-2022</v>
          </cell>
          <cell r="B1882" t="str">
            <v>Collagen Peptides</v>
          </cell>
          <cell r="C1882" t="str">
            <v>Protein</v>
          </cell>
          <cell r="D1882">
            <v>138</v>
          </cell>
          <cell r="E1882">
            <v>13.8</v>
          </cell>
          <cell r="F1882">
            <v>1904.4</v>
          </cell>
          <cell r="G1882">
            <v>0.17</v>
          </cell>
          <cell r="H1882">
            <v>1</v>
          </cell>
          <cell r="I1882" t="str">
            <v>Canada</v>
          </cell>
          <cell r="J1882" t="str">
            <v>Amazon</v>
          </cell>
        </row>
        <row r="1883">
          <cell r="A1883" t="str">
            <v>04-04-2022</v>
          </cell>
          <cell r="B1883" t="str">
            <v>Magnesium</v>
          </cell>
          <cell r="C1883" t="str">
            <v>Mineral</v>
          </cell>
          <cell r="D1883">
            <v>143</v>
          </cell>
          <cell r="E1883">
            <v>53.23</v>
          </cell>
          <cell r="F1883">
            <v>7611.89</v>
          </cell>
          <cell r="G1883">
            <v>0.12</v>
          </cell>
          <cell r="H1883">
            <v>1</v>
          </cell>
          <cell r="I1883" t="str">
            <v>UK</v>
          </cell>
          <cell r="J1883" t="str">
            <v>iHerb</v>
          </cell>
        </row>
        <row r="1884">
          <cell r="A1884" t="str">
            <v>04-04-2022</v>
          </cell>
          <cell r="B1884" t="str">
            <v>Ashwagandha</v>
          </cell>
          <cell r="C1884" t="str">
            <v>Herbal</v>
          </cell>
          <cell r="D1884">
            <v>152</v>
          </cell>
          <cell r="E1884">
            <v>19.63</v>
          </cell>
          <cell r="F1884">
            <v>2983.76</v>
          </cell>
          <cell r="G1884">
            <v>0.19</v>
          </cell>
          <cell r="H1884">
            <v>0</v>
          </cell>
          <cell r="I1884" t="str">
            <v>Canada</v>
          </cell>
          <cell r="J1884" t="str">
            <v>iHerb</v>
          </cell>
        </row>
        <row r="1885">
          <cell r="A1885" t="str">
            <v>04-04-2022</v>
          </cell>
          <cell r="B1885" t="str">
            <v>Melatonin</v>
          </cell>
          <cell r="C1885" t="str">
            <v>Sleep Aid</v>
          </cell>
          <cell r="D1885">
            <v>132</v>
          </cell>
          <cell r="E1885">
            <v>20.440000000000001</v>
          </cell>
          <cell r="F1885">
            <v>2698.08</v>
          </cell>
          <cell r="G1885">
            <v>0.08</v>
          </cell>
          <cell r="H1885">
            <v>1</v>
          </cell>
          <cell r="I1885" t="str">
            <v>Canada</v>
          </cell>
          <cell r="J1885" t="str">
            <v>Walmart</v>
          </cell>
        </row>
        <row r="1886">
          <cell r="A1886" t="str">
            <v>04-04-2022</v>
          </cell>
          <cell r="B1886" t="str">
            <v>Biotin</v>
          </cell>
          <cell r="C1886" t="str">
            <v>Vitamin</v>
          </cell>
          <cell r="D1886">
            <v>148</v>
          </cell>
          <cell r="E1886">
            <v>41.17</v>
          </cell>
          <cell r="F1886">
            <v>6093.16</v>
          </cell>
          <cell r="G1886">
            <v>0.16</v>
          </cell>
          <cell r="H1886">
            <v>2</v>
          </cell>
          <cell r="I1886" t="str">
            <v>Canada</v>
          </cell>
          <cell r="J1886" t="str">
            <v>iHerb</v>
          </cell>
        </row>
        <row r="1887">
          <cell r="A1887" t="str">
            <v>04-04-2022</v>
          </cell>
          <cell r="B1887" t="str">
            <v>Green Tea Extract</v>
          </cell>
          <cell r="C1887" t="str">
            <v>Fat Burner</v>
          </cell>
          <cell r="D1887">
            <v>142</v>
          </cell>
          <cell r="E1887">
            <v>31.9</v>
          </cell>
          <cell r="F1887">
            <v>4529.8</v>
          </cell>
          <cell r="G1887">
            <v>0.08</v>
          </cell>
          <cell r="H1887">
            <v>4</v>
          </cell>
          <cell r="I1887" t="str">
            <v>USA</v>
          </cell>
          <cell r="J1887" t="str">
            <v>iHerb</v>
          </cell>
        </row>
        <row r="1888">
          <cell r="A1888" t="str">
            <v>04-04-2022</v>
          </cell>
          <cell r="B1888" t="str">
            <v>Iron Supplement</v>
          </cell>
          <cell r="C1888" t="str">
            <v>Mineral</v>
          </cell>
          <cell r="D1888">
            <v>162</v>
          </cell>
          <cell r="E1888">
            <v>10.28</v>
          </cell>
          <cell r="F1888">
            <v>1665.36</v>
          </cell>
          <cell r="G1888">
            <v>0.01</v>
          </cell>
          <cell r="H1888">
            <v>1</v>
          </cell>
          <cell r="I1888" t="str">
            <v>UK</v>
          </cell>
          <cell r="J1888" t="str">
            <v>iHerb</v>
          </cell>
        </row>
        <row r="1889">
          <cell r="A1889" t="str">
            <v>04-04-2022</v>
          </cell>
          <cell r="B1889" t="str">
            <v>Electrolyte Powder</v>
          </cell>
          <cell r="C1889" t="str">
            <v>Hydration</v>
          </cell>
          <cell r="D1889">
            <v>133</v>
          </cell>
          <cell r="E1889">
            <v>52.9</v>
          </cell>
          <cell r="F1889">
            <v>7035.7</v>
          </cell>
          <cell r="G1889">
            <v>0.18</v>
          </cell>
          <cell r="H1889">
            <v>0</v>
          </cell>
          <cell r="I1889" t="str">
            <v>UK</v>
          </cell>
          <cell r="J1889" t="str">
            <v>iHerb</v>
          </cell>
        </row>
        <row r="1890">
          <cell r="A1890" t="str">
            <v>11-04-2022</v>
          </cell>
          <cell r="B1890" t="str">
            <v>Whey Protein</v>
          </cell>
          <cell r="C1890" t="str">
            <v>Protein</v>
          </cell>
          <cell r="D1890">
            <v>146</v>
          </cell>
          <cell r="E1890">
            <v>50.51</v>
          </cell>
          <cell r="F1890">
            <v>7374.46</v>
          </cell>
          <cell r="G1890">
            <v>0.21</v>
          </cell>
          <cell r="H1890">
            <v>3</v>
          </cell>
          <cell r="I1890" t="str">
            <v>USA</v>
          </cell>
          <cell r="J1890" t="str">
            <v>Amazon</v>
          </cell>
        </row>
        <row r="1891">
          <cell r="A1891" t="str">
            <v>11-04-2022</v>
          </cell>
          <cell r="B1891" t="str">
            <v>Vitamin C</v>
          </cell>
          <cell r="C1891" t="str">
            <v>Vitamin</v>
          </cell>
          <cell r="D1891">
            <v>150</v>
          </cell>
          <cell r="E1891">
            <v>15.59</v>
          </cell>
          <cell r="F1891">
            <v>2338.5</v>
          </cell>
          <cell r="G1891">
            <v>0.14000000000000001</v>
          </cell>
          <cell r="H1891">
            <v>1</v>
          </cell>
          <cell r="I1891" t="str">
            <v>USA</v>
          </cell>
          <cell r="J1891" t="str">
            <v>Amazon</v>
          </cell>
        </row>
        <row r="1892">
          <cell r="A1892" t="str">
            <v>11-04-2022</v>
          </cell>
          <cell r="B1892" t="str">
            <v>Fish Oil</v>
          </cell>
          <cell r="C1892" t="str">
            <v>Omega</v>
          </cell>
          <cell r="D1892">
            <v>148</v>
          </cell>
          <cell r="E1892">
            <v>22.85</v>
          </cell>
          <cell r="F1892">
            <v>3381.8</v>
          </cell>
          <cell r="G1892">
            <v>0.01</v>
          </cell>
          <cell r="H1892">
            <v>0</v>
          </cell>
          <cell r="I1892" t="str">
            <v>Canada</v>
          </cell>
          <cell r="J1892" t="str">
            <v>iHerb</v>
          </cell>
        </row>
        <row r="1893">
          <cell r="A1893" t="str">
            <v>11-04-2022</v>
          </cell>
          <cell r="B1893" t="str">
            <v>Multivitamin</v>
          </cell>
          <cell r="C1893" t="str">
            <v>Vitamin</v>
          </cell>
          <cell r="D1893">
            <v>103</v>
          </cell>
          <cell r="E1893">
            <v>15.52</v>
          </cell>
          <cell r="F1893">
            <v>1598.56</v>
          </cell>
          <cell r="G1893">
            <v>0.06</v>
          </cell>
          <cell r="H1893">
            <v>0</v>
          </cell>
          <cell r="I1893" t="str">
            <v>Canada</v>
          </cell>
          <cell r="J1893" t="str">
            <v>Walmart</v>
          </cell>
        </row>
        <row r="1894">
          <cell r="A1894" t="str">
            <v>11-04-2022</v>
          </cell>
          <cell r="B1894" t="str">
            <v>Pre-Workout</v>
          </cell>
          <cell r="C1894" t="str">
            <v>Performance</v>
          </cell>
          <cell r="D1894">
            <v>134</v>
          </cell>
          <cell r="E1894">
            <v>52.9</v>
          </cell>
          <cell r="F1894">
            <v>7088.6</v>
          </cell>
          <cell r="G1894">
            <v>0.17</v>
          </cell>
          <cell r="H1894">
            <v>1</v>
          </cell>
          <cell r="I1894" t="str">
            <v>UK</v>
          </cell>
          <cell r="J1894" t="str">
            <v>iHerb</v>
          </cell>
        </row>
        <row r="1895">
          <cell r="A1895" t="str">
            <v>11-04-2022</v>
          </cell>
          <cell r="B1895" t="str">
            <v>BCAA</v>
          </cell>
          <cell r="C1895" t="str">
            <v>Amino Acid</v>
          </cell>
          <cell r="D1895">
            <v>152</v>
          </cell>
          <cell r="E1895">
            <v>46.41</v>
          </cell>
          <cell r="F1895">
            <v>7054.32</v>
          </cell>
          <cell r="G1895">
            <v>0.17</v>
          </cell>
          <cell r="H1895">
            <v>3</v>
          </cell>
          <cell r="I1895" t="str">
            <v>UK</v>
          </cell>
          <cell r="J1895" t="str">
            <v>iHerb</v>
          </cell>
        </row>
        <row r="1896">
          <cell r="A1896" t="str">
            <v>11-04-2022</v>
          </cell>
          <cell r="B1896" t="str">
            <v>Creatine</v>
          </cell>
          <cell r="C1896" t="str">
            <v>Performance</v>
          </cell>
          <cell r="D1896">
            <v>166</v>
          </cell>
          <cell r="E1896">
            <v>31.49</v>
          </cell>
          <cell r="F1896">
            <v>5227.34</v>
          </cell>
          <cell r="G1896">
            <v>0.16</v>
          </cell>
          <cell r="H1896">
            <v>3</v>
          </cell>
          <cell r="I1896" t="str">
            <v>Canada</v>
          </cell>
          <cell r="J1896" t="str">
            <v>iHerb</v>
          </cell>
        </row>
        <row r="1897">
          <cell r="A1897" t="str">
            <v>11-04-2022</v>
          </cell>
          <cell r="B1897" t="str">
            <v>Zinc</v>
          </cell>
          <cell r="C1897" t="str">
            <v>Mineral</v>
          </cell>
          <cell r="D1897">
            <v>137</v>
          </cell>
          <cell r="E1897">
            <v>53.6</v>
          </cell>
          <cell r="F1897">
            <v>7343.2</v>
          </cell>
          <cell r="G1897">
            <v>0.06</v>
          </cell>
          <cell r="H1897">
            <v>1</v>
          </cell>
          <cell r="I1897" t="str">
            <v>Canada</v>
          </cell>
          <cell r="J1897" t="str">
            <v>Walmart</v>
          </cell>
        </row>
        <row r="1898">
          <cell r="A1898" t="str">
            <v>11-04-2022</v>
          </cell>
          <cell r="B1898" t="str">
            <v>Collagen Peptides</v>
          </cell>
          <cell r="C1898" t="str">
            <v>Protein</v>
          </cell>
          <cell r="D1898">
            <v>134</v>
          </cell>
          <cell r="E1898">
            <v>18.86</v>
          </cell>
          <cell r="F1898">
            <v>2527.2399999999998</v>
          </cell>
          <cell r="G1898">
            <v>0.09</v>
          </cell>
          <cell r="H1898">
            <v>1</v>
          </cell>
          <cell r="I1898" t="str">
            <v>UK</v>
          </cell>
          <cell r="J1898" t="str">
            <v>Amazon</v>
          </cell>
        </row>
        <row r="1899">
          <cell r="A1899" t="str">
            <v>11-04-2022</v>
          </cell>
          <cell r="B1899" t="str">
            <v>Magnesium</v>
          </cell>
          <cell r="C1899" t="str">
            <v>Mineral</v>
          </cell>
          <cell r="D1899">
            <v>133</v>
          </cell>
          <cell r="E1899">
            <v>12.59</v>
          </cell>
          <cell r="F1899">
            <v>1674.47</v>
          </cell>
          <cell r="G1899">
            <v>0.01</v>
          </cell>
          <cell r="H1899">
            <v>0</v>
          </cell>
          <cell r="I1899" t="str">
            <v>UK</v>
          </cell>
          <cell r="J1899" t="str">
            <v>iHerb</v>
          </cell>
        </row>
        <row r="1900">
          <cell r="A1900" t="str">
            <v>11-04-2022</v>
          </cell>
          <cell r="B1900" t="str">
            <v>Ashwagandha</v>
          </cell>
          <cell r="C1900" t="str">
            <v>Herbal</v>
          </cell>
          <cell r="D1900">
            <v>138</v>
          </cell>
          <cell r="E1900">
            <v>22.03</v>
          </cell>
          <cell r="F1900">
            <v>3040.14</v>
          </cell>
          <cell r="G1900">
            <v>0.13</v>
          </cell>
          <cell r="H1900">
            <v>1</v>
          </cell>
          <cell r="I1900" t="str">
            <v>USA</v>
          </cell>
          <cell r="J1900" t="str">
            <v>iHerb</v>
          </cell>
        </row>
        <row r="1901">
          <cell r="A1901" t="str">
            <v>11-04-2022</v>
          </cell>
          <cell r="B1901" t="str">
            <v>Melatonin</v>
          </cell>
          <cell r="C1901" t="str">
            <v>Sleep Aid</v>
          </cell>
          <cell r="D1901">
            <v>139</v>
          </cell>
          <cell r="E1901">
            <v>25.48</v>
          </cell>
          <cell r="F1901">
            <v>3541.72</v>
          </cell>
          <cell r="G1901">
            <v>0.23</v>
          </cell>
          <cell r="H1901">
            <v>2</v>
          </cell>
          <cell r="I1901" t="str">
            <v>Canada</v>
          </cell>
          <cell r="J1901" t="str">
            <v>Walmart</v>
          </cell>
        </row>
        <row r="1902">
          <cell r="A1902" t="str">
            <v>11-04-2022</v>
          </cell>
          <cell r="B1902" t="str">
            <v>Biotin</v>
          </cell>
          <cell r="C1902" t="str">
            <v>Vitamin</v>
          </cell>
          <cell r="D1902">
            <v>148</v>
          </cell>
          <cell r="E1902">
            <v>50.9</v>
          </cell>
          <cell r="F1902">
            <v>7533.2</v>
          </cell>
          <cell r="G1902">
            <v>7.0000000000000007E-2</v>
          </cell>
          <cell r="H1902">
            <v>1</v>
          </cell>
          <cell r="I1902" t="str">
            <v>USA</v>
          </cell>
          <cell r="J1902" t="str">
            <v>Amazon</v>
          </cell>
        </row>
        <row r="1903">
          <cell r="A1903" t="str">
            <v>11-04-2022</v>
          </cell>
          <cell r="B1903" t="str">
            <v>Green Tea Extract</v>
          </cell>
          <cell r="C1903" t="str">
            <v>Fat Burner</v>
          </cell>
          <cell r="D1903">
            <v>174</v>
          </cell>
          <cell r="E1903">
            <v>12.11</v>
          </cell>
          <cell r="F1903">
            <v>2107.14</v>
          </cell>
          <cell r="G1903">
            <v>0.11</v>
          </cell>
          <cell r="H1903">
            <v>3</v>
          </cell>
          <cell r="I1903" t="str">
            <v>USA</v>
          </cell>
          <cell r="J1903" t="str">
            <v>Walmart</v>
          </cell>
        </row>
        <row r="1904">
          <cell r="A1904" t="str">
            <v>11-04-2022</v>
          </cell>
          <cell r="B1904" t="str">
            <v>Iron Supplement</v>
          </cell>
          <cell r="C1904" t="str">
            <v>Mineral</v>
          </cell>
          <cell r="D1904">
            <v>151</v>
          </cell>
          <cell r="E1904">
            <v>39.43</v>
          </cell>
          <cell r="F1904">
            <v>5953.93</v>
          </cell>
          <cell r="G1904">
            <v>0.19</v>
          </cell>
          <cell r="H1904">
            <v>0</v>
          </cell>
          <cell r="I1904" t="str">
            <v>UK</v>
          </cell>
          <cell r="J1904" t="str">
            <v>Walmart</v>
          </cell>
        </row>
        <row r="1905">
          <cell r="A1905" t="str">
            <v>11-04-2022</v>
          </cell>
          <cell r="B1905" t="str">
            <v>Electrolyte Powder</v>
          </cell>
          <cell r="C1905" t="str">
            <v>Hydration</v>
          </cell>
          <cell r="D1905">
            <v>137</v>
          </cell>
          <cell r="E1905">
            <v>39.68</v>
          </cell>
          <cell r="F1905">
            <v>5436.16</v>
          </cell>
          <cell r="G1905">
            <v>0.22</v>
          </cell>
          <cell r="H1905">
            <v>2</v>
          </cell>
          <cell r="I1905" t="str">
            <v>UK</v>
          </cell>
          <cell r="J1905" t="str">
            <v>Walmart</v>
          </cell>
        </row>
        <row r="1906">
          <cell r="A1906" t="str">
            <v>18-04-2022</v>
          </cell>
          <cell r="B1906" t="str">
            <v>Whey Protein</v>
          </cell>
          <cell r="C1906" t="str">
            <v>Protein</v>
          </cell>
          <cell r="D1906">
            <v>169</v>
          </cell>
          <cell r="E1906">
            <v>25.71</v>
          </cell>
          <cell r="F1906">
            <v>4344.99</v>
          </cell>
          <cell r="G1906">
            <v>0.24</v>
          </cell>
          <cell r="H1906">
            <v>1</v>
          </cell>
          <cell r="I1906" t="str">
            <v>USA</v>
          </cell>
          <cell r="J1906" t="str">
            <v>Amazon</v>
          </cell>
        </row>
        <row r="1907">
          <cell r="A1907" t="str">
            <v>18-04-2022</v>
          </cell>
          <cell r="B1907" t="str">
            <v>Vitamin C</v>
          </cell>
          <cell r="C1907" t="str">
            <v>Vitamin</v>
          </cell>
          <cell r="D1907">
            <v>160</v>
          </cell>
          <cell r="E1907">
            <v>16</v>
          </cell>
          <cell r="F1907">
            <v>2560</v>
          </cell>
          <cell r="G1907">
            <v>0.13</v>
          </cell>
          <cell r="H1907">
            <v>1</v>
          </cell>
          <cell r="I1907" t="str">
            <v>Canada</v>
          </cell>
          <cell r="J1907" t="str">
            <v>Walmart</v>
          </cell>
        </row>
        <row r="1908">
          <cell r="A1908" t="str">
            <v>18-04-2022</v>
          </cell>
          <cell r="B1908" t="str">
            <v>Fish Oil</v>
          </cell>
          <cell r="C1908" t="str">
            <v>Omega</v>
          </cell>
          <cell r="D1908">
            <v>161</v>
          </cell>
          <cell r="E1908">
            <v>55.53</v>
          </cell>
          <cell r="F1908">
            <v>8940.33</v>
          </cell>
          <cell r="G1908">
            <v>0</v>
          </cell>
          <cell r="H1908">
            <v>3</v>
          </cell>
          <cell r="I1908" t="str">
            <v>UK</v>
          </cell>
          <cell r="J1908" t="str">
            <v>Walmart</v>
          </cell>
        </row>
        <row r="1909">
          <cell r="A1909" t="str">
            <v>18-04-2022</v>
          </cell>
          <cell r="B1909" t="str">
            <v>Multivitamin</v>
          </cell>
          <cell r="C1909" t="str">
            <v>Vitamin</v>
          </cell>
          <cell r="D1909">
            <v>174</v>
          </cell>
          <cell r="E1909">
            <v>16.510000000000002</v>
          </cell>
          <cell r="F1909">
            <v>2872.74</v>
          </cell>
          <cell r="G1909">
            <v>0.02</v>
          </cell>
          <cell r="H1909">
            <v>0</v>
          </cell>
          <cell r="I1909" t="str">
            <v>UK</v>
          </cell>
          <cell r="J1909" t="str">
            <v>Amazon</v>
          </cell>
        </row>
        <row r="1910">
          <cell r="A1910" t="str">
            <v>18-04-2022</v>
          </cell>
          <cell r="B1910" t="str">
            <v>Pre-Workout</v>
          </cell>
          <cell r="C1910" t="str">
            <v>Performance</v>
          </cell>
          <cell r="D1910">
            <v>155</v>
          </cell>
          <cell r="E1910">
            <v>59.35</v>
          </cell>
          <cell r="F1910">
            <v>9199.25</v>
          </cell>
          <cell r="G1910">
            <v>0.1</v>
          </cell>
          <cell r="H1910">
            <v>1</v>
          </cell>
          <cell r="I1910" t="str">
            <v>UK</v>
          </cell>
          <cell r="J1910" t="str">
            <v>Walmart</v>
          </cell>
        </row>
        <row r="1911">
          <cell r="A1911" t="str">
            <v>18-04-2022</v>
          </cell>
          <cell r="B1911" t="str">
            <v>BCAA</v>
          </cell>
          <cell r="C1911" t="str">
            <v>Amino Acid</v>
          </cell>
          <cell r="D1911">
            <v>154</v>
          </cell>
          <cell r="E1911">
            <v>56.84</v>
          </cell>
          <cell r="F1911">
            <v>8753.36</v>
          </cell>
          <cell r="G1911">
            <v>0.2</v>
          </cell>
          <cell r="H1911">
            <v>1</v>
          </cell>
          <cell r="I1911" t="str">
            <v>UK</v>
          </cell>
          <cell r="J1911" t="str">
            <v>Amazon</v>
          </cell>
        </row>
        <row r="1912">
          <cell r="A1912" t="str">
            <v>18-04-2022</v>
          </cell>
          <cell r="B1912" t="str">
            <v>Creatine</v>
          </cell>
          <cell r="C1912" t="str">
            <v>Performance</v>
          </cell>
          <cell r="D1912">
            <v>155</v>
          </cell>
          <cell r="E1912">
            <v>34.53</v>
          </cell>
          <cell r="F1912">
            <v>5352.15</v>
          </cell>
          <cell r="G1912">
            <v>0.05</v>
          </cell>
          <cell r="H1912">
            <v>0</v>
          </cell>
          <cell r="I1912" t="str">
            <v>USA</v>
          </cell>
          <cell r="J1912" t="str">
            <v>Amazon</v>
          </cell>
        </row>
        <row r="1913">
          <cell r="A1913" t="str">
            <v>18-04-2022</v>
          </cell>
          <cell r="B1913" t="str">
            <v>Zinc</v>
          </cell>
          <cell r="C1913" t="str">
            <v>Mineral</v>
          </cell>
          <cell r="D1913">
            <v>132</v>
          </cell>
          <cell r="E1913">
            <v>24.89</v>
          </cell>
          <cell r="F1913">
            <v>3285.48</v>
          </cell>
          <cell r="G1913">
            <v>0.14000000000000001</v>
          </cell>
          <cell r="H1913">
            <v>1</v>
          </cell>
          <cell r="I1913" t="str">
            <v>UK</v>
          </cell>
          <cell r="J1913" t="str">
            <v>Walmart</v>
          </cell>
        </row>
        <row r="1914">
          <cell r="A1914" t="str">
            <v>18-04-2022</v>
          </cell>
          <cell r="B1914" t="str">
            <v>Collagen Peptides</v>
          </cell>
          <cell r="C1914" t="str">
            <v>Protein</v>
          </cell>
          <cell r="D1914">
            <v>156</v>
          </cell>
          <cell r="E1914">
            <v>16.2</v>
          </cell>
          <cell r="F1914">
            <v>2527.1999999999998</v>
          </cell>
          <cell r="G1914">
            <v>0.12</v>
          </cell>
          <cell r="H1914">
            <v>1</v>
          </cell>
          <cell r="I1914" t="str">
            <v>Canada</v>
          </cell>
          <cell r="J1914" t="str">
            <v>iHerb</v>
          </cell>
        </row>
        <row r="1915">
          <cell r="A1915" t="str">
            <v>18-04-2022</v>
          </cell>
          <cell r="B1915" t="str">
            <v>Magnesium</v>
          </cell>
          <cell r="C1915" t="str">
            <v>Mineral</v>
          </cell>
          <cell r="D1915">
            <v>142</v>
          </cell>
          <cell r="E1915">
            <v>54.79</v>
          </cell>
          <cell r="F1915">
            <v>7780.18</v>
          </cell>
          <cell r="G1915">
            <v>0.17</v>
          </cell>
          <cell r="H1915">
            <v>0</v>
          </cell>
          <cell r="I1915" t="str">
            <v>Canada</v>
          </cell>
          <cell r="J1915" t="str">
            <v>Amazon</v>
          </cell>
        </row>
        <row r="1916">
          <cell r="A1916" t="str">
            <v>18-04-2022</v>
          </cell>
          <cell r="B1916" t="str">
            <v>Ashwagandha</v>
          </cell>
          <cell r="C1916" t="str">
            <v>Herbal</v>
          </cell>
          <cell r="D1916">
            <v>157</v>
          </cell>
          <cell r="E1916">
            <v>45.09</v>
          </cell>
          <cell r="F1916">
            <v>7079.13</v>
          </cell>
          <cell r="G1916">
            <v>0.19</v>
          </cell>
          <cell r="H1916">
            <v>2</v>
          </cell>
          <cell r="I1916" t="str">
            <v>USA</v>
          </cell>
          <cell r="J1916" t="str">
            <v>Amazon</v>
          </cell>
        </row>
        <row r="1917">
          <cell r="A1917" t="str">
            <v>18-04-2022</v>
          </cell>
          <cell r="B1917" t="str">
            <v>Melatonin</v>
          </cell>
          <cell r="C1917" t="str">
            <v>Sleep Aid</v>
          </cell>
          <cell r="D1917">
            <v>149</v>
          </cell>
          <cell r="E1917">
            <v>10.55</v>
          </cell>
          <cell r="F1917">
            <v>1571.95</v>
          </cell>
          <cell r="G1917">
            <v>0.23</v>
          </cell>
          <cell r="H1917">
            <v>2</v>
          </cell>
          <cell r="I1917" t="str">
            <v>Canada</v>
          </cell>
          <cell r="J1917" t="str">
            <v>Walmart</v>
          </cell>
        </row>
        <row r="1918">
          <cell r="A1918" t="str">
            <v>18-04-2022</v>
          </cell>
          <cell r="B1918" t="str">
            <v>Biotin</v>
          </cell>
          <cell r="C1918" t="str">
            <v>Vitamin</v>
          </cell>
          <cell r="D1918">
            <v>140</v>
          </cell>
          <cell r="E1918">
            <v>51.15</v>
          </cell>
          <cell r="F1918">
            <v>7161</v>
          </cell>
          <cell r="G1918">
            <v>0.06</v>
          </cell>
          <cell r="H1918">
            <v>0</v>
          </cell>
          <cell r="I1918" t="str">
            <v>USA</v>
          </cell>
          <cell r="J1918" t="str">
            <v>Walmart</v>
          </cell>
        </row>
        <row r="1919">
          <cell r="A1919" t="str">
            <v>18-04-2022</v>
          </cell>
          <cell r="B1919" t="str">
            <v>Green Tea Extract</v>
          </cell>
          <cell r="C1919" t="str">
            <v>Fat Burner</v>
          </cell>
          <cell r="D1919">
            <v>166</v>
          </cell>
          <cell r="E1919">
            <v>11.05</v>
          </cell>
          <cell r="F1919">
            <v>1834.3</v>
          </cell>
          <cell r="G1919">
            <v>0.12</v>
          </cell>
          <cell r="H1919">
            <v>1</v>
          </cell>
          <cell r="I1919" t="str">
            <v>UK</v>
          </cell>
          <cell r="J1919" t="str">
            <v>Amazon</v>
          </cell>
        </row>
        <row r="1920">
          <cell r="A1920" t="str">
            <v>18-04-2022</v>
          </cell>
          <cell r="B1920" t="str">
            <v>Iron Supplement</v>
          </cell>
          <cell r="C1920" t="str">
            <v>Mineral</v>
          </cell>
          <cell r="D1920">
            <v>157</v>
          </cell>
          <cell r="E1920">
            <v>13.87</v>
          </cell>
          <cell r="F1920">
            <v>2177.59</v>
          </cell>
          <cell r="G1920">
            <v>0.04</v>
          </cell>
          <cell r="H1920">
            <v>1</v>
          </cell>
          <cell r="I1920" t="str">
            <v>USA</v>
          </cell>
          <cell r="J1920" t="str">
            <v>iHerb</v>
          </cell>
        </row>
        <row r="1921">
          <cell r="A1921" t="str">
            <v>18-04-2022</v>
          </cell>
          <cell r="B1921" t="str">
            <v>Electrolyte Powder</v>
          </cell>
          <cell r="C1921" t="str">
            <v>Hydration</v>
          </cell>
          <cell r="D1921">
            <v>137</v>
          </cell>
          <cell r="E1921">
            <v>30.8</v>
          </cell>
          <cell r="F1921">
            <v>4219.6000000000004</v>
          </cell>
          <cell r="G1921">
            <v>0.02</v>
          </cell>
          <cell r="H1921">
            <v>1</v>
          </cell>
          <cell r="I1921" t="str">
            <v>UK</v>
          </cell>
          <cell r="J1921" t="str">
            <v>iHerb</v>
          </cell>
        </row>
        <row r="1922">
          <cell r="A1922" t="str">
            <v>25-04-2022</v>
          </cell>
          <cell r="B1922" t="str">
            <v>Whey Protein</v>
          </cell>
          <cell r="C1922" t="str">
            <v>Protein</v>
          </cell>
          <cell r="D1922">
            <v>130</v>
          </cell>
          <cell r="E1922">
            <v>21.98</v>
          </cell>
          <cell r="F1922">
            <v>2857.4</v>
          </cell>
          <cell r="G1922">
            <v>0.21</v>
          </cell>
          <cell r="H1922">
            <v>3</v>
          </cell>
          <cell r="I1922" t="str">
            <v>Canada</v>
          </cell>
          <cell r="J1922" t="str">
            <v>Amazon</v>
          </cell>
        </row>
        <row r="1923">
          <cell r="A1923" t="str">
            <v>25-04-2022</v>
          </cell>
          <cell r="B1923" t="str">
            <v>Vitamin C</v>
          </cell>
          <cell r="C1923" t="str">
            <v>Vitamin</v>
          </cell>
          <cell r="D1923">
            <v>163</v>
          </cell>
          <cell r="E1923">
            <v>23.62</v>
          </cell>
          <cell r="F1923">
            <v>3850.06</v>
          </cell>
          <cell r="G1923">
            <v>0.14000000000000001</v>
          </cell>
          <cell r="H1923">
            <v>2</v>
          </cell>
          <cell r="I1923" t="str">
            <v>Canada</v>
          </cell>
          <cell r="J1923" t="str">
            <v>iHerb</v>
          </cell>
        </row>
        <row r="1924">
          <cell r="A1924" t="str">
            <v>25-04-2022</v>
          </cell>
          <cell r="B1924" t="str">
            <v>Fish Oil</v>
          </cell>
          <cell r="C1924" t="str">
            <v>Omega</v>
          </cell>
          <cell r="D1924">
            <v>163</v>
          </cell>
          <cell r="E1924">
            <v>43.92</v>
          </cell>
          <cell r="F1924">
            <v>7158.96</v>
          </cell>
          <cell r="G1924">
            <v>0.24</v>
          </cell>
          <cell r="H1924">
            <v>1</v>
          </cell>
          <cell r="I1924" t="str">
            <v>USA</v>
          </cell>
          <cell r="J1924" t="str">
            <v>iHerb</v>
          </cell>
        </row>
        <row r="1925">
          <cell r="A1925" t="str">
            <v>25-04-2022</v>
          </cell>
          <cell r="B1925" t="str">
            <v>Multivitamin</v>
          </cell>
          <cell r="C1925" t="str">
            <v>Vitamin</v>
          </cell>
          <cell r="D1925">
            <v>164</v>
          </cell>
          <cell r="E1925">
            <v>19.809999999999999</v>
          </cell>
          <cell r="F1925">
            <v>3248.84</v>
          </cell>
          <cell r="G1925">
            <v>0.14000000000000001</v>
          </cell>
          <cell r="H1925">
            <v>1</v>
          </cell>
          <cell r="I1925" t="str">
            <v>USA</v>
          </cell>
          <cell r="J1925" t="str">
            <v>Walmart</v>
          </cell>
        </row>
        <row r="1926">
          <cell r="A1926" t="str">
            <v>25-04-2022</v>
          </cell>
          <cell r="B1926" t="str">
            <v>Pre-Workout</v>
          </cell>
          <cell r="C1926" t="str">
            <v>Performance</v>
          </cell>
          <cell r="D1926">
            <v>167</v>
          </cell>
          <cell r="E1926">
            <v>22.89</v>
          </cell>
          <cell r="F1926">
            <v>3822.63</v>
          </cell>
          <cell r="G1926">
            <v>0.19</v>
          </cell>
          <cell r="H1926">
            <v>0</v>
          </cell>
          <cell r="I1926" t="str">
            <v>UK</v>
          </cell>
          <cell r="J1926" t="str">
            <v>Walmart</v>
          </cell>
        </row>
        <row r="1927">
          <cell r="A1927" t="str">
            <v>25-04-2022</v>
          </cell>
          <cell r="B1927" t="str">
            <v>BCAA</v>
          </cell>
          <cell r="C1927" t="str">
            <v>Amino Acid</v>
          </cell>
          <cell r="D1927">
            <v>143</v>
          </cell>
          <cell r="E1927">
            <v>41.13</v>
          </cell>
          <cell r="F1927">
            <v>5881.59</v>
          </cell>
          <cell r="G1927">
            <v>0.04</v>
          </cell>
          <cell r="H1927">
            <v>3</v>
          </cell>
          <cell r="I1927" t="str">
            <v>UK</v>
          </cell>
          <cell r="J1927" t="str">
            <v>Amazon</v>
          </cell>
        </row>
        <row r="1928">
          <cell r="A1928" t="str">
            <v>25-04-2022</v>
          </cell>
          <cell r="B1928" t="str">
            <v>Creatine</v>
          </cell>
          <cell r="C1928" t="str">
            <v>Performance</v>
          </cell>
          <cell r="D1928">
            <v>148</v>
          </cell>
          <cell r="E1928">
            <v>33.39</v>
          </cell>
          <cell r="F1928">
            <v>4941.72</v>
          </cell>
          <cell r="G1928">
            <v>7.0000000000000007E-2</v>
          </cell>
          <cell r="H1928">
            <v>0</v>
          </cell>
          <cell r="I1928" t="str">
            <v>Canada</v>
          </cell>
          <cell r="J1928" t="str">
            <v>Walmart</v>
          </cell>
        </row>
        <row r="1929">
          <cell r="A1929" t="str">
            <v>25-04-2022</v>
          </cell>
          <cell r="B1929" t="str">
            <v>Zinc</v>
          </cell>
          <cell r="C1929" t="str">
            <v>Mineral</v>
          </cell>
          <cell r="D1929">
            <v>132</v>
          </cell>
          <cell r="E1929">
            <v>39.46</v>
          </cell>
          <cell r="F1929">
            <v>5208.72</v>
          </cell>
          <cell r="G1929">
            <v>7.0000000000000007E-2</v>
          </cell>
          <cell r="H1929">
            <v>0</v>
          </cell>
          <cell r="I1929" t="str">
            <v>UK</v>
          </cell>
          <cell r="J1929" t="str">
            <v>Amazon</v>
          </cell>
        </row>
        <row r="1930">
          <cell r="A1930" t="str">
            <v>25-04-2022</v>
          </cell>
          <cell r="B1930" t="str">
            <v>Collagen Peptides</v>
          </cell>
          <cell r="C1930" t="str">
            <v>Protein</v>
          </cell>
          <cell r="D1930">
            <v>131</v>
          </cell>
          <cell r="E1930">
            <v>58</v>
          </cell>
          <cell r="F1930">
            <v>7598</v>
          </cell>
          <cell r="G1930">
            <v>0.01</v>
          </cell>
          <cell r="H1930">
            <v>4</v>
          </cell>
          <cell r="I1930" t="str">
            <v>Canada</v>
          </cell>
          <cell r="J1930" t="str">
            <v>Amazon</v>
          </cell>
        </row>
        <row r="1931">
          <cell r="A1931" t="str">
            <v>25-04-2022</v>
          </cell>
          <cell r="B1931" t="str">
            <v>Magnesium</v>
          </cell>
          <cell r="C1931" t="str">
            <v>Mineral</v>
          </cell>
          <cell r="D1931">
            <v>143</v>
          </cell>
          <cell r="E1931">
            <v>25.85</v>
          </cell>
          <cell r="F1931">
            <v>3696.55</v>
          </cell>
          <cell r="G1931">
            <v>0.16</v>
          </cell>
          <cell r="H1931">
            <v>0</v>
          </cell>
          <cell r="I1931" t="str">
            <v>USA</v>
          </cell>
          <cell r="J1931" t="str">
            <v>iHerb</v>
          </cell>
        </row>
        <row r="1932">
          <cell r="A1932" t="str">
            <v>25-04-2022</v>
          </cell>
          <cell r="B1932" t="str">
            <v>Ashwagandha</v>
          </cell>
          <cell r="C1932" t="str">
            <v>Herbal</v>
          </cell>
          <cell r="D1932">
            <v>140</v>
          </cell>
          <cell r="E1932">
            <v>36.43</v>
          </cell>
          <cell r="F1932">
            <v>5100.2</v>
          </cell>
          <cell r="G1932">
            <v>0.23</v>
          </cell>
          <cell r="H1932">
            <v>1</v>
          </cell>
          <cell r="I1932" t="str">
            <v>USA</v>
          </cell>
          <cell r="J1932" t="str">
            <v>Amazon</v>
          </cell>
        </row>
        <row r="1933">
          <cell r="A1933" t="str">
            <v>25-04-2022</v>
          </cell>
          <cell r="B1933" t="str">
            <v>Melatonin</v>
          </cell>
          <cell r="C1933" t="str">
            <v>Sleep Aid</v>
          </cell>
          <cell r="D1933">
            <v>166</v>
          </cell>
          <cell r="E1933">
            <v>58.96</v>
          </cell>
          <cell r="F1933">
            <v>9787.36</v>
          </cell>
          <cell r="G1933">
            <v>0.24</v>
          </cell>
          <cell r="H1933">
            <v>1</v>
          </cell>
          <cell r="I1933" t="str">
            <v>Canada</v>
          </cell>
          <cell r="J1933" t="str">
            <v>iHerb</v>
          </cell>
        </row>
        <row r="1934">
          <cell r="A1934" t="str">
            <v>25-04-2022</v>
          </cell>
          <cell r="B1934" t="str">
            <v>Biotin</v>
          </cell>
          <cell r="C1934" t="str">
            <v>Vitamin</v>
          </cell>
          <cell r="D1934">
            <v>167</v>
          </cell>
          <cell r="E1934">
            <v>20.53</v>
          </cell>
          <cell r="F1934">
            <v>3428.51</v>
          </cell>
          <cell r="G1934">
            <v>0.16</v>
          </cell>
          <cell r="H1934">
            <v>0</v>
          </cell>
          <cell r="I1934" t="str">
            <v>Canada</v>
          </cell>
          <cell r="J1934" t="str">
            <v>iHerb</v>
          </cell>
        </row>
        <row r="1935">
          <cell r="A1935" t="str">
            <v>25-04-2022</v>
          </cell>
          <cell r="B1935" t="str">
            <v>Green Tea Extract</v>
          </cell>
          <cell r="C1935" t="str">
            <v>Fat Burner</v>
          </cell>
          <cell r="D1935">
            <v>164</v>
          </cell>
          <cell r="E1935">
            <v>13.54</v>
          </cell>
          <cell r="F1935">
            <v>2220.56</v>
          </cell>
          <cell r="G1935">
            <v>0.1</v>
          </cell>
          <cell r="H1935">
            <v>2</v>
          </cell>
          <cell r="I1935" t="str">
            <v>USA</v>
          </cell>
          <cell r="J1935" t="str">
            <v>iHerb</v>
          </cell>
        </row>
        <row r="1936">
          <cell r="A1936" t="str">
            <v>25-04-2022</v>
          </cell>
          <cell r="B1936" t="str">
            <v>Iron Supplement</v>
          </cell>
          <cell r="C1936" t="str">
            <v>Mineral</v>
          </cell>
          <cell r="D1936">
            <v>148</v>
          </cell>
          <cell r="E1936">
            <v>47.46</v>
          </cell>
          <cell r="F1936">
            <v>7024.08</v>
          </cell>
          <cell r="G1936">
            <v>0.14000000000000001</v>
          </cell>
          <cell r="H1936">
            <v>1</v>
          </cell>
          <cell r="I1936" t="str">
            <v>Canada</v>
          </cell>
          <cell r="J1936" t="str">
            <v>Walmart</v>
          </cell>
        </row>
        <row r="1937">
          <cell r="A1937" t="str">
            <v>25-04-2022</v>
          </cell>
          <cell r="B1937" t="str">
            <v>Electrolyte Powder</v>
          </cell>
          <cell r="C1937" t="str">
            <v>Hydration</v>
          </cell>
          <cell r="D1937">
            <v>143</v>
          </cell>
          <cell r="E1937">
            <v>26.93</v>
          </cell>
          <cell r="F1937">
            <v>3850.99</v>
          </cell>
          <cell r="G1937">
            <v>0.19</v>
          </cell>
          <cell r="H1937">
            <v>1</v>
          </cell>
          <cell r="I1937" t="str">
            <v>UK</v>
          </cell>
          <cell r="J1937" t="str">
            <v>Walmart</v>
          </cell>
        </row>
        <row r="1938">
          <cell r="A1938" t="str">
            <v>02-05-2022</v>
          </cell>
          <cell r="B1938" t="str">
            <v>Whey Protein</v>
          </cell>
          <cell r="C1938" t="str">
            <v>Protein</v>
          </cell>
          <cell r="D1938">
            <v>166</v>
          </cell>
          <cell r="E1938">
            <v>21.91</v>
          </cell>
          <cell r="F1938">
            <v>3637.06</v>
          </cell>
          <cell r="G1938">
            <v>0.21</v>
          </cell>
          <cell r="H1938">
            <v>2</v>
          </cell>
          <cell r="I1938" t="str">
            <v>UK</v>
          </cell>
          <cell r="J1938" t="str">
            <v>iHerb</v>
          </cell>
        </row>
        <row r="1939">
          <cell r="A1939" t="str">
            <v>02-05-2022</v>
          </cell>
          <cell r="B1939" t="str">
            <v>Vitamin C</v>
          </cell>
          <cell r="C1939" t="str">
            <v>Vitamin</v>
          </cell>
          <cell r="D1939">
            <v>138</v>
          </cell>
          <cell r="E1939">
            <v>27.89</v>
          </cell>
          <cell r="F1939">
            <v>3848.82</v>
          </cell>
          <cell r="G1939">
            <v>0.21</v>
          </cell>
          <cell r="H1939">
            <v>1</v>
          </cell>
          <cell r="I1939" t="str">
            <v>USA</v>
          </cell>
          <cell r="J1939" t="str">
            <v>iHerb</v>
          </cell>
        </row>
        <row r="1940">
          <cell r="A1940" t="str">
            <v>02-05-2022</v>
          </cell>
          <cell r="B1940" t="str">
            <v>Fish Oil</v>
          </cell>
          <cell r="C1940" t="str">
            <v>Omega</v>
          </cell>
          <cell r="D1940">
            <v>158</v>
          </cell>
          <cell r="E1940">
            <v>29.8</v>
          </cell>
          <cell r="F1940">
            <v>4708.3999999999996</v>
          </cell>
          <cell r="G1940">
            <v>0.25</v>
          </cell>
          <cell r="H1940">
            <v>3</v>
          </cell>
          <cell r="I1940" t="str">
            <v>USA</v>
          </cell>
          <cell r="J1940" t="str">
            <v>Amazon</v>
          </cell>
        </row>
        <row r="1941">
          <cell r="A1941" t="str">
            <v>02-05-2022</v>
          </cell>
          <cell r="B1941" t="str">
            <v>Multivitamin</v>
          </cell>
          <cell r="C1941" t="str">
            <v>Vitamin</v>
          </cell>
          <cell r="D1941">
            <v>136</v>
          </cell>
          <cell r="E1941">
            <v>26.49</v>
          </cell>
          <cell r="F1941">
            <v>3602.64</v>
          </cell>
          <cell r="G1941">
            <v>0.16</v>
          </cell>
          <cell r="H1941">
            <v>2</v>
          </cell>
          <cell r="I1941" t="str">
            <v>UK</v>
          </cell>
          <cell r="J1941" t="str">
            <v>iHerb</v>
          </cell>
        </row>
        <row r="1942">
          <cell r="A1942" t="str">
            <v>02-05-2022</v>
          </cell>
          <cell r="B1942" t="str">
            <v>Pre-Workout</v>
          </cell>
          <cell r="C1942" t="str">
            <v>Performance</v>
          </cell>
          <cell r="D1942">
            <v>159</v>
          </cell>
          <cell r="E1942">
            <v>50.54</v>
          </cell>
          <cell r="F1942">
            <v>8035.86</v>
          </cell>
          <cell r="G1942">
            <v>0.11</v>
          </cell>
          <cell r="H1942">
            <v>0</v>
          </cell>
          <cell r="I1942" t="str">
            <v>USA</v>
          </cell>
          <cell r="J1942" t="str">
            <v>Walmart</v>
          </cell>
        </row>
        <row r="1943">
          <cell r="A1943" t="str">
            <v>02-05-2022</v>
          </cell>
          <cell r="B1943" t="str">
            <v>BCAA</v>
          </cell>
          <cell r="C1943" t="str">
            <v>Amino Acid</v>
          </cell>
          <cell r="D1943">
            <v>152</v>
          </cell>
          <cell r="E1943">
            <v>49.65</v>
          </cell>
          <cell r="F1943">
            <v>7546.8</v>
          </cell>
          <cell r="G1943">
            <v>0.14000000000000001</v>
          </cell>
          <cell r="H1943">
            <v>2</v>
          </cell>
          <cell r="I1943" t="str">
            <v>Canada</v>
          </cell>
          <cell r="J1943" t="str">
            <v>Amazon</v>
          </cell>
        </row>
        <row r="1944">
          <cell r="A1944" t="str">
            <v>02-05-2022</v>
          </cell>
          <cell r="B1944" t="str">
            <v>Creatine</v>
          </cell>
          <cell r="C1944" t="str">
            <v>Performance</v>
          </cell>
          <cell r="D1944">
            <v>173</v>
          </cell>
          <cell r="E1944">
            <v>26.57</v>
          </cell>
          <cell r="F1944">
            <v>4596.6099999999997</v>
          </cell>
          <cell r="G1944">
            <v>0.24</v>
          </cell>
          <cell r="H1944">
            <v>3</v>
          </cell>
          <cell r="I1944" t="str">
            <v>Canada</v>
          </cell>
          <cell r="J1944" t="str">
            <v>Walmart</v>
          </cell>
        </row>
        <row r="1945">
          <cell r="A1945" t="str">
            <v>02-05-2022</v>
          </cell>
          <cell r="B1945" t="str">
            <v>Zinc</v>
          </cell>
          <cell r="C1945" t="str">
            <v>Mineral</v>
          </cell>
          <cell r="D1945">
            <v>143</v>
          </cell>
          <cell r="E1945">
            <v>30.75</v>
          </cell>
          <cell r="F1945">
            <v>4397.25</v>
          </cell>
          <cell r="G1945">
            <v>0.04</v>
          </cell>
          <cell r="H1945">
            <v>4</v>
          </cell>
          <cell r="I1945" t="str">
            <v>Canada</v>
          </cell>
          <cell r="J1945" t="str">
            <v>Amazon</v>
          </cell>
        </row>
        <row r="1946">
          <cell r="A1946" t="str">
            <v>02-05-2022</v>
          </cell>
          <cell r="B1946" t="str">
            <v>Collagen Peptides</v>
          </cell>
          <cell r="C1946" t="str">
            <v>Protein</v>
          </cell>
          <cell r="D1946">
            <v>147</v>
          </cell>
          <cell r="E1946">
            <v>19.47</v>
          </cell>
          <cell r="F1946">
            <v>2862.09</v>
          </cell>
          <cell r="G1946">
            <v>0.14000000000000001</v>
          </cell>
          <cell r="H1946">
            <v>0</v>
          </cell>
          <cell r="I1946" t="str">
            <v>Canada</v>
          </cell>
          <cell r="J1946" t="str">
            <v>Amazon</v>
          </cell>
        </row>
        <row r="1947">
          <cell r="A1947" t="str">
            <v>02-05-2022</v>
          </cell>
          <cell r="B1947" t="str">
            <v>Magnesium</v>
          </cell>
          <cell r="C1947" t="str">
            <v>Mineral</v>
          </cell>
          <cell r="D1947">
            <v>160</v>
          </cell>
          <cell r="E1947">
            <v>41.28</v>
          </cell>
          <cell r="F1947">
            <v>6604.8</v>
          </cell>
          <cell r="G1947">
            <v>0.01</v>
          </cell>
          <cell r="H1947">
            <v>1</v>
          </cell>
          <cell r="I1947" t="str">
            <v>USA</v>
          </cell>
          <cell r="J1947" t="str">
            <v>iHerb</v>
          </cell>
        </row>
        <row r="1948">
          <cell r="A1948" t="str">
            <v>02-05-2022</v>
          </cell>
          <cell r="B1948" t="str">
            <v>Ashwagandha</v>
          </cell>
          <cell r="C1948" t="str">
            <v>Herbal</v>
          </cell>
          <cell r="D1948">
            <v>128</v>
          </cell>
          <cell r="E1948">
            <v>41.37</v>
          </cell>
          <cell r="F1948">
            <v>5295.36</v>
          </cell>
          <cell r="G1948">
            <v>0.14000000000000001</v>
          </cell>
          <cell r="H1948">
            <v>1</v>
          </cell>
          <cell r="I1948" t="str">
            <v>USA</v>
          </cell>
          <cell r="J1948" t="str">
            <v>iHerb</v>
          </cell>
        </row>
        <row r="1949">
          <cell r="A1949" t="str">
            <v>02-05-2022</v>
          </cell>
          <cell r="B1949" t="str">
            <v>Melatonin</v>
          </cell>
          <cell r="C1949" t="str">
            <v>Sleep Aid</v>
          </cell>
          <cell r="D1949">
            <v>152</v>
          </cell>
          <cell r="E1949">
            <v>22.23</v>
          </cell>
          <cell r="F1949">
            <v>3378.96</v>
          </cell>
          <cell r="G1949">
            <v>0.03</v>
          </cell>
          <cell r="H1949">
            <v>3</v>
          </cell>
          <cell r="I1949" t="str">
            <v>UK</v>
          </cell>
          <cell r="J1949" t="str">
            <v>Walmart</v>
          </cell>
        </row>
        <row r="1950">
          <cell r="A1950" t="str">
            <v>02-05-2022</v>
          </cell>
          <cell r="B1950" t="str">
            <v>Biotin</v>
          </cell>
          <cell r="C1950" t="str">
            <v>Vitamin</v>
          </cell>
          <cell r="D1950">
            <v>154</v>
          </cell>
          <cell r="E1950">
            <v>18.86</v>
          </cell>
          <cell r="F1950">
            <v>2904.44</v>
          </cell>
          <cell r="G1950">
            <v>0.22</v>
          </cell>
          <cell r="H1950">
            <v>2</v>
          </cell>
          <cell r="I1950" t="str">
            <v>UK</v>
          </cell>
          <cell r="J1950" t="str">
            <v>Walmart</v>
          </cell>
        </row>
        <row r="1951">
          <cell r="A1951" t="str">
            <v>02-05-2022</v>
          </cell>
          <cell r="B1951" t="str">
            <v>Green Tea Extract</v>
          </cell>
          <cell r="C1951" t="str">
            <v>Fat Burner</v>
          </cell>
          <cell r="D1951">
            <v>156</v>
          </cell>
          <cell r="E1951">
            <v>23.1</v>
          </cell>
          <cell r="F1951">
            <v>3603.6</v>
          </cell>
          <cell r="G1951">
            <v>0.24</v>
          </cell>
          <cell r="H1951">
            <v>3</v>
          </cell>
          <cell r="I1951" t="str">
            <v>Canada</v>
          </cell>
          <cell r="J1951" t="str">
            <v>Walmart</v>
          </cell>
        </row>
        <row r="1952">
          <cell r="A1952" t="str">
            <v>02-05-2022</v>
          </cell>
          <cell r="B1952" t="str">
            <v>Iron Supplement</v>
          </cell>
          <cell r="C1952" t="str">
            <v>Mineral</v>
          </cell>
          <cell r="D1952">
            <v>143</v>
          </cell>
          <cell r="E1952">
            <v>47.95</v>
          </cell>
          <cell r="F1952">
            <v>6856.85</v>
          </cell>
          <cell r="G1952">
            <v>7.0000000000000007E-2</v>
          </cell>
          <cell r="H1952">
            <v>1</v>
          </cell>
          <cell r="I1952" t="str">
            <v>Canada</v>
          </cell>
          <cell r="J1952" t="str">
            <v>iHerb</v>
          </cell>
        </row>
        <row r="1953">
          <cell r="A1953" t="str">
            <v>02-05-2022</v>
          </cell>
          <cell r="B1953" t="str">
            <v>Electrolyte Powder</v>
          </cell>
          <cell r="C1953" t="str">
            <v>Hydration</v>
          </cell>
          <cell r="D1953">
            <v>137</v>
          </cell>
          <cell r="E1953">
            <v>46.14</v>
          </cell>
          <cell r="F1953">
            <v>6321.18</v>
          </cell>
          <cell r="G1953">
            <v>7.0000000000000007E-2</v>
          </cell>
          <cell r="H1953">
            <v>2</v>
          </cell>
          <cell r="I1953" t="str">
            <v>UK</v>
          </cell>
          <cell r="J1953" t="str">
            <v>iHerb</v>
          </cell>
        </row>
        <row r="1954">
          <cell r="A1954" t="str">
            <v>09-05-2022</v>
          </cell>
          <cell r="B1954" t="str">
            <v>Whey Protein</v>
          </cell>
          <cell r="C1954" t="str">
            <v>Protein</v>
          </cell>
          <cell r="D1954">
            <v>149</v>
          </cell>
          <cell r="E1954">
            <v>49.45</v>
          </cell>
          <cell r="F1954">
            <v>7368.05</v>
          </cell>
          <cell r="G1954">
            <v>0.19</v>
          </cell>
          <cell r="H1954">
            <v>1</v>
          </cell>
          <cell r="I1954" t="str">
            <v>Canada</v>
          </cell>
          <cell r="J1954" t="str">
            <v>Walmart</v>
          </cell>
        </row>
        <row r="1955">
          <cell r="A1955" t="str">
            <v>09-05-2022</v>
          </cell>
          <cell r="B1955" t="str">
            <v>Vitamin C</v>
          </cell>
          <cell r="C1955" t="str">
            <v>Vitamin</v>
          </cell>
          <cell r="D1955">
            <v>148</v>
          </cell>
          <cell r="E1955">
            <v>58.7</v>
          </cell>
          <cell r="F1955">
            <v>8687.6</v>
          </cell>
          <cell r="G1955">
            <v>0.08</v>
          </cell>
          <cell r="H1955">
            <v>3</v>
          </cell>
          <cell r="I1955" t="str">
            <v>USA</v>
          </cell>
          <cell r="J1955" t="str">
            <v>iHerb</v>
          </cell>
        </row>
        <row r="1956">
          <cell r="A1956" t="str">
            <v>09-05-2022</v>
          </cell>
          <cell r="B1956" t="str">
            <v>Fish Oil</v>
          </cell>
          <cell r="C1956" t="str">
            <v>Omega</v>
          </cell>
          <cell r="D1956">
            <v>156</v>
          </cell>
          <cell r="E1956">
            <v>40.67</v>
          </cell>
          <cell r="F1956">
            <v>6344.52</v>
          </cell>
          <cell r="G1956">
            <v>7.0000000000000007E-2</v>
          </cell>
          <cell r="H1956">
            <v>1</v>
          </cell>
          <cell r="I1956" t="str">
            <v>USA</v>
          </cell>
          <cell r="J1956" t="str">
            <v>Amazon</v>
          </cell>
        </row>
        <row r="1957">
          <cell r="A1957" t="str">
            <v>09-05-2022</v>
          </cell>
          <cell r="B1957" t="str">
            <v>Multivitamin</v>
          </cell>
          <cell r="C1957" t="str">
            <v>Vitamin</v>
          </cell>
          <cell r="D1957">
            <v>133</v>
          </cell>
          <cell r="E1957">
            <v>27.38</v>
          </cell>
          <cell r="F1957">
            <v>3641.54</v>
          </cell>
          <cell r="G1957">
            <v>0.19</v>
          </cell>
          <cell r="H1957">
            <v>1</v>
          </cell>
          <cell r="I1957" t="str">
            <v>USA</v>
          </cell>
          <cell r="J1957" t="str">
            <v>iHerb</v>
          </cell>
        </row>
        <row r="1958">
          <cell r="A1958" t="str">
            <v>09-05-2022</v>
          </cell>
          <cell r="B1958" t="str">
            <v>Pre-Workout</v>
          </cell>
          <cell r="C1958" t="str">
            <v>Performance</v>
          </cell>
          <cell r="D1958">
            <v>132</v>
          </cell>
          <cell r="E1958">
            <v>40.07</v>
          </cell>
          <cell r="F1958">
            <v>5289.24</v>
          </cell>
          <cell r="G1958">
            <v>0.24</v>
          </cell>
          <cell r="H1958">
            <v>2</v>
          </cell>
          <cell r="I1958" t="str">
            <v>Canada</v>
          </cell>
          <cell r="J1958" t="str">
            <v>Amazon</v>
          </cell>
        </row>
        <row r="1959">
          <cell r="A1959" t="str">
            <v>09-05-2022</v>
          </cell>
          <cell r="B1959" t="str">
            <v>BCAA</v>
          </cell>
          <cell r="C1959" t="str">
            <v>Amino Acid</v>
          </cell>
          <cell r="D1959">
            <v>137</v>
          </cell>
          <cell r="E1959">
            <v>42.42</v>
          </cell>
          <cell r="F1959">
            <v>5811.54</v>
          </cell>
          <cell r="G1959">
            <v>0.01</v>
          </cell>
          <cell r="H1959">
            <v>0</v>
          </cell>
          <cell r="I1959" t="str">
            <v>UK</v>
          </cell>
          <cell r="J1959" t="str">
            <v>Walmart</v>
          </cell>
        </row>
        <row r="1960">
          <cell r="A1960" t="str">
            <v>09-05-2022</v>
          </cell>
          <cell r="B1960" t="str">
            <v>Creatine</v>
          </cell>
          <cell r="C1960" t="str">
            <v>Performance</v>
          </cell>
          <cell r="D1960">
            <v>134</v>
          </cell>
          <cell r="E1960">
            <v>31.48</v>
          </cell>
          <cell r="F1960">
            <v>4218.32</v>
          </cell>
          <cell r="G1960">
            <v>0.12</v>
          </cell>
          <cell r="H1960">
            <v>0</v>
          </cell>
          <cell r="I1960" t="str">
            <v>UK</v>
          </cell>
          <cell r="J1960" t="str">
            <v>Walmart</v>
          </cell>
        </row>
        <row r="1961">
          <cell r="A1961" t="str">
            <v>09-05-2022</v>
          </cell>
          <cell r="B1961" t="str">
            <v>Zinc</v>
          </cell>
          <cell r="C1961" t="str">
            <v>Mineral</v>
          </cell>
          <cell r="D1961">
            <v>156</v>
          </cell>
          <cell r="E1961">
            <v>24.72</v>
          </cell>
          <cell r="F1961">
            <v>3856.32</v>
          </cell>
          <cell r="G1961">
            <v>0</v>
          </cell>
          <cell r="H1961">
            <v>0</v>
          </cell>
          <cell r="I1961" t="str">
            <v>Canada</v>
          </cell>
          <cell r="J1961" t="str">
            <v>iHerb</v>
          </cell>
        </row>
        <row r="1962">
          <cell r="A1962" t="str">
            <v>09-05-2022</v>
          </cell>
          <cell r="B1962" t="str">
            <v>Collagen Peptides</v>
          </cell>
          <cell r="C1962" t="str">
            <v>Protein</v>
          </cell>
          <cell r="D1962">
            <v>146</v>
          </cell>
          <cell r="E1962">
            <v>28.84</v>
          </cell>
          <cell r="F1962">
            <v>4210.6400000000003</v>
          </cell>
          <cell r="G1962">
            <v>0.16</v>
          </cell>
          <cell r="H1962">
            <v>1</v>
          </cell>
          <cell r="I1962" t="str">
            <v>UK</v>
          </cell>
          <cell r="J1962" t="str">
            <v>Walmart</v>
          </cell>
        </row>
        <row r="1963">
          <cell r="A1963" t="str">
            <v>09-05-2022</v>
          </cell>
          <cell r="B1963" t="str">
            <v>Magnesium</v>
          </cell>
          <cell r="C1963" t="str">
            <v>Mineral</v>
          </cell>
          <cell r="D1963">
            <v>140</v>
          </cell>
          <cell r="E1963">
            <v>40.700000000000003</v>
          </cell>
          <cell r="F1963">
            <v>5698</v>
          </cell>
          <cell r="G1963">
            <v>0.22</v>
          </cell>
          <cell r="H1963">
            <v>2</v>
          </cell>
          <cell r="I1963" t="str">
            <v>Canada</v>
          </cell>
          <cell r="J1963" t="str">
            <v>Amazon</v>
          </cell>
        </row>
        <row r="1964">
          <cell r="A1964" t="str">
            <v>09-05-2022</v>
          </cell>
          <cell r="B1964" t="str">
            <v>Ashwagandha</v>
          </cell>
          <cell r="C1964" t="str">
            <v>Herbal</v>
          </cell>
          <cell r="D1964">
            <v>152</v>
          </cell>
          <cell r="E1964">
            <v>28.25</v>
          </cell>
          <cell r="F1964">
            <v>4294</v>
          </cell>
          <cell r="G1964">
            <v>0.22</v>
          </cell>
          <cell r="H1964">
            <v>0</v>
          </cell>
          <cell r="I1964" t="str">
            <v>USA</v>
          </cell>
          <cell r="J1964" t="str">
            <v>Walmart</v>
          </cell>
        </row>
        <row r="1965">
          <cell r="A1965" t="str">
            <v>09-05-2022</v>
          </cell>
          <cell r="B1965" t="str">
            <v>Melatonin</v>
          </cell>
          <cell r="C1965" t="str">
            <v>Sleep Aid</v>
          </cell>
          <cell r="D1965">
            <v>157</v>
          </cell>
          <cell r="E1965">
            <v>40.28</v>
          </cell>
          <cell r="F1965">
            <v>6323.96</v>
          </cell>
          <cell r="G1965">
            <v>0.12</v>
          </cell>
          <cell r="H1965">
            <v>0</v>
          </cell>
          <cell r="I1965" t="str">
            <v>UK</v>
          </cell>
          <cell r="J1965" t="str">
            <v>Walmart</v>
          </cell>
        </row>
        <row r="1966">
          <cell r="A1966" t="str">
            <v>09-05-2022</v>
          </cell>
          <cell r="B1966" t="str">
            <v>Biotin</v>
          </cell>
          <cell r="C1966" t="str">
            <v>Vitamin</v>
          </cell>
          <cell r="D1966">
            <v>142</v>
          </cell>
          <cell r="E1966">
            <v>37.5</v>
          </cell>
          <cell r="F1966">
            <v>5325</v>
          </cell>
          <cell r="G1966">
            <v>0.1</v>
          </cell>
          <cell r="H1966">
            <v>0</v>
          </cell>
          <cell r="I1966" t="str">
            <v>Canada</v>
          </cell>
          <cell r="J1966" t="str">
            <v>Walmart</v>
          </cell>
        </row>
        <row r="1967">
          <cell r="A1967" t="str">
            <v>09-05-2022</v>
          </cell>
          <cell r="B1967" t="str">
            <v>Green Tea Extract</v>
          </cell>
          <cell r="C1967" t="str">
            <v>Fat Burner</v>
          </cell>
          <cell r="D1967">
            <v>158</v>
          </cell>
          <cell r="E1967">
            <v>40.700000000000003</v>
          </cell>
          <cell r="F1967">
            <v>6430.6</v>
          </cell>
          <cell r="G1967">
            <v>0.13</v>
          </cell>
          <cell r="H1967">
            <v>1</v>
          </cell>
          <cell r="I1967" t="str">
            <v>USA</v>
          </cell>
          <cell r="J1967" t="str">
            <v>Walmart</v>
          </cell>
        </row>
        <row r="1968">
          <cell r="A1968" t="str">
            <v>09-05-2022</v>
          </cell>
          <cell r="B1968" t="str">
            <v>Iron Supplement</v>
          </cell>
          <cell r="C1968" t="str">
            <v>Mineral</v>
          </cell>
          <cell r="D1968">
            <v>153</v>
          </cell>
          <cell r="E1968">
            <v>57.06</v>
          </cell>
          <cell r="F1968">
            <v>8730.18</v>
          </cell>
          <cell r="G1968">
            <v>0.15</v>
          </cell>
          <cell r="H1968">
            <v>1</v>
          </cell>
          <cell r="I1968" t="str">
            <v>USA</v>
          </cell>
          <cell r="J1968" t="str">
            <v>Walmart</v>
          </cell>
        </row>
        <row r="1969">
          <cell r="A1969" t="str">
            <v>09-05-2022</v>
          </cell>
          <cell r="B1969" t="str">
            <v>Electrolyte Powder</v>
          </cell>
          <cell r="C1969" t="str">
            <v>Hydration</v>
          </cell>
          <cell r="D1969">
            <v>148</v>
          </cell>
          <cell r="E1969">
            <v>18.079999999999998</v>
          </cell>
          <cell r="F1969">
            <v>2675.84</v>
          </cell>
          <cell r="G1969">
            <v>7.0000000000000007E-2</v>
          </cell>
          <cell r="H1969">
            <v>2</v>
          </cell>
          <cell r="I1969" t="str">
            <v>USA</v>
          </cell>
          <cell r="J1969" t="str">
            <v>iHerb</v>
          </cell>
        </row>
        <row r="1970">
          <cell r="A1970" t="str">
            <v>16-05-2022</v>
          </cell>
          <cell r="B1970" t="str">
            <v>Whey Protein</v>
          </cell>
          <cell r="C1970" t="str">
            <v>Protein</v>
          </cell>
          <cell r="D1970">
            <v>143</v>
          </cell>
          <cell r="E1970">
            <v>16.52</v>
          </cell>
          <cell r="F1970">
            <v>2362.36</v>
          </cell>
          <cell r="G1970">
            <v>0.19</v>
          </cell>
          <cell r="H1970">
            <v>0</v>
          </cell>
          <cell r="I1970" t="str">
            <v>UK</v>
          </cell>
          <cell r="J1970" t="str">
            <v>Walmart</v>
          </cell>
        </row>
        <row r="1971">
          <cell r="A1971" t="str">
            <v>16-05-2022</v>
          </cell>
          <cell r="B1971" t="str">
            <v>Vitamin C</v>
          </cell>
          <cell r="C1971" t="str">
            <v>Vitamin</v>
          </cell>
          <cell r="D1971">
            <v>153</v>
          </cell>
          <cell r="E1971">
            <v>21.63</v>
          </cell>
          <cell r="F1971">
            <v>3309.39</v>
          </cell>
          <cell r="G1971">
            <v>0.15</v>
          </cell>
          <cell r="H1971">
            <v>1</v>
          </cell>
          <cell r="I1971" t="str">
            <v>Canada</v>
          </cell>
          <cell r="J1971" t="str">
            <v>Amazon</v>
          </cell>
        </row>
        <row r="1972">
          <cell r="A1972" t="str">
            <v>16-05-2022</v>
          </cell>
          <cell r="B1972" t="str">
            <v>Fish Oil</v>
          </cell>
          <cell r="C1972" t="str">
            <v>Omega</v>
          </cell>
          <cell r="D1972">
            <v>155</v>
          </cell>
          <cell r="E1972">
            <v>34.56</v>
          </cell>
          <cell r="F1972">
            <v>5356.8</v>
          </cell>
          <cell r="G1972">
            <v>0.17</v>
          </cell>
          <cell r="H1972">
            <v>0</v>
          </cell>
          <cell r="I1972" t="str">
            <v>Canada</v>
          </cell>
          <cell r="J1972" t="str">
            <v>iHerb</v>
          </cell>
        </row>
        <row r="1973">
          <cell r="A1973" t="str">
            <v>16-05-2022</v>
          </cell>
          <cell r="B1973" t="str">
            <v>Multivitamin</v>
          </cell>
          <cell r="C1973" t="str">
            <v>Vitamin</v>
          </cell>
          <cell r="D1973">
            <v>144</v>
          </cell>
          <cell r="E1973">
            <v>13.67</v>
          </cell>
          <cell r="F1973">
            <v>1968.48</v>
          </cell>
          <cell r="G1973">
            <v>0.05</v>
          </cell>
          <cell r="H1973">
            <v>1</v>
          </cell>
          <cell r="I1973" t="str">
            <v>Canada</v>
          </cell>
          <cell r="J1973" t="str">
            <v>Walmart</v>
          </cell>
        </row>
        <row r="1974">
          <cell r="A1974" t="str">
            <v>16-05-2022</v>
          </cell>
          <cell r="B1974" t="str">
            <v>Pre-Workout</v>
          </cell>
          <cell r="C1974" t="str">
            <v>Performance</v>
          </cell>
          <cell r="D1974">
            <v>161</v>
          </cell>
          <cell r="E1974">
            <v>26.77</v>
          </cell>
          <cell r="F1974">
            <v>4309.97</v>
          </cell>
          <cell r="G1974">
            <v>0.02</v>
          </cell>
          <cell r="H1974">
            <v>2</v>
          </cell>
          <cell r="I1974" t="str">
            <v>UK</v>
          </cell>
          <cell r="J1974" t="str">
            <v>iHerb</v>
          </cell>
        </row>
        <row r="1975">
          <cell r="A1975" t="str">
            <v>16-05-2022</v>
          </cell>
          <cell r="B1975" t="str">
            <v>BCAA</v>
          </cell>
          <cell r="C1975" t="str">
            <v>Amino Acid</v>
          </cell>
          <cell r="D1975">
            <v>141</v>
          </cell>
          <cell r="E1975">
            <v>58.86</v>
          </cell>
          <cell r="F1975">
            <v>8299.26</v>
          </cell>
          <cell r="G1975">
            <v>0.03</v>
          </cell>
          <cell r="H1975">
            <v>0</v>
          </cell>
          <cell r="I1975" t="str">
            <v>Canada</v>
          </cell>
          <cell r="J1975" t="str">
            <v>iHerb</v>
          </cell>
        </row>
        <row r="1976">
          <cell r="A1976" t="str">
            <v>16-05-2022</v>
          </cell>
          <cell r="B1976" t="str">
            <v>Creatine</v>
          </cell>
          <cell r="C1976" t="str">
            <v>Performance</v>
          </cell>
          <cell r="D1976">
            <v>149</v>
          </cell>
          <cell r="E1976">
            <v>48.59</v>
          </cell>
          <cell r="F1976">
            <v>7239.91</v>
          </cell>
          <cell r="G1976">
            <v>0.22</v>
          </cell>
          <cell r="H1976">
            <v>1</v>
          </cell>
          <cell r="I1976" t="str">
            <v>UK</v>
          </cell>
          <cell r="J1976" t="str">
            <v>Walmart</v>
          </cell>
        </row>
        <row r="1977">
          <cell r="A1977" t="str">
            <v>16-05-2022</v>
          </cell>
          <cell r="B1977" t="str">
            <v>Zinc</v>
          </cell>
          <cell r="C1977" t="str">
            <v>Mineral</v>
          </cell>
          <cell r="D1977">
            <v>172</v>
          </cell>
          <cell r="E1977">
            <v>15.67</v>
          </cell>
          <cell r="F1977">
            <v>2695.24</v>
          </cell>
          <cell r="G1977">
            <v>0.01</v>
          </cell>
          <cell r="H1977">
            <v>0</v>
          </cell>
          <cell r="I1977" t="str">
            <v>UK</v>
          </cell>
          <cell r="J1977" t="str">
            <v>Walmart</v>
          </cell>
        </row>
        <row r="1978">
          <cell r="A1978" t="str">
            <v>16-05-2022</v>
          </cell>
          <cell r="B1978" t="str">
            <v>Collagen Peptides</v>
          </cell>
          <cell r="C1978" t="str">
            <v>Protein</v>
          </cell>
          <cell r="D1978">
            <v>156</v>
          </cell>
          <cell r="E1978">
            <v>48.81</v>
          </cell>
          <cell r="F1978">
            <v>7614.36</v>
          </cell>
          <cell r="G1978">
            <v>0.13</v>
          </cell>
          <cell r="H1978">
            <v>3</v>
          </cell>
          <cell r="I1978" t="str">
            <v>Canada</v>
          </cell>
          <cell r="J1978" t="str">
            <v>iHerb</v>
          </cell>
        </row>
        <row r="1979">
          <cell r="A1979" t="str">
            <v>16-05-2022</v>
          </cell>
          <cell r="B1979" t="str">
            <v>Magnesium</v>
          </cell>
          <cell r="C1979" t="str">
            <v>Mineral</v>
          </cell>
          <cell r="D1979">
            <v>153</v>
          </cell>
          <cell r="E1979">
            <v>38.06</v>
          </cell>
          <cell r="F1979">
            <v>5823.18</v>
          </cell>
          <cell r="G1979">
            <v>0.13</v>
          </cell>
          <cell r="H1979">
            <v>3</v>
          </cell>
          <cell r="I1979" t="str">
            <v>UK</v>
          </cell>
          <cell r="J1979" t="str">
            <v>Walmart</v>
          </cell>
        </row>
        <row r="1980">
          <cell r="A1980" t="str">
            <v>16-05-2022</v>
          </cell>
          <cell r="B1980" t="str">
            <v>Ashwagandha</v>
          </cell>
          <cell r="C1980" t="str">
            <v>Herbal</v>
          </cell>
          <cell r="D1980">
            <v>160</v>
          </cell>
          <cell r="E1980">
            <v>48.84</v>
          </cell>
          <cell r="F1980">
            <v>7814.4</v>
          </cell>
          <cell r="G1980">
            <v>0.09</v>
          </cell>
          <cell r="H1980">
            <v>0</v>
          </cell>
          <cell r="I1980" t="str">
            <v>UK</v>
          </cell>
          <cell r="J1980" t="str">
            <v>Walmart</v>
          </cell>
        </row>
        <row r="1981">
          <cell r="A1981" t="str">
            <v>16-05-2022</v>
          </cell>
          <cell r="B1981" t="str">
            <v>Melatonin</v>
          </cell>
          <cell r="C1981" t="str">
            <v>Sleep Aid</v>
          </cell>
          <cell r="D1981">
            <v>145</v>
          </cell>
          <cell r="E1981">
            <v>15.96</v>
          </cell>
          <cell r="F1981">
            <v>2314.1999999999998</v>
          </cell>
          <cell r="G1981">
            <v>0.23</v>
          </cell>
          <cell r="H1981">
            <v>0</v>
          </cell>
          <cell r="I1981" t="str">
            <v>Canada</v>
          </cell>
          <cell r="J1981" t="str">
            <v>iHerb</v>
          </cell>
        </row>
        <row r="1982">
          <cell r="A1982" t="str">
            <v>16-05-2022</v>
          </cell>
          <cell r="B1982" t="str">
            <v>Biotin</v>
          </cell>
          <cell r="C1982" t="str">
            <v>Vitamin</v>
          </cell>
          <cell r="D1982">
            <v>173</v>
          </cell>
          <cell r="E1982">
            <v>26.49</v>
          </cell>
          <cell r="F1982">
            <v>4582.7700000000004</v>
          </cell>
          <cell r="G1982">
            <v>0.1</v>
          </cell>
          <cell r="H1982">
            <v>2</v>
          </cell>
          <cell r="I1982" t="str">
            <v>Canada</v>
          </cell>
          <cell r="J1982" t="str">
            <v>Walmart</v>
          </cell>
        </row>
        <row r="1983">
          <cell r="A1983" t="str">
            <v>16-05-2022</v>
          </cell>
          <cell r="B1983" t="str">
            <v>Green Tea Extract</v>
          </cell>
          <cell r="C1983" t="str">
            <v>Fat Burner</v>
          </cell>
          <cell r="D1983">
            <v>154</v>
          </cell>
          <cell r="E1983">
            <v>29.46</v>
          </cell>
          <cell r="F1983">
            <v>4536.84</v>
          </cell>
          <cell r="G1983">
            <v>0.12</v>
          </cell>
          <cell r="H1983">
            <v>5</v>
          </cell>
          <cell r="I1983" t="str">
            <v>UK</v>
          </cell>
          <cell r="J1983" t="str">
            <v>Amazon</v>
          </cell>
        </row>
        <row r="1984">
          <cell r="A1984" t="str">
            <v>16-05-2022</v>
          </cell>
          <cell r="B1984" t="str">
            <v>Iron Supplement</v>
          </cell>
          <cell r="C1984" t="str">
            <v>Mineral</v>
          </cell>
          <cell r="D1984">
            <v>139</v>
          </cell>
          <cell r="E1984">
            <v>24.59</v>
          </cell>
          <cell r="F1984">
            <v>3418.01</v>
          </cell>
          <cell r="G1984">
            <v>0.19</v>
          </cell>
          <cell r="H1984">
            <v>2</v>
          </cell>
          <cell r="I1984" t="str">
            <v>Canada</v>
          </cell>
          <cell r="J1984" t="str">
            <v>Amazon</v>
          </cell>
        </row>
        <row r="1985">
          <cell r="A1985" t="str">
            <v>16-05-2022</v>
          </cell>
          <cell r="B1985" t="str">
            <v>Electrolyte Powder</v>
          </cell>
          <cell r="C1985" t="str">
            <v>Hydration</v>
          </cell>
          <cell r="D1985">
            <v>142</v>
          </cell>
          <cell r="E1985">
            <v>10.57</v>
          </cell>
          <cell r="F1985">
            <v>1500.94</v>
          </cell>
          <cell r="G1985">
            <v>0.11</v>
          </cell>
          <cell r="H1985">
            <v>1</v>
          </cell>
          <cell r="I1985" t="str">
            <v>USA</v>
          </cell>
          <cell r="J1985" t="str">
            <v>Walmart</v>
          </cell>
        </row>
        <row r="1986">
          <cell r="A1986" t="str">
            <v>23-05-2022</v>
          </cell>
          <cell r="B1986" t="str">
            <v>Whey Protein</v>
          </cell>
          <cell r="C1986" t="str">
            <v>Protein</v>
          </cell>
          <cell r="D1986">
            <v>141</v>
          </cell>
          <cell r="E1986">
            <v>34.549999999999997</v>
          </cell>
          <cell r="F1986">
            <v>4871.55</v>
          </cell>
          <cell r="G1986">
            <v>0.15</v>
          </cell>
          <cell r="H1986">
            <v>0</v>
          </cell>
          <cell r="I1986" t="str">
            <v>Canada</v>
          </cell>
          <cell r="J1986" t="str">
            <v>iHerb</v>
          </cell>
        </row>
        <row r="1987">
          <cell r="A1987" t="str">
            <v>23-05-2022</v>
          </cell>
          <cell r="B1987" t="str">
            <v>Vitamin C</v>
          </cell>
          <cell r="C1987" t="str">
            <v>Vitamin</v>
          </cell>
          <cell r="D1987">
            <v>146</v>
          </cell>
          <cell r="E1987">
            <v>39.479999999999997</v>
          </cell>
          <cell r="F1987">
            <v>5764.08</v>
          </cell>
          <cell r="G1987">
            <v>0.09</v>
          </cell>
          <cell r="H1987">
            <v>2</v>
          </cell>
          <cell r="I1987" t="str">
            <v>UK</v>
          </cell>
          <cell r="J1987" t="str">
            <v>Walmart</v>
          </cell>
        </row>
        <row r="1988">
          <cell r="A1988" t="str">
            <v>23-05-2022</v>
          </cell>
          <cell r="B1988" t="str">
            <v>Fish Oil</v>
          </cell>
          <cell r="C1988" t="str">
            <v>Omega</v>
          </cell>
          <cell r="D1988">
            <v>170</v>
          </cell>
          <cell r="E1988">
            <v>35.26</v>
          </cell>
          <cell r="F1988">
            <v>5994.2</v>
          </cell>
          <cell r="G1988">
            <v>0.24</v>
          </cell>
          <cell r="H1988">
            <v>0</v>
          </cell>
          <cell r="I1988" t="str">
            <v>USA</v>
          </cell>
          <cell r="J1988" t="str">
            <v>Walmart</v>
          </cell>
        </row>
        <row r="1989">
          <cell r="A1989" t="str">
            <v>23-05-2022</v>
          </cell>
          <cell r="B1989" t="str">
            <v>Multivitamin</v>
          </cell>
          <cell r="C1989" t="str">
            <v>Vitamin</v>
          </cell>
          <cell r="D1989">
            <v>158</v>
          </cell>
          <cell r="E1989">
            <v>43.98</v>
          </cell>
          <cell r="F1989">
            <v>6948.84</v>
          </cell>
          <cell r="G1989">
            <v>0.09</v>
          </cell>
          <cell r="H1989">
            <v>1</v>
          </cell>
          <cell r="I1989" t="str">
            <v>USA</v>
          </cell>
          <cell r="J1989" t="str">
            <v>Walmart</v>
          </cell>
        </row>
        <row r="1990">
          <cell r="A1990" t="str">
            <v>23-05-2022</v>
          </cell>
          <cell r="B1990" t="str">
            <v>Pre-Workout</v>
          </cell>
          <cell r="C1990" t="str">
            <v>Performance</v>
          </cell>
          <cell r="D1990">
            <v>157</v>
          </cell>
          <cell r="E1990">
            <v>30.98</v>
          </cell>
          <cell r="F1990">
            <v>4863.8599999999997</v>
          </cell>
          <cell r="G1990">
            <v>0.05</v>
          </cell>
          <cell r="H1990">
            <v>0</v>
          </cell>
          <cell r="I1990" t="str">
            <v>USA</v>
          </cell>
          <cell r="J1990" t="str">
            <v>Amazon</v>
          </cell>
        </row>
        <row r="1991">
          <cell r="A1991" t="str">
            <v>23-05-2022</v>
          </cell>
          <cell r="B1991" t="str">
            <v>BCAA</v>
          </cell>
          <cell r="C1991" t="str">
            <v>Amino Acid</v>
          </cell>
          <cell r="D1991">
            <v>187</v>
          </cell>
          <cell r="E1991">
            <v>39.369999999999997</v>
          </cell>
          <cell r="F1991">
            <v>7362.19</v>
          </cell>
          <cell r="G1991">
            <v>0.05</v>
          </cell>
          <cell r="H1991">
            <v>3</v>
          </cell>
          <cell r="I1991" t="str">
            <v>USA</v>
          </cell>
          <cell r="J1991" t="str">
            <v>Walmart</v>
          </cell>
        </row>
        <row r="1992">
          <cell r="A1992" t="str">
            <v>23-05-2022</v>
          </cell>
          <cell r="B1992" t="str">
            <v>Creatine</v>
          </cell>
          <cell r="C1992" t="str">
            <v>Performance</v>
          </cell>
          <cell r="D1992">
            <v>161</v>
          </cell>
          <cell r="E1992">
            <v>55.6</v>
          </cell>
          <cell r="F1992">
            <v>8951.6</v>
          </cell>
          <cell r="G1992">
            <v>0.05</v>
          </cell>
          <cell r="H1992">
            <v>2</v>
          </cell>
          <cell r="I1992" t="str">
            <v>UK</v>
          </cell>
          <cell r="J1992" t="str">
            <v>Amazon</v>
          </cell>
        </row>
        <row r="1993">
          <cell r="A1993" t="str">
            <v>23-05-2022</v>
          </cell>
          <cell r="B1993" t="str">
            <v>Zinc</v>
          </cell>
          <cell r="C1993" t="str">
            <v>Mineral</v>
          </cell>
          <cell r="D1993">
            <v>180</v>
          </cell>
          <cell r="E1993">
            <v>15.28</v>
          </cell>
          <cell r="F1993">
            <v>2750.4</v>
          </cell>
          <cell r="G1993">
            <v>0.05</v>
          </cell>
          <cell r="H1993">
            <v>2</v>
          </cell>
          <cell r="I1993" t="str">
            <v>Canada</v>
          </cell>
          <cell r="J1993" t="str">
            <v>Amazon</v>
          </cell>
        </row>
        <row r="1994">
          <cell r="A1994" t="str">
            <v>23-05-2022</v>
          </cell>
          <cell r="B1994" t="str">
            <v>Collagen Peptides</v>
          </cell>
          <cell r="C1994" t="str">
            <v>Protein</v>
          </cell>
          <cell r="D1994">
            <v>161</v>
          </cell>
          <cell r="E1994">
            <v>42.99</v>
          </cell>
          <cell r="F1994">
            <v>6921.39</v>
          </cell>
          <cell r="G1994">
            <v>0.08</v>
          </cell>
          <cell r="H1994">
            <v>1</v>
          </cell>
          <cell r="I1994" t="str">
            <v>Canada</v>
          </cell>
          <cell r="J1994" t="str">
            <v>iHerb</v>
          </cell>
        </row>
        <row r="1995">
          <cell r="A1995" t="str">
            <v>23-05-2022</v>
          </cell>
          <cell r="B1995" t="str">
            <v>Magnesium</v>
          </cell>
          <cell r="C1995" t="str">
            <v>Mineral</v>
          </cell>
          <cell r="D1995">
            <v>156</v>
          </cell>
          <cell r="E1995">
            <v>50.6</v>
          </cell>
          <cell r="F1995">
            <v>7893.6</v>
          </cell>
          <cell r="G1995">
            <v>0.04</v>
          </cell>
          <cell r="H1995">
            <v>2</v>
          </cell>
          <cell r="I1995" t="str">
            <v>Canada</v>
          </cell>
          <cell r="J1995" t="str">
            <v>Amazon</v>
          </cell>
        </row>
        <row r="1996">
          <cell r="A1996" t="str">
            <v>23-05-2022</v>
          </cell>
          <cell r="B1996" t="str">
            <v>Ashwagandha</v>
          </cell>
          <cell r="C1996" t="str">
            <v>Herbal</v>
          </cell>
          <cell r="D1996">
            <v>126</v>
          </cell>
          <cell r="E1996">
            <v>42.81</v>
          </cell>
          <cell r="F1996">
            <v>5394.06</v>
          </cell>
          <cell r="G1996">
            <v>0.21</v>
          </cell>
          <cell r="H1996">
            <v>0</v>
          </cell>
          <cell r="I1996" t="str">
            <v>UK</v>
          </cell>
          <cell r="J1996" t="str">
            <v>iHerb</v>
          </cell>
        </row>
        <row r="1997">
          <cell r="A1997" t="str">
            <v>23-05-2022</v>
          </cell>
          <cell r="B1997" t="str">
            <v>Melatonin</v>
          </cell>
          <cell r="C1997" t="str">
            <v>Sleep Aid</v>
          </cell>
          <cell r="D1997">
            <v>144</v>
          </cell>
          <cell r="E1997">
            <v>20.58</v>
          </cell>
          <cell r="F1997">
            <v>2963.52</v>
          </cell>
          <cell r="G1997">
            <v>0.2</v>
          </cell>
          <cell r="H1997">
            <v>2</v>
          </cell>
          <cell r="I1997" t="str">
            <v>USA</v>
          </cell>
          <cell r="J1997" t="str">
            <v>Walmart</v>
          </cell>
        </row>
        <row r="1998">
          <cell r="A1998" t="str">
            <v>23-05-2022</v>
          </cell>
          <cell r="B1998" t="str">
            <v>Biotin</v>
          </cell>
          <cell r="C1998" t="str">
            <v>Vitamin</v>
          </cell>
          <cell r="D1998">
            <v>135</v>
          </cell>
          <cell r="E1998">
            <v>48.74</v>
          </cell>
          <cell r="F1998">
            <v>6579.9</v>
          </cell>
          <cell r="G1998">
            <v>0.08</v>
          </cell>
          <cell r="H1998">
            <v>2</v>
          </cell>
          <cell r="I1998" t="str">
            <v>USA</v>
          </cell>
          <cell r="J1998" t="str">
            <v>iHerb</v>
          </cell>
        </row>
        <row r="1999">
          <cell r="A1999" t="str">
            <v>23-05-2022</v>
          </cell>
          <cell r="B1999" t="str">
            <v>Green Tea Extract</v>
          </cell>
          <cell r="C1999" t="str">
            <v>Fat Burner</v>
          </cell>
          <cell r="D1999">
            <v>122</v>
          </cell>
          <cell r="E1999">
            <v>17.63</v>
          </cell>
          <cell r="F1999">
            <v>2150.86</v>
          </cell>
          <cell r="G1999">
            <v>0.21</v>
          </cell>
          <cell r="H1999">
            <v>1</v>
          </cell>
          <cell r="I1999" t="str">
            <v>Canada</v>
          </cell>
          <cell r="J1999" t="str">
            <v>Amazon</v>
          </cell>
        </row>
        <row r="2000">
          <cell r="A2000" t="str">
            <v>23-05-2022</v>
          </cell>
          <cell r="B2000" t="str">
            <v>Iron Supplement</v>
          </cell>
          <cell r="C2000" t="str">
            <v>Mineral</v>
          </cell>
          <cell r="D2000">
            <v>142</v>
          </cell>
          <cell r="E2000">
            <v>12.51</v>
          </cell>
          <cell r="F2000">
            <v>1776.42</v>
          </cell>
          <cell r="G2000">
            <v>0.1</v>
          </cell>
          <cell r="H2000">
            <v>1</v>
          </cell>
          <cell r="I2000" t="str">
            <v>UK</v>
          </cell>
          <cell r="J2000" t="str">
            <v>iHerb</v>
          </cell>
        </row>
        <row r="2001">
          <cell r="A2001" t="str">
            <v>23-05-2022</v>
          </cell>
          <cell r="B2001" t="str">
            <v>Electrolyte Powder</v>
          </cell>
          <cell r="C2001" t="str">
            <v>Hydration</v>
          </cell>
          <cell r="D2001">
            <v>142</v>
          </cell>
          <cell r="E2001">
            <v>47.55</v>
          </cell>
          <cell r="F2001">
            <v>6752.1</v>
          </cell>
          <cell r="G2001">
            <v>0.02</v>
          </cell>
          <cell r="H2001">
            <v>2</v>
          </cell>
          <cell r="I2001" t="str">
            <v>UK</v>
          </cell>
          <cell r="J2001" t="str">
            <v>iHerb</v>
          </cell>
        </row>
        <row r="2002">
          <cell r="A2002" t="str">
            <v>30-05-2022</v>
          </cell>
          <cell r="B2002" t="str">
            <v>Whey Protein</v>
          </cell>
          <cell r="C2002" t="str">
            <v>Protein</v>
          </cell>
          <cell r="D2002">
            <v>151</v>
          </cell>
          <cell r="E2002">
            <v>25.65</v>
          </cell>
          <cell r="F2002">
            <v>3873.15</v>
          </cell>
          <cell r="G2002">
            <v>0.14000000000000001</v>
          </cell>
          <cell r="H2002">
            <v>1</v>
          </cell>
          <cell r="I2002" t="str">
            <v>UK</v>
          </cell>
          <cell r="J2002" t="str">
            <v>Amazon</v>
          </cell>
        </row>
        <row r="2003">
          <cell r="A2003" t="str">
            <v>30-05-2022</v>
          </cell>
          <cell r="B2003" t="str">
            <v>Vitamin C</v>
          </cell>
          <cell r="C2003" t="str">
            <v>Vitamin</v>
          </cell>
          <cell r="D2003">
            <v>150</v>
          </cell>
          <cell r="E2003">
            <v>20.28</v>
          </cell>
          <cell r="F2003">
            <v>3042</v>
          </cell>
          <cell r="G2003">
            <v>0.19</v>
          </cell>
          <cell r="H2003">
            <v>1</v>
          </cell>
          <cell r="I2003" t="str">
            <v>UK</v>
          </cell>
          <cell r="J2003" t="str">
            <v>iHerb</v>
          </cell>
        </row>
        <row r="2004">
          <cell r="A2004" t="str">
            <v>30-05-2022</v>
          </cell>
          <cell r="B2004" t="str">
            <v>Fish Oil</v>
          </cell>
          <cell r="C2004" t="str">
            <v>Omega</v>
          </cell>
          <cell r="D2004">
            <v>181</v>
          </cell>
          <cell r="E2004">
            <v>44.14</v>
          </cell>
          <cell r="F2004">
            <v>7989.34</v>
          </cell>
          <cell r="G2004">
            <v>0.24</v>
          </cell>
          <cell r="H2004">
            <v>2</v>
          </cell>
          <cell r="I2004" t="str">
            <v>USA</v>
          </cell>
          <cell r="J2004" t="str">
            <v>Amazon</v>
          </cell>
        </row>
        <row r="2005">
          <cell r="A2005" t="str">
            <v>30-05-2022</v>
          </cell>
          <cell r="B2005" t="str">
            <v>Multivitamin</v>
          </cell>
          <cell r="C2005" t="str">
            <v>Vitamin</v>
          </cell>
          <cell r="D2005">
            <v>166</v>
          </cell>
          <cell r="E2005">
            <v>28.01</v>
          </cell>
          <cell r="F2005">
            <v>4649.66</v>
          </cell>
          <cell r="G2005">
            <v>0.15</v>
          </cell>
          <cell r="H2005">
            <v>0</v>
          </cell>
          <cell r="I2005" t="str">
            <v>UK</v>
          </cell>
          <cell r="J2005" t="str">
            <v>iHerb</v>
          </cell>
        </row>
        <row r="2006">
          <cell r="A2006" t="str">
            <v>30-05-2022</v>
          </cell>
          <cell r="B2006" t="str">
            <v>Pre-Workout</v>
          </cell>
          <cell r="C2006" t="str">
            <v>Performance</v>
          </cell>
          <cell r="D2006">
            <v>151</v>
          </cell>
          <cell r="E2006">
            <v>47.19</v>
          </cell>
          <cell r="F2006">
            <v>7125.69</v>
          </cell>
          <cell r="G2006">
            <v>0.13</v>
          </cell>
          <cell r="H2006">
            <v>1</v>
          </cell>
          <cell r="I2006" t="str">
            <v>Canada</v>
          </cell>
          <cell r="J2006" t="str">
            <v>iHerb</v>
          </cell>
        </row>
        <row r="2007">
          <cell r="A2007" t="str">
            <v>30-05-2022</v>
          </cell>
          <cell r="B2007" t="str">
            <v>BCAA</v>
          </cell>
          <cell r="C2007" t="str">
            <v>Amino Acid</v>
          </cell>
          <cell r="D2007">
            <v>127</v>
          </cell>
          <cell r="E2007">
            <v>20.86</v>
          </cell>
          <cell r="F2007">
            <v>2649.22</v>
          </cell>
          <cell r="G2007">
            <v>0.24</v>
          </cell>
          <cell r="H2007">
            <v>4</v>
          </cell>
          <cell r="I2007" t="str">
            <v>USA</v>
          </cell>
          <cell r="J2007" t="str">
            <v>Amazon</v>
          </cell>
        </row>
        <row r="2008">
          <cell r="A2008" t="str">
            <v>30-05-2022</v>
          </cell>
          <cell r="B2008" t="str">
            <v>Creatine</v>
          </cell>
          <cell r="C2008" t="str">
            <v>Performance</v>
          </cell>
          <cell r="D2008">
            <v>156</v>
          </cell>
          <cell r="E2008">
            <v>20.7</v>
          </cell>
          <cell r="F2008">
            <v>3229.2</v>
          </cell>
          <cell r="G2008">
            <v>0.24</v>
          </cell>
          <cell r="H2008">
            <v>0</v>
          </cell>
          <cell r="I2008" t="str">
            <v>UK</v>
          </cell>
          <cell r="J2008" t="str">
            <v>Walmart</v>
          </cell>
        </row>
        <row r="2009">
          <cell r="A2009" t="str">
            <v>30-05-2022</v>
          </cell>
          <cell r="B2009" t="str">
            <v>Zinc</v>
          </cell>
          <cell r="C2009" t="str">
            <v>Mineral</v>
          </cell>
          <cell r="D2009">
            <v>131</v>
          </cell>
          <cell r="E2009">
            <v>38.659999999999997</v>
          </cell>
          <cell r="F2009">
            <v>5064.46</v>
          </cell>
          <cell r="G2009">
            <v>0.2</v>
          </cell>
          <cell r="H2009">
            <v>1</v>
          </cell>
          <cell r="I2009" t="str">
            <v>UK</v>
          </cell>
          <cell r="J2009" t="str">
            <v>Amazon</v>
          </cell>
        </row>
        <row r="2010">
          <cell r="A2010" t="str">
            <v>30-05-2022</v>
          </cell>
          <cell r="B2010" t="str">
            <v>Collagen Peptides</v>
          </cell>
          <cell r="C2010" t="str">
            <v>Protein</v>
          </cell>
          <cell r="D2010">
            <v>135</v>
          </cell>
          <cell r="E2010">
            <v>43.95</v>
          </cell>
          <cell r="F2010">
            <v>5933.25</v>
          </cell>
          <cell r="G2010">
            <v>0.21</v>
          </cell>
          <cell r="H2010">
            <v>1</v>
          </cell>
          <cell r="I2010" t="str">
            <v>USA</v>
          </cell>
          <cell r="J2010" t="str">
            <v>iHerb</v>
          </cell>
        </row>
        <row r="2011">
          <cell r="A2011" t="str">
            <v>30-05-2022</v>
          </cell>
          <cell r="B2011" t="str">
            <v>Magnesium</v>
          </cell>
          <cell r="C2011" t="str">
            <v>Mineral</v>
          </cell>
          <cell r="D2011">
            <v>153</v>
          </cell>
          <cell r="E2011">
            <v>42.3</v>
          </cell>
          <cell r="F2011">
            <v>6471.9</v>
          </cell>
          <cell r="G2011">
            <v>0.25</v>
          </cell>
          <cell r="H2011">
            <v>0</v>
          </cell>
          <cell r="I2011" t="str">
            <v>USA</v>
          </cell>
          <cell r="J2011" t="str">
            <v>Amazon</v>
          </cell>
        </row>
        <row r="2012">
          <cell r="A2012" t="str">
            <v>30-05-2022</v>
          </cell>
          <cell r="B2012" t="str">
            <v>Ashwagandha</v>
          </cell>
          <cell r="C2012" t="str">
            <v>Herbal</v>
          </cell>
          <cell r="D2012">
            <v>167</v>
          </cell>
          <cell r="E2012">
            <v>22.6</v>
          </cell>
          <cell r="F2012">
            <v>3774.2</v>
          </cell>
          <cell r="G2012">
            <v>0.24</v>
          </cell>
          <cell r="H2012">
            <v>1</v>
          </cell>
          <cell r="I2012" t="str">
            <v>USA</v>
          </cell>
          <cell r="J2012" t="str">
            <v>iHerb</v>
          </cell>
        </row>
        <row r="2013">
          <cell r="A2013" t="str">
            <v>30-05-2022</v>
          </cell>
          <cell r="B2013" t="str">
            <v>Melatonin</v>
          </cell>
          <cell r="C2013" t="str">
            <v>Sleep Aid</v>
          </cell>
          <cell r="D2013">
            <v>144</v>
          </cell>
          <cell r="E2013">
            <v>22.22</v>
          </cell>
          <cell r="F2013">
            <v>3199.68</v>
          </cell>
          <cell r="G2013">
            <v>0.21</v>
          </cell>
          <cell r="H2013">
            <v>2</v>
          </cell>
          <cell r="I2013" t="str">
            <v>USA</v>
          </cell>
          <cell r="J2013" t="str">
            <v>iHerb</v>
          </cell>
        </row>
        <row r="2014">
          <cell r="A2014" t="str">
            <v>30-05-2022</v>
          </cell>
          <cell r="B2014" t="str">
            <v>Biotin</v>
          </cell>
          <cell r="C2014" t="str">
            <v>Vitamin</v>
          </cell>
          <cell r="D2014">
            <v>170</v>
          </cell>
          <cell r="E2014">
            <v>16.059999999999999</v>
          </cell>
          <cell r="F2014">
            <v>2730.2</v>
          </cell>
          <cell r="G2014">
            <v>0</v>
          </cell>
          <cell r="H2014">
            <v>2</v>
          </cell>
          <cell r="I2014" t="str">
            <v>Canada</v>
          </cell>
          <cell r="J2014" t="str">
            <v>iHerb</v>
          </cell>
        </row>
        <row r="2015">
          <cell r="A2015" t="str">
            <v>30-05-2022</v>
          </cell>
          <cell r="B2015" t="str">
            <v>Green Tea Extract</v>
          </cell>
          <cell r="C2015" t="str">
            <v>Fat Burner</v>
          </cell>
          <cell r="D2015">
            <v>143</v>
          </cell>
          <cell r="E2015">
            <v>49.09</v>
          </cell>
          <cell r="F2015">
            <v>7019.87</v>
          </cell>
          <cell r="G2015">
            <v>0</v>
          </cell>
          <cell r="H2015">
            <v>2</v>
          </cell>
          <cell r="I2015" t="str">
            <v>Canada</v>
          </cell>
          <cell r="J2015" t="str">
            <v>Amazon</v>
          </cell>
        </row>
        <row r="2016">
          <cell r="A2016" t="str">
            <v>30-05-2022</v>
          </cell>
          <cell r="B2016" t="str">
            <v>Iron Supplement</v>
          </cell>
          <cell r="C2016" t="str">
            <v>Mineral</v>
          </cell>
          <cell r="D2016">
            <v>143</v>
          </cell>
          <cell r="E2016">
            <v>21.32</v>
          </cell>
          <cell r="F2016">
            <v>3048.76</v>
          </cell>
          <cell r="G2016">
            <v>0.12</v>
          </cell>
          <cell r="H2016">
            <v>1</v>
          </cell>
          <cell r="I2016" t="str">
            <v>USA</v>
          </cell>
          <cell r="J2016" t="str">
            <v>iHerb</v>
          </cell>
        </row>
        <row r="2017">
          <cell r="A2017" t="str">
            <v>30-05-2022</v>
          </cell>
          <cell r="B2017" t="str">
            <v>Electrolyte Powder</v>
          </cell>
          <cell r="C2017" t="str">
            <v>Hydration</v>
          </cell>
          <cell r="D2017">
            <v>142</v>
          </cell>
          <cell r="E2017">
            <v>48.11</v>
          </cell>
          <cell r="F2017">
            <v>6831.62</v>
          </cell>
          <cell r="G2017">
            <v>0.25</v>
          </cell>
          <cell r="H2017">
            <v>2</v>
          </cell>
          <cell r="I2017" t="str">
            <v>USA</v>
          </cell>
          <cell r="J2017" t="str">
            <v>iHerb</v>
          </cell>
        </row>
        <row r="2018">
          <cell r="A2018" t="str">
            <v>06-06-2022</v>
          </cell>
          <cell r="B2018" t="str">
            <v>Whey Protein</v>
          </cell>
          <cell r="C2018" t="str">
            <v>Protein</v>
          </cell>
          <cell r="D2018">
            <v>142</v>
          </cell>
          <cell r="E2018">
            <v>20.88</v>
          </cell>
          <cell r="F2018">
            <v>2964.96</v>
          </cell>
          <cell r="G2018">
            <v>0.03</v>
          </cell>
          <cell r="H2018">
            <v>1</v>
          </cell>
          <cell r="I2018" t="str">
            <v>USA</v>
          </cell>
          <cell r="J2018" t="str">
            <v>iHerb</v>
          </cell>
        </row>
        <row r="2019">
          <cell r="A2019" t="str">
            <v>06-06-2022</v>
          </cell>
          <cell r="B2019" t="str">
            <v>Vitamin C</v>
          </cell>
          <cell r="C2019" t="str">
            <v>Vitamin</v>
          </cell>
          <cell r="D2019">
            <v>154</v>
          </cell>
          <cell r="E2019">
            <v>44.01</v>
          </cell>
          <cell r="F2019">
            <v>6777.54</v>
          </cell>
          <cell r="G2019">
            <v>7.0000000000000007E-2</v>
          </cell>
          <cell r="H2019">
            <v>1</v>
          </cell>
          <cell r="I2019" t="str">
            <v>Canada</v>
          </cell>
          <cell r="J2019" t="str">
            <v>iHerb</v>
          </cell>
        </row>
        <row r="2020">
          <cell r="A2020" t="str">
            <v>06-06-2022</v>
          </cell>
          <cell r="B2020" t="str">
            <v>Fish Oil</v>
          </cell>
          <cell r="C2020" t="str">
            <v>Omega</v>
          </cell>
          <cell r="D2020">
            <v>157</v>
          </cell>
          <cell r="E2020">
            <v>20.63</v>
          </cell>
          <cell r="F2020">
            <v>3238.91</v>
          </cell>
          <cell r="G2020">
            <v>0.09</v>
          </cell>
          <cell r="H2020">
            <v>1</v>
          </cell>
          <cell r="I2020" t="str">
            <v>USA</v>
          </cell>
          <cell r="J2020" t="str">
            <v>iHerb</v>
          </cell>
        </row>
        <row r="2021">
          <cell r="A2021" t="str">
            <v>06-06-2022</v>
          </cell>
          <cell r="B2021" t="str">
            <v>Multivitamin</v>
          </cell>
          <cell r="C2021" t="str">
            <v>Vitamin</v>
          </cell>
          <cell r="D2021">
            <v>130</v>
          </cell>
          <cell r="E2021">
            <v>52.66</v>
          </cell>
          <cell r="F2021">
            <v>6845.8</v>
          </cell>
          <cell r="G2021">
            <v>0.05</v>
          </cell>
          <cell r="H2021">
            <v>0</v>
          </cell>
          <cell r="I2021" t="str">
            <v>Canada</v>
          </cell>
          <cell r="J2021" t="str">
            <v>Amazon</v>
          </cell>
        </row>
        <row r="2022">
          <cell r="A2022" t="str">
            <v>06-06-2022</v>
          </cell>
          <cell r="B2022" t="str">
            <v>Pre-Workout</v>
          </cell>
          <cell r="C2022" t="str">
            <v>Performance</v>
          </cell>
          <cell r="D2022">
            <v>159</v>
          </cell>
          <cell r="E2022">
            <v>29.67</v>
          </cell>
          <cell r="F2022">
            <v>4717.53</v>
          </cell>
          <cell r="G2022">
            <v>0.02</v>
          </cell>
          <cell r="H2022">
            <v>1</v>
          </cell>
          <cell r="I2022" t="str">
            <v>USA</v>
          </cell>
          <cell r="J2022" t="str">
            <v>Amazon</v>
          </cell>
        </row>
        <row r="2023">
          <cell r="A2023" t="str">
            <v>06-06-2022</v>
          </cell>
          <cell r="B2023" t="str">
            <v>BCAA</v>
          </cell>
          <cell r="C2023" t="str">
            <v>Amino Acid</v>
          </cell>
          <cell r="D2023">
            <v>161</v>
          </cell>
          <cell r="E2023">
            <v>20.350000000000001</v>
          </cell>
          <cell r="F2023">
            <v>3276.35</v>
          </cell>
          <cell r="G2023">
            <v>0.08</v>
          </cell>
          <cell r="H2023">
            <v>0</v>
          </cell>
          <cell r="I2023" t="str">
            <v>Canada</v>
          </cell>
          <cell r="J2023" t="str">
            <v>iHerb</v>
          </cell>
        </row>
        <row r="2024">
          <cell r="A2024" t="str">
            <v>06-06-2022</v>
          </cell>
          <cell r="B2024" t="str">
            <v>Creatine</v>
          </cell>
          <cell r="C2024" t="str">
            <v>Performance</v>
          </cell>
          <cell r="D2024">
            <v>156</v>
          </cell>
          <cell r="E2024">
            <v>48.27</v>
          </cell>
          <cell r="F2024">
            <v>7530.12</v>
          </cell>
          <cell r="G2024">
            <v>0.21</v>
          </cell>
          <cell r="H2024">
            <v>3</v>
          </cell>
          <cell r="I2024" t="str">
            <v>UK</v>
          </cell>
          <cell r="J2024" t="str">
            <v>iHerb</v>
          </cell>
        </row>
        <row r="2025">
          <cell r="A2025" t="str">
            <v>06-06-2022</v>
          </cell>
          <cell r="B2025" t="str">
            <v>Zinc</v>
          </cell>
          <cell r="C2025" t="str">
            <v>Mineral</v>
          </cell>
          <cell r="D2025">
            <v>156</v>
          </cell>
          <cell r="E2025">
            <v>59.12</v>
          </cell>
          <cell r="F2025">
            <v>9222.7199999999993</v>
          </cell>
          <cell r="G2025">
            <v>0.17</v>
          </cell>
          <cell r="H2025">
            <v>4</v>
          </cell>
          <cell r="I2025" t="str">
            <v>Canada</v>
          </cell>
          <cell r="J2025" t="str">
            <v>Amazon</v>
          </cell>
        </row>
        <row r="2026">
          <cell r="A2026" t="str">
            <v>06-06-2022</v>
          </cell>
          <cell r="B2026" t="str">
            <v>Collagen Peptides</v>
          </cell>
          <cell r="C2026" t="str">
            <v>Protein</v>
          </cell>
          <cell r="D2026">
            <v>138</v>
          </cell>
          <cell r="E2026">
            <v>26.07</v>
          </cell>
          <cell r="F2026">
            <v>3597.66</v>
          </cell>
          <cell r="G2026">
            <v>0.25</v>
          </cell>
          <cell r="H2026">
            <v>0</v>
          </cell>
          <cell r="I2026" t="str">
            <v>USA</v>
          </cell>
          <cell r="J2026" t="str">
            <v>Walmart</v>
          </cell>
        </row>
        <row r="2027">
          <cell r="A2027" t="str">
            <v>06-06-2022</v>
          </cell>
          <cell r="B2027" t="str">
            <v>Magnesium</v>
          </cell>
          <cell r="C2027" t="str">
            <v>Mineral</v>
          </cell>
          <cell r="D2027">
            <v>151</v>
          </cell>
          <cell r="E2027">
            <v>31.63</v>
          </cell>
          <cell r="F2027">
            <v>4776.13</v>
          </cell>
          <cell r="G2027">
            <v>0.12</v>
          </cell>
          <cell r="H2027">
            <v>5</v>
          </cell>
          <cell r="I2027" t="str">
            <v>UK</v>
          </cell>
          <cell r="J2027" t="str">
            <v>Walmart</v>
          </cell>
        </row>
        <row r="2028">
          <cell r="A2028" t="str">
            <v>06-06-2022</v>
          </cell>
          <cell r="B2028" t="str">
            <v>Ashwagandha</v>
          </cell>
          <cell r="C2028" t="str">
            <v>Herbal</v>
          </cell>
          <cell r="D2028">
            <v>147</v>
          </cell>
          <cell r="E2028">
            <v>12.73</v>
          </cell>
          <cell r="F2028">
            <v>1871.31</v>
          </cell>
          <cell r="G2028">
            <v>0.21</v>
          </cell>
          <cell r="H2028">
            <v>2</v>
          </cell>
          <cell r="I2028" t="str">
            <v>USA</v>
          </cell>
          <cell r="J2028" t="str">
            <v>iHerb</v>
          </cell>
        </row>
        <row r="2029">
          <cell r="A2029" t="str">
            <v>06-06-2022</v>
          </cell>
          <cell r="B2029" t="str">
            <v>Melatonin</v>
          </cell>
          <cell r="C2029" t="str">
            <v>Sleep Aid</v>
          </cell>
          <cell r="D2029">
            <v>147</v>
          </cell>
          <cell r="E2029">
            <v>39.58</v>
          </cell>
          <cell r="F2029">
            <v>5818.26</v>
          </cell>
          <cell r="G2029">
            <v>0</v>
          </cell>
          <cell r="H2029">
            <v>0</v>
          </cell>
          <cell r="I2029" t="str">
            <v>USA</v>
          </cell>
          <cell r="J2029" t="str">
            <v>Amazon</v>
          </cell>
        </row>
        <row r="2030">
          <cell r="A2030" t="str">
            <v>06-06-2022</v>
          </cell>
          <cell r="B2030" t="str">
            <v>Biotin</v>
          </cell>
          <cell r="C2030" t="str">
            <v>Vitamin</v>
          </cell>
          <cell r="D2030">
            <v>154</v>
          </cell>
          <cell r="E2030">
            <v>19.59</v>
          </cell>
          <cell r="F2030">
            <v>3016.86</v>
          </cell>
          <cell r="G2030">
            <v>0.16</v>
          </cell>
          <cell r="H2030">
            <v>0</v>
          </cell>
          <cell r="I2030" t="str">
            <v>UK</v>
          </cell>
          <cell r="J2030" t="str">
            <v>Walmart</v>
          </cell>
        </row>
        <row r="2031">
          <cell r="A2031" t="str">
            <v>06-06-2022</v>
          </cell>
          <cell r="B2031" t="str">
            <v>Green Tea Extract</v>
          </cell>
          <cell r="C2031" t="str">
            <v>Fat Burner</v>
          </cell>
          <cell r="D2031">
            <v>143</v>
          </cell>
          <cell r="E2031">
            <v>39.01</v>
          </cell>
          <cell r="F2031">
            <v>5578.43</v>
          </cell>
          <cell r="G2031">
            <v>0.17</v>
          </cell>
          <cell r="H2031">
            <v>2</v>
          </cell>
          <cell r="I2031" t="str">
            <v>UK</v>
          </cell>
          <cell r="J2031" t="str">
            <v>iHerb</v>
          </cell>
        </row>
        <row r="2032">
          <cell r="A2032" t="str">
            <v>06-06-2022</v>
          </cell>
          <cell r="B2032" t="str">
            <v>Iron Supplement</v>
          </cell>
          <cell r="C2032" t="str">
            <v>Mineral</v>
          </cell>
          <cell r="D2032">
            <v>141</v>
          </cell>
          <cell r="E2032">
            <v>13.93</v>
          </cell>
          <cell r="F2032">
            <v>1964.13</v>
          </cell>
          <cell r="G2032">
            <v>0.11</v>
          </cell>
          <cell r="H2032">
            <v>3</v>
          </cell>
          <cell r="I2032" t="str">
            <v>UK</v>
          </cell>
          <cell r="J2032" t="str">
            <v>iHerb</v>
          </cell>
        </row>
        <row r="2033">
          <cell r="A2033" t="str">
            <v>06-06-2022</v>
          </cell>
          <cell r="B2033" t="str">
            <v>Electrolyte Powder</v>
          </cell>
          <cell r="C2033" t="str">
            <v>Hydration</v>
          </cell>
          <cell r="D2033">
            <v>139</v>
          </cell>
          <cell r="E2033">
            <v>15.04</v>
          </cell>
          <cell r="F2033">
            <v>2090.56</v>
          </cell>
          <cell r="G2033">
            <v>0.15</v>
          </cell>
          <cell r="H2033">
            <v>2</v>
          </cell>
          <cell r="I2033" t="str">
            <v>UK</v>
          </cell>
          <cell r="J2033" t="str">
            <v>Walmart</v>
          </cell>
        </row>
        <row r="2034">
          <cell r="A2034" t="str">
            <v>13-06-2022</v>
          </cell>
          <cell r="B2034" t="str">
            <v>Whey Protein</v>
          </cell>
          <cell r="C2034" t="str">
            <v>Protein</v>
          </cell>
          <cell r="D2034">
            <v>155</v>
          </cell>
          <cell r="E2034">
            <v>34.32</v>
          </cell>
          <cell r="F2034">
            <v>5319.6</v>
          </cell>
          <cell r="G2034">
            <v>0.03</v>
          </cell>
          <cell r="H2034">
            <v>1</v>
          </cell>
          <cell r="I2034" t="str">
            <v>Canada</v>
          </cell>
          <cell r="J2034" t="str">
            <v>iHerb</v>
          </cell>
        </row>
        <row r="2035">
          <cell r="A2035" t="str">
            <v>13-06-2022</v>
          </cell>
          <cell r="B2035" t="str">
            <v>Vitamin C</v>
          </cell>
          <cell r="C2035" t="str">
            <v>Vitamin</v>
          </cell>
          <cell r="D2035">
            <v>156</v>
          </cell>
          <cell r="E2035">
            <v>36.549999999999997</v>
          </cell>
          <cell r="F2035">
            <v>5701.8</v>
          </cell>
          <cell r="G2035">
            <v>0.17</v>
          </cell>
          <cell r="H2035">
            <v>2</v>
          </cell>
          <cell r="I2035" t="str">
            <v>UK</v>
          </cell>
          <cell r="J2035" t="str">
            <v>iHerb</v>
          </cell>
        </row>
        <row r="2036">
          <cell r="A2036" t="str">
            <v>13-06-2022</v>
          </cell>
          <cell r="B2036" t="str">
            <v>Fish Oil</v>
          </cell>
          <cell r="C2036" t="str">
            <v>Omega</v>
          </cell>
          <cell r="D2036">
            <v>167</v>
          </cell>
          <cell r="E2036">
            <v>48.93</v>
          </cell>
          <cell r="F2036">
            <v>8171.31</v>
          </cell>
          <cell r="G2036">
            <v>0.06</v>
          </cell>
          <cell r="H2036">
            <v>2</v>
          </cell>
          <cell r="I2036" t="str">
            <v>USA</v>
          </cell>
          <cell r="J2036" t="str">
            <v>Amazon</v>
          </cell>
        </row>
        <row r="2037">
          <cell r="A2037" t="str">
            <v>13-06-2022</v>
          </cell>
          <cell r="B2037" t="str">
            <v>Multivitamin</v>
          </cell>
          <cell r="C2037" t="str">
            <v>Vitamin</v>
          </cell>
          <cell r="D2037">
            <v>169</v>
          </cell>
          <cell r="E2037">
            <v>48.96</v>
          </cell>
          <cell r="F2037">
            <v>8274.24</v>
          </cell>
          <cell r="G2037">
            <v>0.18</v>
          </cell>
          <cell r="H2037">
            <v>0</v>
          </cell>
          <cell r="I2037" t="str">
            <v>Canada</v>
          </cell>
          <cell r="J2037" t="str">
            <v>iHerb</v>
          </cell>
        </row>
        <row r="2038">
          <cell r="A2038" t="str">
            <v>13-06-2022</v>
          </cell>
          <cell r="B2038" t="str">
            <v>Pre-Workout</v>
          </cell>
          <cell r="C2038" t="str">
            <v>Performance</v>
          </cell>
          <cell r="D2038">
            <v>153</v>
          </cell>
          <cell r="E2038">
            <v>58.37</v>
          </cell>
          <cell r="F2038">
            <v>8930.61</v>
          </cell>
          <cell r="G2038">
            <v>0.2</v>
          </cell>
          <cell r="H2038">
            <v>0</v>
          </cell>
          <cell r="I2038" t="str">
            <v>USA</v>
          </cell>
          <cell r="J2038" t="str">
            <v>Amazon</v>
          </cell>
        </row>
        <row r="2039">
          <cell r="A2039" t="str">
            <v>13-06-2022</v>
          </cell>
          <cell r="B2039" t="str">
            <v>BCAA</v>
          </cell>
          <cell r="C2039" t="str">
            <v>Amino Acid</v>
          </cell>
          <cell r="D2039">
            <v>133</v>
          </cell>
          <cell r="E2039">
            <v>27.24</v>
          </cell>
          <cell r="F2039">
            <v>3622.92</v>
          </cell>
          <cell r="G2039">
            <v>0.01</v>
          </cell>
          <cell r="H2039">
            <v>1</v>
          </cell>
          <cell r="I2039" t="str">
            <v>Canada</v>
          </cell>
          <cell r="J2039" t="str">
            <v>Amazon</v>
          </cell>
        </row>
        <row r="2040">
          <cell r="A2040" t="str">
            <v>13-06-2022</v>
          </cell>
          <cell r="B2040" t="str">
            <v>Creatine</v>
          </cell>
          <cell r="C2040" t="str">
            <v>Performance</v>
          </cell>
          <cell r="D2040">
            <v>146</v>
          </cell>
          <cell r="E2040">
            <v>50.1</v>
          </cell>
          <cell r="F2040">
            <v>7314.6</v>
          </cell>
          <cell r="G2040">
            <v>0.23</v>
          </cell>
          <cell r="H2040">
            <v>2</v>
          </cell>
          <cell r="I2040" t="str">
            <v>UK</v>
          </cell>
          <cell r="J2040" t="str">
            <v>iHerb</v>
          </cell>
        </row>
        <row r="2041">
          <cell r="A2041" t="str">
            <v>13-06-2022</v>
          </cell>
          <cell r="B2041" t="str">
            <v>Zinc</v>
          </cell>
          <cell r="C2041" t="str">
            <v>Mineral</v>
          </cell>
          <cell r="D2041">
            <v>163</v>
          </cell>
          <cell r="E2041">
            <v>23.18</v>
          </cell>
          <cell r="F2041">
            <v>3778.34</v>
          </cell>
          <cell r="G2041">
            <v>0.05</v>
          </cell>
          <cell r="H2041">
            <v>2</v>
          </cell>
          <cell r="I2041" t="str">
            <v>USA</v>
          </cell>
          <cell r="J2041" t="str">
            <v>Walmart</v>
          </cell>
        </row>
        <row r="2042">
          <cell r="A2042" t="str">
            <v>13-06-2022</v>
          </cell>
          <cell r="B2042" t="str">
            <v>Collagen Peptides</v>
          </cell>
          <cell r="C2042" t="str">
            <v>Protein</v>
          </cell>
          <cell r="D2042">
            <v>177</v>
          </cell>
          <cell r="E2042">
            <v>54.07</v>
          </cell>
          <cell r="F2042">
            <v>9570.39</v>
          </cell>
          <cell r="G2042">
            <v>0.16</v>
          </cell>
          <cell r="H2042">
            <v>1</v>
          </cell>
          <cell r="I2042" t="str">
            <v>USA</v>
          </cell>
          <cell r="J2042" t="str">
            <v>Walmart</v>
          </cell>
        </row>
        <row r="2043">
          <cell r="A2043" t="str">
            <v>13-06-2022</v>
          </cell>
          <cell r="B2043" t="str">
            <v>Magnesium</v>
          </cell>
          <cell r="C2043" t="str">
            <v>Mineral</v>
          </cell>
          <cell r="D2043">
            <v>147</v>
          </cell>
          <cell r="E2043">
            <v>11.57</v>
          </cell>
          <cell r="F2043">
            <v>1700.79</v>
          </cell>
          <cell r="G2043">
            <v>0.17</v>
          </cell>
          <cell r="H2043">
            <v>1</v>
          </cell>
          <cell r="I2043" t="str">
            <v>Canada</v>
          </cell>
          <cell r="J2043" t="str">
            <v>Walmart</v>
          </cell>
        </row>
        <row r="2044">
          <cell r="A2044" t="str">
            <v>13-06-2022</v>
          </cell>
          <cell r="B2044" t="str">
            <v>Ashwagandha</v>
          </cell>
          <cell r="C2044" t="str">
            <v>Herbal</v>
          </cell>
          <cell r="D2044">
            <v>152</v>
          </cell>
          <cell r="E2044">
            <v>23.87</v>
          </cell>
          <cell r="F2044">
            <v>3628.24</v>
          </cell>
          <cell r="G2044">
            <v>0.12</v>
          </cell>
          <cell r="H2044">
            <v>1</v>
          </cell>
          <cell r="I2044" t="str">
            <v>UK</v>
          </cell>
          <cell r="J2044" t="str">
            <v>Amazon</v>
          </cell>
        </row>
        <row r="2045">
          <cell r="A2045" t="str">
            <v>13-06-2022</v>
          </cell>
          <cell r="B2045" t="str">
            <v>Melatonin</v>
          </cell>
          <cell r="C2045" t="str">
            <v>Sleep Aid</v>
          </cell>
          <cell r="D2045">
            <v>146</v>
          </cell>
          <cell r="E2045">
            <v>32.56</v>
          </cell>
          <cell r="F2045">
            <v>4753.76</v>
          </cell>
          <cell r="G2045">
            <v>0.15</v>
          </cell>
          <cell r="H2045">
            <v>3</v>
          </cell>
          <cell r="I2045" t="str">
            <v>UK</v>
          </cell>
          <cell r="J2045" t="str">
            <v>iHerb</v>
          </cell>
        </row>
        <row r="2046">
          <cell r="A2046" t="str">
            <v>13-06-2022</v>
          </cell>
          <cell r="B2046" t="str">
            <v>Biotin</v>
          </cell>
          <cell r="C2046" t="str">
            <v>Vitamin</v>
          </cell>
          <cell r="D2046">
            <v>141</v>
          </cell>
          <cell r="E2046">
            <v>23.05</v>
          </cell>
          <cell r="F2046">
            <v>3250.05</v>
          </cell>
          <cell r="G2046">
            <v>7.0000000000000007E-2</v>
          </cell>
          <cell r="H2046">
            <v>3</v>
          </cell>
          <cell r="I2046" t="str">
            <v>UK</v>
          </cell>
          <cell r="J2046" t="str">
            <v>Walmart</v>
          </cell>
        </row>
        <row r="2047">
          <cell r="A2047" t="str">
            <v>13-06-2022</v>
          </cell>
          <cell r="B2047" t="str">
            <v>Green Tea Extract</v>
          </cell>
          <cell r="C2047" t="str">
            <v>Fat Burner</v>
          </cell>
          <cell r="D2047">
            <v>155</v>
          </cell>
          <cell r="E2047">
            <v>16.77</v>
          </cell>
          <cell r="F2047">
            <v>2599.35</v>
          </cell>
          <cell r="G2047">
            <v>0.04</v>
          </cell>
          <cell r="H2047">
            <v>2</v>
          </cell>
          <cell r="I2047" t="str">
            <v>UK</v>
          </cell>
          <cell r="J2047" t="str">
            <v>iHerb</v>
          </cell>
        </row>
        <row r="2048">
          <cell r="A2048" t="str">
            <v>13-06-2022</v>
          </cell>
          <cell r="B2048" t="str">
            <v>Iron Supplement</v>
          </cell>
          <cell r="C2048" t="str">
            <v>Mineral</v>
          </cell>
          <cell r="D2048">
            <v>159</v>
          </cell>
          <cell r="E2048">
            <v>57.03</v>
          </cell>
          <cell r="F2048">
            <v>9067.77</v>
          </cell>
          <cell r="G2048">
            <v>0.05</v>
          </cell>
          <cell r="H2048">
            <v>1</v>
          </cell>
          <cell r="I2048" t="str">
            <v>USA</v>
          </cell>
          <cell r="J2048" t="str">
            <v>iHerb</v>
          </cell>
        </row>
        <row r="2049">
          <cell r="A2049" t="str">
            <v>13-06-2022</v>
          </cell>
          <cell r="B2049" t="str">
            <v>Electrolyte Powder</v>
          </cell>
          <cell r="C2049" t="str">
            <v>Hydration</v>
          </cell>
          <cell r="D2049">
            <v>140</v>
          </cell>
          <cell r="E2049">
            <v>55.73</v>
          </cell>
          <cell r="F2049">
            <v>7802.2</v>
          </cell>
          <cell r="G2049">
            <v>0.14000000000000001</v>
          </cell>
          <cell r="H2049">
            <v>2</v>
          </cell>
          <cell r="I2049" t="str">
            <v>Canada</v>
          </cell>
          <cell r="J2049" t="str">
            <v>Amazon</v>
          </cell>
        </row>
        <row r="2050">
          <cell r="A2050" t="str">
            <v>20-06-2022</v>
          </cell>
          <cell r="B2050" t="str">
            <v>Whey Protein</v>
          </cell>
          <cell r="C2050" t="str">
            <v>Protein</v>
          </cell>
          <cell r="D2050">
            <v>150</v>
          </cell>
          <cell r="E2050">
            <v>13.21</v>
          </cell>
          <cell r="F2050">
            <v>1981.5</v>
          </cell>
          <cell r="G2050">
            <v>0.13</v>
          </cell>
          <cell r="H2050">
            <v>2</v>
          </cell>
          <cell r="I2050" t="str">
            <v>Canada</v>
          </cell>
          <cell r="J2050" t="str">
            <v>Amazon</v>
          </cell>
        </row>
        <row r="2051">
          <cell r="A2051" t="str">
            <v>20-06-2022</v>
          </cell>
          <cell r="B2051" t="str">
            <v>Vitamin C</v>
          </cell>
          <cell r="C2051" t="str">
            <v>Vitamin</v>
          </cell>
          <cell r="D2051">
            <v>139</v>
          </cell>
          <cell r="E2051">
            <v>50.53</v>
          </cell>
          <cell r="F2051">
            <v>7023.67</v>
          </cell>
          <cell r="G2051">
            <v>0.1</v>
          </cell>
          <cell r="H2051">
            <v>2</v>
          </cell>
          <cell r="I2051" t="str">
            <v>USA</v>
          </cell>
          <cell r="J2051" t="str">
            <v>Amazon</v>
          </cell>
        </row>
        <row r="2052">
          <cell r="A2052" t="str">
            <v>20-06-2022</v>
          </cell>
          <cell r="B2052" t="str">
            <v>Fish Oil</v>
          </cell>
          <cell r="C2052" t="str">
            <v>Omega</v>
          </cell>
          <cell r="D2052">
            <v>147</v>
          </cell>
          <cell r="E2052">
            <v>48.2</v>
          </cell>
          <cell r="F2052">
            <v>7085.4</v>
          </cell>
          <cell r="G2052">
            <v>0.25</v>
          </cell>
          <cell r="H2052">
            <v>1</v>
          </cell>
          <cell r="I2052" t="str">
            <v>USA</v>
          </cell>
          <cell r="J2052" t="str">
            <v>Amazon</v>
          </cell>
        </row>
        <row r="2053">
          <cell r="A2053" t="str">
            <v>20-06-2022</v>
          </cell>
          <cell r="B2053" t="str">
            <v>Multivitamin</v>
          </cell>
          <cell r="C2053" t="str">
            <v>Vitamin</v>
          </cell>
          <cell r="D2053">
            <v>147</v>
          </cell>
          <cell r="E2053">
            <v>20.2</v>
          </cell>
          <cell r="F2053">
            <v>2969.4</v>
          </cell>
          <cell r="G2053">
            <v>0.17</v>
          </cell>
          <cell r="H2053">
            <v>3</v>
          </cell>
          <cell r="I2053" t="str">
            <v>UK</v>
          </cell>
          <cell r="J2053" t="str">
            <v>Amazon</v>
          </cell>
        </row>
        <row r="2054">
          <cell r="A2054" t="str">
            <v>20-06-2022</v>
          </cell>
          <cell r="B2054" t="str">
            <v>Pre-Workout</v>
          </cell>
          <cell r="C2054" t="str">
            <v>Performance</v>
          </cell>
          <cell r="D2054">
            <v>146</v>
          </cell>
          <cell r="E2054">
            <v>24.25</v>
          </cell>
          <cell r="F2054">
            <v>3540.5</v>
          </cell>
          <cell r="G2054">
            <v>0.11</v>
          </cell>
          <cell r="H2054">
            <v>1</v>
          </cell>
          <cell r="I2054" t="str">
            <v>UK</v>
          </cell>
          <cell r="J2054" t="str">
            <v>Walmart</v>
          </cell>
        </row>
        <row r="2055">
          <cell r="A2055" t="str">
            <v>20-06-2022</v>
          </cell>
          <cell r="B2055" t="str">
            <v>BCAA</v>
          </cell>
          <cell r="C2055" t="str">
            <v>Amino Acid</v>
          </cell>
          <cell r="D2055">
            <v>140</v>
          </cell>
          <cell r="E2055">
            <v>10.39</v>
          </cell>
          <cell r="F2055">
            <v>1454.6</v>
          </cell>
          <cell r="G2055">
            <v>0.13</v>
          </cell>
          <cell r="H2055">
            <v>2</v>
          </cell>
          <cell r="I2055" t="str">
            <v>UK</v>
          </cell>
          <cell r="J2055" t="str">
            <v>Amazon</v>
          </cell>
        </row>
        <row r="2056">
          <cell r="A2056" t="str">
            <v>20-06-2022</v>
          </cell>
          <cell r="B2056" t="str">
            <v>Creatine</v>
          </cell>
          <cell r="C2056" t="str">
            <v>Performance</v>
          </cell>
          <cell r="D2056">
            <v>141</v>
          </cell>
          <cell r="E2056">
            <v>43.45</v>
          </cell>
          <cell r="F2056">
            <v>6126.45</v>
          </cell>
          <cell r="G2056">
            <v>0.16</v>
          </cell>
          <cell r="H2056">
            <v>1</v>
          </cell>
          <cell r="I2056" t="str">
            <v>Canada</v>
          </cell>
          <cell r="J2056" t="str">
            <v>Walmart</v>
          </cell>
        </row>
        <row r="2057">
          <cell r="A2057" t="str">
            <v>20-06-2022</v>
          </cell>
          <cell r="B2057" t="str">
            <v>Zinc</v>
          </cell>
          <cell r="C2057" t="str">
            <v>Mineral</v>
          </cell>
          <cell r="D2057">
            <v>144</v>
          </cell>
          <cell r="E2057">
            <v>47.92</v>
          </cell>
          <cell r="F2057">
            <v>6900.48</v>
          </cell>
          <cell r="G2057">
            <v>0.08</v>
          </cell>
          <cell r="H2057">
            <v>0</v>
          </cell>
          <cell r="I2057" t="str">
            <v>Canada</v>
          </cell>
          <cell r="J2057" t="str">
            <v>Amazon</v>
          </cell>
        </row>
        <row r="2058">
          <cell r="A2058" t="str">
            <v>20-06-2022</v>
          </cell>
          <cell r="B2058" t="str">
            <v>Collagen Peptides</v>
          </cell>
          <cell r="C2058" t="str">
            <v>Protein</v>
          </cell>
          <cell r="D2058">
            <v>128</v>
          </cell>
          <cell r="E2058">
            <v>39.14</v>
          </cell>
          <cell r="F2058">
            <v>5009.92</v>
          </cell>
          <cell r="G2058">
            <v>0.01</v>
          </cell>
          <cell r="H2058">
            <v>1</v>
          </cell>
          <cell r="I2058" t="str">
            <v>UK</v>
          </cell>
          <cell r="J2058" t="str">
            <v>Walmart</v>
          </cell>
        </row>
        <row r="2059">
          <cell r="A2059" t="str">
            <v>20-06-2022</v>
          </cell>
          <cell r="B2059" t="str">
            <v>Magnesium</v>
          </cell>
          <cell r="C2059" t="str">
            <v>Mineral</v>
          </cell>
          <cell r="D2059">
            <v>160</v>
          </cell>
          <cell r="E2059">
            <v>48.17</v>
          </cell>
          <cell r="F2059">
            <v>7707.2</v>
          </cell>
          <cell r="G2059">
            <v>0.19</v>
          </cell>
          <cell r="H2059">
            <v>1</v>
          </cell>
          <cell r="I2059" t="str">
            <v>UK</v>
          </cell>
          <cell r="J2059" t="str">
            <v>Walmart</v>
          </cell>
        </row>
        <row r="2060">
          <cell r="A2060" t="str">
            <v>20-06-2022</v>
          </cell>
          <cell r="B2060" t="str">
            <v>Ashwagandha</v>
          </cell>
          <cell r="C2060" t="str">
            <v>Herbal</v>
          </cell>
          <cell r="D2060">
            <v>158</v>
          </cell>
          <cell r="E2060">
            <v>29.87</v>
          </cell>
          <cell r="F2060">
            <v>4719.46</v>
          </cell>
          <cell r="G2060">
            <v>0.05</v>
          </cell>
          <cell r="H2060">
            <v>1</v>
          </cell>
          <cell r="I2060" t="str">
            <v>USA</v>
          </cell>
          <cell r="J2060" t="str">
            <v>Walmart</v>
          </cell>
        </row>
        <row r="2061">
          <cell r="A2061" t="str">
            <v>20-06-2022</v>
          </cell>
          <cell r="B2061" t="str">
            <v>Melatonin</v>
          </cell>
          <cell r="C2061" t="str">
            <v>Sleep Aid</v>
          </cell>
          <cell r="D2061">
            <v>171</v>
          </cell>
          <cell r="E2061">
            <v>18.649999999999999</v>
          </cell>
          <cell r="F2061">
            <v>3189.15</v>
          </cell>
          <cell r="G2061">
            <v>0.17</v>
          </cell>
          <cell r="H2061">
            <v>1</v>
          </cell>
          <cell r="I2061" t="str">
            <v>USA</v>
          </cell>
          <cell r="J2061" t="str">
            <v>iHerb</v>
          </cell>
        </row>
        <row r="2062">
          <cell r="A2062" t="str">
            <v>20-06-2022</v>
          </cell>
          <cell r="B2062" t="str">
            <v>Biotin</v>
          </cell>
          <cell r="C2062" t="str">
            <v>Vitamin</v>
          </cell>
          <cell r="D2062">
            <v>153</v>
          </cell>
          <cell r="E2062">
            <v>35.75</v>
          </cell>
          <cell r="F2062">
            <v>5469.75</v>
          </cell>
          <cell r="G2062">
            <v>0.2</v>
          </cell>
          <cell r="H2062">
            <v>2</v>
          </cell>
          <cell r="I2062" t="str">
            <v>UK</v>
          </cell>
          <cell r="J2062" t="str">
            <v>iHerb</v>
          </cell>
        </row>
        <row r="2063">
          <cell r="A2063" t="str">
            <v>20-06-2022</v>
          </cell>
          <cell r="B2063" t="str">
            <v>Green Tea Extract</v>
          </cell>
          <cell r="C2063" t="str">
            <v>Fat Burner</v>
          </cell>
          <cell r="D2063">
            <v>154</v>
          </cell>
          <cell r="E2063">
            <v>51.8</v>
          </cell>
          <cell r="F2063">
            <v>7977.2</v>
          </cell>
          <cell r="G2063">
            <v>0.23</v>
          </cell>
          <cell r="H2063">
            <v>0</v>
          </cell>
          <cell r="I2063" t="str">
            <v>Canada</v>
          </cell>
          <cell r="J2063" t="str">
            <v>Walmart</v>
          </cell>
        </row>
        <row r="2064">
          <cell r="A2064" t="str">
            <v>20-06-2022</v>
          </cell>
          <cell r="B2064" t="str">
            <v>Iron Supplement</v>
          </cell>
          <cell r="C2064" t="str">
            <v>Mineral</v>
          </cell>
          <cell r="D2064">
            <v>150</v>
          </cell>
          <cell r="E2064">
            <v>47.73</v>
          </cell>
          <cell r="F2064">
            <v>7159.5</v>
          </cell>
          <cell r="G2064">
            <v>0.18</v>
          </cell>
          <cell r="H2064">
            <v>0</v>
          </cell>
          <cell r="I2064" t="str">
            <v>Canada</v>
          </cell>
          <cell r="J2064" t="str">
            <v>Amazon</v>
          </cell>
        </row>
        <row r="2065">
          <cell r="A2065" t="str">
            <v>20-06-2022</v>
          </cell>
          <cell r="B2065" t="str">
            <v>Electrolyte Powder</v>
          </cell>
          <cell r="C2065" t="str">
            <v>Hydration</v>
          </cell>
          <cell r="D2065">
            <v>166</v>
          </cell>
          <cell r="E2065">
            <v>49.86</v>
          </cell>
          <cell r="F2065">
            <v>8276.76</v>
          </cell>
          <cell r="G2065">
            <v>0.11</v>
          </cell>
          <cell r="H2065">
            <v>1</v>
          </cell>
          <cell r="I2065" t="str">
            <v>USA</v>
          </cell>
          <cell r="J2065" t="str">
            <v>Amazon</v>
          </cell>
        </row>
        <row r="2066">
          <cell r="A2066" t="str">
            <v>27-06-2022</v>
          </cell>
          <cell r="B2066" t="str">
            <v>Whey Protein</v>
          </cell>
          <cell r="C2066" t="str">
            <v>Protein</v>
          </cell>
          <cell r="D2066">
            <v>136</v>
          </cell>
          <cell r="E2066">
            <v>43.09</v>
          </cell>
          <cell r="F2066">
            <v>5860.24</v>
          </cell>
          <cell r="G2066">
            <v>0.14000000000000001</v>
          </cell>
          <cell r="H2066">
            <v>0</v>
          </cell>
          <cell r="I2066" t="str">
            <v>USA</v>
          </cell>
          <cell r="J2066" t="str">
            <v>iHerb</v>
          </cell>
        </row>
        <row r="2067">
          <cell r="A2067" t="str">
            <v>27-06-2022</v>
          </cell>
          <cell r="B2067" t="str">
            <v>Vitamin C</v>
          </cell>
          <cell r="C2067" t="str">
            <v>Vitamin</v>
          </cell>
          <cell r="D2067">
            <v>133</v>
          </cell>
          <cell r="E2067">
            <v>47.19</v>
          </cell>
          <cell r="F2067">
            <v>6276.27</v>
          </cell>
          <cell r="G2067">
            <v>0.18</v>
          </cell>
          <cell r="H2067">
            <v>0</v>
          </cell>
          <cell r="I2067" t="str">
            <v>USA</v>
          </cell>
          <cell r="J2067" t="str">
            <v>iHerb</v>
          </cell>
        </row>
        <row r="2068">
          <cell r="A2068" t="str">
            <v>27-06-2022</v>
          </cell>
          <cell r="B2068" t="str">
            <v>Fish Oil</v>
          </cell>
          <cell r="C2068" t="str">
            <v>Omega</v>
          </cell>
          <cell r="D2068">
            <v>152</v>
          </cell>
          <cell r="E2068">
            <v>55.19</v>
          </cell>
          <cell r="F2068">
            <v>8388.8799999999992</v>
          </cell>
          <cell r="G2068">
            <v>0.23</v>
          </cell>
          <cell r="H2068">
            <v>2</v>
          </cell>
          <cell r="I2068" t="str">
            <v>USA</v>
          </cell>
          <cell r="J2068" t="str">
            <v>Amazon</v>
          </cell>
        </row>
        <row r="2069">
          <cell r="A2069" t="str">
            <v>27-06-2022</v>
          </cell>
          <cell r="B2069" t="str">
            <v>Multivitamin</v>
          </cell>
          <cell r="C2069" t="str">
            <v>Vitamin</v>
          </cell>
          <cell r="D2069">
            <v>172</v>
          </cell>
          <cell r="E2069">
            <v>51.43</v>
          </cell>
          <cell r="F2069">
            <v>8845.9599999999991</v>
          </cell>
          <cell r="G2069">
            <v>0.14000000000000001</v>
          </cell>
          <cell r="H2069">
            <v>1</v>
          </cell>
          <cell r="I2069" t="str">
            <v>USA</v>
          </cell>
          <cell r="J2069" t="str">
            <v>iHerb</v>
          </cell>
        </row>
        <row r="2070">
          <cell r="A2070" t="str">
            <v>27-06-2022</v>
          </cell>
          <cell r="B2070" t="str">
            <v>Pre-Workout</v>
          </cell>
          <cell r="C2070" t="str">
            <v>Performance</v>
          </cell>
          <cell r="D2070">
            <v>139</v>
          </cell>
          <cell r="E2070">
            <v>41.42</v>
          </cell>
          <cell r="F2070">
            <v>5757.38</v>
          </cell>
          <cell r="G2070">
            <v>0.04</v>
          </cell>
          <cell r="H2070">
            <v>1</v>
          </cell>
          <cell r="I2070" t="str">
            <v>USA</v>
          </cell>
          <cell r="J2070" t="str">
            <v>Walmart</v>
          </cell>
        </row>
        <row r="2071">
          <cell r="A2071" t="str">
            <v>27-06-2022</v>
          </cell>
          <cell r="B2071" t="str">
            <v>BCAA</v>
          </cell>
          <cell r="C2071" t="str">
            <v>Amino Acid</v>
          </cell>
          <cell r="D2071">
            <v>149</v>
          </cell>
          <cell r="E2071">
            <v>39.43</v>
          </cell>
          <cell r="F2071">
            <v>5875.07</v>
          </cell>
          <cell r="G2071">
            <v>0.23</v>
          </cell>
          <cell r="H2071">
            <v>2</v>
          </cell>
          <cell r="I2071" t="str">
            <v>UK</v>
          </cell>
          <cell r="J2071" t="str">
            <v>Walmart</v>
          </cell>
        </row>
        <row r="2072">
          <cell r="A2072" t="str">
            <v>27-06-2022</v>
          </cell>
          <cell r="B2072" t="str">
            <v>Creatine</v>
          </cell>
          <cell r="C2072" t="str">
            <v>Performance</v>
          </cell>
          <cell r="D2072">
            <v>156</v>
          </cell>
          <cell r="E2072">
            <v>34.4</v>
          </cell>
          <cell r="F2072">
            <v>5366.4</v>
          </cell>
          <cell r="G2072">
            <v>0.05</v>
          </cell>
          <cell r="H2072">
            <v>3</v>
          </cell>
          <cell r="I2072" t="str">
            <v>USA</v>
          </cell>
          <cell r="J2072" t="str">
            <v>Walmart</v>
          </cell>
        </row>
        <row r="2073">
          <cell r="A2073" t="str">
            <v>27-06-2022</v>
          </cell>
          <cell r="B2073" t="str">
            <v>Zinc</v>
          </cell>
          <cell r="C2073" t="str">
            <v>Mineral</v>
          </cell>
          <cell r="D2073">
            <v>140</v>
          </cell>
          <cell r="E2073">
            <v>47.5</v>
          </cell>
          <cell r="F2073">
            <v>6650</v>
          </cell>
          <cell r="G2073">
            <v>0.04</v>
          </cell>
          <cell r="H2073">
            <v>1</v>
          </cell>
          <cell r="I2073" t="str">
            <v>UK</v>
          </cell>
          <cell r="J2073" t="str">
            <v>Walmart</v>
          </cell>
        </row>
        <row r="2074">
          <cell r="A2074" t="str">
            <v>27-06-2022</v>
          </cell>
          <cell r="B2074" t="str">
            <v>Collagen Peptides</v>
          </cell>
          <cell r="C2074" t="str">
            <v>Protein</v>
          </cell>
          <cell r="D2074">
            <v>137</v>
          </cell>
          <cell r="E2074">
            <v>42.83</v>
          </cell>
          <cell r="F2074">
            <v>5867.71</v>
          </cell>
          <cell r="G2074">
            <v>0.21</v>
          </cell>
          <cell r="H2074">
            <v>1</v>
          </cell>
          <cell r="I2074" t="str">
            <v>UK</v>
          </cell>
          <cell r="J2074" t="str">
            <v>iHerb</v>
          </cell>
        </row>
        <row r="2075">
          <cell r="A2075" t="str">
            <v>27-06-2022</v>
          </cell>
          <cell r="B2075" t="str">
            <v>Magnesium</v>
          </cell>
          <cell r="C2075" t="str">
            <v>Mineral</v>
          </cell>
          <cell r="D2075">
            <v>166</v>
          </cell>
          <cell r="E2075">
            <v>26.27</v>
          </cell>
          <cell r="F2075">
            <v>4360.82</v>
          </cell>
          <cell r="G2075">
            <v>0.04</v>
          </cell>
          <cell r="H2075">
            <v>2</v>
          </cell>
          <cell r="I2075" t="str">
            <v>USA</v>
          </cell>
          <cell r="J2075" t="str">
            <v>Amazon</v>
          </cell>
        </row>
        <row r="2076">
          <cell r="A2076" t="str">
            <v>27-06-2022</v>
          </cell>
          <cell r="B2076" t="str">
            <v>Ashwagandha</v>
          </cell>
          <cell r="C2076" t="str">
            <v>Herbal</v>
          </cell>
          <cell r="D2076">
            <v>147</v>
          </cell>
          <cell r="E2076">
            <v>48.08</v>
          </cell>
          <cell r="F2076">
            <v>7067.76</v>
          </cell>
          <cell r="G2076">
            <v>0.14000000000000001</v>
          </cell>
          <cell r="H2076">
            <v>2</v>
          </cell>
          <cell r="I2076" t="str">
            <v>Canada</v>
          </cell>
          <cell r="J2076" t="str">
            <v>Amazon</v>
          </cell>
        </row>
        <row r="2077">
          <cell r="A2077" t="str">
            <v>27-06-2022</v>
          </cell>
          <cell r="B2077" t="str">
            <v>Melatonin</v>
          </cell>
          <cell r="C2077" t="str">
            <v>Sleep Aid</v>
          </cell>
          <cell r="D2077">
            <v>174</v>
          </cell>
          <cell r="E2077">
            <v>27.96</v>
          </cell>
          <cell r="F2077">
            <v>4865.04</v>
          </cell>
          <cell r="G2077">
            <v>0.18</v>
          </cell>
          <cell r="H2077">
            <v>2</v>
          </cell>
          <cell r="I2077" t="str">
            <v>UK</v>
          </cell>
          <cell r="J2077" t="str">
            <v>Amazon</v>
          </cell>
        </row>
        <row r="2078">
          <cell r="A2078" t="str">
            <v>27-06-2022</v>
          </cell>
          <cell r="B2078" t="str">
            <v>Biotin</v>
          </cell>
          <cell r="C2078" t="str">
            <v>Vitamin</v>
          </cell>
          <cell r="D2078">
            <v>137</v>
          </cell>
          <cell r="E2078">
            <v>33.39</v>
          </cell>
          <cell r="F2078">
            <v>4574.43</v>
          </cell>
          <cell r="G2078">
            <v>0.1</v>
          </cell>
          <cell r="H2078">
            <v>0</v>
          </cell>
          <cell r="I2078" t="str">
            <v>Canada</v>
          </cell>
          <cell r="J2078" t="str">
            <v>Walmart</v>
          </cell>
        </row>
        <row r="2079">
          <cell r="A2079" t="str">
            <v>27-06-2022</v>
          </cell>
          <cell r="B2079" t="str">
            <v>Green Tea Extract</v>
          </cell>
          <cell r="C2079" t="str">
            <v>Fat Burner</v>
          </cell>
          <cell r="D2079">
            <v>172</v>
          </cell>
          <cell r="E2079">
            <v>34.07</v>
          </cell>
          <cell r="F2079">
            <v>5860.04</v>
          </cell>
          <cell r="G2079">
            <v>0.17</v>
          </cell>
          <cell r="H2079">
            <v>3</v>
          </cell>
          <cell r="I2079" t="str">
            <v>Canada</v>
          </cell>
          <cell r="J2079" t="str">
            <v>Amazon</v>
          </cell>
        </row>
        <row r="2080">
          <cell r="A2080" t="str">
            <v>27-06-2022</v>
          </cell>
          <cell r="B2080" t="str">
            <v>Iron Supplement</v>
          </cell>
          <cell r="C2080" t="str">
            <v>Mineral</v>
          </cell>
          <cell r="D2080">
            <v>134</v>
          </cell>
          <cell r="E2080">
            <v>37.14</v>
          </cell>
          <cell r="F2080">
            <v>4976.76</v>
          </cell>
          <cell r="G2080">
            <v>0.2</v>
          </cell>
          <cell r="H2080">
            <v>0</v>
          </cell>
          <cell r="I2080" t="str">
            <v>USA</v>
          </cell>
          <cell r="J2080" t="str">
            <v>Amazon</v>
          </cell>
        </row>
        <row r="2081">
          <cell r="A2081" t="str">
            <v>27-06-2022</v>
          </cell>
          <cell r="B2081" t="str">
            <v>Electrolyte Powder</v>
          </cell>
          <cell r="C2081" t="str">
            <v>Hydration</v>
          </cell>
          <cell r="D2081">
            <v>145</v>
          </cell>
          <cell r="E2081">
            <v>18.72</v>
          </cell>
          <cell r="F2081">
            <v>2714.4</v>
          </cell>
          <cell r="G2081">
            <v>0.2</v>
          </cell>
          <cell r="H2081">
            <v>4</v>
          </cell>
          <cell r="I2081" t="str">
            <v>UK</v>
          </cell>
          <cell r="J2081" t="str">
            <v>Walmart</v>
          </cell>
        </row>
        <row r="2082">
          <cell r="A2082" t="str">
            <v>04-07-2022</v>
          </cell>
          <cell r="B2082" t="str">
            <v>Whey Protein</v>
          </cell>
          <cell r="C2082" t="str">
            <v>Protein</v>
          </cell>
          <cell r="D2082">
            <v>147</v>
          </cell>
          <cell r="E2082">
            <v>51.19</v>
          </cell>
          <cell r="F2082">
            <v>7524.93</v>
          </cell>
          <cell r="G2082">
            <v>0.12</v>
          </cell>
          <cell r="H2082">
            <v>2</v>
          </cell>
          <cell r="I2082" t="str">
            <v>USA</v>
          </cell>
          <cell r="J2082" t="str">
            <v>Amazon</v>
          </cell>
        </row>
        <row r="2083">
          <cell r="A2083" t="str">
            <v>04-07-2022</v>
          </cell>
          <cell r="B2083" t="str">
            <v>Vitamin C</v>
          </cell>
          <cell r="C2083" t="str">
            <v>Vitamin</v>
          </cell>
          <cell r="D2083">
            <v>148</v>
          </cell>
          <cell r="E2083">
            <v>12.9</v>
          </cell>
          <cell r="F2083">
            <v>1909.2</v>
          </cell>
          <cell r="G2083">
            <v>0.17</v>
          </cell>
          <cell r="H2083">
            <v>0</v>
          </cell>
          <cell r="I2083" t="str">
            <v>UK</v>
          </cell>
          <cell r="J2083" t="str">
            <v>Amazon</v>
          </cell>
        </row>
        <row r="2084">
          <cell r="A2084" t="str">
            <v>04-07-2022</v>
          </cell>
          <cell r="B2084" t="str">
            <v>Fish Oil</v>
          </cell>
          <cell r="C2084" t="str">
            <v>Omega</v>
          </cell>
          <cell r="D2084">
            <v>163</v>
          </cell>
          <cell r="E2084">
            <v>21.85</v>
          </cell>
          <cell r="F2084">
            <v>3561.55</v>
          </cell>
          <cell r="G2084">
            <v>0.08</v>
          </cell>
          <cell r="H2084">
            <v>1</v>
          </cell>
          <cell r="I2084" t="str">
            <v>UK</v>
          </cell>
          <cell r="J2084" t="str">
            <v>Amazon</v>
          </cell>
        </row>
        <row r="2085">
          <cell r="A2085" t="str">
            <v>04-07-2022</v>
          </cell>
          <cell r="B2085" t="str">
            <v>Multivitamin</v>
          </cell>
          <cell r="C2085" t="str">
            <v>Vitamin</v>
          </cell>
          <cell r="D2085">
            <v>153</v>
          </cell>
          <cell r="E2085">
            <v>39.619999999999997</v>
          </cell>
          <cell r="F2085">
            <v>6061.86</v>
          </cell>
          <cell r="G2085">
            <v>7.0000000000000007E-2</v>
          </cell>
          <cell r="H2085">
            <v>0</v>
          </cell>
          <cell r="I2085" t="str">
            <v>USA</v>
          </cell>
          <cell r="J2085" t="str">
            <v>iHerb</v>
          </cell>
        </row>
        <row r="2086">
          <cell r="A2086" t="str">
            <v>04-07-2022</v>
          </cell>
          <cell r="B2086" t="str">
            <v>Pre-Workout</v>
          </cell>
          <cell r="C2086" t="str">
            <v>Performance</v>
          </cell>
          <cell r="D2086">
            <v>147</v>
          </cell>
          <cell r="E2086">
            <v>17.34</v>
          </cell>
          <cell r="F2086">
            <v>2548.98</v>
          </cell>
          <cell r="G2086">
            <v>0.14000000000000001</v>
          </cell>
          <cell r="H2086">
            <v>0</v>
          </cell>
          <cell r="I2086" t="str">
            <v>USA</v>
          </cell>
          <cell r="J2086" t="str">
            <v>Amazon</v>
          </cell>
        </row>
        <row r="2087">
          <cell r="A2087" t="str">
            <v>04-07-2022</v>
          </cell>
          <cell r="B2087" t="str">
            <v>BCAA</v>
          </cell>
          <cell r="C2087" t="str">
            <v>Amino Acid</v>
          </cell>
          <cell r="D2087">
            <v>154</v>
          </cell>
          <cell r="E2087">
            <v>19.78</v>
          </cell>
          <cell r="F2087">
            <v>3046.12</v>
          </cell>
          <cell r="G2087">
            <v>0.19</v>
          </cell>
          <cell r="H2087">
            <v>0</v>
          </cell>
          <cell r="I2087" t="str">
            <v>UK</v>
          </cell>
          <cell r="J2087" t="str">
            <v>Walmart</v>
          </cell>
        </row>
        <row r="2088">
          <cell r="A2088" t="str">
            <v>04-07-2022</v>
          </cell>
          <cell r="B2088" t="str">
            <v>Creatine</v>
          </cell>
          <cell r="C2088" t="str">
            <v>Performance</v>
          </cell>
          <cell r="D2088">
            <v>145</v>
          </cell>
          <cell r="E2088">
            <v>27.62</v>
          </cell>
          <cell r="F2088">
            <v>4004.9</v>
          </cell>
          <cell r="G2088">
            <v>0.04</v>
          </cell>
          <cell r="H2088">
            <v>1</v>
          </cell>
          <cell r="I2088" t="str">
            <v>Canada</v>
          </cell>
          <cell r="J2088" t="str">
            <v>iHerb</v>
          </cell>
        </row>
        <row r="2089">
          <cell r="A2089" t="str">
            <v>04-07-2022</v>
          </cell>
          <cell r="B2089" t="str">
            <v>Zinc</v>
          </cell>
          <cell r="C2089" t="str">
            <v>Mineral</v>
          </cell>
          <cell r="D2089">
            <v>147</v>
          </cell>
          <cell r="E2089">
            <v>42.83</v>
          </cell>
          <cell r="F2089">
            <v>6296.01</v>
          </cell>
          <cell r="G2089">
            <v>0.23</v>
          </cell>
          <cell r="H2089">
            <v>1</v>
          </cell>
          <cell r="I2089" t="str">
            <v>USA</v>
          </cell>
          <cell r="J2089" t="str">
            <v>Walmart</v>
          </cell>
        </row>
        <row r="2090">
          <cell r="A2090" t="str">
            <v>04-07-2022</v>
          </cell>
          <cell r="B2090" t="str">
            <v>Collagen Peptides</v>
          </cell>
          <cell r="C2090" t="str">
            <v>Protein</v>
          </cell>
          <cell r="D2090">
            <v>138</v>
          </cell>
          <cell r="E2090">
            <v>52.7</v>
          </cell>
          <cell r="F2090">
            <v>7272.6</v>
          </cell>
          <cell r="G2090">
            <v>0.14000000000000001</v>
          </cell>
          <cell r="H2090">
            <v>1</v>
          </cell>
          <cell r="I2090" t="str">
            <v>UK</v>
          </cell>
          <cell r="J2090" t="str">
            <v>Amazon</v>
          </cell>
        </row>
        <row r="2091">
          <cell r="A2091" t="str">
            <v>04-07-2022</v>
          </cell>
          <cell r="B2091" t="str">
            <v>Magnesium</v>
          </cell>
          <cell r="C2091" t="str">
            <v>Mineral</v>
          </cell>
          <cell r="D2091">
            <v>135</v>
          </cell>
          <cell r="E2091">
            <v>23.92</v>
          </cell>
          <cell r="F2091">
            <v>3229.2</v>
          </cell>
          <cell r="G2091">
            <v>0.24</v>
          </cell>
          <cell r="H2091">
            <v>3</v>
          </cell>
          <cell r="I2091" t="str">
            <v>USA</v>
          </cell>
          <cell r="J2091" t="str">
            <v>Amazon</v>
          </cell>
        </row>
        <row r="2092">
          <cell r="A2092" t="str">
            <v>04-07-2022</v>
          </cell>
          <cell r="B2092" t="str">
            <v>Ashwagandha</v>
          </cell>
          <cell r="C2092" t="str">
            <v>Herbal</v>
          </cell>
          <cell r="D2092">
            <v>129</v>
          </cell>
          <cell r="E2092">
            <v>21.25</v>
          </cell>
          <cell r="F2092">
            <v>2741.25</v>
          </cell>
          <cell r="G2092">
            <v>0.1</v>
          </cell>
          <cell r="H2092">
            <v>3</v>
          </cell>
          <cell r="I2092" t="str">
            <v>Canada</v>
          </cell>
          <cell r="J2092" t="str">
            <v>iHerb</v>
          </cell>
        </row>
        <row r="2093">
          <cell r="A2093" t="str">
            <v>04-07-2022</v>
          </cell>
          <cell r="B2093" t="str">
            <v>Melatonin</v>
          </cell>
          <cell r="C2093" t="str">
            <v>Sleep Aid</v>
          </cell>
          <cell r="D2093">
            <v>151</v>
          </cell>
          <cell r="E2093">
            <v>20.39</v>
          </cell>
          <cell r="F2093">
            <v>3078.89</v>
          </cell>
          <cell r="G2093">
            <v>0.2</v>
          </cell>
          <cell r="H2093">
            <v>2</v>
          </cell>
          <cell r="I2093" t="str">
            <v>USA</v>
          </cell>
          <cell r="J2093" t="str">
            <v>Amazon</v>
          </cell>
        </row>
        <row r="2094">
          <cell r="A2094" t="str">
            <v>04-07-2022</v>
          </cell>
          <cell r="B2094" t="str">
            <v>Biotin</v>
          </cell>
          <cell r="C2094" t="str">
            <v>Vitamin</v>
          </cell>
          <cell r="D2094">
            <v>149</v>
          </cell>
          <cell r="E2094">
            <v>26.71</v>
          </cell>
          <cell r="F2094">
            <v>3979.79</v>
          </cell>
          <cell r="G2094">
            <v>0.24</v>
          </cell>
          <cell r="H2094">
            <v>1</v>
          </cell>
          <cell r="I2094" t="str">
            <v>Canada</v>
          </cell>
          <cell r="J2094" t="str">
            <v>Walmart</v>
          </cell>
        </row>
        <row r="2095">
          <cell r="A2095" t="str">
            <v>04-07-2022</v>
          </cell>
          <cell r="B2095" t="str">
            <v>Green Tea Extract</v>
          </cell>
          <cell r="C2095" t="str">
            <v>Fat Burner</v>
          </cell>
          <cell r="D2095">
            <v>146</v>
          </cell>
          <cell r="E2095">
            <v>48.95</v>
          </cell>
          <cell r="F2095">
            <v>7146.7</v>
          </cell>
          <cell r="G2095">
            <v>0.09</v>
          </cell>
          <cell r="H2095">
            <v>0</v>
          </cell>
          <cell r="I2095" t="str">
            <v>Canada</v>
          </cell>
          <cell r="J2095" t="str">
            <v>iHerb</v>
          </cell>
        </row>
        <row r="2096">
          <cell r="A2096" t="str">
            <v>04-07-2022</v>
          </cell>
          <cell r="B2096" t="str">
            <v>Iron Supplement</v>
          </cell>
          <cell r="C2096" t="str">
            <v>Mineral</v>
          </cell>
          <cell r="D2096">
            <v>153</v>
          </cell>
          <cell r="E2096">
            <v>45.64</v>
          </cell>
          <cell r="F2096">
            <v>6982.92</v>
          </cell>
          <cell r="G2096">
            <v>0.22</v>
          </cell>
          <cell r="H2096">
            <v>1</v>
          </cell>
          <cell r="I2096" t="str">
            <v>USA</v>
          </cell>
          <cell r="J2096" t="str">
            <v>Amazon</v>
          </cell>
        </row>
        <row r="2097">
          <cell r="A2097" t="str">
            <v>04-07-2022</v>
          </cell>
          <cell r="B2097" t="str">
            <v>Electrolyte Powder</v>
          </cell>
          <cell r="C2097" t="str">
            <v>Hydration</v>
          </cell>
          <cell r="D2097">
            <v>148</v>
          </cell>
          <cell r="E2097">
            <v>43.32</v>
          </cell>
          <cell r="F2097">
            <v>6411.36</v>
          </cell>
          <cell r="G2097">
            <v>0.14000000000000001</v>
          </cell>
          <cell r="H2097">
            <v>0</v>
          </cell>
          <cell r="I2097" t="str">
            <v>USA</v>
          </cell>
          <cell r="J2097" t="str">
            <v>Walmart</v>
          </cell>
        </row>
        <row r="2098">
          <cell r="A2098" t="str">
            <v>11-07-2022</v>
          </cell>
          <cell r="B2098" t="str">
            <v>Whey Protein</v>
          </cell>
          <cell r="C2098" t="str">
            <v>Protein</v>
          </cell>
          <cell r="D2098">
            <v>160</v>
          </cell>
          <cell r="E2098">
            <v>37.65</v>
          </cell>
          <cell r="F2098">
            <v>6024</v>
          </cell>
          <cell r="G2098">
            <v>0.12</v>
          </cell>
          <cell r="H2098">
            <v>0</v>
          </cell>
          <cell r="I2098" t="str">
            <v>Canada</v>
          </cell>
          <cell r="J2098" t="str">
            <v>Walmart</v>
          </cell>
        </row>
        <row r="2099">
          <cell r="A2099" t="str">
            <v>11-07-2022</v>
          </cell>
          <cell r="B2099" t="str">
            <v>Vitamin C</v>
          </cell>
          <cell r="C2099" t="str">
            <v>Vitamin</v>
          </cell>
          <cell r="D2099">
            <v>129</v>
          </cell>
          <cell r="E2099">
            <v>25.54</v>
          </cell>
          <cell r="F2099">
            <v>3294.66</v>
          </cell>
          <cell r="G2099">
            <v>0.24</v>
          </cell>
          <cell r="H2099">
            <v>2</v>
          </cell>
          <cell r="I2099" t="str">
            <v>USA</v>
          </cell>
          <cell r="J2099" t="str">
            <v>Walmart</v>
          </cell>
        </row>
        <row r="2100">
          <cell r="A2100" t="str">
            <v>11-07-2022</v>
          </cell>
          <cell r="B2100" t="str">
            <v>Fish Oil</v>
          </cell>
          <cell r="C2100" t="str">
            <v>Omega</v>
          </cell>
          <cell r="D2100">
            <v>156</v>
          </cell>
          <cell r="E2100">
            <v>18.37</v>
          </cell>
          <cell r="F2100">
            <v>2865.72</v>
          </cell>
          <cell r="G2100">
            <v>0.24</v>
          </cell>
          <cell r="H2100">
            <v>1</v>
          </cell>
          <cell r="I2100" t="str">
            <v>USA</v>
          </cell>
          <cell r="J2100" t="str">
            <v>Walmart</v>
          </cell>
        </row>
        <row r="2101">
          <cell r="A2101" t="str">
            <v>11-07-2022</v>
          </cell>
          <cell r="B2101" t="str">
            <v>Multivitamin</v>
          </cell>
          <cell r="C2101" t="str">
            <v>Vitamin</v>
          </cell>
          <cell r="D2101">
            <v>132</v>
          </cell>
          <cell r="E2101">
            <v>53.7</v>
          </cell>
          <cell r="F2101">
            <v>7088.4</v>
          </cell>
          <cell r="G2101">
            <v>0.22</v>
          </cell>
          <cell r="H2101">
            <v>0</v>
          </cell>
          <cell r="I2101" t="str">
            <v>USA</v>
          </cell>
          <cell r="J2101" t="str">
            <v>iHerb</v>
          </cell>
        </row>
        <row r="2102">
          <cell r="A2102" t="str">
            <v>11-07-2022</v>
          </cell>
          <cell r="B2102" t="str">
            <v>Pre-Workout</v>
          </cell>
          <cell r="C2102" t="str">
            <v>Performance</v>
          </cell>
          <cell r="D2102">
            <v>167</v>
          </cell>
          <cell r="E2102">
            <v>11.95</v>
          </cell>
          <cell r="F2102">
            <v>1995.65</v>
          </cell>
          <cell r="G2102">
            <v>0.21</v>
          </cell>
          <cell r="H2102">
            <v>3</v>
          </cell>
          <cell r="I2102" t="str">
            <v>Canada</v>
          </cell>
          <cell r="J2102" t="str">
            <v>Walmart</v>
          </cell>
        </row>
        <row r="2103">
          <cell r="A2103" t="str">
            <v>11-07-2022</v>
          </cell>
          <cell r="B2103" t="str">
            <v>BCAA</v>
          </cell>
          <cell r="C2103" t="str">
            <v>Amino Acid</v>
          </cell>
          <cell r="D2103">
            <v>153</v>
          </cell>
          <cell r="E2103">
            <v>50.66</v>
          </cell>
          <cell r="F2103">
            <v>7750.98</v>
          </cell>
          <cell r="G2103">
            <v>0.2</v>
          </cell>
          <cell r="H2103">
            <v>3</v>
          </cell>
          <cell r="I2103" t="str">
            <v>USA</v>
          </cell>
          <cell r="J2103" t="str">
            <v>Walmart</v>
          </cell>
        </row>
        <row r="2104">
          <cell r="A2104" t="str">
            <v>11-07-2022</v>
          </cell>
          <cell r="B2104" t="str">
            <v>Creatine</v>
          </cell>
          <cell r="C2104" t="str">
            <v>Performance</v>
          </cell>
          <cell r="D2104">
            <v>152</v>
          </cell>
          <cell r="E2104">
            <v>59.81</v>
          </cell>
          <cell r="F2104">
            <v>9091.1200000000008</v>
          </cell>
          <cell r="G2104">
            <v>0.03</v>
          </cell>
          <cell r="H2104">
            <v>3</v>
          </cell>
          <cell r="I2104" t="str">
            <v>Canada</v>
          </cell>
          <cell r="J2104" t="str">
            <v>iHerb</v>
          </cell>
        </row>
        <row r="2105">
          <cell r="A2105" t="str">
            <v>11-07-2022</v>
          </cell>
          <cell r="B2105" t="str">
            <v>Zinc</v>
          </cell>
          <cell r="C2105" t="str">
            <v>Mineral</v>
          </cell>
          <cell r="D2105">
            <v>150</v>
          </cell>
          <cell r="E2105">
            <v>40.65</v>
          </cell>
          <cell r="F2105">
            <v>6097.5</v>
          </cell>
          <cell r="G2105">
            <v>0.01</v>
          </cell>
          <cell r="H2105">
            <v>1</v>
          </cell>
          <cell r="I2105" t="str">
            <v>Canada</v>
          </cell>
          <cell r="J2105" t="str">
            <v>Walmart</v>
          </cell>
        </row>
        <row r="2106">
          <cell r="A2106" t="str">
            <v>11-07-2022</v>
          </cell>
          <cell r="B2106" t="str">
            <v>Collagen Peptides</v>
          </cell>
          <cell r="C2106" t="str">
            <v>Protein</v>
          </cell>
          <cell r="D2106">
            <v>166</v>
          </cell>
          <cell r="E2106">
            <v>31.32</v>
          </cell>
          <cell r="F2106">
            <v>5199.12</v>
          </cell>
          <cell r="G2106">
            <v>0.23</v>
          </cell>
          <cell r="H2106">
            <v>1</v>
          </cell>
          <cell r="I2106" t="str">
            <v>UK</v>
          </cell>
          <cell r="J2106" t="str">
            <v>Walmart</v>
          </cell>
        </row>
        <row r="2107">
          <cell r="A2107" t="str">
            <v>11-07-2022</v>
          </cell>
          <cell r="B2107" t="str">
            <v>Magnesium</v>
          </cell>
          <cell r="C2107" t="str">
            <v>Mineral</v>
          </cell>
          <cell r="D2107">
            <v>145</v>
          </cell>
          <cell r="E2107">
            <v>35.97</v>
          </cell>
          <cell r="F2107">
            <v>5215.6499999999996</v>
          </cell>
          <cell r="G2107">
            <v>0.16</v>
          </cell>
          <cell r="H2107">
            <v>2</v>
          </cell>
          <cell r="I2107" t="str">
            <v>Canada</v>
          </cell>
          <cell r="J2107" t="str">
            <v>iHerb</v>
          </cell>
        </row>
        <row r="2108">
          <cell r="A2108" t="str">
            <v>11-07-2022</v>
          </cell>
          <cell r="B2108" t="str">
            <v>Ashwagandha</v>
          </cell>
          <cell r="C2108" t="str">
            <v>Herbal</v>
          </cell>
          <cell r="D2108">
            <v>148</v>
          </cell>
          <cell r="E2108">
            <v>36.69</v>
          </cell>
          <cell r="F2108">
            <v>5430.12</v>
          </cell>
          <cell r="G2108">
            <v>0.08</v>
          </cell>
          <cell r="H2108">
            <v>2</v>
          </cell>
          <cell r="I2108" t="str">
            <v>Canada</v>
          </cell>
          <cell r="J2108" t="str">
            <v>Walmart</v>
          </cell>
        </row>
        <row r="2109">
          <cell r="A2109" t="str">
            <v>11-07-2022</v>
          </cell>
          <cell r="B2109" t="str">
            <v>Melatonin</v>
          </cell>
          <cell r="C2109" t="str">
            <v>Sleep Aid</v>
          </cell>
          <cell r="D2109">
            <v>158</v>
          </cell>
          <cell r="E2109">
            <v>12.83</v>
          </cell>
          <cell r="F2109">
            <v>2027.14</v>
          </cell>
          <cell r="G2109">
            <v>0.04</v>
          </cell>
          <cell r="H2109">
            <v>1</v>
          </cell>
          <cell r="I2109" t="str">
            <v>USA</v>
          </cell>
          <cell r="J2109" t="str">
            <v>iHerb</v>
          </cell>
        </row>
        <row r="2110">
          <cell r="A2110" t="str">
            <v>11-07-2022</v>
          </cell>
          <cell r="B2110" t="str">
            <v>Biotin</v>
          </cell>
          <cell r="C2110" t="str">
            <v>Vitamin</v>
          </cell>
          <cell r="D2110">
            <v>142</v>
          </cell>
          <cell r="E2110">
            <v>10.92</v>
          </cell>
          <cell r="F2110">
            <v>1550.64</v>
          </cell>
          <cell r="G2110">
            <v>0.19</v>
          </cell>
          <cell r="H2110">
            <v>1</v>
          </cell>
          <cell r="I2110" t="str">
            <v>UK</v>
          </cell>
          <cell r="J2110" t="str">
            <v>Amazon</v>
          </cell>
        </row>
        <row r="2111">
          <cell r="A2111" t="str">
            <v>11-07-2022</v>
          </cell>
          <cell r="B2111" t="str">
            <v>Green Tea Extract</v>
          </cell>
          <cell r="C2111" t="str">
            <v>Fat Burner</v>
          </cell>
          <cell r="D2111">
            <v>143</v>
          </cell>
          <cell r="E2111">
            <v>20.8</v>
          </cell>
          <cell r="F2111">
            <v>2974.4</v>
          </cell>
          <cell r="G2111">
            <v>0.22</v>
          </cell>
          <cell r="H2111">
            <v>0</v>
          </cell>
          <cell r="I2111" t="str">
            <v>USA</v>
          </cell>
          <cell r="J2111" t="str">
            <v>Amazon</v>
          </cell>
        </row>
        <row r="2112">
          <cell r="A2112" t="str">
            <v>11-07-2022</v>
          </cell>
          <cell r="B2112" t="str">
            <v>Iron Supplement</v>
          </cell>
          <cell r="C2112" t="str">
            <v>Mineral</v>
          </cell>
          <cell r="D2112">
            <v>148</v>
          </cell>
          <cell r="E2112">
            <v>40.79</v>
          </cell>
          <cell r="F2112">
            <v>6036.92</v>
          </cell>
          <cell r="G2112">
            <v>7.0000000000000007E-2</v>
          </cell>
          <cell r="H2112">
            <v>1</v>
          </cell>
          <cell r="I2112" t="str">
            <v>USA</v>
          </cell>
          <cell r="J2112" t="str">
            <v>Amazon</v>
          </cell>
        </row>
        <row r="2113">
          <cell r="A2113" t="str">
            <v>11-07-2022</v>
          </cell>
          <cell r="B2113" t="str">
            <v>Electrolyte Powder</v>
          </cell>
          <cell r="C2113" t="str">
            <v>Hydration</v>
          </cell>
          <cell r="D2113">
            <v>168</v>
          </cell>
          <cell r="E2113">
            <v>59.91</v>
          </cell>
          <cell r="F2113">
            <v>10064.879999999999</v>
          </cell>
          <cell r="G2113">
            <v>0</v>
          </cell>
          <cell r="H2113">
            <v>0</v>
          </cell>
          <cell r="I2113" t="str">
            <v>Canada</v>
          </cell>
          <cell r="J2113" t="str">
            <v>Amazon</v>
          </cell>
        </row>
        <row r="2114">
          <cell r="A2114" t="str">
            <v>18-07-2022</v>
          </cell>
          <cell r="B2114" t="str">
            <v>Whey Protein</v>
          </cell>
          <cell r="C2114" t="str">
            <v>Protein</v>
          </cell>
          <cell r="D2114">
            <v>163</v>
          </cell>
          <cell r="E2114">
            <v>13.04</v>
          </cell>
          <cell r="F2114">
            <v>2125.52</v>
          </cell>
          <cell r="G2114">
            <v>0.06</v>
          </cell>
          <cell r="H2114">
            <v>1</v>
          </cell>
          <cell r="I2114" t="str">
            <v>Canada</v>
          </cell>
          <cell r="J2114" t="str">
            <v>Walmart</v>
          </cell>
        </row>
        <row r="2115">
          <cell r="A2115" t="str">
            <v>18-07-2022</v>
          </cell>
          <cell r="B2115" t="str">
            <v>Vitamin C</v>
          </cell>
          <cell r="C2115" t="str">
            <v>Vitamin</v>
          </cell>
          <cell r="D2115">
            <v>159</v>
          </cell>
          <cell r="E2115">
            <v>21.88</v>
          </cell>
          <cell r="F2115">
            <v>3478.92</v>
          </cell>
          <cell r="G2115">
            <v>0.13</v>
          </cell>
          <cell r="H2115">
            <v>4</v>
          </cell>
          <cell r="I2115" t="str">
            <v>UK</v>
          </cell>
          <cell r="J2115" t="str">
            <v>Amazon</v>
          </cell>
        </row>
        <row r="2116">
          <cell r="A2116" t="str">
            <v>18-07-2022</v>
          </cell>
          <cell r="B2116" t="str">
            <v>Fish Oil</v>
          </cell>
          <cell r="C2116" t="str">
            <v>Omega</v>
          </cell>
          <cell r="D2116">
            <v>162</v>
          </cell>
          <cell r="E2116">
            <v>59.11</v>
          </cell>
          <cell r="F2116">
            <v>9575.82</v>
          </cell>
          <cell r="G2116">
            <v>0.18</v>
          </cell>
          <cell r="H2116">
            <v>0</v>
          </cell>
          <cell r="I2116" t="str">
            <v>Canada</v>
          </cell>
          <cell r="J2116" t="str">
            <v>iHerb</v>
          </cell>
        </row>
        <row r="2117">
          <cell r="A2117" t="str">
            <v>18-07-2022</v>
          </cell>
          <cell r="B2117" t="str">
            <v>Multivitamin</v>
          </cell>
          <cell r="C2117" t="str">
            <v>Vitamin</v>
          </cell>
          <cell r="D2117">
            <v>116</v>
          </cell>
          <cell r="E2117">
            <v>46.39</v>
          </cell>
          <cell r="F2117">
            <v>5381.24</v>
          </cell>
          <cell r="G2117">
            <v>0.05</v>
          </cell>
          <cell r="H2117">
            <v>1</v>
          </cell>
          <cell r="I2117" t="str">
            <v>UK</v>
          </cell>
          <cell r="J2117" t="str">
            <v>Amazon</v>
          </cell>
        </row>
        <row r="2118">
          <cell r="A2118" t="str">
            <v>18-07-2022</v>
          </cell>
          <cell r="B2118" t="str">
            <v>Pre-Workout</v>
          </cell>
          <cell r="C2118" t="str">
            <v>Performance</v>
          </cell>
          <cell r="D2118">
            <v>131</v>
          </cell>
          <cell r="E2118">
            <v>27.2</v>
          </cell>
          <cell r="F2118">
            <v>3563.2</v>
          </cell>
          <cell r="G2118">
            <v>0.23</v>
          </cell>
          <cell r="H2118">
            <v>3</v>
          </cell>
          <cell r="I2118" t="str">
            <v>UK</v>
          </cell>
          <cell r="J2118" t="str">
            <v>Amazon</v>
          </cell>
        </row>
        <row r="2119">
          <cell r="A2119" t="str">
            <v>18-07-2022</v>
          </cell>
          <cell r="B2119" t="str">
            <v>BCAA</v>
          </cell>
          <cell r="C2119" t="str">
            <v>Amino Acid</v>
          </cell>
          <cell r="D2119">
            <v>151</v>
          </cell>
          <cell r="E2119">
            <v>15.51</v>
          </cell>
          <cell r="F2119">
            <v>2342.0100000000002</v>
          </cell>
          <cell r="G2119">
            <v>0.1</v>
          </cell>
          <cell r="H2119">
            <v>4</v>
          </cell>
          <cell r="I2119" t="str">
            <v>Canada</v>
          </cell>
          <cell r="J2119" t="str">
            <v>iHerb</v>
          </cell>
        </row>
        <row r="2120">
          <cell r="A2120" t="str">
            <v>18-07-2022</v>
          </cell>
          <cell r="B2120" t="str">
            <v>Creatine</v>
          </cell>
          <cell r="C2120" t="str">
            <v>Performance</v>
          </cell>
          <cell r="D2120">
            <v>157</v>
          </cell>
          <cell r="E2120">
            <v>28.32</v>
          </cell>
          <cell r="F2120">
            <v>4446.24</v>
          </cell>
          <cell r="G2120">
            <v>0.01</v>
          </cell>
          <cell r="H2120">
            <v>4</v>
          </cell>
          <cell r="I2120" t="str">
            <v>USA</v>
          </cell>
          <cell r="J2120" t="str">
            <v>Amazon</v>
          </cell>
        </row>
        <row r="2121">
          <cell r="A2121" t="str">
            <v>18-07-2022</v>
          </cell>
          <cell r="B2121" t="str">
            <v>Zinc</v>
          </cell>
          <cell r="C2121" t="str">
            <v>Mineral</v>
          </cell>
          <cell r="D2121">
            <v>145</v>
          </cell>
          <cell r="E2121">
            <v>44.46</v>
          </cell>
          <cell r="F2121">
            <v>6446.7</v>
          </cell>
          <cell r="G2121">
            <v>0.25</v>
          </cell>
          <cell r="H2121">
            <v>4</v>
          </cell>
          <cell r="I2121" t="str">
            <v>Canada</v>
          </cell>
          <cell r="J2121" t="str">
            <v>Walmart</v>
          </cell>
        </row>
        <row r="2122">
          <cell r="A2122" t="str">
            <v>18-07-2022</v>
          </cell>
          <cell r="B2122" t="str">
            <v>Collagen Peptides</v>
          </cell>
          <cell r="C2122" t="str">
            <v>Protein</v>
          </cell>
          <cell r="D2122">
            <v>136</v>
          </cell>
          <cell r="E2122">
            <v>38.28</v>
          </cell>
          <cell r="F2122">
            <v>5206.08</v>
          </cell>
          <cell r="G2122">
            <v>0.16</v>
          </cell>
          <cell r="H2122">
            <v>2</v>
          </cell>
          <cell r="I2122" t="str">
            <v>UK</v>
          </cell>
          <cell r="J2122" t="str">
            <v>iHerb</v>
          </cell>
        </row>
        <row r="2123">
          <cell r="A2123" t="str">
            <v>18-07-2022</v>
          </cell>
          <cell r="B2123" t="str">
            <v>Magnesium</v>
          </cell>
          <cell r="C2123" t="str">
            <v>Mineral</v>
          </cell>
          <cell r="D2123">
            <v>155</v>
          </cell>
          <cell r="E2123">
            <v>37</v>
          </cell>
          <cell r="F2123">
            <v>5735</v>
          </cell>
          <cell r="G2123">
            <v>0.1</v>
          </cell>
          <cell r="H2123">
            <v>4</v>
          </cell>
          <cell r="I2123" t="str">
            <v>Canada</v>
          </cell>
          <cell r="J2123" t="str">
            <v>Walmart</v>
          </cell>
        </row>
        <row r="2124">
          <cell r="A2124" t="str">
            <v>18-07-2022</v>
          </cell>
          <cell r="B2124" t="str">
            <v>Ashwagandha</v>
          </cell>
          <cell r="C2124" t="str">
            <v>Herbal</v>
          </cell>
          <cell r="D2124">
            <v>153</v>
          </cell>
          <cell r="E2124">
            <v>57.66</v>
          </cell>
          <cell r="F2124">
            <v>8821.98</v>
          </cell>
          <cell r="G2124">
            <v>0.17</v>
          </cell>
          <cell r="H2124">
            <v>2</v>
          </cell>
          <cell r="I2124" t="str">
            <v>USA</v>
          </cell>
          <cell r="J2124" t="str">
            <v>Walmart</v>
          </cell>
        </row>
        <row r="2125">
          <cell r="A2125" t="str">
            <v>18-07-2022</v>
          </cell>
          <cell r="B2125" t="str">
            <v>Melatonin</v>
          </cell>
          <cell r="C2125" t="str">
            <v>Sleep Aid</v>
          </cell>
          <cell r="D2125">
            <v>138</v>
          </cell>
          <cell r="E2125">
            <v>22.74</v>
          </cell>
          <cell r="F2125">
            <v>3138.12</v>
          </cell>
          <cell r="G2125">
            <v>0.08</v>
          </cell>
          <cell r="H2125">
            <v>1</v>
          </cell>
          <cell r="I2125" t="str">
            <v>USA</v>
          </cell>
          <cell r="J2125" t="str">
            <v>iHerb</v>
          </cell>
        </row>
        <row r="2126">
          <cell r="A2126" t="str">
            <v>18-07-2022</v>
          </cell>
          <cell r="B2126" t="str">
            <v>Biotin</v>
          </cell>
          <cell r="C2126" t="str">
            <v>Vitamin</v>
          </cell>
          <cell r="D2126">
            <v>147</v>
          </cell>
          <cell r="E2126">
            <v>12.12</v>
          </cell>
          <cell r="F2126">
            <v>1781.64</v>
          </cell>
          <cell r="G2126">
            <v>0.17</v>
          </cell>
          <cell r="H2126">
            <v>1</v>
          </cell>
          <cell r="I2126" t="str">
            <v>UK</v>
          </cell>
          <cell r="J2126" t="str">
            <v>Walmart</v>
          </cell>
        </row>
        <row r="2127">
          <cell r="A2127" t="str">
            <v>18-07-2022</v>
          </cell>
          <cell r="B2127" t="str">
            <v>Green Tea Extract</v>
          </cell>
          <cell r="C2127" t="str">
            <v>Fat Burner</v>
          </cell>
          <cell r="D2127">
            <v>148</v>
          </cell>
          <cell r="E2127">
            <v>51.38</v>
          </cell>
          <cell r="F2127">
            <v>7604.24</v>
          </cell>
          <cell r="G2127">
            <v>0.11</v>
          </cell>
          <cell r="H2127">
            <v>2</v>
          </cell>
          <cell r="I2127" t="str">
            <v>UK</v>
          </cell>
          <cell r="J2127" t="str">
            <v>iHerb</v>
          </cell>
        </row>
        <row r="2128">
          <cell r="A2128" t="str">
            <v>18-07-2022</v>
          </cell>
          <cell r="B2128" t="str">
            <v>Iron Supplement</v>
          </cell>
          <cell r="C2128" t="str">
            <v>Mineral</v>
          </cell>
          <cell r="D2128">
            <v>147</v>
          </cell>
          <cell r="E2128">
            <v>18.850000000000001</v>
          </cell>
          <cell r="F2128">
            <v>2770.95</v>
          </cell>
          <cell r="G2128">
            <v>0.14000000000000001</v>
          </cell>
          <cell r="H2128">
            <v>4</v>
          </cell>
          <cell r="I2128" t="str">
            <v>UK</v>
          </cell>
          <cell r="J2128" t="str">
            <v>Amazon</v>
          </cell>
        </row>
        <row r="2129">
          <cell r="A2129" t="str">
            <v>18-07-2022</v>
          </cell>
          <cell r="B2129" t="str">
            <v>Electrolyte Powder</v>
          </cell>
          <cell r="C2129" t="str">
            <v>Hydration</v>
          </cell>
          <cell r="D2129">
            <v>151</v>
          </cell>
          <cell r="E2129">
            <v>30.37</v>
          </cell>
          <cell r="F2129">
            <v>4585.87</v>
          </cell>
          <cell r="G2129">
            <v>0.25</v>
          </cell>
          <cell r="H2129">
            <v>2</v>
          </cell>
          <cell r="I2129" t="str">
            <v>UK</v>
          </cell>
          <cell r="J2129" t="str">
            <v>iHerb</v>
          </cell>
        </row>
        <row r="2130">
          <cell r="A2130" t="str">
            <v>25-07-2022</v>
          </cell>
          <cell r="B2130" t="str">
            <v>Whey Protein</v>
          </cell>
          <cell r="C2130" t="str">
            <v>Protein</v>
          </cell>
          <cell r="D2130">
            <v>142</v>
          </cell>
          <cell r="E2130">
            <v>51.04</v>
          </cell>
          <cell r="F2130">
            <v>7247.68</v>
          </cell>
          <cell r="G2130">
            <v>7.0000000000000007E-2</v>
          </cell>
          <cell r="H2130">
            <v>2</v>
          </cell>
          <cell r="I2130" t="str">
            <v>UK</v>
          </cell>
          <cell r="J2130" t="str">
            <v>Amazon</v>
          </cell>
        </row>
        <row r="2131">
          <cell r="A2131" t="str">
            <v>25-07-2022</v>
          </cell>
          <cell r="B2131" t="str">
            <v>Vitamin C</v>
          </cell>
          <cell r="C2131" t="str">
            <v>Vitamin</v>
          </cell>
          <cell r="D2131">
            <v>142</v>
          </cell>
          <cell r="E2131">
            <v>58.7</v>
          </cell>
          <cell r="F2131">
            <v>8335.4</v>
          </cell>
          <cell r="G2131">
            <v>0.09</v>
          </cell>
          <cell r="H2131">
            <v>2</v>
          </cell>
          <cell r="I2131" t="str">
            <v>UK</v>
          </cell>
          <cell r="J2131" t="str">
            <v>iHerb</v>
          </cell>
        </row>
        <row r="2132">
          <cell r="A2132" t="str">
            <v>25-07-2022</v>
          </cell>
          <cell r="B2132" t="str">
            <v>Fish Oil</v>
          </cell>
          <cell r="C2132" t="str">
            <v>Omega</v>
          </cell>
          <cell r="D2132">
            <v>154</v>
          </cell>
          <cell r="E2132">
            <v>55.73</v>
          </cell>
          <cell r="F2132">
            <v>8582.42</v>
          </cell>
          <cell r="G2132">
            <v>0.17</v>
          </cell>
          <cell r="H2132">
            <v>1</v>
          </cell>
          <cell r="I2132" t="str">
            <v>Canada</v>
          </cell>
          <cell r="J2132" t="str">
            <v>Walmart</v>
          </cell>
        </row>
        <row r="2133">
          <cell r="A2133" t="str">
            <v>25-07-2022</v>
          </cell>
          <cell r="B2133" t="str">
            <v>Multivitamin</v>
          </cell>
          <cell r="C2133" t="str">
            <v>Vitamin</v>
          </cell>
          <cell r="D2133">
            <v>165</v>
          </cell>
          <cell r="E2133">
            <v>37.21</v>
          </cell>
          <cell r="F2133">
            <v>6139.65</v>
          </cell>
          <cell r="G2133">
            <v>0.24</v>
          </cell>
          <cell r="H2133">
            <v>2</v>
          </cell>
          <cell r="I2133" t="str">
            <v>Canada</v>
          </cell>
          <cell r="J2133" t="str">
            <v>Amazon</v>
          </cell>
        </row>
        <row r="2134">
          <cell r="A2134" t="str">
            <v>25-07-2022</v>
          </cell>
          <cell r="B2134" t="str">
            <v>Pre-Workout</v>
          </cell>
          <cell r="C2134" t="str">
            <v>Performance</v>
          </cell>
          <cell r="D2134">
            <v>163</v>
          </cell>
          <cell r="E2134">
            <v>51.97</v>
          </cell>
          <cell r="F2134">
            <v>8471.11</v>
          </cell>
          <cell r="G2134">
            <v>0.24</v>
          </cell>
          <cell r="H2134">
            <v>1</v>
          </cell>
          <cell r="I2134" t="str">
            <v>UK</v>
          </cell>
          <cell r="J2134" t="str">
            <v>Walmart</v>
          </cell>
        </row>
        <row r="2135">
          <cell r="A2135" t="str">
            <v>25-07-2022</v>
          </cell>
          <cell r="B2135" t="str">
            <v>BCAA</v>
          </cell>
          <cell r="C2135" t="str">
            <v>Amino Acid</v>
          </cell>
          <cell r="D2135">
            <v>137</v>
          </cell>
          <cell r="E2135">
            <v>45.09</v>
          </cell>
          <cell r="F2135">
            <v>6177.33</v>
          </cell>
          <cell r="G2135">
            <v>0.06</v>
          </cell>
          <cell r="H2135">
            <v>0</v>
          </cell>
          <cell r="I2135" t="str">
            <v>USA</v>
          </cell>
          <cell r="J2135" t="str">
            <v>Walmart</v>
          </cell>
        </row>
        <row r="2136">
          <cell r="A2136" t="str">
            <v>25-07-2022</v>
          </cell>
          <cell r="B2136" t="str">
            <v>Creatine</v>
          </cell>
          <cell r="C2136" t="str">
            <v>Performance</v>
          </cell>
          <cell r="D2136">
            <v>157</v>
          </cell>
          <cell r="E2136">
            <v>19.63</v>
          </cell>
          <cell r="F2136">
            <v>3081.91</v>
          </cell>
          <cell r="G2136">
            <v>0.09</v>
          </cell>
          <cell r="H2136">
            <v>0</v>
          </cell>
          <cell r="I2136" t="str">
            <v>Canada</v>
          </cell>
          <cell r="J2136" t="str">
            <v>iHerb</v>
          </cell>
        </row>
        <row r="2137">
          <cell r="A2137" t="str">
            <v>25-07-2022</v>
          </cell>
          <cell r="B2137" t="str">
            <v>Zinc</v>
          </cell>
          <cell r="C2137" t="str">
            <v>Mineral</v>
          </cell>
          <cell r="D2137">
            <v>132</v>
          </cell>
          <cell r="E2137">
            <v>59.88</v>
          </cell>
          <cell r="F2137">
            <v>7904.16</v>
          </cell>
          <cell r="G2137">
            <v>0.04</v>
          </cell>
          <cell r="H2137">
            <v>0</v>
          </cell>
          <cell r="I2137" t="str">
            <v>USA</v>
          </cell>
          <cell r="J2137" t="str">
            <v>iHerb</v>
          </cell>
        </row>
        <row r="2138">
          <cell r="A2138" t="str">
            <v>25-07-2022</v>
          </cell>
          <cell r="B2138" t="str">
            <v>Collagen Peptides</v>
          </cell>
          <cell r="C2138" t="str">
            <v>Protein</v>
          </cell>
          <cell r="D2138">
            <v>144</v>
          </cell>
          <cell r="E2138">
            <v>20.239999999999998</v>
          </cell>
          <cell r="F2138">
            <v>2914.56</v>
          </cell>
          <cell r="G2138">
            <v>0.08</v>
          </cell>
          <cell r="H2138">
            <v>0</v>
          </cell>
          <cell r="I2138" t="str">
            <v>UK</v>
          </cell>
          <cell r="J2138" t="str">
            <v>Amazon</v>
          </cell>
        </row>
        <row r="2139">
          <cell r="A2139" t="str">
            <v>25-07-2022</v>
          </cell>
          <cell r="B2139" t="str">
            <v>Magnesium</v>
          </cell>
          <cell r="C2139" t="str">
            <v>Mineral</v>
          </cell>
          <cell r="D2139">
            <v>160</v>
          </cell>
          <cell r="E2139">
            <v>41.75</v>
          </cell>
          <cell r="F2139">
            <v>6680</v>
          </cell>
          <cell r="G2139">
            <v>0.1</v>
          </cell>
          <cell r="H2139">
            <v>3</v>
          </cell>
          <cell r="I2139" t="str">
            <v>UK</v>
          </cell>
          <cell r="J2139" t="str">
            <v>Walmart</v>
          </cell>
        </row>
        <row r="2140">
          <cell r="A2140" t="str">
            <v>25-07-2022</v>
          </cell>
          <cell r="B2140" t="str">
            <v>Ashwagandha</v>
          </cell>
          <cell r="C2140" t="str">
            <v>Herbal</v>
          </cell>
          <cell r="D2140">
            <v>188</v>
          </cell>
          <cell r="E2140">
            <v>21.15</v>
          </cell>
          <cell r="F2140">
            <v>3976.2</v>
          </cell>
          <cell r="G2140">
            <v>0.13</v>
          </cell>
          <cell r="H2140">
            <v>0</v>
          </cell>
          <cell r="I2140" t="str">
            <v>UK</v>
          </cell>
          <cell r="J2140" t="str">
            <v>Amazon</v>
          </cell>
        </row>
        <row r="2141">
          <cell r="A2141" t="str">
            <v>25-07-2022</v>
          </cell>
          <cell r="B2141" t="str">
            <v>Melatonin</v>
          </cell>
          <cell r="C2141" t="str">
            <v>Sleep Aid</v>
          </cell>
          <cell r="D2141">
            <v>148</v>
          </cell>
          <cell r="E2141">
            <v>36.1</v>
          </cell>
          <cell r="F2141">
            <v>5342.8</v>
          </cell>
          <cell r="G2141">
            <v>0.08</v>
          </cell>
          <cell r="H2141">
            <v>1</v>
          </cell>
          <cell r="I2141" t="str">
            <v>USA</v>
          </cell>
          <cell r="J2141" t="str">
            <v>iHerb</v>
          </cell>
        </row>
        <row r="2142">
          <cell r="A2142" t="str">
            <v>25-07-2022</v>
          </cell>
          <cell r="B2142" t="str">
            <v>Biotin</v>
          </cell>
          <cell r="C2142" t="str">
            <v>Vitamin</v>
          </cell>
          <cell r="D2142">
            <v>181</v>
          </cell>
          <cell r="E2142">
            <v>42.74</v>
          </cell>
          <cell r="F2142">
            <v>7735.94</v>
          </cell>
          <cell r="G2142">
            <v>0.01</v>
          </cell>
          <cell r="H2142">
            <v>0</v>
          </cell>
          <cell r="I2142" t="str">
            <v>Canada</v>
          </cell>
          <cell r="J2142" t="str">
            <v>iHerb</v>
          </cell>
        </row>
        <row r="2143">
          <cell r="A2143" t="str">
            <v>25-07-2022</v>
          </cell>
          <cell r="B2143" t="str">
            <v>Green Tea Extract</v>
          </cell>
          <cell r="C2143" t="str">
            <v>Fat Burner</v>
          </cell>
          <cell r="D2143">
            <v>152</v>
          </cell>
          <cell r="E2143">
            <v>11.12</v>
          </cell>
          <cell r="F2143">
            <v>1690.24</v>
          </cell>
          <cell r="G2143">
            <v>0.04</v>
          </cell>
          <cell r="H2143">
            <v>2</v>
          </cell>
          <cell r="I2143" t="str">
            <v>Canada</v>
          </cell>
          <cell r="J2143" t="str">
            <v>Walmart</v>
          </cell>
        </row>
        <row r="2144">
          <cell r="A2144" t="str">
            <v>25-07-2022</v>
          </cell>
          <cell r="B2144" t="str">
            <v>Iron Supplement</v>
          </cell>
          <cell r="C2144" t="str">
            <v>Mineral</v>
          </cell>
          <cell r="D2144">
            <v>157</v>
          </cell>
          <cell r="E2144">
            <v>43.41</v>
          </cell>
          <cell r="F2144">
            <v>6815.37</v>
          </cell>
          <cell r="G2144">
            <v>0.05</v>
          </cell>
          <cell r="H2144">
            <v>2</v>
          </cell>
          <cell r="I2144" t="str">
            <v>USA</v>
          </cell>
          <cell r="J2144" t="str">
            <v>Amazon</v>
          </cell>
        </row>
        <row r="2145">
          <cell r="A2145" t="str">
            <v>25-07-2022</v>
          </cell>
          <cell r="B2145" t="str">
            <v>Electrolyte Powder</v>
          </cell>
          <cell r="C2145" t="str">
            <v>Hydration</v>
          </cell>
          <cell r="D2145">
            <v>147</v>
          </cell>
          <cell r="E2145">
            <v>59.75</v>
          </cell>
          <cell r="F2145">
            <v>8783.25</v>
          </cell>
          <cell r="G2145">
            <v>0.23</v>
          </cell>
          <cell r="H2145">
            <v>0</v>
          </cell>
          <cell r="I2145" t="str">
            <v>Canada</v>
          </cell>
          <cell r="J2145" t="str">
            <v>Amazon</v>
          </cell>
        </row>
        <row r="2146">
          <cell r="A2146" t="str">
            <v>01-08-2022</v>
          </cell>
          <cell r="B2146" t="str">
            <v>Whey Protein</v>
          </cell>
          <cell r="C2146" t="str">
            <v>Protein</v>
          </cell>
          <cell r="D2146">
            <v>167</v>
          </cell>
          <cell r="E2146">
            <v>57.65</v>
          </cell>
          <cell r="F2146">
            <v>9627.5499999999993</v>
          </cell>
          <cell r="G2146">
            <v>7.0000000000000007E-2</v>
          </cell>
          <cell r="H2146">
            <v>1</v>
          </cell>
          <cell r="I2146" t="str">
            <v>UK</v>
          </cell>
          <cell r="J2146" t="str">
            <v>Amazon</v>
          </cell>
        </row>
        <row r="2147">
          <cell r="A2147" t="str">
            <v>01-08-2022</v>
          </cell>
          <cell r="B2147" t="str">
            <v>Vitamin C</v>
          </cell>
          <cell r="C2147" t="str">
            <v>Vitamin</v>
          </cell>
          <cell r="D2147">
            <v>130</v>
          </cell>
          <cell r="E2147">
            <v>46.34</v>
          </cell>
          <cell r="F2147">
            <v>6024.2</v>
          </cell>
          <cell r="G2147">
            <v>0.24</v>
          </cell>
          <cell r="H2147">
            <v>1</v>
          </cell>
          <cell r="I2147" t="str">
            <v>USA</v>
          </cell>
          <cell r="J2147" t="str">
            <v>iHerb</v>
          </cell>
        </row>
        <row r="2148">
          <cell r="A2148" t="str">
            <v>01-08-2022</v>
          </cell>
          <cell r="B2148" t="str">
            <v>Fish Oil</v>
          </cell>
          <cell r="C2148" t="str">
            <v>Omega</v>
          </cell>
          <cell r="D2148">
            <v>158</v>
          </cell>
          <cell r="E2148">
            <v>23.14</v>
          </cell>
          <cell r="F2148">
            <v>3656.12</v>
          </cell>
          <cell r="G2148">
            <v>0.01</v>
          </cell>
          <cell r="H2148">
            <v>0</v>
          </cell>
          <cell r="I2148" t="str">
            <v>Canada</v>
          </cell>
          <cell r="J2148" t="str">
            <v>iHerb</v>
          </cell>
        </row>
        <row r="2149">
          <cell r="A2149" t="str">
            <v>01-08-2022</v>
          </cell>
          <cell r="B2149" t="str">
            <v>Multivitamin</v>
          </cell>
          <cell r="C2149" t="str">
            <v>Vitamin</v>
          </cell>
          <cell r="D2149">
            <v>145</v>
          </cell>
          <cell r="E2149">
            <v>13.12</v>
          </cell>
          <cell r="F2149">
            <v>1902.4</v>
          </cell>
          <cell r="G2149">
            <v>0.04</v>
          </cell>
          <cell r="H2149">
            <v>0</v>
          </cell>
          <cell r="I2149" t="str">
            <v>USA</v>
          </cell>
          <cell r="J2149" t="str">
            <v>Walmart</v>
          </cell>
        </row>
        <row r="2150">
          <cell r="A2150" t="str">
            <v>01-08-2022</v>
          </cell>
          <cell r="B2150" t="str">
            <v>Pre-Workout</v>
          </cell>
          <cell r="C2150" t="str">
            <v>Performance</v>
          </cell>
          <cell r="D2150">
            <v>170</v>
          </cell>
          <cell r="E2150">
            <v>36.880000000000003</v>
          </cell>
          <cell r="F2150">
            <v>6269.6</v>
          </cell>
          <cell r="G2150">
            <v>0.15</v>
          </cell>
          <cell r="H2150">
            <v>2</v>
          </cell>
          <cell r="I2150" t="str">
            <v>USA</v>
          </cell>
          <cell r="J2150" t="str">
            <v>Walmart</v>
          </cell>
        </row>
        <row r="2151">
          <cell r="A2151" t="str">
            <v>01-08-2022</v>
          </cell>
          <cell r="B2151" t="str">
            <v>BCAA</v>
          </cell>
          <cell r="C2151" t="str">
            <v>Amino Acid</v>
          </cell>
          <cell r="D2151">
            <v>131</v>
          </cell>
          <cell r="E2151">
            <v>12.56</v>
          </cell>
          <cell r="F2151">
            <v>1645.36</v>
          </cell>
          <cell r="G2151">
            <v>0.1</v>
          </cell>
          <cell r="H2151">
            <v>0</v>
          </cell>
          <cell r="I2151" t="str">
            <v>UK</v>
          </cell>
          <cell r="J2151" t="str">
            <v>Walmart</v>
          </cell>
        </row>
        <row r="2152">
          <cell r="A2152" t="str">
            <v>01-08-2022</v>
          </cell>
          <cell r="B2152" t="str">
            <v>Creatine</v>
          </cell>
          <cell r="C2152" t="str">
            <v>Performance</v>
          </cell>
          <cell r="D2152">
            <v>152</v>
          </cell>
          <cell r="E2152">
            <v>36.61</v>
          </cell>
          <cell r="F2152">
            <v>5564.72</v>
          </cell>
          <cell r="G2152">
            <v>0.11</v>
          </cell>
          <cell r="H2152">
            <v>1</v>
          </cell>
          <cell r="I2152" t="str">
            <v>USA</v>
          </cell>
          <cell r="J2152" t="str">
            <v>Amazon</v>
          </cell>
        </row>
        <row r="2153">
          <cell r="A2153" t="str">
            <v>01-08-2022</v>
          </cell>
          <cell r="B2153" t="str">
            <v>Zinc</v>
          </cell>
          <cell r="C2153" t="str">
            <v>Mineral</v>
          </cell>
          <cell r="D2153">
            <v>164</v>
          </cell>
          <cell r="E2153">
            <v>46.71</v>
          </cell>
          <cell r="F2153">
            <v>7660.44</v>
          </cell>
          <cell r="G2153">
            <v>0.19</v>
          </cell>
          <cell r="H2153">
            <v>1</v>
          </cell>
          <cell r="I2153" t="str">
            <v>Canada</v>
          </cell>
          <cell r="J2153" t="str">
            <v>Walmart</v>
          </cell>
        </row>
        <row r="2154">
          <cell r="A2154" t="str">
            <v>01-08-2022</v>
          </cell>
          <cell r="B2154" t="str">
            <v>Collagen Peptides</v>
          </cell>
          <cell r="C2154" t="str">
            <v>Protein</v>
          </cell>
          <cell r="D2154">
            <v>142</v>
          </cell>
          <cell r="E2154">
            <v>14.66</v>
          </cell>
          <cell r="F2154">
            <v>2081.7199999999998</v>
          </cell>
          <cell r="G2154">
            <v>0.01</v>
          </cell>
          <cell r="H2154">
            <v>0</v>
          </cell>
          <cell r="I2154" t="str">
            <v>Canada</v>
          </cell>
          <cell r="J2154" t="str">
            <v>Amazon</v>
          </cell>
        </row>
        <row r="2155">
          <cell r="A2155" t="str">
            <v>01-08-2022</v>
          </cell>
          <cell r="B2155" t="str">
            <v>Magnesium</v>
          </cell>
          <cell r="C2155" t="str">
            <v>Mineral</v>
          </cell>
          <cell r="D2155">
            <v>137</v>
          </cell>
          <cell r="E2155">
            <v>52.46</v>
          </cell>
          <cell r="F2155">
            <v>7187.02</v>
          </cell>
          <cell r="G2155">
            <v>0.06</v>
          </cell>
          <cell r="H2155">
            <v>3</v>
          </cell>
          <cell r="I2155" t="str">
            <v>USA</v>
          </cell>
          <cell r="J2155" t="str">
            <v>Walmart</v>
          </cell>
        </row>
        <row r="2156">
          <cell r="A2156" t="str">
            <v>01-08-2022</v>
          </cell>
          <cell r="B2156" t="str">
            <v>Ashwagandha</v>
          </cell>
          <cell r="C2156" t="str">
            <v>Herbal</v>
          </cell>
          <cell r="D2156">
            <v>164</v>
          </cell>
          <cell r="E2156">
            <v>13.63</v>
          </cell>
          <cell r="F2156">
            <v>2235.3200000000002</v>
          </cell>
          <cell r="G2156">
            <v>0.14000000000000001</v>
          </cell>
          <cell r="H2156">
            <v>2</v>
          </cell>
          <cell r="I2156" t="str">
            <v>Canada</v>
          </cell>
          <cell r="J2156" t="str">
            <v>iHerb</v>
          </cell>
        </row>
        <row r="2157">
          <cell r="A2157" t="str">
            <v>01-08-2022</v>
          </cell>
          <cell r="B2157" t="str">
            <v>Melatonin</v>
          </cell>
          <cell r="C2157" t="str">
            <v>Sleep Aid</v>
          </cell>
          <cell r="D2157">
            <v>150</v>
          </cell>
          <cell r="E2157">
            <v>19.3</v>
          </cell>
          <cell r="F2157">
            <v>2895</v>
          </cell>
          <cell r="G2157">
            <v>0</v>
          </cell>
          <cell r="H2157">
            <v>1</v>
          </cell>
          <cell r="I2157" t="str">
            <v>Canada</v>
          </cell>
          <cell r="J2157" t="str">
            <v>Walmart</v>
          </cell>
        </row>
        <row r="2158">
          <cell r="A2158" t="str">
            <v>01-08-2022</v>
          </cell>
          <cell r="B2158" t="str">
            <v>Biotin</v>
          </cell>
          <cell r="C2158" t="str">
            <v>Vitamin</v>
          </cell>
          <cell r="D2158">
            <v>152</v>
          </cell>
          <cell r="E2158">
            <v>35.229999999999997</v>
          </cell>
          <cell r="F2158">
            <v>5354.96</v>
          </cell>
          <cell r="G2158">
            <v>0.23</v>
          </cell>
          <cell r="H2158">
            <v>2</v>
          </cell>
          <cell r="I2158" t="str">
            <v>UK</v>
          </cell>
          <cell r="J2158" t="str">
            <v>iHerb</v>
          </cell>
        </row>
        <row r="2159">
          <cell r="A2159" t="str">
            <v>01-08-2022</v>
          </cell>
          <cell r="B2159" t="str">
            <v>Green Tea Extract</v>
          </cell>
          <cell r="C2159" t="str">
            <v>Fat Burner</v>
          </cell>
          <cell r="D2159">
            <v>164</v>
          </cell>
          <cell r="E2159">
            <v>52.77</v>
          </cell>
          <cell r="F2159">
            <v>8654.2800000000007</v>
          </cell>
          <cell r="G2159">
            <v>0.17</v>
          </cell>
          <cell r="H2159">
            <v>0</v>
          </cell>
          <cell r="I2159" t="str">
            <v>UK</v>
          </cell>
          <cell r="J2159" t="str">
            <v>Walmart</v>
          </cell>
        </row>
        <row r="2160">
          <cell r="A2160" t="str">
            <v>01-08-2022</v>
          </cell>
          <cell r="B2160" t="str">
            <v>Iron Supplement</v>
          </cell>
          <cell r="C2160" t="str">
            <v>Mineral</v>
          </cell>
          <cell r="D2160">
            <v>138</v>
          </cell>
          <cell r="E2160">
            <v>11.61</v>
          </cell>
          <cell r="F2160">
            <v>1602.18</v>
          </cell>
          <cell r="G2160">
            <v>0.12</v>
          </cell>
          <cell r="H2160">
            <v>1</v>
          </cell>
          <cell r="I2160" t="str">
            <v>USA</v>
          </cell>
          <cell r="J2160" t="str">
            <v>Walmart</v>
          </cell>
        </row>
        <row r="2161">
          <cell r="A2161" t="str">
            <v>01-08-2022</v>
          </cell>
          <cell r="B2161" t="str">
            <v>Electrolyte Powder</v>
          </cell>
          <cell r="C2161" t="str">
            <v>Hydration</v>
          </cell>
          <cell r="D2161">
            <v>156</v>
          </cell>
          <cell r="E2161">
            <v>28.02</v>
          </cell>
          <cell r="F2161">
            <v>4371.12</v>
          </cell>
          <cell r="G2161">
            <v>0.11</v>
          </cell>
          <cell r="H2161">
            <v>5</v>
          </cell>
          <cell r="I2161" t="str">
            <v>UK</v>
          </cell>
          <cell r="J2161" t="str">
            <v>iHerb</v>
          </cell>
        </row>
        <row r="2162">
          <cell r="A2162" t="str">
            <v>08-08-2022</v>
          </cell>
          <cell r="B2162" t="str">
            <v>Whey Protein</v>
          </cell>
          <cell r="C2162" t="str">
            <v>Protein</v>
          </cell>
          <cell r="D2162">
            <v>148</v>
          </cell>
          <cell r="E2162">
            <v>30.59</v>
          </cell>
          <cell r="F2162">
            <v>4527.32</v>
          </cell>
          <cell r="G2162">
            <v>0.18</v>
          </cell>
          <cell r="H2162">
            <v>0</v>
          </cell>
          <cell r="I2162" t="str">
            <v>USA</v>
          </cell>
          <cell r="J2162" t="str">
            <v>iHerb</v>
          </cell>
        </row>
        <row r="2163">
          <cell r="A2163" t="str">
            <v>08-08-2022</v>
          </cell>
          <cell r="B2163" t="str">
            <v>Vitamin C</v>
          </cell>
          <cell r="C2163" t="str">
            <v>Vitamin</v>
          </cell>
          <cell r="D2163">
            <v>141</v>
          </cell>
          <cell r="E2163">
            <v>31.62</v>
          </cell>
          <cell r="F2163">
            <v>4458.42</v>
          </cell>
          <cell r="G2163">
            <v>0.21</v>
          </cell>
          <cell r="H2163">
            <v>0</v>
          </cell>
          <cell r="I2163" t="str">
            <v>Canada</v>
          </cell>
          <cell r="J2163" t="str">
            <v>Walmart</v>
          </cell>
        </row>
        <row r="2164">
          <cell r="A2164" t="str">
            <v>08-08-2022</v>
          </cell>
          <cell r="B2164" t="str">
            <v>Fish Oil</v>
          </cell>
          <cell r="C2164" t="str">
            <v>Omega</v>
          </cell>
          <cell r="D2164">
            <v>156</v>
          </cell>
          <cell r="E2164">
            <v>21.85</v>
          </cell>
          <cell r="F2164">
            <v>3408.6</v>
          </cell>
          <cell r="G2164">
            <v>0.17</v>
          </cell>
          <cell r="H2164">
            <v>4</v>
          </cell>
          <cell r="I2164" t="str">
            <v>Canada</v>
          </cell>
          <cell r="J2164" t="str">
            <v>Amazon</v>
          </cell>
        </row>
        <row r="2165">
          <cell r="A2165" t="str">
            <v>08-08-2022</v>
          </cell>
          <cell r="B2165" t="str">
            <v>Multivitamin</v>
          </cell>
          <cell r="C2165" t="str">
            <v>Vitamin</v>
          </cell>
          <cell r="D2165">
            <v>183</v>
          </cell>
          <cell r="E2165">
            <v>15.02</v>
          </cell>
          <cell r="F2165">
            <v>2748.66</v>
          </cell>
          <cell r="G2165">
            <v>0.04</v>
          </cell>
          <cell r="H2165">
            <v>2</v>
          </cell>
          <cell r="I2165" t="str">
            <v>Canada</v>
          </cell>
          <cell r="J2165" t="str">
            <v>Walmart</v>
          </cell>
        </row>
        <row r="2166">
          <cell r="A2166" t="str">
            <v>08-08-2022</v>
          </cell>
          <cell r="B2166" t="str">
            <v>Pre-Workout</v>
          </cell>
          <cell r="C2166" t="str">
            <v>Performance</v>
          </cell>
          <cell r="D2166">
            <v>158</v>
          </cell>
          <cell r="E2166">
            <v>26.8</v>
          </cell>
          <cell r="F2166">
            <v>4234.3999999999996</v>
          </cell>
          <cell r="G2166">
            <v>0.04</v>
          </cell>
          <cell r="H2166">
            <v>2</v>
          </cell>
          <cell r="I2166" t="str">
            <v>UK</v>
          </cell>
          <cell r="J2166" t="str">
            <v>Amazon</v>
          </cell>
        </row>
        <row r="2167">
          <cell r="A2167" t="str">
            <v>08-08-2022</v>
          </cell>
          <cell r="B2167" t="str">
            <v>BCAA</v>
          </cell>
          <cell r="C2167" t="str">
            <v>Amino Acid</v>
          </cell>
          <cell r="D2167">
            <v>149</v>
          </cell>
          <cell r="E2167">
            <v>32.07</v>
          </cell>
          <cell r="F2167">
            <v>4778.43</v>
          </cell>
          <cell r="G2167">
            <v>0.08</v>
          </cell>
          <cell r="H2167">
            <v>1</v>
          </cell>
          <cell r="I2167" t="str">
            <v>Canada</v>
          </cell>
          <cell r="J2167" t="str">
            <v>Amazon</v>
          </cell>
        </row>
        <row r="2168">
          <cell r="A2168" t="str">
            <v>08-08-2022</v>
          </cell>
          <cell r="B2168" t="str">
            <v>Creatine</v>
          </cell>
          <cell r="C2168" t="str">
            <v>Performance</v>
          </cell>
          <cell r="D2168">
            <v>139</v>
          </cell>
          <cell r="E2168">
            <v>14.74</v>
          </cell>
          <cell r="F2168">
            <v>2048.86</v>
          </cell>
          <cell r="G2168">
            <v>0.09</v>
          </cell>
          <cell r="H2168">
            <v>0</v>
          </cell>
          <cell r="I2168" t="str">
            <v>USA</v>
          </cell>
          <cell r="J2168" t="str">
            <v>Amazon</v>
          </cell>
        </row>
        <row r="2169">
          <cell r="A2169" t="str">
            <v>08-08-2022</v>
          </cell>
          <cell r="B2169" t="str">
            <v>Zinc</v>
          </cell>
          <cell r="C2169" t="str">
            <v>Mineral</v>
          </cell>
          <cell r="D2169">
            <v>137</v>
          </cell>
          <cell r="E2169">
            <v>26.27</v>
          </cell>
          <cell r="F2169">
            <v>3598.99</v>
          </cell>
          <cell r="G2169">
            <v>0.17</v>
          </cell>
          <cell r="H2169">
            <v>2</v>
          </cell>
          <cell r="I2169" t="str">
            <v>UK</v>
          </cell>
          <cell r="J2169" t="str">
            <v>Walmart</v>
          </cell>
        </row>
        <row r="2170">
          <cell r="A2170" t="str">
            <v>08-08-2022</v>
          </cell>
          <cell r="B2170" t="str">
            <v>Collagen Peptides</v>
          </cell>
          <cell r="C2170" t="str">
            <v>Protein</v>
          </cell>
          <cell r="D2170">
            <v>153</v>
          </cell>
          <cell r="E2170">
            <v>11.07</v>
          </cell>
          <cell r="F2170">
            <v>1693.71</v>
          </cell>
          <cell r="G2170">
            <v>0.18</v>
          </cell>
          <cell r="H2170">
            <v>4</v>
          </cell>
          <cell r="I2170" t="str">
            <v>Canada</v>
          </cell>
          <cell r="J2170" t="str">
            <v>Walmart</v>
          </cell>
        </row>
        <row r="2171">
          <cell r="A2171" t="str">
            <v>08-08-2022</v>
          </cell>
          <cell r="B2171" t="str">
            <v>Magnesium</v>
          </cell>
          <cell r="C2171" t="str">
            <v>Mineral</v>
          </cell>
          <cell r="D2171">
            <v>165</v>
          </cell>
          <cell r="E2171">
            <v>26.34</v>
          </cell>
          <cell r="F2171">
            <v>4346.1000000000004</v>
          </cell>
          <cell r="G2171">
            <v>0.04</v>
          </cell>
          <cell r="H2171">
            <v>2</v>
          </cell>
          <cell r="I2171" t="str">
            <v>USA</v>
          </cell>
          <cell r="J2171" t="str">
            <v>Amazon</v>
          </cell>
        </row>
        <row r="2172">
          <cell r="A2172" t="str">
            <v>08-08-2022</v>
          </cell>
          <cell r="B2172" t="str">
            <v>Ashwagandha</v>
          </cell>
          <cell r="C2172" t="str">
            <v>Herbal</v>
          </cell>
          <cell r="D2172">
            <v>158</v>
          </cell>
          <cell r="E2172">
            <v>36.979999999999997</v>
          </cell>
          <cell r="F2172">
            <v>5842.84</v>
          </cell>
          <cell r="G2172">
            <v>0.17</v>
          </cell>
          <cell r="H2172">
            <v>1</v>
          </cell>
          <cell r="I2172" t="str">
            <v>USA</v>
          </cell>
          <cell r="J2172" t="str">
            <v>Amazon</v>
          </cell>
        </row>
        <row r="2173">
          <cell r="A2173" t="str">
            <v>08-08-2022</v>
          </cell>
          <cell r="B2173" t="str">
            <v>Melatonin</v>
          </cell>
          <cell r="C2173" t="str">
            <v>Sleep Aid</v>
          </cell>
          <cell r="D2173">
            <v>165</v>
          </cell>
          <cell r="E2173">
            <v>13.23</v>
          </cell>
          <cell r="F2173">
            <v>2182.9499999999998</v>
          </cell>
          <cell r="G2173">
            <v>0.16</v>
          </cell>
          <cell r="H2173">
            <v>1</v>
          </cell>
          <cell r="I2173" t="str">
            <v>USA</v>
          </cell>
          <cell r="J2173" t="str">
            <v>iHerb</v>
          </cell>
        </row>
        <row r="2174">
          <cell r="A2174" t="str">
            <v>08-08-2022</v>
          </cell>
          <cell r="B2174" t="str">
            <v>Biotin</v>
          </cell>
          <cell r="C2174" t="str">
            <v>Vitamin</v>
          </cell>
          <cell r="D2174">
            <v>152</v>
          </cell>
          <cell r="E2174">
            <v>53.95</v>
          </cell>
          <cell r="F2174">
            <v>8200.4</v>
          </cell>
          <cell r="G2174">
            <v>0.1</v>
          </cell>
          <cell r="H2174">
            <v>1</v>
          </cell>
          <cell r="I2174" t="str">
            <v>UK</v>
          </cell>
          <cell r="J2174" t="str">
            <v>iHerb</v>
          </cell>
        </row>
        <row r="2175">
          <cell r="A2175" t="str">
            <v>08-08-2022</v>
          </cell>
          <cell r="B2175" t="str">
            <v>Green Tea Extract</v>
          </cell>
          <cell r="C2175" t="str">
            <v>Fat Burner</v>
          </cell>
          <cell r="D2175">
            <v>140</v>
          </cell>
          <cell r="E2175">
            <v>15.71</v>
          </cell>
          <cell r="F2175">
            <v>2199.4</v>
          </cell>
          <cell r="G2175">
            <v>0.14000000000000001</v>
          </cell>
          <cell r="H2175">
            <v>0</v>
          </cell>
          <cell r="I2175" t="str">
            <v>USA</v>
          </cell>
          <cell r="J2175" t="str">
            <v>iHerb</v>
          </cell>
        </row>
        <row r="2176">
          <cell r="A2176" t="str">
            <v>08-08-2022</v>
          </cell>
          <cell r="B2176" t="str">
            <v>Iron Supplement</v>
          </cell>
          <cell r="C2176" t="str">
            <v>Mineral</v>
          </cell>
          <cell r="D2176">
            <v>144</v>
          </cell>
          <cell r="E2176">
            <v>58.56</v>
          </cell>
          <cell r="F2176">
            <v>8432.64</v>
          </cell>
          <cell r="G2176">
            <v>0.18</v>
          </cell>
          <cell r="H2176">
            <v>1</v>
          </cell>
          <cell r="I2176" t="str">
            <v>Canada</v>
          </cell>
          <cell r="J2176" t="str">
            <v>iHerb</v>
          </cell>
        </row>
        <row r="2177">
          <cell r="A2177" t="str">
            <v>08-08-2022</v>
          </cell>
          <cell r="B2177" t="str">
            <v>Electrolyte Powder</v>
          </cell>
          <cell r="C2177" t="str">
            <v>Hydration</v>
          </cell>
          <cell r="D2177">
            <v>131</v>
          </cell>
          <cell r="E2177">
            <v>20.67</v>
          </cell>
          <cell r="F2177">
            <v>2707.77</v>
          </cell>
          <cell r="G2177">
            <v>0.13</v>
          </cell>
          <cell r="H2177">
            <v>2</v>
          </cell>
          <cell r="I2177" t="str">
            <v>Canada</v>
          </cell>
          <cell r="J2177" t="str">
            <v>Amazon</v>
          </cell>
        </row>
        <row r="2178">
          <cell r="A2178" t="str">
            <v>15-08-2022</v>
          </cell>
          <cell r="B2178" t="str">
            <v>Whey Protein</v>
          </cell>
          <cell r="C2178" t="str">
            <v>Protein</v>
          </cell>
          <cell r="D2178">
            <v>154</v>
          </cell>
          <cell r="E2178">
            <v>37.049999999999997</v>
          </cell>
          <cell r="F2178">
            <v>5705.7</v>
          </cell>
          <cell r="G2178">
            <v>0.23</v>
          </cell>
          <cell r="H2178">
            <v>4</v>
          </cell>
          <cell r="I2178" t="str">
            <v>Canada</v>
          </cell>
          <cell r="J2178" t="str">
            <v>Walmart</v>
          </cell>
        </row>
        <row r="2179">
          <cell r="A2179" t="str">
            <v>15-08-2022</v>
          </cell>
          <cell r="B2179" t="str">
            <v>Vitamin C</v>
          </cell>
          <cell r="C2179" t="str">
            <v>Vitamin</v>
          </cell>
          <cell r="D2179">
            <v>150</v>
          </cell>
          <cell r="E2179">
            <v>32.979999999999997</v>
          </cell>
          <cell r="F2179">
            <v>4947</v>
          </cell>
          <cell r="G2179">
            <v>0.05</v>
          </cell>
          <cell r="H2179">
            <v>2</v>
          </cell>
          <cell r="I2179" t="str">
            <v>USA</v>
          </cell>
          <cell r="J2179" t="str">
            <v>iHerb</v>
          </cell>
        </row>
        <row r="2180">
          <cell r="A2180" t="str">
            <v>15-08-2022</v>
          </cell>
          <cell r="B2180" t="str">
            <v>Fish Oil</v>
          </cell>
          <cell r="C2180" t="str">
            <v>Omega</v>
          </cell>
          <cell r="D2180">
            <v>150</v>
          </cell>
          <cell r="E2180">
            <v>19.88</v>
          </cell>
          <cell r="F2180">
            <v>2982</v>
          </cell>
          <cell r="G2180">
            <v>0.12</v>
          </cell>
          <cell r="H2180">
            <v>3</v>
          </cell>
          <cell r="I2180" t="str">
            <v>USA</v>
          </cell>
          <cell r="J2180" t="str">
            <v>Amazon</v>
          </cell>
        </row>
        <row r="2181">
          <cell r="A2181" t="str">
            <v>15-08-2022</v>
          </cell>
          <cell r="B2181" t="str">
            <v>Multivitamin</v>
          </cell>
          <cell r="C2181" t="str">
            <v>Vitamin</v>
          </cell>
          <cell r="D2181">
            <v>152</v>
          </cell>
          <cell r="E2181">
            <v>26.95</v>
          </cell>
          <cell r="F2181">
            <v>4096.3999999999996</v>
          </cell>
          <cell r="G2181">
            <v>0.14000000000000001</v>
          </cell>
          <cell r="H2181">
            <v>1</v>
          </cell>
          <cell r="I2181" t="str">
            <v>Canada</v>
          </cell>
          <cell r="J2181" t="str">
            <v>Walmart</v>
          </cell>
        </row>
        <row r="2182">
          <cell r="A2182" t="str">
            <v>15-08-2022</v>
          </cell>
          <cell r="B2182" t="str">
            <v>Pre-Workout</v>
          </cell>
          <cell r="C2182" t="str">
            <v>Performance</v>
          </cell>
          <cell r="D2182">
            <v>156</v>
          </cell>
          <cell r="E2182">
            <v>34.67</v>
          </cell>
          <cell r="F2182">
            <v>5408.52</v>
          </cell>
          <cell r="G2182">
            <v>7.0000000000000007E-2</v>
          </cell>
          <cell r="H2182">
            <v>1</v>
          </cell>
          <cell r="I2182" t="str">
            <v>Canada</v>
          </cell>
          <cell r="J2182" t="str">
            <v>Amazon</v>
          </cell>
        </row>
        <row r="2183">
          <cell r="A2183" t="str">
            <v>15-08-2022</v>
          </cell>
          <cell r="B2183" t="str">
            <v>BCAA</v>
          </cell>
          <cell r="C2183" t="str">
            <v>Amino Acid</v>
          </cell>
          <cell r="D2183">
            <v>182</v>
          </cell>
          <cell r="E2183">
            <v>25.56</v>
          </cell>
          <cell r="F2183">
            <v>4651.92</v>
          </cell>
          <cell r="G2183">
            <v>0.13</v>
          </cell>
          <cell r="H2183">
            <v>3</v>
          </cell>
          <cell r="I2183" t="str">
            <v>UK</v>
          </cell>
          <cell r="J2183" t="str">
            <v>Walmart</v>
          </cell>
        </row>
        <row r="2184">
          <cell r="A2184" t="str">
            <v>15-08-2022</v>
          </cell>
          <cell r="B2184" t="str">
            <v>Creatine</v>
          </cell>
          <cell r="C2184" t="str">
            <v>Performance</v>
          </cell>
          <cell r="D2184">
            <v>147</v>
          </cell>
          <cell r="E2184">
            <v>52.82</v>
          </cell>
          <cell r="F2184">
            <v>7764.54</v>
          </cell>
          <cell r="G2184">
            <v>0.08</v>
          </cell>
          <cell r="H2184">
            <v>1</v>
          </cell>
          <cell r="I2184" t="str">
            <v>UK</v>
          </cell>
          <cell r="J2184" t="str">
            <v>Walmart</v>
          </cell>
        </row>
        <row r="2185">
          <cell r="A2185" t="str">
            <v>15-08-2022</v>
          </cell>
          <cell r="B2185" t="str">
            <v>Zinc</v>
          </cell>
          <cell r="C2185" t="str">
            <v>Mineral</v>
          </cell>
          <cell r="D2185">
            <v>145</v>
          </cell>
          <cell r="E2185">
            <v>12.22</v>
          </cell>
          <cell r="F2185">
            <v>1771.9</v>
          </cell>
          <cell r="G2185">
            <v>0.08</v>
          </cell>
          <cell r="H2185">
            <v>2</v>
          </cell>
          <cell r="I2185" t="str">
            <v>UK</v>
          </cell>
          <cell r="J2185" t="str">
            <v>Walmart</v>
          </cell>
        </row>
        <row r="2186">
          <cell r="A2186" t="str">
            <v>15-08-2022</v>
          </cell>
          <cell r="B2186" t="str">
            <v>Collagen Peptides</v>
          </cell>
          <cell r="C2186" t="str">
            <v>Protein</v>
          </cell>
          <cell r="D2186">
            <v>152</v>
          </cell>
          <cell r="E2186">
            <v>37</v>
          </cell>
          <cell r="F2186">
            <v>5624</v>
          </cell>
          <cell r="G2186">
            <v>0.05</v>
          </cell>
          <cell r="H2186">
            <v>1</v>
          </cell>
          <cell r="I2186" t="str">
            <v>USA</v>
          </cell>
          <cell r="J2186" t="str">
            <v>Amazon</v>
          </cell>
        </row>
        <row r="2187">
          <cell r="A2187" t="str">
            <v>15-08-2022</v>
          </cell>
          <cell r="B2187" t="str">
            <v>Magnesium</v>
          </cell>
          <cell r="C2187" t="str">
            <v>Mineral</v>
          </cell>
          <cell r="D2187">
            <v>150</v>
          </cell>
          <cell r="E2187">
            <v>23.04</v>
          </cell>
          <cell r="F2187">
            <v>3456</v>
          </cell>
          <cell r="G2187">
            <v>0.22</v>
          </cell>
          <cell r="H2187">
            <v>2</v>
          </cell>
          <cell r="I2187" t="str">
            <v>USA</v>
          </cell>
          <cell r="J2187" t="str">
            <v>iHerb</v>
          </cell>
        </row>
        <row r="2188">
          <cell r="A2188" t="str">
            <v>15-08-2022</v>
          </cell>
          <cell r="B2188" t="str">
            <v>Ashwagandha</v>
          </cell>
          <cell r="C2188" t="str">
            <v>Herbal</v>
          </cell>
          <cell r="D2188">
            <v>166</v>
          </cell>
          <cell r="E2188">
            <v>22.87</v>
          </cell>
          <cell r="F2188">
            <v>3796.42</v>
          </cell>
          <cell r="G2188">
            <v>0.1</v>
          </cell>
          <cell r="H2188">
            <v>1</v>
          </cell>
          <cell r="I2188" t="str">
            <v>Canada</v>
          </cell>
          <cell r="J2188" t="str">
            <v>Walmart</v>
          </cell>
        </row>
        <row r="2189">
          <cell r="A2189" t="str">
            <v>15-08-2022</v>
          </cell>
          <cell r="B2189" t="str">
            <v>Melatonin</v>
          </cell>
          <cell r="C2189" t="str">
            <v>Sleep Aid</v>
          </cell>
          <cell r="D2189">
            <v>145</v>
          </cell>
          <cell r="E2189">
            <v>41.06</v>
          </cell>
          <cell r="F2189">
            <v>5953.7</v>
          </cell>
          <cell r="G2189">
            <v>0.04</v>
          </cell>
          <cell r="H2189">
            <v>3</v>
          </cell>
          <cell r="I2189" t="str">
            <v>Canada</v>
          </cell>
          <cell r="J2189" t="str">
            <v>Walmart</v>
          </cell>
        </row>
        <row r="2190">
          <cell r="A2190" t="str">
            <v>15-08-2022</v>
          </cell>
          <cell r="B2190" t="str">
            <v>Biotin</v>
          </cell>
          <cell r="C2190" t="str">
            <v>Vitamin</v>
          </cell>
          <cell r="D2190">
            <v>162</v>
          </cell>
          <cell r="E2190">
            <v>52.64</v>
          </cell>
          <cell r="F2190">
            <v>8527.68</v>
          </cell>
          <cell r="G2190">
            <v>0.06</v>
          </cell>
          <cell r="H2190">
            <v>0</v>
          </cell>
          <cell r="I2190" t="str">
            <v>USA</v>
          </cell>
          <cell r="J2190" t="str">
            <v>Amazon</v>
          </cell>
        </row>
        <row r="2191">
          <cell r="A2191" t="str">
            <v>15-08-2022</v>
          </cell>
          <cell r="B2191" t="str">
            <v>Green Tea Extract</v>
          </cell>
          <cell r="C2191" t="str">
            <v>Fat Burner</v>
          </cell>
          <cell r="D2191">
            <v>154</v>
          </cell>
          <cell r="E2191">
            <v>38.36</v>
          </cell>
          <cell r="F2191">
            <v>5907.44</v>
          </cell>
          <cell r="G2191">
            <v>0.22</v>
          </cell>
          <cell r="H2191">
            <v>4</v>
          </cell>
          <cell r="I2191" t="str">
            <v>Canada</v>
          </cell>
          <cell r="J2191" t="str">
            <v>Walmart</v>
          </cell>
        </row>
        <row r="2192">
          <cell r="A2192" t="str">
            <v>15-08-2022</v>
          </cell>
          <cell r="B2192" t="str">
            <v>Iron Supplement</v>
          </cell>
          <cell r="C2192" t="str">
            <v>Mineral</v>
          </cell>
          <cell r="D2192">
            <v>155</v>
          </cell>
          <cell r="E2192">
            <v>14.19</v>
          </cell>
          <cell r="F2192">
            <v>2199.4499999999998</v>
          </cell>
          <cell r="G2192">
            <v>0.04</v>
          </cell>
          <cell r="H2192">
            <v>2</v>
          </cell>
          <cell r="I2192" t="str">
            <v>USA</v>
          </cell>
          <cell r="J2192" t="str">
            <v>iHerb</v>
          </cell>
        </row>
        <row r="2193">
          <cell r="A2193" t="str">
            <v>15-08-2022</v>
          </cell>
          <cell r="B2193" t="str">
            <v>Electrolyte Powder</v>
          </cell>
          <cell r="C2193" t="str">
            <v>Hydration</v>
          </cell>
          <cell r="D2193">
            <v>148</v>
          </cell>
          <cell r="E2193">
            <v>25.43</v>
          </cell>
          <cell r="F2193">
            <v>3763.64</v>
          </cell>
          <cell r="G2193">
            <v>0.15</v>
          </cell>
          <cell r="H2193">
            <v>0</v>
          </cell>
          <cell r="I2193" t="str">
            <v>USA</v>
          </cell>
          <cell r="J2193" t="str">
            <v>iHerb</v>
          </cell>
        </row>
        <row r="2194">
          <cell r="A2194" t="str">
            <v>22-08-2022</v>
          </cell>
          <cell r="B2194" t="str">
            <v>Whey Protein</v>
          </cell>
          <cell r="C2194" t="str">
            <v>Protein</v>
          </cell>
          <cell r="D2194">
            <v>154</v>
          </cell>
          <cell r="E2194">
            <v>13.19</v>
          </cell>
          <cell r="F2194">
            <v>2031.26</v>
          </cell>
          <cell r="G2194">
            <v>0.08</v>
          </cell>
          <cell r="H2194">
            <v>1</v>
          </cell>
          <cell r="I2194" t="str">
            <v>USA</v>
          </cell>
          <cell r="J2194" t="str">
            <v>iHerb</v>
          </cell>
        </row>
        <row r="2195">
          <cell r="A2195" t="str">
            <v>22-08-2022</v>
          </cell>
          <cell r="B2195" t="str">
            <v>Vitamin C</v>
          </cell>
          <cell r="C2195" t="str">
            <v>Vitamin</v>
          </cell>
          <cell r="D2195">
            <v>167</v>
          </cell>
          <cell r="E2195">
            <v>18.829999999999998</v>
          </cell>
          <cell r="F2195">
            <v>3144.61</v>
          </cell>
          <cell r="G2195">
            <v>0.14000000000000001</v>
          </cell>
          <cell r="H2195">
            <v>1</v>
          </cell>
          <cell r="I2195" t="str">
            <v>Canada</v>
          </cell>
          <cell r="J2195" t="str">
            <v>Amazon</v>
          </cell>
        </row>
        <row r="2196">
          <cell r="A2196" t="str">
            <v>22-08-2022</v>
          </cell>
          <cell r="B2196" t="str">
            <v>Fish Oil</v>
          </cell>
          <cell r="C2196" t="str">
            <v>Omega</v>
          </cell>
          <cell r="D2196">
            <v>121</v>
          </cell>
          <cell r="E2196">
            <v>59.4</v>
          </cell>
          <cell r="F2196">
            <v>7187.4</v>
          </cell>
          <cell r="G2196">
            <v>0.16</v>
          </cell>
          <cell r="H2196">
            <v>1</v>
          </cell>
          <cell r="I2196" t="str">
            <v>Canada</v>
          </cell>
          <cell r="J2196" t="str">
            <v>Walmart</v>
          </cell>
        </row>
        <row r="2197">
          <cell r="A2197" t="str">
            <v>22-08-2022</v>
          </cell>
          <cell r="B2197" t="str">
            <v>Multivitamin</v>
          </cell>
          <cell r="C2197" t="str">
            <v>Vitamin</v>
          </cell>
          <cell r="D2197">
            <v>149</v>
          </cell>
          <cell r="E2197">
            <v>27.24</v>
          </cell>
          <cell r="F2197">
            <v>4058.76</v>
          </cell>
          <cell r="G2197">
            <v>0.16</v>
          </cell>
          <cell r="H2197">
            <v>3</v>
          </cell>
          <cell r="I2197" t="str">
            <v>UK</v>
          </cell>
          <cell r="J2197" t="str">
            <v>Walmart</v>
          </cell>
        </row>
        <row r="2198">
          <cell r="A2198" t="str">
            <v>22-08-2022</v>
          </cell>
          <cell r="B2198" t="str">
            <v>Pre-Workout</v>
          </cell>
          <cell r="C2198" t="str">
            <v>Performance</v>
          </cell>
          <cell r="D2198">
            <v>137</v>
          </cell>
          <cell r="E2198">
            <v>16.079999999999998</v>
          </cell>
          <cell r="F2198">
            <v>2202.96</v>
          </cell>
          <cell r="G2198">
            <v>0.05</v>
          </cell>
          <cell r="H2198">
            <v>0</v>
          </cell>
          <cell r="I2198" t="str">
            <v>Canada</v>
          </cell>
          <cell r="J2198" t="str">
            <v>Amazon</v>
          </cell>
        </row>
        <row r="2199">
          <cell r="A2199" t="str">
            <v>22-08-2022</v>
          </cell>
          <cell r="B2199" t="str">
            <v>BCAA</v>
          </cell>
          <cell r="C2199" t="str">
            <v>Amino Acid</v>
          </cell>
          <cell r="D2199">
            <v>135</v>
          </cell>
          <cell r="E2199">
            <v>32.97</v>
          </cell>
          <cell r="F2199">
            <v>4450.95</v>
          </cell>
          <cell r="G2199">
            <v>0.02</v>
          </cell>
          <cell r="H2199">
            <v>4</v>
          </cell>
          <cell r="I2199" t="str">
            <v>USA</v>
          </cell>
          <cell r="J2199" t="str">
            <v>Walmart</v>
          </cell>
        </row>
        <row r="2200">
          <cell r="A2200" t="str">
            <v>22-08-2022</v>
          </cell>
          <cell r="B2200" t="str">
            <v>Creatine</v>
          </cell>
          <cell r="C2200" t="str">
            <v>Performance</v>
          </cell>
          <cell r="D2200">
            <v>167</v>
          </cell>
          <cell r="E2200">
            <v>56.67</v>
          </cell>
          <cell r="F2200">
            <v>9463.89</v>
          </cell>
          <cell r="G2200">
            <v>0.06</v>
          </cell>
          <cell r="H2200">
            <v>3</v>
          </cell>
          <cell r="I2200" t="str">
            <v>Canada</v>
          </cell>
          <cell r="J2200" t="str">
            <v>Walmart</v>
          </cell>
        </row>
        <row r="2201">
          <cell r="A2201" t="str">
            <v>22-08-2022</v>
          </cell>
          <cell r="B2201" t="str">
            <v>Zinc</v>
          </cell>
          <cell r="C2201" t="str">
            <v>Mineral</v>
          </cell>
          <cell r="D2201">
            <v>157</v>
          </cell>
          <cell r="E2201">
            <v>49.85</v>
          </cell>
          <cell r="F2201">
            <v>7826.45</v>
          </cell>
          <cell r="G2201">
            <v>0.09</v>
          </cell>
          <cell r="H2201">
            <v>2</v>
          </cell>
          <cell r="I2201" t="str">
            <v>Canada</v>
          </cell>
          <cell r="J2201" t="str">
            <v>Amazon</v>
          </cell>
        </row>
        <row r="2202">
          <cell r="A2202" t="str">
            <v>22-08-2022</v>
          </cell>
          <cell r="B2202" t="str">
            <v>Collagen Peptides</v>
          </cell>
          <cell r="C2202" t="str">
            <v>Protein</v>
          </cell>
          <cell r="D2202">
            <v>141</v>
          </cell>
          <cell r="E2202">
            <v>15.4</v>
          </cell>
          <cell r="F2202">
            <v>2171.4</v>
          </cell>
          <cell r="G2202">
            <v>0.23</v>
          </cell>
          <cell r="H2202">
            <v>1</v>
          </cell>
          <cell r="I2202" t="str">
            <v>Canada</v>
          </cell>
          <cell r="J2202" t="str">
            <v>Walmart</v>
          </cell>
        </row>
        <row r="2203">
          <cell r="A2203" t="str">
            <v>22-08-2022</v>
          </cell>
          <cell r="B2203" t="str">
            <v>Magnesium</v>
          </cell>
          <cell r="C2203" t="str">
            <v>Mineral</v>
          </cell>
          <cell r="D2203">
            <v>151</v>
          </cell>
          <cell r="E2203">
            <v>58</v>
          </cell>
          <cell r="F2203">
            <v>8758</v>
          </cell>
          <cell r="G2203">
            <v>0.08</v>
          </cell>
          <cell r="H2203">
            <v>2</v>
          </cell>
          <cell r="I2203" t="str">
            <v>UK</v>
          </cell>
          <cell r="J2203" t="str">
            <v>Walmart</v>
          </cell>
        </row>
        <row r="2204">
          <cell r="A2204" t="str">
            <v>22-08-2022</v>
          </cell>
          <cell r="B2204" t="str">
            <v>Ashwagandha</v>
          </cell>
          <cell r="C2204" t="str">
            <v>Herbal</v>
          </cell>
          <cell r="D2204">
            <v>165</v>
          </cell>
          <cell r="E2204">
            <v>28.91</v>
          </cell>
          <cell r="F2204">
            <v>4770.1499999999996</v>
          </cell>
          <cell r="G2204">
            <v>0.19</v>
          </cell>
          <cell r="H2204">
            <v>3</v>
          </cell>
          <cell r="I2204" t="str">
            <v>UK</v>
          </cell>
          <cell r="J2204" t="str">
            <v>iHerb</v>
          </cell>
        </row>
        <row r="2205">
          <cell r="A2205" t="str">
            <v>22-08-2022</v>
          </cell>
          <cell r="B2205" t="str">
            <v>Melatonin</v>
          </cell>
          <cell r="C2205" t="str">
            <v>Sleep Aid</v>
          </cell>
          <cell r="D2205">
            <v>160</v>
          </cell>
          <cell r="E2205">
            <v>54.42</v>
          </cell>
          <cell r="F2205">
            <v>8707.2000000000007</v>
          </cell>
          <cell r="G2205">
            <v>0.1</v>
          </cell>
          <cell r="H2205">
            <v>2</v>
          </cell>
          <cell r="I2205" t="str">
            <v>Canada</v>
          </cell>
          <cell r="J2205" t="str">
            <v>Walmart</v>
          </cell>
        </row>
        <row r="2206">
          <cell r="A2206" t="str">
            <v>22-08-2022</v>
          </cell>
          <cell r="B2206" t="str">
            <v>Biotin</v>
          </cell>
          <cell r="C2206" t="str">
            <v>Vitamin</v>
          </cell>
          <cell r="D2206">
            <v>163</v>
          </cell>
          <cell r="E2206">
            <v>49.23</v>
          </cell>
          <cell r="F2206">
            <v>8024.49</v>
          </cell>
          <cell r="G2206">
            <v>0.15</v>
          </cell>
          <cell r="H2206">
            <v>3</v>
          </cell>
          <cell r="I2206" t="str">
            <v>Canada</v>
          </cell>
          <cell r="J2206" t="str">
            <v>Walmart</v>
          </cell>
        </row>
        <row r="2207">
          <cell r="A2207" t="str">
            <v>22-08-2022</v>
          </cell>
          <cell r="B2207" t="str">
            <v>Green Tea Extract</v>
          </cell>
          <cell r="C2207" t="str">
            <v>Fat Burner</v>
          </cell>
          <cell r="D2207">
            <v>137</v>
          </cell>
          <cell r="E2207">
            <v>51.64</v>
          </cell>
          <cell r="F2207">
            <v>7074.68</v>
          </cell>
          <cell r="G2207">
            <v>0</v>
          </cell>
          <cell r="H2207">
            <v>0</v>
          </cell>
          <cell r="I2207" t="str">
            <v>USA</v>
          </cell>
          <cell r="J2207" t="str">
            <v>Walmart</v>
          </cell>
        </row>
        <row r="2208">
          <cell r="A2208" t="str">
            <v>22-08-2022</v>
          </cell>
          <cell r="B2208" t="str">
            <v>Iron Supplement</v>
          </cell>
          <cell r="C2208" t="str">
            <v>Mineral</v>
          </cell>
          <cell r="D2208">
            <v>145</v>
          </cell>
          <cell r="E2208">
            <v>42.89</v>
          </cell>
          <cell r="F2208">
            <v>6219.05</v>
          </cell>
          <cell r="G2208">
            <v>0.15</v>
          </cell>
          <cell r="H2208">
            <v>1</v>
          </cell>
          <cell r="I2208" t="str">
            <v>Canada</v>
          </cell>
          <cell r="J2208" t="str">
            <v>Walmart</v>
          </cell>
        </row>
        <row r="2209">
          <cell r="A2209" t="str">
            <v>22-08-2022</v>
          </cell>
          <cell r="B2209" t="str">
            <v>Electrolyte Powder</v>
          </cell>
          <cell r="C2209" t="str">
            <v>Hydration</v>
          </cell>
          <cell r="D2209">
            <v>164</v>
          </cell>
          <cell r="E2209">
            <v>32.119999999999997</v>
          </cell>
          <cell r="F2209">
            <v>5267.68</v>
          </cell>
          <cell r="G2209">
            <v>0.04</v>
          </cell>
          <cell r="H2209">
            <v>2</v>
          </cell>
          <cell r="I2209" t="str">
            <v>Canada</v>
          </cell>
          <cell r="J2209" t="str">
            <v>Walmart</v>
          </cell>
        </row>
        <row r="2210">
          <cell r="A2210" t="str">
            <v>29-08-2022</v>
          </cell>
          <cell r="B2210" t="str">
            <v>Whey Protein</v>
          </cell>
          <cell r="C2210" t="str">
            <v>Protein</v>
          </cell>
          <cell r="D2210">
            <v>141</v>
          </cell>
          <cell r="E2210">
            <v>33.56</v>
          </cell>
          <cell r="F2210">
            <v>4731.96</v>
          </cell>
          <cell r="G2210">
            <v>0.01</v>
          </cell>
          <cell r="H2210">
            <v>0</v>
          </cell>
          <cell r="I2210" t="str">
            <v>USA</v>
          </cell>
          <cell r="J2210" t="str">
            <v>iHerb</v>
          </cell>
        </row>
        <row r="2211">
          <cell r="A2211" t="str">
            <v>29-08-2022</v>
          </cell>
          <cell r="B2211" t="str">
            <v>Vitamin C</v>
          </cell>
          <cell r="C2211" t="str">
            <v>Vitamin</v>
          </cell>
          <cell r="D2211">
            <v>157</v>
          </cell>
          <cell r="E2211">
            <v>53.24</v>
          </cell>
          <cell r="F2211">
            <v>8358.68</v>
          </cell>
          <cell r="G2211">
            <v>0.17</v>
          </cell>
          <cell r="H2211">
            <v>0</v>
          </cell>
          <cell r="I2211" t="str">
            <v>UK</v>
          </cell>
          <cell r="J2211" t="str">
            <v>iHerb</v>
          </cell>
        </row>
        <row r="2212">
          <cell r="A2212" t="str">
            <v>29-08-2022</v>
          </cell>
          <cell r="B2212" t="str">
            <v>Fish Oil</v>
          </cell>
          <cell r="C2212" t="str">
            <v>Omega</v>
          </cell>
          <cell r="D2212">
            <v>154</v>
          </cell>
          <cell r="E2212">
            <v>49.05</v>
          </cell>
          <cell r="F2212">
            <v>7553.7</v>
          </cell>
          <cell r="G2212">
            <v>0.25</v>
          </cell>
          <cell r="H2212">
            <v>1</v>
          </cell>
          <cell r="I2212" t="str">
            <v>Canada</v>
          </cell>
          <cell r="J2212" t="str">
            <v>Walmart</v>
          </cell>
        </row>
        <row r="2213">
          <cell r="A2213" t="str">
            <v>29-08-2022</v>
          </cell>
          <cell r="B2213" t="str">
            <v>Multivitamin</v>
          </cell>
          <cell r="C2213" t="str">
            <v>Vitamin</v>
          </cell>
          <cell r="D2213">
            <v>157</v>
          </cell>
          <cell r="E2213">
            <v>31.88</v>
          </cell>
          <cell r="F2213">
            <v>5005.16</v>
          </cell>
          <cell r="G2213">
            <v>0.21</v>
          </cell>
          <cell r="H2213">
            <v>0</v>
          </cell>
          <cell r="I2213" t="str">
            <v>Canada</v>
          </cell>
          <cell r="J2213" t="str">
            <v>Walmart</v>
          </cell>
        </row>
        <row r="2214">
          <cell r="A2214" t="str">
            <v>29-08-2022</v>
          </cell>
          <cell r="B2214" t="str">
            <v>Pre-Workout</v>
          </cell>
          <cell r="C2214" t="str">
            <v>Performance</v>
          </cell>
          <cell r="D2214">
            <v>141</v>
          </cell>
          <cell r="E2214">
            <v>45.61</v>
          </cell>
          <cell r="F2214">
            <v>6431.01</v>
          </cell>
          <cell r="G2214">
            <v>0.09</v>
          </cell>
          <cell r="H2214">
            <v>3</v>
          </cell>
          <cell r="I2214" t="str">
            <v>Canada</v>
          </cell>
          <cell r="J2214" t="str">
            <v>Amazon</v>
          </cell>
        </row>
        <row r="2215">
          <cell r="A2215" t="str">
            <v>29-08-2022</v>
          </cell>
          <cell r="B2215" t="str">
            <v>BCAA</v>
          </cell>
          <cell r="C2215" t="str">
            <v>Amino Acid</v>
          </cell>
          <cell r="D2215">
            <v>131</v>
          </cell>
          <cell r="E2215">
            <v>45.45</v>
          </cell>
          <cell r="F2215">
            <v>5953.95</v>
          </cell>
          <cell r="G2215">
            <v>0.06</v>
          </cell>
          <cell r="H2215">
            <v>2</v>
          </cell>
          <cell r="I2215" t="str">
            <v>Canada</v>
          </cell>
          <cell r="J2215" t="str">
            <v>Walmart</v>
          </cell>
        </row>
        <row r="2216">
          <cell r="A2216" t="str">
            <v>29-08-2022</v>
          </cell>
          <cell r="B2216" t="str">
            <v>Creatine</v>
          </cell>
          <cell r="C2216" t="str">
            <v>Performance</v>
          </cell>
          <cell r="D2216">
            <v>136</v>
          </cell>
          <cell r="E2216">
            <v>16.05</v>
          </cell>
          <cell r="F2216">
            <v>2182.8000000000002</v>
          </cell>
          <cell r="G2216">
            <v>0.23</v>
          </cell>
          <cell r="H2216">
            <v>1</v>
          </cell>
          <cell r="I2216" t="str">
            <v>Canada</v>
          </cell>
          <cell r="J2216" t="str">
            <v>iHerb</v>
          </cell>
        </row>
        <row r="2217">
          <cell r="A2217" t="str">
            <v>29-08-2022</v>
          </cell>
          <cell r="B2217" t="str">
            <v>Zinc</v>
          </cell>
          <cell r="C2217" t="str">
            <v>Mineral</v>
          </cell>
          <cell r="D2217">
            <v>162</v>
          </cell>
          <cell r="E2217">
            <v>39.630000000000003</v>
          </cell>
          <cell r="F2217">
            <v>6420.06</v>
          </cell>
          <cell r="G2217">
            <v>0.12</v>
          </cell>
          <cell r="H2217">
            <v>4</v>
          </cell>
          <cell r="I2217" t="str">
            <v>USA</v>
          </cell>
          <cell r="J2217" t="str">
            <v>Amazon</v>
          </cell>
        </row>
        <row r="2218">
          <cell r="A2218" t="str">
            <v>29-08-2022</v>
          </cell>
          <cell r="B2218" t="str">
            <v>Collagen Peptides</v>
          </cell>
          <cell r="C2218" t="str">
            <v>Protein</v>
          </cell>
          <cell r="D2218">
            <v>159</v>
          </cell>
          <cell r="E2218">
            <v>12.32</v>
          </cell>
          <cell r="F2218">
            <v>1958.88</v>
          </cell>
          <cell r="G2218">
            <v>0.14000000000000001</v>
          </cell>
          <cell r="H2218">
            <v>1</v>
          </cell>
          <cell r="I2218" t="str">
            <v>UK</v>
          </cell>
          <cell r="J2218" t="str">
            <v>Walmart</v>
          </cell>
        </row>
        <row r="2219">
          <cell r="A2219" t="str">
            <v>29-08-2022</v>
          </cell>
          <cell r="B2219" t="str">
            <v>Magnesium</v>
          </cell>
          <cell r="C2219" t="str">
            <v>Mineral</v>
          </cell>
          <cell r="D2219">
            <v>172</v>
          </cell>
          <cell r="E2219">
            <v>23.49</v>
          </cell>
          <cell r="F2219">
            <v>4040.28</v>
          </cell>
          <cell r="G2219">
            <v>0.1</v>
          </cell>
          <cell r="H2219">
            <v>1</v>
          </cell>
          <cell r="I2219" t="str">
            <v>Canada</v>
          </cell>
          <cell r="J2219" t="str">
            <v>Amazon</v>
          </cell>
        </row>
        <row r="2220">
          <cell r="A2220" t="str">
            <v>29-08-2022</v>
          </cell>
          <cell r="B2220" t="str">
            <v>Ashwagandha</v>
          </cell>
          <cell r="C2220" t="str">
            <v>Herbal</v>
          </cell>
          <cell r="D2220">
            <v>134</v>
          </cell>
          <cell r="E2220">
            <v>37.909999999999997</v>
          </cell>
          <cell r="F2220">
            <v>5079.9399999999996</v>
          </cell>
          <cell r="G2220">
            <v>0.22</v>
          </cell>
          <cell r="H2220">
            <v>2</v>
          </cell>
          <cell r="I2220" t="str">
            <v>UK</v>
          </cell>
          <cell r="J2220" t="str">
            <v>iHerb</v>
          </cell>
        </row>
        <row r="2221">
          <cell r="A2221" t="str">
            <v>29-08-2022</v>
          </cell>
          <cell r="B2221" t="str">
            <v>Melatonin</v>
          </cell>
          <cell r="C2221" t="str">
            <v>Sleep Aid</v>
          </cell>
          <cell r="D2221">
            <v>142</v>
          </cell>
          <cell r="E2221">
            <v>14.16</v>
          </cell>
          <cell r="F2221">
            <v>2010.72</v>
          </cell>
          <cell r="G2221">
            <v>0.23</v>
          </cell>
          <cell r="H2221">
            <v>1</v>
          </cell>
          <cell r="I2221" t="str">
            <v>USA</v>
          </cell>
          <cell r="J2221" t="str">
            <v>Amazon</v>
          </cell>
        </row>
        <row r="2222">
          <cell r="A2222" t="str">
            <v>29-08-2022</v>
          </cell>
          <cell r="B2222" t="str">
            <v>Biotin</v>
          </cell>
          <cell r="C2222" t="str">
            <v>Vitamin</v>
          </cell>
          <cell r="D2222">
            <v>146</v>
          </cell>
          <cell r="E2222">
            <v>33.03</v>
          </cell>
          <cell r="F2222">
            <v>4822.38</v>
          </cell>
          <cell r="G2222">
            <v>0.06</v>
          </cell>
          <cell r="H2222">
            <v>1</v>
          </cell>
          <cell r="I2222" t="str">
            <v>UK</v>
          </cell>
          <cell r="J2222" t="str">
            <v>Amazon</v>
          </cell>
        </row>
        <row r="2223">
          <cell r="A2223" t="str">
            <v>29-08-2022</v>
          </cell>
          <cell r="B2223" t="str">
            <v>Green Tea Extract</v>
          </cell>
          <cell r="C2223" t="str">
            <v>Fat Burner</v>
          </cell>
          <cell r="D2223">
            <v>162</v>
          </cell>
          <cell r="E2223">
            <v>25.21</v>
          </cell>
          <cell r="F2223">
            <v>4084.02</v>
          </cell>
          <cell r="G2223">
            <v>0.12</v>
          </cell>
          <cell r="H2223">
            <v>3</v>
          </cell>
          <cell r="I2223" t="str">
            <v>UK</v>
          </cell>
          <cell r="J2223" t="str">
            <v>Amazon</v>
          </cell>
        </row>
        <row r="2224">
          <cell r="A2224" t="str">
            <v>29-08-2022</v>
          </cell>
          <cell r="B2224" t="str">
            <v>Iron Supplement</v>
          </cell>
          <cell r="C2224" t="str">
            <v>Mineral</v>
          </cell>
          <cell r="D2224">
            <v>139</v>
          </cell>
          <cell r="E2224">
            <v>39.130000000000003</v>
          </cell>
          <cell r="F2224">
            <v>5439.07</v>
          </cell>
          <cell r="G2224">
            <v>0.14000000000000001</v>
          </cell>
          <cell r="H2224">
            <v>3</v>
          </cell>
          <cell r="I2224" t="str">
            <v>Canada</v>
          </cell>
          <cell r="J2224" t="str">
            <v>Amazon</v>
          </cell>
        </row>
        <row r="2225">
          <cell r="A2225" t="str">
            <v>29-08-2022</v>
          </cell>
          <cell r="B2225" t="str">
            <v>Electrolyte Powder</v>
          </cell>
          <cell r="C2225" t="str">
            <v>Hydration</v>
          </cell>
          <cell r="D2225">
            <v>131</v>
          </cell>
          <cell r="E2225">
            <v>36.909999999999997</v>
          </cell>
          <cell r="F2225">
            <v>4835.21</v>
          </cell>
          <cell r="G2225">
            <v>0.2</v>
          </cell>
          <cell r="H2225">
            <v>0</v>
          </cell>
          <cell r="I2225" t="str">
            <v>Canada</v>
          </cell>
          <cell r="J2225" t="str">
            <v>Walmart</v>
          </cell>
        </row>
        <row r="2226">
          <cell r="A2226" t="str">
            <v>05-09-2022</v>
          </cell>
          <cell r="B2226" t="str">
            <v>Whey Protein</v>
          </cell>
          <cell r="C2226" t="str">
            <v>Protein</v>
          </cell>
          <cell r="D2226">
            <v>162</v>
          </cell>
          <cell r="E2226">
            <v>19.45</v>
          </cell>
          <cell r="F2226">
            <v>3150.9</v>
          </cell>
          <cell r="G2226">
            <v>0.19</v>
          </cell>
          <cell r="H2226">
            <v>0</v>
          </cell>
          <cell r="I2226" t="str">
            <v>UK</v>
          </cell>
          <cell r="J2226" t="str">
            <v>iHerb</v>
          </cell>
        </row>
        <row r="2227">
          <cell r="A2227" t="str">
            <v>05-09-2022</v>
          </cell>
          <cell r="B2227" t="str">
            <v>Vitamin C</v>
          </cell>
          <cell r="C2227" t="str">
            <v>Vitamin</v>
          </cell>
          <cell r="D2227">
            <v>150</v>
          </cell>
          <cell r="E2227">
            <v>27.82</v>
          </cell>
          <cell r="F2227">
            <v>4173</v>
          </cell>
          <cell r="G2227">
            <v>0.15</v>
          </cell>
          <cell r="H2227">
            <v>1</v>
          </cell>
          <cell r="I2227" t="str">
            <v>USA</v>
          </cell>
          <cell r="J2227" t="str">
            <v>Walmart</v>
          </cell>
        </row>
        <row r="2228">
          <cell r="A2228" t="str">
            <v>05-09-2022</v>
          </cell>
          <cell r="B2228" t="str">
            <v>Fish Oil</v>
          </cell>
          <cell r="C2228" t="str">
            <v>Omega</v>
          </cell>
          <cell r="D2228">
            <v>147</v>
          </cell>
          <cell r="E2228">
            <v>21.34</v>
          </cell>
          <cell r="F2228">
            <v>3136.98</v>
          </cell>
          <cell r="G2228">
            <v>0.11</v>
          </cell>
          <cell r="H2228">
            <v>4</v>
          </cell>
          <cell r="I2228" t="str">
            <v>Canada</v>
          </cell>
          <cell r="J2228" t="str">
            <v>iHerb</v>
          </cell>
        </row>
        <row r="2229">
          <cell r="A2229" t="str">
            <v>05-09-2022</v>
          </cell>
          <cell r="B2229" t="str">
            <v>Multivitamin</v>
          </cell>
          <cell r="C2229" t="str">
            <v>Vitamin</v>
          </cell>
          <cell r="D2229">
            <v>165</v>
          </cell>
          <cell r="E2229">
            <v>11.49</v>
          </cell>
          <cell r="F2229">
            <v>1895.85</v>
          </cell>
          <cell r="G2229">
            <v>0.23</v>
          </cell>
          <cell r="H2229">
            <v>2</v>
          </cell>
          <cell r="I2229" t="str">
            <v>UK</v>
          </cell>
          <cell r="J2229" t="str">
            <v>iHerb</v>
          </cell>
        </row>
        <row r="2230">
          <cell r="A2230" t="str">
            <v>05-09-2022</v>
          </cell>
          <cell r="B2230" t="str">
            <v>Pre-Workout</v>
          </cell>
          <cell r="C2230" t="str">
            <v>Performance</v>
          </cell>
          <cell r="D2230">
            <v>151</v>
          </cell>
          <cell r="E2230">
            <v>25.73</v>
          </cell>
          <cell r="F2230">
            <v>3885.23</v>
          </cell>
          <cell r="G2230">
            <v>0.12</v>
          </cell>
          <cell r="H2230">
            <v>4</v>
          </cell>
          <cell r="I2230" t="str">
            <v>USA</v>
          </cell>
          <cell r="J2230" t="str">
            <v>Walmart</v>
          </cell>
        </row>
        <row r="2231">
          <cell r="A2231" t="str">
            <v>05-09-2022</v>
          </cell>
          <cell r="B2231" t="str">
            <v>BCAA</v>
          </cell>
          <cell r="C2231" t="str">
            <v>Amino Acid</v>
          </cell>
          <cell r="D2231">
            <v>156</v>
          </cell>
          <cell r="E2231">
            <v>16.66</v>
          </cell>
          <cell r="F2231">
            <v>2598.96</v>
          </cell>
          <cell r="G2231">
            <v>0.05</v>
          </cell>
          <cell r="H2231">
            <v>2</v>
          </cell>
          <cell r="I2231" t="str">
            <v>UK</v>
          </cell>
          <cell r="J2231" t="str">
            <v>Walmart</v>
          </cell>
        </row>
        <row r="2232">
          <cell r="A2232" t="str">
            <v>05-09-2022</v>
          </cell>
          <cell r="B2232" t="str">
            <v>Creatine</v>
          </cell>
          <cell r="C2232" t="str">
            <v>Performance</v>
          </cell>
          <cell r="D2232">
            <v>142</v>
          </cell>
          <cell r="E2232">
            <v>57.21</v>
          </cell>
          <cell r="F2232">
            <v>8123.82</v>
          </cell>
          <cell r="G2232">
            <v>0.04</v>
          </cell>
          <cell r="H2232">
            <v>0</v>
          </cell>
          <cell r="I2232" t="str">
            <v>UK</v>
          </cell>
          <cell r="J2232" t="str">
            <v>iHerb</v>
          </cell>
        </row>
        <row r="2233">
          <cell r="A2233" t="str">
            <v>05-09-2022</v>
          </cell>
          <cell r="B2233" t="str">
            <v>Zinc</v>
          </cell>
          <cell r="C2233" t="str">
            <v>Mineral</v>
          </cell>
          <cell r="D2233">
            <v>140</v>
          </cell>
          <cell r="E2233">
            <v>31.1</v>
          </cell>
          <cell r="F2233">
            <v>4354</v>
          </cell>
          <cell r="G2233">
            <v>0.23</v>
          </cell>
          <cell r="H2233">
            <v>3</v>
          </cell>
          <cell r="I2233" t="str">
            <v>USA</v>
          </cell>
          <cell r="J2233" t="str">
            <v>iHerb</v>
          </cell>
        </row>
        <row r="2234">
          <cell r="A2234" t="str">
            <v>05-09-2022</v>
          </cell>
          <cell r="B2234" t="str">
            <v>Collagen Peptides</v>
          </cell>
          <cell r="C2234" t="str">
            <v>Protein</v>
          </cell>
          <cell r="D2234">
            <v>148</v>
          </cell>
          <cell r="E2234">
            <v>37.75</v>
          </cell>
          <cell r="F2234">
            <v>5587</v>
          </cell>
          <cell r="G2234">
            <v>0.06</v>
          </cell>
          <cell r="H2234">
            <v>0</v>
          </cell>
          <cell r="I2234" t="str">
            <v>UK</v>
          </cell>
          <cell r="J2234" t="str">
            <v>Amazon</v>
          </cell>
        </row>
        <row r="2235">
          <cell r="A2235" t="str">
            <v>05-09-2022</v>
          </cell>
          <cell r="B2235" t="str">
            <v>Magnesium</v>
          </cell>
          <cell r="C2235" t="str">
            <v>Mineral</v>
          </cell>
          <cell r="D2235">
            <v>175</v>
          </cell>
          <cell r="E2235">
            <v>19.920000000000002</v>
          </cell>
          <cell r="F2235">
            <v>3486</v>
          </cell>
          <cell r="G2235">
            <v>0.12</v>
          </cell>
          <cell r="H2235">
            <v>2</v>
          </cell>
          <cell r="I2235" t="str">
            <v>UK</v>
          </cell>
          <cell r="J2235" t="str">
            <v>Amazon</v>
          </cell>
        </row>
        <row r="2236">
          <cell r="A2236" t="str">
            <v>05-09-2022</v>
          </cell>
          <cell r="B2236" t="str">
            <v>Ashwagandha</v>
          </cell>
          <cell r="C2236" t="str">
            <v>Herbal</v>
          </cell>
          <cell r="D2236">
            <v>146</v>
          </cell>
          <cell r="E2236">
            <v>21.42</v>
          </cell>
          <cell r="F2236">
            <v>3127.32</v>
          </cell>
          <cell r="G2236">
            <v>0.11</v>
          </cell>
          <cell r="H2236">
            <v>1</v>
          </cell>
          <cell r="I2236" t="str">
            <v>UK</v>
          </cell>
          <cell r="J2236" t="str">
            <v>iHerb</v>
          </cell>
        </row>
        <row r="2237">
          <cell r="A2237" t="str">
            <v>05-09-2022</v>
          </cell>
          <cell r="B2237" t="str">
            <v>Melatonin</v>
          </cell>
          <cell r="C2237" t="str">
            <v>Sleep Aid</v>
          </cell>
          <cell r="D2237">
            <v>167</v>
          </cell>
          <cell r="E2237">
            <v>16.68</v>
          </cell>
          <cell r="F2237">
            <v>2785.56</v>
          </cell>
          <cell r="G2237">
            <v>0.12</v>
          </cell>
          <cell r="H2237">
            <v>2</v>
          </cell>
          <cell r="I2237" t="str">
            <v>UK</v>
          </cell>
          <cell r="J2237" t="str">
            <v>iHerb</v>
          </cell>
        </row>
        <row r="2238">
          <cell r="A2238" t="str">
            <v>05-09-2022</v>
          </cell>
          <cell r="B2238" t="str">
            <v>Biotin</v>
          </cell>
          <cell r="C2238" t="str">
            <v>Vitamin</v>
          </cell>
          <cell r="D2238">
            <v>132</v>
          </cell>
          <cell r="E2238">
            <v>10.89</v>
          </cell>
          <cell r="F2238">
            <v>1437.48</v>
          </cell>
          <cell r="G2238">
            <v>0.01</v>
          </cell>
          <cell r="H2238">
            <v>1</v>
          </cell>
          <cell r="I2238" t="str">
            <v>USA</v>
          </cell>
          <cell r="J2238" t="str">
            <v>Walmart</v>
          </cell>
        </row>
        <row r="2239">
          <cell r="A2239" t="str">
            <v>05-09-2022</v>
          </cell>
          <cell r="B2239" t="str">
            <v>Green Tea Extract</v>
          </cell>
          <cell r="C2239" t="str">
            <v>Fat Burner</v>
          </cell>
          <cell r="D2239">
            <v>142</v>
          </cell>
          <cell r="E2239">
            <v>40.11</v>
          </cell>
          <cell r="F2239">
            <v>5695.62</v>
          </cell>
          <cell r="G2239">
            <v>0.11</v>
          </cell>
          <cell r="H2239">
            <v>1</v>
          </cell>
          <cell r="I2239" t="str">
            <v>UK</v>
          </cell>
          <cell r="J2239" t="str">
            <v>Amazon</v>
          </cell>
        </row>
        <row r="2240">
          <cell r="A2240" t="str">
            <v>05-09-2022</v>
          </cell>
          <cell r="B2240" t="str">
            <v>Iron Supplement</v>
          </cell>
          <cell r="C2240" t="str">
            <v>Mineral</v>
          </cell>
          <cell r="D2240">
            <v>150</v>
          </cell>
          <cell r="E2240">
            <v>54.64</v>
          </cell>
          <cell r="F2240">
            <v>8196</v>
          </cell>
          <cell r="G2240">
            <v>0.25</v>
          </cell>
          <cell r="H2240">
            <v>0</v>
          </cell>
          <cell r="I2240" t="str">
            <v>Canada</v>
          </cell>
          <cell r="J2240" t="str">
            <v>Walmart</v>
          </cell>
        </row>
        <row r="2241">
          <cell r="A2241" t="str">
            <v>05-09-2022</v>
          </cell>
          <cell r="B2241" t="str">
            <v>Electrolyte Powder</v>
          </cell>
          <cell r="C2241" t="str">
            <v>Hydration</v>
          </cell>
          <cell r="D2241">
            <v>133</v>
          </cell>
          <cell r="E2241">
            <v>43.05</v>
          </cell>
          <cell r="F2241">
            <v>5725.65</v>
          </cell>
          <cell r="G2241">
            <v>0.17</v>
          </cell>
          <cell r="H2241">
            <v>2</v>
          </cell>
          <cell r="I2241" t="str">
            <v>USA</v>
          </cell>
          <cell r="J2241" t="str">
            <v>iHerb</v>
          </cell>
        </row>
        <row r="2242">
          <cell r="A2242" t="str">
            <v>12-09-2022</v>
          </cell>
          <cell r="B2242" t="str">
            <v>Whey Protein</v>
          </cell>
          <cell r="C2242" t="str">
            <v>Protein</v>
          </cell>
          <cell r="D2242">
            <v>159</v>
          </cell>
          <cell r="E2242">
            <v>40.64</v>
          </cell>
          <cell r="F2242">
            <v>6461.76</v>
          </cell>
          <cell r="G2242">
            <v>0.17</v>
          </cell>
          <cell r="H2242">
            <v>1</v>
          </cell>
          <cell r="I2242" t="str">
            <v>USA</v>
          </cell>
          <cell r="J2242" t="str">
            <v>Walmart</v>
          </cell>
        </row>
        <row r="2243">
          <cell r="A2243" t="str">
            <v>12-09-2022</v>
          </cell>
          <cell r="B2243" t="str">
            <v>Vitamin C</v>
          </cell>
          <cell r="C2243" t="str">
            <v>Vitamin</v>
          </cell>
          <cell r="D2243">
            <v>149</v>
          </cell>
          <cell r="E2243">
            <v>37.869999999999997</v>
          </cell>
          <cell r="F2243">
            <v>5642.63</v>
          </cell>
          <cell r="G2243">
            <v>0.16</v>
          </cell>
          <cell r="H2243">
            <v>2</v>
          </cell>
          <cell r="I2243" t="str">
            <v>UK</v>
          </cell>
          <cell r="J2243" t="str">
            <v>iHerb</v>
          </cell>
        </row>
        <row r="2244">
          <cell r="A2244" t="str">
            <v>12-09-2022</v>
          </cell>
          <cell r="B2244" t="str">
            <v>Fish Oil</v>
          </cell>
          <cell r="C2244" t="str">
            <v>Omega</v>
          </cell>
          <cell r="D2244">
            <v>158</v>
          </cell>
          <cell r="E2244">
            <v>35.99</v>
          </cell>
          <cell r="F2244">
            <v>5686.42</v>
          </cell>
          <cell r="G2244">
            <v>0.17</v>
          </cell>
          <cell r="H2244">
            <v>1</v>
          </cell>
          <cell r="I2244" t="str">
            <v>UK</v>
          </cell>
          <cell r="J2244" t="str">
            <v>Amazon</v>
          </cell>
        </row>
        <row r="2245">
          <cell r="A2245" t="str">
            <v>12-09-2022</v>
          </cell>
          <cell r="B2245" t="str">
            <v>Multivitamin</v>
          </cell>
          <cell r="C2245" t="str">
            <v>Vitamin</v>
          </cell>
          <cell r="D2245">
            <v>140</v>
          </cell>
          <cell r="E2245">
            <v>38</v>
          </cell>
          <cell r="F2245">
            <v>5320</v>
          </cell>
          <cell r="G2245">
            <v>0.15</v>
          </cell>
          <cell r="H2245">
            <v>4</v>
          </cell>
          <cell r="I2245" t="str">
            <v>USA</v>
          </cell>
          <cell r="J2245" t="str">
            <v>iHerb</v>
          </cell>
        </row>
        <row r="2246">
          <cell r="A2246" t="str">
            <v>12-09-2022</v>
          </cell>
          <cell r="B2246" t="str">
            <v>Pre-Workout</v>
          </cell>
          <cell r="C2246" t="str">
            <v>Performance</v>
          </cell>
          <cell r="D2246">
            <v>145</v>
          </cell>
          <cell r="E2246">
            <v>20.09</v>
          </cell>
          <cell r="F2246">
            <v>2913.05</v>
          </cell>
          <cell r="G2246">
            <v>0.02</v>
          </cell>
          <cell r="H2246">
            <v>2</v>
          </cell>
          <cell r="I2246" t="str">
            <v>Canada</v>
          </cell>
          <cell r="J2246" t="str">
            <v>Amazon</v>
          </cell>
        </row>
        <row r="2247">
          <cell r="A2247" t="str">
            <v>12-09-2022</v>
          </cell>
          <cell r="B2247" t="str">
            <v>BCAA</v>
          </cell>
          <cell r="C2247" t="str">
            <v>Amino Acid</v>
          </cell>
          <cell r="D2247">
            <v>140</v>
          </cell>
          <cell r="E2247">
            <v>44.39</v>
          </cell>
          <cell r="F2247">
            <v>6214.6</v>
          </cell>
          <cell r="G2247">
            <v>0.12</v>
          </cell>
          <cell r="H2247">
            <v>3</v>
          </cell>
          <cell r="I2247" t="str">
            <v>UK</v>
          </cell>
          <cell r="J2247" t="str">
            <v>Amazon</v>
          </cell>
        </row>
        <row r="2248">
          <cell r="A2248" t="str">
            <v>12-09-2022</v>
          </cell>
          <cell r="B2248" t="str">
            <v>Creatine</v>
          </cell>
          <cell r="C2248" t="str">
            <v>Performance</v>
          </cell>
          <cell r="D2248">
            <v>148</v>
          </cell>
          <cell r="E2248">
            <v>54.8</v>
          </cell>
          <cell r="F2248">
            <v>8110.4</v>
          </cell>
          <cell r="G2248">
            <v>0.22</v>
          </cell>
          <cell r="H2248">
            <v>0</v>
          </cell>
          <cell r="I2248" t="str">
            <v>Canada</v>
          </cell>
          <cell r="J2248" t="str">
            <v>iHerb</v>
          </cell>
        </row>
        <row r="2249">
          <cell r="A2249" t="str">
            <v>12-09-2022</v>
          </cell>
          <cell r="B2249" t="str">
            <v>Zinc</v>
          </cell>
          <cell r="C2249" t="str">
            <v>Mineral</v>
          </cell>
          <cell r="D2249">
            <v>152</v>
          </cell>
          <cell r="E2249">
            <v>54.44</v>
          </cell>
          <cell r="F2249">
            <v>8274.8799999999992</v>
          </cell>
          <cell r="G2249">
            <v>0.11</v>
          </cell>
          <cell r="H2249">
            <v>1</v>
          </cell>
          <cell r="I2249" t="str">
            <v>UK</v>
          </cell>
          <cell r="J2249" t="str">
            <v>Amazon</v>
          </cell>
        </row>
        <row r="2250">
          <cell r="A2250" t="str">
            <v>12-09-2022</v>
          </cell>
          <cell r="B2250" t="str">
            <v>Collagen Peptides</v>
          </cell>
          <cell r="C2250" t="str">
            <v>Protein</v>
          </cell>
          <cell r="D2250">
            <v>175</v>
          </cell>
          <cell r="E2250">
            <v>52.18</v>
          </cell>
          <cell r="F2250">
            <v>9131.5</v>
          </cell>
          <cell r="G2250">
            <v>0.13</v>
          </cell>
          <cell r="H2250">
            <v>3</v>
          </cell>
          <cell r="I2250" t="str">
            <v>UK</v>
          </cell>
          <cell r="J2250" t="str">
            <v>Walmart</v>
          </cell>
        </row>
        <row r="2251">
          <cell r="A2251" t="str">
            <v>12-09-2022</v>
          </cell>
          <cell r="B2251" t="str">
            <v>Magnesium</v>
          </cell>
          <cell r="C2251" t="str">
            <v>Mineral</v>
          </cell>
          <cell r="D2251">
            <v>137</v>
          </cell>
          <cell r="E2251">
            <v>59.19</v>
          </cell>
          <cell r="F2251">
            <v>8109.03</v>
          </cell>
          <cell r="G2251">
            <v>7.0000000000000007E-2</v>
          </cell>
          <cell r="H2251">
            <v>2</v>
          </cell>
          <cell r="I2251" t="str">
            <v>UK</v>
          </cell>
          <cell r="J2251" t="str">
            <v>Amazon</v>
          </cell>
        </row>
        <row r="2252">
          <cell r="A2252" t="str">
            <v>12-09-2022</v>
          </cell>
          <cell r="B2252" t="str">
            <v>Ashwagandha</v>
          </cell>
          <cell r="C2252" t="str">
            <v>Herbal</v>
          </cell>
          <cell r="D2252">
            <v>150</v>
          </cell>
          <cell r="E2252">
            <v>48.15</v>
          </cell>
          <cell r="F2252">
            <v>7222.5</v>
          </cell>
          <cell r="G2252">
            <v>0.04</v>
          </cell>
          <cell r="H2252">
            <v>2</v>
          </cell>
          <cell r="I2252" t="str">
            <v>USA</v>
          </cell>
          <cell r="J2252" t="str">
            <v>Amazon</v>
          </cell>
        </row>
        <row r="2253">
          <cell r="A2253" t="str">
            <v>12-09-2022</v>
          </cell>
          <cell r="B2253" t="str">
            <v>Melatonin</v>
          </cell>
          <cell r="C2253" t="str">
            <v>Sleep Aid</v>
          </cell>
          <cell r="D2253">
            <v>130</v>
          </cell>
          <cell r="E2253">
            <v>24.59</v>
          </cell>
          <cell r="F2253">
            <v>3196.7</v>
          </cell>
          <cell r="G2253">
            <v>0.06</v>
          </cell>
          <cell r="H2253">
            <v>0</v>
          </cell>
          <cell r="I2253" t="str">
            <v>UK</v>
          </cell>
          <cell r="J2253" t="str">
            <v>Walmart</v>
          </cell>
        </row>
        <row r="2254">
          <cell r="A2254" t="str">
            <v>12-09-2022</v>
          </cell>
          <cell r="B2254" t="str">
            <v>Biotin</v>
          </cell>
          <cell r="C2254" t="str">
            <v>Vitamin</v>
          </cell>
          <cell r="D2254">
            <v>176</v>
          </cell>
          <cell r="E2254">
            <v>47.08</v>
          </cell>
          <cell r="F2254">
            <v>8286.08</v>
          </cell>
          <cell r="G2254">
            <v>0.12</v>
          </cell>
          <cell r="H2254">
            <v>2</v>
          </cell>
          <cell r="I2254" t="str">
            <v>UK</v>
          </cell>
          <cell r="J2254" t="str">
            <v>Walmart</v>
          </cell>
        </row>
        <row r="2255">
          <cell r="A2255" t="str">
            <v>12-09-2022</v>
          </cell>
          <cell r="B2255" t="str">
            <v>Green Tea Extract</v>
          </cell>
          <cell r="C2255" t="str">
            <v>Fat Burner</v>
          </cell>
          <cell r="D2255">
            <v>132</v>
          </cell>
          <cell r="E2255">
            <v>22.35</v>
          </cell>
          <cell r="F2255">
            <v>2950.2</v>
          </cell>
          <cell r="G2255">
            <v>0.24</v>
          </cell>
          <cell r="H2255">
            <v>2</v>
          </cell>
          <cell r="I2255" t="str">
            <v>USA</v>
          </cell>
          <cell r="J2255" t="str">
            <v>Walmart</v>
          </cell>
        </row>
        <row r="2256">
          <cell r="A2256" t="str">
            <v>12-09-2022</v>
          </cell>
          <cell r="B2256" t="str">
            <v>Iron Supplement</v>
          </cell>
          <cell r="C2256" t="str">
            <v>Mineral</v>
          </cell>
          <cell r="D2256">
            <v>147</v>
          </cell>
          <cell r="E2256">
            <v>49.27</v>
          </cell>
          <cell r="F2256">
            <v>7242.69</v>
          </cell>
          <cell r="G2256">
            <v>0.03</v>
          </cell>
          <cell r="H2256">
            <v>0</v>
          </cell>
          <cell r="I2256" t="str">
            <v>UK</v>
          </cell>
          <cell r="J2256" t="str">
            <v>iHerb</v>
          </cell>
        </row>
        <row r="2257">
          <cell r="A2257" t="str">
            <v>12-09-2022</v>
          </cell>
          <cell r="B2257" t="str">
            <v>Electrolyte Powder</v>
          </cell>
          <cell r="C2257" t="str">
            <v>Hydration</v>
          </cell>
          <cell r="D2257">
            <v>139</v>
          </cell>
          <cell r="E2257">
            <v>49.35</v>
          </cell>
          <cell r="F2257">
            <v>6859.65</v>
          </cell>
          <cell r="G2257">
            <v>0.08</v>
          </cell>
          <cell r="H2257">
            <v>0</v>
          </cell>
          <cell r="I2257" t="str">
            <v>Canada</v>
          </cell>
          <cell r="J2257" t="str">
            <v>Amazon</v>
          </cell>
        </row>
        <row r="2258">
          <cell r="A2258" t="str">
            <v>19-09-2022</v>
          </cell>
          <cell r="B2258" t="str">
            <v>Whey Protein</v>
          </cell>
          <cell r="C2258" t="str">
            <v>Protein</v>
          </cell>
          <cell r="D2258">
            <v>149</v>
          </cell>
          <cell r="E2258">
            <v>21.08</v>
          </cell>
          <cell r="F2258">
            <v>3140.92</v>
          </cell>
          <cell r="G2258">
            <v>0.05</v>
          </cell>
          <cell r="H2258">
            <v>4</v>
          </cell>
          <cell r="I2258" t="str">
            <v>Canada</v>
          </cell>
          <cell r="J2258" t="str">
            <v>Walmart</v>
          </cell>
        </row>
        <row r="2259">
          <cell r="A2259" t="str">
            <v>19-09-2022</v>
          </cell>
          <cell r="B2259" t="str">
            <v>Vitamin C</v>
          </cell>
          <cell r="C2259" t="str">
            <v>Vitamin</v>
          </cell>
          <cell r="D2259">
            <v>162</v>
          </cell>
          <cell r="E2259">
            <v>20.6</v>
          </cell>
          <cell r="F2259">
            <v>3337.2</v>
          </cell>
          <cell r="G2259">
            <v>0.09</v>
          </cell>
          <cell r="H2259">
            <v>1</v>
          </cell>
          <cell r="I2259" t="str">
            <v>USA</v>
          </cell>
          <cell r="J2259" t="str">
            <v>Amazon</v>
          </cell>
        </row>
        <row r="2260">
          <cell r="A2260" t="str">
            <v>19-09-2022</v>
          </cell>
          <cell r="B2260" t="str">
            <v>Fish Oil</v>
          </cell>
          <cell r="C2260" t="str">
            <v>Omega</v>
          </cell>
          <cell r="D2260">
            <v>158</v>
          </cell>
          <cell r="E2260">
            <v>55.48</v>
          </cell>
          <cell r="F2260">
            <v>8765.84</v>
          </cell>
          <cell r="G2260">
            <v>0.21</v>
          </cell>
          <cell r="H2260">
            <v>0</v>
          </cell>
          <cell r="I2260" t="str">
            <v>UK</v>
          </cell>
          <cell r="J2260" t="str">
            <v>Amazon</v>
          </cell>
        </row>
        <row r="2261">
          <cell r="A2261" t="str">
            <v>19-09-2022</v>
          </cell>
          <cell r="B2261" t="str">
            <v>Multivitamin</v>
          </cell>
          <cell r="C2261" t="str">
            <v>Vitamin</v>
          </cell>
          <cell r="D2261">
            <v>166</v>
          </cell>
          <cell r="E2261">
            <v>14.04</v>
          </cell>
          <cell r="F2261">
            <v>2330.64</v>
          </cell>
          <cell r="G2261">
            <v>0.16</v>
          </cell>
          <cell r="H2261">
            <v>2</v>
          </cell>
          <cell r="I2261" t="str">
            <v>UK</v>
          </cell>
          <cell r="J2261" t="str">
            <v>iHerb</v>
          </cell>
        </row>
        <row r="2262">
          <cell r="A2262" t="str">
            <v>19-09-2022</v>
          </cell>
          <cell r="B2262" t="str">
            <v>Pre-Workout</v>
          </cell>
          <cell r="C2262" t="str">
            <v>Performance</v>
          </cell>
          <cell r="D2262">
            <v>131</v>
          </cell>
          <cell r="E2262">
            <v>59.64</v>
          </cell>
          <cell r="F2262">
            <v>7812.84</v>
          </cell>
          <cell r="G2262">
            <v>0.17</v>
          </cell>
          <cell r="H2262">
            <v>2</v>
          </cell>
          <cell r="I2262" t="str">
            <v>USA</v>
          </cell>
          <cell r="J2262" t="str">
            <v>Amazon</v>
          </cell>
        </row>
        <row r="2263">
          <cell r="A2263" t="str">
            <v>19-09-2022</v>
          </cell>
          <cell r="B2263" t="str">
            <v>BCAA</v>
          </cell>
          <cell r="C2263" t="str">
            <v>Amino Acid</v>
          </cell>
          <cell r="D2263">
            <v>139</v>
          </cell>
          <cell r="E2263">
            <v>23.85</v>
          </cell>
          <cell r="F2263">
            <v>3315.15</v>
          </cell>
          <cell r="G2263">
            <v>0.06</v>
          </cell>
          <cell r="H2263">
            <v>0</v>
          </cell>
          <cell r="I2263" t="str">
            <v>Canada</v>
          </cell>
          <cell r="J2263" t="str">
            <v>Walmart</v>
          </cell>
        </row>
        <row r="2264">
          <cell r="A2264" t="str">
            <v>19-09-2022</v>
          </cell>
          <cell r="B2264" t="str">
            <v>Creatine</v>
          </cell>
          <cell r="C2264" t="str">
            <v>Performance</v>
          </cell>
          <cell r="D2264">
            <v>138</v>
          </cell>
          <cell r="E2264">
            <v>26.41</v>
          </cell>
          <cell r="F2264">
            <v>3644.58</v>
          </cell>
          <cell r="G2264">
            <v>0.21</v>
          </cell>
          <cell r="H2264">
            <v>0</v>
          </cell>
          <cell r="I2264" t="str">
            <v>UK</v>
          </cell>
          <cell r="J2264" t="str">
            <v>Walmart</v>
          </cell>
        </row>
        <row r="2265">
          <cell r="A2265" t="str">
            <v>19-09-2022</v>
          </cell>
          <cell r="B2265" t="str">
            <v>Zinc</v>
          </cell>
          <cell r="C2265" t="str">
            <v>Mineral</v>
          </cell>
          <cell r="D2265">
            <v>149</v>
          </cell>
          <cell r="E2265">
            <v>34.08</v>
          </cell>
          <cell r="F2265">
            <v>5077.92</v>
          </cell>
          <cell r="G2265">
            <v>0.01</v>
          </cell>
          <cell r="H2265">
            <v>4</v>
          </cell>
          <cell r="I2265" t="str">
            <v>USA</v>
          </cell>
          <cell r="J2265" t="str">
            <v>Walmart</v>
          </cell>
        </row>
        <row r="2266">
          <cell r="A2266" t="str">
            <v>19-09-2022</v>
          </cell>
          <cell r="B2266" t="str">
            <v>Collagen Peptides</v>
          </cell>
          <cell r="C2266" t="str">
            <v>Protein</v>
          </cell>
          <cell r="D2266">
            <v>161</v>
          </cell>
          <cell r="E2266">
            <v>14.33</v>
          </cell>
          <cell r="F2266">
            <v>2307.13</v>
          </cell>
          <cell r="G2266">
            <v>0.15</v>
          </cell>
          <cell r="H2266">
            <v>2</v>
          </cell>
          <cell r="I2266" t="str">
            <v>USA</v>
          </cell>
          <cell r="J2266" t="str">
            <v>Walmart</v>
          </cell>
        </row>
        <row r="2267">
          <cell r="A2267" t="str">
            <v>19-09-2022</v>
          </cell>
          <cell r="B2267" t="str">
            <v>Magnesium</v>
          </cell>
          <cell r="C2267" t="str">
            <v>Mineral</v>
          </cell>
          <cell r="D2267">
            <v>138</v>
          </cell>
          <cell r="E2267">
            <v>50.71</v>
          </cell>
          <cell r="F2267">
            <v>6997.98</v>
          </cell>
          <cell r="G2267">
            <v>0.19</v>
          </cell>
          <cell r="H2267">
            <v>2</v>
          </cell>
          <cell r="I2267" t="str">
            <v>USA</v>
          </cell>
          <cell r="J2267" t="str">
            <v>Amazon</v>
          </cell>
        </row>
        <row r="2268">
          <cell r="A2268" t="str">
            <v>19-09-2022</v>
          </cell>
          <cell r="B2268" t="str">
            <v>Ashwagandha</v>
          </cell>
          <cell r="C2268" t="str">
            <v>Herbal</v>
          </cell>
          <cell r="D2268">
            <v>147</v>
          </cell>
          <cell r="E2268">
            <v>49.53</v>
          </cell>
          <cell r="F2268">
            <v>7280.91</v>
          </cell>
          <cell r="G2268">
            <v>0.17</v>
          </cell>
          <cell r="H2268">
            <v>5</v>
          </cell>
          <cell r="I2268" t="str">
            <v>USA</v>
          </cell>
          <cell r="J2268" t="str">
            <v>iHerb</v>
          </cell>
        </row>
        <row r="2269">
          <cell r="A2269" t="str">
            <v>19-09-2022</v>
          </cell>
          <cell r="B2269" t="str">
            <v>Melatonin</v>
          </cell>
          <cell r="C2269" t="str">
            <v>Sleep Aid</v>
          </cell>
          <cell r="D2269">
            <v>142</v>
          </cell>
          <cell r="E2269">
            <v>21.13</v>
          </cell>
          <cell r="F2269">
            <v>3000.46</v>
          </cell>
          <cell r="G2269">
            <v>0.18</v>
          </cell>
          <cell r="H2269">
            <v>0</v>
          </cell>
          <cell r="I2269" t="str">
            <v>USA</v>
          </cell>
          <cell r="J2269" t="str">
            <v>Walmart</v>
          </cell>
        </row>
        <row r="2270">
          <cell r="A2270" t="str">
            <v>19-09-2022</v>
          </cell>
          <cell r="B2270" t="str">
            <v>Biotin</v>
          </cell>
          <cell r="C2270" t="str">
            <v>Vitamin</v>
          </cell>
          <cell r="D2270">
            <v>159</v>
          </cell>
          <cell r="E2270">
            <v>22.54</v>
          </cell>
          <cell r="F2270">
            <v>3583.86</v>
          </cell>
          <cell r="G2270">
            <v>0.06</v>
          </cell>
          <cell r="H2270">
            <v>2</v>
          </cell>
          <cell r="I2270" t="str">
            <v>Canada</v>
          </cell>
          <cell r="J2270" t="str">
            <v>Amazon</v>
          </cell>
        </row>
        <row r="2271">
          <cell r="A2271" t="str">
            <v>19-09-2022</v>
          </cell>
          <cell r="B2271" t="str">
            <v>Green Tea Extract</v>
          </cell>
          <cell r="C2271" t="str">
            <v>Fat Burner</v>
          </cell>
          <cell r="D2271">
            <v>160</v>
          </cell>
          <cell r="E2271">
            <v>52.61</v>
          </cell>
          <cell r="F2271">
            <v>8417.6</v>
          </cell>
          <cell r="G2271">
            <v>0.24</v>
          </cell>
          <cell r="H2271">
            <v>2</v>
          </cell>
          <cell r="I2271" t="str">
            <v>Canada</v>
          </cell>
          <cell r="J2271" t="str">
            <v>Walmart</v>
          </cell>
        </row>
        <row r="2272">
          <cell r="A2272" t="str">
            <v>19-09-2022</v>
          </cell>
          <cell r="B2272" t="str">
            <v>Iron Supplement</v>
          </cell>
          <cell r="C2272" t="str">
            <v>Mineral</v>
          </cell>
          <cell r="D2272">
            <v>170</v>
          </cell>
          <cell r="E2272">
            <v>54.73</v>
          </cell>
          <cell r="F2272">
            <v>9304.1</v>
          </cell>
          <cell r="G2272">
            <v>0</v>
          </cell>
          <cell r="H2272">
            <v>4</v>
          </cell>
          <cell r="I2272" t="str">
            <v>UK</v>
          </cell>
          <cell r="J2272" t="str">
            <v>Amazon</v>
          </cell>
        </row>
        <row r="2273">
          <cell r="A2273" t="str">
            <v>19-09-2022</v>
          </cell>
          <cell r="B2273" t="str">
            <v>Electrolyte Powder</v>
          </cell>
          <cell r="C2273" t="str">
            <v>Hydration</v>
          </cell>
          <cell r="D2273">
            <v>149</v>
          </cell>
          <cell r="E2273">
            <v>16.36</v>
          </cell>
          <cell r="F2273">
            <v>2437.64</v>
          </cell>
          <cell r="G2273">
            <v>0.1</v>
          </cell>
          <cell r="H2273">
            <v>1</v>
          </cell>
          <cell r="I2273" t="str">
            <v>UK</v>
          </cell>
          <cell r="J2273" t="str">
            <v>Amazon</v>
          </cell>
        </row>
        <row r="2274">
          <cell r="A2274" t="str">
            <v>26-09-2022</v>
          </cell>
          <cell r="B2274" t="str">
            <v>Whey Protein</v>
          </cell>
          <cell r="C2274" t="str">
            <v>Protein</v>
          </cell>
          <cell r="D2274">
            <v>142</v>
          </cell>
          <cell r="E2274">
            <v>50.29</v>
          </cell>
          <cell r="F2274">
            <v>7141.18</v>
          </cell>
          <cell r="G2274">
            <v>0</v>
          </cell>
          <cell r="H2274">
            <v>1</v>
          </cell>
          <cell r="I2274" t="str">
            <v>Canada</v>
          </cell>
          <cell r="J2274" t="str">
            <v>iHerb</v>
          </cell>
        </row>
        <row r="2275">
          <cell r="A2275" t="str">
            <v>26-09-2022</v>
          </cell>
          <cell r="B2275" t="str">
            <v>Vitamin C</v>
          </cell>
          <cell r="C2275" t="str">
            <v>Vitamin</v>
          </cell>
          <cell r="D2275">
            <v>137</v>
          </cell>
          <cell r="E2275">
            <v>22.71</v>
          </cell>
          <cell r="F2275">
            <v>3111.27</v>
          </cell>
          <cell r="G2275">
            <v>0.06</v>
          </cell>
          <cell r="H2275">
            <v>1</v>
          </cell>
          <cell r="I2275" t="str">
            <v>UK</v>
          </cell>
          <cell r="J2275" t="str">
            <v>iHerb</v>
          </cell>
        </row>
        <row r="2276">
          <cell r="A2276" t="str">
            <v>26-09-2022</v>
          </cell>
          <cell r="B2276" t="str">
            <v>Fish Oil</v>
          </cell>
          <cell r="C2276" t="str">
            <v>Omega</v>
          </cell>
          <cell r="D2276">
            <v>155</v>
          </cell>
          <cell r="E2276">
            <v>18.78</v>
          </cell>
          <cell r="F2276">
            <v>2910.9</v>
          </cell>
          <cell r="G2276">
            <v>0.06</v>
          </cell>
          <cell r="H2276">
            <v>4</v>
          </cell>
          <cell r="I2276" t="str">
            <v>USA</v>
          </cell>
          <cell r="J2276" t="str">
            <v>iHerb</v>
          </cell>
        </row>
        <row r="2277">
          <cell r="A2277" t="str">
            <v>26-09-2022</v>
          </cell>
          <cell r="B2277" t="str">
            <v>Multivitamin</v>
          </cell>
          <cell r="C2277" t="str">
            <v>Vitamin</v>
          </cell>
          <cell r="D2277">
            <v>146</v>
          </cell>
          <cell r="E2277">
            <v>22.08</v>
          </cell>
          <cell r="F2277">
            <v>3223.68</v>
          </cell>
          <cell r="G2277">
            <v>0.12</v>
          </cell>
          <cell r="H2277">
            <v>0</v>
          </cell>
          <cell r="I2277" t="str">
            <v>Canada</v>
          </cell>
          <cell r="J2277" t="str">
            <v>Amazon</v>
          </cell>
        </row>
        <row r="2278">
          <cell r="A2278" t="str">
            <v>26-09-2022</v>
          </cell>
          <cell r="B2278" t="str">
            <v>Pre-Workout</v>
          </cell>
          <cell r="C2278" t="str">
            <v>Performance</v>
          </cell>
          <cell r="D2278">
            <v>146</v>
          </cell>
          <cell r="E2278">
            <v>44.38</v>
          </cell>
          <cell r="F2278">
            <v>6479.48</v>
          </cell>
          <cell r="G2278">
            <v>0.25</v>
          </cell>
          <cell r="H2278">
            <v>1</v>
          </cell>
          <cell r="I2278" t="str">
            <v>UK</v>
          </cell>
          <cell r="J2278" t="str">
            <v>Amazon</v>
          </cell>
        </row>
        <row r="2279">
          <cell r="A2279" t="str">
            <v>26-09-2022</v>
          </cell>
          <cell r="B2279" t="str">
            <v>BCAA</v>
          </cell>
          <cell r="C2279" t="str">
            <v>Amino Acid</v>
          </cell>
          <cell r="D2279">
            <v>154</v>
          </cell>
          <cell r="E2279">
            <v>51.58</v>
          </cell>
          <cell r="F2279">
            <v>7943.32</v>
          </cell>
          <cell r="G2279">
            <v>0.12</v>
          </cell>
          <cell r="H2279">
            <v>2</v>
          </cell>
          <cell r="I2279" t="str">
            <v>Canada</v>
          </cell>
          <cell r="J2279" t="str">
            <v>Walmart</v>
          </cell>
        </row>
        <row r="2280">
          <cell r="A2280" t="str">
            <v>26-09-2022</v>
          </cell>
          <cell r="B2280" t="str">
            <v>Creatine</v>
          </cell>
          <cell r="C2280" t="str">
            <v>Performance</v>
          </cell>
          <cell r="D2280">
            <v>134</v>
          </cell>
          <cell r="E2280">
            <v>23.95</v>
          </cell>
          <cell r="F2280">
            <v>3209.3</v>
          </cell>
          <cell r="G2280">
            <v>0.04</v>
          </cell>
          <cell r="H2280">
            <v>1</v>
          </cell>
          <cell r="I2280" t="str">
            <v>USA</v>
          </cell>
          <cell r="J2280" t="str">
            <v>Amazon</v>
          </cell>
        </row>
        <row r="2281">
          <cell r="A2281" t="str">
            <v>26-09-2022</v>
          </cell>
          <cell r="B2281" t="str">
            <v>Zinc</v>
          </cell>
          <cell r="C2281" t="str">
            <v>Mineral</v>
          </cell>
          <cell r="D2281">
            <v>134</v>
          </cell>
          <cell r="E2281">
            <v>32.81</v>
          </cell>
          <cell r="F2281">
            <v>4396.54</v>
          </cell>
          <cell r="G2281">
            <v>0.13</v>
          </cell>
          <cell r="H2281">
            <v>0</v>
          </cell>
          <cell r="I2281" t="str">
            <v>Canada</v>
          </cell>
          <cell r="J2281" t="str">
            <v>Walmart</v>
          </cell>
        </row>
        <row r="2282">
          <cell r="A2282" t="str">
            <v>26-09-2022</v>
          </cell>
          <cell r="B2282" t="str">
            <v>Collagen Peptides</v>
          </cell>
          <cell r="C2282" t="str">
            <v>Protein</v>
          </cell>
          <cell r="D2282">
            <v>135</v>
          </cell>
          <cell r="E2282">
            <v>59.25</v>
          </cell>
          <cell r="F2282">
            <v>7998.75</v>
          </cell>
          <cell r="G2282">
            <v>0.02</v>
          </cell>
          <cell r="H2282">
            <v>1</v>
          </cell>
          <cell r="I2282" t="str">
            <v>UK</v>
          </cell>
          <cell r="J2282" t="str">
            <v>iHerb</v>
          </cell>
        </row>
        <row r="2283">
          <cell r="A2283" t="str">
            <v>26-09-2022</v>
          </cell>
          <cell r="B2283" t="str">
            <v>Magnesium</v>
          </cell>
          <cell r="C2283" t="str">
            <v>Mineral</v>
          </cell>
          <cell r="D2283">
            <v>166</v>
          </cell>
          <cell r="E2283">
            <v>53.79</v>
          </cell>
          <cell r="F2283">
            <v>8929.14</v>
          </cell>
          <cell r="G2283">
            <v>0.13</v>
          </cell>
          <cell r="H2283">
            <v>1</v>
          </cell>
          <cell r="I2283" t="str">
            <v>Canada</v>
          </cell>
          <cell r="J2283" t="str">
            <v>Amazon</v>
          </cell>
        </row>
        <row r="2284">
          <cell r="A2284" t="str">
            <v>26-09-2022</v>
          </cell>
          <cell r="B2284" t="str">
            <v>Ashwagandha</v>
          </cell>
          <cell r="C2284" t="str">
            <v>Herbal</v>
          </cell>
          <cell r="D2284">
            <v>143</v>
          </cell>
          <cell r="E2284">
            <v>25.29</v>
          </cell>
          <cell r="F2284">
            <v>3616.47</v>
          </cell>
          <cell r="G2284">
            <v>0.22</v>
          </cell>
          <cell r="H2284">
            <v>2</v>
          </cell>
          <cell r="I2284" t="str">
            <v>UK</v>
          </cell>
          <cell r="J2284" t="str">
            <v>Walmart</v>
          </cell>
        </row>
        <row r="2285">
          <cell r="A2285" t="str">
            <v>26-09-2022</v>
          </cell>
          <cell r="B2285" t="str">
            <v>Melatonin</v>
          </cell>
          <cell r="C2285" t="str">
            <v>Sleep Aid</v>
          </cell>
          <cell r="D2285">
            <v>156</v>
          </cell>
          <cell r="E2285">
            <v>22.86</v>
          </cell>
          <cell r="F2285">
            <v>3566.16</v>
          </cell>
          <cell r="G2285">
            <v>0.15</v>
          </cell>
          <cell r="H2285">
            <v>1</v>
          </cell>
          <cell r="I2285" t="str">
            <v>Canada</v>
          </cell>
          <cell r="J2285" t="str">
            <v>Walmart</v>
          </cell>
        </row>
        <row r="2286">
          <cell r="A2286" t="str">
            <v>26-09-2022</v>
          </cell>
          <cell r="B2286" t="str">
            <v>Biotin</v>
          </cell>
          <cell r="C2286" t="str">
            <v>Vitamin</v>
          </cell>
          <cell r="D2286">
            <v>161</v>
          </cell>
          <cell r="E2286">
            <v>42.16</v>
          </cell>
          <cell r="F2286">
            <v>6787.76</v>
          </cell>
          <cell r="G2286">
            <v>0.22</v>
          </cell>
          <cell r="H2286">
            <v>1</v>
          </cell>
          <cell r="I2286" t="str">
            <v>USA</v>
          </cell>
          <cell r="J2286" t="str">
            <v>Walmart</v>
          </cell>
        </row>
        <row r="2287">
          <cell r="A2287" t="str">
            <v>26-09-2022</v>
          </cell>
          <cell r="B2287" t="str">
            <v>Green Tea Extract</v>
          </cell>
          <cell r="C2287" t="str">
            <v>Fat Burner</v>
          </cell>
          <cell r="D2287">
            <v>127</v>
          </cell>
          <cell r="E2287">
            <v>27.3</v>
          </cell>
          <cell r="F2287">
            <v>3467.1</v>
          </cell>
          <cell r="G2287">
            <v>0.17</v>
          </cell>
          <cell r="H2287">
            <v>3</v>
          </cell>
          <cell r="I2287" t="str">
            <v>USA</v>
          </cell>
          <cell r="J2287" t="str">
            <v>Walmart</v>
          </cell>
        </row>
        <row r="2288">
          <cell r="A2288" t="str">
            <v>26-09-2022</v>
          </cell>
          <cell r="B2288" t="str">
            <v>Iron Supplement</v>
          </cell>
          <cell r="C2288" t="str">
            <v>Mineral</v>
          </cell>
          <cell r="D2288">
            <v>149</v>
          </cell>
          <cell r="E2288">
            <v>42.73</v>
          </cell>
          <cell r="F2288">
            <v>6366.77</v>
          </cell>
          <cell r="G2288">
            <v>0.03</v>
          </cell>
          <cell r="H2288">
            <v>1</v>
          </cell>
          <cell r="I2288" t="str">
            <v>Canada</v>
          </cell>
          <cell r="J2288" t="str">
            <v>iHerb</v>
          </cell>
        </row>
        <row r="2289">
          <cell r="A2289" t="str">
            <v>26-09-2022</v>
          </cell>
          <cell r="B2289" t="str">
            <v>Electrolyte Powder</v>
          </cell>
          <cell r="C2289" t="str">
            <v>Hydration</v>
          </cell>
          <cell r="D2289">
            <v>171</v>
          </cell>
          <cell r="E2289">
            <v>10.67</v>
          </cell>
          <cell r="F2289">
            <v>1824.57</v>
          </cell>
          <cell r="G2289">
            <v>0.05</v>
          </cell>
          <cell r="H2289">
            <v>2</v>
          </cell>
          <cell r="I2289" t="str">
            <v>UK</v>
          </cell>
          <cell r="J2289" t="str">
            <v>Walmart</v>
          </cell>
        </row>
        <row r="2290">
          <cell r="A2290" t="str">
            <v>03-10-2022</v>
          </cell>
          <cell r="B2290" t="str">
            <v>Whey Protein</v>
          </cell>
          <cell r="C2290" t="str">
            <v>Protein</v>
          </cell>
          <cell r="D2290">
            <v>160</v>
          </cell>
          <cell r="E2290">
            <v>24.61</v>
          </cell>
          <cell r="F2290">
            <v>3937.6</v>
          </cell>
          <cell r="G2290">
            <v>0.23</v>
          </cell>
          <cell r="H2290">
            <v>2</v>
          </cell>
          <cell r="I2290" t="str">
            <v>UK</v>
          </cell>
          <cell r="J2290" t="str">
            <v>Amazon</v>
          </cell>
        </row>
        <row r="2291">
          <cell r="A2291" t="str">
            <v>03-10-2022</v>
          </cell>
          <cell r="B2291" t="str">
            <v>Vitamin C</v>
          </cell>
          <cell r="C2291" t="str">
            <v>Vitamin</v>
          </cell>
          <cell r="D2291">
            <v>157</v>
          </cell>
          <cell r="E2291">
            <v>16.14</v>
          </cell>
          <cell r="F2291">
            <v>2533.98</v>
          </cell>
          <cell r="G2291">
            <v>0.24</v>
          </cell>
          <cell r="H2291">
            <v>0</v>
          </cell>
          <cell r="I2291" t="str">
            <v>Canada</v>
          </cell>
          <cell r="J2291" t="str">
            <v>iHerb</v>
          </cell>
        </row>
        <row r="2292">
          <cell r="A2292" t="str">
            <v>03-10-2022</v>
          </cell>
          <cell r="B2292" t="str">
            <v>Fish Oil</v>
          </cell>
          <cell r="C2292" t="str">
            <v>Omega</v>
          </cell>
          <cell r="D2292">
            <v>141</v>
          </cell>
          <cell r="E2292">
            <v>40.93</v>
          </cell>
          <cell r="F2292">
            <v>5771.13</v>
          </cell>
          <cell r="G2292">
            <v>0.21</v>
          </cell>
          <cell r="H2292">
            <v>1</v>
          </cell>
          <cell r="I2292" t="str">
            <v>USA</v>
          </cell>
          <cell r="J2292" t="str">
            <v>Amazon</v>
          </cell>
        </row>
        <row r="2293">
          <cell r="A2293" t="str">
            <v>03-10-2022</v>
          </cell>
          <cell r="B2293" t="str">
            <v>Multivitamin</v>
          </cell>
          <cell r="C2293" t="str">
            <v>Vitamin</v>
          </cell>
          <cell r="D2293">
            <v>146</v>
          </cell>
          <cell r="E2293">
            <v>11.81</v>
          </cell>
          <cell r="F2293">
            <v>1724.26</v>
          </cell>
          <cell r="G2293">
            <v>0.21</v>
          </cell>
          <cell r="H2293">
            <v>1</v>
          </cell>
          <cell r="I2293" t="str">
            <v>USA</v>
          </cell>
          <cell r="J2293" t="str">
            <v>Walmart</v>
          </cell>
        </row>
        <row r="2294">
          <cell r="A2294" t="str">
            <v>03-10-2022</v>
          </cell>
          <cell r="B2294" t="str">
            <v>Pre-Workout</v>
          </cell>
          <cell r="C2294" t="str">
            <v>Performance</v>
          </cell>
          <cell r="D2294">
            <v>164</v>
          </cell>
          <cell r="E2294">
            <v>39.01</v>
          </cell>
          <cell r="F2294">
            <v>6397.64</v>
          </cell>
          <cell r="G2294">
            <v>0.22</v>
          </cell>
          <cell r="H2294">
            <v>1</v>
          </cell>
          <cell r="I2294" t="str">
            <v>UK</v>
          </cell>
          <cell r="J2294" t="str">
            <v>Walmart</v>
          </cell>
        </row>
        <row r="2295">
          <cell r="A2295" t="str">
            <v>03-10-2022</v>
          </cell>
          <cell r="B2295" t="str">
            <v>BCAA</v>
          </cell>
          <cell r="C2295" t="str">
            <v>Amino Acid</v>
          </cell>
          <cell r="D2295">
            <v>159</v>
          </cell>
          <cell r="E2295">
            <v>46.82</v>
          </cell>
          <cell r="F2295">
            <v>7444.38</v>
          </cell>
          <cell r="G2295">
            <v>0.23</v>
          </cell>
          <cell r="H2295">
            <v>1</v>
          </cell>
          <cell r="I2295" t="str">
            <v>UK</v>
          </cell>
          <cell r="J2295" t="str">
            <v>Amazon</v>
          </cell>
        </row>
        <row r="2296">
          <cell r="A2296" t="str">
            <v>03-10-2022</v>
          </cell>
          <cell r="B2296" t="str">
            <v>Creatine</v>
          </cell>
          <cell r="C2296" t="str">
            <v>Performance</v>
          </cell>
          <cell r="D2296">
            <v>137</v>
          </cell>
          <cell r="E2296">
            <v>22.32</v>
          </cell>
          <cell r="F2296">
            <v>3057.84</v>
          </cell>
          <cell r="G2296">
            <v>0.04</v>
          </cell>
          <cell r="H2296">
            <v>1</v>
          </cell>
          <cell r="I2296" t="str">
            <v>Canada</v>
          </cell>
          <cell r="J2296" t="str">
            <v>iHerb</v>
          </cell>
        </row>
        <row r="2297">
          <cell r="A2297" t="str">
            <v>03-10-2022</v>
          </cell>
          <cell r="B2297" t="str">
            <v>Zinc</v>
          </cell>
          <cell r="C2297" t="str">
            <v>Mineral</v>
          </cell>
          <cell r="D2297">
            <v>137</v>
          </cell>
          <cell r="E2297">
            <v>11.8</v>
          </cell>
          <cell r="F2297">
            <v>1616.6</v>
          </cell>
          <cell r="G2297">
            <v>0.21</v>
          </cell>
          <cell r="H2297">
            <v>1</v>
          </cell>
          <cell r="I2297" t="str">
            <v>Canada</v>
          </cell>
          <cell r="J2297" t="str">
            <v>Walmart</v>
          </cell>
        </row>
        <row r="2298">
          <cell r="A2298" t="str">
            <v>03-10-2022</v>
          </cell>
          <cell r="B2298" t="str">
            <v>Collagen Peptides</v>
          </cell>
          <cell r="C2298" t="str">
            <v>Protein</v>
          </cell>
          <cell r="D2298">
            <v>145</v>
          </cell>
          <cell r="E2298">
            <v>13.51</v>
          </cell>
          <cell r="F2298">
            <v>1958.95</v>
          </cell>
          <cell r="G2298">
            <v>0.25</v>
          </cell>
          <cell r="H2298">
            <v>2</v>
          </cell>
          <cell r="I2298" t="str">
            <v>UK</v>
          </cell>
          <cell r="J2298" t="str">
            <v>Walmart</v>
          </cell>
        </row>
        <row r="2299">
          <cell r="A2299" t="str">
            <v>03-10-2022</v>
          </cell>
          <cell r="B2299" t="str">
            <v>Magnesium</v>
          </cell>
          <cell r="C2299" t="str">
            <v>Mineral</v>
          </cell>
          <cell r="D2299">
            <v>137</v>
          </cell>
          <cell r="E2299">
            <v>48.17</v>
          </cell>
          <cell r="F2299">
            <v>6599.29</v>
          </cell>
          <cell r="G2299">
            <v>0.11</v>
          </cell>
          <cell r="H2299">
            <v>3</v>
          </cell>
          <cell r="I2299" t="str">
            <v>Canada</v>
          </cell>
          <cell r="J2299" t="str">
            <v>iHerb</v>
          </cell>
        </row>
        <row r="2300">
          <cell r="A2300" t="str">
            <v>03-10-2022</v>
          </cell>
          <cell r="B2300" t="str">
            <v>Ashwagandha</v>
          </cell>
          <cell r="C2300" t="str">
            <v>Herbal</v>
          </cell>
          <cell r="D2300">
            <v>135</v>
          </cell>
          <cell r="E2300">
            <v>14.67</v>
          </cell>
          <cell r="F2300">
            <v>1980.45</v>
          </cell>
          <cell r="G2300">
            <v>0.05</v>
          </cell>
          <cell r="H2300">
            <v>0</v>
          </cell>
          <cell r="I2300" t="str">
            <v>USA</v>
          </cell>
          <cell r="J2300" t="str">
            <v>Walmart</v>
          </cell>
        </row>
        <row r="2301">
          <cell r="A2301" t="str">
            <v>03-10-2022</v>
          </cell>
          <cell r="B2301" t="str">
            <v>Melatonin</v>
          </cell>
          <cell r="C2301" t="str">
            <v>Sleep Aid</v>
          </cell>
          <cell r="D2301">
            <v>171</v>
          </cell>
          <cell r="E2301">
            <v>31.37</v>
          </cell>
          <cell r="F2301">
            <v>5364.27</v>
          </cell>
          <cell r="G2301">
            <v>0.13</v>
          </cell>
          <cell r="H2301">
            <v>3</v>
          </cell>
          <cell r="I2301" t="str">
            <v>UK</v>
          </cell>
          <cell r="J2301" t="str">
            <v>Walmart</v>
          </cell>
        </row>
        <row r="2302">
          <cell r="A2302" t="str">
            <v>03-10-2022</v>
          </cell>
          <cell r="B2302" t="str">
            <v>Biotin</v>
          </cell>
          <cell r="C2302" t="str">
            <v>Vitamin</v>
          </cell>
          <cell r="D2302">
            <v>129</v>
          </cell>
          <cell r="E2302">
            <v>42.33</v>
          </cell>
          <cell r="F2302">
            <v>5460.57</v>
          </cell>
          <cell r="G2302">
            <v>0.09</v>
          </cell>
          <cell r="H2302">
            <v>0</v>
          </cell>
          <cell r="I2302" t="str">
            <v>USA</v>
          </cell>
          <cell r="J2302" t="str">
            <v>Walmart</v>
          </cell>
        </row>
        <row r="2303">
          <cell r="A2303" t="str">
            <v>03-10-2022</v>
          </cell>
          <cell r="B2303" t="str">
            <v>Green Tea Extract</v>
          </cell>
          <cell r="C2303" t="str">
            <v>Fat Burner</v>
          </cell>
          <cell r="D2303">
            <v>153</v>
          </cell>
          <cell r="E2303">
            <v>11.75</v>
          </cell>
          <cell r="F2303">
            <v>1797.75</v>
          </cell>
          <cell r="G2303">
            <v>0.19</v>
          </cell>
          <cell r="H2303">
            <v>2</v>
          </cell>
          <cell r="I2303" t="str">
            <v>Canada</v>
          </cell>
          <cell r="J2303" t="str">
            <v>iHerb</v>
          </cell>
        </row>
        <row r="2304">
          <cell r="A2304" t="str">
            <v>03-10-2022</v>
          </cell>
          <cell r="B2304" t="str">
            <v>Iron Supplement</v>
          </cell>
          <cell r="C2304" t="str">
            <v>Mineral</v>
          </cell>
          <cell r="D2304">
            <v>160</v>
          </cell>
          <cell r="E2304">
            <v>20.21</v>
          </cell>
          <cell r="F2304">
            <v>3233.6</v>
          </cell>
          <cell r="G2304">
            <v>0.14000000000000001</v>
          </cell>
          <cell r="H2304">
            <v>2</v>
          </cell>
          <cell r="I2304" t="str">
            <v>USA</v>
          </cell>
          <cell r="J2304" t="str">
            <v>Amazon</v>
          </cell>
        </row>
        <row r="2305">
          <cell r="A2305" t="str">
            <v>03-10-2022</v>
          </cell>
          <cell r="B2305" t="str">
            <v>Electrolyte Powder</v>
          </cell>
          <cell r="C2305" t="str">
            <v>Hydration</v>
          </cell>
          <cell r="D2305">
            <v>168</v>
          </cell>
          <cell r="E2305">
            <v>19.760000000000002</v>
          </cell>
          <cell r="F2305">
            <v>3319.68</v>
          </cell>
          <cell r="G2305">
            <v>0.15</v>
          </cell>
          <cell r="H2305">
            <v>1</v>
          </cell>
          <cell r="I2305" t="str">
            <v>UK</v>
          </cell>
          <cell r="J2305" t="str">
            <v>Amazon</v>
          </cell>
        </row>
        <row r="2306">
          <cell r="A2306" t="str">
            <v>10-10-2022</v>
          </cell>
          <cell r="B2306" t="str">
            <v>Whey Protein</v>
          </cell>
          <cell r="C2306" t="str">
            <v>Protein</v>
          </cell>
          <cell r="D2306">
            <v>133</v>
          </cell>
          <cell r="E2306">
            <v>22.93</v>
          </cell>
          <cell r="F2306">
            <v>3049.69</v>
          </cell>
          <cell r="G2306">
            <v>7.0000000000000007E-2</v>
          </cell>
          <cell r="H2306">
            <v>4</v>
          </cell>
          <cell r="I2306" t="str">
            <v>Canada</v>
          </cell>
          <cell r="J2306" t="str">
            <v>iHerb</v>
          </cell>
        </row>
        <row r="2307">
          <cell r="A2307" t="str">
            <v>10-10-2022</v>
          </cell>
          <cell r="B2307" t="str">
            <v>Vitamin C</v>
          </cell>
          <cell r="C2307" t="str">
            <v>Vitamin</v>
          </cell>
          <cell r="D2307">
            <v>146</v>
          </cell>
          <cell r="E2307">
            <v>24.19</v>
          </cell>
          <cell r="F2307">
            <v>3531.74</v>
          </cell>
          <cell r="G2307">
            <v>0.03</v>
          </cell>
          <cell r="H2307">
            <v>0</v>
          </cell>
          <cell r="I2307" t="str">
            <v>USA</v>
          </cell>
          <cell r="J2307" t="str">
            <v>iHerb</v>
          </cell>
        </row>
        <row r="2308">
          <cell r="A2308" t="str">
            <v>10-10-2022</v>
          </cell>
          <cell r="B2308" t="str">
            <v>Fish Oil</v>
          </cell>
          <cell r="C2308" t="str">
            <v>Omega</v>
          </cell>
          <cell r="D2308">
            <v>128</v>
          </cell>
          <cell r="E2308">
            <v>19.47</v>
          </cell>
          <cell r="F2308">
            <v>2492.16</v>
          </cell>
          <cell r="G2308">
            <v>0.09</v>
          </cell>
          <cell r="H2308">
            <v>2</v>
          </cell>
          <cell r="I2308" t="str">
            <v>UK</v>
          </cell>
          <cell r="J2308" t="str">
            <v>Amazon</v>
          </cell>
        </row>
        <row r="2309">
          <cell r="A2309" t="str">
            <v>10-10-2022</v>
          </cell>
          <cell r="B2309" t="str">
            <v>Multivitamin</v>
          </cell>
          <cell r="C2309" t="str">
            <v>Vitamin</v>
          </cell>
          <cell r="D2309">
            <v>147</v>
          </cell>
          <cell r="E2309">
            <v>34.9</v>
          </cell>
          <cell r="F2309">
            <v>5130.3</v>
          </cell>
          <cell r="G2309">
            <v>0.1</v>
          </cell>
          <cell r="H2309">
            <v>2</v>
          </cell>
          <cell r="I2309" t="str">
            <v>USA</v>
          </cell>
          <cell r="J2309" t="str">
            <v>Amazon</v>
          </cell>
        </row>
        <row r="2310">
          <cell r="A2310" t="str">
            <v>10-10-2022</v>
          </cell>
          <cell r="B2310" t="str">
            <v>Pre-Workout</v>
          </cell>
          <cell r="C2310" t="str">
            <v>Performance</v>
          </cell>
          <cell r="D2310">
            <v>128</v>
          </cell>
          <cell r="E2310">
            <v>42.6</v>
          </cell>
          <cell r="F2310">
            <v>5452.8</v>
          </cell>
          <cell r="G2310">
            <v>0.12</v>
          </cell>
          <cell r="H2310">
            <v>2</v>
          </cell>
          <cell r="I2310" t="str">
            <v>UK</v>
          </cell>
          <cell r="J2310" t="str">
            <v>Amazon</v>
          </cell>
        </row>
        <row r="2311">
          <cell r="A2311" t="str">
            <v>10-10-2022</v>
          </cell>
          <cell r="B2311" t="str">
            <v>BCAA</v>
          </cell>
          <cell r="C2311" t="str">
            <v>Amino Acid</v>
          </cell>
          <cell r="D2311">
            <v>171</v>
          </cell>
          <cell r="E2311">
            <v>39.82</v>
          </cell>
          <cell r="F2311">
            <v>6809.22</v>
          </cell>
          <cell r="G2311">
            <v>0.13</v>
          </cell>
          <cell r="H2311">
            <v>5</v>
          </cell>
          <cell r="I2311" t="str">
            <v>UK</v>
          </cell>
          <cell r="J2311" t="str">
            <v>iHerb</v>
          </cell>
        </row>
        <row r="2312">
          <cell r="A2312" t="str">
            <v>10-10-2022</v>
          </cell>
          <cell r="B2312" t="str">
            <v>Creatine</v>
          </cell>
          <cell r="C2312" t="str">
            <v>Performance</v>
          </cell>
          <cell r="D2312">
            <v>141</v>
          </cell>
          <cell r="E2312">
            <v>23.27</v>
          </cell>
          <cell r="F2312">
            <v>3281.07</v>
          </cell>
          <cell r="G2312">
            <v>0.05</v>
          </cell>
          <cell r="H2312">
            <v>3</v>
          </cell>
          <cell r="I2312" t="str">
            <v>Canada</v>
          </cell>
          <cell r="J2312" t="str">
            <v>iHerb</v>
          </cell>
        </row>
        <row r="2313">
          <cell r="A2313" t="str">
            <v>10-10-2022</v>
          </cell>
          <cell r="B2313" t="str">
            <v>Zinc</v>
          </cell>
          <cell r="C2313" t="str">
            <v>Mineral</v>
          </cell>
          <cell r="D2313">
            <v>135</v>
          </cell>
          <cell r="E2313">
            <v>23.8</v>
          </cell>
          <cell r="F2313">
            <v>3213</v>
          </cell>
          <cell r="G2313">
            <v>0.09</v>
          </cell>
          <cell r="H2313">
            <v>0</v>
          </cell>
          <cell r="I2313" t="str">
            <v>Canada</v>
          </cell>
          <cell r="J2313" t="str">
            <v>Walmart</v>
          </cell>
        </row>
        <row r="2314">
          <cell r="A2314" t="str">
            <v>10-10-2022</v>
          </cell>
          <cell r="B2314" t="str">
            <v>Collagen Peptides</v>
          </cell>
          <cell r="C2314" t="str">
            <v>Protein</v>
          </cell>
          <cell r="D2314">
            <v>153</v>
          </cell>
          <cell r="E2314">
            <v>42.87</v>
          </cell>
          <cell r="F2314">
            <v>6559.11</v>
          </cell>
          <cell r="G2314">
            <v>0</v>
          </cell>
          <cell r="H2314">
            <v>0</v>
          </cell>
          <cell r="I2314" t="str">
            <v>Canada</v>
          </cell>
          <cell r="J2314" t="str">
            <v>Walmart</v>
          </cell>
        </row>
        <row r="2315">
          <cell r="A2315" t="str">
            <v>10-10-2022</v>
          </cell>
          <cell r="B2315" t="str">
            <v>Magnesium</v>
          </cell>
          <cell r="C2315" t="str">
            <v>Mineral</v>
          </cell>
          <cell r="D2315">
            <v>131</v>
          </cell>
          <cell r="E2315">
            <v>50.74</v>
          </cell>
          <cell r="F2315">
            <v>6646.94</v>
          </cell>
          <cell r="G2315">
            <v>0.22</v>
          </cell>
          <cell r="H2315">
            <v>0</v>
          </cell>
          <cell r="I2315" t="str">
            <v>Canada</v>
          </cell>
          <cell r="J2315" t="str">
            <v>Walmart</v>
          </cell>
        </row>
        <row r="2316">
          <cell r="A2316" t="str">
            <v>10-10-2022</v>
          </cell>
          <cell r="B2316" t="str">
            <v>Ashwagandha</v>
          </cell>
          <cell r="C2316" t="str">
            <v>Herbal</v>
          </cell>
          <cell r="D2316">
            <v>153</v>
          </cell>
          <cell r="E2316">
            <v>24.44</v>
          </cell>
          <cell r="F2316">
            <v>3739.32</v>
          </cell>
          <cell r="G2316">
            <v>0.1</v>
          </cell>
          <cell r="H2316">
            <v>1</v>
          </cell>
          <cell r="I2316" t="str">
            <v>USA</v>
          </cell>
          <cell r="J2316" t="str">
            <v>iHerb</v>
          </cell>
        </row>
        <row r="2317">
          <cell r="A2317" t="str">
            <v>10-10-2022</v>
          </cell>
          <cell r="B2317" t="str">
            <v>Melatonin</v>
          </cell>
          <cell r="C2317" t="str">
            <v>Sleep Aid</v>
          </cell>
          <cell r="D2317">
            <v>134</v>
          </cell>
          <cell r="E2317">
            <v>17.64</v>
          </cell>
          <cell r="F2317">
            <v>2363.7600000000002</v>
          </cell>
          <cell r="G2317">
            <v>0.16</v>
          </cell>
          <cell r="H2317">
            <v>0</v>
          </cell>
          <cell r="I2317" t="str">
            <v>UK</v>
          </cell>
          <cell r="J2317" t="str">
            <v>iHerb</v>
          </cell>
        </row>
        <row r="2318">
          <cell r="A2318" t="str">
            <v>10-10-2022</v>
          </cell>
          <cell r="B2318" t="str">
            <v>Biotin</v>
          </cell>
          <cell r="C2318" t="str">
            <v>Vitamin</v>
          </cell>
          <cell r="D2318">
            <v>138</v>
          </cell>
          <cell r="E2318">
            <v>13.89</v>
          </cell>
          <cell r="F2318">
            <v>1916.82</v>
          </cell>
          <cell r="G2318">
            <v>0.05</v>
          </cell>
          <cell r="H2318">
            <v>3</v>
          </cell>
          <cell r="I2318" t="str">
            <v>UK</v>
          </cell>
          <cell r="J2318" t="str">
            <v>Amazon</v>
          </cell>
        </row>
        <row r="2319">
          <cell r="A2319" t="str">
            <v>10-10-2022</v>
          </cell>
          <cell r="B2319" t="str">
            <v>Green Tea Extract</v>
          </cell>
          <cell r="C2319" t="str">
            <v>Fat Burner</v>
          </cell>
          <cell r="D2319">
            <v>146</v>
          </cell>
          <cell r="E2319">
            <v>39.43</v>
          </cell>
          <cell r="F2319">
            <v>5756.78</v>
          </cell>
          <cell r="G2319">
            <v>0.06</v>
          </cell>
          <cell r="H2319">
            <v>3</v>
          </cell>
          <cell r="I2319" t="str">
            <v>UK</v>
          </cell>
          <cell r="J2319" t="str">
            <v>Amazon</v>
          </cell>
        </row>
        <row r="2320">
          <cell r="A2320" t="str">
            <v>10-10-2022</v>
          </cell>
          <cell r="B2320" t="str">
            <v>Iron Supplement</v>
          </cell>
          <cell r="C2320" t="str">
            <v>Mineral</v>
          </cell>
          <cell r="D2320">
            <v>150</v>
          </cell>
          <cell r="E2320">
            <v>30.3</v>
          </cell>
          <cell r="F2320">
            <v>4545</v>
          </cell>
          <cell r="G2320">
            <v>0.25</v>
          </cell>
          <cell r="H2320">
            <v>2</v>
          </cell>
          <cell r="I2320" t="str">
            <v>UK</v>
          </cell>
          <cell r="J2320" t="str">
            <v>iHerb</v>
          </cell>
        </row>
        <row r="2321">
          <cell r="A2321" t="str">
            <v>10-10-2022</v>
          </cell>
          <cell r="B2321" t="str">
            <v>Electrolyte Powder</v>
          </cell>
          <cell r="C2321" t="str">
            <v>Hydration</v>
          </cell>
          <cell r="D2321">
            <v>149</v>
          </cell>
          <cell r="E2321">
            <v>54.01</v>
          </cell>
          <cell r="F2321">
            <v>8047.49</v>
          </cell>
          <cell r="G2321">
            <v>0.24</v>
          </cell>
          <cell r="H2321">
            <v>1</v>
          </cell>
          <cell r="I2321" t="str">
            <v>Canada</v>
          </cell>
          <cell r="J2321" t="str">
            <v>Amazon</v>
          </cell>
        </row>
        <row r="2322">
          <cell r="A2322" t="str">
            <v>17-10-2022</v>
          </cell>
          <cell r="B2322" t="str">
            <v>Whey Protein</v>
          </cell>
          <cell r="C2322" t="str">
            <v>Protein</v>
          </cell>
          <cell r="D2322">
            <v>162</v>
          </cell>
          <cell r="E2322">
            <v>37.28</v>
          </cell>
          <cell r="F2322">
            <v>6039.36</v>
          </cell>
          <cell r="G2322">
            <v>0.04</v>
          </cell>
          <cell r="H2322">
            <v>1</v>
          </cell>
          <cell r="I2322" t="str">
            <v>USA</v>
          </cell>
          <cell r="J2322" t="str">
            <v>Walmart</v>
          </cell>
        </row>
        <row r="2323">
          <cell r="A2323" t="str">
            <v>17-10-2022</v>
          </cell>
          <cell r="B2323" t="str">
            <v>Vitamin C</v>
          </cell>
          <cell r="C2323" t="str">
            <v>Vitamin</v>
          </cell>
          <cell r="D2323">
            <v>173</v>
          </cell>
          <cell r="E2323">
            <v>41.62</v>
          </cell>
          <cell r="F2323">
            <v>7200.26</v>
          </cell>
          <cell r="G2323">
            <v>0.15</v>
          </cell>
          <cell r="H2323">
            <v>0</v>
          </cell>
          <cell r="I2323" t="str">
            <v>Canada</v>
          </cell>
          <cell r="J2323" t="str">
            <v>iHerb</v>
          </cell>
        </row>
        <row r="2324">
          <cell r="A2324" t="str">
            <v>17-10-2022</v>
          </cell>
          <cell r="B2324" t="str">
            <v>Fish Oil</v>
          </cell>
          <cell r="C2324" t="str">
            <v>Omega</v>
          </cell>
          <cell r="D2324">
            <v>144</v>
          </cell>
          <cell r="E2324">
            <v>19.36</v>
          </cell>
          <cell r="F2324">
            <v>2787.84</v>
          </cell>
          <cell r="G2324">
            <v>0.2</v>
          </cell>
          <cell r="H2324">
            <v>4</v>
          </cell>
          <cell r="I2324" t="str">
            <v>USA</v>
          </cell>
          <cell r="J2324" t="str">
            <v>Amazon</v>
          </cell>
        </row>
        <row r="2325">
          <cell r="A2325" t="str">
            <v>17-10-2022</v>
          </cell>
          <cell r="B2325" t="str">
            <v>Multivitamin</v>
          </cell>
          <cell r="C2325" t="str">
            <v>Vitamin</v>
          </cell>
          <cell r="D2325">
            <v>139</v>
          </cell>
          <cell r="E2325">
            <v>32.75</v>
          </cell>
          <cell r="F2325">
            <v>4552.25</v>
          </cell>
          <cell r="G2325">
            <v>0.19</v>
          </cell>
          <cell r="H2325">
            <v>1</v>
          </cell>
          <cell r="I2325" t="str">
            <v>USA</v>
          </cell>
          <cell r="J2325" t="str">
            <v>Walmart</v>
          </cell>
        </row>
        <row r="2326">
          <cell r="A2326" t="str">
            <v>17-10-2022</v>
          </cell>
          <cell r="B2326" t="str">
            <v>Pre-Workout</v>
          </cell>
          <cell r="C2326" t="str">
            <v>Performance</v>
          </cell>
          <cell r="D2326">
            <v>180</v>
          </cell>
          <cell r="E2326">
            <v>31.01</v>
          </cell>
          <cell r="F2326">
            <v>5581.8</v>
          </cell>
          <cell r="G2326">
            <v>0.24</v>
          </cell>
          <cell r="H2326">
            <v>2</v>
          </cell>
          <cell r="I2326" t="str">
            <v>USA</v>
          </cell>
          <cell r="J2326" t="str">
            <v>iHerb</v>
          </cell>
        </row>
        <row r="2327">
          <cell r="A2327" t="str">
            <v>17-10-2022</v>
          </cell>
          <cell r="B2327" t="str">
            <v>BCAA</v>
          </cell>
          <cell r="C2327" t="str">
            <v>Amino Acid</v>
          </cell>
          <cell r="D2327">
            <v>158</v>
          </cell>
          <cell r="E2327">
            <v>58.73</v>
          </cell>
          <cell r="F2327">
            <v>9279.34</v>
          </cell>
          <cell r="G2327">
            <v>0.17</v>
          </cell>
          <cell r="H2327">
            <v>3</v>
          </cell>
          <cell r="I2327" t="str">
            <v>USA</v>
          </cell>
          <cell r="J2327" t="str">
            <v>Amazon</v>
          </cell>
        </row>
        <row r="2328">
          <cell r="A2328" t="str">
            <v>17-10-2022</v>
          </cell>
          <cell r="B2328" t="str">
            <v>Creatine</v>
          </cell>
          <cell r="C2328" t="str">
            <v>Performance</v>
          </cell>
          <cell r="D2328">
            <v>157</v>
          </cell>
          <cell r="E2328">
            <v>24.52</v>
          </cell>
          <cell r="F2328">
            <v>3849.64</v>
          </cell>
          <cell r="G2328">
            <v>0.08</v>
          </cell>
          <cell r="H2328">
            <v>2</v>
          </cell>
          <cell r="I2328" t="str">
            <v>USA</v>
          </cell>
          <cell r="J2328" t="str">
            <v>Amazon</v>
          </cell>
        </row>
        <row r="2329">
          <cell r="A2329" t="str">
            <v>17-10-2022</v>
          </cell>
          <cell r="B2329" t="str">
            <v>Zinc</v>
          </cell>
          <cell r="C2329" t="str">
            <v>Mineral</v>
          </cell>
          <cell r="D2329">
            <v>142</v>
          </cell>
          <cell r="E2329">
            <v>22.47</v>
          </cell>
          <cell r="F2329">
            <v>3190.74</v>
          </cell>
          <cell r="G2329">
            <v>0.2</v>
          </cell>
          <cell r="H2329">
            <v>0</v>
          </cell>
          <cell r="I2329" t="str">
            <v>UK</v>
          </cell>
          <cell r="J2329" t="str">
            <v>iHerb</v>
          </cell>
        </row>
        <row r="2330">
          <cell r="A2330" t="str">
            <v>17-10-2022</v>
          </cell>
          <cell r="B2330" t="str">
            <v>Collagen Peptides</v>
          </cell>
          <cell r="C2330" t="str">
            <v>Protein</v>
          </cell>
          <cell r="D2330">
            <v>163</v>
          </cell>
          <cell r="E2330">
            <v>19.350000000000001</v>
          </cell>
          <cell r="F2330">
            <v>3154.05</v>
          </cell>
          <cell r="G2330">
            <v>0.14000000000000001</v>
          </cell>
          <cell r="H2330">
            <v>1</v>
          </cell>
          <cell r="I2330" t="str">
            <v>USA</v>
          </cell>
          <cell r="J2330" t="str">
            <v>Walmart</v>
          </cell>
        </row>
        <row r="2331">
          <cell r="A2331" t="str">
            <v>17-10-2022</v>
          </cell>
          <cell r="B2331" t="str">
            <v>Magnesium</v>
          </cell>
          <cell r="C2331" t="str">
            <v>Mineral</v>
          </cell>
          <cell r="D2331">
            <v>143</v>
          </cell>
          <cell r="E2331">
            <v>13.17</v>
          </cell>
          <cell r="F2331">
            <v>1883.31</v>
          </cell>
          <cell r="G2331">
            <v>0.25</v>
          </cell>
          <cell r="H2331">
            <v>0</v>
          </cell>
          <cell r="I2331" t="str">
            <v>USA</v>
          </cell>
          <cell r="J2331" t="str">
            <v>Walmart</v>
          </cell>
        </row>
        <row r="2332">
          <cell r="A2332" t="str">
            <v>17-10-2022</v>
          </cell>
          <cell r="B2332" t="str">
            <v>Ashwagandha</v>
          </cell>
          <cell r="C2332" t="str">
            <v>Herbal</v>
          </cell>
          <cell r="D2332">
            <v>156</v>
          </cell>
          <cell r="E2332">
            <v>42.3</v>
          </cell>
          <cell r="F2332">
            <v>6598.8</v>
          </cell>
          <cell r="G2332">
            <v>0.09</v>
          </cell>
          <cell r="H2332">
            <v>2</v>
          </cell>
          <cell r="I2332" t="str">
            <v>Canada</v>
          </cell>
          <cell r="J2332" t="str">
            <v>Walmart</v>
          </cell>
        </row>
        <row r="2333">
          <cell r="A2333" t="str">
            <v>17-10-2022</v>
          </cell>
          <cell r="B2333" t="str">
            <v>Melatonin</v>
          </cell>
          <cell r="C2333" t="str">
            <v>Sleep Aid</v>
          </cell>
          <cell r="D2333">
            <v>158</v>
          </cell>
          <cell r="E2333">
            <v>15.7</v>
          </cell>
          <cell r="F2333">
            <v>2480.6</v>
          </cell>
          <cell r="G2333">
            <v>0.16</v>
          </cell>
          <cell r="H2333">
            <v>1</v>
          </cell>
          <cell r="I2333" t="str">
            <v>Canada</v>
          </cell>
          <cell r="J2333" t="str">
            <v>iHerb</v>
          </cell>
        </row>
        <row r="2334">
          <cell r="A2334" t="str">
            <v>17-10-2022</v>
          </cell>
          <cell r="B2334" t="str">
            <v>Biotin</v>
          </cell>
          <cell r="C2334" t="str">
            <v>Vitamin</v>
          </cell>
          <cell r="D2334">
            <v>148</v>
          </cell>
          <cell r="E2334">
            <v>45.24</v>
          </cell>
          <cell r="F2334">
            <v>6695.52</v>
          </cell>
          <cell r="G2334">
            <v>0.08</v>
          </cell>
          <cell r="H2334">
            <v>1</v>
          </cell>
          <cell r="I2334" t="str">
            <v>UK</v>
          </cell>
          <cell r="J2334" t="str">
            <v>iHerb</v>
          </cell>
        </row>
        <row r="2335">
          <cell r="A2335" t="str">
            <v>17-10-2022</v>
          </cell>
          <cell r="B2335" t="str">
            <v>Green Tea Extract</v>
          </cell>
          <cell r="C2335" t="str">
            <v>Fat Burner</v>
          </cell>
          <cell r="D2335">
            <v>125</v>
          </cell>
          <cell r="E2335">
            <v>38.39</v>
          </cell>
          <cell r="F2335">
            <v>4798.75</v>
          </cell>
          <cell r="G2335">
            <v>0.09</v>
          </cell>
          <cell r="H2335">
            <v>2</v>
          </cell>
          <cell r="I2335" t="str">
            <v>Canada</v>
          </cell>
          <cell r="J2335" t="str">
            <v>Walmart</v>
          </cell>
        </row>
        <row r="2336">
          <cell r="A2336" t="str">
            <v>17-10-2022</v>
          </cell>
          <cell r="B2336" t="str">
            <v>Iron Supplement</v>
          </cell>
          <cell r="C2336" t="str">
            <v>Mineral</v>
          </cell>
          <cell r="D2336">
            <v>151</v>
          </cell>
          <cell r="E2336">
            <v>35.57</v>
          </cell>
          <cell r="F2336">
            <v>5371.07</v>
          </cell>
          <cell r="G2336">
            <v>0.16</v>
          </cell>
          <cell r="H2336">
            <v>2</v>
          </cell>
          <cell r="I2336" t="str">
            <v>USA</v>
          </cell>
          <cell r="J2336" t="str">
            <v>Amazon</v>
          </cell>
        </row>
        <row r="2337">
          <cell r="A2337" t="str">
            <v>17-10-2022</v>
          </cell>
          <cell r="B2337" t="str">
            <v>Electrolyte Powder</v>
          </cell>
          <cell r="C2337" t="str">
            <v>Hydration</v>
          </cell>
          <cell r="D2337">
            <v>142</v>
          </cell>
          <cell r="E2337">
            <v>17.829999999999998</v>
          </cell>
          <cell r="F2337">
            <v>2531.86</v>
          </cell>
          <cell r="G2337">
            <v>0.16</v>
          </cell>
          <cell r="H2337">
            <v>3</v>
          </cell>
          <cell r="I2337" t="str">
            <v>Canada</v>
          </cell>
          <cell r="J2337" t="str">
            <v>Amazon</v>
          </cell>
        </row>
        <row r="2338">
          <cell r="A2338" t="str">
            <v>24-10-2022</v>
          </cell>
          <cell r="B2338" t="str">
            <v>Whey Protein</v>
          </cell>
          <cell r="C2338" t="str">
            <v>Protein</v>
          </cell>
          <cell r="D2338">
            <v>147</v>
          </cell>
          <cell r="E2338">
            <v>47.83</v>
          </cell>
          <cell r="F2338">
            <v>7031.01</v>
          </cell>
          <cell r="G2338">
            <v>0.21</v>
          </cell>
          <cell r="H2338">
            <v>3</v>
          </cell>
          <cell r="I2338" t="str">
            <v>USA</v>
          </cell>
          <cell r="J2338" t="str">
            <v>Amazon</v>
          </cell>
        </row>
        <row r="2339">
          <cell r="A2339" t="str">
            <v>24-10-2022</v>
          </cell>
          <cell r="B2339" t="str">
            <v>Vitamin C</v>
          </cell>
          <cell r="C2339" t="str">
            <v>Vitamin</v>
          </cell>
          <cell r="D2339">
            <v>154</v>
          </cell>
          <cell r="E2339">
            <v>10.77</v>
          </cell>
          <cell r="F2339">
            <v>1658.58</v>
          </cell>
          <cell r="G2339">
            <v>0.03</v>
          </cell>
          <cell r="H2339">
            <v>0</v>
          </cell>
          <cell r="I2339" t="str">
            <v>Canada</v>
          </cell>
          <cell r="J2339" t="str">
            <v>iHerb</v>
          </cell>
        </row>
        <row r="2340">
          <cell r="A2340" t="str">
            <v>24-10-2022</v>
          </cell>
          <cell r="B2340" t="str">
            <v>Fish Oil</v>
          </cell>
          <cell r="C2340" t="str">
            <v>Omega</v>
          </cell>
          <cell r="D2340">
            <v>158</v>
          </cell>
          <cell r="E2340">
            <v>34.82</v>
          </cell>
          <cell r="F2340">
            <v>5501.56</v>
          </cell>
          <cell r="G2340">
            <v>0.12</v>
          </cell>
          <cell r="H2340">
            <v>1</v>
          </cell>
          <cell r="I2340" t="str">
            <v>USA</v>
          </cell>
          <cell r="J2340" t="str">
            <v>Walmart</v>
          </cell>
        </row>
        <row r="2341">
          <cell r="A2341" t="str">
            <v>24-10-2022</v>
          </cell>
          <cell r="B2341" t="str">
            <v>Multivitamin</v>
          </cell>
          <cell r="C2341" t="str">
            <v>Vitamin</v>
          </cell>
          <cell r="D2341">
            <v>166</v>
          </cell>
          <cell r="E2341">
            <v>27.62</v>
          </cell>
          <cell r="F2341">
            <v>4584.92</v>
          </cell>
          <cell r="G2341">
            <v>0.19</v>
          </cell>
          <cell r="H2341">
            <v>0</v>
          </cell>
          <cell r="I2341" t="str">
            <v>UK</v>
          </cell>
          <cell r="J2341" t="str">
            <v>iHerb</v>
          </cell>
        </row>
        <row r="2342">
          <cell r="A2342" t="str">
            <v>24-10-2022</v>
          </cell>
          <cell r="B2342" t="str">
            <v>Pre-Workout</v>
          </cell>
          <cell r="C2342" t="str">
            <v>Performance</v>
          </cell>
          <cell r="D2342">
            <v>156</v>
          </cell>
          <cell r="E2342">
            <v>56.61</v>
          </cell>
          <cell r="F2342">
            <v>8831.16</v>
          </cell>
          <cell r="G2342">
            <v>0.22</v>
          </cell>
          <cell r="H2342">
            <v>1</v>
          </cell>
          <cell r="I2342" t="str">
            <v>USA</v>
          </cell>
          <cell r="J2342" t="str">
            <v>Walmart</v>
          </cell>
        </row>
        <row r="2343">
          <cell r="A2343" t="str">
            <v>24-10-2022</v>
          </cell>
          <cell r="B2343" t="str">
            <v>BCAA</v>
          </cell>
          <cell r="C2343" t="str">
            <v>Amino Acid</v>
          </cell>
          <cell r="D2343">
            <v>153</v>
          </cell>
          <cell r="E2343">
            <v>22.89</v>
          </cell>
          <cell r="F2343">
            <v>3502.17</v>
          </cell>
          <cell r="G2343">
            <v>0.02</v>
          </cell>
          <cell r="H2343">
            <v>1</v>
          </cell>
          <cell r="I2343" t="str">
            <v>USA</v>
          </cell>
          <cell r="J2343" t="str">
            <v>Amazon</v>
          </cell>
        </row>
        <row r="2344">
          <cell r="A2344" t="str">
            <v>24-10-2022</v>
          </cell>
          <cell r="B2344" t="str">
            <v>Creatine</v>
          </cell>
          <cell r="C2344" t="str">
            <v>Performance</v>
          </cell>
          <cell r="D2344">
            <v>166</v>
          </cell>
          <cell r="E2344">
            <v>38.090000000000003</v>
          </cell>
          <cell r="F2344">
            <v>6322.94</v>
          </cell>
          <cell r="G2344">
            <v>0.11</v>
          </cell>
          <cell r="H2344">
            <v>1</v>
          </cell>
          <cell r="I2344" t="str">
            <v>Canada</v>
          </cell>
          <cell r="J2344" t="str">
            <v>Walmart</v>
          </cell>
        </row>
        <row r="2345">
          <cell r="A2345" t="str">
            <v>24-10-2022</v>
          </cell>
          <cell r="B2345" t="str">
            <v>Zinc</v>
          </cell>
          <cell r="C2345" t="str">
            <v>Mineral</v>
          </cell>
          <cell r="D2345">
            <v>154</v>
          </cell>
          <cell r="E2345">
            <v>13.06</v>
          </cell>
          <cell r="F2345">
            <v>2011.24</v>
          </cell>
          <cell r="G2345">
            <v>0.12</v>
          </cell>
          <cell r="H2345">
            <v>3</v>
          </cell>
          <cell r="I2345" t="str">
            <v>USA</v>
          </cell>
          <cell r="J2345" t="str">
            <v>Walmart</v>
          </cell>
        </row>
        <row r="2346">
          <cell r="A2346" t="str">
            <v>24-10-2022</v>
          </cell>
          <cell r="B2346" t="str">
            <v>Collagen Peptides</v>
          </cell>
          <cell r="C2346" t="str">
            <v>Protein</v>
          </cell>
          <cell r="D2346">
            <v>131</v>
          </cell>
          <cell r="E2346">
            <v>17.68</v>
          </cell>
          <cell r="F2346">
            <v>2316.08</v>
          </cell>
          <cell r="G2346">
            <v>0.19</v>
          </cell>
          <cell r="H2346">
            <v>2</v>
          </cell>
          <cell r="I2346" t="str">
            <v>UK</v>
          </cell>
          <cell r="J2346" t="str">
            <v>Amazon</v>
          </cell>
        </row>
        <row r="2347">
          <cell r="A2347" t="str">
            <v>24-10-2022</v>
          </cell>
          <cell r="B2347" t="str">
            <v>Magnesium</v>
          </cell>
          <cell r="C2347" t="str">
            <v>Mineral</v>
          </cell>
          <cell r="D2347">
            <v>152</v>
          </cell>
          <cell r="E2347">
            <v>54.42</v>
          </cell>
          <cell r="F2347">
            <v>8271.84</v>
          </cell>
          <cell r="G2347">
            <v>0.19</v>
          </cell>
          <cell r="H2347">
            <v>3</v>
          </cell>
          <cell r="I2347" t="str">
            <v>Canada</v>
          </cell>
          <cell r="J2347" t="str">
            <v>Walmart</v>
          </cell>
        </row>
        <row r="2348">
          <cell r="A2348" t="str">
            <v>24-10-2022</v>
          </cell>
          <cell r="B2348" t="str">
            <v>Ashwagandha</v>
          </cell>
          <cell r="C2348" t="str">
            <v>Herbal</v>
          </cell>
          <cell r="D2348">
            <v>162</v>
          </cell>
          <cell r="E2348">
            <v>32.9</v>
          </cell>
          <cell r="F2348">
            <v>5329.8</v>
          </cell>
          <cell r="G2348">
            <v>0.22</v>
          </cell>
          <cell r="H2348">
            <v>4</v>
          </cell>
          <cell r="I2348" t="str">
            <v>USA</v>
          </cell>
          <cell r="J2348" t="str">
            <v>iHerb</v>
          </cell>
        </row>
        <row r="2349">
          <cell r="A2349" t="str">
            <v>24-10-2022</v>
          </cell>
          <cell r="B2349" t="str">
            <v>Melatonin</v>
          </cell>
          <cell r="C2349" t="str">
            <v>Sleep Aid</v>
          </cell>
          <cell r="D2349">
            <v>181</v>
          </cell>
          <cell r="E2349">
            <v>53.67</v>
          </cell>
          <cell r="F2349">
            <v>9714.27</v>
          </cell>
          <cell r="G2349">
            <v>0.1</v>
          </cell>
          <cell r="H2349">
            <v>0</v>
          </cell>
          <cell r="I2349" t="str">
            <v>USA</v>
          </cell>
          <cell r="J2349" t="str">
            <v>Walmart</v>
          </cell>
        </row>
        <row r="2350">
          <cell r="A2350" t="str">
            <v>24-10-2022</v>
          </cell>
          <cell r="B2350" t="str">
            <v>Biotin</v>
          </cell>
          <cell r="C2350" t="str">
            <v>Vitamin</v>
          </cell>
          <cell r="D2350">
            <v>129</v>
          </cell>
          <cell r="E2350">
            <v>22.49</v>
          </cell>
          <cell r="F2350">
            <v>2901.21</v>
          </cell>
          <cell r="G2350">
            <v>0.12</v>
          </cell>
          <cell r="H2350">
            <v>2</v>
          </cell>
          <cell r="I2350" t="str">
            <v>UK</v>
          </cell>
          <cell r="J2350" t="str">
            <v>Walmart</v>
          </cell>
        </row>
        <row r="2351">
          <cell r="A2351" t="str">
            <v>24-10-2022</v>
          </cell>
          <cell r="B2351" t="str">
            <v>Green Tea Extract</v>
          </cell>
          <cell r="C2351" t="str">
            <v>Fat Burner</v>
          </cell>
          <cell r="D2351">
            <v>151</v>
          </cell>
          <cell r="E2351">
            <v>36.97</v>
          </cell>
          <cell r="F2351">
            <v>5582.47</v>
          </cell>
          <cell r="G2351">
            <v>0.13</v>
          </cell>
          <cell r="H2351">
            <v>0</v>
          </cell>
          <cell r="I2351" t="str">
            <v>Canada</v>
          </cell>
          <cell r="J2351" t="str">
            <v>iHerb</v>
          </cell>
        </row>
        <row r="2352">
          <cell r="A2352" t="str">
            <v>24-10-2022</v>
          </cell>
          <cell r="B2352" t="str">
            <v>Iron Supplement</v>
          </cell>
          <cell r="C2352" t="str">
            <v>Mineral</v>
          </cell>
          <cell r="D2352">
            <v>131</v>
          </cell>
          <cell r="E2352">
            <v>20.25</v>
          </cell>
          <cell r="F2352">
            <v>2652.75</v>
          </cell>
          <cell r="G2352">
            <v>0.22</v>
          </cell>
          <cell r="H2352">
            <v>3</v>
          </cell>
          <cell r="I2352" t="str">
            <v>Canada</v>
          </cell>
          <cell r="J2352" t="str">
            <v>Amazon</v>
          </cell>
        </row>
        <row r="2353">
          <cell r="A2353" t="str">
            <v>24-10-2022</v>
          </cell>
          <cell r="B2353" t="str">
            <v>Electrolyte Powder</v>
          </cell>
          <cell r="C2353" t="str">
            <v>Hydration</v>
          </cell>
          <cell r="D2353">
            <v>141</v>
          </cell>
          <cell r="E2353">
            <v>18.77</v>
          </cell>
          <cell r="F2353">
            <v>2646.57</v>
          </cell>
          <cell r="G2353">
            <v>0.2</v>
          </cell>
          <cell r="H2353">
            <v>3</v>
          </cell>
          <cell r="I2353" t="str">
            <v>Canada</v>
          </cell>
          <cell r="J2353" t="str">
            <v>iHerb</v>
          </cell>
        </row>
        <row r="2354">
          <cell r="A2354" t="str">
            <v>31-10-2022</v>
          </cell>
          <cell r="B2354" t="str">
            <v>Whey Protein</v>
          </cell>
          <cell r="C2354" t="str">
            <v>Protein</v>
          </cell>
          <cell r="D2354">
            <v>165</v>
          </cell>
          <cell r="E2354">
            <v>47.93</v>
          </cell>
          <cell r="F2354">
            <v>7908.45</v>
          </cell>
          <cell r="G2354">
            <v>0.02</v>
          </cell>
          <cell r="H2354">
            <v>0</v>
          </cell>
          <cell r="I2354" t="str">
            <v>Canada</v>
          </cell>
          <cell r="J2354" t="str">
            <v>Amazon</v>
          </cell>
        </row>
        <row r="2355">
          <cell r="A2355" t="str">
            <v>31-10-2022</v>
          </cell>
          <cell r="B2355" t="str">
            <v>Vitamin C</v>
          </cell>
          <cell r="C2355" t="str">
            <v>Vitamin</v>
          </cell>
          <cell r="D2355">
            <v>160</v>
          </cell>
          <cell r="E2355">
            <v>59.78</v>
          </cell>
          <cell r="F2355">
            <v>9564.7999999999993</v>
          </cell>
          <cell r="G2355">
            <v>0.02</v>
          </cell>
          <cell r="H2355">
            <v>3</v>
          </cell>
          <cell r="I2355" t="str">
            <v>Canada</v>
          </cell>
          <cell r="J2355" t="str">
            <v>Walmart</v>
          </cell>
        </row>
        <row r="2356">
          <cell r="A2356" t="str">
            <v>31-10-2022</v>
          </cell>
          <cell r="B2356" t="str">
            <v>Fish Oil</v>
          </cell>
          <cell r="C2356" t="str">
            <v>Omega</v>
          </cell>
          <cell r="D2356">
            <v>149</v>
          </cell>
          <cell r="E2356">
            <v>50.86</v>
          </cell>
          <cell r="F2356">
            <v>7578.14</v>
          </cell>
          <cell r="G2356">
            <v>0.23</v>
          </cell>
          <cell r="H2356">
            <v>1</v>
          </cell>
          <cell r="I2356" t="str">
            <v>Canada</v>
          </cell>
          <cell r="J2356" t="str">
            <v>iHerb</v>
          </cell>
        </row>
        <row r="2357">
          <cell r="A2357" t="str">
            <v>31-10-2022</v>
          </cell>
          <cell r="B2357" t="str">
            <v>Multivitamin</v>
          </cell>
          <cell r="C2357" t="str">
            <v>Vitamin</v>
          </cell>
          <cell r="D2357">
            <v>177</v>
          </cell>
          <cell r="E2357">
            <v>14.1</v>
          </cell>
          <cell r="F2357">
            <v>2495.6999999999998</v>
          </cell>
          <cell r="G2357">
            <v>0.11</v>
          </cell>
          <cell r="H2357">
            <v>3</v>
          </cell>
          <cell r="I2357" t="str">
            <v>USA</v>
          </cell>
          <cell r="J2357" t="str">
            <v>Walmart</v>
          </cell>
        </row>
        <row r="2358">
          <cell r="A2358" t="str">
            <v>31-10-2022</v>
          </cell>
          <cell r="B2358" t="str">
            <v>Pre-Workout</v>
          </cell>
          <cell r="C2358" t="str">
            <v>Performance</v>
          </cell>
          <cell r="D2358">
            <v>149</v>
          </cell>
          <cell r="E2358">
            <v>46.48</v>
          </cell>
          <cell r="F2358">
            <v>6925.52</v>
          </cell>
          <cell r="G2358">
            <v>0.05</v>
          </cell>
          <cell r="H2358">
            <v>4</v>
          </cell>
          <cell r="I2358" t="str">
            <v>Canada</v>
          </cell>
          <cell r="J2358" t="str">
            <v>iHerb</v>
          </cell>
        </row>
        <row r="2359">
          <cell r="A2359" t="str">
            <v>31-10-2022</v>
          </cell>
          <cell r="B2359" t="str">
            <v>BCAA</v>
          </cell>
          <cell r="C2359" t="str">
            <v>Amino Acid</v>
          </cell>
          <cell r="D2359">
            <v>143</v>
          </cell>
          <cell r="E2359">
            <v>31.12</v>
          </cell>
          <cell r="F2359">
            <v>4450.16</v>
          </cell>
          <cell r="G2359">
            <v>0.04</v>
          </cell>
          <cell r="H2359">
            <v>1</v>
          </cell>
          <cell r="I2359" t="str">
            <v>USA</v>
          </cell>
          <cell r="J2359" t="str">
            <v>Walmart</v>
          </cell>
        </row>
        <row r="2360">
          <cell r="A2360" t="str">
            <v>31-10-2022</v>
          </cell>
          <cell r="B2360" t="str">
            <v>Creatine</v>
          </cell>
          <cell r="C2360" t="str">
            <v>Performance</v>
          </cell>
          <cell r="D2360">
            <v>138</v>
          </cell>
          <cell r="E2360">
            <v>19.350000000000001</v>
          </cell>
          <cell r="F2360">
            <v>2670.3</v>
          </cell>
          <cell r="G2360">
            <v>0.12</v>
          </cell>
          <cell r="H2360">
            <v>2</v>
          </cell>
          <cell r="I2360" t="str">
            <v>Canada</v>
          </cell>
          <cell r="J2360" t="str">
            <v>Amazon</v>
          </cell>
        </row>
        <row r="2361">
          <cell r="A2361" t="str">
            <v>31-10-2022</v>
          </cell>
          <cell r="B2361" t="str">
            <v>Zinc</v>
          </cell>
          <cell r="C2361" t="str">
            <v>Mineral</v>
          </cell>
          <cell r="D2361">
            <v>152</v>
          </cell>
          <cell r="E2361">
            <v>41.83</v>
          </cell>
          <cell r="F2361">
            <v>6358.16</v>
          </cell>
          <cell r="G2361">
            <v>0.17</v>
          </cell>
          <cell r="H2361">
            <v>2</v>
          </cell>
          <cell r="I2361" t="str">
            <v>UK</v>
          </cell>
          <cell r="J2361" t="str">
            <v>iHerb</v>
          </cell>
        </row>
        <row r="2362">
          <cell r="A2362" t="str">
            <v>31-10-2022</v>
          </cell>
          <cell r="B2362" t="str">
            <v>Collagen Peptides</v>
          </cell>
          <cell r="C2362" t="str">
            <v>Protein</v>
          </cell>
          <cell r="D2362">
            <v>148</v>
          </cell>
          <cell r="E2362">
            <v>13.49</v>
          </cell>
          <cell r="F2362">
            <v>1996.52</v>
          </cell>
          <cell r="G2362">
            <v>0.21</v>
          </cell>
          <cell r="H2362">
            <v>2</v>
          </cell>
          <cell r="I2362" t="str">
            <v>USA</v>
          </cell>
          <cell r="J2362" t="str">
            <v>Walmart</v>
          </cell>
        </row>
        <row r="2363">
          <cell r="A2363" t="str">
            <v>31-10-2022</v>
          </cell>
          <cell r="B2363" t="str">
            <v>Magnesium</v>
          </cell>
          <cell r="C2363" t="str">
            <v>Mineral</v>
          </cell>
          <cell r="D2363">
            <v>140</v>
          </cell>
          <cell r="E2363">
            <v>10.63</v>
          </cell>
          <cell r="F2363">
            <v>1488.2</v>
          </cell>
          <cell r="G2363">
            <v>0.05</v>
          </cell>
          <cell r="H2363">
            <v>0</v>
          </cell>
          <cell r="I2363" t="str">
            <v>Canada</v>
          </cell>
          <cell r="J2363" t="str">
            <v>Amazon</v>
          </cell>
        </row>
        <row r="2364">
          <cell r="A2364" t="str">
            <v>31-10-2022</v>
          </cell>
          <cell r="B2364" t="str">
            <v>Ashwagandha</v>
          </cell>
          <cell r="C2364" t="str">
            <v>Herbal</v>
          </cell>
          <cell r="D2364">
            <v>161</v>
          </cell>
          <cell r="E2364">
            <v>50.68</v>
          </cell>
          <cell r="F2364">
            <v>8159.48</v>
          </cell>
          <cell r="G2364">
            <v>0</v>
          </cell>
          <cell r="H2364">
            <v>1</v>
          </cell>
          <cell r="I2364" t="str">
            <v>USA</v>
          </cell>
          <cell r="J2364" t="str">
            <v>Walmart</v>
          </cell>
        </row>
        <row r="2365">
          <cell r="A2365" t="str">
            <v>31-10-2022</v>
          </cell>
          <cell r="B2365" t="str">
            <v>Melatonin</v>
          </cell>
          <cell r="C2365" t="str">
            <v>Sleep Aid</v>
          </cell>
          <cell r="D2365">
            <v>157</v>
          </cell>
          <cell r="E2365">
            <v>42.49</v>
          </cell>
          <cell r="F2365">
            <v>6670.93</v>
          </cell>
          <cell r="G2365">
            <v>0.02</v>
          </cell>
          <cell r="H2365">
            <v>0</v>
          </cell>
          <cell r="I2365" t="str">
            <v>Canada</v>
          </cell>
          <cell r="J2365" t="str">
            <v>Walmart</v>
          </cell>
        </row>
        <row r="2366">
          <cell r="A2366" t="str">
            <v>31-10-2022</v>
          </cell>
          <cell r="B2366" t="str">
            <v>Biotin</v>
          </cell>
          <cell r="C2366" t="str">
            <v>Vitamin</v>
          </cell>
          <cell r="D2366">
            <v>149</v>
          </cell>
          <cell r="E2366">
            <v>17.29</v>
          </cell>
          <cell r="F2366">
            <v>2576.21</v>
          </cell>
          <cell r="G2366">
            <v>0.05</v>
          </cell>
          <cell r="H2366">
            <v>0</v>
          </cell>
          <cell r="I2366" t="str">
            <v>USA</v>
          </cell>
          <cell r="J2366" t="str">
            <v>Amazon</v>
          </cell>
        </row>
        <row r="2367">
          <cell r="A2367" t="str">
            <v>31-10-2022</v>
          </cell>
          <cell r="B2367" t="str">
            <v>Green Tea Extract</v>
          </cell>
          <cell r="C2367" t="str">
            <v>Fat Burner</v>
          </cell>
          <cell r="D2367">
            <v>140</v>
          </cell>
          <cell r="E2367">
            <v>29.76</v>
          </cell>
          <cell r="F2367">
            <v>4166.3999999999996</v>
          </cell>
          <cell r="G2367">
            <v>0.16</v>
          </cell>
          <cell r="H2367">
            <v>1</v>
          </cell>
          <cell r="I2367" t="str">
            <v>Canada</v>
          </cell>
          <cell r="J2367" t="str">
            <v>Amazon</v>
          </cell>
        </row>
        <row r="2368">
          <cell r="A2368" t="str">
            <v>31-10-2022</v>
          </cell>
          <cell r="B2368" t="str">
            <v>Iron Supplement</v>
          </cell>
          <cell r="C2368" t="str">
            <v>Mineral</v>
          </cell>
          <cell r="D2368">
            <v>161</v>
          </cell>
          <cell r="E2368">
            <v>16.329999999999998</v>
          </cell>
          <cell r="F2368">
            <v>2629.13</v>
          </cell>
          <cell r="G2368">
            <v>0.01</v>
          </cell>
          <cell r="H2368">
            <v>3</v>
          </cell>
          <cell r="I2368" t="str">
            <v>Canada</v>
          </cell>
          <cell r="J2368" t="str">
            <v>Amazon</v>
          </cell>
        </row>
        <row r="2369">
          <cell r="A2369" t="str">
            <v>31-10-2022</v>
          </cell>
          <cell r="B2369" t="str">
            <v>Electrolyte Powder</v>
          </cell>
          <cell r="C2369" t="str">
            <v>Hydration</v>
          </cell>
          <cell r="D2369">
            <v>129</v>
          </cell>
          <cell r="E2369">
            <v>11.11</v>
          </cell>
          <cell r="F2369">
            <v>1433.19</v>
          </cell>
          <cell r="G2369">
            <v>0.16</v>
          </cell>
          <cell r="H2369">
            <v>1</v>
          </cell>
          <cell r="I2369" t="str">
            <v>USA</v>
          </cell>
          <cell r="J2369" t="str">
            <v>Walmart</v>
          </cell>
        </row>
        <row r="2370">
          <cell r="A2370" t="str">
            <v>07-11-2022</v>
          </cell>
          <cell r="B2370" t="str">
            <v>Whey Protein</v>
          </cell>
          <cell r="C2370" t="str">
            <v>Protein</v>
          </cell>
          <cell r="D2370">
            <v>147</v>
          </cell>
          <cell r="E2370">
            <v>24.84</v>
          </cell>
          <cell r="F2370">
            <v>3651.48</v>
          </cell>
          <cell r="G2370">
            <v>0.04</v>
          </cell>
          <cell r="H2370">
            <v>0</v>
          </cell>
          <cell r="I2370" t="str">
            <v>Canada</v>
          </cell>
          <cell r="J2370" t="str">
            <v>iHerb</v>
          </cell>
        </row>
        <row r="2371">
          <cell r="A2371" t="str">
            <v>07-11-2022</v>
          </cell>
          <cell r="B2371" t="str">
            <v>Vitamin C</v>
          </cell>
          <cell r="C2371" t="str">
            <v>Vitamin</v>
          </cell>
          <cell r="D2371">
            <v>134</v>
          </cell>
          <cell r="E2371">
            <v>22.03</v>
          </cell>
          <cell r="F2371">
            <v>2952.02</v>
          </cell>
          <cell r="G2371">
            <v>0.08</v>
          </cell>
          <cell r="H2371">
            <v>4</v>
          </cell>
          <cell r="I2371" t="str">
            <v>Canada</v>
          </cell>
          <cell r="J2371" t="str">
            <v>Walmart</v>
          </cell>
        </row>
        <row r="2372">
          <cell r="A2372" t="str">
            <v>07-11-2022</v>
          </cell>
          <cell r="B2372" t="str">
            <v>Fish Oil</v>
          </cell>
          <cell r="C2372" t="str">
            <v>Omega</v>
          </cell>
          <cell r="D2372">
            <v>145</v>
          </cell>
          <cell r="E2372">
            <v>26.23</v>
          </cell>
          <cell r="F2372">
            <v>3803.35</v>
          </cell>
          <cell r="G2372">
            <v>0.05</v>
          </cell>
          <cell r="H2372">
            <v>0</v>
          </cell>
          <cell r="I2372" t="str">
            <v>Canada</v>
          </cell>
          <cell r="J2372" t="str">
            <v>Amazon</v>
          </cell>
        </row>
        <row r="2373">
          <cell r="A2373" t="str">
            <v>07-11-2022</v>
          </cell>
          <cell r="B2373" t="str">
            <v>Multivitamin</v>
          </cell>
          <cell r="C2373" t="str">
            <v>Vitamin</v>
          </cell>
          <cell r="D2373">
            <v>121</v>
          </cell>
          <cell r="E2373">
            <v>31.18</v>
          </cell>
          <cell r="F2373">
            <v>3772.78</v>
          </cell>
          <cell r="G2373">
            <v>0.05</v>
          </cell>
          <cell r="H2373">
            <v>1</v>
          </cell>
          <cell r="I2373" t="str">
            <v>UK</v>
          </cell>
          <cell r="J2373" t="str">
            <v>Walmart</v>
          </cell>
        </row>
        <row r="2374">
          <cell r="A2374" t="str">
            <v>07-11-2022</v>
          </cell>
          <cell r="B2374" t="str">
            <v>Pre-Workout</v>
          </cell>
          <cell r="C2374" t="str">
            <v>Performance</v>
          </cell>
          <cell r="D2374">
            <v>134</v>
          </cell>
          <cell r="E2374">
            <v>23.58</v>
          </cell>
          <cell r="F2374">
            <v>3159.72</v>
          </cell>
          <cell r="G2374">
            <v>0.09</v>
          </cell>
          <cell r="H2374">
            <v>0</v>
          </cell>
          <cell r="I2374" t="str">
            <v>Canada</v>
          </cell>
          <cell r="J2374" t="str">
            <v>Amazon</v>
          </cell>
        </row>
        <row r="2375">
          <cell r="A2375" t="str">
            <v>07-11-2022</v>
          </cell>
          <cell r="B2375" t="str">
            <v>BCAA</v>
          </cell>
          <cell r="C2375" t="str">
            <v>Amino Acid</v>
          </cell>
          <cell r="D2375">
            <v>147</v>
          </cell>
          <cell r="E2375">
            <v>26.44</v>
          </cell>
          <cell r="F2375">
            <v>3886.68</v>
          </cell>
          <cell r="G2375">
            <v>0.22</v>
          </cell>
          <cell r="H2375">
            <v>3</v>
          </cell>
          <cell r="I2375" t="str">
            <v>Canada</v>
          </cell>
          <cell r="J2375" t="str">
            <v>iHerb</v>
          </cell>
        </row>
        <row r="2376">
          <cell r="A2376" t="str">
            <v>07-11-2022</v>
          </cell>
          <cell r="B2376" t="str">
            <v>Creatine</v>
          </cell>
          <cell r="C2376" t="str">
            <v>Performance</v>
          </cell>
          <cell r="D2376">
            <v>156</v>
          </cell>
          <cell r="E2376">
            <v>13.78</v>
          </cell>
          <cell r="F2376">
            <v>2149.6799999999998</v>
          </cell>
          <cell r="G2376">
            <v>0.12</v>
          </cell>
          <cell r="H2376">
            <v>5</v>
          </cell>
          <cell r="I2376" t="str">
            <v>UK</v>
          </cell>
          <cell r="J2376" t="str">
            <v>Amazon</v>
          </cell>
        </row>
        <row r="2377">
          <cell r="A2377" t="str">
            <v>07-11-2022</v>
          </cell>
          <cell r="B2377" t="str">
            <v>Zinc</v>
          </cell>
          <cell r="C2377" t="str">
            <v>Mineral</v>
          </cell>
          <cell r="D2377">
            <v>158</v>
          </cell>
          <cell r="E2377">
            <v>36.159999999999997</v>
          </cell>
          <cell r="F2377">
            <v>5713.28</v>
          </cell>
          <cell r="G2377">
            <v>0.23</v>
          </cell>
          <cell r="H2377">
            <v>3</v>
          </cell>
          <cell r="I2377" t="str">
            <v>USA</v>
          </cell>
          <cell r="J2377" t="str">
            <v>Amazon</v>
          </cell>
        </row>
        <row r="2378">
          <cell r="A2378" t="str">
            <v>07-11-2022</v>
          </cell>
          <cell r="B2378" t="str">
            <v>Collagen Peptides</v>
          </cell>
          <cell r="C2378" t="str">
            <v>Protein</v>
          </cell>
          <cell r="D2378">
            <v>164</v>
          </cell>
          <cell r="E2378">
            <v>25.23</v>
          </cell>
          <cell r="F2378">
            <v>4137.72</v>
          </cell>
          <cell r="G2378">
            <v>0.01</v>
          </cell>
          <cell r="H2378">
            <v>4</v>
          </cell>
          <cell r="I2378" t="str">
            <v>UK</v>
          </cell>
          <cell r="J2378" t="str">
            <v>iHerb</v>
          </cell>
        </row>
        <row r="2379">
          <cell r="A2379" t="str">
            <v>07-11-2022</v>
          </cell>
          <cell r="B2379" t="str">
            <v>Magnesium</v>
          </cell>
          <cell r="C2379" t="str">
            <v>Mineral</v>
          </cell>
          <cell r="D2379">
            <v>153</v>
          </cell>
          <cell r="E2379">
            <v>17.46</v>
          </cell>
          <cell r="F2379">
            <v>2671.38</v>
          </cell>
          <cell r="G2379">
            <v>0.21</v>
          </cell>
          <cell r="H2379">
            <v>3</v>
          </cell>
          <cell r="I2379" t="str">
            <v>UK</v>
          </cell>
          <cell r="J2379" t="str">
            <v>iHerb</v>
          </cell>
        </row>
        <row r="2380">
          <cell r="A2380" t="str">
            <v>07-11-2022</v>
          </cell>
          <cell r="B2380" t="str">
            <v>Ashwagandha</v>
          </cell>
          <cell r="C2380" t="str">
            <v>Herbal</v>
          </cell>
          <cell r="D2380">
            <v>162</v>
          </cell>
          <cell r="E2380">
            <v>28.3</v>
          </cell>
          <cell r="F2380">
            <v>4584.6000000000004</v>
          </cell>
          <cell r="G2380">
            <v>0.08</v>
          </cell>
          <cell r="H2380">
            <v>0</v>
          </cell>
          <cell r="I2380" t="str">
            <v>Canada</v>
          </cell>
          <cell r="J2380" t="str">
            <v>iHerb</v>
          </cell>
        </row>
        <row r="2381">
          <cell r="A2381" t="str">
            <v>07-11-2022</v>
          </cell>
          <cell r="B2381" t="str">
            <v>Melatonin</v>
          </cell>
          <cell r="C2381" t="str">
            <v>Sleep Aid</v>
          </cell>
          <cell r="D2381">
            <v>164</v>
          </cell>
          <cell r="E2381">
            <v>41.54</v>
          </cell>
          <cell r="F2381">
            <v>6812.56</v>
          </cell>
          <cell r="G2381">
            <v>0.13</v>
          </cell>
          <cell r="H2381">
            <v>2</v>
          </cell>
          <cell r="I2381" t="str">
            <v>Canada</v>
          </cell>
          <cell r="J2381" t="str">
            <v>Walmart</v>
          </cell>
        </row>
        <row r="2382">
          <cell r="A2382" t="str">
            <v>07-11-2022</v>
          </cell>
          <cell r="B2382" t="str">
            <v>Biotin</v>
          </cell>
          <cell r="C2382" t="str">
            <v>Vitamin</v>
          </cell>
          <cell r="D2382">
            <v>172</v>
          </cell>
          <cell r="E2382">
            <v>48.67</v>
          </cell>
          <cell r="F2382">
            <v>8371.24</v>
          </cell>
          <cell r="G2382">
            <v>0.01</v>
          </cell>
          <cell r="H2382">
            <v>0</v>
          </cell>
          <cell r="I2382" t="str">
            <v>UK</v>
          </cell>
          <cell r="J2382" t="str">
            <v>iHerb</v>
          </cell>
        </row>
        <row r="2383">
          <cell r="A2383" t="str">
            <v>07-11-2022</v>
          </cell>
          <cell r="B2383" t="str">
            <v>Green Tea Extract</v>
          </cell>
          <cell r="C2383" t="str">
            <v>Fat Burner</v>
          </cell>
          <cell r="D2383">
            <v>147</v>
          </cell>
          <cell r="E2383">
            <v>49.46</v>
          </cell>
          <cell r="F2383">
            <v>7270.62</v>
          </cell>
          <cell r="G2383">
            <v>0.13</v>
          </cell>
          <cell r="H2383">
            <v>0</v>
          </cell>
          <cell r="I2383" t="str">
            <v>USA</v>
          </cell>
          <cell r="J2383" t="str">
            <v>Walmart</v>
          </cell>
        </row>
        <row r="2384">
          <cell r="A2384" t="str">
            <v>07-11-2022</v>
          </cell>
          <cell r="B2384" t="str">
            <v>Iron Supplement</v>
          </cell>
          <cell r="C2384" t="str">
            <v>Mineral</v>
          </cell>
          <cell r="D2384">
            <v>162</v>
          </cell>
          <cell r="E2384">
            <v>37.729999999999997</v>
          </cell>
          <cell r="F2384">
            <v>6112.26</v>
          </cell>
          <cell r="G2384">
            <v>0.2</v>
          </cell>
          <cell r="H2384">
            <v>2</v>
          </cell>
          <cell r="I2384" t="str">
            <v>USA</v>
          </cell>
          <cell r="J2384" t="str">
            <v>iHerb</v>
          </cell>
        </row>
        <row r="2385">
          <cell r="A2385" t="str">
            <v>07-11-2022</v>
          </cell>
          <cell r="B2385" t="str">
            <v>Electrolyte Powder</v>
          </cell>
          <cell r="C2385" t="str">
            <v>Hydration</v>
          </cell>
          <cell r="D2385">
            <v>139</v>
          </cell>
          <cell r="E2385">
            <v>41.41</v>
          </cell>
          <cell r="F2385">
            <v>5755.99</v>
          </cell>
          <cell r="G2385">
            <v>0.18</v>
          </cell>
          <cell r="H2385">
            <v>2</v>
          </cell>
          <cell r="I2385" t="str">
            <v>UK</v>
          </cell>
          <cell r="J2385" t="str">
            <v>Walmart</v>
          </cell>
        </row>
        <row r="2386">
          <cell r="A2386" t="str">
            <v>14-11-2022</v>
          </cell>
          <cell r="B2386" t="str">
            <v>Whey Protein</v>
          </cell>
          <cell r="C2386" t="str">
            <v>Protein</v>
          </cell>
          <cell r="D2386">
            <v>187</v>
          </cell>
          <cell r="E2386">
            <v>57.55</v>
          </cell>
          <cell r="F2386">
            <v>10761.85</v>
          </cell>
          <cell r="G2386">
            <v>0.13</v>
          </cell>
          <cell r="H2386">
            <v>2</v>
          </cell>
          <cell r="I2386" t="str">
            <v>USA</v>
          </cell>
          <cell r="J2386" t="str">
            <v>Amazon</v>
          </cell>
        </row>
        <row r="2387">
          <cell r="A2387" t="str">
            <v>14-11-2022</v>
          </cell>
          <cell r="B2387" t="str">
            <v>Vitamin C</v>
          </cell>
          <cell r="C2387" t="str">
            <v>Vitamin</v>
          </cell>
          <cell r="D2387">
            <v>131</v>
          </cell>
          <cell r="E2387">
            <v>48.47</v>
          </cell>
          <cell r="F2387">
            <v>6349.57</v>
          </cell>
          <cell r="G2387">
            <v>0.18</v>
          </cell>
          <cell r="H2387">
            <v>0</v>
          </cell>
          <cell r="I2387" t="str">
            <v>UK</v>
          </cell>
          <cell r="J2387" t="str">
            <v>Walmart</v>
          </cell>
        </row>
        <row r="2388">
          <cell r="A2388" t="str">
            <v>14-11-2022</v>
          </cell>
          <cell r="B2388" t="str">
            <v>Fish Oil</v>
          </cell>
          <cell r="C2388" t="str">
            <v>Omega</v>
          </cell>
          <cell r="D2388">
            <v>152</v>
          </cell>
          <cell r="E2388">
            <v>59.79</v>
          </cell>
          <cell r="F2388">
            <v>9088.08</v>
          </cell>
          <cell r="G2388">
            <v>0.22</v>
          </cell>
          <cell r="H2388">
            <v>0</v>
          </cell>
          <cell r="I2388" t="str">
            <v>Canada</v>
          </cell>
          <cell r="J2388" t="str">
            <v>Walmart</v>
          </cell>
        </row>
        <row r="2389">
          <cell r="A2389" t="str">
            <v>14-11-2022</v>
          </cell>
          <cell r="B2389" t="str">
            <v>Multivitamin</v>
          </cell>
          <cell r="C2389" t="str">
            <v>Vitamin</v>
          </cell>
          <cell r="D2389">
            <v>145</v>
          </cell>
          <cell r="E2389">
            <v>32.11</v>
          </cell>
          <cell r="F2389">
            <v>4655.95</v>
          </cell>
          <cell r="G2389">
            <v>0.16</v>
          </cell>
          <cell r="H2389">
            <v>1</v>
          </cell>
          <cell r="I2389" t="str">
            <v>Canada</v>
          </cell>
          <cell r="J2389" t="str">
            <v>Walmart</v>
          </cell>
        </row>
        <row r="2390">
          <cell r="A2390" t="str">
            <v>14-11-2022</v>
          </cell>
          <cell r="B2390" t="str">
            <v>Pre-Workout</v>
          </cell>
          <cell r="C2390" t="str">
            <v>Performance</v>
          </cell>
          <cell r="D2390">
            <v>143</v>
          </cell>
          <cell r="E2390">
            <v>17.28</v>
          </cell>
          <cell r="F2390">
            <v>2471.04</v>
          </cell>
          <cell r="G2390">
            <v>0.21</v>
          </cell>
          <cell r="H2390">
            <v>1</v>
          </cell>
          <cell r="I2390" t="str">
            <v>UK</v>
          </cell>
          <cell r="J2390" t="str">
            <v>Amazon</v>
          </cell>
        </row>
        <row r="2391">
          <cell r="A2391" t="str">
            <v>14-11-2022</v>
          </cell>
          <cell r="B2391" t="str">
            <v>BCAA</v>
          </cell>
          <cell r="C2391" t="str">
            <v>Amino Acid</v>
          </cell>
          <cell r="D2391">
            <v>146</v>
          </cell>
          <cell r="E2391">
            <v>34.83</v>
          </cell>
          <cell r="F2391">
            <v>5085.18</v>
          </cell>
          <cell r="G2391">
            <v>0.14000000000000001</v>
          </cell>
          <cell r="H2391">
            <v>4</v>
          </cell>
          <cell r="I2391" t="str">
            <v>USA</v>
          </cell>
          <cell r="J2391" t="str">
            <v>Amazon</v>
          </cell>
        </row>
        <row r="2392">
          <cell r="A2392" t="str">
            <v>14-11-2022</v>
          </cell>
          <cell r="B2392" t="str">
            <v>Creatine</v>
          </cell>
          <cell r="C2392" t="str">
            <v>Performance</v>
          </cell>
          <cell r="D2392">
            <v>167</v>
          </cell>
          <cell r="E2392">
            <v>33.659999999999997</v>
          </cell>
          <cell r="F2392">
            <v>5621.22</v>
          </cell>
          <cell r="G2392">
            <v>0.24</v>
          </cell>
          <cell r="H2392">
            <v>1</v>
          </cell>
          <cell r="I2392" t="str">
            <v>USA</v>
          </cell>
          <cell r="J2392" t="str">
            <v>iHerb</v>
          </cell>
        </row>
        <row r="2393">
          <cell r="A2393" t="str">
            <v>14-11-2022</v>
          </cell>
          <cell r="B2393" t="str">
            <v>Zinc</v>
          </cell>
          <cell r="C2393" t="str">
            <v>Mineral</v>
          </cell>
          <cell r="D2393">
            <v>145</v>
          </cell>
          <cell r="E2393">
            <v>15.72</v>
          </cell>
          <cell r="F2393">
            <v>2279.4</v>
          </cell>
          <cell r="G2393">
            <v>0.19</v>
          </cell>
          <cell r="H2393">
            <v>2</v>
          </cell>
          <cell r="I2393" t="str">
            <v>Canada</v>
          </cell>
          <cell r="J2393" t="str">
            <v>iHerb</v>
          </cell>
        </row>
        <row r="2394">
          <cell r="A2394" t="str">
            <v>14-11-2022</v>
          </cell>
          <cell r="B2394" t="str">
            <v>Collagen Peptides</v>
          </cell>
          <cell r="C2394" t="str">
            <v>Protein</v>
          </cell>
          <cell r="D2394">
            <v>140</v>
          </cell>
          <cell r="E2394">
            <v>59.27</v>
          </cell>
          <cell r="F2394">
            <v>8297.7999999999993</v>
          </cell>
          <cell r="G2394">
            <v>0.09</v>
          </cell>
          <cell r="H2394">
            <v>1</v>
          </cell>
          <cell r="I2394" t="str">
            <v>USA</v>
          </cell>
          <cell r="J2394" t="str">
            <v>Amazon</v>
          </cell>
        </row>
        <row r="2395">
          <cell r="A2395" t="str">
            <v>14-11-2022</v>
          </cell>
          <cell r="B2395" t="str">
            <v>Magnesium</v>
          </cell>
          <cell r="C2395" t="str">
            <v>Mineral</v>
          </cell>
          <cell r="D2395">
            <v>169</v>
          </cell>
          <cell r="E2395">
            <v>20.74</v>
          </cell>
          <cell r="F2395">
            <v>3505.06</v>
          </cell>
          <cell r="G2395">
            <v>0.22</v>
          </cell>
          <cell r="H2395">
            <v>6</v>
          </cell>
          <cell r="I2395" t="str">
            <v>Canada</v>
          </cell>
          <cell r="J2395" t="str">
            <v>Walmart</v>
          </cell>
        </row>
        <row r="2396">
          <cell r="A2396" t="str">
            <v>14-11-2022</v>
          </cell>
          <cell r="B2396" t="str">
            <v>Ashwagandha</v>
          </cell>
          <cell r="C2396" t="str">
            <v>Herbal</v>
          </cell>
          <cell r="D2396">
            <v>130</v>
          </cell>
          <cell r="E2396">
            <v>29.53</v>
          </cell>
          <cell r="F2396">
            <v>3838.9</v>
          </cell>
          <cell r="G2396">
            <v>0.13</v>
          </cell>
          <cell r="H2396">
            <v>3</v>
          </cell>
          <cell r="I2396" t="str">
            <v>Canada</v>
          </cell>
          <cell r="J2396" t="str">
            <v>iHerb</v>
          </cell>
        </row>
        <row r="2397">
          <cell r="A2397" t="str">
            <v>14-11-2022</v>
          </cell>
          <cell r="B2397" t="str">
            <v>Melatonin</v>
          </cell>
          <cell r="C2397" t="str">
            <v>Sleep Aid</v>
          </cell>
          <cell r="D2397">
            <v>139</v>
          </cell>
          <cell r="E2397">
            <v>38.090000000000003</v>
          </cell>
          <cell r="F2397">
            <v>5294.51</v>
          </cell>
          <cell r="G2397">
            <v>0</v>
          </cell>
          <cell r="H2397">
            <v>1</v>
          </cell>
          <cell r="I2397" t="str">
            <v>USA</v>
          </cell>
          <cell r="J2397" t="str">
            <v>iHerb</v>
          </cell>
        </row>
        <row r="2398">
          <cell r="A2398" t="str">
            <v>14-11-2022</v>
          </cell>
          <cell r="B2398" t="str">
            <v>Biotin</v>
          </cell>
          <cell r="C2398" t="str">
            <v>Vitamin</v>
          </cell>
          <cell r="D2398">
            <v>128</v>
          </cell>
          <cell r="E2398">
            <v>12</v>
          </cell>
          <cell r="F2398">
            <v>1536</v>
          </cell>
          <cell r="G2398">
            <v>0.21</v>
          </cell>
          <cell r="H2398">
            <v>0</v>
          </cell>
          <cell r="I2398" t="str">
            <v>Canada</v>
          </cell>
          <cell r="J2398" t="str">
            <v>Amazon</v>
          </cell>
        </row>
        <row r="2399">
          <cell r="A2399" t="str">
            <v>14-11-2022</v>
          </cell>
          <cell r="B2399" t="str">
            <v>Green Tea Extract</v>
          </cell>
          <cell r="C2399" t="str">
            <v>Fat Burner</v>
          </cell>
          <cell r="D2399">
            <v>144</v>
          </cell>
          <cell r="E2399">
            <v>47.31</v>
          </cell>
          <cell r="F2399">
            <v>6812.64</v>
          </cell>
          <cell r="G2399">
            <v>0.05</v>
          </cell>
          <cell r="H2399">
            <v>0</v>
          </cell>
          <cell r="I2399" t="str">
            <v>Canada</v>
          </cell>
          <cell r="J2399" t="str">
            <v>Walmart</v>
          </cell>
        </row>
        <row r="2400">
          <cell r="A2400" t="str">
            <v>14-11-2022</v>
          </cell>
          <cell r="B2400" t="str">
            <v>Iron Supplement</v>
          </cell>
          <cell r="C2400" t="str">
            <v>Mineral</v>
          </cell>
          <cell r="D2400">
            <v>158</v>
          </cell>
          <cell r="E2400">
            <v>48.3</v>
          </cell>
          <cell r="F2400">
            <v>7631.4</v>
          </cell>
          <cell r="G2400">
            <v>0.11</v>
          </cell>
          <cell r="H2400">
            <v>1</v>
          </cell>
          <cell r="I2400" t="str">
            <v>USA</v>
          </cell>
          <cell r="J2400" t="str">
            <v>iHerb</v>
          </cell>
        </row>
        <row r="2401">
          <cell r="A2401" t="str">
            <v>14-11-2022</v>
          </cell>
          <cell r="B2401" t="str">
            <v>Electrolyte Powder</v>
          </cell>
          <cell r="C2401" t="str">
            <v>Hydration</v>
          </cell>
          <cell r="D2401">
            <v>148</v>
          </cell>
          <cell r="E2401">
            <v>55.11</v>
          </cell>
          <cell r="F2401">
            <v>8156.28</v>
          </cell>
          <cell r="G2401">
            <v>0.01</v>
          </cell>
          <cell r="H2401">
            <v>1</v>
          </cell>
          <cell r="I2401" t="str">
            <v>UK</v>
          </cell>
          <cell r="J2401" t="str">
            <v>iHerb</v>
          </cell>
        </row>
        <row r="2402">
          <cell r="A2402" t="str">
            <v>21-11-2022</v>
          </cell>
          <cell r="B2402" t="str">
            <v>Whey Protein</v>
          </cell>
          <cell r="C2402" t="str">
            <v>Protein</v>
          </cell>
          <cell r="D2402">
            <v>167</v>
          </cell>
          <cell r="E2402">
            <v>56.62</v>
          </cell>
          <cell r="F2402">
            <v>9455.5400000000009</v>
          </cell>
          <cell r="G2402">
            <v>0.16</v>
          </cell>
          <cell r="H2402">
            <v>4</v>
          </cell>
          <cell r="I2402" t="str">
            <v>USA</v>
          </cell>
          <cell r="J2402" t="str">
            <v>Walmart</v>
          </cell>
        </row>
        <row r="2403">
          <cell r="A2403" t="str">
            <v>21-11-2022</v>
          </cell>
          <cell r="B2403" t="str">
            <v>Vitamin C</v>
          </cell>
          <cell r="C2403" t="str">
            <v>Vitamin</v>
          </cell>
          <cell r="D2403">
            <v>160</v>
          </cell>
          <cell r="E2403">
            <v>21.56</v>
          </cell>
          <cell r="F2403">
            <v>3449.6</v>
          </cell>
          <cell r="G2403">
            <v>0.1</v>
          </cell>
          <cell r="H2403">
            <v>0</v>
          </cell>
          <cell r="I2403" t="str">
            <v>Canada</v>
          </cell>
          <cell r="J2403" t="str">
            <v>iHerb</v>
          </cell>
        </row>
        <row r="2404">
          <cell r="A2404" t="str">
            <v>21-11-2022</v>
          </cell>
          <cell r="B2404" t="str">
            <v>Fish Oil</v>
          </cell>
          <cell r="C2404" t="str">
            <v>Omega</v>
          </cell>
          <cell r="D2404">
            <v>150</v>
          </cell>
          <cell r="E2404">
            <v>57.81</v>
          </cell>
          <cell r="F2404">
            <v>8671.5</v>
          </cell>
          <cell r="G2404">
            <v>0.11</v>
          </cell>
          <cell r="H2404">
            <v>2</v>
          </cell>
          <cell r="I2404" t="str">
            <v>Canada</v>
          </cell>
          <cell r="J2404" t="str">
            <v>iHerb</v>
          </cell>
        </row>
        <row r="2405">
          <cell r="A2405" t="str">
            <v>21-11-2022</v>
          </cell>
          <cell r="B2405" t="str">
            <v>Multivitamin</v>
          </cell>
          <cell r="C2405" t="str">
            <v>Vitamin</v>
          </cell>
          <cell r="D2405">
            <v>175</v>
          </cell>
          <cell r="E2405">
            <v>20.43</v>
          </cell>
          <cell r="F2405">
            <v>3575.25</v>
          </cell>
          <cell r="G2405">
            <v>0.12</v>
          </cell>
          <cell r="H2405">
            <v>1</v>
          </cell>
          <cell r="I2405" t="str">
            <v>UK</v>
          </cell>
          <cell r="J2405" t="str">
            <v>Amazon</v>
          </cell>
        </row>
        <row r="2406">
          <cell r="A2406" t="str">
            <v>21-11-2022</v>
          </cell>
          <cell r="B2406" t="str">
            <v>Pre-Workout</v>
          </cell>
          <cell r="C2406" t="str">
            <v>Performance</v>
          </cell>
          <cell r="D2406">
            <v>146</v>
          </cell>
          <cell r="E2406">
            <v>51.32</v>
          </cell>
          <cell r="F2406">
            <v>7492.72</v>
          </cell>
          <cell r="G2406">
            <v>0.11</v>
          </cell>
          <cell r="H2406">
            <v>1</v>
          </cell>
          <cell r="I2406" t="str">
            <v>UK</v>
          </cell>
          <cell r="J2406" t="str">
            <v>Walmart</v>
          </cell>
        </row>
        <row r="2407">
          <cell r="A2407" t="str">
            <v>21-11-2022</v>
          </cell>
          <cell r="B2407" t="str">
            <v>BCAA</v>
          </cell>
          <cell r="C2407" t="str">
            <v>Amino Acid</v>
          </cell>
          <cell r="D2407">
            <v>150</v>
          </cell>
          <cell r="E2407">
            <v>17.559999999999999</v>
          </cell>
          <cell r="F2407">
            <v>2634</v>
          </cell>
          <cell r="G2407">
            <v>0.15</v>
          </cell>
          <cell r="H2407">
            <v>1</v>
          </cell>
          <cell r="I2407" t="str">
            <v>UK</v>
          </cell>
          <cell r="J2407" t="str">
            <v>Amazon</v>
          </cell>
        </row>
        <row r="2408">
          <cell r="A2408" t="str">
            <v>21-11-2022</v>
          </cell>
          <cell r="B2408" t="str">
            <v>Creatine</v>
          </cell>
          <cell r="C2408" t="str">
            <v>Performance</v>
          </cell>
          <cell r="D2408">
            <v>166</v>
          </cell>
          <cell r="E2408">
            <v>26.45</v>
          </cell>
          <cell r="F2408">
            <v>4390.7</v>
          </cell>
          <cell r="G2408">
            <v>0.15</v>
          </cell>
          <cell r="H2408">
            <v>0</v>
          </cell>
          <cell r="I2408" t="str">
            <v>Canada</v>
          </cell>
          <cell r="J2408" t="str">
            <v>Walmart</v>
          </cell>
        </row>
        <row r="2409">
          <cell r="A2409" t="str">
            <v>21-11-2022</v>
          </cell>
          <cell r="B2409" t="str">
            <v>Zinc</v>
          </cell>
          <cell r="C2409" t="str">
            <v>Mineral</v>
          </cell>
          <cell r="D2409">
            <v>142</v>
          </cell>
          <cell r="E2409">
            <v>27.68</v>
          </cell>
          <cell r="F2409">
            <v>3930.56</v>
          </cell>
          <cell r="G2409">
            <v>0.13</v>
          </cell>
          <cell r="H2409">
            <v>2</v>
          </cell>
          <cell r="I2409" t="str">
            <v>UK</v>
          </cell>
          <cell r="J2409" t="str">
            <v>Walmart</v>
          </cell>
        </row>
        <row r="2410">
          <cell r="A2410" t="str">
            <v>21-11-2022</v>
          </cell>
          <cell r="B2410" t="str">
            <v>Collagen Peptides</v>
          </cell>
          <cell r="C2410" t="str">
            <v>Protein</v>
          </cell>
          <cell r="D2410">
            <v>152</v>
          </cell>
          <cell r="E2410">
            <v>25.39</v>
          </cell>
          <cell r="F2410">
            <v>3859.28</v>
          </cell>
          <cell r="G2410">
            <v>0.03</v>
          </cell>
          <cell r="H2410">
            <v>2</v>
          </cell>
          <cell r="I2410" t="str">
            <v>Canada</v>
          </cell>
          <cell r="J2410" t="str">
            <v>Walmart</v>
          </cell>
        </row>
        <row r="2411">
          <cell r="A2411" t="str">
            <v>21-11-2022</v>
          </cell>
          <cell r="B2411" t="str">
            <v>Magnesium</v>
          </cell>
          <cell r="C2411" t="str">
            <v>Mineral</v>
          </cell>
          <cell r="D2411">
            <v>165</v>
          </cell>
          <cell r="E2411">
            <v>30.35</v>
          </cell>
          <cell r="F2411">
            <v>5007.75</v>
          </cell>
          <cell r="G2411">
            <v>0.12</v>
          </cell>
          <cell r="H2411">
            <v>2</v>
          </cell>
          <cell r="I2411" t="str">
            <v>USA</v>
          </cell>
          <cell r="J2411" t="str">
            <v>Amazon</v>
          </cell>
        </row>
        <row r="2412">
          <cell r="A2412" t="str">
            <v>21-11-2022</v>
          </cell>
          <cell r="B2412" t="str">
            <v>Ashwagandha</v>
          </cell>
          <cell r="C2412" t="str">
            <v>Herbal</v>
          </cell>
          <cell r="D2412">
            <v>156</v>
          </cell>
          <cell r="E2412">
            <v>46.07</v>
          </cell>
          <cell r="F2412">
            <v>7186.92</v>
          </cell>
          <cell r="G2412">
            <v>0.02</v>
          </cell>
          <cell r="H2412">
            <v>1</v>
          </cell>
          <cell r="I2412" t="str">
            <v>USA</v>
          </cell>
          <cell r="J2412" t="str">
            <v>Walmart</v>
          </cell>
        </row>
        <row r="2413">
          <cell r="A2413" t="str">
            <v>21-11-2022</v>
          </cell>
          <cell r="B2413" t="str">
            <v>Melatonin</v>
          </cell>
          <cell r="C2413" t="str">
            <v>Sleep Aid</v>
          </cell>
          <cell r="D2413">
            <v>163</v>
          </cell>
          <cell r="E2413">
            <v>17.45</v>
          </cell>
          <cell r="F2413">
            <v>2844.35</v>
          </cell>
          <cell r="G2413">
            <v>0.25</v>
          </cell>
          <cell r="H2413">
            <v>3</v>
          </cell>
          <cell r="I2413" t="str">
            <v>UK</v>
          </cell>
          <cell r="J2413" t="str">
            <v>iHerb</v>
          </cell>
        </row>
        <row r="2414">
          <cell r="A2414" t="str">
            <v>21-11-2022</v>
          </cell>
          <cell r="B2414" t="str">
            <v>Biotin</v>
          </cell>
          <cell r="C2414" t="str">
            <v>Vitamin</v>
          </cell>
          <cell r="D2414">
            <v>160</v>
          </cell>
          <cell r="E2414">
            <v>19.190000000000001</v>
          </cell>
          <cell r="F2414">
            <v>3070.4</v>
          </cell>
          <cell r="G2414">
            <v>0.24</v>
          </cell>
          <cell r="H2414">
            <v>2</v>
          </cell>
          <cell r="I2414" t="str">
            <v>Canada</v>
          </cell>
          <cell r="J2414" t="str">
            <v>Amazon</v>
          </cell>
        </row>
        <row r="2415">
          <cell r="A2415" t="str">
            <v>21-11-2022</v>
          </cell>
          <cell r="B2415" t="str">
            <v>Green Tea Extract</v>
          </cell>
          <cell r="C2415" t="str">
            <v>Fat Burner</v>
          </cell>
          <cell r="D2415">
            <v>165</v>
          </cell>
          <cell r="E2415">
            <v>26.76</v>
          </cell>
          <cell r="F2415">
            <v>4415.3999999999996</v>
          </cell>
          <cell r="G2415">
            <v>0.25</v>
          </cell>
          <cell r="H2415">
            <v>2</v>
          </cell>
          <cell r="I2415" t="str">
            <v>USA</v>
          </cell>
          <cell r="J2415" t="str">
            <v>iHerb</v>
          </cell>
        </row>
        <row r="2416">
          <cell r="A2416" t="str">
            <v>21-11-2022</v>
          </cell>
          <cell r="B2416" t="str">
            <v>Iron Supplement</v>
          </cell>
          <cell r="C2416" t="str">
            <v>Mineral</v>
          </cell>
          <cell r="D2416">
            <v>135</v>
          </cell>
          <cell r="E2416">
            <v>34.1</v>
          </cell>
          <cell r="F2416">
            <v>4603.5</v>
          </cell>
          <cell r="G2416">
            <v>0.01</v>
          </cell>
          <cell r="H2416">
            <v>1</v>
          </cell>
          <cell r="I2416" t="str">
            <v>Canada</v>
          </cell>
          <cell r="J2416" t="str">
            <v>Amazon</v>
          </cell>
        </row>
        <row r="2417">
          <cell r="A2417" t="str">
            <v>21-11-2022</v>
          </cell>
          <cell r="B2417" t="str">
            <v>Electrolyte Powder</v>
          </cell>
          <cell r="C2417" t="str">
            <v>Hydration</v>
          </cell>
          <cell r="D2417">
            <v>147</v>
          </cell>
          <cell r="E2417">
            <v>27.75</v>
          </cell>
          <cell r="F2417">
            <v>4079.25</v>
          </cell>
          <cell r="G2417">
            <v>0.25</v>
          </cell>
          <cell r="H2417">
            <v>0</v>
          </cell>
          <cell r="I2417" t="str">
            <v>Canada</v>
          </cell>
          <cell r="J2417" t="str">
            <v>Walmart</v>
          </cell>
        </row>
        <row r="2418">
          <cell r="A2418" t="str">
            <v>28-11-2022</v>
          </cell>
          <cell r="B2418" t="str">
            <v>Whey Protein</v>
          </cell>
          <cell r="C2418" t="str">
            <v>Protein</v>
          </cell>
          <cell r="D2418">
            <v>153</v>
          </cell>
          <cell r="E2418">
            <v>46.69</v>
          </cell>
          <cell r="F2418">
            <v>7143.57</v>
          </cell>
          <cell r="G2418">
            <v>0.25</v>
          </cell>
          <cell r="H2418">
            <v>3</v>
          </cell>
          <cell r="I2418" t="str">
            <v>Canada</v>
          </cell>
          <cell r="J2418" t="str">
            <v>Amazon</v>
          </cell>
        </row>
        <row r="2419">
          <cell r="A2419" t="str">
            <v>28-11-2022</v>
          </cell>
          <cell r="B2419" t="str">
            <v>Vitamin C</v>
          </cell>
          <cell r="C2419" t="str">
            <v>Vitamin</v>
          </cell>
          <cell r="D2419">
            <v>152</v>
          </cell>
          <cell r="E2419">
            <v>51.75</v>
          </cell>
          <cell r="F2419">
            <v>7866</v>
          </cell>
          <cell r="G2419">
            <v>0.23</v>
          </cell>
          <cell r="H2419">
            <v>5</v>
          </cell>
          <cell r="I2419" t="str">
            <v>Canada</v>
          </cell>
          <cell r="J2419" t="str">
            <v>Walmart</v>
          </cell>
        </row>
        <row r="2420">
          <cell r="A2420" t="str">
            <v>28-11-2022</v>
          </cell>
          <cell r="B2420" t="str">
            <v>Fish Oil</v>
          </cell>
          <cell r="C2420" t="str">
            <v>Omega</v>
          </cell>
          <cell r="D2420">
            <v>136</v>
          </cell>
          <cell r="E2420">
            <v>14.45</v>
          </cell>
          <cell r="F2420">
            <v>1965.2</v>
          </cell>
          <cell r="G2420">
            <v>7.0000000000000007E-2</v>
          </cell>
          <cell r="H2420">
            <v>2</v>
          </cell>
          <cell r="I2420" t="str">
            <v>USA</v>
          </cell>
          <cell r="J2420" t="str">
            <v>Amazon</v>
          </cell>
        </row>
        <row r="2421">
          <cell r="A2421" t="str">
            <v>28-11-2022</v>
          </cell>
          <cell r="B2421" t="str">
            <v>Multivitamin</v>
          </cell>
          <cell r="C2421" t="str">
            <v>Vitamin</v>
          </cell>
          <cell r="D2421">
            <v>165</v>
          </cell>
          <cell r="E2421">
            <v>41.55</v>
          </cell>
          <cell r="F2421">
            <v>6855.75</v>
          </cell>
          <cell r="G2421">
            <v>0.13</v>
          </cell>
          <cell r="H2421">
            <v>2</v>
          </cell>
          <cell r="I2421" t="str">
            <v>Canada</v>
          </cell>
          <cell r="J2421" t="str">
            <v>Walmart</v>
          </cell>
        </row>
        <row r="2422">
          <cell r="A2422" t="str">
            <v>28-11-2022</v>
          </cell>
          <cell r="B2422" t="str">
            <v>Pre-Workout</v>
          </cell>
          <cell r="C2422" t="str">
            <v>Performance</v>
          </cell>
          <cell r="D2422">
            <v>146</v>
          </cell>
          <cell r="E2422">
            <v>43.86</v>
          </cell>
          <cell r="F2422">
            <v>6403.56</v>
          </cell>
          <cell r="G2422">
            <v>0.17</v>
          </cell>
          <cell r="H2422">
            <v>1</v>
          </cell>
          <cell r="I2422" t="str">
            <v>UK</v>
          </cell>
          <cell r="J2422" t="str">
            <v>Walmart</v>
          </cell>
        </row>
        <row r="2423">
          <cell r="A2423" t="str">
            <v>28-11-2022</v>
          </cell>
          <cell r="B2423" t="str">
            <v>BCAA</v>
          </cell>
          <cell r="C2423" t="str">
            <v>Amino Acid</v>
          </cell>
          <cell r="D2423">
            <v>167</v>
          </cell>
          <cell r="E2423">
            <v>29.06</v>
          </cell>
          <cell r="F2423">
            <v>4853.0200000000004</v>
          </cell>
          <cell r="G2423">
            <v>0.19</v>
          </cell>
          <cell r="H2423">
            <v>1</v>
          </cell>
          <cell r="I2423" t="str">
            <v>USA</v>
          </cell>
          <cell r="J2423" t="str">
            <v>iHerb</v>
          </cell>
        </row>
        <row r="2424">
          <cell r="A2424" t="str">
            <v>28-11-2022</v>
          </cell>
          <cell r="B2424" t="str">
            <v>Creatine</v>
          </cell>
          <cell r="C2424" t="str">
            <v>Performance</v>
          </cell>
          <cell r="D2424">
            <v>168</v>
          </cell>
          <cell r="E2424">
            <v>28.47</v>
          </cell>
          <cell r="F2424">
            <v>4782.96</v>
          </cell>
          <cell r="G2424">
            <v>0.22</v>
          </cell>
          <cell r="H2424">
            <v>1</v>
          </cell>
          <cell r="I2424" t="str">
            <v>Canada</v>
          </cell>
          <cell r="J2424" t="str">
            <v>iHerb</v>
          </cell>
        </row>
        <row r="2425">
          <cell r="A2425" t="str">
            <v>28-11-2022</v>
          </cell>
          <cell r="B2425" t="str">
            <v>Zinc</v>
          </cell>
          <cell r="C2425" t="str">
            <v>Mineral</v>
          </cell>
          <cell r="D2425">
            <v>150</v>
          </cell>
          <cell r="E2425">
            <v>23.83</v>
          </cell>
          <cell r="F2425">
            <v>3574.5</v>
          </cell>
          <cell r="G2425">
            <v>0.16</v>
          </cell>
          <cell r="H2425">
            <v>0</v>
          </cell>
          <cell r="I2425" t="str">
            <v>Canada</v>
          </cell>
          <cell r="J2425" t="str">
            <v>iHerb</v>
          </cell>
        </row>
        <row r="2426">
          <cell r="A2426" t="str">
            <v>28-11-2022</v>
          </cell>
          <cell r="B2426" t="str">
            <v>Collagen Peptides</v>
          </cell>
          <cell r="C2426" t="str">
            <v>Protein</v>
          </cell>
          <cell r="D2426">
            <v>167</v>
          </cell>
          <cell r="E2426">
            <v>19.54</v>
          </cell>
          <cell r="F2426">
            <v>3263.18</v>
          </cell>
          <cell r="G2426">
            <v>0.17</v>
          </cell>
          <cell r="H2426">
            <v>2</v>
          </cell>
          <cell r="I2426" t="str">
            <v>USA</v>
          </cell>
          <cell r="J2426" t="str">
            <v>Amazon</v>
          </cell>
        </row>
        <row r="2427">
          <cell r="A2427" t="str">
            <v>28-11-2022</v>
          </cell>
          <cell r="B2427" t="str">
            <v>Magnesium</v>
          </cell>
          <cell r="C2427" t="str">
            <v>Mineral</v>
          </cell>
          <cell r="D2427">
            <v>137</v>
          </cell>
          <cell r="E2427">
            <v>30.45</v>
          </cell>
          <cell r="F2427">
            <v>4171.6499999999996</v>
          </cell>
          <cell r="G2427">
            <v>0.17</v>
          </cell>
          <cell r="H2427">
            <v>2</v>
          </cell>
          <cell r="I2427" t="str">
            <v>Canada</v>
          </cell>
          <cell r="J2427" t="str">
            <v>Walmart</v>
          </cell>
        </row>
        <row r="2428">
          <cell r="A2428" t="str">
            <v>28-11-2022</v>
          </cell>
          <cell r="B2428" t="str">
            <v>Ashwagandha</v>
          </cell>
          <cell r="C2428" t="str">
            <v>Herbal</v>
          </cell>
          <cell r="D2428">
            <v>151</v>
          </cell>
          <cell r="E2428">
            <v>47.9</v>
          </cell>
          <cell r="F2428">
            <v>7232.9</v>
          </cell>
          <cell r="G2428">
            <v>0.15</v>
          </cell>
          <cell r="H2428">
            <v>2</v>
          </cell>
          <cell r="I2428" t="str">
            <v>Canada</v>
          </cell>
          <cell r="J2428" t="str">
            <v>Amazon</v>
          </cell>
        </row>
        <row r="2429">
          <cell r="A2429" t="str">
            <v>28-11-2022</v>
          </cell>
          <cell r="B2429" t="str">
            <v>Melatonin</v>
          </cell>
          <cell r="C2429" t="str">
            <v>Sleep Aid</v>
          </cell>
          <cell r="D2429">
            <v>144</v>
          </cell>
          <cell r="E2429">
            <v>40.75</v>
          </cell>
          <cell r="F2429">
            <v>5868</v>
          </cell>
          <cell r="G2429">
            <v>0.21</v>
          </cell>
          <cell r="H2429">
            <v>1</v>
          </cell>
          <cell r="I2429" t="str">
            <v>USA</v>
          </cell>
          <cell r="J2429" t="str">
            <v>Amazon</v>
          </cell>
        </row>
        <row r="2430">
          <cell r="A2430" t="str">
            <v>28-11-2022</v>
          </cell>
          <cell r="B2430" t="str">
            <v>Biotin</v>
          </cell>
          <cell r="C2430" t="str">
            <v>Vitamin</v>
          </cell>
          <cell r="D2430">
            <v>139</v>
          </cell>
          <cell r="E2430">
            <v>28.56</v>
          </cell>
          <cell r="F2430">
            <v>3969.84</v>
          </cell>
          <cell r="G2430">
            <v>0.17</v>
          </cell>
          <cell r="H2430">
            <v>1</v>
          </cell>
          <cell r="I2430" t="str">
            <v>UK</v>
          </cell>
          <cell r="J2430" t="str">
            <v>Amazon</v>
          </cell>
        </row>
        <row r="2431">
          <cell r="A2431" t="str">
            <v>28-11-2022</v>
          </cell>
          <cell r="B2431" t="str">
            <v>Green Tea Extract</v>
          </cell>
          <cell r="C2431" t="str">
            <v>Fat Burner</v>
          </cell>
          <cell r="D2431">
            <v>164</v>
          </cell>
          <cell r="E2431">
            <v>44.23</v>
          </cell>
          <cell r="F2431">
            <v>7253.72</v>
          </cell>
          <cell r="G2431">
            <v>0.05</v>
          </cell>
          <cell r="H2431">
            <v>5</v>
          </cell>
          <cell r="I2431" t="str">
            <v>USA</v>
          </cell>
          <cell r="J2431" t="str">
            <v>Amazon</v>
          </cell>
        </row>
        <row r="2432">
          <cell r="A2432" t="str">
            <v>28-11-2022</v>
          </cell>
          <cell r="B2432" t="str">
            <v>Iron Supplement</v>
          </cell>
          <cell r="C2432" t="str">
            <v>Mineral</v>
          </cell>
          <cell r="D2432">
            <v>164</v>
          </cell>
          <cell r="E2432">
            <v>26.51</v>
          </cell>
          <cell r="F2432">
            <v>4347.6400000000003</v>
          </cell>
          <cell r="G2432">
            <v>0.13</v>
          </cell>
          <cell r="H2432">
            <v>0</v>
          </cell>
          <cell r="I2432" t="str">
            <v>Canada</v>
          </cell>
          <cell r="J2432" t="str">
            <v>Amazon</v>
          </cell>
        </row>
        <row r="2433">
          <cell r="A2433" t="str">
            <v>28-11-2022</v>
          </cell>
          <cell r="B2433" t="str">
            <v>Electrolyte Powder</v>
          </cell>
          <cell r="C2433" t="str">
            <v>Hydration</v>
          </cell>
          <cell r="D2433">
            <v>151</v>
          </cell>
          <cell r="E2433">
            <v>37.65</v>
          </cell>
          <cell r="F2433">
            <v>5685.15</v>
          </cell>
          <cell r="G2433">
            <v>0.16</v>
          </cell>
          <cell r="H2433">
            <v>1</v>
          </cell>
          <cell r="I2433" t="str">
            <v>Canada</v>
          </cell>
          <cell r="J2433" t="str">
            <v>Walmart</v>
          </cell>
        </row>
        <row r="2434">
          <cell r="A2434" t="str">
            <v>05-12-2022</v>
          </cell>
          <cell r="B2434" t="str">
            <v>Whey Protein</v>
          </cell>
          <cell r="C2434" t="str">
            <v>Protein</v>
          </cell>
          <cell r="D2434">
            <v>150</v>
          </cell>
          <cell r="E2434">
            <v>15.43</v>
          </cell>
          <cell r="F2434">
            <v>2314.5</v>
          </cell>
          <cell r="G2434">
            <v>0.2</v>
          </cell>
          <cell r="H2434">
            <v>0</v>
          </cell>
          <cell r="I2434" t="str">
            <v>USA</v>
          </cell>
          <cell r="J2434" t="str">
            <v>Amazon</v>
          </cell>
        </row>
        <row r="2435">
          <cell r="A2435" t="str">
            <v>05-12-2022</v>
          </cell>
          <cell r="B2435" t="str">
            <v>Vitamin C</v>
          </cell>
          <cell r="C2435" t="str">
            <v>Vitamin</v>
          </cell>
          <cell r="D2435">
            <v>117</v>
          </cell>
          <cell r="E2435">
            <v>48.25</v>
          </cell>
          <cell r="F2435">
            <v>5645.25</v>
          </cell>
          <cell r="G2435">
            <v>0.1</v>
          </cell>
          <cell r="H2435">
            <v>2</v>
          </cell>
          <cell r="I2435" t="str">
            <v>Canada</v>
          </cell>
          <cell r="J2435" t="str">
            <v>Walmart</v>
          </cell>
        </row>
        <row r="2436">
          <cell r="A2436" t="str">
            <v>05-12-2022</v>
          </cell>
          <cell r="B2436" t="str">
            <v>Fish Oil</v>
          </cell>
          <cell r="C2436" t="str">
            <v>Omega</v>
          </cell>
          <cell r="D2436">
            <v>151</v>
          </cell>
          <cell r="E2436">
            <v>45.84</v>
          </cell>
          <cell r="F2436">
            <v>6921.84</v>
          </cell>
          <cell r="G2436">
            <v>0.03</v>
          </cell>
          <cell r="H2436">
            <v>2</v>
          </cell>
          <cell r="I2436" t="str">
            <v>UK</v>
          </cell>
          <cell r="J2436" t="str">
            <v>iHerb</v>
          </cell>
        </row>
        <row r="2437">
          <cell r="A2437" t="str">
            <v>05-12-2022</v>
          </cell>
          <cell r="B2437" t="str">
            <v>Multivitamin</v>
          </cell>
          <cell r="C2437" t="str">
            <v>Vitamin</v>
          </cell>
          <cell r="D2437">
            <v>136</v>
          </cell>
          <cell r="E2437">
            <v>48.06</v>
          </cell>
          <cell r="F2437">
            <v>6536.16</v>
          </cell>
          <cell r="G2437">
            <v>0.24</v>
          </cell>
          <cell r="H2437">
            <v>1</v>
          </cell>
          <cell r="I2437" t="str">
            <v>UK</v>
          </cell>
          <cell r="J2437" t="str">
            <v>iHerb</v>
          </cell>
        </row>
        <row r="2438">
          <cell r="A2438" t="str">
            <v>05-12-2022</v>
          </cell>
          <cell r="B2438" t="str">
            <v>Pre-Workout</v>
          </cell>
          <cell r="C2438" t="str">
            <v>Performance</v>
          </cell>
          <cell r="D2438">
            <v>163</v>
          </cell>
          <cell r="E2438">
            <v>50.36</v>
          </cell>
          <cell r="F2438">
            <v>8208.68</v>
          </cell>
          <cell r="G2438">
            <v>0.16</v>
          </cell>
          <cell r="H2438">
            <v>0</v>
          </cell>
          <cell r="I2438" t="str">
            <v>USA</v>
          </cell>
          <cell r="J2438" t="str">
            <v>Walmart</v>
          </cell>
        </row>
        <row r="2439">
          <cell r="A2439" t="str">
            <v>05-12-2022</v>
          </cell>
          <cell r="B2439" t="str">
            <v>BCAA</v>
          </cell>
          <cell r="C2439" t="str">
            <v>Amino Acid</v>
          </cell>
          <cell r="D2439">
            <v>143</v>
          </cell>
          <cell r="E2439">
            <v>29.15</v>
          </cell>
          <cell r="F2439">
            <v>4168.45</v>
          </cell>
          <cell r="G2439">
            <v>0.05</v>
          </cell>
          <cell r="H2439">
            <v>2</v>
          </cell>
          <cell r="I2439" t="str">
            <v>Canada</v>
          </cell>
          <cell r="J2439" t="str">
            <v>Amazon</v>
          </cell>
        </row>
        <row r="2440">
          <cell r="A2440" t="str">
            <v>05-12-2022</v>
          </cell>
          <cell r="B2440" t="str">
            <v>Creatine</v>
          </cell>
          <cell r="C2440" t="str">
            <v>Performance</v>
          </cell>
          <cell r="D2440">
            <v>151</v>
          </cell>
          <cell r="E2440">
            <v>55.71</v>
          </cell>
          <cell r="F2440">
            <v>8412.2099999999991</v>
          </cell>
          <cell r="G2440">
            <v>0.13</v>
          </cell>
          <cell r="H2440">
            <v>1</v>
          </cell>
          <cell r="I2440" t="str">
            <v>UK</v>
          </cell>
          <cell r="J2440" t="str">
            <v>Amazon</v>
          </cell>
        </row>
        <row r="2441">
          <cell r="A2441" t="str">
            <v>05-12-2022</v>
          </cell>
          <cell r="B2441" t="str">
            <v>Zinc</v>
          </cell>
          <cell r="C2441" t="str">
            <v>Mineral</v>
          </cell>
          <cell r="D2441">
            <v>149</v>
          </cell>
          <cell r="E2441">
            <v>12.8</v>
          </cell>
          <cell r="F2441">
            <v>1907.2</v>
          </cell>
          <cell r="G2441">
            <v>0.1</v>
          </cell>
          <cell r="H2441">
            <v>0</v>
          </cell>
          <cell r="I2441" t="str">
            <v>USA</v>
          </cell>
          <cell r="J2441" t="str">
            <v>Amazon</v>
          </cell>
        </row>
        <row r="2442">
          <cell r="A2442" t="str">
            <v>05-12-2022</v>
          </cell>
          <cell r="B2442" t="str">
            <v>Collagen Peptides</v>
          </cell>
          <cell r="C2442" t="str">
            <v>Protein</v>
          </cell>
          <cell r="D2442">
            <v>152</v>
          </cell>
          <cell r="E2442">
            <v>36.68</v>
          </cell>
          <cell r="F2442">
            <v>5575.36</v>
          </cell>
          <cell r="G2442">
            <v>0.03</v>
          </cell>
          <cell r="H2442">
            <v>3</v>
          </cell>
          <cell r="I2442" t="str">
            <v>UK</v>
          </cell>
          <cell r="J2442" t="str">
            <v>iHerb</v>
          </cell>
        </row>
        <row r="2443">
          <cell r="A2443" t="str">
            <v>05-12-2022</v>
          </cell>
          <cell r="B2443" t="str">
            <v>Magnesium</v>
          </cell>
          <cell r="C2443" t="str">
            <v>Mineral</v>
          </cell>
          <cell r="D2443">
            <v>168</v>
          </cell>
          <cell r="E2443">
            <v>27.17</v>
          </cell>
          <cell r="F2443">
            <v>4564.5600000000004</v>
          </cell>
          <cell r="G2443">
            <v>0.15</v>
          </cell>
          <cell r="H2443">
            <v>0</v>
          </cell>
          <cell r="I2443" t="str">
            <v>UK</v>
          </cell>
          <cell r="J2443" t="str">
            <v>Walmart</v>
          </cell>
        </row>
        <row r="2444">
          <cell r="A2444" t="str">
            <v>05-12-2022</v>
          </cell>
          <cell r="B2444" t="str">
            <v>Ashwagandha</v>
          </cell>
          <cell r="C2444" t="str">
            <v>Herbal</v>
          </cell>
          <cell r="D2444">
            <v>145</v>
          </cell>
          <cell r="E2444">
            <v>55.78</v>
          </cell>
          <cell r="F2444">
            <v>8088.1</v>
          </cell>
          <cell r="G2444">
            <v>0.21</v>
          </cell>
          <cell r="H2444">
            <v>2</v>
          </cell>
          <cell r="I2444" t="str">
            <v>Canada</v>
          </cell>
          <cell r="J2444" t="str">
            <v>Amazon</v>
          </cell>
        </row>
        <row r="2445">
          <cell r="A2445" t="str">
            <v>05-12-2022</v>
          </cell>
          <cell r="B2445" t="str">
            <v>Melatonin</v>
          </cell>
          <cell r="C2445" t="str">
            <v>Sleep Aid</v>
          </cell>
          <cell r="D2445">
            <v>151</v>
          </cell>
          <cell r="E2445">
            <v>56.62</v>
          </cell>
          <cell r="F2445">
            <v>8549.6200000000008</v>
          </cell>
          <cell r="G2445">
            <v>0.24</v>
          </cell>
          <cell r="H2445">
            <v>0</v>
          </cell>
          <cell r="I2445" t="str">
            <v>Canada</v>
          </cell>
          <cell r="J2445" t="str">
            <v>Amazon</v>
          </cell>
        </row>
        <row r="2446">
          <cell r="A2446" t="str">
            <v>05-12-2022</v>
          </cell>
          <cell r="B2446" t="str">
            <v>Biotin</v>
          </cell>
          <cell r="C2446" t="str">
            <v>Vitamin</v>
          </cell>
          <cell r="D2446">
            <v>136</v>
          </cell>
          <cell r="E2446">
            <v>37.07</v>
          </cell>
          <cell r="F2446">
            <v>5041.5200000000004</v>
          </cell>
          <cell r="G2446">
            <v>0</v>
          </cell>
          <cell r="H2446">
            <v>0</v>
          </cell>
          <cell r="I2446" t="str">
            <v>UK</v>
          </cell>
          <cell r="J2446" t="str">
            <v>Amazon</v>
          </cell>
        </row>
        <row r="2447">
          <cell r="A2447" t="str">
            <v>05-12-2022</v>
          </cell>
          <cell r="B2447" t="str">
            <v>Green Tea Extract</v>
          </cell>
          <cell r="C2447" t="str">
            <v>Fat Burner</v>
          </cell>
          <cell r="D2447">
            <v>167</v>
          </cell>
          <cell r="E2447">
            <v>27.86</v>
          </cell>
          <cell r="F2447">
            <v>4652.62</v>
          </cell>
          <cell r="G2447">
            <v>0.22</v>
          </cell>
          <cell r="H2447">
            <v>2</v>
          </cell>
          <cell r="I2447" t="str">
            <v>USA</v>
          </cell>
          <cell r="J2447" t="str">
            <v>iHerb</v>
          </cell>
        </row>
        <row r="2448">
          <cell r="A2448" t="str">
            <v>05-12-2022</v>
          </cell>
          <cell r="B2448" t="str">
            <v>Iron Supplement</v>
          </cell>
          <cell r="C2448" t="str">
            <v>Mineral</v>
          </cell>
          <cell r="D2448">
            <v>162</v>
          </cell>
          <cell r="E2448">
            <v>15.67</v>
          </cell>
          <cell r="F2448">
            <v>2538.54</v>
          </cell>
          <cell r="G2448">
            <v>0.11</v>
          </cell>
          <cell r="H2448">
            <v>1</v>
          </cell>
          <cell r="I2448" t="str">
            <v>UK</v>
          </cell>
          <cell r="J2448" t="str">
            <v>Amazon</v>
          </cell>
        </row>
        <row r="2449">
          <cell r="A2449" t="str">
            <v>05-12-2022</v>
          </cell>
          <cell r="B2449" t="str">
            <v>Electrolyte Powder</v>
          </cell>
          <cell r="C2449" t="str">
            <v>Hydration</v>
          </cell>
          <cell r="D2449">
            <v>152</v>
          </cell>
          <cell r="E2449">
            <v>59.57</v>
          </cell>
          <cell r="F2449">
            <v>9054.64</v>
          </cell>
          <cell r="G2449">
            <v>0.06</v>
          </cell>
          <cell r="H2449">
            <v>0</v>
          </cell>
          <cell r="I2449" t="str">
            <v>UK</v>
          </cell>
          <cell r="J2449" t="str">
            <v>Walmart</v>
          </cell>
        </row>
        <row r="2450">
          <cell r="A2450" t="str">
            <v>12-12-2022</v>
          </cell>
          <cell r="B2450" t="str">
            <v>Whey Protein</v>
          </cell>
          <cell r="C2450" t="str">
            <v>Protein</v>
          </cell>
          <cell r="D2450">
            <v>151</v>
          </cell>
          <cell r="E2450">
            <v>31.99</v>
          </cell>
          <cell r="F2450">
            <v>4830.49</v>
          </cell>
          <cell r="G2450">
            <v>0.19</v>
          </cell>
          <cell r="H2450">
            <v>1</v>
          </cell>
          <cell r="I2450" t="str">
            <v>UK</v>
          </cell>
          <cell r="J2450" t="str">
            <v>Walmart</v>
          </cell>
        </row>
        <row r="2451">
          <cell r="A2451" t="str">
            <v>12-12-2022</v>
          </cell>
          <cell r="B2451" t="str">
            <v>Vitamin C</v>
          </cell>
          <cell r="C2451" t="str">
            <v>Vitamin</v>
          </cell>
          <cell r="D2451">
            <v>154</v>
          </cell>
          <cell r="E2451">
            <v>11.25</v>
          </cell>
          <cell r="F2451">
            <v>1732.5</v>
          </cell>
          <cell r="G2451">
            <v>0.14000000000000001</v>
          </cell>
          <cell r="H2451">
            <v>3</v>
          </cell>
          <cell r="I2451" t="str">
            <v>UK</v>
          </cell>
          <cell r="J2451" t="str">
            <v>Walmart</v>
          </cell>
        </row>
        <row r="2452">
          <cell r="A2452" t="str">
            <v>12-12-2022</v>
          </cell>
          <cell r="B2452" t="str">
            <v>Fish Oil</v>
          </cell>
          <cell r="C2452" t="str">
            <v>Omega</v>
          </cell>
          <cell r="D2452">
            <v>172</v>
          </cell>
          <cell r="E2452">
            <v>32.94</v>
          </cell>
          <cell r="F2452">
            <v>5665.68</v>
          </cell>
          <cell r="G2452">
            <v>0.25</v>
          </cell>
          <cell r="H2452">
            <v>1</v>
          </cell>
          <cell r="I2452" t="str">
            <v>UK</v>
          </cell>
          <cell r="J2452" t="str">
            <v>Amazon</v>
          </cell>
        </row>
        <row r="2453">
          <cell r="A2453" t="str">
            <v>12-12-2022</v>
          </cell>
          <cell r="B2453" t="str">
            <v>Multivitamin</v>
          </cell>
          <cell r="C2453" t="str">
            <v>Vitamin</v>
          </cell>
          <cell r="D2453">
            <v>166</v>
          </cell>
          <cell r="E2453">
            <v>35.71</v>
          </cell>
          <cell r="F2453">
            <v>5927.86</v>
          </cell>
          <cell r="G2453">
            <v>0.21</v>
          </cell>
          <cell r="H2453">
            <v>2</v>
          </cell>
          <cell r="I2453" t="str">
            <v>Canada</v>
          </cell>
          <cell r="J2453" t="str">
            <v>Amazon</v>
          </cell>
        </row>
        <row r="2454">
          <cell r="A2454" t="str">
            <v>12-12-2022</v>
          </cell>
          <cell r="B2454" t="str">
            <v>Pre-Workout</v>
          </cell>
          <cell r="C2454" t="str">
            <v>Performance</v>
          </cell>
          <cell r="D2454">
            <v>141</v>
          </cell>
          <cell r="E2454">
            <v>33.99</v>
          </cell>
          <cell r="F2454">
            <v>4792.59</v>
          </cell>
          <cell r="G2454">
            <v>0.21</v>
          </cell>
          <cell r="H2454">
            <v>3</v>
          </cell>
          <cell r="I2454" t="str">
            <v>UK</v>
          </cell>
          <cell r="J2454" t="str">
            <v>Walmart</v>
          </cell>
        </row>
        <row r="2455">
          <cell r="A2455" t="str">
            <v>12-12-2022</v>
          </cell>
          <cell r="B2455" t="str">
            <v>BCAA</v>
          </cell>
          <cell r="C2455" t="str">
            <v>Amino Acid</v>
          </cell>
          <cell r="D2455">
            <v>153</v>
          </cell>
          <cell r="E2455">
            <v>48.74</v>
          </cell>
          <cell r="F2455">
            <v>7457.22</v>
          </cell>
          <cell r="G2455">
            <v>0.18</v>
          </cell>
          <cell r="H2455">
            <v>1</v>
          </cell>
          <cell r="I2455" t="str">
            <v>UK</v>
          </cell>
          <cell r="J2455" t="str">
            <v>Walmart</v>
          </cell>
        </row>
        <row r="2456">
          <cell r="A2456" t="str">
            <v>12-12-2022</v>
          </cell>
          <cell r="B2456" t="str">
            <v>Creatine</v>
          </cell>
          <cell r="C2456" t="str">
            <v>Performance</v>
          </cell>
          <cell r="D2456">
            <v>130</v>
          </cell>
          <cell r="E2456">
            <v>32.78</v>
          </cell>
          <cell r="F2456">
            <v>4261.3999999999996</v>
          </cell>
          <cell r="G2456">
            <v>0.09</v>
          </cell>
          <cell r="H2456">
            <v>2</v>
          </cell>
          <cell r="I2456" t="str">
            <v>Canada</v>
          </cell>
          <cell r="J2456" t="str">
            <v>Walmart</v>
          </cell>
        </row>
        <row r="2457">
          <cell r="A2457" t="str">
            <v>12-12-2022</v>
          </cell>
          <cell r="B2457" t="str">
            <v>Zinc</v>
          </cell>
          <cell r="C2457" t="str">
            <v>Mineral</v>
          </cell>
          <cell r="D2457">
            <v>156</v>
          </cell>
          <cell r="E2457">
            <v>51.85</v>
          </cell>
          <cell r="F2457">
            <v>8088.6</v>
          </cell>
          <cell r="G2457">
            <v>7.0000000000000007E-2</v>
          </cell>
          <cell r="H2457">
            <v>0</v>
          </cell>
          <cell r="I2457" t="str">
            <v>USA</v>
          </cell>
          <cell r="J2457" t="str">
            <v>iHerb</v>
          </cell>
        </row>
        <row r="2458">
          <cell r="A2458" t="str">
            <v>12-12-2022</v>
          </cell>
          <cell r="B2458" t="str">
            <v>Collagen Peptides</v>
          </cell>
          <cell r="C2458" t="str">
            <v>Protein</v>
          </cell>
          <cell r="D2458">
            <v>147</v>
          </cell>
          <cell r="E2458">
            <v>58.27</v>
          </cell>
          <cell r="F2458">
            <v>8565.69</v>
          </cell>
          <cell r="G2458">
            <v>0.2</v>
          </cell>
          <cell r="H2458">
            <v>4</v>
          </cell>
          <cell r="I2458" t="str">
            <v>UK</v>
          </cell>
          <cell r="J2458" t="str">
            <v>Walmart</v>
          </cell>
        </row>
        <row r="2459">
          <cell r="A2459" t="str">
            <v>12-12-2022</v>
          </cell>
          <cell r="B2459" t="str">
            <v>Magnesium</v>
          </cell>
          <cell r="C2459" t="str">
            <v>Mineral</v>
          </cell>
          <cell r="D2459">
            <v>135</v>
          </cell>
          <cell r="E2459">
            <v>37.89</v>
          </cell>
          <cell r="F2459">
            <v>5115.1499999999996</v>
          </cell>
          <cell r="G2459">
            <v>7.0000000000000007E-2</v>
          </cell>
          <cell r="H2459">
            <v>2</v>
          </cell>
          <cell r="I2459" t="str">
            <v>UK</v>
          </cell>
          <cell r="J2459" t="str">
            <v>iHerb</v>
          </cell>
        </row>
        <row r="2460">
          <cell r="A2460" t="str">
            <v>12-12-2022</v>
          </cell>
          <cell r="B2460" t="str">
            <v>Ashwagandha</v>
          </cell>
          <cell r="C2460" t="str">
            <v>Herbal</v>
          </cell>
          <cell r="D2460">
            <v>141</v>
          </cell>
          <cell r="E2460">
            <v>35.06</v>
          </cell>
          <cell r="F2460">
            <v>4943.46</v>
          </cell>
          <cell r="G2460">
            <v>0.06</v>
          </cell>
          <cell r="H2460">
            <v>2</v>
          </cell>
          <cell r="I2460" t="str">
            <v>Canada</v>
          </cell>
          <cell r="J2460" t="str">
            <v>Amazon</v>
          </cell>
        </row>
        <row r="2461">
          <cell r="A2461" t="str">
            <v>12-12-2022</v>
          </cell>
          <cell r="B2461" t="str">
            <v>Melatonin</v>
          </cell>
          <cell r="C2461" t="str">
            <v>Sleep Aid</v>
          </cell>
          <cell r="D2461">
            <v>148</v>
          </cell>
          <cell r="E2461">
            <v>28.14</v>
          </cell>
          <cell r="F2461">
            <v>4164.72</v>
          </cell>
          <cell r="G2461">
            <v>0</v>
          </cell>
          <cell r="H2461">
            <v>1</v>
          </cell>
          <cell r="I2461" t="str">
            <v>UK</v>
          </cell>
          <cell r="J2461" t="str">
            <v>Amazon</v>
          </cell>
        </row>
        <row r="2462">
          <cell r="A2462" t="str">
            <v>12-12-2022</v>
          </cell>
          <cell r="B2462" t="str">
            <v>Biotin</v>
          </cell>
          <cell r="C2462" t="str">
            <v>Vitamin</v>
          </cell>
          <cell r="D2462">
            <v>144</v>
          </cell>
          <cell r="E2462">
            <v>25.4</v>
          </cell>
          <cell r="F2462">
            <v>3657.6</v>
          </cell>
          <cell r="G2462">
            <v>7.0000000000000007E-2</v>
          </cell>
          <cell r="H2462">
            <v>1</v>
          </cell>
          <cell r="I2462" t="str">
            <v>USA</v>
          </cell>
          <cell r="J2462" t="str">
            <v>Amazon</v>
          </cell>
        </row>
        <row r="2463">
          <cell r="A2463" t="str">
            <v>12-12-2022</v>
          </cell>
          <cell r="B2463" t="str">
            <v>Green Tea Extract</v>
          </cell>
          <cell r="C2463" t="str">
            <v>Fat Burner</v>
          </cell>
          <cell r="D2463">
            <v>134</v>
          </cell>
          <cell r="E2463">
            <v>44.62</v>
          </cell>
          <cell r="F2463">
            <v>5979.08</v>
          </cell>
          <cell r="G2463">
            <v>0.16</v>
          </cell>
          <cell r="H2463">
            <v>2</v>
          </cell>
          <cell r="I2463" t="str">
            <v>Canada</v>
          </cell>
          <cell r="J2463" t="str">
            <v>iHerb</v>
          </cell>
        </row>
        <row r="2464">
          <cell r="A2464" t="str">
            <v>12-12-2022</v>
          </cell>
          <cell r="B2464" t="str">
            <v>Iron Supplement</v>
          </cell>
          <cell r="C2464" t="str">
            <v>Mineral</v>
          </cell>
          <cell r="D2464">
            <v>148</v>
          </cell>
          <cell r="E2464">
            <v>50.52</v>
          </cell>
          <cell r="F2464">
            <v>7476.96</v>
          </cell>
          <cell r="G2464">
            <v>0.11</v>
          </cell>
          <cell r="H2464">
            <v>2</v>
          </cell>
          <cell r="I2464" t="str">
            <v>USA</v>
          </cell>
          <cell r="J2464" t="str">
            <v>Amazon</v>
          </cell>
        </row>
        <row r="2465">
          <cell r="A2465" t="str">
            <v>12-12-2022</v>
          </cell>
          <cell r="B2465" t="str">
            <v>Electrolyte Powder</v>
          </cell>
          <cell r="C2465" t="str">
            <v>Hydration</v>
          </cell>
          <cell r="D2465">
            <v>148</v>
          </cell>
          <cell r="E2465">
            <v>48.01</v>
          </cell>
          <cell r="F2465">
            <v>7105.48</v>
          </cell>
          <cell r="G2465">
            <v>0.04</v>
          </cell>
          <cell r="H2465">
            <v>1</v>
          </cell>
          <cell r="I2465" t="str">
            <v>UK</v>
          </cell>
          <cell r="J2465" t="str">
            <v>iHerb</v>
          </cell>
        </row>
        <row r="2466">
          <cell r="A2466" t="str">
            <v>19-12-2022</v>
          </cell>
          <cell r="B2466" t="str">
            <v>Whey Protein</v>
          </cell>
          <cell r="C2466" t="str">
            <v>Protein</v>
          </cell>
          <cell r="D2466">
            <v>139</v>
          </cell>
          <cell r="E2466">
            <v>21.52</v>
          </cell>
          <cell r="F2466">
            <v>2991.28</v>
          </cell>
          <cell r="G2466">
            <v>0.14000000000000001</v>
          </cell>
          <cell r="H2466">
            <v>2</v>
          </cell>
          <cell r="I2466" t="str">
            <v>Canada</v>
          </cell>
          <cell r="J2466" t="str">
            <v>Walmart</v>
          </cell>
        </row>
        <row r="2467">
          <cell r="A2467" t="str">
            <v>19-12-2022</v>
          </cell>
          <cell r="B2467" t="str">
            <v>Vitamin C</v>
          </cell>
          <cell r="C2467" t="str">
            <v>Vitamin</v>
          </cell>
          <cell r="D2467">
            <v>161</v>
          </cell>
          <cell r="E2467">
            <v>59.44</v>
          </cell>
          <cell r="F2467">
            <v>9569.84</v>
          </cell>
          <cell r="G2467">
            <v>0.15</v>
          </cell>
          <cell r="H2467">
            <v>1</v>
          </cell>
          <cell r="I2467" t="str">
            <v>Canada</v>
          </cell>
          <cell r="J2467" t="str">
            <v>Walmart</v>
          </cell>
        </row>
        <row r="2468">
          <cell r="A2468" t="str">
            <v>19-12-2022</v>
          </cell>
          <cell r="B2468" t="str">
            <v>Fish Oil</v>
          </cell>
          <cell r="C2468" t="str">
            <v>Omega</v>
          </cell>
          <cell r="D2468">
            <v>164</v>
          </cell>
          <cell r="E2468">
            <v>47.46</v>
          </cell>
          <cell r="F2468">
            <v>7783.44</v>
          </cell>
          <cell r="G2468">
            <v>0.05</v>
          </cell>
          <cell r="H2468">
            <v>1</v>
          </cell>
          <cell r="I2468" t="str">
            <v>UK</v>
          </cell>
          <cell r="J2468" t="str">
            <v>iHerb</v>
          </cell>
        </row>
        <row r="2469">
          <cell r="A2469" t="str">
            <v>19-12-2022</v>
          </cell>
          <cell r="B2469" t="str">
            <v>Multivitamin</v>
          </cell>
          <cell r="C2469" t="str">
            <v>Vitamin</v>
          </cell>
          <cell r="D2469">
            <v>165</v>
          </cell>
          <cell r="E2469">
            <v>44.17</v>
          </cell>
          <cell r="F2469">
            <v>7288.05</v>
          </cell>
          <cell r="G2469">
            <v>0.15</v>
          </cell>
          <cell r="H2469">
            <v>3</v>
          </cell>
          <cell r="I2469" t="str">
            <v>UK</v>
          </cell>
          <cell r="J2469" t="str">
            <v>iHerb</v>
          </cell>
        </row>
        <row r="2470">
          <cell r="A2470" t="str">
            <v>19-12-2022</v>
          </cell>
          <cell r="B2470" t="str">
            <v>Pre-Workout</v>
          </cell>
          <cell r="C2470" t="str">
            <v>Performance</v>
          </cell>
          <cell r="D2470">
            <v>142</v>
          </cell>
          <cell r="E2470">
            <v>16.16</v>
          </cell>
          <cell r="F2470">
            <v>2294.7199999999998</v>
          </cell>
          <cell r="G2470">
            <v>0.17</v>
          </cell>
          <cell r="H2470">
            <v>2</v>
          </cell>
          <cell r="I2470" t="str">
            <v>UK</v>
          </cell>
          <cell r="J2470" t="str">
            <v>Amazon</v>
          </cell>
        </row>
        <row r="2471">
          <cell r="A2471" t="str">
            <v>19-12-2022</v>
          </cell>
          <cell r="B2471" t="str">
            <v>BCAA</v>
          </cell>
          <cell r="C2471" t="str">
            <v>Amino Acid</v>
          </cell>
          <cell r="D2471">
            <v>147</v>
          </cell>
          <cell r="E2471">
            <v>31</v>
          </cell>
          <cell r="F2471">
            <v>4557</v>
          </cell>
          <cell r="G2471">
            <v>0.05</v>
          </cell>
          <cell r="H2471">
            <v>1</v>
          </cell>
          <cell r="I2471" t="str">
            <v>USA</v>
          </cell>
          <cell r="J2471" t="str">
            <v>iHerb</v>
          </cell>
        </row>
        <row r="2472">
          <cell r="A2472" t="str">
            <v>19-12-2022</v>
          </cell>
          <cell r="B2472" t="str">
            <v>Creatine</v>
          </cell>
          <cell r="C2472" t="str">
            <v>Performance</v>
          </cell>
          <cell r="D2472">
            <v>146</v>
          </cell>
          <cell r="E2472">
            <v>48.71</v>
          </cell>
          <cell r="F2472">
            <v>7111.66</v>
          </cell>
          <cell r="G2472">
            <v>0.15</v>
          </cell>
          <cell r="H2472">
            <v>0</v>
          </cell>
          <cell r="I2472" t="str">
            <v>Canada</v>
          </cell>
          <cell r="J2472" t="str">
            <v>iHerb</v>
          </cell>
        </row>
        <row r="2473">
          <cell r="A2473" t="str">
            <v>19-12-2022</v>
          </cell>
          <cell r="B2473" t="str">
            <v>Zinc</v>
          </cell>
          <cell r="C2473" t="str">
            <v>Mineral</v>
          </cell>
          <cell r="D2473">
            <v>173</v>
          </cell>
          <cell r="E2473">
            <v>11.71</v>
          </cell>
          <cell r="F2473">
            <v>2025.83</v>
          </cell>
          <cell r="G2473">
            <v>0.2</v>
          </cell>
          <cell r="H2473">
            <v>1</v>
          </cell>
          <cell r="I2473" t="str">
            <v>UK</v>
          </cell>
          <cell r="J2473" t="str">
            <v>Walmart</v>
          </cell>
        </row>
        <row r="2474">
          <cell r="A2474" t="str">
            <v>19-12-2022</v>
          </cell>
          <cell r="B2474" t="str">
            <v>Collagen Peptides</v>
          </cell>
          <cell r="C2474" t="str">
            <v>Protein</v>
          </cell>
          <cell r="D2474">
            <v>153</v>
          </cell>
          <cell r="E2474">
            <v>30.99</v>
          </cell>
          <cell r="F2474">
            <v>4741.47</v>
          </cell>
          <cell r="G2474">
            <v>0.22</v>
          </cell>
          <cell r="H2474">
            <v>1</v>
          </cell>
          <cell r="I2474" t="str">
            <v>UK</v>
          </cell>
          <cell r="J2474" t="str">
            <v>Amazon</v>
          </cell>
        </row>
        <row r="2475">
          <cell r="A2475" t="str">
            <v>19-12-2022</v>
          </cell>
          <cell r="B2475" t="str">
            <v>Magnesium</v>
          </cell>
          <cell r="C2475" t="str">
            <v>Mineral</v>
          </cell>
          <cell r="D2475">
            <v>171</v>
          </cell>
          <cell r="E2475">
            <v>33.39</v>
          </cell>
          <cell r="F2475">
            <v>5709.69</v>
          </cell>
          <cell r="G2475">
            <v>0.02</v>
          </cell>
          <cell r="H2475">
            <v>3</v>
          </cell>
          <cell r="I2475" t="str">
            <v>UK</v>
          </cell>
          <cell r="J2475" t="str">
            <v>iHerb</v>
          </cell>
        </row>
        <row r="2476">
          <cell r="A2476" t="str">
            <v>19-12-2022</v>
          </cell>
          <cell r="B2476" t="str">
            <v>Ashwagandha</v>
          </cell>
          <cell r="C2476" t="str">
            <v>Herbal</v>
          </cell>
          <cell r="D2476">
            <v>128</v>
          </cell>
          <cell r="E2476">
            <v>36.869999999999997</v>
          </cell>
          <cell r="F2476">
            <v>4719.3599999999997</v>
          </cell>
          <cell r="G2476">
            <v>0.04</v>
          </cell>
          <cell r="H2476">
            <v>0</v>
          </cell>
          <cell r="I2476" t="str">
            <v>UK</v>
          </cell>
          <cell r="J2476" t="str">
            <v>Amazon</v>
          </cell>
        </row>
        <row r="2477">
          <cell r="A2477" t="str">
            <v>19-12-2022</v>
          </cell>
          <cell r="B2477" t="str">
            <v>Melatonin</v>
          </cell>
          <cell r="C2477" t="str">
            <v>Sleep Aid</v>
          </cell>
          <cell r="D2477">
            <v>147</v>
          </cell>
          <cell r="E2477">
            <v>18.03</v>
          </cell>
          <cell r="F2477">
            <v>2650.41</v>
          </cell>
          <cell r="G2477">
            <v>0.02</v>
          </cell>
          <cell r="H2477">
            <v>0</v>
          </cell>
          <cell r="I2477" t="str">
            <v>USA</v>
          </cell>
          <cell r="J2477" t="str">
            <v>Amazon</v>
          </cell>
        </row>
        <row r="2478">
          <cell r="A2478" t="str">
            <v>19-12-2022</v>
          </cell>
          <cell r="B2478" t="str">
            <v>Biotin</v>
          </cell>
          <cell r="C2478" t="str">
            <v>Vitamin</v>
          </cell>
          <cell r="D2478">
            <v>158</v>
          </cell>
          <cell r="E2478">
            <v>32.630000000000003</v>
          </cell>
          <cell r="F2478">
            <v>5155.54</v>
          </cell>
          <cell r="G2478">
            <v>0.13</v>
          </cell>
          <cell r="H2478">
            <v>0</v>
          </cell>
          <cell r="I2478" t="str">
            <v>USA</v>
          </cell>
          <cell r="J2478" t="str">
            <v>iHerb</v>
          </cell>
        </row>
        <row r="2479">
          <cell r="A2479" t="str">
            <v>19-12-2022</v>
          </cell>
          <cell r="B2479" t="str">
            <v>Green Tea Extract</v>
          </cell>
          <cell r="C2479" t="str">
            <v>Fat Burner</v>
          </cell>
          <cell r="D2479">
            <v>127</v>
          </cell>
          <cell r="E2479">
            <v>37.19</v>
          </cell>
          <cell r="F2479">
            <v>4723.13</v>
          </cell>
          <cell r="G2479">
            <v>0.18</v>
          </cell>
          <cell r="H2479">
            <v>1</v>
          </cell>
          <cell r="I2479" t="str">
            <v>USA</v>
          </cell>
          <cell r="J2479" t="str">
            <v>Walmart</v>
          </cell>
        </row>
        <row r="2480">
          <cell r="A2480" t="str">
            <v>19-12-2022</v>
          </cell>
          <cell r="B2480" t="str">
            <v>Iron Supplement</v>
          </cell>
          <cell r="C2480" t="str">
            <v>Mineral</v>
          </cell>
          <cell r="D2480">
            <v>146</v>
          </cell>
          <cell r="E2480">
            <v>49.04</v>
          </cell>
          <cell r="F2480">
            <v>7159.84</v>
          </cell>
          <cell r="G2480">
            <v>0.09</v>
          </cell>
          <cell r="H2480">
            <v>2</v>
          </cell>
          <cell r="I2480" t="str">
            <v>UK</v>
          </cell>
          <cell r="J2480" t="str">
            <v>Amazon</v>
          </cell>
        </row>
        <row r="2481">
          <cell r="A2481" t="str">
            <v>19-12-2022</v>
          </cell>
          <cell r="B2481" t="str">
            <v>Electrolyte Powder</v>
          </cell>
          <cell r="C2481" t="str">
            <v>Hydration</v>
          </cell>
          <cell r="D2481">
            <v>150</v>
          </cell>
          <cell r="E2481">
            <v>55.36</v>
          </cell>
          <cell r="F2481">
            <v>8304</v>
          </cell>
          <cell r="G2481">
            <v>0.23</v>
          </cell>
          <cell r="H2481">
            <v>1</v>
          </cell>
          <cell r="I2481" t="str">
            <v>USA</v>
          </cell>
          <cell r="J2481" t="str">
            <v>Amazon</v>
          </cell>
        </row>
        <row r="2482">
          <cell r="A2482" t="str">
            <v>26-12-2022</v>
          </cell>
          <cell r="B2482" t="str">
            <v>Whey Protein</v>
          </cell>
          <cell r="C2482" t="str">
            <v>Protein</v>
          </cell>
          <cell r="D2482">
            <v>150</v>
          </cell>
          <cell r="E2482">
            <v>56.79</v>
          </cell>
          <cell r="F2482">
            <v>8518.5</v>
          </cell>
          <cell r="G2482">
            <v>0.11</v>
          </cell>
          <cell r="H2482">
            <v>0</v>
          </cell>
          <cell r="I2482" t="str">
            <v>USA</v>
          </cell>
          <cell r="J2482" t="str">
            <v>Walmart</v>
          </cell>
        </row>
        <row r="2483">
          <cell r="A2483" t="str">
            <v>26-12-2022</v>
          </cell>
          <cell r="B2483" t="str">
            <v>Vitamin C</v>
          </cell>
          <cell r="C2483" t="str">
            <v>Vitamin</v>
          </cell>
          <cell r="D2483">
            <v>148</v>
          </cell>
          <cell r="E2483">
            <v>35.130000000000003</v>
          </cell>
          <cell r="F2483">
            <v>5199.24</v>
          </cell>
          <cell r="G2483">
            <v>0.14000000000000001</v>
          </cell>
          <cell r="H2483">
            <v>1</v>
          </cell>
          <cell r="I2483" t="str">
            <v>UK</v>
          </cell>
          <cell r="J2483" t="str">
            <v>Amazon</v>
          </cell>
        </row>
        <row r="2484">
          <cell r="A2484" t="str">
            <v>26-12-2022</v>
          </cell>
          <cell r="B2484" t="str">
            <v>Fish Oil</v>
          </cell>
          <cell r="C2484" t="str">
            <v>Omega</v>
          </cell>
          <cell r="D2484">
            <v>160</v>
          </cell>
          <cell r="E2484">
            <v>28.34</v>
          </cell>
          <cell r="F2484">
            <v>4534.3999999999996</v>
          </cell>
          <cell r="G2484">
            <v>0.19</v>
          </cell>
          <cell r="H2484">
            <v>1</v>
          </cell>
          <cell r="I2484" t="str">
            <v>USA</v>
          </cell>
          <cell r="J2484" t="str">
            <v>Walmart</v>
          </cell>
        </row>
        <row r="2485">
          <cell r="A2485" t="str">
            <v>26-12-2022</v>
          </cell>
          <cell r="B2485" t="str">
            <v>Multivitamin</v>
          </cell>
          <cell r="C2485" t="str">
            <v>Vitamin</v>
          </cell>
          <cell r="D2485">
            <v>138</v>
          </cell>
          <cell r="E2485">
            <v>27.25</v>
          </cell>
          <cell r="F2485">
            <v>3760.5</v>
          </cell>
          <cell r="G2485">
            <v>0.03</v>
          </cell>
          <cell r="H2485">
            <v>6</v>
          </cell>
          <cell r="I2485" t="str">
            <v>USA</v>
          </cell>
          <cell r="J2485" t="str">
            <v>Walmart</v>
          </cell>
        </row>
        <row r="2486">
          <cell r="A2486" t="str">
            <v>26-12-2022</v>
          </cell>
          <cell r="B2486" t="str">
            <v>Pre-Workout</v>
          </cell>
          <cell r="C2486" t="str">
            <v>Performance</v>
          </cell>
          <cell r="D2486">
            <v>122</v>
          </cell>
          <cell r="E2486">
            <v>32.6</v>
          </cell>
          <cell r="F2486">
            <v>3977.2</v>
          </cell>
          <cell r="G2486">
            <v>0.08</v>
          </cell>
          <cell r="H2486">
            <v>1</v>
          </cell>
          <cell r="I2486" t="str">
            <v>UK</v>
          </cell>
          <cell r="J2486" t="str">
            <v>Amazon</v>
          </cell>
        </row>
        <row r="2487">
          <cell r="A2487" t="str">
            <v>26-12-2022</v>
          </cell>
          <cell r="B2487" t="str">
            <v>BCAA</v>
          </cell>
          <cell r="C2487" t="str">
            <v>Amino Acid</v>
          </cell>
          <cell r="D2487">
            <v>135</v>
          </cell>
          <cell r="E2487">
            <v>26.62</v>
          </cell>
          <cell r="F2487">
            <v>3593.7</v>
          </cell>
          <cell r="G2487">
            <v>0.15</v>
          </cell>
          <cell r="H2487">
            <v>2</v>
          </cell>
          <cell r="I2487" t="str">
            <v>Canada</v>
          </cell>
          <cell r="J2487" t="str">
            <v>Walmart</v>
          </cell>
        </row>
        <row r="2488">
          <cell r="A2488" t="str">
            <v>26-12-2022</v>
          </cell>
          <cell r="B2488" t="str">
            <v>Creatine</v>
          </cell>
          <cell r="C2488" t="str">
            <v>Performance</v>
          </cell>
          <cell r="D2488">
            <v>167</v>
          </cell>
          <cell r="E2488">
            <v>40.42</v>
          </cell>
          <cell r="F2488">
            <v>6750.14</v>
          </cell>
          <cell r="G2488">
            <v>0.1</v>
          </cell>
          <cell r="H2488">
            <v>2</v>
          </cell>
          <cell r="I2488" t="str">
            <v>Canada</v>
          </cell>
          <cell r="J2488" t="str">
            <v>Amazon</v>
          </cell>
        </row>
        <row r="2489">
          <cell r="A2489" t="str">
            <v>26-12-2022</v>
          </cell>
          <cell r="B2489" t="str">
            <v>Zinc</v>
          </cell>
          <cell r="C2489" t="str">
            <v>Mineral</v>
          </cell>
          <cell r="D2489">
            <v>160</v>
          </cell>
          <cell r="E2489">
            <v>15.19</v>
          </cell>
          <cell r="F2489">
            <v>2430.4</v>
          </cell>
          <cell r="G2489">
            <v>0.1</v>
          </cell>
          <cell r="H2489">
            <v>2</v>
          </cell>
          <cell r="I2489" t="str">
            <v>Canada</v>
          </cell>
          <cell r="J2489" t="str">
            <v>Walmart</v>
          </cell>
        </row>
        <row r="2490">
          <cell r="A2490" t="str">
            <v>26-12-2022</v>
          </cell>
          <cell r="B2490" t="str">
            <v>Collagen Peptides</v>
          </cell>
          <cell r="C2490" t="str">
            <v>Protein</v>
          </cell>
          <cell r="D2490">
            <v>148</v>
          </cell>
          <cell r="E2490">
            <v>30.57</v>
          </cell>
          <cell r="F2490">
            <v>4524.3599999999997</v>
          </cell>
          <cell r="G2490">
            <v>0.15</v>
          </cell>
          <cell r="H2490">
            <v>7</v>
          </cell>
          <cell r="I2490" t="str">
            <v>Canada</v>
          </cell>
          <cell r="J2490" t="str">
            <v>iHerb</v>
          </cell>
        </row>
        <row r="2491">
          <cell r="A2491" t="str">
            <v>26-12-2022</v>
          </cell>
          <cell r="B2491" t="str">
            <v>Magnesium</v>
          </cell>
          <cell r="C2491" t="str">
            <v>Mineral</v>
          </cell>
          <cell r="D2491">
            <v>150</v>
          </cell>
          <cell r="E2491">
            <v>18.14</v>
          </cell>
          <cell r="F2491">
            <v>2721</v>
          </cell>
          <cell r="G2491">
            <v>0.01</v>
          </cell>
          <cell r="H2491">
            <v>2</v>
          </cell>
          <cell r="I2491" t="str">
            <v>UK</v>
          </cell>
          <cell r="J2491" t="str">
            <v>Walmart</v>
          </cell>
        </row>
        <row r="2492">
          <cell r="A2492" t="str">
            <v>26-12-2022</v>
          </cell>
          <cell r="B2492" t="str">
            <v>Ashwagandha</v>
          </cell>
          <cell r="C2492" t="str">
            <v>Herbal</v>
          </cell>
          <cell r="D2492">
            <v>151</v>
          </cell>
          <cell r="E2492">
            <v>44.77</v>
          </cell>
          <cell r="F2492">
            <v>6760.27</v>
          </cell>
          <cell r="G2492">
            <v>0.19</v>
          </cell>
          <cell r="H2492">
            <v>1</v>
          </cell>
          <cell r="I2492" t="str">
            <v>USA</v>
          </cell>
          <cell r="J2492" t="str">
            <v>iHerb</v>
          </cell>
        </row>
        <row r="2493">
          <cell r="A2493" t="str">
            <v>26-12-2022</v>
          </cell>
          <cell r="B2493" t="str">
            <v>Melatonin</v>
          </cell>
          <cell r="C2493" t="str">
            <v>Sleep Aid</v>
          </cell>
          <cell r="D2493">
            <v>145</v>
          </cell>
          <cell r="E2493">
            <v>32.64</v>
          </cell>
          <cell r="F2493">
            <v>4732.8</v>
          </cell>
          <cell r="G2493">
            <v>0.2</v>
          </cell>
          <cell r="H2493">
            <v>2</v>
          </cell>
          <cell r="I2493" t="str">
            <v>USA</v>
          </cell>
          <cell r="J2493" t="str">
            <v>Walmart</v>
          </cell>
        </row>
        <row r="2494">
          <cell r="A2494" t="str">
            <v>26-12-2022</v>
          </cell>
          <cell r="B2494" t="str">
            <v>Biotin</v>
          </cell>
          <cell r="C2494" t="str">
            <v>Vitamin</v>
          </cell>
          <cell r="D2494">
            <v>156</v>
          </cell>
          <cell r="E2494">
            <v>56.96</v>
          </cell>
          <cell r="F2494">
            <v>8885.76</v>
          </cell>
          <cell r="G2494">
            <v>0.14000000000000001</v>
          </cell>
          <cell r="H2494">
            <v>1</v>
          </cell>
          <cell r="I2494" t="str">
            <v>USA</v>
          </cell>
          <cell r="J2494" t="str">
            <v>Walmart</v>
          </cell>
        </row>
        <row r="2495">
          <cell r="A2495" t="str">
            <v>26-12-2022</v>
          </cell>
          <cell r="B2495" t="str">
            <v>Green Tea Extract</v>
          </cell>
          <cell r="C2495" t="str">
            <v>Fat Burner</v>
          </cell>
          <cell r="D2495">
            <v>146</v>
          </cell>
          <cell r="E2495">
            <v>42.54</v>
          </cell>
          <cell r="F2495">
            <v>6210.84</v>
          </cell>
          <cell r="G2495">
            <v>0.04</v>
          </cell>
          <cell r="H2495">
            <v>0</v>
          </cell>
          <cell r="I2495" t="str">
            <v>UK</v>
          </cell>
          <cell r="J2495" t="str">
            <v>Amazon</v>
          </cell>
        </row>
        <row r="2496">
          <cell r="A2496" t="str">
            <v>26-12-2022</v>
          </cell>
          <cell r="B2496" t="str">
            <v>Iron Supplement</v>
          </cell>
          <cell r="C2496" t="str">
            <v>Mineral</v>
          </cell>
          <cell r="D2496">
            <v>157</v>
          </cell>
          <cell r="E2496">
            <v>34.979999999999997</v>
          </cell>
          <cell r="F2496">
            <v>5491.86</v>
          </cell>
          <cell r="G2496">
            <v>0.19</v>
          </cell>
          <cell r="H2496">
            <v>2</v>
          </cell>
          <cell r="I2496" t="str">
            <v>Canada</v>
          </cell>
          <cell r="J2496" t="str">
            <v>Walmart</v>
          </cell>
        </row>
        <row r="2497">
          <cell r="A2497" t="str">
            <v>26-12-2022</v>
          </cell>
          <cell r="B2497" t="str">
            <v>Electrolyte Powder</v>
          </cell>
          <cell r="C2497" t="str">
            <v>Hydration</v>
          </cell>
          <cell r="D2497">
            <v>129</v>
          </cell>
          <cell r="E2497">
            <v>20.97</v>
          </cell>
          <cell r="F2497">
            <v>2705.13</v>
          </cell>
          <cell r="G2497">
            <v>0.06</v>
          </cell>
          <cell r="H2497">
            <v>1</v>
          </cell>
          <cell r="I2497" t="str">
            <v>Canada</v>
          </cell>
          <cell r="J2497" t="str">
            <v>iHerb</v>
          </cell>
        </row>
        <row r="2498">
          <cell r="A2498" t="str">
            <v>02-01-2023</v>
          </cell>
          <cell r="B2498" t="str">
            <v>Whey Protein</v>
          </cell>
          <cell r="C2498" t="str">
            <v>Protein</v>
          </cell>
          <cell r="D2498">
            <v>150</v>
          </cell>
          <cell r="E2498">
            <v>13.38</v>
          </cell>
          <cell r="F2498">
            <v>2007</v>
          </cell>
          <cell r="G2498">
            <v>0.04</v>
          </cell>
          <cell r="H2498">
            <v>5</v>
          </cell>
          <cell r="I2498" t="str">
            <v>UK</v>
          </cell>
          <cell r="J2498" t="str">
            <v>Walmart</v>
          </cell>
        </row>
        <row r="2499">
          <cell r="A2499" t="str">
            <v>02-01-2023</v>
          </cell>
          <cell r="B2499" t="str">
            <v>Vitamin C</v>
          </cell>
          <cell r="C2499" t="str">
            <v>Vitamin</v>
          </cell>
          <cell r="D2499">
            <v>149</v>
          </cell>
          <cell r="E2499">
            <v>52.44</v>
          </cell>
          <cell r="F2499">
            <v>7813.56</v>
          </cell>
          <cell r="G2499">
            <v>0.13</v>
          </cell>
          <cell r="H2499">
            <v>2</v>
          </cell>
          <cell r="I2499" t="str">
            <v>Canada</v>
          </cell>
          <cell r="J2499" t="str">
            <v>iHerb</v>
          </cell>
        </row>
        <row r="2500">
          <cell r="A2500" t="str">
            <v>02-01-2023</v>
          </cell>
          <cell r="B2500" t="str">
            <v>Fish Oil</v>
          </cell>
          <cell r="C2500" t="str">
            <v>Omega</v>
          </cell>
          <cell r="D2500">
            <v>138</v>
          </cell>
          <cell r="E2500">
            <v>23.62</v>
          </cell>
          <cell r="F2500">
            <v>3259.56</v>
          </cell>
          <cell r="G2500">
            <v>0.21</v>
          </cell>
          <cell r="H2500">
            <v>0</v>
          </cell>
          <cell r="I2500" t="str">
            <v>Canada</v>
          </cell>
          <cell r="J2500" t="str">
            <v>iHerb</v>
          </cell>
        </row>
        <row r="2501">
          <cell r="A2501" t="str">
            <v>02-01-2023</v>
          </cell>
          <cell r="B2501" t="str">
            <v>Multivitamin</v>
          </cell>
          <cell r="C2501" t="str">
            <v>Vitamin</v>
          </cell>
          <cell r="D2501">
            <v>160</v>
          </cell>
          <cell r="E2501">
            <v>54.06</v>
          </cell>
          <cell r="F2501">
            <v>8649.6</v>
          </cell>
          <cell r="G2501">
            <v>0.08</v>
          </cell>
          <cell r="H2501">
            <v>2</v>
          </cell>
          <cell r="I2501" t="str">
            <v>UK</v>
          </cell>
          <cell r="J2501" t="str">
            <v>iHerb</v>
          </cell>
        </row>
        <row r="2502">
          <cell r="A2502" t="str">
            <v>02-01-2023</v>
          </cell>
          <cell r="B2502" t="str">
            <v>Pre-Workout</v>
          </cell>
          <cell r="C2502" t="str">
            <v>Performance</v>
          </cell>
          <cell r="D2502">
            <v>149</v>
          </cell>
          <cell r="E2502">
            <v>42.27</v>
          </cell>
          <cell r="F2502">
            <v>6298.23</v>
          </cell>
          <cell r="G2502">
            <v>0.24</v>
          </cell>
          <cell r="H2502">
            <v>0</v>
          </cell>
          <cell r="I2502" t="str">
            <v>Canada</v>
          </cell>
          <cell r="J2502" t="str">
            <v>Walmart</v>
          </cell>
        </row>
        <row r="2503">
          <cell r="A2503" t="str">
            <v>02-01-2023</v>
          </cell>
          <cell r="B2503" t="str">
            <v>BCAA</v>
          </cell>
          <cell r="C2503" t="str">
            <v>Amino Acid</v>
          </cell>
          <cell r="D2503">
            <v>171</v>
          </cell>
          <cell r="E2503">
            <v>50.37</v>
          </cell>
          <cell r="F2503">
            <v>8613.27</v>
          </cell>
          <cell r="G2503">
            <v>0.1</v>
          </cell>
          <cell r="H2503">
            <v>1</v>
          </cell>
          <cell r="I2503" t="str">
            <v>Canada</v>
          </cell>
          <cell r="J2503" t="str">
            <v>Walmart</v>
          </cell>
        </row>
        <row r="2504">
          <cell r="A2504" t="str">
            <v>02-01-2023</v>
          </cell>
          <cell r="B2504" t="str">
            <v>Creatine</v>
          </cell>
          <cell r="C2504" t="str">
            <v>Performance</v>
          </cell>
          <cell r="D2504">
            <v>166</v>
          </cell>
          <cell r="E2504">
            <v>36.729999999999997</v>
          </cell>
          <cell r="F2504">
            <v>6097.18</v>
          </cell>
          <cell r="G2504">
            <v>0.01</v>
          </cell>
          <cell r="H2504">
            <v>0</v>
          </cell>
          <cell r="I2504" t="str">
            <v>UK</v>
          </cell>
          <cell r="J2504" t="str">
            <v>Walmart</v>
          </cell>
        </row>
        <row r="2505">
          <cell r="A2505" t="str">
            <v>02-01-2023</v>
          </cell>
          <cell r="B2505" t="str">
            <v>Zinc</v>
          </cell>
          <cell r="C2505" t="str">
            <v>Mineral</v>
          </cell>
          <cell r="D2505">
            <v>155</v>
          </cell>
          <cell r="E2505">
            <v>39.130000000000003</v>
          </cell>
          <cell r="F2505">
            <v>6065.15</v>
          </cell>
          <cell r="G2505">
            <v>0.04</v>
          </cell>
          <cell r="H2505">
            <v>1</v>
          </cell>
          <cell r="I2505" t="str">
            <v>UK</v>
          </cell>
          <cell r="J2505" t="str">
            <v>iHerb</v>
          </cell>
        </row>
        <row r="2506">
          <cell r="A2506" t="str">
            <v>02-01-2023</v>
          </cell>
          <cell r="B2506" t="str">
            <v>Collagen Peptides</v>
          </cell>
          <cell r="C2506" t="str">
            <v>Protein</v>
          </cell>
          <cell r="D2506">
            <v>145</v>
          </cell>
          <cell r="E2506">
            <v>53.52</v>
          </cell>
          <cell r="F2506">
            <v>7760.4</v>
          </cell>
          <cell r="G2506">
            <v>0.19</v>
          </cell>
          <cell r="H2506">
            <v>0</v>
          </cell>
          <cell r="I2506" t="str">
            <v>UK</v>
          </cell>
          <cell r="J2506" t="str">
            <v>Amazon</v>
          </cell>
        </row>
        <row r="2507">
          <cell r="A2507" t="str">
            <v>02-01-2023</v>
          </cell>
          <cell r="B2507" t="str">
            <v>Magnesium</v>
          </cell>
          <cell r="C2507" t="str">
            <v>Mineral</v>
          </cell>
          <cell r="D2507">
            <v>168</v>
          </cell>
          <cell r="E2507">
            <v>47.19</v>
          </cell>
          <cell r="F2507">
            <v>7927.92</v>
          </cell>
          <cell r="G2507">
            <v>0.04</v>
          </cell>
          <cell r="H2507">
            <v>2</v>
          </cell>
          <cell r="I2507" t="str">
            <v>Canada</v>
          </cell>
          <cell r="J2507" t="str">
            <v>Amazon</v>
          </cell>
        </row>
        <row r="2508">
          <cell r="A2508" t="str">
            <v>02-01-2023</v>
          </cell>
          <cell r="B2508" t="str">
            <v>Ashwagandha</v>
          </cell>
          <cell r="C2508" t="str">
            <v>Herbal</v>
          </cell>
          <cell r="D2508">
            <v>140</v>
          </cell>
          <cell r="E2508">
            <v>10.84</v>
          </cell>
          <cell r="F2508">
            <v>1517.6</v>
          </cell>
          <cell r="G2508">
            <v>0.04</v>
          </cell>
          <cell r="H2508">
            <v>0</v>
          </cell>
          <cell r="I2508" t="str">
            <v>Canada</v>
          </cell>
          <cell r="J2508" t="str">
            <v>Walmart</v>
          </cell>
        </row>
        <row r="2509">
          <cell r="A2509" t="str">
            <v>02-01-2023</v>
          </cell>
          <cell r="B2509" t="str">
            <v>Melatonin</v>
          </cell>
          <cell r="C2509" t="str">
            <v>Sleep Aid</v>
          </cell>
          <cell r="D2509">
            <v>140</v>
          </cell>
          <cell r="E2509">
            <v>44.6</v>
          </cell>
          <cell r="F2509">
            <v>6244</v>
          </cell>
          <cell r="G2509">
            <v>0.01</v>
          </cell>
          <cell r="H2509">
            <v>2</v>
          </cell>
          <cell r="I2509" t="str">
            <v>UK</v>
          </cell>
          <cell r="J2509" t="str">
            <v>Amazon</v>
          </cell>
        </row>
        <row r="2510">
          <cell r="A2510" t="str">
            <v>02-01-2023</v>
          </cell>
          <cell r="B2510" t="str">
            <v>Biotin</v>
          </cell>
          <cell r="C2510" t="str">
            <v>Vitamin</v>
          </cell>
          <cell r="D2510">
            <v>173</v>
          </cell>
          <cell r="E2510">
            <v>40.72</v>
          </cell>
          <cell r="F2510">
            <v>7044.56</v>
          </cell>
          <cell r="G2510">
            <v>0.01</v>
          </cell>
          <cell r="H2510">
            <v>4</v>
          </cell>
          <cell r="I2510" t="str">
            <v>USA</v>
          </cell>
          <cell r="J2510" t="str">
            <v>Walmart</v>
          </cell>
        </row>
        <row r="2511">
          <cell r="A2511" t="str">
            <v>02-01-2023</v>
          </cell>
          <cell r="B2511" t="str">
            <v>Green Tea Extract</v>
          </cell>
          <cell r="C2511" t="str">
            <v>Fat Burner</v>
          </cell>
          <cell r="D2511">
            <v>151</v>
          </cell>
          <cell r="E2511">
            <v>27.12</v>
          </cell>
          <cell r="F2511">
            <v>4095.12</v>
          </cell>
          <cell r="G2511">
            <v>0.02</v>
          </cell>
          <cell r="H2511">
            <v>1</v>
          </cell>
          <cell r="I2511" t="str">
            <v>UK</v>
          </cell>
          <cell r="J2511" t="str">
            <v>Amazon</v>
          </cell>
        </row>
        <row r="2512">
          <cell r="A2512" t="str">
            <v>02-01-2023</v>
          </cell>
          <cell r="B2512" t="str">
            <v>Iron Supplement</v>
          </cell>
          <cell r="C2512" t="str">
            <v>Mineral</v>
          </cell>
          <cell r="D2512">
            <v>156</v>
          </cell>
          <cell r="E2512">
            <v>29.19</v>
          </cell>
          <cell r="F2512">
            <v>4553.6400000000003</v>
          </cell>
          <cell r="G2512">
            <v>0.03</v>
          </cell>
          <cell r="H2512">
            <v>1</v>
          </cell>
          <cell r="I2512" t="str">
            <v>USA</v>
          </cell>
          <cell r="J2512" t="str">
            <v>iHerb</v>
          </cell>
        </row>
        <row r="2513">
          <cell r="A2513" t="str">
            <v>02-01-2023</v>
          </cell>
          <cell r="B2513" t="str">
            <v>Electrolyte Powder</v>
          </cell>
          <cell r="C2513" t="str">
            <v>Hydration</v>
          </cell>
          <cell r="D2513">
            <v>131</v>
          </cell>
          <cell r="E2513">
            <v>16.760000000000002</v>
          </cell>
          <cell r="F2513">
            <v>2195.56</v>
          </cell>
          <cell r="G2513">
            <v>0.15</v>
          </cell>
          <cell r="H2513">
            <v>1</v>
          </cell>
          <cell r="I2513" t="str">
            <v>UK</v>
          </cell>
          <cell r="J2513" t="str">
            <v>iHerb</v>
          </cell>
        </row>
        <row r="2514">
          <cell r="A2514" t="str">
            <v>09-01-2023</v>
          </cell>
          <cell r="B2514" t="str">
            <v>Whey Protein</v>
          </cell>
          <cell r="C2514" t="str">
            <v>Protein</v>
          </cell>
          <cell r="D2514">
            <v>139</v>
          </cell>
          <cell r="E2514">
            <v>32.85</v>
          </cell>
          <cell r="F2514">
            <v>4566.1499999999996</v>
          </cell>
          <cell r="G2514">
            <v>0.1</v>
          </cell>
          <cell r="H2514">
            <v>1</v>
          </cell>
          <cell r="I2514" t="str">
            <v>USA</v>
          </cell>
          <cell r="J2514" t="str">
            <v>Amazon</v>
          </cell>
        </row>
        <row r="2515">
          <cell r="A2515" t="str">
            <v>09-01-2023</v>
          </cell>
          <cell r="B2515" t="str">
            <v>Vitamin C</v>
          </cell>
          <cell r="C2515" t="str">
            <v>Vitamin</v>
          </cell>
          <cell r="D2515">
            <v>150</v>
          </cell>
          <cell r="E2515">
            <v>37.950000000000003</v>
          </cell>
          <cell r="F2515">
            <v>5692.5</v>
          </cell>
          <cell r="G2515">
            <v>0.17</v>
          </cell>
          <cell r="H2515">
            <v>0</v>
          </cell>
          <cell r="I2515" t="str">
            <v>USA</v>
          </cell>
          <cell r="J2515" t="str">
            <v>Walmart</v>
          </cell>
        </row>
        <row r="2516">
          <cell r="A2516" t="str">
            <v>09-01-2023</v>
          </cell>
          <cell r="B2516" t="str">
            <v>Fish Oil</v>
          </cell>
          <cell r="C2516" t="str">
            <v>Omega</v>
          </cell>
          <cell r="D2516">
            <v>149</v>
          </cell>
          <cell r="E2516">
            <v>19.32</v>
          </cell>
          <cell r="F2516">
            <v>2878.68</v>
          </cell>
          <cell r="G2516">
            <v>0.14000000000000001</v>
          </cell>
          <cell r="H2516">
            <v>3</v>
          </cell>
          <cell r="I2516" t="str">
            <v>Canada</v>
          </cell>
          <cell r="J2516" t="str">
            <v>iHerb</v>
          </cell>
        </row>
        <row r="2517">
          <cell r="A2517" t="str">
            <v>09-01-2023</v>
          </cell>
          <cell r="B2517" t="str">
            <v>Multivitamin</v>
          </cell>
          <cell r="C2517" t="str">
            <v>Vitamin</v>
          </cell>
          <cell r="D2517">
            <v>167</v>
          </cell>
          <cell r="E2517">
            <v>30.96</v>
          </cell>
          <cell r="F2517">
            <v>5170.32</v>
          </cell>
          <cell r="G2517">
            <v>0.15</v>
          </cell>
          <cell r="H2517">
            <v>0</v>
          </cell>
          <cell r="I2517" t="str">
            <v>UK</v>
          </cell>
          <cell r="J2517" t="str">
            <v>Walmart</v>
          </cell>
        </row>
        <row r="2518">
          <cell r="A2518" t="str">
            <v>09-01-2023</v>
          </cell>
          <cell r="B2518" t="str">
            <v>Pre-Workout</v>
          </cell>
          <cell r="C2518" t="str">
            <v>Performance</v>
          </cell>
          <cell r="D2518">
            <v>160</v>
          </cell>
          <cell r="E2518">
            <v>55.17</v>
          </cell>
          <cell r="F2518">
            <v>8827.2000000000007</v>
          </cell>
          <cell r="G2518">
            <v>0</v>
          </cell>
          <cell r="H2518">
            <v>1</v>
          </cell>
          <cell r="I2518" t="str">
            <v>USA</v>
          </cell>
          <cell r="J2518" t="str">
            <v>Walmart</v>
          </cell>
        </row>
        <row r="2519">
          <cell r="A2519" t="str">
            <v>09-01-2023</v>
          </cell>
          <cell r="B2519" t="str">
            <v>BCAA</v>
          </cell>
          <cell r="C2519" t="str">
            <v>Amino Acid</v>
          </cell>
          <cell r="D2519">
            <v>163</v>
          </cell>
          <cell r="E2519">
            <v>54.72</v>
          </cell>
          <cell r="F2519">
            <v>8919.36</v>
          </cell>
          <cell r="G2519">
            <v>0.01</v>
          </cell>
          <cell r="H2519">
            <v>2</v>
          </cell>
          <cell r="I2519" t="str">
            <v>USA</v>
          </cell>
          <cell r="J2519" t="str">
            <v>Amazon</v>
          </cell>
        </row>
        <row r="2520">
          <cell r="A2520" t="str">
            <v>09-01-2023</v>
          </cell>
          <cell r="B2520" t="str">
            <v>Creatine</v>
          </cell>
          <cell r="C2520" t="str">
            <v>Performance</v>
          </cell>
          <cell r="D2520">
            <v>152</v>
          </cell>
          <cell r="E2520">
            <v>35.68</v>
          </cell>
          <cell r="F2520">
            <v>5423.36</v>
          </cell>
          <cell r="G2520">
            <v>0.15</v>
          </cell>
          <cell r="H2520">
            <v>0</v>
          </cell>
          <cell r="I2520" t="str">
            <v>UK</v>
          </cell>
          <cell r="J2520" t="str">
            <v>Amazon</v>
          </cell>
        </row>
        <row r="2521">
          <cell r="A2521" t="str">
            <v>09-01-2023</v>
          </cell>
          <cell r="B2521" t="str">
            <v>Zinc</v>
          </cell>
          <cell r="C2521" t="str">
            <v>Mineral</v>
          </cell>
          <cell r="D2521">
            <v>141</v>
          </cell>
          <cell r="E2521">
            <v>33.42</v>
          </cell>
          <cell r="F2521">
            <v>4712.22</v>
          </cell>
          <cell r="G2521">
            <v>0.21</v>
          </cell>
          <cell r="H2521">
            <v>1</v>
          </cell>
          <cell r="I2521" t="str">
            <v>Canada</v>
          </cell>
          <cell r="J2521" t="str">
            <v>Walmart</v>
          </cell>
        </row>
        <row r="2522">
          <cell r="A2522" t="str">
            <v>09-01-2023</v>
          </cell>
          <cell r="B2522" t="str">
            <v>Collagen Peptides</v>
          </cell>
          <cell r="C2522" t="str">
            <v>Protein</v>
          </cell>
          <cell r="D2522">
            <v>170</v>
          </cell>
          <cell r="E2522">
            <v>48.54</v>
          </cell>
          <cell r="F2522">
            <v>8251.7999999999993</v>
          </cell>
          <cell r="G2522">
            <v>0.03</v>
          </cell>
          <cell r="H2522">
            <v>0</v>
          </cell>
          <cell r="I2522" t="str">
            <v>USA</v>
          </cell>
          <cell r="J2522" t="str">
            <v>Walmart</v>
          </cell>
        </row>
        <row r="2523">
          <cell r="A2523" t="str">
            <v>09-01-2023</v>
          </cell>
          <cell r="B2523" t="str">
            <v>Magnesium</v>
          </cell>
          <cell r="C2523" t="str">
            <v>Mineral</v>
          </cell>
          <cell r="D2523">
            <v>141</v>
          </cell>
          <cell r="E2523">
            <v>50.97</v>
          </cell>
          <cell r="F2523">
            <v>7186.77</v>
          </cell>
          <cell r="G2523">
            <v>0.18</v>
          </cell>
          <cell r="H2523">
            <v>4</v>
          </cell>
          <cell r="I2523" t="str">
            <v>UK</v>
          </cell>
          <cell r="J2523" t="str">
            <v>iHerb</v>
          </cell>
        </row>
        <row r="2524">
          <cell r="A2524" t="str">
            <v>09-01-2023</v>
          </cell>
          <cell r="B2524" t="str">
            <v>Ashwagandha</v>
          </cell>
          <cell r="C2524" t="str">
            <v>Herbal</v>
          </cell>
          <cell r="D2524">
            <v>158</v>
          </cell>
          <cell r="E2524">
            <v>44.95</v>
          </cell>
          <cell r="F2524">
            <v>7102.1</v>
          </cell>
          <cell r="G2524">
            <v>0.25</v>
          </cell>
          <cell r="H2524">
            <v>2</v>
          </cell>
          <cell r="I2524" t="str">
            <v>USA</v>
          </cell>
          <cell r="J2524" t="str">
            <v>Amazon</v>
          </cell>
        </row>
        <row r="2525">
          <cell r="A2525" t="str">
            <v>09-01-2023</v>
          </cell>
          <cell r="B2525" t="str">
            <v>Melatonin</v>
          </cell>
          <cell r="C2525" t="str">
            <v>Sleep Aid</v>
          </cell>
          <cell r="D2525">
            <v>133</v>
          </cell>
          <cell r="E2525">
            <v>52.54</v>
          </cell>
          <cell r="F2525">
            <v>6987.82</v>
          </cell>
          <cell r="G2525">
            <v>0.24</v>
          </cell>
          <cell r="H2525">
            <v>0</v>
          </cell>
          <cell r="I2525" t="str">
            <v>UK</v>
          </cell>
          <cell r="J2525" t="str">
            <v>iHerb</v>
          </cell>
        </row>
        <row r="2526">
          <cell r="A2526" t="str">
            <v>09-01-2023</v>
          </cell>
          <cell r="B2526" t="str">
            <v>Biotin</v>
          </cell>
          <cell r="C2526" t="str">
            <v>Vitamin</v>
          </cell>
          <cell r="D2526">
            <v>150</v>
          </cell>
          <cell r="E2526">
            <v>22.37</v>
          </cell>
          <cell r="F2526">
            <v>3355.5</v>
          </cell>
          <cell r="G2526">
            <v>0.15</v>
          </cell>
          <cell r="H2526">
            <v>1</v>
          </cell>
          <cell r="I2526" t="str">
            <v>USA</v>
          </cell>
          <cell r="J2526" t="str">
            <v>Amazon</v>
          </cell>
        </row>
        <row r="2527">
          <cell r="A2527" t="str">
            <v>09-01-2023</v>
          </cell>
          <cell r="B2527" t="str">
            <v>Green Tea Extract</v>
          </cell>
          <cell r="C2527" t="str">
            <v>Fat Burner</v>
          </cell>
          <cell r="D2527">
            <v>144</v>
          </cell>
          <cell r="E2527">
            <v>36.46</v>
          </cell>
          <cell r="F2527">
            <v>5250.24</v>
          </cell>
          <cell r="G2527">
            <v>0.11</v>
          </cell>
          <cell r="H2527">
            <v>1</v>
          </cell>
          <cell r="I2527" t="str">
            <v>Canada</v>
          </cell>
          <cell r="J2527" t="str">
            <v>iHerb</v>
          </cell>
        </row>
        <row r="2528">
          <cell r="A2528" t="str">
            <v>09-01-2023</v>
          </cell>
          <cell r="B2528" t="str">
            <v>Iron Supplement</v>
          </cell>
          <cell r="C2528" t="str">
            <v>Mineral</v>
          </cell>
          <cell r="D2528">
            <v>143</v>
          </cell>
          <cell r="E2528">
            <v>12.37</v>
          </cell>
          <cell r="F2528">
            <v>1768.91</v>
          </cell>
          <cell r="G2528">
            <v>0.05</v>
          </cell>
          <cell r="H2528">
            <v>2</v>
          </cell>
          <cell r="I2528" t="str">
            <v>UK</v>
          </cell>
          <cell r="J2528" t="str">
            <v>Walmart</v>
          </cell>
        </row>
        <row r="2529">
          <cell r="A2529" t="str">
            <v>09-01-2023</v>
          </cell>
          <cell r="B2529" t="str">
            <v>Electrolyte Powder</v>
          </cell>
          <cell r="C2529" t="str">
            <v>Hydration</v>
          </cell>
          <cell r="D2529">
            <v>161</v>
          </cell>
          <cell r="E2529">
            <v>15.43</v>
          </cell>
          <cell r="F2529">
            <v>2484.23</v>
          </cell>
          <cell r="G2529">
            <v>0.19</v>
          </cell>
          <cell r="H2529">
            <v>1</v>
          </cell>
          <cell r="I2529" t="str">
            <v>UK</v>
          </cell>
          <cell r="J2529" t="str">
            <v>iHerb</v>
          </cell>
        </row>
        <row r="2530">
          <cell r="A2530" t="str">
            <v>16-01-2023</v>
          </cell>
          <cell r="B2530" t="str">
            <v>Whey Protein</v>
          </cell>
          <cell r="C2530" t="str">
            <v>Protein</v>
          </cell>
          <cell r="D2530">
            <v>178</v>
          </cell>
          <cell r="E2530">
            <v>26.34</v>
          </cell>
          <cell r="F2530">
            <v>4688.5200000000004</v>
          </cell>
          <cell r="G2530">
            <v>7.0000000000000007E-2</v>
          </cell>
          <cell r="H2530">
            <v>2</v>
          </cell>
          <cell r="I2530" t="str">
            <v>USA</v>
          </cell>
          <cell r="J2530" t="str">
            <v>Walmart</v>
          </cell>
        </row>
        <row r="2531">
          <cell r="A2531" t="str">
            <v>16-01-2023</v>
          </cell>
          <cell r="B2531" t="str">
            <v>Vitamin C</v>
          </cell>
          <cell r="C2531" t="str">
            <v>Vitamin</v>
          </cell>
          <cell r="D2531">
            <v>129</v>
          </cell>
          <cell r="E2531">
            <v>18.79</v>
          </cell>
          <cell r="F2531">
            <v>2423.91</v>
          </cell>
          <cell r="G2531">
            <v>0.19</v>
          </cell>
          <cell r="H2531">
            <v>1</v>
          </cell>
          <cell r="I2531" t="str">
            <v>USA</v>
          </cell>
          <cell r="J2531" t="str">
            <v>iHerb</v>
          </cell>
        </row>
        <row r="2532">
          <cell r="A2532" t="str">
            <v>16-01-2023</v>
          </cell>
          <cell r="B2532" t="str">
            <v>Fish Oil</v>
          </cell>
          <cell r="C2532" t="str">
            <v>Omega</v>
          </cell>
          <cell r="D2532">
            <v>147</v>
          </cell>
          <cell r="E2532">
            <v>20.71</v>
          </cell>
          <cell r="F2532">
            <v>3044.37</v>
          </cell>
          <cell r="G2532">
            <v>0.14000000000000001</v>
          </cell>
          <cell r="H2532">
            <v>4</v>
          </cell>
          <cell r="I2532" t="str">
            <v>USA</v>
          </cell>
          <cell r="J2532" t="str">
            <v>iHerb</v>
          </cell>
        </row>
        <row r="2533">
          <cell r="A2533" t="str">
            <v>16-01-2023</v>
          </cell>
          <cell r="B2533" t="str">
            <v>Multivitamin</v>
          </cell>
          <cell r="C2533" t="str">
            <v>Vitamin</v>
          </cell>
          <cell r="D2533">
            <v>128</v>
          </cell>
          <cell r="E2533">
            <v>22.15</v>
          </cell>
          <cell r="F2533">
            <v>2835.2</v>
          </cell>
          <cell r="G2533">
            <v>0.06</v>
          </cell>
          <cell r="H2533">
            <v>1</v>
          </cell>
          <cell r="I2533" t="str">
            <v>UK</v>
          </cell>
          <cell r="J2533" t="str">
            <v>Amazon</v>
          </cell>
        </row>
        <row r="2534">
          <cell r="A2534" t="str">
            <v>16-01-2023</v>
          </cell>
          <cell r="B2534" t="str">
            <v>Pre-Workout</v>
          </cell>
          <cell r="C2534" t="str">
            <v>Performance</v>
          </cell>
          <cell r="D2534">
            <v>138</v>
          </cell>
          <cell r="E2534">
            <v>41.84</v>
          </cell>
          <cell r="F2534">
            <v>5773.92</v>
          </cell>
          <cell r="G2534">
            <v>0.13</v>
          </cell>
          <cell r="H2534">
            <v>1</v>
          </cell>
          <cell r="I2534" t="str">
            <v>USA</v>
          </cell>
          <cell r="J2534" t="str">
            <v>Walmart</v>
          </cell>
        </row>
        <row r="2535">
          <cell r="A2535" t="str">
            <v>16-01-2023</v>
          </cell>
          <cell r="B2535" t="str">
            <v>BCAA</v>
          </cell>
          <cell r="C2535" t="str">
            <v>Amino Acid</v>
          </cell>
          <cell r="D2535">
            <v>138</v>
          </cell>
          <cell r="E2535">
            <v>30.06</v>
          </cell>
          <cell r="F2535">
            <v>4148.28</v>
          </cell>
          <cell r="G2535">
            <v>0.2</v>
          </cell>
          <cell r="H2535">
            <v>2</v>
          </cell>
          <cell r="I2535" t="str">
            <v>UK</v>
          </cell>
          <cell r="J2535" t="str">
            <v>Amazon</v>
          </cell>
        </row>
        <row r="2536">
          <cell r="A2536" t="str">
            <v>16-01-2023</v>
          </cell>
          <cell r="B2536" t="str">
            <v>Creatine</v>
          </cell>
          <cell r="C2536" t="str">
            <v>Performance</v>
          </cell>
          <cell r="D2536">
            <v>134</v>
          </cell>
          <cell r="E2536">
            <v>55.41</v>
          </cell>
          <cell r="F2536">
            <v>7424.94</v>
          </cell>
          <cell r="G2536">
            <v>0.13</v>
          </cell>
          <cell r="H2536">
            <v>3</v>
          </cell>
          <cell r="I2536" t="str">
            <v>Canada</v>
          </cell>
          <cell r="J2536" t="str">
            <v>Amazon</v>
          </cell>
        </row>
        <row r="2537">
          <cell r="A2537" t="str">
            <v>16-01-2023</v>
          </cell>
          <cell r="B2537" t="str">
            <v>Zinc</v>
          </cell>
          <cell r="C2537" t="str">
            <v>Mineral</v>
          </cell>
          <cell r="D2537">
            <v>125</v>
          </cell>
          <cell r="E2537">
            <v>36.97</v>
          </cell>
          <cell r="F2537">
            <v>4621.25</v>
          </cell>
          <cell r="G2537">
            <v>0.22</v>
          </cell>
          <cell r="H2537">
            <v>0</v>
          </cell>
          <cell r="I2537" t="str">
            <v>UK</v>
          </cell>
          <cell r="J2537" t="str">
            <v>Walmart</v>
          </cell>
        </row>
        <row r="2538">
          <cell r="A2538" t="str">
            <v>16-01-2023</v>
          </cell>
          <cell r="B2538" t="str">
            <v>Collagen Peptides</v>
          </cell>
          <cell r="C2538" t="str">
            <v>Protein</v>
          </cell>
          <cell r="D2538">
            <v>140</v>
          </cell>
          <cell r="E2538">
            <v>53.29</v>
          </cell>
          <cell r="F2538">
            <v>7460.6</v>
          </cell>
          <cell r="G2538">
            <v>0.23</v>
          </cell>
          <cell r="H2538">
            <v>5</v>
          </cell>
          <cell r="I2538" t="str">
            <v>UK</v>
          </cell>
          <cell r="J2538" t="str">
            <v>iHerb</v>
          </cell>
        </row>
        <row r="2539">
          <cell r="A2539" t="str">
            <v>16-01-2023</v>
          </cell>
          <cell r="B2539" t="str">
            <v>Magnesium</v>
          </cell>
          <cell r="C2539" t="str">
            <v>Mineral</v>
          </cell>
          <cell r="D2539">
            <v>181</v>
          </cell>
          <cell r="E2539">
            <v>12.39</v>
          </cell>
          <cell r="F2539">
            <v>2242.59</v>
          </cell>
          <cell r="G2539">
            <v>0.04</v>
          </cell>
          <cell r="H2539">
            <v>1</v>
          </cell>
          <cell r="I2539" t="str">
            <v>UK</v>
          </cell>
          <cell r="J2539" t="str">
            <v>Walmart</v>
          </cell>
        </row>
        <row r="2540">
          <cell r="A2540" t="str">
            <v>16-01-2023</v>
          </cell>
          <cell r="B2540" t="str">
            <v>Ashwagandha</v>
          </cell>
          <cell r="C2540" t="str">
            <v>Herbal</v>
          </cell>
          <cell r="D2540">
            <v>137</v>
          </cell>
          <cell r="E2540">
            <v>55.87</v>
          </cell>
          <cell r="F2540">
            <v>7654.19</v>
          </cell>
          <cell r="G2540">
            <v>0.12</v>
          </cell>
          <cell r="H2540">
            <v>0</v>
          </cell>
          <cell r="I2540" t="str">
            <v>USA</v>
          </cell>
          <cell r="J2540" t="str">
            <v>Walmart</v>
          </cell>
        </row>
        <row r="2541">
          <cell r="A2541" t="str">
            <v>16-01-2023</v>
          </cell>
          <cell r="B2541" t="str">
            <v>Melatonin</v>
          </cell>
          <cell r="C2541" t="str">
            <v>Sleep Aid</v>
          </cell>
          <cell r="D2541">
            <v>148</v>
          </cell>
          <cell r="E2541">
            <v>38.880000000000003</v>
          </cell>
          <cell r="F2541">
            <v>5754.24</v>
          </cell>
          <cell r="G2541">
            <v>0.11</v>
          </cell>
          <cell r="H2541">
            <v>0</v>
          </cell>
          <cell r="I2541" t="str">
            <v>UK</v>
          </cell>
          <cell r="J2541" t="str">
            <v>iHerb</v>
          </cell>
        </row>
        <row r="2542">
          <cell r="A2542" t="str">
            <v>16-01-2023</v>
          </cell>
          <cell r="B2542" t="str">
            <v>Biotin</v>
          </cell>
          <cell r="C2542" t="str">
            <v>Vitamin</v>
          </cell>
          <cell r="D2542">
            <v>149</v>
          </cell>
          <cell r="E2542">
            <v>17.79</v>
          </cell>
          <cell r="F2542">
            <v>2650.71</v>
          </cell>
          <cell r="G2542">
            <v>0.05</v>
          </cell>
          <cell r="H2542">
            <v>2</v>
          </cell>
          <cell r="I2542" t="str">
            <v>USA</v>
          </cell>
          <cell r="J2542" t="str">
            <v>iHerb</v>
          </cell>
        </row>
        <row r="2543">
          <cell r="A2543" t="str">
            <v>16-01-2023</v>
          </cell>
          <cell r="B2543" t="str">
            <v>Green Tea Extract</v>
          </cell>
          <cell r="C2543" t="str">
            <v>Fat Burner</v>
          </cell>
          <cell r="D2543">
            <v>141</v>
          </cell>
          <cell r="E2543">
            <v>23.58</v>
          </cell>
          <cell r="F2543">
            <v>3324.78</v>
          </cell>
          <cell r="G2543">
            <v>0.01</v>
          </cell>
          <cell r="H2543">
            <v>1</v>
          </cell>
          <cell r="I2543" t="str">
            <v>Canada</v>
          </cell>
          <cell r="J2543" t="str">
            <v>iHerb</v>
          </cell>
        </row>
        <row r="2544">
          <cell r="A2544" t="str">
            <v>16-01-2023</v>
          </cell>
          <cell r="B2544" t="str">
            <v>Iron Supplement</v>
          </cell>
          <cell r="C2544" t="str">
            <v>Mineral</v>
          </cell>
          <cell r="D2544">
            <v>138</v>
          </cell>
          <cell r="E2544">
            <v>42.06</v>
          </cell>
          <cell r="F2544">
            <v>5804.28</v>
          </cell>
          <cell r="G2544">
            <v>0.23</v>
          </cell>
          <cell r="H2544">
            <v>2</v>
          </cell>
          <cell r="I2544" t="str">
            <v>USA</v>
          </cell>
          <cell r="J2544" t="str">
            <v>Walmart</v>
          </cell>
        </row>
        <row r="2545">
          <cell r="A2545" t="str">
            <v>16-01-2023</v>
          </cell>
          <cell r="B2545" t="str">
            <v>Electrolyte Powder</v>
          </cell>
          <cell r="C2545" t="str">
            <v>Hydration</v>
          </cell>
          <cell r="D2545">
            <v>137</v>
          </cell>
          <cell r="E2545">
            <v>42.09</v>
          </cell>
          <cell r="F2545">
            <v>5766.33</v>
          </cell>
          <cell r="G2545">
            <v>0.17</v>
          </cell>
          <cell r="H2545">
            <v>2</v>
          </cell>
          <cell r="I2545" t="str">
            <v>UK</v>
          </cell>
          <cell r="J2545" t="str">
            <v>Amazon</v>
          </cell>
        </row>
        <row r="2546">
          <cell r="A2546" t="str">
            <v>23-01-2023</v>
          </cell>
          <cell r="B2546" t="str">
            <v>Whey Protein</v>
          </cell>
          <cell r="C2546" t="str">
            <v>Protein</v>
          </cell>
          <cell r="D2546">
            <v>153</v>
          </cell>
          <cell r="E2546">
            <v>41.83</v>
          </cell>
          <cell r="F2546">
            <v>6399.99</v>
          </cell>
          <cell r="G2546">
            <v>7.0000000000000007E-2</v>
          </cell>
          <cell r="H2546">
            <v>0</v>
          </cell>
          <cell r="I2546" t="str">
            <v>USA</v>
          </cell>
          <cell r="J2546" t="str">
            <v>iHerb</v>
          </cell>
        </row>
        <row r="2547">
          <cell r="A2547" t="str">
            <v>23-01-2023</v>
          </cell>
          <cell r="B2547" t="str">
            <v>Vitamin C</v>
          </cell>
          <cell r="C2547" t="str">
            <v>Vitamin</v>
          </cell>
          <cell r="D2547">
            <v>154</v>
          </cell>
          <cell r="E2547">
            <v>14</v>
          </cell>
          <cell r="F2547">
            <v>2156</v>
          </cell>
          <cell r="G2547">
            <v>0</v>
          </cell>
          <cell r="H2547">
            <v>2</v>
          </cell>
          <cell r="I2547" t="str">
            <v>Canada</v>
          </cell>
          <cell r="J2547" t="str">
            <v>Walmart</v>
          </cell>
        </row>
        <row r="2548">
          <cell r="A2548" t="str">
            <v>23-01-2023</v>
          </cell>
          <cell r="B2548" t="str">
            <v>Fish Oil</v>
          </cell>
          <cell r="C2548" t="str">
            <v>Omega</v>
          </cell>
          <cell r="D2548">
            <v>145</v>
          </cell>
          <cell r="E2548">
            <v>28.76</v>
          </cell>
          <cell r="F2548">
            <v>4170.2</v>
          </cell>
          <cell r="G2548">
            <v>0.12</v>
          </cell>
          <cell r="H2548">
            <v>1</v>
          </cell>
          <cell r="I2548" t="str">
            <v>UK</v>
          </cell>
          <cell r="J2548" t="str">
            <v>iHerb</v>
          </cell>
        </row>
        <row r="2549">
          <cell r="A2549" t="str">
            <v>23-01-2023</v>
          </cell>
          <cell r="B2549" t="str">
            <v>Multivitamin</v>
          </cell>
          <cell r="C2549" t="str">
            <v>Vitamin</v>
          </cell>
          <cell r="D2549">
            <v>155</v>
          </cell>
          <cell r="E2549">
            <v>58.19</v>
          </cell>
          <cell r="F2549">
            <v>9019.4500000000007</v>
          </cell>
          <cell r="G2549">
            <v>0.23</v>
          </cell>
          <cell r="H2549">
            <v>3</v>
          </cell>
          <cell r="I2549" t="str">
            <v>Canada</v>
          </cell>
          <cell r="J2549" t="str">
            <v>iHerb</v>
          </cell>
        </row>
        <row r="2550">
          <cell r="A2550" t="str">
            <v>23-01-2023</v>
          </cell>
          <cell r="B2550" t="str">
            <v>Pre-Workout</v>
          </cell>
          <cell r="C2550" t="str">
            <v>Performance</v>
          </cell>
          <cell r="D2550">
            <v>171</v>
          </cell>
          <cell r="E2550">
            <v>36.82</v>
          </cell>
          <cell r="F2550">
            <v>6296.22</v>
          </cell>
          <cell r="G2550">
            <v>0.19</v>
          </cell>
          <cell r="H2550">
            <v>2</v>
          </cell>
          <cell r="I2550" t="str">
            <v>UK</v>
          </cell>
          <cell r="J2550" t="str">
            <v>iHerb</v>
          </cell>
        </row>
        <row r="2551">
          <cell r="A2551" t="str">
            <v>23-01-2023</v>
          </cell>
          <cell r="B2551" t="str">
            <v>BCAA</v>
          </cell>
          <cell r="C2551" t="str">
            <v>Amino Acid</v>
          </cell>
          <cell r="D2551">
            <v>168</v>
          </cell>
          <cell r="E2551">
            <v>59.89</v>
          </cell>
          <cell r="F2551">
            <v>10061.52</v>
          </cell>
          <cell r="G2551">
            <v>0.09</v>
          </cell>
          <cell r="H2551">
            <v>3</v>
          </cell>
          <cell r="I2551" t="str">
            <v>Canada</v>
          </cell>
          <cell r="J2551" t="str">
            <v>Amazon</v>
          </cell>
        </row>
        <row r="2552">
          <cell r="A2552" t="str">
            <v>23-01-2023</v>
          </cell>
          <cell r="B2552" t="str">
            <v>Creatine</v>
          </cell>
          <cell r="C2552" t="str">
            <v>Performance</v>
          </cell>
          <cell r="D2552">
            <v>157</v>
          </cell>
          <cell r="E2552">
            <v>26.29</v>
          </cell>
          <cell r="F2552">
            <v>4127.53</v>
          </cell>
          <cell r="G2552">
            <v>0.2</v>
          </cell>
          <cell r="H2552">
            <v>3</v>
          </cell>
          <cell r="I2552" t="str">
            <v>UK</v>
          </cell>
          <cell r="J2552" t="str">
            <v>Walmart</v>
          </cell>
        </row>
        <row r="2553">
          <cell r="A2553" t="str">
            <v>23-01-2023</v>
          </cell>
          <cell r="B2553" t="str">
            <v>Zinc</v>
          </cell>
          <cell r="C2553" t="str">
            <v>Mineral</v>
          </cell>
          <cell r="D2553">
            <v>139</v>
          </cell>
          <cell r="E2553">
            <v>29.61</v>
          </cell>
          <cell r="F2553">
            <v>4115.79</v>
          </cell>
          <cell r="G2553">
            <v>0.25</v>
          </cell>
          <cell r="H2553">
            <v>1</v>
          </cell>
          <cell r="I2553" t="str">
            <v>USA</v>
          </cell>
          <cell r="J2553" t="str">
            <v>Amazon</v>
          </cell>
        </row>
        <row r="2554">
          <cell r="A2554" t="str">
            <v>23-01-2023</v>
          </cell>
          <cell r="B2554" t="str">
            <v>Collagen Peptides</v>
          </cell>
          <cell r="C2554" t="str">
            <v>Protein</v>
          </cell>
          <cell r="D2554">
            <v>140</v>
          </cell>
          <cell r="E2554">
            <v>42.69</v>
          </cell>
          <cell r="F2554">
            <v>5976.6</v>
          </cell>
          <cell r="G2554">
            <v>0.02</v>
          </cell>
          <cell r="H2554">
            <v>2</v>
          </cell>
          <cell r="I2554" t="str">
            <v>UK</v>
          </cell>
          <cell r="J2554" t="str">
            <v>Walmart</v>
          </cell>
        </row>
        <row r="2555">
          <cell r="A2555" t="str">
            <v>23-01-2023</v>
          </cell>
          <cell r="B2555" t="str">
            <v>Magnesium</v>
          </cell>
          <cell r="C2555" t="str">
            <v>Mineral</v>
          </cell>
          <cell r="D2555">
            <v>173</v>
          </cell>
          <cell r="E2555">
            <v>13.38</v>
          </cell>
          <cell r="F2555">
            <v>2314.7399999999998</v>
          </cell>
          <cell r="G2555">
            <v>0.25</v>
          </cell>
          <cell r="H2555">
            <v>2</v>
          </cell>
          <cell r="I2555" t="str">
            <v>UK</v>
          </cell>
          <cell r="J2555" t="str">
            <v>iHerb</v>
          </cell>
        </row>
        <row r="2556">
          <cell r="A2556" t="str">
            <v>23-01-2023</v>
          </cell>
          <cell r="B2556" t="str">
            <v>Ashwagandha</v>
          </cell>
          <cell r="C2556" t="str">
            <v>Herbal</v>
          </cell>
          <cell r="D2556">
            <v>136</v>
          </cell>
          <cell r="E2556">
            <v>18.559999999999999</v>
          </cell>
          <cell r="F2556">
            <v>2524.16</v>
          </cell>
          <cell r="G2556">
            <v>0.21</v>
          </cell>
          <cell r="H2556">
            <v>0</v>
          </cell>
          <cell r="I2556" t="str">
            <v>UK</v>
          </cell>
          <cell r="J2556" t="str">
            <v>iHerb</v>
          </cell>
        </row>
        <row r="2557">
          <cell r="A2557" t="str">
            <v>23-01-2023</v>
          </cell>
          <cell r="B2557" t="str">
            <v>Melatonin</v>
          </cell>
          <cell r="C2557" t="str">
            <v>Sleep Aid</v>
          </cell>
          <cell r="D2557">
            <v>140</v>
          </cell>
          <cell r="E2557">
            <v>39.31</v>
          </cell>
          <cell r="F2557">
            <v>5503.4</v>
          </cell>
          <cell r="G2557">
            <v>0.2</v>
          </cell>
          <cell r="H2557">
            <v>2</v>
          </cell>
          <cell r="I2557" t="str">
            <v>USA</v>
          </cell>
          <cell r="J2557" t="str">
            <v>iHerb</v>
          </cell>
        </row>
        <row r="2558">
          <cell r="A2558" t="str">
            <v>23-01-2023</v>
          </cell>
          <cell r="B2558" t="str">
            <v>Biotin</v>
          </cell>
          <cell r="C2558" t="str">
            <v>Vitamin</v>
          </cell>
          <cell r="D2558">
            <v>139</v>
          </cell>
          <cell r="E2558">
            <v>42.21</v>
          </cell>
          <cell r="F2558">
            <v>5867.19</v>
          </cell>
          <cell r="G2558">
            <v>0.04</v>
          </cell>
          <cell r="H2558">
            <v>4</v>
          </cell>
          <cell r="I2558" t="str">
            <v>UK</v>
          </cell>
          <cell r="J2558" t="str">
            <v>iHerb</v>
          </cell>
        </row>
        <row r="2559">
          <cell r="A2559" t="str">
            <v>23-01-2023</v>
          </cell>
          <cell r="B2559" t="str">
            <v>Green Tea Extract</v>
          </cell>
          <cell r="C2559" t="str">
            <v>Fat Burner</v>
          </cell>
          <cell r="D2559">
            <v>150</v>
          </cell>
          <cell r="E2559">
            <v>56.86</v>
          </cell>
          <cell r="F2559">
            <v>8529</v>
          </cell>
          <cell r="G2559">
            <v>0.15</v>
          </cell>
          <cell r="H2559">
            <v>2</v>
          </cell>
          <cell r="I2559" t="str">
            <v>Canada</v>
          </cell>
          <cell r="J2559" t="str">
            <v>Amazon</v>
          </cell>
        </row>
        <row r="2560">
          <cell r="A2560" t="str">
            <v>23-01-2023</v>
          </cell>
          <cell r="B2560" t="str">
            <v>Iron Supplement</v>
          </cell>
          <cell r="C2560" t="str">
            <v>Mineral</v>
          </cell>
          <cell r="D2560">
            <v>151</v>
          </cell>
          <cell r="E2560">
            <v>11.66</v>
          </cell>
          <cell r="F2560">
            <v>1760.66</v>
          </cell>
          <cell r="G2560">
            <v>7.0000000000000007E-2</v>
          </cell>
          <cell r="H2560">
            <v>1</v>
          </cell>
          <cell r="I2560" t="str">
            <v>UK</v>
          </cell>
          <cell r="J2560" t="str">
            <v>iHerb</v>
          </cell>
        </row>
        <row r="2561">
          <cell r="A2561" t="str">
            <v>23-01-2023</v>
          </cell>
          <cell r="B2561" t="str">
            <v>Electrolyte Powder</v>
          </cell>
          <cell r="C2561" t="str">
            <v>Hydration</v>
          </cell>
          <cell r="D2561">
            <v>128</v>
          </cell>
          <cell r="E2561">
            <v>29.68</v>
          </cell>
          <cell r="F2561">
            <v>3799.04</v>
          </cell>
          <cell r="G2561">
            <v>7.0000000000000007E-2</v>
          </cell>
          <cell r="H2561">
            <v>0</v>
          </cell>
          <cell r="I2561" t="str">
            <v>Canada</v>
          </cell>
          <cell r="J2561" t="str">
            <v>iHerb</v>
          </cell>
        </row>
        <row r="2562">
          <cell r="A2562" t="str">
            <v>30-01-2023</v>
          </cell>
          <cell r="B2562" t="str">
            <v>Whey Protein</v>
          </cell>
          <cell r="C2562" t="str">
            <v>Protein</v>
          </cell>
          <cell r="D2562">
            <v>158</v>
          </cell>
          <cell r="E2562">
            <v>29.75</v>
          </cell>
          <cell r="F2562">
            <v>4700.5</v>
          </cell>
          <cell r="G2562">
            <v>0.14000000000000001</v>
          </cell>
          <cell r="H2562">
            <v>1</v>
          </cell>
          <cell r="I2562" t="str">
            <v>UK</v>
          </cell>
          <cell r="J2562" t="str">
            <v>Amazon</v>
          </cell>
        </row>
        <row r="2563">
          <cell r="A2563" t="str">
            <v>30-01-2023</v>
          </cell>
          <cell r="B2563" t="str">
            <v>Vitamin C</v>
          </cell>
          <cell r="C2563" t="str">
            <v>Vitamin</v>
          </cell>
          <cell r="D2563">
            <v>154</v>
          </cell>
          <cell r="E2563">
            <v>34.43</v>
          </cell>
          <cell r="F2563">
            <v>5302.22</v>
          </cell>
          <cell r="G2563">
            <v>0.16</v>
          </cell>
          <cell r="H2563">
            <v>3</v>
          </cell>
          <cell r="I2563" t="str">
            <v>Canada</v>
          </cell>
          <cell r="J2563" t="str">
            <v>iHerb</v>
          </cell>
        </row>
        <row r="2564">
          <cell r="A2564" t="str">
            <v>30-01-2023</v>
          </cell>
          <cell r="B2564" t="str">
            <v>Fish Oil</v>
          </cell>
          <cell r="C2564" t="str">
            <v>Omega</v>
          </cell>
          <cell r="D2564">
            <v>146</v>
          </cell>
          <cell r="E2564">
            <v>39.880000000000003</v>
          </cell>
          <cell r="F2564">
            <v>5822.48</v>
          </cell>
          <cell r="G2564">
            <v>0.23</v>
          </cell>
          <cell r="H2564">
            <v>1</v>
          </cell>
          <cell r="I2564" t="str">
            <v>USA</v>
          </cell>
          <cell r="J2564" t="str">
            <v>Walmart</v>
          </cell>
        </row>
        <row r="2565">
          <cell r="A2565" t="str">
            <v>30-01-2023</v>
          </cell>
          <cell r="B2565" t="str">
            <v>Multivitamin</v>
          </cell>
          <cell r="C2565" t="str">
            <v>Vitamin</v>
          </cell>
          <cell r="D2565">
            <v>143</v>
          </cell>
          <cell r="E2565">
            <v>12.46</v>
          </cell>
          <cell r="F2565">
            <v>1781.78</v>
          </cell>
          <cell r="G2565">
            <v>0.03</v>
          </cell>
          <cell r="H2565">
            <v>0</v>
          </cell>
          <cell r="I2565" t="str">
            <v>UK</v>
          </cell>
          <cell r="J2565" t="str">
            <v>iHerb</v>
          </cell>
        </row>
        <row r="2566">
          <cell r="A2566" t="str">
            <v>30-01-2023</v>
          </cell>
          <cell r="B2566" t="str">
            <v>Pre-Workout</v>
          </cell>
          <cell r="C2566" t="str">
            <v>Performance</v>
          </cell>
          <cell r="D2566">
            <v>164</v>
          </cell>
          <cell r="E2566">
            <v>53.08</v>
          </cell>
          <cell r="F2566">
            <v>8705.1200000000008</v>
          </cell>
          <cell r="G2566">
            <v>0.11</v>
          </cell>
          <cell r="H2566">
            <v>0</v>
          </cell>
          <cell r="I2566" t="str">
            <v>USA</v>
          </cell>
          <cell r="J2566" t="str">
            <v>iHerb</v>
          </cell>
        </row>
        <row r="2567">
          <cell r="A2567" t="str">
            <v>30-01-2023</v>
          </cell>
          <cell r="B2567" t="str">
            <v>BCAA</v>
          </cell>
          <cell r="C2567" t="str">
            <v>Amino Acid</v>
          </cell>
          <cell r="D2567">
            <v>146</v>
          </cell>
          <cell r="E2567">
            <v>41.22</v>
          </cell>
          <cell r="F2567">
            <v>6018.12</v>
          </cell>
          <cell r="G2567">
            <v>0.17</v>
          </cell>
          <cell r="H2567">
            <v>1</v>
          </cell>
          <cell r="I2567" t="str">
            <v>UK</v>
          </cell>
          <cell r="J2567" t="str">
            <v>Amazon</v>
          </cell>
        </row>
        <row r="2568">
          <cell r="A2568" t="str">
            <v>30-01-2023</v>
          </cell>
          <cell r="B2568" t="str">
            <v>Creatine</v>
          </cell>
          <cell r="C2568" t="str">
            <v>Performance</v>
          </cell>
          <cell r="D2568">
            <v>164</v>
          </cell>
          <cell r="E2568">
            <v>51.5</v>
          </cell>
          <cell r="F2568">
            <v>8446</v>
          </cell>
          <cell r="G2568">
            <v>0.05</v>
          </cell>
          <cell r="H2568">
            <v>3</v>
          </cell>
          <cell r="I2568" t="str">
            <v>USA</v>
          </cell>
          <cell r="J2568" t="str">
            <v>iHerb</v>
          </cell>
        </row>
        <row r="2569">
          <cell r="A2569" t="str">
            <v>30-01-2023</v>
          </cell>
          <cell r="B2569" t="str">
            <v>Zinc</v>
          </cell>
          <cell r="C2569" t="str">
            <v>Mineral</v>
          </cell>
          <cell r="D2569">
            <v>143</v>
          </cell>
          <cell r="E2569">
            <v>52.17</v>
          </cell>
          <cell r="F2569">
            <v>7460.31</v>
          </cell>
          <cell r="G2569">
            <v>0.24</v>
          </cell>
          <cell r="H2569">
            <v>2</v>
          </cell>
          <cell r="I2569" t="str">
            <v>Canada</v>
          </cell>
          <cell r="J2569" t="str">
            <v>Walmart</v>
          </cell>
        </row>
        <row r="2570">
          <cell r="A2570" t="str">
            <v>30-01-2023</v>
          </cell>
          <cell r="B2570" t="str">
            <v>Collagen Peptides</v>
          </cell>
          <cell r="C2570" t="str">
            <v>Protein</v>
          </cell>
          <cell r="D2570">
            <v>140</v>
          </cell>
          <cell r="E2570">
            <v>33.33</v>
          </cell>
          <cell r="F2570">
            <v>4666.2</v>
          </cell>
          <cell r="G2570">
            <v>0.22</v>
          </cell>
          <cell r="H2570">
            <v>0</v>
          </cell>
          <cell r="I2570" t="str">
            <v>USA</v>
          </cell>
          <cell r="J2570" t="str">
            <v>Amazon</v>
          </cell>
        </row>
        <row r="2571">
          <cell r="A2571" t="str">
            <v>30-01-2023</v>
          </cell>
          <cell r="B2571" t="str">
            <v>Magnesium</v>
          </cell>
          <cell r="C2571" t="str">
            <v>Mineral</v>
          </cell>
          <cell r="D2571">
            <v>163</v>
          </cell>
          <cell r="E2571">
            <v>50.43</v>
          </cell>
          <cell r="F2571">
            <v>8220.09</v>
          </cell>
          <cell r="G2571">
            <v>0.23</v>
          </cell>
          <cell r="H2571">
            <v>1</v>
          </cell>
          <cell r="I2571" t="str">
            <v>Canada</v>
          </cell>
          <cell r="J2571" t="str">
            <v>Amazon</v>
          </cell>
        </row>
        <row r="2572">
          <cell r="A2572" t="str">
            <v>30-01-2023</v>
          </cell>
          <cell r="B2572" t="str">
            <v>Ashwagandha</v>
          </cell>
          <cell r="C2572" t="str">
            <v>Herbal</v>
          </cell>
          <cell r="D2572">
            <v>145</v>
          </cell>
          <cell r="E2572">
            <v>36.47</v>
          </cell>
          <cell r="F2572">
            <v>5288.15</v>
          </cell>
          <cell r="G2572">
            <v>0.17</v>
          </cell>
          <cell r="H2572">
            <v>2</v>
          </cell>
          <cell r="I2572" t="str">
            <v>UK</v>
          </cell>
          <cell r="J2572" t="str">
            <v>iHerb</v>
          </cell>
        </row>
        <row r="2573">
          <cell r="A2573" t="str">
            <v>30-01-2023</v>
          </cell>
          <cell r="B2573" t="str">
            <v>Melatonin</v>
          </cell>
          <cell r="C2573" t="str">
            <v>Sleep Aid</v>
          </cell>
          <cell r="D2573">
            <v>136</v>
          </cell>
          <cell r="E2573">
            <v>19.79</v>
          </cell>
          <cell r="F2573">
            <v>2691.44</v>
          </cell>
          <cell r="G2573">
            <v>0.23</v>
          </cell>
          <cell r="H2573">
            <v>0</v>
          </cell>
          <cell r="I2573" t="str">
            <v>UK</v>
          </cell>
          <cell r="J2573" t="str">
            <v>Walmart</v>
          </cell>
        </row>
        <row r="2574">
          <cell r="A2574" t="str">
            <v>30-01-2023</v>
          </cell>
          <cell r="B2574" t="str">
            <v>Biotin</v>
          </cell>
          <cell r="C2574" t="str">
            <v>Vitamin</v>
          </cell>
          <cell r="D2574">
            <v>159</v>
          </cell>
          <cell r="E2574">
            <v>25.89</v>
          </cell>
          <cell r="F2574">
            <v>4116.51</v>
          </cell>
          <cell r="G2574">
            <v>0.08</v>
          </cell>
          <cell r="H2574">
            <v>2</v>
          </cell>
          <cell r="I2574" t="str">
            <v>Canada</v>
          </cell>
          <cell r="J2574" t="str">
            <v>iHerb</v>
          </cell>
        </row>
        <row r="2575">
          <cell r="A2575" t="str">
            <v>30-01-2023</v>
          </cell>
          <cell r="B2575" t="str">
            <v>Green Tea Extract</v>
          </cell>
          <cell r="C2575" t="str">
            <v>Fat Burner</v>
          </cell>
          <cell r="D2575">
            <v>152</v>
          </cell>
          <cell r="E2575">
            <v>25.37</v>
          </cell>
          <cell r="F2575">
            <v>3856.24</v>
          </cell>
          <cell r="G2575">
            <v>0.17</v>
          </cell>
          <cell r="H2575">
            <v>2</v>
          </cell>
          <cell r="I2575" t="str">
            <v>Canada</v>
          </cell>
          <cell r="J2575" t="str">
            <v>iHerb</v>
          </cell>
        </row>
        <row r="2576">
          <cell r="A2576" t="str">
            <v>30-01-2023</v>
          </cell>
          <cell r="B2576" t="str">
            <v>Iron Supplement</v>
          </cell>
          <cell r="C2576" t="str">
            <v>Mineral</v>
          </cell>
          <cell r="D2576">
            <v>135</v>
          </cell>
          <cell r="E2576">
            <v>34.14</v>
          </cell>
          <cell r="F2576">
            <v>4608.8999999999996</v>
          </cell>
          <cell r="G2576">
            <v>0.09</v>
          </cell>
          <cell r="H2576">
            <v>1</v>
          </cell>
          <cell r="I2576" t="str">
            <v>Canada</v>
          </cell>
          <cell r="J2576" t="str">
            <v>Walmart</v>
          </cell>
        </row>
        <row r="2577">
          <cell r="A2577" t="str">
            <v>30-01-2023</v>
          </cell>
          <cell r="B2577" t="str">
            <v>Electrolyte Powder</v>
          </cell>
          <cell r="C2577" t="str">
            <v>Hydration</v>
          </cell>
          <cell r="D2577">
            <v>157</v>
          </cell>
          <cell r="E2577">
            <v>45.47</v>
          </cell>
          <cell r="F2577">
            <v>7138.79</v>
          </cell>
          <cell r="G2577">
            <v>0.23</v>
          </cell>
          <cell r="H2577">
            <v>2</v>
          </cell>
          <cell r="I2577" t="str">
            <v>UK</v>
          </cell>
          <cell r="J2577" t="str">
            <v>Walmart</v>
          </cell>
        </row>
        <row r="2578">
          <cell r="A2578" t="str">
            <v>06-02-2023</v>
          </cell>
          <cell r="B2578" t="str">
            <v>Whey Protein</v>
          </cell>
          <cell r="C2578" t="str">
            <v>Protein</v>
          </cell>
          <cell r="D2578">
            <v>154</v>
          </cell>
          <cell r="E2578">
            <v>53.22</v>
          </cell>
          <cell r="F2578">
            <v>8195.8799999999992</v>
          </cell>
          <cell r="G2578">
            <v>7.0000000000000007E-2</v>
          </cell>
          <cell r="H2578">
            <v>2</v>
          </cell>
          <cell r="I2578" t="str">
            <v>UK</v>
          </cell>
          <cell r="J2578" t="str">
            <v>iHerb</v>
          </cell>
        </row>
        <row r="2579">
          <cell r="A2579" t="str">
            <v>06-02-2023</v>
          </cell>
          <cell r="B2579" t="str">
            <v>Vitamin C</v>
          </cell>
          <cell r="C2579" t="str">
            <v>Vitamin</v>
          </cell>
          <cell r="D2579">
            <v>158</v>
          </cell>
          <cell r="E2579">
            <v>13.02</v>
          </cell>
          <cell r="F2579">
            <v>2057.16</v>
          </cell>
          <cell r="G2579">
            <v>0.2</v>
          </cell>
          <cell r="H2579">
            <v>0</v>
          </cell>
          <cell r="I2579" t="str">
            <v>USA</v>
          </cell>
          <cell r="J2579" t="str">
            <v>iHerb</v>
          </cell>
        </row>
        <row r="2580">
          <cell r="A2580" t="str">
            <v>06-02-2023</v>
          </cell>
          <cell r="B2580" t="str">
            <v>Fish Oil</v>
          </cell>
          <cell r="C2580" t="str">
            <v>Omega</v>
          </cell>
          <cell r="D2580">
            <v>157</v>
          </cell>
          <cell r="E2580">
            <v>53.12</v>
          </cell>
          <cell r="F2580">
            <v>8339.84</v>
          </cell>
          <cell r="G2580">
            <v>0.04</v>
          </cell>
          <cell r="H2580">
            <v>1</v>
          </cell>
          <cell r="I2580" t="str">
            <v>UK</v>
          </cell>
          <cell r="J2580" t="str">
            <v>Walmart</v>
          </cell>
        </row>
        <row r="2581">
          <cell r="A2581" t="str">
            <v>06-02-2023</v>
          </cell>
          <cell r="B2581" t="str">
            <v>Multivitamin</v>
          </cell>
          <cell r="C2581" t="str">
            <v>Vitamin</v>
          </cell>
          <cell r="D2581">
            <v>153</v>
          </cell>
          <cell r="E2581">
            <v>27.04</v>
          </cell>
          <cell r="F2581">
            <v>4137.12</v>
          </cell>
          <cell r="G2581">
            <v>0.12</v>
          </cell>
          <cell r="H2581">
            <v>1</v>
          </cell>
          <cell r="I2581" t="str">
            <v>UK</v>
          </cell>
          <cell r="J2581" t="str">
            <v>iHerb</v>
          </cell>
        </row>
        <row r="2582">
          <cell r="A2582" t="str">
            <v>06-02-2023</v>
          </cell>
          <cell r="B2582" t="str">
            <v>Pre-Workout</v>
          </cell>
          <cell r="C2582" t="str">
            <v>Performance</v>
          </cell>
          <cell r="D2582">
            <v>148</v>
          </cell>
          <cell r="E2582">
            <v>38.31</v>
          </cell>
          <cell r="F2582">
            <v>5669.88</v>
          </cell>
          <cell r="G2582">
            <v>0.06</v>
          </cell>
          <cell r="H2582">
            <v>5</v>
          </cell>
          <cell r="I2582" t="str">
            <v>Canada</v>
          </cell>
          <cell r="J2582" t="str">
            <v>iHerb</v>
          </cell>
        </row>
        <row r="2583">
          <cell r="A2583" t="str">
            <v>06-02-2023</v>
          </cell>
          <cell r="B2583" t="str">
            <v>BCAA</v>
          </cell>
          <cell r="C2583" t="str">
            <v>Amino Acid</v>
          </cell>
          <cell r="D2583">
            <v>150</v>
          </cell>
          <cell r="E2583">
            <v>33.85</v>
          </cell>
          <cell r="F2583">
            <v>5077.5</v>
          </cell>
          <cell r="G2583">
            <v>0.22</v>
          </cell>
          <cell r="H2583">
            <v>0</v>
          </cell>
          <cell r="I2583" t="str">
            <v>UK</v>
          </cell>
          <cell r="J2583" t="str">
            <v>Walmart</v>
          </cell>
        </row>
        <row r="2584">
          <cell r="A2584" t="str">
            <v>06-02-2023</v>
          </cell>
          <cell r="B2584" t="str">
            <v>Creatine</v>
          </cell>
          <cell r="C2584" t="str">
            <v>Performance</v>
          </cell>
          <cell r="D2584">
            <v>156</v>
          </cell>
          <cell r="E2584">
            <v>18.48</v>
          </cell>
          <cell r="F2584">
            <v>2882.88</v>
          </cell>
          <cell r="G2584">
            <v>0.2</v>
          </cell>
          <cell r="H2584">
            <v>1</v>
          </cell>
          <cell r="I2584" t="str">
            <v>USA</v>
          </cell>
          <cell r="J2584" t="str">
            <v>Amazon</v>
          </cell>
        </row>
        <row r="2585">
          <cell r="A2585" t="str">
            <v>06-02-2023</v>
          </cell>
          <cell r="B2585" t="str">
            <v>Zinc</v>
          </cell>
          <cell r="C2585" t="str">
            <v>Mineral</v>
          </cell>
          <cell r="D2585">
            <v>142</v>
          </cell>
          <cell r="E2585">
            <v>41.93</v>
          </cell>
          <cell r="F2585">
            <v>5954.06</v>
          </cell>
          <cell r="G2585">
            <v>0.22</v>
          </cell>
          <cell r="H2585">
            <v>2</v>
          </cell>
          <cell r="I2585" t="str">
            <v>UK</v>
          </cell>
          <cell r="J2585" t="str">
            <v>Walmart</v>
          </cell>
        </row>
        <row r="2586">
          <cell r="A2586" t="str">
            <v>06-02-2023</v>
          </cell>
          <cell r="B2586" t="str">
            <v>Collagen Peptides</v>
          </cell>
          <cell r="C2586" t="str">
            <v>Protein</v>
          </cell>
          <cell r="D2586">
            <v>159</v>
          </cell>
          <cell r="E2586">
            <v>12.74</v>
          </cell>
          <cell r="F2586">
            <v>2025.66</v>
          </cell>
          <cell r="G2586">
            <v>0.19</v>
          </cell>
          <cell r="H2586">
            <v>2</v>
          </cell>
          <cell r="I2586" t="str">
            <v>USA</v>
          </cell>
          <cell r="J2586" t="str">
            <v>Amazon</v>
          </cell>
        </row>
        <row r="2587">
          <cell r="A2587" t="str">
            <v>06-02-2023</v>
          </cell>
          <cell r="B2587" t="str">
            <v>Magnesium</v>
          </cell>
          <cell r="C2587" t="str">
            <v>Mineral</v>
          </cell>
          <cell r="D2587">
            <v>127</v>
          </cell>
          <cell r="E2587">
            <v>14.12</v>
          </cell>
          <cell r="F2587">
            <v>1793.24</v>
          </cell>
          <cell r="G2587">
            <v>0.18</v>
          </cell>
          <cell r="H2587">
            <v>1</v>
          </cell>
          <cell r="I2587" t="str">
            <v>Canada</v>
          </cell>
          <cell r="J2587" t="str">
            <v>Walmart</v>
          </cell>
        </row>
        <row r="2588">
          <cell r="A2588" t="str">
            <v>06-02-2023</v>
          </cell>
          <cell r="B2588" t="str">
            <v>Ashwagandha</v>
          </cell>
          <cell r="C2588" t="str">
            <v>Herbal</v>
          </cell>
          <cell r="D2588">
            <v>179</v>
          </cell>
          <cell r="E2588">
            <v>40.299999999999997</v>
          </cell>
          <cell r="F2588">
            <v>7213.7</v>
          </cell>
          <cell r="G2588">
            <v>0.05</v>
          </cell>
          <cell r="H2588">
            <v>2</v>
          </cell>
          <cell r="I2588" t="str">
            <v>USA</v>
          </cell>
          <cell r="J2588" t="str">
            <v>Amazon</v>
          </cell>
        </row>
        <row r="2589">
          <cell r="A2589" t="str">
            <v>06-02-2023</v>
          </cell>
          <cell r="B2589" t="str">
            <v>Melatonin</v>
          </cell>
          <cell r="C2589" t="str">
            <v>Sleep Aid</v>
          </cell>
          <cell r="D2589">
            <v>158</v>
          </cell>
          <cell r="E2589">
            <v>50.75</v>
          </cell>
          <cell r="F2589">
            <v>8018.5</v>
          </cell>
          <cell r="G2589">
            <v>0.21</v>
          </cell>
          <cell r="H2589">
            <v>0</v>
          </cell>
          <cell r="I2589" t="str">
            <v>Canada</v>
          </cell>
          <cell r="J2589" t="str">
            <v>Walmart</v>
          </cell>
        </row>
        <row r="2590">
          <cell r="A2590" t="str">
            <v>06-02-2023</v>
          </cell>
          <cell r="B2590" t="str">
            <v>Biotin</v>
          </cell>
          <cell r="C2590" t="str">
            <v>Vitamin</v>
          </cell>
          <cell r="D2590">
            <v>144</v>
          </cell>
          <cell r="E2590">
            <v>34.93</v>
          </cell>
          <cell r="F2590">
            <v>5029.92</v>
          </cell>
          <cell r="G2590">
            <v>0.05</v>
          </cell>
          <cell r="H2590">
            <v>1</v>
          </cell>
          <cell r="I2590" t="str">
            <v>UK</v>
          </cell>
          <cell r="J2590" t="str">
            <v>Amazon</v>
          </cell>
        </row>
        <row r="2591">
          <cell r="A2591" t="str">
            <v>06-02-2023</v>
          </cell>
          <cell r="B2591" t="str">
            <v>Green Tea Extract</v>
          </cell>
          <cell r="C2591" t="str">
            <v>Fat Burner</v>
          </cell>
          <cell r="D2591">
            <v>147</v>
          </cell>
          <cell r="E2591">
            <v>50.49</v>
          </cell>
          <cell r="F2591">
            <v>7422.03</v>
          </cell>
          <cell r="G2591">
            <v>0.1</v>
          </cell>
          <cell r="H2591">
            <v>0</v>
          </cell>
          <cell r="I2591" t="str">
            <v>UK</v>
          </cell>
          <cell r="J2591" t="str">
            <v>Amazon</v>
          </cell>
        </row>
        <row r="2592">
          <cell r="A2592" t="str">
            <v>06-02-2023</v>
          </cell>
          <cell r="B2592" t="str">
            <v>Iron Supplement</v>
          </cell>
          <cell r="C2592" t="str">
            <v>Mineral</v>
          </cell>
          <cell r="D2592">
            <v>145</v>
          </cell>
          <cell r="E2592">
            <v>43.14</v>
          </cell>
          <cell r="F2592">
            <v>6255.3</v>
          </cell>
          <cell r="G2592">
            <v>0.21</v>
          </cell>
          <cell r="H2592">
            <v>2</v>
          </cell>
          <cell r="I2592" t="str">
            <v>UK</v>
          </cell>
          <cell r="J2592" t="str">
            <v>Walmart</v>
          </cell>
        </row>
        <row r="2593">
          <cell r="A2593" t="str">
            <v>06-02-2023</v>
          </cell>
          <cell r="B2593" t="str">
            <v>Electrolyte Powder</v>
          </cell>
          <cell r="C2593" t="str">
            <v>Hydration</v>
          </cell>
          <cell r="D2593">
            <v>146</v>
          </cell>
          <cell r="E2593">
            <v>19.309999999999999</v>
          </cell>
          <cell r="F2593">
            <v>2819.26</v>
          </cell>
          <cell r="G2593">
            <v>7.0000000000000007E-2</v>
          </cell>
          <cell r="H2593">
            <v>2</v>
          </cell>
          <cell r="I2593" t="str">
            <v>Canada</v>
          </cell>
          <cell r="J2593" t="str">
            <v>Walmart</v>
          </cell>
        </row>
        <row r="2594">
          <cell r="A2594" t="str">
            <v>13-02-2023</v>
          </cell>
          <cell r="B2594" t="str">
            <v>Whey Protein</v>
          </cell>
          <cell r="C2594" t="str">
            <v>Protein</v>
          </cell>
          <cell r="D2594">
            <v>168</v>
          </cell>
          <cell r="E2594">
            <v>33.26</v>
          </cell>
          <cell r="F2594">
            <v>5587.68</v>
          </cell>
          <cell r="G2594">
            <v>0.02</v>
          </cell>
          <cell r="H2594">
            <v>0</v>
          </cell>
          <cell r="I2594" t="str">
            <v>Canada</v>
          </cell>
          <cell r="J2594" t="str">
            <v>Amazon</v>
          </cell>
        </row>
        <row r="2595">
          <cell r="A2595" t="str">
            <v>13-02-2023</v>
          </cell>
          <cell r="B2595" t="str">
            <v>Vitamin C</v>
          </cell>
          <cell r="C2595" t="str">
            <v>Vitamin</v>
          </cell>
          <cell r="D2595">
            <v>145</v>
          </cell>
          <cell r="E2595">
            <v>40.46</v>
          </cell>
          <cell r="F2595">
            <v>5866.7</v>
          </cell>
          <cell r="G2595">
            <v>0</v>
          </cell>
          <cell r="H2595">
            <v>5</v>
          </cell>
          <cell r="I2595" t="str">
            <v>USA</v>
          </cell>
          <cell r="J2595" t="str">
            <v>iHerb</v>
          </cell>
        </row>
        <row r="2596">
          <cell r="A2596" t="str">
            <v>13-02-2023</v>
          </cell>
          <cell r="B2596" t="str">
            <v>Fish Oil</v>
          </cell>
          <cell r="C2596" t="str">
            <v>Omega</v>
          </cell>
          <cell r="D2596">
            <v>145</v>
          </cell>
          <cell r="E2596">
            <v>36.75</v>
          </cell>
          <cell r="F2596">
            <v>5328.75</v>
          </cell>
          <cell r="G2596">
            <v>0.03</v>
          </cell>
          <cell r="H2596">
            <v>2</v>
          </cell>
          <cell r="I2596" t="str">
            <v>UK</v>
          </cell>
          <cell r="J2596" t="str">
            <v>iHerb</v>
          </cell>
        </row>
        <row r="2597">
          <cell r="A2597" t="str">
            <v>13-02-2023</v>
          </cell>
          <cell r="B2597" t="str">
            <v>Multivitamin</v>
          </cell>
          <cell r="C2597" t="str">
            <v>Vitamin</v>
          </cell>
          <cell r="D2597">
            <v>158</v>
          </cell>
          <cell r="E2597">
            <v>35.729999999999997</v>
          </cell>
          <cell r="F2597">
            <v>5645.34</v>
          </cell>
          <cell r="G2597">
            <v>0.02</v>
          </cell>
          <cell r="H2597">
            <v>2</v>
          </cell>
          <cell r="I2597" t="str">
            <v>UK</v>
          </cell>
          <cell r="J2597" t="str">
            <v>Walmart</v>
          </cell>
        </row>
        <row r="2598">
          <cell r="A2598" t="str">
            <v>13-02-2023</v>
          </cell>
          <cell r="B2598" t="str">
            <v>Pre-Workout</v>
          </cell>
          <cell r="C2598" t="str">
            <v>Performance</v>
          </cell>
          <cell r="D2598">
            <v>170</v>
          </cell>
          <cell r="E2598">
            <v>23.18</v>
          </cell>
          <cell r="F2598">
            <v>3940.6</v>
          </cell>
          <cell r="G2598">
            <v>0.23</v>
          </cell>
          <cell r="H2598">
            <v>1</v>
          </cell>
          <cell r="I2598" t="str">
            <v>Canada</v>
          </cell>
          <cell r="J2598" t="str">
            <v>Walmart</v>
          </cell>
        </row>
        <row r="2599">
          <cell r="A2599" t="str">
            <v>13-02-2023</v>
          </cell>
          <cell r="B2599" t="str">
            <v>BCAA</v>
          </cell>
          <cell r="C2599" t="str">
            <v>Amino Acid</v>
          </cell>
          <cell r="D2599">
            <v>155</v>
          </cell>
          <cell r="E2599">
            <v>39.82</v>
          </cell>
          <cell r="F2599">
            <v>6172.1</v>
          </cell>
          <cell r="G2599">
            <v>0.1</v>
          </cell>
          <cell r="H2599">
            <v>1</v>
          </cell>
          <cell r="I2599" t="str">
            <v>UK</v>
          </cell>
          <cell r="J2599" t="str">
            <v>iHerb</v>
          </cell>
        </row>
        <row r="2600">
          <cell r="A2600" t="str">
            <v>13-02-2023</v>
          </cell>
          <cell r="B2600" t="str">
            <v>Creatine</v>
          </cell>
          <cell r="C2600" t="str">
            <v>Performance</v>
          </cell>
          <cell r="D2600">
            <v>159</v>
          </cell>
          <cell r="E2600">
            <v>42.18</v>
          </cell>
          <cell r="F2600">
            <v>6706.62</v>
          </cell>
          <cell r="G2600">
            <v>0.06</v>
          </cell>
          <cell r="H2600">
            <v>0</v>
          </cell>
          <cell r="I2600" t="str">
            <v>Canada</v>
          </cell>
          <cell r="J2600" t="str">
            <v>Walmart</v>
          </cell>
        </row>
        <row r="2601">
          <cell r="A2601" t="str">
            <v>13-02-2023</v>
          </cell>
          <cell r="B2601" t="str">
            <v>Zinc</v>
          </cell>
          <cell r="C2601" t="str">
            <v>Mineral</v>
          </cell>
          <cell r="D2601">
            <v>162</v>
          </cell>
          <cell r="E2601">
            <v>25.34</v>
          </cell>
          <cell r="F2601">
            <v>4105.08</v>
          </cell>
          <cell r="G2601">
            <v>0.03</v>
          </cell>
          <cell r="H2601">
            <v>0</v>
          </cell>
          <cell r="I2601" t="str">
            <v>Canada</v>
          </cell>
          <cell r="J2601" t="str">
            <v>Walmart</v>
          </cell>
        </row>
        <row r="2602">
          <cell r="A2602" t="str">
            <v>13-02-2023</v>
          </cell>
          <cell r="B2602" t="str">
            <v>Collagen Peptides</v>
          </cell>
          <cell r="C2602" t="str">
            <v>Protein</v>
          </cell>
          <cell r="D2602">
            <v>144</v>
          </cell>
          <cell r="E2602">
            <v>55.94</v>
          </cell>
          <cell r="F2602">
            <v>8055.36</v>
          </cell>
          <cell r="G2602">
            <v>0.22</v>
          </cell>
          <cell r="H2602">
            <v>3</v>
          </cell>
          <cell r="I2602" t="str">
            <v>UK</v>
          </cell>
          <cell r="J2602" t="str">
            <v>Walmart</v>
          </cell>
        </row>
        <row r="2603">
          <cell r="A2603" t="str">
            <v>13-02-2023</v>
          </cell>
          <cell r="B2603" t="str">
            <v>Magnesium</v>
          </cell>
          <cell r="C2603" t="str">
            <v>Mineral</v>
          </cell>
          <cell r="D2603">
            <v>169</v>
          </cell>
          <cell r="E2603">
            <v>20.97</v>
          </cell>
          <cell r="F2603">
            <v>3543.93</v>
          </cell>
          <cell r="G2603">
            <v>0.2</v>
          </cell>
          <cell r="H2603">
            <v>1</v>
          </cell>
          <cell r="I2603" t="str">
            <v>Canada</v>
          </cell>
          <cell r="J2603" t="str">
            <v>Amazon</v>
          </cell>
        </row>
        <row r="2604">
          <cell r="A2604" t="str">
            <v>13-02-2023</v>
          </cell>
          <cell r="B2604" t="str">
            <v>Ashwagandha</v>
          </cell>
          <cell r="C2604" t="str">
            <v>Herbal</v>
          </cell>
          <cell r="D2604">
            <v>141</v>
          </cell>
          <cell r="E2604">
            <v>35.75</v>
          </cell>
          <cell r="F2604">
            <v>5040.75</v>
          </cell>
          <cell r="G2604">
            <v>0.08</v>
          </cell>
          <cell r="H2604">
            <v>0</v>
          </cell>
          <cell r="I2604" t="str">
            <v>UK</v>
          </cell>
          <cell r="J2604" t="str">
            <v>Walmart</v>
          </cell>
        </row>
        <row r="2605">
          <cell r="A2605" t="str">
            <v>13-02-2023</v>
          </cell>
          <cell r="B2605" t="str">
            <v>Melatonin</v>
          </cell>
          <cell r="C2605" t="str">
            <v>Sleep Aid</v>
          </cell>
          <cell r="D2605">
            <v>148</v>
          </cell>
          <cell r="E2605">
            <v>38.53</v>
          </cell>
          <cell r="F2605">
            <v>5702.44</v>
          </cell>
          <cell r="G2605">
            <v>0.22</v>
          </cell>
          <cell r="H2605">
            <v>0</v>
          </cell>
          <cell r="I2605" t="str">
            <v>Canada</v>
          </cell>
          <cell r="J2605" t="str">
            <v>Amazon</v>
          </cell>
        </row>
        <row r="2606">
          <cell r="A2606" t="str">
            <v>13-02-2023</v>
          </cell>
          <cell r="B2606" t="str">
            <v>Biotin</v>
          </cell>
          <cell r="C2606" t="str">
            <v>Vitamin</v>
          </cell>
          <cell r="D2606">
            <v>136</v>
          </cell>
          <cell r="E2606">
            <v>33.17</v>
          </cell>
          <cell r="F2606">
            <v>4511.12</v>
          </cell>
          <cell r="G2606">
            <v>0.17</v>
          </cell>
          <cell r="H2606">
            <v>2</v>
          </cell>
          <cell r="I2606" t="str">
            <v>Canada</v>
          </cell>
          <cell r="J2606" t="str">
            <v>Walmart</v>
          </cell>
        </row>
        <row r="2607">
          <cell r="A2607" t="str">
            <v>13-02-2023</v>
          </cell>
          <cell r="B2607" t="str">
            <v>Green Tea Extract</v>
          </cell>
          <cell r="C2607" t="str">
            <v>Fat Burner</v>
          </cell>
          <cell r="D2607">
            <v>146</v>
          </cell>
          <cell r="E2607">
            <v>37.549999999999997</v>
          </cell>
          <cell r="F2607">
            <v>5482.3</v>
          </cell>
          <cell r="G2607">
            <v>0.03</v>
          </cell>
          <cell r="H2607">
            <v>1</v>
          </cell>
          <cell r="I2607" t="str">
            <v>UK</v>
          </cell>
          <cell r="J2607" t="str">
            <v>iHerb</v>
          </cell>
        </row>
        <row r="2608">
          <cell r="A2608" t="str">
            <v>13-02-2023</v>
          </cell>
          <cell r="B2608" t="str">
            <v>Iron Supplement</v>
          </cell>
          <cell r="C2608" t="str">
            <v>Mineral</v>
          </cell>
          <cell r="D2608">
            <v>139</v>
          </cell>
          <cell r="E2608">
            <v>15.56</v>
          </cell>
          <cell r="F2608">
            <v>2162.84</v>
          </cell>
          <cell r="G2608">
            <v>0.01</v>
          </cell>
          <cell r="H2608">
            <v>2</v>
          </cell>
          <cell r="I2608" t="str">
            <v>UK</v>
          </cell>
          <cell r="J2608" t="str">
            <v>Amazon</v>
          </cell>
        </row>
        <row r="2609">
          <cell r="A2609" t="str">
            <v>13-02-2023</v>
          </cell>
          <cell r="B2609" t="str">
            <v>Electrolyte Powder</v>
          </cell>
          <cell r="C2609" t="str">
            <v>Hydration</v>
          </cell>
          <cell r="D2609">
            <v>154</v>
          </cell>
          <cell r="E2609">
            <v>43.02</v>
          </cell>
          <cell r="F2609">
            <v>6625.08</v>
          </cell>
          <cell r="G2609">
            <v>0.03</v>
          </cell>
          <cell r="H2609">
            <v>1</v>
          </cell>
          <cell r="I2609" t="str">
            <v>USA</v>
          </cell>
          <cell r="J2609" t="str">
            <v>iHerb</v>
          </cell>
        </row>
        <row r="2610">
          <cell r="A2610" t="str">
            <v>20-02-2023</v>
          </cell>
          <cell r="B2610" t="str">
            <v>Whey Protein</v>
          </cell>
          <cell r="C2610" t="str">
            <v>Protein</v>
          </cell>
          <cell r="D2610">
            <v>134</v>
          </cell>
          <cell r="E2610">
            <v>47.35</v>
          </cell>
          <cell r="F2610">
            <v>6344.9</v>
          </cell>
          <cell r="G2610">
            <v>0.05</v>
          </cell>
          <cell r="H2610">
            <v>1</v>
          </cell>
          <cell r="I2610" t="str">
            <v>UK</v>
          </cell>
          <cell r="J2610" t="str">
            <v>iHerb</v>
          </cell>
        </row>
        <row r="2611">
          <cell r="A2611" t="str">
            <v>20-02-2023</v>
          </cell>
          <cell r="B2611" t="str">
            <v>Vitamin C</v>
          </cell>
          <cell r="C2611" t="str">
            <v>Vitamin</v>
          </cell>
          <cell r="D2611">
            <v>162</v>
          </cell>
          <cell r="E2611">
            <v>20.5</v>
          </cell>
          <cell r="F2611">
            <v>3321</v>
          </cell>
          <cell r="G2611">
            <v>0.2</v>
          </cell>
          <cell r="H2611">
            <v>2</v>
          </cell>
          <cell r="I2611" t="str">
            <v>Canada</v>
          </cell>
          <cell r="J2611" t="str">
            <v>iHerb</v>
          </cell>
        </row>
        <row r="2612">
          <cell r="A2612" t="str">
            <v>20-02-2023</v>
          </cell>
          <cell r="B2612" t="str">
            <v>Fish Oil</v>
          </cell>
          <cell r="C2612" t="str">
            <v>Omega</v>
          </cell>
          <cell r="D2612">
            <v>157</v>
          </cell>
          <cell r="E2612">
            <v>38.18</v>
          </cell>
          <cell r="F2612">
            <v>5994.26</v>
          </cell>
          <cell r="G2612">
            <v>0.18</v>
          </cell>
          <cell r="H2612">
            <v>1</v>
          </cell>
          <cell r="I2612" t="str">
            <v>USA</v>
          </cell>
          <cell r="J2612" t="str">
            <v>Amazon</v>
          </cell>
        </row>
        <row r="2613">
          <cell r="A2613" t="str">
            <v>20-02-2023</v>
          </cell>
          <cell r="B2613" t="str">
            <v>Multivitamin</v>
          </cell>
          <cell r="C2613" t="str">
            <v>Vitamin</v>
          </cell>
          <cell r="D2613">
            <v>145</v>
          </cell>
          <cell r="E2613">
            <v>25.44</v>
          </cell>
          <cell r="F2613">
            <v>3688.8</v>
          </cell>
          <cell r="G2613">
            <v>0.14000000000000001</v>
          </cell>
          <cell r="H2613">
            <v>2</v>
          </cell>
          <cell r="I2613" t="str">
            <v>UK</v>
          </cell>
          <cell r="J2613" t="str">
            <v>iHerb</v>
          </cell>
        </row>
        <row r="2614">
          <cell r="A2614" t="str">
            <v>20-02-2023</v>
          </cell>
          <cell r="B2614" t="str">
            <v>Pre-Workout</v>
          </cell>
          <cell r="C2614" t="str">
            <v>Performance</v>
          </cell>
          <cell r="D2614">
            <v>147</v>
          </cell>
          <cell r="E2614">
            <v>50.28</v>
          </cell>
          <cell r="F2614">
            <v>7391.16</v>
          </cell>
          <cell r="G2614">
            <v>0.18</v>
          </cell>
          <cell r="H2614">
            <v>1</v>
          </cell>
          <cell r="I2614" t="str">
            <v>UK</v>
          </cell>
          <cell r="J2614" t="str">
            <v>Walmart</v>
          </cell>
        </row>
        <row r="2615">
          <cell r="A2615" t="str">
            <v>20-02-2023</v>
          </cell>
          <cell r="B2615" t="str">
            <v>BCAA</v>
          </cell>
          <cell r="C2615" t="str">
            <v>Amino Acid</v>
          </cell>
          <cell r="D2615">
            <v>144</v>
          </cell>
          <cell r="E2615">
            <v>53.81</v>
          </cell>
          <cell r="F2615">
            <v>7748.64</v>
          </cell>
          <cell r="G2615">
            <v>0.22</v>
          </cell>
          <cell r="H2615">
            <v>0</v>
          </cell>
          <cell r="I2615" t="str">
            <v>USA</v>
          </cell>
          <cell r="J2615" t="str">
            <v>iHerb</v>
          </cell>
        </row>
        <row r="2616">
          <cell r="A2616" t="str">
            <v>20-02-2023</v>
          </cell>
          <cell r="B2616" t="str">
            <v>Creatine</v>
          </cell>
          <cell r="C2616" t="str">
            <v>Performance</v>
          </cell>
          <cell r="D2616">
            <v>147</v>
          </cell>
          <cell r="E2616">
            <v>58.88</v>
          </cell>
          <cell r="F2616">
            <v>8655.36</v>
          </cell>
          <cell r="G2616">
            <v>0.17</v>
          </cell>
          <cell r="H2616">
            <v>1</v>
          </cell>
          <cell r="I2616" t="str">
            <v>Canada</v>
          </cell>
          <cell r="J2616" t="str">
            <v>Amazon</v>
          </cell>
        </row>
        <row r="2617">
          <cell r="A2617" t="str">
            <v>20-02-2023</v>
          </cell>
          <cell r="B2617" t="str">
            <v>Zinc</v>
          </cell>
          <cell r="C2617" t="str">
            <v>Mineral</v>
          </cell>
          <cell r="D2617">
            <v>131</v>
          </cell>
          <cell r="E2617">
            <v>47.63</v>
          </cell>
          <cell r="F2617">
            <v>6239.53</v>
          </cell>
          <cell r="G2617">
            <v>0.12</v>
          </cell>
          <cell r="H2617">
            <v>1</v>
          </cell>
          <cell r="I2617" t="str">
            <v>USA</v>
          </cell>
          <cell r="J2617" t="str">
            <v>Walmart</v>
          </cell>
        </row>
        <row r="2618">
          <cell r="A2618" t="str">
            <v>20-02-2023</v>
          </cell>
          <cell r="B2618" t="str">
            <v>Collagen Peptides</v>
          </cell>
          <cell r="C2618" t="str">
            <v>Protein</v>
          </cell>
          <cell r="D2618">
            <v>168</v>
          </cell>
          <cell r="E2618">
            <v>22.45</v>
          </cell>
          <cell r="F2618">
            <v>3771.6</v>
          </cell>
          <cell r="G2618">
            <v>0.23</v>
          </cell>
          <cell r="H2618">
            <v>3</v>
          </cell>
          <cell r="I2618" t="str">
            <v>Canada</v>
          </cell>
          <cell r="J2618" t="str">
            <v>Amazon</v>
          </cell>
        </row>
        <row r="2619">
          <cell r="A2619" t="str">
            <v>20-02-2023</v>
          </cell>
          <cell r="B2619" t="str">
            <v>Magnesium</v>
          </cell>
          <cell r="C2619" t="str">
            <v>Mineral</v>
          </cell>
          <cell r="D2619">
            <v>163</v>
          </cell>
          <cell r="E2619">
            <v>17.16</v>
          </cell>
          <cell r="F2619">
            <v>2797.08</v>
          </cell>
          <cell r="G2619">
            <v>0.01</v>
          </cell>
          <cell r="H2619">
            <v>1</v>
          </cell>
          <cell r="I2619" t="str">
            <v>USA</v>
          </cell>
          <cell r="J2619" t="str">
            <v>iHerb</v>
          </cell>
        </row>
        <row r="2620">
          <cell r="A2620" t="str">
            <v>20-02-2023</v>
          </cell>
          <cell r="B2620" t="str">
            <v>Ashwagandha</v>
          </cell>
          <cell r="C2620" t="str">
            <v>Herbal</v>
          </cell>
          <cell r="D2620">
            <v>160</v>
          </cell>
          <cell r="E2620">
            <v>46.46</v>
          </cell>
          <cell r="F2620">
            <v>7433.6</v>
          </cell>
          <cell r="G2620">
            <v>0.06</v>
          </cell>
          <cell r="H2620">
            <v>1</v>
          </cell>
          <cell r="I2620" t="str">
            <v>USA</v>
          </cell>
          <cell r="J2620" t="str">
            <v>Walmart</v>
          </cell>
        </row>
        <row r="2621">
          <cell r="A2621" t="str">
            <v>20-02-2023</v>
          </cell>
          <cell r="B2621" t="str">
            <v>Melatonin</v>
          </cell>
          <cell r="C2621" t="str">
            <v>Sleep Aid</v>
          </cell>
          <cell r="D2621">
            <v>146</v>
          </cell>
          <cell r="E2621">
            <v>15.48</v>
          </cell>
          <cell r="F2621">
            <v>2260.08</v>
          </cell>
          <cell r="G2621">
            <v>0.12</v>
          </cell>
          <cell r="H2621">
            <v>1</v>
          </cell>
          <cell r="I2621" t="str">
            <v>UK</v>
          </cell>
          <cell r="J2621" t="str">
            <v>Walmart</v>
          </cell>
        </row>
        <row r="2622">
          <cell r="A2622" t="str">
            <v>20-02-2023</v>
          </cell>
          <cell r="B2622" t="str">
            <v>Biotin</v>
          </cell>
          <cell r="C2622" t="str">
            <v>Vitamin</v>
          </cell>
          <cell r="D2622">
            <v>157</v>
          </cell>
          <cell r="E2622">
            <v>37.21</v>
          </cell>
          <cell r="F2622">
            <v>5841.97</v>
          </cell>
          <cell r="G2622">
            <v>0.01</v>
          </cell>
          <cell r="H2622">
            <v>2</v>
          </cell>
          <cell r="I2622" t="str">
            <v>UK</v>
          </cell>
          <cell r="J2622" t="str">
            <v>Amazon</v>
          </cell>
        </row>
        <row r="2623">
          <cell r="A2623" t="str">
            <v>20-02-2023</v>
          </cell>
          <cell r="B2623" t="str">
            <v>Green Tea Extract</v>
          </cell>
          <cell r="C2623" t="str">
            <v>Fat Burner</v>
          </cell>
          <cell r="D2623">
            <v>124</v>
          </cell>
          <cell r="E2623">
            <v>44.25</v>
          </cell>
          <cell r="F2623">
            <v>5487</v>
          </cell>
          <cell r="G2623">
            <v>0.05</v>
          </cell>
          <cell r="H2623">
            <v>2</v>
          </cell>
          <cell r="I2623" t="str">
            <v>Canada</v>
          </cell>
          <cell r="J2623" t="str">
            <v>iHerb</v>
          </cell>
        </row>
        <row r="2624">
          <cell r="A2624" t="str">
            <v>20-02-2023</v>
          </cell>
          <cell r="B2624" t="str">
            <v>Iron Supplement</v>
          </cell>
          <cell r="C2624" t="str">
            <v>Mineral</v>
          </cell>
          <cell r="D2624">
            <v>170</v>
          </cell>
          <cell r="E2624">
            <v>25.26</v>
          </cell>
          <cell r="F2624">
            <v>4294.2</v>
          </cell>
          <cell r="G2624">
            <v>0.15</v>
          </cell>
          <cell r="H2624">
            <v>4</v>
          </cell>
          <cell r="I2624" t="str">
            <v>UK</v>
          </cell>
          <cell r="J2624" t="str">
            <v>Walmart</v>
          </cell>
        </row>
        <row r="2625">
          <cell r="A2625" t="str">
            <v>20-02-2023</v>
          </cell>
          <cell r="B2625" t="str">
            <v>Electrolyte Powder</v>
          </cell>
          <cell r="C2625" t="str">
            <v>Hydration</v>
          </cell>
          <cell r="D2625">
            <v>143</v>
          </cell>
          <cell r="E2625">
            <v>10.47</v>
          </cell>
          <cell r="F2625">
            <v>1497.21</v>
          </cell>
          <cell r="G2625">
            <v>0</v>
          </cell>
          <cell r="H2625">
            <v>2</v>
          </cell>
          <cell r="I2625" t="str">
            <v>USA</v>
          </cell>
          <cell r="J2625" t="str">
            <v>Walmart</v>
          </cell>
        </row>
        <row r="2626">
          <cell r="A2626" t="str">
            <v>27-02-2023</v>
          </cell>
          <cell r="B2626" t="str">
            <v>Whey Protein</v>
          </cell>
          <cell r="C2626" t="str">
            <v>Protein</v>
          </cell>
          <cell r="D2626">
            <v>160</v>
          </cell>
          <cell r="E2626">
            <v>56.5</v>
          </cell>
          <cell r="F2626">
            <v>9040</v>
          </cell>
          <cell r="G2626">
            <v>0.03</v>
          </cell>
          <cell r="H2626">
            <v>1</v>
          </cell>
          <cell r="I2626" t="str">
            <v>USA</v>
          </cell>
          <cell r="J2626" t="str">
            <v>Walmart</v>
          </cell>
        </row>
        <row r="2627">
          <cell r="A2627" t="str">
            <v>27-02-2023</v>
          </cell>
          <cell r="B2627" t="str">
            <v>Vitamin C</v>
          </cell>
          <cell r="C2627" t="str">
            <v>Vitamin</v>
          </cell>
          <cell r="D2627">
            <v>169</v>
          </cell>
          <cell r="E2627">
            <v>44.11</v>
          </cell>
          <cell r="F2627">
            <v>7454.59</v>
          </cell>
          <cell r="G2627">
            <v>0.13</v>
          </cell>
          <cell r="H2627">
            <v>0</v>
          </cell>
          <cell r="I2627" t="str">
            <v>UK</v>
          </cell>
          <cell r="J2627" t="str">
            <v>iHerb</v>
          </cell>
        </row>
        <row r="2628">
          <cell r="A2628" t="str">
            <v>27-02-2023</v>
          </cell>
          <cell r="B2628" t="str">
            <v>Fish Oil</v>
          </cell>
          <cell r="C2628" t="str">
            <v>Omega</v>
          </cell>
          <cell r="D2628">
            <v>142</v>
          </cell>
          <cell r="E2628">
            <v>52.62</v>
          </cell>
          <cell r="F2628">
            <v>7472.04</v>
          </cell>
          <cell r="G2628">
            <v>0.18</v>
          </cell>
          <cell r="H2628">
            <v>2</v>
          </cell>
          <cell r="I2628" t="str">
            <v>UK</v>
          </cell>
          <cell r="J2628" t="str">
            <v>Amazon</v>
          </cell>
        </row>
        <row r="2629">
          <cell r="A2629" t="str">
            <v>27-02-2023</v>
          </cell>
          <cell r="B2629" t="str">
            <v>Multivitamin</v>
          </cell>
          <cell r="C2629" t="str">
            <v>Vitamin</v>
          </cell>
          <cell r="D2629">
            <v>150</v>
          </cell>
          <cell r="E2629">
            <v>15.96</v>
          </cell>
          <cell r="F2629">
            <v>2394</v>
          </cell>
          <cell r="G2629">
            <v>0.1</v>
          </cell>
          <cell r="H2629">
            <v>0</v>
          </cell>
          <cell r="I2629" t="str">
            <v>Canada</v>
          </cell>
          <cell r="J2629" t="str">
            <v>Amazon</v>
          </cell>
        </row>
        <row r="2630">
          <cell r="A2630" t="str">
            <v>27-02-2023</v>
          </cell>
          <cell r="B2630" t="str">
            <v>Pre-Workout</v>
          </cell>
          <cell r="C2630" t="str">
            <v>Performance</v>
          </cell>
          <cell r="D2630">
            <v>139</v>
          </cell>
          <cell r="E2630">
            <v>30.93</v>
          </cell>
          <cell r="F2630">
            <v>4299.2700000000004</v>
          </cell>
          <cell r="G2630">
            <v>0.01</v>
          </cell>
          <cell r="H2630">
            <v>1</v>
          </cell>
          <cell r="I2630" t="str">
            <v>Canada</v>
          </cell>
          <cell r="J2630" t="str">
            <v>iHerb</v>
          </cell>
        </row>
        <row r="2631">
          <cell r="A2631" t="str">
            <v>27-02-2023</v>
          </cell>
          <cell r="B2631" t="str">
            <v>BCAA</v>
          </cell>
          <cell r="C2631" t="str">
            <v>Amino Acid</v>
          </cell>
          <cell r="D2631">
            <v>152</v>
          </cell>
          <cell r="E2631">
            <v>57.16</v>
          </cell>
          <cell r="F2631">
            <v>8688.32</v>
          </cell>
          <cell r="G2631">
            <v>0.02</v>
          </cell>
          <cell r="H2631">
            <v>3</v>
          </cell>
          <cell r="I2631" t="str">
            <v>USA</v>
          </cell>
          <cell r="J2631" t="str">
            <v>Walmart</v>
          </cell>
        </row>
        <row r="2632">
          <cell r="A2632" t="str">
            <v>27-02-2023</v>
          </cell>
          <cell r="B2632" t="str">
            <v>Creatine</v>
          </cell>
          <cell r="C2632" t="str">
            <v>Performance</v>
          </cell>
          <cell r="D2632">
            <v>145</v>
          </cell>
          <cell r="E2632">
            <v>30.09</v>
          </cell>
          <cell r="F2632">
            <v>4363.05</v>
          </cell>
          <cell r="G2632">
            <v>0.02</v>
          </cell>
          <cell r="H2632">
            <v>2</v>
          </cell>
          <cell r="I2632" t="str">
            <v>UK</v>
          </cell>
          <cell r="J2632" t="str">
            <v>Amazon</v>
          </cell>
        </row>
        <row r="2633">
          <cell r="A2633" t="str">
            <v>27-02-2023</v>
          </cell>
          <cell r="B2633" t="str">
            <v>Zinc</v>
          </cell>
          <cell r="C2633" t="str">
            <v>Mineral</v>
          </cell>
          <cell r="D2633">
            <v>123</v>
          </cell>
          <cell r="E2633">
            <v>46.15</v>
          </cell>
          <cell r="F2633">
            <v>5676.45</v>
          </cell>
          <cell r="G2633">
            <v>0.1</v>
          </cell>
          <cell r="H2633">
            <v>0</v>
          </cell>
          <cell r="I2633" t="str">
            <v>USA</v>
          </cell>
          <cell r="J2633" t="str">
            <v>iHerb</v>
          </cell>
        </row>
        <row r="2634">
          <cell r="A2634" t="str">
            <v>27-02-2023</v>
          </cell>
          <cell r="B2634" t="str">
            <v>Collagen Peptides</v>
          </cell>
          <cell r="C2634" t="str">
            <v>Protein</v>
          </cell>
          <cell r="D2634">
            <v>160</v>
          </cell>
          <cell r="E2634">
            <v>56.13</v>
          </cell>
          <cell r="F2634">
            <v>8980.7999999999993</v>
          </cell>
          <cell r="G2634">
            <v>0.09</v>
          </cell>
          <cell r="H2634">
            <v>1</v>
          </cell>
          <cell r="I2634" t="str">
            <v>USA</v>
          </cell>
          <cell r="J2634" t="str">
            <v>iHerb</v>
          </cell>
        </row>
        <row r="2635">
          <cell r="A2635" t="str">
            <v>27-02-2023</v>
          </cell>
          <cell r="B2635" t="str">
            <v>Magnesium</v>
          </cell>
          <cell r="C2635" t="str">
            <v>Mineral</v>
          </cell>
          <cell r="D2635">
            <v>145</v>
          </cell>
          <cell r="E2635">
            <v>47.55</v>
          </cell>
          <cell r="F2635">
            <v>6894.75</v>
          </cell>
          <cell r="G2635">
            <v>0.08</v>
          </cell>
          <cell r="H2635">
            <v>1</v>
          </cell>
          <cell r="I2635" t="str">
            <v>UK</v>
          </cell>
          <cell r="J2635" t="str">
            <v>iHerb</v>
          </cell>
        </row>
        <row r="2636">
          <cell r="A2636" t="str">
            <v>27-02-2023</v>
          </cell>
          <cell r="B2636" t="str">
            <v>Ashwagandha</v>
          </cell>
          <cell r="C2636" t="str">
            <v>Herbal</v>
          </cell>
          <cell r="D2636">
            <v>147</v>
          </cell>
          <cell r="E2636">
            <v>55.89</v>
          </cell>
          <cell r="F2636">
            <v>8215.83</v>
          </cell>
          <cell r="G2636">
            <v>0.17</v>
          </cell>
          <cell r="H2636">
            <v>1</v>
          </cell>
          <cell r="I2636" t="str">
            <v>Canada</v>
          </cell>
          <cell r="J2636" t="str">
            <v>Walmart</v>
          </cell>
        </row>
        <row r="2637">
          <cell r="A2637" t="str">
            <v>27-02-2023</v>
          </cell>
          <cell r="B2637" t="str">
            <v>Melatonin</v>
          </cell>
          <cell r="C2637" t="str">
            <v>Sleep Aid</v>
          </cell>
          <cell r="D2637">
            <v>161</v>
          </cell>
          <cell r="E2637">
            <v>13.03</v>
          </cell>
          <cell r="F2637">
            <v>2097.83</v>
          </cell>
          <cell r="G2637">
            <v>0.02</v>
          </cell>
          <cell r="H2637">
            <v>0</v>
          </cell>
          <cell r="I2637" t="str">
            <v>UK</v>
          </cell>
          <cell r="J2637" t="str">
            <v>Amazon</v>
          </cell>
        </row>
        <row r="2638">
          <cell r="A2638" t="str">
            <v>27-02-2023</v>
          </cell>
          <cell r="B2638" t="str">
            <v>Biotin</v>
          </cell>
          <cell r="C2638" t="str">
            <v>Vitamin</v>
          </cell>
          <cell r="D2638">
            <v>148</v>
          </cell>
          <cell r="E2638">
            <v>25.65</v>
          </cell>
          <cell r="F2638">
            <v>3796.2</v>
          </cell>
          <cell r="G2638">
            <v>0.1</v>
          </cell>
          <cell r="H2638">
            <v>3</v>
          </cell>
          <cell r="I2638" t="str">
            <v>Canada</v>
          </cell>
          <cell r="J2638" t="str">
            <v>Walmart</v>
          </cell>
        </row>
        <row r="2639">
          <cell r="A2639" t="str">
            <v>27-02-2023</v>
          </cell>
          <cell r="B2639" t="str">
            <v>Green Tea Extract</v>
          </cell>
          <cell r="C2639" t="str">
            <v>Fat Burner</v>
          </cell>
          <cell r="D2639">
            <v>164</v>
          </cell>
          <cell r="E2639">
            <v>23.34</v>
          </cell>
          <cell r="F2639">
            <v>3827.76</v>
          </cell>
          <cell r="G2639">
            <v>0.03</v>
          </cell>
          <cell r="H2639">
            <v>0</v>
          </cell>
          <cell r="I2639" t="str">
            <v>Canada</v>
          </cell>
          <cell r="J2639" t="str">
            <v>Walmart</v>
          </cell>
        </row>
        <row r="2640">
          <cell r="A2640" t="str">
            <v>27-02-2023</v>
          </cell>
          <cell r="B2640" t="str">
            <v>Iron Supplement</v>
          </cell>
          <cell r="C2640" t="str">
            <v>Mineral</v>
          </cell>
          <cell r="D2640">
            <v>132</v>
          </cell>
          <cell r="E2640">
            <v>37.590000000000003</v>
          </cell>
          <cell r="F2640">
            <v>4961.88</v>
          </cell>
          <cell r="G2640">
            <v>0.02</v>
          </cell>
          <cell r="H2640">
            <v>0</v>
          </cell>
          <cell r="I2640" t="str">
            <v>Canada</v>
          </cell>
          <cell r="J2640" t="str">
            <v>Amazon</v>
          </cell>
        </row>
        <row r="2641">
          <cell r="A2641" t="str">
            <v>27-02-2023</v>
          </cell>
          <cell r="B2641" t="str">
            <v>Electrolyte Powder</v>
          </cell>
          <cell r="C2641" t="str">
            <v>Hydration</v>
          </cell>
          <cell r="D2641">
            <v>137</v>
          </cell>
          <cell r="E2641">
            <v>40.79</v>
          </cell>
          <cell r="F2641">
            <v>5588.23</v>
          </cell>
          <cell r="G2641">
            <v>0.14000000000000001</v>
          </cell>
          <cell r="H2641">
            <v>0</v>
          </cell>
          <cell r="I2641" t="str">
            <v>USA</v>
          </cell>
          <cell r="J2641" t="str">
            <v>Walmart</v>
          </cell>
        </row>
        <row r="2642">
          <cell r="A2642" t="str">
            <v>06-03-2023</v>
          </cell>
          <cell r="B2642" t="str">
            <v>Whey Protein</v>
          </cell>
          <cell r="C2642" t="str">
            <v>Protein</v>
          </cell>
          <cell r="D2642">
            <v>145</v>
          </cell>
          <cell r="E2642">
            <v>21.32</v>
          </cell>
          <cell r="F2642">
            <v>3091.4</v>
          </cell>
          <cell r="G2642">
            <v>0.22</v>
          </cell>
          <cell r="H2642">
            <v>4</v>
          </cell>
          <cell r="I2642" t="str">
            <v>UK</v>
          </cell>
          <cell r="J2642" t="str">
            <v>iHerb</v>
          </cell>
        </row>
        <row r="2643">
          <cell r="A2643" t="str">
            <v>06-03-2023</v>
          </cell>
          <cell r="B2643" t="str">
            <v>Vitamin C</v>
          </cell>
          <cell r="C2643" t="str">
            <v>Vitamin</v>
          </cell>
          <cell r="D2643">
            <v>155</v>
          </cell>
          <cell r="E2643">
            <v>42.14</v>
          </cell>
          <cell r="F2643">
            <v>6531.7</v>
          </cell>
          <cell r="G2643">
            <v>0.01</v>
          </cell>
          <cell r="H2643">
            <v>6</v>
          </cell>
          <cell r="I2643" t="str">
            <v>USA</v>
          </cell>
          <cell r="J2643" t="str">
            <v>iHerb</v>
          </cell>
        </row>
        <row r="2644">
          <cell r="A2644" t="str">
            <v>06-03-2023</v>
          </cell>
          <cell r="B2644" t="str">
            <v>Fish Oil</v>
          </cell>
          <cell r="C2644" t="str">
            <v>Omega</v>
          </cell>
          <cell r="D2644">
            <v>131</v>
          </cell>
          <cell r="E2644">
            <v>22.64</v>
          </cell>
          <cell r="F2644">
            <v>2965.84</v>
          </cell>
          <cell r="G2644">
            <v>0.1</v>
          </cell>
          <cell r="H2644">
            <v>2</v>
          </cell>
          <cell r="I2644" t="str">
            <v>USA</v>
          </cell>
          <cell r="J2644" t="str">
            <v>iHerb</v>
          </cell>
        </row>
        <row r="2645">
          <cell r="A2645" t="str">
            <v>06-03-2023</v>
          </cell>
          <cell r="B2645" t="str">
            <v>Multivitamin</v>
          </cell>
          <cell r="C2645" t="str">
            <v>Vitamin</v>
          </cell>
          <cell r="D2645">
            <v>148</v>
          </cell>
          <cell r="E2645">
            <v>26.72</v>
          </cell>
          <cell r="F2645">
            <v>3954.56</v>
          </cell>
          <cell r="G2645">
            <v>0.09</v>
          </cell>
          <cell r="H2645">
            <v>4</v>
          </cell>
          <cell r="I2645" t="str">
            <v>USA</v>
          </cell>
          <cell r="J2645" t="str">
            <v>Amazon</v>
          </cell>
        </row>
        <row r="2646">
          <cell r="A2646" t="str">
            <v>06-03-2023</v>
          </cell>
          <cell r="B2646" t="str">
            <v>Pre-Workout</v>
          </cell>
          <cell r="C2646" t="str">
            <v>Performance</v>
          </cell>
          <cell r="D2646">
            <v>162</v>
          </cell>
          <cell r="E2646">
            <v>19.989999999999998</v>
          </cell>
          <cell r="F2646">
            <v>3238.38</v>
          </cell>
          <cell r="G2646">
            <v>0.2</v>
          </cell>
          <cell r="H2646">
            <v>0</v>
          </cell>
          <cell r="I2646" t="str">
            <v>USA</v>
          </cell>
          <cell r="J2646" t="str">
            <v>Walmart</v>
          </cell>
        </row>
        <row r="2647">
          <cell r="A2647" t="str">
            <v>06-03-2023</v>
          </cell>
          <cell r="B2647" t="str">
            <v>BCAA</v>
          </cell>
          <cell r="C2647" t="str">
            <v>Amino Acid</v>
          </cell>
          <cell r="D2647">
            <v>139</v>
          </cell>
          <cell r="E2647">
            <v>54.02</v>
          </cell>
          <cell r="F2647">
            <v>7508.78</v>
          </cell>
          <cell r="G2647">
            <v>0.03</v>
          </cell>
          <cell r="H2647">
            <v>0</v>
          </cell>
          <cell r="I2647" t="str">
            <v>USA</v>
          </cell>
          <cell r="J2647" t="str">
            <v>Walmart</v>
          </cell>
        </row>
        <row r="2648">
          <cell r="A2648" t="str">
            <v>06-03-2023</v>
          </cell>
          <cell r="B2648" t="str">
            <v>Creatine</v>
          </cell>
          <cell r="C2648" t="str">
            <v>Performance</v>
          </cell>
          <cell r="D2648">
            <v>150</v>
          </cell>
          <cell r="E2648">
            <v>38.44</v>
          </cell>
          <cell r="F2648">
            <v>5766</v>
          </cell>
          <cell r="G2648">
            <v>0.11</v>
          </cell>
          <cell r="H2648">
            <v>1</v>
          </cell>
          <cell r="I2648" t="str">
            <v>UK</v>
          </cell>
          <cell r="J2648" t="str">
            <v>Walmart</v>
          </cell>
        </row>
        <row r="2649">
          <cell r="A2649" t="str">
            <v>06-03-2023</v>
          </cell>
          <cell r="B2649" t="str">
            <v>Zinc</v>
          </cell>
          <cell r="C2649" t="str">
            <v>Mineral</v>
          </cell>
          <cell r="D2649">
            <v>132</v>
          </cell>
          <cell r="E2649">
            <v>51.05</v>
          </cell>
          <cell r="F2649">
            <v>6738.6</v>
          </cell>
          <cell r="G2649">
            <v>0.22</v>
          </cell>
          <cell r="H2649">
            <v>0</v>
          </cell>
          <cell r="I2649" t="str">
            <v>Canada</v>
          </cell>
          <cell r="J2649" t="str">
            <v>Walmart</v>
          </cell>
        </row>
        <row r="2650">
          <cell r="A2650" t="str">
            <v>06-03-2023</v>
          </cell>
          <cell r="B2650" t="str">
            <v>Collagen Peptides</v>
          </cell>
          <cell r="C2650" t="str">
            <v>Protein</v>
          </cell>
          <cell r="D2650">
            <v>133</v>
          </cell>
          <cell r="E2650">
            <v>40.409999999999997</v>
          </cell>
          <cell r="F2650">
            <v>5374.53</v>
          </cell>
          <cell r="G2650">
            <v>0.18</v>
          </cell>
          <cell r="H2650">
            <v>1</v>
          </cell>
          <cell r="I2650" t="str">
            <v>UK</v>
          </cell>
          <cell r="J2650" t="str">
            <v>iHerb</v>
          </cell>
        </row>
        <row r="2651">
          <cell r="A2651" t="str">
            <v>06-03-2023</v>
          </cell>
          <cell r="B2651" t="str">
            <v>Magnesium</v>
          </cell>
          <cell r="C2651" t="str">
            <v>Mineral</v>
          </cell>
          <cell r="D2651">
            <v>156</v>
          </cell>
          <cell r="E2651">
            <v>56.77</v>
          </cell>
          <cell r="F2651">
            <v>8856.1200000000008</v>
          </cell>
          <cell r="G2651">
            <v>0.02</v>
          </cell>
          <cell r="H2651">
            <v>0</v>
          </cell>
          <cell r="I2651" t="str">
            <v>UK</v>
          </cell>
          <cell r="J2651" t="str">
            <v>Walmart</v>
          </cell>
        </row>
        <row r="2652">
          <cell r="A2652" t="str">
            <v>06-03-2023</v>
          </cell>
          <cell r="B2652" t="str">
            <v>Ashwagandha</v>
          </cell>
          <cell r="C2652" t="str">
            <v>Herbal</v>
          </cell>
          <cell r="D2652">
            <v>127</v>
          </cell>
          <cell r="E2652">
            <v>49.63</v>
          </cell>
          <cell r="F2652">
            <v>6303.01</v>
          </cell>
          <cell r="G2652">
            <v>0.14000000000000001</v>
          </cell>
          <cell r="H2652">
            <v>0</v>
          </cell>
          <cell r="I2652" t="str">
            <v>USA</v>
          </cell>
          <cell r="J2652" t="str">
            <v>Amazon</v>
          </cell>
        </row>
        <row r="2653">
          <cell r="A2653" t="str">
            <v>06-03-2023</v>
          </cell>
          <cell r="B2653" t="str">
            <v>Melatonin</v>
          </cell>
          <cell r="C2653" t="str">
            <v>Sleep Aid</v>
          </cell>
          <cell r="D2653">
            <v>141</v>
          </cell>
          <cell r="E2653">
            <v>38.04</v>
          </cell>
          <cell r="F2653">
            <v>5363.64</v>
          </cell>
          <cell r="G2653">
            <v>0.06</v>
          </cell>
          <cell r="H2653">
            <v>0</v>
          </cell>
          <cell r="I2653" t="str">
            <v>USA</v>
          </cell>
          <cell r="J2653" t="str">
            <v>Walmart</v>
          </cell>
        </row>
        <row r="2654">
          <cell r="A2654" t="str">
            <v>06-03-2023</v>
          </cell>
          <cell r="B2654" t="str">
            <v>Biotin</v>
          </cell>
          <cell r="C2654" t="str">
            <v>Vitamin</v>
          </cell>
          <cell r="D2654">
            <v>159</v>
          </cell>
          <cell r="E2654">
            <v>32.619999999999997</v>
          </cell>
          <cell r="F2654">
            <v>5186.58</v>
          </cell>
          <cell r="G2654">
            <v>0.03</v>
          </cell>
          <cell r="H2654">
            <v>3</v>
          </cell>
          <cell r="I2654" t="str">
            <v>Canada</v>
          </cell>
          <cell r="J2654" t="str">
            <v>iHerb</v>
          </cell>
        </row>
        <row r="2655">
          <cell r="A2655" t="str">
            <v>06-03-2023</v>
          </cell>
          <cell r="B2655" t="str">
            <v>Green Tea Extract</v>
          </cell>
          <cell r="C2655" t="str">
            <v>Fat Burner</v>
          </cell>
          <cell r="D2655">
            <v>152</v>
          </cell>
          <cell r="E2655">
            <v>34.770000000000003</v>
          </cell>
          <cell r="F2655">
            <v>5285.04</v>
          </cell>
          <cell r="G2655">
            <v>0.24</v>
          </cell>
          <cell r="H2655">
            <v>3</v>
          </cell>
          <cell r="I2655" t="str">
            <v>Canada</v>
          </cell>
          <cell r="J2655" t="str">
            <v>Walmart</v>
          </cell>
        </row>
        <row r="2656">
          <cell r="A2656" t="str">
            <v>06-03-2023</v>
          </cell>
          <cell r="B2656" t="str">
            <v>Iron Supplement</v>
          </cell>
          <cell r="C2656" t="str">
            <v>Mineral</v>
          </cell>
          <cell r="D2656">
            <v>153</v>
          </cell>
          <cell r="E2656">
            <v>26.15</v>
          </cell>
          <cell r="F2656">
            <v>4000.95</v>
          </cell>
          <cell r="G2656">
            <v>0.09</v>
          </cell>
          <cell r="H2656">
            <v>0</v>
          </cell>
          <cell r="I2656" t="str">
            <v>UK</v>
          </cell>
          <cell r="J2656" t="str">
            <v>Amazon</v>
          </cell>
        </row>
        <row r="2657">
          <cell r="A2657" t="str">
            <v>06-03-2023</v>
          </cell>
          <cell r="B2657" t="str">
            <v>Electrolyte Powder</v>
          </cell>
          <cell r="C2657" t="str">
            <v>Hydration</v>
          </cell>
          <cell r="D2657">
            <v>153</v>
          </cell>
          <cell r="E2657">
            <v>48.68</v>
          </cell>
          <cell r="F2657">
            <v>7448.04</v>
          </cell>
          <cell r="G2657">
            <v>0.04</v>
          </cell>
          <cell r="H2657">
            <v>1</v>
          </cell>
          <cell r="I2657" t="str">
            <v>Canada</v>
          </cell>
          <cell r="J2657" t="str">
            <v>Walmart</v>
          </cell>
        </row>
        <row r="2658">
          <cell r="A2658" t="str">
            <v>13-03-2023</v>
          </cell>
          <cell r="B2658" t="str">
            <v>Whey Protein</v>
          </cell>
          <cell r="C2658" t="str">
            <v>Protein</v>
          </cell>
          <cell r="D2658">
            <v>137</v>
          </cell>
          <cell r="E2658">
            <v>17.899999999999999</v>
          </cell>
          <cell r="F2658">
            <v>2452.3000000000002</v>
          </cell>
          <cell r="G2658">
            <v>0.23</v>
          </cell>
          <cell r="H2658">
            <v>0</v>
          </cell>
          <cell r="I2658" t="str">
            <v>USA</v>
          </cell>
          <cell r="J2658" t="str">
            <v>Amazon</v>
          </cell>
        </row>
        <row r="2659">
          <cell r="A2659" t="str">
            <v>13-03-2023</v>
          </cell>
          <cell r="B2659" t="str">
            <v>Vitamin C</v>
          </cell>
          <cell r="C2659" t="str">
            <v>Vitamin</v>
          </cell>
          <cell r="D2659">
            <v>142</v>
          </cell>
          <cell r="E2659">
            <v>32.92</v>
          </cell>
          <cell r="F2659">
            <v>4674.6400000000003</v>
          </cell>
          <cell r="G2659">
            <v>0.01</v>
          </cell>
          <cell r="H2659">
            <v>1</v>
          </cell>
          <cell r="I2659" t="str">
            <v>UK</v>
          </cell>
          <cell r="J2659" t="str">
            <v>Walmart</v>
          </cell>
        </row>
        <row r="2660">
          <cell r="A2660" t="str">
            <v>13-03-2023</v>
          </cell>
          <cell r="B2660" t="str">
            <v>Fish Oil</v>
          </cell>
          <cell r="C2660" t="str">
            <v>Omega</v>
          </cell>
          <cell r="D2660">
            <v>153</v>
          </cell>
          <cell r="E2660">
            <v>38.19</v>
          </cell>
          <cell r="F2660">
            <v>5843.07</v>
          </cell>
          <cell r="G2660">
            <v>0.02</v>
          </cell>
          <cell r="H2660">
            <v>2</v>
          </cell>
          <cell r="I2660" t="str">
            <v>UK</v>
          </cell>
          <cell r="J2660" t="str">
            <v>Amazon</v>
          </cell>
        </row>
        <row r="2661">
          <cell r="A2661" t="str">
            <v>13-03-2023</v>
          </cell>
          <cell r="B2661" t="str">
            <v>Multivitamin</v>
          </cell>
          <cell r="C2661" t="str">
            <v>Vitamin</v>
          </cell>
          <cell r="D2661">
            <v>172</v>
          </cell>
          <cell r="E2661">
            <v>27.09</v>
          </cell>
          <cell r="F2661">
            <v>4659.4799999999996</v>
          </cell>
          <cell r="G2661">
            <v>0.08</v>
          </cell>
          <cell r="H2661">
            <v>0</v>
          </cell>
          <cell r="I2661" t="str">
            <v>USA</v>
          </cell>
          <cell r="J2661" t="str">
            <v>Amazon</v>
          </cell>
        </row>
        <row r="2662">
          <cell r="A2662" t="str">
            <v>13-03-2023</v>
          </cell>
          <cell r="B2662" t="str">
            <v>Pre-Workout</v>
          </cell>
          <cell r="C2662" t="str">
            <v>Performance</v>
          </cell>
          <cell r="D2662">
            <v>155</v>
          </cell>
          <cell r="E2662">
            <v>32.97</v>
          </cell>
          <cell r="F2662">
            <v>5110.3500000000004</v>
          </cell>
          <cell r="G2662">
            <v>0.23</v>
          </cell>
          <cell r="H2662">
            <v>0</v>
          </cell>
          <cell r="I2662" t="str">
            <v>USA</v>
          </cell>
          <cell r="J2662" t="str">
            <v>Amazon</v>
          </cell>
        </row>
        <row r="2663">
          <cell r="A2663" t="str">
            <v>13-03-2023</v>
          </cell>
          <cell r="B2663" t="str">
            <v>BCAA</v>
          </cell>
          <cell r="C2663" t="str">
            <v>Amino Acid</v>
          </cell>
          <cell r="D2663">
            <v>139</v>
          </cell>
          <cell r="E2663">
            <v>35.14</v>
          </cell>
          <cell r="F2663">
            <v>4884.46</v>
          </cell>
          <cell r="G2663">
            <v>0.08</v>
          </cell>
          <cell r="H2663">
            <v>0</v>
          </cell>
          <cell r="I2663" t="str">
            <v>UK</v>
          </cell>
          <cell r="J2663" t="str">
            <v>iHerb</v>
          </cell>
        </row>
        <row r="2664">
          <cell r="A2664" t="str">
            <v>13-03-2023</v>
          </cell>
          <cell r="B2664" t="str">
            <v>Creatine</v>
          </cell>
          <cell r="C2664" t="str">
            <v>Performance</v>
          </cell>
          <cell r="D2664">
            <v>159</v>
          </cell>
          <cell r="E2664">
            <v>44.38</v>
          </cell>
          <cell r="F2664">
            <v>7056.42</v>
          </cell>
          <cell r="G2664">
            <v>0.09</v>
          </cell>
          <cell r="H2664">
            <v>1</v>
          </cell>
          <cell r="I2664" t="str">
            <v>Canada</v>
          </cell>
          <cell r="J2664" t="str">
            <v>Walmart</v>
          </cell>
        </row>
        <row r="2665">
          <cell r="A2665" t="str">
            <v>13-03-2023</v>
          </cell>
          <cell r="B2665" t="str">
            <v>Zinc</v>
          </cell>
          <cell r="C2665" t="str">
            <v>Mineral</v>
          </cell>
          <cell r="D2665">
            <v>173</v>
          </cell>
          <cell r="E2665">
            <v>35.01</v>
          </cell>
          <cell r="F2665">
            <v>6056.73</v>
          </cell>
          <cell r="G2665">
            <v>0.21</v>
          </cell>
          <cell r="H2665">
            <v>2</v>
          </cell>
          <cell r="I2665" t="str">
            <v>Canada</v>
          </cell>
          <cell r="J2665" t="str">
            <v>Walmart</v>
          </cell>
        </row>
        <row r="2666">
          <cell r="A2666" t="str">
            <v>13-03-2023</v>
          </cell>
          <cell r="B2666" t="str">
            <v>Collagen Peptides</v>
          </cell>
          <cell r="C2666" t="str">
            <v>Protein</v>
          </cell>
          <cell r="D2666">
            <v>142</v>
          </cell>
          <cell r="E2666">
            <v>44.01</v>
          </cell>
          <cell r="F2666">
            <v>6249.42</v>
          </cell>
          <cell r="G2666">
            <v>0.22</v>
          </cell>
          <cell r="H2666">
            <v>0</v>
          </cell>
          <cell r="I2666" t="str">
            <v>Canada</v>
          </cell>
          <cell r="J2666" t="str">
            <v>Walmart</v>
          </cell>
        </row>
        <row r="2667">
          <cell r="A2667" t="str">
            <v>13-03-2023</v>
          </cell>
          <cell r="B2667" t="str">
            <v>Magnesium</v>
          </cell>
          <cell r="C2667" t="str">
            <v>Mineral</v>
          </cell>
          <cell r="D2667">
            <v>127</v>
          </cell>
          <cell r="E2667">
            <v>21.64</v>
          </cell>
          <cell r="F2667">
            <v>2748.28</v>
          </cell>
          <cell r="G2667">
            <v>7.0000000000000007E-2</v>
          </cell>
          <cell r="H2667">
            <v>0</v>
          </cell>
          <cell r="I2667" t="str">
            <v>Canada</v>
          </cell>
          <cell r="J2667" t="str">
            <v>iHerb</v>
          </cell>
        </row>
        <row r="2668">
          <cell r="A2668" t="str">
            <v>13-03-2023</v>
          </cell>
          <cell r="B2668" t="str">
            <v>Ashwagandha</v>
          </cell>
          <cell r="C2668" t="str">
            <v>Herbal</v>
          </cell>
          <cell r="D2668">
            <v>138</v>
          </cell>
          <cell r="E2668">
            <v>56.7</v>
          </cell>
          <cell r="F2668">
            <v>7824.6</v>
          </cell>
          <cell r="G2668">
            <v>0.04</v>
          </cell>
          <cell r="H2668">
            <v>0</v>
          </cell>
          <cell r="I2668" t="str">
            <v>Canada</v>
          </cell>
          <cell r="J2668" t="str">
            <v>Walmart</v>
          </cell>
        </row>
        <row r="2669">
          <cell r="A2669" t="str">
            <v>13-03-2023</v>
          </cell>
          <cell r="B2669" t="str">
            <v>Melatonin</v>
          </cell>
          <cell r="C2669" t="str">
            <v>Sleep Aid</v>
          </cell>
          <cell r="D2669">
            <v>160</v>
          </cell>
          <cell r="E2669">
            <v>15.24</v>
          </cell>
          <cell r="F2669">
            <v>2438.4</v>
          </cell>
          <cell r="G2669">
            <v>0.21</v>
          </cell>
          <cell r="H2669">
            <v>1</v>
          </cell>
          <cell r="I2669" t="str">
            <v>Canada</v>
          </cell>
          <cell r="J2669" t="str">
            <v>Walmart</v>
          </cell>
        </row>
        <row r="2670">
          <cell r="A2670" t="str">
            <v>13-03-2023</v>
          </cell>
          <cell r="B2670" t="str">
            <v>Biotin</v>
          </cell>
          <cell r="C2670" t="str">
            <v>Vitamin</v>
          </cell>
          <cell r="D2670">
            <v>141</v>
          </cell>
          <cell r="E2670">
            <v>51.11</v>
          </cell>
          <cell r="F2670">
            <v>7206.51</v>
          </cell>
          <cell r="G2670">
            <v>0.19</v>
          </cell>
          <cell r="H2670">
            <v>3</v>
          </cell>
          <cell r="I2670" t="str">
            <v>UK</v>
          </cell>
          <cell r="J2670" t="str">
            <v>iHerb</v>
          </cell>
        </row>
        <row r="2671">
          <cell r="A2671" t="str">
            <v>13-03-2023</v>
          </cell>
          <cell r="B2671" t="str">
            <v>Green Tea Extract</v>
          </cell>
          <cell r="C2671" t="str">
            <v>Fat Burner</v>
          </cell>
          <cell r="D2671">
            <v>172</v>
          </cell>
          <cell r="E2671">
            <v>31.19</v>
          </cell>
          <cell r="F2671">
            <v>5364.68</v>
          </cell>
          <cell r="G2671">
            <v>0</v>
          </cell>
          <cell r="H2671">
            <v>3</v>
          </cell>
          <cell r="I2671" t="str">
            <v>USA</v>
          </cell>
          <cell r="J2671" t="str">
            <v>Amazon</v>
          </cell>
        </row>
        <row r="2672">
          <cell r="A2672" t="str">
            <v>13-03-2023</v>
          </cell>
          <cell r="B2672" t="str">
            <v>Iron Supplement</v>
          </cell>
          <cell r="C2672" t="str">
            <v>Mineral</v>
          </cell>
          <cell r="D2672">
            <v>136</v>
          </cell>
          <cell r="E2672">
            <v>26.47</v>
          </cell>
          <cell r="F2672">
            <v>3599.92</v>
          </cell>
          <cell r="G2672">
            <v>0.09</v>
          </cell>
          <cell r="H2672">
            <v>0</v>
          </cell>
          <cell r="I2672" t="str">
            <v>Canada</v>
          </cell>
          <cell r="J2672" t="str">
            <v>iHerb</v>
          </cell>
        </row>
        <row r="2673">
          <cell r="A2673" t="str">
            <v>13-03-2023</v>
          </cell>
          <cell r="B2673" t="str">
            <v>Electrolyte Powder</v>
          </cell>
          <cell r="C2673" t="str">
            <v>Hydration</v>
          </cell>
          <cell r="D2673">
            <v>144</v>
          </cell>
          <cell r="E2673">
            <v>11.28</v>
          </cell>
          <cell r="F2673">
            <v>1624.32</v>
          </cell>
          <cell r="G2673">
            <v>0.1</v>
          </cell>
          <cell r="H2673">
            <v>0</v>
          </cell>
          <cell r="I2673" t="str">
            <v>UK</v>
          </cell>
          <cell r="J2673" t="str">
            <v>Walmart</v>
          </cell>
        </row>
        <row r="2674">
          <cell r="A2674" t="str">
            <v>20-03-2023</v>
          </cell>
          <cell r="B2674" t="str">
            <v>Whey Protein</v>
          </cell>
          <cell r="C2674" t="str">
            <v>Protein</v>
          </cell>
          <cell r="D2674">
            <v>145</v>
          </cell>
          <cell r="E2674">
            <v>22.61</v>
          </cell>
          <cell r="F2674">
            <v>3278.45</v>
          </cell>
          <cell r="G2674">
            <v>0.22</v>
          </cell>
          <cell r="H2674">
            <v>1</v>
          </cell>
          <cell r="I2674" t="str">
            <v>Canada</v>
          </cell>
          <cell r="J2674" t="str">
            <v>Amazon</v>
          </cell>
        </row>
        <row r="2675">
          <cell r="A2675" t="str">
            <v>20-03-2023</v>
          </cell>
          <cell r="B2675" t="str">
            <v>Vitamin C</v>
          </cell>
          <cell r="C2675" t="str">
            <v>Vitamin</v>
          </cell>
          <cell r="D2675">
            <v>141</v>
          </cell>
          <cell r="E2675">
            <v>17.11</v>
          </cell>
          <cell r="F2675">
            <v>2412.5100000000002</v>
          </cell>
          <cell r="G2675">
            <v>0.06</v>
          </cell>
          <cell r="H2675">
            <v>1</v>
          </cell>
          <cell r="I2675" t="str">
            <v>UK</v>
          </cell>
          <cell r="J2675" t="str">
            <v>Walmart</v>
          </cell>
        </row>
        <row r="2676">
          <cell r="A2676" t="str">
            <v>20-03-2023</v>
          </cell>
          <cell r="B2676" t="str">
            <v>Fish Oil</v>
          </cell>
          <cell r="C2676" t="str">
            <v>Omega</v>
          </cell>
          <cell r="D2676">
            <v>140</v>
          </cell>
          <cell r="E2676">
            <v>34.57</v>
          </cell>
          <cell r="F2676">
            <v>4839.8</v>
          </cell>
          <cell r="G2676">
            <v>0.19</v>
          </cell>
          <cell r="H2676">
            <v>4</v>
          </cell>
          <cell r="I2676" t="str">
            <v>USA</v>
          </cell>
          <cell r="J2676" t="str">
            <v>Walmart</v>
          </cell>
        </row>
        <row r="2677">
          <cell r="A2677" t="str">
            <v>20-03-2023</v>
          </cell>
          <cell r="B2677" t="str">
            <v>Multivitamin</v>
          </cell>
          <cell r="C2677" t="str">
            <v>Vitamin</v>
          </cell>
          <cell r="D2677">
            <v>133</v>
          </cell>
          <cell r="E2677">
            <v>25.98</v>
          </cell>
          <cell r="F2677">
            <v>3455.34</v>
          </cell>
          <cell r="G2677">
            <v>0.04</v>
          </cell>
          <cell r="H2677">
            <v>2</v>
          </cell>
          <cell r="I2677" t="str">
            <v>USA</v>
          </cell>
          <cell r="J2677" t="str">
            <v>Walmart</v>
          </cell>
        </row>
        <row r="2678">
          <cell r="A2678" t="str">
            <v>20-03-2023</v>
          </cell>
          <cell r="B2678" t="str">
            <v>Pre-Workout</v>
          </cell>
          <cell r="C2678" t="str">
            <v>Performance</v>
          </cell>
          <cell r="D2678">
            <v>160</v>
          </cell>
          <cell r="E2678">
            <v>36.89</v>
          </cell>
          <cell r="F2678">
            <v>5902.4</v>
          </cell>
          <cell r="G2678">
            <v>0.01</v>
          </cell>
          <cell r="H2678">
            <v>2</v>
          </cell>
          <cell r="I2678" t="str">
            <v>USA</v>
          </cell>
          <cell r="J2678" t="str">
            <v>Walmart</v>
          </cell>
        </row>
        <row r="2679">
          <cell r="A2679" t="str">
            <v>20-03-2023</v>
          </cell>
          <cell r="B2679" t="str">
            <v>BCAA</v>
          </cell>
          <cell r="C2679" t="str">
            <v>Amino Acid</v>
          </cell>
          <cell r="D2679">
            <v>161</v>
          </cell>
          <cell r="E2679">
            <v>23.27</v>
          </cell>
          <cell r="F2679">
            <v>3746.47</v>
          </cell>
          <cell r="G2679">
            <v>0.17</v>
          </cell>
          <cell r="H2679">
            <v>1</v>
          </cell>
          <cell r="I2679" t="str">
            <v>Canada</v>
          </cell>
          <cell r="J2679" t="str">
            <v>iHerb</v>
          </cell>
        </row>
        <row r="2680">
          <cell r="A2680" t="str">
            <v>20-03-2023</v>
          </cell>
          <cell r="B2680" t="str">
            <v>Creatine</v>
          </cell>
          <cell r="C2680" t="str">
            <v>Performance</v>
          </cell>
          <cell r="D2680">
            <v>152</v>
          </cell>
          <cell r="E2680">
            <v>29.06</v>
          </cell>
          <cell r="F2680">
            <v>4417.12</v>
          </cell>
          <cell r="G2680">
            <v>0.18</v>
          </cell>
          <cell r="H2680">
            <v>3</v>
          </cell>
          <cell r="I2680" t="str">
            <v>UK</v>
          </cell>
          <cell r="J2680" t="str">
            <v>iHerb</v>
          </cell>
        </row>
        <row r="2681">
          <cell r="A2681" t="str">
            <v>20-03-2023</v>
          </cell>
          <cell r="B2681" t="str">
            <v>Zinc</v>
          </cell>
          <cell r="C2681" t="str">
            <v>Mineral</v>
          </cell>
          <cell r="D2681">
            <v>150</v>
          </cell>
          <cell r="E2681">
            <v>52.78</v>
          </cell>
          <cell r="F2681">
            <v>7917</v>
          </cell>
          <cell r="G2681">
            <v>0.12</v>
          </cell>
          <cell r="H2681">
            <v>3</v>
          </cell>
          <cell r="I2681" t="str">
            <v>USA</v>
          </cell>
          <cell r="J2681" t="str">
            <v>iHerb</v>
          </cell>
        </row>
        <row r="2682">
          <cell r="A2682" t="str">
            <v>20-03-2023</v>
          </cell>
          <cell r="B2682" t="str">
            <v>Collagen Peptides</v>
          </cell>
          <cell r="C2682" t="str">
            <v>Protein</v>
          </cell>
          <cell r="D2682">
            <v>137</v>
          </cell>
          <cell r="E2682">
            <v>42.87</v>
          </cell>
          <cell r="F2682">
            <v>5873.19</v>
          </cell>
          <cell r="G2682">
            <v>0.22</v>
          </cell>
          <cell r="H2682">
            <v>3</v>
          </cell>
          <cell r="I2682" t="str">
            <v>Canada</v>
          </cell>
          <cell r="J2682" t="str">
            <v>Walmart</v>
          </cell>
        </row>
        <row r="2683">
          <cell r="A2683" t="str">
            <v>20-03-2023</v>
          </cell>
          <cell r="B2683" t="str">
            <v>Magnesium</v>
          </cell>
          <cell r="C2683" t="str">
            <v>Mineral</v>
          </cell>
          <cell r="D2683">
            <v>155</v>
          </cell>
          <cell r="E2683">
            <v>26.57</v>
          </cell>
          <cell r="F2683">
            <v>4118.3500000000004</v>
          </cell>
          <cell r="G2683">
            <v>0.25</v>
          </cell>
          <cell r="H2683">
            <v>1</v>
          </cell>
          <cell r="I2683" t="str">
            <v>UK</v>
          </cell>
          <cell r="J2683" t="str">
            <v>Amazon</v>
          </cell>
        </row>
        <row r="2684">
          <cell r="A2684" t="str">
            <v>20-03-2023</v>
          </cell>
          <cell r="B2684" t="str">
            <v>Ashwagandha</v>
          </cell>
          <cell r="C2684" t="str">
            <v>Herbal</v>
          </cell>
          <cell r="D2684">
            <v>159</v>
          </cell>
          <cell r="E2684">
            <v>40.43</v>
          </cell>
          <cell r="F2684">
            <v>6428.37</v>
          </cell>
          <cell r="G2684">
            <v>0.1</v>
          </cell>
          <cell r="H2684">
            <v>4</v>
          </cell>
          <cell r="I2684" t="str">
            <v>USA</v>
          </cell>
          <cell r="J2684" t="str">
            <v>Walmart</v>
          </cell>
        </row>
        <row r="2685">
          <cell r="A2685" t="str">
            <v>20-03-2023</v>
          </cell>
          <cell r="B2685" t="str">
            <v>Melatonin</v>
          </cell>
          <cell r="C2685" t="str">
            <v>Sleep Aid</v>
          </cell>
          <cell r="D2685">
            <v>152</v>
          </cell>
          <cell r="E2685">
            <v>10.38</v>
          </cell>
          <cell r="F2685">
            <v>1577.76</v>
          </cell>
          <cell r="G2685">
            <v>0.14000000000000001</v>
          </cell>
          <cell r="H2685">
            <v>2</v>
          </cell>
          <cell r="I2685" t="str">
            <v>UK</v>
          </cell>
          <cell r="J2685" t="str">
            <v>Amazon</v>
          </cell>
        </row>
        <row r="2686">
          <cell r="A2686" t="str">
            <v>20-03-2023</v>
          </cell>
          <cell r="B2686" t="str">
            <v>Biotin</v>
          </cell>
          <cell r="C2686" t="str">
            <v>Vitamin</v>
          </cell>
          <cell r="D2686">
            <v>149</v>
          </cell>
          <cell r="E2686">
            <v>58.73</v>
          </cell>
          <cell r="F2686">
            <v>8750.77</v>
          </cell>
          <cell r="G2686">
            <v>0.06</v>
          </cell>
          <cell r="H2686">
            <v>1</v>
          </cell>
          <cell r="I2686" t="str">
            <v>UK</v>
          </cell>
          <cell r="J2686" t="str">
            <v>Amazon</v>
          </cell>
        </row>
        <row r="2687">
          <cell r="A2687" t="str">
            <v>20-03-2023</v>
          </cell>
          <cell r="B2687" t="str">
            <v>Green Tea Extract</v>
          </cell>
          <cell r="C2687" t="str">
            <v>Fat Burner</v>
          </cell>
          <cell r="D2687">
            <v>125</v>
          </cell>
          <cell r="E2687">
            <v>29</v>
          </cell>
          <cell r="F2687">
            <v>3625</v>
          </cell>
          <cell r="G2687">
            <v>0.01</v>
          </cell>
          <cell r="H2687">
            <v>1</v>
          </cell>
          <cell r="I2687" t="str">
            <v>UK</v>
          </cell>
          <cell r="J2687" t="str">
            <v>Amazon</v>
          </cell>
        </row>
        <row r="2688">
          <cell r="A2688" t="str">
            <v>20-03-2023</v>
          </cell>
          <cell r="B2688" t="str">
            <v>Iron Supplement</v>
          </cell>
          <cell r="C2688" t="str">
            <v>Mineral</v>
          </cell>
          <cell r="D2688">
            <v>139</v>
          </cell>
          <cell r="E2688">
            <v>59.37</v>
          </cell>
          <cell r="F2688">
            <v>8252.43</v>
          </cell>
          <cell r="G2688">
            <v>0.2</v>
          </cell>
          <cell r="H2688">
            <v>5</v>
          </cell>
          <cell r="I2688" t="str">
            <v>Canada</v>
          </cell>
          <cell r="J2688" t="str">
            <v>Walmart</v>
          </cell>
        </row>
        <row r="2689">
          <cell r="A2689" t="str">
            <v>20-03-2023</v>
          </cell>
          <cell r="B2689" t="str">
            <v>Electrolyte Powder</v>
          </cell>
          <cell r="C2689" t="str">
            <v>Hydration</v>
          </cell>
          <cell r="D2689">
            <v>157</v>
          </cell>
          <cell r="E2689">
            <v>32.06</v>
          </cell>
          <cell r="F2689">
            <v>5033.42</v>
          </cell>
          <cell r="G2689">
            <v>0.2</v>
          </cell>
          <cell r="H2689">
            <v>1</v>
          </cell>
          <cell r="I2689" t="str">
            <v>USA</v>
          </cell>
          <cell r="J2689" t="str">
            <v>Amazon</v>
          </cell>
        </row>
        <row r="2690">
          <cell r="A2690" t="str">
            <v>27-03-2023</v>
          </cell>
          <cell r="B2690" t="str">
            <v>Whey Protein</v>
          </cell>
          <cell r="C2690" t="str">
            <v>Protein</v>
          </cell>
          <cell r="D2690">
            <v>157</v>
          </cell>
          <cell r="E2690">
            <v>22.67</v>
          </cell>
          <cell r="F2690">
            <v>3559.19</v>
          </cell>
          <cell r="G2690">
            <v>0.22</v>
          </cell>
          <cell r="H2690">
            <v>1</v>
          </cell>
          <cell r="I2690" t="str">
            <v>UK</v>
          </cell>
          <cell r="J2690" t="str">
            <v>Walmart</v>
          </cell>
        </row>
        <row r="2691">
          <cell r="A2691" t="str">
            <v>27-03-2023</v>
          </cell>
          <cell r="B2691" t="str">
            <v>Vitamin C</v>
          </cell>
          <cell r="C2691" t="str">
            <v>Vitamin</v>
          </cell>
          <cell r="D2691">
            <v>139</v>
          </cell>
          <cell r="E2691">
            <v>30.89</v>
          </cell>
          <cell r="F2691">
            <v>4293.71</v>
          </cell>
          <cell r="G2691">
            <v>0.19</v>
          </cell>
          <cell r="H2691">
            <v>1</v>
          </cell>
          <cell r="I2691" t="str">
            <v>Canada</v>
          </cell>
          <cell r="J2691" t="str">
            <v>iHerb</v>
          </cell>
        </row>
        <row r="2692">
          <cell r="A2692" t="str">
            <v>27-03-2023</v>
          </cell>
          <cell r="B2692" t="str">
            <v>Fish Oil</v>
          </cell>
          <cell r="C2692" t="str">
            <v>Omega</v>
          </cell>
          <cell r="D2692">
            <v>146</v>
          </cell>
          <cell r="E2692">
            <v>39.22</v>
          </cell>
          <cell r="F2692">
            <v>5726.12</v>
          </cell>
          <cell r="G2692">
            <v>0.1</v>
          </cell>
          <cell r="H2692">
            <v>0</v>
          </cell>
          <cell r="I2692" t="str">
            <v>Canada</v>
          </cell>
          <cell r="J2692" t="str">
            <v>iHerb</v>
          </cell>
        </row>
        <row r="2693">
          <cell r="A2693" t="str">
            <v>27-03-2023</v>
          </cell>
          <cell r="B2693" t="str">
            <v>Multivitamin</v>
          </cell>
          <cell r="C2693" t="str">
            <v>Vitamin</v>
          </cell>
          <cell r="D2693">
            <v>168</v>
          </cell>
          <cell r="E2693">
            <v>53.16</v>
          </cell>
          <cell r="F2693">
            <v>8930.8799999999992</v>
          </cell>
          <cell r="G2693">
            <v>0.09</v>
          </cell>
          <cell r="H2693">
            <v>2</v>
          </cell>
          <cell r="I2693" t="str">
            <v>UK</v>
          </cell>
          <cell r="J2693" t="str">
            <v>iHerb</v>
          </cell>
        </row>
        <row r="2694">
          <cell r="A2694" t="str">
            <v>27-03-2023</v>
          </cell>
          <cell r="B2694" t="str">
            <v>Pre-Workout</v>
          </cell>
          <cell r="C2694" t="str">
            <v>Performance</v>
          </cell>
          <cell r="D2694">
            <v>171</v>
          </cell>
          <cell r="E2694">
            <v>38.35</v>
          </cell>
          <cell r="F2694">
            <v>6557.85</v>
          </cell>
          <cell r="G2694">
            <v>0.19</v>
          </cell>
          <cell r="H2694">
            <v>3</v>
          </cell>
          <cell r="I2694" t="str">
            <v>USA</v>
          </cell>
          <cell r="J2694" t="str">
            <v>iHerb</v>
          </cell>
        </row>
        <row r="2695">
          <cell r="A2695" t="str">
            <v>27-03-2023</v>
          </cell>
          <cell r="B2695" t="str">
            <v>BCAA</v>
          </cell>
          <cell r="C2695" t="str">
            <v>Amino Acid</v>
          </cell>
          <cell r="D2695">
            <v>151</v>
          </cell>
          <cell r="E2695">
            <v>47.88</v>
          </cell>
          <cell r="F2695">
            <v>7229.88</v>
          </cell>
          <cell r="G2695">
            <v>0.21</v>
          </cell>
          <cell r="H2695">
            <v>2</v>
          </cell>
          <cell r="I2695" t="str">
            <v>USA</v>
          </cell>
          <cell r="J2695" t="str">
            <v>iHerb</v>
          </cell>
        </row>
        <row r="2696">
          <cell r="A2696" t="str">
            <v>27-03-2023</v>
          </cell>
          <cell r="B2696" t="str">
            <v>Creatine</v>
          </cell>
          <cell r="C2696" t="str">
            <v>Performance</v>
          </cell>
          <cell r="D2696">
            <v>148</v>
          </cell>
          <cell r="E2696">
            <v>28.13</v>
          </cell>
          <cell r="F2696">
            <v>4163.24</v>
          </cell>
          <cell r="G2696">
            <v>0.03</v>
          </cell>
          <cell r="H2696">
            <v>0</v>
          </cell>
          <cell r="I2696" t="str">
            <v>USA</v>
          </cell>
          <cell r="J2696" t="str">
            <v>Walmart</v>
          </cell>
        </row>
        <row r="2697">
          <cell r="A2697" t="str">
            <v>27-03-2023</v>
          </cell>
          <cell r="B2697" t="str">
            <v>Zinc</v>
          </cell>
          <cell r="C2697" t="str">
            <v>Mineral</v>
          </cell>
          <cell r="D2697">
            <v>142</v>
          </cell>
          <cell r="E2697">
            <v>44.43</v>
          </cell>
          <cell r="F2697">
            <v>6309.06</v>
          </cell>
          <cell r="G2697">
            <v>0.02</v>
          </cell>
          <cell r="H2697">
            <v>0</v>
          </cell>
          <cell r="I2697" t="str">
            <v>USA</v>
          </cell>
          <cell r="J2697" t="str">
            <v>Amazon</v>
          </cell>
        </row>
        <row r="2698">
          <cell r="A2698" t="str">
            <v>27-03-2023</v>
          </cell>
          <cell r="B2698" t="str">
            <v>Collagen Peptides</v>
          </cell>
          <cell r="C2698" t="str">
            <v>Protein</v>
          </cell>
          <cell r="D2698">
            <v>131</v>
          </cell>
          <cell r="E2698">
            <v>23.39</v>
          </cell>
          <cell r="F2698">
            <v>3064.09</v>
          </cell>
          <cell r="G2698">
            <v>0.14000000000000001</v>
          </cell>
          <cell r="H2698">
            <v>4</v>
          </cell>
          <cell r="I2698" t="str">
            <v>USA</v>
          </cell>
          <cell r="J2698" t="str">
            <v>Walmart</v>
          </cell>
        </row>
        <row r="2699">
          <cell r="A2699" t="str">
            <v>27-03-2023</v>
          </cell>
          <cell r="B2699" t="str">
            <v>Magnesium</v>
          </cell>
          <cell r="C2699" t="str">
            <v>Mineral</v>
          </cell>
          <cell r="D2699">
            <v>166</v>
          </cell>
          <cell r="E2699">
            <v>18.8</v>
          </cell>
          <cell r="F2699">
            <v>3120.8</v>
          </cell>
          <cell r="G2699">
            <v>7.0000000000000007E-2</v>
          </cell>
          <cell r="H2699">
            <v>0</v>
          </cell>
          <cell r="I2699" t="str">
            <v>UK</v>
          </cell>
          <cell r="J2699" t="str">
            <v>Amazon</v>
          </cell>
        </row>
        <row r="2700">
          <cell r="A2700" t="str">
            <v>27-03-2023</v>
          </cell>
          <cell r="B2700" t="str">
            <v>Ashwagandha</v>
          </cell>
          <cell r="C2700" t="str">
            <v>Herbal</v>
          </cell>
          <cell r="D2700">
            <v>161</v>
          </cell>
          <cell r="E2700">
            <v>37.83</v>
          </cell>
          <cell r="F2700">
            <v>6090.63</v>
          </cell>
          <cell r="G2700">
            <v>0.06</v>
          </cell>
          <cell r="H2700">
            <v>1</v>
          </cell>
          <cell r="I2700" t="str">
            <v>UK</v>
          </cell>
          <cell r="J2700" t="str">
            <v>iHerb</v>
          </cell>
        </row>
        <row r="2701">
          <cell r="A2701" t="str">
            <v>27-03-2023</v>
          </cell>
          <cell r="B2701" t="str">
            <v>Melatonin</v>
          </cell>
          <cell r="C2701" t="str">
            <v>Sleep Aid</v>
          </cell>
          <cell r="D2701">
            <v>164</v>
          </cell>
          <cell r="E2701">
            <v>53.55</v>
          </cell>
          <cell r="F2701">
            <v>8782.2000000000007</v>
          </cell>
          <cell r="G2701">
            <v>0.16</v>
          </cell>
          <cell r="H2701">
            <v>4</v>
          </cell>
          <cell r="I2701" t="str">
            <v>UK</v>
          </cell>
          <cell r="J2701" t="str">
            <v>Walmart</v>
          </cell>
        </row>
        <row r="2702">
          <cell r="A2702" t="str">
            <v>27-03-2023</v>
          </cell>
          <cell r="B2702" t="str">
            <v>Biotin</v>
          </cell>
          <cell r="C2702" t="str">
            <v>Vitamin</v>
          </cell>
          <cell r="D2702">
            <v>142</v>
          </cell>
          <cell r="E2702">
            <v>44.51</v>
          </cell>
          <cell r="F2702">
            <v>6320.42</v>
          </cell>
          <cell r="G2702">
            <v>0.1</v>
          </cell>
          <cell r="H2702">
            <v>3</v>
          </cell>
          <cell r="I2702" t="str">
            <v>USA</v>
          </cell>
          <cell r="J2702" t="str">
            <v>iHerb</v>
          </cell>
        </row>
        <row r="2703">
          <cell r="A2703" t="str">
            <v>27-03-2023</v>
          </cell>
          <cell r="B2703" t="str">
            <v>Green Tea Extract</v>
          </cell>
          <cell r="C2703" t="str">
            <v>Fat Burner</v>
          </cell>
          <cell r="D2703">
            <v>146</v>
          </cell>
          <cell r="E2703">
            <v>52.64</v>
          </cell>
          <cell r="F2703">
            <v>7685.44</v>
          </cell>
          <cell r="G2703">
            <v>0.16</v>
          </cell>
          <cell r="H2703">
            <v>0</v>
          </cell>
          <cell r="I2703" t="str">
            <v>USA</v>
          </cell>
          <cell r="J2703" t="str">
            <v>iHerb</v>
          </cell>
        </row>
        <row r="2704">
          <cell r="A2704" t="str">
            <v>27-03-2023</v>
          </cell>
          <cell r="B2704" t="str">
            <v>Iron Supplement</v>
          </cell>
          <cell r="C2704" t="str">
            <v>Mineral</v>
          </cell>
          <cell r="D2704">
            <v>151</v>
          </cell>
          <cell r="E2704">
            <v>48.93</v>
          </cell>
          <cell r="F2704">
            <v>7388.43</v>
          </cell>
          <cell r="G2704">
            <v>0.08</v>
          </cell>
          <cell r="H2704">
            <v>1</v>
          </cell>
          <cell r="I2704" t="str">
            <v>UK</v>
          </cell>
          <cell r="J2704" t="str">
            <v>iHerb</v>
          </cell>
        </row>
        <row r="2705">
          <cell r="A2705" t="str">
            <v>27-03-2023</v>
          </cell>
          <cell r="B2705" t="str">
            <v>Electrolyte Powder</v>
          </cell>
          <cell r="C2705" t="str">
            <v>Hydration</v>
          </cell>
          <cell r="D2705">
            <v>162</v>
          </cell>
          <cell r="E2705">
            <v>17.93</v>
          </cell>
          <cell r="F2705">
            <v>2904.66</v>
          </cell>
          <cell r="G2705">
            <v>0.1</v>
          </cell>
          <cell r="H2705">
            <v>1</v>
          </cell>
          <cell r="I2705" t="str">
            <v>UK</v>
          </cell>
          <cell r="J2705" t="str">
            <v>iHerb</v>
          </cell>
        </row>
        <row r="2706">
          <cell r="A2706" t="str">
            <v>03-04-2023</v>
          </cell>
          <cell r="B2706" t="str">
            <v>Whey Protein</v>
          </cell>
          <cell r="C2706" t="str">
            <v>Protein</v>
          </cell>
          <cell r="D2706">
            <v>174</v>
          </cell>
          <cell r="E2706">
            <v>24.85</v>
          </cell>
          <cell r="F2706">
            <v>4323.8999999999996</v>
          </cell>
          <cell r="G2706">
            <v>0.06</v>
          </cell>
          <cell r="H2706">
            <v>3</v>
          </cell>
          <cell r="I2706" t="str">
            <v>Canada</v>
          </cell>
          <cell r="J2706" t="str">
            <v>Walmart</v>
          </cell>
        </row>
        <row r="2707">
          <cell r="A2707" t="str">
            <v>03-04-2023</v>
          </cell>
          <cell r="B2707" t="str">
            <v>Vitamin C</v>
          </cell>
          <cell r="C2707" t="str">
            <v>Vitamin</v>
          </cell>
          <cell r="D2707">
            <v>156</v>
          </cell>
          <cell r="E2707">
            <v>28.85</v>
          </cell>
          <cell r="F2707">
            <v>4500.6000000000004</v>
          </cell>
          <cell r="G2707">
            <v>0.13</v>
          </cell>
          <cell r="H2707">
            <v>1</v>
          </cell>
          <cell r="I2707" t="str">
            <v>UK</v>
          </cell>
          <cell r="J2707" t="str">
            <v>Walmart</v>
          </cell>
        </row>
        <row r="2708">
          <cell r="A2708" t="str">
            <v>03-04-2023</v>
          </cell>
          <cell r="B2708" t="str">
            <v>Fish Oil</v>
          </cell>
          <cell r="C2708" t="str">
            <v>Omega</v>
          </cell>
          <cell r="D2708">
            <v>167</v>
          </cell>
          <cell r="E2708">
            <v>55.43</v>
          </cell>
          <cell r="F2708">
            <v>9256.81</v>
          </cell>
          <cell r="G2708">
            <v>0.11</v>
          </cell>
          <cell r="H2708">
            <v>2</v>
          </cell>
          <cell r="I2708" t="str">
            <v>USA</v>
          </cell>
          <cell r="J2708" t="str">
            <v>Amazon</v>
          </cell>
        </row>
        <row r="2709">
          <cell r="A2709" t="str">
            <v>03-04-2023</v>
          </cell>
          <cell r="B2709" t="str">
            <v>Multivitamin</v>
          </cell>
          <cell r="C2709" t="str">
            <v>Vitamin</v>
          </cell>
          <cell r="D2709">
            <v>124</v>
          </cell>
          <cell r="E2709">
            <v>33.85</v>
          </cell>
          <cell r="F2709">
            <v>4197.3999999999996</v>
          </cell>
          <cell r="G2709">
            <v>0.11</v>
          </cell>
          <cell r="H2709">
            <v>1</v>
          </cell>
          <cell r="I2709" t="str">
            <v>Canada</v>
          </cell>
          <cell r="J2709" t="str">
            <v>Amazon</v>
          </cell>
        </row>
        <row r="2710">
          <cell r="A2710" t="str">
            <v>03-04-2023</v>
          </cell>
          <cell r="B2710" t="str">
            <v>Pre-Workout</v>
          </cell>
          <cell r="C2710" t="str">
            <v>Performance</v>
          </cell>
          <cell r="D2710">
            <v>176</v>
          </cell>
          <cell r="E2710">
            <v>32.590000000000003</v>
          </cell>
          <cell r="F2710">
            <v>5735.84</v>
          </cell>
          <cell r="G2710">
            <v>0.05</v>
          </cell>
          <cell r="H2710">
            <v>3</v>
          </cell>
          <cell r="I2710" t="str">
            <v>Canada</v>
          </cell>
          <cell r="J2710" t="str">
            <v>Amazon</v>
          </cell>
        </row>
        <row r="2711">
          <cell r="A2711" t="str">
            <v>03-04-2023</v>
          </cell>
          <cell r="B2711" t="str">
            <v>BCAA</v>
          </cell>
          <cell r="C2711" t="str">
            <v>Amino Acid</v>
          </cell>
          <cell r="D2711">
            <v>132</v>
          </cell>
          <cell r="E2711">
            <v>44.86</v>
          </cell>
          <cell r="F2711">
            <v>5921.52</v>
          </cell>
          <cell r="G2711">
            <v>0.09</v>
          </cell>
          <cell r="H2711">
            <v>3</v>
          </cell>
          <cell r="I2711" t="str">
            <v>Canada</v>
          </cell>
          <cell r="J2711" t="str">
            <v>Amazon</v>
          </cell>
        </row>
        <row r="2712">
          <cell r="A2712" t="str">
            <v>03-04-2023</v>
          </cell>
          <cell r="B2712" t="str">
            <v>Creatine</v>
          </cell>
          <cell r="C2712" t="str">
            <v>Performance</v>
          </cell>
          <cell r="D2712">
            <v>152</v>
          </cell>
          <cell r="E2712">
            <v>39.229999999999997</v>
          </cell>
          <cell r="F2712">
            <v>5962.96</v>
          </cell>
          <cell r="G2712">
            <v>0.11</v>
          </cell>
          <cell r="H2712">
            <v>1</v>
          </cell>
          <cell r="I2712" t="str">
            <v>USA</v>
          </cell>
          <cell r="J2712" t="str">
            <v>Amazon</v>
          </cell>
        </row>
        <row r="2713">
          <cell r="A2713" t="str">
            <v>03-04-2023</v>
          </cell>
          <cell r="B2713" t="str">
            <v>Zinc</v>
          </cell>
          <cell r="C2713" t="str">
            <v>Mineral</v>
          </cell>
          <cell r="D2713">
            <v>127</v>
          </cell>
          <cell r="E2713">
            <v>19.89</v>
          </cell>
          <cell r="F2713">
            <v>2526.0300000000002</v>
          </cell>
          <cell r="G2713">
            <v>0.14000000000000001</v>
          </cell>
          <cell r="H2713">
            <v>1</v>
          </cell>
          <cell r="I2713" t="str">
            <v>Canada</v>
          </cell>
          <cell r="J2713" t="str">
            <v>Walmart</v>
          </cell>
        </row>
        <row r="2714">
          <cell r="A2714" t="str">
            <v>03-04-2023</v>
          </cell>
          <cell r="B2714" t="str">
            <v>Collagen Peptides</v>
          </cell>
          <cell r="C2714" t="str">
            <v>Protein</v>
          </cell>
          <cell r="D2714">
            <v>154</v>
          </cell>
          <cell r="E2714">
            <v>31.06</v>
          </cell>
          <cell r="F2714">
            <v>4783.24</v>
          </cell>
          <cell r="G2714">
            <v>0.21</v>
          </cell>
          <cell r="H2714">
            <v>1</v>
          </cell>
          <cell r="I2714" t="str">
            <v>USA</v>
          </cell>
          <cell r="J2714" t="str">
            <v>Amazon</v>
          </cell>
        </row>
        <row r="2715">
          <cell r="A2715" t="str">
            <v>03-04-2023</v>
          </cell>
          <cell r="B2715" t="str">
            <v>Magnesium</v>
          </cell>
          <cell r="C2715" t="str">
            <v>Mineral</v>
          </cell>
          <cell r="D2715">
            <v>155</v>
          </cell>
          <cell r="E2715">
            <v>42.67</v>
          </cell>
          <cell r="F2715">
            <v>6613.85</v>
          </cell>
          <cell r="G2715">
            <v>0.21</v>
          </cell>
          <cell r="H2715">
            <v>4</v>
          </cell>
          <cell r="I2715" t="str">
            <v>Canada</v>
          </cell>
          <cell r="J2715" t="str">
            <v>iHerb</v>
          </cell>
        </row>
        <row r="2716">
          <cell r="A2716" t="str">
            <v>03-04-2023</v>
          </cell>
          <cell r="B2716" t="str">
            <v>Ashwagandha</v>
          </cell>
          <cell r="C2716" t="str">
            <v>Herbal</v>
          </cell>
          <cell r="D2716">
            <v>153</v>
          </cell>
          <cell r="E2716">
            <v>38.19</v>
          </cell>
          <cell r="F2716">
            <v>5843.07</v>
          </cell>
          <cell r="G2716">
            <v>0.04</v>
          </cell>
          <cell r="H2716">
            <v>3</v>
          </cell>
          <cell r="I2716" t="str">
            <v>USA</v>
          </cell>
          <cell r="J2716" t="str">
            <v>iHerb</v>
          </cell>
        </row>
        <row r="2717">
          <cell r="A2717" t="str">
            <v>03-04-2023</v>
          </cell>
          <cell r="B2717" t="str">
            <v>Melatonin</v>
          </cell>
          <cell r="C2717" t="str">
            <v>Sleep Aid</v>
          </cell>
          <cell r="D2717">
            <v>170</v>
          </cell>
          <cell r="E2717">
            <v>24.02</v>
          </cell>
          <cell r="F2717">
            <v>4083.4</v>
          </cell>
          <cell r="G2717">
            <v>0.04</v>
          </cell>
          <cell r="H2717">
            <v>2</v>
          </cell>
          <cell r="I2717" t="str">
            <v>Canada</v>
          </cell>
          <cell r="J2717" t="str">
            <v>iHerb</v>
          </cell>
        </row>
        <row r="2718">
          <cell r="A2718" t="str">
            <v>03-04-2023</v>
          </cell>
          <cell r="B2718" t="str">
            <v>Biotin</v>
          </cell>
          <cell r="C2718" t="str">
            <v>Vitamin</v>
          </cell>
          <cell r="D2718">
            <v>143</v>
          </cell>
          <cell r="E2718">
            <v>43.55</v>
          </cell>
          <cell r="F2718">
            <v>6227.65</v>
          </cell>
          <cell r="G2718">
            <v>0.16</v>
          </cell>
          <cell r="H2718">
            <v>1</v>
          </cell>
          <cell r="I2718" t="str">
            <v>Canada</v>
          </cell>
          <cell r="J2718" t="str">
            <v>Amazon</v>
          </cell>
        </row>
        <row r="2719">
          <cell r="A2719" t="str">
            <v>03-04-2023</v>
          </cell>
          <cell r="B2719" t="str">
            <v>Green Tea Extract</v>
          </cell>
          <cell r="C2719" t="str">
            <v>Fat Burner</v>
          </cell>
          <cell r="D2719">
            <v>151</v>
          </cell>
          <cell r="E2719">
            <v>12.81</v>
          </cell>
          <cell r="F2719">
            <v>1934.31</v>
          </cell>
          <cell r="G2719">
            <v>0.16</v>
          </cell>
          <cell r="H2719">
            <v>2</v>
          </cell>
          <cell r="I2719" t="str">
            <v>Canada</v>
          </cell>
          <cell r="J2719" t="str">
            <v>iHerb</v>
          </cell>
        </row>
        <row r="2720">
          <cell r="A2720" t="str">
            <v>03-04-2023</v>
          </cell>
          <cell r="B2720" t="str">
            <v>Iron Supplement</v>
          </cell>
          <cell r="C2720" t="str">
            <v>Mineral</v>
          </cell>
          <cell r="D2720">
            <v>161</v>
          </cell>
          <cell r="E2720">
            <v>21.31</v>
          </cell>
          <cell r="F2720">
            <v>3430.91</v>
          </cell>
          <cell r="G2720">
            <v>0.24</v>
          </cell>
          <cell r="H2720">
            <v>6</v>
          </cell>
          <cell r="I2720" t="str">
            <v>USA</v>
          </cell>
          <cell r="J2720" t="str">
            <v>Walmart</v>
          </cell>
        </row>
        <row r="2721">
          <cell r="A2721" t="str">
            <v>03-04-2023</v>
          </cell>
          <cell r="B2721" t="str">
            <v>Electrolyte Powder</v>
          </cell>
          <cell r="C2721" t="str">
            <v>Hydration</v>
          </cell>
          <cell r="D2721">
            <v>142</v>
          </cell>
          <cell r="E2721">
            <v>26.91</v>
          </cell>
          <cell r="F2721">
            <v>3821.22</v>
          </cell>
          <cell r="G2721">
            <v>0.24</v>
          </cell>
          <cell r="H2721">
            <v>0</v>
          </cell>
          <cell r="I2721" t="str">
            <v>UK</v>
          </cell>
          <cell r="J2721" t="str">
            <v>iHerb</v>
          </cell>
        </row>
        <row r="2722">
          <cell r="A2722" t="str">
            <v>10-04-2023</v>
          </cell>
          <cell r="B2722" t="str">
            <v>Whey Protein</v>
          </cell>
          <cell r="C2722" t="str">
            <v>Protein</v>
          </cell>
          <cell r="D2722">
            <v>150</v>
          </cell>
          <cell r="E2722">
            <v>26.3</v>
          </cell>
          <cell r="F2722">
            <v>3945</v>
          </cell>
          <cell r="G2722">
            <v>0.16</v>
          </cell>
          <cell r="H2722">
            <v>0</v>
          </cell>
          <cell r="I2722" t="str">
            <v>Canada</v>
          </cell>
          <cell r="J2722" t="str">
            <v>Walmart</v>
          </cell>
        </row>
        <row r="2723">
          <cell r="A2723" t="str">
            <v>10-04-2023</v>
          </cell>
          <cell r="B2723" t="str">
            <v>Vitamin C</v>
          </cell>
          <cell r="C2723" t="str">
            <v>Vitamin</v>
          </cell>
          <cell r="D2723">
            <v>162</v>
          </cell>
          <cell r="E2723">
            <v>27.98</v>
          </cell>
          <cell r="F2723">
            <v>4532.76</v>
          </cell>
          <cell r="G2723">
            <v>0.08</v>
          </cell>
          <cell r="H2723">
            <v>1</v>
          </cell>
          <cell r="I2723" t="str">
            <v>USA</v>
          </cell>
          <cell r="J2723" t="str">
            <v>iHerb</v>
          </cell>
        </row>
        <row r="2724">
          <cell r="A2724" t="str">
            <v>10-04-2023</v>
          </cell>
          <cell r="B2724" t="str">
            <v>Fish Oil</v>
          </cell>
          <cell r="C2724" t="str">
            <v>Omega</v>
          </cell>
          <cell r="D2724">
            <v>135</v>
          </cell>
          <cell r="E2724">
            <v>14.18</v>
          </cell>
          <cell r="F2724">
            <v>1914.3</v>
          </cell>
          <cell r="G2724">
            <v>0.21</v>
          </cell>
          <cell r="H2724">
            <v>0</v>
          </cell>
          <cell r="I2724" t="str">
            <v>UK</v>
          </cell>
          <cell r="J2724" t="str">
            <v>Walmart</v>
          </cell>
        </row>
        <row r="2725">
          <cell r="A2725" t="str">
            <v>10-04-2023</v>
          </cell>
          <cell r="B2725" t="str">
            <v>Multivitamin</v>
          </cell>
          <cell r="C2725" t="str">
            <v>Vitamin</v>
          </cell>
          <cell r="D2725">
            <v>142</v>
          </cell>
          <cell r="E2725">
            <v>37.75</v>
          </cell>
          <cell r="F2725">
            <v>5360.5</v>
          </cell>
          <cell r="G2725">
            <v>0.03</v>
          </cell>
          <cell r="H2725">
            <v>3</v>
          </cell>
          <cell r="I2725" t="str">
            <v>USA</v>
          </cell>
          <cell r="J2725" t="str">
            <v>Amazon</v>
          </cell>
        </row>
        <row r="2726">
          <cell r="A2726" t="str">
            <v>10-04-2023</v>
          </cell>
          <cell r="B2726" t="str">
            <v>Pre-Workout</v>
          </cell>
          <cell r="C2726" t="str">
            <v>Performance</v>
          </cell>
          <cell r="D2726">
            <v>148</v>
          </cell>
          <cell r="E2726">
            <v>35.049999999999997</v>
          </cell>
          <cell r="F2726">
            <v>5187.3999999999996</v>
          </cell>
          <cell r="G2726">
            <v>0.15</v>
          </cell>
          <cell r="H2726">
            <v>1</v>
          </cell>
          <cell r="I2726" t="str">
            <v>Canada</v>
          </cell>
          <cell r="J2726" t="str">
            <v>Amazon</v>
          </cell>
        </row>
        <row r="2727">
          <cell r="A2727" t="str">
            <v>10-04-2023</v>
          </cell>
          <cell r="B2727" t="str">
            <v>BCAA</v>
          </cell>
          <cell r="C2727" t="str">
            <v>Amino Acid</v>
          </cell>
          <cell r="D2727">
            <v>138</v>
          </cell>
          <cell r="E2727">
            <v>32.01</v>
          </cell>
          <cell r="F2727">
            <v>4417.38</v>
          </cell>
          <cell r="G2727">
            <v>0.1</v>
          </cell>
          <cell r="H2727">
            <v>2</v>
          </cell>
          <cell r="I2727" t="str">
            <v>USA</v>
          </cell>
          <cell r="J2727" t="str">
            <v>Walmart</v>
          </cell>
        </row>
        <row r="2728">
          <cell r="A2728" t="str">
            <v>10-04-2023</v>
          </cell>
          <cell r="B2728" t="str">
            <v>Creatine</v>
          </cell>
          <cell r="C2728" t="str">
            <v>Performance</v>
          </cell>
          <cell r="D2728">
            <v>157</v>
          </cell>
          <cell r="E2728">
            <v>26.94</v>
          </cell>
          <cell r="F2728">
            <v>4229.58</v>
          </cell>
          <cell r="G2728">
            <v>0.1</v>
          </cell>
          <cell r="H2728">
            <v>0</v>
          </cell>
          <cell r="I2728" t="str">
            <v>USA</v>
          </cell>
          <cell r="J2728" t="str">
            <v>Amazon</v>
          </cell>
        </row>
        <row r="2729">
          <cell r="A2729" t="str">
            <v>10-04-2023</v>
          </cell>
          <cell r="B2729" t="str">
            <v>Zinc</v>
          </cell>
          <cell r="C2729" t="str">
            <v>Mineral</v>
          </cell>
          <cell r="D2729">
            <v>140</v>
          </cell>
          <cell r="E2729">
            <v>59.81</v>
          </cell>
          <cell r="F2729">
            <v>8373.4</v>
          </cell>
          <cell r="G2729">
            <v>0.18</v>
          </cell>
          <cell r="H2729">
            <v>0</v>
          </cell>
          <cell r="I2729" t="str">
            <v>UK</v>
          </cell>
          <cell r="J2729" t="str">
            <v>Amazon</v>
          </cell>
        </row>
        <row r="2730">
          <cell r="A2730" t="str">
            <v>10-04-2023</v>
          </cell>
          <cell r="B2730" t="str">
            <v>Collagen Peptides</v>
          </cell>
          <cell r="C2730" t="str">
            <v>Protein</v>
          </cell>
          <cell r="D2730">
            <v>148</v>
          </cell>
          <cell r="E2730">
            <v>56.17</v>
          </cell>
          <cell r="F2730">
            <v>8313.16</v>
          </cell>
          <cell r="G2730">
            <v>0.15</v>
          </cell>
          <cell r="H2730">
            <v>0</v>
          </cell>
          <cell r="I2730" t="str">
            <v>USA</v>
          </cell>
          <cell r="J2730" t="str">
            <v>iHerb</v>
          </cell>
        </row>
        <row r="2731">
          <cell r="A2731" t="str">
            <v>10-04-2023</v>
          </cell>
          <cell r="B2731" t="str">
            <v>Magnesium</v>
          </cell>
          <cell r="C2731" t="str">
            <v>Mineral</v>
          </cell>
          <cell r="D2731">
            <v>153</v>
          </cell>
          <cell r="E2731">
            <v>26.87</v>
          </cell>
          <cell r="F2731">
            <v>4111.1099999999997</v>
          </cell>
          <cell r="G2731">
            <v>0.1</v>
          </cell>
          <cell r="H2731">
            <v>2</v>
          </cell>
          <cell r="I2731" t="str">
            <v>UK</v>
          </cell>
          <cell r="J2731" t="str">
            <v>iHerb</v>
          </cell>
        </row>
        <row r="2732">
          <cell r="A2732" t="str">
            <v>10-04-2023</v>
          </cell>
          <cell r="B2732" t="str">
            <v>Ashwagandha</v>
          </cell>
          <cell r="C2732" t="str">
            <v>Herbal</v>
          </cell>
          <cell r="D2732">
            <v>172</v>
          </cell>
          <cell r="E2732">
            <v>49.49</v>
          </cell>
          <cell r="F2732">
            <v>8512.2800000000007</v>
          </cell>
          <cell r="G2732">
            <v>0.04</v>
          </cell>
          <cell r="H2732">
            <v>1</v>
          </cell>
          <cell r="I2732" t="str">
            <v>USA</v>
          </cell>
          <cell r="J2732" t="str">
            <v>Amazon</v>
          </cell>
        </row>
        <row r="2733">
          <cell r="A2733" t="str">
            <v>10-04-2023</v>
          </cell>
          <cell r="B2733" t="str">
            <v>Melatonin</v>
          </cell>
          <cell r="C2733" t="str">
            <v>Sleep Aid</v>
          </cell>
          <cell r="D2733">
            <v>151</v>
          </cell>
          <cell r="E2733">
            <v>41.75</v>
          </cell>
          <cell r="F2733">
            <v>6304.25</v>
          </cell>
          <cell r="G2733">
            <v>7.0000000000000007E-2</v>
          </cell>
          <cell r="H2733">
            <v>2</v>
          </cell>
          <cell r="I2733" t="str">
            <v>Canada</v>
          </cell>
          <cell r="J2733" t="str">
            <v>Walmart</v>
          </cell>
        </row>
        <row r="2734">
          <cell r="A2734" t="str">
            <v>10-04-2023</v>
          </cell>
          <cell r="B2734" t="str">
            <v>Biotin</v>
          </cell>
          <cell r="C2734" t="str">
            <v>Vitamin</v>
          </cell>
          <cell r="D2734">
            <v>162</v>
          </cell>
          <cell r="E2734">
            <v>19.04</v>
          </cell>
          <cell r="F2734">
            <v>3084.48</v>
          </cell>
          <cell r="G2734">
            <v>0.16</v>
          </cell>
          <cell r="H2734">
            <v>5</v>
          </cell>
          <cell r="I2734" t="str">
            <v>UK</v>
          </cell>
          <cell r="J2734" t="str">
            <v>Amazon</v>
          </cell>
        </row>
        <row r="2735">
          <cell r="A2735" t="str">
            <v>10-04-2023</v>
          </cell>
          <cell r="B2735" t="str">
            <v>Green Tea Extract</v>
          </cell>
          <cell r="C2735" t="str">
            <v>Fat Burner</v>
          </cell>
          <cell r="D2735">
            <v>154</v>
          </cell>
          <cell r="E2735">
            <v>10.86</v>
          </cell>
          <cell r="F2735">
            <v>1672.44</v>
          </cell>
          <cell r="G2735">
            <v>0.08</v>
          </cell>
          <cell r="H2735">
            <v>0</v>
          </cell>
          <cell r="I2735" t="str">
            <v>USA</v>
          </cell>
          <cell r="J2735" t="str">
            <v>Amazon</v>
          </cell>
        </row>
        <row r="2736">
          <cell r="A2736" t="str">
            <v>10-04-2023</v>
          </cell>
          <cell r="B2736" t="str">
            <v>Iron Supplement</v>
          </cell>
          <cell r="C2736" t="str">
            <v>Mineral</v>
          </cell>
          <cell r="D2736">
            <v>162</v>
          </cell>
          <cell r="E2736">
            <v>22.93</v>
          </cell>
          <cell r="F2736">
            <v>3714.66</v>
          </cell>
          <cell r="G2736">
            <v>0.08</v>
          </cell>
          <cell r="H2736">
            <v>1</v>
          </cell>
          <cell r="I2736" t="str">
            <v>UK</v>
          </cell>
          <cell r="J2736" t="str">
            <v>iHerb</v>
          </cell>
        </row>
        <row r="2737">
          <cell r="A2737" t="str">
            <v>10-04-2023</v>
          </cell>
          <cell r="B2737" t="str">
            <v>Electrolyte Powder</v>
          </cell>
          <cell r="C2737" t="str">
            <v>Hydration</v>
          </cell>
          <cell r="D2737">
            <v>170</v>
          </cell>
          <cell r="E2737">
            <v>42.81</v>
          </cell>
          <cell r="F2737">
            <v>7277.7</v>
          </cell>
          <cell r="G2737">
            <v>0.1</v>
          </cell>
          <cell r="H2737">
            <v>2</v>
          </cell>
          <cell r="I2737" t="str">
            <v>Canada</v>
          </cell>
          <cell r="J2737" t="str">
            <v>Amazon</v>
          </cell>
        </row>
        <row r="2738">
          <cell r="A2738" t="str">
            <v>17-04-2023</v>
          </cell>
          <cell r="B2738" t="str">
            <v>Whey Protein</v>
          </cell>
          <cell r="C2738" t="str">
            <v>Protein</v>
          </cell>
          <cell r="D2738">
            <v>146</v>
          </cell>
          <cell r="E2738">
            <v>41.72</v>
          </cell>
          <cell r="F2738">
            <v>6091.12</v>
          </cell>
          <cell r="G2738">
            <v>0.15</v>
          </cell>
          <cell r="H2738">
            <v>1</v>
          </cell>
          <cell r="I2738" t="str">
            <v>UK</v>
          </cell>
          <cell r="J2738" t="str">
            <v>Amazon</v>
          </cell>
        </row>
        <row r="2739">
          <cell r="A2739" t="str">
            <v>17-04-2023</v>
          </cell>
          <cell r="B2739" t="str">
            <v>Vitamin C</v>
          </cell>
          <cell r="C2739" t="str">
            <v>Vitamin</v>
          </cell>
          <cell r="D2739">
            <v>135</v>
          </cell>
          <cell r="E2739">
            <v>30.76</v>
          </cell>
          <cell r="F2739">
            <v>4152.6000000000004</v>
          </cell>
          <cell r="G2739">
            <v>0.16</v>
          </cell>
          <cell r="H2739">
            <v>3</v>
          </cell>
          <cell r="I2739" t="str">
            <v>UK</v>
          </cell>
          <cell r="J2739" t="str">
            <v>Amazon</v>
          </cell>
        </row>
        <row r="2740">
          <cell r="A2740" t="str">
            <v>17-04-2023</v>
          </cell>
          <cell r="B2740" t="str">
            <v>Fish Oil</v>
          </cell>
          <cell r="C2740" t="str">
            <v>Omega</v>
          </cell>
          <cell r="D2740">
            <v>116</v>
          </cell>
          <cell r="E2740">
            <v>19.690000000000001</v>
          </cell>
          <cell r="F2740">
            <v>2284.04</v>
          </cell>
          <cell r="G2740">
            <v>0.13</v>
          </cell>
          <cell r="H2740">
            <v>1</v>
          </cell>
          <cell r="I2740" t="str">
            <v>Canada</v>
          </cell>
          <cell r="J2740" t="str">
            <v>Amazon</v>
          </cell>
        </row>
        <row r="2741">
          <cell r="A2741" t="str">
            <v>17-04-2023</v>
          </cell>
          <cell r="B2741" t="str">
            <v>Multivitamin</v>
          </cell>
          <cell r="C2741" t="str">
            <v>Vitamin</v>
          </cell>
          <cell r="D2741">
            <v>158</v>
          </cell>
          <cell r="E2741">
            <v>39.72</v>
          </cell>
          <cell r="F2741">
            <v>6275.76</v>
          </cell>
          <cell r="G2741">
            <v>0.22</v>
          </cell>
          <cell r="H2741">
            <v>3</v>
          </cell>
          <cell r="I2741" t="str">
            <v>UK</v>
          </cell>
          <cell r="J2741" t="str">
            <v>iHerb</v>
          </cell>
        </row>
        <row r="2742">
          <cell r="A2742" t="str">
            <v>17-04-2023</v>
          </cell>
          <cell r="B2742" t="str">
            <v>Pre-Workout</v>
          </cell>
          <cell r="C2742" t="str">
            <v>Performance</v>
          </cell>
          <cell r="D2742">
            <v>169</v>
          </cell>
          <cell r="E2742">
            <v>19.88</v>
          </cell>
          <cell r="F2742">
            <v>3359.72</v>
          </cell>
          <cell r="G2742">
            <v>0</v>
          </cell>
          <cell r="H2742">
            <v>2</v>
          </cell>
          <cell r="I2742" t="str">
            <v>Canada</v>
          </cell>
          <cell r="J2742" t="str">
            <v>Walmart</v>
          </cell>
        </row>
        <row r="2743">
          <cell r="A2743" t="str">
            <v>17-04-2023</v>
          </cell>
          <cell r="B2743" t="str">
            <v>BCAA</v>
          </cell>
          <cell r="C2743" t="str">
            <v>Amino Acid</v>
          </cell>
          <cell r="D2743">
            <v>174</v>
          </cell>
          <cell r="E2743">
            <v>41.85</v>
          </cell>
          <cell r="F2743">
            <v>7281.9</v>
          </cell>
          <cell r="G2743">
            <v>0.19</v>
          </cell>
          <cell r="H2743">
            <v>4</v>
          </cell>
          <cell r="I2743" t="str">
            <v>UK</v>
          </cell>
          <cell r="J2743" t="str">
            <v>Walmart</v>
          </cell>
        </row>
        <row r="2744">
          <cell r="A2744" t="str">
            <v>17-04-2023</v>
          </cell>
          <cell r="B2744" t="str">
            <v>Creatine</v>
          </cell>
          <cell r="C2744" t="str">
            <v>Performance</v>
          </cell>
          <cell r="D2744">
            <v>144</v>
          </cell>
          <cell r="E2744">
            <v>37.15</v>
          </cell>
          <cell r="F2744">
            <v>5349.6</v>
          </cell>
          <cell r="G2744">
            <v>0.1</v>
          </cell>
          <cell r="H2744">
            <v>0</v>
          </cell>
          <cell r="I2744" t="str">
            <v>USA</v>
          </cell>
          <cell r="J2744" t="str">
            <v>iHerb</v>
          </cell>
        </row>
        <row r="2745">
          <cell r="A2745" t="str">
            <v>17-04-2023</v>
          </cell>
          <cell r="B2745" t="str">
            <v>Zinc</v>
          </cell>
          <cell r="C2745" t="str">
            <v>Mineral</v>
          </cell>
          <cell r="D2745">
            <v>159</v>
          </cell>
          <cell r="E2745">
            <v>47.35</v>
          </cell>
          <cell r="F2745">
            <v>7528.65</v>
          </cell>
          <cell r="G2745">
            <v>0.09</v>
          </cell>
          <cell r="H2745">
            <v>1</v>
          </cell>
          <cell r="I2745" t="str">
            <v>UK</v>
          </cell>
          <cell r="J2745" t="str">
            <v>Walmart</v>
          </cell>
        </row>
        <row r="2746">
          <cell r="A2746" t="str">
            <v>17-04-2023</v>
          </cell>
          <cell r="B2746" t="str">
            <v>Collagen Peptides</v>
          </cell>
          <cell r="C2746" t="str">
            <v>Protein</v>
          </cell>
          <cell r="D2746">
            <v>145</v>
          </cell>
          <cell r="E2746">
            <v>38.119999999999997</v>
          </cell>
          <cell r="F2746">
            <v>5527.4</v>
          </cell>
          <cell r="G2746">
            <v>0.03</v>
          </cell>
          <cell r="H2746">
            <v>0</v>
          </cell>
          <cell r="I2746" t="str">
            <v>USA</v>
          </cell>
          <cell r="J2746" t="str">
            <v>Amazon</v>
          </cell>
        </row>
        <row r="2747">
          <cell r="A2747" t="str">
            <v>17-04-2023</v>
          </cell>
          <cell r="B2747" t="str">
            <v>Magnesium</v>
          </cell>
          <cell r="C2747" t="str">
            <v>Mineral</v>
          </cell>
          <cell r="D2747">
            <v>160</v>
          </cell>
          <cell r="E2747">
            <v>57.95</v>
          </cell>
          <cell r="F2747">
            <v>9272</v>
          </cell>
          <cell r="G2747">
            <v>0.13</v>
          </cell>
          <cell r="H2747">
            <v>5</v>
          </cell>
          <cell r="I2747" t="str">
            <v>UK</v>
          </cell>
          <cell r="J2747" t="str">
            <v>iHerb</v>
          </cell>
        </row>
        <row r="2748">
          <cell r="A2748" t="str">
            <v>17-04-2023</v>
          </cell>
          <cell r="B2748" t="str">
            <v>Ashwagandha</v>
          </cell>
          <cell r="C2748" t="str">
            <v>Herbal</v>
          </cell>
          <cell r="D2748">
            <v>125</v>
          </cell>
          <cell r="E2748">
            <v>27.47</v>
          </cell>
          <cell r="F2748">
            <v>3433.75</v>
          </cell>
          <cell r="G2748">
            <v>0.21</v>
          </cell>
          <cell r="H2748">
            <v>1</v>
          </cell>
          <cell r="I2748" t="str">
            <v>Canada</v>
          </cell>
          <cell r="J2748" t="str">
            <v>Walmart</v>
          </cell>
        </row>
        <row r="2749">
          <cell r="A2749" t="str">
            <v>17-04-2023</v>
          </cell>
          <cell r="B2749" t="str">
            <v>Melatonin</v>
          </cell>
          <cell r="C2749" t="str">
            <v>Sleep Aid</v>
          </cell>
          <cell r="D2749">
            <v>141</v>
          </cell>
          <cell r="E2749">
            <v>28.73</v>
          </cell>
          <cell r="F2749">
            <v>4050.93</v>
          </cell>
          <cell r="G2749">
            <v>0</v>
          </cell>
          <cell r="H2749">
            <v>1</v>
          </cell>
          <cell r="I2749" t="str">
            <v>USA</v>
          </cell>
          <cell r="J2749" t="str">
            <v>iHerb</v>
          </cell>
        </row>
        <row r="2750">
          <cell r="A2750" t="str">
            <v>17-04-2023</v>
          </cell>
          <cell r="B2750" t="str">
            <v>Biotin</v>
          </cell>
          <cell r="C2750" t="str">
            <v>Vitamin</v>
          </cell>
          <cell r="D2750">
            <v>156</v>
          </cell>
          <cell r="E2750">
            <v>31.6</v>
          </cell>
          <cell r="F2750">
            <v>4929.6000000000004</v>
          </cell>
          <cell r="G2750">
            <v>0.01</v>
          </cell>
          <cell r="H2750">
            <v>2</v>
          </cell>
          <cell r="I2750" t="str">
            <v>USA</v>
          </cell>
          <cell r="J2750" t="str">
            <v>Amazon</v>
          </cell>
        </row>
        <row r="2751">
          <cell r="A2751" t="str">
            <v>17-04-2023</v>
          </cell>
          <cell r="B2751" t="str">
            <v>Green Tea Extract</v>
          </cell>
          <cell r="C2751" t="str">
            <v>Fat Burner</v>
          </cell>
          <cell r="D2751">
            <v>160</v>
          </cell>
          <cell r="E2751">
            <v>31.01</v>
          </cell>
          <cell r="F2751">
            <v>4961.6000000000004</v>
          </cell>
          <cell r="G2751">
            <v>0.02</v>
          </cell>
          <cell r="H2751">
            <v>1</v>
          </cell>
          <cell r="I2751" t="str">
            <v>Canada</v>
          </cell>
          <cell r="J2751" t="str">
            <v>iHerb</v>
          </cell>
        </row>
        <row r="2752">
          <cell r="A2752" t="str">
            <v>17-04-2023</v>
          </cell>
          <cell r="B2752" t="str">
            <v>Iron Supplement</v>
          </cell>
          <cell r="C2752" t="str">
            <v>Mineral</v>
          </cell>
          <cell r="D2752">
            <v>136</v>
          </cell>
          <cell r="E2752">
            <v>36.46</v>
          </cell>
          <cell r="F2752">
            <v>4958.5600000000004</v>
          </cell>
          <cell r="G2752">
            <v>0.24</v>
          </cell>
          <cell r="H2752">
            <v>0</v>
          </cell>
          <cell r="I2752" t="str">
            <v>Canada</v>
          </cell>
          <cell r="J2752" t="str">
            <v>iHerb</v>
          </cell>
        </row>
        <row r="2753">
          <cell r="A2753" t="str">
            <v>17-04-2023</v>
          </cell>
          <cell r="B2753" t="str">
            <v>Electrolyte Powder</v>
          </cell>
          <cell r="C2753" t="str">
            <v>Hydration</v>
          </cell>
          <cell r="D2753">
            <v>153</v>
          </cell>
          <cell r="E2753">
            <v>35.81</v>
          </cell>
          <cell r="F2753">
            <v>5478.93</v>
          </cell>
          <cell r="G2753">
            <v>0.22</v>
          </cell>
          <cell r="H2753">
            <v>0</v>
          </cell>
          <cell r="I2753" t="str">
            <v>Canada</v>
          </cell>
          <cell r="J2753" t="str">
            <v>Amazon</v>
          </cell>
        </row>
        <row r="2754">
          <cell r="A2754" t="str">
            <v>24-04-2023</v>
          </cell>
          <cell r="B2754" t="str">
            <v>Whey Protein</v>
          </cell>
          <cell r="C2754" t="str">
            <v>Protein</v>
          </cell>
          <cell r="D2754">
            <v>144</v>
          </cell>
          <cell r="E2754">
            <v>22.57</v>
          </cell>
          <cell r="F2754">
            <v>3250.08</v>
          </cell>
          <cell r="G2754">
            <v>0.08</v>
          </cell>
          <cell r="H2754">
            <v>2</v>
          </cell>
          <cell r="I2754" t="str">
            <v>USA</v>
          </cell>
          <cell r="J2754" t="str">
            <v>Walmart</v>
          </cell>
        </row>
        <row r="2755">
          <cell r="A2755" t="str">
            <v>24-04-2023</v>
          </cell>
          <cell r="B2755" t="str">
            <v>Vitamin C</v>
          </cell>
          <cell r="C2755" t="str">
            <v>Vitamin</v>
          </cell>
          <cell r="D2755">
            <v>137</v>
          </cell>
          <cell r="E2755">
            <v>34.119999999999997</v>
          </cell>
          <cell r="F2755">
            <v>4674.4399999999996</v>
          </cell>
          <cell r="G2755">
            <v>0.11</v>
          </cell>
          <cell r="H2755">
            <v>4</v>
          </cell>
          <cell r="I2755" t="str">
            <v>USA</v>
          </cell>
          <cell r="J2755" t="str">
            <v>Amazon</v>
          </cell>
        </row>
        <row r="2756">
          <cell r="A2756" t="str">
            <v>24-04-2023</v>
          </cell>
          <cell r="B2756" t="str">
            <v>Fish Oil</v>
          </cell>
          <cell r="C2756" t="str">
            <v>Omega</v>
          </cell>
          <cell r="D2756">
            <v>153</v>
          </cell>
          <cell r="E2756">
            <v>31.52</v>
          </cell>
          <cell r="F2756">
            <v>4822.5600000000004</v>
          </cell>
          <cell r="G2756">
            <v>0.11</v>
          </cell>
          <cell r="H2756">
            <v>3</v>
          </cell>
          <cell r="I2756" t="str">
            <v>UK</v>
          </cell>
          <cell r="J2756" t="str">
            <v>Walmart</v>
          </cell>
        </row>
        <row r="2757">
          <cell r="A2757" t="str">
            <v>24-04-2023</v>
          </cell>
          <cell r="B2757" t="str">
            <v>Multivitamin</v>
          </cell>
          <cell r="C2757" t="str">
            <v>Vitamin</v>
          </cell>
          <cell r="D2757">
            <v>168</v>
          </cell>
          <cell r="E2757">
            <v>19.96</v>
          </cell>
          <cell r="F2757">
            <v>3353.28</v>
          </cell>
          <cell r="G2757">
            <v>0.12</v>
          </cell>
          <cell r="H2757">
            <v>3</v>
          </cell>
          <cell r="I2757" t="str">
            <v>UK</v>
          </cell>
          <cell r="J2757" t="str">
            <v>Walmart</v>
          </cell>
        </row>
        <row r="2758">
          <cell r="A2758" t="str">
            <v>24-04-2023</v>
          </cell>
          <cell r="B2758" t="str">
            <v>Pre-Workout</v>
          </cell>
          <cell r="C2758" t="str">
            <v>Performance</v>
          </cell>
          <cell r="D2758">
            <v>143</v>
          </cell>
          <cell r="E2758">
            <v>45.41</v>
          </cell>
          <cell r="F2758">
            <v>6493.63</v>
          </cell>
          <cell r="G2758">
            <v>0.19</v>
          </cell>
          <cell r="H2758">
            <v>1</v>
          </cell>
          <cell r="I2758" t="str">
            <v>UK</v>
          </cell>
          <cell r="J2758" t="str">
            <v>iHerb</v>
          </cell>
        </row>
        <row r="2759">
          <cell r="A2759" t="str">
            <v>24-04-2023</v>
          </cell>
          <cell r="B2759" t="str">
            <v>BCAA</v>
          </cell>
          <cell r="C2759" t="str">
            <v>Amino Acid</v>
          </cell>
          <cell r="D2759">
            <v>146</v>
          </cell>
          <cell r="E2759">
            <v>40.57</v>
          </cell>
          <cell r="F2759">
            <v>5923.22</v>
          </cell>
          <cell r="G2759">
            <v>0.18</v>
          </cell>
          <cell r="H2759">
            <v>1</v>
          </cell>
          <cell r="I2759" t="str">
            <v>UK</v>
          </cell>
          <cell r="J2759" t="str">
            <v>Amazon</v>
          </cell>
        </row>
        <row r="2760">
          <cell r="A2760" t="str">
            <v>24-04-2023</v>
          </cell>
          <cell r="B2760" t="str">
            <v>Creatine</v>
          </cell>
          <cell r="C2760" t="str">
            <v>Performance</v>
          </cell>
          <cell r="D2760">
            <v>156</v>
          </cell>
          <cell r="E2760">
            <v>22.25</v>
          </cell>
          <cell r="F2760">
            <v>3471</v>
          </cell>
          <cell r="G2760">
            <v>0.18</v>
          </cell>
          <cell r="H2760">
            <v>1</v>
          </cell>
          <cell r="I2760" t="str">
            <v>Canada</v>
          </cell>
          <cell r="J2760" t="str">
            <v>iHerb</v>
          </cell>
        </row>
        <row r="2761">
          <cell r="A2761" t="str">
            <v>24-04-2023</v>
          </cell>
          <cell r="B2761" t="str">
            <v>Zinc</v>
          </cell>
          <cell r="C2761" t="str">
            <v>Mineral</v>
          </cell>
          <cell r="D2761">
            <v>157</v>
          </cell>
          <cell r="E2761">
            <v>39.94</v>
          </cell>
          <cell r="F2761">
            <v>6270.58</v>
          </cell>
          <cell r="G2761">
            <v>0.11</v>
          </cell>
          <cell r="H2761">
            <v>2</v>
          </cell>
          <cell r="I2761" t="str">
            <v>USA</v>
          </cell>
          <cell r="J2761" t="str">
            <v>Walmart</v>
          </cell>
        </row>
        <row r="2762">
          <cell r="A2762" t="str">
            <v>24-04-2023</v>
          </cell>
          <cell r="B2762" t="str">
            <v>Collagen Peptides</v>
          </cell>
          <cell r="C2762" t="str">
            <v>Protein</v>
          </cell>
          <cell r="D2762">
            <v>142</v>
          </cell>
          <cell r="E2762">
            <v>50.3</v>
          </cell>
          <cell r="F2762">
            <v>7142.6</v>
          </cell>
          <cell r="G2762">
            <v>0.06</v>
          </cell>
          <cell r="H2762">
            <v>1</v>
          </cell>
          <cell r="I2762" t="str">
            <v>Canada</v>
          </cell>
          <cell r="J2762" t="str">
            <v>Amazon</v>
          </cell>
        </row>
        <row r="2763">
          <cell r="A2763" t="str">
            <v>24-04-2023</v>
          </cell>
          <cell r="B2763" t="str">
            <v>Magnesium</v>
          </cell>
          <cell r="C2763" t="str">
            <v>Mineral</v>
          </cell>
          <cell r="D2763">
            <v>156</v>
          </cell>
          <cell r="E2763">
            <v>45.2</v>
          </cell>
          <cell r="F2763">
            <v>7051.2</v>
          </cell>
          <cell r="G2763">
            <v>0.17</v>
          </cell>
          <cell r="H2763">
            <v>1</v>
          </cell>
          <cell r="I2763" t="str">
            <v>Canada</v>
          </cell>
          <cell r="J2763" t="str">
            <v>iHerb</v>
          </cell>
        </row>
        <row r="2764">
          <cell r="A2764" t="str">
            <v>24-04-2023</v>
          </cell>
          <cell r="B2764" t="str">
            <v>Ashwagandha</v>
          </cell>
          <cell r="C2764" t="str">
            <v>Herbal</v>
          </cell>
          <cell r="D2764">
            <v>146</v>
          </cell>
          <cell r="E2764">
            <v>17.84</v>
          </cell>
          <cell r="F2764">
            <v>2604.64</v>
          </cell>
          <cell r="G2764">
            <v>0.17</v>
          </cell>
          <cell r="H2764">
            <v>0</v>
          </cell>
          <cell r="I2764" t="str">
            <v>USA</v>
          </cell>
          <cell r="J2764" t="str">
            <v>Amazon</v>
          </cell>
        </row>
        <row r="2765">
          <cell r="A2765" t="str">
            <v>24-04-2023</v>
          </cell>
          <cell r="B2765" t="str">
            <v>Melatonin</v>
          </cell>
          <cell r="C2765" t="str">
            <v>Sleep Aid</v>
          </cell>
          <cell r="D2765">
            <v>174</v>
          </cell>
          <cell r="E2765">
            <v>52.88</v>
          </cell>
          <cell r="F2765">
            <v>9201.1200000000008</v>
          </cell>
          <cell r="G2765">
            <v>0.23</v>
          </cell>
          <cell r="H2765">
            <v>1</v>
          </cell>
          <cell r="I2765" t="str">
            <v>Canada</v>
          </cell>
          <cell r="J2765" t="str">
            <v>iHerb</v>
          </cell>
        </row>
        <row r="2766">
          <cell r="A2766" t="str">
            <v>24-04-2023</v>
          </cell>
          <cell r="B2766" t="str">
            <v>Biotin</v>
          </cell>
          <cell r="C2766" t="str">
            <v>Vitamin</v>
          </cell>
          <cell r="D2766">
            <v>164</v>
          </cell>
          <cell r="E2766">
            <v>11.08</v>
          </cell>
          <cell r="F2766">
            <v>1817.12</v>
          </cell>
          <cell r="G2766">
            <v>0.2</v>
          </cell>
          <cell r="H2766">
            <v>0</v>
          </cell>
          <cell r="I2766" t="str">
            <v>USA</v>
          </cell>
          <cell r="J2766" t="str">
            <v>Walmart</v>
          </cell>
        </row>
        <row r="2767">
          <cell r="A2767" t="str">
            <v>24-04-2023</v>
          </cell>
          <cell r="B2767" t="str">
            <v>Green Tea Extract</v>
          </cell>
          <cell r="C2767" t="str">
            <v>Fat Burner</v>
          </cell>
          <cell r="D2767">
            <v>160</v>
          </cell>
          <cell r="E2767">
            <v>43.69</v>
          </cell>
          <cell r="F2767">
            <v>6990.4</v>
          </cell>
          <cell r="G2767">
            <v>0.01</v>
          </cell>
          <cell r="H2767">
            <v>3</v>
          </cell>
          <cell r="I2767" t="str">
            <v>USA</v>
          </cell>
          <cell r="J2767" t="str">
            <v>Walmart</v>
          </cell>
        </row>
        <row r="2768">
          <cell r="A2768" t="str">
            <v>24-04-2023</v>
          </cell>
          <cell r="B2768" t="str">
            <v>Iron Supplement</v>
          </cell>
          <cell r="C2768" t="str">
            <v>Mineral</v>
          </cell>
          <cell r="D2768">
            <v>137</v>
          </cell>
          <cell r="E2768">
            <v>21.22</v>
          </cell>
          <cell r="F2768">
            <v>2907.14</v>
          </cell>
          <cell r="G2768">
            <v>0.02</v>
          </cell>
          <cell r="H2768">
            <v>1</v>
          </cell>
          <cell r="I2768" t="str">
            <v>Canada</v>
          </cell>
          <cell r="J2768" t="str">
            <v>Walmart</v>
          </cell>
        </row>
        <row r="2769">
          <cell r="A2769" t="str">
            <v>24-04-2023</v>
          </cell>
          <cell r="B2769" t="str">
            <v>Electrolyte Powder</v>
          </cell>
          <cell r="C2769" t="str">
            <v>Hydration</v>
          </cell>
          <cell r="D2769">
            <v>137</v>
          </cell>
          <cell r="E2769">
            <v>21.88</v>
          </cell>
          <cell r="F2769">
            <v>2997.56</v>
          </cell>
          <cell r="G2769">
            <v>0.09</v>
          </cell>
          <cell r="H2769">
            <v>1</v>
          </cell>
          <cell r="I2769" t="str">
            <v>USA</v>
          </cell>
          <cell r="J2769" t="str">
            <v>Walmart</v>
          </cell>
        </row>
        <row r="2770">
          <cell r="A2770" t="str">
            <v>01-05-2023</v>
          </cell>
          <cell r="B2770" t="str">
            <v>Whey Protein</v>
          </cell>
          <cell r="C2770" t="str">
            <v>Protein</v>
          </cell>
          <cell r="D2770">
            <v>142</v>
          </cell>
          <cell r="E2770">
            <v>50.78</v>
          </cell>
          <cell r="F2770">
            <v>7210.76</v>
          </cell>
          <cell r="G2770">
            <v>0.04</v>
          </cell>
          <cell r="H2770">
            <v>0</v>
          </cell>
          <cell r="I2770" t="str">
            <v>USA</v>
          </cell>
          <cell r="J2770" t="str">
            <v>iHerb</v>
          </cell>
        </row>
        <row r="2771">
          <cell r="A2771" t="str">
            <v>01-05-2023</v>
          </cell>
          <cell r="B2771" t="str">
            <v>Vitamin C</v>
          </cell>
          <cell r="C2771" t="str">
            <v>Vitamin</v>
          </cell>
          <cell r="D2771">
            <v>144</v>
          </cell>
          <cell r="E2771">
            <v>37.130000000000003</v>
          </cell>
          <cell r="F2771">
            <v>5346.72</v>
          </cell>
          <cell r="G2771">
            <v>0.09</v>
          </cell>
          <cell r="H2771">
            <v>2</v>
          </cell>
          <cell r="I2771" t="str">
            <v>UK</v>
          </cell>
          <cell r="J2771" t="str">
            <v>iHerb</v>
          </cell>
        </row>
        <row r="2772">
          <cell r="A2772" t="str">
            <v>01-05-2023</v>
          </cell>
          <cell r="B2772" t="str">
            <v>Fish Oil</v>
          </cell>
          <cell r="C2772" t="str">
            <v>Omega</v>
          </cell>
          <cell r="D2772">
            <v>146</v>
          </cell>
          <cell r="E2772">
            <v>58.31</v>
          </cell>
          <cell r="F2772">
            <v>8513.26</v>
          </cell>
          <cell r="G2772">
            <v>0.13</v>
          </cell>
          <cell r="H2772">
            <v>5</v>
          </cell>
          <cell r="I2772" t="str">
            <v>UK</v>
          </cell>
          <cell r="J2772" t="str">
            <v>Amazon</v>
          </cell>
        </row>
        <row r="2773">
          <cell r="A2773" t="str">
            <v>01-05-2023</v>
          </cell>
          <cell r="B2773" t="str">
            <v>Multivitamin</v>
          </cell>
          <cell r="C2773" t="str">
            <v>Vitamin</v>
          </cell>
          <cell r="D2773">
            <v>143</v>
          </cell>
          <cell r="E2773">
            <v>18.28</v>
          </cell>
          <cell r="F2773">
            <v>2614.04</v>
          </cell>
          <cell r="G2773">
            <v>0.1</v>
          </cell>
          <cell r="H2773">
            <v>1</v>
          </cell>
          <cell r="I2773" t="str">
            <v>UK</v>
          </cell>
          <cell r="J2773" t="str">
            <v>Walmart</v>
          </cell>
        </row>
        <row r="2774">
          <cell r="A2774" t="str">
            <v>01-05-2023</v>
          </cell>
          <cell r="B2774" t="str">
            <v>Pre-Workout</v>
          </cell>
          <cell r="C2774" t="str">
            <v>Performance</v>
          </cell>
          <cell r="D2774">
            <v>131</v>
          </cell>
          <cell r="E2774">
            <v>26.91</v>
          </cell>
          <cell r="F2774">
            <v>3525.21</v>
          </cell>
          <cell r="G2774">
            <v>0.03</v>
          </cell>
          <cell r="H2774">
            <v>1</v>
          </cell>
          <cell r="I2774" t="str">
            <v>Canada</v>
          </cell>
          <cell r="J2774" t="str">
            <v>Amazon</v>
          </cell>
        </row>
        <row r="2775">
          <cell r="A2775" t="str">
            <v>01-05-2023</v>
          </cell>
          <cell r="B2775" t="str">
            <v>BCAA</v>
          </cell>
          <cell r="C2775" t="str">
            <v>Amino Acid</v>
          </cell>
          <cell r="D2775">
            <v>167</v>
          </cell>
          <cell r="E2775">
            <v>45.7</v>
          </cell>
          <cell r="F2775">
            <v>7631.9</v>
          </cell>
          <cell r="G2775">
            <v>0.15</v>
          </cell>
          <cell r="H2775">
            <v>1</v>
          </cell>
          <cell r="I2775" t="str">
            <v>UK</v>
          </cell>
          <cell r="J2775" t="str">
            <v>Amazon</v>
          </cell>
        </row>
        <row r="2776">
          <cell r="A2776" t="str">
            <v>01-05-2023</v>
          </cell>
          <cell r="B2776" t="str">
            <v>Creatine</v>
          </cell>
          <cell r="C2776" t="str">
            <v>Performance</v>
          </cell>
          <cell r="D2776">
            <v>140</v>
          </cell>
          <cell r="E2776">
            <v>39.61</v>
          </cell>
          <cell r="F2776">
            <v>5545.4</v>
          </cell>
          <cell r="G2776">
            <v>0.09</v>
          </cell>
          <cell r="H2776">
            <v>0</v>
          </cell>
          <cell r="I2776" t="str">
            <v>Canada</v>
          </cell>
          <cell r="J2776" t="str">
            <v>Walmart</v>
          </cell>
        </row>
        <row r="2777">
          <cell r="A2777" t="str">
            <v>01-05-2023</v>
          </cell>
          <cell r="B2777" t="str">
            <v>Zinc</v>
          </cell>
          <cell r="C2777" t="str">
            <v>Mineral</v>
          </cell>
          <cell r="D2777">
            <v>133</v>
          </cell>
          <cell r="E2777">
            <v>32.020000000000003</v>
          </cell>
          <cell r="F2777">
            <v>4258.66</v>
          </cell>
          <cell r="G2777">
            <v>0.16</v>
          </cell>
          <cell r="H2777">
            <v>1</v>
          </cell>
          <cell r="I2777" t="str">
            <v>Canada</v>
          </cell>
          <cell r="J2777" t="str">
            <v>Amazon</v>
          </cell>
        </row>
        <row r="2778">
          <cell r="A2778" t="str">
            <v>01-05-2023</v>
          </cell>
          <cell r="B2778" t="str">
            <v>Collagen Peptides</v>
          </cell>
          <cell r="C2778" t="str">
            <v>Protein</v>
          </cell>
          <cell r="D2778">
            <v>166</v>
          </cell>
          <cell r="E2778">
            <v>34.04</v>
          </cell>
          <cell r="F2778">
            <v>5650.64</v>
          </cell>
          <cell r="G2778">
            <v>0.23</v>
          </cell>
          <cell r="H2778">
            <v>2</v>
          </cell>
          <cell r="I2778" t="str">
            <v>USA</v>
          </cell>
          <cell r="J2778" t="str">
            <v>Amazon</v>
          </cell>
        </row>
        <row r="2779">
          <cell r="A2779" t="str">
            <v>01-05-2023</v>
          </cell>
          <cell r="B2779" t="str">
            <v>Magnesium</v>
          </cell>
          <cell r="C2779" t="str">
            <v>Mineral</v>
          </cell>
          <cell r="D2779">
            <v>132</v>
          </cell>
          <cell r="E2779">
            <v>49.36</v>
          </cell>
          <cell r="F2779">
            <v>6515.52</v>
          </cell>
          <cell r="G2779">
            <v>0.21</v>
          </cell>
          <cell r="H2779">
            <v>1</v>
          </cell>
          <cell r="I2779" t="str">
            <v>UK</v>
          </cell>
          <cell r="J2779" t="str">
            <v>Amazon</v>
          </cell>
        </row>
        <row r="2780">
          <cell r="A2780" t="str">
            <v>01-05-2023</v>
          </cell>
          <cell r="B2780" t="str">
            <v>Ashwagandha</v>
          </cell>
          <cell r="C2780" t="str">
            <v>Herbal</v>
          </cell>
          <cell r="D2780">
            <v>152</v>
          </cell>
          <cell r="E2780">
            <v>31.96</v>
          </cell>
          <cell r="F2780">
            <v>4857.92</v>
          </cell>
          <cell r="G2780">
            <v>0.17</v>
          </cell>
          <cell r="H2780">
            <v>0</v>
          </cell>
          <cell r="I2780" t="str">
            <v>UK</v>
          </cell>
          <cell r="J2780" t="str">
            <v>Amazon</v>
          </cell>
        </row>
        <row r="2781">
          <cell r="A2781" t="str">
            <v>01-05-2023</v>
          </cell>
          <cell r="B2781" t="str">
            <v>Melatonin</v>
          </cell>
          <cell r="C2781" t="str">
            <v>Sleep Aid</v>
          </cell>
          <cell r="D2781">
            <v>155</v>
          </cell>
          <cell r="E2781">
            <v>18.05</v>
          </cell>
          <cell r="F2781">
            <v>2797.75</v>
          </cell>
          <cell r="G2781">
            <v>0.1</v>
          </cell>
          <cell r="H2781">
            <v>2</v>
          </cell>
          <cell r="I2781" t="str">
            <v>Canada</v>
          </cell>
          <cell r="J2781" t="str">
            <v>Walmart</v>
          </cell>
        </row>
        <row r="2782">
          <cell r="A2782" t="str">
            <v>01-05-2023</v>
          </cell>
          <cell r="B2782" t="str">
            <v>Biotin</v>
          </cell>
          <cell r="C2782" t="str">
            <v>Vitamin</v>
          </cell>
          <cell r="D2782">
            <v>155</v>
          </cell>
          <cell r="E2782">
            <v>40.659999999999997</v>
          </cell>
          <cell r="F2782">
            <v>6302.3</v>
          </cell>
          <cell r="G2782">
            <v>0.2</v>
          </cell>
          <cell r="H2782">
            <v>0</v>
          </cell>
          <cell r="I2782" t="str">
            <v>USA</v>
          </cell>
          <cell r="J2782" t="str">
            <v>Walmart</v>
          </cell>
        </row>
        <row r="2783">
          <cell r="A2783" t="str">
            <v>01-05-2023</v>
          </cell>
          <cell r="B2783" t="str">
            <v>Green Tea Extract</v>
          </cell>
          <cell r="C2783" t="str">
            <v>Fat Burner</v>
          </cell>
          <cell r="D2783">
            <v>148</v>
          </cell>
          <cell r="E2783">
            <v>37.31</v>
          </cell>
          <cell r="F2783">
            <v>5521.88</v>
          </cell>
          <cell r="G2783">
            <v>0.16</v>
          </cell>
          <cell r="H2783">
            <v>1</v>
          </cell>
          <cell r="I2783" t="str">
            <v>UK</v>
          </cell>
          <cell r="J2783" t="str">
            <v>iHerb</v>
          </cell>
        </row>
        <row r="2784">
          <cell r="A2784" t="str">
            <v>01-05-2023</v>
          </cell>
          <cell r="B2784" t="str">
            <v>Iron Supplement</v>
          </cell>
          <cell r="C2784" t="str">
            <v>Mineral</v>
          </cell>
          <cell r="D2784">
            <v>150</v>
          </cell>
          <cell r="E2784">
            <v>17.989999999999998</v>
          </cell>
          <cell r="F2784">
            <v>2698.5</v>
          </cell>
          <cell r="G2784">
            <v>0.1</v>
          </cell>
          <cell r="H2784">
            <v>0</v>
          </cell>
          <cell r="I2784" t="str">
            <v>USA</v>
          </cell>
          <cell r="J2784" t="str">
            <v>iHerb</v>
          </cell>
        </row>
        <row r="2785">
          <cell r="A2785" t="str">
            <v>01-05-2023</v>
          </cell>
          <cell r="B2785" t="str">
            <v>Electrolyte Powder</v>
          </cell>
          <cell r="C2785" t="str">
            <v>Hydration</v>
          </cell>
          <cell r="D2785">
            <v>144</v>
          </cell>
          <cell r="E2785">
            <v>36.69</v>
          </cell>
          <cell r="F2785">
            <v>5283.36</v>
          </cell>
          <cell r="G2785">
            <v>0.2</v>
          </cell>
          <cell r="H2785">
            <v>2</v>
          </cell>
          <cell r="I2785" t="str">
            <v>USA</v>
          </cell>
          <cell r="J2785" t="str">
            <v>Walmart</v>
          </cell>
        </row>
        <row r="2786">
          <cell r="A2786" t="str">
            <v>08-05-2023</v>
          </cell>
          <cell r="B2786" t="str">
            <v>Whey Protein</v>
          </cell>
          <cell r="C2786" t="str">
            <v>Protein</v>
          </cell>
          <cell r="D2786">
            <v>159</v>
          </cell>
          <cell r="E2786">
            <v>55.15</v>
          </cell>
          <cell r="F2786">
            <v>8768.85</v>
          </cell>
          <cell r="G2786">
            <v>0.23</v>
          </cell>
          <cell r="H2786">
            <v>1</v>
          </cell>
          <cell r="I2786" t="str">
            <v>UK</v>
          </cell>
          <cell r="J2786" t="str">
            <v>Amazon</v>
          </cell>
        </row>
        <row r="2787">
          <cell r="A2787" t="str">
            <v>08-05-2023</v>
          </cell>
          <cell r="B2787" t="str">
            <v>Vitamin C</v>
          </cell>
          <cell r="C2787" t="str">
            <v>Vitamin</v>
          </cell>
          <cell r="D2787">
            <v>143</v>
          </cell>
          <cell r="E2787">
            <v>19.14</v>
          </cell>
          <cell r="F2787">
            <v>2737.02</v>
          </cell>
          <cell r="G2787">
            <v>0.22</v>
          </cell>
          <cell r="H2787">
            <v>2</v>
          </cell>
          <cell r="I2787" t="str">
            <v>USA</v>
          </cell>
          <cell r="J2787" t="str">
            <v>Amazon</v>
          </cell>
        </row>
        <row r="2788">
          <cell r="A2788" t="str">
            <v>08-05-2023</v>
          </cell>
          <cell r="B2788" t="str">
            <v>Fish Oil</v>
          </cell>
          <cell r="C2788" t="str">
            <v>Omega</v>
          </cell>
          <cell r="D2788">
            <v>159</v>
          </cell>
          <cell r="E2788">
            <v>12.41</v>
          </cell>
          <cell r="F2788">
            <v>1973.19</v>
          </cell>
          <cell r="G2788">
            <v>0.13</v>
          </cell>
          <cell r="H2788">
            <v>2</v>
          </cell>
          <cell r="I2788" t="str">
            <v>Canada</v>
          </cell>
          <cell r="J2788" t="str">
            <v>Walmart</v>
          </cell>
        </row>
        <row r="2789">
          <cell r="A2789" t="str">
            <v>08-05-2023</v>
          </cell>
          <cell r="B2789" t="str">
            <v>Multivitamin</v>
          </cell>
          <cell r="C2789" t="str">
            <v>Vitamin</v>
          </cell>
          <cell r="D2789">
            <v>151</v>
          </cell>
          <cell r="E2789">
            <v>50.89</v>
          </cell>
          <cell r="F2789">
            <v>7684.39</v>
          </cell>
          <cell r="G2789">
            <v>0.09</v>
          </cell>
          <cell r="H2789">
            <v>3</v>
          </cell>
          <cell r="I2789" t="str">
            <v>Canada</v>
          </cell>
          <cell r="J2789" t="str">
            <v>iHerb</v>
          </cell>
        </row>
        <row r="2790">
          <cell r="A2790" t="str">
            <v>08-05-2023</v>
          </cell>
          <cell r="B2790" t="str">
            <v>Pre-Workout</v>
          </cell>
          <cell r="C2790" t="str">
            <v>Performance</v>
          </cell>
          <cell r="D2790">
            <v>136</v>
          </cell>
          <cell r="E2790">
            <v>12.17</v>
          </cell>
          <cell r="F2790">
            <v>1655.12</v>
          </cell>
          <cell r="G2790">
            <v>0.09</v>
          </cell>
          <cell r="H2790">
            <v>1</v>
          </cell>
          <cell r="I2790" t="str">
            <v>Canada</v>
          </cell>
          <cell r="J2790" t="str">
            <v>iHerb</v>
          </cell>
        </row>
        <row r="2791">
          <cell r="A2791" t="str">
            <v>08-05-2023</v>
          </cell>
          <cell r="B2791" t="str">
            <v>BCAA</v>
          </cell>
          <cell r="C2791" t="str">
            <v>Amino Acid</v>
          </cell>
          <cell r="D2791">
            <v>162</v>
          </cell>
          <cell r="E2791">
            <v>31.84</v>
          </cell>
          <cell r="F2791">
            <v>5158.08</v>
          </cell>
          <cell r="G2791">
            <v>0.16</v>
          </cell>
          <cell r="H2791">
            <v>0</v>
          </cell>
          <cell r="I2791" t="str">
            <v>Canada</v>
          </cell>
          <cell r="J2791" t="str">
            <v>iHerb</v>
          </cell>
        </row>
        <row r="2792">
          <cell r="A2792" t="str">
            <v>08-05-2023</v>
          </cell>
          <cell r="B2792" t="str">
            <v>Creatine</v>
          </cell>
          <cell r="C2792" t="str">
            <v>Performance</v>
          </cell>
          <cell r="D2792">
            <v>137</v>
          </cell>
          <cell r="E2792">
            <v>42.07</v>
          </cell>
          <cell r="F2792">
            <v>5763.59</v>
          </cell>
          <cell r="G2792">
            <v>0.19</v>
          </cell>
          <cell r="H2792">
            <v>1</v>
          </cell>
          <cell r="I2792" t="str">
            <v>UK</v>
          </cell>
          <cell r="J2792" t="str">
            <v>Amazon</v>
          </cell>
        </row>
        <row r="2793">
          <cell r="A2793" t="str">
            <v>08-05-2023</v>
          </cell>
          <cell r="B2793" t="str">
            <v>Zinc</v>
          </cell>
          <cell r="C2793" t="str">
            <v>Mineral</v>
          </cell>
          <cell r="D2793">
            <v>158</v>
          </cell>
          <cell r="E2793">
            <v>58.17</v>
          </cell>
          <cell r="F2793">
            <v>9190.86</v>
          </cell>
          <cell r="G2793">
            <v>0.05</v>
          </cell>
          <cell r="H2793">
            <v>2</v>
          </cell>
          <cell r="I2793" t="str">
            <v>USA</v>
          </cell>
          <cell r="J2793" t="str">
            <v>Walmart</v>
          </cell>
        </row>
        <row r="2794">
          <cell r="A2794" t="str">
            <v>08-05-2023</v>
          </cell>
          <cell r="B2794" t="str">
            <v>Collagen Peptides</v>
          </cell>
          <cell r="C2794" t="str">
            <v>Protein</v>
          </cell>
          <cell r="D2794">
            <v>138</v>
          </cell>
          <cell r="E2794">
            <v>27.31</v>
          </cell>
          <cell r="F2794">
            <v>3768.78</v>
          </cell>
          <cell r="G2794">
            <v>0.13</v>
          </cell>
          <cell r="H2794">
            <v>0</v>
          </cell>
          <cell r="I2794" t="str">
            <v>Canada</v>
          </cell>
          <cell r="J2794" t="str">
            <v>Walmart</v>
          </cell>
        </row>
        <row r="2795">
          <cell r="A2795" t="str">
            <v>08-05-2023</v>
          </cell>
          <cell r="B2795" t="str">
            <v>Magnesium</v>
          </cell>
          <cell r="C2795" t="str">
            <v>Mineral</v>
          </cell>
          <cell r="D2795">
            <v>122</v>
          </cell>
          <cell r="E2795">
            <v>26.79</v>
          </cell>
          <cell r="F2795">
            <v>3268.38</v>
          </cell>
          <cell r="G2795">
            <v>0.05</v>
          </cell>
          <cell r="H2795">
            <v>1</v>
          </cell>
          <cell r="I2795" t="str">
            <v>Canada</v>
          </cell>
          <cell r="J2795" t="str">
            <v>Walmart</v>
          </cell>
        </row>
        <row r="2796">
          <cell r="A2796" t="str">
            <v>08-05-2023</v>
          </cell>
          <cell r="B2796" t="str">
            <v>Ashwagandha</v>
          </cell>
          <cell r="C2796" t="str">
            <v>Herbal</v>
          </cell>
          <cell r="D2796">
            <v>153</v>
          </cell>
          <cell r="E2796">
            <v>31.16</v>
          </cell>
          <cell r="F2796">
            <v>4767.4799999999996</v>
          </cell>
          <cell r="G2796">
            <v>0.23</v>
          </cell>
          <cell r="H2796">
            <v>1</v>
          </cell>
          <cell r="I2796" t="str">
            <v>Canada</v>
          </cell>
          <cell r="J2796" t="str">
            <v>iHerb</v>
          </cell>
        </row>
        <row r="2797">
          <cell r="A2797" t="str">
            <v>08-05-2023</v>
          </cell>
          <cell r="B2797" t="str">
            <v>Melatonin</v>
          </cell>
          <cell r="C2797" t="str">
            <v>Sleep Aid</v>
          </cell>
          <cell r="D2797">
            <v>153</v>
          </cell>
          <cell r="E2797">
            <v>46.66</v>
          </cell>
          <cell r="F2797">
            <v>7138.98</v>
          </cell>
          <cell r="G2797">
            <v>0.14000000000000001</v>
          </cell>
          <cell r="H2797">
            <v>1</v>
          </cell>
          <cell r="I2797" t="str">
            <v>UK</v>
          </cell>
          <cell r="J2797" t="str">
            <v>Walmart</v>
          </cell>
        </row>
        <row r="2798">
          <cell r="A2798" t="str">
            <v>08-05-2023</v>
          </cell>
          <cell r="B2798" t="str">
            <v>Biotin</v>
          </cell>
          <cell r="C2798" t="str">
            <v>Vitamin</v>
          </cell>
          <cell r="D2798">
            <v>135</v>
          </cell>
          <cell r="E2798">
            <v>34.46</v>
          </cell>
          <cell r="F2798">
            <v>4652.1000000000004</v>
          </cell>
          <cell r="G2798">
            <v>0.02</v>
          </cell>
          <cell r="H2798">
            <v>1</v>
          </cell>
          <cell r="I2798" t="str">
            <v>USA</v>
          </cell>
          <cell r="J2798" t="str">
            <v>Walmart</v>
          </cell>
        </row>
        <row r="2799">
          <cell r="A2799" t="str">
            <v>08-05-2023</v>
          </cell>
          <cell r="B2799" t="str">
            <v>Green Tea Extract</v>
          </cell>
          <cell r="C2799" t="str">
            <v>Fat Burner</v>
          </cell>
          <cell r="D2799">
            <v>150</v>
          </cell>
          <cell r="E2799">
            <v>13.81</v>
          </cell>
          <cell r="F2799">
            <v>2071.5</v>
          </cell>
          <cell r="G2799">
            <v>0.09</v>
          </cell>
          <cell r="H2799">
            <v>3</v>
          </cell>
          <cell r="I2799" t="str">
            <v>Canada</v>
          </cell>
          <cell r="J2799" t="str">
            <v>Amazon</v>
          </cell>
        </row>
        <row r="2800">
          <cell r="A2800" t="str">
            <v>08-05-2023</v>
          </cell>
          <cell r="B2800" t="str">
            <v>Iron Supplement</v>
          </cell>
          <cell r="C2800" t="str">
            <v>Mineral</v>
          </cell>
          <cell r="D2800">
            <v>155</v>
          </cell>
          <cell r="E2800">
            <v>52.27</v>
          </cell>
          <cell r="F2800">
            <v>8101.85</v>
          </cell>
          <cell r="G2800">
            <v>0.12</v>
          </cell>
          <cell r="H2800">
            <v>1</v>
          </cell>
          <cell r="I2800" t="str">
            <v>USA</v>
          </cell>
          <cell r="J2800" t="str">
            <v>Walmart</v>
          </cell>
        </row>
        <row r="2801">
          <cell r="A2801" t="str">
            <v>08-05-2023</v>
          </cell>
          <cell r="B2801" t="str">
            <v>Electrolyte Powder</v>
          </cell>
          <cell r="C2801" t="str">
            <v>Hydration</v>
          </cell>
          <cell r="D2801">
            <v>145</v>
          </cell>
          <cell r="E2801">
            <v>26.28</v>
          </cell>
          <cell r="F2801">
            <v>3810.6</v>
          </cell>
          <cell r="G2801">
            <v>0.01</v>
          </cell>
          <cell r="H2801">
            <v>0</v>
          </cell>
          <cell r="I2801" t="str">
            <v>USA</v>
          </cell>
          <cell r="J2801" t="str">
            <v>Amazon</v>
          </cell>
        </row>
        <row r="2802">
          <cell r="A2802" t="str">
            <v>15-05-2023</v>
          </cell>
          <cell r="B2802" t="str">
            <v>Whey Protein</v>
          </cell>
          <cell r="C2802" t="str">
            <v>Protein</v>
          </cell>
          <cell r="D2802">
            <v>146</v>
          </cell>
          <cell r="E2802">
            <v>53.57</v>
          </cell>
          <cell r="F2802">
            <v>7821.22</v>
          </cell>
          <cell r="G2802">
            <v>0.13</v>
          </cell>
          <cell r="H2802">
            <v>1</v>
          </cell>
          <cell r="I2802" t="str">
            <v>Canada</v>
          </cell>
          <cell r="J2802" t="str">
            <v>Walmart</v>
          </cell>
        </row>
        <row r="2803">
          <cell r="A2803" t="str">
            <v>15-05-2023</v>
          </cell>
          <cell r="B2803" t="str">
            <v>Vitamin C</v>
          </cell>
          <cell r="C2803" t="str">
            <v>Vitamin</v>
          </cell>
          <cell r="D2803">
            <v>135</v>
          </cell>
          <cell r="E2803">
            <v>42.17</v>
          </cell>
          <cell r="F2803">
            <v>5692.95</v>
          </cell>
          <cell r="G2803">
            <v>0.06</v>
          </cell>
          <cell r="H2803">
            <v>0</v>
          </cell>
          <cell r="I2803" t="str">
            <v>USA</v>
          </cell>
          <cell r="J2803" t="str">
            <v>iHerb</v>
          </cell>
        </row>
        <row r="2804">
          <cell r="A2804" t="str">
            <v>15-05-2023</v>
          </cell>
          <cell r="B2804" t="str">
            <v>Fish Oil</v>
          </cell>
          <cell r="C2804" t="str">
            <v>Omega</v>
          </cell>
          <cell r="D2804">
            <v>155</v>
          </cell>
          <cell r="E2804">
            <v>45.92</v>
          </cell>
          <cell r="F2804">
            <v>7117.6</v>
          </cell>
          <cell r="G2804">
            <v>0.09</v>
          </cell>
          <cell r="H2804">
            <v>2</v>
          </cell>
          <cell r="I2804" t="str">
            <v>UK</v>
          </cell>
          <cell r="J2804" t="str">
            <v>Amazon</v>
          </cell>
        </row>
        <row r="2805">
          <cell r="A2805" t="str">
            <v>15-05-2023</v>
          </cell>
          <cell r="B2805" t="str">
            <v>Multivitamin</v>
          </cell>
          <cell r="C2805" t="str">
            <v>Vitamin</v>
          </cell>
          <cell r="D2805">
            <v>159</v>
          </cell>
          <cell r="E2805">
            <v>31.16</v>
          </cell>
          <cell r="F2805">
            <v>4954.4399999999996</v>
          </cell>
          <cell r="G2805">
            <v>0.15</v>
          </cell>
          <cell r="H2805">
            <v>1</v>
          </cell>
          <cell r="I2805" t="str">
            <v>USA</v>
          </cell>
          <cell r="J2805" t="str">
            <v>Walmart</v>
          </cell>
        </row>
        <row r="2806">
          <cell r="A2806" t="str">
            <v>15-05-2023</v>
          </cell>
          <cell r="B2806" t="str">
            <v>Pre-Workout</v>
          </cell>
          <cell r="C2806" t="str">
            <v>Performance</v>
          </cell>
          <cell r="D2806">
            <v>173</v>
          </cell>
          <cell r="E2806">
            <v>14.2</v>
          </cell>
          <cell r="F2806">
            <v>2456.6</v>
          </cell>
          <cell r="G2806">
            <v>0.22</v>
          </cell>
          <cell r="H2806">
            <v>1</v>
          </cell>
          <cell r="I2806" t="str">
            <v>USA</v>
          </cell>
          <cell r="J2806" t="str">
            <v>iHerb</v>
          </cell>
        </row>
        <row r="2807">
          <cell r="A2807" t="str">
            <v>15-05-2023</v>
          </cell>
          <cell r="B2807" t="str">
            <v>BCAA</v>
          </cell>
          <cell r="C2807" t="str">
            <v>Amino Acid</v>
          </cell>
          <cell r="D2807">
            <v>140</v>
          </cell>
          <cell r="E2807">
            <v>38.86</v>
          </cell>
          <cell r="F2807">
            <v>5440.4</v>
          </cell>
          <cell r="G2807">
            <v>0.14000000000000001</v>
          </cell>
          <cell r="H2807">
            <v>1</v>
          </cell>
          <cell r="I2807" t="str">
            <v>Canada</v>
          </cell>
          <cell r="J2807" t="str">
            <v>iHerb</v>
          </cell>
        </row>
        <row r="2808">
          <cell r="A2808" t="str">
            <v>15-05-2023</v>
          </cell>
          <cell r="B2808" t="str">
            <v>Creatine</v>
          </cell>
          <cell r="C2808" t="str">
            <v>Performance</v>
          </cell>
          <cell r="D2808">
            <v>158</v>
          </cell>
          <cell r="E2808">
            <v>49.1</v>
          </cell>
          <cell r="F2808">
            <v>7757.8</v>
          </cell>
          <cell r="G2808">
            <v>0.04</v>
          </cell>
          <cell r="H2808">
            <v>2</v>
          </cell>
          <cell r="I2808" t="str">
            <v>Canada</v>
          </cell>
          <cell r="J2808" t="str">
            <v>Amazon</v>
          </cell>
        </row>
        <row r="2809">
          <cell r="A2809" t="str">
            <v>15-05-2023</v>
          </cell>
          <cell r="B2809" t="str">
            <v>Zinc</v>
          </cell>
          <cell r="C2809" t="str">
            <v>Mineral</v>
          </cell>
          <cell r="D2809">
            <v>156</v>
          </cell>
          <cell r="E2809">
            <v>34.08</v>
          </cell>
          <cell r="F2809">
            <v>5316.48</v>
          </cell>
          <cell r="G2809">
            <v>0.17</v>
          </cell>
          <cell r="H2809">
            <v>0</v>
          </cell>
          <cell r="I2809" t="str">
            <v>UK</v>
          </cell>
          <cell r="J2809" t="str">
            <v>Amazon</v>
          </cell>
        </row>
        <row r="2810">
          <cell r="A2810" t="str">
            <v>15-05-2023</v>
          </cell>
          <cell r="B2810" t="str">
            <v>Collagen Peptides</v>
          </cell>
          <cell r="C2810" t="str">
            <v>Protein</v>
          </cell>
          <cell r="D2810">
            <v>165</v>
          </cell>
          <cell r="E2810">
            <v>17.440000000000001</v>
          </cell>
          <cell r="F2810">
            <v>2877.6</v>
          </cell>
          <cell r="G2810">
            <v>0.14000000000000001</v>
          </cell>
          <cell r="H2810">
            <v>2</v>
          </cell>
          <cell r="I2810" t="str">
            <v>UK</v>
          </cell>
          <cell r="J2810" t="str">
            <v>Amazon</v>
          </cell>
        </row>
        <row r="2811">
          <cell r="A2811" t="str">
            <v>15-05-2023</v>
          </cell>
          <cell r="B2811" t="str">
            <v>Magnesium</v>
          </cell>
          <cell r="C2811" t="str">
            <v>Mineral</v>
          </cell>
          <cell r="D2811">
            <v>149</v>
          </cell>
          <cell r="E2811">
            <v>26.42</v>
          </cell>
          <cell r="F2811">
            <v>3936.58</v>
          </cell>
          <cell r="G2811">
            <v>0.12</v>
          </cell>
          <cell r="H2811">
            <v>3</v>
          </cell>
          <cell r="I2811" t="str">
            <v>UK</v>
          </cell>
          <cell r="J2811" t="str">
            <v>Amazon</v>
          </cell>
        </row>
        <row r="2812">
          <cell r="A2812" t="str">
            <v>15-05-2023</v>
          </cell>
          <cell r="B2812" t="str">
            <v>Ashwagandha</v>
          </cell>
          <cell r="C2812" t="str">
            <v>Herbal</v>
          </cell>
          <cell r="D2812">
            <v>141</v>
          </cell>
          <cell r="E2812">
            <v>24.88</v>
          </cell>
          <cell r="F2812">
            <v>3508.08</v>
          </cell>
          <cell r="G2812">
            <v>0.11</v>
          </cell>
          <cell r="H2812">
            <v>1</v>
          </cell>
          <cell r="I2812" t="str">
            <v>USA</v>
          </cell>
          <cell r="J2812" t="str">
            <v>iHerb</v>
          </cell>
        </row>
        <row r="2813">
          <cell r="A2813" t="str">
            <v>15-05-2023</v>
          </cell>
          <cell r="B2813" t="str">
            <v>Melatonin</v>
          </cell>
          <cell r="C2813" t="str">
            <v>Sleep Aid</v>
          </cell>
          <cell r="D2813">
            <v>145</v>
          </cell>
          <cell r="E2813">
            <v>48.13</v>
          </cell>
          <cell r="F2813">
            <v>6978.85</v>
          </cell>
          <cell r="G2813">
            <v>0.18</v>
          </cell>
          <cell r="H2813">
            <v>2</v>
          </cell>
          <cell r="I2813" t="str">
            <v>USA</v>
          </cell>
          <cell r="J2813" t="str">
            <v>Amazon</v>
          </cell>
        </row>
        <row r="2814">
          <cell r="A2814" t="str">
            <v>15-05-2023</v>
          </cell>
          <cell r="B2814" t="str">
            <v>Biotin</v>
          </cell>
          <cell r="C2814" t="str">
            <v>Vitamin</v>
          </cell>
          <cell r="D2814">
            <v>114</v>
          </cell>
          <cell r="E2814">
            <v>49.47</v>
          </cell>
          <cell r="F2814">
            <v>5639.58</v>
          </cell>
          <cell r="G2814">
            <v>0.13</v>
          </cell>
          <cell r="H2814">
            <v>1</v>
          </cell>
          <cell r="I2814" t="str">
            <v>USA</v>
          </cell>
          <cell r="J2814" t="str">
            <v>iHerb</v>
          </cell>
        </row>
        <row r="2815">
          <cell r="A2815" t="str">
            <v>15-05-2023</v>
          </cell>
          <cell r="B2815" t="str">
            <v>Green Tea Extract</v>
          </cell>
          <cell r="C2815" t="str">
            <v>Fat Burner</v>
          </cell>
          <cell r="D2815">
            <v>123</v>
          </cell>
          <cell r="E2815">
            <v>41.92</v>
          </cell>
          <cell r="F2815">
            <v>5156.16</v>
          </cell>
          <cell r="G2815">
            <v>0.21</v>
          </cell>
          <cell r="H2815">
            <v>3</v>
          </cell>
          <cell r="I2815" t="str">
            <v>Canada</v>
          </cell>
          <cell r="J2815" t="str">
            <v>iHerb</v>
          </cell>
        </row>
        <row r="2816">
          <cell r="A2816" t="str">
            <v>15-05-2023</v>
          </cell>
          <cell r="B2816" t="str">
            <v>Iron Supplement</v>
          </cell>
          <cell r="C2816" t="str">
            <v>Mineral</v>
          </cell>
          <cell r="D2816">
            <v>150</v>
          </cell>
          <cell r="E2816">
            <v>51.65</v>
          </cell>
          <cell r="F2816">
            <v>7747.5</v>
          </cell>
          <cell r="G2816">
            <v>0.13</v>
          </cell>
          <cell r="H2816">
            <v>1</v>
          </cell>
          <cell r="I2816" t="str">
            <v>UK</v>
          </cell>
          <cell r="J2816" t="str">
            <v>iHerb</v>
          </cell>
        </row>
        <row r="2817">
          <cell r="A2817" t="str">
            <v>15-05-2023</v>
          </cell>
          <cell r="B2817" t="str">
            <v>Electrolyte Powder</v>
          </cell>
          <cell r="C2817" t="str">
            <v>Hydration</v>
          </cell>
          <cell r="D2817">
            <v>169</v>
          </cell>
          <cell r="E2817">
            <v>55.45</v>
          </cell>
          <cell r="F2817">
            <v>9371.0499999999993</v>
          </cell>
          <cell r="G2817">
            <v>0.05</v>
          </cell>
          <cell r="H2817">
            <v>2</v>
          </cell>
          <cell r="I2817" t="str">
            <v>UK</v>
          </cell>
          <cell r="J2817" t="str">
            <v>Amazon</v>
          </cell>
        </row>
        <row r="2818">
          <cell r="A2818" t="str">
            <v>22-05-2023</v>
          </cell>
          <cell r="B2818" t="str">
            <v>Whey Protein</v>
          </cell>
          <cell r="C2818" t="str">
            <v>Protein</v>
          </cell>
          <cell r="D2818">
            <v>164</v>
          </cell>
          <cell r="E2818">
            <v>49.73</v>
          </cell>
          <cell r="F2818">
            <v>8155.72</v>
          </cell>
          <cell r="G2818">
            <v>0.05</v>
          </cell>
          <cell r="H2818">
            <v>3</v>
          </cell>
          <cell r="I2818" t="str">
            <v>USA</v>
          </cell>
          <cell r="J2818" t="str">
            <v>Walmart</v>
          </cell>
        </row>
        <row r="2819">
          <cell r="A2819" t="str">
            <v>22-05-2023</v>
          </cell>
          <cell r="B2819" t="str">
            <v>Vitamin C</v>
          </cell>
          <cell r="C2819" t="str">
            <v>Vitamin</v>
          </cell>
          <cell r="D2819">
            <v>154</v>
          </cell>
          <cell r="E2819">
            <v>33.67</v>
          </cell>
          <cell r="F2819">
            <v>5185.18</v>
          </cell>
          <cell r="G2819">
            <v>0.17</v>
          </cell>
          <cell r="H2819">
            <v>2</v>
          </cell>
          <cell r="I2819" t="str">
            <v>USA</v>
          </cell>
          <cell r="J2819" t="str">
            <v>Amazon</v>
          </cell>
        </row>
        <row r="2820">
          <cell r="A2820" t="str">
            <v>22-05-2023</v>
          </cell>
          <cell r="B2820" t="str">
            <v>Fish Oil</v>
          </cell>
          <cell r="C2820" t="str">
            <v>Omega</v>
          </cell>
          <cell r="D2820">
            <v>147</v>
          </cell>
          <cell r="E2820">
            <v>35.96</v>
          </cell>
          <cell r="F2820">
            <v>5286.12</v>
          </cell>
          <cell r="G2820">
            <v>0.13</v>
          </cell>
          <cell r="H2820">
            <v>0</v>
          </cell>
          <cell r="I2820" t="str">
            <v>UK</v>
          </cell>
          <cell r="J2820" t="str">
            <v>Amazon</v>
          </cell>
        </row>
        <row r="2821">
          <cell r="A2821" t="str">
            <v>22-05-2023</v>
          </cell>
          <cell r="B2821" t="str">
            <v>Multivitamin</v>
          </cell>
          <cell r="C2821" t="str">
            <v>Vitamin</v>
          </cell>
          <cell r="D2821">
            <v>171</v>
          </cell>
          <cell r="E2821">
            <v>36.42</v>
          </cell>
          <cell r="F2821">
            <v>6227.82</v>
          </cell>
          <cell r="G2821">
            <v>0.2</v>
          </cell>
          <cell r="H2821">
            <v>1</v>
          </cell>
          <cell r="I2821" t="str">
            <v>UK</v>
          </cell>
          <cell r="J2821" t="str">
            <v>Amazon</v>
          </cell>
        </row>
        <row r="2822">
          <cell r="A2822" t="str">
            <v>22-05-2023</v>
          </cell>
          <cell r="B2822" t="str">
            <v>Pre-Workout</v>
          </cell>
          <cell r="C2822" t="str">
            <v>Performance</v>
          </cell>
          <cell r="D2822">
            <v>151</v>
          </cell>
          <cell r="E2822">
            <v>47.98</v>
          </cell>
          <cell r="F2822">
            <v>7244.98</v>
          </cell>
          <cell r="G2822">
            <v>0.14000000000000001</v>
          </cell>
          <cell r="H2822">
            <v>3</v>
          </cell>
          <cell r="I2822" t="str">
            <v>Canada</v>
          </cell>
          <cell r="J2822" t="str">
            <v>Amazon</v>
          </cell>
        </row>
        <row r="2823">
          <cell r="A2823" t="str">
            <v>22-05-2023</v>
          </cell>
          <cell r="B2823" t="str">
            <v>BCAA</v>
          </cell>
          <cell r="C2823" t="str">
            <v>Amino Acid</v>
          </cell>
          <cell r="D2823">
            <v>168</v>
          </cell>
          <cell r="E2823">
            <v>46.27</v>
          </cell>
          <cell r="F2823">
            <v>7773.36</v>
          </cell>
          <cell r="G2823">
            <v>0.14000000000000001</v>
          </cell>
          <cell r="H2823">
            <v>1</v>
          </cell>
          <cell r="I2823" t="str">
            <v>UK</v>
          </cell>
          <cell r="J2823" t="str">
            <v>Walmart</v>
          </cell>
        </row>
        <row r="2824">
          <cell r="A2824" t="str">
            <v>22-05-2023</v>
          </cell>
          <cell r="B2824" t="str">
            <v>Creatine</v>
          </cell>
          <cell r="C2824" t="str">
            <v>Performance</v>
          </cell>
          <cell r="D2824">
            <v>155</v>
          </cell>
          <cell r="E2824">
            <v>30.83</v>
          </cell>
          <cell r="F2824">
            <v>4778.6499999999996</v>
          </cell>
          <cell r="G2824">
            <v>0.08</v>
          </cell>
          <cell r="H2824">
            <v>1</v>
          </cell>
          <cell r="I2824" t="str">
            <v>Canada</v>
          </cell>
          <cell r="J2824" t="str">
            <v>Amazon</v>
          </cell>
        </row>
        <row r="2825">
          <cell r="A2825" t="str">
            <v>22-05-2023</v>
          </cell>
          <cell r="B2825" t="str">
            <v>Zinc</v>
          </cell>
          <cell r="C2825" t="str">
            <v>Mineral</v>
          </cell>
          <cell r="D2825">
            <v>148</v>
          </cell>
          <cell r="E2825">
            <v>34.92</v>
          </cell>
          <cell r="F2825">
            <v>5168.16</v>
          </cell>
          <cell r="G2825">
            <v>0.12</v>
          </cell>
          <cell r="H2825">
            <v>2</v>
          </cell>
          <cell r="I2825" t="str">
            <v>UK</v>
          </cell>
          <cell r="J2825" t="str">
            <v>iHerb</v>
          </cell>
        </row>
        <row r="2826">
          <cell r="A2826" t="str">
            <v>22-05-2023</v>
          </cell>
          <cell r="B2826" t="str">
            <v>Collagen Peptides</v>
          </cell>
          <cell r="C2826" t="str">
            <v>Protein</v>
          </cell>
          <cell r="D2826">
            <v>145</v>
          </cell>
          <cell r="E2826">
            <v>53.91</v>
          </cell>
          <cell r="F2826">
            <v>7816.95</v>
          </cell>
          <cell r="G2826">
            <v>0.24</v>
          </cell>
          <cell r="H2826">
            <v>2</v>
          </cell>
          <cell r="I2826" t="str">
            <v>USA</v>
          </cell>
          <cell r="J2826" t="str">
            <v>Walmart</v>
          </cell>
        </row>
        <row r="2827">
          <cell r="A2827" t="str">
            <v>22-05-2023</v>
          </cell>
          <cell r="B2827" t="str">
            <v>Magnesium</v>
          </cell>
          <cell r="C2827" t="str">
            <v>Mineral</v>
          </cell>
          <cell r="D2827">
            <v>158</v>
          </cell>
          <cell r="E2827">
            <v>17.36</v>
          </cell>
          <cell r="F2827">
            <v>2742.88</v>
          </cell>
          <cell r="G2827">
            <v>0.04</v>
          </cell>
          <cell r="H2827">
            <v>0</v>
          </cell>
          <cell r="I2827" t="str">
            <v>USA</v>
          </cell>
          <cell r="J2827" t="str">
            <v>Walmart</v>
          </cell>
        </row>
        <row r="2828">
          <cell r="A2828" t="str">
            <v>22-05-2023</v>
          </cell>
          <cell r="B2828" t="str">
            <v>Ashwagandha</v>
          </cell>
          <cell r="C2828" t="str">
            <v>Herbal</v>
          </cell>
          <cell r="D2828">
            <v>151</v>
          </cell>
          <cell r="E2828">
            <v>51.41</v>
          </cell>
          <cell r="F2828">
            <v>7762.91</v>
          </cell>
          <cell r="G2828">
            <v>0.2</v>
          </cell>
          <cell r="H2828">
            <v>3</v>
          </cell>
          <cell r="I2828" t="str">
            <v>USA</v>
          </cell>
          <cell r="J2828" t="str">
            <v>iHerb</v>
          </cell>
        </row>
        <row r="2829">
          <cell r="A2829" t="str">
            <v>22-05-2023</v>
          </cell>
          <cell r="B2829" t="str">
            <v>Melatonin</v>
          </cell>
          <cell r="C2829" t="str">
            <v>Sleep Aid</v>
          </cell>
          <cell r="D2829">
            <v>127</v>
          </cell>
          <cell r="E2829">
            <v>44.34</v>
          </cell>
          <cell r="F2829">
            <v>5631.18</v>
          </cell>
          <cell r="G2829">
            <v>0.23</v>
          </cell>
          <cell r="H2829">
            <v>1</v>
          </cell>
          <cell r="I2829" t="str">
            <v>UK</v>
          </cell>
          <cell r="J2829" t="str">
            <v>Amazon</v>
          </cell>
        </row>
        <row r="2830">
          <cell r="A2830" t="str">
            <v>22-05-2023</v>
          </cell>
          <cell r="B2830" t="str">
            <v>Biotin</v>
          </cell>
          <cell r="C2830" t="str">
            <v>Vitamin</v>
          </cell>
          <cell r="D2830">
            <v>153</v>
          </cell>
          <cell r="E2830">
            <v>26.6</v>
          </cell>
          <cell r="F2830">
            <v>4069.8</v>
          </cell>
          <cell r="G2830">
            <v>0.02</v>
          </cell>
          <cell r="H2830">
            <v>1</v>
          </cell>
          <cell r="I2830" t="str">
            <v>USA</v>
          </cell>
          <cell r="J2830" t="str">
            <v>Amazon</v>
          </cell>
        </row>
        <row r="2831">
          <cell r="A2831" t="str">
            <v>22-05-2023</v>
          </cell>
          <cell r="B2831" t="str">
            <v>Green Tea Extract</v>
          </cell>
          <cell r="C2831" t="str">
            <v>Fat Burner</v>
          </cell>
          <cell r="D2831">
            <v>163</v>
          </cell>
          <cell r="E2831">
            <v>36.369999999999997</v>
          </cell>
          <cell r="F2831">
            <v>5928.31</v>
          </cell>
          <cell r="G2831">
            <v>0.05</v>
          </cell>
          <cell r="H2831">
            <v>0</v>
          </cell>
          <cell r="I2831" t="str">
            <v>UK</v>
          </cell>
          <cell r="J2831" t="str">
            <v>Walmart</v>
          </cell>
        </row>
        <row r="2832">
          <cell r="A2832" t="str">
            <v>22-05-2023</v>
          </cell>
          <cell r="B2832" t="str">
            <v>Iron Supplement</v>
          </cell>
          <cell r="C2832" t="str">
            <v>Mineral</v>
          </cell>
          <cell r="D2832">
            <v>150</v>
          </cell>
          <cell r="E2832">
            <v>39.369999999999997</v>
          </cell>
          <cell r="F2832">
            <v>5905.5</v>
          </cell>
          <cell r="G2832">
            <v>0.01</v>
          </cell>
          <cell r="H2832">
            <v>0</v>
          </cell>
          <cell r="I2832" t="str">
            <v>UK</v>
          </cell>
          <cell r="J2832" t="str">
            <v>Walmart</v>
          </cell>
        </row>
        <row r="2833">
          <cell r="A2833" t="str">
            <v>22-05-2023</v>
          </cell>
          <cell r="B2833" t="str">
            <v>Electrolyte Powder</v>
          </cell>
          <cell r="C2833" t="str">
            <v>Hydration</v>
          </cell>
          <cell r="D2833">
            <v>152</v>
          </cell>
          <cell r="E2833">
            <v>11.45</v>
          </cell>
          <cell r="F2833">
            <v>1740.4</v>
          </cell>
          <cell r="G2833">
            <v>0.14000000000000001</v>
          </cell>
          <cell r="H2833">
            <v>3</v>
          </cell>
          <cell r="I2833" t="str">
            <v>Canada</v>
          </cell>
          <cell r="J2833" t="str">
            <v>Walmart</v>
          </cell>
        </row>
        <row r="2834">
          <cell r="A2834" t="str">
            <v>29-05-2023</v>
          </cell>
          <cell r="B2834" t="str">
            <v>Whey Protein</v>
          </cell>
          <cell r="C2834" t="str">
            <v>Protein</v>
          </cell>
          <cell r="D2834">
            <v>158</v>
          </cell>
          <cell r="E2834">
            <v>39.619999999999997</v>
          </cell>
          <cell r="F2834">
            <v>6259.96</v>
          </cell>
          <cell r="G2834">
            <v>0.17</v>
          </cell>
          <cell r="H2834">
            <v>0</v>
          </cell>
          <cell r="I2834" t="str">
            <v>USA</v>
          </cell>
          <cell r="J2834" t="str">
            <v>iHerb</v>
          </cell>
        </row>
        <row r="2835">
          <cell r="A2835" t="str">
            <v>29-05-2023</v>
          </cell>
          <cell r="B2835" t="str">
            <v>Vitamin C</v>
          </cell>
          <cell r="C2835" t="str">
            <v>Vitamin</v>
          </cell>
          <cell r="D2835">
            <v>165</v>
          </cell>
          <cell r="E2835">
            <v>47.25</v>
          </cell>
          <cell r="F2835">
            <v>7796.25</v>
          </cell>
          <cell r="G2835">
            <v>0.16</v>
          </cell>
          <cell r="H2835">
            <v>2</v>
          </cell>
          <cell r="I2835" t="str">
            <v>USA</v>
          </cell>
          <cell r="J2835" t="str">
            <v>iHerb</v>
          </cell>
        </row>
        <row r="2836">
          <cell r="A2836" t="str">
            <v>29-05-2023</v>
          </cell>
          <cell r="B2836" t="str">
            <v>Fish Oil</v>
          </cell>
          <cell r="C2836" t="str">
            <v>Omega</v>
          </cell>
          <cell r="D2836">
            <v>162</v>
          </cell>
          <cell r="E2836">
            <v>26.39</v>
          </cell>
          <cell r="F2836">
            <v>4275.18</v>
          </cell>
          <cell r="G2836">
            <v>0.09</v>
          </cell>
          <cell r="H2836">
            <v>3</v>
          </cell>
          <cell r="I2836" t="str">
            <v>UK</v>
          </cell>
          <cell r="J2836" t="str">
            <v>iHerb</v>
          </cell>
        </row>
        <row r="2837">
          <cell r="A2837" t="str">
            <v>29-05-2023</v>
          </cell>
          <cell r="B2837" t="str">
            <v>Multivitamin</v>
          </cell>
          <cell r="C2837" t="str">
            <v>Vitamin</v>
          </cell>
          <cell r="D2837">
            <v>179</v>
          </cell>
          <cell r="E2837">
            <v>59.7</v>
          </cell>
          <cell r="F2837">
            <v>10686.3</v>
          </cell>
          <cell r="G2837">
            <v>0.17</v>
          </cell>
          <cell r="H2837">
            <v>0</v>
          </cell>
          <cell r="I2837" t="str">
            <v>UK</v>
          </cell>
          <cell r="J2837" t="str">
            <v>iHerb</v>
          </cell>
        </row>
        <row r="2838">
          <cell r="A2838" t="str">
            <v>29-05-2023</v>
          </cell>
          <cell r="B2838" t="str">
            <v>Pre-Workout</v>
          </cell>
          <cell r="C2838" t="str">
            <v>Performance</v>
          </cell>
          <cell r="D2838">
            <v>163</v>
          </cell>
          <cell r="E2838">
            <v>32.299999999999997</v>
          </cell>
          <cell r="F2838">
            <v>5264.9</v>
          </cell>
          <cell r="G2838">
            <v>0.08</v>
          </cell>
          <cell r="H2838">
            <v>1</v>
          </cell>
          <cell r="I2838" t="str">
            <v>Canada</v>
          </cell>
          <cell r="J2838" t="str">
            <v>Walmart</v>
          </cell>
        </row>
        <row r="2839">
          <cell r="A2839" t="str">
            <v>29-05-2023</v>
          </cell>
          <cell r="B2839" t="str">
            <v>BCAA</v>
          </cell>
          <cell r="C2839" t="str">
            <v>Amino Acid</v>
          </cell>
          <cell r="D2839">
            <v>148</v>
          </cell>
          <cell r="E2839">
            <v>41.67</v>
          </cell>
          <cell r="F2839">
            <v>6167.16</v>
          </cell>
          <cell r="G2839">
            <v>0.2</v>
          </cell>
          <cell r="H2839">
            <v>1</v>
          </cell>
          <cell r="I2839" t="str">
            <v>USA</v>
          </cell>
          <cell r="J2839" t="str">
            <v>iHerb</v>
          </cell>
        </row>
        <row r="2840">
          <cell r="A2840" t="str">
            <v>29-05-2023</v>
          </cell>
          <cell r="B2840" t="str">
            <v>Creatine</v>
          </cell>
          <cell r="C2840" t="str">
            <v>Performance</v>
          </cell>
          <cell r="D2840">
            <v>139</v>
          </cell>
          <cell r="E2840">
            <v>43.52</v>
          </cell>
          <cell r="F2840">
            <v>6049.28</v>
          </cell>
          <cell r="G2840">
            <v>0.23</v>
          </cell>
          <cell r="H2840">
            <v>0</v>
          </cell>
          <cell r="I2840" t="str">
            <v>Canada</v>
          </cell>
          <cell r="J2840" t="str">
            <v>Walmart</v>
          </cell>
        </row>
        <row r="2841">
          <cell r="A2841" t="str">
            <v>29-05-2023</v>
          </cell>
          <cell r="B2841" t="str">
            <v>Zinc</v>
          </cell>
          <cell r="C2841" t="str">
            <v>Mineral</v>
          </cell>
          <cell r="D2841">
            <v>165</v>
          </cell>
          <cell r="E2841">
            <v>41.07</v>
          </cell>
          <cell r="F2841">
            <v>6776.55</v>
          </cell>
          <cell r="G2841">
            <v>0.02</v>
          </cell>
          <cell r="H2841">
            <v>1</v>
          </cell>
          <cell r="I2841" t="str">
            <v>Canada</v>
          </cell>
          <cell r="J2841" t="str">
            <v>iHerb</v>
          </cell>
        </row>
        <row r="2842">
          <cell r="A2842" t="str">
            <v>29-05-2023</v>
          </cell>
          <cell r="B2842" t="str">
            <v>Collagen Peptides</v>
          </cell>
          <cell r="C2842" t="str">
            <v>Protein</v>
          </cell>
          <cell r="D2842">
            <v>139</v>
          </cell>
          <cell r="E2842">
            <v>35.200000000000003</v>
          </cell>
          <cell r="F2842">
            <v>4892.8</v>
          </cell>
          <cell r="G2842">
            <v>0.2</v>
          </cell>
          <cell r="H2842">
            <v>2</v>
          </cell>
          <cell r="I2842" t="str">
            <v>USA</v>
          </cell>
          <cell r="J2842" t="str">
            <v>Amazon</v>
          </cell>
        </row>
        <row r="2843">
          <cell r="A2843" t="str">
            <v>29-05-2023</v>
          </cell>
          <cell r="B2843" t="str">
            <v>Magnesium</v>
          </cell>
          <cell r="C2843" t="str">
            <v>Mineral</v>
          </cell>
          <cell r="D2843">
            <v>153</v>
          </cell>
          <cell r="E2843">
            <v>31.37</v>
          </cell>
          <cell r="F2843">
            <v>4799.6099999999997</v>
          </cell>
          <cell r="G2843">
            <v>0.24</v>
          </cell>
          <cell r="H2843">
            <v>2</v>
          </cell>
          <cell r="I2843" t="str">
            <v>Canada</v>
          </cell>
          <cell r="J2843" t="str">
            <v>Amazon</v>
          </cell>
        </row>
        <row r="2844">
          <cell r="A2844" t="str">
            <v>29-05-2023</v>
          </cell>
          <cell r="B2844" t="str">
            <v>Ashwagandha</v>
          </cell>
          <cell r="C2844" t="str">
            <v>Herbal</v>
          </cell>
          <cell r="D2844">
            <v>141</v>
          </cell>
          <cell r="E2844">
            <v>40.57</v>
          </cell>
          <cell r="F2844">
            <v>5720.37</v>
          </cell>
          <cell r="G2844">
            <v>0.13</v>
          </cell>
          <cell r="H2844">
            <v>0</v>
          </cell>
          <cell r="I2844" t="str">
            <v>UK</v>
          </cell>
          <cell r="J2844" t="str">
            <v>Amazon</v>
          </cell>
        </row>
        <row r="2845">
          <cell r="A2845" t="str">
            <v>29-05-2023</v>
          </cell>
          <cell r="B2845" t="str">
            <v>Melatonin</v>
          </cell>
          <cell r="C2845" t="str">
            <v>Sleep Aid</v>
          </cell>
          <cell r="D2845">
            <v>163</v>
          </cell>
          <cell r="E2845">
            <v>43.09</v>
          </cell>
          <cell r="F2845">
            <v>7023.67</v>
          </cell>
          <cell r="G2845">
            <v>0.02</v>
          </cell>
          <cell r="H2845">
            <v>1</v>
          </cell>
          <cell r="I2845" t="str">
            <v>Canada</v>
          </cell>
          <cell r="J2845" t="str">
            <v>Walmart</v>
          </cell>
        </row>
        <row r="2846">
          <cell r="A2846" t="str">
            <v>29-05-2023</v>
          </cell>
          <cell r="B2846" t="str">
            <v>Biotin</v>
          </cell>
          <cell r="C2846" t="str">
            <v>Vitamin</v>
          </cell>
          <cell r="D2846">
            <v>174</v>
          </cell>
          <cell r="E2846">
            <v>24.28</v>
          </cell>
          <cell r="F2846">
            <v>4224.72</v>
          </cell>
          <cell r="G2846">
            <v>0.04</v>
          </cell>
          <cell r="H2846">
            <v>1</v>
          </cell>
          <cell r="I2846" t="str">
            <v>USA</v>
          </cell>
          <cell r="J2846" t="str">
            <v>iHerb</v>
          </cell>
        </row>
        <row r="2847">
          <cell r="A2847" t="str">
            <v>29-05-2023</v>
          </cell>
          <cell r="B2847" t="str">
            <v>Green Tea Extract</v>
          </cell>
          <cell r="C2847" t="str">
            <v>Fat Burner</v>
          </cell>
          <cell r="D2847">
            <v>145</v>
          </cell>
          <cell r="E2847">
            <v>58.32</v>
          </cell>
          <cell r="F2847">
            <v>8456.4</v>
          </cell>
          <cell r="G2847">
            <v>0.09</v>
          </cell>
          <cell r="H2847">
            <v>0</v>
          </cell>
          <cell r="I2847" t="str">
            <v>UK</v>
          </cell>
          <cell r="J2847" t="str">
            <v>iHerb</v>
          </cell>
        </row>
        <row r="2848">
          <cell r="A2848" t="str">
            <v>29-05-2023</v>
          </cell>
          <cell r="B2848" t="str">
            <v>Iron Supplement</v>
          </cell>
          <cell r="C2848" t="str">
            <v>Mineral</v>
          </cell>
          <cell r="D2848">
            <v>168</v>
          </cell>
          <cell r="E2848">
            <v>57.64</v>
          </cell>
          <cell r="F2848">
            <v>9683.52</v>
          </cell>
          <cell r="G2848">
            <v>0.17</v>
          </cell>
          <cell r="H2848">
            <v>4</v>
          </cell>
          <cell r="I2848" t="str">
            <v>USA</v>
          </cell>
          <cell r="J2848" t="str">
            <v>Amazon</v>
          </cell>
        </row>
        <row r="2849">
          <cell r="A2849" t="str">
            <v>29-05-2023</v>
          </cell>
          <cell r="B2849" t="str">
            <v>Electrolyte Powder</v>
          </cell>
          <cell r="C2849" t="str">
            <v>Hydration</v>
          </cell>
          <cell r="D2849">
            <v>138</v>
          </cell>
          <cell r="E2849">
            <v>34.409999999999997</v>
          </cell>
          <cell r="F2849">
            <v>4748.58</v>
          </cell>
          <cell r="G2849">
            <v>0.11</v>
          </cell>
          <cell r="H2849">
            <v>1</v>
          </cell>
          <cell r="I2849" t="str">
            <v>Canada</v>
          </cell>
          <cell r="J2849" t="str">
            <v>iHerb</v>
          </cell>
        </row>
        <row r="2850">
          <cell r="A2850" t="str">
            <v>05-06-2023</v>
          </cell>
          <cell r="B2850" t="str">
            <v>Whey Protein</v>
          </cell>
          <cell r="C2850" t="str">
            <v>Protein</v>
          </cell>
          <cell r="D2850">
            <v>156</v>
          </cell>
          <cell r="E2850">
            <v>46.72</v>
          </cell>
          <cell r="F2850">
            <v>7288.32</v>
          </cell>
          <cell r="G2850">
            <v>0.18</v>
          </cell>
          <cell r="H2850">
            <v>1</v>
          </cell>
          <cell r="I2850" t="str">
            <v>Canada</v>
          </cell>
          <cell r="J2850" t="str">
            <v>Amazon</v>
          </cell>
        </row>
        <row r="2851">
          <cell r="A2851" t="str">
            <v>05-06-2023</v>
          </cell>
          <cell r="B2851" t="str">
            <v>Vitamin C</v>
          </cell>
          <cell r="C2851" t="str">
            <v>Vitamin</v>
          </cell>
          <cell r="D2851">
            <v>172</v>
          </cell>
          <cell r="E2851">
            <v>23.37</v>
          </cell>
          <cell r="F2851">
            <v>4019.64</v>
          </cell>
          <cell r="G2851">
            <v>0.02</v>
          </cell>
          <cell r="H2851">
            <v>3</v>
          </cell>
          <cell r="I2851" t="str">
            <v>Canada</v>
          </cell>
          <cell r="J2851" t="str">
            <v>Walmart</v>
          </cell>
        </row>
        <row r="2852">
          <cell r="A2852" t="str">
            <v>05-06-2023</v>
          </cell>
          <cell r="B2852" t="str">
            <v>Fish Oil</v>
          </cell>
          <cell r="C2852" t="str">
            <v>Omega</v>
          </cell>
          <cell r="D2852">
            <v>154</v>
          </cell>
          <cell r="E2852">
            <v>18.190000000000001</v>
          </cell>
          <cell r="F2852">
            <v>2801.26</v>
          </cell>
          <cell r="G2852">
            <v>0.01</v>
          </cell>
          <cell r="H2852">
            <v>0</v>
          </cell>
          <cell r="I2852" t="str">
            <v>Canada</v>
          </cell>
          <cell r="J2852" t="str">
            <v>Walmart</v>
          </cell>
        </row>
        <row r="2853">
          <cell r="A2853" t="str">
            <v>05-06-2023</v>
          </cell>
          <cell r="B2853" t="str">
            <v>Multivitamin</v>
          </cell>
          <cell r="C2853" t="str">
            <v>Vitamin</v>
          </cell>
          <cell r="D2853">
            <v>148</v>
          </cell>
          <cell r="E2853">
            <v>22.95</v>
          </cell>
          <cell r="F2853">
            <v>3396.6</v>
          </cell>
          <cell r="G2853">
            <v>0.22</v>
          </cell>
          <cell r="H2853">
            <v>1</v>
          </cell>
          <cell r="I2853" t="str">
            <v>Canada</v>
          </cell>
          <cell r="J2853" t="str">
            <v>Walmart</v>
          </cell>
        </row>
        <row r="2854">
          <cell r="A2854" t="str">
            <v>05-06-2023</v>
          </cell>
          <cell r="B2854" t="str">
            <v>Pre-Workout</v>
          </cell>
          <cell r="C2854" t="str">
            <v>Performance</v>
          </cell>
          <cell r="D2854">
            <v>158</v>
          </cell>
          <cell r="E2854">
            <v>28.26</v>
          </cell>
          <cell r="F2854">
            <v>4465.08</v>
          </cell>
          <cell r="G2854">
            <v>0.12</v>
          </cell>
          <cell r="H2854">
            <v>0</v>
          </cell>
          <cell r="I2854" t="str">
            <v>USA</v>
          </cell>
          <cell r="J2854" t="str">
            <v>iHerb</v>
          </cell>
        </row>
        <row r="2855">
          <cell r="A2855" t="str">
            <v>05-06-2023</v>
          </cell>
          <cell r="B2855" t="str">
            <v>BCAA</v>
          </cell>
          <cell r="C2855" t="str">
            <v>Amino Acid</v>
          </cell>
          <cell r="D2855">
            <v>133</v>
          </cell>
          <cell r="E2855">
            <v>56.97</v>
          </cell>
          <cell r="F2855">
            <v>7577.01</v>
          </cell>
          <cell r="G2855">
            <v>0.02</v>
          </cell>
          <cell r="H2855">
            <v>1</v>
          </cell>
          <cell r="I2855" t="str">
            <v>Canada</v>
          </cell>
          <cell r="J2855" t="str">
            <v>Walmart</v>
          </cell>
        </row>
        <row r="2856">
          <cell r="A2856" t="str">
            <v>05-06-2023</v>
          </cell>
          <cell r="B2856" t="str">
            <v>Creatine</v>
          </cell>
          <cell r="C2856" t="str">
            <v>Performance</v>
          </cell>
          <cell r="D2856">
            <v>181</v>
          </cell>
          <cell r="E2856">
            <v>42.18</v>
          </cell>
          <cell r="F2856">
            <v>7634.58</v>
          </cell>
          <cell r="G2856">
            <v>0.24</v>
          </cell>
          <cell r="H2856">
            <v>5</v>
          </cell>
          <cell r="I2856" t="str">
            <v>USA</v>
          </cell>
          <cell r="J2856" t="str">
            <v>Amazon</v>
          </cell>
        </row>
        <row r="2857">
          <cell r="A2857" t="str">
            <v>05-06-2023</v>
          </cell>
          <cell r="B2857" t="str">
            <v>Zinc</v>
          </cell>
          <cell r="C2857" t="str">
            <v>Mineral</v>
          </cell>
          <cell r="D2857">
            <v>149</v>
          </cell>
          <cell r="E2857">
            <v>20.100000000000001</v>
          </cell>
          <cell r="F2857">
            <v>2994.9</v>
          </cell>
          <cell r="G2857">
            <v>0.22</v>
          </cell>
          <cell r="H2857">
            <v>3</v>
          </cell>
          <cell r="I2857" t="str">
            <v>UK</v>
          </cell>
          <cell r="J2857" t="str">
            <v>Amazon</v>
          </cell>
        </row>
        <row r="2858">
          <cell r="A2858" t="str">
            <v>05-06-2023</v>
          </cell>
          <cell r="B2858" t="str">
            <v>Collagen Peptides</v>
          </cell>
          <cell r="C2858" t="str">
            <v>Protein</v>
          </cell>
          <cell r="D2858">
            <v>154</v>
          </cell>
          <cell r="E2858">
            <v>47</v>
          </cell>
          <cell r="F2858">
            <v>7238</v>
          </cell>
          <cell r="G2858">
            <v>0.17</v>
          </cell>
          <cell r="H2858">
            <v>3</v>
          </cell>
          <cell r="I2858" t="str">
            <v>Canada</v>
          </cell>
          <cell r="J2858" t="str">
            <v>Walmart</v>
          </cell>
        </row>
        <row r="2859">
          <cell r="A2859" t="str">
            <v>05-06-2023</v>
          </cell>
          <cell r="B2859" t="str">
            <v>Magnesium</v>
          </cell>
          <cell r="C2859" t="str">
            <v>Mineral</v>
          </cell>
          <cell r="D2859">
            <v>157</v>
          </cell>
          <cell r="E2859">
            <v>21.85</v>
          </cell>
          <cell r="F2859">
            <v>3430.45</v>
          </cell>
          <cell r="G2859">
            <v>0.19</v>
          </cell>
          <cell r="H2859">
            <v>1</v>
          </cell>
          <cell r="I2859" t="str">
            <v>USA</v>
          </cell>
          <cell r="J2859" t="str">
            <v>iHerb</v>
          </cell>
        </row>
        <row r="2860">
          <cell r="A2860" t="str">
            <v>05-06-2023</v>
          </cell>
          <cell r="B2860" t="str">
            <v>Ashwagandha</v>
          </cell>
          <cell r="C2860" t="str">
            <v>Herbal</v>
          </cell>
          <cell r="D2860">
            <v>142</v>
          </cell>
          <cell r="E2860">
            <v>44.84</v>
          </cell>
          <cell r="F2860">
            <v>6367.28</v>
          </cell>
          <cell r="G2860">
            <v>0.23</v>
          </cell>
          <cell r="H2860">
            <v>0</v>
          </cell>
          <cell r="I2860" t="str">
            <v>UK</v>
          </cell>
          <cell r="J2860" t="str">
            <v>Amazon</v>
          </cell>
        </row>
        <row r="2861">
          <cell r="A2861" t="str">
            <v>05-06-2023</v>
          </cell>
          <cell r="B2861" t="str">
            <v>Melatonin</v>
          </cell>
          <cell r="C2861" t="str">
            <v>Sleep Aid</v>
          </cell>
          <cell r="D2861">
            <v>155</v>
          </cell>
          <cell r="E2861">
            <v>55.18</v>
          </cell>
          <cell r="F2861">
            <v>8552.9</v>
          </cell>
          <cell r="G2861">
            <v>0.02</v>
          </cell>
          <cell r="H2861">
            <v>2</v>
          </cell>
          <cell r="I2861" t="str">
            <v>Canada</v>
          </cell>
          <cell r="J2861" t="str">
            <v>Walmart</v>
          </cell>
        </row>
        <row r="2862">
          <cell r="A2862" t="str">
            <v>05-06-2023</v>
          </cell>
          <cell r="B2862" t="str">
            <v>Biotin</v>
          </cell>
          <cell r="C2862" t="str">
            <v>Vitamin</v>
          </cell>
          <cell r="D2862">
            <v>161</v>
          </cell>
          <cell r="E2862">
            <v>57.71</v>
          </cell>
          <cell r="F2862">
            <v>9291.31</v>
          </cell>
          <cell r="G2862">
            <v>0.21</v>
          </cell>
          <cell r="H2862">
            <v>1</v>
          </cell>
          <cell r="I2862" t="str">
            <v>UK</v>
          </cell>
          <cell r="J2862" t="str">
            <v>Walmart</v>
          </cell>
        </row>
        <row r="2863">
          <cell r="A2863" t="str">
            <v>05-06-2023</v>
          </cell>
          <cell r="B2863" t="str">
            <v>Green Tea Extract</v>
          </cell>
          <cell r="C2863" t="str">
            <v>Fat Burner</v>
          </cell>
          <cell r="D2863">
            <v>142</v>
          </cell>
          <cell r="E2863">
            <v>58.36</v>
          </cell>
          <cell r="F2863">
            <v>8287.1200000000008</v>
          </cell>
          <cell r="G2863">
            <v>0.02</v>
          </cell>
          <cell r="H2863">
            <v>1</v>
          </cell>
          <cell r="I2863" t="str">
            <v>Canada</v>
          </cell>
          <cell r="J2863" t="str">
            <v>Amazon</v>
          </cell>
        </row>
        <row r="2864">
          <cell r="A2864" t="str">
            <v>05-06-2023</v>
          </cell>
          <cell r="B2864" t="str">
            <v>Iron Supplement</v>
          </cell>
          <cell r="C2864" t="str">
            <v>Mineral</v>
          </cell>
          <cell r="D2864">
            <v>152</v>
          </cell>
          <cell r="E2864">
            <v>28.87</v>
          </cell>
          <cell r="F2864">
            <v>4388.24</v>
          </cell>
          <cell r="G2864">
            <v>0.08</v>
          </cell>
          <cell r="H2864">
            <v>1</v>
          </cell>
          <cell r="I2864" t="str">
            <v>UK</v>
          </cell>
          <cell r="J2864" t="str">
            <v>iHerb</v>
          </cell>
        </row>
        <row r="2865">
          <cell r="A2865" t="str">
            <v>05-06-2023</v>
          </cell>
          <cell r="B2865" t="str">
            <v>Electrolyte Powder</v>
          </cell>
          <cell r="C2865" t="str">
            <v>Hydration</v>
          </cell>
          <cell r="D2865">
            <v>156</v>
          </cell>
          <cell r="E2865">
            <v>16.84</v>
          </cell>
          <cell r="F2865">
            <v>2627.04</v>
          </cell>
          <cell r="G2865">
            <v>0.2</v>
          </cell>
          <cell r="H2865">
            <v>2</v>
          </cell>
          <cell r="I2865" t="str">
            <v>Canada</v>
          </cell>
          <cell r="J2865" t="str">
            <v>iHerb</v>
          </cell>
        </row>
        <row r="2866">
          <cell r="A2866" t="str">
            <v>12-06-2023</v>
          </cell>
          <cell r="B2866" t="str">
            <v>Whey Protein</v>
          </cell>
          <cell r="C2866" t="str">
            <v>Protein</v>
          </cell>
          <cell r="D2866">
            <v>167</v>
          </cell>
          <cell r="E2866">
            <v>54.69</v>
          </cell>
          <cell r="F2866">
            <v>9133.23</v>
          </cell>
          <cell r="G2866">
            <v>0.22</v>
          </cell>
          <cell r="H2866">
            <v>1</v>
          </cell>
          <cell r="I2866" t="str">
            <v>UK</v>
          </cell>
          <cell r="J2866" t="str">
            <v>Walmart</v>
          </cell>
        </row>
        <row r="2867">
          <cell r="A2867" t="str">
            <v>12-06-2023</v>
          </cell>
          <cell r="B2867" t="str">
            <v>Vitamin C</v>
          </cell>
          <cell r="C2867" t="str">
            <v>Vitamin</v>
          </cell>
          <cell r="D2867">
            <v>146</v>
          </cell>
          <cell r="E2867">
            <v>45.76</v>
          </cell>
          <cell r="F2867">
            <v>6680.96</v>
          </cell>
          <cell r="G2867">
            <v>0.23</v>
          </cell>
          <cell r="H2867">
            <v>2</v>
          </cell>
          <cell r="I2867" t="str">
            <v>Canada</v>
          </cell>
          <cell r="J2867" t="str">
            <v>Amazon</v>
          </cell>
        </row>
        <row r="2868">
          <cell r="A2868" t="str">
            <v>12-06-2023</v>
          </cell>
          <cell r="B2868" t="str">
            <v>Fish Oil</v>
          </cell>
          <cell r="C2868" t="str">
            <v>Omega</v>
          </cell>
          <cell r="D2868">
            <v>154</v>
          </cell>
          <cell r="E2868">
            <v>24.57</v>
          </cell>
          <cell r="F2868">
            <v>3783.78</v>
          </cell>
          <cell r="G2868">
            <v>0.24</v>
          </cell>
          <cell r="H2868">
            <v>1</v>
          </cell>
          <cell r="I2868" t="str">
            <v>USA</v>
          </cell>
          <cell r="J2868" t="str">
            <v>Amazon</v>
          </cell>
        </row>
        <row r="2869">
          <cell r="A2869" t="str">
            <v>12-06-2023</v>
          </cell>
          <cell r="B2869" t="str">
            <v>Multivitamin</v>
          </cell>
          <cell r="C2869" t="str">
            <v>Vitamin</v>
          </cell>
          <cell r="D2869">
            <v>131</v>
          </cell>
          <cell r="E2869">
            <v>46.7</v>
          </cell>
          <cell r="F2869">
            <v>6117.7</v>
          </cell>
          <cell r="G2869">
            <v>7.0000000000000007E-2</v>
          </cell>
          <cell r="H2869">
            <v>1</v>
          </cell>
          <cell r="I2869" t="str">
            <v>UK</v>
          </cell>
          <cell r="J2869" t="str">
            <v>Walmart</v>
          </cell>
        </row>
        <row r="2870">
          <cell r="A2870" t="str">
            <v>12-06-2023</v>
          </cell>
          <cell r="B2870" t="str">
            <v>Pre-Workout</v>
          </cell>
          <cell r="C2870" t="str">
            <v>Performance</v>
          </cell>
          <cell r="D2870">
            <v>149</v>
          </cell>
          <cell r="E2870">
            <v>49.47</v>
          </cell>
          <cell r="F2870">
            <v>7371.03</v>
          </cell>
          <cell r="G2870">
            <v>0.08</v>
          </cell>
          <cell r="H2870">
            <v>3</v>
          </cell>
          <cell r="I2870" t="str">
            <v>USA</v>
          </cell>
          <cell r="J2870" t="str">
            <v>Amazon</v>
          </cell>
        </row>
        <row r="2871">
          <cell r="A2871" t="str">
            <v>12-06-2023</v>
          </cell>
          <cell r="B2871" t="str">
            <v>BCAA</v>
          </cell>
          <cell r="C2871" t="str">
            <v>Amino Acid</v>
          </cell>
          <cell r="D2871">
            <v>162</v>
          </cell>
          <cell r="E2871">
            <v>26.24</v>
          </cell>
          <cell r="F2871">
            <v>4250.88</v>
          </cell>
          <cell r="G2871">
            <v>0.13</v>
          </cell>
          <cell r="H2871">
            <v>1</v>
          </cell>
          <cell r="I2871" t="str">
            <v>Canada</v>
          </cell>
          <cell r="J2871" t="str">
            <v>Amazon</v>
          </cell>
        </row>
        <row r="2872">
          <cell r="A2872" t="str">
            <v>12-06-2023</v>
          </cell>
          <cell r="B2872" t="str">
            <v>Creatine</v>
          </cell>
          <cell r="C2872" t="str">
            <v>Performance</v>
          </cell>
          <cell r="D2872">
            <v>144</v>
          </cell>
          <cell r="E2872">
            <v>34.18</v>
          </cell>
          <cell r="F2872">
            <v>4921.92</v>
          </cell>
          <cell r="G2872">
            <v>0.21</v>
          </cell>
          <cell r="H2872">
            <v>0</v>
          </cell>
          <cell r="I2872" t="str">
            <v>Canada</v>
          </cell>
          <cell r="J2872" t="str">
            <v>Amazon</v>
          </cell>
        </row>
        <row r="2873">
          <cell r="A2873" t="str">
            <v>12-06-2023</v>
          </cell>
          <cell r="B2873" t="str">
            <v>Zinc</v>
          </cell>
          <cell r="C2873" t="str">
            <v>Mineral</v>
          </cell>
          <cell r="D2873">
            <v>153</v>
          </cell>
          <cell r="E2873">
            <v>36.159999999999997</v>
          </cell>
          <cell r="F2873">
            <v>5532.48</v>
          </cell>
          <cell r="G2873">
            <v>0.05</v>
          </cell>
          <cell r="H2873">
            <v>2</v>
          </cell>
          <cell r="I2873" t="str">
            <v>UK</v>
          </cell>
          <cell r="J2873" t="str">
            <v>iHerb</v>
          </cell>
        </row>
        <row r="2874">
          <cell r="A2874" t="str">
            <v>12-06-2023</v>
          </cell>
          <cell r="B2874" t="str">
            <v>Collagen Peptides</v>
          </cell>
          <cell r="C2874" t="str">
            <v>Protein</v>
          </cell>
          <cell r="D2874">
            <v>129</v>
          </cell>
          <cell r="E2874">
            <v>38.54</v>
          </cell>
          <cell r="F2874">
            <v>4971.66</v>
          </cell>
          <cell r="G2874">
            <v>0.23</v>
          </cell>
          <cell r="H2874">
            <v>1</v>
          </cell>
          <cell r="I2874" t="str">
            <v>UK</v>
          </cell>
          <cell r="J2874" t="str">
            <v>Walmart</v>
          </cell>
        </row>
        <row r="2875">
          <cell r="A2875" t="str">
            <v>12-06-2023</v>
          </cell>
          <cell r="B2875" t="str">
            <v>Magnesium</v>
          </cell>
          <cell r="C2875" t="str">
            <v>Mineral</v>
          </cell>
          <cell r="D2875">
            <v>134</v>
          </cell>
          <cell r="E2875">
            <v>14.57</v>
          </cell>
          <cell r="F2875">
            <v>1952.38</v>
          </cell>
          <cell r="G2875">
            <v>0.05</v>
          </cell>
          <cell r="H2875">
            <v>0</v>
          </cell>
          <cell r="I2875" t="str">
            <v>USA</v>
          </cell>
          <cell r="J2875" t="str">
            <v>iHerb</v>
          </cell>
        </row>
        <row r="2876">
          <cell r="A2876" t="str">
            <v>12-06-2023</v>
          </cell>
          <cell r="B2876" t="str">
            <v>Ashwagandha</v>
          </cell>
          <cell r="C2876" t="str">
            <v>Herbal</v>
          </cell>
          <cell r="D2876">
            <v>150</v>
          </cell>
          <cell r="E2876">
            <v>33.47</v>
          </cell>
          <cell r="F2876">
            <v>5020.5</v>
          </cell>
          <cell r="G2876">
            <v>0.23</v>
          </cell>
          <cell r="H2876">
            <v>2</v>
          </cell>
          <cell r="I2876" t="str">
            <v>Canada</v>
          </cell>
          <cell r="J2876" t="str">
            <v>iHerb</v>
          </cell>
        </row>
        <row r="2877">
          <cell r="A2877" t="str">
            <v>12-06-2023</v>
          </cell>
          <cell r="B2877" t="str">
            <v>Melatonin</v>
          </cell>
          <cell r="C2877" t="str">
            <v>Sleep Aid</v>
          </cell>
          <cell r="D2877">
            <v>128</v>
          </cell>
          <cell r="E2877">
            <v>43.68</v>
          </cell>
          <cell r="F2877">
            <v>5591.04</v>
          </cell>
          <cell r="G2877">
            <v>0.22</v>
          </cell>
          <cell r="H2877">
            <v>0</v>
          </cell>
          <cell r="I2877" t="str">
            <v>USA</v>
          </cell>
          <cell r="J2877" t="str">
            <v>Amazon</v>
          </cell>
        </row>
        <row r="2878">
          <cell r="A2878" t="str">
            <v>12-06-2023</v>
          </cell>
          <cell r="B2878" t="str">
            <v>Biotin</v>
          </cell>
          <cell r="C2878" t="str">
            <v>Vitamin</v>
          </cell>
          <cell r="D2878">
            <v>162</v>
          </cell>
          <cell r="E2878">
            <v>37.299999999999997</v>
          </cell>
          <cell r="F2878">
            <v>6042.6</v>
          </cell>
          <cell r="G2878">
            <v>0.24</v>
          </cell>
          <cell r="H2878">
            <v>2</v>
          </cell>
          <cell r="I2878" t="str">
            <v>UK</v>
          </cell>
          <cell r="J2878" t="str">
            <v>iHerb</v>
          </cell>
        </row>
        <row r="2879">
          <cell r="A2879" t="str">
            <v>12-06-2023</v>
          </cell>
          <cell r="B2879" t="str">
            <v>Green Tea Extract</v>
          </cell>
          <cell r="C2879" t="str">
            <v>Fat Burner</v>
          </cell>
          <cell r="D2879">
            <v>165</v>
          </cell>
          <cell r="E2879">
            <v>37.72</v>
          </cell>
          <cell r="F2879">
            <v>6223.8</v>
          </cell>
          <cell r="G2879">
            <v>0.15</v>
          </cell>
          <cell r="H2879">
            <v>1</v>
          </cell>
          <cell r="I2879" t="str">
            <v>Canada</v>
          </cell>
          <cell r="J2879" t="str">
            <v>Walmart</v>
          </cell>
        </row>
        <row r="2880">
          <cell r="A2880" t="str">
            <v>12-06-2023</v>
          </cell>
          <cell r="B2880" t="str">
            <v>Iron Supplement</v>
          </cell>
          <cell r="C2880" t="str">
            <v>Mineral</v>
          </cell>
          <cell r="D2880">
            <v>152</v>
          </cell>
          <cell r="E2880">
            <v>17.170000000000002</v>
          </cell>
          <cell r="F2880">
            <v>2609.84</v>
          </cell>
          <cell r="G2880">
            <v>0.09</v>
          </cell>
          <cell r="H2880">
            <v>2</v>
          </cell>
          <cell r="I2880" t="str">
            <v>USA</v>
          </cell>
          <cell r="J2880" t="str">
            <v>iHerb</v>
          </cell>
        </row>
        <row r="2881">
          <cell r="A2881" t="str">
            <v>12-06-2023</v>
          </cell>
          <cell r="B2881" t="str">
            <v>Electrolyte Powder</v>
          </cell>
          <cell r="C2881" t="str">
            <v>Hydration</v>
          </cell>
          <cell r="D2881">
            <v>170</v>
          </cell>
          <cell r="E2881">
            <v>42.14</v>
          </cell>
          <cell r="F2881">
            <v>7163.8</v>
          </cell>
          <cell r="G2881">
            <v>0.03</v>
          </cell>
          <cell r="H2881">
            <v>3</v>
          </cell>
          <cell r="I2881" t="str">
            <v>UK</v>
          </cell>
          <cell r="J2881" t="str">
            <v>iHerb</v>
          </cell>
        </row>
        <row r="2882">
          <cell r="A2882" t="str">
            <v>19-06-2023</v>
          </cell>
          <cell r="B2882" t="str">
            <v>Whey Protein</v>
          </cell>
          <cell r="C2882" t="str">
            <v>Protein</v>
          </cell>
          <cell r="D2882">
            <v>152</v>
          </cell>
          <cell r="E2882">
            <v>49.72</v>
          </cell>
          <cell r="F2882">
            <v>7557.44</v>
          </cell>
          <cell r="G2882">
            <v>0.06</v>
          </cell>
          <cell r="H2882">
            <v>1</v>
          </cell>
          <cell r="I2882" t="str">
            <v>USA</v>
          </cell>
          <cell r="J2882" t="str">
            <v>Amazon</v>
          </cell>
        </row>
        <row r="2883">
          <cell r="A2883" t="str">
            <v>19-06-2023</v>
          </cell>
          <cell r="B2883" t="str">
            <v>Vitamin C</v>
          </cell>
          <cell r="C2883" t="str">
            <v>Vitamin</v>
          </cell>
          <cell r="D2883">
            <v>182</v>
          </cell>
          <cell r="E2883">
            <v>44.15</v>
          </cell>
          <cell r="F2883">
            <v>8035.3</v>
          </cell>
          <cell r="G2883">
            <v>0.24</v>
          </cell>
          <cell r="H2883">
            <v>1</v>
          </cell>
          <cell r="I2883" t="str">
            <v>USA</v>
          </cell>
          <cell r="J2883" t="str">
            <v>Amazon</v>
          </cell>
        </row>
        <row r="2884">
          <cell r="A2884" t="str">
            <v>19-06-2023</v>
          </cell>
          <cell r="B2884" t="str">
            <v>Fish Oil</v>
          </cell>
          <cell r="C2884" t="str">
            <v>Omega</v>
          </cell>
          <cell r="D2884">
            <v>159</v>
          </cell>
          <cell r="E2884">
            <v>26.7</v>
          </cell>
          <cell r="F2884">
            <v>4245.3</v>
          </cell>
          <cell r="G2884">
            <v>0.01</v>
          </cell>
          <cell r="H2884">
            <v>3</v>
          </cell>
          <cell r="I2884" t="str">
            <v>Canada</v>
          </cell>
          <cell r="J2884" t="str">
            <v>Amazon</v>
          </cell>
        </row>
        <row r="2885">
          <cell r="A2885" t="str">
            <v>19-06-2023</v>
          </cell>
          <cell r="B2885" t="str">
            <v>Multivitamin</v>
          </cell>
          <cell r="C2885" t="str">
            <v>Vitamin</v>
          </cell>
          <cell r="D2885">
            <v>164</v>
          </cell>
          <cell r="E2885">
            <v>27.63</v>
          </cell>
          <cell r="F2885">
            <v>4531.32</v>
          </cell>
          <cell r="G2885">
            <v>0.02</v>
          </cell>
          <cell r="H2885">
            <v>2</v>
          </cell>
          <cell r="I2885" t="str">
            <v>Canada</v>
          </cell>
          <cell r="J2885" t="str">
            <v>Amazon</v>
          </cell>
        </row>
        <row r="2886">
          <cell r="A2886" t="str">
            <v>19-06-2023</v>
          </cell>
          <cell r="B2886" t="str">
            <v>Pre-Workout</v>
          </cell>
          <cell r="C2886" t="str">
            <v>Performance</v>
          </cell>
          <cell r="D2886">
            <v>158</v>
          </cell>
          <cell r="E2886">
            <v>46.53</v>
          </cell>
          <cell r="F2886">
            <v>7351.74</v>
          </cell>
          <cell r="G2886">
            <v>0.21</v>
          </cell>
          <cell r="H2886">
            <v>2</v>
          </cell>
          <cell r="I2886" t="str">
            <v>Canada</v>
          </cell>
          <cell r="J2886" t="str">
            <v>iHerb</v>
          </cell>
        </row>
        <row r="2887">
          <cell r="A2887" t="str">
            <v>19-06-2023</v>
          </cell>
          <cell r="B2887" t="str">
            <v>BCAA</v>
          </cell>
          <cell r="C2887" t="str">
            <v>Amino Acid</v>
          </cell>
          <cell r="D2887">
            <v>155</v>
          </cell>
          <cell r="E2887">
            <v>55.11</v>
          </cell>
          <cell r="F2887">
            <v>8542.0499999999993</v>
          </cell>
          <cell r="G2887">
            <v>0.16</v>
          </cell>
          <cell r="H2887">
            <v>1</v>
          </cell>
          <cell r="I2887" t="str">
            <v>USA</v>
          </cell>
          <cell r="J2887" t="str">
            <v>Amazon</v>
          </cell>
        </row>
        <row r="2888">
          <cell r="A2888" t="str">
            <v>19-06-2023</v>
          </cell>
          <cell r="B2888" t="str">
            <v>Creatine</v>
          </cell>
          <cell r="C2888" t="str">
            <v>Performance</v>
          </cell>
          <cell r="D2888">
            <v>129</v>
          </cell>
          <cell r="E2888">
            <v>37.19</v>
          </cell>
          <cell r="F2888">
            <v>4797.51</v>
          </cell>
          <cell r="G2888">
            <v>7.0000000000000007E-2</v>
          </cell>
          <cell r="H2888">
            <v>0</v>
          </cell>
          <cell r="I2888" t="str">
            <v>Canada</v>
          </cell>
          <cell r="J2888" t="str">
            <v>iHerb</v>
          </cell>
        </row>
        <row r="2889">
          <cell r="A2889" t="str">
            <v>19-06-2023</v>
          </cell>
          <cell r="B2889" t="str">
            <v>Zinc</v>
          </cell>
          <cell r="C2889" t="str">
            <v>Mineral</v>
          </cell>
          <cell r="D2889">
            <v>151</v>
          </cell>
          <cell r="E2889">
            <v>50.02</v>
          </cell>
          <cell r="F2889">
            <v>7553.02</v>
          </cell>
          <cell r="G2889">
            <v>0.12</v>
          </cell>
          <cell r="H2889">
            <v>2</v>
          </cell>
          <cell r="I2889" t="str">
            <v>USA</v>
          </cell>
          <cell r="J2889" t="str">
            <v>Walmart</v>
          </cell>
        </row>
        <row r="2890">
          <cell r="A2890" t="str">
            <v>19-06-2023</v>
          </cell>
          <cell r="B2890" t="str">
            <v>Collagen Peptides</v>
          </cell>
          <cell r="C2890" t="str">
            <v>Protein</v>
          </cell>
          <cell r="D2890">
            <v>135</v>
          </cell>
          <cell r="E2890">
            <v>30.5</v>
          </cell>
          <cell r="F2890">
            <v>4117.5</v>
          </cell>
          <cell r="G2890">
            <v>0.2</v>
          </cell>
          <cell r="H2890">
            <v>2</v>
          </cell>
          <cell r="I2890" t="str">
            <v>Canada</v>
          </cell>
          <cell r="J2890" t="str">
            <v>Walmart</v>
          </cell>
        </row>
        <row r="2891">
          <cell r="A2891" t="str">
            <v>19-06-2023</v>
          </cell>
          <cell r="B2891" t="str">
            <v>Magnesium</v>
          </cell>
          <cell r="C2891" t="str">
            <v>Mineral</v>
          </cell>
          <cell r="D2891">
            <v>139</v>
          </cell>
          <cell r="E2891">
            <v>22.17</v>
          </cell>
          <cell r="F2891">
            <v>3081.63</v>
          </cell>
          <cell r="G2891">
            <v>0.25</v>
          </cell>
          <cell r="H2891">
            <v>4</v>
          </cell>
          <cell r="I2891" t="str">
            <v>USA</v>
          </cell>
          <cell r="J2891" t="str">
            <v>Amazon</v>
          </cell>
        </row>
        <row r="2892">
          <cell r="A2892" t="str">
            <v>19-06-2023</v>
          </cell>
          <cell r="B2892" t="str">
            <v>Ashwagandha</v>
          </cell>
          <cell r="C2892" t="str">
            <v>Herbal</v>
          </cell>
          <cell r="D2892">
            <v>152</v>
          </cell>
          <cell r="E2892">
            <v>50.07</v>
          </cell>
          <cell r="F2892">
            <v>7610.64</v>
          </cell>
          <cell r="G2892">
            <v>0.18</v>
          </cell>
          <cell r="H2892">
            <v>2</v>
          </cell>
          <cell r="I2892" t="str">
            <v>UK</v>
          </cell>
          <cell r="J2892" t="str">
            <v>iHerb</v>
          </cell>
        </row>
        <row r="2893">
          <cell r="A2893" t="str">
            <v>19-06-2023</v>
          </cell>
          <cell r="B2893" t="str">
            <v>Melatonin</v>
          </cell>
          <cell r="C2893" t="str">
            <v>Sleep Aid</v>
          </cell>
          <cell r="D2893">
            <v>155</v>
          </cell>
          <cell r="E2893">
            <v>43.49</v>
          </cell>
          <cell r="F2893">
            <v>6740.95</v>
          </cell>
          <cell r="G2893">
            <v>0.18</v>
          </cell>
          <cell r="H2893">
            <v>1</v>
          </cell>
          <cell r="I2893" t="str">
            <v>Canada</v>
          </cell>
          <cell r="J2893" t="str">
            <v>Amazon</v>
          </cell>
        </row>
        <row r="2894">
          <cell r="A2894" t="str">
            <v>19-06-2023</v>
          </cell>
          <cell r="B2894" t="str">
            <v>Biotin</v>
          </cell>
          <cell r="C2894" t="str">
            <v>Vitamin</v>
          </cell>
          <cell r="D2894">
            <v>145</v>
          </cell>
          <cell r="E2894">
            <v>35.29</v>
          </cell>
          <cell r="F2894">
            <v>5117.05</v>
          </cell>
          <cell r="G2894">
            <v>0.11</v>
          </cell>
          <cell r="H2894">
            <v>6</v>
          </cell>
          <cell r="I2894" t="str">
            <v>USA</v>
          </cell>
          <cell r="J2894" t="str">
            <v>Amazon</v>
          </cell>
        </row>
        <row r="2895">
          <cell r="A2895" t="str">
            <v>19-06-2023</v>
          </cell>
          <cell r="B2895" t="str">
            <v>Green Tea Extract</v>
          </cell>
          <cell r="C2895" t="str">
            <v>Fat Burner</v>
          </cell>
          <cell r="D2895">
            <v>154</v>
          </cell>
          <cell r="E2895">
            <v>26.7</v>
          </cell>
          <cell r="F2895">
            <v>4111.8</v>
          </cell>
          <cell r="G2895">
            <v>0.21</v>
          </cell>
          <cell r="H2895">
            <v>2</v>
          </cell>
          <cell r="I2895" t="str">
            <v>Canada</v>
          </cell>
          <cell r="J2895" t="str">
            <v>Amazon</v>
          </cell>
        </row>
        <row r="2896">
          <cell r="A2896" t="str">
            <v>19-06-2023</v>
          </cell>
          <cell r="B2896" t="str">
            <v>Iron Supplement</v>
          </cell>
          <cell r="C2896" t="str">
            <v>Mineral</v>
          </cell>
          <cell r="D2896">
            <v>157</v>
          </cell>
          <cell r="E2896">
            <v>37.43</v>
          </cell>
          <cell r="F2896">
            <v>5876.51</v>
          </cell>
          <cell r="G2896">
            <v>0.16</v>
          </cell>
          <cell r="H2896">
            <v>2</v>
          </cell>
          <cell r="I2896" t="str">
            <v>UK</v>
          </cell>
          <cell r="J2896" t="str">
            <v>Walmart</v>
          </cell>
        </row>
        <row r="2897">
          <cell r="A2897" t="str">
            <v>19-06-2023</v>
          </cell>
          <cell r="B2897" t="str">
            <v>Electrolyte Powder</v>
          </cell>
          <cell r="C2897" t="str">
            <v>Hydration</v>
          </cell>
          <cell r="D2897">
            <v>170</v>
          </cell>
          <cell r="E2897">
            <v>58.55</v>
          </cell>
          <cell r="F2897">
            <v>9953.5</v>
          </cell>
          <cell r="G2897">
            <v>0.17</v>
          </cell>
          <cell r="H2897">
            <v>5</v>
          </cell>
          <cell r="I2897" t="str">
            <v>UK</v>
          </cell>
          <cell r="J2897" t="str">
            <v>iHerb</v>
          </cell>
        </row>
        <row r="2898">
          <cell r="A2898" t="str">
            <v>26-06-2023</v>
          </cell>
          <cell r="B2898" t="str">
            <v>Whey Protein</v>
          </cell>
          <cell r="C2898" t="str">
            <v>Protein</v>
          </cell>
          <cell r="D2898">
            <v>163</v>
          </cell>
          <cell r="E2898">
            <v>31.37</v>
          </cell>
          <cell r="F2898">
            <v>5113.3100000000004</v>
          </cell>
          <cell r="G2898">
            <v>0.06</v>
          </cell>
          <cell r="H2898">
            <v>0</v>
          </cell>
          <cell r="I2898" t="str">
            <v>Canada</v>
          </cell>
          <cell r="J2898" t="str">
            <v>iHerb</v>
          </cell>
        </row>
        <row r="2899">
          <cell r="A2899" t="str">
            <v>26-06-2023</v>
          </cell>
          <cell r="B2899" t="str">
            <v>Vitamin C</v>
          </cell>
          <cell r="C2899" t="str">
            <v>Vitamin</v>
          </cell>
          <cell r="D2899">
            <v>138</v>
          </cell>
          <cell r="E2899">
            <v>45.99</v>
          </cell>
          <cell r="F2899">
            <v>6346.62</v>
          </cell>
          <cell r="G2899">
            <v>0.11</v>
          </cell>
          <cell r="H2899">
            <v>1</v>
          </cell>
          <cell r="I2899" t="str">
            <v>UK</v>
          </cell>
          <cell r="J2899" t="str">
            <v>Amazon</v>
          </cell>
        </row>
        <row r="2900">
          <cell r="A2900" t="str">
            <v>26-06-2023</v>
          </cell>
          <cell r="B2900" t="str">
            <v>Fish Oil</v>
          </cell>
          <cell r="C2900" t="str">
            <v>Omega</v>
          </cell>
          <cell r="D2900">
            <v>160</v>
          </cell>
          <cell r="E2900">
            <v>58.76</v>
          </cell>
          <cell r="F2900">
            <v>9401.6</v>
          </cell>
          <cell r="G2900">
            <v>0.16</v>
          </cell>
          <cell r="H2900">
            <v>1</v>
          </cell>
          <cell r="I2900" t="str">
            <v>Canada</v>
          </cell>
          <cell r="J2900" t="str">
            <v>Walmart</v>
          </cell>
        </row>
        <row r="2901">
          <cell r="A2901" t="str">
            <v>26-06-2023</v>
          </cell>
          <cell r="B2901" t="str">
            <v>Multivitamin</v>
          </cell>
          <cell r="C2901" t="str">
            <v>Vitamin</v>
          </cell>
          <cell r="D2901">
            <v>143</v>
          </cell>
          <cell r="E2901">
            <v>20.65</v>
          </cell>
          <cell r="F2901">
            <v>2952.95</v>
          </cell>
          <cell r="G2901">
            <v>0.1</v>
          </cell>
          <cell r="H2901">
            <v>5</v>
          </cell>
          <cell r="I2901" t="str">
            <v>USA</v>
          </cell>
          <cell r="J2901" t="str">
            <v>iHerb</v>
          </cell>
        </row>
        <row r="2902">
          <cell r="A2902" t="str">
            <v>26-06-2023</v>
          </cell>
          <cell r="B2902" t="str">
            <v>Pre-Workout</v>
          </cell>
          <cell r="C2902" t="str">
            <v>Performance</v>
          </cell>
          <cell r="D2902">
            <v>138</v>
          </cell>
          <cell r="E2902">
            <v>27.62</v>
          </cell>
          <cell r="F2902">
            <v>3811.56</v>
          </cell>
          <cell r="G2902">
            <v>0.11</v>
          </cell>
          <cell r="H2902">
            <v>0</v>
          </cell>
          <cell r="I2902" t="str">
            <v>UK</v>
          </cell>
          <cell r="J2902" t="str">
            <v>Walmart</v>
          </cell>
        </row>
        <row r="2903">
          <cell r="A2903" t="str">
            <v>26-06-2023</v>
          </cell>
          <cell r="B2903" t="str">
            <v>BCAA</v>
          </cell>
          <cell r="C2903" t="str">
            <v>Amino Acid</v>
          </cell>
          <cell r="D2903">
            <v>147</v>
          </cell>
          <cell r="E2903">
            <v>36.65</v>
          </cell>
          <cell r="F2903">
            <v>5387.55</v>
          </cell>
          <cell r="G2903">
            <v>0.02</v>
          </cell>
          <cell r="H2903">
            <v>2</v>
          </cell>
          <cell r="I2903" t="str">
            <v>UK</v>
          </cell>
          <cell r="J2903" t="str">
            <v>Amazon</v>
          </cell>
        </row>
        <row r="2904">
          <cell r="A2904" t="str">
            <v>26-06-2023</v>
          </cell>
          <cell r="B2904" t="str">
            <v>Creatine</v>
          </cell>
          <cell r="C2904" t="str">
            <v>Performance</v>
          </cell>
          <cell r="D2904">
            <v>152</v>
          </cell>
          <cell r="E2904">
            <v>30.93</v>
          </cell>
          <cell r="F2904">
            <v>4701.3599999999997</v>
          </cell>
          <cell r="G2904">
            <v>0.1</v>
          </cell>
          <cell r="H2904">
            <v>0</v>
          </cell>
          <cell r="I2904" t="str">
            <v>USA</v>
          </cell>
          <cell r="J2904" t="str">
            <v>Amazon</v>
          </cell>
        </row>
        <row r="2905">
          <cell r="A2905" t="str">
            <v>26-06-2023</v>
          </cell>
          <cell r="B2905" t="str">
            <v>Zinc</v>
          </cell>
          <cell r="C2905" t="str">
            <v>Mineral</v>
          </cell>
          <cell r="D2905">
            <v>151</v>
          </cell>
          <cell r="E2905">
            <v>33.409999999999997</v>
          </cell>
          <cell r="F2905">
            <v>5044.91</v>
          </cell>
          <cell r="G2905">
            <v>0.19</v>
          </cell>
          <cell r="H2905">
            <v>3</v>
          </cell>
          <cell r="I2905" t="str">
            <v>USA</v>
          </cell>
          <cell r="J2905" t="str">
            <v>Amazon</v>
          </cell>
        </row>
        <row r="2906">
          <cell r="A2906" t="str">
            <v>26-06-2023</v>
          </cell>
          <cell r="B2906" t="str">
            <v>Collagen Peptides</v>
          </cell>
          <cell r="C2906" t="str">
            <v>Protein</v>
          </cell>
          <cell r="D2906">
            <v>159</v>
          </cell>
          <cell r="E2906">
            <v>41.1</v>
          </cell>
          <cell r="F2906">
            <v>6534.9</v>
          </cell>
          <cell r="G2906">
            <v>0.02</v>
          </cell>
          <cell r="H2906">
            <v>2</v>
          </cell>
          <cell r="I2906" t="str">
            <v>Canada</v>
          </cell>
          <cell r="J2906" t="str">
            <v>Walmart</v>
          </cell>
        </row>
        <row r="2907">
          <cell r="A2907" t="str">
            <v>26-06-2023</v>
          </cell>
          <cell r="B2907" t="str">
            <v>Magnesium</v>
          </cell>
          <cell r="C2907" t="str">
            <v>Mineral</v>
          </cell>
          <cell r="D2907">
            <v>146</v>
          </cell>
          <cell r="E2907">
            <v>53.1</v>
          </cell>
          <cell r="F2907">
            <v>7752.6</v>
          </cell>
          <cell r="G2907">
            <v>0.15</v>
          </cell>
          <cell r="H2907">
            <v>1</v>
          </cell>
          <cell r="I2907" t="str">
            <v>Canada</v>
          </cell>
          <cell r="J2907" t="str">
            <v>Walmart</v>
          </cell>
        </row>
        <row r="2908">
          <cell r="A2908" t="str">
            <v>26-06-2023</v>
          </cell>
          <cell r="B2908" t="str">
            <v>Ashwagandha</v>
          </cell>
          <cell r="C2908" t="str">
            <v>Herbal</v>
          </cell>
          <cell r="D2908">
            <v>172</v>
          </cell>
          <cell r="E2908">
            <v>58.58</v>
          </cell>
          <cell r="F2908">
            <v>10075.76</v>
          </cell>
          <cell r="G2908">
            <v>0.03</v>
          </cell>
          <cell r="H2908">
            <v>2</v>
          </cell>
          <cell r="I2908" t="str">
            <v>UK</v>
          </cell>
          <cell r="J2908" t="str">
            <v>Amazon</v>
          </cell>
        </row>
        <row r="2909">
          <cell r="A2909" t="str">
            <v>26-06-2023</v>
          </cell>
          <cell r="B2909" t="str">
            <v>Melatonin</v>
          </cell>
          <cell r="C2909" t="str">
            <v>Sleep Aid</v>
          </cell>
          <cell r="D2909">
            <v>162</v>
          </cell>
          <cell r="E2909">
            <v>14.55</v>
          </cell>
          <cell r="F2909">
            <v>2357.1</v>
          </cell>
          <cell r="G2909">
            <v>0.15</v>
          </cell>
          <cell r="H2909">
            <v>2</v>
          </cell>
          <cell r="I2909" t="str">
            <v>Canada</v>
          </cell>
          <cell r="J2909" t="str">
            <v>Walmart</v>
          </cell>
        </row>
        <row r="2910">
          <cell r="A2910" t="str">
            <v>26-06-2023</v>
          </cell>
          <cell r="B2910" t="str">
            <v>Biotin</v>
          </cell>
          <cell r="C2910" t="str">
            <v>Vitamin</v>
          </cell>
          <cell r="D2910">
            <v>158</v>
          </cell>
          <cell r="E2910">
            <v>48.54</v>
          </cell>
          <cell r="F2910">
            <v>7669.32</v>
          </cell>
          <cell r="G2910">
            <v>0.17</v>
          </cell>
          <cell r="H2910">
            <v>1</v>
          </cell>
          <cell r="I2910" t="str">
            <v>UK</v>
          </cell>
          <cell r="J2910" t="str">
            <v>Amazon</v>
          </cell>
        </row>
        <row r="2911">
          <cell r="A2911" t="str">
            <v>26-06-2023</v>
          </cell>
          <cell r="B2911" t="str">
            <v>Green Tea Extract</v>
          </cell>
          <cell r="C2911" t="str">
            <v>Fat Burner</v>
          </cell>
          <cell r="D2911">
            <v>147</v>
          </cell>
          <cell r="E2911">
            <v>57.67</v>
          </cell>
          <cell r="F2911">
            <v>8477.49</v>
          </cell>
          <cell r="G2911">
            <v>0.02</v>
          </cell>
          <cell r="H2911">
            <v>1</v>
          </cell>
          <cell r="I2911" t="str">
            <v>Canada</v>
          </cell>
          <cell r="J2911" t="str">
            <v>Walmart</v>
          </cell>
        </row>
        <row r="2912">
          <cell r="A2912" t="str">
            <v>26-06-2023</v>
          </cell>
          <cell r="B2912" t="str">
            <v>Iron Supplement</v>
          </cell>
          <cell r="C2912" t="str">
            <v>Mineral</v>
          </cell>
          <cell r="D2912">
            <v>143</v>
          </cell>
          <cell r="E2912">
            <v>35.29</v>
          </cell>
          <cell r="F2912">
            <v>5046.47</v>
          </cell>
          <cell r="G2912">
            <v>0.15</v>
          </cell>
          <cell r="H2912">
            <v>0</v>
          </cell>
          <cell r="I2912" t="str">
            <v>UK</v>
          </cell>
          <cell r="J2912" t="str">
            <v>Walmart</v>
          </cell>
        </row>
        <row r="2913">
          <cell r="A2913" t="str">
            <v>26-06-2023</v>
          </cell>
          <cell r="B2913" t="str">
            <v>Electrolyte Powder</v>
          </cell>
          <cell r="C2913" t="str">
            <v>Hydration</v>
          </cell>
          <cell r="D2913">
            <v>161</v>
          </cell>
          <cell r="E2913">
            <v>58.28</v>
          </cell>
          <cell r="F2913">
            <v>9383.08</v>
          </cell>
          <cell r="G2913">
            <v>0.05</v>
          </cell>
          <cell r="H2913">
            <v>2</v>
          </cell>
          <cell r="I2913" t="str">
            <v>USA</v>
          </cell>
          <cell r="J2913" t="str">
            <v>Amazon</v>
          </cell>
        </row>
        <row r="2914">
          <cell r="A2914" t="str">
            <v>03-07-2023</v>
          </cell>
          <cell r="B2914" t="str">
            <v>Whey Protein</v>
          </cell>
          <cell r="C2914" t="str">
            <v>Protein</v>
          </cell>
          <cell r="D2914">
            <v>147</v>
          </cell>
          <cell r="E2914">
            <v>38.28</v>
          </cell>
          <cell r="F2914">
            <v>5627.16</v>
          </cell>
          <cell r="G2914">
            <v>0.2</v>
          </cell>
          <cell r="H2914">
            <v>0</v>
          </cell>
          <cell r="I2914" t="str">
            <v>Canada</v>
          </cell>
          <cell r="J2914" t="str">
            <v>Amazon</v>
          </cell>
        </row>
        <row r="2915">
          <cell r="A2915" t="str">
            <v>03-07-2023</v>
          </cell>
          <cell r="B2915" t="str">
            <v>Vitamin C</v>
          </cell>
          <cell r="C2915" t="str">
            <v>Vitamin</v>
          </cell>
          <cell r="D2915">
            <v>159</v>
          </cell>
          <cell r="E2915">
            <v>29.45</v>
          </cell>
          <cell r="F2915">
            <v>4682.55</v>
          </cell>
          <cell r="G2915">
            <v>0.19</v>
          </cell>
          <cell r="H2915">
            <v>1</v>
          </cell>
          <cell r="I2915" t="str">
            <v>Canada</v>
          </cell>
          <cell r="J2915" t="str">
            <v>Walmart</v>
          </cell>
        </row>
        <row r="2916">
          <cell r="A2916" t="str">
            <v>03-07-2023</v>
          </cell>
          <cell r="B2916" t="str">
            <v>Fish Oil</v>
          </cell>
          <cell r="C2916" t="str">
            <v>Omega</v>
          </cell>
          <cell r="D2916">
            <v>168</v>
          </cell>
          <cell r="E2916">
            <v>24.62</v>
          </cell>
          <cell r="F2916">
            <v>4136.16</v>
          </cell>
          <cell r="G2916">
            <v>0.14000000000000001</v>
          </cell>
          <cell r="H2916">
            <v>1</v>
          </cell>
          <cell r="I2916" t="str">
            <v>USA</v>
          </cell>
          <cell r="J2916" t="str">
            <v>Amazon</v>
          </cell>
        </row>
        <row r="2917">
          <cell r="A2917" t="str">
            <v>03-07-2023</v>
          </cell>
          <cell r="B2917" t="str">
            <v>Multivitamin</v>
          </cell>
          <cell r="C2917" t="str">
            <v>Vitamin</v>
          </cell>
          <cell r="D2917">
            <v>147</v>
          </cell>
          <cell r="E2917">
            <v>52.82</v>
          </cell>
          <cell r="F2917">
            <v>7764.54</v>
          </cell>
          <cell r="G2917">
            <v>0.13</v>
          </cell>
          <cell r="H2917">
            <v>1</v>
          </cell>
          <cell r="I2917" t="str">
            <v>USA</v>
          </cell>
          <cell r="J2917" t="str">
            <v>Amazon</v>
          </cell>
        </row>
        <row r="2918">
          <cell r="A2918" t="str">
            <v>03-07-2023</v>
          </cell>
          <cell r="B2918" t="str">
            <v>Pre-Workout</v>
          </cell>
          <cell r="C2918" t="str">
            <v>Performance</v>
          </cell>
          <cell r="D2918">
            <v>140</v>
          </cell>
          <cell r="E2918">
            <v>35.79</v>
          </cell>
          <cell r="F2918">
            <v>5010.6000000000004</v>
          </cell>
          <cell r="G2918">
            <v>0.19</v>
          </cell>
          <cell r="H2918">
            <v>0</v>
          </cell>
          <cell r="I2918" t="str">
            <v>USA</v>
          </cell>
          <cell r="J2918" t="str">
            <v>iHerb</v>
          </cell>
        </row>
        <row r="2919">
          <cell r="A2919" t="str">
            <v>03-07-2023</v>
          </cell>
          <cell r="B2919" t="str">
            <v>BCAA</v>
          </cell>
          <cell r="C2919" t="str">
            <v>Amino Acid</v>
          </cell>
          <cell r="D2919">
            <v>139</v>
          </cell>
          <cell r="E2919">
            <v>28.02</v>
          </cell>
          <cell r="F2919">
            <v>3894.78</v>
          </cell>
          <cell r="G2919">
            <v>0.1</v>
          </cell>
          <cell r="H2919">
            <v>2</v>
          </cell>
          <cell r="I2919" t="str">
            <v>Canada</v>
          </cell>
          <cell r="J2919" t="str">
            <v>Walmart</v>
          </cell>
        </row>
        <row r="2920">
          <cell r="A2920" t="str">
            <v>03-07-2023</v>
          </cell>
          <cell r="B2920" t="str">
            <v>Creatine</v>
          </cell>
          <cell r="C2920" t="str">
            <v>Performance</v>
          </cell>
          <cell r="D2920">
            <v>144</v>
          </cell>
          <cell r="E2920">
            <v>41.2</v>
          </cell>
          <cell r="F2920">
            <v>5932.8</v>
          </cell>
          <cell r="G2920">
            <v>0.06</v>
          </cell>
          <cell r="H2920">
            <v>2</v>
          </cell>
          <cell r="I2920" t="str">
            <v>USA</v>
          </cell>
          <cell r="J2920" t="str">
            <v>Amazon</v>
          </cell>
        </row>
        <row r="2921">
          <cell r="A2921" t="str">
            <v>03-07-2023</v>
          </cell>
          <cell r="B2921" t="str">
            <v>Zinc</v>
          </cell>
          <cell r="C2921" t="str">
            <v>Mineral</v>
          </cell>
          <cell r="D2921">
            <v>152</v>
          </cell>
          <cell r="E2921">
            <v>50.49</v>
          </cell>
          <cell r="F2921">
            <v>7674.48</v>
          </cell>
          <cell r="G2921">
            <v>0.06</v>
          </cell>
          <cell r="H2921">
            <v>3</v>
          </cell>
          <cell r="I2921" t="str">
            <v>Canada</v>
          </cell>
          <cell r="J2921" t="str">
            <v>Amazon</v>
          </cell>
        </row>
        <row r="2922">
          <cell r="A2922" t="str">
            <v>03-07-2023</v>
          </cell>
          <cell r="B2922" t="str">
            <v>Collagen Peptides</v>
          </cell>
          <cell r="C2922" t="str">
            <v>Protein</v>
          </cell>
          <cell r="D2922">
            <v>152</v>
          </cell>
          <cell r="E2922">
            <v>53.75</v>
          </cell>
          <cell r="F2922">
            <v>8170</v>
          </cell>
          <cell r="G2922">
            <v>0.2</v>
          </cell>
          <cell r="H2922">
            <v>2</v>
          </cell>
          <cell r="I2922" t="str">
            <v>Canada</v>
          </cell>
          <cell r="J2922" t="str">
            <v>Walmart</v>
          </cell>
        </row>
        <row r="2923">
          <cell r="A2923" t="str">
            <v>03-07-2023</v>
          </cell>
          <cell r="B2923" t="str">
            <v>Magnesium</v>
          </cell>
          <cell r="C2923" t="str">
            <v>Mineral</v>
          </cell>
          <cell r="D2923">
            <v>160</v>
          </cell>
          <cell r="E2923">
            <v>37.369999999999997</v>
          </cell>
          <cell r="F2923">
            <v>5979.2</v>
          </cell>
          <cell r="G2923">
            <v>0.02</v>
          </cell>
          <cell r="H2923">
            <v>0</v>
          </cell>
          <cell r="I2923" t="str">
            <v>USA</v>
          </cell>
          <cell r="J2923" t="str">
            <v>iHerb</v>
          </cell>
        </row>
        <row r="2924">
          <cell r="A2924" t="str">
            <v>03-07-2023</v>
          </cell>
          <cell r="B2924" t="str">
            <v>Ashwagandha</v>
          </cell>
          <cell r="C2924" t="str">
            <v>Herbal</v>
          </cell>
          <cell r="D2924">
            <v>163</v>
          </cell>
          <cell r="E2924">
            <v>18.47</v>
          </cell>
          <cell r="F2924">
            <v>3010.61</v>
          </cell>
          <cell r="G2924">
            <v>0.2</v>
          </cell>
          <cell r="H2924">
            <v>0</v>
          </cell>
          <cell r="I2924" t="str">
            <v>Canada</v>
          </cell>
          <cell r="J2924" t="str">
            <v>Amazon</v>
          </cell>
        </row>
        <row r="2925">
          <cell r="A2925" t="str">
            <v>03-07-2023</v>
          </cell>
          <cell r="B2925" t="str">
            <v>Melatonin</v>
          </cell>
          <cell r="C2925" t="str">
            <v>Sleep Aid</v>
          </cell>
          <cell r="D2925">
            <v>142</v>
          </cell>
          <cell r="E2925">
            <v>39.770000000000003</v>
          </cell>
          <cell r="F2925">
            <v>5647.34</v>
          </cell>
          <cell r="G2925">
            <v>0.19</v>
          </cell>
          <cell r="H2925">
            <v>1</v>
          </cell>
          <cell r="I2925" t="str">
            <v>UK</v>
          </cell>
          <cell r="J2925" t="str">
            <v>Walmart</v>
          </cell>
        </row>
        <row r="2926">
          <cell r="A2926" t="str">
            <v>03-07-2023</v>
          </cell>
          <cell r="B2926" t="str">
            <v>Biotin</v>
          </cell>
          <cell r="C2926" t="str">
            <v>Vitamin</v>
          </cell>
          <cell r="D2926">
            <v>150</v>
          </cell>
          <cell r="E2926">
            <v>34.93</v>
          </cell>
          <cell r="F2926">
            <v>5239.5</v>
          </cell>
          <cell r="G2926">
            <v>0.15</v>
          </cell>
          <cell r="H2926">
            <v>3</v>
          </cell>
          <cell r="I2926" t="str">
            <v>Canada</v>
          </cell>
          <cell r="J2926" t="str">
            <v>iHerb</v>
          </cell>
        </row>
        <row r="2927">
          <cell r="A2927" t="str">
            <v>03-07-2023</v>
          </cell>
          <cell r="B2927" t="str">
            <v>Green Tea Extract</v>
          </cell>
          <cell r="C2927" t="str">
            <v>Fat Burner</v>
          </cell>
          <cell r="D2927">
            <v>146</v>
          </cell>
          <cell r="E2927">
            <v>10.18</v>
          </cell>
          <cell r="F2927">
            <v>1486.28</v>
          </cell>
          <cell r="G2927">
            <v>0.15</v>
          </cell>
          <cell r="H2927">
            <v>0</v>
          </cell>
          <cell r="I2927" t="str">
            <v>UK</v>
          </cell>
          <cell r="J2927" t="str">
            <v>Amazon</v>
          </cell>
        </row>
        <row r="2928">
          <cell r="A2928" t="str">
            <v>03-07-2023</v>
          </cell>
          <cell r="B2928" t="str">
            <v>Iron Supplement</v>
          </cell>
          <cell r="C2928" t="str">
            <v>Mineral</v>
          </cell>
          <cell r="D2928">
            <v>150</v>
          </cell>
          <cell r="E2928">
            <v>37.5</v>
          </cell>
          <cell r="F2928">
            <v>5625</v>
          </cell>
          <cell r="G2928">
            <v>7.0000000000000007E-2</v>
          </cell>
          <cell r="H2928">
            <v>2</v>
          </cell>
          <cell r="I2928" t="str">
            <v>UK</v>
          </cell>
          <cell r="J2928" t="str">
            <v>Amazon</v>
          </cell>
        </row>
        <row r="2929">
          <cell r="A2929" t="str">
            <v>03-07-2023</v>
          </cell>
          <cell r="B2929" t="str">
            <v>Electrolyte Powder</v>
          </cell>
          <cell r="C2929" t="str">
            <v>Hydration</v>
          </cell>
          <cell r="D2929">
            <v>141</v>
          </cell>
          <cell r="E2929">
            <v>40.51</v>
          </cell>
          <cell r="F2929">
            <v>5711.91</v>
          </cell>
          <cell r="G2929">
            <v>0.04</v>
          </cell>
          <cell r="H2929">
            <v>3</v>
          </cell>
          <cell r="I2929" t="str">
            <v>Canada</v>
          </cell>
          <cell r="J2929" t="str">
            <v>iHerb</v>
          </cell>
        </row>
        <row r="2930">
          <cell r="A2930" t="str">
            <v>10-07-2023</v>
          </cell>
          <cell r="B2930" t="str">
            <v>Whey Protein</v>
          </cell>
          <cell r="C2930" t="str">
            <v>Protein</v>
          </cell>
          <cell r="D2930">
            <v>138</v>
          </cell>
          <cell r="E2930">
            <v>46.62</v>
          </cell>
          <cell r="F2930">
            <v>6433.56</v>
          </cell>
          <cell r="G2930">
            <v>0.17</v>
          </cell>
          <cell r="H2930">
            <v>2</v>
          </cell>
          <cell r="I2930" t="str">
            <v>Canada</v>
          </cell>
          <cell r="J2930" t="str">
            <v>iHerb</v>
          </cell>
        </row>
        <row r="2931">
          <cell r="A2931" t="str">
            <v>10-07-2023</v>
          </cell>
          <cell r="B2931" t="str">
            <v>Vitamin C</v>
          </cell>
          <cell r="C2931" t="str">
            <v>Vitamin</v>
          </cell>
          <cell r="D2931">
            <v>141</v>
          </cell>
          <cell r="E2931">
            <v>42.96</v>
          </cell>
          <cell r="F2931">
            <v>6057.36</v>
          </cell>
          <cell r="G2931">
            <v>0.11</v>
          </cell>
          <cell r="H2931">
            <v>2</v>
          </cell>
          <cell r="I2931" t="str">
            <v>Canada</v>
          </cell>
          <cell r="J2931" t="str">
            <v>Amazon</v>
          </cell>
        </row>
        <row r="2932">
          <cell r="A2932" t="str">
            <v>10-07-2023</v>
          </cell>
          <cell r="B2932" t="str">
            <v>Fish Oil</v>
          </cell>
          <cell r="C2932" t="str">
            <v>Omega</v>
          </cell>
          <cell r="D2932">
            <v>155</v>
          </cell>
          <cell r="E2932">
            <v>49.05</v>
          </cell>
          <cell r="F2932">
            <v>7602.75</v>
          </cell>
          <cell r="G2932">
            <v>0.18</v>
          </cell>
          <cell r="H2932">
            <v>2</v>
          </cell>
          <cell r="I2932" t="str">
            <v>Canada</v>
          </cell>
          <cell r="J2932" t="str">
            <v>iHerb</v>
          </cell>
        </row>
        <row r="2933">
          <cell r="A2933" t="str">
            <v>10-07-2023</v>
          </cell>
          <cell r="B2933" t="str">
            <v>Multivitamin</v>
          </cell>
          <cell r="C2933" t="str">
            <v>Vitamin</v>
          </cell>
          <cell r="D2933">
            <v>136</v>
          </cell>
          <cell r="E2933">
            <v>29.66</v>
          </cell>
          <cell r="F2933">
            <v>4033.76</v>
          </cell>
          <cell r="G2933">
            <v>7.0000000000000007E-2</v>
          </cell>
          <cell r="H2933">
            <v>0</v>
          </cell>
          <cell r="I2933" t="str">
            <v>UK</v>
          </cell>
          <cell r="J2933" t="str">
            <v>Amazon</v>
          </cell>
        </row>
        <row r="2934">
          <cell r="A2934" t="str">
            <v>10-07-2023</v>
          </cell>
          <cell r="B2934" t="str">
            <v>Pre-Workout</v>
          </cell>
          <cell r="C2934" t="str">
            <v>Performance</v>
          </cell>
          <cell r="D2934">
            <v>162</v>
          </cell>
          <cell r="E2934">
            <v>38.270000000000003</v>
          </cell>
          <cell r="F2934">
            <v>6199.74</v>
          </cell>
          <cell r="G2934">
            <v>0.06</v>
          </cell>
          <cell r="H2934">
            <v>3</v>
          </cell>
          <cell r="I2934" t="str">
            <v>UK</v>
          </cell>
          <cell r="J2934" t="str">
            <v>iHerb</v>
          </cell>
        </row>
        <row r="2935">
          <cell r="A2935" t="str">
            <v>10-07-2023</v>
          </cell>
          <cell r="B2935" t="str">
            <v>BCAA</v>
          </cell>
          <cell r="C2935" t="str">
            <v>Amino Acid</v>
          </cell>
          <cell r="D2935">
            <v>138</v>
          </cell>
          <cell r="E2935">
            <v>58.33</v>
          </cell>
          <cell r="F2935">
            <v>8049.54</v>
          </cell>
          <cell r="G2935">
            <v>0.18</v>
          </cell>
          <cell r="H2935">
            <v>5</v>
          </cell>
          <cell r="I2935" t="str">
            <v>UK</v>
          </cell>
          <cell r="J2935" t="str">
            <v>Amazon</v>
          </cell>
        </row>
        <row r="2936">
          <cell r="A2936" t="str">
            <v>10-07-2023</v>
          </cell>
          <cell r="B2936" t="str">
            <v>Creatine</v>
          </cell>
          <cell r="C2936" t="str">
            <v>Performance</v>
          </cell>
          <cell r="D2936">
            <v>155</v>
          </cell>
          <cell r="E2936">
            <v>20.190000000000001</v>
          </cell>
          <cell r="F2936">
            <v>3129.45</v>
          </cell>
          <cell r="G2936">
            <v>0.08</v>
          </cell>
          <cell r="H2936">
            <v>0</v>
          </cell>
          <cell r="I2936" t="str">
            <v>UK</v>
          </cell>
          <cell r="J2936" t="str">
            <v>Walmart</v>
          </cell>
        </row>
        <row r="2937">
          <cell r="A2937" t="str">
            <v>10-07-2023</v>
          </cell>
          <cell r="B2937" t="str">
            <v>Zinc</v>
          </cell>
          <cell r="C2937" t="str">
            <v>Mineral</v>
          </cell>
          <cell r="D2937">
            <v>157</v>
          </cell>
          <cell r="E2937">
            <v>50.76</v>
          </cell>
          <cell r="F2937">
            <v>7969.32</v>
          </cell>
          <cell r="G2937">
            <v>0.09</v>
          </cell>
          <cell r="H2937">
            <v>1</v>
          </cell>
          <cell r="I2937" t="str">
            <v>UK</v>
          </cell>
          <cell r="J2937" t="str">
            <v>Walmart</v>
          </cell>
        </row>
        <row r="2938">
          <cell r="A2938" t="str">
            <v>10-07-2023</v>
          </cell>
          <cell r="B2938" t="str">
            <v>Collagen Peptides</v>
          </cell>
          <cell r="C2938" t="str">
            <v>Protein</v>
          </cell>
          <cell r="D2938">
            <v>185</v>
          </cell>
          <cell r="E2938">
            <v>46.06</v>
          </cell>
          <cell r="F2938">
            <v>8521.1</v>
          </cell>
          <cell r="G2938">
            <v>0.19</v>
          </cell>
          <cell r="H2938">
            <v>1</v>
          </cell>
          <cell r="I2938" t="str">
            <v>Canada</v>
          </cell>
          <cell r="J2938" t="str">
            <v>iHerb</v>
          </cell>
        </row>
        <row r="2939">
          <cell r="A2939" t="str">
            <v>10-07-2023</v>
          </cell>
          <cell r="B2939" t="str">
            <v>Magnesium</v>
          </cell>
          <cell r="C2939" t="str">
            <v>Mineral</v>
          </cell>
          <cell r="D2939">
            <v>150</v>
          </cell>
          <cell r="E2939">
            <v>48.6</v>
          </cell>
          <cell r="F2939">
            <v>7290</v>
          </cell>
          <cell r="G2939">
            <v>0.16</v>
          </cell>
          <cell r="H2939">
            <v>1</v>
          </cell>
          <cell r="I2939" t="str">
            <v>UK</v>
          </cell>
          <cell r="J2939" t="str">
            <v>iHerb</v>
          </cell>
        </row>
        <row r="2940">
          <cell r="A2940" t="str">
            <v>10-07-2023</v>
          </cell>
          <cell r="B2940" t="str">
            <v>Ashwagandha</v>
          </cell>
          <cell r="C2940" t="str">
            <v>Herbal</v>
          </cell>
          <cell r="D2940">
            <v>161</v>
          </cell>
          <cell r="E2940">
            <v>47.68</v>
          </cell>
          <cell r="F2940">
            <v>7676.48</v>
          </cell>
          <cell r="G2940">
            <v>0.22</v>
          </cell>
          <cell r="H2940">
            <v>3</v>
          </cell>
          <cell r="I2940" t="str">
            <v>UK</v>
          </cell>
          <cell r="J2940" t="str">
            <v>iHerb</v>
          </cell>
        </row>
        <row r="2941">
          <cell r="A2941" t="str">
            <v>10-07-2023</v>
          </cell>
          <cell r="B2941" t="str">
            <v>Melatonin</v>
          </cell>
          <cell r="C2941" t="str">
            <v>Sleep Aid</v>
          </cell>
          <cell r="D2941">
            <v>161</v>
          </cell>
          <cell r="E2941">
            <v>59.09</v>
          </cell>
          <cell r="F2941">
            <v>9513.49</v>
          </cell>
          <cell r="G2941">
            <v>0.09</v>
          </cell>
          <cell r="H2941">
            <v>2</v>
          </cell>
          <cell r="I2941" t="str">
            <v>UK</v>
          </cell>
          <cell r="J2941" t="str">
            <v>Amazon</v>
          </cell>
        </row>
        <row r="2942">
          <cell r="A2942" t="str">
            <v>10-07-2023</v>
          </cell>
          <cell r="B2942" t="str">
            <v>Biotin</v>
          </cell>
          <cell r="C2942" t="str">
            <v>Vitamin</v>
          </cell>
          <cell r="D2942">
            <v>157</v>
          </cell>
          <cell r="E2942">
            <v>13.29</v>
          </cell>
          <cell r="F2942">
            <v>2086.5300000000002</v>
          </cell>
          <cell r="G2942">
            <v>0.19</v>
          </cell>
          <cell r="H2942">
            <v>2</v>
          </cell>
          <cell r="I2942" t="str">
            <v>USA</v>
          </cell>
          <cell r="J2942" t="str">
            <v>Walmart</v>
          </cell>
        </row>
        <row r="2943">
          <cell r="A2943" t="str">
            <v>10-07-2023</v>
          </cell>
          <cell r="B2943" t="str">
            <v>Green Tea Extract</v>
          </cell>
          <cell r="C2943" t="str">
            <v>Fat Burner</v>
          </cell>
          <cell r="D2943">
            <v>156</v>
          </cell>
          <cell r="E2943">
            <v>34.479999999999997</v>
          </cell>
          <cell r="F2943">
            <v>5378.88</v>
          </cell>
          <cell r="G2943">
            <v>0.03</v>
          </cell>
          <cell r="H2943">
            <v>1</v>
          </cell>
          <cell r="I2943" t="str">
            <v>USA</v>
          </cell>
          <cell r="J2943" t="str">
            <v>iHerb</v>
          </cell>
        </row>
        <row r="2944">
          <cell r="A2944" t="str">
            <v>10-07-2023</v>
          </cell>
          <cell r="B2944" t="str">
            <v>Iron Supplement</v>
          </cell>
          <cell r="C2944" t="str">
            <v>Mineral</v>
          </cell>
          <cell r="D2944">
            <v>140</v>
          </cell>
          <cell r="E2944">
            <v>18.13</v>
          </cell>
          <cell r="F2944">
            <v>2538.1999999999998</v>
          </cell>
          <cell r="G2944">
            <v>0.06</v>
          </cell>
          <cell r="H2944">
            <v>0</v>
          </cell>
          <cell r="I2944" t="str">
            <v>UK</v>
          </cell>
          <cell r="J2944" t="str">
            <v>Amazon</v>
          </cell>
        </row>
        <row r="2945">
          <cell r="A2945" t="str">
            <v>10-07-2023</v>
          </cell>
          <cell r="B2945" t="str">
            <v>Electrolyte Powder</v>
          </cell>
          <cell r="C2945" t="str">
            <v>Hydration</v>
          </cell>
          <cell r="D2945">
            <v>171</v>
          </cell>
          <cell r="E2945">
            <v>29.84</v>
          </cell>
          <cell r="F2945">
            <v>5102.6400000000003</v>
          </cell>
          <cell r="G2945">
            <v>0.13</v>
          </cell>
          <cell r="H2945">
            <v>2</v>
          </cell>
          <cell r="I2945" t="str">
            <v>UK</v>
          </cell>
          <cell r="J2945" t="str">
            <v>iHerb</v>
          </cell>
        </row>
        <row r="2946">
          <cell r="A2946" t="str">
            <v>17-07-2023</v>
          </cell>
          <cell r="B2946" t="str">
            <v>Whey Protein</v>
          </cell>
          <cell r="C2946" t="str">
            <v>Protein</v>
          </cell>
          <cell r="D2946">
            <v>171</v>
          </cell>
          <cell r="E2946">
            <v>24.78</v>
          </cell>
          <cell r="F2946">
            <v>4237.38</v>
          </cell>
          <cell r="G2946">
            <v>0.24</v>
          </cell>
          <cell r="H2946">
            <v>1</v>
          </cell>
          <cell r="I2946" t="str">
            <v>USA</v>
          </cell>
          <cell r="J2946" t="str">
            <v>Amazon</v>
          </cell>
        </row>
        <row r="2947">
          <cell r="A2947" t="str">
            <v>17-07-2023</v>
          </cell>
          <cell r="B2947" t="str">
            <v>Vitamin C</v>
          </cell>
          <cell r="C2947" t="str">
            <v>Vitamin</v>
          </cell>
          <cell r="D2947">
            <v>142</v>
          </cell>
          <cell r="E2947">
            <v>59.79</v>
          </cell>
          <cell r="F2947">
            <v>8490.18</v>
          </cell>
          <cell r="G2947">
            <v>0.15</v>
          </cell>
          <cell r="H2947">
            <v>0</v>
          </cell>
          <cell r="I2947" t="str">
            <v>Canada</v>
          </cell>
          <cell r="J2947" t="str">
            <v>Amazon</v>
          </cell>
        </row>
        <row r="2948">
          <cell r="A2948" t="str">
            <v>17-07-2023</v>
          </cell>
          <cell r="B2948" t="str">
            <v>Fish Oil</v>
          </cell>
          <cell r="C2948" t="str">
            <v>Omega</v>
          </cell>
          <cell r="D2948">
            <v>129</v>
          </cell>
          <cell r="E2948">
            <v>30.31</v>
          </cell>
          <cell r="F2948">
            <v>3909.99</v>
          </cell>
          <cell r="G2948">
            <v>0.15</v>
          </cell>
          <cell r="H2948">
            <v>1</v>
          </cell>
          <cell r="I2948" t="str">
            <v>Canada</v>
          </cell>
          <cell r="J2948" t="str">
            <v>Amazon</v>
          </cell>
        </row>
        <row r="2949">
          <cell r="A2949" t="str">
            <v>17-07-2023</v>
          </cell>
          <cell r="B2949" t="str">
            <v>Multivitamin</v>
          </cell>
          <cell r="C2949" t="str">
            <v>Vitamin</v>
          </cell>
          <cell r="D2949">
            <v>173</v>
          </cell>
          <cell r="E2949">
            <v>44.69</v>
          </cell>
          <cell r="F2949">
            <v>7731.37</v>
          </cell>
          <cell r="G2949">
            <v>0.22</v>
          </cell>
          <cell r="H2949">
            <v>0</v>
          </cell>
          <cell r="I2949" t="str">
            <v>USA</v>
          </cell>
          <cell r="J2949" t="str">
            <v>iHerb</v>
          </cell>
        </row>
        <row r="2950">
          <cell r="A2950" t="str">
            <v>17-07-2023</v>
          </cell>
          <cell r="B2950" t="str">
            <v>Pre-Workout</v>
          </cell>
          <cell r="C2950" t="str">
            <v>Performance</v>
          </cell>
          <cell r="D2950">
            <v>140</v>
          </cell>
          <cell r="E2950">
            <v>16.98</v>
          </cell>
          <cell r="F2950">
            <v>2377.1999999999998</v>
          </cell>
          <cell r="G2950">
            <v>0.13</v>
          </cell>
          <cell r="H2950">
            <v>1</v>
          </cell>
          <cell r="I2950" t="str">
            <v>UK</v>
          </cell>
          <cell r="J2950" t="str">
            <v>iHerb</v>
          </cell>
        </row>
        <row r="2951">
          <cell r="A2951" t="str">
            <v>17-07-2023</v>
          </cell>
          <cell r="B2951" t="str">
            <v>BCAA</v>
          </cell>
          <cell r="C2951" t="str">
            <v>Amino Acid</v>
          </cell>
          <cell r="D2951">
            <v>147</v>
          </cell>
          <cell r="E2951">
            <v>17.84</v>
          </cell>
          <cell r="F2951">
            <v>2622.48</v>
          </cell>
          <cell r="G2951">
            <v>0.14000000000000001</v>
          </cell>
          <cell r="H2951">
            <v>0</v>
          </cell>
          <cell r="I2951" t="str">
            <v>Canada</v>
          </cell>
          <cell r="J2951" t="str">
            <v>Walmart</v>
          </cell>
        </row>
        <row r="2952">
          <cell r="A2952" t="str">
            <v>17-07-2023</v>
          </cell>
          <cell r="B2952" t="str">
            <v>Creatine</v>
          </cell>
          <cell r="C2952" t="str">
            <v>Performance</v>
          </cell>
          <cell r="D2952">
            <v>143</v>
          </cell>
          <cell r="E2952">
            <v>57.33</v>
          </cell>
          <cell r="F2952">
            <v>8198.19</v>
          </cell>
          <cell r="G2952">
            <v>0.1</v>
          </cell>
          <cell r="H2952">
            <v>0</v>
          </cell>
          <cell r="I2952" t="str">
            <v>UK</v>
          </cell>
          <cell r="J2952" t="str">
            <v>iHerb</v>
          </cell>
        </row>
        <row r="2953">
          <cell r="A2953" t="str">
            <v>17-07-2023</v>
          </cell>
          <cell r="B2953" t="str">
            <v>Zinc</v>
          </cell>
          <cell r="C2953" t="str">
            <v>Mineral</v>
          </cell>
          <cell r="D2953">
            <v>146</v>
          </cell>
          <cell r="E2953">
            <v>21.5</v>
          </cell>
          <cell r="F2953">
            <v>3139</v>
          </cell>
          <cell r="G2953">
            <v>0.15</v>
          </cell>
          <cell r="H2953">
            <v>0</v>
          </cell>
          <cell r="I2953" t="str">
            <v>UK</v>
          </cell>
          <cell r="J2953" t="str">
            <v>Amazon</v>
          </cell>
        </row>
        <row r="2954">
          <cell r="A2954" t="str">
            <v>17-07-2023</v>
          </cell>
          <cell r="B2954" t="str">
            <v>Collagen Peptides</v>
          </cell>
          <cell r="C2954" t="str">
            <v>Protein</v>
          </cell>
          <cell r="D2954">
            <v>149</v>
          </cell>
          <cell r="E2954">
            <v>31.09</v>
          </cell>
          <cell r="F2954">
            <v>4632.41</v>
          </cell>
          <cell r="G2954">
            <v>0</v>
          </cell>
          <cell r="H2954">
            <v>5</v>
          </cell>
          <cell r="I2954" t="str">
            <v>UK</v>
          </cell>
          <cell r="J2954" t="str">
            <v>Amazon</v>
          </cell>
        </row>
        <row r="2955">
          <cell r="A2955" t="str">
            <v>17-07-2023</v>
          </cell>
          <cell r="B2955" t="str">
            <v>Magnesium</v>
          </cell>
          <cell r="C2955" t="str">
            <v>Mineral</v>
          </cell>
          <cell r="D2955">
            <v>145</v>
          </cell>
          <cell r="E2955">
            <v>26.28</v>
          </cell>
          <cell r="F2955">
            <v>3810.6</v>
          </cell>
          <cell r="G2955">
            <v>0.12</v>
          </cell>
          <cell r="H2955">
            <v>1</v>
          </cell>
          <cell r="I2955" t="str">
            <v>Canada</v>
          </cell>
          <cell r="J2955" t="str">
            <v>Amazon</v>
          </cell>
        </row>
        <row r="2956">
          <cell r="A2956" t="str">
            <v>17-07-2023</v>
          </cell>
          <cell r="B2956" t="str">
            <v>Ashwagandha</v>
          </cell>
          <cell r="C2956" t="str">
            <v>Herbal</v>
          </cell>
          <cell r="D2956">
            <v>144</v>
          </cell>
          <cell r="E2956">
            <v>28</v>
          </cell>
          <cell r="F2956">
            <v>4032</v>
          </cell>
          <cell r="G2956">
            <v>0.22</v>
          </cell>
          <cell r="H2956">
            <v>2</v>
          </cell>
          <cell r="I2956" t="str">
            <v>Canada</v>
          </cell>
          <cell r="J2956" t="str">
            <v>iHerb</v>
          </cell>
        </row>
        <row r="2957">
          <cell r="A2957" t="str">
            <v>17-07-2023</v>
          </cell>
          <cell r="B2957" t="str">
            <v>Melatonin</v>
          </cell>
          <cell r="C2957" t="str">
            <v>Sleep Aid</v>
          </cell>
          <cell r="D2957">
            <v>135</v>
          </cell>
          <cell r="E2957">
            <v>54.61</v>
          </cell>
          <cell r="F2957">
            <v>7372.35</v>
          </cell>
          <cell r="G2957">
            <v>0.18</v>
          </cell>
          <cell r="H2957">
            <v>0</v>
          </cell>
          <cell r="I2957" t="str">
            <v>USA</v>
          </cell>
          <cell r="J2957" t="str">
            <v>Walmart</v>
          </cell>
        </row>
        <row r="2958">
          <cell r="A2958" t="str">
            <v>17-07-2023</v>
          </cell>
          <cell r="B2958" t="str">
            <v>Biotin</v>
          </cell>
          <cell r="C2958" t="str">
            <v>Vitamin</v>
          </cell>
          <cell r="D2958">
            <v>166</v>
          </cell>
          <cell r="E2958">
            <v>32.700000000000003</v>
          </cell>
          <cell r="F2958">
            <v>5428.2</v>
          </cell>
          <cell r="G2958">
            <v>0.13</v>
          </cell>
          <cell r="H2958">
            <v>3</v>
          </cell>
          <cell r="I2958" t="str">
            <v>UK</v>
          </cell>
          <cell r="J2958" t="str">
            <v>iHerb</v>
          </cell>
        </row>
        <row r="2959">
          <cell r="A2959" t="str">
            <v>17-07-2023</v>
          </cell>
          <cell r="B2959" t="str">
            <v>Green Tea Extract</v>
          </cell>
          <cell r="C2959" t="str">
            <v>Fat Burner</v>
          </cell>
          <cell r="D2959">
            <v>124</v>
          </cell>
          <cell r="E2959">
            <v>35.75</v>
          </cell>
          <cell r="F2959">
            <v>4433</v>
          </cell>
          <cell r="G2959">
            <v>0.12</v>
          </cell>
          <cell r="H2959">
            <v>1</v>
          </cell>
          <cell r="I2959" t="str">
            <v>USA</v>
          </cell>
          <cell r="J2959" t="str">
            <v>Amazon</v>
          </cell>
        </row>
        <row r="2960">
          <cell r="A2960" t="str">
            <v>17-07-2023</v>
          </cell>
          <cell r="B2960" t="str">
            <v>Iron Supplement</v>
          </cell>
          <cell r="C2960" t="str">
            <v>Mineral</v>
          </cell>
          <cell r="D2960">
            <v>149</v>
          </cell>
          <cell r="E2960">
            <v>22.03</v>
          </cell>
          <cell r="F2960">
            <v>3282.47</v>
          </cell>
          <cell r="G2960">
            <v>7.0000000000000007E-2</v>
          </cell>
          <cell r="H2960">
            <v>3</v>
          </cell>
          <cell r="I2960" t="str">
            <v>USA</v>
          </cell>
          <cell r="J2960" t="str">
            <v>Walmart</v>
          </cell>
        </row>
        <row r="2961">
          <cell r="A2961" t="str">
            <v>17-07-2023</v>
          </cell>
          <cell r="B2961" t="str">
            <v>Electrolyte Powder</v>
          </cell>
          <cell r="C2961" t="str">
            <v>Hydration</v>
          </cell>
          <cell r="D2961">
            <v>128</v>
          </cell>
          <cell r="E2961">
            <v>44.09</v>
          </cell>
          <cell r="F2961">
            <v>5643.52</v>
          </cell>
          <cell r="G2961">
            <v>0.13</v>
          </cell>
          <cell r="H2961">
            <v>2</v>
          </cell>
          <cell r="I2961" t="str">
            <v>Canada</v>
          </cell>
          <cell r="J2961" t="str">
            <v>Walmart</v>
          </cell>
        </row>
        <row r="2962">
          <cell r="A2962" t="str">
            <v>24-07-2023</v>
          </cell>
          <cell r="B2962" t="str">
            <v>Whey Protein</v>
          </cell>
          <cell r="C2962" t="str">
            <v>Protein</v>
          </cell>
          <cell r="D2962">
            <v>137</v>
          </cell>
          <cell r="E2962">
            <v>17</v>
          </cell>
          <cell r="F2962">
            <v>2329</v>
          </cell>
          <cell r="G2962">
            <v>0.1</v>
          </cell>
          <cell r="H2962">
            <v>0</v>
          </cell>
          <cell r="I2962" t="str">
            <v>Canada</v>
          </cell>
          <cell r="J2962" t="str">
            <v>Walmart</v>
          </cell>
        </row>
        <row r="2963">
          <cell r="A2963" t="str">
            <v>24-07-2023</v>
          </cell>
          <cell r="B2963" t="str">
            <v>Vitamin C</v>
          </cell>
          <cell r="C2963" t="str">
            <v>Vitamin</v>
          </cell>
          <cell r="D2963">
            <v>152</v>
          </cell>
          <cell r="E2963">
            <v>57.06</v>
          </cell>
          <cell r="F2963">
            <v>8673.1200000000008</v>
          </cell>
          <cell r="G2963">
            <v>0.18</v>
          </cell>
          <cell r="H2963">
            <v>1</v>
          </cell>
          <cell r="I2963" t="str">
            <v>USA</v>
          </cell>
          <cell r="J2963" t="str">
            <v>Walmart</v>
          </cell>
        </row>
        <row r="2964">
          <cell r="A2964" t="str">
            <v>24-07-2023</v>
          </cell>
          <cell r="B2964" t="str">
            <v>Fish Oil</v>
          </cell>
          <cell r="C2964" t="str">
            <v>Omega</v>
          </cell>
          <cell r="D2964">
            <v>173</v>
          </cell>
          <cell r="E2964">
            <v>38.06</v>
          </cell>
          <cell r="F2964">
            <v>6584.38</v>
          </cell>
          <cell r="G2964">
            <v>0.15</v>
          </cell>
          <cell r="H2964">
            <v>1</v>
          </cell>
          <cell r="I2964" t="str">
            <v>UK</v>
          </cell>
          <cell r="J2964" t="str">
            <v>Walmart</v>
          </cell>
        </row>
        <row r="2965">
          <cell r="A2965" t="str">
            <v>24-07-2023</v>
          </cell>
          <cell r="B2965" t="str">
            <v>Multivitamin</v>
          </cell>
          <cell r="C2965" t="str">
            <v>Vitamin</v>
          </cell>
          <cell r="D2965">
            <v>164</v>
          </cell>
          <cell r="E2965">
            <v>37.74</v>
          </cell>
          <cell r="F2965">
            <v>6189.36</v>
          </cell>
          <cell r="G2965">
            <v>0.18</v>
          </cell>
          <cell r="H2965">
            <v>3</v>
          </cell>
          <cell r="I2965" t="str">
            <v>Canada</v>
          </cell>
          <cell r="J2965" t="str">
            <v>Walmart</v>
          </cell>
        </row>
        <row r="2966">
          <cell r="A2966" t="str">
            <v>24-07-2023</v>
          </cell>
          <cell r="B2966" t="str">
            <v>Pre-Workout</v>
          </cell>
          <cell r="C2966" t="str">
            <v>Performance</v>
          </cell>
          <cell r="D2966">
            <v>167</v>
          </cell>
          <cell r="E2966">
            <v>42.16</v>
          </cell>
          <cell r="F2966">
            <v>7040.72</v>
          </cell>
          <cell r="G2966">
            <v>0.1</v>
          </cell>
          <cell r="H2966">
            <v>1</v>
          </cell>
          <cell r="I2966" t="str">
            <v>USA</v>
          </cell>
          <cell r="J2966" t="str">
            <v>iHerb</v>
          </cell>
        </row>
        <row r="2967">
          <cell r="A2967" t="str">
            <v>24-07-2023</v>
          </cell>
          <cell r="B2967" t="str">
            <v>BCAA</v>
          </cell>
          <cell r="C2967" t="str">
            <v>Amino Acid</v>
          </cell>
          <cell r="D2967">
            <v>169</v>
          </cell>
          <cell r="E2967">
            <v>54.77</v>
          </cell>
          <cell r="F2967">
            <v>9256.1299999999992</v>
          </cell>
          <cell r="G2967">
            <v>0.03</v>
          </cell>
          <cell r="H2967">
            <v>3</v>
          </cell>
          <cell r="I2967" t="str">
            <v>USA</v>
          </cell>
          <cell r="J2967" t="str">
            <v>Amazon</v>
          </cell>
        </row>
        <row r="2968">
          <cell r="A2968" t="str">
            <v>24-07-2023</v>
          </cell>
          <cell r="B2968" t="str">
            <v>Creatine</v>
          </cell>
          <cell r="C2968" t="str">
            <v>Performance</v>
          </cell>
          <cell r="D2968">
            <v>177</v>
          </cell>
          <cell r="E2968">
            <v>35.93</v>
          </cell>
          <cell r="F2968">
            <v>6359.61</v>
          </cell>
          <cell r="G2968">
            <v>0.19</v>
          </cell>
          <cell r="H2968">
            <v>2</v>
          </cell>
          <cell r="I2968" t="str">
            <v>USA</v>
          </cell>
          <cell r="J2968" t="str">
            <v>iHerb</v>
          </cell>
        </row>
        <row r="2969">
          <cell r="A2969" t="str">
            <v>24-07-2023</v>
          </cell>
          <cell r="B2969" t="str">
            <v>Zinc</v>
          </cell>
          <cell r="C2969" t="str">
            <v>Mineral</v>
          </cell>
          <cell r="D2969">
            <v>158</v>
          </cell>
          <cell r="E2969">
            <v>34.71</v>
          </cell>
          <cell r="F2969">
            <v>5484.18</v>
          </cell>
          <cell r="G2969">
            <v>0.21</v>
          </cell>
          <cell r="H2969">
            <v>2</v>
          </cell>
          <cell r="I2969" t="str">
            <v>UK</v>
          </cell>
          <cell r="J2969" t="str">
            <v>iHerb</v>
          </cell>
        </row>
        <row r="2970">
          <cell r="A2970" t="str">
            <v>24-07-2023</v>
          </cell>
          <cell r="B2970" t="str">
            <v>Collagen Peptides</v>
          </cell>
          <cell r="C2970" t="str">
            <v>Protein</v>
          </cell>
          <cell r="D2970">
            <v>147</v>
          </cell>
          <cell r="E2970">
            <v>29.67</v>
          </cell>
          <cell r="F2970">
            <v>4361.49</v>
          </cell>
          <cell r="G2970">
            <v>0.18</v>
          </cell>
          <cell r="H2970">
            <v>3</v>
          </cell>
          <cell r="I2970" t="str">
            <v>Canada</v>
          </cell>
          <cell r="J2970" t="str">
            <v>Walmart</v>
          </cell>
        </row>
        <row r="2971">
          <cell r="A2971" t="str">
            <v>24-07-2023</v>
          </cell>
          <cell r="B2971" t="str">
            <v>Magnesium</v>
          </cell>
          <cell r="C2971" t="str">
            <v>Mineral</v>
          </cell>
          <cell r="D2971">
            <v>141</v>
          </cell>
          <cell r="E2971">
            <v>17.7</v>
          </cell>
          <cell r="F2971">
            <v>2495.6999999999998</v>
          </cell>
          <cell r="G2971">
            <v>0.17</v>
          </cell>
          <cell r="H2971">
            <v>4</v>
          </cell>
          <cell r="I2971" t="str">
            <v>UK</v>
          </cell>
          <cell r="J2971" t="str">
            <v>Amazon</v>
          </cell>
        </row>
        <row r="2972">
          <cell r="A2972" t="str">
            <v>24-07-2023</v>
          </cell>
          <cell r="B2972" t="str">
            <v>Ashwagandha</v>
          </cell>
          <cell r="C2972" t="str">
            <v>Herbal</v>
          </cell>
          <cell r="D2972">
            <v>155</v>
          </cell>
          <cell r="E2972">
            <v>37.67</v>
          </cell>
          <cell r="F2972">
            <v>5838.85</v>
          </cell>
          <cell r="G2972">
            <v>0.02</v>
          </cell>
          <cell r="H2972">
            <v>2</v>
          </cell>
          <cell r="I2972" t="str">
            <v>Canada</v>
          </cell>
          <cell r="J2972" t="str">
            <v>iHerb</v>
          </cell>
        </row>
        <row r="2973">
          <cell r="A2973" t="str">
            <v>24-07-2023</v>
          </cell>
          <cell r="B2973" t="str">
            <v>Melatonin</v>
          </cell>
          <cell r="C2973" t="str">
            <v>Sleep Aid</v>
          </cell>
          <cell r="D2973">
            <v>154</v>
          </cell>
          <cell r="E2973">
            <v>54.94</v>
          </cell>
          <cell r="F2973">
            <v>8460.76</v>
          </cell>
          <cell r="G2973">
            <v>0.2</v>
          </cell>
          <cell r="H2973">
            <v>2</v>
          </cell>
          <cell r="I2973" t="str">
            <v>Canada</v>
          </cell>
          <cell r="J2973" t="str">
            <v>Amazon</v>
          </cell>
        </row>
        <row r="2974">
          <cell r="A2974" t="str">
            <v>24-07-2023</v>
          </cell>
          <cell r="B2974" t="str">
            <v>Biotin</v>
          </cell>
          <cell r="C2974" t="str">
            <v>Vitamin</v>
          </cell>
          <cell r="D2974">
            <v>153</v>
          </cell>
          <cell r="E2974">
            <v>32.96</v>
          </cell>
          <cell r="F2974">
            <v>5042.88</v>
          </cell>
          <cell r="G2974">
            <v>0.2</v>
          </cell>
          <cell r="H2974">
            <v>0</v>
          </cell>
          <cell r="I2974" t="str">
            <v>Canada</v>
          </cell>
          <cell r="J2974" t="str">
            <v>Amazon</v>
          </cell>
        </row>
        <row r="2975">
          <cell r="A2975" t="str">
            <v>24-07-2023</v>
          </cell>
          <cell r="B2975" t="str">
            <v>Green Tea Extract</v>
          </cell>
          <cell r="C2975" t="str">
            <v>Fat Burner</v>
          </cell>
          <cell r="D2975">
            <v>124</v>
          </cell>
          <cell r="E2975">
            <v>46.55</v>
          </cell>
          <cell r="F2975">
            <v>5772.2</v>
          </cell>
          <cell r="G2975">
            <v>0.13</v>
          </cell>
          <cell r="H2975">
            <v>1</v>
          </cell>
          <cell r="I2975" t="str">
            <v>USA</v>
          </cell>
          <cell r="J2975" t="str">
            <v>iHerb</v>
          </cell>
        </row>
        <row r="2976">
          <cell r="A2976" t="str">
            <v>24-07-2023</v>
          </cell>
          <cell r="B2976" t="str">
            <v>Iron Supplement</v>
          </cell>
          <cell r="C2976" t="str">
            <v>Mineral</v>
          </cell>
          <cell r="D2976">
            <v>132</v>
          </cell>
          <cell r="E2976">
            <v>26.05</v>
          </cell>
          <cell r="F2976">
            <v>3438.6</v>
          </cell>
          <cell r="G2976">
            <v>7.0000000000000007E-2</v>
          </cell>
          <cell r="H2976">
            <v>2</v>
          </cell>
          <cell r="I2976" t="str">
            <v>USA</v>
          </cell>
          <cell r="J2976" t="str">
            <v>Walmart</v>
          </cell>
        </row>
        <row r="2977">
          <cell r="A2977" t="str">
            <v>24-07-2023</v>
          </cell>
          <cell r="B2977" t="str">
            <v>Electrolyte Powder</v>
          </cell>
          <cell r="C2977" t="str">
            <v>Hydration</v>
          </cell>
          <cell r="D2977">
            <v>152</v>
          </cell>
          <cell r="E2977">
            <v>42.07</v>
          </cell>
          <cell r="F2977">
            <v>6394.64</v>
          </cell>
          <cell r="G2977">
            <v>7.0000000000000007E-2</v>
          </cell>
          <cell r="H2977">
            <v>2</v>
          </cell>
          <cell r="I2977" t="str">
            <v>Canada</v>
          </cell>
          <cell r="J2977" t="str">
            <v>iHerb</v>
          </cell>
        </row>
        <row r="2978">
          <cell r="A2978" t="str">
            <v>31-07-2023</v>
          </cell>
          <cell r="B2978" t="str">
            <v>Whey Protein</v>
          </cell>
          <cell r="C2978" t="str">
            <v>Protein</v>
          </cell>
          <cell r="D2978">
            <v>140</v>
          </cell>
          <cell r="E2978">
            <v>49.12</v>
          </cell>
          <cell r="F2978">
            <v>6876.8</v>
          </cell>
          <cell r="G2978">
            <v>0.18</v>
          </cell>
          <cell r="H2978">
            <v>0</v>
          </cell>
          <cell r="I2978" t="str">
            <v>USA</v>
          </cell>
          <cell r="J2978" t="str">
            <v>Walmart</v>
          </cell>
        </row>
        <row r="2979">
          <cell r="A2979" t="str">
            <v>31-07-2023</v>
          </cell>
          <cell r="B2979" t="str">
            <v>Vitamin C</v>
          </cell>
          <cell r="C2979" t="str">
            <v>Vitamin</v>
          </cell>
          <cell r="D2979">
            <v>133</v>
          </cell>
          <cell r="E2979">
            <v>48.83</v>
          </cell>
          <cell r="F2979">
            <v>6494.39</v>
          </cell>
          <cell r="G2979">
            <v>0.08</v>
          </cell>
          <cell r="H2979">
            <v>2</v>
          </cell>
          <cell r="I2979" t="str">
            <v>UK</v>
          </cell>
          <cell r="J2979" t="str">
            <v>Amazon</v>
          </cell>
        </row>
        <row r="2980">
          <cell r="A2980" t="str">
            <v>31-07-2023</v>
          </cell>
          <cell r="B2980" t="str">
            <v>Fish Oil</v>
          </cell>
          <cell r="C2980" t="str">
            <v>Omega</v>
          </cell>
          <cell r="D2980">
            <v>133</v>
          </cell>
          <cell r="E2980">
            <v>10.94</v>
          </cell>
          <cell r="F2980">
            <v>1455.02</v>
          </cell>
          <cell r="G2980">
            <v>0.1</v>
          </cell>
          <cell r="H2980">
            <v>0</v>
          </cell>
          <cell r="I2980" t="str">
            <v>Canada</v>
          </cell>
          <cell r="J2980" t="str">
            <v>iHerb</v>
          </cell>
        </row>
        <row r="2981">
          <cell r="A2981" t="str">
            <v>31-07-2023</v>
          </cell>
          <cell r="B2981" t="str">
            <v>Multivitamin</v>
          </cell>
          <cell r="C2981" t="str">
            <v>Vitamin</v>
          </cell>
          <cell r="D2981">
            <v>149</v>
          </cell>
          <cell r="E2981">
            <v>32.22</v>
          </cell>
          <cell r="F2981">
            <v>4800.78</v>
          </cell>
          <cell r="G2981">
            <v>0.01</v>
          </cell>
          <cell r="H2981">
            <v>1</v>
          </cell>
          <cell r="I2981" t="str">
            <v>Canada</v>
          </cell>
          <cell r="J2981" t="str">
            <v>iHerb</v>
          </cell>
        </row>
        <row r="2982">
          <cell r="A2982" t="str">
            <v>31-07-2023</v>
          </cell>
          <cell r="B2982" t="str">
            <v>Pre-Workout</v>
          </cell>
          <cell r="C2982" t="str">
            <v>Performance</v>
          </cell>
          <cell r="D2982">
            <v>160</v>
          </cell>
          <cell r="E2982">
            <v>45.76</v>
          </cell>
          <cell r="F2982">
            <v>7321.6</v>
          </cell>
          <cell r="G2982">
            <v>0.09</v>
          </cell>
          <cell r="H2982">
            <v>1</v>
          </cell>
          <cell r="I2982" t="str">
            <v>UK</v>
          </cell>
          <cell r="J2982" t="str">
            <v>Walmart</v>
          </cell>
        </row>
        <row r="2983">
          <cell r="A2983" t="str">
            <v>31-07-2023</v>
          </cell>
          <cell r="B2983" t="str">
            <v>BCAA</v>
          </cell>
          <cell r="C2983" t="str">
            <v>Amino Acid</v>
          </cell>
          <cell r="D2983">
            <v>152</v>
          </cell>
          <cell r="E2983">
            <v>15.44</v>
          </cell>
          <cell r="F2983">
            <v>2346.88</v>
          </cell>
          <cell r="G2983">
            <v>0.01</v>
          </cell>
          <cell r="H2983">
            <v>2</v>
          </cell>
          <cell r="I2983" t="str">
            <v>USA</v>
          </cell>
          <cell r="J2983" t="str">
            <v>iHerb</v>
          </cell>
        </row>
        <row r="2984">
          <cell r="A2984" t="str">
            <v>31-07-2023</v>
          </cell>
          <cell r="B2984" t="str">
            <v>Creatine</v>
          </cell>
          <cell r="C2984" t="str">
            <v>Performance</v>
          </cell>
          <cell r="D2984">
            <v>149</v>
          </cell>
          <cell r="E2984">
            <v>42.25</v>
          </cell>
          <cell r="F2984">
            <v>6295.25</v>
          </cell>
          <cell r="G2984">
            <v>0.14000000000000001</v>
          </cell>
          <cell r="H2984">
            <v>2</v>
          </cell>
          <cell r="I2984" t="str">
            <v>Canada</v>
          </cell>
          <cell r="J2984" t="str">
            <v>Amazon</v>
          </cell>
        </row>
        <row r="2985">
          <cell r="A2985" t="str">
            <v>31-07-2023</v>
          </cell>
          <cell r="B2985" t="str">
            <v>Zinc</v>
          </cell>
          <cell r="C2985" t="str">
            <v>Mineral</v>
          </cell>
          <cell r="D2985">
            <v>166</v>
          </cell>
          <cell r="E2985">
            <v>34.840000000000003</v>
          </cell>
          <cell r="F2985">
            <v>5783.44</v>
          </cell>
          <cell r="G2985">
            <v>0.12</v>
          </cell>
          <cell r="H2985">
            <v>2</v>
          </cell>
          <cell r="I2985" t="str">
            <v>USA</v>
          </cell>
          <cell r="J2985" t="str">
            <v>Walmart</v>
          </cell>
        </row>
        <row r="2986">
          <cell r="A2986" t="str">
            <v>31-07-2023</v>
          </cell>
          <cell r="B2986" t="str">
            <v>Collagen Peptides</v>
          </cell>
          <cell r="C2986" t="str">
            <v>Protein</v>
          </cell>
          <cell r="D2986">
            <v>148</v>
          </cell>
          <cell r="E2986">
            <v>10.82</v>
          </cell>
          <cell r="F2986">
            <v>1601.36</v>
          </cell>
          <cell r="G2986">
            <v>0.04</v>
          </cell>
          <cell r="H2986">
            <v>1</v>
          </cell>
          <cell r="I2986" t="str">
            <v>UK</v>
          </cell>
          <cell r="J2986" t="str">
            <v>Walmart</v>
          </cell>
        </row>
        <row r="2987">
          <cell r="A2987" t="str">
            <v>31-07-2023</v>
          </cell>
          <cell r="B2987" t="str">
            <v>Magnesium</v>
          </cell>
          <cell r="C2987" t="str">
            <v>Mineral</v>
          </cell>
          <cell r="D2987">
            <v>163</v>
          </cell>
          <cell r="E2987">
            <v>36.130000000000003</v>
          </cell>
          <cell r="F2987">
            <v>5889.19</v>
          </cell>
          <cell r="G2987">
            <v>0.09</v>
          </cell>
          <cell r="H2987">
            <v>0</v>
          </cell>
          <cell r="I2987" t="str">
            <v>USA</v>
          </cell>
          <cell r="J2987" t="str">
            <v>Walmart</v>
          </cell>
        </row>
        <row r="2988">
          <cell r="A2988" t="str">
            <v>31-07-2023</v>
          </cell>
          <cell r="B2988" t="str">
            <v>Ashwagandha</v>
          </cell>
          <cell r="C2988" t="str">
            <v>Herbal</v>
          </cell>
          <cell r="D2988">
            <v>129</v>
          </cell>
          <cell r="E2988">
            <v>27.38</v>
          </cell>
          <cell r="F2988">
            <v>3532.02</v>
          </cell>
          <cell r="G2988">
            <v>0.25</v>
          </cell>
          <cell r="H2988">
            <v>1</v>
          </cell>
          <cell r="I2988" t="str">
            <v>UK</v>
          </cell>
          <cell r="J2988" t="str">
            <v>iHerb</v>
          </cell>
        </row>
        <row r="2989">
          <cell r="A2989" t="str">
            <v>31-07-2023</v>
          </cell>
          <cell r="B2989" t="str">
            <v>Melatonin</v>
          </cell>
          <cell r="C2989" t="str">
            <v>Sleep Aid</v>
          </cell>
          <cell r="D2989">
            <v>140</v>
          </cell>
          <cell r="E2989">
            <v>51.76</v>
          </cell>
          <cell r="F2989">
            <v>7246.4</v>
          </cell>
          <cell r="G2989">
            <v>0.05</v>
          </cell>
          <cell r="H2989">
            <v>2</v>
          </cell>
          <cell r="I2989" t="str">
            <v>UK</v>
          </cell>
          <cell r="J2989" t="str">
            <v>Walmart</v>
          </cell>
        </row>
        <row r="2990">
          <cell r="A2990" t="str">
            <v>31-07-2023</v>
          </cell>
          <cell r="B2990" t="str">
            <v>Biotin</v>
          </cell>
          <cell r="C2990" t="str">
            <v>Vitamin</v>
          </cell>
          <cell r="D2990">
            <v>129</v>
          </cell>
          <cell r="E2990">
            <v>34.54</v>
          </cell>
          <cell r="F2990">
            <v>4455.66</v>
          </cell>
          <cell r="G2990">
            <v>0.11</v>
          </cell>
          <cell r="H2990">
            <v>4</v>
          </cell>
          <cell r="I2990" t="str">
            <v>UK</v>
          </cell>
          <cell r="J2990" t="str">
            <v>iHerb</v>
          </cell>
        </row>
        <row r="2991">
          <cell r="A2991" t="str">
            <v>31-07-2023</v>
          </cell>
          <cell r="B2991" t="str">
            <v>Green Tea Extract</v>
          </cell>
          <cell r="C2991" t="str">
            <v>Fat Burner</v>
          </cell>
          <cell r="D2991">
            <v>134</v>
          </cell>
          <cell r="E2991">
            <v>36.46</v>
          </cell>
          <cell r="F2991">
            <v>4885.6400000000003</v>
          </cell>
          <cell r="G2991">
            <v>0.13</v>
          </cell>
          <cell r="H2991">
            <v>1</v>
          </cell>
          <cell r="I2991" t="str">
            <v>Canada</v>
          </cell>
          <cell r="J2991" t="str">
            <v>Amazon</v>
          </cell>
        </row>
        <row r="2992">
          <cell r="A2992" t="str">
            <v>31-07-2023</v>
          </cell>
          <cell r="B2992" t="str">
            <v>Iron Supplement</v>
          </cell>
          <cell r="C2992" t="str">
            <v>Mineral</v>
          </cell>
          <cell r="D2992">
            <v>158</v>
          </cell>
          <cell r="E2992">
            <v>38.51</v>
          </cell>
          <cell r="F2992">
            <v>6084.58</v>
          </cell>
          <cell r="G2992">
            <v>0.14000000000000001</v>
          </cell>
          <cell r="H2992">
            <v>2</v>
          </cell>
          <cell r="I2992" t="str">
            <v>USA</v>
          </cell>
          <cell r="J2992" t="str">
            <v>iHerb</v>
          </cell>
        </row>
        <row r="2993">
          <cell r="A2993" t="str">
            <v>31-07-2023</v>
          </cell>
          <cell r="B2993" t="str">
            <v>Electrolyte Powder</v>
          </cell>
          <cell r="C2993" t="str">
            <v>Hydration</v>
          </cell>
          <cell r="D2993">
            <v>130</v>
          </cell>
          <cell r="E2993">
            <v>24.04</v>
          </cell>
          <cell r="F2993">
            <v>3125.2</v>
          </cell>
          <cell r="G2993">
            <v>0.13</v>
          </cell>
          <cell r="H2993">
            <v>2</v>
          </cell>
          <cell r="I2993" t="str">
            <v>Canada</v>
          </cell>
          <cell r="J2993" t="str">
            <v>Amazon</v>
          </cell>
        </row>
        <row r="2994">
          <cell r="A2994" t="str">
            <v>07-08-2023</v>
          </cell>
          <cell r="B2994" t="str">
            <v>Whey Protein</v>
          </cell>
          <cell r="C2994" t="str">
            <v>Protein</v>
          </cell>
          <cell r="D2994">
            <v>158</v>
          </cell>
          <cell r="E2994">
            <v>39.56</v>
          </cell>
          <cell r="F2994">
            <v>6250.48</v>
          </cell>
          <cell r="G2994">
            <v>0.24</v>
          </cell>
          <cell r="H2994">
            <v>0</v>
          </cell>
          <cell r="I2994" t="str">
            <v>USA</v>
          </cell>
          <cell r="J2994" t="str">
            <v>Walmart</v>
          </cell>
        </row>
        <row r="2995">
          <cell r="A2995" t="str">
            <v>07-08-2023</v>
          </cell>
          <cell r="B2995" t="str">
            <v>Vitamin C</v>
          </cell>
          <cell r="C2995" t="str">
            <v>Vitamin</v>
          </cell>
          <cell r="D2995">
            <v>165</v>
          </cell>
          <cell r="E2995">
            <v>48.7</v>
          </cell>
          <cell r="F2995">
            <v>8035.5</v>
          </cell>
          <cell r="G2995">
            <v>7.0000000000000007E-2</v>
          </cell>
          <cell r="H2995">
            <v>1</v>
          </cell>
          <cell r="I2995" t="str">
            <v>Canada</v>
          </cell>
          <cell r="J2995" t="str">
            <v>Amazon</v>
          </cell>
        </row>
        <row r="2996">
          <cell r="A2996" t="str">
            <v>07-08-2023</v>
          </cell>
          <cell r="B2996" t="str">
            <v>Fish Oil</v>
          </cell>
          <cell r="C2996" t="str">
            <v>Omega</v>
          </cell>
          <cell r="D2996">
            <v>169</v>
          </cell>
          <cell r="E2996">
            <v>13.15</v>
          </cell>
          <cell r="F2996">
            <v>2222.35</v>
          </cell>
          <cell r="G2996">
            <v>0.15</v>
          </cell>
          <cell r="H2996">
            <v>0</v>
          </cell>
          <cell r="I2996" t="str">
            <v>UK</v>
          </cell>
          <cell r="J2996" t="str">
            <v>Amazon</v>
          </cell>
        </row>
        <row r="2997">
          <cell r="A2997" t="str">
            <v>07-08-2023</v>
          </cell>
          <cell r="B2997" t="str">
            <v>Multivitamin</v>
          </cell>
          <cell r="C2997" t="str">
            <v>Vitamin</v>
          </cell>
          <cell r="D2997">
            <v>162</v>
          </cell>
          <cell r="E2997">
            <v>53.74</v>
          </cell>
          <cell r="F2997">
            <v>8705.8799999999992</v>
          </cell>
          <cell r="G2997">
            <v>0.2</v>
          </cell>
          <cell r="H2997">
            <v>0</v>
          </cell>
          <cell r="I2997" t="str">
            <v>UK</v>
          </cell>
          <cell r="J2997" t="str">
            <v>Walmart</v>
          </cell>
        </row>
        <row r="2998">
          <cell r="A2998" t="str">
            <v>07-08-2023</v>
          </cell>
          <cell r="B2998" t="str">
            <v>Pre-Workout</v>
          </cell>
          <cell r="C2998" t="str">
            <v>Performance</v>
          </cell>
          <cell r="D2998">
            <v>146</v>
          </cell>
          <cell r="E2998">
            <v>30.87</v>
          </cell>
          <cell r="F2998">
            <v>4507.0200000000004</v>
          </cell>
          <cell r="G2998">
            <v>0.24</v>
          </cell>
          <cell r="H2998">
            <v>2</v>
          </cell>
          <cell r="I2998" t="str">
            <v>Canada</v>
          </cell>
          <cell r="J2998" t="str">
            <v>iHerb</v>
          </cell>
        </row>
        <row r="2999">
          <cell r="A2999" t="str">
            <v>07-08-2023</v>
          </cell>
          <cell r="B2999" t="str">
            <v>BCAA</v>
          </cell>
          <cell r="C2999" t="str">
            <v>Amino Acid</v>
          </cell>
          <cell r="D2999">
            <v>131</v>
          </cell>
          <cell r="E2999">
            <v>46.72</v>
          </cell>
          <cell r="F2999">
            <v>6120.32</v>
          </cell>
          <cell r="G2999">
            <v>0.22</v>
          </cell>
          <cell r="H2999">
            <v>1</v>
          </cell>
          <cell r="I2999" t="str">
            <v>USA</v>
          </cell>
          <cell r="J2999" t="str">
            <v>Amazon</v>
          </cell>
        </row>
        <row r="3000">
          <cell r="A3000" t="str">
            <v>07-08-2023</v>
          </cell>
          <cell r="B3000" t="str">
            <v>Creatine</v>
          </cell>
          <cell r="C3000" t="str">
            <v>Performance</v>
          </cell>
          <cell r="D3000">
            <v>142</v>
          </cell>
          <cell r="E3000">
            <v>27.14</v>
          </cell>
          <cell r="F3000">
            <v>3853.88</v>
          </cell>
          <cell r="G3000">
            <v>0.08</v>
          </cell>
          <cell r="H3000">
            <v>1</v>
          </cell>
          <cell r="I3000" t="str">
            <v>UK</v>
          </cell>
          <cell r="J3000" t="str">
            <v>iHerb</v>
          </cell>
        </row>
        <row r="3001">
          <cell r="A3001" t="str">
            <v>07-08-2023</v>
          </cell>
          <cell r="B3001" t="str">
            <v>Zinc</v>
          </cell>
          <cell r="C3001" t="str">
            <v>Mineral</v>
          </cell>
          <cell r="D3001">
            <v>154</v>
          </cell>
          <cell r="E3001">
            <v>25.35</v>
          </cell>
          <cell r="F3001">
            <v>3903.9</v>
          </cell>
          <cell r="G3001">
            <v>0.05</v>
          </cell>
          <cell r="H3001">
            <v>3</v>
          </cell>
          <cell r="I3001" t="str">
            <v>UK</v>
          </cell>
          <cell r="J3001" t="str">
            <v>Amazon</v>
          </cell>
        </row>
        <row r="3002">
          <cell r="A3002" t="str">
            <v>07-08-2023</v>
          </cell>
          <cell r="B3002" t="str">
            <v>Collagen Peptides</v>
          </cell>
          <cell r="C3002" t="str">
            <v>Protein</v>
          </cell>
          <cell r="D3002">
            <v>136</v>
          </cell>
          <cell r="E3002">
            <v>37.07</v>
          </cell>
          <cell r="F3002">
            <v>5041.5200000000004</v>
          </cell>
          <cell r="G3002">
            <v>0.15</v>
          </cell>
          <cell r="H3002">
            <v>1</v>
          </cell>
          <cell r="I3002" t="str">
            <v>USA</v>
          </cell>
          <cell r="J3002" t="str">
            <v>Amazon</v>
          </cell>
        </row>
        <row r="3003">
          <cell r="A3003" t="str">
            <v>07-08-2023</v>
          </cell>
          <cell r="B3003" t="str">
            <v>Magnesium</v>
          </cell>
          <cell r="C3003" t="str">
            <v>Mineral</v>
          </cell>
          <cell r="D3003">
            <v>153</v>
          </cell>
          <cell r="E3003">
            <v>33.979999999999997</v>
          </cell>
          <cell r="F3003">
            <v>5198.9399999999996</v>
          </cell>
          <cell r="G3003">
            <v>0.16</v>
          </cell>
          <cell r="H3003">
            <v>1</v>
          </cell>
          <cell r="I3003" t="str">
            <v>UK</v>
          </cell>
          <cell r="J3003" t="str">
            <v>iHerb</v>
          </cell>
        </row>
        <row r="3004">
          <cell r="A3004" t="str">
            <v>07-08-2023</v>
          </cell>
          <cell r="B3004" t="str">
            <v>Ashwagandha</v>
          </cell>
          <cell r="C3004" t="str">
            <v>Herbal</v>
          </cell>
          <cell r="D3004">
            <v>156</v>
          </cell>
          <cell r="E3004">
            <v>26.68</v>
          </cell>
          <cell r="F3004">
            <v>4162.08</v>
          </cell>
          <cell r="G3004">
            <v>0.08</v>
          </cell>
          <cell r="H3004">
            <v>1</v>
          </cell>
          <cell r="I3004" t="str">
            <v>UK</v>
          </cell>
          <cell r="J3004" t="str">
            <v>Amazon</v>
          </cell>
        </row>
        <row r="3005">
          <cell r="A3005" t="str">
            <v>07-08-2023</v>
          </cell>
          <cell r="B3005" t="str">
            <v>Melatonin</v>
          </cell>
          <cell r="C3005" t="str">
            <v>Sleep Aid</v>
          </cell>
          <cell r="D3005">
            <v>164</v>
          </cell>
          <cell r="E3005">
            <v>12.3</v>
          </cell>
          <cell r="F3005">
            <v>2017.2</v>
          </cell>
          <cell r="G3005">
            <v>0.25</v>
          </cell>
          <cell r="H3005">
            <v>1</v>
          </cell>
          <cell r="I3005" t="str">
            <v>USA</v>
          </cell>
          <cell r="J3005" t="str">
            <v>iHerb</v>
          </cell>
        </row>
        <row r="3006">
          <cell r="A3006" t="str">
            <v>07-08-2023</v>
          </cell>
          <cell r="B3006" t="str">
            <v>Biotin</v>
          </cell>
          <cell r="C3006" t="str">
            <v>Vitamin</v>
          </cell>
          <cell r="D3006">
            <v>134</v>
          </cell>
          <cell r="E3006">
            <v>46.93</v>
          </cell>
          <cell r="F3006">
            <v>6288.62</v>
          </cell>
          <cell r="G3006">
            <v>7.0000000000000007E-2</v>
          </cell>
          <cell r="H3006">
            <v>1</v>
          </cell>
          <cell r="I3006" t="str">
            <v>Canada</v>
          </cell>
          <cell r="J3006" t="str">
            <v>iHerb</v>
          </cell>
        </row>
        <row r="3007">
          <cell r="A3007" t="str">
            <v>07-08-2023</v>
          </cell>
          <cell r="B3007" t="str">
            <v>Green Tea Extract</v>
          </cell>
          <cell r="C3007" t="str">
            <v>Fat Burner</v>
          </cell>
          <cell r="D3007">
            <v>147</v>
          </cell>
          <cell r="E3007">
            <v>26.51</v>
          </cell>
          <cell r="F3007">
            <v>3896.97</v>
          </cell>
          <cell r="G3007">
            <v>0.18</v>
          </cell>
          <cell r="H3007">
            <v>2</v>
          </cell>
          <cell r="I3007" t="str">
            <v>Canada</v>
          </cell>
          <cell r="J3007" t="str">
            <v>Walmart</v>
          </cell>
        </row>
        <row r="3008">
          <cell r="A3008" t="str">
            <v>07-08-2023</v>
          </cell>
          <cell r="B3008" t="str">
            <v>Iron Supplement</v>
          </cell>
          <cell r="C3008" t="str">
            <v>Mineral</v>
          </cell>
          <cell r="D3008">
            <v>133</v>
          </cell>
          <cell r="E3008">
            <v>42.04</v>
          </cell>
          <cell r="F3008">
            <v>5591.32</v>
          </cell>
          <cell r="G3008">
            <v>0.2</v>
          </cell>
          <cell r="H3008">
            <v>1</v>
          </cell>
          <cell r="I3008" t="str">
            <v>USA</v>
          </cell>
          <cell r="J3008" t="str">
            <v>Amazon</v>
          </cell>
        </row>
        <row r="3009">
          <cell r="A3009" t="str">
            <v>07-08-2023</v>
          </cell>
          <cell r="B3009" t="str">
            <v>Electrolyte Powder</v>
          </cell>
          <cell r="C3009" t="str">
            <v>Hydration</v>
          </cell>
          <cell r="D3009">
            <v>153</v>
          </cell>
          <cell r="E3009">
            <v>25.57</v>
          </cell>
          <cell r="F3009">
            <v>3912.21</v>
          </cell>
          <cell r="G3009">
            <v>0.01</v>
          </cell>
          <cell r="H3009">
            <v>2</v>
          </cell>
          <cell r="I3009" t="str">
            <v>UK</v>
          </cell>
          <cell r="J3009" t="str">
            <v>Amazon</v>
          </cell>
        </row>
        <row r="3010">
          <cell r="A3010" t="str">
            <v>14-08-2023</v>
          </cell>
          <cell r="B3010" t="str">
            <v>Whey Protein</v>
          </cell>
          <cell r="C3010" t="str">
            <v>Protein</v>
          </cell>
          <cell r="D3010">
            <v>146</v>
          </cell>
          <cell r="E3010">
            <v>45.42</v>
          </cell>
          <cell r="F3010">
            <v>6631.32</v>
          </cell>
          <cell r="G3010">
            <v>0.21</v>
          </cell>
          <cell r="H3010">
            <v>1</v>
          </cell>
          <cell r="I3010" t="str">
            <v>Canada</v>
          </cell>
          <cell r="J3010" t="str">
            <v>Walmart</v>
          </cell>
        </row>
        <row r="3011">
          <cell r="A3011" t="str">
            <v>14-08-2023</v>
          </cell>
          <cell r="B3011" t="str">
            <v>Vitamin C</v>
          </cell>
          <cell r="C3011" t="str">
            <v>Vitamin</v>
          </cell>
          <cell r="D3011">
            <v>158</v>
          </cell>
          <cell r="E3011">
            <v>10.66</v>
          </cell>
          <cell r="F3011">
            <v>1684.28</v>
          </cell>
          <cell r="G3011">
            <v>0.09</v>
          </cell>
          <cell r="H3011">
            <v>2</v>
          </cell>
          <cell r="I3011" t="str">
            <v>USA</v>
          </cell>
          <cell r="J3011" t="str">
            <v>Amazon</v>
          </cell>
        </row>
        <row r="3012">
          <cell r="A3012" t="str">
            <v>14-08-2023</v>
          </cell>
          <cell r="B3012" t="str">
            <v>Fish Oil</v>
          </cell>
          <cell r="C3012" t="str">
            <v>Omega</v>
          </cell>
          <cell r="D3012">
            <v>129</v>
          </cell>
          <cell r="E3012">
            <v>31.45</v>
          </cell>
          <cell r="F3012">
            <v>4057.05</v>
          </cell>
          <cell r="G3012">
            <v>0</v>
          </cell>
          <cell r="H3012">
            <v>0</v>
          </cell>
          <cell r="I3012" t="str">
            <v>Canada</v>
          </cell>
          <cell r="J3012" t="str">
            <v>Amazon</v>
          </cell>
        </row>
        <row r="3013">
          <cell r="A3013" t="str">
            <v>14-08-2023</v>
          </cell>
          <cell r="B3013" t="str">
            <v>Multivitamin</v>
          </cell>
          <cell r="C3013" t="str">
            <v>Vitamin</v>
          </cell>
          <cell r="D3013">
            <v>142</v>
          </cell>
          <cell r="E3013">
            <v>41.58</v>
          </cell>
          <cell r="F3013">
            <v>5904.36</v>
          </cell>
          <cell r="G3013">
            <v>0.06</v>
          </cell>
          <cell r="H3013">
            <v>1</v>
          </cell>
          <cell r="I3013" t="str">
            <v>USA</v>
          </cell>
          <cell r="J3013" t="str">
            <v>Amazon</v>
          </cell>
        </row>
        <row r="3014">
          <cell r="A3014" t="str">
            <v>14-08-2023</v>
          </cell>
          <cell r="B3014" t="str">
            <v>Pre-Workout</v>
          </cell>
          <cell r="C3014" t="str">
            <v>Performance</v>
          </cell>
          <cell r="D3014">
            <v>168</v>
          </cell>
          <cell r="E3014">
            <v>29.61</v>
          </cell>
          <cell r="F3014">
            <v>4974.4799999999996</v>
          </cell>
          <cell r="G3014">
            <v>0.18</v>
          </cell>
          <cell r="H3014">
            <v>3</v>
          </cell>
          <cell r="I3014" t="str">
            <v>USA</v>
          </cell>
          <cell r="J3014" t="str">
            <v>Amazon</v>
          </cell>
        </row>
        <row r="3015">
          <cell r="A3015" t="str">
            <v>14-08-2023</v>
          </cell>
          <cell r="B3015" t="str">
            <v>BCAA</v>
          </cell>
          <cell r="C3015" t="str">
            <v>Amino Acid</v>
          </cell>
          <cell r="D3015">
            <v>154</v>
          </cell>
          <cell r="E3015">
            <v>48.62</v>
          </cell>
          <cell r="F3015">
            <v>7487.48</v>
          </cell>
          <cell r="G3015">
            <v>0.24</v>
          </cell>
          <cell r="H3015">
            <v>4</v>
          </cell>
          <cell r="I3015" t="str">
            <v>Canada</v>
          </cell>
          <cell r="J3015" t="str">
            <v>iHerb</v>
          </cell>
        </row>
        <row r="3016">
          <cell r="A3016" t="str">
            <v>14-08-2023</v>
          </cell>
          <cell r="B3016" t="str">
            <v>Creatine</v>
          </cell>
          <cell r="C3016" t="str">
            <v>Performance</v>
          </cell>
          <cell r="D3016">
            <v>141</v>
          </cell>
          <cell r="E3016">
            <v>57.87</v>
          </cell>
          <cell r="F3016">
            <v>8159.67</v>
          </cell>
          <cell r="G3016">
            <v>0.11</v>
          </cell>
          <cell r="H3016">
            <v>0</v>
          </cell>
          <cell r="I3016" t="str">
            <v>UK</v>
          </cell>
          <cell r="J3016" t="str">
            <v>Amazon</v>
          </cell>
        </row>
        <row r="3017">
          <cell r="A3017" t="str">
            <v>14-08-2023</v>
          </cell>
          <cell r="B3017" t="str">
            <v>Zinc</v>
          </cell>
          <cell r="C3017" t="str">
            <v>Mineral</v>
          </cell>
          <cell r="D3017">
            <v>158</v>
          </cell>
          <cell r="E3017">
            <v>23.36</v>
          </cell>
          <cell r="F3017">
            <v>3690.88</v>
          </cell>
          <cell r="G3017">
            <v>0.22</v>
          </cell>
          <cell r="H3017">
            <v>0</v>
          </cell>
          <cell r="I3017" t="str">
            <v>USA</v>
          </cell>
          <cell r="J3017" t="str">
            <v>Amazon</v>
          </cell>
        </row>
        <row r="3018">
          <cell r="A3018" t="str">
            <v>14-08-2023</v>
          </cell>
          <cell r="B3018" t="str">
            <v>Collagen Peptides</v>
          </cell>
          <cell r="C3018" t="str">
            <v>Protein</v>
          </cell>
          <cell r="D3018">
            <v>126</v>
          </cell>
          <cell r="E3018">
            <v>40.35</v>
          </cell>
          <cell r="F3018">
            <v>5084.1000000000004</v>
          </cell>
          <cell r="G3018">
            <v>0.03</v>
          </cell>
          <cell r="H3018">
            <v>1</v>
          </cell>
          <cell r="I3018" t="str">
            <v>UK</v>
          </cell>
          <cell r="J3018" t="str">
            <v>Amazon</v>
          </cell>
        </row>
        <row r="3019">
          <cell r="A3019" t="str">
            <v>14-08-2023</v>
          </cell>
          <cell r="B3019" t="str">
            <v>Magnesium</v>
          </cell>
          <cell r="C3019" t="str">
            <v>Mineral</v>
          </cell>
          <cell r="D3019">
            <v>154</v>
          </cell>
          <cell r="E3019">
            <v>21.49</v>
          </cell>
          <cell r="F3019">
            <v>3309.46</v>
          </cell>
          <cell r="G3019">
            <v>0.2</v>
          </cell>
          <cell r="H3019">
            <v>1</v>
          </cell>
          <cell r="I3019" t="str">
            <v>Canada</v>
          </cell>
          <cell r="J3019" t="str">
            <v>Amazon</v>
          </cell>
        </row>
        <row r="3020">
          <cell r="A3020" t="str">
            <v>14-08-2023</v>
          </cell>
          <cell r="B3020" t="str">
            <v>Ashwagandha</v>
          </cell>
          <cell r="C3020" t="str">
            <v>Herbal</v>
          </cell>
          <cell r="D3020">
            <v>156</v>
          </cell>
          <cell r="E3020">
            <v>15.73</v>
          </cell>
          <cell r="F3020">
            <v>2453.88</v>
          </cell>
          <cell r="G3020">
            <v>0.18</v>
          </cell>
          <cell r="H3020">
            <v>1</v>
          </cell>
          <cell r="I3020" t="str">
            <v>Canada</v>
          </cell>
          <cell r="J3020" t="str">
            <v>Walmart</v>
          </cell>
        </row>
        <row r="3021">
          <cell r="A3021" t="str">
            <v>14-08-2023</v>
          </cell>
          <cell r="B3021" t="str">
            <v>Melatonin</v>
          </cell>
          <cell r="C3021" t="str">
            <v>Sleep Aid</v>
          </cell>
          <cell r="D3021">
            <v>137</v>
          </cell>
          <cell r="E3021">
            <v>42.66</v>
          </cell>
          <cell r="F3021">
            <v>5844.42</v>
          </cell>
          <cell r="G3021">
            <v>0.06</v>
          </cell>
          <cell r="H3021">
            <v>0</v>
          </cell>
          <cell r="I3021" t="str">
            <v>USA</v>
          </cell>
          <cell r="J3021" t="str">
            <v>iHerb</v>
          </cell>
        </row>
        <row r="3022">
          <cell r="A3022" t="str">
            <v>14-08-2023</v>
          </cell>
          <cell r="B3022" t="str">
            <v>Biotin</v>
          </cell>
          <cell r="C3022" t="str">
            <v>Vitamin</v>
          </cell>
          <cell r="D3022">
            <v>147</v>
          </cell>
          <cell r="E3022">
            <v>12.68</v>
          </cell>
          <cell r="F3022">
            <v>1863.96</v>
          </cell>
          <cell r="G3022">
            <v>0.11</v>
          </cell>
          <cell r="H3022">
            <v>2</v>
          </cell>
          <cell r="I3022" t="str">
            <v>UK</v>
          </cell>
          <cell r="J3022" t="str">
            <v>iHerb</v>
          </cell>
        </row>
        <row r="3023">
          <cell r="A3023" t="str">
            <v>14-08-2023</v>
          </cell>
          <cell r="B3023" t="str">
            <v>Green Tea Extract</v>
          </cell>
          <cell r="C3023" t="str">
            <v>Fat Burner</v>
          </cell>
          <cell r="D3023">
            <v>158</v>
          </cell>
          <cell r="E3023">
            <v>10.48</v>
          </cell>
          <cell r="F3023">
            <v>1655.84</v>
          </cell>
          <cell r="G3023">
            <v>0.24</v>
          </cell>
          <cell r="H3023">
            <v>1</v>
          </cell>
          <cell r="I3023" t="str">
            <v>Canada</v>
          </cell>
          <cell r="J3023" t="str">
            <v>Amazon</v>
          </cell>
        </row>
        <row r="3024">
          <cell r="A3024" t="str">
            <v>14-08-2023</v>
          </cell>
          <cell r="B3024" t="str">
            <v>Iron Supplement</v>
          </cell>
          <cell r="C3024" t="str">
            <v>Mineral</v>
          </cell>
          <cell r="D3024">
            <v>149</v>
          </cell>
          <cell r="E3024">
            <v>27.79</v>
          </cell>
          <cell r="F3024">
            <v>4140.71</v>
          </cell>
          <cell r="G3024">
            <v>0.21</v>
          </cell>
          <cell r="H3024">
            <v>2</v>
          </cell>
          <cell r="I3024" t="str">
            <v>USA</v>
          </cell>
          <cell r="J3024" t="str">
            <v>Amazon</v>
          </cell>
        </row>
        <row r="3025">
          <cell r="A3025" t="str">
            <v>14-08-2023</v>
          </cell>
          <cell r="B3025" t="str">
            <v>Electrolyte Powder</v>
          </cell>
          <cell r="C3025" t="str">
            <v>Hydration</v>
          </cell>
          <cell r="D3025">
            <v>149</v>
          </cell>
          <cell r="E3025">
            <v>59.83</v>
          </cell>
          <cell r="F3025">
            <v>8914.67</v>
          </cell>
          <cell r="G3025">
            <v>0.14000000000000001</v>
          </cell>
          <cell r="H3025">
            <v>2</v>
          </cell>
          <cell r="I3025" t="str">
            <v>Canada</v>
          </cell>
          <cell r="J3025" t="str">
            <v>Amazon</v>
          </cell>
        </row>
        <row r="3026">
          <cell r="A3026" t="str">
            <v>21-08-2023</v>
          </cell>
          <cell r="B3026" t="str">
            <v>Whey Protein</v>
          </cell>
          <cell r="C3026" t="str">
            <v>Protein</v>
          </cell>
          <cell r="D3026">
            <v>147</v>
          </cell>
          <cell r="E3026">
            <v>57.13</v>
          </cell>
          <cell r="F3026">
            <v>8398.11</v>
          </cell>
          <cell r="G3026">
            <v>0.04</v>
          </cell>
          <cell r="H3026">
            <v>1</v>
          </cell>
          <cell r="I3026" t="str">
            <v>Canada</v>
          </cell>
          <cell r="J3026" t="str">
            <v>Walmart</v>
          </cell>
        </row>
        <row r="3027">
          <cell r="A3027" t="str">
            <v>21-08-2023</v>
          </cell>
          <cell r="B3027" t="str">
            <v>Vitamin C</v>
          </cell>
          <cell r="C3027" t="str">
            <v>Vitamin</v>
          </cell>
          <cell r="D3027">
            <v>135</v>
          </cell>
          <cell r="E3027">
            <v>13.1</v>
          </cell>
          <cell r="F3027">
            <v>1768.5</v>
          </cell>
          <cell r="G3027">
            <v>0.02</v>
          </cell>
          <cell r="H3027">
            <v>1</v>
          </cell>
          <cell r="I3027" t="str">
            <v>USA</v>
          </cell>
          <cell r="J3027" t="str">
            <v>iHerb</v>
          </cell>
        </row>
        <row r="3028">
          <cell r="A3028" t="str">
            <v>21-08-2023</v>
          </cell>
          <cell r="B3028" t="str">
            <v>Fish Oil</v>
          </cell>
          <cell r="C3028" t="str">
            <v>Omega</v>
          </cell>
          <cell r="D3028">
            <v>150</v>
          </cell>
          <cell r="E3028">
            <v>12.24</v>
          </cell>
          <cell r="F3028">
            <v>1836</v>
          </cell>
          <cell r="G3028">
            <v>0.24</v>
          </cell>
          <cell r="H3028">
            <v>4</v>
          </cell>
          <cell r="I3028" t="str">
            <v>Canada</v>
          </cell>
          <cell r="J3028" t="str">
            <v>Amazon</v>
          </cell>
        </row>
        <row r="3029">
          <cell r="A3029" t="str">
            <v>21-08-2023</v>
          </cell>
          <cell r="B3029" t="str">
            <v>Multivitamin</v>
          </cell>
          <cell r="C3029" t="str">
            <v>Vitamin</v>
          </cell>
          <cell r="D3029">
            <v>142</v>
          </cell>
          <cell r="E3029">
            <v>38.93</v>
          </cell>
          <cell r="F3029">
            <v>5528.06</v>
          </cell>
          <cell r="G3029">
            <v>0.06</v>
          </cell>
          <cell r="H3029">
            <v>1</v>
          </cell>
          <cell r="I3029" t="str">
            <v>Canada</v>
          </cell>
          <cell r="J3029" t="str">
            <v>iHerb</v>
          </cell>
        </row>
        <row r="3030">
          <cell r="A3030" t="str">
            <v>21-08-2023</v>
          </cell>
          <cell r="B3030" t="str">
            <v>Pre-Workout</v>
          </cell>
          <cell r="C3030" t="str">
            <v>Performance</v>
          </cell>
          <cell r="D3030">
            <v>150</v>
          </cell>
          <cell r="E3030">
            <v>24.56</v>
          </cell>
          <cell r="F3030">
            <v>3684</v>
          </cell>
          <cell r="G3030">
            <v>0.2</v>
          </cell>
          <cell r="H3030">
            <v>1</v>
          </cell>
          <cell r="I3030" t="str">
            <v>Canada</v>
          </cell>
          <cell r="J3030" t="str">
            <v>Amazon</v>
          </cell>
        </row>
        <row r="3031">
          <cell r="A3031" t="str">
            <v>21-08-2023</v>
          </cell>
          <cell r="B3031" t="str">
            <v>BCAA</v>
          </cell>
          <cell r="C3031" t="str">
            <v>Amino Acid</v>
          </cell>
          <cell r="D3031">
            <v>156</v>
          </cell>
          <cell r="E3031">
            <v>36.68</v>
          </cell>
          <cell r="F3031">
            <v>5722.08</v>
          </cell>
          <cell r="G3031">
            <v>0.08</v>
          </cell>
          <cell r="H3031">
            <v>1</v>
          </cell>
          <cell r="I3031" t="str">
            <v>UK</v>
          </cell>
          <cell r="J3031" t="str">
            <v>iHerb</v>
          </cell>
        </row>
        <row r="3032">
          <cell r="A3032" t="str">
            <v>21-08-2023</v>
          </cell>
          <cell r="B3032" t="str">
            <v>Creatine</v>
          </cell>
          <cell r="C3032" t="str">
            <v>Performance</v>
          </cell>
          <cell r="D3032">
            <v>161</v>
          </cell>
          <cell r="E3032">
            <v>27.71</v>
          </cell>
          <cell r="F3032">
            <v>4461.3100000000004</v>
          </cell>
          <cell r="G3032">
            <v>0.17</v>
          </cell>
          <cell r="H3032">
            <v>4</v>
          </cell>
          <cell r="I3032" t="str">
            <v>USA</v>
          </cell>
          <cell r="J3032" t="str">
            <v>Walmart</v>
          </cell>
        </row>
        <row r="3033">
          <cell r="A3033" t="str">
            <v>21-08-2023</v>
          </cell>
          <cell r="B3033" t="str">
            <v>Zinc</v>
          </cell>
          <cell r="C3033" t="str">
            <v>Mineral</v>
          </cell>
          <cell r="D3033">
            <v>154</v>
          </cell>
          <cell r="E3033">
            <v>43.99</v>
          </cell>
          <cell r="F3033">
            <v>6774.46</v>
          </cell>
          <cell r="G3033">
            <v>0.03</v>
          </cell>
          <cell r="H3033">
            <v>3</v>
          </cell>
          <cell r="I3033" t="str">
            <v>Canada</v>
          </cell>
          <cell r="J3033" t="str">
            <v>Amazon</v>
          </cell>
        </row>
        <row r="3034">
          <cell r="A3034" t="str">
            <v>21-08-2023</v>
          </cell>
          <cell r="B3034" t="str">
            <v>Collagen Peptides</v>
          </cell>
          <cell r="C3034" t="str">
            <v>Protein</v>
          </cell>
          <cell r="D3034">
            <v>151</v>
          </cell>
          <cell r="E3034">
            <v>12.85</v>
          </cell>
          <cell r="F3034">
            <v>1940.35</v>
          </cell>
          <cell r="G3034">
            <v>0.1</v>
          </cell>
          <cell r="H3034">
            <v>3</v>
          </cell>
          <cell r="I3034" t="str">
            <v>Canada</v>
          </cell>
          <cell r="J3034" t="str">
            <v>Amazon</v>
          </cell>
        </row>
        <row r="3035">
          <cell r="A3035" t="str">
            <v>21-08-2023</v>
          </cell>
          <cell r="B3035" t="str">
            <v>Magnesium</v>
          </cell>
          <cell r="C3035" t="str">
            <v>Mineral</v>
          </cell>
          <cell r="D3035">
            <v>173</v>
          </cell>
          <cell r="E3035">
            <v>31.41</v>
          </cell>
          <cell r="F3035">
            <v>5433.93</v>
          </cell>
          <cell r="G3035">
            <v>0.14000000000000001</v>
          </cell>
          <cell r="H3035">
            <v>1</v>
          </cell>
          <cell r="I3035" t="str">
            <v>UK</v>
          </cell>
          <cell r="J3035" t="str">
            <v>Walmart</v>
          </cell>
        </row>
        <row r="3036">
          <cell r="A3036" t="str">
            <v>21-08-2023</v>
          </cell>
          <cell r="B3036" t="str">
            <v>Ashwagandha</v>
          </cell>
          <cell r="C3036" t="str">
            <v>Herbal</v>
          </cell>
          <cell r="D3036">
            <v>136</v>
          </cell>
          <cell r="E3036">
            <v>40.49</v>
          </cell>
          <cell r="F3036">
            <v>5506.64</v>
          </cell>
          <cell r="G3036">
            <v>0.23</v>
          </cell>
          <cell r="H3036">
            <v>0</v>
          </cell>
          <cell r="I3036" t="str">
            <v>UK</v>
          </cell>
          <cell r="J3036" t="str">
            <v>Walmart</v>
          </cell>
        </row>
        <row r="3037">
          <cell r="A3037" t="str">
            <v>21-08-2023</v>
          </cell>
          <cell r="B3037" t="str">
            <v>Melatonin</v>
          </cell>
          <cell r="C3037" t="str">
            <v>Sleep Aid</v>
          </cell>
          <cell r="D3037">
            <v>139</v>
          </cell>
          <cell r="E3037">
            <v>50.44</v>
          </cell>
          <cell r="F3037">
            <v>7011.16</v>
          </cell>
          <cell r="G3037">
            <v>7.0000000000000007E-2</v>
          </cell>
          <cell r="H3037">
            <v>3</v>
          </cell>
          <cell r="I3037" t="str">
            <v>USA</v>
          </cell>
          <cell r="J3037" t="str">
            <v>iHerb</v>
          </cell>
        </row>
        <row r="3038">
          <cell r="A3038" t="str">
            <v>21-08-2023</v>
          </cell>
          <cell r="B3038" t="str">
            <v>Biotin</v>
          </cell>
          <cell r="C3038" t="str">
            <v>Vitamin</v>
          </cell>
          <cell r="D3038">
            <v>152</v>
          </cell>
          <cell r="E3038">
            <v>28.38</v>
          </cell>
          <cell r="F3038">
            <v>4313.76</v>
          </cell>
          <cell r="G3038">
            <v>0.2</v>
          </cell>
          <cell r="H3038">
            <v>0</v>
          </cell>
          <cell r="I3038" t="str">
            <v>UK</v>
          </cell>
          <cell r="J3038" t="str">
            <v>Walmart</v>
          </cell>
        </row>
        <row r="3039">
          <cell r="A3039" t="str">
            <v>21-08-2023</v>
          </cell>
          <cell r="B3039" t="str">
            <v>Green Tea Extract</v>
          </cell>
          <cell r="C3039" t="str">
            <v>Fat Burner</v>
          </cell>
          <cell r="D3039">
            <v>122</v>
          </cell>
          <cell r="E3039">
            <v>52.68</v>
          </cell>
          <cell r="F3039">
            <v>6426.96</v>
          </cell>
          <cell r="G3039">
            <v>0.19</v>
          </cell>
          <cell r="H3039">
            <v>1</v>
          </cell>
          <cell r="I3039" t="str">
            <v>UK</v>
          </cell>
          <cell r="J3039" t="str">
            <v>iHerb</v>
          </cell>
        </row>
        <row r="3040">
          <cell r="A3040" t="str">
            <v>21-08-2023</v>
          </cell>
          <cell r="B3040" t="str">
            <v>Iron Supplement</v>
          </cell>
          <cell r="C3040" t="str">
            <v>Mineral</v>
          </cell>
          <cell r="D3040">
            <v>152</v>
          </cell>
          <cell r="E3040">
            <v>52.03</v>
          </cell>
          <cell r="F3040">
            <v>7908.56</v>
          </cell>
          <cell r="G3040">
            <v>0.2</v>
          </cell>
          <cell r="H3040">
            <v>2</v>
          </cell>
          <cell r="I3040" t="str">
            <v>UK</v>
          </cell>
          <cell r="J3040" t="str">
            <v>iHerb</v>
          </cell>
        </row>
        <row r="3041">
          <cell r="A3041" t="str">
            <v>21-08-2023</v>
          </cell>
          <cell r="B3041" t="str">
            <v>Electrolyte Powder</v>
          </cell>
          <cell r="C3041" t="str">
            <v>Hydration</v>
          </cell>
          <cell r="D3041">
            <v>149</v>
          </cell>
          <cell r="E3041">
            <v>53.95</v>
          </cell>
          <cell r="F3041">
            <v>8038.55</v>
          </cell>
          <cell r="G3041">
            <v>0.16</v>
          </cell>
          <cell r="H3041">
            <v>1</v>
          </cell>
          <cell r="I3041" t="str">
            <v>Canada</v>
          </cell>
          <cell r="J3041" t="str">
            <v>Amazon</v>
          </cell>
        </row>
        <row r="3042">
          <cell r="A3042" t="str">
            <v>28-08-2023</v>
          </cell>
          <cell r="B3042" t="str">
            <v>Whey Protein</v>
          </cell>
          <cell r="C3042" t="str">
            <v>Protein</v>
          </cell>
          <cell r="D3042">
            <v>154</v>
          </cell>
          <cell r="E3042">
            <v>29.71</v>
          </cell>
          <cell r="F3042">
            <v>4575.34</v>
          </cell>
          <cell r="G3042">
            <v>0.08</v>
          </cell>
          <cell r="H3042">
            <v>1</v>
          </cell>
          <cell r="I3042" t="str">
            <v>USA</v>
          </cell>
          <cell r="J3042" t="str">
            <v>Walmart</v>
          </cell>
        </row>
        <row r="3043">
          <cell r="A3043" t="str">
            <v>28-08-2023</v>
          </cell>
          <cell r="B3043" t="str">
            <v>Vitamin C</v>
          </cell>
          <cell r="C3043" t="str">
            <v>Vitamin</v>
          </cell>
          <cell r="D3043">
            <v>153</v>
          </cell>
          <cell r="E3043">
            <v>23.18</v>
          </cell>
          <cell r="F3043">
            <v>3546.54</v>
          </cell>
          <cell r="G3043">
            <v>0.19</v>
          </cell>
          <cell r="H3043">
            <v>1</v>
          </cell>
          <cell r="I3043" t="str">
            <v>Canada</v>
          </cell>
          <cell r="J3043" t="str">
            <v>Walmart</v>
          </cell>
        </row>
        <row r="3044">
          <cell r="A3044" t="str">
            <v>28-08-2023</v>
          </cell>
          <cell r="B3044" t="str">
            <v>Fish Oil</v>
          </cell>
          <cell r="C3044" t="str">
            <v>Omega</v>
          </cell>
          <cell r="D3044">
            <v>127</v>
          </cell>
          <cell r="E3044">
            <v>54.25</v>
          </cell>
          <cell r="F3044">
            <v>6889.75</v>
          </cell>
          <cell r="G3044">
            <v>0.19</v>
          </cell>
          <cell r="H3044">
            <v>1</v>
          </cell>
          <cell r="I3044" t="str">
            <v>UK</v>
          </cell>
          <cell r="J3044" t="str">
            <v>Amazon</v>
          </cell>
        </row>
        <row r="3045">
          <cell r="A3045" t="str">
            <v>28-08-2023</v>
          </cell>
          <cell r="B3045" t="str">
            <v>Multivitamin</v>
          </cell>
          <cell r="C3045" t="str">
            <v>Vitamin</v>
          </cell>
          <cell r="D3045">
            <v>174</v>
          </cell>
          <cell r="E3045">
            <v>58.06</v>
          </cell>
          <cell r="F3045">
            <v>10102.44</v>
          </cell>
          <cell r="G3045">
            <v>0.06</v>
          </cell>
          <cell r="H3045">
            <v>0</v>
          </cell>
          <cell r="I3045" t="str">
            <v>USA</v>
          </cell>
          <cell r="J3045" t="str">
            <v>Amazon</v>
          </cell>
        </row>
        <row r="3046">
          <cell r="A3046" t="str">
            <v>28-08-2023</v>
          </cell>
          <cell r="B3046" t="str">
            <v>Pre-Workout</v>
          </cell>
          <cell r="C3046" t="str">
            <v>Performance</v>
          </cell>
          <cell r="D3046">
            <v>148</v>
          </cell>
          <cell r="E3046">
            <v>36.950000000000003</v>
          </cell>
          <cell r="F3046">
            <v>5468.6</v>
          </cell>
          <cell r="G3046">
            <v>0.2</v>
          </cell>
          <cell r="H3046">
            <v>3</v>
          </cell>
          <cell r="I3046" t="str">
            <v>Canada</v>
          </cell>
          <cell r="J3046" t="str">
            <v>Amazon</v>
          </cell>
        </row>
        <row r="3047">
          <cell r="A3047" t="str">
            <v>28-08-2023</v>
          </cell>
          <cell r="B3047" t="str">
            <v>BCAA</v>
          </cell>
          <cell r="C3047" t="str">
            <v>Amino Acid</v>
          </cell>
          <cell r="D3047">
            <v>146</v>
          </cell>
          <cell r="E3047">
            <v>17.41</v>
          </cell>
          <cell r="F3047">
            <v>2541.86</v>
          </cell>
          <cell r="G3047">
            <v>0.01</v>
          </cell>
          <cell r="H3047">
            <v>2</v>
          </cell>
          <cell r="I3047" t="str">
            <v>USA</v>
          </cell>
          <cell r="J3047" t="str">
            <v>iHerb</v>
          </cell>
        </row>
        <row r="3048">
          <cell r="A3048" t="str">
            <v>28-08-2023</v>
          </cell>
          <cell r="B3048" t="str">
            <v>Creatine</v>
          </cell>
          <cell r="C3048" t="str">
            <v>Performance</v>
          </cell>
          <cell r="D3048">
            <v>126</v>
          </cell>
          <cell r="E3048">
            <v>36.950000000000003</v>
          </cell>
          <cell r="F3048">
            <v>4655.7</v>
          </cell>
          <cell r="G3048">
            <v>0.05</v>
          </cell>
          <cell r="H3048">
            <v>1</v>
          </cell>
          <cell r="I3048" t="str">
            <v>Canada</v>
          </cell>
          <cell r="J3048" t="str">
            <v>iHerb</v>
          </cell>
        </row>
        <row r="3049">
          <cell r="A3049" t="str">
            <v>28-08-2023</v>
          </cell>
          <cell r="B3049" t="str">
            <v>Zinc</v>
          </cell>
          <cell r="C3049" t="str">
            <v>Mineral</v>
          </cell>
          <cell r="D3049">
            <v>137</v>
          </cell>
          <cell r="E3049">
            <v>49.98</v>
          </cell>
          <cell r="F3049">
            <v>6847.26</v>
          </cell>
          <cell r="G3049">
            <v>0.12</v>
          </cell>
          <cell r="H3049">
            <v>0</v>
          </cell>
          <cell r="I3049" t="str">
            <v>USA</v>
          </cell>
          <cell r="J3049" t="str">
            <v>Amazon</v>
          </cell>
        </row>
        <row r="3050">
          <cell r="A3050" t="str">
            <v>28-08-2023</v>
          </cell>
          <cell r="B3050" t="str">
            <v>Collagen Peptides</v>
          </cell>
          <cell r="C3050" t="str">
            <v>Protein</v>
          </cell>
          <cell r="D3050">
            <v>158</v>
          </cell>
          <cell r="E3050">
            <v>46.93</v>
          </cell>
          <cell r="F3050">
            <v>7414.94</v>
          </cell>
          <cell r="G3050">
            <v>0.12</v>
          </cell>
          <cell r="H3050">
            <v>1</v>
          </cell>
          <cell r="I3050" t="str">
            <v>UK</v>
          </cell>
          <cell r="J3050" t="str">
            <v>iHerb</v>
          </cell>
        </row>
        <row r="3051">
          <cell r="A3051" t="str">
            <v>28-08-2023</v>
          </cell>
          <cell r="B3051" t="str">
            <v>Magnesium</v>
          </cell>
          <cell r="C3051" t="str">
            <v>Mineral</v>
          </cell>
          <cell r="D3051">
            <v>165</v>
          </cell>
          <cell r="E3051">
            <v>11.65</v>
          </cell>
          <cell r="F3051">
            <v>1922.25</v>
          </cell>
          <cell r="G3051">
            <v>7.0000000000000007E-2</v>
          </cell>
          <cell r="H3051">
            <v>3</v>
          </cell>
          <cell r="I3051" t="str">
            <v>USA</v>
          </cell>
          <cell r="J3051" t="str">
            <v>Amazon</v>
          </cell>
        </row>
        <row r="3052">
          <cell r="A3052" t="str">
            <v>28-08-2023</v>
          </cell>
          <cell r="B3052" t="str">
            <v>Ashwagandha</v>
          </cell>
          <cell r="C3052" t="str">
            <v>Herbal</v>
          </cell>
          <cell r="D3052">
            <v>158</v>
          </cell>
          <cell r="E3052">
            <v>48.03</v>
          </cell>
          <cell r="F3052">
            <v>7588.74</v>
          </cell>
          <cell r="G3052">
            <v>0.18</v>
          </cell>
          <cell r="H3052">
            <v>2</v>
          </cell>
          <cell r="I3052" t="str">
            <v>USA</v>
          </cell>
          <cell r="J3052" t="str">
            <v>iHerb</v>
          </cell>
        </row>
        <row r="3053">
          <cell r="A3053" t="str">
            <v>28-08-2023</v>
          </cell>
          <cell r="B3053" t="str">
            <v>Melatonin</v>
          </cell>
          <cell r="C3053" t="str">
            <v>Sleep Aid</v>
          </cell>
          <cell r="D3053">
            <v>163</v>
          </cell>
          <cell r="E3053">
            <v>30.12</v>
          </cell>
          <cell r="F3053">
            <v>4909.5600000000004</v>
          </cell>
          <cell r="G3053">
            <v>0.12</v>
          </cell>
          <cell r="H3053">
            <v>2</v>
          </cell>
          <cell r="I3053" t="str">
            <v>UK</v>
          </cell>
          <cell r="J3053" t="str">
            <v>Walmart</v>
          </cell>
        </row>
        <row r="3054">
          <cell r="A3054" t="str">
            <v>28-08-2023</v>
          </cell>
          <cell r="B3054" t="str">
            <v>Biotin</v>
          </cell>
          <cell r="C3054" t="str">
            <v>Vitamin</v>
          </cell>
          <cell r="D3054">
            <v>166</v>
          </cell>
          <cell r="E3054">
            <v>27.1</v>
          </cell>
          <cell r="F3054">
            <v>4498.6000000000004</v>
          </cell>
          <cell r="G3054">
            <v>0.23</v>
          </cell>
          <cell r="H3054">
            <v>2</v>
          </cell>
          <cell r="I3054" t="str">
            <v>Canada</v>
          </cell>
          <cell r="J3054" t="str">
            <v>Walmart</v>
          </cell>
        </row>
        <row r="3055">
          <cell r="A3055" t="str">
            <v>28-08-2023</v>
          </cell>
          <cell r="B3055" t="str">
            <v>Green Tea Extract</v>
          </cell>
          <cell r="C3055" t="str">
            <v>Fat Burner</v>
          </cell>
          <cell r="D3055">
            <v>137</v>
          </cell>
          <cell r="E3055">
            <v>59.54</v>
          </cell>
          <cell r="F3055">
            <v>8156.98</v>
          </cell>
          <cell r="G3055">
            <v>0.21</v>
          </cell>
          <cell r="H3055">
            <v>2</v>
          </cell>
          <cell r="I3055" t="str">
            <v>UK</v>
          </cell>
          <cell r="J3055" t="str">
            <v>Walmart</v>
          </cell>
        </row>
        <row r="3056">
          <cell r="A3056" t="str">
            <v>28-08-2023</v>
          </cell>
          <cell r="B3056" t="str">
            <v>Iron Supplement</v>
          </cell>
          <cell r="C3056" t="str">
            <v>Mineral</v>
          </cell>
          <cell r="D3056">
            <v>139</v>
          </cell>
          <cell r="E3056">
            <v>36.29</v>
          </cell>
          <cell r="F3056">
            <v>5044.3100000000004</v>
          </cell>
          <cell r="G3056">
            <v>0.22</v>
          </cell>
          <cell r="H3056">
            <v>1</v>
          </cell>
          <cell r="I3056" t="str">
            <v>Canada</v>
          </cell>
          <cell r="J3056" t="str">
            <v>Amazon</v>
          </cell>
        </row>
        <row r="3057">
          <cell r="A3057" t="str">
            <v>28-08-2023</v>
          </cell>
          <cell r="B3057" t="str">
            <v>Electrolyte Powder</v>
          </cell>
          <cell r="C3057" t="str">
            <v>Hydration</v>
          </cell>
          <cell r="D3057">
            <v>126</v>
          </cell>
          <cell r="E3057">
            <v>23.49</v>
          </cell>
          <cell r="F3057">
            <v>2959.74</v>
          </cell>
          <cell r="G3057">
            <v>0.18</v>
          </cell>
          <cell r="H3057">
            <v>3</v>
          </cell>
          <cell r="I3057" t="str">
            <v>Canada</v>
          </cell>
          <cell r="J3057" t="str">
            <v>Walmart</v>
          </cell>
        </row>
        <row r="3058">
          <cell r="A3058" t="str">
            <v>04-09-2023</v>
          </cell>
          <cell r="B3058" t="str">
            <v>Whey Protein</v>
          </cell>
          <cell r="C3058" t="str">
            <v>Protein</v>
          </cell>
          <cell r="D3058">
            <v>157</v>
          </cell>
          <cell r="E3058">
            <v>32.65</v>
          </cell>
          <cell r="F3058">
            <v>5126.05</v>
          </cell>
          <cell r="G3058">
            <v>0.19</v>
          </cell>
          <cell r="H3058">
            <v>3</v>
          </cell>
          <cell r="I3058" t="str">
            <v>UK</v>
          </cell>
          <cell r="J3058" t="str">
            <v>Walmart</v>
          </cell>
        </row>
        <row r="3059">
          <cell r="A3059" t="str">
            <v>04-09-2023</v>
          </cell>
          <cell r="B3059" t="str">
            <v>Vitamin C</v>
          </cell>
          <cell r="C3059" t="str">
            <v>Vitamin</v>
          </cell>
          <cell r="D3059">
            <v>158</v>
          </cell>
          <cell r="E3059">
            <v>41.29</v>
          </cell>
          <cell r="F3059">
            <v>6523.82</v>
          </cell>
          <cell r="G3059">
            <v>0.18</v>
          </cell>
          <cell r="H3059">
            <v>1</v>
          </cell>
          <cell r="I3059" t="str">
            <v>UK</v>
          </cell>
          <cell r="J3059" t="str">
            <v>Amazon</v>
          </cell>
        </row>
        <row r="3060">
          <cell r="A3060" t="str">
            <v>04-09-2023</v>
          </cell>
          <cell r="B3060" t="str">
            <v>Fish Oil</v>
          </cell>
          <cell r="C3060" t="str">
            <v>Omega</v>
          </cell>
          <cell r="D3060">
            <v>149</v>
          </cell>
          <cell r="E3060">
            <v>46.85</v>
          </cell>
          <cell r="F3060">
            <v>6980.65</v>
          </cell>
          <cell r="G3060">
            <v>0.17</v>
          </cell>
          <cell r="H3060">
            <v>1</v>
          </cell>
          <cell r="I3060" t="str">
            <v>Canada</v>
          </cell>
          <cell r="J3060" t="str">
            <v>iHerb</v>
          </cell>
        </row>
        <row r="3061">
          <cell r="A3061" t="str">
            <v>04-09-2023</v>
          </cell>
          <cell r="B3061" t="str">
            <v>Multivitamin</v>
          </cell>
          <cell r="C3061" t="str">
            <v>Vitamin</v>
          </cell>
          <cell r="D3061">
            <v>167</v>
          </cell>
          <cell r="E3061">
            <v>13.06</v>
          </cell>
          <cell r="F3061">
            <v>2181.02</v>
          </cell>
          <cell r="G3061">
            <v>0.21</v>
          </cell>
          <cell r="H3061">
            <v>2</v>
          </cell>
          <cell r="I3061" t="str">
            <v>UK</v>
          </cell>
          <cell r="J3061" t="str">
            <v>Amazon</v>
          </cell>
        </row>
        <row r="3062">
          <cell r="A3062" t="str">
            <v>04-09-2023</v>
          </cell>
          <cell r="B3062" t="str">
            <v>Pre-Workout</v>
          </cell>
          <cell r="C3062" t="str">
            <v>Performance</v>
          </cell>
          <cell r="D3062">
            <v>164</v>
          </cell>
          <cell r="E3062">
            <v>11.54</v>
          </cell>
          <cell r="F3062">
            <v>1892.56</v>
          </cell>
          <cell r="G3062">
            <v>0.23</v>
          </cell>
          <cell r="H3062">
            <v>0</v>
          </cell>
          <cell r="I3062" t="str">
            <v>USA</v>
          </cell>
          <cell r="J3062" t="str">
            <v>Walmart</v>
          </cell>
        </row>
        <row r="3063">
          <cell r="A3063" t="str">
            <v>04-09-2023</v>
          </cell>
          <cell r="B3063" t="str">
            <v>BCAA</v>
          </cell>
          <cell r="C3063" t="str">
            <v>Amino Acid</v>
          </cell>
          <cell r="D3063">
            <v>162</v>
          </cell>
          <cell r="E3063">
            <v>45.44</v>
          </cell>
          <cell r="F3063">
            <v>7361.28</v>
          </cell>
          <cell r="G3063">
            <v>0.03</v>
          </cell>
          <cell r="H3063">
            <v>2</v>
          </cell>
          <cell r="I3063" t="str">
            <v>UK</v>
          </cell>
          <cell r="J3063" t="str">
            <v>iHerb</v>
          </cell>
        </row>
        <row r="3064">
          <cell r="A3064" t="str">
            <v>04-09-2023</v>
          </cell>
          <cell r="B3064" t="str">
            <v>Creatine</v>
          </cell>
          <cell r="C3064" t="str">
            <v>Performance</v>
          </cell>
          <cell r="D3064">
            <v>167</v>
          </cell>
          <cell r="E3064">
            <v>30.68</v>
          </cell>
          <cell r="F3064">
            <v>5123.5600000000004</v>
          </cell>
          <cell r="G3064">
            <v>0.11</v>
          </cell>
          <cell r="H3064">
            <v>0</v>
          </cell>
          <cell r="I3064" t="str">
            <v>UK</v>
          </cell>
          <cell r="J3064" t="str">
            <v>Walmart</v>
          </cell>
        </row>
        <row r="3065">
          <cell r="A3065" t="str">
            <v>04-09-2023</v>
          </cell>
          <cell r="B3065" t="str">
            <v>Zinc</v>
          </cell>
          <cell r="C3065" t="str">
            <v>Mineral</v>
          </cell>
          <cell r="D3065">
            <v>168</v>
          </cell>
          <cell r="E3065">
            <v>59.9</v>
          </cell>
          <cell r="F3065">
            <v>10063.200000000001</v>
          </cell>
          <cell r="G3065">
            <v>0.15</v>
          </cell>
          <cell r="H3065">
            <v>2</v>
          </cell>
          <cell r="I3065" t="str">
            <v>USA</v>
          </cell>
          <cell r="J3065" t="str">
            <v>Amazon</v>
          </cell>
        </row>
        <row r="3066">
          <cell r="A3066" t="str">
            <v>04-09-2023</v>
          </cell>
          <cell r="B3066" t="str">
            <v>Collagen Peptides</v>
          </cell>
          <cell r="C3066" t="str">
            <v>Protein</v>
          </cell>
          <cell r="D3066">
            <v>138</v>
          </cell>
          <cell r="E3066">
            <v>42.49</v>
          </cell>
          <cell r="F3066">
            <v>5863.62</v>
          </cell>
          <cell r="G3066">
            <v>0.23</v>
          </cell>
          <cell r="H3066">
            <v>2</v>
          </cell>
          <cell r="I3066" t="str">
            <v>Canada</v>
          </cell>
          <cell r="J3066" t="str">
            <v>iHerb</v>
          </cell>
        </row>
        <row r="3067">
          <cell r="A3067" t="str">
            <v>04-09-2023</v>
          </cell>
          <cell r="B3067" t="str">
            <v>Magnesium</v>
          </cell>
          <cell r="C3067" t="str">
            <v>Mineral</v>
          </cell>
          <cell r="D3067">
            <v>174</v>
          </cell>
          <cell r="E3067">
            <v>53.43</v>
          </cell>
          <cell r="F3067">
            <v>9296.82</v>
          </cell>
          <cell r="G3067">
            <v>0.02</v>
          </cell>
          <cell r="H3067">
            <v>3</v>
          </cell>
          <cell r="I3067" t="str">
            <v>USA</v>
          </cell>
          <cell r="J3067" t="str">
            <v>Walmart</v>
          </cell>
        </row>
        <row r="3068">
          <cell r="A3068" t="str">
            <v>04-09-2023</v>
          </cell>
          <cell r="B3068" t="str">
            <v>Ashwagandha</v>
          </cell>
          <cell r="C3068" t="str">
            <v>Herbal</v>
          </cell>
          <cell r="D3068">
            <v>154</v>
          </cell>
          <cell r="E3068">
            <v>12.83</v>
          </cell>
          <cell r="F3068">
            <v>1975.82</v>
          </cell>
          <cell r="G3068">
            <v>0.17</v>
          </cell>
          <cell r="H3068">
            <v>1</v>
          </cell>
          <cell r="I3068" t="str">
            <v>UK</v>
          </cell>
          <cell r="J3068" t="str">
            <v>Amazon</v>
          </cell>
        </row>
        <row r="3069">
          <cell r="A3069" t="str">
            <v>04-09-2023</v>
          </cell>
          <cell r="B3069" t="str">
            <v>Melatonin</v>
          </cell>
          <cell r="C3069" t="str">
            <v>Sleep Aid</v>
          </cell>
          <cell r="D3069">
            <v>149</v>
          </cell>
          <cell r="E3069">
            <v>55.59</v>
          </cell>
          <cell r="F3069">
            <v>8282.91</v>
          </cell>
          <cell r="G3069">
            <v>0.21</v>
          </cell>
          <cell r="H3069">
            <v>1</v>
          </cell>
          <cell r="I3069" t="str">
            <v>USA</v>
          </cell>
          <cell r="J3069" t="str">
            <v>Walmart</v>
          </cell>
        </row>
        <row r="3070">
          <cell r="A3070" t="str">
            <v>04-09-2023</v>
          </cell>
          <cell r="B3070" t="str">
            <v>Biotin</v>
          </cell>
          <cell r="C3070" t="str">
            <v>Vitamin</v>
          </cell>
          <cell r="D3070">
            <v>146</v>
          </cell>
          <cell r="E3070">
            <v>28.62</v>
          </cell>
          <cell r="F3070">
            <v>4178.5200000000004</v>
          </cell>
          <cell r="G3070">
            <v>0.03</v>
          </cell>
          <cell r="H3070">
            <v>4</v>
          </cell>
          <cell r="I3070" t="str">
            <v>UK</v>
          </cell>
          <cell r="J3070" t="str">
            <v>Amazon</v>
          </cell>
        </row>
        <row r="3071">
          <cell r="A3071" t="str">
            <v>04-09-2023</v>
          </cell>
          <cell r="B3071" t="str">
            <v>Green Tea Extract</v>
          </cell>
          <cell r="C3071" t="str">
            <v>Fat Burner</v>
          </cell>
          <cell r="D3071">
            <v>153</v>
          </cell>
          <cell r="E3071">
            <v>27.64</v>
          </cell>
          <cell r="F3071">
            <v>4228.92</v>
          </cell>
          <cell r="G3071">
            <v>0.14000000000000001</v>
          </cell>
          <cell r="H3071">
            <v>1</v>
          </cell>
          <cell r="I3071" t="str">
            <v>Canada</v>
          </cell>
          <cell r="J3071" t="str">
            <v>Walmart</v>
          </cell>
        </row>
        <row r="3072">
          <cell r="A3072" t="str">
            <v>04-09-2023</v>
          </cell>
          <cell r="B3072" t="str">
            <v>Iron Supplement</v>
          </cell>
          <cell r="C3072" t="str">
            <v>Mineral</v>
          </cell>
          <cell r="D3072">
            <v>142</v>
          </cell>
          <cell r="E3072">
            <v>13.82</v>
          </cell>
          <cell r="F3072">
            <v>1962.44</v>
          </cell>
          <cell r="G3072">
            <v>0.15</v>
          </cell>
          <cell r="H3072">
            <v>0</v>
          </cell>
          <cell r="I3072" t="str">
            <v>Canada</v>
          </cell>
          <cell r="J3072" t="str">
            <v>Amazon</v>
          </cell>
        </row>
        <row r="3073">
          <cell r="A3073" t="str">
            <v>04-09-2023</v>
          </cell>
          <cell r="B3073" t="str">
            <v>Electrolyte Powder</v>
          </cell>
          <cell r="C3073" t="str">
            <v>Hydration</v>
          </cell>
          <cell r="D3073">
            <v>119</v>
          </cell>
          <cell r="E3073">
            <v>41.14</v>
          </cell>
          <cell r="F3073">
            <v>4895.66</v>
          </cell>
          <cell r="G3073">
            <v>0.03</v>
          </cell>
          <cell r="H3073">
            <v>1</v>
          </cell>
          <cell r="I3073" t="str">
            <v>UK</v>
          </cell>
          <cell r="J3073" t="str">
            <v>Amazon</v>
          </cell>
        </row>
        <row r="3074">
          <cell r="A3074" t="str">
            <v>11-09-2023</v>
          </cell>
          <cell r="B3074" t="str">
            <v>Whey Protein</v>
          </cell>
          <cell r="C3074" t="str">
            <v>Protein</v>
          </cell>
          <cell r="D3074">
            <v>147</v>
          </cell>
          <cell r="E3074">
            <v>35.299999999999997</v>
          </cell>
          <cell r="F3074">
            <v>5189.1000000000004</v>
          </cell>
          <cell r="G3074">
            <v>0.02</v>
          </cell>
          <cell r="H3074">
            <v>0</v>
          </cell>
          <cell r="I3074" t="str">
            <v>USA</v>
          </cell>
          <cell r="J3074" t="str">
            <v>iHerb</v>
          </cell>
        </row>
        <row r="3075">
          <cell r="A3075" t="str">
            <v>11-09-2023</v>
          </cell>
          <cell r="B3075" t="str">
            <v>Vitamin C</v>
          </cell>
          <cell r="C3075" t="str">
            <v>Vitamin</v>
          </cell>
          <cell r="D3075">
            <v>151</v>
          </cell>
          <cell r="E3075">
            <v>14.77</v>
          </cell>
          <cell r="F3075">
            <v>2230.27</v>
          </cell>
          <cell r="G3075">
            <v>0.11</v>
          </cell>
          <cell r="H3075">
            <v>3</v>
          </cell>
          <cell r="I3075" t="str">
            <v>UK</v>
          </cell>
          <cell r="J3075" t="str">
            <v>Walmart</v>
          </cell>
        </row>
        <row r="3076">
          <cell r="A3076" t="str">
            <v>11-09-2023</v>
          </cell>
          <cell r="B3076" t="str">
            <v>Fish Oil</v>
          </cell>
          <cell r="C3076" t="str">
            <v>Omega</v>
          </cell>
          <cell r="D3076">
            <v>158</v>
          </cell>
          <cell r="E3076">
            <v>53.6</v>
          </cell>
          <cell r="F3076">
            <v>8468.7999999999993</v>
          </cell>
          <cell r="G3076">
            <v>0.24</v>
          </cell>
          <cell r="H3076">
            <v>2</v>
          </cell>
          <cell r="I3076" t="str">
            <v>Canada</v>
          </cell>
          <cell r="J3076" t="str">
            <v>iHerb</v>
          </cell>
        </row>
        <row r="3077">
          <cell r="A3077" t="str">
            <v>11-09-2023</v>
          </cell>
          <cell r="B3077" t="str">
            <v>Multivitamin</v>
          </cell>
          <cell r="C3077" t="str">
            <v>Vitamin</v>
          </cell>
          <cell r="D3077">
            <v>154</v>
          </cell>
          <cell r="E3077">
            <v>19.079999999999998</v>
          </cell>
          <cell r="F3077">
            <v>2938.32</v>
          </cell>
          <cell r="G3077">
            <v>0.17</v>
          </cell>
          <cell r="H3077">
            <v>5</v>
          </cell>
          <cell r="I3077" t="str">
            <v>USA</v>
          </cell>
          <cell r="J3077" t="str">
            <v>iHerb</v>
          </cell>
        </row>
        <row r="3078">
          <cell r="A3078" t="str">
            <v>11-09-2023</v>
          </cell>
          <cell r="B3078" t="str">
            <v>Pre-Workout</v>
          </cell>
          <cell r="C3078" t="str">
            <v>Performance</v>
          </cell>
          <cell r="D3078">
            <v>149</v>
          </cell>
          <cell r="E3078">
            <v>34.75</v>
          </cell>
          <cell r="F3078">
            <v>5177.75</v>
          </cell>
          <cell r="G3078">
            <v>0.11</v>
          </cell>
          <cell r="H3078">
            <v>1</v>
          </cell>
          <cell r="I3078" t="str">
            <v>USA</v>
          </cell>
          <cell r="J3078" t="str">
            <v>Walmart</v>
          </cell>
        </row>
        <row r="3079">
          <cell r="A3079" t="str">
            <v>11-09-2023</v>
          </cell>
          <cell r="B3079" t="str">
            <v>BCAA</v>
          </cell>
          <cell r="C3079" t="str">
            <v>Amino Acid</v>
          </cell>
          <cell r="D3079">
            <v>150</v>
          </cell>
          <cell r="E3079">
            <v>47.44</v>
          </cell>
          <cell r="F3079">
            <v>7116</v>
          </cell>
          <cell r="G3079">
            <v>0.22</v>
          </cell>
          <cell r="H3079">
            <v>3</v>
          </cell>
          <cell r="I3079" t="str">
            <v>UK</v>
          </cell>
          <cell r="J3079" t="str">
            <v>Walmart</v>
          </cell>
        </row>
        <row r="3080">
          <cell r="A3080" t="str">
            <v>11-09-2023</v>
          </cell>
          <cell r="B3080" t="str">
            <v>Creatine</v>
          </cell>
          <cell r="C3080" t="str">
            <v>Performance</v>
          </cell>
          <cell r="D3080">
            <v>144</v>
          </cell>
          <cell r="E3080">
            <v>46.34</v>
          </cell>
          <cell r="F3080">
            <v>6672.96</v>
          </cell>
          <cell r="G3080">
            <v>0.08</v>
          </cell>
          <cell r="H3080">
            <v>0</v>
          </cell>
          <cell r="I3080" t="str">
            <v>Canada</v>
          </cell>
          <cell r="J3080" t="str">
            <v>Amazon</v>
          </cell>
        </row>
        <row r="3081">
          <cell r="A3081" t="str">
            <v>11-09-2023</v>
          </cell>
          <cell r="B3081" t="str">
            <v>Zinc</v>
          </cell>
          <cell r="C3081" t="str">
            <v>Mineral</v>
          </cell>
          <cell r="D3081">
            <v>145</v>
          </cell>
          <cell r="E3081">
            <v>26.35</v>
          </cell>
          <cell r="F3081">
            <v>3820.75</v>
          </cell>
          <cell r="G3081">
            <v>0.16</v>
          </cell>
          <cell r="H3081">
            <v>2</v>
          </cell>
          <cell r="I3081" t="str">
            <v>UK</v>
          </cell>
          <cell r="J3081" t="str">
            <v>iHerb</v>
          </cell>
        </row>
        <row r="3082">
          <cell r="A3082" t="str">
            <v>11-09-2023</v>
          </cell>
          <cell r="B3082" t="str">
            <v>Collagen Peptides</v>
          </cell>
          <cell r="C3082" t="str">
            <v>Protein</v>
          </cell>
          <cell r="D3082">
            <v>148</v>
          </cell>
          <cell r="E3082">
            <v>25.95</v>
          </cell>
          <cell r="F3082">
            <v>3840.6</v>
          </cell>
          <cell r="G3082">
            <v>0.11</v>
          </cell>
          <cell r="H3082">
            <v>2</v>
          </cell>
          <cell r="I3082" t="str">
            <v>USA</v>
          </cell>
          <cell r="J3082" t="str">
            <v>Amazon</v>
          </cell>
        </row>
        <row r="3083">
          <cell r="A3083" t="str">
            <v>11-09-2023</v>
          </cell>
          <cell r="B3083" t="str">
            <v>Magnesium</v>
          </cell>
          <cell r="C3083" t="str">
            <v>Mineral</v>
          </cell>
          <cell r="D3083">
            <v>161</v>
          </cell>
          <cell r="E3083">
            <v>46.59</v>
          </cell>
          <cell r="F3083">
            <v>7500.99</v>
          </cell>
          <cell r="G3083">
            <v>0.2</v>
          </cell>
          <cell r="H3083">
            <v>3</v>
          </cell>
          <cell r="I3083" t="str">
            <v>USA</v>
          </cell>
          <cell r="J3083" t="str">
            <v>iHerb</v>
          </cell>
        </row>
        <row r="3084">
          <cell r="A3084" t="str">
            <v>11-09-2023</v>
          </cell>
          <cell r="B3084" t="str">
            <v>Ashwagandha</v>
          </cell>
          <cell r="C3084" t="str">
            <v>Herbal</v>
          </cell>
          <cell r="D3084">
            <v>157</v>
          </cell>
          <cell r="E3084">
            <v>59.18</v>
          </cell>
          <cell r="F3084">
            <v>9291.26</v>
          </cell>
          <cell r="G3084">
            <v>0.14000000000000001</v>
          </cell>
          <cell r="H3084">
            <v>0</v>
          </cell>
          <cell r="I3084" t="str">
            <v>UK</v>
          </cell>
          <cell r="J3084" t="str">
            <v>Amazon</v>
          </cell>
        </row>
        <row r="3085">
          <cell r="A3085" t="str">
            <v>11-09-2023</v>
          </cell>
          <cell r="B3085" t="str">
            <v>Melatonin</v>
          </cell>
          <cell r="C3085" t="str">
            <v>Sleep Aid</v>
          </cell>
          <cell r="D3085">
            <v>142</v>
          </cell>
          <cell r="E3085">
            <v>56.24</v>
          </cell>
          <cell r="F3085">
            <v>7986.08</v>
          </cell>
          <cell r="G3085">
            <v>0.04</v>
          </cell>
          <cell r="H3085">
            <v>0</v>
          </cell>
          <cell r="I3085" t="str">
            <v>UK</v>
          </cell>
          <cell r="J3085" t="str">
            <v>iHerb</v>
          </cell>
        </row>
        <row r="3086">
          <cell r="A3086" t="str">
            <v>11-09-2023</v>
          </cell>
          <cell r="B3086" t="str">
            <v>Biotin</v>
          </cell>
          <cell r="C3086" t="str">
            <v>Vitamin</v>
          </cell>
          <cell r="D3086">
            <v>142</v>
          </cell>
          <cell r="E3086">
            <v>43.01</v>
          </cell>
          <cell r="F3086">
            <v>6107.42</v>
          </cell>
          <cell r="G3086">
            <v>0.08</v>
          </cell>
          <cell r="H3086">
            <v>3</v>
          </cell>
          <cell r="I3086" t="str">
            <v>Canada</v>
          </cell>
          <cell r="J3086" t="str">
            <v>Walmart</v>
          </cell>
        </row>
        <row r="3087">
          <cell r="A3087" t="str">
            <v>11-09-2023</v>
          </cell>
          <cell r="B3087" t="str">
            <v>Green Tea Extract</v>
          </cell>
          <cell r="C3087" t="str">
            <v>Fat Burner</v>
          </cell>
          <cell r="D3087">
            <v>132</v>
          </cell>
          <cell r="E3087">
            <v>20.420000000000002</v>
          </cell>
          <cell r="F3087">
            <v>2695.44</v>
          </cell>
          <cell r="G3087">
            <v>7.0000000000000007E-2</v>
          </cell>
          <cell r="H3087">
            <v>0</v>
          </cell>
          <cell r="I3087" t="str">
            <v>USA</v>
          </cell>
          <cell r="J3087" t="str">
            <v>Amazon</v>
          </cell>
        </row>
        <row r="3088">
          <cell r="A3088" t="str">
            <v>11-09-2023</v>
          </cell>
          <cell r="B3088" t="str">
            <v>Iron Supplement</v>
          </cell>
          <cell r="C3088" t="str">
            <v>Mineral</v>
          </cell>
          <cell r="D3088">
            <v>126</v>
          </cell>
          <cell r="E3088">
            <v>18.21</v>
          </cell>
          <cell r="F3088">
            <v>2294.46</v>
          </cell>
          <cell r="G3088">
            <v>0.23</v>
          </cell>
          <cell r="H3088">
            <v>1</v>
          </cell>
          <cell r="I3088" t="str">
            <v>Canada</v>
          </cell>
          <cell r="J3088" t="str">
            <v>Amazon</v>
          </cell>
        </row>
        <row r="3089">
          <cell r="A3089" t="str">
            <v>11-09-2023</v>
          </cell>
          <cell r="B3089" t="str">
            <v>Electrolyte Powder</v>
          </cell>
          <cell r="C3089" t="str">
            <v>Hydration</v>
          </cell>
          <cell r="D3089">
            <v>156</v>
          </cell>
          <cell r="E3089">
            <v>22.02</v>
          </cell>
          <cell r="F3089">
            <v>3435.12</v>
          </cell>
          <cell r="G3089">
            <v>0.14000000000000001</v>
          </cell>
          <cell r="H3089">
            <v>2</v>
          </cell>
          <cell r="I3089" t="str">
            <v>Canada</v>
          </cell>
          <cell r="J3089" t="str">
            <v>Walmart</v>
          </cell>
        </row>
        <row r="3090">
          <cell r="A3090" t="str">
            <v>18-09-2023</v>
          </cell>
          <cell r="B3090" t="str">
            <v>Whey Protein</v>
          </cell>
          <cell r="C3090" t="str">
            <v>Protein</v>
          </cell>
          <cell r="D3090">
            <v>160</v>
          </cell>
          <cell r="E3090">
            <v>43.53</v>
          </cell>
          <cell r="F3090">
            <v>6964.8</v>
          </cell>
          <cell r="G3090">
            <v>0.11</v>
          </cell>
          <cell r="H3090">
            <v>3</v>
          </cell>
          <cell r="I3090" t="str">
            <v>Canada</v>
          </cell>
          <cell r="J3090" t="str">
            <v>Amazon</v>
          </cell>
        </row>
        <row r="3091">
          <cell r="A3091" t="str">
            <v>18-09-2023</v>
          </cell>
          <cell r="B3091" t="str">
            <v>Vitamin C</v>
          </cell>
          <cell r="C3091" t="str">
            <v>Vitamin</v>
          </cell>
          <cell r="D3091">
            <v>163</v>
          </cell>
          <cell r="E3091">
            <v>26.03</v>
          </cell>
          <cell r="F3091">
            <v>4242.8900000000003</v>
          </cell>
          <cell r="G3091">
            <v>0.14000000000000001</v>
          </cell>
          <cell r="H3091">
            <v>2</v>
          </cell>
          <cell r="I3091" t="str">
            <v>Canada</v>
          </cell>
          <cell r="J3091" t="str">
            <v>Walmart</v>
          </cell>
        </row>
        <row r="3092">
          <cell r="A3092" t="str">
            <v>18-09-2023</v>
          </cell>
          <cell r="B3092" t="str">
            <v>Fish Oil</v>
          </cell>
          <cell r="C3092" t="str">
            <v>Omega</v>
          </cell>
          <cell r="D3092">
            <v>152</v>
          </cell>
          <cell r="E3092">
            <v>24.13</v>
          </cell>
          <cell r="F3092">
            <v>3667.76</v>
          </cell>
          <cell r="G3092">
            <v>0.05</v>
          </cell>
          <cell r="H3092">
            <v>0</v>
          </cell>
          <cell r="I3092" t="str">
            <v>UK</v>
          </cell>
          <cell r="J3092" t="str">
            <v>iHerb</v>
          </cell>
        </row>
        <row r="3093">
          <cell r="A3093" t="str">
            <v>18-09-2023</v>
          </cell>
          <cell r="B3093" t="str">
            <v>Multivitamin</v>
          </cell>
          <cell r="C3093" t="str">
            <v>Vitamin</v>
          </cell>
          <cell r="D3093">
            <v>153</v>
          </cell>
          <cell r="E3093">
            <v>26.31</v>
          </cell>
          <cell r="F3093">
            <v>4025.43</v>
          </cell>
          <cell r="G3093">
            <v>0.15</v>
          </cell>
          <cell r="H3093">
            <v>0</v>
          </cell>
          <cell r="I3093" t="str">
            <v>USA</v>
          </cell>
          <cell r="J3093" t="str">
            <v>iHerb</v>
          </cell>
        </row>
        <row r="3094">
          <cell r="A3094" t="str">
            <v>18-09-2023</v>
          </cell>
          <cell r="B3094" t="str">
            <v>Pre-Workout</v>
          </cell>
          <cell r="C3094" t="str">
            <v>Performance</v>
          </cell>
          <cell r="D3094">
            <v>131</v>
          </cell>
          <cell r="E3094">
            <v>28.4</v>
          </cell>
          <cell r="F3094">
            <v>3720.4</v>
          </cell>
          <cell r="G3094">
            <v>0.17</v>
          </cell>
          <cell r="H3094">
            <v>2</v>
          </cell>
          <cell r="I3094" t="str">
            <v>USA</v>
          </cell>
          <cell r="J3094" t="str">
            <v>Walmart</v>
          </cell>
        </row>
        <row r="3095">
          <cell r="A3095" t="str">
            <v>18-09-2023</v>
          </cell>
          <cell r="B3095" t="str">
            <v>BCAA</v>
          </cell>
          <cell r="C3095" t="str">
            <v>Amino Acid</v>
          </cell>
          <cell r="D3095">
            <v>165</v>
          </cell>
          <cell r="E3095">
            <v>34.31</v>
          </cell>
          <cell r="F3095">
            <v>5661.15</v>
          </cell>
          <cell r="G3095">
            <v>0.18</v>
          </cell>
          <cell r="H3095">
            <v>3</v>
          </cell>
          <cell r="I3095" t="str">
            <v>USA</v>
          </cell>
          <cell r="J3095" t="str">
            <v>Walmart</v>
          </cell>
        </row>
        <row r="3096">
          <cell r="A3096" t="str">
            <v>18-09-2023</v>
          </cell>
          <cell r="B3096" t="str">
            <v>Creatine</v>
          </cell>
          <cell r="C3096" t="str">
            <v>Performance</v>
          </cell>
          <cell r="D3096">
            <v>161</v>
          </cell>
          <cell r="E3096">
            <v>19.63</v>
          </cell>
          <cell r="F3096">
            <v>3160.43</v>
          </cell>
          <cell r="G3096">
            <v>0.15</v>
          </cell>
          <cell r="H3096">
            <v>2</v>
          </cell>
          <cell r="I3096" t="str">
            <v>Canada</v>
          </cell>
          <cell r="J3096" t="str">
            <v>iHerb</v>
          </cell>
        </row>
        <row r="3097">
          <cell r="A3097" t="str">
            <v>18-09-2023</v>
          </cell>
          <cell r="B3097" t="str">
            <v>Zinc</v>
          </cell>
          <cell r="C3097" t="str">
            <v>Mineral</v>
          </cell>
          <cell r="D3097">
            <v>143</v>
          </cell>
          <cell r="E3097">
            <v>45.84</v>
          </cell>
          <cell r="F3097">
            <v>6555.12</v>
          </cell>
          <cell r="G3097">
            <v>7.0000000000000007E-2</v>
          </cell>
          <cell r="H3097">
            <v>0</v>
          </cell>
          <cell r="I3097" t="str">
            <v>UK</v>
          </cell>
          <cell r="J3097" t="str">
            <v>Amazon</v>
          </cell>
        </row>
        <row r="3098">
          <cell r="A3098" t="str">
            <v>18-09-2023</v>
          </cell>
          <cell r="B3098" t="str">
            <v>Collagen Peptides</v>
          </cell>
          <cell r="C3098" t="str">
            <v>Protein</v>
          </cell>
          <cell r="D3098">
            <v>135</v>
          </cell>
          <cell r="E3098">
            <v>39.630000000000003</v>
          </cell>
          <cell r="F3098">
            <v>5350.05</v>
          </cell>
          <cell r="G3098">
            <v>0.09</v>
          </cell>
          <cell r="H3098">
            <v>0</v>
          </cell>
          <cell r="I3098" t="str">
            <v>USA</v>
          </cell>
          <cell r="J3098" t="str">
            <v>iHerb</v>
          </cell>
        </row>
        <row r="3099">
          <cell r="A3099" t="str">
            <v>18-09-2023</v>
          </cell>
          <cell r="B3099" t="str">
            <v>Magnesium</v>
          </cell>
          <cell r="C3099" t="str">
            <v>Mineral</v>
          </cell>
          <cell r="D3099">
            <v>131</v>
          </cell>
          <cell r="E3099">
            <v>42.99</v>
          </cell>
          <cell r="F3099">
            <v>5631.69</v>
          </cell>
          <cell r="G3099">
            <v>0.02</v>
          </cell>
          <cell r="H3099">
            <v>1</v>
          </cell>
          <cell r="I3099" t="str">
            <v>UK</v>
          </cell>
          <cell r="J3099" t="str">
            <v>iHerb</v>
          </cell>
        </row>
        <row r="3100">
          <cell r="A3100" t="str">
            <v>18-09-2023</v>
          </cell>
          <cell r="B3100" t="str">
            <v>Ashwagandha</v>
          </cell>
          <cell r="C3100" t="str">
            <v>Herbal</v>
          </cell>
          <cell r="D3100">
            <v>133</v>
          </cell>
          <cell r="E3100">
            <v>18.61</v>
          </cell>
          <cell r="F3100">
            <v>2475.13</v>
          </cell>
          <cell r="G3100">
            <v>0.02</v>
          </cell>
          <cell r="H3100">
            <v>2</v>
          </cell>
          <cell r="I3100" t="str">
            <v>Canada</v>
          </cell>
          <cell r="J3100" t="str">
            <v>Walmart</v>
          </cell>
        </row>
        <row r="3101">
          <cell r="A3101" t="str">
            <v>18-09-2023</v>
          </cell>
          <cell r="B3101" t="str">
            <v>Melatonin</v>
          </cell>
          <cell r="C3101" t="str">
            <v>Sleep Aid</v>
          </cell>
          <cell r="D3101">
            <v>149</v>
          </cell>
          <cell r="E3101">
            <v>14.94</v>
          </cell>
          <cell r="F3101">
            <v>2226.06</v>
          </cell>
          <cell r="G3101">
            <v>0.04</v>
          </cell>
          <cell r="H3101">
            <v>1</v>
          </cell>
          <cell r="I3101" t="str">
            <v>USA</v>
          </cell>
          <cell r="J3101" t="str">
            <v>Walmart</v>
          </cell>
        </row>
        <row r="3102">
          <cell r="A3102" t="str">
            <v>18-09-2023</v>
          </cell>
          <cell r="B3102" t="str">
            <v>Biotin</v>
          </cell>
          <cell r="C3102" t="str">
            <v>Vitamin</v>
          </cell>
          <cell r="D3102">
            <v>160</v>
          </cell>
          <cell r="E3102">
            <v>30.42</v>
          </cell>
          <cell r="F3102">
            <v>4867.2</v>
          </cell>
          <cell r="G3102">
            <v>0.08</v>
          </cell>
          <cell r="H3102">
            <v>0</v>
          </cell>
          <cell r="I3102" t="str">
            <v>USA</v>
          </cell>
          <cell r="J3102" t="str">
            <v>iHerb</v>
          </cell>
        </row>
        <row r="3103">
          <cell r="A3103" t="str">
            <v>18-09-2023</v>
          </cell>
          <cell r="B3103" t="str">
            <v>Green Tea Extract</v>
          </cell>
          <cell r="C3103" t="str">
            <v>Fat Burner</v>
          </cell>
          <cell r="D3103">
            <v>175</v>
          </cell>
          <cell r="E3103">
            <v>49.39</v>
          </cell>
          <cell r="F3103">
            <v>8643.25</v>
          </cell>
          <cell r="G3103">
            <v>0.16</v>
          </cell>
          <cell r="H3103">
            <v>2</v>
          </cell>
          <cell r="I3103" t="str">
            <v>USA</v>
          </cell>
          <cell r="J3103" t="str">
            <v>iHerb</v>
          </cell>
        </row>
        <row r="3104">
          <cell r="A3104" t="str">
            <v>18-09-2023</v>
          </cell>
          <cell r="B3104" t="str">
            <v>Iron Supplement</v>
          </cell>
          <cell r="C3104" t="str">
            <v>Mineral</v>
          </cell>
          <cell r="D3104">
            <v>130</v>
          </cell>
          <cell r="E3104">
            <v>17.77</v>
          </cell>
          <cell r="F3104">
            <v>2310.1</v>
          </cell>
          <cell r="G3104">
            <v>0.1</v>
          </cell>
          <cell r="H3104">
            <v>2</v>
          </cell>
          <cell r="I3104" t="str">
            <v>USA</v>
          </cell>
          <cell r="J3104" t="str">
            <v>Amazon</v>
          </cell>
        </row>
        <row r="3105">
          <cell r="A3105" t="str">
            <v>18-09-2023</v>
          </cell>
          <cell r="B3105" t="str">
            <v>Electrolyte Powder</v>
          </cell>
          <cell r="C3105" t="str">
            <v>Hydration</v>
          </cell>
          <cell r="D3105">
            <v>161</v>
          </cell>
          <cell r="E3105">
            <v>43.58</v>
          </cell>
          <cell r="F3105">
            <v>7016.38</v>
          </cell>
          <cell r="G3105">
            <v>0.04</v>
          </cell>
          <cell r="H3105">
            <v>1</v>
          </cell>
          <cell r="I3105" t="str">
            <v>Canada</v>
          </cell>
          <cell r="J3105" t="str">
            <v>Walmart</v>
          </cell>
        </row>
        <row r="3106">
          <cell r="A3106" t="str">
            <v>25-09-2023</v>
          </cell>
          <cell r="B3106" t="str">
            <v>Whey Protein</v>
          </cell>
          <cell r="C3106" t="str">
            <v>Protein</v>
          </cell>
          <cell r="D3106">
            <v>178</v>
          </cell>
          <cell r="E3106">
            <v>14.38</v>
          </cell>
          <cell r="F3106">
            <v>2559.64</v>
          </cell>
          <cell r="G3106">
            <v>0.12</v>
          </cell>
          <cell r="H3106">
            <v>3</v>
          </cell>
          <cell r="I3106" t="str">
            <v>UK</v>
          </cell>
          <cell r="J3106" t="str">
            <v>Walmart</v>
          </cell>
        </row>
        <row r="3107">
          <cell r="A3107" t="str">
            <v>25-09-2023</v>
          </cell>
          <cell r="B3107" t="str">
            <v>Vitamin C</v>
          </cell>
          <cell r="C3107" t="str">
            <v>Vitamin</v>
          </cell>
          <cell r="D3107">
            <v>152</v>
          </cell>
          <cell r="E3107">
            <v>58.71</v>
          </cell>
          <cell r="F3107">
            <v>8923.92</v>
          </cell>
          <cell r="G3107">
            <v>0.21</v>
          </cell>
          <cell r="H3107">
            <v>0</v>
          </cell>
          <cell r="I3107" t="str">
            <v>Canada</v>
          </cell>
          <cell r="J3107" t="str">
            <v>Amazon</v>
          </cell>
        </row>
        <row r="3108">
          <cell r="A3108" t="str">
            <v>25-09-2023</v>
          </cell>
          <cell r="B3108" t="str">
            <v>Fish Oil</v>
          </cell>
          <cell r="C3108" t="str">
            <v>Omega</v>
          </cell>
          <cell r="D3108">
            <v>171</v>
          </cell>
          <cell r="E3108">
            <v>28.59</v>
          </cell>
          <cell r="F3108">
            <v>4888.8900000000003</v>
          </cell>
          <cell r="G3108">
            <v>0.12</v>
          </cell>
          <cell r="H3108">
            <v>3</v>
          </cell>
          <cell r="I3108" t="str">
            <v>USA</v>
          </cell>
          <cell r="J3108" t="str">
            <v>Amazon</v>
          </cell>
        </row>
        <row r="3109">
          <cell r="A3109" t="str">
            <v>25-09-2023</v>
          </cell>
          <cell r="B3109" t="str">
            <v>Multivitamin</v>
          </cell>
          <cell r="C3109" t="str">
            <v>Vitamin</v>
          </cell>
          <cell r="D3109">
            <v>156</v>
          </cell>
          <cell r="E3109">
            <v>57.88</v>
          </cell>
          <cell r="F3109">
            <v>9029.2800000000007</v>
          </cell>
          <cell r="G3109">
            <v>0.04</v>
          </cell>
          <cell r="H3109">
            <v>2</v>
          </cell>
          <cell r="I3109" t="str">
            <v>Canada</v>
          </cell>
          <cell r="J3109" t="str">
            <v>Amazon</v>
          </cell>
        </row>
        <row r="3110">
          <cell r="A3110" t="str">
            <v>25-09-2023</v>
          </cell>
          <cell r="B3110" t="str">
            <v>Pre-Workout</v>
          </cell>
          <cell r="C3110" t="str">
            <v>Performance</v>
          </cell>
          <cell r="D3110">
            <v>155</v>
          </cell>
          <cell r="E3110">
            <v>18.54</v>
          </cell>
          <cell r="F3110">
            <v>2873.7</v>
          </cell>
          <cell r="G3110">
            <v>0.22</v>
          </cell>
          <cell r="H3110">
            <v>1</v>
          </cell>
          <cell r="I3110" t="str">
            <v>USA</v>
          </cell>
          <cell r="J3110" t="str">
            <v>iHerb</v>
          </cell>
        </row>
        <row r="3111">
          <cell r="A3111" t="str">
            <v>25-09-2023</v>
          </cell>
          <cell r="B3111" t="str">
            <v>BCAA</v>
          </cell>
          <cell r="C3111" t="str">
            <v>Amino Acid</v>
          </cell>
          <cell r="D3111">
            <v>156</v>
          </cell>
          <cell r="E3111">
            <v>46.37</v>
          </cell>
          <cell r="F3111">
            <v>7233.72</v>
          </cell>
          <cell r="G3111">
            <v>0.12</v>
          </cell>
          <cell r="H3111">
            <v>1</v>
          </cell>
          <cell r="I3111" t="str">
            <v>UK</v>
          </cell>
          <cell r="J3111" t="str">
            <v>Walmart</v>
          </cell>
        </row>
        <row r="3112">
          <cell r="A3112" t="str">
            <v>25-09-2023</v>
          </cell>
          <cell r="B3112" t="str">
            <v>Creatine</v>
          </cell>
          <cell r="C3112" t="str">
            <v>Performance</v>
          </cell>
          <cell r="D3112">
            <v>145</v>
          </cell>
          <cell r="E3112">
            <v>33.4</v>
          </cell>
          <cell r="F3112">
            <v>4843</v>
          </cell>
          <cell r="G3112">
            <v>0.05</v>
          </cell>
          <cell r="H3112">
            <v>3</v>
          </cell>
          <cell r="I3112" t="str">
            <v>UK</v>
          </cell>
          <cell r="J3112" t="str">
            <v>Amazon</v>
          </cell>
        </row>
        <row r="3113">
          <cell r="A3113" t="str">
            <v>25-09-2023</v>
          </cell>
          <cell r="B3113" t="str">
            <v>Zinc</v>
          </cell>
          <cell r="C3113" t="str">
            <v>Mineral</v>
          </cell>
          <cell r="D3113">
            <v>162</v>
          </cell>
          <cell r="E3113">
            <v>59.95</v>
          </cell>
          <cell r="F3113">
            <v>9711.9</v>
          </cell>
          <cell r="G3113">
            <v>0.17</v>
          </cell>
          <cell r="H3113">
            <v>0</v>
          </cell>
          <cell r="I3113" t="str">
            <v>UK</v>
          </cell>
          <cell r="J3113" t="str">
            <v>iHerb</v>
          </cell>
        </row>
        <row r="3114">
          <cell r="A3114" t="str">
            <v>25-09-2023</v>
          </cell>
          <cell r="B3114" t="str">
            <v>Collagen Peptides</v>
          </cell>
          <cell r="C3114" t="str">
            <v>Protein</v>
          </cell>
          <cell r="D3114">
            <v>140</v>
          </cell>
          <cell r="E3114">
            <v>48.99</v>
          </cell>
          <cell r="F3114">
            <v>6858.6</v>
          </cell>
          <cell r="G3114">
            <v>0.06</v>
          </cell>
          <cell r="H3114">
            <v>1</v>
          </cell>
          <cell r="I3114" t="str">
            <v>USA</v>
          </cell>
          <cell r="J3114" t="str">
            <v>iHerb</v>
          </cell>
        </row>
        <row r="3115">
          <cell r="A3115" t="str">
            <v>25-09-2023</v>
          </cell>
          <cell r="B3115" t="str">
            <v>Magnesium</v>
          </cell>
          <cell r="C3115" t="str">
            <v>Mineral</v>
          </cell>
          <cell r="D3115">
            <v>143</v>
          </cell>
          <cell r="E3115">
            <v>18.59</v>
          </cell>
          <cell r="F3115">
            <v>2658.37</v>
          </cell>
          <cell r="G3115">
            <v>0.03</v>
          </cell>
          <cell r="H3115">
            <v>2</v>
          </cell>
          <cell r="I3115" t="str">
            <v>USA</v>
          </cell>
          <cell r="J3115" t="str">
            <v>iHerb</v>
          </cell>
        </row>
        <row r="3116">
          <cell r="A3116" t="str">
            <v>25-09-2023</v>
          </cell>
          <cell r="B3116" t="str">
            <v>Ashwagandha</v>
          </cell>
          <cell r="C3116" t="str">
            <v>Herbal</v>
          </cell>
          <cell r="D3116">
            <v>161</v>
          </cell>
          <cell r="E3116">
            <v>28.19</v>
          </cell>
          <cell r="F3116">
            <v>4538.59</v>
          </cell>
          <cell r="G3116">
            <v>0.11</v>
          </cell>
          <cell r="H3116">
            <v>1</v>
          </cell>
          <cell r="I3116" t="str">
            <v>Canada</v>
          </cell>
          <cell r="J3116" t="str">
            <v>Amazon</v>
          </cell>
        </row>
        <row r="3117">
          <cell r="A3117" t="str">
            <v>25-09-2023</v>
          </cell>
          <cell r="B3117" t="str">
            <v>Melatonin</v>
          </cell>
          <cell r="C3117" t="str">
            <v>Sleep Aid</v>
          </cell>
          <cell r="D3117">
            <v>139</v>
          </cell>
          <cell r="E3117">
            <v>37.200000000000003</v>
          </cell>
          <cell r="F3117">
            <v>5170.8</v>
          </cell>
          <cell r="G3117">
            <v>0.15</v>
          </cell>
          <cell r="H3117">
            <v>1</v>
          </cell>
          <cell r="I3117" t="str">
            <v>Canada</v>
          </cell>
          <cell r="J3117" t="str">
            <v>Amazon</v>
          </cell>
        </row>
        <row r="3118">
          <cell r="A3118" t="str">
            <v>25-09-2023</v>
          </cell>
          <cell r="B3118" t="str">
            <v>Biotin</v>
          </cell>
          <cell r="C3118" t="str">
            <v>Vitamin</v>
          </cell>
          <cell r="D3118">
            <v>162</v>
          </cell>
          <cell r="E3118">
            <v>35.26</v>
          </cell>
          <cell r="F3118">
            <v>5712.12</v>
          </cell>
          <cell r="G3118">
            <v>0.21</v>
          </cell>
          <cell r="H3118">
            <v>2</v>
          </cell>
          <cell r="I3118" t="str">
            <v>USA</v>
          </cell>
          <cell r="J3118" t="str">
            <v>Walmart</v>
          </cell>
        </row>
        <row r="3119">
          <cell r="A3119" t="str">
            <v>25-09-2023</v>
          </cell>
          <cell r="B3119" t="str">
            <v>Green Tea Extract</v>
          </cell>
          <cell r="C3119" t="str">
            <v>Fat Burner</v>
          </cell>
          <cell r="D3119">
            <v>141</v>
          </cell>
          <cell r="E3119">
            <v>54.45</v>
          </cell>
          <cell r="F3119">
            <v>7677.45</v>
          </cell>
          <cell r="G3119">
            <v>0.19</v>
          </cell>
          <cell r="H3119">
            <v>3</v>
          </cell>
          <cell r="I3119" t="str">
            <v>UK</v>
          </cell>
          <cell r="J3119" t="str">
            <v>Amazon</v>
          </cell>
        </row>
        <row r="3120">
          <cell r="A3120" t="str">
            <v>25-09-2023</v>
          </cell>
          <cell r="B3120" t="str">
            <v>Iron Supplement</v>
          </cell>
          <cell r="C3120" t="str">
            <v>Mineral</v>
          </cell>
          <cell r="D3120">
            <v>126</v>
          </cell>
          <cell r="E3120">
            <v>17.23</v>
          </cell>
          <cell r="F3120">
            <v>2170.98</v>
          </cell>
          <cell r="G3120">
            <v>0.13</v>
          </cell>
          <cell r="H3120">
            <v>0</v>
          </cell>
          <cell r="I3120" t="str">
            <v>UK</v>
          </cell>
          <cell r="J3120" t="str">
            <v>Amazon</v>
          </cell>
        </row>
        <row r="3121">
          <cell r="A3121" t="str">
            <v>25-09-2023</v>
          </cell>
          <cell r="B3121" t="str">
            <v>Electrolyte Powder</v>
          </cell>
          <cell r="C3121" t="str">
            <v>Hydration</v>
          </cell>
          <cell r="D3121">
            <v>134</v>
          </cell>
          <cell r="E3121">
            <v>41.51</v>
          </cell>
          <cell r="F3121">
            <v>5562.34</v>
          </cell>
          <cell r="G3121">
            <v>0.09</v>
          </cell>
          <cell r="H3121">
            <v>0</v>
          </cell>
          <cell r="I3121" t="str">
            <v>Canada</v>
          </cell>
          <cell r="J3121" t="str">
            <v>Walmart</v>
          </cell>
        </row>
        <row r="3122">
          <cell r="A3122" t="str">
            <v>02-10-2023</v>
          </cell>
          <cell r="B3122" t="str">
            <v>Whey Protein</v>
          </cell>
          <cell r="C3122" t="str">
            <v>Protein</v>
          </cell>
          <cell r="D3122">
            <v>143</v>
          </cell>
          <cell r="E3122">
            <v>57.08</v>
          </cell>
          <cell r="F3122">
            <v>8162.44</v>
          </cell>
          <cell r="G3122">
            <v>0.08</v>
          </cell>
          <cell r="H3122">
            <v>1</v>
          </cell>
          <cell r="I3122" t="str">
            <v>UK</v>
          </cell>
          <cell r="J3122" t="str">
            <v>Walmart</v>
          </cell>
        </row>
        <row r="3123">
          <cell r="A3123" t="str">
            <v>02-10-2023</v>
          </cell>
          <cell r="B3123" t="str">
            <v>Vitamin C</v>
          </cell>
          <cell r="C3123" t="str">
            <v>Vitamin</v>
          </cell>
          <cell r="D3123">
            <v>164</v>
          </cell>
          <cell r="E3123">
            <v>45.51</v>
          </cell>
          <cell r="F3123">
            <v>7463.64</v>
          </cell>
          <cell r="G3123">
            <v>0.16</v>
          </cell>
          <cell r="H3123">
            <v>4</v>
          </cell>
          <cell r="I3123" t="str">
            <v>Canada</v>
          </cell>
          <cell r="J3123" t="str">
            <v>iHerb</v>
          </cell>
        </row>
        <row r="3124">
          <cell r="A3124" t="str">
            <v>02-10-2023</v>
          </cell>
          <cell r="B3124" t="str">
            <v>Fish Oil</v>
          </cell>
          <cell r="C3124" t="str">
            <v>Omega</v>
          </cell>
          <cell r="D3124">
            <v>163</v>
          </cell>
          <cell r="E3124">
            <v>43.12</v>
          </cell>
          <cell r="F3124">
            <v>7028.56</v>
          </cell>
          <cell r="G3124">
            <v>0.16</v>
          </cell>
          <cell r="H3124">
            <v>0</v>
          </cell>
          <cell r="I3124" t="str">
            <v>Canada</v>
          </cell>
          <cell r="J3124" t="str">
            <v>iHerb</v>
          </cell>
        </row>
        <row r="3125">
          <cell r="A3125" t="str">
            <v>02-10-2023</v>
          </cell>
          <cell r="B3125" t="str">
            <v>Multivitamin</v>
          </cell>
          <cell r="C3125" t="str">
            <v>Vitamin</v>
          </cell>
          <cell r="D3125">
            <v>151</v>
          </cell>
          <cell r="E3125">
            <v>48.1</v>
          </cell>
          <cell r="F3125">
            <v>7263.1</v>
          </cell>
          <cell r="G3125">
            <v>0.13</v>
          </cell>
          <cell r="H3125">
            <v>0</v>
          </cell>
          <cell r="I3125" t="str">
            <v>USA</v>
          </cell>
          <cell r="J3125" t="str">
            <v>Amazon</v>
          </cell>
        </row>
        <row r="3126">
          <cell r="A3126" t="str">
            <v>02-10-2023</v>
          </cell>
          <cell r="B3126" t="str">
            <v>Pre-Workout</v>
          </cell>
          <cell r="C3126" t="str">
            <v>Performance</v>
          </cell>
          <cell r="D3126">
            <v>159</v>
          </cell>
          <cell r="E3126">
            <v>18.260000000000002</v>
          </cell>
          <cell r="F3126">
            <v>2903.34</v>
          </cell>
          <cell r="G3126">
            <v>0.24</v>
          </cell>
          <cell r="H3126">
            <v>1</v>
          </cell>
          <cell r="I3126" t="str">
            <v>Canada</v>
          </cell>
          <cell r="J3126" t="str">
            <v>Walmart</v>
          </cell>
        </row>
        <row r="3127">
          <cell r="A3127" t="str">
            <v>02-10-2023</v>
          </cell>
          <cell r="B3127" t="str">
            <v>BCAA</v>
          </cell>
          <cell r="C3127" t="str">
            <v>Amino Acid</v>
          </cell>
          <cell r="D3127">
            <v>148</v>
          </cell>
          <cell r="E3127">
            <v>40.159999999999997</v>
          </cell>
          <cell r="F3127">
            <v>5943.68</v>
          </cell>
          <cell r="G3127">
            <v>0.09</v>
          </cell>
          <cell r="H3127">
            <v>1</v>
          </cell>
          <cell r="I3127" t="str">
            <v>UK</v>
          </cell>
          <cell r="J3127" t="str">
            <v>Walmart</v>
          </cell>
        </row>
        <row r="3128">
          <cell r="A3128" t="str">
            <v>02-10-2023</v>
          </cell>
          <cell r="B3128" t="str">
            <v>Creatine</v>
          </cell>
          <cell r="C3128" t="str">
            <v>Performance</v>
          </cell>
          <cell r="D3128">
            <v>163</v>
          </cell>
          <cell r="E3128">
            <v>49.9</v>
          </cell>
          <cell r="F3128">
            <v>8133.7</v>
          </cell>
          <cell r="G3128">
            <v>0.14000000000000001</v>
          </cell>
          <cell r="H3128">
            <v>5</v>
          </cell>
          <cell r="I3128" t="str">
            <v>Canada</v>
          </cell>
          <cell r="J3128" t="str">
            <v>Walmart</v>
          </cell>
        </row>
        <row r="3129">
          <cell r="A3129" t="str">
            <v>02-10-2023</v>
          </cell>
          <cell r="B3129" t="str">
            <v>Zinc</v>
          </cell>
          <cell r="C3129" t="str">
            <v>Mineral</v>
          </cell>
          <cell r="D3129">
            <v>153</v>
          </cell>
          <cell r="E3129">
            <v>12.53</v>
          </cell>
          <cell r="F3129">
            <v>1917.09</v>
          </cell>
          <cell r="G3129">
            <v>0.22</v>
          </cell>
          <cell r="H3129">
            <v>3</v>
          </cell>
          <cell r="I3129" t="str">
            <v>UK</v>
          </cell>
          <cell r="J3129" t="str">
            <v>iHerb</v>
          </cell>
        </row>
        <row r="3130">
          <cell r="A3130" t="str">
            <v>02-10-2023</v>
          </cell>
          <cell r="B3130" t="str">
            <v>Collagen Peptides</v>
          </cell>
          <cell r="C3130" t="str">
            <v>Protein</v>
          </cell>
          <cell r="D3130">
            <v>144</v>
          </cell>
          <cell r="E3130">
            <v>34.479999999999997</v>
          </cell>
          <cell r="F3130">
            <v>4965.12</v>
          </cell>
          <cell r="G3130">
            <v>0.24</v>
          </cell>
          <cell r="H3130">
            <v>4</v>
          </cell>
          <cell r="I3130" t="str">
            <v>Canada</v>
          </cell>
          <cell r="J3130" t="str">
            <v>Amazon</v>
          </cell>
        </row>
        <row r="3131">
          <cell r="A3131" t="str">
            <v>02-10-2023</v>
          </cell>
          <cell r="B3131" t="str">
            <v>Magnesium</v>
          </cell>
          <cell r="C3131" t="str">
            <v>Mineral</v>
          </cell>
          <cell r="D3131">
            <v>170</v>
          </cell>
          <cell r="E3131">
            <v>51.55</v>
          </cell>
          <cell r="F3131">
            <v>8763.5</v>
          </cell>
          <cell r="G3131">
            <v>0.18</v>
          </cell>
          <cell r="H3131">
            <v>4</v>
          </cell>
          <cell r="I3131" t="str">
            <v>UK</v>
          </cell>
          <cell r="J3131" t="str">
            <v>Amazon</v>
          </cell>
        </row>
        <row r="3132">
          <cell r="A3132" t="str">
            <v>02-10-2023</v>
          </cell>
          <cell r="B3132" t="str">
            <v>Ashwagandha</v>
          </cell>
          <cell r="C3132" t="str">
            <v>Herbal</v>
          </cell>
          <cell r="D3132">
            <v>152</v>
          </cell>
          <cell r="E3132">
            <v>39.869999999999997</v>
          </cell>
          <cell r="F3132">
            <v>6060.24</v>
          </cell>
          <cell r="G3132">
            <v>0.17</v>
          </cell>
          <cell r="H3132">
            <v>1</v>
          </cell>
          <cell r="I3132" t="str">
            <v>USA</v>
          </cell>
          <cell r="J3132" t="str">
            <v>Walmart</v>
          </cell>
        </row>
        <row r="3133">
          <cell r="A3133" t="str">
            <v>02-10-2023</v>
          </cell>
          <cell r="B3133" t="str">
            <v>Melatonin</v>
          </cell>
          <cell r="C3133" t="str">
            <v>Sleep Aid</v>
          </cell>
          <cell r="D3133">
            <v>146</v>
          </cell>
          <cell r="E3133">
            <v>28.71</v>
          </cell>
          <cell r="F3133">
            <v>4191.66</v>
          </cell>
          <cell r="G3133">
            <v>0.09</v>
          </cell>
          <cell r="H3133">
            <v>0</v>
          </cell>
          <cell r="I3133" t="str">
            <v>USA</v>
          </cell>
          <cell r="J3133" t="str">
            <v>Walmart</v>
          </cell>
        </row>
        <row r="3134">
          <cell r="A3134" t="str">
            <v>02-10-2023</v>
          </cell>
          <cell r="B3134" t="str">
            <v>Biotin</v>
          </cell>
          <cell r="C3134" t="str">
            <v>Vitamin</v>
          </cell>
          <cell r="D3134">
            <v>175</v>
          </cell>
          <cell r="E3134">
            <v>10.06</v>
          </cell>
          <cell r="F3134">
            <v>1760.5</v>
          </cell>
          <cell r="G3134">
            <v>0.19</v>
          </cell>
          <cell r="H3134">
            <v>2</v>
          </cell>
          <cell r="I3134" t="str">
            <v>UK</v>
          </cell>
          <cell r="J3134" t="str">
            <v>iHerb</v>
          </cell>
        </row>
        <row r="3135">
          <cell r="A3135" t="str">
            <v>02-10-2023</v>
          </cell>
          <cell r="B3135" t="str">
            <v>Green Tea Extract</v>
          </cell>
          <cell r="C3135" t="str">
            <v>Fat Burner</v>
          </cell>
          <cell r="D3135">
            <v>154</v>
          </cell>
          <cell r="E3135">
            <v>48.9</v>
          </cell>
          <cell r="F3135">
            <v>7530.6</v>
          </cell>
          <cell r="G3135">
            <v>0.11</v>
          </cell>
          <cell r="H3135">
            <v>0</v>
          </cell>
          <cell r="I3135" t="str">
            <v>USA</v>
          </cell>
          <cell r="J3135" t="str">
            <v>Amazon</v>
          </cell>
        </row>
        <row r="3136">
          <cell r="A3136" t="str">
            <v>02-10-2023</v>
          </cell>
          <cell r="B3136" t="str">
            <v>Iron Supplement</v>
          </cell>
          <cell r="C3136" t="str">
            <v>Mineral</v>
          </cell>
          <cell r="D3136">
            <v>158</v>
          </cell>
          <cell r="E3136">
            <v>26.45</v>
          </cell>
          <cell r="F3136">
            <v>4179.1000000000004</v>
          </cell>
          <cell r="G3136">
            <v>0.11</v>
          </cell>
          <cell r="H3136">
            <v>0</v>
          </cell>
          <cell r="I3136" t="str">
            <v>USA</v>
          </cell>
          <cell r="J3136" t="str">
            <v>Amazon</v>
          </cell>
        </row>
        <row r="3137">
          <cell r="A3137" t="str">
            <v>02-10-2023</v>
          </cell>
          <cell r="B3137" t="str">
            <v>Electrolyte Powder</v>
          </cell>
          <cell r="C3137" t="str">
            <v>Hydration</v>
          </cell>
          <cell r="D3137">
            <v>148</v>
          </cell>
          <cell r="E3137">
            <v>37.950000000000003</v>
          </cell>
          <cell r="F3137">
            <v>5616.6</v>
          </cell>
          <cell r="G3137">
            <v>0.17</v>
          </cell>
          <cell r="H3137">
            <v>0</v>
          </cell>
          <cell r="I3137" t="str">
            <v>UK</v>
          </cell>
          <cell r="J3137" t="str">
            <v>iHerb</v>
          </cell>
        </row>
        <row r="3138">
          <cell r="A3138" t="str">
            <v>09-10-2023</v>
          </cell>
          <cell r="B3138" t="str">
            <v>Whey Protein</v>
          </cell>
          <cell r="C3138" t="str">
            <v>Protein</v>
          </cell>
          <cell r="D3138">
            <v>166</v>
          </cell>
          <cell r="E3138">
            <v>21.27</v>
          </cell>
          <cell r="F3138">
            <v>3530.82</v>
          </cell>
          <cell r="G3138">
            <v>0.17</v>
          </cell>
          <cell r="H3138">
            <v>1</v>
          </cell>
          <cell r="I3138" t="str">
            <v>Canada</v>
          </cell>
          <cell r="J3138" t="str">
            <v>iHerb</v>
          </cell>
        </row>
        <row r="3139">
          <cell r="A3139" t="str">
            <v>09-10-2023</v>
          </cell>
          <cell r="B3139" t="str">
            <v>Vitamin C</v>
          </cell>
          <cell r="C3139" t="str">
            <v>Vitamin</v>
          </cell>
          <cell r="D3139">
            <v>150</v>
          </cell>
          <cell r="E3139">
            <v>50.29</v>
          </cell>
          <cell r="F3139">
            <v>7543.5</v>
          </cell>
          <cell r="G3139">
            <v>0.15</v>
          </cell>
          <cell r="H3139">
            <v>0</v>
          </cell>
          <cell r="I3139" t="str">
            <v>Canada</v>
          </cell>
          <cell r="J3139" t="str">
            <v>Walmart</v>
          </cell>
        </row>
        <row r="3140">
          <cell r="A3140" t="str">
            <v>09-10-2023</v>
          </cell>
          <cell r="B3140" t="str">
            <v>Fish Oil</v>
          </cell>
          <cell r="C3140" t="str">
            <v>Omega</v>
          </cell>
          <cell r="D3140">
            <v>145</v>
          </cell>
          <cell r="E3140">
            <v>38.42</v>
          </cell>
          <cell r="F3140">
            <v>5570.9</v>
          </cell>
          <cell r="G3140">
            <v>0.03</v>
          </cell>
          <cell r="H3140">
            <v>1</v>
          </cell>
          <cell r="I3140" t="str">
            <v>UK</v>
          </cell>
          <cell r="J3140" t="str">
            <v>Amazon</v>
          </cell>
        </row>
        <row r="3141">
          <cell r="A3141" t="str">
            <v>09-10-2023</v>
          </cell>
          <cell r="B3141" t="str">
            <v>Multivitamin</v>
          </cell>
          <cell r="C3141" t="str">
            <v>Vitamin</v>
          </cell>
          <cell r="D3141">
            <v>140</v>
          </cell>
          <cell r="E3141">
            <v>52.17</v>
          </cell>
          <cell r="F3141">
            <v>7303.8</v>
          </cell>
          <cell r="G3141">
            <v>0.11</v>
          </cell>
          <cell r="H3141">
            <v>1</v>
          </cell>
          <cell r="I3141" t="str">
            <v>Canada</v>
          </cell>
          <cell r="J3141" t="str">
            <v>Amazon</v>
          </cell>
        </row>
        <row r="3142">
          <cell r="A3142" t="str">
            <v>09-10-2023</v>
          </cell>
          <cell r="B3142" t="str">
            <v>Pre-Workout</v>
          </cell>
          <cell r="C3142" t="str">
            <v>Performance</v>
          </cell>
          <cell r="D3142">
            <v>169</v>
          </cell>
          <cell r="E3142">
            <v>38.31</v>
          </cell>
          <cell r="F3142">
            <v>6474.39</v>
          </cell>
          <cell r="G3142">
            <v>7.0000000000000007E-2</v>
          </cell>
          <cell r="H3142">
            <v>2</v>
          </cell>
          <cell r="I3142" t="str">
            <v>Canada</v>
          </cell>
          <cell r="J3142" t="str">
            <v>Walmart</v>
          </cell>
        </row>
        <row r="3143">
          <cell r="A3143" t="str">
            <v>09-10-2023</v>
          </cell>
          <cell r="B3143" t="str">
            <v>BCAA</v>
          </cell>
          <cell r="C3143" t="str">
            <v>Amino Acid</v>
          </cell>
          <cell r="D3143">
            <v>153</v>
          </cell>
          <cell r="E3143">
            <v>59.53</v>
          </cell>
          <cell r="F3143">
            <v>9108.09</v>
          </cell>
          <cell r="G3143">
            <v>0.22</v>
          </cell>
          <cell r="H3143">
            <v>2</v>
          </cell>
          <cell r="I3143" t="str">
            <v>Canada</v>
          </cell>
          <cell r="J3143" t="str">
            <v>Amazon</v>
          </cell>
        </row>
        <row r="3144">
          <cell r="A3144" t="str">
            <v>09-10-2023</v>
          </cell>
          <cell r="B3144" t="str">
            <v>Creatine</v>
          </cell>
          <cell r="C3144" t="str">
            <v>Performance</v>
          </cell>
          <cell r="D3144">
            <v>151</v>
          </cell>
          <cell r="E3144">
            <v>19.239999999999998</v>
          </cell>
          <cell r="F3144">
            <v>2905.24</v>
          </cell>
          <cell r="G3144">
            <v>0.08</v>
          </cell>
          <cell r="H3144">
            <v>2</v>
          </cell>
          <cell r="I3144" t="str">
            <v>UK</v>
          </cell>
          <cell r="J3144" t="str">
            <v>iHerb</v>
          </cell>
        </row>
        <row r="3145">
          <cell r="A3145" t="str">
            <v>09-10-2023</v>
          </cell>
          <cell r="B3145" t="str">
            <v>Zinc</v>
          </cell>
          <cell r="C3145" t="str">
            <v>Mineral</v>
          </cell>
          <cell r="D3145">
            <v>148</v>
          </cell>
          <cell r="E3145">
            <v>17.399999999999999</v>
          </cell>
          <cell r="F3145">
            <v>2575.1999999999998</v>
          </cell>
          <cell r="G3145">
            <v>0.13</v>
          </cell>
          <cell r="H3145">
            <v>2</v>
          </cell>
          <cell r="I3145" t="str">
            <v>UK</v>
          </cell>
          <cell r="J3145" t="str">
            <v>Walmart</v>
          </cell>
        </row>
        <row r="3146">
          <cell r="A3146" t="str">
            <v>09-10-2023</v>
          </cell>
          <cell r="B3146" t="str">
            <v>Collagen Peptides</v>
          </cell>
          <cell r="C3146" t="str">
            <v>Protein</v>
          </cell>
          <cell r="D3146">
            <v>151</v>
          </cell>
          <cell r="E3146">
            <v>59.48</v>
          </cell>
          <cell r="F3146">
            <v>8981.48</v>
          </cell>
          <cell r="G3146">
            <v>0.03</v>
          </cell>
          <cell r="H3146">
            <v>0</v>
          </cell>
          <cell r="I3146" t="str">
            <v>Canada</v>
          </cell>
          <cell r="J3146" t="str">
            <v>Walmart</v>
          </cell>
        </row>
        <row r="3147">
          <cell r="A3147" t="str">
            <v>09-10-2023</v>
          </cell>
          <cell r="B3147" t="str">
            <v>Magnesium</v>
          </cell>
          <cell r="C3147" t="str">
            <v>Mineral</v>
          </cell>
          <cell r="D3147">
            <v>134</v>
          </cell>
          <cell r="E3147">
            <v>28.63</v>
          </cell>
          <cell r="F3147">
            <v>3836.42</v>
          </cell>
          <cell r="G3147">
            <v>0.18</v>
          </cell>
          <cell r="H3147">
            <v>1</v>
          </cell>
          <cell r="I3147" t="str">
            <v>Canada</v>
          </cell>
          <cell r="J3147" t="str">
            <v>Amazon</v>
          </cell>
        </row>
        <row r="3148">
          <cell r="A3148" t="str">
            <v>09-10-2023</v>
          </cell>
          <cell r="B3148" t="str">
            <v>Ashwagandha</v>
          </cell>
          <cell r="C3148" t="str">
            <v>Herbal</v>
          </cell>
          <cell r="D3148">
            <v>155</v>
          </cell>
          <cell r="E3148">
            <v>37.409999999999997</v>
          </cell>
          <cell r="F3148">
            <v>5798.55</v>
          </cell>
          <cell r="G3148">
            <v>0.13</v>
          </cell>
          <cell r="H3148">
            <v>0</v>
          </cell>
          <cell r="I3148" t="str">
            <v>UK</v>
          </cell>
          <cell r="J3148" t="str">
            <v>Amazon</v>
          </cell>
        </row>
        <row r="3149">
          <cell r="A3149" t="str">
            <v>09-10-2023</v>
          </cell>
          <cell r="B3149" t="str">
            <v>Melatonin</v>
          </cell>
          <cell r="C3149" t="str">
            <v>Sleep Aid</v>
          </cell>
          <cell r="D3149">
            <v>147</v>
          </cell>
          <cell r="E3149">
            <v>33.1</v>
          </cell>
          <cell r="F3149">
            <v>4865.7</v>
          </cell>
          <cell r="G3149">
            <v>0.23</v>
          </cell>
          <cell r="H3149">
            <v>3</v>
          </cell>
          <cell r="I3149" t="str">
            <v>USA</v>
          </cell>
          <cell r="J3149" t="str">
            <v>iHerb</v>
          </cell>
        </row>
        <row r="3150">
          <cell r="A3150" t="str">
            <v>09-10-2023</v>
          </cell>
          <cell r="B3150" t="str">
            <v>Biotin</v>
          </cell>
          <cell r="C3150" t="str">
            <v>Vitamin</v>
          </cell>
          <cell r="D3150">
            <v>163</v>
          </cell>
          <cell r="E3150">
            <v>45.86</v>
          </cell>
          <cell r="F3150">
            <v>7475.18</v>
          </cell>
          <cell r="G3150">
            <v>0.1</v>
          </cell>
          <cell r="H3150">
            <v>1</v>
          </cell>
          <cell r="I3150" t="str">
            <v>USA</v>
          </cell>
          <cell r="J3150" t="str">
            <v>Amazon</v>
          </cell>
        </row>
        <row r="3151">
          <cell r="A3151" t="str">
            <v>09-10-2023</v>
          </cell>
          <cell r="B3151" t="str">
            <v>Green Tea Extract</v>
          </cell>
          <cell r="C3151" t="str">
            <v>Fat Burner</v>
          </cell>
          <cell r="D3151">
            <v>144</v>
          </cell>
          <cell r="E3151">
            <v>26.59</v>
          </cell>
          <cell r="F3151">
            <v>3828.96</v>
          </cell>
          <cell r="G3151">
            <v>0.12</v>
          </cell>
          <cell r="H3151">
            <v>4</v>
          </cell>
          <cell r="I3151" t="str">
            <v>Canada</v>
          </cell>
          <cell r="J3151" t="str">
            <v>Amazon</v>
          </cell>
        </row>
        <row r="3152">
          <cell r="A3152" t="str">
            <v>09-10-2023</v>
          </cell>
          <cell r="B3152" t="str">
            <v>Iron Supplement</v>
          </cell>
          <cell r="C3152" t="str">
            <v>Mineral</v>
          </cell>
          <cell r="D3152">
            <v>143</v>
          </cell>
          <cell r="E3152">
            <v>21.44</v>
          </cell>
          <cell r="F3152">
            <v>3065.92</v>
          </cell>
          <cell r="G3152">
            <v>0.05</v>
          </cell>
          <cell r="H3152">
            <v>1</v>
          </cell>
          <cell r="I3152" t="str">
            <v>Canada</v>
          </cell>
          <cell r="J3152" t="str">
            <v>iHerb</v>
          </cell>
        </row>
        <row r="3153">
          <cell r="A3153" t="str">
            <v>09-10-2023</v>
          </cell>
          <cell r="B3153" t="str">
            <v>Electrolyte Powder</v>
          </cell>
          <cell r="C3153" t="str">
            <v>Hydration</v>
          </cell>
          <cell r="D3153">
            <v>156</v>
          </cell>
          <cell r="E3153">
            <v>21.05</v>
          </cell>
          <cell r="F3153">
            <v>3283.8</v>
          </cell>
          <cell r="G3153">
            <v>0.11</v>
          </cell>
          <cell r="H3153">
            <v>1</v>
          </cell>
          <cell r="I3153" t="str">
            <v>UK</v>
          </cell>
          <cell r="J3153" t="str">
            <v>iHerb</v>
          </cell>
        </row>
        <row r="3154">
          <cell r="A3154" t="str">
            <v>16-10-2023</v>
          </cell>
          <cell r="B3154" t="str">
            <v>Whey Protein</v>
          </cell>
          <cell r="C3154" t="str">
            <v>Protein</v>
          </cell>
          <cell r="D3154">
            <v>158</v>
          </cell>
          <cell r="E3154">
            <v>18.02</v>
          </cell>
          <cell r="F3154">
            <v>2847.16</v>
          </cell>
          <cell r="G3154">
            <v>0.22</v>
          </cell>
          <cell r="H3154">
            <v>1</v>
          </cell>
          <cell r="I3154" t="str">
            <v>Canada</v>
          </cell>
          <cell r="J3154" t="str">
            <v>Amazon</v>
          </cell>
        </row>
        <row r="3155">
          <cell r="A3155" t="str">
            <v>16-10-2023</v>
          </cell>
          <cell r="B3155" t="str">
            <v>Vitamin C</v>
          </cell>
          <cell r="C3155" t="str">
            <v>Vitamin</v>
          </cell>
          <cell r="D3155">
            <v>159</v>
          </cell>
          <cell r="E3155">
            <v>58.16</v>
          </cell>
          <cell r="F3155">
            <v>9247.44</v>
          </cell>
          <cell r="G3155">
            <v>0.12</v>
          </cell>
          <cell r="H3155">
            <v>2</v>
          </cell>
          <cell r="I3155" t="str">
            <v>USA</v>
          </cell>
          <cell r="J3155" t="str">
            <v>iHerb</v>
          </cell>
        </row>
        <row r="3156">
          <cell r="A3156" t="str">
            <v>16-10-2023</v>
          </cell>
          <cell r="B3156" t="str">
            <v>Fish Oil</v>
          </cell>
          <cell r="C3156" t="str">
            <v>Omega</v>
          </cell>
          <cell r="D3156">
            <v>144</v>
          </cell>
          <cell r="E3156">
            <v>33.17</v>
          </cell>
          <cell r="F3156">
            <v>4776.4799999999996</v>
          </cell>
          <cell r="G3156">
            <v>0.11</v>
          </cell>
          <cell r="H3156">
            <v>3</v>
          </cell>
          <cell r="I3156" t="str">
            <v>Canada</v>
          </cell>
          <cell r="J3156" t="str">
            <v>Amazon</v>
          </cell>
        </row>
        <row r="3157">
          <cell r="A3157" t="str">
            <v>16-10-2023</v>
          </cell>
          <cell r="B3157" t="str">
            <v>Multivitamin</v>
          </cell>
          <cell r="C3157" t="str">
            <v>Vitamin</v>
          </cell>
          <cell r="D3157">
            <v>165</v>
          </cell>
          <cell r="E3157">
            <v>34.51</v>
          </cell>
          <cell r="F3157">
            <v>5694.15</v>
          </cell>
          <cell r="G3157">
            <v>0.09</v>
          </cell>
          <cell r="H3157">
            <v>6</v>
          </cell>
          <cell r="I3157" t="str">
            <v>UK</v>
          </cell>
          <cell r="J3157" t="str">
            <v>Amazon</v>
          </cell>
        </row>
        <row r="3158">
          <cell r="A3158" t="str">
            <v>16-10-2023</v>
          </cell>
          <cell r="B3158" t="str">
            <v>Pre-Workout</v>
          </cell>
          <cell r="C3158" t="str">
            <v>Performance</v>
          </cell>
          <cell r="D3158">
            <v>132</v>
          </cell>
          <cell r="E3158">
            <v>44.08</v>
          </cell>
          <cell r="F3158">
            <v>5818.56</v>
          </cell>
          <cell r="G3158">
            <v>0.23</v>
          </cell>
          <cell r="H3158">
            <v>2</v>
          </cell>
          <cell r="I3158" t="str">
            <v>UK</v>
          </cell>
          <cell r="J3158" t="str">
            <v>iHerb</v>
          </cell>
        </row>
        <row r="3159">
          <cell r="A3159" t="str">
            <v>16-10-2023</v>
          </cell>
          <cell r="B3159" t="str">
            <v>BCAA</v>
          </cell>
          <cell r="C3159" t="str">
            <v>Amino Acid</v>
          </cell>
          <cell r="D3159">
            <v>155</v>
          </cell>
          <cell r="E3159">
            <v>28.69</v>
          </cell>
          <cell r="F3159">
            <v>4446.95</v>
          </cell>
          <cell r="G3159">
            <v>0.03</v>
          </cell>
          <cell r="H3159">
            <v>3</v>
          </cell>
          <cell r="I3159" t="str">
            <v>USA</v>
          </cell>
          <cell r="J3159" t="str">
            <v>Amazon</v>
          </cell>
        </row>
        <row r="3160">
          <cell r="A3160" t="str">
            <v>16-10-2023</v>
          </cell>
          <cell r="B3160" t="str">
            <v>Creatine</v>
          </cell>
          <cell r="C3160" t="str">
            <v>Performance</v>
          </cell>
          <cell r="D3160">
            <v>159</v>
          </cell>
          <cell r="E3160">
            <v>42.61</v>
          </cell>
          <cell r="F3160">
            <v>6774.99</v>
          </cell>
          <cell r="G3160">
            <v>0.13</v>
          </cell>
          <cell r="H3160">
            <v>0</v>
          </cell>
          <cell r="I3160" t="str">
            <v>UK</v>
          </cell>
          <cell r="J3160" t="str">
            <v>Amazon</v>
          </cell>
        </row>
        <row r="3161">
          <cell r="A3161" t="str">
            <v>16-10-2023</v>
          </cell>
          <cell r="B3161" t="str">
            <v>Zinc</v>
          </cell>
          <cell r="C3161" t="str">
            <v>Mineral</v>
          </cell>
          <cell r="D3161">
            <v>144</v>
          </cell>
          <cell r="E3161">
            <v>46.25</v>
          </cell>
          <cell r="F3161">
            <v>6660</v>
          </cell>
          <cell r="G3161">
            <v>0.04</v>
          </cell>
          <cell r="H3161">
            <v>2</v>
          </cell>
          <cell r="I3161" t="str">
            <v>UK</v>
          </cell>
          <cell r="J3161" t="str">
            <v>Amazon</v>
          </cell>
        </row>
        <row r="3162">
          <cell r="A3162" t="str">
            <v>16-10-2023</v>
          </cell>
          <cell r="B3162" t="str">
            <v>Collagen Peptides</v>
          </cell>
          <cell r="C3162" t="str">
            <v>Protein</v>
          </cell>
          <cell r="D3162">
            <v>157</v>
          </cell>
          <cell r="E3162">
            <v>16.760000000000002</v>
          </cell>
          <cell r="F3162">
            <v>2631.32</v>
          </cell>
          <cell r="G3162">
            <v>0.08</v>
          </cell>
          <cell r="H3162">
            <v>1</v>
          </cell>
          <cell r="I3162" t="str">
            <v>UK</v>
          </cell>
          <cell r="J3162" t="str">
            <v>iHerb</v>
          </cell>
        </row>
        <row r="3163">
          <cell r="A3163" t="str">
            <v>16-10-2023</v>
          </cell>
          <cell r="B3163" t="str">
            <v>Magnesium</v>
          </cell>
          <cell r="C3163" t="str">
            <v>Mineral</v>
          </cell>
          <cell r="D3163">
            <v>157</v>
          </cell>
          <cell r="E3163">
            <v>51.45</v>
          </cell>
          <cell r="F3163">
            <v>8077.65</v>
          </cell>
          <cell r="G3163">
            <v>0.19</v>
          </cell>
          <cell r="H3163">
            <v>0</v>
          </cell>
          <cell r="I3163" t="str">
            <v>UK</v>
          </cell>
          <cell r="J3163" t="str">
            <v>Walmart</v>
          </cell>
        </row>
        <row r="3164">
          <cell r="A3164" t="str">
            <v>16-10-2023</v>
          </cell>
          <cell r="B3164" t="str">
            <v>Ashwagandha</v>
          </cell>
          <cell r="C3164" t="str">
            <v>Herbal</v>
          </cell>
          <cell r="D3164">
            <v>158</v>
          </cell>
          <cell r="E3164">
            <v>47.41</v>
          </cell>
          <cell r="F3164">
            <v>7490.78</v>
          </cell>
          <cell r="G3164">
            <v>0.05</v>
          </cell>
          <cell r="H3164">
            <v>0</v>
          </cell>
          <cell r="I3164" t="str">
            <v>UK</v>
          </cell>
          <cell r="J3164" t="str">
            <v>iHerb</v>
          </cell>
        </row>
        <row r="3165">
          <cell r="A3165" t="str">
            <v>16-10-2023</v>
          </cell>
          <cell r="B3165" t="str">
            <v>Melatonin</v>
          </cell>
          <cell r="C3165" t="str">
            <v>Sleep Aid</v>
          </cell>
          <cell r="D3165">
            <v>140</v>
          </cell>
          <cell r="E3165">
            <v>49.68</v>
          </cell>
          <cell r="F3165">
            <v>6955.2</v>
          </cell>
          <cell r="G3165">
            <v>0.18</v>
          </cell>
          <cell r="H3165">
            <v>3</v>
          </cell>
          <cell r="I3165" t="str">
            <v>USA</v>
          </cell>
          <cell r="J3165" t="str">
            <v>Walmart</v>
          </cell>
        </row>
        <row r="3166">
          <cell r="A3166" t="str">
            <v>16-10-2023</v>
          </cell>
          <cell r="B3166" t="str">
            <v>Biotin</v>
          </cell>
          <cell r="C3166" t="str">
            <v>Vitamin</v>
          </cell>
          <cell r="D3166">
            <v>125</v>
          </cell>
          <cell r="E3166">
            <v>44.96</v>
          </cell>
          <cell r="F3166">
            <v>5620</v>
          </cell>
          <cell r="G3166">
            <v>7.0000000000000007E-2</v>
          </cell>
          <cell r="H3166">
            <v>1</v>
          </cell>
          <cell r="I3166" t="str">
            <v>USA</v>
          </cell>
          <cell r="J3166" t="str">
            <v>Walmart</v>
          </cell>
        </row>
        <row r="3167">
          <cell r="A3167" t="str">
            <v>16-10-2023</v>
          </cell>
          <cell r="B3167" t="str">
            <v>Green Tea Extract</v>
          </cell>
          <cell r="C3167" t="str">
            <v>Fat Burner</v>
          </cell>
          <cell r="D3167">
            <v>152</v>
          </cell>
          <cell r="E3167">
            <v>42.13</v>
          </cell>
          <cell r="F3167">
            <v>6403.76</v>
          </cell>
          <cell r="G3167">
            <v>0.08</v>
          </cell>
          <cell r="H3167">
            <v>2</v>
          </cell>
          <cell r="I3167" t="str">
            <v>USA</v>
          </cell>
          <cell r="J3167" t="str">
            <v>iHerb</v>
          </cell>
        </row>
        <row r="3168">
          <cell r="A3168" t="str">
            <v>16-10-2023</v>
          </cell>
          <cell r="B3168" t="str">
            <v>Iron Supplement</v>
          </cell>
          <cell r="C3168" t="str">
            <v>Mineral</v>
          </cell>
          <cell r="D3168">
            <v>164</v>
          </cell>
          <cell r="E3168">
            <v>56.54</v>
          </cell>
          <cell r="F3168">
            <v>9272.56</v>
          </cell>
          <cell r="G3168">
            <v>0.13</v>
          </cell>
          <cell r="H3168">
            <v>4</v>
          </cell>
          <cell r="I3168" t="str">
            <v>UK</v>
          </cell>
          <cell r="J3168" t="str">
            <v>Amazon</v>
          </cell>
        </row>
        <row r="3169">
          <cell r="A3169" t="str">
            <v>16-10-2023</v>
          </cell>
          <cell r="B3169" t="str">
            <v>Electrolyte Powder</v>
          </cell>
          <cell r="C3169" t="str">
            <v>Hydration</v>
          </cell>
          <cell r="D3169">
            <v>139</v>
          </cell>
          <cell r="E3169">
            <v>30.19</v>
          </cell>
          <cell r="F3169">
            <v>4196.41</v>
          </cell>
          <cell r="G3169">
            <v>0.19</v>
          </cell>
          <cell r="H3169">
            <v>2</v>
          </cell>
          <cell r="I3169" t="str">
            <v>USA</v>
          </cell>
          <cell r="J3169" t="str">
            <v>Amazon</v>
          </cell>
        </row>
        <row r="3170">
          <cell r="A3170" t="str">
            <v>23-10-2023</v>
          </cell>
          <cell r="B3170" t="str">
            <v>Whey Protein</v>
          </cell>
          <cell r="C3170" t="str">
            <v>Protein</v>
          </cell>
          <cell r="D3170">
            <v>150</v>
          </cell>
          <cell r="E3170">
            <v>28.86</v>
          </cell>
          <cell r="F3170">
            <v>4329</v>
          </cell>
          <cell r="G3170">
            <v>0.05</v>
          </cell>
          <cell r="H3170">
            <v>2</v>
          </cell>
          <cell r="I3170" t="str">
            <v>Canada</v>
          </cell>
          <cell r="J3170" t="str">
            <v>Walmart</v>
          </cell>
        </row>
        <row r="3171">
          <cell r="A3171" t="str">
            <v>23-10-2023</v>
          </cell>
          <cell r="B3171" t="str">
            <v>Vitamin C</v>
          </cell>
          <cell r="C3171" t="str">
            <v>Vitamin</v>
          </cell>
          <cell r="D3171">
            <v>154</v>
          </cell>
          <cell r="E3171">
            <v>34.33</v>
          </cell>
          <cell r="F3171">
            <v>5286.82</v>
          </cell>
          <cell r="G3171">
            <v>0.24</v>
          </cell>
          <cell r="H3171">
            <v>2</v>
          </cell>
          <cell r="I3171" t="str">
            <v>Canada</v>
          </cell>
          <cell r="J3171" t="str">
            <v>iHerb</v>
          </cell>
        </row>
        <row r="3172">
          <cell r="A3172" t="str">
            <v>23-10-2023</v>
          </cell>
          <cell r="B3172" t="str">
            <v>Fish Oil</v>
          </cell>
          <cell r="C3172" t="str">
            <v>Omega</v>
          </cell>
          <cell r="D3172">
            <v>132</v>
          </cell>
          <cell r="E3172">
            <v>58.78</v>
          </cell>
          <cell r="F3172">
            <v>7758.96</v>
          </cell>
          <cell r="G3172">
            <v>0.18</v>
          </cell>
          <cell r="H3172">
            <v>3</v>
          </cell>
          <cell r="I3172" t="str">
            <v>Canada</v>
          </cell>
          <cell r="J3172" t="str">
            <v>Walmart</v>
          </cell>
        </row>
        <row r="3173">
          <cell r="A3173" t="str">
            <v>23-10-2023</v>
          </cell>
          <cell r="B3173" t="str">
            <v>Multivitamin</v>
          </cell>
          <cell r="C3173" t="str">
            <v>Vitamin</v>
          </cell>
          <cell r="D3173">
            <v>143</v>
          </cell>
          <cell r="E3173">
            <v>45.7</v>
          </cell>
          <cell r="F3173">
            <v>6535.1</v>
          </cell>
          <cell r="G3173">
            <v>7.0000000000000007E-2</v>
          </cell>
          <cell r="H3173">
            <v>1</v>
          </cell>
          <cell r="I3173" t="str">
            <v>UK</v>
          </cell>
          <cell r="J3173" t="str">
            <v>Walmart</v>
          </cell>
        </row>
        <row r="3174">
          <cell r="A3174" t="str">
            <v>23-10-2023</v>
          </cell>
          <cell r="B3174" t="str">
            <v>Pre-Workout</v>
          </cell>
          <cell r="C3174" t="str">
            <v>Performance</v>
          </cell>
          <cell r="D3174">
            <v>154</v>
          </cell>
          <cell r="E3174">
            <v>51.36</v>
          </cell>
          <cell r="F3174">
            <v>7909.44</v>
          </cell>
          <cell r="G3174">
            <v>0.21</v>
          </cell>
          <cell r="H3174">
            <v>3</v>
          </cell>
          <cell r="I3174" t="str">
            <v>USA</v>
          </cell>
          <cell r="J3174" t="str">
            <v>Walmart</v>
          </cell>
        </row>
        <row r="3175">
          <cell r="A3175" t="str">
            <v>23-10-2023</v>
          </cell>
          <cell r="B3175" t="str">
            <v>BCAA</v>
          </cell>
          <cell r="C3175" t="str">
            <v>Amino Acid</v>
          </cell>
          <cell r="D3175">
            <v>162</v>
          </cell>
          <cell r="E3175">
            <v>29.07</v>
          </cell>
          <cell r="F3175">
            <v>4709.34</v>
          </cell>
          <cell r="G3175">
            <v>0.21</v>
          </cell>
          <cell r="H3175">
            <v>1</v>
          </cell>
          <cell r="I3175" t="str">
            <v>UK</v>
          </cell>
          <cell r="J3175" t="str">
            <v>iHerb</v>
          </cell>
        </row>
        <row r="3176">
          <cell r="A3176" t="str">
            <v>23-10-2023</v>
          </cell>
          <cell r="B3176" t="str">
            <v>Creatine</v>
          </cell>
          <cell r="C3176" t="str">
            <v>Performance</v>
          </cell>
          <cell r="D3176">
            <v>140</v>
          </cell>
          <cell r="E3176">
            <v>17.09</v>
          </cell>
          <cell r="F3176">
            <v>2392.6</v>
          </cell>
          <cell r="G3176">
            <v>0.17</v>
          </cell>
          <cell r="H3176">
            <v>1</v>
          </cell>
          <cell r="I3176" t="str">
            <v>USA</v>
          </cell>
          <cell r="J3176" t="str">
            <v>Walmart</v>
          </cell>
        </row>
        <row r="3177">
          <cell r="A3177" t="str">
            <v>23-10-2023</v>
          </cell>
          <cell r="B3177" t="str">
            <v>Zinc</v>
          </cell>
          <cell r="C3177" t="str">
            <v>Mineral</v>
          </cell>
          <cell r="D3177">
            <v>161</v>
          </cell>
          <cell r="E3177">
            <v>41.19</v>
          </cell>
          <cell r="F3177">
            <v>6631.59</v>
          </cell>
          <cell r="G3177">
            <v>0.21</v>
          </cell>
          <cell r="H3177">
            <v>2</v>
          </cell>
          <cell r="I3177" t="str">
            <v>USA</v>
          </cell>
          <cell r="J3177" t="str">
            <v>iHerb</v>
          </cell>
        </row>
        <row r="3178">
          <cell r="A3178" t="str">
            <v>23-10-2023</v>
          </cell>
          <cell r="B3178" t="str">
            <v>Collagen Peptides</v>
          </cell>
          <cell r="C3178" t="str">
            <v>Protein</v>
          </cell>
          <cell r="D3178">
            <v>153</v>
          </cell>
          <cell r="E3178">
            <v>19.579999999999998</v>
          </cell>
          <cell r="F3178">
            <v>2995.74</v>
          </cell>
          <cell r="G3178">
            <v>0.24</v>
          </cell>
          <cell r="H3178">
            <v>1</v>
          </cell>
          <cell r="I3178" t="str">
            <v>UK</v>
          </cell>
          <cell r="J3178" t="str">
            <v>Walmart</v>
          </cell>
        </row>
        <row r="3179">
          <cell r="A3179" t="str">
            <v>23-10-2023</v>
          </cell>
          <cell r="B3179" t="str">
            <v>Magnesium</v>
          </cell>
          <cell r="C3179" t="str">
            <v>Mineral</v>
          </cell>
          <cell r="D3179">
            <v>151</v>
          </cell>
          <cell r="E3179">
            <v>37.01</v>
          </cell>
          <cell r="F3179">
            <v>5588.51</v>
          </cell>
          <cell r="G3179">
            <v>0.15</v>
          </cell>
          <cell r="H3179">
            <v>6</v>
          </cell>
          <cell r="I3179" t="str">
            <v>Canada</v>
          </cell>
          <cell r="J3179" t="str">
            <v>Amazon</v>
          </cell>
        </row>
        <row r="3180">
          <cell r="A3180" t="str">
            <v>23-10-2023</v>
          </cell>
          <cell r="B3180" t="str">
            <v>Ashwagandha</v>
          </cell>
          <cell r="C3180" t="str">
            <v>Herbal</v>
          </cell>
          <cell r="D3180">
            <v>148</v>
          </cell>
          <cell r="E3180">
            <v>20.82</v>
          </cell>
          <cell r="F3180">
            <v>3081.36</v>
          </cell>
          <cell r="G3180">
            <v>0.13</v>
          </cell>
          <cell r="H3180">
            <v>4</v>
          </cell>
          <cell r="I3180" t="str">
            <v>UK</v>
          </cell>
          <cell r="J3180" t="str">
            <v>Walmart</v>
          </cell>
        </row>
        <row r="3181">
          <cell r="A3181" t="str">
            <v>23-10-2023</v>
          </cell>
          <cell r="B3181" t="str">
            <v>Melatonin</v>
          </cell>
          <cell r="C3181" t="str">
            <v>Sleep Aid</v>
          </cell>
          <cell r="D3181">
            <v>177</v>
          </cell>
          <cell r="E3181">
            <v>49.89</v>
          </cell>
          <cell r="F3181">
            <v>8830.5300000000007</v>
          </cell>
          <cell r="G3181">
            <v>0.04</v>
          </cell>
          <cell r="H3181">
            <v>2</v>
          </cell>
          <cell r="I3181" t="str">
            <v>UK</v>
          </cell>
          <cell r="J3181" t="str">
            <v>Walmart</v>
          </cell>
        </row>
        <row r="3182">
          <cell r="A3182" t="str">
            <v>23-10-2023</v>
          </cell>
          <cell r="B3182" t="str">
            <v>Biotin</v>
          </cell>
          <cell r="C3182" t="str">
            <v>Vitamin</v>
          </cell>
          <cell r="D3182">
            <v>154</v>
          </cell>
          <cell r="E3182">
            <v>15.66</v>
          </cell>
          <cell r="F3182">
            <v>2411.64</v>
          </cell>
          <cell r="G3182">
            <v>0.03</v>
          </cell>
          <cell r="H3182">
            <v>2</v>
          </cell>
          <cell r="I3182" t="str">
            <v>UK</v>
          </cell>
          <cell r="J3182" t="str">
            <v>iHerb</v>
          </cell>
        </row>
        <row r="3183">
          <cell r="A3183" t="str">
            <v>23-10-2023</v>
          </cell>
          <cell r="B3183" t="str">
            <v>Green Tea Extract</v>
          </cell>
          <cell r="C3183" t="str">
            <v>Fat Burner</v>
          </cell>
          <cell r="D3183">
            <v>135</v>
          </cell>
          <cell r="E3183">
            <v>27.85</v>
          </cell>
          <cell r="F3183">
            <v>3759.75</v>
          </cell>
          <cell r="G3183">
            <v>0.14000000000000001</v>
          </cell>
          <cell r="H3183">
            <v>2</v>
          </cell>
          <cell r="I3183" t="str">
            <v>UK</v>
          </cell>
          <cell r="J3183" t="str">
            <v>Walmart</v>
          </cell>
        </row>
        <row r="3184">
          <cell r="A3184" t="str">
            <v>23-10-2023</v>
          </cell>
          <cell r="B3184" t="str">
            <v>Iron Supplement</v>
          </cell>
          <cell r="C3184" t="str">
            <v>Mineral</v>
          </cell>
          <cell r="D3184">
            <v>157</v>
          </cell>
          <cell r="E3184">
            <v>33.22</v>
          </cell>
          <cell r="F3184">
            <v>5215.54</v>
          </cell>
          <cell r="G3184">
            <v>0.1</v>
          </cell>
          <cell r="H3184">
            <v>3</v>
          </cell>
          <cell r="I3184" t="str">
            <v>Canada</v>
          </cell>
          <cell r="J3184" t="str">
            <v>iHerb</v>
          </cell>
        </row>
        <row r="3185">
          <cell r="A3185" t="str">
            <v>23-10-2023</v>
          </cell>
          <cell r="B3185" t="str">
            <v>Electrolyte Powder</v>
          </cell>
          <cell r="C3185" t="str">
            <v>Hydration</v>
          </cell>
          <cell r="D3185">
            <v>144</v>
          </cell>
          <cell r="E3185">
            <v>47.17</v>
          </cell>
          <cell r="F3185">
            <v>6792.48</v>
          </cell>
          <cell r="G3185">
            <v>0.09</v>
          </cell>
          <cell r="H3185">
            <v>3</v>
          </cell>
          <cell r="I3185" t="str">
            <v>Canada</v>
          </cell>
          <cell r="J3185" t="str">
            <v>Amazon</v>
          </cell>
        </row>
        <row r="3186">
          <cell r="A3186" t="str">
            <v>30-10-2023</v>
          </cell>
          <cell r="B3186" t="str">
            <v>Whey Protein</v>
          </cell>
          <cell r="C3186" t="str">
            <v>Protein</v>
          </cell>
          <cell r="D3186">
            <v>144</v>
          </cell>
          <cell r="E3186">
            <v>12.26</v>
          </cell>
          <cell r="F3186">
            <v>1765.44</v>
          </cell>
          <cell r="G3186">
            <v>0.1</v>
          </cell>
          <cell r="H3186">
            <v>1</v>
          </cell>
          <cell r="I3186" t="str">
            <v>UK</v>
          </cell>
          <cell r="J3186" t="str">
            <v>Amazon</v>
          </cell>
        </row>
        <row r="3187">
          <cell r="A3187" t="str">
            <v>30-10-2023</v>
          </cell>
          <cell r="B3187" t="str">
            <v>Vitamin C</v>
          </cell>
          <cell r="C3187" t="str">
            <v>Vitamin</v>
          </cell>
          <cell r="D3187">
            <v>149</v>
          </cell>
          <cell r="E3187">
            <v>44.98</v>
          </cell>
          <cell r="F3187">
            <v>6702.02</v>
          </cell>
          <cell r="G3187">
            <v>0.24</v>
          </cell>
          <cell r="H3187">
            <v>2</v>
          </cell>
          <cell r="I3187" t="str">
            <v>USA</v>
          </cell>
          <cell r="J3187" t="str">
            <v>Walmart</v>
          </cell>
        </row>
        <row r="3188">
          <cell r="A3188" t="str">
            <v>30-10-2023</v>
          </cell>
          <cell r="B3188" t="str">
            <v>Fish Oil</v>
          </cell>
          <cell r="C3188" t="str">
            <v>Omega</v>
          </cell>
          <cell r="D3188">
            <v>128</v>
          </cell>
          <cell r="E3188">
            <v>36.770000000000003</v>
          </cell>
          <cell r="F3188">
            <v>4706.5600000000004</v>
          </cell>
          <cell r="G3188">
            <v>0</v>
          </cell>
          <cell r="H3188">
            <v>0</v>
          </cell>
          <cell r="I3188" t="str">
            <v>Canada</v>
          </cell>
          <cell r="J3188" t="str">
            <v>iHerb</v>
          </cell>
        </row>
        <row r="3189">
          <cell r="A3189" t="str">
            <v>30-10-2023</v>
          </cell>
          <cell r="B3189" t="str">
            <v>Multivitamin</v>
          </cell>
          <cell r="C3189" t="str">
            <v>Vitamin</v>
          </cell>
          <cell r="D3189">
            <v>171</v>
          </cell>
          <cell r="E3189">
            <v>49.94</v>
          </cell>
          <cell r="F3189">
            <v>8539.74</v>
          </cell>
          <cell r="G3189">
            <v>0.25</v>
          </cell>
          <cell r="H3189">
            <v>3</v>
          </cell>
          <cell r="I3189" t="str">
            <v>Canada</v>
          </cell>
          <cell r="J3189" t="str">
            <v>iHerb</v>
          </cell>
        </row>
        <row r="3190">
          <cell r="A3190" t="str">
            <v>30-10-2023</v>
          </cell>
          <cell r="B3190" t="str">
            <v>Pre-Workout</v>
          </cell>
          <cell r="C3190" t="str">
            <v>Performance</v>
          </cell>
          <cell r="D3190">
            <v>112</v>
          </cell>
          <cell r="E3190">
            <v>20.94</v>
          </cell>
          <cell r="F3190">
            <v>2345.2800000000002</v>
          </cell>
          <cell r="G3190">
            <v>0.13</v>
          </cell>
          <cell r="H3190">
            <v>2</v>
          </cell>
          <cell r="I3190" t="str">
            <v>Canada</v>
          </cell>
          <cell r="J3190" t="str">
            <v>iHerb</v>
          </cell>
        </row>
        <row r="3191">
          <cell r="A3191" t="str">
            <v>30-10-2023</v>
          </cell>
          <cell r="B3191" t="str">
            <v>BCAA</v>
          </cell>
          <cell r="C3191" t="str">
            <v>Amino Acid</v>
          </cell>
          <cell r="D3191">
            <v>165</v>
          </cell>
          <cell r="E3191">
            <v>56.41</v>
          </cell>
          <cell r="F3191">
            <v>9307.65</v>
          </cell>
          <cell r="G3191">
            <v>0.13</v>
          </cell>
          <cell r="H3191">
            <v>3</v>
          </cell>
          <cell r="I3191" t="str">
            <v>Canada</v>
          </cell>
          <cell r="J3191" t="str">
            <v>Walmart</v>
          </cell>
        </row>
        <row r="3192">
          <cell r="A3192" t="str">
            <v>30-10-2023</v>
          </cell>
          <cell r="B3192" t="str">
            <v>Creatine</v>
          </cell>
          <cell r="C3192" t="str">
            <v>Performance</v>
          </cell>
          <cell r="D3192">
            <v>148</v>
          </cell>
          <cell r="E3192">
            <v>55.82</v>
          </cell>
          <cell r="F3192">
            <v>8261.36</v>
          </cell>
          <cell r="G3192">
            <v>0.1</v>
          </cell>
          <cell r="H3192">
            <v>1</v>
          </cell>
          <cell r="I3192" t="str">
            <v>UK</v>
          </cell>
          <cell r="J3192" t="str">
            <v>iHerb</v>
          </cell>
        </row>
        <row r="3193">
          <cell r="A3193" t="str">
            <v>30-10-2023</v>
          </cell>
          <cell r="B3193" t="str">
            <v>Zinc</v>
          </cell>
          <cell r="C3193" t="str">
            <v>Mineral</v>
          </cell>
          <cell r="D3193">
            <v>144</v>
          </cell>
          <cell r="E3193">
            <v>59.75</v>
          </cell>
          <cell r="F3193">
            <v>8604</v>
          </cell>
          <cell r="G3193">
            <v>0.01</v>
          </cell>
          <cell r="H3193">
            <v>3</v>
          </cell>
          <cell r="I3193" t="str">
            <v>UK</v>
          </cell>
          <cell r="J3193" t="str">
            <v>Walmart</v>
          </cell>
        </row>
        <row r="3194">
          <cell r="A3194" t="str">
            <v>30-10-2023</v>
          </cell>
          <cell r="B3194" t="str">
            <v>Collagen Peptides</v>
          </cell>
          <cell r="C3194" t="str">
            <v>Protein</v>
          </cell>
          <cell r="D3194">
            <v>136</v>
          </cell>
          <cell r="E3194">
            <v>12.53</v>
          </cell>
          <cell r="F3194">
            <v>1704.08</v>
          </cell>
          <cell r="G3194">
            <v>0.14000000000000001</v>
          </cell>
          <cell r="H3194">
            <v>1</v>
          </cell>
          <cell r="I3194" t="str">
            <v>Canada</v>
          </cell>
          <cell r="J3194" t="str">
            <v>iHerb</v>
          </cell>
        </row>
        <row r="3195">
          <cell r="A3195" t="str">
            <v>30-10-2023</v>
          </cell>
          <cell r="B3195" t="str">
            <v>Magnesium</v>
          </cell>
          <cell r="C3195" t="str">
            <v>Mineral</v>
          </cell>
          <cell r="D3195">
            <v>134</v>
          </cell>
          <cell r="E3195">
            <v>20.87</v>
          </cell>
          <cell r="F3195">
            <v>2796.58</v>
          </cell>
          <cell r="G3195">
            <v>0.06</v>
          </cell>
          <cell r="H3195">
            <v>1</v>
          </cell>
          <cell r="I3195" t="str">
            <v>UK</v>
          </cell>
          <cell r="J3195" t="str">
            <v>iHerb</v>
          </cell>
        </row>
        <row r="3196">
          <cell r="A3196" t="str">
            <v>30-10-2023</v>
          </cell>
          <cell r="B3196" t="str">
            <v>Ashwagandha</v>
          </cell>
          <cell r="C3196" t="str">
            <v>Herbal</v>
          </cell>
          <cell r="D3196">
            <v>153</v>
          </cell>
          <cell r="E3196">
            <v>10.88</v>
          </cell>
          <cell r="F3196">
            <v>1664.64</v>
          </cell>
          <cell r="G3196">
            <v>0.06</v>
          </cell>
          <cell r="H3196">
            <v>1</v>
          </cell>
          <cell r="I3196" t="str">
            <v>USA</v>
          </cell>
          <cell r="J3196" t="str">
            <v>Amazon</v>
          </cell>
        </row>
        <row r="3197">
          <cell r="A3197" t="str">
            <v>30-10-2023</v>
          </cell>
          <cell r="B3197" t="str">
            <v>Melatonin</v>
          </cell>
          <cell r="C3197" t="str">
            <v>Sleep Aid</v>
          </cell>
          <cell r="D3197">
            <v>144</v>
          </cell>
          <cell r="E3197">
            <v>49.39</v>
          </cell>
          <cell r="F3197">
            <v>7112.16</v>
          </cell>
          <cell r="G3197">
            <v>0.16</v>
          </cell>
          <cell r="H3197">
            <v>1</v>
          </cell>
          <cell r="I3197" t="str">
            <v>UK</v>
          </cell>
          <cell r="J3197" t="str">
            <v>Amazon</v>
          </cell>
        </row>
        <row r="3198">
          <cell r="A3198" t="str">
            <v>30-10-2023</v>
          </cell>
          <cell r="B3198" t="str">
            <v>Biotin</v>
          </cell>
          <cell r="C3198" t="str">
            <v>Vitamin</v>
          </cell>
          <cell r="D3198">
            <v>157</v>
          </cell>
          <cell r="E3198">
            <v>39.74</v>
          </cell>
          <cell r="F3198">
            <v>6239.18</v>
          </cell>
          <cell r="G3198">
            <v>0.2</v>
          </cell>
          <cell r="H3198">
            <v>2</v>
          </cell>
          <cell r="I3198" t="str">
            <v>Canada</v>
          </cell>
          <cell r="J3198" t="str">
            <v>Amazon</v>
          </cell>
        </row>
        <row r="3199">
          <cell r="A3199" t="str">
            <v>30-10-2023</v>
          </cell>
          <cell r="B3199" t="str">
            <v>Green Tea Extract</v>
          </cell>
          <cell r="C3199" t="str">
            <v>Fat Burner</v>
          </cell>
          <cell r="D3199">
            <v>152</v>
          </cell>
          <cell r="E3199">
            <v>47.29</v>
          </cell>
          <cell r="F3199">
            <v>7188.08</v>
          </cell>
          <cell r="G3199">
            <v>0.05</v>
          </cell>
          <cell r="H3199">
            <v>2</v>
          </cell>
          <cell r="I3199" t="str">
            <v>Canada</v>
          </cell>
          <cell r="J3199" t="str">
            <v>Walmart</v>
          </cell>
        </row>
        <row r="3200">
          <cell r="A3200" t="str">
            <v>30-10-2023</v>
          </cell>
          <cell r="B3200" t="str">
            <v>Iron Supplement</v>
          </cell>
          <cell r="C3200" t="str">
            <v>Mineral</v>
          </cell>
          <cell r="D3200">
            <v>162</v>
          </cell>
          <cell r="E3200">
            <v>33.65</v>
          </cell>
          <cell r="F3200">
            <v>5451.3</v>
          </cell>
          <cell r="G3200">
            <v>0.05</v>
          </cell>
          <cell r="H3200">
            <v>0</v>
          </cell>
          <cell r="I3200" t="str">
            <v>Canada</v>
          </cell>
          <cell r="J3200" t="str">
            <v>iHerb</v>
          </cell>
        </row>
        <row r="3201">
          <cell r="A3201" t="str">
            <v>30-10-2023</v>
          </cell>
          <cell r="B3201" t="str">
            <v>Electrolyte Powder</v>
          </cell>
          <cell r="C3201" t="str">
            <v>Hydration</v>
          </cell>
          <cell r="D3201">
            <v>159</v>
          </cell>
          <cell r="E3201">
            <v>42.54</v>
          </cell>
          <cell r="F3201">
            <v>6763.86</v>
          </cell>
          <cell r="G3201">
            <v>0.04</v>
          </cell>
          <cell r="H3201">
            <v>4</v>
          </cell>
          <cell r="I3201" t="str">
            <v>USA</v>
          </cell>
          <cell r="J3201" t="str">
            <v>iHerb</v>
          </cell>
        </row>
        <row r="3202">
          <cell r="A3202" t="str">
            <v>06-11-2023</v>
          </cell>
          <cell r="B3202" t="str">
            <v>Whey Protein</v>
          </cell>
          <cell r="C3202" t="str">
            <v>Protein</v>
          </cell>
          <cell r="D3202">
            <v>153</v>
          </cell>
          <cell r="E3202">
            <v>46.82</v>
          </cell>
          <cell r="F3202">
            <v>7163.46</v>
          </cell>
          <cell r="G3202">
            <v>0.24</v>
          </cell>
          <cell r="H3202">
            <v>0</v>
          </cell>
          <cell r="I3202" t="str">
            <v>USA</v>
          </cell>
          <cell r="J3202" t="str">
            <v>Amazon</v>
          </cell>
        </row>
        <row r="3203">
          <cell r="A3203" t="str">
            <v>06-11-2023</v>
          </cell>
          <cell r="B3203" t="str">
            <v>Vitamin C</v>
          </cell>
          <cell r="C3203" t="str">
            <v>Vitamin</v>
          </cell>
          <cell r="D3203">
            <v>153</v>
          </cell>
          <cell r="E3203">
            <v>54.5</v>
          </cell>
          <cell r="F3203">
            <v>8338.5</v>
          </cell>
          <cell r="G3203">
            <v>0.22</v>
          </cell>
          <cell r="H3203">
            <v>4</v>
          </cell>
          <cell r="I3203" t="str">
            <v>Canada</v>
          </cell>
          <cell r="J3203" t="str">
            <v>Walmart</v>
          </cell>
        </row>
        <row r="3204">
          <cell r="A3204" t="str">
            <v>06-11-2023</v>
          </cell>
          <cell r="B3204" t="str">
            <v>Fish Oil</v>
          </cell>
          <cell r="C3204" t="str">
            <v>Omega</v>
          </cell>
          <cell r="D3204">
            <v>150</v>
          </cell>
          <cell r="E3204">
            <v>31.36</v>
          </cell>
          <cell r="F3204">
            <v>4704</v>
          </cell>
          <cell r="G3204">
            <v>0.11</v>
          </cell>
          <cell r="H3204">
            <v>1</v>
          </cell>
          <cell r="I3204" t="str">
            <v>Canada</v>
          </cell>
          <cell r="J3204" t="str">
            <v>Amazon</v>
          </cell>
        </row>
        <row r="3205">
          <cell r="A3205" t="str">
            <v>06-11-2023</v>
          </cell>
          <cell r="B3205" t="str">
            <v>Multivitamin</v>
          </cell>
          <cell r="C3205" t="str">
            <v>Vitamin</v>
          </cell>
          <cell r="D3205">
            <v>141</v>
          </cell>
          <cell r="E3205">
            <v>50.78</v>
          </cell>
          <cell r="F3205">
            <v>7159.98</v>
          </cell>
          <cell r="G3205">
            <v>0.16</v>
          </cell>
          <cell r="H3205">
            <v>4</v>
          </cell>
          <cell r="I3205" t="str">
            <v>UK</v>
          </cell>
          <cell r="J3205" t="str">
            <v>Walmart</v>
          </cell>
        </row>
        <row r="3206">
          <cell r="A3206" t="str">
            <v>06-11-2023</v>
          </cell>
          <cell r="B3206" t="str">
            <v>Pre-Workout</v>
          </cell>
          <cell r="C3206" t="str">
            <v>Performance</v>
          </cell>
          <cell r="D3206">
            <v>141</v>
          </cell>
          <cell r="E3206">
            <v>34.619999999999997</v>
          </cell>
          <cell r="F3206">
            <v>4881.42</v>
          </cell>
          <cell r="G3206">
            <v>0.02</v>
          </cell>
          <cell r="H3206">
            <v>1</v>
          </cell>
          <cell r="I3206" t="str">
            <v>Canada</v>
          </cell>
          <cell r="J3206" t="str">
            <v>Walmart</v>
          </cell>
        </row>
        <row r="3207">
          <cell r="A3207" t="str">
            <v>06-11-2023</v>
          </cell>
          <cell r="B3207" t="str">
            <v>BCAA</v>
          </cell>
          <cell r="C3207" t="str">
            <v>Amino Acid</v>
          </cell>
          <cell r="D3207">
            <v>134</v>
          </cell>
          <cell r="E3207">
            <v>15.31</v>
          </cell>
          <cell r="F3207">
            <v>2051.54</v>
          </cell>
          <cell r="G3207">
            <v>0.24</v>
          </cell>
          <cell r="H3207">
            <v>1</v>
          </cell>
          <cell r="I3207" t="str">
            <v>Canada</v>
          </cell>
          <cell r="J3207" t="str">
            <v>iHerb</v>
          </cell>
        </row>
        <row r="3208">
          <cell r="A3208" t="str">
            <v>06-11-2023</v>
          </cell>
          <cell r="B3208" t="str">
            <v>Creatine</v>
          </cell>
          <cell r="C3208" t="str">
            <v>Performance</v>
          </cell>
          <cell r="D3208">
            <v>148</v>
          </cell>
          <cell r="E3208">
            <v>43.87</v>
          </cell>
          <cell r="F3208">
            <v>6492.76</v>
          </cell>
          <cell r="G3208">
            <v>0.15</v>
          </cell>
          <cell r="H3208">
            <v>2</v>
          </cell>
          <cell r="I3208" t="str">
            <v>Canada</v>
          </cell>
          <cell r="J3208" t="str">
            <v>Amazon</v>
          </cell>
        </row>
        <row r="3209">
          <cell r="A3209" t="str">
            <v>06-11-2023</v>
          </cell>
          <cell r="B3209" t="str">
            <v>Zinc</v>
          </cell>
          <cell r="C3209" t="str">
            <v>Mineral</v>
          </cell>
          <cell r="D3209">
            <v>163</v>
          </cell>
          <cell r="E3209">
            <v>42.13</v>
          </cell>
          <cell r="F3209">
            <v>6867.19</v>
          </cell>
          <cell r="G3209">
            <v>0.22</v>
          </cell>
          <cell r="H3209">
            <v>2</v>
          </cell>
          <cell r="I3209" t="str">
            <v>Canada</v>
          </cell>
          <cell r="J3209" t="str">
            <v>iHerb</v>
          </cell>
        </row>
        <row r="3210">
          <cell r="A3210" t="str">
            <v>06-11-2023</v>
          </cell>
          <cell r="B3210" t="str">
            <v>Collagen Peptides</v>
          </cell>
          <cell r="C3210" t="str">
            <v>Protein</v>
          </cell>
          <cell r="D3210">
            <v>142</v>
          </cell>
          <cell r="E3210">
            <v>37.07</v>
          </cell>
          <cell r="F3210">
            <v>5263.94</v>
          </cell>
          <cell r="G3210">
            <v>0.23</v>
          </cell>
          <cell r="H3210">
            <v>0</v>
          </cell>
          <cell r="I3210" t="str">
            <v>Canada</v>
          </cell>
          <cell r="J3210" t="str">
            <v>Walmart</v>
          </cell>
        </row>
        <row r="3211">
          <cell r="A3211" t="str">
            <v>06-11-2023</v>
          </cell>
          <cell r="B3211" t="str">
            <v>Magnesium</v>
          </cell>
          <cell r="C3211" t="str">
            <v>Mineral</v>
          </cell>
          <cell r="D3211">
            <v>146</v>
          </cell>
          <cell r="E3211">
            <v>22.48</v>
          </cell>
          <cell r="F3211">
            <v>3282.08</v>
          </cell>
          <cell r="G3211">
            <v>0.24</v>
          </cell>
          <cell r="H3211">
            <v>4</v>
          </cell>
          <cell r="I3211" t="str">
            <v>UK</v>
          </cell>
          <cell r="J3211" t="str">
            <v>iHerb</v>
          </cell>
        </row>
        <row r="3212">
          <cell r="A3212" t="str">
            <v>06-11-2023</v>
          </cell>
          <cell r="B3212" t="str">
            <v>Ashwagandha</v>
          </cell>
          <cell r="C3212" t="str">
            <v>Herbal</v>
          </cell>
          <cell r="D3212">
            <v>167</v>
          </cell>
          <cell r="E3212">
            <v>42.35</v>
          </cell>
          <cell r="F3212">
            <v>7072.45</v>
          </cell>
          <cell r="G3212">
            <v>0.22</v>
          </cell>
          <cell r="H3212">
            <v>3</v>
          </cell>
          <cell r="I3212" t="str">
            <v>USA</v>
          </cell>
          <cell r="J3212" t="str">
            <v>Amazon</v>
          </cell>
        </row>
        <row r="3213">
          <cell r="A3213" t="str">
            <v>06-11-2023</v>
          </cell>
          <cell r="B3213" t="str">
            <v>Melatonin</v>
          </cell>
          <cell r="C3213" t="str">
            <v>Sleep Aid</v>
          </cell>
          <cell r="D3213">
            <v>124</v>
          </cell>
          <cell r="E3213">
            <v>32.57</v>
          </cell>
          <cell r="F3213">
            <v>4038.68</v>
          </cell>
          <cell r="G3213">
            <v>0.1</v>
          </cell>
          <cell r="H3213">
            <v>2</v>
          </cell>
          <cell r="I3213" t="str">
            <v>Canada</v>
          </cell>
          <cell r="J3213" t="str">
            <v>Amazon</v>
          </cell>
        </row>
        <row r="3214">
          <cell r="A3214" t="str">
            <v>06-11-2023</v>
          </cell>
          <cell r="B3214" t="str">
            <v>Biotin</v>
          </cell>
          <cell r="C3214" t="str">
            <v>Vitamin</v>
          </cell>
          <cell r="D3214">
            <v>143</v>
          </cell>
          <cell r="E3214">
            <v>23.74</v>
          </cell>
          <cell r="F3214">
            <v>3394.82</v>
          </cell>
          <cell r="G3214">
            <v>0.14000000000000001</v>
          </cell>
          <cell r="H3214">
            <v>0</v>
          </cell>
          <cell r="I3214" t="str">
            <v>Canada</v>
          </cell>
          <cell r="J3214" t="str">
            <v>Amazon</v>
          </cell>
        </row>
        <row r="3215">
          <cell r="A3215" t="str">
            <v>06-11-2023</v>
          </cell>
          <cell r="B3215" t="str">
            <v>Green Tea Extract</v>
          </cell>
          <cell r="C3215" t="str">
            <v>Fat Burner</v>
          </cell>
          <cell r="D3215">
            <v>135</v>
          </cell>
          <cell r="E3215">
            <v>19.329999999999998</v>
          </cell>
          <cell r="F3215">
            <v>2609.5500000000002</v>
          </cell>
          <cell r="G3215">
            <v>0.06</v>
          </cell>
          <cell r="H3215">
            <v>2</v>
          </cell>
          <cell r="I3215" t="str">
            <v>Canada</v>
          </cell>
          <cell r="J3215" t="str">
            <v>Amazon</v>
          </cell>
        </row>
        <row r="3216">
          <cell r="A3216" t="str">
            <v>06-11-2023</v>
          </cell>
          <cell r="B3216" t="str">
            <v>Iron Supplement</v>
          </cell>
          <cell r="C3216" t="str">
            <v>Mineral</v>
          </cell>
          <cell r="D3216">
            <v>131</v>
          </cell>
          <cell r="E3216">
            <v>11.15</v>
          </cell>
          <cell r="F3216">
            <v>1460.65</v>
          </cell>
          <cell r="G3216">
            <v>0.09</v>
          </cell>
          <cell r="H3216">
            <v>2</v>
          </cell>
          <cell r="I3216" t="str">
            <v>USA</v>
          </cell>
          <cell r="J3216" t="str">
            <v>iHerb</v>
          </cell>
        </row>
        <row r="3217">
          <cell r="A3217" t="str">
            <v>06-11-2023</v>
          </cell>
          <cell r="B3217" t="str">
            <v>Electrolyte Powder</v>
          </cell>
          <cell r="C3217" t="str">
            <v>Hydration</v>
          </cell>
          <cell r="D3217">
            <v>130</v>
          </cell>
          <cell r="E3217">
            <v>55.47</v>
          </cell>
          <cell r="F3217">
            <v>7211.1</v>
          </cell>
          <cell r="G3217">
            <v>0.03</v>
          </cell>
          <cell r="H3217">
            <v>5</v>
          </cell>
          <cell r="I3217" t="str">
            <v>Canada</v>
          </cell>
          <cell r="J3217" t="str">
            <v>Amazon</v>
          </cell>
        </row>
        <row r="3218">
          <cell r="A3218" t="str">
            <v>13-11-2023</v>
          </cell>
          <cell r="B3218" t="str">
            <v>Whey Protein</v>
          </cell>
          <cell r="C3218" t="str">
            <v>Protein</v>
          </cell>
          <cell r="D3218">
            <v>142</v>
          </cell>
          <cell r="E3218">
            <v>10.25</v>
          </cell>
          <cell r="F3218">
            <v>1455.5</v>
          </cell>
          <cell r="G3218">
            <v>0.1</v>
          </cell>
          <cell r="H3218">
            <v>2</v>
          </cell>
          <cell r="I3218" t="str">
            <v>Canada</v>
          </cell>
          <cell r="J3218" t="str">
            <v>Amazon</v>
          </cell>
        </row>
        <row r="3219">
          <cell r="A3219" t="str">
            <v>13-11-2023</v>
          </cell>
          <cell r="B3219" t="str">
            <v>Vitamin C</v>
          </cell>
          <cell r="C3219" t="str">
            <v>Vitamin</v>
          </cell>
          <cell r="D3219">
            <v>144</v>
          </cell>
          <cell r="E3219">
            <v>45.83</v>
          </cell>
          <cell r="F3219">
            <v>6599.52</v>
          </cell>
          <cell r="G3219">
            <v>0.09</v>
          </cell>
          <cell r="H3219">
            <v>2</v>
          </cell>
          <cell r="I3219" t="str">
            <v>USA</v>
          </cell>
          <cell r="J3219" t="str">
            <v>Walmart</v>
          </cell>
        </row>
        <row r="3220">
          <cell r="A3220" t="str">
            <v>13-11-2023</v>
          </cell>
          <cell r="B3220" t="str">
            <v>Fish Oil</v>
          </cell>
          <cell r="C3220" t="str">
            <v>Omega</v>
          </cell>
          <cell r="D3220">
            <v>175</v>
          </cell>
          <cell r="E3220">
            <v>25.31</v>
          </cell>
          <cell r="F3220">
            <v>4429.25</v>
          </cell>
          <cell r="G3220">
            <v>0.12</v>
          </cell>
          <cell r="H3220">
            <v>2</v>
          </cell>
          <cell r="I3220" t="str">
            <v>Canada</v>
          </cell>
          <cell r="J3220" t="str">
            <v>Walmart</v>
          </cell>
        </row>
        <row r="3221">
          <cell r="A3221" t="str">
            <v>13-11-2023</v>
          </cell>
          <cell r="B3221" t="str">
            <v>Multivitamin</v>
          </cell>
          <cell r="C3221" t="str">
            <v>Vitamin</v>
          </cell>
          <cell r="D3221">
            <v>151</v>
          </cell>
          <cell r="E3221">
            <v>43.36</v>
          </cell>
          <cell r="F3221">
            <v>6547.36</v>
          </cell>
          <cell r="G3221">
            <v>0.16</v>
          </cell>
          <cell r="H3221">
            <v>2</v>
          </cell>
          <cell r="I3221" t="str">
            <v>UK</v>
          </cell>
          <cell r="J3221" t="str">
            <v>Walmart</v>
          </cell>
        </row>
        <row r="3222">
          <cell r="A3222" t="str">
            <v>13-11-2023</v>
          </cell>
          <cell r="B3222" t="str">
            <v>Pre-Workout</v>
          </cell>
          <cell r="C3222" t="str">
            <v>Performance</v>
          </cell>
          <cell r="D3222">
            <v>133</v>
          </cell>
          <cell r="E3222">
            <v>27.81</v>
          </cell>
          <cell r="F3222">
            <v>3698.73</v>
          </cell>
          <cell r="G3222">
            <v>0.12</v>
          </cell>
          <cell r="H3222">
            <v>3</v>
          </cell>
          <cell r="I3222" t="str">
            <v>USA</v>
          </cell>
          <cell r="J3222" t="str">
            <v>iHerb</v>
          </cell>
        </row>
        <row r="3223">
          <cell r="A3223" t="str">
            <v>13-11-2023</v>
          </cell>
          <cell r="B3223" t="str">
            <v>BCAA</v>
          </cell>
          <cell r="C3223" t="str">
            <v>Amino Acid</v>
          </cell>
          <cell r="D3223">
            <v>149</v>
          </cell>
          <cell r="E3223">
            <v>31.94</v>
          </cell>
          <cell r="F3223">
            <v>4759.0600000000004</v>
          </cell>
          <cell r="G3223">
            <v>0.21</v>
          </cell>
          <cell r="H3223">
            <v>2</v>
          </cell>
          <cell r="I3223" t="str">
            <v>Canada</v>
          </cell>
          <cell r="J3223" t="str">
            <v>Amazon</v>
          </cell>
        </row>
        <row r="3224">
          <cell r="A3224" t="str">
            <v>13-11-2023</v>
          </cell>
          <cell r="B3224" t="str">
            <v>Creatine</v>
          </cell>
          <cell r="C3224" t="str">
            <v>Performance</v>
          </cell>
          <cell r="D3224">
            <v>150</v>
          </cell>
          <cell r="E3224">
            <v>33.25</v>
          </cell>
          <cell r="F3224">
            <v>4987.5</v>
          </cell>
          <cell r="G3224">
            <v>0.14000000000000001</v>
          </cell>
          <cell r="H3224">
            <v>8</v>
          </cell>
          <cell r="I3224" t="str">
            <v>Canada</v>
          </cell>
          <cell r="J3224" t="str">
            <v>Walmart</v>
          </cell>
        </row>
        <row r="3225">
          <cell r="A3225" t="str">
            <v>13-11-2023</v>
          </cell>
          <cell r="B3225" t="str">
            <v>Zinc</v>
          </cell>
          <cell r="C3225" t="str">
            <v>Mineral</v>
          </cell>
          <cell r="D3225">
            <v>155</v>
          </cell>
          <cell r="E3225">
            <v>34.57</v>
          </cell>
          <cell r="F3225">
            <v>5358.35</v>
          </cell>
          <cell r="G3225">
            <v>0.09</v>
          </cell>
          <cell r="H3225">
            <v>3</v>
          </cell>
          <cell r="I3225" t="str">
            <v>USA</v>
          </cell>
          <cell r="J3225" t="str">
            <v>iHerb</v>
          </cell>
        </row>
        <row r="3226">
          <cell r="A3226" t="str">
            <v>13-11-2023</v>
          </cell>
          <cell r="B3226" t="str">
            <v>Collagen Peptides</v>
          </cell>
          <cell r="C3226" t="str">
            <v>Protein</v>
          </cell>
          <cell r="D3226">
            <v>148</v>
          </cell>
          <cell r="E3226">
            <v>44.13</v>
          </cell>
          <cell r="F3226">
            <v>6531.24</v>
          </cell>
          <cell r="G3226">
            <v>0.01</v>
          </cell>
          <cell r="H3226">
            <v>1</v>
          </cell>
          <cell r="I3226" t="str">
            <v>UK</v>
          </cell>
          <cell r="J3226" t="str">
            <v>Walmart</v>
          </cell>
        </row>
        <row r="3227">
          <cell r="A3227" t="str">
            <v>13-11-2023</v>
          </cell>
          <cell r="B3227" t="str">
            <v>Magnesium</v>
          </cell>
          <cell r="C3227" t="str">
            <v>Mineral</v>
          </cell>
          <cell r="D3227">
            <v>145</v>
          </cell>
          <cell r="E3227">
            <v>34.71</v>
          </cell>
          <cell r="F3227">
            <v>5032.95</v>
          </cell>
          <cell r="G3227">
            <v>0.01</v>
          </cell>
          <cell r="H3227">
            <v>2</v>
          </cell>
          <cell r="I3227" t="str">
            <v>UK</v>
          </cell>
          <cell r="J3227" t="str">
            <v>Walmart</v>
          </cell>
        </row>
        <row r="3228">
          <cell r="A3228" t="str">
            <v>13-11-2023</v>
          </cell>
          <cell r="B3228" t="str">
            <v>Ashwagandha</v>
          </cell>
          <cell r="C3228" t="str">
            <v>Herbal</v>
          </cell>
          <cell r="D3228">
            <v>147</v>
          </cell>
          <cell r="E3228">
            <v>34.979999999999997</v>
          </cell>
          <cell r="F3228">
            <v>5142.0600000000004</v>
          </cell>
          <cell r="G3228">
            <v>0.18</v>
          </cell>
          <cell r="H3228">
            <v>0</v>
          </cell>
          <cell r="I3228" t="str">
            <v>USA</v>
          </cell>
          <cell r="J3228" t="str">
            <v>Amazon</v>
          </cell>
        </row>
        <row r="3229">
          <cell r="A3229" t="str">
            <v>13-11-2023</v>
          </cell>
          <cell r="B3229" t="str">
            <v>Melatonin</v>
          </cell>
          <cell r="C3229" t="str">
            <v>Sleep Aid</v>
          </cell>
          <cell r="D3229">
            <v>160</v>
          </cell>
          <cell r="E3229">
            <v>55.2</v>
          </cell>
          <cell r="F3229">
            <v>8832</v>
          </cell>
          <cell r="G3229">
            <v>0.01</v>
          </cell>
          <cell r="H3229">
            <v>1</v>
          </cell>
          <cell r="I3229" t="str">
            <v>USA</v>
          </cell>
          <cell r="J3229" t="str">
            <v>Amazon</v>
          </cell>
        </row>
        <row r="3230">
          <cell r="A3230" t="str">
            <v>13-11-2023</v>
          </cell>
          <cell r="B3230" t="str">
            <v>Biotin</v>
          </cell>
          <cell r="C3230" t="str">
            <v>Vitamin</v>
          </cell>
          <cell r="D3230">
            <v>156</v>
          </cell>
          <cell r="E3230">
            <v>30.53</v>
          </cell>
          <cell r="F3230">
            <v>4762.68</v>
          </cell>
          <cell r="G3230">
            <v>0.24</v>
          </cell>
          <cell r="H3230">
            <v>1</v>
          </cell>
          <cell r="I3230" t="str">
            <v>USA</v>
          </cell>
          <cell r="J3230" t="str">
            <v>Walmart</v>
          </cell>
        </row>
        <row r="3231">
          <cell r="A3231" t="str">
            <v>13-11-2023</v>
          </cell>
          <cell r="B3231" t="str">
            <v>Green Tea Extract</v>
          </cell>
          <cell r="C3231" t="str">
            <v>Fat Burner</v>
          </cell>
          <cell r="D3231">
            <v>158</v>
          </cell>
          <cell r="E3231">
            <v>35.03</v>
          </cell>
          <cell r="F3231">
            <v>5534.74</v>
          </cell>
          <cell r="G3231">
            <v>0.24</v>
          </cell>
          <cell r="H3231">
            <v>0</v>
          </cell>
          <cell r="I3231" t="str">
            <v>USA</v>
          </cell>
          <cell r="J3231" t="str">
            <v>Walmart</v>
          </cell>
        </row>
        <row r="3232">
          <cell r="A3232" t="str">
            <v>13-11-2023</v>
          </cell>
          <cell r="B3232" t="str">
            <v>Iron Supplement</v>
          </cell>
          <cell r="C3232" t="str">
            <v>Mineral</v>
          </cell>
          <cell r="D3232">
            <v>168</v>
          </cell>
          <cell r="E3232">
            <v>22.95</v>
          </cell>
          <cell r="F3232">
            <v>3855.6</v>
          </cell>
          <cell r="G3232">
            <v>0.23</v>
          </cell>
          <cell r="H3232">
            <v>1</v>
          </cell>
          <cell r="I3232" t="str">
            <v>Canada</v>
          </cell>
          <cell r="J3232" t="str">
            <v>Walmart</v>
          </cell>
        </row>
        <row r="3233">
          <cell r="A3233" t="str">
            <v>13-11-2023</v>
          </cell>
          <cell r="B3233" t="str">
            <v>Electrolyte Powder</v>
          </cell>
          <cell r="C3233" t="str">
            <v>Hydration</v>
          </cell>
          <cell r="D3233">
            <v>162</v>
          </cell>
          <cell r="E3233">
            <v>52.55</v>
          </cell>
          <cell r="F3233">
            <v>8513.1</v>
          </cell>
          <cell r="G3233">
            <v>0.16</v>
          </cell>
          <cell r="H3233">
            <v>0</v>
          </cell>
          <cell r="I3233" t="str">
            <v>Canada</v>
          </cell>
          <cell r="J3233" t="str">
            <v>Walmart</v>
          </cell>
        </row>
        <row r="3234">
          <cell r="A3234" t="str">
            <v>20-11-2023</v>
          </cell>
          <cell r="B3234" t="str">
            <v>Whey Protein</v>
          </cell>
          <cell r="C3234" t="str">
            <v>Protein</v>
          </cell>
          <cell r="D3234">
            <v>155</v>
          </cell>
          <cell r="E3234">
            <v>30.6</v>
          </cell>
          <cell r="F3234">
            <v>4743</v>
          </cell>
          <cell r="G3234">
            <v>0.04</v>
          </cell>
          <cell r="H3234">
            <v>0</v>
          </cell>
          <cell r="I3234" t="str">
            <v>USA</v>
          </cell>
          <cell r="J3234" t="str">
            <v>iHerb</v>
          </cell>
        </row>
        <row r="3235">
          <cell r="A3235" t="str">
            <v>20-11-2023</v>
          </cell>
          <cell r="B3235" t="str">
            <v>Vitamin C</v>
          </cell>
          <cell r="C3235" t="str">
            <v>Vitamin</v>
          </cell>
          <cell r="D3235">
            <v>139</v>
          </cell>
          <cell r="E3235">
            <v>34.08</v>
          </cell>
          <cell r="F3235">
            <v>4737.12</v>
          </cell>
          <cell r="G3235">
            <v>0.13</v>
          </cell>
          <cell r="H3235">
            <v>1</v>
          </cell>
          <cell r="I3235" t="str">
            <v>USA</v>
          </cell>
          <cell r="J3235" t="str">
            <v>Amazon</v>
          </cell>
        </row>
        <row r="3236">
          <cell r="A3236" t="str">
            <v>20-11-2023</v>
          </cell>
          <cell r="B3236" t="str">
            <v>Fish Oil</v>
          </cell>
          <cell r="C3236" t="str">
            <v>Omega</v>
          </cell>
          <cell r="D3236">
            <v>157</v>
          </cell>
          <cell r="E3236">
            <v>27.9</v>
          </cell>
          <cell r="F3236">
            <v>4380.3</v>
          </cell>
          <cell r="G3236">
            <v>0.22</v>
          </cell>
          <cell r="H3236">
            <v>2</v>
          </cell>
          <cell r="I3236" t="str">
            <v>UK</v>
          </cell>
          <cell r="J3236" t="str">
            <v>Amazon</v>
          </cell>
        </row>
        <row r="3237">
          <cell r="A3237" t="str">
            <v>20-11-2023</v>
          </cell>
          <cell r="B3237" t="str">
            <v>Multivitamin</v>
          </cell>
          <cell r="C3237" t="str">
            <v>Vitamin</v>
          </cell>
          <cell r="D3237">
            <v>158</v>
          </cell>
          <cell r="E3237">
            <v>10.029999999999999</v>
          </cell>
          <cell r="F3237">
            <v>1584.74</v>
          </cell>
          <cell r="G3237">
            <v>0.22</v>
          </cell>
          <cell r="H3237">
            <v>3</v>
          </cell>
          <cell r="I3237" t="str">
            <v>UK</v>
          </cell>
          <cell r="J3237" t="str">
            <v>Amazon</v>
          </cell>
        </row>
        <row r="3238">
          <cell r="A3238" t="str">
            <v>20-11-2023</v>
          </cell>
          <cell r="B3238" t="str">
            <v>Pre-Workout</v>
          </cell>
          <cell r="C3238" t="str">
            <v>Performance</v>
          </cell>
          <cell r="D3238">
            <v>133</v>
          </cell>
          <cell r="E3238">
            <v>43.07</v>
          </cell>
          <cell r="F3238">
            <v>5728.31</v>
          </cell>
          <cell r="G3238">
            <v>0.16</v>
          </cell>
          <cell r="H3238">
            <v>3</v>
          </cell>
          <cell r="I3238" t="str">
            <v>UK</v>
          </cell>
          <cell r="J3238" t="str">
            <v>iHerb</v>
          </cell>
        </row>
        <row r="3239">
          <cell r="A3239" t="str">
            <v>20-11-2023</v>
          </cell>
          <cell r="B3239" t="str">
            <v>BCAA</v>
          </cell>
          <cell r="C3239" t="str">
            <v>Amino Acid</v>
          </cell>
          <cell r="D3239">
            <v>135</v>
          </cell>
          <cell r="E3239">
            <v>14.86</v>
          </cell>
          <cell r="F3239">
            <v>2006.1</v>
          </cell>
          <cell r="G3239">
            <v>0.1</v>
          </cell>
          <cell r="H3239">
            <v>0</v>
          </cell>
          <cell r="I3239" t="str">
            <v>UK</v>
          </cell>
          <cell r="J3239" t="str">
            <v>Walmart</v>
          </cell>
        </row>
        <row r="3240">
          <cell r="A3240" t="str">
            <v>20-11-2023</v>
          </cell>
          <cell r="B3240" t="str">
            <v>Creatine</v>
          </cell>
          <cell r="C3240" t="str">
            <v>Performance</v>
          </cell>
          <cell r="D3240">
            <v>168</v>
          </cell>
          <cell r="E3240">
            <v>52.49</v>
          </cell>
          <cell r="F3240">
            <v>8818.32</v>
          </cell>
          <cell r="G3240">
            <v>0.01</v>
          </cell>
          <cell r="H3240">
            <v>1</v>
          </cell>
          <cell r="I3240" t="str">
            <v>USA</v>
          </cell>
          <cell r="J3240" t="str">
            <v>Amazon</v>
          </cell>
        </row>
        <row r="3241">
          <cell r="A3241" t="str">
            <v>20-11-2023</v>
          </cell>
          <cell r="B3241" t="str">
            <v>Zinc</v>
          </cell>
          <cell r="C3241" t="str">
            <v>Mineral</v>
          </cell>
          <cell r="D3241">
            <v>141</v>
          </cell>
          <cell r="E3241">
            <v>50.14</v>
          </cell>
          <cell r="F3241">
            <v>7069.74</v>
          </cell>
          <cell r="G3241">
            <v>0.1</v>
          </cell>
          <cell r="H3241">
            <v>0</v>
          </cell>
          <cell r="I3241" t="str">
            <v>Canada</v>
          </cell>
          <cell r="J3241" t="str">
            <v>Amazon</v>
          </cell>
        </row>
        <row r="3242">
          <cell r="A3242" t="str">
            <v>20-11-2023</v>
          </cell>
          <cell r="B3242" t="str">
            <v>Collagen Peptides</v>
          </cell>
          <cell r="C3242" t="str">
            <v>Protein</v>
          </cell>
          <cell r="D3242">
            <v>126</v>
          </cell>
          <cell r="E3242">
            <v>48</v>
          </cell>
          <cell r="F3242">
            <v>6048</v>
          </cell>
          <cell r="G3242">
            <v>0.11</v>
          </cell>
          <cell r="H3242">
            <v>2</v>
          </cell>
          <cell r="I3242" t="str">
            <v>Canada</v>
          </cell>
          <cell r="J3242" t="str">
            <v>Walmart</v>
          </cell>
        </row>
        <row r="3243">
          <cell r="A3243" t="str">
            <v>20-11-2023</v>
          </cell>
          <cell r="B3243" t="str">
            <v>Magnesium</v>
          </cell>
          <cell r="C3243" t="str">
            <v>Mineral</v>
          </cell>
          <cell r="D3243">
            <v>157</v>
          </cell>
          <cell r="E3243">
            <v>17.14</v>
          </cell>
          <cell r="F3243">
            <v>2690.98</v>
          </cell>
          <cell r="G3243">
            <v>0.19</v>
          </cell>
          <cell r="H3243">
            <v>2</v>
          </cell>
          <cell r="I3243" t="str">
            <v>UK</v>
          </cell>
          <cell r="J3243" t="str">
            <v>Walmart</v>
          </cell>
        </row>
        <row r="3244">
          <cell r="A3244" t="str">
            <v>20-11-2023</v>
          </cell>
          <cell r="B3244" t="str">
            <v>Ashwagandha</v>
          </cell>
          <cell r="C3244" t="str">
            <v>Herbal</v>
          </cell>
          <cell r="D3244">
            <v>146</v>
          </cell>
          <cell r="E3244">
            <v>10.6</v>
          </cell>
          <cell r="F3244">
            <v>1547.6</v>
          </cell>
          <cell r="G3244">
            <v>7.0000000000000007E-2</v>
          </cell>
          <cell r="H3244">
            <v>0</v>
          </cell>
          <cell r="I3244" t="str">
            <v>UK</v>
          </cell>
          <cell r="J3244" t="str">
            <v>iHerb</v>
          </cell>
        </row>
        <row r="3245">
          <cell r="A3245" t="str">
            <v>20-11-2023</v>
          </cell>
          <cell r="B3245" t="str">
            <v>Melatonin</v>
          </cell>
          <cell r="C3245" t="str">
            <v>Sleep Aid</v>
          </cell>
          <cell r="D3245">
            <v>140</v>
          </cell>
          <cell r="E3245">
            <v>16.07</v>
          </cell>
          <cell r="F3245">
            <v>2249.8000000000002</v>
          </cell>
          <cell r="G3245">
            <v>0.03</v>
          </cell>
          <cell r="H3245">
            <v>3</v>
          </cell>
          <cell r="I3245" t="str">
            <v>Canada</v>
          </cell>
          <cell r="J3245" t="str">
            <v>Amazon</v>
          </cell>
        </row>
        <row r="3246">
          <cell r="A3246" t="str">
            <v>20-11-2023</v>
          </cell>
          <cell r="B3246" t="str">
            <v>Biotin</v>
          </cell>
          <cell r="C3246" t="str">
            <v>Vitamin</v>
          </cell>
          <cell r="D3246">
            <v>153</v>
          </cell>
          <cell r="E3246">
            <v>27.29</v>
          </cell>
          <cell r="F3246">
            <v>4175.37</v>
          </cell>
          <cell r="G3246">
            <v>0.17</v>
          </cell>
          <cell r="H3246">
            <v>0</v>
          </cell>
          <cell r="I3246" t="str">
            <v>UK</v>
          </cell>
          <cell r="J3246" t="str">
            <v>Amazon</v>
          </cell>
        </row>
        <row r="3247">
          <cell r="A3247" t="str">
            <v>20-11-2023</v>
          </cell>
          <cell r="B3247" t="str">
            <v>Green Tea Extract</v>
          </cell>
          <cell r="C3247" t="str">
            <v>Fat Burner</v>
          </cell>
          <cell r="D3247">
            <v>154</v>
          </cell>
          <cell r="E3247">
            <v>10.1</v>
          </cell>
          <cell r="F3247">
            <v>1555.4</v>
          </cell>
          <cell r="G3247">
            <v>0.23</v>
          </cell>
          <cell r="H3247">
            <v>2</v>
          </cell>
          <cell r="I3247" t="str">
            <v>Canada</v>
          </cell>
          <cell r="J3247" t="str">
            <v>Walmart</v>
          </cell>
        </row>
        <row r="3248">
          <cell r="A3248" t="str">
            <v>20-11-2023</v>
          </cell>
          <cell r="B3248" t="str">
            <v>Iron Supplement</v>
          </cell>
          <cell r="C3248" t="str">
            <v>Mineral</v>
          </cell>
          <cell r="D3248">
            <v>172</v>
          </cell>
          <cell r="E3248">
            <v>26.39</v>
          </cell>
          <cell r="F3248">
            <v>4539.08</v>
          </cell>
          <cell r="G3248">
            <v>0.1</v>
          </cell>
          <cell r="H3248">
            <v>2</v>
          </cell>
          <cell r="I3248" t="str">
            <v>UK</v>
          </cell>
          <cell r="J3248" t="str">
            <v>Walmart</v>
          </cell>
        </row>
        <row r="3249">
          <cell r="A3249" t="str">
            <v>20-11-2023</v>
          </cell>
          <cell r="B3249" t="str">
            <v>Electrolyte Powder</v>
          </cell>
          <cell r="C3249" t="str">
            <v>Hydration</v>
          </cell>
          <cell r="D3249">
            <v>152</v>
          </cell>
          <cell r="E3249">
            <v>11.27</v>
          </cell>
          <cell r="F3249">
            <v>1713.04</v>
          </cell>
          <cell r="G3249">
            <v>0.18</v>
          </cell>
          <cell r="H3249">
            <v>1</v>
          </cell>
          <cell r="I3249" t="str">
            <v>USA</v>
          </cell>
          <cell r="J3249" t="str">
            <v>Amazon</v>
          </cell>
        </row>
        <row r="3250">
          <cell r="A3250" t="str">
            <v>27-11-2023</v>
          </cell>
          <cell r="B3250" t="str">
            <v>Whey Protein</v>
          </cell>
          <cell r="C3250" t="str">
            <v>Protein</v>
          </cell>
          <cell r="D3250">
            <v>137</v>
          </cell>
          <cell r="E3250">
            <v>35.25</v>
          </cell>
          <cell r="F3250">
            <v>4829.25</v>
          </cell>
          <cell r="G3250">
            <v>0.03</v>
          </cell>
          <cell r="H3250">
            <v>0</v>
          </cell>
          <cell r="I3250" t="str">
            <v>Canada</v>
          </cell>
          <cell r="J3250" t="str">
            <v>Amazon</v>
          </cell>
        </row>
        <row r="3251">
          <cell r="A3251" t="str">
            <v>27-11-2023</v>
          </cell>
          <cell r="B3251" t="str">
            <v>Vitamin C</v>
          </cell>
          <cell r="C3251" t="str">
            <v>Vitamin</v>
          </cell>
          <cell r="D3251">
            <v>147</v>
          </cell>
          <cell r="E3251">
            <v>25.88</v>
          </cell>
          <cell r="F3251">
            <v>3804.36</v>
          </cell>
          <cell r="G3251">
            <v>0.04</v>
          </cell>
          <cell r="H3251">
            <v>0</v>
          </cell>
          <cell r="I3251" t="str">
            <v>UK</v>
          </cell>
          <cell r="J3251" t="str">
            <v>Amazon</v>
          </cell>
        </row>
        <row r="3252">
          <cell r="A3252" t="str">
            <v>27-11-2023</v>
          </cell>
          <cell r="B3252" t="str">
            <v>Fish Oil</v>
          </cell>
          <cell r="C3252" t="str">
            <v>Omega</v>
          </cell>
          <cell r="D3252">
            <v>156</v>
          </cell>
          <cell r="E3252">
            <v>15.89</v>
          </cell>
          <cell r="F3252">
            <v>2478.84</v>
          </cell>
          <cell r="G3252">
            <v>0.23</v>
          </cell>
          <cell r="H3252">
            <v>2</v>
          </cell>
          <cell r="I3252" t="str">
            <v>UK</v>
          </cell>
          <cell r="J3252" t="str">
            <v>Walmart</v>
          </cell>
        </row>
        <row r="3253">
          <cell r="A3253" t="str">
            <v>27-11-2023</v>
          </cell>
          <cell r="B3253" t="str">
            <v>Multivitamin</v>
          </cell>
          <cell r="C3253" t="str">
            <v>Vitamin</v>
          </cell>
          <cell r="D3253">
            <v>148</v>
          </cell>
          <cell r="E3253">
            <v>19.41</v>
          </cell>
          <cell r="F3253">
            <v>2872.68</v>
          </cell>
          <cell r="G3253">
            <v>0.02</v>
          </cell>
          <cell r="H3253">
            <v>0</v>
          </cell>
          <cell r="I3253" t="str">
            <v>USA</v>
          </cell>
          <cell r="J3253" t="str">
            <v>iHerb</v>
          </cell>
        </row>
        <row r="3254">
          <cell r="A3254" t="str">
            <v>27-11-2023</v>
          </cell>
          <cell r="B3254" t="str">
            <v>Pre-Workout</v>
          </cell>
          <cell r="C3254" t="str">
            <v>Performance</v>
          </cell>
          <cell r="D3254">
            <v>147</v>
          </cell>
          <cell r="E3254">
            <v>18.34</v>
          </cell>
          <cell r="F3254">
            <v>2695.98</v>
          </cell>
          <cell r="G3254">
            <v>0.11</v>
          </cell>
          <cell r="H3254">
            <v>1</v>
          </cell>
          <cell r="I3254" t="str">
            <v>UK</v>
          </cell>
          <cell r="J3254" t="str">
            <v>Amazon</v>
          </cell>
        </row>
        <row r="3255">
          <cell r="A3255" t="str">
            <v>27-11-2023</v>
          </cell>
          <cell r="B3255" t="str">
            <v>BCAA</v>
          </cell>
          <cell r="C3255" t="str">
            <v>Amino Acid</v>
          </cell>
          <cell r="D3255">
            <v>149</v>
          </cell>
          <cell r="E3255">
            <v>42.22</v>
          </cell>
          <cell r="F3255">
            <v>6290.78</v>
          </cell>
          <cell r="G3255">
            <v>0.23</v>
          </cell>
          <cell r="H3255">
            <v>0</v>
          </cell>
          <cell r="I3255" t="str">
            <v>Canada</v>
          </cell>
          <cell r="J3255" t="str">
            <v>Walmart</v>
          </cell>
        </row>
        <row r="3256">
          <cell r="A3256" t="str">
            <v>27-11-2023</v>
          </cell>
          <cell r="B3256" t="str">
            <v>Creatine</v>
          </cell>
          <cell r="C3256" t="str">
            <v>Performance</v>
          </cell>
          <cell r="D3256">
            <v>131</v>
          </cell>
          <cell r="E3256">
            <v>35.32</v>
          </cell>
          <cell r="F3256">
            <v>4626.92</v>
          </cell>
          <cell r="G3256">
            <v>0.19</v>
          </cell>
          <cell r="H3256">
            <v>0</v>
          </cell>
          <cell r="I3256" t="str">
            <v>USA</v>
          </cell>
          <cell r="J3256" t="str">
            <v>Amazon</v>
          </cell>
        </row>
        <row r="3257">
          <cell r="A3257" t="str">
            <v>27-11-2023</v>
          </cell>
          <cell r="B3257" t="str">
            <v>Zinc</v>
          </cell>
          <cell r="C3257" t="str">
            <v>Mineral</v>
          </cell>
          <cell r="D3257">
            <v>155</v>
          </cell>
          <cell r="E3257">
            <v>54.76</v>
          </cell>
          <cell r="F3257">
            <v>8487.7999999999993</v>
          </cell>
          <cell r="G3257">
            <v>0.2</v>
          </cell>
          <cell r="H3257">
            <v>2</v>
          </cell>
          <cell r="I3257" t="str">
            <v>UK</v>
          </cell>
          <cell r="J3257" t="str">
            <v>iHerb</v>
          </cell>
        </row>
        <row r="3258">
          <cell r="A3258" t="str">
            <v>27-11-2023</v>
          </cell>
          <cell r="B3258" t="str">
            <v>Collagen Peptides</v>
          </cell>
          <cell r="C3258" t="str">
            <v>Protein</v>
          </cell>
          <cell r="D3258">
            <v>135</v>
          </cell>
          <cell r="E3258">
            <v>38.86</v>
          </cell>
          <cell r="F3258">
            <v>5246.1</v>
          </cell>
          <cell r="G3258">
            <v>7.0000000000000007E-2</v>
          </cell>
          <cell r="H3258">
            <v>2</v>
          </cell>
          <cell r="I3258" t="str">
            <v>Canada</v>
          </cell>
          <cell r="J3258" t="str">
            <v>iHerb</v>
          </cell>
        </row>
        <row r="3259">
          <cell r="A3259" t="str">
            <v>27-11-2023</v>
          </cell>
          <cell r="B3259" t="str">
            <v>Magnesium</v>
          </cell>
          <cell r="C3259" t="str">
            <v>Mineral</v>
          </cell>
          <cell r="D3259">
            <v>154</v>
          </cell>
          <cell r="E3259">
            <v>42.8</v>
          </cell>
          <cell r="F3259">
            <v>6591.2</v>
          </cell>
          <cell r="G3259">
            <v>0.23</v>
          </cell>
          <cell r="H3259">
            <v>0</v>
          </cell>
          <cell r="I3259" t="str">
            <v>USA</v>
          </cell>
          <cell r="J3259" t="str">
            <v>iHerb</v>
          </cell>
        </row>
        <row r="3260">
          <cell r="A3260" t="str">
            <v>27-11-2023</v>
          </cell>
          <cell r="B3260" t="str">
            <v>Ashwagandha</v>
          </cell>
          <cell r="C3260" t="str">
            <v>Herbal</v>
          </cell>
          <cell r="D3260">
            <v>153</v>
          </cell>
          <cell r="E3260">
            <v>32.979999999999997</v>
          </cell>
          <cell r="F3260">
            <v>5045.9399999999996</v>
          </cell>
          <cell r="G3260">
            <v>7.0000000000000007E-2</v>
          </cell>
          <cell r="H3260">
            <v>1</v>
          </cell>
          <cell r="I3260" t="str">
            <v>USA</v>
          </cell>
          <cell r="J3260" t="str">
            <v>iHerb</v>
          </cell>
        </row>
        <row r="3261">
          <cell r="A3261" t="str">
            <v>27-11-2023</v>
          </cell>
          <cell r="B3261" t="str">
            <v>Melatonin</v>
          </cell>
          <cell r="C3261" t="str">
            <v>Sleep Aid</v>
          </cell>
          <cell r="D3261">
            <v>154</v>
          </cell>
          <cell r="E3261">
            <v>29.19</v>
          </cell>
          <cell r="F3261">
            <v>4495.26</v>
          </cell>
          <cell r="G3261">
            <v>0.13</v>
          </cell>
          <cell r="H3261">
            <v>1</v>
          </cell>
          <cell r="I3261" t="str">
            <v>UK</v>
          </cell>
          <cell r="J3261" t="str">
            <v>Amazon</v>
          </cell>
        </row>
        <row r="3262">
          <cell r="A3262" t="str">
            <v>27-11-2023</v>
          </cell>
          <cell r="B3262" t="str">
            <v>Biotin</v>
          </cell>
          <cell r="C3262" t="str">
            <v>Vitamin</v>
          </cell>
          <cell r="D3262">
            <v>145</v>
          </cell>
          <cell r="E3262">
            <v>23.8</v>
          </cell>
          <cell r="F3262">
            <v>3451</v>
          </cell>
          <cell r="G3262">
            <v>0.05</v>
          </cell>
          <cell r="H3262">
            <v>1</v>
          </cell>
          <cell r="I3262" t="str">
            <v>Canada</v>
          </cell>
          <cell r="J3262" t="str">
            <v>iHerb</v>
          </cell>
        </row>
        <row r="3263">
          <cell r="A3263" t="str">
            <v>27-11-2023</v>
          </cell>
          <cell r="B3263" t="str">
            <v>Green Tea Extract</v>
          </cell>
          <cell r="C3263" t="str">
            <v>Fat Burner</v>
          </cell>
          <cell r="D3263">
            <v>164</v>
          </cell>
          <cell r="E3263">
            <v>11.64</v>
          </cell>
          <cell r="F3263">
            <v>1908.96</v>
          </cell>
          <cell r="G3263">
            <v>0.06</v>
          </cell>
          <cell r="H3263">
            <v>5</v>
          </cell>
          <cell r="I3263" t="str">
            <v>Canada</v>
          </cell>
          <cell r="J3263" t="str">
            <v>Amazon</v>
          </cell>
        </row>
        <row r="3264">
          <cell r="A3264" t="str">
            <v>27-11-2023</v>
          </cell>
          <cell r="B3264" t="str">
            <v>Iron Supplement</v>
          </cell>
          <cell r="C3264" t="str">
            <v>Mineral</v>
          </cell>
          <cell r="D3264">
            <v>163</v>
          </cell>
          <cell r="E3264">
            <v>56.46</v>
          </cell>
          <cell r="F3264">
            <v>9202.98</v>
          </cell>
          <cell r="G3264">
            <v>0.11</v>
          </cell>
          <cell r="H3264">
            <v>5</v>
          </cell>
          <cell r="I3264" t="str">
            <v>UK</v>
          </cell>
          <cell r="J3264" t="str">
            <v>iHerb</v>
          </cell>
        </row>
        <row r="3265">
          <cell r="A3265" t="str">
            <v>27-11-2023</v>
          </cell>
          <cell r="B3265" t="str">
            <v>Electrolyte Powder</v>
          </cell>
          <cell r="C3265" t="str">
            <v>Hydration</v>
          </cell>
          <cell r="D3265">
            <v>142</v>
          </cell>
          <cell r="E3265">
            <v>41.9</v>
          </cell>
          <cell r="F3265">
            <v>5949.8</v>
          </cell>
          <cell r="G3265">
            <v>0.09</v>
          </cell>
          <cell r="H3265">
            <v>2</v>
          </cell>
          <cell r="I3265" t="str">
            <v>UK</v>
          </cell>
          <cell r="J3265" t="str">
            <v>iHerb</v>
          </cell>
        </row>
        <row r="3266">
          <cell r="A3266" t="str">
            <v>04-12-2023</v>
          </cell>
          <cell r="B3266" t="str">
            <v>Whey Protein</v>
          </cell>
          <cell r="C3266" t="str">
            <v>Protein</v>
          </cell>
          <cell r="D3266">
            <v>143</v>
          </cell>
          <cell r="E3266">
            <v>23.79</v>
          </cell>
          <cell r="F3266">
            <v>3401.97</v>
          </cell>
          <cell r="G3266">
            <v>0.01</v>
          </cell>
          <cell r="H3266">
            <v>3</v>
          </cell>
          <cell r="I3266" t="str">
            <v>Canada</v>
          </cell>
          <cell r="J3266" t="str">
            <v>iHerb</v>
          </cell>
        </row>
        <row r="3267">
          <cell r="A3267" t="str">
            <v>04-12-2023</v>
          </cell>
          <cell r="B3267" t="str">
            <v>Vitamin C</v>
          </cell>
          <cell r="C3267" t="str">
            <v>Vitamin</v>
          </cell>
          <cell r="D3267">
            <v>158</v>
          </cell>
          <cell r="E3267">
            <v>37.950000000000003</v>
          </cell>
          <cell r="F3267">
            <v>5996.1</v>
          </cell>
          <cell r="G3267">
            <v>0.03</v>
          </cell>
          <cell r="H3267">
            <v>0</v>
          </cell>
          <cell r="I3267" t="str">
            <v>USA</v>
          </cell>
          <cell r="J3267" t="str">
            <v>iHerb</v>
          </cell>
        </row>
        <row r="3268">
          <cell r="A3268" t="str">
            <v>04-12-2023</v>
          </cell>
          <cell r="B3268" t="str">
            <v>Fish Oil</v>
          </cell>
          <cell r="C3268" t="str">
            <v>Omega</v>
          </cell>
          <cell r="D3268">
            <v>142</v>
          </cell>
          <cell r="E3268">
            <v>18.649999999999999</v>
          </cell>
          <cell r="F3268">
            <v>2648.3</v>
          </cell>
          <cell r="G3268">
            <v>0.23</v>
          </cell>
          <cell r="H3268">
            <v>1</v>
          </cell>
          <cell r="I3268" t="str">
            <v>USA</v>
          </cell>
          <cell r="J3268" t="str">
            <v>iHerb</v>
          </cell>
        </row>
        <row r="3269">
          <cell r="A3269" t="str">
            <v>04-12-2023</v>
          </cell>
          <cell r="B3269" t="str">
            <v>Multivitamin</v>
          </cell>
          <cell r="C3269" t="str">
            <v>Vitamin</v>
          </cell>
          <cell r="D3269">
            <v>158</v>
          </cell>
          <cell r="E3269">
            <v>23.45</v>
          </cell>
          <cell r="F3269">
            <v>3705.1</v>
          </cell>
          <cell r="G3269">
            <v>0.24</v>
          </cell>
          <cell r="H3269">
            <v>1</v>
          </cell>
          <cell r="I3269" t="str">
            <v>UK</v>
          </cell>
          <cell r="J3269" t="str">
            <v>Amazon</v>
          </cell>
        </row>
        <row r="3270">
          <cell r="A3270" t="str">
            <v>04-12-2023</v>
          </cell>
          <cell r="B3270" t="str">
            <v>Pre-Workout</v>
          </cell>
          <cell r="C3270" t="str">
            <v>Performance</v>
          </cell>
          <cell r="D3270">
            <v>142</v>
          </cell>
          <cell r="E3270">
            <v>16.45</v>
          </cell>
          <cell r="F3270">
            <v>2335.9</v>
          </cell>
          <cell r="G3270">
            <v>0.06</v>
          </cell>
          <cell r="H3270">
            <v>2</v>
          </cell>
          <cell r="I3270" t="str">
            <v>USA</v>
          </cell>
          <cell r="J3270" t="str">
            <v>iHerb</v>
          </cell>
        </row>
        <row r="3271">
          <cell r="A3271" t="str">
            <v>04-12-2023</v>
          </cell>
          <cell r="B3271" t="str">
            <v>BCAA</v>
          </cell>
          <cell r="C3271" t="str">
            <v>Amino Acid</v>
          </cell>
          <cell r="D3271">
            <v>148</v>
          </cell>
          <cell r="E3271">
            <v>16.12</v>
          </cell>
          <cell r="F3271">
            <v>2385.7600000000002</v>
          </cell>
          <cell r="G3271">
            <v>0.2</v>
          </cell>
          <cell r="H3271">
            <v>2</v>
          </cell>
          <cell r="I3271" t="str">
            <v>Canada</v>
          </cell>
          <cell r="J3271" t="str">
            <v>Amazon</v>
          </cell>
        </row>
        <row r="3272">
          <cell r="A3272" t="str">
            <v>04-12-2023</v>
          </cell>
          <cell r="B3272" t="str">
            <v>Creatine</v>
          </cell>
          <cell r="C3272" t="str">
            <v>Performance</v>
          </cell>
          <cell r="D3272">
            <v>127</v>
          </cell>
          <cell r="E3272">
            <v>46.86</v>
          </cell>
          <cell r="F3272">
            <v>5951.22</v>
          </cell>
          <cell r="G3272">
            <v>0.23</v>
          </cell>
          <cell r="H3272">
            <v>0</v>
          </cell>
          <cell r="I3272" t="str">
            <v>Canada</v>
          </cell>
          <cell r="J3272" t="str">
            <v>Amazon</v>
          </cell>
        </row>
        <row r="3273">
          <cell r="A3273" t="str">
            <v>04-12-2023</v>
          </cell>
          <cell r="B3273" t="str">
            <v>Zinc</v>
          </cell>
          <cell r="C3273" t="str">
            <v>Mineral</v>
          </cell>
          <cell r="D3273">
            <v>148</v>
          </cell>
          <cell r="E3273">
            <v>28.56</v>
          </cell>
          <cell r="F3273">
            <v>4226.88</v>
          </cell>
          <cell r="G3273">
            <v>0.13</v>
          </cell>
          <cell r="H3273">
            <v>0</v>
          </cell>
          <cell r="I3273" t="str">
            <v>UK</v>
          </cell>
          <cell r="J3273" t="str">
            <v>Walmart</v>
          </cell>
        </row>
        <row r="3274">
          <cell r="A3274" t="str">
            <v>04-12-2023</v>
          </cell>
          <cell r="B3274" t="str">
            <v>Collagen Peptides</v>
          </cell>
          <cell r="C3274" t="str">
            <v>Protein</v>
          </cell>
          <cell r="D3274">
            <v>158</v>
          </cell>
          <cell r="E3274">
            <v>51.45</v>
          </cell>
          <cell r="F3274">
            <v>8129.1</v>
          </cell>
          <cell r="G3274">
            <v>7.0000000000000007E-2</v>
          </cell>
          <cell r="H3274">
            <v>3</v>
          </cell>
          <cell r="I3274" t="str">
            <v>USA</v>
          </cell>
          <cell r="J3274" t="str">
            <v>Walmart</v>
          </cell>
        </row>
        <row r="3275">
          <cell r="A3275" t="str">
            <v>04-12-2023</v>
          </cell>
          <cell r="B3275" t="str">
            <v>Magnesium</v>
          </cell>
          <cell r="C3275" t="str">
            <v>Mineral</v>
          </cell>
          <cell r="D3275">
            <v>161</v>
          </cell>
          <cell r="E3275">
            <v>38.69</v>
          </cell>
          <cell r="F3275">
            <v>6229.09</v>
          </cell>
          <cell r="G3275">
            <v>0.05</v>
          </cell>
          <cell r="H3275">
            <v>2</v>
          </cell>
          <cell r="I3275" t="str">
            <v>USA</v>
          </cell>
          <cell r="J3275" t="str">
            <v>Amazon</v>
          </cell>
        </row>
        <row r="3276">
          <cell r="A3276" t="str">
            <v>04-12-2023</v>
          </cell>
          <cell r="B3276" t="str">
            <v>Ashwagandha</v>
          </cell>
          <cell r="C3276" t="str">
            <v>Herbal</v>
          </cell>
          <cell r="D3276">
            <v>151</v>
          </cell>
          <cell r="E3276">
            <v>44.18</v>
          </cell>
          <cell r="F3276">
            <v>6671.18</v>
          </cell>
          <cell r="G3276">
            <v>0.24</v>
          </cell>
          <cell r="H3276">
            <v>0</v>
          </cell>
          <cell r="I3276" t="str">
            <v>USA</v>
          </cell>
          <cell r="J3276" t="str">
            <v>Walmart</v>
          </cell>
        </row>
        <row r="3277">
          <cell r="A3277" t="str">
            <v>04-12-2023</v>
          </cell>
          <cell r="B3277" t="str">
            <v>Melatonin</v>
          </cell>
          <cell r="C3277" t="str">
            <v>Sleep Aid</v>
          </cell>
          <cell r="D3277">
            <v>144</v>
          </cell>
          <cell r="E3277">
            <v>18.510000000000002</v>
          </cell>
          <cell r="F3277">
            <v>2665.44</v>
          </cell>
          <cell r="G3277">
            <v>0.01</v>
          </cell>
          <cell r="H3277">
            <v>1</v>
          </cell>
          <cell r="I3277" t="str">
            <v>USA</v>
          </cell>
          <cell r="J3277" t="str">
            <v>Amazon</v>
          </cell>
        </row>
        <row r="3278">
          <cell r="A3278" t="str">
            <v>04-12-2023</v>
          </cell>
          <cell r="B3278" t="str">
            <v>Biotin</v>
          </cell>
          <cell r="C3278" t="str">
            <v>Vitamin</v>
          </cell>
          <cell r="D3278">
            <v>166</v>
          </cell>
          <cell r="E3278">
            <v>31.45</v>
          </cell>
          <cell r="F3278">
            <v>5220.7</v>
          </cell>
          <cell r="G3278">
            <v>0.19</v>
          </cell>
          <cell r="H3278">
            <v>4</v>
          </cell>
          <cell r="I3278" t="str">
            <v>Canada</v>
          </cell>
          <cell r="J3278" t="str">
            <v>Walmart</v>
          </cell>
        </row>
        <row r="3279">
          <cell r="A3279" t="str">
            <v>04-12-2023</v>
          </cell>
          <cell r="B3279" t="str">
            <v>Green Tea Extract</v>
          </cell>
          <cell r="C3279" t="str">
            <v>Fat Burner</v>
          </cell>
          <cell r="D3279">
            <v>178</v>
          </cell>
          <cell r="E3279">
            <v>47.3</v>
          </cell>
          <cell r="F3279">
            <v>8419.4</v>
          </cell>
          <cell r="G3279">
            <v>0.16</v>
          </cell>
          <cell r="H3279">
            <v>1</v>
          </cell>
          <cell r="I3279" t="str">
            <v>USA</v>
          </cell>
          <cell r="J3279" t="str">
            <v>Walmart</v>
          </cell>
        </row>
        <row r="3280">
          <cell r="A3280" t="str">
            <v>04-12-2023</v>
          </cell>
          <cell r="B3280" t="str">
            <v>Iron Supplement</v>
          </cell>
          <cell r="C3280" t="str">
            <v>Mineral</v>
          </cell>
          <cell r="D3280">
            <v>150</v>
          </cell>
          <cell r="E3280">
            <v>53.58</v>
          </cell>
          <cell r="F3280">
            <v>8037</v>
          </cell>
          <cell r="G3280">
            <v>0.09</v>
          </cell>
          <cell r="H3280">
            <v>2</v>
          </cell>
          <cell r="I3280" t="str">
            <v>UK</v>
          </cell>
          <cell r="J3280" t="str">
            <v>Amazon</v>
          </cell>
        </row>
        <row r="3281">
          <cell r="A3281" t="str">
            <v>04-12-2023</v>
          </cell>
          <cell r="B3281" t="str">
            <v>Electrolyte Powder</v>
          </cell>
          <cell r="C3281" t="str">
            <v>Hydration</v>
          </cell>
          <cell r="D3281">
            <v>136</v>
          </cell>
          <cell r="E3281">
            <v>59.6</v>
          </cell>
          <cell r="F3281">
            <v>8105.6</v>
          </cell>
          <cell r="G3281">
            <v>0.19</v>
          </cell>
          <cell r="H3281">
            <v>4</v>
          </cell>
          <cell r="I3281" t="str">
            <v>USA</v>
          </cell>
          <cell r="J3281" t="str">
            <v>Amazon</v>
          </cell>
        </row>
        <row r="3282">
          <cell r="A3282" t="str">
            <v>11-12-2023</v>
          </cell>
          <cell r="B3282" t="str">
            <v>Whey Protein</v>
          </cell>
          <cell r="C3282" t="str">
            <v>Protein</v>
          </cell>
          <cell r="D3282">
            <v>142</v>
          </cell>
          <cell r="E3282">
            <v>35.15</v>
          </cell>
          <cell r="F3282">
            <v>4991.3</v>
          </cell>
          <cell r="G3282">
            <v>0.12</v>
          </cell>
          <cell r="H3282">
            <v>0</v>
          </cell>
          <cell r="I3282" t="str">
            <v>UK</v>
          </cell>
          <cell r="J3282" t="str">
            <v>Walmart</v>
          </cell>
        </row>
        <row r="3283">
          <cell r="A3283" t="str">
            <v>11-12-2023</v>
          </cell>
          <cell r="B3283" t="str">
            <v>Vitamin C</v>
          </cell>
          <cell r="C3283" t="str">
            <v>Vitamin</v>
          </cell>
          <cell r="D3283">
            <v>159</v>
          </cell>
          <cell r="E3283">
            <v>19.32</v>
          </cell>
          <cell r="F3283">
            <v>3071.88</v>
          </cell>
          <cell r="G3283">
            <v>0.08</v>
          </cell>
          <cell r="H3283">
            <v>2</v>
          </cell>
          <cell r="I3283" t="str">
            <v>USA</v>
          </cell>
          <cell r="J3283" t="str">
            <v>Walmart</v>
          </cell>
        </row>
        <row r="3284">
          <cell r="A3284" t="str">
            <v>11-12-2023</v>
          </cell>
          <cell r="B3284" t="str">
            <v>Fish Oil</v>
          </cell>
          <cell r="C3284" t="str">
            <v>Omega</v>
          </cell>
          <cell r="D3284">
            <v>158</v>
          </cell>
          <cell r="E3284">
            <v>36.28</v>
          </cell>
          <cell r="F3284">
            <v>5732.24</v>
          </cell>
          <cell r="G3284">
            <v>0.03</v>
          </cell>
          <cell r="H3284">
            <v>3</v>
          </cell>
          <cell r="I3284" t="str">
            <v>USA</v>
          </cell>
          <cell r="J3284" t="str">
            <v>Walmart</v>
          </cell>
        </row>
        <row r="3285">
          <cell r="A3285" t="str">
            <v>11-12-2023</v>
          </cell>
          <cell r="B3285" t="str">
            <v>Multivitamin</v>
          </cell>
          <cell r="C3285" t="str">
            <v>Vitamin</v>
          </cell>
          <cell r="D3285">
            <v>172</v>
          </cell>
          <cell r="E3285">
            <v>10.88</v>
          </cell>
          <cell r="F3285">
            <v>1871.36</v>
          </cell>
          <cell r="G3285">
            <v>0.13</v>
          </cell>
          <cell r="H3285">
            <v>2</v>
          </cell>
          <cell r="I3285" t="str">
            <v>Canada</v>
          </cell>
          <cell r="J3285" t="str">
            <v>Amazon</v>
          </cell>
        </row>
        <row r="3286">
          <cell r="A3286" t="str">
            <v>11-12-2023</v>
          </cell>
          <cell r="B3286" t="str">
            <v>Pre-Workout</v>
          </cell>
          <cell r="C3286" t="str">
            <v>Performance</v>
          </cell>
          <cell r="D3286">
            <v>165</v>
          </cell>
          <cell r="E3286">
            <v>57.66</v>
          </cell>
          <cell r="F3286">
            <v>9513.9</v>
          </cell>
          <cell r="G3286">
            <v>0.15</v>
          </cell>
          <cell r="H3286">
            <v>3</v>
          </cell>
          <cell r="I3286" t="str">
            <v>USA</v>
          </cell>
          <cell r="J3286" t="str">
            <v>iHerb</v>
          </cell>
        </row>
        <row r="3287">
          <cell r="A3287" t="str">
            <v>11-12-2023</v>
          </cell>
          <cell r="B3287" t="str">
            <v>BCAA</v>
          </cell>
          <cell r="C3287" t="str">
            <v>Amino Acid</v>
          </cell>
          <cell r="D3287">
            <v>147</v>
          </cell>
          <cell r="E3287">
            <v>33.159999999999997</v>
          </cell>
          <cell r="F3287">
            <v>4874.5200000000004</v>
          </cell>
          <cell r="G3287">
            <v>0.04</v>
          </cell>
          <cell r="H3287">
            <v>1</v>
          </cell>
          <cell r="I3287" t="str">
            <v>UK</v>
          </cell>
          <cell r="J3287" t="str">
            <v>Amazon</v>
          </cell>
        </row>
        <row r="3288">
          <cell r="A3288" t="str">
            <v>11-12-2023</v>
          </cell>
          <cell r="B3288" t="str">
            <v>Creatine</v>
          </cell>
          <cell r="C3288" t="str">
            <v>Performance</v>
          </cell>
          <cell r="D3288">
            <v>165</v>
          </cell>
          <cell r="E3288">
            <v>17.54</v>
          </cell>
          <cell r="F3288">
            <v>2894.1</v>
          </cell>
          <cell r="G3288">
            <v>0.03</v>
          </cell>
          <cell r="H3288">
            <v>1</v>
          </cell>
          <cell r="I3288" t="str">
            <v>UK</v>
          </cell>
          <cell r="J3288" t="str">
            <v>Walmart</v>
          </cell>
        </row>
        <row r="3289">
          <cell r="A3289" t="str">
            <v>11-12-2023</v>
          </cell>
          <cell r="B3289" t="str">
            <v>Zinc</v>
          </cell>
          <cell r="C3289" t="str">
            <v>Mineral</v>
          </cell>
          <cell r="D3289">
            <v>167</v>
          </cell>
          <cell r="E3289">
            <v>47.59</v>
          </cell>
          <cell r="F3289">
            <v>7947.53</v>
          </cell>
          <cell r="G3289">
            <v>0.16</v>
          </cell>
          <cell r="H3289">
            <v>3</v>
          </cell>
          <cell r="I3289" t="str">
            <v>USA</v>
          </cell>
          <cell r="J3289" t="str">
            <v>Amazon</v>
          </cell>
        </row>
        <row r="3290">
          <cell r="A3290" t="str">
            <v>11-12-2023</v>
          </cell>
          <cell r="B3290" t="str">
            <v>Collagen Peptides</v>
          </cell>
          <cell r="C3290" t="str">
            <v>Protein</v>
          </cell>
          <cell r="D3290">
            <v>120</v>
          </cell>
          <cell r="E3290">
            <v>29.83</v>
          </cell>
          <cell r="F3290">
            <v>3579.6</v>
          </cell>
          <cell r="G3290">
            <v>0.11</v>
          </cell>
          <cell r="H3290">
            <v>3</v>
          </cell>
          <cell r="I3290" t="str">
            <v>USA</v>
          </cell>
          <cell r="J3290" t="str">
            <v>Amazon</v>
          </cell>
        </row>
        <row r="3291">
          <cell r="A3291" t="str">
            <v>11-12-2023</v>
          </cell>
          <cell r="B3291" t="str">
            <v>Magnesium</v>
          </cell>
          <cell r="C3291" t="str">
            <v>Mineral</v>
          </cell>
          <cell r="D3291">
            <v>152</v>
          </cell>
          <cell r="E3291">
            <v>30.39</v>
          </cell>
          <cell r="F3291">
            <v>4619.28</v>
          </cell>
          <cell r="G3291">
            <v>0.1</v>
          </cell>
          <cell r="H3291">
            <v>4</v>
          </cell>
          <cell r="I3291" t="str">
            <v>Canada</v>
          </cell>
          <cell r="J3291" t="str">
            <v>Amazon</v>
          </cell>
        </row>
        <row r="3292">
          <cell r="A3292" t="str">
            <v>11-12-2023</v>
          </cell>
          <cell r="B3292" t="str">
            <v>Ashwagandha</v>
          </cell>
          <cell r="C3292" t="str">
            <v>Herbal</v>
          </cell>
          <cell r="D3292">
            <v>153</v>
          </cell>
          <cell r="E3292">
            <v>45.66</v>
          </cell>
          <cell r="F3292">
            <v>6985.98</v>
          </cell>
          <cell r="G3292">
            <v>0.19</v>
          </cell>
          <cell r="H3292">
            <v>2</v>
          </cell>
          <cell r="I3292" t="str">
            <v>UK</v>
          </cell>
          <cell r="J3292" t="str">
            <v>Walmart</v>
          </cell>
        </row>
        <row r="3293">
          <cell r="A3293" t="str">
            <v>11-12-2023</v>
          </cell>
          <cell r="B3293" t="str">
            <v>Melatonin</v>
          </cell>
          <cell r="C3293" t="str">
            <v>Sleep Aid</v>
          </cell>
          <cell r="D3293">
            <v>140</v>
          </cell>
          <cell r="E3293">
            <v>46.61</v>
          </cell>
          <cell r="F3293">
            <v>6525.4</v>
          </cell>
          <cell r="G3293">
            <v>0.19</v>
          </cell>
          <cell r="H3293">
            <v>5</v>
          </cell>
          <cell r="I3293" t="str">
            <v>UK</v>
          </cell>
          <cell r="J3293" t="str">
            <v>Walmart</v>
          </cell>
        </row>
        <row r="3294">
          <cell r="A3294" t="str">
            <v>11-12-2023</v>
          </cell>
          <cell r="B3294" t="str">
            <v>Biotin</v>
          </cell>
          <cell r="C3294" t="str">
            <v>Vitamin</v>
          </cell>
          <cell r="D3294">
            <v>162</v>
          </cell>
          <cell r="E3294">
            <v>57.57</v>
          </cell>
          <cell r="F3294">
            <v>9326.34</v>
          </cell>
          <cell r="G3294">
            <v>0.04</v>
          </cell>
          <cell r="H3294">
            <v>1</v>
          </cell>
          <cell r="I3294" t="str">
            <v>Canada</v>
          </cell>
          <cell r="J3294" t="str">
            <v>Amazon</v>
          </cell>
        </row>
        <row r="3295">
          <cell r="A3295" t="str">
            <v>11-12-2023</v>
          </cell>
          <cell r="B3295" t="str">
            <v>Green Tea Extract</v>
          </cell>
          <cell r="C3295" t="str">
            <v>Fat Burner</v>
          </cell>
          <cell r="D3295">
            <v>153</v>
          </cell>
          <cell r="E3295">
            <v>51.97</v>
          </cell>
          <cell r="F3295">
            <v>7951.41</v>
          </cell>
          <cell r="G3295">
            <v>0.19</v>
          </cell>
          <cell r="H3295">
            <v>2</v>
          </cell>
          <cell r="I3295" t="str">
            <v>Canada</v>
          </cell>
          <cell r="J3295" t="str">
            <v>Amazon</v>
          </cell>
        </row>
        <row r="3296">
          <cell r="A3296" t="str">
            <v>11-12-2023</v>
          </cell>
          <cell r="B3296" t="str">
            <v>Iron Supplement</v>
          </cell>
          <cell r="C3296" t="str">
            <v>Mineral</v>
          </cell>
          <cell r="D3296">
            <v>159</v>
          </cell>
          <cell r="E3296">
            <v>25.65</v>
          </cell>
          <cell r="F3296">
            <v>4078.35</v>
          </cell>
          <cell r="G3296">
            <v>0.04</v>
          </cell>
          <cell r="H3296">
            <v>3</v>
          </cell>
          <cell r="I3296" t="str">
            <v>Canada</v>
          </cell>
          <cell r="J3296" t="str">
            <v>iHerb</v>
          </cell>
        </row>
        <row r="3297">
          <cell r="A3297" t="str">
            <v>11-12-2023</v>
          </cell>
          <cell r="B3297" t="str">
            <v>Electrolyte Powder</v>
          </cell>
          <cell r="C3297" t="str">
            <v>Hydration</v>
          </cell>
          <cell r="D3297">
            <v>153</v>
          </cell>
          <cell r="E3297">
            <v>37.270000000000003</v>
          </cell>
          <cell r="F3297">
            <v>5702.31</v>
          </cell>
          <cell r="G3297">
            <v>0.05</v>
          </cell>
          <cell r="H3297">
            <v>1</v>
          </cell>
          <cell r="I3297" t="str">
            <v>UK</v>
          </cell>
          <cell r="J3297" t="str">
            <v>Amazon</v>
          </cell>
        </row>
        <row r="3298">
          <cell r="A3298" t="str">
            <v>18-12-2023</v>
          </cell>
          <cell r="B3298" t="str">
            <v>Whey Protein</v>
          </cell>
          <cell r="C3298" t="str">
            <v>Protein</v>
          </cell>
          <cell r="D3298">
            <v>146</v>
          </cell>
          <cell r="E3298">
            <v>10.28</v>
          </cell>
          <cell r="F3298">
            <v>1500.88</v>
          </cell>
          <cell r="G3298">
            <v>0.25</v>
          </cell>
          <cell r="H3298">
            <v>4</v>
          </cell>
          <cell r="I3298" t="str">
            <v>UK</v>
          </cell>
          <cell r="J3298" t="str">
            <v>iHerb</v>
          </cell>
        </row>
        <row r="3299">
          <cell r="A3299" t="str">
            <v>18-12-2023</v>
          </cell>
          <cell r="B3299" t="str">
            <v>Vitamin C</v>
          </cell>
          <cell r="C3299" t="str">
            <v>Vitamin</v>
          </cell>
          <cell r="D3299">
            <v>184</v>
          </cell>
          <cell r="E3299">
            <v>11.31</v>
          </cell>
          <cell r="F3299">
            <v>2081.04</v>
          </cell>
          <cell r="G3299">
            <v>0.06</v>
          </cell>
          <cell r="H3299">
            <v>4</v>
          </cell>
          <cell r="I3299" t="str">
            <v>Canada</v>
          </cell>
          <cell r="J3299" t="str">
            <v>iHerb</v>
          </cell>
        </row>
        <row r="3300">
          <cell r="A3300" t="str">
            <v>18-12-2023</v>
          </cell>
          <cell r="B3300" t="str">
            <v>Fish Oil</v>
          </cell>
          <cell r="C3300" t="str">
            <v>Omega</v>
          </cell>
          <cell r="D3300">
            <v>128</v>
          </cell>
          <cell r="E3300">
            <v>14.4</v>
          </cell>
          <cell r="F3300">
            <v>1843.2</v>
          </cell>
          <cell r="G3300">
            <v>0.21</v>
          </cell>
          <cell r="H3300">
            <v>1</v>
          </cell>
          <cell r="I3300" t="str">
            <v>USA</v>
          </cell>
          <cell r="J3300" t="str">
            <v>Amazon</v>
          </cell>
        </row>
        <row r="3301">
          <cell r="A3301" t="str">
            <v>18-12-2023</v>
          </cell>
          <cell r="B3301" t="str">
            <v>Multivitamin</v>
          </cell>
          <cell r="C3301" t="str">
            <v>Vitamin</v>
          </cell>
          <cell r="D3301">
            <v>169</v>
          </cell>
          <cell r="E3301">
            <v>58.55</v>
          </cell>
          <cell r="F3301">
            <v>9894.9500000000007</v>
          </cell>
          <cell r="G3301">
            <v>0.13</v>
          </cell>
          <cell r="H3301">
            <v>2</v>
          </cell>
          <cell r="I3301" t="str">
            <v>USA</v>
          </cell>
          <cell r="J3301" t="str">
            <v>iHerb</v>
          </cell>
        </row>
        <row r="3302">
          <cell r="A3302" t="str">
            <v>18-12-2023</v>
          </cell>
          <cell r="B3302" t="str">
            <v>Pre-Workout</v>
          </cell>
          <cell r="C3302" t="str">
            <v>Performance</v>
          </cell>
          <cell r="D3302">
            <v>153</v>
          </cell>
          <cell r="E3302">
            <v>52.3</v>
          </cell>
          <cell r="F3302">
            <v>8001.9</v>
          </cell>
          <cell r="G3302">
            <v>0.16</v>
          </cell>
          <cell r="H3302">
            <v>2</v>
          </cell>
          <cell r="I3302" t="str">
            <v>Canada</v>
          </cell>
          <cell r="J3302" t="str">
            <v>Walmart</v>
          </cell>
        </row>
        <row r="3303">
          <cell r="A3303" t="str">
            <v>18-12-2023</v>
          </cell>
          <cell r="B3303" t="str">
            <v>BCAA</v>
          </cell>
          <cell r="C3303" t="str">
            <v>Amino Acid</v>
          </cell>
          <cell r="D3303">
            <v>161</v>
          </cell>
          <cell r="E3303">
            <v>42.51</v>
          </cell>
          <cell r="F3303">
            <v>6844.11</v>
          </cell>
          <cell r="G3303">
            <v>0.05</v>
          </cell>
          <cell r="H3303">
            <v>2</v>
          </cell>
          <cell r="I3303" t="str">
            <v>UK</v>
          </cell>
          <cell r="J3303" t="str">
            <v>Walmart</v>
          </cell>
        </row>
        <row r="3304">
          <cell r="A3304" t="str">
            <v>18-12-2023</v>
          </cell>
          <cell r="B3304" t="str">
            <v>Creatine</v>
          </cell>
          <cell r="C3304" t="str">
            <v>Performance</v>
          </cell>
          <cell r="D3304">
            <v>112</v>
          </cell>
          <cell r="E3304">
            <v>13.85</v>
          </cell>
          <cell r="F3304">
            <v>1551.2</v>
          </cell>
          <cell r="G3304">
            <v>0.1</v>
          </cell>
          <cell r="H3304">
            <v>2</v>
          </cell>
          <cell r="I3304" t="str">
            <v>Canada</v>
          </cell>
          <cell r="J3304" t="str">
            <v>iHerb</v>
          </cell>
        </row>
        <row r="3305">
          <cell r="A3305" t="str">
            <v>18-12-2023</v>
          </cell>
          <cell r="B3305" t="str">
            <v>Zinc</v>
          </cell>
          <cell r="C3305" t="str">
            <v>Mineral</v>
          </cell>
          <cell r="D3305">
            <v>164</v>
          </cell>
          <cell r="E3305">
            <v>54.84</v>
          </cell>
          <cell r="F3305">
            <v>8993.76</v>
          </cell>
          <cell r="G3305">
            <v>0.08</v>
          </cell>
          <cell r="H3305">
            <v>0</v>
          </cell>
          <cell r="I3305" t="str">
            <v>UK</v>
          </cell>
          <cell r="J3305" t="str">
            <v>iHerb</v>
          </cell>
        </row>
        <row r="3306">
          <cell r="A3306" t="str">
            <v>18-12-2023</v>
          </cell>
          <cell r="B3306" t="str">
            <v>Collagen Peptides</v>
          </cell>
          <cell r="C3306" t="str">
            <v>Protein</v>
          </cell>
          <cell r="D3306">
            <v>159</v>
          </cell>
          <cell r="E3306">
            <v>26.98</v>
          </cell>
          <cell r="F3306">
            <v>4289.82</v>
          </cell>
          <cell r="G3306">
            <v>0.09</v>
          </cell>
          <cell r="H3306">
            <v>4</v>
          </cell>
          <cell r="I3306" t="str">
            <v>USA</v>
          </cell>
          <cell r="J3306" t="str">
            <v>Amazon</v>
          </cell>
        </row>
        <row r="3307">
          <cell r="A3307" t="str">
            <v>18-12-2023</v>
          </cell>
          <cell r="B3307" t="str">
            <v>Magnesium</v>
          </cell>
          <cell r="C3307" t="str">
            <v>Mineral</v>
          </cell>
          <cell r="D3307">
            <v>126</v>
          </cell>
          <cell r="E3307">
            <v>25.48</v>
          </cell>
          <cell r="F3307">
            <v>3210.48</v>
          </cell>
          <cell r="G3307">
            <v>0.01</v>
          </cell>
          <cell r="H3307">
            <v>2</v>
          </cell>
          <cell r="I3307" t="str">
            <v>UK</v>
          </cell>
          <cell r="J3307" t="str">
            <v>Walmart</v>
          </cell>
        </row>
        <row r="3308">
          <cell r="A3308" t="str">
            <v>18-12-2023</v>
          </cell>
          <cell r="B3308" t="str">
            <v>Ashwagandha</v>
          </cell>
          <cell r="C3308" t="str">
            <v>Herbal</v>
          </cell>
          <cell r="D3308">
            <v>144</v>
          </cell>
          <cell r="E3308">
            <v>45.38</v>
          </cell>
          <cell r="F3308">
            <v>6534.72</v>
          </cell>
          <cell r="G3308">
            <v>0.13</v>
          </cell>
          <cell r="H3308">
            <v>2</v>
          </cell>
          <cell r="I3308" t="str">
            <v>Canada</v>
          </cell>
          <cell r="J3308" t="str">
            <v>Amazon</v>
          </cell>
        </row>
        <row r="3309">
          <cell r="A3309" t="str">
            <v>18-12-2023</v>
          </cell>
          <cell r="B3309" t="str">
            <v>Melatonin</v>
          </cell>
          <cell r="C3309" t="str">
            <v>Sleep Aid</v>
          </cell>
          <cell r="D3309">
            <v>153</v>
          </cell>
          <cell r="E3309">
            <v>46.71</v>
          </cell>
          <cell r="F3309">
            <v>7146.63</v>
          </cell>
          <cell r="G3309">
            <v>0.15</v>
          </cell>
          <cell r="H3309">
            <v>0</v>
          </cell>
          <cell r="I3309" t="str">
            <v>USA</v>
          </cell>
          <cell r="J3309" t="str">
            <v>Amazon</v>
          </cell>
        </row>
        <row r="3310">
          <cell r="A3310" t="str">
            <v>18-12-2023</v>
          </cell>
          <cell r="B3310" t="str">
            <v>Biotin</v>
          </cell>
          <cell r="C3310" t="str">
            <v>Vitamin</v>
          </cell>
          <cell r="D3310">
            <v>169</v>
          </cell>
          <cell r="E3310">
            <v>53.43</v>
          </cell>
          <cell r="F3310">
            <v>9029.67</v>
          </cell>
          <cell r="G3310">
            <v>0.22</v>
          </cell>
          <cell r="H3310">
            <v>1</v>
          </cell>
          <cell r="I3310" t="str">
            <v>Canada</v>
          </cell>
          <cell r="J3310" t="str">
            <v>iHerb</v>
          </cell>
        </row>
        <row r="3311">
          <cell r="A3311" t="str">
            <v>18-12-2023</v>
          </cell>
          <cell r="B3311" t="str">
            <v>Green Tea Extract</v>
          </cell>
          <cell r="C3311" t="str">
            <v>Fat Burner</v>
          </cell>
          <cell r="D3311">
            <v>150</v>
          </cell>
          <cell r="E3311">
            <v>32.47</v>
          </cell>
          <cell r="F3311">
            <v>4870.5</v>
          </cell>
          <cell r="G3311">
            <v>0.22</v>
          </cell>
          <cell r="H3311">
            <v>2</v>
          </cell>
          <cell r="I3311" t="str">
            <v>Canada</v>
          </cell>
          <cell r="J3311" t="str">
            <v>Walmart</v>
          </cell>
        </row>
        <row r="3312">
          <cell r="A3312" t="str">
            <v>18-12-2023</v>
          </cell>
          <cell r="B3312" t="str">
            <v>Iron Supplement</v>
          </cell>
          <cell r="C3312" t="str">
            <v>Mineral</v>
          </cell>
          <cell r="D3312">
            <v>134</v>
          </cell>
          <cell r="E3312">
            <v>59.8</v>
          </cell>
          <cell r="F3312">
            <v>8013.2</v>
          </cell>
          <cell r="G3312">
            <v>0.15</v>
          </cell>
          <cell r="H3312">
            <v>2</v>
          </cell>
          <cell r="I3312" t="str">
            <v>UK</v>
          </cell>
          <cell r="J3312" t="str">
            <v>iHerb</v>
          </cell>
        </row>
        <row r="3313">
          <cell r="A3313" t="str">
            <v>18-12-2023</v>
          </cell>
          <cell r="B3313" t="str">
            <v>Electrolyte Powder</v>
          </cell>
          <cell r="C3313" t="str">
            <v>Hydration</v>
          </cell>
          <cell r="D3313">
            <v>160</v>
          </cell>
          <cell r="E3313">
            <v>28.59</v>
          </cell>
          <cell r="F3313">
            <v>4574.3999999999996</v>
          </cell>
          <cell r="G3313">
            <v>0.18</v>
          </cell>
          <cell r="H3313">
            <v>1</v>
          </cell>
          <cell r="I3313" t="str">
            <v>USA</v>
          </cell>
          <cell r="J3313" t="str">
            <v>Walmart</v>
          </cell>
        </row>
        <row r="3314">
          <cell r="A3314" t="str">
            <v>25-12-2023</v>
          </cell>
          <cell r="B3314" t="str">
            <v>Whey Protein</v>
          </cell>
          <cell r="C3314" t="str">
            <v>Protein</v>
          </cell>
          <cell r="D3314">
            <v>152</v>
          </cell>
          <cell r="E3314">
            <v>48.88</v>
          </cell>
          <cell r="F3314">
            <v>7429.76</v>
          </cell>
          <cell r="G3314">
            <v>7.0000000000000007E-2</v>
          </cell>
          <cell r="H3314">
            <v>0</v>
          </cell>
          <cell r="I3314" t="str">
            <v>UK</v>
          </cell>
          <cell r="J3314" t="str">
            <v>Walmart</v>
          </cell>
        </row>
        <row r="3315">
          <cell r="A3315" t="str">
            <v>25-12-2023</v>
          </cell>
          <cell r="B3315" t="str">
            <v>Vitamin C</v>
          </cell>
          <cell r="C3315" t="str">
            <v>Vitamin</v>
          </cell>
          <cell r="D3315">
            <v>142</v>
          </cell>
          <cell r="E3315">
            <v>27.11</v>
          </cell>
          <cell r="F3315">
            <v>3849.62</v>
          </cell>
          <cell r="G3315">
            <v>0.14000000000000001</v>
          </cell>
          <cell r="H3315">
            <v>0</v>
          </cell>
          <cell r="I3315" t="str">
            <v>Canada</v>
          </cell>
          <cell r="J3315" t="str">
            <v>iHerb</v>
          </cell>
        </row>
        <row r="3316">
          <cell r="A3316" t="str">
            <v>25-12-2023</v>
          </cell>
          <cell r="B3316" t="str">
            <v>Fish Oil</v>
          </cell>
          <cell r="C3316" t="str">
            <v>Omega</v>
          </cell>
          <cell r="D3316">
            <v>150</v>
          </cell>
          <cell r="E3316">
            <v>36.729999999999997</v>
          </cell>
          <cell r="F3316">
            <v>5509.5</v>
          </cell>
          <cell r="G3316">
            <v>0.11</v>
          </cell>
          <cell r="H3316">
            <v>1</v>
          </cell>
          <cell r="I3316" t="str">
            <v>UK</v>
          </cell>
          <cell r="J3316" t="str">
            <v>Walmart</v>
          </cell>
        </row>
        <row r="3317">
          <cell r="A3317" t="str">
            <v>25-12-2023</v>
          </cell>
          <cell r="B3317" t="str">
            <v>Multivitamin</v>
          </cell>
          <cell r="C3317" t="str">
            <v>Vitamin</v>
          </cell>
          <cell r="D3317">
            <v>169</v>
          </cell>
          <cell r="E3317">
            <v>44.07</v>
          </cell>
          <cell r="F3317">
            <v>7447.83</v>
          </cell>
          <cell r="G3317">
            <v>0.23</v>
          </cell>
          <cell r="H3317">
            <v>2</v>
          </cell>
          <cell r="I3317" t="str">
            <v>Canada</v>
          </cell>
          <cell r="J3317" t="str">
            <v>Amazon</v>
          </cell>
        </row>
        <row r="3318">
          <cell r="A3318" t="str">
            <v>25-12-2023</v>
          </cell>
          <cell r="B3318" t="str">
            <v>Pre-Workout</v>
          </cell>
          <cell r="C3318" t="str">
            <v>Performance</v>
          </cell>
          <cell r="D3318">
            <v>166</v>
          </cell>
          <cell r="E3318">
            <v>34.69</v>
          </cell>
          <cell r="F3318">
            <v>5758.54</v>
          </cell>
          <cell r="G3318">
            <v>0.11</v>
          </cell>
          <cell r="H3318">
            <v>0</v>
          </cell>
          <cell r="I3318" t="str">
            <v>UK</v>
          </cell>
          <cell r="J3318" t="str">
            <v>Amazon</v>
          </cell>
        </row>
        <row r="3319">
          <cell r="A3319" t="str">
            <v>25-12-2023</v>
          </cell>
          <cell r="B3319" t="str">
            <v>BCAA</v>
          </cell>
          <cell r="C3319" t="str">
            <v>Amino Acid</v>
          </cell>
          <cell r="D3319">
            <v>148</v>
          </cell>
          <cell r="E3319">
            <v>43.49</v>
          </cell>
          <cell r="F3319">
            <v>6436.52</v>
          </cell>
          <cell r="G3319">
            <v>0.23</v>
          </cell>
          <cell r="H3319">
            <v>0</v>
          </cell>
          <cell r="I3319" t="str">
            <v>UK</v>
          </cell>
          <cell r="J3319" t="str">
            <v>Walmart</v>
          </cell>
        </row>
        <row r="3320">
          <cell r="A3320" t="str">
            <v>25-12-2023</v>
          </cell>
          <cell r="B3320" t="str">
            <v>Creatine</v>
          </cell>
          <cell r="C3320" t="str">
            <v>Performance</v>
          </cell>
          <cell r="D3320">
            <v>144</v>
          </cell>
          <cell r="E3320">
            <v>32.76</v>
          </cell>
          <cell r="F3320">
            <v>4717.4399999999996</v>
          </cell>
          <cell r="G3320">
            <v>0.19</v>
          </cell>
          <cell r="H3320">
            <v>1</v>
          </cell>
          <cell r="I3320" t="str">
            <v>USA</v>
          </cell>
          <cell r="J3320" t="str">
            <v>Walmart</v>
          </cell>
        </row>
        <row r="3321">
          <cell r="A3321" t="str">
            <v>25-12-2023</v>
          </cell>
          <cell r="B3321" t="str">
            <v>Zinc</v>
          </cell>
          <cell r="C3321" t="str">
            <v>Mineral</v>
          </cell>
          <cell r="D3321">
            <v>167</v>
          </cell>
          <cell r="E3321">
            <v>39.06</v>
          </cell>
          <cell r="F3321">
            <v>6523.02</v>
          </cell>
          <cell r="G3321">
            <v>0.04</v>
          </cell>
          <cell r="H3321">
            <v>1</v>
          </cell>
          <cell r="I3321" t="str">
            <v>Canada</v>
          </cell>
          <cell r="J3321" t="str">
            <v>Walmart</v>
          </cell>
        </row>
        <row r="3322">
          <cell r="A3322" t="str">
            <v>25-12-2023</v>
          </cell>
          <cell r="B3322" t="str">
            <v>Collagen Peptides</v>
          </cell>
          <cell r="C3322" t="str">
            <v>Protein</v>
          </cell>
          <cell r="D3322">
            <v>140</v>
          </cell>
          <cell r="E3322">
            <v>56.41</v>
          </cell>
          <cell r="F3322">
            <v>7897.4</v>
          </cell>
          <cell r="G3322">
            <v>0.13</v>
          </cell>
          <cell r="H3322">
            <v>0</v>
          </cell>
          <cell r="I3322" t="str">
            <v>USA</v>
          </cell>
          <cell r="J3322" t="str">
            <v>iHerb</v>
          </cell>
        </row>
        <row r="3323">
          <cell r="A3323" t="str">
            <v>25-12-2023</v>
          </cell>
          <cell r="B3323" t="str">
            <v>Magnesium</v>
          </cell>
          <cell r="C3323" t="str">
            <v>Mineral</v>
          </cell>
          <cell r="D3323">
            <v>141</v>
          </cell>
          <cell r="E3323">
            <v>41.16</v>
          </cell>
          <cell r="F3323">
            <v>5803.56</v>
          </cell>
          <cell r="G3323">
            <v>0.11</v>
          </cell>
          <cell r="H3323">
            <v>1</v>
          </cell>
          <cell r="I3323" t="str">
            <v>UK</v>
          </cell>
          <cell r="J3323" t="str">
            <v>Amazon</v>
          </cell>
        </row>
        <row r="3324">
          <cell r="A3324" t="str">
            <v>25-12-2023</v>
          </cell>
          <cell r="B3324" t="str">
            <v>Ashwagandha</v>
          </cell>
          <cell r="C3324" t="str">
            <v>Herbal</v>
          </cell>
          <cell r="D3324">
            <v>152</v>
          </cell>
          <cell r="E3324">
            <v>13.95</v>
          </cell>
          <cell r="F3324">
            <v>2120.4</v>
          </cell>
          <cell r="G3324">
            <v>0.01</v>
          </cell>
          <cell r="H3324">
            <v>1</v>
          </cell>
          <cell r="I3324" t="str">
            <v>USA</v>
          </cell>
          <cell r="J3324" t="str">
            <v>Walmart</v>
          </cell>
        </row>
        <row r="3325">
          <cell r="A3325" t="str">
            <v>25-12-2023</v>
          </cell>
          <cell r="B3325" t="str">
            <v>Melatonin</v>
          </cell>
          <cell r="C3325" t="str">
            <v>Sleep Aid</v>
          </cell>
          <cell r="D3325">
            <v>130</v>
          </cell>
          <cell r="E3325">
            <v>48.65</v>
          </cell>
          <cell r="F3325">
            <v>6324.5</v>
          </cell>
          <cell r="G3325">
            <v>0.18</v>
          </cell>
          <cell r="H3325">
            <v>1</v>
          </cell>
          <cell r="I3325" t="str">
            <v>Canada</v>
          </cell>
          <cell r="J3325" t="str">
            <v>iHerb</v>
          </cell>
        </row>
        <row r="3326">
          <cell r="A3326" t="str">
            <v>25-12-2023</v>
          </cell>
          <cell r="B3326" t="str">
            <v>Biotin</v>
          </cell>
          <cell r="C3326" t="str">
            <v>Vitamin</v>
          </cell>
          <cell r="D3326">
            <v>165</v>
          </cell>
          <cell r="E3326">
            <v>54.25</v>
          </cell>
          <cell r="F3326">
            <v>8951.25</v>
          </cell>
          <cell r="G3326">
            <v>0.1</v>
          </cell>
          <cell r="H3326">
            <v>1</v>
          </cell>
          <cell r="I3326" t="str">
            <v>UK</v>
          </cell>
          <cell r="J3326" t="str">
            <v>Amazon</v>
          </cell>
        </row>
        <row r="3327">
          <cell r="A3327" t="str">
            <v>25-12-2023</v>
          </cell>
          <cell r="B3327" t="str">
            <v>Green Tea Extract</v>
          </cell>
          <cell r="C3327" t="str">
            <v>Fat Burner</v>
          </cell>
          <cell r="D3327">
            <v>147</v>
          </cell>
          <cell r="E3327">
            <v>58.77</v>
          </cell>
          <cell r="F3327">
            <v>8639.19</v>
          </cell>
          <cell r="G3327">
            <v>0.03</v>
          </cell>
          <cell r="H3327">
            <v>1</v>
          </cell>
          <cell r="I3327" t="str">
            <v>UK</v>
          </cell>
          <cell r="J3327" t="str">
            <v>Walmart</v>
          </cell>
        </row>
        <row r="3328">
          <cell r="A3328" t="str">
            <v>25-12-2023</v>
          </cell>
          <cell r="B3328" t="str">
            <v>Iron Supplement</v>
          </cell>
          <cell r="C3328" t="str">
            <v>Mineral</v>
          </cell>
          <cell r="D3328">
            <v>143</v>
          </cell>
          <cell r="E3328">
            <v>17.61</v>
          </cell>
          <cell r="F3328">
            <v>2518.23</v>
          </cell>
          <cell r="G3328">
            <v>0.01</v>
          </cell>
          <cell r="H3328">
            <v>1</v>
          </cell>
          <cell r="I3328" t="str">
            <v>UK</v>
          </cell>
          <cell r="J3328" t="str">
            <v>Walmart</v>
          </cell>
        </row>
        <row r="3329">
          <cell r="A3329" t="str">
            <v>25-12-2023</v>
          </cell>
          <cell r="B3329" t="str">
            <v>Electrolyte Powder</v>
          </cell>
          <cell r="C3329" t="str">
            <v>Hydration</v>
          </cell>
          <cell r="D3329">
            <v>166</v>
          </cell>
          <cell r="E3329">
            <v>16.18</v>
          </cell>
          <cell r="F3329">
            <v>2685.88</v>
          </cell>
          <cell r="G3329">
            <v>0.16</v>
          </cell>
          <cell r="H3329">
            <v>6</v>
          </cell>
          <cell r="I3329" t="str">
            <v>UK</v>
          </cell>
          <cell r="J3329" t="str">
            <v>iHerb</v>
          </cell>
        </row>
        <row r="3330">
          <cell r="A3330" t="str">
            <v>01-01-2024</v>
          </cell>
          <cell r="B3330" t="str">
            <v>Whey Protein</v>
          </cell>
          <cell r="C3330" t="str">
            <v>Protein</v>
          </cell>
          <cell r="D3330">
            <v>140</v>
          </cell>
          <cell r="E3330">
            <v>58.59</v>
          </cell>
          <cell r="F3330">
            <v>8202.6</v>
          </cell>
          <cell r="G3330">
            <v>0.04</v>
          </cell>
          <cell r="H3330">
            <v>1</v>
          </cell>
          <cell r="I3330" t="str">
            <v>UK</v>
          </cell>
          <cell r="J3330" t="str">
            <v>Amazon</v>
          </cell>
        </row>
        <row r="3331">
          <cell r="A3331" t="str">
            <v>01-01-2024</v>
          </cell>
          <cell r="B3331" t="str">
            <v>Vitamin C</v>
          </cell>
          <cell r="C3331" t="str">
            <v>Vitamin</v>
          </cell>
          <cell r="D3331">
            <v>143</v>
          </cell>
          <cell r="E3331">
            <v>22.12</v>
          </cell>
          <cell r="F3331">
            <v>3163.16</v>
          </cell>
          <cell r="G3331">
            <v>0.22</v>
          </cell>
          <cell r="H3331">
            <v>3</v>
          </cell>
          <cell r="I3331" t="str">
            <v>USA</v>
          </cell>
          <cell r="J3331" t="str">
            <v>Walmart</v>
          </cell>
        </row>
        <row r="3332">
          <cell r="A3332" t="str">
            <v>01-01-2024</v>
          </cell>
          <cell r="B3332" t="str">
            <v>Fish Oil</v>
          </cell>
          <cell r="C3332" t="str">
            <v>Omega</v>
          </cell>
          <cell r="D3332">
            <v>147</v>
          </cell>
          <cell r="E3332">
            <v>18.28</v>
          </cell>
          <cell r="F3332">
            <v>2687.16</v>
          </cell>
          <cell r="G3332">
            <v>0.11</v>
          </cell>
          <cell r="H3332">
            <v>2</v>
          </cell>
          <cell r="I3332" t="str">
            <v>USA</v>
          </cell>
          <cell r="J3332" t="str">
            <v>Walmart</v>
          </cell>
        </row>
        <row r="3333">
          <cell r="A3333" t="str">
            <v>01-01-2024</v>
          </cell>
          <cell r="B3333" t="str">
            <v>Multivitamin</v>
          </cell>
          <cell r="C3333" t="str">
            <v>Vitamin</v>
          </cell>
          <cell r="D3333">
            <v>146</v>
          </cell>
          <cell r="E3333">
            <v>10.050000000000001</v>
          </cell>
          <cell r="F3333">
            <v>1467.3</v>
          </cell>
          <cell r="G3333">
            <v>0.2</v>
          </cell>
          <cell r="H3333">
            <v>3</v>
          </cell>
          <cell r="I3333" t="str">
            <v>USA</v>
          </cell>
          <cell r="J3333" t="str">
            <v>iHerb</v>
          </cell>
        </row>
        <row r="3334">
          <cell r="A3334" t="str">
            <v>01-01-2024</v>
          </cell>
          <cell r="B3334" t="str">
            <v>Pre-Workout</v>
          </cell>
          <cell r="C3334" t="str">
            <v>Performance</v>
          </cell>
          <cell r="D3334">
            <v>152</v>
          </cell>
          <cell r="E3334">
            <v>59.96</v>
          </cell>
          <cell r="F3334">
            <v>9113.92</v>
          </cell>
          <cell r="G3334">
            <v>0.15</v>
          </cell>
          <cell r="H3334">
            <v>2</v>
          </cell>
          <cell r="I3334" t="str">
            <v>Canada</v>
          </cell>
          <cell r="J3334" t="str">
            <v>iHerb</v>
          </cell>
        </row>
        <row r="3335">
          <cell r="A3335" t="str">
            <v>01-01-2024</v>
          </cell>
          <cell r="B3335" t="str">
            <v>BCAA</v>
          </cell>
          <cell r="C3335" t="str">
            <v>Amino Acid</v>
          </cell>
          <cell r="D3335">
            <v>157</v>
          </cell>
          <cell r="E3335">
            <v>10.48</v>
          </cell>
          <cell r="F3335">
            <v>1645.36</v>
          </cell>
          <cell r="G3335">
            <v>0.06</v>
          </cell>
          <cell r="H3335">
            <v>2</v>
          </cell>
          <cell r="I3335" t="str">
            <v>UK</v>
          </cell>
          <cell r="J3335" t="str">
            <v>Amazon</v>
          </cell>
        </row>
        <row r="3336">
          <cell r="A3336" t="str">
            <v>01-01-2024</v>
          </cell>
          <cell r="B3336" t="str">
            <v>Creatine</v>
          </cell>
          <cell r="C3336" t="str">
            <v>Performance</v>
          </cell>
          <cell r="D3336">
            <v>168</v>
          </cell>
          <cell r="E3336">
            <v>30.67</v>
          </cell>
          <cell r="F3336">
            <v>5152.5600000000004</v>
          </cell>
          <cell r="G3336">
            <v>0.09</v>
          </cell>
          <cell r="H3336">
            <v>2</v>
          </cell>
          <cell r="I3336" t="str">
            <v>Canada</v>
          </cell>
          <cell r="J3336" t="str">
            <v>iHerb</v>
          </cell>
        </row>
        <row r="3337">
          <cell r="A3337" t="str">
            <v>01-01-2024</v>
          </cell>
          <cell r="B3337" t="str">
            <v>Zinc</v>
          </cell>
          <cell r="C3337" t="str">
            <v>Mineral</v>
          </cell>
          <cell r="D3337">
            <v>159</v>
          </cell>
          <cell r="E3337">
            <v>24.57</v>
          </cell>
          <cell r="F3337">
            <v>3906.63</v>
          </cell>
          <cell r="G3337">
            <v>0.23</v>
          </cell>
          <cell r="H3337">
            <v>2</v>
          </cell>
          <cell r="I3337" t="str">
            <v>Canada</v>
          </cell>
          <cell r="J3337" t="str">
            <v>Walmart</v>
          </cell>
        </row>
        <row r="3338">
          <cell r="A3338" t="str">
            <v>01-01-2024</v>
          </cell>
          <cell r="B3338" t="str">
            <v>Collagen Peptides</v>
          </cell>
          <cell r="C3338" t="str">
            <v>Protein</v>
          </cell>
          <cell r="D3338">
            <v>161</v>
          </cell>
          <cell r="E3338">
            <v>27.2</v>
          </cell>
          <cell r="F3338">
            <v>4379.2</v>
          </cell>
          <cell r="G3338">
            <v>0.22</v>
          </cell>
          <cell r="H3338">
            <v>0</v>
          </cell>
          <cell r="I3338" t="str">
            <v>USA</v>
          </cell>
          <cell r="J3338" t="str">
            <v>Walmart</v>
          </cell>
        </row>
        <row r="3339">
          <cell r="A3339" t="str">
            <v>01-01-2024</v>
          </cell>
          <cell r="B3339" t="str">
            <v>Magnesium</v>
          </cell>
          <cell r="C3339" t="str">
            <v>Mineral</v>
          </cell>
          <cell r="D3339">
            <v>150</v>
          </cell>
          <cell r="E3339">
            <v>47.56</v>
          </cell>
          <cell r="F3339">
            <v>7134</v>
          </cell>
          <cell r="G3339">
            <v>7.0000000000000007E-2</v>
          </cell>
          <cell r="H3339">
            <v>0</v>
          </cell>
          <cell r="I3339" t="str">
            <v>Canada</v>
          </cell>
          <cell r="J3339" t="str">
            <v>Amazon</v>
          </cell>
        </row>
        <row r="3340">
          <cell r="A3340" t="str">
            <v>01-01-2024</v>
          </cell>
          <cell r="B3340" t="str">
            <v>Ashwagandha</v>
          </cell>
          <cell r="C3340" t="str">
            <v>Herbal</v>
          </cell>
          <cell r="D3340">
            <v>172</v>
          </cell>
          <cell r="E3340">
            <v>15.23</v>
          </cell>
          <cell r="F3340">
            <v>2619.56</v>
          </cell>
          <cell r="G3340">
            <v>0.05</v>
          </cell>
          <cell r="H3340">
            <v>7</v>
          </cell>
          <cell r="I3340" t="str">
            <v>Canada</v>
          </cell>
          <cell r="J3340" t="str">
            <v>Walmart</v>
          </cell>
        </row>
        <row r="3341">
          <cell r="A3341" t="str">
            <v>01-01-2024</v>
          </cell>
          <cell r="B3341" t="str">
            <v>Melatonin</v>
          </cell>
          <cell r="C3341" t="str">
            <v>Sleep Aid</v>
          </cell>
          <cell r="D3341">
            <v>138</v>
          </cell>
          <cell r="E3341">
            <v>31.01</v>
          </cell>
          <cell r="F3341">
            <v>4279.38</v>
          </cell>
          <cell r="G3341">
            <v>0.22</v>
          </cell>
          <cell r="H3341">
            <v>2</v>
          </cell>
          <cell r="I3341" t="str">
            <v>Canada</v>
          </cell>
          <cell r="J3341" t="str">
            <v>Amazon</v>
          </cell>
        </row>
        <row r="3342">
          <cell r="A3342" t="str">
            <v>01-01-2024</v>
          </cell>
          <cell r="B3342" t="str">
            <v>Biotin</v>
          </cell>
          <cell r="C3342" t="str">
            <v>Vitamin</v>
          </cell>
          <cell r="D3342">
            <v>153</v>
          </cell>
          <cell r="E3342">
            <v>53.99</v>
          </cell>
          <cell r="F3342">
            <v>8260.4699999999993</v>
          </cell>
          <cell r="G3342">
            <v>0.11</v>
          </cell>
          <cell r="H3342">
            <v>4</v>
          </cell>
          <cell r="I3342" t="str">
            <v>USA</v>
          </cell>
          <cell r="J3342" t="str">
            <v>Walmart</v>
          </cell>
        </row>
        <row r="3343">
          <cell r="A3343" t="str">
            <v>01-01-2024</v>
          </cell>
          <cell r="B3343" t="str">
            <v>Green Tea Extract</v>
          </cell>
          <cell r="C3343" t="str">
            <v>Fat Burner</v>
          </cell>
          <cell r="D3343">
            <v>150</v>
          </cell>
          <cell r="E3343">
            <v>13.46</v>
          </cell>
          <cell r="F3343">
            <v>2019</v>
          </cell>
          <cell r="G3343">
            <v>0.19</v>
          </cell>
          <cell r="H3343">
            <v>1</v>
          </cell>
          <cell r="I3343" t="str">
            <v>Canada</v>
          </cell>
          <cell r="J3343" t="str">
            <v>Amazon</v>
          </cell>
        </row>
        <row r="3344">
          <cell r="A3344" t="str">
            <v>01-01-2024</v>
          </cell>
          <cell r="B3344" t="str">
            <v>Iron Supplement</v>
          </cell>
          <cell r="C3344" t="str">
            <v>Mineral</v>
          </cell>
          <cell r="D3344">
            <v>145</v>
          </cell>
          <cell r="E3344">
            <v>17.34</v>
          </cell>
          <cell r="F3344">
            <v>2514.3000000000002</v>
          </cell>
          <cell r="G3344">
            <v>0.05</v>
          </cell>
          <cell r="H3344">
            <v>1</v>
          </cell>
          <cell r="I3344" t="str">
            <v>UK</v>
          </cell>
          <cell r="J3344" t="str">
            <v>iHerb</v>
          </cell>
        </row>
        <row r="3345">
          <cell r="A3345" t="str">
            <v>01-01-2024</v>
          </cell>
          <cell r="B3345" t="str">
            <v>Electrolyte Powder</v>
          </cell>
          <cell r="C3345" t="str">
            <v>Hydration</v>
          </cell>
          <cell r="D3345">
            <v>168</v>
          </cell>
          <cell r="E3345">
            <v>46.22</v>
          </cell>
          <cell r="F3345">
            <v>7764.96</v>
          </cell>
          <cell r="G3345">
            <v>0.02</v>
          </cell>
          <cell r="H3345">
            <v>2</v>
          </cell>
          <cell r="I3345" t="str">
            <v>USA</v>
          </cell>
          <cell r="J3345" t="str">
            <v>Amazon</v>
          </cell>
        </row>
        <row r="3346">
          <cell r="A3346" t="str">
            <v>08-01-2024</v>
          </cell>
          <cell r="B3346" t="str">
            <v>Whey Protein</v>
          </cell>
          <cell r="C3346" t="str">
            <v>Protein</v>
          </cell>
          <cell r="D3346">
            <v>149</v>
          </cell>
          <cell r="E3346">
            <v>52.31</v>
          </cell>
          <cell r="F3346">
            <v>7794.19</v>
          </cell>
          <cell r="G3346">
            <v>0.11</v>
          </cell>
          <cell r="H3346">
            <v>2</v>
          </cell>
          <cell r="I3346" t="str">
            <v>USA</v>
          </cell>
          <cell r="J3346" t="str">
            <v>iHerb</v>
          </cell>
        </row>
        <row r="3347">
          <cell r="A3347" t="str">
            <v>08-01-2024</v>
          </cell>
          <cell r="B3347" t="str">
            <v>Vitamin C</v>
          </cell>
          <cell r="C3347" t="str">
            <v>Vitamin</v>
          </cell>
          <cell r="D3347">
            <v>138</v>
          </cell>
          <cell r="E3347">
            <v>13.73</v>
          </cell>
          <cell r="F3347">
            <v>1894.74</v>
          </cell>
          <cell r="G3347">
            <v>0.09</v>
          </cell>
          <cell r="H3347">
            <v>0</v>
          </cell>
          <cell r="I3347" t="str">
            <v>UK</v>
          </cell>
          <cell r="J3347" t="str">
            <v>iHerb</v>
          </cell>
        </row>
        <row r="3348">
          <cell r="A3348" t="str">
            <v>08-01-2024</v>
          </cell>
          <cell r="B3348" t="str">
            <v>Fish Oil</v>
          </cell>
          <cell r="C3348" t="str">
            <v>Omega</v>
          </cell>
          <cell r="D3348">
            <v>158</v>
          </cell>
          <cell r="E3348">
            <v>47.55</v>
          </cell>
          <cell r="F3348">
            <v>7512.9</v>
          </cell>
          <cell r="G3348">
            <v>0.13</v>
          </cell>
          <cell r="H3348">
            <v>0</v>
          </cell>
          <cell r="I3348" t="str">
            <v>UK</v>
          </cell>
          <cell r="J3348" t="str">
            <v>Walmart</v>
          </cell>
        </row>
        <row r="3349">
          <cell r="A3349" t="str">
            <v>08-01-2024</v>
          </cell>
          <cell r="B3349" t="str">
            <v>Multivitamin</v>
          </cell>
          <cell r="C3349" t="str">
            <v>Vitamin</v>
          </cell>
          <cell r="D3349">
            <v>159</v>
          </cell>
          <cell r="E3349">
            <v>55.18</v>
          </cell>
          <cell r="F3349">
            <v>8773.6200000000008</v>
          </cell>
          <cell r="G3349">
            <v>0.14000000000000001</v>
          </cell>
          <cell r="H3349">
            <v>2</v>
          </cell>
          <cell r="I3349" t="str">
            <v>USA</v>
          </cell>
          <cell r="J3349" t="str">
            <v>Walmart</v>
          </cell>
        </row>
        <row r="3350">
          <cell r="A3350" t="str">
            <v>08-01-2024</v>
          </cell>
          <cell r="B3350" t="str">
            <v>Pre-Workout</v>
          </cell>
          <cell r="C3350" t="str">
            <v>Performance</v>
          </cell>
          <cell r="D3350">
            <v>159</v>
          </cell>
          <cell r="E3350">
            <v>18.21</v>
          </cell>
          <cell r="F3350">
            <v>2895.39</v>
          </cell>
          <cell r="G3350">
            <v>0.02</v>
          </cell>
          <cell r="H3350">
            <v>1</v>
          </cell>
          <cell r="I3350" t="str">
            <v>USA</v>
          </cell>
          <cell r="J3350" t="str">
            <v>Walmart</v>
          </cell>
        </row>
        <row r="3351">
          <cell r="A3351" t="str">
            <v>08-01-2024</v>
          </cell>
          <cell r="B3351" t="str">
            <v>BCAA</v>
          </cell>
          <cell r="C3351" t="str">
            <v>Amino Acid</v>
          </cell>
          <cell r="D3351">
            <v>147</v>
          </cell>
          <cell r="E3351">
            <v>44.67</v>
          </cell>
          <cell r="F3351">
            <v>6566.49</v>
          </cell>
          <cell r="G3351">
            <v>0.05</v>
          </cell>
          <cell r="H3351">
            <v>0</v>
          </cell>
          <cell r="I3351" t="str">
            <v>USA</v>
          </cell>
          <cell r="J3351" t="str">
            <v>Amazon</v>
          </cell>
        </row>
        <row r="3352">
          <cell r="A3352" t="str">
            <v>08-01-2024</v>
          </cell>
          <cell r="B3352" t="str">
            <v>Creatine</v>
          </cell>
          <cell r="C3352" t="str">
            <v>Performance</v>
          </cell>
          <cell r="D3352">
            <v>152</v>
          </cell>
          <cell r="E3352">
            <v>59.91</v>
          </cell>
          <cell r="F3352">
            <v>9106.32</v>
          </cell>
          <cell r="G3352">
            <v>0.09</v>
          </cell>
          <cell r="H3352">
            <v>3</v>
          </cell>
          <cell r="I3352" t="str">
            <v>Canada</v>
          </cell>
          <cell r="J3352" t="str">
            <v>Amazon</v>
          </cell>
        </row>
        <row r="3353">
          <cell r="A3353" t="str">
            <v>08-01-2024</v>
          </cell>
          <cell r="B3353" t="str">
            <v>Zinc</v>
          </cell>
          <cell r="C3353" t="str">
            <v>Mineral</v>
          </cell>
          <cell r="D3353">
            <v>146</v>
          </cell>
          <cell r="E3353">
            <v>39.909999999999997</v>
          </cell>
          <cell r="F3353">
            <v>5826.86</v>
          </cell>
          <cell r="G3353">
            <v>0.01</v>
          </cell>
          <cell r="H3353">
            <v>0</v>
          </cell>
          <cell r="I3353" t="str">
            <v>Canada</v>
          </cell>
          <cell r="J3353" t="str">
            <v>iHerb</v>
          </cell>
        </row>
        <row r="3354">
          <cell r="A3354" t="str">
            <v>08-01-2024</v>
          </cell>
          <cell r="B3354" t="str">
            <v>Collagen Peptides</v>
          </cell>
          <cell r="C3354" t="str">
            <v>Protein</v>
          </cell>
          <cell r="D3354">
            <v>159</v>
          </cell>
          <cell r="E3354">
            <v>40.29</v>
          </cell>
          <cell r="F3354">
            <v>6406.11</v>
          </cell>
          <cell r="G3354">
            <v>7.0000000000000007E-2</v>
          </cell>
          <cell r="H3354">
            <v>3</v>
          </cell>
          <cell r="I3354" t="str">
            <v>UK</v>
          </cell>
          <cell r="J3354" t="str">
            <v>iHerb</v>
          </cell>
        </row>
        <row r="3355">
          <cell r="A3355" t="str">
            <v>08-01-2024</v>
          </cell>
          <cell r="B3355" t="str">
            <v>Magnesium</v>
          </cell>
          <cell r="C3355" t="str">
            <v>Mineral</v>
          </cell>
          <cell r="D3355">
            <v>162</v>
          </cell>
          <cell r="E3355">
            <v>36.24</v>
          </cell>
          <cell r="F3355">
            <v>5870.88</v>
          </cell>
          <cell r="G3355">
            <v>7.0000000000000007E-2</v>
          </cell>
          <cell r="H3355">
            <v>3</v>
          </cell>
          <cell r="I3355" t="str">
            <v>Canada</v>
          </cell>
          <cell r="J3355" t="str">
            <v>Walmart</v>
          </cell>
        </row>
        <row r="3356">
          <cell r="A3356" t="str">
            <v>08-01-2024</v>
          </cell>
          <cell r="B3356" t="str">
            <v>Ashwagandha</v>
          </cell>
          <cell r="C3356" t="str">
            <v>Herbal</v>
          </cell>
          <cell r="D3356">
            <v>137</v>
          </cell>
          <cell r="E3356">
            <v>19.2</v>
          </cell>
          <cell r="F3356">
            <v>2630.4</v>
          </cell>
          <cell r="G3356">
            <v>0.17</v>
          </cell>
          <cell r="H3356">
            <v>2</v>
          </cell>
          <cell r="I3356" t="str">
            <v>UK</v>
          </cell>
          <cell r="J3356" t="str">
            <v>Amazon</v>
          </cell>
        </row>
        <row r="3357">
          <cell r="A3357" t="str">
            <v>08-01-2024</v>
          </cell>
          <cell r="B3357" t="str">
            <v>Melatonin</v>
          </cell>
          <cell r="C3357" t="str">
            <v>Sleep Aid</v>
          </cell>
          <cell r="D3357">
            <v>155</v>
          </cell>
          <cell r="E3357">
            <v>15.01</v>
          </cell>
          <cell r="F3357">
            <v>2326.5500000000002</v>
          </cell>
          <cell r="G3357">
            <v>0.23</v>
          </cell>
          <cell r="H3357">
            <v>1</v>
          </cell>
          <cell r="I3357" t="str">
            <v>USA</v>
          </cell>
          <cell r="J3357" t="str">
            <v>Amazon</v>
          </cell>
        </row>
        <row r="3358">
          <cell r="A3358" t="str">
            <v>08-01-2024</v>
          </cell>
          <cell r="B3358" t="str">
            <v>Biotin</v>
          </cell>
          <cell r="C3358" t="str">
            <v>Vitamin</v>
          </cell>
          <cell r="D3358">
            <v>147</v>
          </cell>
          <cell r="E3358">
            <v>19.64</v>
          </cell>
          <cell r="F3358">
            <v>2887.08</v>
          </cell>
          <cell r="G3358">
            <v>0.03</v>
          </cell>
          <cell r="H3358">
            <v>1</v>
          </cell>
          <cell r="I3358" t="str">
            <v>UK</v>
          </cell>
          <cell r="J3358" t="str">
            <v>Amazon</v>
          </cell>
        </row>
        <row r="3359">
          <cell r="A3359" t="str">
            <v>08-01-2024</v>
          </cell>
          <cell r="B3359" t="str">
            <v>Green Tea Extract</v>
          </cell>
          <cell r="C3359" t="str">
            <v>Fat Burner</v>
          </cell>
          <cell r="D3359">
            <v>139</v>
          </cell>
          <cell r="E3359">
            <v>54.63</v>
          </cell>
          <cell r="F3359">
            <v>7593.57</v>
          </cell>
          <cell r="G3359">
            <v>0.13</v>
          </cell>
          <cell r="H3359">
            <v>1</v>
          </cell>
          <cell r="I3359" t="str">
            <v>UK</v>
          </cell>
          <cell r="J3359" t="str">
            <v>Walmart</v>
          </cell>
        </row>
        <row r="3360">
          <cell r="A3360" t="str">
            <v>08-01-2024</v>
          </cell>
          <cell r="B3360" t="str">
            <v>Iron Supplement</v>
          </cell>
          <cell r="C3360" t="str">
            <v>Mineral</v>
          </cell>
          <cell r="D3360">
            <v>132</v>
          </cell>
          <cell r="E3360">
            <v>39.200000000000003</v>
          </cell>
          <cell r="F3360">
            <v>5174.3999999999996</v>
          </cell>
          <cell r="G3360">
            <v>0.04</v>
          </cell>
          <cell r="H3360">
            <v>1</v>
          </cell>
          <cell r="I3360" t="str">
            <v>UK</v>
          </cell>
          <cell r="J3360" t="str">
            <v>Amazon</v>
          </cell>
        </row>
        <row r="3361">
          <cell r="A3361" t="str">
            <v>08-01-2024</v>
          </cell>
          <cell r="B3361" t="str">
            <v>Electrolyte Powder</v>
          </cell>
          <cell r="C3361" t="str">
            <v>Hydration</v>
          </cell>
          <cell r="D3361">
            <v>149</v>
          </cell>
          <cell r="E3361">
            <v>22.13</v>
          </cell>
          <cell r="F3361">
            <v>3297.37</v>
          </cell>
          <cell r="G3361">
            <v>0.13</v>
          </cell>
          <cell r="H3361">
            <v>2</v>
          </cell>
          <cell r="I3361" t="str">
            <v>USA</v>
          </cell>
          <cell r="J3361" t="str">
            <v>iHerb</v>
          </cell>
        </row>
        <row r="3362">
          <cell r="A3362" t="str">
            <v>15-01-2024</v>
          </cell>
          <cell r="B3362" t="str">
            <v>Whey Protein</v>
          </cell>
          <cell r="C3362" t="str">
            <v>Protein</v>
          </cell>
          <cell r="D3362">
            <v>148</v>
          </cell>
          <cell r="E3362">
            <v>53.47</v>
          </cell>
          <cell r="F3362">
            <v>7913.56</v>
          </cell>
          <cell r="G3362">
            <v>0.12</v>
          </cell>
          <cell r="H3362">
            <v>4</v>
          </cell>
          <cell r="I3362" t="str">
            <v>Canada</v>
          </cell>
          <cell r="J3362" t="str">
            <v>iHerb</v>
          </cell>
        </row>
        <row r="3363">
          <cell r="A3363" t="str">
            <v>15-01-2024</v>
          </cell>
          <cell r="B3363" t="str">
            <v>Vitamin C</v>
          </cell>
          <cell r="C3363" t="str">
            <v>Vitamin</v>
          </cell>
          <cell r="D3363">
            <v>128</v>
          </cell>
          <cell r="E3363">
            <v>29.03</v>
          </cell>
          <cell r="F3363">
            <v>3715.84</v>
          </cell>
          <cell r="G3363">
            <v>0.15</v>
          </cell>
          <cell r="H3363">
            <v>1</v>
          </cell>
          <cell r="I3363" t="str">
            <v>UK</v>
          </cell>
          <cell r="J3363" t="str">
            <v>Walmart</v>
          </cell>
        </row>
        <row r="3364">
          <cell r="A3364" t="str">
            <v>15-01-2024</v>
          </cell>
          <cell r="B3364" t="str">
            <v>Fish Oil</v>
          </cell>
          <cell r="C3364" t="str">
            <v>Omega</v>
          </cell>
          <cell r="D3364">
            <v>149</v>
          </cell>
          <cell r="E3364">
            <v>18.52</v>
          </cell>
          <cell r="F3364">
            <v>2759.48</v>
          </cell>
          <cell r="G3364">
            <v>0.21</v>
          </cell>
          <cell r="H3364">
            <v>3</v>
          </cell>
          <cell r="I3364" t="str">
            <v>Canada</v>
          </cell>
          <cell r="J3364" t="str">
            <v>Amazon</v>
          </cell>
        </row>
        <row r="3365">
          <cell r="A3365" t="str">
            <v>15-01-2024</v>
          </cell>
          <cell r="B3365" t="str">
            <v>Multivitamin</v>
          </cell>
          <cell r="C3365" t="str">
            <v>Vitamin</v>
          </cell>
          <cell r="D3365">
            <v>156</v>
          </cell>
          <cell r="E3365">
            <v>39.880000000000003</v>
          </cell>
          <cell r="F3365">
            <v>6221.28</v>
          </cell>
          <cell r="G3365">
            <v>0.05</v>
          </cell>
          <cell r="H3365">
            <v>1</v>
          </cell>
          <cell r="I3365" t="str">
            <v>UK</v>
          </cell>
          <cell r="J3365" t="str">
            <v>Amazon</v>
          </cell>
        </row>
        <row r="3366">
          <cell r="A3366" t="str">
            <v>15-01-2024</v>
          </cell>
          <cell r="B3366" t="str">
            <v>Pre-Workout</v>
          </cell>
          <cell r="C3366" t="str">
            <v>Performance</v>
          </cell>
          <cell r="D3366">
            <v>157</v>
          </cell>
          <cell r="E3366">
            <v>10.93</v>
          </cell>
          <cell r="F3366">
            <v>1716.01</v>
          </cell>
          <cell r="G3366">
            <v>0.24</v>
          </cell>
          <cell r="H3366">
            <v>3</v>
          </cell>
          <cell r="I3366" t="str">
            <v>UK</v>
          </cell>
          <cell r="J3366" t="str">
            <v>iHerb</v>
          </cell>
        </row>
        <row r="3367">
          <cell r="A3367" t="str">
            <v>15-01-2024</v>
          </cell>
          <cell r="B3367" t="str">
            <v>BCAA</v>
          </cell>
          <cell r="C3367" t="str">
            <v>Amino Acid</v>
          </cell>
          <cell r="D3367">
            <v>141</v>
          </cell>
          <cell r="E3367">
            <v>56.16</v>
          </cell>
          <cell r="F3367">
            <v>7918.56</v>
          </cell>
          <cell r="G3367">
            <v>0.02</v>
          </cell>
          <cell r="H3367">
            <v>1</v>
          </cell>
          <cell r="I3367" t="str">
            <v>Canada</v>
          </cell>
          <cell r="J3367" t="str">
            <v>iHerb</v>
          </cell>
        </row>
        <row r="3368">
          <cell r="A3368" t="str">
            <v>15-01-2024</v>
          </cell>
          <cell r="B3368" t="str">
            <v>Creatine</v>
          </cell>
          <cell r="C3368" t="str">
            <v>Performance</v>
          </cell>
          <cell r="D3368">
            <v>148</v>
          </cell>
          <cell r="E3368">
            <v>51.78</v>
          </cell>
          <cell r="F3368">
            <v>7663.44</v>
          </cell>
          <cell r="G3368">
            <v>0.1</v>
          </cell>
          <cell r="H3368">
            <v>0</v>
          </cell>
          <cell r="I3368" t="str">
            <v>Canada</v>
          </cell>
          <cell r="J3368" t="str">
            <v>Walmart</v>
          </cell>
        </row>
        <row r="3369">
          <cell r="A3369" t="str">
            <v>15-01-2024</v>
          </cell>
          <cell r="B3369" t="str">
            <v>Zinc</v>
          </cell>
          <cell r="C3369" t="str">
            <v>Mineral</v>
          </cell>
          <cell r="D3369">
            <v>126</v>
          </cell>
          <cell r="E3369">
            <v>30.46</v>
          </cell>
          <cell r="F3369">
            <v>3837.96</v>
          </cell>
          <cell r="G3369">
            <v>0.18</v>
          </cell>
          <cell r="H3369">
            <v>0</v>
          </cell>
          <cell r="I3369" t="str">
            <v>USA</v>
          </cell>
          <cell r="J3369" t="str">
            <v>iHerb</v>
          </cell>
        </row>
        <row r="3370">
          <cell r="A3370" t="str">
            <v>15-01-2024</v>
          </cell>
          <cell r="B3370" t="str">
            <v>Collagen Peptides</v>
          </cell>
          <cell r="C3370" t="str">
            <v>Protein</v>
          </cell>
          <cell r="D3370">
            <v>155</v>
          </cell>
          <cell r="E3370">
            <v>22.76</v>
          </cell>
          <cell r="F3370">
            <v>3527.8</v>
          </cell>
          <cell r="G3370">
            <v>0.15</v>
          </cell>
          <cell r="H3370">
            <v>2</v>
          </cell>
          <cell r="I3370" t="str">
            <v>USA</v>
          </cell>
          <cell r="J3370" t="str">
            <v>Walmart</v>
          </cell>
        </row>
        <row r="3371">
          <cell r="A3371" t="str">
            <v>15-01-2024</v>
          </cell>
          <cell r="B3371" t="str">
            <v>Magnesium</v>
          </cell>
          <cell r="C3371" t="str">
            <v>Mineral</v>
          </cell>
          <cell r="D3371">
            <v>149</v>
          </cell>
          <cell r="E3371">
            <v>40.96</v>
          </cell>
          <cell r="F3371">
            <v>6103.04</v>
          </cell>
          <cell r="G3371">
            <v>0.24</v>
          </cell>
          <cell r="H3371">
            <v>1</v>
          </cell>
          <cell r="I3371" t="str">
            <v>USA</v>
          </cell>
          <cell r="J3371" t="str">
            <v>iHerb</v>
          </cell>
        </row>
        <row r="3372">
          <cell r="A3372" t="str">
            <v>15-01-2024</v>
          </cell>
          <cell r="B3372" t="str">
            <v>Ashwagandha</v>
          </cell>
          <cell r="C3372" t="str">
            <v>Herbal</v>
          </cell>
          <cell r="D3372">
            <v>146</v>
          </cell>
          <cell r="E3372">
            <v>13.81</v>
          </cell>
          <cell r="F3372">
            <v>2016.26</v>
          </cell>
          <cell r="G3372">
            <v>0.14000000000000001</v>
          </cell>
          <cell r="H3372">
            <v>1</v>
          </cell>
          <cell r="I3372" t="str">
            <v>UK</v>
          </cell>
          <cell r="J3372" t="str">
            <v>Amazon</v>
          </cell>
        </row>
        <row r="3373">
          <cell r="A3373" t="str">
            <v>15-01-2024</v>
          </cell>
          <cell r="B3373" t="str">
            <v>Melatonin</v>
          </cell>
          <cell r="C3373" t="str">
            <v>Sleep Aid</v>
          </cell>
          <cell r="D3373">
            <v>133</v>
          </cell>
          <cell r="E3373">
            <v>10.17</v>
          </cell>
          <cell r="F3373">
            <v>1352.61</v>
          </cell>
          <cell r="G3373">
            <v>0.1</v>
          </cell>
          <cell r="H3373">
            <v>0</v>
          </cell>
          <cell r="I3373" t="str">
            <v>USA</v>
          </cell>
          <cell r="J3373" t="str">
            <v>iHerb</v>
          </cell>
        </row>
        <row r="3374">
          <cell r="A3374" t="str">
            <v>15-01-2024</v>
          </cell>
          <cell r="B3374" t="str">
            <v>Biotin</v>
          </cell>
          <cell r="C3374" t="str">
            <v>Vitamin</v>
          </cell>
          <cell r="D3374">
            <v>171</v>
          </cell>
          <cell r="E3374">
            <v>36.96</v>
          </cell>
          <cell r="F3374">
            <v>6320.16</v>
          </cell>
          <cell r="G3374">
            <v>7.0000000000000007E-2</v>
          </cell>
          <cell r="H3374">
            <v>2</v>
          </cell>
          <cell r="I3374" t="str">
            <v>Canada</v>
          </cell>
          <cell r="J3374" t="str">
            <v>iHerb</v>
          </cell>
        </row>
        <row r="3375">
          <cell r="A3375" t="str">
            <v>15-01-2024</v>
          </cell>
          <cell r="B3375" t="str">
            <v>Green Tea Extract</v>
          </cell>
          <cell r="C3375" t="str">
            <v>Fat Burner</v>
          </cell>
          <cell r="D3375">
            <v>148</v>
          </cell>
          <cell r="E3375">
            <v>45.02</v>
          </cell>
          <cell r="F3375">
            <v>6662.96</v>
          </cell>
          <cell r="G3375">
            <v>0.03</v>
          </cell>
          <cell r="H3375">
            <v>0</v>
          </cell>
          <cell r="I3375" t="str">
            <v>Canada</v>
          </cell>
          <cell r="J3375" t="str">
            <v>Walmart</v>
          </cell>
        </row>
        <row r="3376">
          <cell r="A3376" t="str">
            <v>15-01-2024</v>
          </cell>
          <cell r="B3376" t="str">
            <v>Iron Supplement</v>
          </cell>
          <cell r="C3376" t="str">
            <v>Mineral</v>
          </cell>
          <cell r="D3376">
            <v>160</v>
          </cell>
          <cell r="E3376">
            <v>34.93</v>
          </cell>
          <cell r="F3376">
            <v>5588.8</v>
          </cell>
          <cell r="G3376">
            <v>0.12</v>
          </cell>
          <cell r="H3376">
            <v>1</v>
          </cell>
          <cell r="I3376" t="str">
            <v>Canada</v>
          </cell>
          <cell r="J3376" t="str">
            <v>iHerb</v>
          </cell>
        </row>
        <row r="3377">
          <cell r="A3377" t="str">
            <v>15-01-2024</v>
          </cell>
          <cell r="B3377" t="str">
            <v>Electrolyte Powder</v>
          </cell>
          <cell r="C3377" t="str">
            <v>Hydration</v>
          </cell>
          <cell r="D3377">
            <v>148</v>
          </cell>
          <cell r="E3377">
            <v>34.979999999999997</v>
          </cell>
          <cell r="F3377">
            <v>5177.04</v>
          </cell>
          <cell r="G3377">
            <v>0.13</v>
          </cell>
          <cell r="H3377">
            <v>2</v>
          </cell>
          <cell r="I3377" t="str">
            <v>UK</v>
          </cell>
          <cell r="J3377" t="str">
            <v>iHerb</v>
          </cell>
        </row>
        <row r="3378">
          <cell r="A3378" t="str">
            <v>22-01-2024</v>
          </cell>
          <cell r="B3378" t="str">
            <v>Whey Protein</v>
          </cell>
          <cell r="C3378" t="str">
            <v>Protein</v>
          </cell>
          <cell r="D3378">
            <v>158</v>
          </cell>
          <cell r="E3378">
            <v>30.68</v>
          </cell>
          <cell r="F3378">
            <v>4847.4399999999996</v>
          </cell>
          <cell r="G3378">
            <v>0.09</v>
          </cell>
          <cell r="H3378">
            <v>2</v>
          </cell>
          <cell r="I3378" t="str">
            <v>USA</v>
          </cell>
          <cell r="J3378" t="str">
            <v>iHerb</v>
          </cell>
        </row>
        <row r="3379">
          <cell r="A3379" t="str">
            <v>22-01-2024</v>
          </cell>
          <cell r="B3379" t="str">
            <v>Vitamin C</v>
          </cell>
          <cell r="C3379" t="str">
            <v>Vitamin</v>
          </cell>
          <cell r="D3379">
            <v>148</v>
          </cell>
          <cell r="E3379">
            <v>44.82</v>
          </cell>
          <cell r="F3379">
            <v>6633.36</v>
          </cell>
          <cell r="G3379">
            <v>0.22</v>
          </cell>
          <cell r="H3379">
            <v>2</v>
          </cell>
          <cell r="I3379" t="str">
            <v>USA</v>
          </cell>
          <cell r="J3379" t="str">
            <v>iHerb</v>
          </cell>
        </row>
        <row r="3380">
          <cell r="A3380" t="str">
            <v>22-01-2024</v>
          </cell>
          <cell r="B3380" t="str">
            <v>Fish Oil</v>
          </cell>
          <cell r="C3380" t="str">
            <v>Omega</v>
          </cell>
          <cell r="D3380">
            <v>183</v>
          </cell>
          <cell r="E3380">
            <v>12.62</v>
          </cell>
          <cell r="F3380">
            <v>2309.46</v>
          </cell>
          <cell r="G3380">
            <v>0.14000000000000001</v>
          </cell>
          <cell r="H3380">
            <v>5</v>
          </cell>
          <cell r="I3380" t="str">
            <v>UK</v>
          </cell>
          <cell r="J3380" t="str">
            <v>iHerb</v>
          </cell>
        </row>
        <row r="3381">
          <cell r="A3381" t="str">
            <v>22-01-2024</v>
          </cell>
          <cell r="B3381" t="str">
            <v>Multivitamin</v>
          </cell>
          <cell r="C3381" t="str">
            <v>Vitamin</v>
          </cell>
          <cell r="D3381">
            <v>147</v>
          </cell>
          <cell r="E3381">
            <v>36.08</v>
          </cell>
          <cell r="F3381">
            <v>5303.76</v>
          </cell>
          <cell r="G3381">
            <v>0.16</v>
          </cell>
          <cell r="H3381">
            <v>1</v>
          </cell>
          <cell r="I3381" t="str">
            <v>Canada</v>
          </cell>
          <cell r="J3381" t="str">
            <v>Walmart</v>
          </cell>
        </row>
        <row r="3382">
          <cell r="A3382" t="str">
            <v>22-01-2024</v>
          </cell>
          <cell r="B3382" t="str">
            <v>Pre-Workout</v>
          </cell>
          <cell r="C3382" t="str">
            <v>Performance</v>
          </cell>
          <cell r="D3382">
            <v>168</v>
          </cell>
          <cell r="E3382">
            <v>26.34</v>
          </cell>
          <cell r="F3382">
            <v>4425.12</v>
          </cell>
          <cell r="G3382">
            <v>0.09</v>
          </cell>
          <cell r="H3382">
            <v>1</v>
          </cell>
          <cell r="I3382" t="str">
            <v>Canada</v>
          </cell>
          <cell r="J3382" t="str">
            <v>iHerb</v>
          </cell>
        </row>
        <row r="3383">
          <cell r="A3383" t="str">
            <v>22-01-2024</v>
          </cell>
          <cell r="B3383" t="str">
            <v>BCAA</v>
          </cell>
          <cell r="C3383" t="str">
            <v>Amino Acid</v>
          </cell>
          <cell r="D3383">
            <v>131</v>
          </cell>
          <cell r="E3383">
            <v>28.27</v>
          </cell>
          <cell r="F3383">
            <v>3703.37</v>
          </cell>
          <cell r="G3383">
            <v>0.22</v>
          </cell>
          <cell r="H3383">
            <v>3</v>
          </cell>
          <cell r="I3383" t="str">
            <v>UK</v>
          </cell>
          <cell r="J3383" t="str">
            <v>Walmart</v>
          </cell>
        </row>
        <row r="3384">
          <cell r="A3384" t="str">
            <v>22-01-2024</v>
          </cell>
          <cell r="B3384" t="str">
            <v>Creatine</v>
          </cell>
          <cell r="C3384" t="str">
            <v>Performance</v>
          </cell>
          <cell r="D3384">
            <v>158</v>
          </cell>
          <cell r="E3384">
            <v>29.48</v>
          </cell>
          <cell r="F3384">
            <v>4657.84</v>
          </cell>
          <cell r="G3384">
            <v>0.13</v>
          </cell>
          <cell r="H3384">
            <v>1</v>
          </cell>
          <cell r="I3384" t="str">
            <v>Canada</v>
          </cell>
          <cell r="J3384" t="str">
            <v>iHerb</v>
          </cell>
        </row>
        <row r="3385">
          <cell r="A3385" t="str">
            <v>22-01-2024</v>
          </cell>
          <cell r="B3385" t="str">
            <v>Zinc</v>
          </cell>
          <cell r="C3385" t="str">
            <v>Mineral</v>
          </cell>
          <cell r="D3385">
            <v>154</v>
          </cell>
          <cell r="E3385">
            <v>41.06</v>
          </cell>
          <cell r="F3385">
            <v>6323.24</v>
          </cell>
          <cell r="G3385">
            <v>7.0000000000000007E-2</v>
          </cell>
          <cell r="H3385">
            <v>0</v>
          </cell>
          <cell r="I3385" t="str">
            <v>Canada</v>
          </cell>
          <cell r="J3385" t="str">
            <v>iHerb</v>
          </cell>
        </row>
        <row r="3386">
          <cell r="A3386" t="str">
            <v>22-01-2024</v>
          </cell>
          <cell r="B3386" t="str">
            <v>Collagen Peptides</v>
          </cell>
          <cell r="C3386" t="str">
            <v>Protein</v>
          </cell>
          <cell r="D3386">
            <v>152</v>
          </cell>
          <cell r="E3386">
            <v>31.33</v>
          </cell>
          <cell r="F3386">
            <v>4762.16</v>
          </cell>
          <cell r="G3386">
            <v>0.02</v>
          </cell>
          <cell r="H3386">
            <v>3</v>
          </cell>
          <cell r="I3386" t="str">
            <v>Canada</v>
          </cell>
          <cell r="J3386" t="str">
            <v>iHerb</v>
          </cell>
        </row>
        <row r="3387">
          <cell r="A3387" t="str">
            <v>22-01-2024</v>
          </cell>
          <cell r="B3387" t="str">
            <v>Magnesium</v>
          </cell>
          <cell r="C3387" t="str">
            <v>Mineral</v>
          </cell>
          <cell r="D3387">
            <v>154</v>
          </cell>
          <cell r="E3387">
            <v>35.549999999999997</v>
          </cell>
          <cell r="F3387">
            <v>5474.7</v>
          </cell>
          <cell r="G3387">
            <v>0.12</v>
          </cell>
          <cell r="H3387">
            <v>0</v>
          </cell>
          <cell r="I3387" t="str">
            <v>USA</v>
          </cell>
          <cell r="J3387" t="str">
            <v>Walmart</v>
          </cell>
        </row>
        <row r="3388">
          <cell r="A3388" t="str">
            <v>22-01-2024</v>
          </cell>
          <cell r="B3388" t="str">
            <v>Ashwagandha</v>
          </cell>
          <cell r="C3388" t="str">
            <v>Herbal</v>
          </cell>
          <cell r="D3388">
            <v>154</v>
          </cell>
          <cell r="E3388">
            <v>47.45</v>
          </cell>
          <cell r="F3388">
            <v>7307.3</v>
          </cell>
          <cell r="G3388">
            <v>0.05</v>
          </cell>
          <cell r="H3388">
            <v>3</v>
          </cell>
          <cell r="I3388" t="str">
            <v>UK</v>
          </cell>
          <cell r="J3388" t="str">
            <v>Amazon</v>
          </cell>
        </row>
        <row r="3389">
          <cell r="A3389" t="str">
            <v>22-01-2024</v>
          </cell>
          <cell r="B3389" t="str">
            <v>Melatonin</v>
          </cell>
          <cell r="C3389" t="str">
            <v>Sleep Aid</v>
          </cell>
          <cell r="D3389">
            <v>144</v>
          </cell>
          <cell r="E3389">
            <v>13.59</v>
          </cell>
          <cell r="F3389">
            <v>1956.96</v>
          </cell>
          <cell r="G3389">
            <v>0.12</v>
          </cell>
          <cell r="H3389">
            <v>2</v>
          </cell>
          <cell r="I3389" t="str">
            <v>USA</v>
          </cell>
          <cell r="J3389" t="str">
            <v>iHerb</v>
          </cell>
        </row>
        <row r="3390">
          <cell r="A3390" t="str">
            <v>22-01-2024</v>
          </cell>
          <cell r="B3390" t="str">
            <v>Biotin</v>
          </cell>
          <cell r="C3390" t="str">
            <v>Vitamin</v>
          </cell>
          <cell r="D3390">
            <v>140</v>
          </cell>
          <cell r="E3390">
            <v>41.34</v>
          </cell>
          <cell r="F3390">
            <v>5787.6</v>
          </cell>
          <cell r="G3390">
            <v>0</v>
          </cell>
          <cell r="H3390">
            <v>2</v>
          </cell>
          <cell r="I3390" t="str">
            <v>USA</v>
          </cell>
          <cell r="J3390" t="str">
            <v>Amazon</v>
          </cell>
        </row>
        <row r="3391">
          <cell r="A3391" t="str">
            <v>22-01-2024</v>
          </cell>
          <cell r="B3391" t="str">
            <v>Green Tea Extract</v>
          </cell>
          <cell r="C3391" t="str">
            <v>Fat Burner</v>
          </cell>
          <cell r="D3391">
            <v>150</v>
          </cell>
          <cell r="E3391">
            <v>59.79</v>
          </cell>
          <cell r="F3391">
            <v>8968.5</v>
          </cell>
          <cell r="G3391">
            <v>0.22</v>
          </cell>
          <cell r="H3391">
            <v>1</v>
          </cell>
          <cell r="I3391" t="str">
            <v>UK</v>
          </cell>
          <cell r="J3391" t="str">
            <v>Amazon</v>
          </cell>
        </row>
        <row r="3392">
          <cell r="A3392" t="str">
            <v>22-01-2024</v>
          </cell>
          <cell r="B3392" t="str">
            <v>Iron Supplement</v>
          </cell>
          <cell r="C3392" t="str">
            <v>Mineral</v>
          </cell>
          <cell r="D3392">
            <v>151</v>
          </cell>
          <cell r="E3392">
            <v>48.77</v>
          </cell>
          <cell r="F3392">
            <v>7364.27</v>
          </cell>
          <cell r="G3392">
            <v>0.23</v>
          </cell>
          <cell r="H3392">
            <v>1</v>
          </cell>
          <cell r="I3392" t="str">
            <v>USA</v>
          </cell>
          <cell r="J3392" t="str">
            <v>Walmart</v>
          </cell>
        </row>
        <row r="3393">
          <cell r="A3393" t="str">
            <v>22-01-2024</v>
          </cell>
          <cell r="B3393" t="str">
            <v>Electrolyte Powder</v>
          </cell>
          <cell r="C3393" t="str">
            <v>Hydration</v>
          </cell>
          <cell r="D3393">
            <v>162</v>
          </cell>
          <cell r="E3393">
            <v>29.83</v>
          </cell>
          <cell r="F3393">
            <v>4832.46</v>
          </cell>
          <cell r="G3393">
            <v>0.23</v>
          </cell>
          <cell r="H3393">
            <v>1</v>
          </cell>
          <cell r="I3393" t="str">
            <v>Canada</v>
          </cell>
          <cell r="J3393" t="str">
            <v>iHerb</v>
          </cell>
        </row>
        <row r="3394">
          <cell r="A3394" t="str">
            <v>29-01-2024</v>
          </cell>
          <cell r="B3394" t="str">
            <v>Whey Protein</v>
          </cell>
          <cell r="C3394" t="str">
            <v>Protein</v>
          </cell>
          <cell r="D3394">
            <v>149</v>
          </cell>
          <cell r="E3394">
            <v>23.06</v>
          </cell>
          <cell r="F3394">
            <v>3435.94</v>
          </cell>
          <cell r="G3394">
            <v>0.08</v>
          </cell>
          <cell r="H3394">
            <v>3</v>
          </cell>
          <cell r="I3394" t="str">
            <v>Canada</v>
          </cell>
          <cell r="J3394" t="str">
            <v>Walmart</v>
          </cell>
        </row>
        <row r="3395">
          <cell r="A3395" t="str">
            <v>29-01-2024</v>
          </cell>
          <cell r="B3395" t="str">
            <v>Vitamin C</v>
          </cell>
          <cell r="C3395" t="str">
            <v>Vitamin</v>
          </cell>
          <cell r="D3395">
            <v>156</v>
          </cell>
          <cell r="E3395">
            <v>23.56</v>
          </cell>
          <cell r="F3395">
            <v>3675.36</v>
          </cell>
          <cell r="G3395">
            <v>0.14000000000000001</v>
          </cell>
          <cell r="H3395">
            <v>4</v>
          </cell>
          <cell r="I3395" t="str">
            <v>Canada</v>
          </cell>
          <cell r="J3395" t="str">
            <v>Walmart</v>
          </cell>
        </row>
        <row r="3396">
          <cell r="A3396" t="str">
            <v>29-01-2024</v>
          </cell>
          <cell r="B3396" t="str">
            <v>Fish Oil</v>
          </cell>
          <cell r="C3396" t="str">
            <v>Omega</v>
          </cell>
          <cell r="D3396">
            <v>143</v>
          </cell>
          <cell r="E3396">
            <v>35.54</v>
          </cell>
          <cell r="F3396">
            <v>5082.22</v>
          </cell>
          <cell r="G3396">
            <v>0.1</v>
          </cell>
          <cell r="H3396">
            <v>0</v>
          </cell>
          <cell r="I3396" t="str">
            <v>UK</v>
          </cell>
          <cell r="J3396" t="str">
            <v>Walmart</v>
          </cell>
        </row>
        <row r="3397">
          <cell r="A3397" t="str">
            <v>29-01-2024</v>
          </cell>
          <cell r="B3397" t="str">
            <v>Multivitamin</v>
          </cell>
          <cell r="C3397" t="str">
            <v>Vitamin</v>
          </cell>
          <cell r="D3397">
            <v>152</v>
          </cell>
          <cell r="E3397">
            <v>52.95</v>
          </cell>
          <cell r="F3397">
            <v>8048.4</v>
          </cell>
          <cell r="G3397">
            <v>0.18</v>
          </cell>
          <cell r="H3397">
            <v>0</v>
          </cell>
          <cell r="I3397" t="str">
            <v>UK</v>
          </cell>
          <cell r="J3397" t="str">
            <v>Walmart</v>
          </cell>
        </row>
        <row r="3398">
          <cell r="A3398" t="str">
            <v>29-01-2024</v>
          </cell>
          <cell r="B3398" t="str">
            <v>Pre-Workout</v>
          </cell>
          <cell r="C3398" t="str">
            <v>Performance</v>
          </cell>
          <cell r="D3398">
            <v>136</v>
          </cell>
          <cell r="E3398">
            <v>10.49</v>
          </cell>
          <cell r="F3398">
            <v>1426.64</v>
          </cell>
          <cell r="G3398">
            <v>0.08</v>
          </cell>
          <cell r="H3398">
            <v>1</v>
          </cell>
          <cell r="I3398" t="str">
            <v>UK</v>
          </cell>
          <cell r="J3398" t="str">
            <v>Amazon</v>
          </cell>
        </row>
        <row r="3399">
          <cell r="A3399" t="str">
            <v>29-01-2024</v>
          </cell>
          <cell r="B3399" t="str">
            <v>BCAA</v>
          </cell>
          <cell r="C3399" t="str">
            <v>Amino Acid</v>
          </cell>
          <cell r="D3399">
            <v>140</v>
          </cell>
          <cell r="E3399">
            <v>36.49</v>
          </cell>
          <cell r="F3399">
            <v>5108.6000000000004</v>
          </cell>
          <cell r="G3399">
            <v>7.0000000000000007E-2</v>
          </cell>
          <cell r="H3399">
            <v>2</v>
          </cell>
          <cell r="I3399" t="str">
            <v>Canada</v>
          </cell>
          <cell r="J3399" t="str">
            <v>Walmart</v>
          </cell>
        </row>
        <row r="3400">
          <cell r="A3400" t="str">
            <v>29-01-2024</v>
          </cell>
          <cell r="B3400" t="str">
            <v>Creatine</v>
          </cell>
          <cell r="C3400" t="str">
            <v>Performance</v>
          </cell>
          <cell r="D3400">
            <v>160</v>
          </cell>
          <cell r="E3400">
            <v>28.05</v>
          </cell>
          <cell r="F3400">
            <v>4488</v>
          </cell>
          <cell r="G3400">
            <v>0.14000000000000001</v>
          </cell>
          <cell r="H3400">
            <v>2</v>
          </cell>
          <cell r="I3400" t="str">
            <v>UK</v>
          </cell>
          <cell r="J3400" t="str">
            <v>Amazon</v>
          </cell>
        </row>
        <row r="3401">
          <cell r="A3401" t="str">
            <v>29-01-2024</v>
          </cell>
          <cell r="B3401" t="str">
            <v>Zinc</v>
          </cell>
          <cell r="C3401" t="str">
            <v>Mineral</v>
          </cell>
          <cell r="D3401">
            <v>154</v>
          </cell>
          <cell r="E3401">
            <v>14.12</v>
          </cell>
          <cell r="F3401">
            <v>2174.48</v>
          </cell>
          <cell r="G3401">
            <v>0.09</v>
          </cell>
          <cell r="H3401">
            <v>1</v>
          </cell>
          <cell r="I3401" t="str">
            <v>USA</v>
          </cell>
          <cell r="J3401" t="str">
            <v>iHerb</v>
          </cell>
        </row>
        <row r="3402">
          <cell r="A3402" t="str">
            <v>29-01-2024</v>
          </cell>
          <cell r="B3402" t="str">
            <v>Collagen Peptides</v>
          </cell>
          <cell r="C3402" t="str">
            <v>Protein</v>
          </cell>
          <cell r="D3402">
            <v>141</v>
          </cell>
          <cell r="E3402">
            <v>16.95</v>
          </cell>
          <cell r="F3402">
            <v>2389.9499999999998</v>
          </cell>
          <cell r="G3402">
            <v>0.09</v>
          </cell>
          <cell r="H3402">
            <v>1</v>
          </cell>
          <cell r="I3402" t="str">
            <v>USA</v>
          </cell>
          <cell r="J3402" t="str">
            <v>iHerb</v>
          </cell>
        </row>
        <row r="3403">
          <cell r="A3403" t="str">
            <v>29-01-2024</v>
          </cell>
          <cell r="B3403" t="str">
            <v>Magnesium</v>
          </cell>
          <cell r="C3403" t="str">
            <v>Mineral</v>
          </cell>
          <cell r="D3403">
            <v>160</v>
          </cell>
          <cell r="E3403">
            <v>18.64</v>
          </cell>
          <cell r="F3403">
            <v>2982.4</v>
          </cell>
          <cell r="G3403">
            <v>0.15</v>
          </cell>
          <cell r="H3403">
            <v>2</v>
          </cell>
          <cell r="I3403" t="str">
            <v>USA</v>
          </cell>
          <cell r="J3403" t="str">
            <v>iHerb</v>
          </cell>
        </row>
        <row r="3404">
          <cell r="A3404" t="str">
            <v>29-01-2024</v>
          </cell>
          <cell r="B3404" t="str">
            <v>Ashwagandha</v>
          </cell>
          <cell r="C3404" t="str">
            <v>Herbal</v>
          </cell>
          <cell r="D3404">
            <v>153</v>
          </cell>
          <cell r="E3404">
            <v>17.75</v>
          </cell>
          <cell r="F3404">
            <v>2715.75</v>
          </cell>
          <cell r="G3404">
            <v>0</v>
          </cell>
          <cell r="H3404">
            <v>2</v>
          </cell>
          <cell r="I3404" t="str">
            <v>UK</v>
          </cell>
          <cell r="J3404" t="str">
            <v>Amazon</v>
          </cell>
        </row>
        <row r="3405">
          <cell r="A3405" t="str">
            <v>29-01-2024</v>
          </cell>
          <cell r="B3405" t="str">
            <v>Melatonin</v>
          </cell>
          <cell r="C3405" t="str">
            <v>Sleep Aid</v>
          </cell>
          <cell r="D3405">
            <v>131</v>
          </cell>
          <cell r="E3405">
            <v>47.23</v>
          </cell>
          <cell r="F3405">
            <v>6187.13</v>
          </cell>
          <cell r="G3405">
            <v>7.0000000000000007E-2</v>
          </cell>
          <cell r="H3405">
            <v>2</v>
          </cell>
          <cell r="I3405" t="str">
            <v>USA</v>
          </cell>
          <cell r="J3405" t="str">
            <v>Walmart</v>
          </cell>
        </row>
        <row r="3406">
          <cell r="A3406" t="str">
            <v>29-01-2024</v>
          </cell>
          <cell r="B3406" t="str">
            <v>Biotin</v>
          </cell>
          <cell r="C3406" t="str">
            <v>Vitamin</v>
          </cell>
          <cell r="D3406">
            <v>171</v>
          </cell>
          <cell r="E3406">
            <v>20.86</v>
          </cell>
          <cell r="F3406">
            <v>3567.06</v>
          </cell>
          <cell r="G3406">
            <v>0.03</v>
          </cell>
          <cell r="H3406">
            <v>0</v>
          </cell>
          <cell r="I3406" t="str">
            <v>UK</v>
          </cell>
          <cell r="J3406" t="str">
            <v>Walmart</v>
          </cell>
        </row>
        <row r="3407">
          <cell r="A3407" t="str">
            <v>29-01-2024</v>
          </cell>
          <cell r="B3407" t="str">
            <v>Green Tea Extract</v>
          </cell>
          <cell r="C3407" t="str">
            <v>Fat Burner</v>
          </cell>
          <cell r="D3407">
            <v>126</v>
          </cell>
          <cell r="E3407">
            <v>31.6</v>
          </cell>
          <cell r="F3407">
            <v>3981.6</v>
          </cell>
          <cell r="G3407">
            <v>0.08</v>
          </cell>
          <cell r="H3407">
            <v>2</v>
          </cell>
          <cell r="I3407" t="str">
            <v>USA</v>
          </cell>
          <cell r="J3407" t="str">
            <v>iHerb</v>
          </cell>
        </row>
        <row r="3408">
          <cell r="A3408" t="str">
            <v>29-01-2024</v>
          </cell>
          <cell r="B3408" t="str">
            <v>Iron Supplement</v>
          </cell>
          <cell r="C3408" t="str">
            <v>Mineral</v>
          </cell>
          <cell r="D3408">
            <v>166</v>
          </cell>
          <cell r="E3408">
            <v>36.53</v>
          </cell>
          <cell r="F3408">
            <v>6063.98</v>
          </cell>
          <cell r="G3408">
            <v>0.03</v>
          </cell>
          <cell r="H3408">
            <v>2</v>
          </cell>
          <cell r="I3408" t="str">
            <v>USA</v>
          </cell>
          <cell r="J3408" t="str">
            <v>Walmart</v>
          </cell>
        </row>
        <row r="3409">
          <cell r="A3409" t="str">
            <v>29-01-2024</v>
          </cell>
          <cell r="B3409" t="str">
            <v>Electrolyte Powder</v>
          </cell>
          <cell r="C3409" t="str">
            <v>Hydration</v>
          </cell>
          <cell r="D3409">
            <v>145</v>
          </cell>
          <cell r="E3409">
            <v>52.12</v>
          </cell>
          <cell r="F3409">
            <v>7557.4</v>
          </cell>
          <cell r="G3409">
            <v>0.08</v>
          </cell>
          <cell r="H3409">
            <v>0</v>
          </cell>
          <cell r="I3409" t="str">
            <v>USA</v>
          </cell>
          <cell r="J3409" t="str">
            <v>Amazon</v>
          </cell>
        </row>
        <row r="3410">
          <cell r="A3410" t="str">
            <v>05-02-2024</v>
          </cell>
          <cell r="B3410" t="str">
            <v>Whey Protein</v>
          </cell>
          <cell r="C3410" t="str">
            <v>Protein</v>
          </cell>
          <cell r="D3410">
            <v>144</v>
          </cell>
          <cell r="E3410">
            <v>38.979999999999997</v>
          </cell>
          <cell r="F3410">
            <v>5613.12</v>
          </cell>
          <cell r="G3410">
            <v>0.18</v>
          </cell>
          <cell r="H3410">
            <v>0</v>
          </cell>
          <cell r="I3410" t="str">
            <v>USA</v>
          </cell>
          <cell r="J3410" t="str">
            <v>Walmart</v>
          </cell>
        </row>
        <row r="3411">
          <cell r="A3411" t="str">
            <v>05-02-2024</v>
          </cell>
          <cell r="B3411" t="str">
            <v>Vitamin C</v>
          </cell>
          <cell r="C3411" t="str">
            <v>Vitamin</v>
          </cell>
          <cell r="D3411">
            <v>153</v>
          </cell>
          <cell r="E3411">
            <v>23.1</v>
          </cell>
          <cell r="F3411">
            <v>3534.3</v>
          </cell>
          <cell r="G3411">
            <v>0.23</v>
          </cell>
          <cell r="H3411">
            <v>4</v>
          </cell>
          <cell r="I3411" t="str">
            <v>UK</v>
          </cell>
          <cell r="J3411" t="str">
            <v>Amazon</v>
          </cell>
        </row>
        <row r="3412">
          <cell r="A3412" t="str">
            <v>05-02-2024</v>
          </cell>
          <cell r="B3412" t="str">
            <v>Fish Oil</v>
          </cell>
          <cell r="C3412" t="str">
            <v>Omega</v>
          </cell>
          <cell r="D3412">
            <v>141</v>
          </cell>
          <cell r="E3412">
            <v>21.94</v>
          </cell>
          <cell r="F3412">
            <v>3093.54</v>
          </cell>
          <cell r="G3412">
            <v>0.18</v>
          </cell>
          <cell r="H3412">
            <v>2</v>
          </cell>
          <cell r="I3412" t="str">
            <v>UK</v>
          </cell>
          <cell r="J3412" t="str">
            <v>iHerb</v>
          </cell>
        </row>
        <row r="3413">
          <cell r="A3413" t="str">
            <v>05-02-2024</v>
          </cell>
          <cell r="B3413" t="str">
            <v>Multivitamin</v>
          </cell>
          <cell r="C3413" t="str">
            <v>Vitamin</v>
          </cell>
          <cell r="D3413">
            <v>140</v>
          </cell>
          <cell r="E3413">
            <v>50.61</v>
          </cell>
          <cell r="F3413">
            <v>7085.4</v>
          </cell>
          <cell r="G3413">
            <v>0.09</v>
          </cell>
          <cell r="H3413">
            <v>0</v>
          </cell>
          <cell r="I3413" t="str">
            <v>Canada</v>
          </cell>
          <cell r="J3413" t="str">
            <v>Walmart</v>
          </cell>
        </row>
        <row r="3414">
          <cell r="A3414" t="str">
            <v>05-02-2024</v>
          </cell>
          <cell r="B3414" t="str">
            <v>Pre-Workout</v>
          </cell>
          <cell r="C3414" t="str">
            <v>Performance</v>
          </cell>
          <cell r="D3414">
            <v>130</v>
          </cell>
          <cell r="E3414">
            <v>58.9</v>
          </cell>
          <cell r="F3414">
            <v>7657</v>
          </cell>
          <cell r="G3414">
            <v>0.21</v>
          </cell>
          <cell r="H3414">
            <v>1</v>
          </cell>
          <cell r="I3414" t="str">
            <v>UK</v>
          </cell>
          <cell r="J3414" t="str">
            <v>Walmart</v>
          </cell>
        </row>
        <row r="3415">
          <cell r="A3415" t="str">
            <v>05-02-2024</v>
          </cell>
          <cell r="B3415" t="str">
            <v>BCAA</v>
          </cell>
          <cell r="C3415" t="str">
            <v>Amino Acid</v>
          </cell>
          <cell r="D3415">
            <v>151</v>
          </cell>
          <cell r="E3415">
            <v>18.149999999999999</v>
          </cell>
          <cell r="F3415">
            <v>2740.65</v>
          </cell>
          <cell r="G3415">
            <v>0.12</v>
          </cell>
          <cell r="H3415">
            <v>1</v>
          </cell>
          <cell r="I3415" t="str">
            <v>UK</v>
          </cell>
          <cell r="J3415" t="str">
            <v>Amazon</v>
          </cell>
        </row>
        <row r="3416">
          <cell r="A3416" t="str">
            <v>05-02-2024</v>
          </cell>
          <cell r="B3416" t="str">
            <v>Creatine</v>
          </cell>
          <cell r="C3416" t="str">
            <v>Performance</v>
          </cell>
          <cell r="D3416">
            <v>151</v>
          </cell>
          <cell r="E3416">
            <v>40.19</v>
          </cell>
          <cell r="F3416">
            <v>6068.69</v>
          </cell>
          <cell r="G3416">
            <v>0.15</v>
          </cell>
          <cell r="H3416">
            <v>0</v>
          </cell>
          <cell r="I3416" t="str">
            <v>Canada</v>
          </cell>
          <cell r="J3416" t="str">
            <v>Amazon</v>
          </cell>
        </row>
        <row r="3417">
          <cell r="A3417" t="str">
            <v>05-02-2024</v>
          </cell>
          <cell r="B3417" t="str">
            <v>Zinc</v>
          </cell>
          <cell r="C3417" t="str">
            <v>Mineral</v>
          </cell>
          <cell r="D3417">
            <v>166</v>
          </cell>
          <cell r="E3417">
            <v>35.11</v>
          </cell>
          <cell r="F3417">
            <v>5828.26</v>
          </cell>
          <cell r="G3417">
            <v>0.13</v>
          </cell>
          <cell r="H3417">
            <v>1</v>
          </cell>
          <cell r="I3417" t="str">
            <v>USA</v>
          </cell>
          <cell r="J3417" t="str">
            <v>Walmart</v>
          </cell>
        </row>
        <row r="3418">
          <cell r="A3418" t="str">
            <v>05-02-2024</v>
          </cell>
          <cell r="B3418" t="str">
            <v>Collagen Peptides</v>
          </cell>
          <cell r="C3418" t="str">
            <v>Protein</v>
          </cell>
          <cell r="D3418">
            <v>157</v>
          </cell>
          <cell r="E3418">
            <v>18.190000000000001</v>
          </cell>
          <cell r="F3418">
            <v>2855.83</v>
          </cell>
          <cell r="G3418">
            <v>0.02</v>
          </cell>
          <cell r="H3418">
            <v>2</v>
          </cell>
          <cell r="I3418" t="str">
            <v>Canada</v>
          </cell>
          <cell r="J3418" t="str">
            <v>Amazon</v>
          </cell>
        </row>
        <row r="3419">
          <cell r="A3419" t="str">
            <v>05-02-2024</v>
          </cell>
          <cell r="B3419" t="str">
            <v>Magnesium</v>
          </cell>
          <cell r="C3419" t="str">
            <v>Mineral</v>
          </cell>
          <cell r="D3419">
            <v>141</v>
          </cell>
          <cell r="E3419">
            <v>44.79</v>
          </cell>
          <cell r="F3419">
            <v>6315.39</v>
          </cell>
          <cell r="G3419">
            <v>0.08</v>
          </cell>
          <cell r="H3419">
            <v>2</v>
          </cell>
          <cell r="I3419" t="str">
            <v>Canada</v>
          </cell>
          <cell r="J3419" t="str">
            <v>iHerb</v>
          </cell>
        </row>
        <row r="3420">
          <cell r="A3420" t="str">
            <v>05-02-2024</v>
          </cell>
          <cell r="B3420" t="str">
            <v>Ashwagandha</v>
          </cell>
          <cell r="C3420" t="str">
            <v>Herbal</v>
          </cell>
          <cell r="D3420">
            <v>152</v>
          </cell>
          <cell r="E3420">
            <v>48.16</v>
          </cell>
          <cell r="F3420">
            <v>7320.32</v>
          </cell>
          <cell r="G3420">
            <v>0.22</v>
          </cell>
          <cell r="H3420">
            <v>0</v>
          </cell>
          <cell r="I3420" t="str">
            <v>UK</v>
          </cell>
          <cell r="J3420" t="str">
            <v>iHerb</v>
          </cell>
        </row>
        <row r="3421">
          <cell r="A3421" t="str">
            <v>05-02-2024</v>
          </cell>
          <cell r="B3421" t="str">
            <v>Melatonin</v>
          </cell>
          <cell r="C3421" t="str">
            <v>Sleep Aid</v>
          </cell>
          <cell r="D3421">
            <v>140</v>
          </cell>
          <cell r="E3421">
            <v>32.1</v>
          </cell>
          <cell r="F3421">
            <v>4494</v>
          </cell>
          <cell r="G3421">
            <v>0.22</v>
          </cell>
          <cell r="H3421">
            <v>1</v>
          </cell>
          <cell r="I3421" t="str">
            <v>Canada</v>
          </cell>
          <cell r="J3421" t="str">
            <v>Walmart</v>
          </cell>
        </row>
        <row r="3422">
          <cell r="A3422" t="str">
            <v>05-02-2024</v>
          </cell>
          <cell r="B3422" t="str">
            <v>Biotin</v>
          </cell>
          <cell r="C3422" t="str">
            <v>Vitamin</v>
          </cell>
          <cell r="D3422">
            <v>165</v>
          </cell>
          <cell r="E3422">
            <v>26.98</v>
          </cell>
          <cell r="F3422">
            <v>4451.7</v>
          </cell>
          <cell r="G3422">
            <v>0.22</v>
          </cell>
          <cell r="H3422">
            <v>1</v>
          </cell>
          <cell r="I3422" t="str">
            <v>Canada</v>
          </cell>
          <cell r="J3422" t="str">
            <v>Walmart</v>
          </cell>
        </row>
        <row r="3423">
          <cell r="A3423" t="str">
            <v>05-02-2024</v>
          </cell>
          <cell r="B3423" t="str">
            <v>Green Tea Extract</v>
          </cell>
          <cell r="C3423" t="str">
            <v>Fat Burner</v>
          </cell>
          <cell r="D3423">
            <v>161</v>
          </cell>
          <cell r="E3423">
            <v>57.44</v>
          </cell>
          <cell r="F3423">
            <v>9247.84</v>
          </cell>
          <cell r="G3423">
            <v>0.14000000000000001</v>
          </cell>
          <cell r="H3423">
            <v>2</v>
          </cell>
          <cell r="I3423" t="str">
            <v>Canada</v>
          </cell>
          <cell r="J3423" t="str">
            <v>Walmart</v>
          </cell>
        </row>
        <row r="3424">
          <cell r="A3424" t="str">
            <v>05-02-2024</v>
          </cell>
          <cell r="B3424" t="str">
            <v>Iron Supplement</v>
          </cell>
          <cell r="C3424" t="str">
            <v>Mineral</v>
          </cell>
          <cell r="D3424">
            <v>130</v>
          </cell>
          <cell r="E3424">
            <v>55.05</v>
          </cell>
          <cell r="F3424">
            <v>7156.5</v>
          </cell>
          <cell r="G3424">
            <v>0.22</v>
          </cell>
          <cell r="H3424">
            <v>0</v>
          </cell>
          <cell r="I3424" t="str">
            <v>Canada</v>
          </cell>
          <cell r="J3424" t="str">
            <v>Amazon</v>
          </cell>
        </row>
        <row r="3425">
          <cell r="A3425" t="str">
            <v>05-02-2024</v>
          </cell>
          <cell r="B3425" t="str">
            <v>Electrolyte Powder</v>
          </cell>
          <cell r="C3425" t="str">
            <v>Hydration</v>
          </cell>
          <cell r="D3425">
            <v>143</v>
          </cell>
          <cell r="E3425">
            <v>18.61</v>
          </cell>
          <cell r="F3425">
            <v>2661.23</v>
          </cell>
          <cell r="G3425">
            <v>0.18</v>
          </cell>
          <cell r="H3425">
            <v>0</v>
          </cell>
          <cell r="I3425" t="str">
            <v>USA</v>
          </cell>
          <cell r="J3425" t="str">
            <v>iHerb</v>
          </cell>
        </row>
        <row r="3426">
          <cell r="A3426" t="str">
            <v>12-02-2024</v>
          </cell>
          <cell r="B3426" t="str">
            <v>Whey Protein</v>
          </cell>
          <cell r="C3426" t="str">
            <v>Protein</v>
          </cell>
          <cell r="D3426">
            <v>144</v>
          </cell>
          <cell r="E3426">
            <v>34.1</v>
          </cell>
          <cell r="F3426">
            <v>4910.3999999999996</v>
          </cell>
          <cell r="G3426">
            <v>0.18</v>
          </cell>
          <cell r="H3426">
            <v>4</v>
          </cell>
          <cell r="I3426" t="str">
            <v>USA</v>
          </cell>
          <cell r="J3426" t="str">
            <v>iHerb</v>
          </cell>
        </row>
        <row r="3427">
          <cell r="A3427" t="str">
            <v>12-02-2024</v>
          </cell>
          <cell r="B3427" t="str">
            <v>Vitamin C</v>
          </cell>
          <cell r="C3427" t="str">
            <v>Vitamin</v>
          </cell>
          <cell r="D3427">
            <v>133</v>
          </cell>
          <cell r="E3427">
            <v>21.52</v>
          </cell>
          <cell r="F3427">
            <v>2862.16</v>
          </cell>
          <cell r="G3427">
            <v>0.1</v>
          </cell>
          <cell r="H3427">
            <v>0</v>
          </cell>
          <cell r="I3427" t="str">
            <v>UK</v>
          </cell>
          <cell r="J3427" t="str">
            <v>iHerb</v>
          </cell>
        </row>
        <row r="3428">
          <cell r="A3428" t="str">
            <v>12-02-2024</v>
          </cell>
          <cell r="B3428" t="str">
            <v>Fish Oil</v>
          </cell>
          <cell r="C3428" t="str">
            <v>Omega</v>
          </cell>
          <cell r="D3428">
            <v>134</v>
          </cell>
          <cell r="E3428">
            <v>27.1</v>
          </cell>
          <cell r="F3428">
            <v>3631.4</v>
          </cell>
          <cell r="G3428">
            <v>0.22</v>
          </cell>
          <cell r="H3428">
            <v>2</v>
          </cell>
          <cell r="I3428" t="str">
            <v>Canada</v>
          </cell>
          <cell r="J3428" t="str">
            <v>Walmart</v>
          </cell>
        </row>
        <row r="3429">
          <cell r="A3429" t="str">
            <v>12-02-2024</v>
          </cell>
          <cell r="B3429" t="str">
            <v>Multivitamin</v>
          </cell>
          <cell r="C3429" t="str">
            <v>Vitamin</v>
          </cell>
          <cell r="D3429">
            <v>140</v>
          </cell>
          <cell r="E3429">
            <v>25.99</v>
          </cell>
          <cell r="F3429">
            <v>3638.6</v>
          </cell>
          <cell r="G3429">
            <v>0.08</v>
          </cell>
          <cell r="H3429">
            <v>2</v>
          </cell>
          <cell r="I3429" t="str">
            <v>UK</v>
          </cell>
          <cell r="J3429" t="str">
            <v>Amazon</v>
          </cell>
        </row>
        <row r="3430">
          <cell r="A3430" t="str">
            <v>12-02-2024</v>
          </cell>
          <cell r="B3430" t="str">
            <v>Pre-Workout</v>
          </cell>
          <cell r="C3430" t="str">
            <v>Performance</v>
          </cell>
          <cell r="D3430">
            <v>151</v>
          </cell>
          <cell r="E3430">
            <v>17.45</v>
          </cell>
          <cell r="F3430">
            <v>2634.95</v>
          </cell>
          <cell r="G3430">
            <v>0.01</v>
          </cell>
          <cell r="H3430">
            <v>0</v>
          </cell>
          <cell r="I3430" t="str">
            <v>USA</v>
          </cell>
          <cell r="J3430" t="str">
            <v>Amazon</v>
          </cell>
        </row>
        <row r="3431">
          <cell r="A3431" t="str">
            <v>12-02-2024</v>
          </cell>
          <cell r="B3431" t="str">
            <v>BCAA</v>
          </cell>
          <cell r="C3431" t="str">
            <v>Amino Acid</v>
          </cell>
          <cell r="D3431">
            <v>132</v>
          </cell>
          <cell r="E3431">
            <v>15.62</v>
          </cell>
          <cell r="F3431">
            <v>2061.84</v>
          </cell>
          <cell r="G3431">
            <v>0.18</v>
          </cell>
          <cell r="H3431">
            <v>1</v>
          </cell>
          <cell r="I3431" t="str">
            <v>UK</v>
          </cell>
          <cell r="J3431" t="str">
            <v>Walmart</v>
          </cell>
        </row>
        <row r="3432">
          <cell r="A3432" t="str">
            <v>12-02-2024</v>
          </cell>
          <cell r="B3432" t="str">
            <v>Creatine</v>
          </cell>
          <cell r="C3432" t="str">
            <v>Performance</v>
          </cell>
          <cell r="D3432">
            <v>128</v>
          </cell>
          <cell r="E3432">
            <v>38.979999999999997</v>
          </cell>
          <cell r="F3432">
            <v>4989.4399999999996</v>
          </cell>
          <cell r="G3432">
            <v>0.06</v>
          </cell>
          <cell r="H3432">
            <v>3</v>
          </cell>
          <cell r="I3432" t="str">
            <v>Canada</v>
          </cell>
          <cell r="J3432" t="str">
            <v>Amazon</v>
          </cell>
        </row>
        <row r="3433">
          <cell r="A3433" t="str">
            <v>12-02-2024</v>
          </cell>
          <cell r="B3433" t="str">
            <v>Zinc</v>
          </cell>
          <cell r="C3433" t="str">
            <v>Mineral</v>
          </cell>
          <cell r="D3433">
            <v>121</v>
          </cell>
          <cell r="E3433">
            <v>47.6</v>
          </cell>
          <cell r="F3433">
            <v>5759.6</v>
          </cell>
          <cell r="G3433">
            <v>0.18</v>
          </cell>
          <cell r="H3433">
            <v>0</v>
          </cell>
          <cell r="I3433" t="str">
            <v>Canada</v>
          </cell>
          <cell r="J3433" t="str">
            <v>iHerb</v>
          </cell>
        </row>
        <row r="3434">
          <cell r="A3434" t="str">
            <v>12-02-2024</v>
          </cell>
          <cell r="B3434" t="str">
            <v>Collagen Peptides</v>
          </cell>
          <cell r="C3434" t="str">
            <v>Protein</v>
          </cell>
          <cell r="D3434">
            <v>126</v>
          </cell>
          <cell r="E3434">
            <v>25.68</v>
          </cell>
          <cell r="F3434">
            <v>3235.68</v>
          </cell>
          <cell r="G3434">
            <v>0.05</v>
          </cell>
          <cell r="H3434">
            <v>1</v>
          </cell>
          <cell r="I3434" t="str">
            <v>Canada</v>
          </cell>
          <cell r="J3434" t="str">
            <v>Walmart</v>
          </cell>
        </row>
        <row r="3435">
          <cell r="A3435" t="str">
            <v>12-02-2024</v>
          </cell>
          <cell r="B3435" t="str">
            <v>Magnesium</v>
          </cell>
          <cell r="C3435" t="str">
            <v>Mineral</v>
          </cell>
          <cell r="D3435">
            <v>170</v>
          </cell>
          <cell r="E3435">
            <v>48.29</v>
          </cell>
          <cell r="F3435">
            <v>8209.2999999999993</v>
          </cell>
          <cell r="G3435">
            <v>0.14000000000000001</v>
          </cell>
          <cell r="H3435">
            <v>1</v>
          </cell>
          <cell r="I3435" t="str">
            <v>UK</v>
          </cell>
          <cell r="J3435" t="str">
            <v>Walmart</v>
          </cell>
        </row>
        <row r="3436">
          <cell r="A3436" t="str">
            <v>12-02-2024</v>
          </cell>
          <cell r="B3436" t="str">
            <v>Ashwagandha</v>
          </cell>
          <cell r="C3436" t="str">
            <v>Herbal</v>
          </cell>
          <cell r="D3436">
            <v>140</v>
          </cell>
          <cell r="E3436">
            <v>55.64</v>
          </cell>
          <cell r="F3436">
            <v>7789.6</v>
          </cell>
          <cell r="G3436">
            <v>0.17</v>
          </cell>
          <cell r="H3436">
            <v>1</v>
          </cell>
          <cell r="I3436" t="str">
            <v>USA</v>
          </cell>
          <cell r="J3436" t="str">
            <v>iHerb</v>
          </cell>
        </row>
        <row r="3437">
          <cell r="A3437" t="str">
            <v>12-02-2024</v>
          </cell>
          <cell r="B3437" t="str">
            <v>Melatonin</v>
          </cell>
          <cell r="C3437" t="str">
            <v>Sleep Aid</v>
          </cell>
          <cell r="D3437">
            <v>153</v>
          </cell>
          <cell r="E3437">
            <v>48.65</v>
          </cell>
          <cell r="F3437">
            <v>7443.45</v>
          </cell>
          <cell r="G3437">
            <v>0.23</v>
          </cell>
          <cell r="H3437">
            <v>1</v>
          </cell>
          <cell r="I3437" t="str">
            <v>USA</v>
          </cell>
          <cell r="J3437" t="str">
            <v>iHerb</v>
          </cell>
        </row>
        <row r="3438">
          <cell r="A3438" t="str">
            <v>12-02-2024</v>
          </cell>
          <cell r="B3438" t="str">
            <v>Biotin</v>
          </cell>
          <cell r="C3438" t="str">
            <v>Vitamin</v>
          </cell>
          <cell r="D3438">
            <v>142</v>
          </cell>
          <cell r="E3438">
            <v>30.79</v>
          </cell>
          <cell r="F3438">
            <v>4372.18</v>
          </cell>
          <cell r="G3438">
            <v>0.15</v>
          </cell>
          <cell r="H3438">
            <v>1</v>
          </cell>
          <cell r="I3438" t="str">
            <v>Canada</v>
          </cell>
          <cell r="J3438" t="str">
            <v>Amazon</v>
          </cell>
        </row>
        <row r="3439">
          <cell r="A3439" t="str">
            <v>12-02-2024</v>
          </cell>
          <cell r="B3439" t="str">
            <v>Green Tea Extract</v>
          </cell>
          <cell r="C3439" t="str">
            <v>Fat Burner</v>
          </cell>
          <cell r="D3439">
            <v>136</v>
          </cell>
          <cell r="E3439">
            <v>44.55</v>
          </cell>
          <cell r="F3439">
            <v>6058.8</v>
          </cell>
          <cell r="G3439">
            <v>0.2</v>
          </cell>
          <cell r="H3439">
            <v>1</v>
          </cell>
          <cell r="I3439" t="str">
            <v>UK</v>
          </cell>
          <cell r="J3439" t="str">
            <v>iHerb</v>
          </cell>
        </row>
        <row r="3440">
          <cell r="A3440" t="str">
            <v>12-02-2024</v>
          </cell>
          <cell r="B3440" t="str">
            <v>Iron Supplement</v>
          </cell>
          <cell r="C3440" t="str">
            <v>Mineral</v>
          </cell>
          <cell r="D3440">
            <v>136</v>
          </cell>
          <cell r="E3440">
            <v>49.31</v>
          </cell>
          <cell r="F3440">
            <v>6706.16</v>
          </cell>
          <cell r="G3440">
            <v>0.1</v>
          </cell>
          <cell r="H3440">
            <v>2</v>
          </cell>
          <cell r="I3440" t="str">
            <v>USA</v>
          </cell>
          <cell r="J3440" t="str">
            <v>Walmart</v>
          </cell>
        </row>
        <row r="3441">
          <cell r="A3441" t="str">
            <v>12-02-2024</v>
          </cell>
          <cell r="B3441" t="str">
            <v>Electrolyte Powder</v>
          </cell>
          <cell r="C3441" t="str">
            <v>Hydration</v>
          </cell>
          <cell r="D3441">
            <v>150</v>
          </cell>
          <cell r="E3441">
            <v>49.81</v>
          </cell>
          <cell r="F3441">
            <v>7471.5</v>
          </cell>
          <cell r="G3441">
            <v>0.02</v>
          </cell>
          <cell r="H3441">
            <v>1</v>
          </cell>
          <cell r="I3441" t="str">
            <v>Canada</v>
          </cell>
          <cell r="J3441" t="str">
            <v>iHerb</v>
          </cell>
        </row>
        <row r="3442">
          <cell r="A3442" t="str">
            <v>19-02-2024</v>
          </cell>
          <cell r="B3442" t="str">
            <v>Whey Protein</v>
          </cell>
          <cell r="C3442" t="str">
            <v>Protein</v>
          </cell>
          <cell r="D3442">
            <v>139</v>
          </cell>
          <cell r="E3442">
            <v>35.15</v>
          </cell>
          <cell r="F3442">
            <v>4885.8500000000004</v>
          </cell>
          <cell r="G3442">
            <v>0.12</v>
          </cell>
          <cell r="H3442">
            <v>2</v>
          </cell>
          <cell r="I3442" t="str">
            <v>UK</v>
          </cell>
          <cell r="J3442" t="str">
            <v>Amazon</v>
          </cell>
        </row>
        <row r="3443">
          <cell r="A3443" t="str">
            <v>19-02-2024</v>
          </cell>
          <cell r="B3443" t="str">
            <v>Vitamin C</v>
          </cell>
          <cell r="C3443" t="str">
            <v>Vitamin</v>
          </cell>
          <cell r="D3443">
            <v>159</v>
          </cell>
          <cell r="E3443">
            <v>30.48</v>
          </cell>
          <cell r="F3443">
            <v>4846.32</v>
          </cell>
          <cell r="G3443">
            <v>0.16</v>
          </cell>
          <cell r="H3443">
            <v>2</v>
          </cell>
          <cell r="I3443" t="str">
            <v>UK</v>
          </cell>
          <cell r="J3443" t="str">
            <v>Walmart</v>
          </cell>
        </row>
        <row r="3444">
          <cell r="A3444" t="str">
            <v>19-02-2024</v>
          </cell>
          <cell r="B3444" t="str">
            <v>Fish Oil</v>
          </cell>
          <cell r="C3444" t="str">
            <v>Omega</v>
          </cell>
          <cell r="D3444">
            <v>147</v>
          </cell>
          <cell r="E3444">
            <v>57.36</v>
          </cell>
          <cell r="F3444">
            <v>8431.92</v>
          </cell>
          <cell r="G3444">
            <v>0.05</v>
          </cell>
          <cell r="H3444">
            <v>3</v>
          </cell>
          <cell r="I3444" t="str">
            <v>UK</v>
          </cell>
          <cell r="J3444" t="str">
            <v>Amazon</v>
          </cell>
        </row>
        <row r="3445">
          <cell r="A3445" t="str">
            <v>19-02-2024</v>
          </cell>
          <cell r="B3445" t="str">
            <v>Multivitamin</v>
          </cell>
          <cell r="C3445" t="str">
            <v>Vitamin</v>
          </cell>
          <cell r="D3445">
            <v>123</v>
          </cell>
          <cell r="E3445">
            <v>24.41</v>
          </cell>
          <cell r="F3445">
            <v>3002.43</v>
          </cell>
          <cell r="G3445">
            <v>0.16</v>
          </cell>
          <cell r="H3445">
            <v>0</v>
          </cell>
          <cell r="I3445" t="str">
            <v>USA</v>
          </cell>
          <cell r="J3445" t="str">
            <v>iHerb</v>
          </cell>
        </row>
        <row r="3446">
          <cell r="A3446" t="str">
            <v>19-02-2024</v>
          </cell>
          <cell r="B3446" t="str">
            <v>Pre-Workout</v>
          </cell>
          <cell r="C3446" t="str">
            <v>Performance</v>
          </cell>
          <cell r="D3446">
            <v>167</v>
          </cell>
          <cell r="E3446">
            <v>42.6</v>
          </cell>
          <cell r="F3446">
            <v>7114.2</v>
          </cell>
          <cell r="G3446">
            <v>0.11</v>
          </cell>
          <cell r="H3446">
            <v>4</v>
          </cell>
          <cell r="I3446" t="str">
            <v>USA</v>
          </cell>
          <cell r="J3446" t="str">
            <v>Amazon</v>
          </cell>
        </row>
        <row r="3447">
          <cell r="A3447" t="str">
            <v>19-02-2024</v>
          </cell>
          <cell r="B3447" t="str">
            <v>BCAA</v>
          </cell>
          <cell r="C3447" t="str">
            <v>Amino Acid</v>
          </cell>
          <cell r="D3447">
            <v>163</v>
          </cell>
          <cell r="E3447">
            <v>45.09</v>
          </cell>
          <cell r="F3447">
            <v>7349.67</v>
          </cell>
          <cell r="G3447">
            <v>0.14000000000000001</v>
          </cell>
          <cell r="H3447">
            <v>2</v>
          </cell>
          <cell r="I3447" t="str">
            <v>Canada</v>
          </cell>
          <cell r="J3447" t="str">
            <v>iHerb</v>
          </cell>
        </row>
        <row r="3448">
          <cell r="A3448" t="str">
            <v>19-02-2024</v>
          </cell>
          <cell r="B3448" t="str">
            <v>Creatine</v>
          </cell>
          <cell r="C3448" t="str">
            <v>Performance</v>
          </cell>
          <cell r="D3448">
            <v>144</v>
          </cell>
          <cell r="E3448">
            <v>13.91</v>
          </cell>
          <cell r="F3448">
            <v>2003.04</v>
          </cell>
          <cell r="G3448">
            <v>0.09</v>
          </cell>
          <cell r="H3448">
            <v>2</v>
          </cell>
          <cell r="I3448" t="str">
            <v>Canada</v>
          </cell>
          <cell r="J3448" t="str">
            <v>Walmart</v>
          </cell>
        </row>
        <row r="3449">
          <cell r="A3449" t="str">
            <v>19-02-2024</v>
          </cell>
          <cell r="B3449" t="str">
            <v>Zinc</v>
          </cell>
          <cell r="C3449" t="str">
            <v>Mineral</v>
          </cell>
          <cell r="D3449">
            <v>152</v>
          </cell>
          <cell r="E3449">
            <v>19.29</v>
          </cell>
          <cell r="F3449">
            <v>2932.08</v>
          </cell>
          <cell r="G3449">
            <v>0.17</v>
          </cell>
          <cell r="H3449">
            <v>0</v>
          </cell>
          <cell r="I3449" t="str">
            <v>USA</v>
          </cell>
          <cell r="J3449" t="str">
            <v>Amazon</v>
          </cell>
        </row>
        <row r="3450">
          <cell r="A3450" t="str">
            <v>19-02-2024</v>
          </cell>
          <cell r="B3450" t="str">
            <v>Collagen Peptides</v>
          </cell>
          <cell r="C3450" t="str">
            <v>Protein</v>
          </cell>
          <cell r="D3450">
            <v>142</v>
          </cell>
          <cell r="E3450">
            <v>25.52</v>
          </cell>
          <cell r="F3450">
            <v>3623.84</v>
          </cell>
          <cell r="G3450">
            <v>0.01</v>
          </cell>
          <cell r="H3450">
            <v>3</v>
          </cell>
          <cell r="I3450" t="str">
            <v>USA</v>
          </cell>
          <cell r="J3450" t="str">
            <v>iHerb</v>
          </cell>
        </row>
        <row r="3451">
          <cell r="A3451" t="str">
            <v>19-02-2024</v>
          </cell>
          <cell r="B3451" t="str">
            <v>Magnesium</v>
          </cell>
          <cell r="C3451" t="str">
            <v>Mineral</v>
          </cell>
          <cell r="D3451">
            <v>143</v>
          </cell>
          <cell r="E3451">
            <v>13.74</v>
          </cell>
          <cell r="F3451">
            <v>1964.82</v>
          </cell>
          <cell r="G3451">
            <v>0.06</v>
          </cell>
          <cell r="H3451">
            <v>0</v>
          </cell>
          <cell r="I3451" t="str">
            <v>Canada</v>
          </cell>
          <cell r="J3451" t="str">
            <v>Amazon</v>
          </cell>
        </row>
        <row r="3452">
          <cell r="A3452" t="str">
            <v>19-02-2024</v>
          </cell>
          <cell r="B3452" t="str">
            <v>Ashwagandha</v>
          </cell>
          <cell r="C3452" t="str">
            <v>Herbal</v>
          </cell>
          <cell r="D3452">
            <v>160</v>
          </cell>
          <cell r="E3452">
            <v>50.23</v>
          </cell>
          <cell r="F3452">
            <v>8036.8</v>
          </cell>
          <cell r="G3452">
            <v>0.04</v>
          </cell>
          <cell r="H3452">
            <v>1</v>
          </cell>
          <cell r="I3452" t="str">
            <v>USA</v>
          </cell>
          <cell r="J3452" t="str">
            <v>Walmart</v>
          </cell>
        </row>
        <row r="3453">
          <cell r="A3453" t="str">
            <v>19-02-2024</v>
          </cell>
          <cell r="B3453" t="str">
            <v>Melatonin</v>
          </cell>
          <cell r="C3453" t="str">
            <v>Sleep Aid</v>
          </cell>
          <cell r="D3453">
            <v>157</v>
          </cell>
          <cell r="E3453">
            <v>40.06</v>
          </cell>
          <cell r="F3453">
            <v>6289.42</v>
          </cell>
          <cell r="G3453">
            <v>0.23</v>
          </cell>
          <cell r="H3453">
            <v>1</v>
          </cell>
          <cell r="I3453" t="str">
            <v>Canada</v>
          </cell>
          <cell r="J3453" t="str">
            <v>iHerb</v>
          </cell>
        </row>
        <row r="3454">
          <cell r="A3454" t="str">
            <v>19-02-2024</v>
          </cell>
          <cell r="B3454" t="str">
            <v>Biotin</v>
          </cell>
          <cell r="C3454" t="str">
            <v>Vitamin</v>
          </cell>
          <cell r="D3454">
            <v>150</v>
          </cell>
          <cell r="E3454">
            <v>13.89</v>
          </cell>
          <cell r="F3454">
            <v>2083.5</v>
          </cell>
          <cell r="G3454">
            <v>0.01</v>
          </cell>
          <cell r="H3454">
            <v>1</v>
          </cell>
          <cell r="I3454" t="str">
            <v>UK</v>
          </cell>
          <cell r="J3454" t="str">
            <v>Walmart</v>
          </cell>
        </row>
        <row r="3455">
          <cell r="A3455" t="str">
            <v>19-02-2024</v>
          </cell>
          <cell r="B3455" t="str">
            <v>Green Tea Extract</v>
          </cell>
          <cell r="C3455" t="str">
            <v>Fat Burner</v>
          </cell>
          <cell r="D3455">
            <v>155</v>
          </cell>
          <cell r="E3455">
            <v>19.510000000000002</v>
          </cell>
          <cell r="F3455">
            <v>3024.05</v>
          </cell>
          <cell r="G3455">
            <v>0.11</v>
          </cell>
          <cell r="H3455">
            <v>2</v>
          </cell>
          <cell r="I3455" t="str">
            <v>USA</v>
          </cell>
          <cell r="J3455" t="str">
            <v>Amazon</v>
          </cell>
        </row>
        <row r="3456">
          <cell r="A3456" t="str">
            <v>19-02-2024</v>
          </cell>
          <cell r="B3456" t="str">
            <v>Iron Supplement</v>
          </cell>
          <cell r="C3456" t="str">
            <v>Mineral</v>
          </cell>
          <cell r="D3456">
            <v>140</v>
          </cell>
          <cell r="E3456">
            <v>40.68</v>
          </cell>
          <cell r="F3456">
            <v>5695.2</v>
          </cell>
          <cell r="G3456">
            <v>0.24</v>
          </cell>
          <cell r="H3456">
            <v>2</v>
          </cell>
          <cell r="I3456" t="str">
            <v>Canada</v>
          </cell>
          <cell r="J3456" t="str">
            <v>iHerb</v>
          </cell>
        </row>
        <row r="3457">
          <cell r="A3457" t="str">
            <v>19-02-2024</v>
          </cell>
          <cell r="B3457" t="str">
            <v>Electrolyte Powder</v>
          </cell>
          <cell r="C3457" t="str">
            <v>Hydration</v>
          </cell>
          <cell r="D3457">
            <v>161</v>
          </cell>
          <cell r="E3457">
            <v>23.61</v>
          </cell>
          <cell r="F3457">
            <v>3801.21</v>
          </cell>
          <cell r="G3457">
            <v>0.11</v>
          </cell>
          <cell r="H3457">
            <v>3</v>
          </cell>
          <cell r="I3457" t="str">
            <v>USA</v>
          </cell>
          <cell r="J3457" t="str">
            <v>Amazon</v>
          </cell>
        </row>
        <row r="3458">
          <cell r="A3458" t="str">
            <v>26-02-2024</v>
          </cell>
          <cell r="B3458" t="str">
            <v>Whey Protein</v>
          </cell>
          <cell r="C3458" t="str">
            <v>Protein</v>
          </cell>
          <cell r="D3458">
            <v>148</v>
          </cell>
          <cell r="E3458">
            <v>59.44</v>
          </cell>
          <cell r="F3458">
            <v>8797.1200000000008</v>
          </cell>
          <cell r="G3458">
            <v>0.02</v>
          </cell>
          <cell r="H3458">
            <v>0</v>
          </cell>
          <cell r="I3458" t="str">
            <v>USA</v>
          </cell>
          <cell r="J3458" t="str">
            <v>iHerb</v>
          </cell>
        </row>
        <row r="3459">
          <cell r="A3459" t="str">
            <v>26-02-2024</v>
          </cell>
          <cell r="B3459" t="str">
            <v>Vitamin C</v>
          </cell>
          <cell r="C3459" t="str">
            <v>Vitamin</v>
          </cell>
          <cell r="D3459">
            <v>135</v>
          </cell>
          <cell r="E3459">
            <v>16.55</v>
          </cell>
          <cell r="F3459">
            <v>2234.25</v>
          </cell>
          <cell r="G3459">
            <v>0.22</v>
          </cell>
          <cell r="H3459">
            <v>0</v>
          </cell>
          <cell r="I3459" t="str">
            <v>USA</v>
          </cell>
          <cell r="J3459" t="str">
            <v>Walmart</v>
          </cell>
        </row>
        <row r="3460">
          <cell r="A3460" t="str">
            <v>26-02-2024</v>
          </cell>
          <cell r="B3460" t="str">
            <v>Fish Oil</v>
          </cell>
          <cell r="C3460" t="str">
            <v>Omega</v>
          </cell>
          <cell r="D3460">
            <v>143</v>
          </cell>
          <cell r="E3460">
            <v>56.58</v>
          </cell>
          <cell r="F3460">
            <v>8090.94</v>
          </cell>
          <cell r="G3460">
            <v>0.17</v>
          </cell>
          <cell r="H3460">
            <v>3</v>
          </cell>
          <cell r="I3460" t="str">
            <v>USA</v>
          </cell>
          <cell r="J3460" t="str">
            <v>Walmart</v>
          </cell>
        </row>
        <row r="3461">
          <cell r="A3461" t="str">
            <v>26-02-2024</v>
          </cell>
          <cell r="B3461" t="str">
            <v>Multivitamin</v>
          </cell>
          <cell r="C3461" t="str">
            <v>Vitamin</v>
          </cell>
          <cell r="D3461">
            <v>140</v>
          </cell>
          <cell r="E3461">
            <v>21.15</v>
          </cell>
          <cell r="F3461">
            <v>2961</v>
          </cell>
          <cell r="G3461">
            <v>0.18</v>
          </cell>
          <cell r="H3461">
            <v>0</v>
          </cell>
          <cell r="I3461" t="str">
            <v>Canada</v>
          </cell>
          <cell r="J3461" t="str">
            <v>Amazon</v>
          </cell>
        </row>
        <row r="3462">
          <cell r="A3462" t="str">
            <v>26-02-2024</v>
          </cell>
          <cell r="B3462" t="str">
            <v>Pre-Workout</v>
          </cell>
          <cell r="C3462" t="str">
            <v>Performance</v>
          </cell>
          <cell r="D3462">
            <v>123</v>
          </cell>
          <cell r="E3462">
            <v>42.1</v>
          </cell>
          <cell r="F3462">
            <v>5178.3</v>
          </cell>
          <cell r="G3462">
            <v>0.17</v>
          </cell>
          <cell r="H3462">
            <v>1</v>
          </cell>
          <cell r="I3462" t="str">
            <v>UK</v>
          </cell>
          <cell r="J3462" t="str">
            <v>Amazon</v>
          </cell>
        </row>
        <row r="3463">
          <cell r="A3463" t="str">
            <v>26-02-2024</v>
          </cell>
          <cell r="B3463" t="str">
            <v>BCAA</v>
          </cell>
          <cell r="C3463" t="str">
            <v>Amino Acid</v>
          </cell>
          <cell r="D3463">
            <v>162</v>
          </cell>
          <cell r="E3463">
            <v>15.27</v>
          </cell>
          <cell r="F3463">
            <v>2473.7399999999998</v>
          </cell>
          <cell r="G3463">
            <v>0.2</v>
          </cell>
          <cell r="H3463">
            <v>4</v>
          </cell>
          <cell r="I3463" t="str">
            <v>USA</v>
          </cell>
          <cell r="J3463" t="str">
            <v>iHerb</v>
          </cell>
        </row>
        <row r="3464">
          <cell r="A3464" t="str">
            <v>26-02-2024</v>
          </cell>
          <cell r="B3464" t="str">
            <v>Creatine</v>
          </cell>
          <cell r="C3464" t="str">
            <v>Performance</v>
          </cell>
          <cell r="D3464">
            <v>125</v>
          </cell>
          <cell r="E3464">
            <v>34.380000000000003</v>
          </cell>
          <cell r="F3464">
            <v>4297.5</v>
          </cell>
          <cell r="G3464">
            <v>0.04</v>
          </cell>
          <cell r="H3464">
            <v>2</v>
          </cell>
          <cell r="I3464" t="str">
            <v>UK</v>
          </cell>
          <cell r="J3464" t="str">
            <v>Amazon</v>
          </cell>
        </row>
        <row r="3465">
          <cell r="A3465" t="str">
            <v>26-02-2024</v>
          </cell>
          <cell r="B3465" t="str">
            <v>Zinc</v>
          </cell>
          <cell r="C3465" t="str">
            <v>Mineral</v>
          </cell>
          <cell r="D3465">
            <v>142</v>
          </cell>
          <cell r="E3465">
            <v>43.55</v>
          </cell>
          <cell r="F3465">
            <v>6184.1</v>
          </cell>
          <cell r="G3465">
            <v>0.15</v>
          </cell>
          <cell r="H3465">
            <v>0</v>
          </cell>
          <cell r="I3465" t="str">
            <v>Canada</v>
          </cell>
          <cell r="J3465" t="str">
            <v>Amazon</v>
          </cell>
        </row>
        <row r="3466">
          <cell r="A3466" t="str">
            <v>26-02-2024</v>
          </cell>
          <cell r="B3466" t="str">
            <v>Collagen Peptides</v>
          </cell>
          <cell r="C3466" t="str">
            <v>Protein</v>
          </cell>
          <cell r="D3466">
            <v>139</v>
          </cell>
          <cell r="E3466">
            <v>22.04</v>
          </cell>
          <cell r="F3466">
            <v>3063.56</v>
          </cell>
          <cell r="G3466">
            <v>0.09</v>
          </cell>
          <cell r="H3466">
            <v>2</v>
          </cell>
          <cell r="I3466" t="str">
            <v>USA</v>
          </cell>
          <cell r="J3466" t="str">
            <v>Walmart</v>
          </cell>
        </row>
        <row r="3467">
          <cell r="A3467" t="str">
            <v>26-02-2024</v>
          </cell>
          <cell r="B3467" t="str">
            <v>Magnesium</v>
          </cell>
          <cell r="C3467" t="str">
            <v>Mineral</v>
          </cell>
          <cell r="D3467">
            <v>145</v>
          </cell>
          <cell r="E3467">
            <v>31.97</v>
          </cell>
          <cell r="F3467">
            <v>4635.6499999999996</v>
          </cell>
          <cell r="G3467">
            <v>0.2</v>
          </cell>
          <cell r="H3467">
            <v>4</v>
          </cell>
          <cell r="I3467" t="str">
            <v>UK</v>
          </cell>
          <cell r="J3467" t="str">
            <v>Amazon</v>
          </cell>
        </row>
        <row r="3468">
          <cell r="A3468" t="str">
            <v>26-02-2024</v>
          </cell>
          <cell r="B3468" t="str">
            <v>Ashwagandha</v>
          </cell>
          <cell r="C3468" t="str">
            <v>Herbal</v>
          </cell>
          <cell r="D3468">
            <v>140</v>
          </cell>
          <cell r="E3468">
            <v>41.09</v>
          </cell>
          <cell r="F3468">
            <v>5752.6</v>
          </cell>
          <cell r="G3468">
            <v>0.2</v>
          </cell>
          <cell r="H3468">
            <v>2</v>
          </cell>
          <cell r="I3468" t="str">
            <v>Canada</v>
          </cell>
          <cell r="J3468" t="str">
            <v>Amazon</v>
          </cell>
        </row>
        <row r="3469">
          <cell r="A3469" t="str">
            <v>26-02-2024</v>
          </cell>
          <cell r="B3469" t="str">
            <v>Melatonin</v>
          </cell>
          <cell r="C3469" t="str">
            <v>Sleep Aid</v>
          </cell>
          <cell r="D3469">
            <v>147</v>
          </cell>
          <cell r="E3469">
            <v>13.5</v>
          </cell>
          <cell r="F3469">
            <v>1984.5</v>
          </cell>
          <cell r="G3469">
            <v>0.13</v>
          </cell>
          <cell r="H3469">
            <v>5</v>
          </cell>
          <cell r="I3469" t="str">
            <v>USA</v>
          </cell>
          <cell r="J3469" t="str">
            <v>Walmart</v>
          </cell>
        </row>
        <row r="3470">
          <cell r="A3470" t="str">
            <v>26-02-2024</v>
          </cell>
          <cell r="B3470" t="str">
            <v>Biotin</v>
          </cell>
          <cell r="C3470" t="str">
            <v>Vitamin</v>
          </cell>
          <cell r="D3470">
            <v>159</v>
          </cell>
          <cell r="E3470">
            <v>51.36</v>
          </cell>
          <cell r="F3470">
            <v>8166.24</v>
          </cell>
          <cell r="G3470">
            <v>0.19</v>
          </cell>
          <cell r="H3470">
            <v>1</v>
          </cell>
          <cell r="I3470" t="str">
            <v>USA</v>
          </cell>
          <cell r="J3470" t="str">
            <v>iHerb</v>
          </cell>
        </row>
        <row r="3471">
          <cell r="A3471" t="str">
            <v>26-02-2024</v>
          </cell>
          <cell r="B3471" t="str">
            <v>Green Tea Extract</v>
          </cell>
          <cell r="C3471" t="str">
            <v>Fat Burner</v>
          </cell>
          <cell r="D3471">
            <v>166</v>
          </cell>
          <cell r="E3471">
            <v>24.76</v>
          </cell>
          <cell r="F3471">
            <v>4110.16</v>
          </cell>
          <cell r="G3471">
            <v>7.0000000000000007E-2</v>
          </cell>
          <cell r="H3471">
            <v>3</v>
          </cell>
          <cell r="I3471" t="str">
            <v>Canada</v>
          </cell>
          <cell r="J3471" t="str">
            <v>iHerb</v>
          </cell>
        </row>
        <row r="3472">
          <cell r="A3472" t="str">
            <v>26-02-2024</v>
          </cell>
          <cell r="B3472" t="str">
            <v>Iron Supplement</v>
          </cell>
          <cell r="C3472" t="str">
            <v>Mineral</v>
          </cell>
          <cell r="D3472">
            <v>174</v>
          </cell>
          <cell r="E3472">
            <v>40.28</v>
          </cell>
          <cell r="F3472">
            <v>7008.72</v>
          </cell>
          <cell r="G3472">
            <v>0.06</v>
          </cell>
          <cell r="H3472">
            <v>2</v>
          </cell>
          <cell r="I3472" t="str">
            <v>USA</v>
          </cell>
          <cell r="J3472" t="str">
            <v>Walmart</v>
          </cell>
        </row>
        <row r="3473">
          <cell r="A3473" t="str">
            <v>26-02-2024</v>
          </cell>
          <cell r="B3473" t="str">
            <v>Electrolyte Powder</v>
          </cell>
          <cell r="C3473" t="str">
            <v>Hydration</v>
          </cell>
          <cell r="D3473">
            <v>140</v>
          </cell>
          <cell r="E3473">
            <v>29.35</v>
          </cell>
          <cell r="F3473">
            <v>4109</v>
          </cell>
          <cell r="G3473">
            <v>0.21</v>
          </cell>
          <cell r="H3473">
            <v>1</v>
          </cell>
          <cell r="I3473" t="str">
            <v>UK</v>
          </cell>
          <cell r="J3473" t="str">
            <v>Walmart</v>
          </cell>
        </row>
        <row r="3474">
          <cell r="A3474" t="str">
            <v>04-03-2024</v>
          </cell>
          <cell r="B3474" t="str">
            <v>Whey Protein</v>
          </cell>
          <cell r="C3474" t="str">
            <v>Protein</v>
          </cell>
          <cell r="D3474">
            <v>163</v>
          </cell>
          <cell r="E3474">
            <v>32.01</v>
          </cell>
          <cell r="F3474">
            <v>5217.63</v>
          </cell>
          <cell r="G3474">
            <v>0.15</v>
          </cell>
          <cell r="H3474">
            <v>0</v>
          </cell>
          <cell r="I3474" t="str">
            <v>Canada</v>
          </cell>
          <cell r="J3474" t="str">
            <v>iHerb</v>
          </cell>
        </row>
        <row r="3475">
          <cell r="A3475" t="str">
            <v>04-03-2024</v>
          </cell>
          <cell r="B3475" t="str">
            <v>Vitamin C</v>
          </cell>
          <cell r="C3475" t="str">
            <v>Vitamin</v>
          </cell>
          <cell r="D3475">
            <v>177</v>
          </cell>
          <cell r="E3475">
            <v>35.39</v>
          </cell>
          <cell r="F3475">
            <v>6264.03</v>
          </cell>
          <cell r="G3475">
            <v>0.21</v>
          </cell>
          <cell r="H3475">
            <v>3</v>
          </cell>
          <cell r="I3475" t="str">
            <v>Canada</v>
          </cell>
          <cell r="J3475" t="str">
            <v>Walmart</v>
          </cell>
        </row>
        <row r="3476">
          <cell r="A3476" t="str">
            <v>04-03-2024</v>
          </cell>
          <cell r="B3476" t="str">
            <v>Fish Oil</v>
          </cell>
          <cell r="C3476" t="str">
            <v>Omega</v>
          </cell>
          <cell r="D3476">
            <v>151</v>
          </cell>
          <cell r="E3476">
            <v>13.24</v>
          </cell>
          <cell r="F3476">
            <v>1999.24</v>
          </cell>
          <cell r="G3476">
            <v>0.03</v>
          </cell>
          <cell r="H3476">
            <v>2</v>
          </cell>
          <cell r="I3476" t="str">
            <v>USA</v>
          </cell>
          <cell r="J3476" t="str">
            <v>Amazon</v>
          </cell>
        </row>
        <row r="3477">
          <cell r="A3477" t="str">
            <v>04-03-2024</v>
          </cell>
          <cell r="B3477" t="str">
            <v>Multivitamin</v>
          </cell>
          <cell r="C3477" t="str">
            <v>Vitamin</v>
          </cell>
          <cell r="D3477">
            <v>145</v>
          </cell>
          <cell r="E3477">
            <v>26.4</v>
          </cell>
          <cell r="F3477">
            <v>3828</v>
          </cell>
          <cell r="G3477">
            <v>0.1</v>
          </cell>
          <cell r="H3477">
            <v>3</v>
          </cell>
          <cell r="I3477" t="str">
            <v>UK</v>
          </cell>
          <cell r="J3477" t="str">
            <v>Amazon</v>
          </cell>
        </row>
        <row r="3478">
          <cell r="A3478" t="str">
            <v>04-03-2024</v>
          </cell>
          <cell r="B3478" t="str">
            <v>Pre-Workout</v>
          </cell>
          <cell r="C3478" t="str">
            <v>Performance</v>
          </cell>
          <cell r="D3478">
            <v>161</v>
          </cell>
          <cell r="E3478">
            <v>23.22</v>
          </cell>
          <cell r="F3478">
            <v>3738.42</v>
          </cell>
          <cell r="G3478">
            <v>0.08</v>
          </cell>
          <cell r="H3478">
            <v>3</v>
          </cell>
          <cell r="I3478" t="str">
            <v>Canada</v>
          </cell>
          <cell r="J3478" t="str">
            <v>iHerb</v>
          </cell>
        </row>
        <row r="3479">
          <cell r="A3479" t="str">
            <v>04-03-2024</v>
          </cell>
          <cell r="B3479" t="str">
            <v>BCAA</v>
          </cell>
          <cell r="C3479" t="str">
            <v>Amino Acid</v>
          </cell>
          <cell r="D3479">
            <v>169</v>
          </cell>
          <cell r="E3479">
            <v>21.34</v>
          </cell>
          <cell r="F3479">
            <v>3606.46</v>
          </cell>
          <cell r="G3479">
            <v>0.05</v>
          </cell>
          <cell r="H3479">
            <v>3</v>
          </cell>
          <cell r="I3479" t="str">
            <v>Canada</v>
          </cell>
          <cell r="J3479" t="str">
            <v>iHerb</v>
          </cell>
        </row>
        <row r="3480">
          <cell r="A3480" t="str">
            <v>04-03-2024</v>
          </cell>
          <cell r="B3480" t="str">
            <v>Creatine</v>
          </cell>
          <cell r="C3480" t="str">
            <v>Performance</v>
          </cell>
          <cell r="D3480">
            <v>168</v>
          </cell>
          <cell r="E3480">
            <v>31.03</v>
          </cell>
          <cell r="F3480">
            <v>5213.04</v>
          </cell>
          <cell r="G3480">
            <v>0.21</v>
          </cell>
          <cell r="H3480">
            <v>3</v>
          </cell>
          <cell r="I3480" t="str">
            <v>Canada</v>
          </cell>
          <cell r="J3480" t="str">
            <v>Amazon</v>
          </cell>
        </row>
        <row r="3481">
          <cell r="A3481" t="str">
            <v>04-03-2024</v>
          </cell>
          <cell r="B3481" t="str">
            <v>Zinc</v>
          </cell>
          <cell r="C3481" t="str">
            <v>Mineral</v>
          </cell>
          <cell r="D3481">
            <v>162</v>
          </cell>
          <cell r="E3481">
            <v>55.58</v>
          </cell>
          <cell r="F3481">
            <v>9003.9599999999991</v>
          </cell>
          <cell r="G3481">
            <v>0.08</v>
          </cell>
          <cell r="H3481">
            <v>0</v>
          </cell>
          <cell r="I3481" t="str">
            <v>USA</v>
          </cell>
          <cell r="J3481" t="str">
            <v>Walmart</v>
          </cell>
        </row>
        <row r="3482">
          <cell r="A3482" t="str">
            <v>04-03-2024</v>
          </cell>
          <cell r="B3482" t="str">
            <v>Collagen Peptides</v>
          </cell>
          <cell r="C3482" t="str">
            <v>Protein</v>
          </cell>
          <cell r="D3482">
            <v>158</v>
          </cell>
          <cell r="E3482">
            <v>52.73</v>
          </cell>
          <cell r="F3482">
            <v>8331.34</v>
          </cell>
          <cell r="G3482">
            <v>0.02</v>
          </cell>
          <cell r="H3482">
            <v>3</v>
          </cell>
          <cell r="I3482" t="str">
            <v>UK</v>
          </cell>
          <cell r="J3482" t="str">
            <v>iHerb</v>
          </cell>
        </row>
        <row r="3483">
          <cell r="A3483" t="str">
            <v>04-03-2024</v>
          </cell>
          <cell r="B3483" t="str">
            <v>Magnesium</v>
          </cell>
          <cell r="C3483" t="str">
            <v>Mineral</v>
          </cell>
          <cell r="D3483">
            <v>142</v>
          </cell>
          <cell r="E3483">
            <v>12.01</v>
          </cell>
          <cell r="F3483">
            <v>1705.42</v>
          </cell>
          <cell r="G3483">
            <v>0.15</v>
          </cell>
          <cell r="H3483">
            <v>2</v>
          </cell>
          <cell r="I3483" t="str">
            <v>USA</v>
          </cell>
          <cell r="J3483" t="str">
            <v>Amazon</v>
          </cell>
        </row>
        <row r="3484">
          <cell r="A3484" t="str">
            <v>04-03-2024</v>
          </cell>
          <cell r="B3484" t="str">
            <v>Ashwagandha</v>
          </cell>
          <cell r="C3484" t="str">
            <v>Herbal</v>
          </cell>
          <cell r="D3484">
            <v>145</v>
          </cell>
          <cell r="E3484">
            <v>36.880000000000003</v>
          </cell>
          <cell r="F3484">
            <v>5347.6</v>
          </cell>
          <cell r="G3484">
            <v>0.21</v>
          </cell>
          <cell r="H3484">
            <v>1</v>
          </cell>
          <cell r="I3484" t="str">
            <v>Canada</v>
          </cell>
          <cell r="J3484" t="str">
            <v>iHerb</v>
          </cell>
        </row>
        <row r="3485">
          <cell r="A3485" t="str">
            <v>04-03-2024</v>
          </cell>
          <cell r="B3485" t="str">
            <v>Melatonin</v>
          </cell>
          <cell r="C3485" t="str">
            <v>Sleep Aid</v>
          </cell>
          <cell r="D3485">
            <v>141</v>
          </cell>
          <cell r="E3485">
            <v>57.46</v>
          </cell>
          <cell r="F3485">
            <v>8101.86</v>
          </cell>
          <cell r="G3485">
            <v>0.09</v>
          </cell>
          <cell r="H3485">
            <v>0</v>
          </cell>
          <cell r="I3485" t="str">
            <v>Canada</v>
          </cell>
          <cell r="J3485" t="str">
            <v>iHerb</v>
          </cell>
        </row>
        <row r="3486">
          <cell r="A3486" t="str">
            <v>04-03-2024</v>
          </cell>
          <cell r="B3486" t="str">
            <v>Biotin</v>
          </cell>
          <cell r="C3486" t="str">
            <v>Vitamin</v>
          </cell>
          <cell r="D3486">
            <v>161</v>
          </cell>
          <cell r="E3486">
            <v>16.43</v>
          </cell>
          <cell r="F3486">
            <v>2645.23</v>
          </cell>
          <cell r="G3486">
            <v>0.25</v>
          </cell>
          <cell r="H3486">
            <v>2</v>
          </cell>
          <cell r="I3486" t="str">
            <v>USA</v>
          </cell>
          <cell r="J3486" t="str">
            <v>Walmart</v>
          </cell>
        </row>
        <row r="3487">
          <cell r="A3487" t="str">
            <v>04-03-2024</v>
          </cell>
          <cell r="B3487" t="str">
            <v>Green Tea Extract</v>
          </cell>
          <cell r="C3487" t="str">
            <v>Fat Burner</v>
          </cell>
          <cell r="D3487">
            <v>150</v>
          </cell>
          <cell r="E3487">
            <v>54.93</v>
          </cell>
          <cell r="F3487">
            <v>8239.5</v>
          </cell>
          <cell r="G3487">
            <v>0.06</v>
          </cell>
          <cell r="H3487">
            <v>1</v>
          </cell>
          <cell r="I3487" t="str">
            <v>Canada</v>
          </cell>
          <cell r="J3487" t="str">
            <v>iHerb</v>
          </cell>
        </row>
        <row r="3488">
          <cell r="A3488" t="str">
            <v>04-03-2024</v>
          </cell>
          <cell r="B3488" t="str">
            <v>Iron Supplement</v>
          </cell>
          <cell r="C3488" t="str">
            <v>Mineral</v>
          </cell>
          <cell r="D3488">
            <v>133</v>
          </cell>
          <cell r="E3488">
            <v>39.78</v>
          </cell>
          <cell r="F3488">
            <v>5290.74</v>
          </cell>
          <cell r="G3488">
            <v>0.15</v>
          </cell>
          <cell r="H3488">
            <v>0</v>
          </cell>
          <cell r="I3488" t="str">
            <v>Canada</v>
          </cell>
          <cell r="J3488" t="str">
            <v>Amazon</v>
          </cell>
        </row>
        <row r="3489">
          <cell r="A3489" t="str">
            <v>04-03-2024</v>
          </cell>
          <cell r="B3489" t="str">
            <v>Electrolyte Powder</v>
          </cell>
          <cell r="C3489" t="str">
            <v>Hydration</v>
          </cell>
          <cell r="D3489">
            <v>155</v>
          </cell>
          <cell r="E3489">
            <v>27.89</v>
          </cell>
          <cell r="F3489">
            <v>4322.95</v>
          </cell>
          <cell r="G3489">
            <v>0.2</v>
          </cell>
          <cell r="H3489">
            <v>1</v>
          </cell>
          <cell r="I3489" t="str">
            <v>USA</v>
          </cell>
          <cell r="J3489" t="str">
            <v>Amazon</v>
          </cell>
        </row>
        <row r="3490">
          <cell r="A3490" t="str">
            <v>11-03-2024</v>
          </cell>
          <cell r="B3490" t="str">
            <v>Whey Protein</v>
          </cell>
          <cell r="C3490" t="str">
            <v>Protein</v>
          </cell>
          <cell r="D3490">
            <v>160</v>
          </cell>
          <cell r="E3490">
            <v>37.56</v>
          </cell>
          <cell r="F3490">
            <v>6009.6</v>
          </cell>
          <cell r="G3490">
            <v>0.24</v>
          </cell>
          <cell r="H3490">
            <v>5</v>
          </cell>
          <cell r="I3490" t="str">
            <v>USA</v>
          </cell>
          <cell r="J3490" t="str">
            <v>Walmart</v>
          </cell>
        </row>
        <row r="3491">
          <cell r="A3491" t="str">
            <v>11-03-2024</v>
          </cell>
          <cell r="B3491" t="str">
            <v>Vitamin C</v>
          </cell>
          <cell r="C3491" t="str">
            <v>Vitamin</v>
          </cell>
          <cell r="D3491">
            <v>142</v>
          </cell>
          <cell r="E3491">
            <v>13.15</v>
          </cell>
          <cell r="F3491">
            <v>1867.3</v>
          </cell>
          <cell r="G3491">
            <v>0.22</v>
          </cell>
          <cell r="H3491">
            <v>1</v>
          </cell>
          <cell r="I3491" t="str">
            <v>UK</v>
          </cell>
          <cell r="J3491" t="str">
            <v>Walmart</v>
          </cell>
        </row>
        <row r="3492">
          <cell r="A3492" t="str">
            <v>11-03-2024</v>
          </cell>
          <cell r="B3492" t="str">
            <v>Fish Oil</v>
          </cell>
          <cell r="C3492" t="str">
            <v>Omega</v>
          </cell>
          <cell r="D3492">
            <v>146</v>
          </cell>
          <cell r="E3492">
            <v>57.34</v>
          </cell>
          <cell r="F3492">
            <v>8371.64</v>
          </cell>
          <cell r="G3492">
            <v>0.13</v>
          </cell>
          <cell r="H3492">
            <v>1</v>
          </cell>
          <cell r="I3492" t="str">
            <v>USA</v>
          </cell>
          <cell r="J3492" t="str">
            <v>Walmart</v>
          </cell>
        </row>
        <row r="3493">
          <cell r="A3493" t="str">
            <v>11-03-2024</v>
          </cell>
          <cell r="B3493" t="str">
            <v>Multivitamin</v>
          </cell>
          <cell r="C3493" t="str">
            <v>Vitamin</v>
          </cell>
          <cell r="D3493">
            <v>145</v>
          </cell>
          <cell r="E3493">
            <v>40.090000000000003</v>
          </cell>
          <cell r="F3493">
            <v>5813.05</v>
          </cell>
          <cell r="G3493">
            <v>0.23</v>
          </cell>
          <cell r="H3493">
            <v>3</v>
          </cell>
          <cell r="I3493" t="str">
            <v>USA</v>
          </cell>
          <cell r="J3493" t="str">
            <v>Amazon</v>
          </cell>
        </row>
        <row r="3494">
          <cell r="A3494" t="str">
            <v>11-03-2024</v>
          </cell>
          <cell r="B3494" t="str">
            <v>Pre-Workout</v>
          </cell>
          <cell r="C3494" t="str">
            <v>Performance</v>
          </cell>
          <cell r="D3494">
            <v>149</v>
          </cell>
          <cell r="E3494">
            <v>31.16</v>
          </cell>
          <cell r="F3494">
            <v>4642.84</v>
          </cell>
          <cell r="G3494">
            <v>0.06</v>
          </cell>
          <cell r="H3494">
            <v>5</v>
          </cell>
          <cell r="I3494" t="str">
            <v>Canada</v>
          </cell>
          <cell r="J3494" t="str">
            <v>iHerb</v>
          </cell>
        </row>
        <row r="3495">
          <cell r="A3495" t="str">
            <v>11-03-2024</v>
          </cell>
          <cell r="B3495" t="str">
            <v>BCAA</v>
          </cell>
          <cell r="C3495" t="str">
            <v>Amino Acid</v>
          </cell>
          <cell r="D3495">
            <v>143</v>
          </cell>
          <cell r="E3495">
            <v>59.48</v>
          </cell>
          <cell r="F3495">
            <v>8505.64</v>
          </cell>
          <cell r="G3495">
            <v>0.03</v>
          </cell>
          <cell r="H3495">
            <v>2</v>
          </cell>
          <cell r="I3495" t="str">
            <v>USA</v>
          </cell>
          <cell r="J3495" t="str">
            <v>Amazon</v>
          </cell>
        </row>
        <row r="3496">
          <cell r="A3496" t="str">
            <v>11-03-2024</v>
          </cell>
          <cell r="B3496" t="str">
            <v>Creatine</v>
          </cell>
          <cell r="C3496" t="str">
            <v>Performance</v>
          </cell>
          <cell r="D3496">
            <v>174</v>
          </cell>
          <cell r="E3496">
            <v>10.130000000000001</v>
          </cell>
          <cell r="F3496">
            <v>1762.62</v>
          </cell>
          <cell r="G3496">
            <v>0.09</v>
          </cell>
          <cell r="H3496">
            <v>0</v>
          </cell>
          <cell r="I3496" t="str">
            <v>USA</v>
          </cell>
          <cell r="J3496" t="str">
            <v>Walmart</v>
          </cell>
        </row>
        <row r="3497">
          <cell r="A3497" t="str">
            <v>11-03-2024</v>
          </cell>
          <cell r="B3497" t="str">
            <v>Zinc</v>
          </cell>
          <cell r="C3497" t="str">
            <v>Mineral</v>
          </cell>
          <cell r="D3497">
            <v>147</v>
          </cell>
          <cell r="E3497">
            <v>31.94</v>
          </cell>
          <cell r="F3497">
            <v>4695.18</v>
          </cell>
          <cell r="G3497">
            <v>0.11</v>
          </cell>
          <cell r="H3497">
            <v>1</v>
          </cell>
          <cell r="I3497" t="str">
            <v>UK</v>
          </cell>
          <cell r="J3497" t="str">
            <v>Walmart</v>
          </cell>
        </row>
        <row r="3498">
          <cell r="A3498" t="str">
            <v>11-03-2024</v>
          </cell>
          <cell r="B3498" t="str">
            <v>Collagen Peptides</v>
          </cell>
          <cell r="C3498" t="str">
            <v>Protein</v>
          </cell>
          <cell r="D3498">
            <v>153</v>
          </cell>
          <cell r="E3498">
            <v>25.42</v>
          </cell>
          <cell r="F3498">
            <v>3889.26</v>
          </cell>
          <cell r="G3498">
            <v>0.21</v>
          </cell>
          <cell r="H3498">
            <v>2</v>
          </cell>
          <cell r="I3498" t="str">
            <v>Canada</v>
          </cell>
          <cell r="J3498" t="str">
            <v>iHerb</v>
          </cell>
        </row>
        <row r="3499">
          <cell r="A3499" t="str">
            <v>11-03-2024</v>
          </cell>
          <cell r="B3499" t="str">
            <v>Magnesium</v>
          </cell>
          <cell r="C3499" t="str">
            <v>Mineral</v>
          </cell>
          <cell r="D3499">
            <v>143</v>
          </cell>
          <cell r="E3499">
            <v>28.06</v>
          </cell>
          <cell r="F3499">
            <v>4012.58</v>
          </cell>
          <cell r="G3499">
            <v>0.16</v>
          </cell>
          <cell r="H3499">
            <v>0</v>
          </cell>
          <cell r="I3499" t="str">
            <v>UK</v>
          </cell>
          <cell r="J3499" t="str">
            <v>iHerb</v>
          </cell>
        </row>
        <row r="3500">
          <cell r="A3500" t="str">
            <v>11-03-2024</v>
          </cell>
          <cell r="B3500" t="str">
            <v>Ashwagandha</v>
          </cell>
          <cell r="C3500" t="str">
            <v>Herbal</v>
          </cell>
          <cell r="D3500">
            <v>171</v>
          </cell>
          <cell r="E3500">
            <v>56</v>
          </cell>
          <cell r="F3500">
            <v>9576</v>
          </cell>
          <cell r="G3500">
            <v>0.01</v>
          </cell>
          <cell r="H3500">
            <v>1</v>
          </cell>
          <cell r="I3500" t="str">
            <v>UK</v>
          </cell>
          <cell r="J3500" t="str">
            <v>iHerb</v>
          </cell>
        </row>
        <row r="3501">
          <cell r="A3501" t="str">
            <v>11-03-2024</v>
          </cell>
          <cell r="B3501" t="str">
            <v>Melatonin</v>
          </cell>
          <cell r="C3501" t="str">
            <v>Sleep Aid</v>
          </cell>
          <cell r="D3501">
            <v>165</v>
          </cell>
          <cell r="E3501">
            <v>31.81</v>
          </cell>
          <cell r="F3501">
            <v>5248.65</v>
          </cell>
          <cell r="G3501">
            <v>0.03</v>
          </cell>
          <cell r="H3501">
            <v>1</v>
          </cell>
          <cell r="I3501" t="str">
            <v>Canada</v>
          </cell>
          <cell r="J3501" t="str">
            <v>iHerb</v>
          </cell>
        </row>
        <row r="3502">
          <cell r="A3502" t="str">
            <v>11-03-2024</v>
          </cell>
          <cell r="B3502" t="str">
            <v>Biotin</v>
          </cell>
          <cell r="C3502" t="str">
            <v>Vitamin</v>
          </cell>
          <cell r="D3502">
            <v>164</v>
          </cell>
          <cell r="E3502">
            <v>46.84</v>
          </cell>
          <cell r="F3502">
            <v>7681.76</v>
          </cell>
          <cell r="G3502">
            <v>0.09</v>
          </cell>
          <cell r="H3502">
            <v>4</v>
          </cell>
          <cell r="I3502" t="str">
            <v>UK</v>
          </cell>
          <cell r="J3502" t="str">
            <v>Walmart</v>
          </cell>
        </row>
        <row r="3503">
          <cell r="A3503" t="str">
            <v>11-03-2024</v>
          </cell>
          <cell r="B3503" t="str">
            <v>Green Tea Extract</v>
          </cell>
          <cell r="C3503" t="str">
            <v>Fat Burner</v>
          </cell>
          <cell r="D3503">
            <v>158</v>
          </cell>
          <cell r="E3503">
            <v>31.32</v>
          </cell>
          <cell r="F3503">
            <v>4948.5600000000004</v>
          </cell>
          <cell r="G3503">
            <v>0.23</v>
          </cell>
          <cell r="H3503">
            <v>2</v>
          </cell>
          <cell r="I3503" t="str">
            <v>USA</v>
          </cell>
          <cell r="J3503" t="str">
            <v>Amazon</v>
          </cell>
        </row>
        <row r="3504">
          <cell r="A3504" t="str">
            <v>11-03-2024</v>
          </cell>
          <cell r="B3504" t="str">
            <v>Iron Supplement</v>
          </cell>
          <cell r="C3504" t="str">
            <v>Mineral</v>
          </cell>
          <cell r="D3504">
            <v>158</v>
          </cell>
          <cell r="E3504">
            <v>21.18</v>
          </cell>
          <cell r="F3504">
            <v>3346.44</v>
          </cell>
          <cell r="G3504">
            <v>0.18</v>
          </cell>
          <cell r="H3504">
            <v>2</v>
          </cell>
          <cell r="I3504" t="str">
            <v>Canada</v>
          </cell>
          <cell r="J3504" t="str">
            <v>Walmart</v>
          </cell>
        </row>
        <row r="3505">
          <cell r="A3505" t="str">
            <v>11-03-2024</v>
          </cell>
          <cell r="B3505" t="str">
            <v>Electrolyte Powder</v>
          </cell>
          <cell r="C3505" t="str">
            <v>Hydration</v>
          </cell>
          <cell r="D3505">
            <v>150</v>
          </cell>
          <cell r="E3505">
            <v>20.41</v>
          </cell>
          <cell r="F3505">
            <v>3061.5</v>
          </cell>
          <cell r="G3505">
            <v>0.2</v>
          </cell>
          <cell r="H3505">
            <v>4</v>
          </cell>
          <cell r="I3505" t="str">
            <v>USA</v>
          </cell>
          <cell r="J3505" t="str">
            <v>Walmart</v>
          </cell>
        </row>
        <row r="3506">
          <cell r="A3506" t="str">
            <v>18-03-2024</v>
          </cell>
          <cell r="B3506" t="str">
            <v>Whey Protein</v>
          </cell>
          <cell r="C3506" t="str">
            <v>Protein</v>
          </cell>
          <cell r="D3506">
            <v>168</v>
          </cell>
          <cell r="E3506">
            <v>30.3</v>
          </cell>
          <cell r="F3506">
            <v>5090.3999999999996</v>
          </cell>
          <cell r="G3506">
            <v>0.2</v>
          </cell>
          <cell r="H3506">
            <v>2</v>
          </cell>
          <cell r="I3506" t="str">
            <v>USA</v>
          </cell>
          <cell r="J3506" t="str">
            <v>Walmart</v>
          </cell>
        </row>
        <row r="3507">
          <cell r="A3507" t="str">
            <v>18-03-2024</v>
          </cell>
          <cell r="B3507" t="str">
            <v>Vitamin C</v>
          </cell>
          <cell r="C3507" t="str">
            <v>Vitamin</v>
          </cell>
          <cell r="D3507">
            <v>152</v>
          </cell>
          <cell r="E3507">
            <v>36.799999999999997</v>
          </cell>
          <cell r="F3507">
            <v>5593.6</v>
          </cell>
          <cell r="G3507">
            <v>0.13</v>
          </cell>
          <cell r="H3507">
            <v>0</v>
          </cell>
          <cell r="I3507" t="str">
            <v>USA</v>
          </cell>
          <cell r="J3507" t="str">
            <v>Amazon</v>
          </cell>
        </row>
        <row r="3508">
          <cell r="A3508" t="str">
            <v>18-03-2024</v>
          </cell>
          <cell r="B3508" t="str">
            <v>Fish Oil</v>
          </cell>
          <cell r="C3508" t="str">
            <v>Omega</v>
          </cell>
          <cell r="D3508">
            <v>127</v>
          </cell>
          <cell r="E3508">
            <v>55.66</v>
          </cell>
          <cell r="F3508">
            <v>7068.82</v>
          </cell>
          <cell r="G3508">
            <v>0.1</v>
          </cell>
          <cell r="H3508">
            <v>1</v>
          </cell>
          <cell r="I3508" t="str">
            <v>Canada</v>
          </cell>
          <cell r="J3508" t="str">
            <v>iHerb</v>
          </cell>
        </row>
        <row r="3509">
          <cell r="A3509" t="str">
            <v>18-03-2024</v>
          </cell>
          <cell r="B3509" t="str">
            <v>Multivitamin</v>
          </cell>
          <cell r="C3509" t="str">
            <v>Vitamin</v>
          </cell>
          <cell r="D3509">
            <v>164</v>
          </cell>
          <cell r="E3509">
            <v>40.479999999999997</v>
          </cell>
          <cell r="F3509">
            <v>6638.72</v>
          </cell>
          <cell r="G3509">
            <v>7.0000000000000007E-2</v>
          </cell>
          <cell r="H3509">
            <v>3</v>
          </cell>
          <cell r="I3509" t="str">
            <v>UK</v>
          </cell>
          <cell r="J3509" t="str">
            <v>iHerb</v>
          </cell>
        </row>
        <row r="3510">
          <cell r="A3510" t="str">
            <v>18-03-2024</v>
          </cell>
          <cell r="B3510" t="str">
            <v>Pre-Workout</v>
          </cell>
          <cell r="C3510" t="str">
            <v>Performance</v>
          </cell>
          <cell r="D3510">
            <v>136</v>
          </cell>
          <cell r="E3510">
            <v>19.579999999999998</v>
          </cell>
          <cell r="F3510">
            <v>2662.88</v>
          </cell>
          <cell r="G3510">
            <v>7.0000000000000007E-2</v>
          </cell>
          <cell r="H3510">
            <v>1</v>
          </cell>
          <cell r="I3510" t="str">
            <v>USA</v>
          </cell>
          <cell r="J3510" t="str">
            <v>Walmart</v>
          </cell>
        </row>
        <row r="3511">
          <cell r="A3511" t="str">
            <v>18-03-2024</v>
          </cell>
          <cell r="B3511" t="str">
            <v>BCAA</v>
          </cell>
          <cell r="C3511" t="str">
            <v>Amino Acid</v>
          </cell>
          <cell r="D3511">
            <v>156</v>
          </cell>
          <cell r="E3511">
            <v>43.83</v>
          </cell>
          <cell r="F3511">
            <v>6837.48</v>
          </cell>
          <cell r="G3511">
            <v>0.02</v>
          </cell>
          <cell r="H3511">
            <v>0</v>
          </cell>
          <cell r="I3511" t="str">
            <v>UK</v>
          </cell>
          <cell r="J3511" t="str">
            <v>iHerb</v>
          </cell>
        </row>
        <row r="3512">
          <cell r="A3512" t="str">
            <v>18-03-2024</v>
          </cell>
          <cell r="B3512" t="str">
            <v>Creatine</v>
          </cell>
          <cell r="C3512" t="str">
            <v>Performance</v>
          </cell>
          <cell r="D3512">
            <v>150</v>
          </cell>
          <cell r="E3512">
            <v>52.98</v>
          </cell>
          <cell r="F3512">
            <v>7947</v>
          </cell>
          <cell r="G3512">
            <v>0.24</v>
          </cell>
          <cell r="H3512">
            <v>2</v>
          </cell>
          <cell r="I3512" t="str">
            <v>UK</v>
          </cell>
          <cell r="J3512" t="str">
            <v>Amazon</v>
          </cell>
        </row>
        <row r="3513">
          <cell r="A3513" t="str">
            <v>18-03-2024</v>
          </cell>
          <cell r="B3513" t="str">
            <v>Zinc</v>
          </cell>
          <cell r="C3513" t="str">
            <v>Mineral</v>
          </cell>
          <cell r="D3513">
            <v>156</v>
          </cell>
          <cell r="E3513">
            <v>41.14</v>
          </cell>
          <cell r="F3513">
            <v>6417.84</v>
          </cell>
          <cell r="G3513">
            <v>0.04</v>
          </cell>
          <cell r="H3513">
            <v>2</v>
          </cell>
          <cell r="I3513" t="str">
            <v>UK</v>
          </cell>
          <cell r="J3513" t="str">
            <v>iHerb</v>
          </cell>
        </row>
        <row r="3514">
          <cell r="A3514" t="str">
            <v>18-03-2024</v>
          </cell>
          <cell r="B3514" t="str">
            <v>Collagen Peptides</v>
          </cell>
          <cell r="C3514" t="str">
            <v>Protein</v>
          </cell>
          <cell r="D3514">
            <v>146</v>
          </cell>
          <cell r="E3514">
            <v>36.18</v>
          </cell>
          <cell r="F3514">
            <v>5282.28</v>
          </cell>
          <cell r="G3514">
            <v>0.03</v>
          </cell>
          <cell r="H3514">
            <v>1</v>
          </cell>
          <cell r="I3514" t="str">
            <v>USA</v>
          </cell>
          <cell r="J3514" t="str">
            <v>Amazon</v>
          </cell>
        </row>
        <row r="3515">
          <cell r="A3515" t="str">
            <v>18-03-2024</v>
          </cell>
          <cell r="B3515" t="str">
            <v>Magnesium</v>
          </cell>
          <cell r="C3515" t="str">
            <v>Mineral</v>
          </cell>
          <cell r="D3515">
            <v>133</v>
          </cell>
          <cell r="E3515">
            <v>54.56</v>
          </cell>
          <cell r="F3515">
            <v>7256.48</v>
          </cell>
          <cell r="G3515">
            <v>0.12</v>
          </cell>
          <cell r="H3515">
            <v>0</v>
          </cell>
          <cell r="I3515" t="str">
            <v>UK</v>
          </cell>
          <cell r="J3515" t="str">
            <v>iHerb</v>
          </cell>
        </row>
        <row r="3516">
          <cell r="A3516" t="str">
            <v>18-03-2024</v>
          </cell>
          <cell r="B3516" t="str">
            <v>Ashwagandha</v>
          </cell>
          <cell r="C3516" t="str">
            <v>Herbal</v>
          </cell>
          <cell r="D3516">
            <v>146</v>
          </cell>
          <cell r="E3516">
            <v>20.010000000000002</v>
          </cell>
          <cell r="F3516">
            <v>2921.46</v>
          </cell>
          <cell r="G3516">
            <v>0.01</v>
          </cell>
          <cell r="H3516">
            <v>1</v>
          </cell>
          <cell r="I3516" t="str">
            <v>UK</v>
          </cell>
          <cell r="J3516" t="str">
            <v>Amazon</v>
          </cell>
        </row>
        <row r="3517">
          <cell r="A3517" t="str">
            <v>18-03-2024</v>
          </cell>
          <cell r="B3517" t="str">
            <v>Melatonin</v>
          </cell>
          <cell r="C3517" t="str">
            <v>Sleep Aid</v>
          </cell>
          <cell r="D3517">
            <v>162</v>
          </cell>
          <cell r="E3517">
            <v>40.32</v>
          </cell>
          <cell r="F3517">
            <v>6531.84</v>
          </cell>
          <cell r="G3517">
            <v>0.05</v>
          </cell>
          <cell r="H3517">
            <v>1</v>
          </cell>
          <cell r="I3517" t="str">
            <v>USA</v>
          </cell>
          <cell r="J3517" t="str">
            <v>Amazon</v>
          </cell>
        </row>
        <row r="3518">
          <cell r="A3518" t="str">
            <v>18-03-2024</v>
          </cell>
          <cell r="B3518" t="str">
            <v>Biotin</v>
          </cell>
          <cell r="C3518" t="str">
            <v>Vitamin</v>
          </cell>
          <cell r="D3518">
            <v>164</v>
          </cell>
          <cell r="E3518">
            <v>52.9</v>
          </cell>
          <cell r="F3518">
            <v>8675.6</v>
          </cell>
          <cell r="G3518">
            <v>0.12</v>
          </cell>
          <cell r="H3518">
            <v>3</v>
          </cell>
          <cell r="I3518" t="str">
            <v>Canada</v>
          </cell>
          <cell r="J3518" t="str">
            <v>Walmart</v>
          </cell>
        </row>
        <row r="3519">
          <cell r="A3519" t="str">
            <v>18-03-2024</v>
          </cell>
          <cell r="B3519" t="str">
            <v>Green Tea Extract</v>
          </cell>
          <cell r="C3519" t="str">
            <v>Fat Burner</v>
          </cell>
          <cell r="D3519">
            <v>143</v>
          </cell>
          <cell r="E3519">
            <v>47.58</v>
          </cell>
          <cell r="F3519">
            <v>6803.94</v>
          </cell>
          <cell r="G3519">
            <v>0.2</v>
          </cell>
          <cell r="H3519">
            <v>0</v>
          </cell>
          <cell r="I3519" t="str">
            <v>Canada</v>
          </cell>
          <cell r="J3519" t="str">
            <v>Amazon</v>
          </cell>
        </row>
        <row r="3520">
          <cell r="A3520" t="str">
            <v>18-03-2024</v>
          </cell>
          <cell r="B3520" t="str">
            <v>Iron Supplement</v>
          </cell>
          <cell r="C3520" t="str">
            <v>Mineral</v>
          </cell>
          <cell r="D3520">
            <v>191</v>
          </cell>
          <cell r="E3520">
            <v>13.43</v>
          </cell>
          <cell r="F3520">
            <v>2565.13</v>
          </cell>
          <cell r="G3520">
            <v>0.15</v>
          </cell>
          <cell r="H3520">
            <v>3</v>
          </cell>
          <cell r="I3520" t="str">
            <v>Canada</v>
          </cell>
          <cell r="J3520" t="str">
            <v>Amazon</v>
          </cell>
        </row>
        <row r="3521">
          <cell r="A3521" t="str">
            <v>18-03-2024</v>
          </cell>
          <cell r="B3521" t="str">
            <v>Electrolyte Powder</v>
          </cell>
          <cell r="C3521" t="str">
            <v>Hydration</v>
          </cell>
          <cell r="D3521">
            <v>182</v>
          </cell>
          <cell r="E3521">
            <v>11.26</v>
          </cell>
          <cell r="F3521">
            <v>2049.3200000000002</v>
          </cell>
          <cell r="G3521">
            <v>0.15</v>
          </cell>
          <cell r="H3521">
            <v>1</v>
          </cell>
          <cell r="I3521" t="str">
            <v>UK</v>
          </cell>
          <cell r="J3521" t="str">
            <v>Amazon</v>
          </cell>
        </row>
        <row r="3522">
          <cell r="A3522" t="str">
            <v>25-03-2024</v>
          </cell>
          <cell r="B3522" t="str">
            <v>Whey Protein</v>
          </cell>
          <cell r="C3522" t="str">
            <v>Protein</v>
          </cell>
          <cell r="D3522">
            <v>148</v>
          </cell>
          <cell r="E3522">
            <v>13.23</v>
          </cell>
          <cell r="F3522">
            <v>1958.04</v>
          </cell>
          <cell r="G3522">
            <v>0.12</v>
          </cell>
          <cell r="H3522">
            <v>1</v>
          </cell>
          <cell r="I3522" t="str">
            <v>UK</v>
          </cell>
          <cell r="J3522" t="str">
            <v>iHerb</v>
          </cell>
        </row>
        <row r="3523">
          <cell r="A3523" t="str">
            <v>25-03-2024</v>
          </cell>
          <cell r="B3523" t="str">
            <v>Vitamin C</v>
          </cell>
          <cell r="C3523" t="str">
            <v>Vitamin</v>
          </cell>
          <cell r="D3523">
            <v>158</v>
          </cell>
          <cell r="E3523">
            <v>19.260000000000002</v>
          </cell>
          <cell r="F3523">
            <v>3043.08</v>
          </cell>
          <cell r="G3523">
            <v>0.05</v>
          </cell>
          <cell r="H3523">
            <v>1</v>
          </cell>
          <cell r="I3523" t="str">
            <v>Canada</v>
          </cell>
          <cell r="J3523" t="str">
            <v>Walmart</v>
          </cell>
        </row>
        <row r="3524">
          <cell r="A3524" t="str">
            <v>25-03-2024</v>
          </cell>
          <cell r="B3524" t="str">
            <v>Fish Oil</v>
          </cell>
          <cell r="C3524" t="str">
            <v>Omega</v>
          </cell>
          <cell r="D3524">
            <v>137</v>
          </cell>
          <cell r="E3524">
            <v>59.72</v>
          </cell>
          <cell r="F3524">
            <v>8181.64</v>
          </cell>
          <cell r="G3524">
            <v>0.16</v>
          </cell>
          <cell r="H3524">
            <v>2</v>
          </cell>
          <cell r="I3524" t="str">
            <v>UK</v>
          </cell>
          <cell r="J3524" t="str">
            <v>iHerb</v>
          </cell>
        </row>
        <row r="3525">
          <cell r="A3525" t="str">
            <v>25-03-2024</v>
          </cell>
          <cell r="B3525" t="str">
            <v>Multivitamin</v>
          </cell>
          <cell r="C3525" t="str">
            <v>Vitamin</v>
          </cell>
          <cell r="D3525">
            <v>147</v>
          </cell>
          <cell r="E3525">
            <v>55.55</v>
          </cell>
          <cell r="F3525">
            <v>8165.85</v>
          </cell>
          <cell r="G3525">
            <v>0.24</v>
          </cell>
          <cell r="H3525">
            <v>1</v>
          </cell>
          <cell r="I3525" t="str">
            <v>Canada</v>
          </cell>
          <cell r="J3525" t="str">
            <v>iHerb</v>
          </cell>
        </row>
        <row r="3526">
          <cell r="A3526" t="str">
            <v>25-03-2024</v>
          </cell>
          <cell r="B3526" t="str">
            <v>Pre-Workout</v>
          </cell>
          <cell r="C3526" t="str">
            <v>Performance</v>
          </cell>
          <cell r="D3526">
            <v>142</v>
          </cell>
          <cell r="E3526">
            <v>16.62</v>
          </cell>
          <cell r="F3526">
            <v>2360.04</v>
          </cell>
          <cell r="G3526">
            <v>0.19</v>
          </cell>
          <cell r="H3526">
            <v>2</v>
          </cell>
          <cell r="I3526" t="str">
            <v>UK</v>
          </cell>
          <cell r="J3526" t="str">
            <v>iHerb</v>
          </cell>
        </row>
        <row r="3527">
          <cell r="A3527" t="str">
            <v>25-03-2024</v>
          </cell>
          <cell r="B3527" t="str">
            <v>BCAA</v>
          </cell>
          <cell r="C3527" t="str">
            <v>Amino Acid</v>
          </cell>
          <cell r="D3527">
            <v>150</v>
          </cell>
          <cell r="E3527">
            <v>39.1</v>
          </cell>
          <cell r="F3527">
            <v>5865</v>
          </cell>
          <cell r="G3527">
            <v>0.1</v>
          </cell>
          <cell r="H3527">
            <v>0</v>
          </cell>
          <cell r="I3527" t="str">
            <v>Canada</v>
          </cell>
          <cell r="J3527" t="str">
            <v>Walmart</v>
          </cell>
        </row>
        <row r="3528">
          <cell r="A3528" t="str">
            <v>25-03-2024</v>
          </cell>
          <cell r="B3528" t="str">
            <v>Creatine</v>
          </cell>
          <cell r="C3528" t="str">
            <v>Performance</v>
          </cell>
          <cell r="D3528">
            <v>147</v>
          </cell>
          <cell r="E3528">
            <v>13.55</v>
          </cell>
          <cell r="F3528">
            <v>1991.85</v>
          </cell>
          <cell r="G3528">
            <v>0.08</v>
          </cell>
          <cell r="H3528">
            <v>0</v>
          </cell>
          <cell r="I3528" t="str">
            <v>USA</v>
          </cell>
          <cell r="J3528" t="str">
            <v>iHerb</v>
          </cell>
        </row>
        <row r="3529">
          <cell r="A3529" t="str">
            <v>25-03-2024</v>
          </cell>
          <cell r="B3529" t="str">
            <v>Zinc</v>
          </cell>
          <cell r="C3529" t="str">
            <v>Mineral</v>
          </cell>
          <cell r="D3529">
            <v>159</v>
          </cell>
          <cell r="E3529">
            <v>13.13</v>
          </cell>
          <cell r="F3529">
            <v>2087.67</v>
          </cell>
          <cell r="G3529">
            <v>0.24</v>
          </cell>
          <cell r="H3529">
            <v>0</v>
          </cell>
          <cell r="I3529" t="str">
            <v>Canada</v>
          </cell>
          <cell r="J3529" t="str">
            <v>Amazon</v>
          </cell>
        </row>
        <row r="3530">
          <cell r="A3530" t="str">
            <v>25-03-2024</v>
          </cell>
          <cell r="B3530" t="str">
            <v>Collagen Peptides</v>
          </cell>
          <cell r="C3530" t="str">
            <v>Protein</v>
          </cell>
          <cell r="D3530">
            <v>153</v>
          </cell>
          <cell r="E3530">
            <v>49.39</v>
          </cell>
          <cell r="F3530">
            <v>7556.67</v>
          </cell>
          <cell r="G3530">
            <v>0.01</v>
          </cell>
          <cell r="H3530">
            <v>3</v>
          </cell>
          <cell r="I3530" t="str">
            <v>USA</v>
          </cell>
          <cell r="J3530" t="str">
            <v>iHerb</v>
          </cell>
        </row>
        <row r="3531">
          <cell r="A3531" t="str">
            <v>25-03-2024</v>
          </cell>
          <cell r="B3531" t="str">
            <v>Magnesium</v>
          </cell>
          <cell r="C3531" t="str">
            <v>Mineral</v>
          </cell>
          <cell r="D3531">
            <v>171</v>
          </cell>
          <cell r="E3531">
            <v>34.1</v>
          </cell>
          <cell r="F3531">
            <v>5831.1</v>
          </cell>
          <cell r="G3531">
            <v>0.01</v>
          </cell>
          <cell r="H3531">
            <v>2</v>
          </cell>
          <cell r="I3531" t="str">
            <v>Canada</v>
          </cell>
          <cell r="J3531" t="str">
            <v>Amazon</v>
          </cell>
        </row>
        <row r="3532">
          <cell r="A3532" t="str">
            <v>25-03-2024</v>
          </cell>
          <cell r="B3532" t="str">
            <v>Ashwagandha</v>
          </cell>
          <cell r="C3532" t="str">
            <v>Herbal</v>
          </cell>
          <cell r="D3532">
            <v>147</v>
          </cell>
          <cell r="E3532">
            <v>30.19</v>
          </cell>
          <cell r="F3532">
            <v>4437.93</v>
          </cell>
          <cell r="G3532">
            <v>0.17</v>
          </cell>
          <cell r="H3532">
            <v>0</v>
          </cell>
          <cell r="I3532" t="str">
            <v>UK</v>
          </cell>
          <cell r="J3532" t="str">
            <v>Walmart</v>
          </cell>
        </row>
        <row r="3533">
          <cell r="A3533" t="str">
            <v>25-03-2024</v>
          </cell>
          <cell r="B3533" t="str">
            <v>Melatonin</v>
          </cell>
          <cell r="C3533" t="str">
            <v>Sleep Aid</v>
          </cell>
          <cell r="D3533">
            <v>134</v>
          </cell>
          <cell r="E3533">
            <v>12.28</v>
          </cell>
          <cell r="F3533">
            <v>1645.52</v>
          </cell>
          <cell r="G3533">
            <v>0.14000000000000001</v>
          </cell>
          <cell r="H3533">
            <v>2</v>
          </cell>
          <cell r="I3533" t="str">
            <v>Canada</v>
          </cell>
          <cell r="J3533" t="str">
            <v>iHerb</v>
          </cell>
        </row>
        <row r="3534">
          <cell r="A3534" t="str">
            <v>25-03-2024</v>
          </cell>
          <cell r="B3534" t="str">
            <v>Biotin</v>
          </cell>
          <cell r="C3534" t="str">
            <v>Vitamin</v>
          </cell>
          <cell r="D3534">
            <v>154</v>
          </cell>
          <cell r="E3534">
            <v>44.03</v>
          </cell>
          <cell r="F3534">
            <v>6780.62</v>
          </cell>
          <cell r="G3534">
            <v>0.08</v>
          </cell>
          <cell r="H3534">
            <v>1</v>
          </cell>
          <cell r="I3534" t="str">
            <v>UK</v>
          </cell>
          <cell r="J3534" t="str">
            <v>Walmart</v>
          </cell>
        </row>
        <row r="3535">
          <cell r="A3535" t="str">
            <v>25-03-2024</v>
          </cell>
          <cell r="B3535" t="str">
            <v>Green Tea Extract</v>
          </cell>
          <cell r="C3535" t="str">
            <v>Fat Burner</v>
          </cell>
          <cell r="D3535">
            <v>143</v>
          </cell>
          <cell r="E3535">
            <v>18.079999999999998</v>
          </cell>
          <cell r="F3535">
            <v>2585.44</v>
          </cell>
          <cell r="G3535">
            <v>0</v>
          </cell>
          <cell r="H3535">
            <v>2</v>
          </cell>
          <cell r="I3535" t="str">
            <v>USA</v>
          </cell>
          <cell r="J3535" t="str">
            <v>Walmart</v>
          </cell>
        </row>
        <row r="3536">
          <cell r="A3536" t="str">
            <v>25-03-2024</v>
          </cell>
          <cell r="B3536" t="str">
            <v>Iron Supplement</v>
          </cell>
          <cell r="C3536" t="str">
            <v>Mineral</v>
          </cell>
          <cell r="D3536">
            <v>175</v>
          </cell>
          <cell r="E3536">
            <v>49.15</v>
          </cell>
          <cell r="F3536">
            <v>8601.25</v>
          </cell>
          <cell r="G3536">
            <v>0.17</v>
          </cell>
          <cell r="H3536">
            <v>2</v>
          </cell>
          <cell r="I3536" t="str">
            <v>Canada</v>
          </cell>
          <cell r="J3536" t="str">
            <v>Walmart</v>
          </cell>
        </row>
        <row r="3537">
          <cell r="A3537" t="str">
            <v>25-03-2024</v>
          </cell>
          <cell r="B3537" t="str">
            <v>Electrolyte Powder</v>
          </cell>
          <cell r="C3537" t="str">
            <v>Hydration</v>
          </cell>
          <cell r="D3537">
            <v>158</v>
          </cell>
          <cell r="E3537">
            <v>21.24</v>
          </cell>
          <cell r="F3537">
            <v>3355.92</v>
          </cell>
          <cell r="G3537">
            <v>0.08</v>
          </cell>
          <cell r="H3537">
            <v>1</v>
          </cell>
          <cell r="I3537" t="str">
            <v>Canada</v>
          </cell>
          <cell r="J3537" t="str">
            <v>Amazon</v>
          </cell>
        </row>
        <row r="3538">
          <cell r="A3538" t="str">
            <v>01-04-2024</v>
          </cell>
          <cell r="B3538" t="str">
            <v>Whey Protein</v>
          </cell>
          <cell r="C3538" t="str">
            <v>Protein</v>
          </cell>
          <cell r="D3538">
            <v>148</v>
          </cell>
          <cell r="E3538">
            <v>27.26</v>
          </cell>
          <cell r="F3538">
            <v>4034.48</v>
          </cell>
          <cell r="G3538">
            <v>0.09</v>
          </cell>
          <cell r="H3538">
            <v>3</v>
          </cell>
          <cell r="I3538" t="str">
            <v>USA</v>
          </cell>
          <cell r="J3538" t="str">
            <v>Amazon</v>
          </cell>
        </row>
        <row r="3539">
          <cell r="A3539" t="str">
            <v>01-04-2024</v>
          </cell>
          <cell r="B3539" t="str">
            <v>Vitamin C</v>
          </cell>
          <cell r="C3539" t="str">
            <v>Vitamin</v>
          </cell>
          <cell r="D3539">
            <v>150</v>
          </cell>
          <cell r="E3539">
            <v>53.04</v>
          </cell>
          <cell r="F3539">
            <v>7956</v>
          </cell>
          <cell r="G3539">
            <v>0.12</v>
          </cell>
          <cell r="H3539">
            <v>2</v>
          </cell>
          <cell r="I3539" t="str">
            <v>USA</v>
          </cell>
          <cell r="J3539" t="str">
            <v>Amazon</v>
          </cell>
        </row>
        <row r="3540">
          <cell r="A3540" t="str">
            <v>01-04-2024</v>
          </cell>
          <cell r="B3540" t="str">
            <v>Fish Oil</v>
          </cell>
          <cell r="C3540" t="str">
            <v>Omega</v>
          </cell>
          <cell r="D3540">
            <v>130</v>
          </cell>
          <cell r="E3540">
            <v>30.22</v>
          </cell>
          <cell r="F3540">
            <v>3928.6</v>
          </cell>
          <cell r="G3540">
            <v>0.12</v>
          </cell>
          <cell r="H3540">
            <v>4</v>
          </cell>
          <cell r="I3540" t="str">
            <v>USA</v>
          </cell>
          <cell r="J3540" t="str">
            <v>Walmart</v>
          </cell>
        </row>
        <row r="3541">
          <cell r="A3541" t="str">
            <v>01-04-2024</v>
          </cell>
          <cell r="B3541" t="str">
            <v>Multivitamin</v>
          </cell>
          <cell r="C3541" t="str">
            <v>Vitamin</v>
          </cell>
          <cell r="D3541">
            <v>157</v>
          </cell>
          <cell r="E3541">
            <v>45.08</v>
          </cell>
          <cell r="F3541">
            <v>7077.56</v>
          </cell>
          <cell r="G3541">
            <v>0</v>
          </cell>
          <cell r="H3541">
            <v>0</v>
          </cell>
          <cell r="I3541" t="str">
            <v>Canada</v>
          </cell>
          <cell r="J3541" t="str">
            <v>Amazon</v>
          </cell>
        </row>
        <row r="3542">
          <cell r="A3542" t="str">
            <v>01-04-2024</v>
          </cell>
          <cell r="B3542" t="str">
            <v>Pre-Workout</v>
          </cell>
          <cell r="C3542" t="str">
            <v>Performance</v>
          </cell>
          <cell r="D3542">
            <v>163</v>
          </cell>
          <cell r="E3542">
            <v>28.21</v>
          </cell>
          <cell r="F3542">
            <v>4598.2299999999996</v>
          </cell>
          <cell r="G3542">
            <v>0.13</v>
          </cell>
          <cell r="H3542">
            <v>3</v>
          </cell>
          <cell r="I3542" t="str">
            <v>UK</v>
          </cell>
          <cell r="J3542" t="str">
            <v>Walmart</v>
          </cell>
        </row>
        <row r="3543">
          <cell r="A3543" t="str">
            <v>01-04-2024</v>
          </cell>
          <cell r="B3543" t="str">
            <v>BCAA</v>
          </cell>
          <cell r="C3543" t="str">
            <v>Amino Acid</v>
          </cell>
          <cell r="D3543">
            <v>155</v>
          </cell>
          <cell r="E3543">
            <v>16.02</v>
          </cell>
          <cell r="F3543">
            <v>2483.1</v>
          </cell>
          <cell r="G3543">
            <v>7.0000000000000007E-2</v>
          </cell>
          <cell r="H3543">
            <v>4</v>
          </cell>
          <cell r="I3543" t="str">
            <v>UK</v>
          </cell>
          <cell r="J3543" t="str">
            <v>Amazon</v>
          </cell>
        </row>
        <row r="3544">
          <cell r="A3544" t="str">
            <v>01-04-2024</v>
          </cell>
          <cell r="B3544" t="str">
            <v>Creatine</v>
          </cell>
          <cell r="C3544" t="str">
            <v>Performance</v>
          </cell>
          <cell r="D3544">
            <v>148</v>
          </cell>
          <cell r="E3544">
            <v>34.93</v>
          </cell>
          <cell r="F3544">
            <v>5169.6400000000003</v>
          </cell>
          <cell r="G3544">
            <v>0.22</v>
          </cell>
          <cell r="H3544">
            <v>2</v>
          </cell>
          <cell r="I3544" t="str">
            <v>Canada</v>
          </cell>
          <cell r="J3544" t="str">
            <v>Amazon</v>
          </cell>
        </row>
        <row r="3545">
          <cell r="A3545" t="str">
            <v>01-04-2024</v>
          </cell>
          <cell r="B3545" t="str">
            <v>Zinc</v>
          </cell>
          <cell r="C3545" t="str">
            <v>Mineral</v>
          </cell>
          <cell r="D3545">
            <v>157</v>
          </cell>
          <cell r="E3545">
            <v>11.45</v>
          </cell>
          <cell r="F3545">
            <v>1797.65</v>
          </cell>
          <cell r="G3545">
            <v>0.23</v>
          </cell>
          <cell r="H3545">
            <v>4</v>
          </cell>
          <cell r="I3545" t="str">
            <v>Canada</v>
          </cell>
          <cell r="J3545" t="str">
            <v>Walmart</v>
          </cell>
        </row>
        <row r="3546">
          <cell r="A3546" t="str">
            <v>01-04-2024</v>
          </cell>
          <cell r="B3546" t="str">
            <v>Collagen Peptides</v>
          </cell>
          <cell r="C3546" t="str">
            <v>Protein</v>
          </cell>
          <cell r="D3546">
            <v>162</v>
          </cell>
          <cell r="E3546">
            <v>52.23</v>
          </cell>
          <cell r="F3546">
            <v>8461.26</v>
          </cell>
          <cell r="G3546">
            <v>0.15</v>
          </cell>
          <cell r="H3546">
            <v>0</v>
          </cell>
          <cell r="I3546" t="str">
            <v>USA</v>
          </cell>
          <cell r="J3546" t="str">
            <v>Walmart</v>
          </cell>
        </row>
        <row r="3547">
          <cell r="A3547" t="str">
            <v>01-04-2024</v>
          </cell>
          <cell r="B3547" t="str">
            <v>Magnesium</v>
          </cell>
          <cell r="C3547" t="str">
            <v>Mineral</v>
          </cell>
          <cell r="D3547">
            <v>146</v>
          </cell>
          <cell r="E3547">
            <v>27.56</v>
          </cell>
          <cell r="F3547">
            <v>4023.76</v>
          </cell>
          <cell r="G3547">
            <v>0.22</v>
          </cell>
          <cell r="H3547">
            <v>0</v>
          </cell>
          <cell r="I3547" t="str">
            <v>USA</v>
          </cell>
          <cell r="J3547" t="str">
            <v>Walmart</v>
          </cell>
        </row>
        <row r="3548">
          <cell r="A3548" t="str">
            <v>01-04-2024</v>
          </cell>
          <cell r="B3548" t="str">
            <v>Ashwagandha</v>
          </cell>
          <cell r="C3548" t="str">
            <v>Herbal</v>
          </cell>
          <cell r="D3548">
            <v>144</v>
          </cell>
          <cell r="E3548">
            <v>12.58</v>
          </cell>
          <cell r="F3548">
            <v>1811.52</v>
          </cell>
          <cell r="G3548">
            <v>0.03</v>
          </cell>
          <cell r="H3548">
            <v>0</v>
          </cell>
          <cell r="I3548" t="str">
            <v>UK</v>
          </cell>
          <cell r="J3548" t="str">
            <v>Walmart</v>
          </cell>
        </row>
        <row r="3549">
          <cell r="A3549" t="str">
            <v>01-04-2024</v>
          </cell>
          <cell r="B3549" t="str">
            <v>Melatonin</v>
          </cell>
          <cell r="C3549" t="str">
            <v>Sleep Aid</v>
          </cell>
          <cell r="D3549">
            <v>164</v>
          </cell>
          <cell r="E3549">
            <v>24.94</v>
          </cell>
          <cell r="F3549">
            <v>4090.16</v>
          </cell>
          <cell r="G3549">
            <v>0</v>
          </cell>
          <cell r="H3549">
            <v>2</v>
          </cell>
          <cell r="I3549" t="str">
            <v>USA</v>
          </cell>
          <cell r="J3549" t="str">
            <v>Amazon</v>
          </cell>
        </row>
        <row r="3550">
          <cell r="A3550" t="str">
            <v>01-04-2024</v>
          </cell>
          <cell r="B3550" t="str">
            <v>Biotin</v>
          </cell>
          <cell r="C3550" t="str">
            <v>Vitamin</v>
          </cell>
          <cell r="D3550">
            <v>154</v>
          </cell>
          <cell r="E3550">
            <v>28.72</v>
          </cell>
          <cell r="F3550">
            <v>4422.88</v>
          </cell>
          <cell r="G3550">
            <v>0.05</v>
          </cell>
          <cell r="H3550">
            <v>2</v>
          </cell>
          <cell r="I3550" t="str">
            <v>USA</v>
          </cell>
          <cell r="J3550" t="str">
            <v>Walmart</v>
          </cell>
        </row>
        <row r="3551">
          <cell r="A3551" t="str">
            <v>01-04-2024</v>
          </cell>
          <cell r="B3551" t="str">
            <v>Green Tea Extract</v>
          </cell>
          <cell r="C3551" t="str">
            <v>Fat Burner</v>
          </cell>
          <cell r="D3551">
            <v>162</v>
          </cell>
          <cell r="E3551">
            <v>34.340000000000003</v>
          </cell>
          <cell r="F3551">
            <v>5563.08</v>
          </cell>
          <cell r="G3551">
            <v>0.06</v>
          </cell>
          <cell r="H3551">
            <v>0</v>
          </cell>
          <cell r="I3551" t="str">
            <v>UK</v>
          </cell>
          <cell r="J3551" t="str">
            <v>Amazon</v>
          </cell>
        </row>
        <row r="3552">
          <cell r="A3552" t="str">
            <v>01-04-2024</v>
          </cell>
          <cell r="B3552" t="str">
            <v>Iron Supplement</v>
          </cell>
          <cell r="C3552" t="str">
            <v>Mineral</v>
          </cell>
          <cell r="D3552">
            <v>159</v>
          </cell>
          <cell r="E3552">
            <v>20.81</v>
          </cell>
          <cell r="F3552">
            <v>3308.79</v>
          </cell>
          <cell r="G3552">
            <v>0.08</v>
          </cell>
          <cell r="H3552">
            <v>4</v>
          </cell>
          <cell r="I3552" t="str">
            <v>UK</v>
          </cell>
          <cell r="J3552" t="str">
            <v>iHerb</v>
          </cell>
        </row>
        <row r="3553">
          <cell r="A3553" t="str">
            <v>01-04-2024</v>
          </cell>
          <cell r="B3553" t="str">
            <v>Electrolyte Powder</v>
          </cell>
          <cell r="C3553" t="str">
            <v>Hydration</v>
          </cell>
          <cell r="D3553">
            <v>164</v>
          </cell>
          <cell r="E3553">
            <v>33</v>
          </cell>
          <cell r="F3553">
            <v>5412</v>
          </cell>
          <cell r="G3553">
            <v>0.16</v>
          </cell>
          <cell r="H3553">
            <v>1</v>
          </cell>
          <cell r="I3553" t="str">
            <v>UK</v>
          </cell>
          <cell r="J3553" t="str">
            <v>Walmart</v>
          </cell>
        </row>
        <row r="3554">
          <cell r="A3554" t="str">
            <v>08-04-2024</v>
          </cell>
          <cell r="B3554" t="str">
            <v>Whey Protein</v>
          </cell>
          <cell r="C3554" t="str">
            <v>Protein</v>
          </cell>
          <cell r="D3554">
            <v>128</v>
          </cell>
          <cell r="E3554">
            <v>39.700000000000003</v>
          </cell>
          <cell r="F3554">
            <v>5081.6000000000004</v>
          </cell>
          <cell r="G3554">
            <v>7.0000000000000007E-2</v>
          </cell>
          <cell r="H3554">
            <v>2</v>
          </cell>
          <cell r="I3554" t="str">
            <v>Canada</v>
          </cell>
          <cell r="J3554" t="str">
            <v>iHerb</v>
          </cell>
        </row>
        <row r="3555">
          <cell r="A3555" t="str">
            <v>08-04-2024</v>
          </cell>
          <cell r="B3555" t="str">
            <v>Vitamin C</v>
          </cell>
          <cell r="C3555" t="str">
            <v>Vitamin</v>
          </cell>
          <cell r="D3555">
            <v>135</v>
          </cell>
          <cell r="E3555">
            <v>16.25</v>
          </cell>
          <cell r="F3555">
            <v>2193.75</v>
          </cell>
          <cell r="G3555">
            <v>0.1</v>
          </cell>
          <cell r="H3555">
            <v>0</v>
          </cell>
          <cell r="I3555" t="str">
            <v>USA</v>
          </cell>
          <cell r="J3555" t="str">
            <v>Walmart</v>
          </cell>
        </row>
        <row r="3556">
          <cell r="A3556" t="str">
            <v>08-04-2024</v>
          </cell>
          <cell r="B3556" t="str">
            <v>Fish Oil</v>
          </cell>
          <cell r="C3556" t="str">
            <v>Omega</v>
          </cell>
          <cell r="D3556">
            <v>141</v>
          </cell>
          <cell r="E3556">
            <v>33.909999999999997</v>
          </cell>
          <cell r="F3556">
            <v>4781.3100000000004</v>
          </cell>
          <cell r="G3556">
            <v>0.14000000000000001</v>
          </cell>
          <cell r="H3556">
            <v>1</v>
          </cell>
          <cell r="I3556" t="str">
            <v>USA</v>
          </cell>
          <cell r="J3556" t="str">
            <v>iHerb</v>
          </cell>
        </row>
        <row r="3557">
          <cell r="A3557" t="str">
            <v>08-04-2024</v>
          </cell>
          <cell r="B3557" t="str">
            <v>Multivitamin</v>
          </cell>
          <cell r="C3557" t="str">
            <v>Vitamin</v>
          </cell>
          <cell r="D3557">
            <v>151</v>
          </cell>
          <cell r="E3557">
            <v>25.81</v>
          </cell>
          <cell r="F3557">
            <v>3897.31</v>
          </cell>
          <cell r="G3557">
            <v>0.21</v>
          </cell>
          <cell r="H3557">
            <v>1</v>
          </cell>
          <cell r="I3557" t="str">
            <v>USA</v>
          </cell>
          <cell r="J3557" t="str">
            <v>Amazon</v>
          </cell>
        </row>
        <row r="3558">
          <cell r="A3558" t="str">
            <v>08-04-2024</v>
          </cell>
          <cell r="B3558" t="str">
            <v>Pre-Workout</v>
          </cell>
          <cell r="C3558" t="str">
            <v>Performance</v>
          </cell>
          <cell r="D3558">
            <v>144</v>
          </cell>
          <cell r="E3558">
            <v>52.26</v>
          </cell>
          <cell r="F3558">
            <v>7525.44</v>
          </cell>
          <cell r="G3558">
            <v>0.25</v>
          </cell>
          <cell r="H3558">
            <v>2</v>
          </cell>
          <cell r="I3558" t="str">
            <v>USA</v>
          </cell>
          <cell r="J3558" t="str">
            <v>Amazon</v>
          </cell>
        </row>
        <row r="3559">
          <cell r="A3559" t="str">
            <v>08-04-2024</v>
          </cell>
          <cell r="B3559" t="str">
            <v>BCAA</v>
          </cell>
          <cell r="C3559" t="str">
            <v>Amino Acid</v>
          </cell>
          <cell r="D3559">
            <v>146</v>
          </cell>
          <cell r="E3559">
            <v>43.17</v>
          </cell>
          <cell r="F3559">
            <v>6302.82</v>
          </cell>
          <cell r="G3559">
            <v>0.25</v>
          </cell>
          <cell r="H3559">
            <v>2</v>
          </cell>
          <cell r="I3559" t="str">
            <v>Canada</v>
          </cell>
          <cell r="J3559" t="str">
            <v>Amazon</v>
          </cell>
        </row>
        <row r="3560">
          <cell r="A3560" t="str">
            <v>08-04-2024</v>
          </cell>
          <cell r="B3560" t="str">
            <v>Creatine</v>
          </cell>
          <cell r="C3560" t="str">
            <v>Performance</v>
          </cell>
          <cell r="D3560">
            <v>167</v>
          </cell>
          <cell r="E3560">
            <v>30.35</v>
          </cell>
          <cell r="F3560">
            <v>5068.45</v>
          </cell>
          <cell r="G3560">
            <v>0.23</v>
          </cell>
          <cell r="H3560">
            <v>2</v>
          </cell>
          <cell r="I3560" t="str">
            <v>UK</v>
          </cell>
          <cell r="J3560" t="str">
            <v>Walmart</v>
          </cell>
        </row>
        <row r="3561">
          <cell r="A3561" t="str">
            <v>08-04-2024</v>
          </cell>
          <cell r="B3561" t="str">
            <v>Zinc</v>
          </cell>
          <cell r="C3561" t="str">
            <v>Mineral</v>
          </cell>
          <cell r="D3561">
            <v>148</v>
          </cell>
          <cell r="E3561">
            <v>55.03</v>
          </cell>
          <cell r="F3561">
            <v>8144.44</v>
          </cell>
          <cell r="G3561">
            <v>0.14000000000000001</v>
          </cell>
          <cell r="H3561">
            <v>1</v>
          </cell>
          <cell r="I3561" t="str">
            <v>Canada</v>
          </cell>
          <cell r="J3561" t="str">
            <v>Amazon</v>
          </cell>
        </row>
        <row r="3562">
          <cell r="A3562" t="str">
            <v>08-04-2024</v>
          </cell>
          <cell r="B3562" t="str">
            <v>Collagen Peptides</v>
          </cell>
          <cell r="C3562" t="str">
            <v>Protein</v>
          </cell>
          <cell r="D3562">
            <v>148</v>
          </cell>
          <cell r="E3562">
            <v>14.84</v>
          </cell>
          <cell r="F3562">
            <v>2196.3200000000002</v>
          </cell>
          <cell r="G3562">
            <v>0.19</v>
          </cell>
          <cell r="H3562">
            <v>0</v>
          </cell>
          <cell r="I3562" t="str">
            <v>Canada</v>
          </cell>
          <cell r="J3562" t="str">
            <v>iHerb</v>
          </cell>
        </row>
        <row r="3563">
          <cell r="A3563" t="str">
            <v>08-04-2024</v>
          </cell>
          <cell r="B3563" t="str">
            <v>Magnesium</v>
          </cell>
          <cell r="C3563" t="str">
            <v>Mineral</v>
          </cell>
          <cell r="D3563">
            <v>147</v>
          </cell>
          <cell r="E3563">
            <v>33.380000000000003</v>
          </cell>
          <cell r="F3563">
            <v>4906.8599999999997</v>
          </cell>
          <cell r="G3563">
            <v>0.21</v>
          </cell>
          <cell r="H3563">
            <v>1</v>
          </cell>
          <cell r="I3563" t="str">
            <v>Canada</v>
          </cell>
          <cell r="J3563" t="str">
            <v>Amazon</v>
          </cell>
        </row>
        <row r="3564">
          <cell r="A3564" t="str">
            <v>08-04-2024</v>
          </cell>
          <cell r="B3564" t="str">
            <v>Ashwagandha</v>
          </cell>
          <cell r="C3564" t="str">
            <v>Herbal</v>
          </cell>
          <cell r="D3564">
            <v>180</v>
          </cell>
          <cell r="E3564">
            <v>11.91</v>
          </cell>
          <cell r="F3564">
            <v>2143.8000000000002</v>
          </cell>
          <cell r="G3564">
            <v>0.22</v>
          </cell>
          <cell r="H3564">
            <v>3</v>
          </cell>
          <cell r="I3564" t="str">
            <v>Canada</v>
          </cell>
          <cell r="J3564" t="str">
            <v>Walmart</v>
          </cell>
        </row>
        <row r="3565">
          <cell r="A3565" t="str">
            <v>08-04-2024</v>
          </cell>
          <cell r="B3565" t="str">
            <v>Melatonin</v>
          </cell>
          <cell r="C3565" t="str">
            <v>Sleep Aid</v>
          </cell>
          <cell r="D3565">
            <v>150</v>
          </cell>
          <cell r="E3565">
            <v>35.25</v>
          </cell>
          <cell r="F3565">
            <v>5287.5</v>
          </cell>
          <cell r="G3565">
            <v>0.12</v>
          </cell>
          <cell r="H3565">
            <v>1</v>
          </cell>
          <cell r="I3565" t="str">
            <v>UK</v>
          </cell>
          <cell r="J3565" t="str">
            <v>iHerb</v>
          </cell>
        </row>
        <row r="3566">
          <cell r="A3566" t="str">
            <v>08-04-2024</v>
          </cell>
          <cell r="B3566" t="str">
            <v>Biotin</v>
          </cell>
          <cell r="C3566" t="str">
            <v>Vitamin</v>
          </cell>
          <cell r="D3566">
            <v>144</v>
          </cell>
          <cell r="E3566">
            <v>32.630000000000003</v>
          </cell>
          <cell r="F3566">
            <v>4698.72</v>
          </cell>
          <cell r="G3566">
            <v>0.01</v>
          </cell>
          <cell r="H3566">
            <v>1</v>
          </cell>
          <cell r="I3566" t="str">
            <v>UK</v>
          </cell>
          <cell r="J3566" t="str">
            <v>Amazon</v>
          </cell>
        </row>
        <row r="3567">
          <cell r="A3567" t="str">
            <v>08-04-2024</v>
          </cell>
          <cell r="B3567" t="str">
            <v>Green Tea Extract</v>
          </cell>
          <cell r="C3567" t="str">
            <v>Fat Burner</v>
          </cell>
          <cell r="D3567">
            <v>139</v>
          </cell>
          <cell r="E3567">
            <v>39.94</v>
          </cell>
          <cell r="F3567">
            <v>5551.66</v>
          </cell>
          <cell r="G3567">
            <v>0.19</v>
          </cell>
          <cell r="H3567">
            <v>4</v>
          </cell>
          <cell r="I3567" t="str">
            <v>UK</v>
          </cell>
          <cell r="J3567" t="str">
            <v>iHerb</v>
          </cell>
        </row>
        <row r="3568">
          <cell r="A3568" t="str">
            <v>08-04-2024</v>
          </cell>
          <cell r="B3568" t="str">
            <v>Iron Supplement</v>
          </cell>
          <cell r="C3568" t="str">
            <v>Mineral</v>
          </cell>
          <cell r="D3568">
            <v>143</v>
          </cell>
          <cell r="E3568">
            <v>30.17</v>
          </cell>
          <cell r="F3568">
            <v>4314.3100000000004</v>
          </cell>
          <cell r="G3568">
            <v>0.12</v>
          </cell>
          <cell r="H3568">
            <v>3</v>
          </cell>
          <cell r="I3568" t="str">
            <v>Canada</v>
          </cell>
          <cell r="J3568" t="str">
            <v>Amazon</v>
          </cell>
        </row>
        <row r="3569">
          <cell r="A3569" t="str">
            <v>08-04-2024</v>
          </cell>
          <cell r="B3569" t="str">
            <v>Electrolyte Powder</v>
          </cell>
          <cell r="C3569" t="str">
            <v>Hydration</v>
          </cell>
          <cell r="D3569">
            <v>152</v>
          </cell>
          <cell r="E3569">
            <v>47.13</v>
          </cell>
          <cell r="F3569">
            <v>7163.76</v>
          </cell>
          <cell r="G3569">
            <v>0.13</v>
          </cell>
          <cell r="H3569">
            <v>0</v>
          </cell>
          <cell r="I3569" t="str">
            <v>USA</v>
          </cell>
          <cell r="J3569" t="str">
            <v>Walmart</v>
          </cell>
        </row>
        <row r="3570">
          <cell r="A3570" t="str">
            <v>15-04-2024</v>
          </cell>
          <cell r="B3570" t="str">
            <v>Whey Protein</v>
          </cell>
          <cell r="C3570" t="str">
            <v>Protein</v>
          </cell>
          <cell r="D3570">
            <v>153</v>
          </cell>
          <cell r="E3570">
            <v>52.13</v>
          </cell>
          <cell r="F3570">
            <v>7975.89</v>
          </cell>
          <cell r="G3570">
            <v>0.15</v>
          </cell>
          <cell r="H3570">
            <v>1</v>
          </cell>
          <cell r="I3570" t="str">
            <v>Canada</v>
          </cell>
          <cell r="J3570" t="str">
            <v>Walmart</v>
          </cell>
        </row>
        <row r="3571">
          <cell r="A3571" t="str">
            <v>15-04-2024</v>
          </cell>
          <cell r="B3571" t="str">
            <v>Vitamin C</v>
          </cell>
          <cell r="C3571" t="str">
            <v>Vitamin</v>
          </cell>
          <cell r="D3571">
            <v>130</v>
          </cell>
          <cell r="E3571">
            <v>47.6</v>
          </cell>
          <cell r="F3571">
            <v>6188</v>
          </cell>
          <cell r="G3571">
            <v>0.09</v>
          </cell>
          <cell r="H3571">
            <v>0</v>
          </cell>
          <cell r="I3571" t="str">
            <v>Canada</v>
          </cell>
          <cell r="J3571" t="str">
            <v>iHerb</v>
          </cell>
        </row>
        <row r="3572">
          <cell r="A3572" t="str">
            <v>15-04-2024</v>
          </cell>
          <cell r="B3572" t="str">
            <v>Fish Oil</v>
          </cell>
          <cell r="C3572" t="str">
            <v>Omega</v>
          </cell>
          <cell r="D3572">
            <v>173</v>
          </cell>
          <cell r="E3572">
            <v>41.91</v>
          </cell>
          <cell r="F3572">
            <v>7250.43</v>
          </cell>
          <cell r="G3572">
            <v>0.03</v>
          </cell>
          <cell r="H3572">
            <v>0</v>
          </cell>
          <cell r="I3572" t="str">
            <v>USA</v>
          </cell>
          <cell r="J3572" t="str">
            <v>Amazon</v>
          </cell>
        </row>
        <row r="3573">
          <cell r="A3573" t="str">
            <v>15-04-2024</v>
          </cell>
          <cell r="B3573" t="str">
            <v>Multivitamin</v>
          </cell>
          <cell r="C3573" t="str">
            <v>Vitamin</v>
          </cell>
          <cell r="D3573">
            <v>132</v>
          </cell>
          <cell r="E3573">
            <v>15.78</v>
          </cell>
          <cell r="F3573">
            <v>2082.96</v>
          </cell>
          <cell r="G3573">
            <v>0.21</v>
          </cell>
          <cell r="H3573">
            <v>5</v>
          </cell>
          <cell r="I3573" t="str">
            <v>UK</v>
          </cell>
          <cell r="J3573" t="str">
            <v>Amazon</v>
          </cell>
        </row>
        <row r="3574">
          <cell r="A3574" t="str">
            <v>15-04-2024</v>
          </cell>
          <cell r="B3574" t="str">
            <v>Pre-Workout</v>
          </cell>
          <cell r="C3574" t="str">
            <v>Performance</v>
          </cell>
          <cell r="D3574">
            <v>145</v>
          </cell>
          <cell r="E3574">
            <v>45.58</v>
          </cell>
          <cell r="F3574">
            <v>6609.1</v>
          </cell>
          <cell r="G3574">
            <v>0.23</v>
          </cell>
          <cell r="H3574">
            <v>3</v>
          </cell>
          <cell r="I3574" t="str">
            <v>UK</v>
          </cell>
          <cell r="J3574" t="str">
            <v>Walmart</v>
          </cell>
        </row>
        <row r="3575">
          <cell r="A3575" t="str">
            <v>15-04-2024</v>
          </cell>
          <cell r="B3575" t="str">
            <v>BCAA</v>
          </cell>
          <cell r="C3575" t="str">
            <v>Amino Acid</v>
          </cell>
          <cell r="D3575">
            <v>125</v>
          </cell>
          <cell r="E3575">
            <v>47.73</v>
          </cell>
          <cell r="F3575">
            <v>5966.25</v>
          </cell>
          <cell r="G3575">
            <v>0.17</v>
          </cell>
          <cell r="H3575">
            <v>0</v>
          </cell>
          <cell r="I3575" t="str">
            <v>USA</v>
          </cell>
          <cell r="J3575" t="str">
            <v>Walmart</v>
          </cell>
        </row>
        <row r="3576">
          <cell r="A3576" t="str">
            <v>15-04-2024</v>
          </cell>
          <cell r="B3576" t="str">
            <v>Creatine</v>
          </cell>
          <cell r="C3576" t="str">
            <v>Performance</v>
          </cell>
          <cell r="D3576">
            <v>150</v>
          </cell>
          <cell r="E3576">
            <v>20.94</v>
          </cell>
          <cell r="F3576">
            <v>3141</v>
          </cell>
          <cell r="G3576">
            <v>0.22</v>
          </cell>
          <cell r="H3576">
            <v>0</v>
          </cell>
          <cell r="I3576" t="str">
            <v>UK</v>
          </cell>
          <cell r="J3576" t="str">
            <v>Walmart</v>
          </cell>
        </row>
        <row r="3577">
          <cell r="A3577" t="str">
            <v>15-04-2024</v>
          </cell>
          <cell r="B3577" t="str">
            <v>Zinc</v>
          </cell>
          <cell r="C3577" t="str">
            <v>Mineral</v>
          </cell>
          <cell r="D3577">
            <v>161</v>
          </cell>
          <cell r="E3577">
            <v>25.76</v>
          </cell>
          <cell r="F3577">
            <v>4147.3599999999997</v>
          </cell>
          <cell r="G3577">
            <v>0.18</v>
          </cell>
          <cell r="H3577">
            <v>3</v>
          </cell>
          <cell r="I3577" t="str">
            <v>USA</v>
          </cell>
          <cell r="J3577" t="str">
            <v>iHerb</v>
          </cell>
        </row>
        <row r="3578">
          <cell r="A3578" t="str">
            <v>15-04-2024</v>
          </cell>
          <cell r="B3578" t="str">
            <v>Collagen Peptides</v>
          </cell>
          <cell r="C3578" t="str">
            <v>Protein</v>
          </cell>
          <cell r="D3578">
            <v>173</v>
          </cell>
          <cell r="E3578">
            <v>44.3</v>
          </cell>
          <cell r="F3578">
            <v>7663.9</v>
          </cell>
          <cell r="G3578">
            <v>0.15</v>
          </cell>
          <cell r="H3578">
            <v>2</v>
          </cell>
          <cell r="I3578" t="str">
            <v>USA</v>
          </cell>
          <cell r="J3578" t="str">
            <v>iHerb</v>
          </cell>
        </row>
        <row r="3579">
          <cell r="A3579" t="str">
            <v>15-04-2024</v>
          </cell>
          <cell r="B3579" t="str">
            <v>Magnesium</v>
          </cell>
          <cell r="C3579" t="str">
            <v>Mineral</v>
          </cell>
          <cell r="D3579">
            <v>168</v>
          </cell>
          <cell r="E3579">
            <v>24.11</v>
          </cell>
          <cell r="F3579">
            <v>4050.48</v>
          </cell>
          <cell r="G3579">
            <v>0.13</v>
          </cell>
          <cell r="H3579">
            <v>0</v>
          </cell>
          <cell r="I3579" t="str">
            <v>USA</v>
          </cell>
          <cell r="J3579" t="str">
            <v>iHerb</v>
          </cell>
        </row>
        <row r="3580">
          <cell r="A3580" t="str">
            <v>15-04-2024</v>
          </cell>
          <cell r="B3580" t="str">
            <v>Ashwagandha</v>
          </cell>
          <cell r="C3580" t="str">
            <v>Herbal</v>
          </cell>
          <cell r="D3580">
            <v>169</v>
          </cell>
          <cell r="E3580">
            <v>33.89</v>
          </cell>
          <cell r="F3580">
            <v>5727.41</v>
          </cell>
          <cell r="G3580">
            <v>0.2</v>
          </cell>
          <cell r="H3580">
            <v>1</v>
          </cell>
          <cell r="I3580" t="str">
            <v>Canada</v>
          </cell>
          <cell r="J3580" t="str">
            <v>iHerb</v>
          </cell>
        </row>
        <row r="3581">
          <cell r="A3581" t="str">
            <v>15-04-2024</v>
          </cell>
          <cell r="B3581" t="str">
            <v>Melatonin</v>
          </cell>
          <cell r="C3581" t="str">
            <v>Sleep Aid</v>
          </cell>
          <cell r="D3581">
            <v>152</v>
          </cell>
          <cell r="E3581">
            <v>28.29</v>
          </cell>
          <cell r="F3581">
            <v>4300.08</v>
          </cell>
          <cell r="G3581">
            <v>0.03</v>
          </cell>
          <cell r="H3581">
            <v>2</v>
          </cell>
          <cell r="I3581" t="str">
            <v>USA</v>
          </cell>
          <cell r="J3581" t="str">
            <v>iHerb</v>
          </cell>
        </row>
        <row r="3582">
          <cell r="A3582" t="str">
            <v>15-04-2024</v>
          </cell>
          <cell r="B3582" t="str">
            <v>Biotin</v>
          </cell>
          <cell r="C3582" t="str">
            <v>Vitamin</v>
          </cell>
          <cell r="D3582">
            <v>149</v>
          </cell>
          <cell r="E3582">
            <v>33.39</v>
          </cell>
          <cell r="F3582">
            <v>4975.1099999999997</v>
          </cell>
          <cell r="G3582">
            <v>0.05</v>
          </cell>
          <cell r="H3582">
            <v>3</v>
          </cell>
          <cell r="I3582" t="str">
            <v>USA</v>
          </cell>
          <cell r="J3582" t="str">
            <v>Walmart</v>
          </cell>
        </row>
        <row r="3583">
          <cell r="A3583" t="str">
            <v>15-04-2024</v>
          </cell>
          <cell r="B3583" t="str">
            <v>Green Tea Extract</v>
          </cell>
          <cell r="C3583" t="str">
            <v>Fat Burner</v>
          </cell>
          <cell r="D3583">
            <v>150</v>
          </cell>
          <cell r="E3583">
            <v>25.13</v>
          </cell>
          <cell r="F3583">
            <v>3769.5</v>
          </cell>
          <cell r="G3583">
            <v>0.24</v>
          </cell>
          <cell r="H3583">
            <v>1</v>
          </cell>
          <cell r="I3583" t="str">
            <v>USA</v>
          </cell>
          <cell r="J3583" t="str">
            <v>Walmart</v>
          </cell>
        </row>
        <row r="3584">
          <cell r="A3584" t="str">
            <v>15-04-2024</v>
          </cell>
          <cell r="B3584" t="str">
            <v>Iron Supplement</v>
          </cell>
          <cell r="C3584" t="str">
            <v>Mineral</v>
          </cell>
          <cell r="D3584">
            <v>167</v>
          </cell>
          <cell r="E3584">
            <v>59.52</v>
          </cell>
          <cell r="F3584">
            <v>9939.84</v>
          </cell>
          <cell r="G3584">
            <v>0.18</v>
          </cell>
          <cell r="H3584">
            <v>1</v>
          </cell>
          <cell r="I3584" t="str">
            <v>Canada</v>
          </cell>
          <cell r="J3584" t="str">
            <v>Amazon</v>
          </cell>
        </row>
        <row r="3585">
          <cell r="A3585" t="str">
            <v>15-04-2024</v>
          </cell>
          <cell r="B3585" t="str">
            <v>Electrolyte Powder</v>
          </cell>
          <cell r="C3585" t="str">
            <v>Hydration</v>
          </cell>
          <cell r="D3585">
            <v>147</v>
          </cell>
          <cell r="E3585">
            <v>27.2</v>
          </cell>
          <cell r="F3585">
            <v>3998.4</v>
          </cell>
          <cell r="G3585">
            <v>0.19</v>
          </cell>
          <cell r="H3585">
            <v>2</v>
          </cell>
          <cell r="I3585" t="str">
            <v>Canada</v>
          </cell>
          <cell r="J3585" t="str">
            <v>iHerb</v>
          </cell>
        </row>
        <row r="3586">
          <cell r="A3586" t="str">
            <v>22-04-2024</v>
          </cell>
          <cell r="B3586" t="str">
            <v>Whey Protein</v>
          </cell>
          <cell r="C3586" t="str">
            <v>Protein</v>
          </cell>
          <cell r="D3586">
            <v>162</v>
          </cell>
          <cell r="E3586">
            <v>36.630000000000003</v>
          </cell>
          <cell r="F3586">
            <v>5934.06</v>
          </cell>
          <cell r="G3586">
            <v>0.06</v>
          </cell>
          <cell r="H3586">
            <v>1</v>
          </cell>
          <cell r="I3586" t="str">
            <v>Canada</v>
          </cell>
          <cell r="J3586" t="str">
            <v>Walmart</v>
          </cell>
        </row>
        <row r="3587">
          <cell r="A3587" t="str">
            <v>22-04-2024</v>
          </cell>
          <cell r="B3587" t="str">
            <v>Vitamin C</v>
          </cell>
          <cell r="C3587" t="str">
            <v>Vitamin</v>
          </cell>
          <cell r="D3587">
            <v>154</v>
          </cell>
          <cell r="E3587">
            <v>58.47</v>
          </cell>
          <cell r="F3587">
            <v>9004.3799999999992</v>
          </cell>
          <cell r="G3587">
            <v>0.23</v>
          </cell>
          <cell r="H3587">
            <v>1</v>
          </cell>
          <cell r="I3587" t="str">
            <v>USA</v>
          </cell>
          <cell r="J3587" t="str">
            <v>iHerb</v>
          </cell>
        </row>
        <row r="3588">
          <cell r="A3588" t="str">
            <v>22-04-2024</v>
          </cell>
          <cell r="B3588" t="str">
            <v>Fish Oil</v>
          </cell>
          <cell r="C3588" t="str">
            <v>Omega</v>
          </cell>
          <cell r="D3588">
            <v>150</v>
          </cell>
          <cell r="E3588">
            <v>54.11</v>
          </cell>
          <cell r="F3588">
            <v>8116.5</v>
          </cell>
          <cell r="G3588">
            <v>0.17</v>
          </cell>
          <cell r="H3588">
            <v>1</v>
          </cell>
          <cell r="I3588" t="str">
            <v>Canada</v>
          </cell>
          <cell r="J3588" t="str">
            <v>Walmart</v>
          </cell>
        </row>
        <row r="3589">
          <cell r="A3589" t="str">
            <v>22-04-2024</v>
          </cell>
          <cell r="B3589" t="str">
            <v>Multivitamin</v>
          </cell>
          <cell r="C3589" t="str">
            <v>Vitamin</v>
          </cell>
          <cell r="D3589">
            <v>148</v>
          </cell>
          <cell r="E3589">
            <v>57.97</v>
          </cell>
          <cell r="F3589">
            <v>8579.56</v>
          </cell>
          <cell r="G3589">
            <v>0.04</v>
          </cell>
          <cell r="H3589">
            <v>0</v>
          </cell>
          <cell r="I3589" t="str">
            <v>UK</v>
          </cell>
          <cell r="J3589" t="str">
            <v>Amazon</v>
          </cell>
        </row>
        <row r="3590">
          <cell r="A3590" t="str">
            <v>22-04-2024</v>
          </cell>
          <cell r="B3590" t="str">
            <v>Pre-Workout</v>
          </cell>
          <cell r="C3590" t="str">
            <v>Performance</v>
          </cell>
          <cell r="D3590">
            <v>166</v>
          </cell>
          <cell r="E3590">
            <v>42.99</v>
          </cell>
          <cell r="F3590">
            <v>7136.34</v>
          </cell>
          <cell r="G3590">
            <v>0.14000000000000001</v>
          </cell>
          <cell r="H3590">
            <v>0</v>
          </cell>
          <cell r="I3590" t="str">
            <v>UK</v>
          </cell>
          <cell r="J3590" t="str">
            <v>Amazon</v>
          </cell>
        </row>
        <row r="3591">
          <cell r="A3591" t="str">
            <v>22-04-2024</v>
          </cell>
          <cell r="B3591" t="str">
            <v>BCAA</v>
          </cell>
          <cell r="C3591" t="str">
            <v>Amino Acid</v>
          </cell>
          <cell r="D3591">
            <v>153</v>
          </cell>
          <cell r="E3591">
            <v>26.25</v>
          </cell>
          <cell r="F3591">
            <v>4016.25</v>
          </cell>
          <cell r="G3591">
            <v>0.23</v>
          </cell>
          <cell r="H3591">
            <v>1</v>
          </cell>
          <cell r="I3591" t="str">
            <v>USA</v>
          </cell>
          <cell r="J3591" t="str">
            <v>Amazon</v>
          </cell>
        </row>
        <row r="3592">
          <cell r="A3592" t="str">
            <v>22-04-2024</v>
          </cell>
          <cell r="B3592" t="str">
            <v>Creatine</v>
          </cell>
          <cell r="C3592" t="str">
            <v>Performance</v>
          </cell>
          <cell r="D3592">
            <v>175</v>
          </cell>
          <cell r="E3592">
            <v>25.73</v>
          </cell>
          <cell r="F3592">
            <v>4502.75</v>
          </cell>
          <cell r="G3592">
            <v>0.16</v>
          </cell>
          <cell r="H3592">
            <v>3</v>
          </cell>
          <cell r="I3592" t="str">
            <v>Canada</v>
          </cell>
          <cell r="J3592" t="str">
            <v>iHerb</v>
          </cell>
        </row>
        <row r="3593">
          <cell r="A3593" t="str">
            <v>22-04-2024</v>
          </cell>
          <cell r="B3593" t="str">
            <v>Zinc</v>
          </cell>
          <cell r="C3593" t="str">
            <v>Mineral</v>
          </cell>
          <cell r="D3593">
            <v>150</v>
          </cell>
          <cell r="E3593">
            <v>12.01</v>
          </cell>
          <cell r="F3593">
            <v>1801.5</v>
          </cell>
          <cell r="G3593">
            <v>0.23</v>
          </cell>
          <cell r="H3593">
            <v>0</v>
          </cell>
          <cell r="I3593" t="str">
            <v>Canada</v>
          </cell>
          <cell r="J3593" t="str">
            <v>iHerb</v>
          </cell>
        </row>
        <row r="3594">
          <cell r="A3594" t="str">
            <v>22-04-2024</v>
          </cell>
          <cell r="B3594" t="str">
            <v>Collagen Peptides</v>
          </cell>
          <cell r="C3594" t="str">
            <v>Protein</v>
          </cell>
          <cell r="D3594">
            <v>167</v>
          </cell>
          <cell r="E3594">
            <v>51.64</v>
          </cell>
          <cell r="F3594">
            <v>8623.8799999999992</v>
          </cell>
          <cell r="G3594">
            <v>0.17</v>
          </cell>
          <cell r="H3594">
            <v>0</v>
          </cell>
          <cell r="I3594" t="str">
            <v>UK</v>
          </cell>
          <cell r="J3594" t="str">
            <v>iHerb</v>
          </cell>
        </row>
        <row r="3595">
          <cell r="A3595" t="str">
            <v>22-04-2024</v>
          </cell>
          <cell r="B3595" t="str">
            <v>Magnesium</v>
          </cell>
          <cell r="C3595" t="str">
            <v>Mineral</v>
          </cell>
          <cell r="D3595">
            <v>171</v>
          </cell>
          <cell r="E3595">
            <v>22.21</v>
          </cell>
          <cell r="F3595">
            <v>3797.91</v>
          </cell>
          <cell r="G3595">
            <v>0.2</v>
          </cell>
          <cell r="H3595">
            <v>0</v>
          </cell>
          <cell r="I3595" t="str">
            <v>USA</v>
          </cell>
          <cell r="J3595" t="str">
            <v>iHerb</v>
          </cell>
        </row>
        <row r="3596">
          <cell r="A3596" t="str">
            <v>22-04-2024</v>
          </cell>
          <cell r="B3596" t="str">
            <v>Ashwagandha</v>
          </cell>
          <cell r="C3596" t="str">
            <v>Herbal</v>
          </cell>
          <cell r="D3596">
            <v>139</v>
          </cell>
          <cell r="E3596">
            <v>51.52</v>
          </cell>
          <cell r="F3596">
            <v>7161.28</v>
          </cell>
          <cell r="G3596">
            <v>0.04</v>
          </cell>
          <cell r="H3596">
            <v>1</v>
          </cell>
          <cell r="I3596" t="str">
            <v>USA</v>
          </cell>
          <cell r="J3596" t="str">
            <v>iHerb</v>
          </cell>
        </row>
        <row r="3597">
          <cell r="A3597" t="str">
            <v>22-04-2024</v>
          </cell>
          <cell r="B3597" t="str">
            <v>Melatonin</v>
          </cell>
          <cell r="C3597" t="str">
            <v>Sleep Aid</v>
          </cell>
          <cell r="D3597">
            <v>158</v>
          </cell>
          <cell r="E3597">
            <v>56.78</v>
          </cell>
          <cell r="F3597">
            <v>8971.24</v>
          </cell>
          <cell r="G3597">
            <v>0.2</v>
          </cell>
          <cell r="H3597">
            <v>2</v>
          </cell>
          <cell r="I3597" t="str">
            <v>UK</v>
          </cell>
          <cell r="J3597" t="str">
            <v>Walmart</v>
          </cell>
        </row>
        <row r="3598">
          <cell r="A3598" t="str">
            <v>22-04-2024</v>
          </cell>
          <cell r="B3598" t="str">
            <v>Biotin</v>
          </cell>
          <cell r="C3598" t="str">
            <v>Vitamin</v>
          </cell>
          <cell r="D3598">
            <v>148</v>
          </cell>
          <cell r="E3598">
            <v>45.49</v>
          </cell>
          <cell r="F3598">
            <v>6732.52</v>
          </cell>
          <cell r="G3598">
            <v>0.25</v>
          </cell>
          <cell r="H3598">
            <v>2</v>
          </cell>
          <cell r="I3598" t="str">
            <v>USA</v>
          </cell>
          <cell r="J3598" t="str">
            <v>iHerb</v>
          </cell>
        </row>
        <row r="3599">
          <cell r="A3599" t="str">
            <v>22-04-2024</v>
          </cell>
          <cell r="B3599" t="str">
            <v>Green Tea Extract</v>
          </cell>
          <cell r="C3599" t="str">
            <v>Fat Burner</v>
          </cell>
          <cell r="D3599">
            <v>154</v>
          </cell>
          <cell r="E3599">
            <v>45.99</v>
          </cell>
          <cell r="F3599">
            <v>7082.46</v>
          </cell>
          <cell r="G3599">
            <v>0.14000000000000001</v>
          </cell>
          <cell r="H3599">
            <v>1</v>
          </cell>
          <cell r="I3599" t="str">
            <v>Canada</v>
          </cell>
          <cell r="J3599" t="str">
            <v>Amazon</v>
          </cell>
        </row>
        <row r="3600">
          <cell r="A3600" t="str">
            <v>22-04-2024</v>
          </cell>
          <cell r="B3600" t="str">
            <v>Iron Supplement</v>
          </cell>
          <cell r="C3600" t="str">
            <v>Mineral</v>
          </cell>
          <cell r="D3600">
            <v>175</v>
          </cell>
          <cell r="E3600">
            <v>21.84</v>
          </cell>
          <cell r="F3600">
            <v>3822</v>
          </cell>
          <cell r="G3600">
            <v>0.08</v>
          </cell>
          <cell r="H3600">
            <v>4</v>
          </cell>
          <cell r="I3600" t="str">
            <v>USA</v>
          </cell>
          <cell r="J3600" t="str">
            <v>Amazon</v>
          </cell>
        </row>
        <row r="3601">
          <cell r="A3601" t="str">
            <v>22-04-2024</v>
          </cell>
          <cell r="B3601" t="str">
            <v>Electrolyte Powder</v>
          </cell>
          <cell r="C3601" t="str">
            <v>Hydration</v>
          </cell>
          <cell r="D3601">
            <v>167</v>
          </cell>
          <cell r="E3601">
            <v>11.92</v>
          </cell>
          <cell r="F3601">
            <v>1990.64</v>
          </cell>
          <cell r="G3601">
            <v>0.01</v>
          </cell>
          <cell r="H3601">
            <v>1</v>
          </cell>
          <cell r="I3601" t="str">
            <v>UK</v>
          </cell>
          <cell r="J3601" t="str">
            <v>Walmart</v>
          </cell>
        </row>
        <row r="3602">
          <cell r="A3602" t="str">
            <v>29-04-2024</v>
          </cell>
          <cell r="B3602" t="str">
            <v>Whey Protein</v>
          </cell>
          <cell r="C3602" t="str">
            <v>Protein</v>
          </cell>
          <cell r="D3602">
            <v>155</v>
          </cell>
          <cell r="E3602">
            <v>41.69</v>
          </cell>
          <cell r="F3602">
            <v>6461.95</v>
          </cell>
          <cell r="G3602">
            <v>0.18</v>
          </cell>
          <cell r="H3602">
            <v>0</v>
          </cell>
          <cell r="I3602" t="str">
            <v>USA</v>
          </cell>
          <cell r="J3602" t="str">
            <v>Walmart</v>
          </cell>
        </row>
        <row r="3603">
          <cell r="A3603" t="str">
            <v>29-04-2024</v>
          </cell>
          <cell r="B3603" t="str">
            <v>Vitamin C</v>
          </cell>
          <cell r="C3603" t="str">
            <v>Vitamin</v>
          </cell>
          <cell r="D3603">
            <v>132</v>
          </cell>
          <cell r="E3603">
            <v>17.739999999999998</v>
          </cell>
          <cell r="F3603">
            <v>2341.6799999999998</v>
          </cell>
          <cell r="G3603">
            <v>0.02</v>
          </cell>
          <cell r="H3603">
            <v>2</v>
          </cell>
          <cell r="I3603" t="str">
            <v>USA</v>
          </cell>
          <cell r="J3603" t="str">
            <v>Walmart</v>
          </cell>
        </row>
        <row r="3604">
          <cell r="A3604" t="str">
            <v>29-04-2024</v>
          </cell>
          <cell r="B3604" t="str">
            <v>Fish Oil</v>
          </cell>
          <cell r="C3604" t="str">
            <v>Omega</v>
          </cell>
          <cell r="D3604">
            <v>162</v>
          </cell>
          <cell r="E3604">
            <v>50.85</v>
          </cell>
          <cell r="F3604">
            <v>8237.7000000000007</v>
          </cell>
          <cell r="G3604">
            <v>0.17</v>
          </cell>
          <cell r="H3604">
            <v>2</v>
          </cell>
          <cell r="I3604" t="str">
            <v>Canada</v>
          </cell>
          <cell r="J3604" t="str">
            <v>Walmart</v>
          </cell>
        </row>
        <row r="3605">
          <cell r="A3605" t="str">
            <v>29-04-2024</v>
          </cell>
          <cell r="B3605" t="str">
            <v>Multivitamin</v>
          </cell>
          <cell r="C3605" t="str">
            <v>Vitamin</v>
          </cell>
          <cell r="D3605">
            <v>137</v>
          </cell>
          <cell r="E3605">
            <v>24.45</v>
          </cell>
          <cell r="F3605">
            <v>3349.65</v>
          </cell>
          <cell r="G3605">
            <v>0.24</v>
          </cell>
          <cell r="H3605">
            <v>5</v>
          </cell>
          <cell r="I3605" t="str">
            <v>Canada</v>
          </cell>
          <cell r="J3605" t="str">
            <v>Amazon</v>
          </cell>
        </row>
        <row r="3606">
          <cell r="A3606" t="str">
            <v>29-04-2024</v>
          </cell>
          <cell r="B3606" t="str">
            <v>Pre-Workout</v>
          </cell>
          <cell r="C3606" t="str">
            <v>Performance</v>
          </cell>
          <cell r="D3606">
            <v>161</v>
          </cell>
          <cell r="E3606">
            <v>36</v>
          </cell>
          <cell r="F3606">
            <v>5796</v>
          </cell>
          <cell r="G3606">
            <v>0.24</v>
          </cell>
          <cell r="H3606">
            <v>2</v>
          </cell>
          <cell r="I3606" t="str">
            <v>UK</v>
          </cell>
          <cell r="J3606" t="str">
            <v>iHerb</v>
          </cell>
        </row>
        <row r="3607">
          <cell r="A3607" t="str">
            <v>29-04-2024</v>
          </cell>
          <cell r="B3607" t="str">
            <v>BCAA</v>
          </cell>
          <cell r="C3607" t="str">
            <v>Amino Acid</v>
          </cell>
          <cell r="D3607">
            <v>176</v>
          </cell>
          <cell r="E3607">
            <v>26.69</v>
          </cell>
          <cell r="F3607">
            <v>4697.4399999999996</v>
          </cell>
          <cell r="G3607">
            <v>0.21</v>
          </cell>
          <cell r="H3607">
            <v>0</v>
          </cell>
          <cell r="I3607" t="str">
            <v>Canada</v>
          </cell>
          <cell r="J3607" t="str">
            <v>Amazon</v>
          </cell>
        </row>
        <row r="3608">
          <cell r="A3608" t="str">
            <v>29-04-2024</v>
          </cell>
          <cell r="B3608" t="str">
            <v>Creatine</v>
          </cell>
          <cell r="C3608" t="str">
            <v>Performance</v>
          </cell>
          <cell r="D3608">
            <v>176</v>
          </cell>
          <cell r="E3608">
            <v>56.32</v>
          </cell>
          <cell r="F3608">
            <v>9912.32</v>
          </cell>
          <cell r="G3608">
            <v>0.08</v>
          </cell>
          <cell r="H3608">
            <v>2</v>
          </cell>
          <cell r="I3608" t="str">
            <v>UK</v>
          </cell>
          <cell r="J3608" t="str">
            <v>Walmart</v>
          </cell>
        </row>
        <row r="3609">
          <cell r="A3609" t="str">
            <v>29-04-2024</v>
          </cell>
          <cell r="B3609" t="str">
            <v>Zinc</v>
          </cell>
          <cell r="C3609" t="str">
            <v>Mineral</v>
          </cell>
          <cell r="D3609">
            <v>149</v>
          </cell>
          <cell r="E3609">
            <v>35.22</v>
          </cell>
          <cell r="F3609">
            <v>5247.78</v>
          </cell>
          <cell r="G3609">
            <v>0.24</v>
          </cell>
          <cell r="H3609">
            <v>2</v>
          </cell>
          <cell r="I3609" t="str">
            <v>Canada</v>
          </cell>
          <cell r="J3609" t="str">
            <v>Walmart</v>
          </cell>
        </row>
        <row r="3610">
          <cell r="A3610" t="str">
            <v>29-04-2024</v>
          </cell>
          <cell r="B3610" t="str">
            <v>Collagen Peptides</v>
          </cell>
          <cell r="C3610" t="str">
            <v>Protein</v>
          </cell>
          <cell r="D3610">
            <v>141</v>
          </cell>
          <cell r="E3610">
            <v>24.7</v>
          </cell>
          <cell r="F3610">
            <v>3482.7</v>
          </cell>
          <cell r="G3610">
            <v>0.09</v>
          </cell>
          <cell r="H3610">
            <v>0</v>
          </cell>
          <cell r="I3610" t="str">
            <v>Canada</v>
          </cell>
          <cell r="J3610" t="str">
            <v>Amazon</v>
          </cell>
        </row>
        <row r="3611">
          <cell r="A3611" t="str">
            <v>29-04-2024</v>
          </cell>
          <cell r="B3611" t="str">
            <v>Magnesium</v>
          </cell>
          <cell r="C3611" t="str">
            <v>Mineral</v>
          </cell>
          <cell r="D3611">
            <v>169</v>
          </cell>
          <cell r="E3611">
            <v>22.95</v>
          </cell>
          <cell r="F3611">
            <v>3878.55</v>
          </cell>
          <cell r="G3611">
            <v>0.23</v>
          </cell>
          <cell r="H3611">
            <v>3</v>
          </cell>
          <cell r="I3611" t="str">
            <v>USA</v>
          </cell>
          <cell r="J3611" t="str">
            <v>Amazon</v>
          </cell>
        </row>
        <row r="3612">
          <cell r="A3612" t="str">
            <v>29-04-2024</v>
          </cell>
          <cell r="B3612" t="str">
            <v>Ashwagandha</v>
          </cell>
          <cell r="C3612" t="str">
            <v>Herbal</v>
          </cell>
          <cell r="D3612">
            <v>135</v>
          </cell>
          <cell r="E3612">
            <v>55.65</v>
          </cell>
          <cell r="F3612">
            <v>7512.75</v>
          </cell>
          <cell r="G3612">
            <v>0.02</v>
          </cell>
          <cell r="H3612">
            <v>2</v>
          </cell>
          <cell r="I3612" t="str">
            <v>USA</v>
          </cell>
          <cell r="J3612" t="str">
            <v>iHerb</v>
          </cell>
        </row>
        <row r="3613">
          <cell r="A3613" t="str">
            <v>29-04-2024</v>
          </cell>
          <cell r="B3613" t="str">
            <v>Melatonin</v>
          </cell>
          <cell r="C3613" t="str">
            <v>Sleep Aid</v>
          </cell>
          <cell r="D3613">
            <v>152</v>
          </cell>
          <cell r="E3613">
            <v>34.64</v>
          </cell>
          <cell r="F3613">
            <v>5265.28</v>
          </cell>
          <cell r="G3613">
            <v>0.17</v>
          </cell>
          <cell r="H3613">
            <v>0</v>
          </cell>
          <cell r="I3613" t="str">
            <v>USA</v>
          </cell>
          <cell r="J3613" t="str">
            <v>iHerb</v>
          </cell>
        </row>
        <row r="3614">
          <cell r="A3614" t="str">
            <v>29-04-2024</v>
          </cell>
          <cell r="B3614" t="str">
            <v>Biotin</v>
          </cell>
          <cell r="C3614" t="str">
            <v>Vitamin</v>
          </cell>
          <cell r="D3614">
            <v>160</v>
          </cell>
          <cell r="E3614">
            <v>32.76</v>
          </cell>
          <cell r="F3614">
            <v>5241.6000000000004</v>
          </cell>
          <cell r="G3614">
            <v>0.04</v>
          </cell>
          <cell r="H3614">
            <v>3</v>
          </cell>
          <cell r="I3614" t="str">
            <v>USA</v>
          </cell>
          <cell r="J3614" t="str">
            <v>Amazon</v>
          </cell>
        </row>
        <row r="3615">
          <cell r="A3615" t="str">
            <v>29-04-2024</v>
          </cell>
          <cell r="B3615" t="str">
            <v>Green Tea Extract</v>
          </cell>
          <cell r="C3615" t="str">
            <v>Fat Burner</v>
          </cell>
          <cell r="D3615">
            <v>143</v>
          </cell>
          <cell r="E3615">
            <v>31.44</v>
          </cell>
          <cell r="F3615">
            <v>4495.92</v>
          </cell>
          <cell r="G3615">
            <v>0.19</v>
          </cell>
          <cell r="H3615">
            <v>1</v>
          </cell>
          <cell r="I3615" t="str">
            <v>USA</v>
          </cell>
          <cell r="J3615" t="str">
            <v>Amazon</v>
          </cell>
        </row>
        <row r="3616">
          <cell r="A3616" t="str">
            <v>29-04-2024</v>
          </cell>
          <cell r="B3616" t="str">
            <v>Iron Supplement</v>
          </cell>
          <cell r="C3616" t="str">
            <v>Mineral</v>
          </cell>
          <cell r="D3616">
            <v>161</v>
          </cell>
          <cell r="E3616">
            <v>19.579999999999998</v>
          </cell>
          <cell r="F3616">
            <v>3152.38</v>
          </cell>
          <cell r="G3616">
            <v>0.14000000000000001</v>
          </cell>
          <cell r="H3616">
            <v>4</v>
          </cell>
          <cell r="I3616" t="str">
            <v>UK</v>
          </cell>
          <cell r="J3616" t="str">
            <v>Walmart</v>
          </cell>
        </row>
        <row r="3617">
          <cell r="A3617" t="str">
            <v>29-04-2024</v>
          </cell>
          <cell r="B3617" t="str">
            <v>Electrolyte Powder</v>
          </cell>
          <cell r="C3617" t="str">
            <v>Hydration</v>
          </cell>
          <cell r="D3617">
            <v>128</v>
          </cell>
          <cell r="E3617">
            <v>17.829999999999998</v>
          </cell>
          <cell r="F3617">
            <v>2282.2399999999998</v>
          </cell>
          <cell r="G3617">
            <v>0.16</v>
          </cell>
          <cell r="H3617">
            <v>1</v>
          </cell>
          <cell r="I3617" t="str">
            <v>Canada</v>
          </cell>
          <cell r="J3617" t="str">
            <v>iHerb</v>
          </cell>
        </row>
        <row r="3618">
          <cell r="A3618" t="str">
            <v>06-05-2024</v>
          </cell>
          <cell r="B3618" t="str">
            <v>Whey Protein</v>
          </cell>
          <cell r="C3618" t="str">
            <v>Protein</v>
          </cell>
          <cell r="D3618">
            <v>163</v>
          </cell>
          <cell r="E3618">
            <v>19.82</v>
          </cell>
          <cell r="F3618">
            <v>3230.66</v>
          </cell>
          <cell r="G3618">
            <v>0.08</v>
          </cell>
          <cell r="H3618">
            <v>2</v>
          </cell>
          <cell r="I3618" t="str">
            <v>USA</v>
          </cell>
          <cell r="J3618" t="str">
            <v>Walmart</v>
          </cell>
        </row>
        <row r="3619">
          <cell r="A3619" t="str">
            <v>06-05-2024</v>
          </cell>
          <cell r="B3619" t="str">
            <v>Vitamin C</v>
          </cell>
          <cell r="C3619" t="str">
            <v>Vitamin</v>
          </cell>
          <cell r="D3619">
            <v>157</v>
          </cell>
          <cell r="E3619">
            <v>57.19</v>
          </cell>
          <cell r="F3619">
            <v>8978.83</v>
          </cell>
          <cell r="G3619">
            <v>0.09</v>
          </cell>
          <cell r="H3619">
            <v>2</v>
          </cell>
          <cell r="I3619" t="str">
            <v>USA</v>
          </cell>
          <cell r="J3619" t="str">
            <v>Amazon</v>
          </cell>
        </row>
        <row r="3620">
          <cell r="A3620" t="str">
            <v>06-05-2024</v>
          </cell>
          <cell r="B3620" t="str">
            <v>Fish Oil</v>
          </cell>
          <cell r="C3620" t="str">
            <v>Omega</v>
          </cell>
          <cell r="D3620">
            <v>151</v>
          </cell>
          <cell r="E3620">
            <v>52.31</v>
          </cell>
          <cell r="F3620">
            <v>7898.81</v>
          </cell>
          <cell r="G3620">
            <v>0.2</v>
          </cell>
          <cell r="H3620">
            <v>1</v>
          </cell>
          <cell r="I3620" t="str">
            <v>Canada</v>
          </cell>
          <cell r="J3620" t="str">
            <v>iHerb</v>
          </cell>
        </row>
        <row r="3621">
          <cell r="A3621" t="str">
            <v>06-05-2024</v>
          </cell>
          <cell r="B3621" t="str">
            <v>Multivitamin</v>
          </cell>
          <cell r="C3621" t="str">
            <v>Vitamin</v>
          </cell>
          <cell r="D3621">
            <v>153</v>
          </cell>
          <cell r="E3621">
            <v>44.49</v>
          </cell>
          <cell r="F3621">
            <v>6806.97</v>
          </cell>
          <cell r="G3621">
            <v>0.08</v>
          </cell>
          <cell r="H3621">
            <v>3</v>
          </cell>
          <cell r="I3621" t="str">
            <v>Canada</v>
          </cell>
          <cell r="J3621" t="str">
            <v>Walmart</v>
          </cell>
        </row>
        <row r="3622">
          <cell r="A3622" t="str">
            <v>06-05-2024</v>
          </cell>
          <cell r="B3622" t="str">
            <v>Pre-Workout</v>
          </cell>
          <cell r="C3622" t="str">
            <v>Performance</v>
          </cell>
          <cell r="D3622">
            <v>139</v>
          </cell>
          <cell r="E3622">
            <v>23.43</v>
          </cell>
          <cell r="F3622">
            <v>3256.77</v>
          </cell>
          <cell r="G3622">
            <v>0.05</v>
          </cell>
          <cell r="H3622">
            <v>1</v>
          </cell>
          <cell r="I3622" t="str">
            <v>Canada</v>
          </cell>
          <cell r="J3622" t="str">
            <v>Amazon</v>
          </cell>
        </row>
        <row r="3623">
          <cell r="A3623" t="str">
            <v>06-05-2024</v>
          </cell>
          <cell r="B3623" t="str">
            <v>BCAA</v>
          </cell>
          <cell r="C3623" t="str">
            <v>Amino Acid</v>
          </cell>
          <cell r="D3623">
            <v>138</v>
          </cell>
          <cell r="E3623">
            <v>22.07</v>
          </cell>
          <cell r="F3623">
            <v>3045.66</v>
          </cell>
          <cell r="G3623">
            <v>0.18</v>
          </cell>
          <cell r="H3623">
            <v>1</v>
          </cell>
          <cell r="I3623" t="str">
            <v>Canada</v>
          </cell>
          <cell r="J3623" t="str">
            <v>iHerb</v>
          </cell>
        </row>
        <row r="3624">
          <cell r="A3624" t="str">
            <v>06-05-2024</v>
          </cell>
          <cell r="B3624" t="str">
            <v>Creatine</v>
          </cell>
          <cell r="C3624" t="str">
            <v>Performance</v>
          </cell>
          <cell r="D3624">
            <v>166</v>
          </cell>
          <cell r="E3624">
            <v>29.32</v>
          </cell>
          <cell r="F3624">
            <v>4867.12</v>
          </cell>
          <cell r="G3624">
            <v>0.19</v>
          </cell>
          <cell r="H3624">
            <v>4</v>
          </cell>
          <cell r="I3624" t="str">
            <v>UK</v>
          </cell>
          <cell r="J3624" t="str">
            <v>iHerb</v>
          </cell>
        </row>
        <row r="3625">
          <cell r="A3625" t="str">
            <v>06-05-2024</v>
          </cell>
          <cell r="B3625" t="str">
            <v>Zinc</v>
          </cell>
          <cell r="C3625" t="str">
            <v>Mineral</v>
          </cell>
          <cell r="D3625">
            <v>139</v>
          </cell>
          <cell r="E3625">
            <v>33.32</v>
          </cell>
          <cell r="F3625">
            <v>4631.4799999999996</v>
          </cell>
          <cell r="G3625">
            <v>0.14000000000000001</v>
          </cell>
          <cell r="H3625">
            <v>1</v>
          </cell>
          <cell r="I3625" t="str">
            <v>UK</v>
          </cell>
          <cell r="J3625" t="str">
            <v>iHerb</v>
          </cell>
        </row>
        <row r="3626">
          <cell r="A3626" t="str">
            <v>06-05-2024</v>
          </cell>
          <cell r="B3626" t="str">
            <v>Collagen Peptides</v>
          </cell>
          <cell r="C3626" t="str">
            <v>Protein</v>
          </cell>
          <cell r="D3626">
            <v>164</v>
          </cell>
          <cell r="E3626">
            <v>31.91</v>
          </cell>
          <cell r="F3626">
            <v>5233.24</v>
          </cell>
          <cell r="G3626">
            <v>0.12</v>
          </cell>
          <cell r="H3626">
            <v>1</v>
          </cell>
          <cell r="I3626" t="str">
            <v>USA</v>
          </cell>
          <cell r="J3626" t="str">
            <v>Amazon</v>
          </cell>
        </row>
        <row r="3627">
          <cell r="A3627" t="str">
            <v>06-05-2024</v>
          </cell>
          <cell r="B3627" t="str">
            <v>Magnesium</v>
          </cell>
          <cell r="C3627" t="str">
            <v>Mineral</v>
          </cell>
          <cell r="D3627">
            <v>146</v>
          </cell>
          <cell r="E3627">
            <v>39.01</v>
          </cell>
          <cell r="F3627">
            <v>5695.46</v>
          </cell>
          <cell r="G3627">
            <v>0.16</v>
          </cell>
          <cell r="H3627">
            <v>1</v>
          </cell>
          <cell r="I3627" t="str">
            <v>UK</v>
          </cell>
          <cell r="J3627" t="str">
            <v>Walmart</v>
          </cell>
        </row>
        <row r="3628">
          <cell r="A3628" t="str">
            <v>06-05-2024</v>
          </cell>
          <cell r="B3628" t="str">
            <v>Ashwagandha</v>
          </cell>
          <cell r="C3628" t="str">
            <v>Herbal</v>
          </cell>
          <cell r="D3628">
            <v>143</v>
          </cell>
          <cell r="E3628">
            <v>16.64</v>
          </cell>
          <cell r="F3628">
            <v>2379.52</v>
          </cell>
          <cell r="G3628">
            <v>0.06</v>
          </cell>
          <cell r="H3628">
            <v>0</v>
          </cell>
          <cell r="I3628" t="str">
            <v>UK</v>
          </cell>
          <cell r="J3628" t="str">
            <v>Walmart</v>
          </cell>
        </row>
        <row r="3629">
          <cell r="A3629" t="str">
            <v>06-05-2024</v>
          </cell>
          <cell r="B3629" t="str">
            <v>Melatonin</v>
          </cell>
          <cell r="C3629" t="str">
            <v>Sleep Aid</v>
          </cell>
          <cell r="D3629">
            <v>128</v>
          </cell>
          <cell r="E3629">
            <v>10.98</v>
          </cell>
          <cell r="F3629">
            <v>1405.44</v>
          </cell>
          <cell r="G3629">
            <v>0.06</v>
          </cell>
          <cell r="H3629">
            <v>2</v>
          </cell>
          <cell r="I3629" t="str">
            <v>USA</v>
          </cell>
          <cell r="J3629" t="str">
            <v>Walmart</v>
          </cell>
        </row>
        <row r="3630">
          <cell r="A3630" t="str">
            <v>06-05-2024</v>
          </cell>
          <cell r="B3630" t="str">
            <v>Biotin</v>
          </cell>
          <cell r="C3630" t="str">
            <v>Vitamin</v>
          </cell>
          <cell r="D3630">
            <v>125</v>
          </cell>
          <cell r="E3630">
            <v>55.66</v>
          </cell>
          <cell r="F3630">
            <v>6957.5</v>
          </cell>
          <cell r="G3630">
            <v>0.2</v>
          </cell>
          <cell r="H3630">
            <v>1</v>
          </cell>
          <cell r="I3630" t="str">
            <v>USA</v>
          </cell>
          <cell r="J3630" t="str">
            <v>Amazon</v>
          </cell>
        </row>
        <row r="3631">
          <cell r="A3631" t="str">
            <v>06-05-2024</v>
          </cell>
          <cell r="B3631" t="str">
            <v>Green Tea Extract</v>
          </cell>
          <cell r="C3631" t="str">
            <v>Fat Burner</v>
          </cell>
          <cell r="D3631">
            <v>172</v>
          </cell>
          <cell r="E3631">
            <v>13.63</v>
          </cell>
          <cell r="F3631">
            <v>2344.36</v>
          </cell>
          <cell r="G3631">
            <v>0.25</v>
          </cell>
          <cell r="H3631">
            <v>3</v>
          </cell>
          <cell r="I3631" t="str">
            <v>Canada</v>
          </cell>
          <cell r="J3631" t="str">
            <v>Amazon</v>
          </cell>
        </row>
        <row r="3632">
          <cell r="A3632" t="str">
            <v>06-05-2024</v>
          </cell>
          <cell r="B3632" t="str">
            <v>Iron Supplement</v>
          </cell>
          <cell r="C3632" t="str">
            <v>Mineral</v>
          </cell>
          <cell r="D3632">
            <v>149</v>
          </cell>
          <cell r="E3632">
            <v>43.56</v>
          </cell>
          <cell r="F3632">
            <v>6490.44</v>
          </cell>
          <cell r="G3632">
            <v>0.05</v>
          </cell>
          <cell r="H3632">
            <v>0</v>
          </cell>
          <cell r="I3632" t="str">
            <v>Canada</v>
          </cell>
          <cell r="J3632" t="str">
            <v>iHerb</v>
          </cell>
        </row>
        <row r="3633">
          <cell r="A3633" t="str">
            <v>06-05-2024</v>
          </cell>
          <cell r="B3633" t="str">
            <v>Electrolyte Powder</v>
          </cell>
          <cell r="C3633" t="str">
            <v>Hydration</v>
          </cell>
          <cell r="D3633">
            <v>149</v>
          </cell>
          <cell r="E3633">
            <v>10.5</v>
          </cell>
          <cell r="F3633">
            <v>1564.5</v>
          </cell>
          <cell r="G3633">
            <v>0.2</v>
          </cell>
          <cell r="H3633">
            <v>0</v>
          </cell>
          <cell r="I3633" t="str">
            <v>USA</v>
          </cell>
          <cell r="J3633" t="str">
            <v>Walmart</v>
          </cell>
        </row>
        <row r="3634">
          <cell r="A3634" t="str">
            <v>13-05-2024</v>
          </cell>
          <cell r="B3634" t="str">
            <v>Whey Protein</v>
          </cell>
          <cell r="C3634" t="str">
            <v>Protein</v>
          </cell>
          <cell r="D3634">
            <v>149</v>
          </cell>
          <cell r="E3634">
            <v>44.34</v>
          </cell>
          <cell r="F3634">
            <v>6606.66</v>
          </cell>
          <cell r="G3634">
            <v>0.01</v>
          </cell>
          <cell r="H3634">
            <v>1</v>
          </cell>
          <cell r="I3634" t="str">
            <v>Canada</v>
          </cell>
          <cell r="J3634" t="str">
            <v>iHerb</v>
          </cell>
        </row>
        <row r="3635">
          <cell r="A3635" t="str">
            <v>13-05-2024</v>
          </cell>
          <cell r="B3635" t="str">
            <v>Vitamin C</v>
          </cell>
          <cell r="C3635" t="str">
            <v>Vitamin</v>
          </cell>
          <cell r="D3635">
            <v>153</v>
          </cell>
          <cell r="E3635">
            <v>16.75</v>
          </cell>
          <cell r="F3635">
            <v>2562.75</v>
          </cell>
          <cell r="G3635">
            <v>0.17</v>
          </cell>
          <cell r="H3635">
            <v>1</v>
          </cell>
          <cell r="I3635" t="str">
            <v>USA</v>
          </cell>
          <cell r="J3635" t="str">
            <v>Walmart</v>
          </cell>
        </row>
        <row r="3636">
          <cell r="A3636" t="str">
            <v>13-05-2024</v>
          </cell>
          <cell r="B3636" t="str">
            <v>Fish Oil</v>
          </cell>
          <cell r="C3636" t="str">
            <v>Omega</v>
          </cell>
          <cell r="D3636">
            <v>136</v>
          </cell>
          <cell r="E3636">
            <v>55.63</v>
          </cell>
          <cell r="F3636">
            <v>7565.68</v>
          </cell>
          <cell r="G3636">
            <v>0</v>
          </cell>
          <cell r="H3636">
            <v>2</v>
          </cell>
          <cell r="I3636" t="str">
            <v>USA</v>
          </cell>
          <cell r="J3636" t="str">
            <v>iHerb</v>
          </cell>
        </row>
        <row r="3637">
          <cell r="A3637" t="str">
            <v>13-05-2024</v>
          </cell>
          <cell r="B3637" t="str">
            <v>Multivitamin</v>
          </cell>
          <cell r="C3637" t="str">
            <v>Vitamin</v>
          </cell>
          <cell r="D3637">
            <v>128</v>
          </cell>
          <cell r="E3637">
            <v>17.53</v>
          </cell>
          <cell r="F3637">
            <v>2243.84</v>
          </cell>
          <cell r="G3637">
            <v>0.11</v>
          </cell>
          <cell r="H3637">
            <v>2</v>
          </cell>
          <cell r="I3637" t="str">
            <v>UK</v>
          </cell>
          <cell r="J3637" t="str">
            <v>Amazon</v>
          </cell>
        </row>
        <row r="3638">
          <cell r="A3638" t="str">
            <v>13-05-2024</v>
          </cell>
          <cell r="B3638" t="str">
            <v>Pre-Workout</v>
          </cell>
          <cell r="C3638" t="str">
            <v>Performance</v>
          </cell>
          <cell r="D3638">
            <v>142</v>
          </cell>
          <cell r="E3638">
            <v>30.56</v>
          </cell>
          <cell r="F3638">
            <v>4339.5200000000004</v>
          </cell>
          <cell r="G3638">
            <v>0.06</v>
          </cell>
          <cell r="H3638">
            <v>1</v>
          </cell>
          <cell r="I3638" t="str">
            <v>UK</v>
          </cell>
          <cell r="J3638" t="str">
            <v>iHerb</v>
          </cell>
        </row>
        <row r="3639">
          <cell r="A3639" t="str">
            <v>13-05-2024</v>
          </cell>
          <cell r="B3639" t="str">
            <v>BCAA</v>
          </cell>
          <cell r="C3639" t="str">
            <v>Amino Acid</v>
          </cell>
          <cell r="D3639">
            <v>162</v>
          </cell>
          <cell r="E3639">
            <v>52.33</v>
          </cell>
          <cell r="F3639">
            <v>8477.4599999999991</v>
          </cell>
          <cell r="G3639">
            <v>0.08</v>
          </cell>
          <cell r="H3639">
            <v>3</v>
          </cell>
          <cell r="I3639" t="str">
            <v>USA</v>
          </cell>
          <cell r="J3639" t="str">
            <v>Walmart</v>
          </cell>
        </row>
        <row r="3640">
          <cell r="A3640" t="str">
            <v>13-05-2024</v>
          </cell>
          <cell r="B3640" t="str">
            <v>Creatine</v>
          </cell>
          <cell r="C3640" t="str">
            <v>Performance</v>
          </cell>
          <cell r="D3640">
            <v>139</v>
          </cell>
          <cell r="E3640">
            <v>57.42</v>
          </cell>
          <cell r="F3640">
            <v>7981.38</v>
          </cell>
          <cell r="G3640">
            <v>0</v>
          </cell>
          <cell r="H3640">
            <v>1</v>
          </cell>
          <cell r="I3640" t="str">
            <v>Canada</v>
          </cell>
          <cell r="J3640" t="str">
            <v>iHerb</v>
          </cell>
        </row>
        <row r="3641">
          <cell r="A3641" t="str">
            <v>13-05-2024</v>
          </cell>
          <cell r="B3641" t="str">
            <v>Zinc</v>
          </cell>
          <cell r="C3641" t="str">
            <v>Mineral</v>
          </cell>
          <cell r="D3641">
            <v>155</v>
          </cell>
          <cell r="E3641">
            <v>18.8</v>
          </cell>
          <cell r="F3641">
            <v>2914</v>
          </cell>
          <cell r="G3641">
            <v>0.24</v>
          </cell>
          <cell r="H3641">
            <v>2</v>
          </cell>
          <cell r="I3641" t="str">
            <v>Canada</v>
          </cell>
          <cell r="J3641" t="str">
            <v>Amazon</v>
          </cell>
        </row>
        <row r="3642">
          <cell r="A3642" t="str">
            <v>13-05-2024</v>
          </cell>
          <cell r="B3642" t="str">
            <v>Collagen Peptides</v>
          </cell>
          <cell r="C3642" t="str">
            <v>Protein</v>
          </cell>
          <cell r="D3642">
            <v>136</v>
          </cell>
          <cell r="E3642">
            <v>49.16</v>
          </cell>
          <cell r="F3642">
            <v>6685.76</v>
          </cell>
          <cell r="G3642">
            <v>0.02</v>
          </cell>
          <cell r="H3642">
            <v>0</v>
          </cell>
          <cell r="I3642" t="str">
            <v>UK</v>
          </cell>
          <cell r="J3642" t="str">
            <v>Amazon</v>
          </cell>
        </row>
        <row r="3643">
          <cell r="A3643" t="str">
            <v>13-05-2024</v>
          </cell>
          <cell r="B3643" t="str">
            <v>Magnesium</v>
          </cell>
          <cell r="C3643" t="str">
            <v>Mineral</v>
          </cell>
          <cell r="D3643">
            <v>153</v>
          </cell>
          <cell r="E3643">
            <v>44.34</v>
          </cell>
          <cell r="F3643">
            <v>6784.02</v>
          </cell>
          <cell r="G3643">
            <v>0.1</v>
          </cell>
          <cell r="H3643">
            <v>2</v>
          </cell>
          <cell r="I3643" t="str">
            <v>USA</v>
          </cell>
          <cell r="J3643" t="str">
            <v>iHerb</v>
          </cell>
        </row>
        <row r="3644">
          <cell r="A3644" t="str">
            <v>13-05-2024</v>
          </cell>
          <cell r="B3644" t="str">
            <v>Ashwagandha</v>
          </cell>
          <cell r="C3644" t="str">
            <v>Herbal</v>
          </cell>
          <cell r="D3644">
            <v>157</v>
          </cell>
          <cell r="E3644">
            <v>44.31</v>
          </cell>
          <cell r="F3644">
            <v>6956.67</v>
          </cell>
          <cell r="G3644">
            <v>0.17</v>
          </cell>
          <cell r="H3644">
            <v>1</v>
          </cell>
          <cell r="I3644" t="str">
            <v>USA</v>
          </cell>
          <cell r="J3644" t="str">
            <v>Amazon</v>
          </cell>
        </row>
        <row r="3645">
          <cell r="A3645" t="str">
            <v>13-05-2024</v>
          </cell>
          <cell r="B3645" t="str">
            <v>Melatonin</v>
          </cell>
          <cell r="C3645" t="str">
            <v>Sleep Aid</v>
          </cell>
          <cell r="D3645">
            <v>151</v>
          </cell>
          <cell r="E3645">
            <v>45.01</v>
          </cell>
          <cell r="F3645">
            <v>6796.51</v>
          </cell>
          <cell r="G3645">
            <v>0.25</v>
          </cell>
          <cell r="H3645">
            <v>0</v>
          </cell>
          <cell r="I3645" t="str">
            <v>Canada</v>
          </cell>
          <cell r="J3645" t="str">
            <v>iHerb</v>
          </cell>
        </row>
        <row r="3646">
          <cell r="A3646" t="str">
            <v>13-05-2024</v>
          </cell>
          <cell r="B3646" t="str">
            <v>Biotin</v>
          </cell>
          <cell r="C3646" t="str">
            <v>Vitamin</v>
          </cell>
          <cell r="D3646">
            <v>126</v>
          </cell>
          <cell r="E3646">
            <v>47.15</v>
          </cell>
          <cell r="F3646">
            <v>5940.9</v>
          </cell>
          <cell r="G3646">
            <v>0.03</v>
          </cell>
          <cell r="H3646">
            <v>1</v>
          </cell>
          <cell r="I3646" t="str">
            <v>UK</v>
          </cell>
          <cell r="J3646" t="str">
            <v>iHerb</v>
          </cell>
        </row>
        <row r="3647">
          <cell r="A3647" t="str">
            <v>13-05-2024</v>
          </cell>
          <cell r="B3647" t="str">
            <v>Green Tea Extract</v>
          </cell>
          <cell r="C3647" t="str">
            <v>Fat Burner</v>
          </cell>
          <cell r="D3647">
            <v>144</v>
          </cell>
          <cell r="E3647">
            <v>20.78</v>
          </cell>
          <cell r="F3647">
            <v>2992.32</v>
          </cell>
          <cell r="G3647">
            <v>0.22</v>
          </cell>
          <cell r="H3647">
            <v>2</v>
          </cell>
          <cell r="I3647" t="str">
            <v>UK</v>
          </cell>
          <cell r="J3647" t="str">
            <v>Walmart</v>
          </cell>
        </row>
        <row r="3648">
          <cell r="A3648" t="str">
            <v>13-05-2024</v>
          </cell>
          <cell r="B3648" t="str">
            <v>Iron Supplement</v>
          </cell>
          <cell r="C3648" t="str">
            <v>Mineral</v>
          </cell>
          <cell r="D3648">
            <v>176</v>
          </cell>
          <cell r="E3648">
            <v>16.2</v>
          </cell>
          <cell r="F3648">
            <v>2851.2</v>
          </cell>
          <cell r="G3648">
            <v>0.04</v>
          </cell>
          <cell r="H3648">
            <v>5</v>
          </cell>
          <cell r="I3648" t="str">
            <v>Canada</v>
          </cell>
          <cell r="J3648" t="str">
            <v>Walmart</v>
          </cell>
        </row>
        <row r="3649">
          <cell r="A3649" t="str">
            <v>13-05-2024</v>
          </cell>
          <cell r="B3649" t="str">
            <v>Electrolyte Powder</v>
          </cell>
          <cell r="C3649" t="str">
            <v>Hydration</v>
          </cell>
          <cell r="D3649">
            <v>158</v>
          </cell>
          <cell r="E3649">
            <v>45.19</v>
          </cell>
          <cell r="F3649">
            <v>7140.02</v>
          </cell>
          <cell r="G3649">
            <v>0.1</v>
          </cell>
          <cell r="H3649">
            <v>1</v>
          </cell>
          <cell r="I3649" t="str">
            <v>UK</v>
          </cell>
          <cell r="J3649" t="str">
            <v>Amazon</v>
          </cell>
        </row>
        <row r="3650">
          <cell r="A3650" t="str">
            <v>20-05-2024</v>
          </cell>
          <cell r="B3650" t="str">
            <v>Whey Protein</v>
          </cell>
          <cell r="C3650" t="str">
            <v>Protein</v>
          </cell>
          <cell r="D3650">
            <v>136</v>
          </cell>
          <cell r="E3650">
            <v>13.19</v>
          </cell>
          <cell r="F3650">
            <v>1793.84</v>
          </cell>
          <cell r="G3650">
            <v>7.0000000000000007E-2</v>
          </cell>
          <cell r="H3650">
            <v>1</v>
          </cell>
          <cell r="I3650" t="str">
            <v>UK</v>
          </cell>
          <cell r="J3650" t="str">
            <v>iHerb</v>
          </cell>
        </row>
        <row r="3651">
          <cell r="A3651" t="str">
            <v>20-05-2024</v>
          </cell>
          <cell r="B3651" t="str">
            <v>Vitamin C</v>
          </cell>
          <cell r="C3651" t="str">
            <v>Vitamin</v>
          </cell>
          <cell r="D3651">
            <v>136</v>
          </cell>
          <cell r="E3651">
            <v>10.59</v>
          </cell>
          <cell r="F3651">
            <v>1440.24</v>
          </cell>
          <cell r="G3651">
            <v>0.08</v>
          </cell>
          <cell r="H3651">
            <v>3</v>
          </cell>
          <cell r="I3651" t="str">
            <v>UK</v>
          </cell>
          <cell r="J3651" t="str">
            <v>iHerb</v>
          </cell>
        </row>
        <row r="3652">
          <cell r="A3652" t="str">
            <v>20-05-2024</v>
          </cell>
          <cell r="B3652" t="str">
            <v>Fish Oil</v>
          </cell>
          <cell r="C3652" t="str">
            <v>Omega</v>
          </cell>
          <cell r="D3652">
            <v>143</v>
          </cell>
          <cell r="E3652">
            <v>33.659999999999997</v>
          </cell>
          <cell r="F3652">
            <v>4813.38</v>
          </cell>
          <cell r="G3652">
            <v>0.14000000000000001</v>
          </cell>
          <cell r="H3652">
            <v>2</v>
          </cell>
          <cell r="I3652" t="str">
            <v>Canada</v>
          </cell>
          <cell r="J3652" t="str">
            <v>Amazon</v>
          </cell>
        </row>
        <row r="3653">
          <cell r="A3653" t="str">
            <v>20-05-2024</v>
          </cell>
          <cell r="B3653" t="str">
            <v>Multivitamin</v>
          </cell>
          <cell r="C3653" t="str">
            <v>Vitamin</v>
          </cell>
          <cell r="D3653">
            <v>138</v>
          </cell>
          <cell r="E3653">
            <v>47.88</v>
          </cell>
          <cell r="F3653">
            <v>6607.44</v>
          </cell>
          <cell r="G3653">
            <v>0.18</v>
          </cell>
          <cell r="H3653">
            <v>0</v>
          </cell>
          <cell r="I3653" t="str">
            <v>USA</v>
          </cell>
          <cell r="J3653" t="str">
            <v>Walmart</v>
          </cell>
        </row>
        <row r="3654">
          <cell r="A3654" t="str">
            <v>20-05-2024</v>
          </cell>
          <cell r="B3654" t="str">
            <v>Pre-Workout</v>
          </cell>
          <cell r="C3654" t="str">
            <v>Performance</v>
          </cell>
          <cell r="D3654">
            <v>165</v>
          </cell>
          <cell r="E3654">
            <v>20.66</v>
          </cell>
          <cell r="F3654">
            <v>3408.9</v>
          </cell>
          <cell r="G3654">
            <v>0.02</v>
          </cell>
          <cell r="H3654">
            <v>2</v>
          </cell>
          <cell r="I3654" t="str">
            <v>UK</v>
          </cell>
          <cell r="J3654" t="str">
            <v>iHerb</v>
          </cell>
        </row>
        <row r="3655">
          <cell r="A3655" t="str">
            <v>20-05-2024</v>
          </cell>
          <cell r="B3655" t="str">
            <v>BCAA</v>
          </cell>
          <cell r="C3655" t="str">
            <v>Amino Acid</v>
          </cell>
          <cell r="D3655">
            <v>158</v>
          </cell>
          <cell r="E3655">
            <v>11.41</v>
          </cell>
          <cell r="F3655">
            <v>1802.78</v>
          </cell>
          <cell r="G3655">
            <v>0.1</v>
          </cell>
          <cell r="H3655">
            <v>2</v>
          </cell>
          <cell r="I3655" t="str">
            <v>USA</v>
          </cell>
          <cell r="J3655" t="str">
            <v>iHerb</v>
          </cell>
        </row>
        <row r="3656">
          <cell r="A3656" t="str">
            <v>20-05-2024</v>
          </cell>
          <cell r="B3656" t="str">
            <v>Creatine</v>
          </cell>
          <cell r="C3656" t="str">
            <v>Performance</v>
          </cell>
          <cell r="D3656">
            <v>158</v>
          </cell>
          <cell r="E3656">
            <v>40.53</v>
          </cell>
          <cell r="F3656">
            <v>6403.74</v>
          </cell>
          <cell r="G3656">
            <v>0.03</v>
          </cell>
          <cell r="H3656">
            <v>2</v>
          </cell>
          <cell r="I3656" t="str">
            <v>Canada</v>
          </cell>
          <cell r="J3656" t="str">
            <v>iHerb</v>
          </cell>
        </row>
        <row r="3657">
          <cell r="A3657" t="str">
            <v>20-05-2024</v>
          </cell>
          <cell r="B3657" t="str">
            <v>Zinc</v>
          </cell>
          <cell r="C3657" t="str">
            <v>Mineral</v>
          </cell>
          <cell r="D3657">
            <v>166</v>
          </cell>
          <cell r="E3657">
            <v>47.54</v>
          </cell>
          <cell r="F3657">
            <v>7891.64</v>
          </cell>
          <cell r="G3657">
            <v>0.21</v>
          </cell>
          <cell r="H3657">
            <v>2</v>
          </cell>
          <cell r="I3657" t="str">
            <v>Canada</v>
          </cell>
          <cell r="J3657" t="str">
            <v>Amazon</v>
          </cell>
        </row>
        <row r="3658">
          <cell r="A3658" t="str">
            <v>20-05-2024</v>
          </cell>
          <cell r="B3658" t="str">
            <v>Collagen Peptides</v>
          </cell>
          <cell r="C3658" t="str">
            <v>Protein</v>
          </cell>
          <cell r="D3658">
            <v>141</v>
          </cell>
          <cell r="E3658">
            <v>32.54</v>
          </cell>
          <cell r="F3658">
            <v>4588.1400000000003</v>
          </cell>
          <cell r="G3658">
            <v>0.03</v>
          </cell>
          <cell r="H3658">
            <v>0</v>
          </cell>
          <cell r="I3658" t="str">
            <v>Canada</v>
          </cell>
          <cell r="J3658" t="str">
            <v>iHerb</v>
          </cell>
        </row>
        <row r="3659">
          <cell r="A3659" t="str">
            <v>20-05-2024</v>
          </cell>
          <cell r="B3659" t="str">
            <v>Magnesium</v>
          </cell>
          <cell r="C3659" t="str">
            <v>Mineral</v>
          </cell>
          <cell r="D3659">
            <v>155</v>
          </cell>
          <cell r="E3659">
            <v>14.72</v>
          </cell>
          <cell r="F3659">
            <v>2281.6</v>
          </cell>
          <cell r="G3659">
            <v>0.19</v>
          </cell>
          <cell r="H3659">
            <v>3</v>
          </cell>
          <cell r="I3659" t="str">
            <v>UK</v>
          </cell>
          <cell r="J3659" t="str">
            <v>iHerb</v>
          </cell>
        </row>
        <row r="3660">
          <cell r="A3660" t="str">
            <v>20-05-2024</v>
          </cell>
          <cell r="B3660" t="str">
            <v>Ashwagandha</v>
          </cell>
          <cell r="C3660" t="str">
            <v>Herbal</v>
          </cell>
          <cell r="D3660">
            <v>158</v>
          </cell>
          <cell r="E3660">
            <v>44.49</v>
          </cell>
          <cell r="F3660">
            <v>7029.42</v>
          </cell>
          <cell r="G3660">
            <v>0</v>
          </cell>
          <cell r="H3660">
            <v>1</v>
          </cell>
          <cell r="I3660" t="str">
            <v>Canada</v>
          </cell>
          <cell r="J3660" t="str">
            <v>Amazon</v>
          </cell>
        </row>
        <row r="3661">
          <cell r="A3661" t="str">
            <v>20-05-2024</v>
          </cell>
          <cell r="B3661" t="str">
            <v>Melatonin</v>
          </cell>
          <cell r="C3661" t="str">
            <v>Sleep Aid</v>
          </cell>
          <cell r="D3661">
            <v>146</v>
          </cell>
          <cell r="E3661">
            <v>29.52</v>
          </cell>
          <cell r="F3661">
            <v>4309.92</v>
          </cell>
          <cell r="G3661">
            <v>0</v>
          </cell>
          <cell r="H3661">
            <v>1</v>
          </cell>
          <cell r="I3661" t="str">
            <v>UK</v>
          </cell>
          <cell r="J3661" t="str">
            <v>Amazon</v>
          </cell>
        </row>
        <row r="3662">
          <cell r="A3662" t="str">
            <v>20-05-2024</v>
          </cell>
          <cell r="B3662" t="str">
            <v>Biotin</v>
          </cell>
          <cell r="C3662" t="str">
            <v>Vitamin</v>
          </cell>
          <cell r="D3662">
            <v>150</v>
          </cell>
          <cell r="E3662">
            <v>57.05</v>
          </cell>
          <cell r="F3662">
            <v>8557.5</v>
          </cell>
          <cell r="G3662">
            <v>0.05</v>
          </cell>
          <cell r="H3662">
            <v>0</v>
          </cell>
          <cell r="I3662" t="str">
            <v>USA</v>
          </cell>
          <cell r="J3662" t="str">
            <v>Amazon</v>
          </cell>
        </row>
        <row r="3663">
          <cell r="A3663" t="str">
            <v>20-05-2024</v>
          </cell>
          <cell r="B3663" t="str">
            <v>Green Tea Extract</v>
          </cell>
          <cell r="C3663" t="str">
            <v>Fat Burner</v>
          </cell>
          <cell r="D3663">
            <v>136</v>
          </cell>
          <cell r="E3663">
            <v>10.3</v>
          </cell>
          <cell r="F3663">
            <v>1400.8</v>
          </cell>
          <cell r="G3663">
            <v>0.03</v>
          </cell>
          <cell r="H3663">
            <v>1</v>
          </cell>
          <cell r="I3663" t="str">
            <v>UK</v>
          </cell>
          <cell r="J3663" t="str">
            <v>Amazon</v>
          </cell>
        </row>
        <row r="3664">
          <cell r="A3664" t="str">
            <v>20-05-2024</v>
          </cell>
          <cell r="B3664" t="str">
            <v>Iron Supplement</v>
          </cell>
          <cell r="C3664" t="str">
            <v>Mineral</v>
          </cell>
          <cell r="D3664">
            <v>140</v>
          </cell>
          <cell r="E3664">
            <v>27.99</v>
          </cell>
          <cell r="F3664">
            <v>3918.6</v>
          </cell>
          <cell r="G3664">
            <v>7.0000000000000007E-2</v>
          </cell>
          <cell r="H3664">
            <v>1</v>
          </cell>
          <cell r="I3664" t="str">
            <v>Canada</v>
          </cell>
          <cell r="J3664" t="str">
            <v>Walmart</v>
          </cell>
        </row>
        <row r="3665">
          <cell r="A3665" t="str">
            <v>20-05-2024</v>
          </cell>
          <cell r="B3665" t="str">
            <v>Electrolyte Powder</v>
          </cell>
          <cell r="C3665" t="str">
            <v>Hydration</v>
          </cell>
          <cell r="D3665">
            <v>145</v>
          </cell>
          <cell r="E3665">
            <v>53.84</v>
          </cell>
          <cell r="F3665">
            <v>7806.8</v>
          </cell>
          <cell r="G3665">
            <v>0.1</v>
          </cell>
          <cell r="H3665">
            <v>2</v>
          </cell>
          <cell r="I3665" t="str">
            <v>UK</v>
          </cell>
          <cell r="J3665" t="str">
            <v>Walmart</v>
          </cell>
        </row>
        <row r="3666">
          <cell r="A3666" t="str">
            <v>27-05-2024</v>
          </cell>
          <cell r="B3666" t="str">
            <v>Whey Protein</v>
          </cell>
          <cell r="C3666" t="str">
            <v>Protein</v>
          </cell>
          <cell r="D3666">
            <v>130</v>
          </cell>
          <cell r="E3666">
            <v>58.64</v>
          </cell>
          <cell r="F3666">
            <v>7623.2</v>
          </cell>
          <cell r="G3666">
            <v>0.13</v>
          </cell>
          <cell r="H3666">
            <v>1</v>
          </cell>
          <cell r="I3666" t="str">
            <v>Canada</v>
          </cell>
          <cell r="J3666" t="str">
            <v>Amazon</v>
          </cell>
        </row>
        <row r="3667">
          <cell r="A3667" t="str">
            <v>27-05-2024</v>
          </cell>
          <cell r="B3667" t="str">
            <v>Vitamin C</v>
          </cell>
          <cell r="C3667" t="str">
            <v>Vitamin</v>
          </cell>
          <cell r="D3667">
            <v>138</v>
          </cell>
          <cell r="E3667">
            <v>39.520000000000003</v>
          </cell>
          <cell r="F3667">
            <v>5453.76</v>
          </cell>
          <cell r="G3667">
            <v>0.16</v>
          </cell>
          <cell r="H3667">
            <v>0</v>
          </cell>
          <cell r="I3667" t="str">
            <v>Canada</v>
          </cell>
          <cell r="J3667" t="str">
            <v>iHerb</v>
          </cell>
        </row>
        <row r="3668">
          <cell r="A3668" t="str">
            <v>27-05-2024</v>
          </cell>
          <cell r="B3668" t="str">
            <v>Fish Oil</v>
          </cell>
          <cell r="C3668" t="str">
            <v>Omega</v>
          </cell>
          <cell r="D3668">
            <v>152</v>
          </cell>
          <cell r="E3668">
            <v>20.38</v>
          </cell>
          <cell r="F3668">
            <v>3097.76</v>
          </cell>
          <cell r="G3668">
            <v>0.05</v>
          </cell>
          <cell r="H3668">
            <v>1</v>
          </cell>
          <cell r="I3668" t="str">
            <v>USA</v>
          </cell>
          <cell r="J3668" t="str">
            <v>Amazon</v>
          </cell>
        </row>
        <row r="3669">
          <cell r="A3669" t="str">
            <v>27-05-2024</v>
          </cell>
          <cell r="B3669" t="str">
            <v>Multivitamin</v>
          </cell>
          <cell r="C3669" t="str">
            <v>Vitamin</v>
          </cell>
          <cell r="D3669">
            <v>158</v>
          </cell>
          <cell r="E3669">
            <v>52.29</v>
          </cell>
          <cell r="F3669">
            <v>8261.82</v>
          </cell>
          <cell r="G3669">
            <v>7.0000000000000007E-2</v>
          </cell>
          <cell r="H3669">
            <v>3</v>
          </cell>
          <cell r="I3669" t="str">
            <v>UK</v>
          </cell>
          <cell r="J3669" t="str">
            <v>Walmart</v>
          </cell>
        </row>
        <row r="3670">
          <cell r="A3670" t="str">
            <v>27-05-2024</v>
          </cell>
          <cell r="B3670" t="str">
            <v>Pre-Workout</v>
          </cell>
          <cell r="C3670" t="str">
            <v>Performance</v>
          </cell>
          <cell r="D3670">
            <v>159</v>
          </cell>
          <cell r="E3670">
            <v>14.76</v>
          </cell>
          <cell r="F3670">
            <v>2346.84</v>
          </cell>
          <cell r="G3670">
            <v>0.06</v>
          </cell>
          <cell r="H3670">
            <v>4</v>
          </cell>
          <cell r="I3670" t="str">
            <v>USA</v>
          </cell>
          <cell r="J3670" t="str">
            <v>Amazon</v>
          </cell>
        </row>
        <row r="3671">
          <cell r="A3671" t="str">
            <v>27-05-2024</v>
          </cell>
          <cell r="B3671" t="str">
            <v>BCAA</v>
          </cell>
          <cell r="C3671" t="str">
            <v>Amino Acid</v>
          </cell>
          <cell r="D3671">
            <v>143</v>
          </cell>
          <cell r="E3671">
            <v>19.48</v>
          </cell>
          <cell r="F3671">
            <v>2785.64</v>
          </cell>
          <cell r="G3671">
            <v>0.2</v>
          </cell>
          <cell r="H3671">
            <v>1</v>
          </cell>
          <cell r="I3671" t="str">
            <v>Canada</v>
          </cell>
          <cell r="J3671" t="str">
            <v>Walmart</v>
          </cell>
        </row>
        <row r="3672">
          <cell r="A3672" t="str">
            <v>27-05-2024</v>
          </cell>
          <cell r="B3672" t="str">
            <v>Creatine</v>
          </cell>
          <cell r="C3672" t="str">
            <v>Performance</v>
          </cell>
          <cell r="D3672">
            <v>144</v>
          </cell>
          <cell r="E3672">
            <v>31.69</v>
          </cell>
          <cell r="F3672">
            <v>4563.3599999999997</v>
          </cell>
          <cell r="G3672">
            <v>0.1</v>
          </cell>
          <cell r="H3672">
            <v>1</v>
          </cell>
          <cell r="I3672" t="str">
            <v>UK</v>
          </cell>
          <cell r="J3672" t="str">
            <v>Amazon</v>
          </cell>
        </row>
        <row r="3673">
          <cell r="A3673" t="str">
            <v>27-05-2024</v>
          </cell>
          <cell r="B3673" t="str">
            <v>Zinc</v>
          </cell>
          <cell r="C3673" t="str">
            <v>Mineral</v>
          </cell>
          <cell r="D3673">
            <v>162</v>
          </cell>
          <cell r="E3673">
            <v>49.92</v>
          </cell>
          <cell r="F3673">
            <v>8087.04</v>
          </cell>
          <cell r="G3673">
            <v>0.03</v>
          </cell>
          <cell r="H3673">
            <v>3</v>
          </cell>
          <cell r="I3673" t="str">
            <v>USA</v>
          </cell>
          <cell r="J3673" t="str">
            <v>Amazon</v>
          </cell>
        </row>
        <row r="3674">
          <cell r="A3674" t="str">
            <v>27-05-2024</v>
          </cell>
          <cell r="B3674" t="str">
            <v>Collagen Peptides</v>
          </cell>
          <cell r="C3674" t="str">
            <v>Protein</v>
          </cell>
          <cell r="D3674">
            <v>133</v>
          </cell>
          <cell r="E3674">
            <v>57.39</v>
          </cell>
          <cell r="F3674">
            <v>7632.87</v>
          </cell>
          <cell r="G3674">
            <v>0.2</v>
          </cell>
          <cell r="H3674">
            <v>1</v>
          </cell>
          <cell r="I3674" t="str">
            <v>UK</v>
          </cell>
          <cell r="J3674" t="str">
            <v>iHerb</v>
          </cell>
        </row>
        <row r="3675">
          <cell r="A3675" t="str">
            <v>27-05-2024</v>
          </cell>
          <cell r="B3675" t="str">
            <v>Magnesium</v>
          </cell>
          <cell r="C3675" t="str">
            <v>Mineral</v>
          </cell>
          <cell r="D3675">
            <v>154</v>
          </cell>
          <cell r="E3675">
            <v>47.72</v>
          </cell>
          <cell r="F3675">
            <v>7348.88</v>
          </cell>
          <cell r="G3675">
            <v>0.06</v>
          </cell>
          <cell r="H3675">
            <v>0</v>
          </cell>
          <cell r="I3675" t="str">
            <v>UK</v>
          </cell>
          <cell r="J3675" t="str">
            <v>Amazon</v>
          </cell>
        </row>
        <row r="3676">
          <cell r="A3676" t="str">
            <v>27-05-2024</v>
          </cell>
          <cell r="B3676" t="str">
            <v>Ashwagandha</v>
          </cell>
          <cell r="C3676" t="str">
            <v>Herbal</v>
          </cell>
          <cell r="D3676">
            <v>160</v>
          </cell>
          <cell r="E3676">
            <v>16.75</v>
          </cell>
          <cell r="F3676">
            <v>2680</v>
          </cell>
          <cell r="G3676">
            <v>0.08</v>
          </cell>
          <cell r="H3676">
            <v>1</v>
          </cell>
          <cell r="I3676" t="str">
            <v>UK</v>
          </cell>
          <cell r="J3676" t="str">
            <v>Amazon</v>
          </cell>
        </row>
        <row r="3677">
          <cell r="A3677" t="str">
            <v>27-05-2024</v>
          </cell>
          <cell r="B3677" t="str">
            <v>Melatonin</v>
          </cell>
          <cell r="C3677" t="str">
            <v>Sleep Aid</v>
          </cell>
          <cell r="D3677">
            <v>151</v>
          </cell>
          <cell r="E3677">
            <v>55.16</v>
          </cell>
          <cell r="F3677">
            <v>8329.16</v>
          </cell>
          <cell r="G3677">
            <v>0.13</v>
          </cell>
          <cell r="H3677">
            <v>3</v>
          </cell>
          <cell r="I3677" t="str">
            <v>UK</v>
          </cell>
          <cell r="J3677" t="str">
            <v>Amazon</v>
          </cell>
        </row>
        <row r="3678">
          <cell r="A3678" t="str">
            <v>27-05-2024</v>
          </cell>
          <cell r="B3678" t="str">
            <v>Biotin</v>
          </cell>
          <cell r="C3678" t="str">
            <v>Vitamin</v>
          </cell>
          <cell r="D3678">
            <v>147</v>
          </cell>
          <cell r="E3678">
            <v>21.63</v>
          </cell>
          <cell r="F3678">
            <v>3179.61</v>
          </cell>
          <cell r="G3678">
            <v>0.17</v>
          </cell>
          <cell r="H3678">
            <v>1</v>
          </cell>
          <cell r="I3678" t="str">
            <v>USA</v>
          </cell>
          <cell r="J3678" t="str">
            <v>iHerb</v>
          </cell>
        </row>
        <row r="3679">
          <cell r="A3679" t="str">
            <v>27-05-2024</v>
          </cell>
          <cell r="B3679" t="str">
            <v>Green Tea Extract</v>
          </cell>
          <cell r="C3679" t="str">
            <v>Fat Burner</v>
          </cell>
          <cell r="D3679">
            <v>156</v>
          </cell>
          <cell r="E3679">
            <v>11.12</v>
          </cell>
          <cell r="F3679">
            <v>1734.72</v>
          </cell>
          <cell r="G3679">
            <v>0.01</v>
          </cell>
          <cell r="H3679">
            <v>1</v>
          </cell>
          <cell r="I3679" t="str">
            <v>USA</v>
          </cell>
          <cell r="J3679" t="str">
            <v>iHerb</v>
          </cell>
        </row>
        <row r="3680">
          <cell r="A3680" t="str">
            <v>27-05-2024</v>
          </cell>
          <cell r="B3680" t="str">
            <v>Iron Supplement</v>
          </cell>
          <cell r="C3680" t="str">
            <v>Mineral</v>
          </cell>
          <cell r="D3680">
            <v>138</v>
          </cell>
          <cell r="E3680">
            <v>37.61</v>
          </cell>
          <cell r="F3680">
            <v>5190.18</v>
          </cell>
          <cell r="G3680">
            <v>0.15</v>
          </cell>
          <cell r="H3680">
            <v>1</v>
          </cell>
          <cell r="I3680" t="str">
            <v>UK</v>
          </cell>
          <cell r="J3680" t="str">
            <v>Walmart</v>
          </cell>
        </row>
        <row r="3681">
          <cell r="A3681" t="str">
            <v>27-05-2024</v>
          </cell>
          <cell r="B3681" t="str">
            <v>Electrolyte Powder</v>
          </cell>
          <cell r="C3681" t="str">
            <v>Hydration</v>
          </cell>
          <cell r="D3681">
            <v>155</v>
          </cell>
          <cell r="E3681">
            <v>59.9</v>
          </cell>
          <cell r="F3681">
            <v>9284.5</v>
          </cell>
          <cell r="G3681">
            <v>0.21</v>
          </cell>
          <cell r="H3681">
            <v>2</v>
          </cell>
          <cell r="I3681" t="str">
            <v>UK</v>
          </cell>
          <cell r="J3681" t="str">
            <v>Amazon</v>
          </cell>
        </row>
        <row r="3682">
          <cell r="A3682" t="str">
            <v>03-06-2024</v>
          </cell>
          <cell r="B3682" t="str">
            <v>Whey Protein</v>
          </cell>
          <cell r="C3682" t="str">
            <v>Protein</v>
          </cell>
          <cell r="D3682">
            <v>138</v>
          </cell>
          <cell r="E3682">
            <v>56.88</v>
          </cell>
          <cell r="F3682">
            <v>7849.44</v>
          </cell>
          <cell r="G3682">
            <v>0.05</v>
          </cell>
          <cell r="H3682">
            <v>1</v>
          </cell>
          <cell r="I3682" t="str">
            <v>Canada</v>
          </cell>
          <cell r="J3682" t="str">
            <v>Amazon</v>
          </cell>
        </row>
        <row r="3683">
          <cell r="A3683" t="str">
            <v>03-06-2024</v>
          </cell>
          <cell r="B3683" t="str">
            <v>Vitamin C</v>
          </cell>
          <cell r="C3683" t="str">
            <v>Vitamin</v>
          </cell>
          <cell r="D3683">
            <v>135</v>
          </cell>
          <cell r="E3683">
            <v>30.33</v>
          </cell>
          <cell r="F3683">
            <v>4094.55</v>
          </cell>
          <cell r="G3683">
            <v>0.02</v>
          </cell>
          <cell r="H3683">
            <v>3</v>
          </cell>
          <cell r="I3683" t="str">
            <v>Canada</v>
          </cell>
          <cell r="J3683" t="str">
            <v>iHerb</v>
          </cell>
        </row>
        <row r="3684">
          <cell r="A3684" t="str">
            <v>03-06-2024</v>
          </cell>
          <cell r="B3684" t="str">
            <v>Fish Oil</v>
          </cell>
          <cell r="C3684" t="str">
            <v>Omega</v>
          </cell>
          <cell r="D3684">
            <v>152</v>
          </cell>
          <cell r="E3684">
            <v>27.2</v>
          </cell>
          <cell r="F3684">
            <v>4134.3999999999996</v>
          </cell>
          <cell r="G3684">
            <v>7.0000000000000007E-2</v>
          </cell>
          <cell r="H3684">
            <v>1</v>
          </cell>
          <cell r="I3684" t="str">
            <v>USA</v>
          </cell>
          <cell r="J3684" t="str">
            <v>Walmart</v>
          </cell>
        </row>
        <row r="3685">
          <cell r="A3685" t="str">
            <v>03-06-2024</v>
          </cell>
          <cell r="B3685" t="str">
            <v>Multivitamin</v>
          </cell>
          <cell r="C3685" t="str">
            <v>Vitamin</v>
          </cell>
          <cell r="D3685">
            <v>144</v>
          </cell>
          <cell r="E3685">
            <v>48.68</v>
          </cell>
          <cell r="F3685">
            <v>7009.92</v>
          </cell>
          <cell r="G3685">
            <v>0.17</v>
          </cell>
          <cell r="H3685">
            <v>1</v>
          </cell>
          <cell r="I3685" t="str">
            <v>Canada</v>
          </cell>
          <cell r="J3685" t="str">
            <v>Walmart</v>
          </cell>
        </row>
        <row r="3686">
          <cell r="A3686" t="str">
            <v>03-06-2024</v>
          </cell>
          <cell r="B3686" t="str">
            <v>Pre-Workout</v>
          </cell>
          <cell r="C3686" t="str">
            <v>Performance</v>
          </cell>
          <cell r="D3686">
            <v>151</v>
          </cell>
          <cell r="E3686">
            <v>13.41</v>
          </cell>
          <cell r="F3686">
            <v>2024.91</v>
          </cell>
          <cell r="G3686">
            <v>0.02</v>
          </cell>
          <cell r="H3686">
            <v>2</v>
          </cell>
          <cell r="I3686" t="str">
            <v>UK</v>
          </cell>
          <cell r="J3686" t="str">
            <v>iHerb</v>
          </cell>
        </row>
        <row r="3687">
          <cell r="A3687" t="str">
            <v>03-06-2024</v>
          </cell>
          <cell r="B3687" t="str">
            <v>BCAA</v>
          </cell>
          <cell r="C3687" t="str">
            <v>Amino Acid</v>
          </cell>
          <cell r="D3687">
            <v>155</v>
          </cell>
          <cell r="E3687">
            <v>47.26</v>
          </cell>
          <cell r="F3687">
            <v>7325.3</v>
          </cell>
          <cell r="G3687">
            <v>0.16</v>
          </cell>
          <cell r="H3687">
            <v>3</v>
          </cell>
          <cell r="I3687" t="str">
            <v>USA</v>
          </cell>
          <cell r="J3687" t="str">
            <v>Walmart</v>
          </cell>
        </row>
        <row r="3688">
          <cell r="A3688" t="str">
            <v>03-06-2024</v>
          </cell>
          <cell r="B3688" t="str">
            <v>Creatine</v>
          </cell>
          <cell r="C3688" t="str">
            <v>Performance</v>
          </cell>
          <cell r="D3688">
            <v>136</v>
          </cell>
          <cell r="E3688">
            <v>14.18</v>
          </cell>
          <cell r="F3688">
            <v>1928.48</v>
          </cell>
          <cell r="G3688">
            <v>0.14000000000000001</v>
          </cell>
          <cell r="H3688">
            <v>1</v>
          </cell>
          <cell r="I3688" t="str">
            <v>Canada</v>
          </cell>
          <cell r="J3688" t="str">
            <v>iHerb</v>
          </cell>
        </row>
        <row r="3689">
          <cell r="A3689" t="str">
            <v>03-06-2024</v>
          </cell>
          <cell r="B3689" t="str">
            <v>Zinc</v>
          </cell>
          <cell r="C3689" t="str">
            <v>Mineral</v>
          </cell>
          <cell r="D3689">
            <v>146</v>
          </cell>
          <cell r="E3689">
            <v>10.220000000000001</v>
          </cell>
          <cell r="F3689">
            <v>1492.12</v>
          </cell>
          <cell r="G3689">
            <v>0.13</v>
          </cell>
          <cell r="H3689">
            <v>0</v>
          </cell>
          <cell r="I3689" t="str">
            <v>UK</v>
          </cell>
          <cell r="J3689" t="str">
            <v>Walmart</v>
          </cell>
        </row>
        <row r="3690">
          <cell r="A3690" t="str">
            <v>03-06-2024</v>
          </cell>
          <cell r="B3690" t="str">
            <v>Collagen Peptides</v>
          </cell>
          <cell r="C3690" t="str">
            <v>Protein</v>
          </cell>
          <cell r="D3690">
            <v>159</v>
          </cell>
          <cell r="E3690">
            <v>51.58</v>
          </cell>
          <cell r="F3690">
            <v>8201.2199999999993</v>
          </cell>
          <cell r="G3690">
            <v>0.21</v>
          </cell>
          <cell r="H3690">
            <v>3</v>
          </cell>
          <cell r="I3690" t="str">
            <v>USA</v>
          </cell>
          <cell r="J3690" t="str">
            <v>Walmart</v>
          </cell>
        </row>
        <row r="3691">
          <cell r="A3691" t="str">
            <v>03-06-2024</v>
          </cell>
          <cell r="B3691" t="str">
            <v>Magnesium</v>
          </cell>
          <cell r="C3691" t="str">
            <v>Mineral</v>
          </cell>
          <cell r="D3691">
            <v>136</v>
          </cell>
          <cell r="E3691">
            <v>10.72</v>
          </cell>
          <cell r="F3691">
            <v>1457.92</v>
          </cell>
          <cell r="G3691">
            <v>0.21</v>
          </cell>
          <cell r="H3691">
            <v>2</v>
          </cell>
          <cell r="I3691" t="str">
            <v>UK</v>
          </cell>
          <cell r="J3691" t="str">
            <v>iHerb</v>
          </cell>
        </row>
        <row r="3692">
          <cell r="A3692" t="str">
            <v>03-06-2024</v>
          </cell>
          <cell r="B3692" t="str">
            <v>Ashwagandha</v>
          </cell>
          <cell r="C3692" t="str">
            <v>Herbal</v>
          </cell>
          <cell r="D3692">
            <v>151</v>
          </cell>
          <cell r="E3692">
            <v>14.72</v>
          </cell>
          <cell r="F3692">
            <v>2222.7199999999998</v>
          </cell>
          <cell r="G3692">
            <v>0.13</v>
          </cell>
          <cell r="H3692">
            <v>1</v>
          </cell>
          <cell r="I3692" t="str">
            <v>Canada</v>
          </cell>
          <cell r="J3692" t="str">
            <v>Walmart</v>
          </cell>
        </row>
        <row r="3693">
          <cell r="A3693" t="str">
            <v>03-06-2024</v>
          </cell>
          <cell r="B3693" t="str">
            <v>Melatonin</v>
          </cell>
          <cell r="C3693" t="str">
            <v>Sleep Aid</v>
          </cell>
          <cell r="D3693">
            <v>144</v>
          </cell>
          <cell r="E3693">
            <v>26.26</v>
          </cell>
          <cell r="F3693">
            <v>3781.44</v>
          </cell>
          <cell r="G3693">
            <v>0.18</v>
          </cell>
          <cell r="H3693">
            <v>2</v>
          </cell>
          <cell r="I3693" t="str">
            <v>USA</v>
          </cell>
          <cell r="J3693" t="str">
            <v>Amazon</v>
          </cell>
        </row>
        <row r="3694">
          <cell r="A3694" t="str">
            <v>03-06-2024</v>
          </cell>
          <cell r="B3694" t="str">
            <v>Biotin</v>
          </cell>
          <cell r="C3694" t="str">
            <v>Vitamin</v>
          </cell>
          <cell r="D3694">
            <v>133</v>
          </cell>
          <cell r="E3694">
            <v>49.53</v>
          </cell>
          <cell r="F3694">
            <v>6587.49</v>
          </cell>
          <cell r="G3694">
            <v>0.05</v>
          </cell>
          <cell r="H3694">
            <v>1</v>
          </cell>
          <cell r="I3694" t="str">
            <v>USA</v>
          </cell>
          <cell r="J3694" t="str">
            <v>Walmart</v>
          </cell>
        </row>
        <row r="3695">
          <cell r="A3695" t="str">
            <v>03-06-2024</v>
          </cell>
          <cell r="B3695" t="str">
            <v>Green Tea Extract</v>
          </cell>
          <cell r="C3695" t="str">
            <v>Fat Burner</v>
          </cell>
          <cell r="D3695">
            <v>154</v>
          </cell>
          <cell r="E3695">
            <v>48.93</v>
          </cell>
          <cell r="F3695">
            <v>7535.22</v>
          </cell>
          <cell r="G3695">
            <v>7.0000000000000007E-2</v>
          </cell>
          <cell r="H3695">
            <v>0</v>
          </cell>
          <cell r="I3695" t="str">
            <v>UK</v>
          </cell>
          <cell r="J3695" t="str">
            <v>Walmart</v>
          </cell>
        </row>
        <row r="3696">
          <cell r="A3696" t="str">
            <v>03-06-2024</v>
          </cell>
          <cell r="B3696" t="str">
            <v>Iron Supplement</v>
          </cell>
          <cell r="C3696" t="str">
            <v>Mineral</v>
          </cell>
          <cell r="D3696">
            <v>152</v>
          </cell>
          <cell r="E3696">
            <v>56.01</v>
          </cell>
          <cell r="F3696">
            <v>8513.52</v>
          </cell>
          <cell r="G3696">
            <v>0.22</v>
          </cell>
          <cell r="H3696">
            <v>1</v>
          </cell>
          <cell r="I3696" t="str">
            <v>USA</v>
          </cell>
          <cell r="J3696" t="str">
            <v>iHerb</v>
          </cell>
        </row>
        <row r="3697">
          <cell r="A3697" t="str">
            <v>03-06-2024</v>
          </cell>
          <cell r="B3697" t="str">
            <v>Electrolyte Powder</v>
          </cell>
          <cell r="C3697" t="str">
            <v>Hydration</v>
          </cell>
          <cell r="D3697">
            <v>145</v>
          </cell>
          <cell r="E3697">
            <v>23.38</v>
          </cell>
          <cell r="F3697">
            <v>3390.1</v>
          </cell>
          <cell r="G3697">
            <v>0.14000000000000001</v>
          </cell>
          <cell r="H3697">
            <v>2</v>
          </cell>
          <cell r="I3697" t="str">
            <v>Canada</v>
          </cell>
          <cell r="J3697" t="str">
            <v>Amazon</v>
          </cell>
        </row>
        <row r="3698">
          <cell r="A3698" t="str">
            <v>10-06-2024</v>
          </cell>
          <cell r="B3698" t="str">
            <v>Whey Protein</v>
          </cell>
          <cell r="C3698" t="str">
            <v>Protein</v>
          </cell>
          <cell r="D3698">
            <v>143</v>
          </cell>
          <cell r="E3698">
            <v>33.770000000000003</v>
          </cell>
          <cell r="F3698">
            <v>4829.1099999999997</v>
          </cell>
          <cell r="G3698">
            <v>0.02</v>
          </cell>
          <cell r="H3698">
            <v>2</v>
          </cell>
          <cell r="I3698" t="str">
            <v>Canada</v>
          </cell>
          <cell r="J3698" t="str">
            <v>Amazon</v>
          </cell>
        </row>
        <row r="3699">
          <cell r="A3699" t="str">
            <v>10-06-2024</v>
          </cell>
          <cell r="B3699" t="str">
            <v>Vitamin C</v>
          </cell>
          <cell r="C3699" t="str">
            <v>Vitamin</v>
          </cell>
          <cell r="D3699">
            <v>151</v>
          </cell>
          <cell r="E3699">
            <v>25.02</v>
          </cell>
          <cell r="F3699">
            <v>3778.02</v>
          </cell>
          <cell r="G3699">
            <v>0.23</v>
          </cell>
          <cell r="H3699">
            <v>0</v>
          </cell>
          <cell r="I3699" t="str">
            <v>UK</v>
          </cell>
          <cell r="J3699" t="str">
            <v>Walmart</v>
          </cell>
        </row>
        <row r="3700">
          <cell r="A3700" t="str">
            <v>10-06-2024</v>
          </cell>
          <cell r="B3700" t="str">
            <v>Fish Oil</v>
          </cell>
          <cell r="C3700" t="str">
            <v>Omega</v>
          </cell>
          <cell r="D3700">
            <v>166</v>
          </cell>
          <cell r="E3700">
            <v>54.03</v>
          </cell>
          <cell r="F3700">
            <v>8968.98</v>
          </cell>
          <cell r="G3700">
            <v>0.18</v>
          </cell>
          <cell r="H3700">
            <v>0</v>
          </cell>
          <cell r="I3700" t="str">
            <v>USA</v>
          </cell>
          <cell r="J3700" t="str">
            <v>Amazon</v>
          </cell>
        </row>
        <row r="3701">
          <cell r="A3701" t="str">
            <v>10-06-2024</v>
          </cell>
          <cell r="B3701" t="str">
            <v>Multivitamin</v>
          </cell>
          <cell r="C3701" t="str">
            <v>Vitamin</v>
          </cell>
          <cell r="D3701">
            <v>163</v>
          </cell>
          <cell r="E3701">
            <v>11.62</v>
          </cell>
          <cell r="F3701">
            <v>1894.06</v>
          </cell>
          <cell r="G3701">
            <v>0.03</v>
          </cell>
          <cell r="H3701">
            <v>2</v>
          </cell>
          <cell r="I3701" t="str">
            <v>USA</v>
          </cell>
          <cell r="J3701" t="str">
            <v>Walmart</v>
          </cell>
        </row>
        <row r="3702">
          <cell r="A3702" t="str">
            <v>10-06-2024</v>
          </cell>
          <cell r="B3702" t="str">
            <v>Pre-Workout</v>
          </cell>
          <cell r="C3702" t="str">
            <v>Performance</v>
          </cell>
          <cell r="D3702">
            <v>156</v>
          </cell>
          <cell r="E3702">
            <v>46.01</v>
          </cell>
          <cell r="F3702">
            <v>7177.56</v>
          </cell>
          <cell r="G3702">
            <v>0.16</v>
          </cell>
          <cell r="H3702">
            <v>2</v>
          </cell>
          <cell r="I3702" t="str">
            <v>USA</v>
          </cell>
          <cell r="J3702" t="str">
            <v>Walmart</v>
          </cell>
        </row>
        <row r="3703">
          <cell r="A3703" t="str">
            <v>10-06-2024</v>
          </cell>
          <cell r="B3703" t="str">
            <v>BCAA</v>
          </cell>
          <cell r="C3703" t="str">
            <v>Amino Acid</v>
          </cell>
          <cell r="D3703">
            <v>153</v>
          </cell>
          <cell r="E3703">
            <v>55.62</v>
          </cell>
          <cell r="F3703">
            <v>8509.86</v>
          </cell>
          <cell r="G3703">
            <v>0</v>
          </cell>
          <cell r="H3703">
            <v>1</v>
          </cell>
          <cell r="I3703" t="str">
            <v>UK</v>
          </cell>
          <cell r="J3703" t="str">
            <v>Amazon</v>
          </cell>
        </row>
        <row r="3704">
          <cell r="A3704" t="str">
            <v>10-06-2024</v>
          </cell>
          <cell r="B3704" t="str">
            <v>Creatine</v>
          </cell>
          <cell r="C3704" t="str">
            <v>Performance</v>
          </cell>
          <cell r="D3704">
            <v>158</v>
          </cell>
          <cell r="E3704">
            <v>11.24</v>
          </cell>
          <cell r="F3704">
            <v>1775.92</v>
          </cell>
          <cell r="G3704">
            <v>0.02</v>
          </cell>
          <cell r="H3704">
            <v>2</v>
          </cell>
          <cell r="I3704" t="str">
            <v>UK</v>
          </cell>
          <cell r="J3704" t="str">
            <v>Walmart</v>
          </cell>
        </row>
        <row r="3705">
          <cell r="A3705" t="str">
            <v>10-06-2024</v>
          </cell>
          <cell r="B3705" t="str">
            <v>Zinc</v>
          </cell>
          <cell r="C3705" t="str">
            <v>Mineral</v>
          </cell>
          <cell r="D3705">
            <v>150</v>
          </cell>
          <cell r="E3705">
            <v>22.83</v>
          </cell>
          <cell r="F3705">
            <v>3424.5</v>
          </cell>
          <cell r="G3705">
            <v>0.01</v>
          </cell>
          <cell r="H3705">
            <v>1</v>
          </cell>
          <cell r="I3705" t="str">
            <v>Canada</v>
          </cell>
          <cell r="J3705" t="str">
            <v>iHerb</v>
          </cell>
        </row>
        <row r="3706">
          <cell r="A3706" t="str">
            <v>10-06-2024</v>
          </cell>
          <cell r="B3706" t="str">
            <v>Collagen Peptides</v>
          </cell>
          <cell r="C3706" t="str">
            <v>Protein</v>
          </cell>
          <cell r="D3706">
            <v>148</v>
          </cell>
          <cell r="E3706">
            <v>14.37</v>
          </cell>
          <cell r="F3706">
            <v>2126.7600000000002</v>
          </cell>
          <cell r="G3706">
            <v>0.18</v>
          </cell>
          <cell r="H3706">
            <v>3</v>
          </cell>
          <cell r="I3706" t="str">
            <v>USA</v>
          </cell>
          <cell r="J3706" t="str">
            <v>iHerb</v>
          </cell>
        </row>
        <row r="3707">
          <cell r="A3707" t="str">
            <v>10-06-2024</v>
          </cell>
          <cell r="B3707" t="str">
            <v>Magnesium</v>
          </cell>
          <cell r="C3707" t="str">
            <v>Mineral</v>
          </cell>
          <cell r="D3707">
            <v>174</v>
          </cell>
          <cell r="E3707">
            <v>12.64</v>
          </cell>
          <cell r="F3707">
            <v>2199.36</v>
          </cell>
          <cell r="G3707">
            <v>0.19</v>
          </cell>
          <cell r="H3707">
            <v>0</v>
          </cell>
          <cell r="I3707" t="str">
            <v>Canada</v>
          </cell>
          <cell r="J3707" t="str">
            <v>iHerb</v>
          </cell>
        </row>
        <row r="3708">
          <cell r="A3708" t="str">
            <v>10-06-2024</v>
          </cell>
          <cell r="B3708" t="str">
            <v>Ashwagandha</v>
          </cell>
          <cell r="C3708" t="str">
            <v>Herbal</v>
          </cell>
          <cell r="D3708">
            <v>156</v>
          </cell>
          <cell r="E3708">
            <v>46.29</v>
          </cell>
          <cell r="F3708">
            <v>7221.24</v>
          </cell>
          <cell r="G3708">
            <v>0.24</v>
          </cell>
          <cell r="H3708">
            <v>2</v>
          </cell>
          <cell r="I3708" t="str">
            <v>USA</v>
          </cell>
          <cell r="J3708" t="str">
            <v>iHerb</v>
          </cell>
        </row>
        <row r="3709">
          <cell r="A3709" t="str">
            <v>10-06-2024</v>
          </cell>
          <cell r="B3709" t="str">
            <v>Melatonin</v>
          </cell>
          <cell r="C3709" t="str">
            <v>Sleep Aid</v>
          </cell>
          <cell r="D3709">
            <v>157</v>
          </cell>
          <cell r="E3709">
            <v>56.24</v>
          </cell>
          <cell r="F3709">
            <v>8829.68</v>
          </cell>
          <cell r="G3709">
            <v>0.04</v>
          </cell>
          <cell r="H3709">
            <v>3</v>
          </cell>
          <cell r="I3709" t="str">
            <v>USA</v>
          </cell>
          <cell r="J3709" t="str">
            <v>Walmart</v>
          </cell>
        </row>
        <row r="3710">
          <cell r="A3710" t="str">
            <v>10-06-2024</v>
          </cell>
          <cell r="B3710" t="str">
            <v>Biotin</v>
          </cell>
          <cell r="C3710" t="str">
            <v>Vitamin</v>
          </cell>
          <cell r="D3710">
            <v>143</v>
          </cell>
          <cell r="E3710">
            <v>51.33</v>
          </cell>
          <cell r="F3710">
            <v>7340.19</v>
          </cell>
          <cell r="G3710">
            <v>0</v>
          </cell>
          <cell r="H3710">
            <v>3</v>
          </cell>
          <cell r="I3710" t="str">
            <v>Canada</v>
          </cell>
          <cell r="J3710" t="str">
            <v>Amazon</v>
          </cell>
        </row>
        <row r="3711">
          <cell r="A3711" t="str">
            <v>10-06-2024</v>
          </cell>
          <cell r="B3711" t="str">
            <v>Green Tea Extract</v>
          </cell>
          <cell r="C3711" t="str">
            <v>Fat Burner</v>
          </cell>
          <cell r="D3711">
            <v>141</v>
          </cell>
          <cell r="E3711">
            <v>44.57</v>
          </cell>
          <cell r="F3711">
            <v>6284.37</v>
          </cell>
          <cell r="G3711">
            <v>0.17</v>
          </cell>
          <cell r="H3711">
            <v>1</v>
          </cell>
          <cell r="I3711" t="str">
            <v>UK</v>
          </cell>
          <cell r="J3711" t="str">
            <v>iHerb</v>
          </cell>
        </row>
        <row r="3712">
          <cell r="A3712" t="str">
            <v>10-06-2024</v>
          </cell>
          <cell r="B3712" t="str">
            <v>Iron Supplement</v>
          </cell>
          <cell r="C3712" t="str">
            <v>Mineral</v>
          </cell>
          <cell r="D3712">
            <v>137</v>
          </cell>
          <cell r="E3712">
            <v>40.020000000000003</v>
          </cell>
          <cell r="F3712">
            <v>5482.74</v>
          </cell>
          <cell r="G3712">
            <v>0.12</v>
          </cell>
          <cell r="H3712">
            <v>0</v>
          </cell>
          <cell r="I3712" t="str">
            <v>Canada</v>
          </cell>
          <cell r="J3712" t="str">
            <v>iHerb</v>
          </cell>
        </row>
        <row r="3713">
          <cell r="A3713" t="str">
            <v>10-06-2024</v>
          </cell>
          <cell r="B3713" t="str">
            <v>Electrolyte Powder</v>
          </cell>
          <cell r="C3713" t="str">
            <v>Hydration</v>
          </cell>
          <cell r="D3713">
            <v>135</v>
          </cell>
          <cell r="E3713">
            <v>53.15</v>
          </cell>
          <cell r="F3713">
            <v>7175.25</v>
          </cell>
          <cell r="G3713">
            <v>0.01</v>
          </cell>
          <cell r="H3713">
            <v>4</v>
          </cell>
          <cell r="I3713" t="str">
            <v>UK</v>
          </cell>
          <cell r="J3713" t="str">
            <v>iHerb</v>
          </cell>
        </row>
        <row r="3714">
          <cell r="A3714" t="str">
            <v>17-06-2024</v>
          </cell>
          <cell r="B3714" t="str">
            <v>Whey Protein</v>
          </cell>
          <cell r="C3714" t="str">
            <v>Protein</v>
          </cell>
          <cell r="D3714">
            <v>138</v>
          </cell>
          <cell r="E3714">
            <v>38.85</v>
          </cell>
          <cell r="F3714">
            <v>5361.3</v>
          </cell>
          <cell r="G3714">
            <v>0.02</v>
          </cell>
          <cell r="H3714">
            <v>2</v>
          </cell>
          <cell r="I3714" t="str">
            <v>Canada</v>
          </cell>
          <cell r="J3714" t="str">
            <v>Walmart</v>
          </cell>
        </row>
        <row r="3715">
          <cell r="A3715" t="str">
            <v>17-06-2024</v>
          </cell>
          <cell r="B3715" t="str">
            <v>Vitamin C</v>
          </cell>
          <cell r="C3715" t="str">
            <v>Vitamin</v>
          </cell>
          <cell r="D3715">
            <v>165</v>
          </cell>
          <cell r="E3715">
            <v>49.99</v>
          </cell>
          <cell r="F3715">
            <v>8248.35</v>
          </cell>
          <cell r="G3715">
            <v>0.1</v>
          </cell>
          <cell r="H3715">
            <v>0</v>
          </cell>
          <cell r="I3715" t="str">
            <v>USA</v>
          </cell>
          <cell r="J3715" t="str">
            <v>Amazon</v>
          </cell>
        </row>
        <row r="3716">
          <cell r="A3716" t="str">
            <v>17-06-2024</v>
          </cell>
          <cell r="B3716" t="str">
            <v>Fish Oil</v>
          </cell>
          <cell r="C3716" t="str">
            <v>Omega</v>
          </cell>
          <cell r="D3716">
            <v>132</v>
          </cell>
          <cell r="E3716">
            <v>37.21</v>
          </cell>
          <cell r="F3716">
            <v>4911.72</v>
          </cell>
          <cell r="G3716">
            <v>0.01</v>
          </cell>
          <cell r="H3716">
            <v>1</v>
          </cell>
          <cell r="I3716" t="str">
            <v>UK</v>
          </cell>
          <cell r="J3716" t="str">
            <v>Walmart</v>
          </cell>
        </row>
        <row r="3717">
          <cell r="A3717" t="str">
            <v>17-06-2024</v>
          </cell>
          <cell r="B3717" t="str">
            <v>Multivitamin</v>
          </cell>
          <cell r="C3717" t="str">
            <v>Vitamin</v>
          </cell>
          <cell r="D3717">
            <v>163</v>
          </cell>
          <cell r="E3717">
            <v>34.44</v>
          </cell>
          <cell r="F3717">
            <v>5613.72</v>
          </cell>
          <cell r="G3717">
            <v>0.22</v>
          </cell>
          <cell r="H3717">
            <v>0</v>
          </cell>
          <cell r="I3717" t="str">
            <v>Canada</v>
          </cell>
          <cell r="J3717" t="str">
            <v>iHerb</v>
          </cell>
        </row>
        <row r="3718">
          <cell r="A3718" t="str">
            <v>17-06-2024</v>
          </cell>
          <cell r="B3718" t="str">
            <v>Pre-Workout</v>
          </cell>
          <cell r="C3718" t="str">
            <v>Performance</v>
          </cell>
          <cell r="D3718">
            <v>170</v>
          </cell>
          <cell r="E3718">
            <v>45.41</v>
          </cell>
          <cell r="F3718">
            <v>7719.7</v>
          </cell>
          <cell r="G3718">
            <v>0.2</v>
          </cell>
          <cell r="H3718">
            <v>2</v>
          </cell>
          <cell r="I3718" t="str">
            <v>USA</v>
          </cell>
          <cell r="J3718" t="str">
            <v>Walmart</v>
          </cell>
        </row>
        <row r="3719">
          <cell r="A3719" t="str">
            <v>17-06-2024</v>
          </cell>
          <cell r="B3719" t="str">
            <v>BCAA</v>
          </cell>
          <cell r="C3719" t="str">
            <v>Amino Acid</v>
          </cell>
          <cell r="D3719">
            <v>156</v>
          </cell>
          <cell r="E3719">
            <v>27.77</v>
          </cell>
          <cell r="F3719">
            <v>4332.12</v>
          </cell>
          <cell r="G3719">
            <v>0.14000000000000001</v>
          </cell>
          <cell r="H3719">
            <v>1</v>
          </cell>
          <cell r="I3719" t="str">
            <v>Canada</v>
          </cell>
          <cell r="J3719" t="str">
            <v>Walmart</v>
          </cell>
        </row>
        <row r="3720">
          <cell r="A3720" t="str">
            <v>17-06-2024</v>
          </cell>
          <cell r="B3720" t="str">
            <v>Creatine</v>
          </cell>
          <cell r="C3720" t="str">
            <v>Performance</v>
          </cell>
          <cell r="D3720">
            <v>148</v>
          </cell>
          <cell r="E3720">
            <v>16.14</v>
          </cell>
          <cell r="F3720">
            <v>2388.7199999999998</v>
          </cell>
          <cell r="G3720">
            <v>0.08</v>
          </cell>
          <cell r="H3720">
            <v>3</v>
          </cell>
          <cell r="I3720" t="str">
            <v>UK</v>
          </cell>
          <cell r="J3720" t="str">
            <v>iHerb</v>
          </cell>
        </row>
        <row r="3721">
          <cell r="A3721" t="str">
            <v>17-06-2024</v>
          </cell>
          <cell r="B3721" t="str">
            <v>Zinc</v>
          </cell>
          <cell r="C3721" t="str">
            <v>Mineral</v>
          </cell>
          <cell r="D3721">
            <v>146</v>
          </cell>
          <cell r="E3721">
            <v>18.760000000000002</v>
          </cell>
          <cell r="F3721">
            <v>2738.96</v>
          </cell>
          <cell r="G3721">
            <v>0.11</v>
          </cell>
          <cell r="H3721">
            <v>0</v>
          </cell>
          <cell r="I3721" t="str">
            <v>UK</v>
          </cell>
          <cell r="J3721" t="str">
            <v>Amazon</v>
          </cell>
        </row>
        <row r="3722">
          <cell r="A3722" t="str">
            <v>17-06-2024</v>
          </cell>
          <cell r="B3722" t="str">
            <v>Collagen Peptides</v>
          </cell>
          <cell r="C3722" t="str">
            <v>Protein</v>
          </cell>
          <cell r="D3722">
            <v>135</v>
          </cell>
          <cell r="E3722">
            <v>40.369999999999997</v>
          </cell>
          <cell r="F3722">
            <v>5449.95</v>
          </cell>
          <cell r="G3722">
            <v>0.05</v>
          </cell>
          <cell r="H3722">
            <v>1</v>
          </cell>
          <cell r="I3722" t="str">
            <v>USA</v>
          </cell>
          <cell r="J3722" t="str">
            <v>Walmart</v>
          </cell>
        </row>
        <row r="3723">
          <cell r="A3723" t="str">
            <v>17-06-2024</v>
          </cell>
          <cell r="B3723" t="str">
            <v>Magnesium</v>
          </cell>
          <cell r="C3723" t="str">
            <v>Mineral</v>
          </cell>
          <cell r="D3723">
            <v>165</v>
          </cell>
          <cell r="E3723">
            <v>10.96</v>
          </cell>
          <cell r="F3723">
            <v>1808.4</v>
          </cell>
          <cell r="G3723">
            <v>0.16</v>
          </cell>
          <cell r="H3723">
            <v>0</v>
          </cell>
          <cell r="I3723" t="str">
            <v>Canada</v>
          </cell>
          <cell r="J3723" t="str">
            <v>iHerb</v>
          </cell>
        </row>
        <row r="3724">
          <cell r="A3724" t="str">
            <v>17-06-2024</v>
          </cell>
          <cell r="B3724" t="str">
            <v>Ashwagandha</v>
          </cell>
          <cell r="C3724" t="str">
            <v>Herbal</v>
          </cell>
          <cell r="D3724">
            <v>149</v>
          </cell>
          <cell r="E3724">
            <v>38.65</v>
          </cell>
          <cell r="F3724">
            <v>5758.85</v>
          </cell>
          <cell r="G3724">
            <v>0.02</v>
          </cell>
          <cell r="H3724">
            <v>3</v>
          </cell>
          <cell r="I3724" t="str">
            <v>UK</v>
          </cell>
          <cell r="J3724" t="str">
            <v>iHerb</v>
          </cell>
        </row>
        <row r="3725">
          <cell r="A3725" t="str">
            <v>17-06-2024</v>
          </cell>
          <cell r="B3725" t="str">
            <v>Melatonin</v>
          </cell>
          <cell r="C3725" t="str">
            <v>Sleep Aid</v>
          </cell>
          <cell r="D3725">
            <v>154</v>
          </cell>
          <cell r="E3725">
            <v>38.130000000000003</v>
          </cell>
          <cell r="F3725">
            <v>5872.02</v>
          </cell>
          <cell r="G3725">
            <v>0.03</v>
          </cell>
          <cell r="H3725">
            <v>0</v>
          </cell>
          <cell r="I3725" t="str">
            <v>UK</v>
          </cell>
          <cell r="J3725" t="str">
            <v>Walmart</v>
          </cell>
        </row>
        <row r="3726">
          <cell r="A3726" t="str">
            <v>17-06-2024</v>
          </cell>
          <cell r="B3726" t="str">
            <v>Biotin</v>
          </cell>
          <cell r="C3726" t="str">
            <v>Vitamin</v>
          </cell>
          <cell r="D3726">
            <v>155</v>
          </cell>
          <cell r="E3726">
            <v>39.18</v>
          </cell>
          <cell r="F3726">
            <v>6072.9</v>
          </cell>
          <cell r="G3726">
            <v>0.05</v>
          </cell>
          <cell r="H3726">
            <v>2</v>
          </cell>
          <cell r="I3726" t="str">
            <v>UK</v>
          </cell>
          <cell r="J3726" t="str">
            <v>Amazon</v>
          </cell>
        </row>
        <row r="3727">
          <cell r="A3727" t="str">
            <v>17-06-2024</v>
          </cell>
          <cell r="B3727" t="str">
            <v>Green Tea Extract</v>
          </cell>
          <cell r="C3727" t="str">
            <v>Fat Burner</v>
          </cell>
          <cell r="D3727">
            <v>124</v>
          </cell>
          <cell r="E3727">
            <v>37.700000000000003</v>
          </cell>
          <cell r="F3727">
            <v>4674.8</v>
          </cell>
          <cell r="G3727">
            <v>0.16</v>
          </cell>
          <cell r="H3727">
            <v>3</v>
          </cell>
          <cell r="I3727" t="str">
            <v>Canada</v>
          </cell>
          <cell r="J3727" t="str">
            <v>Amazon</v>
          </cell>
        </row>
        <row r="3728">
          <cell r="A3728" t="str">
            <v>17-06-2024</v>
          </cell>
          <cell r="B3728" t="str">
            <v>Iron Supplement</v>
          </cell>
          <cell r="C3728" t="str">
            <v>Mineral</v>
          </cell>
          <cell r="D3728">
            <v>158</v>
          </cell>
          <cell r="E3728">
            <v>12.45</v>
          </cell>
          <cell r="F3728">
            <v>1967.1</v>
          </cell>
          <cell r="G3728">
            <v>0.21</v>
          </cell>
          <cell r="H3728">
            <v>1</v>
          </cell>
          <cell r="I3728" t="str">
            <v>Canada</v>
          </cell>
          <cell r="J3728" t="str">
            <v>Walmart</v>
          </cell>
        </row>
        <row r="3729">
          <cell r="A3729" t="str">
            <v>17-06-2024</v>
          </cell>
          <cell r="B3729" t="str">
            <v>Electrolyte Powder</v>
          </cell>
          <cell r="C3729" t="str">
            <v>Hydration</v>
          </cell>
          <cell r="D3729">
            <v>162</v>
          </cell>
          <cell r="E3729">
            <v>29.88</v>
          </cell>
          <cell r="F3729">
            <v>4840.5600000000004</v>
          </cell>
          <cell r="G3729">
            <v>0.18</v>
          </cell>
          <cell r="H3729">
            <v>3</v>
          </cell>
          <cell r="I3729" t="str">
            <v>Canada</v>
          </cell>
          <cell r="J3729" t="str">
            <v>Amazon</v>
          </cell>
        </row>
        <row r="3730">
          <cell r="A3730" t="str">
            <v>24-06-2024</v>
          </cell>
          <cell r="B3730" t="str">
            <v>Whey Protein</v>
          </cell>
          <cell r="C3730" t="str">
            <v>Protein</v>
          </cell>
          <cell r="D3730">
            <v>130</v>
          </cell>
          <cell r="E3730">
            <v>49.65</v>
          </cell>
          <cell r="F3730">
            <v>6454.5</v>
          </cell>
          <cell r="G3730">
            <v>0.08</v>
          </cell>
          <cell r="H3730">
            <v>1</v>
          </cell>
          <cell r="I3730" t="str">
            <v>USA</v>
          </cell>
          <cell r="J3730" t="str">
            <v>Walmart</v>
          </cell>
        </row>
        <row r="3731">
          <cell r="A3731" t="str">
            <v>24-06-2024</v>
          </cell>
          <cell r="B3731" t="str">
            <v>Vitamin C</v>
          </cell>
          <cell r="C3731" t="str">
            <v>Vitamin</v>
          </cell>
          <cell r="D3731">
            <v>121</v>
          </cell>
          <cell r="E3731">
            <v>33.85</v>
          </cell>
          <cell r="F3731">
            <v>4095.85</v>
          </cell>
          <cell r="G3731">
            <v>0.02</v>
          </cell>
          <cell r="H3731">
            <v>0</v>
          </cell>
          <cell r="I3731" t="str">
            <v>UK</v>
          </cell>
          <cell r="J3731" t="str">
            <v>iHerb</v>
          </cell>
        </row>
        <row r="3732">
          <cell r="A3732" t="str">
            <v>24-06-2024</v>
          </cell>
          <cell r="B3732" t="str">
            <v>Fish Oil</v>
          </cell>
          <cell r="C3732" t="str">
            <v>Omega</v>
          </cell>
          <cell r="D3732">
            <v>164</v>
          </cell>
          <cell r="E3732">
            <v>41.68</v>
          </cell>
          <cell r="F3732">
            <v>6835.52</v>
          </cell>
          <cell r="G3732">
            <v>0.05</v>
          </cell>
          <cell r="H3732">
            <v>3</v>
          </cell>
          <cell r="I3732" t="str">
            <v>UK</v>
          </cell>
          <cell r="J3732" t="str">
            <v>Walmart</v>
          </cell>
        </row>
        <row r="3733">
          <cell r="A3733" t="str">
            <v>24-06-2024</v>
          </cell>
          <cell r="B3733" t="str">
            <v>Multivitamin</v>
          </cell>
          <cell r="C3733" t="str">
            <v>Vitamin</v>
          </cell>
          <cell r="D3733">
            <v>166</v>
          </cell>
          <cell r="E3733">
            <v>55.63</v>
          </cell>
          <cell r="F3733">
            <v>9234.58</v>
          </cell>
          <cell r="G3733">
            <v>0.21</v>
          </cell>
          <cell r="H3733">
            <v>2</v>
          </cell>
          <cell r="I3733" t="str">
            <v>Canada</v>
          </cell>
          <cell r="J3733" t="str">
            <v>Amazon</v>
          </cell>
        </row>
        <row r="3734">
          <cell r="A3734" t="str">
            <v>24-06-2024</v>
          </cell>
          <cell r="B3734" t="str">
            <v>Pre-Workout</v>
          </cell>
          <cell r="C3734" t="str">
            <v>Performance</v>
          </cell>
          <cell r="D3734">
            <v>159</v>
          </cell>
          <cell r="E3734">
            <v>23.54</v>
          </cell>
          <cell r="F3734">
            <v>3742.86</v>
          </cell>
          <cell r="G3734">
            <v>0.02</v>
          </cell>
          <cell r="H3734">
            <v>0</v>
          </cell>
          <cell r="I3734" t="str">
            <v>Canada</v>
          </cell>
          <cell r="J3734" t="str">
            <v>Walmart</v>
          </cell>
        </row>
        <row r="3735">
          <cell r="A3735" t="str">
            <v>24-06-2024</v>
          </cell>
          <cell r="B3735" t="str">
            <v>BCAA</v>
          </cell>
          <cell r="C3735" t="str">
            <v>Amino Acid</v>
          </cell>
          <cell r="D3735">
            <v>136</v>
          </cell>
          <cell r="E3735">
            <v>21.99</v>
          </cell>
          <cell r="F3735">
            <v>2990.64</v>
          </cell>
          <cell r="G3735">
            <v>0.24</v>
          </cell>
          <cell r="H3735">
            <v>1</v>
          </cell>
          <cell r="I3735" t="str">
            <v>USA</v>
          </cell>
          <cell r="J3735" t="str">
            <v>Amazon</v>
          </cell>
        </row>
        <row r="3736">
          <cell r="A3736" t="str">
            <v>24-06-2024</v>
          </cell>
          <cell r="B3736" t="str">
            <v>Creatine</v>
          </cell>
          <cell r="C3736" t="str">
            <v>Performance</v>
          </cell>
          <cell r="D3736">
            <v>140</v>
          </cell>
          <cell r="E3736">
            <v>20.95</v>
          </cell>
          <cell r="F3736">
            <v>2933</v>
          </cell>
          <cell r="G3736">
            <v>0.25</v>
          </cell>
          <cell r="H3736">
            <v>3</v>
          </cell>
          <cell r="I3736" t="str">
            <v>UK</v>
          </cell>
          <cell r="J3736" t="str">
            <v>Walmart</v>
          </cell>
        </row>
        <row r="3737">
          <cell r="A3737" t="str">
            <v>24-06-2024</v>
          </cell>
          <cell r="B3737" t="str">
            <v>Zinc</v>
          </cell>
          <cell r="C3737" t="str">
            <v>Mineral</v>
          </cell>
          <cell r="D3737">
            <v>158</v>
          </cell>
          <cell r="E3737">
            <v>43.53</v>
          </cell>
          <cell r="F3737">
            <v>6877.74</v>
          </cell>
          <cell r="G3737">
            <v>0.16</v>
          </cell>
          <cell r="H3737">
            <v>1</v>
          </cell>
          <cell r="I3737" t="str">
            <v>Canada</v>
          </cell>
          <cell r="J3737" t="str">
            <v>iHerb</v>
          </cell>
        </row>
        <row r="3738">
          <cell r="A3738" t="str">
            <v>24-06-2024</v>
          </cell>
          <cell r="B3738" t="str">
            <v>Collagen Peptides</v>
          </cell>
          <cell r="C3738" t="str">
            <v>Protein</v>
          </cell>
          <cell r="D3738">
            <v>160</v>
          </cell>
          <cell r="E3738">
            <v>34.47</v>
          </cell>
          <cell r="F3738">
            <v>5515.2</v>
          </cell>
          <cell r="G3738">
            <v>0</v>
          </cell>
          <cell r="H3738">
            <v>4</v>
          </cell>
          <cell r="I3738" t="str">
            <v>UK</v>
          </cell>
          <cell r="J3738" t="str">
            <v>Walmart</v>
          </cell>
        </row>
        <row r="3739">
          <cell r="A3739" t="str">
            <v>24-06-2024</v>
          </cell>
          <cell r="B3739" t="str">
            <v>Magnesium</v>
          </cell>
          <cell r="C3739" t="str">
            <v>Mineral</v>
          </cell>
          <cell r="D3739">
            <v>159</v>
          </cell>
          <cell r="E3739">
            <v>27.08</v>
          </cell>
          <cell r="F3739">
            <v>4305.72</v>
          </cell>
          <cell r="G3739">
            <v>0.04</v>
          </cell>
          <cell r="H3739">
            <v>2</v>
          </cell>
          <cell r="I3739" t="str">
            <v>USA</v>
          </cell>
          <cell r="J3739" t="str">
            <v>iHerb</v>
          </cell>
        </row>
        <row r="3740">
          <cell r="A3740" t="str">
            <v>24-06-2024</v>
          </cell>
          <cell r="B3740" t="str">
            <v>Ashwagandha</v>
          </cell>
          <cell r="C3740" t="str">
            <v>Herbal</v>
          </cell>
          <cell r="D3740">
            <v>175</v>
          </cell>
          <cell r="E3740">
            <v>20.65</v>
          </cell>
          <cell r="F3740">
            <v>3613.75</v>
          </cell>
          <cell r="G3740">
            <v>0.09</v>
          </cell>
          <cell r="H3740">
            <v>2</v>
          </cell>
          <cell r="I3740" t="str">
            <v>USA</v>
          </cell>
          <cell r="J3740" t="str">
            <v>iHerb</v>
          </cell>
        </row>
        <row r="3741">
          <cell r="A3741" t="str">
            <v>24-06-2024</v>
          </cell>
          <cell r="B3741" t="str">
            <v>Melatonin</v>
          </cell>
          <cell r="C3741" t="str">
            <v>Sleep Aid</v>
          </cell>
          <cell r="D3741">
            <v>154</v>
          </cell>
          <cell r="E3741">
            <v>37.71</v>
          </cell>
          <cell r="F3741">
            <v>5807.34</v>
          </cell>
          <cell r="G3741">
            <v>0.09</v>
          </cell>
          <cell r="H3741">
            <v>3</v>
          </cell>
          <cell r="I3741" t="str">
            <v>UK</v>
          </cell>
          <cell r="J3741" t="str">
            <v>Amazon</v>
          </cell>
        </row>
        <row r="3742">
          <cell r="A3742" t="str">
            <v>24-06-2024</v>
          </cell>
          <cell r="B3742" t="str">
            <v>Biotin</v>
          </cell>
          <cell r="C3742" t="str">
            <v>Vitamin</v>
          </cell>
          <cell r="D3742">
            <v>129</v>
          </cell>
          <cell r="E3742">
            <v>48.78</v>
          </cell>
          <cell r="F3742">
            <v>6292.62</v>
          </cell>
          <cell r="G3742">
            <v>0.02</v>
          </cell>
          <cell r="H3742">
            <v>2</v>
          </cell>
          <cell r="I3742" t="str">
            <v>UK</v>
          </cell>
          <cell r="J3742" t="str">
            <v>Amazon</v>
          </cell>
        </row>
        <row r="3743">
          <cell r="A3743" t="str">
            <v>24-06-2024</v>
          </cell>
          <cell r="B3743" t="str">
            <v>Green Tea Extract</v>
          </cell>
          <cell r="C3743" t="str">
            <v>Fat Burner</v>
          </cell>
          <cell r="D3743">
            <v>163</v>
          </cell>
          <cell r="E3743">
            <v>10.65</v>
          </cell>
          <cell r="F3743">
            <v>1735.95</v>
          </cell>
          <cell r="G3743">
            <v>0.05</v>
          </cell>
          <cell r="H3743">
            <v>1</v>
          </cell>
          <cell r="I3743" t="str">
            <v>Canada</v>
          </cell>
          <cell r="J3743" t="str">
            <v>Amazon</v>
          </cell>
        </row>
        <row r="3744">
          <cell r="A3744" t="str">
            <v>24-06-2024</v>
          </cell>
          <cell r="B3744" t="str">
            <v>Iron Supplement</v>
          </cell>
          <cell r="C3744" t="str">
            <v>Mineral</v>
          </cell>
          <cell r="D3744">
            <v>155</v>
          </cell>
          <cell r="E3744">
            <v>56.48</v>
          </cell>
          <cell r="F3744">
            <v>8754.4</v>
          </cell>
          <cell r="G3744">
            <v>0.19</v>
          </cell>
          <cell r="H3744">
            <v>1</v>
          </cell>
          <cell r="I3744" t="str">
            <v>Canada</v>
          </cell>
          <cell r="J3744" t="str">
            <v>iHerb</v>
          </cell>
        </row>
        <row r="3745">
          <cell r="A3745" t="str">
            <v>24-06-2024</v>
          </cell>
          <cell r="B3745" t="str">
            <v>Electrolyte Powder</v>
          </cell>
          <cell r="C3745" t="str">
            <v>Hydration</v>
          </cell>
          <cell r="D3745">
            <v>146</v>
          </cell>
          <cell r="E3745">
            <v>58.55</v>
          </cell>
          <cell r="F3745">
            <v>8548.2999999999993</v>
          </cell>
          <cell r="G3745">
            <v>0.13</v>
          </cell>
          <cell r="H3745">
            <v>3</v>
          </cell>
          <cell r="I3745" t="str">
            <v>Canada</v>
          </cell>
          <cell r="J3745" t="str">
            <v>Amazon</v>
          </cell>
        </row>
        <row r="3746">
          <cell r="A3746" t="str">
            <v>01-07-2024</v>
          </cell>
          <cell r="B3746" t="str">
            <v>Whey Protein</v>
          </cell>
          <cell r="C3746" t="str">
            <v>Protein</v>
          </cell>
          <cell r="D3746">
            <v>144</v>
          </cell>
          <cell r="E3746">
            <v>12.69</v>
          </cell>
          <cell r="F3746">
            <v>1827.36</v>
          </cell>
          <cell r="G3746">
            <v>0.25</v>
          </cell>
          <cell r="H3746">
            <v>3</v>
          </cell>
          <cell r="I3746" t="str">
            <v>UK</v>
          </cell>
          <cell r="J3746" t="str">
            <v>iHerb</v>
          </cell>
        </row>
        <row r="3747">
          <cell r="A3747" t="str">
            <v>01-07-2024</v>
          </cell>
          <cell r="B3747" t="str">
            <v>Vitamin C</v>
          </cell>
          <cell r="C3747" t="str">
            <v>Vitamin</v>
          </cell>
          <cell r="D3747">
            <v>145</v>
          </cell>
          <cell r="E3747">
            <v>47.61</v>
          </cell>
          <cell r="F3747">
            <v>6903.45</v>
          </cell>
          <cell r="G3747">
            <v>0.23</v>
          </cell>
          <cell r="H3747">
            <v>1</v>
          </cell>
          <cell r="I3747" t="str">
            <v>USA</v>
          </cell>
          <cell r="J3747" t="str">
            <v>Amazon</v>
          </cell>
        </row>
        <row r="3748">
          <cell r="A3748" t="str">
            <v>01-07-2024</v>
          </cell>
          <cell r="B3748" t="str">
            <v>Fish Oil</v>
          </cell>
          <cell r="C3748" t="str">
            <v>Omega</v>
          </cell>
          <cell r="D3748">
            <v>149</v>
          </cell>
          <cell r="E3748">
            <v>48.93</v>
          </cell>
          <cell r="F3748">
            <v>7290.57</v>
          </cell>
          <cell r="G3748">
            <v>0.1</v>
          </cell>
          <cell r="H3748">
            <v>3</v>
          </cell>
          <cell r="I3748" t="str">
            <v>UK</v>
          </cell>
          <cell r="J3748" t="str">
            <v>iHerb</v>
          </cell>
        </row>
        <row r="3749">
          <cell r="A3749" t="str">
            <v>01-07-2024</v>
          </cell>
          <cell r="B3749" t="str">
            <v>Multivitamin</v>
          </cell>
          <cell r="C3749" t="str">
            <v>Vitamin</v>
          </cell>
          <cell r="D3749">
            <v>138</v>
          </cell>
          <cell r="E3749">
            <v>34.659999999999997</v>
          </cell>
          <cell r="F3749">
            <v>4783.08</v>
          </cell>
          <cell r="G3749">
            <v>0.11</v>
          </cell>
          <cell r="H3749">
            <v>1</v>
          </cell>
          <cell r="I3749" t="str">
            <v>UK</v>
          </cell>
          <cell r="J3749" t="str">
            <v>Amazon</v>
          </cell>
        </row>
        <row r="3750">
          <cell r="A3750" t="str">
            <v>01-07-2024</v>
          </cell>
          <cell r="B3750" t="str">
            <v>Pre-Workout</v>
          </cell>
          <cell r="C3750" t="str">
            <v>Performance</v>
          </cell>
          <cell r="D3750">
            <v>152</v>
          </cell>
          <cell r="E3750">
            <v>18.760000000000002</v>
          </cell>
          <cell r="F3750">
            <v>2851.52</v>
          </cell>
          <cell r="G3750">
            <v>0.19</v>
          </cell>
          <cell r="H3750">
            <v>1</v>
          </cell>
          <cell r="I3750" t="str">
            <v>UK</v>
          </cell>
          <cell r="J3750" t="str">
            <v>Amazon</v>
          </cell>
        </row>
        <row r="3751">
          <cell r="A3751" t="str">
            <v>01-07-2024</v>
          </cell>
          <cell r="B3751" t="str">
            <v>BCAA</v>
          </cell>
          <cell r="C3751" t="str">
            <v>Amino Acid</v>
          </cell>
          <cell r="D3751">
            <v>150</v>
          </cell>
          <cell r="E3751">
            <v>55.48</v>
          </cell>
          <cell r="F3751">
            <v>8322</v>
          </cell>
          <cell r="G3751">
            <v>0.18</v>
          </cell>
          <cell r="H3751">
            <v>0</v>
          </cell>
          <cell r="I3751" t="str">
            <v>UK</v>
          </cell>
          <cell r="J3751" t="str">
            <v>Amazon</v>
          </cell>
        </row>
        <row r="3752">
          <cell r="A3752" t="str">
            <v>01-07-2024</v>
          </cell>
          <cell r="B3752" t="str">
            <v>Creatine</v>
          </cell>
          <cell r="C3752" t="str">
            <v>Performance</v>
          </cell>
          <cell r="D3752">
            <v>149</v>
          </cell>
          <cell r="E3752">
            <v>37.369999999999997</v>
          </cell>
          <cell r="F3752">
            <v>5568.13</v>
          </cell>
          <cell r="G3752">
            <v>0.11</v>
          </cell>
          <cell r="H3752">
            <v>1</v>
          </cell>
          <cell r="I3752" t="str">
            <v>UK</v>
          </cell>
          <cell r="J3752" t="str">
            <v>Amazon</v>
          </cell>
        </row>
        <row r="3753">
          <cell r="A3753" t="str">
            <v>01-07-2024</v>
          </cell>
          <cell r="B3753" t="str">
            <v>Zinc</v>
          </cell>
          <cell r="C3753" t="str">
            <v>Mineral</v>
          </cell>
          <cell r="D3753">
            <v>156</v>
          </cell>
          <cell r="E3753">
            <v>15.25</v>
          </cell>
          <cell r="F3753">
            <v>2379</v>
          </cell>
          <cell r="G3753">
            <v>0.01</v>
          </cell>
          <cell r="H3753">
            <v>1</v>
          </cell>
          <cell r="I3753" t="str">
            <v>UK</v>
          </cell>
          <cell r="J3753" t="str">
            <v>iHerb</v>
          </cell>
        </row>
        <row r="3754">
          <cell r="A3754" t="str">
            <v>01-07-2024</v>
          </cell>
          <cell r="B3754" t="str">
            <v>Collagen Peptides</v>
          </cell>
          <cell r="C3754" t="str">
            <v>Protein</v>
          </cell>
          <cell r="D3754">
            <v>146</v>
          </cell>
          <cell r="E3754">
            <v>24.64</v>
          </cell>
          <cell r="F3754">
            <v>3597.44</v>
          </cell>
          <cell r="G3754">
            <v>0.25</v>
          </cell>
          <cell r="H3754">
            <v>1</v>
          </cell>
          <cell r="I3754" t="str">
            <v>UK</v>
          </cell>
          <cell r="J3754" t="str">
            <v>iHerb</v>
          </cell>
        </row>
        <row r="3755">
          <cell r="A3755" t="str">
            <v>01-07-2024</v>
          </cell>
          <cell r="B3755" t="str">
            <v>Magnesium</v>
          </cell>
          <cell r="C3755" t="str">
            <v>Mineral</v>
          </cell>
          <cell r="D3755">
            <v>148</v>
          </cell>
          <cell r="E3755">
            <v>23.03</v>
          </cell>
          <cell r="F3755">
            <v>3408.44</v>
          </cell>
          <cell r="G3755">
            <v>0.01</v>
          </cell>
          <cell r="H3755">
            <v>1</v>
          </cell>
          <cell r="I3755" t="str">
            <v>Canada</v>
          </cell>
          <cell r="J3755" t="str">
            <v>Walmart</v>
          </cell>
        </row>
        <row r="3756">
          <cell r="A3756" t="str">
            <v>01-07-2024</v>
          </cell>
          <cell r="B3756" t="str">
            <v>Ashwagandha</v>
          </cell>
          <cell r="C3756" t="str">
            <v>Herbal</v>
          </cell>
          <cell r="D3756">
            <v>159</v>
          </cell>
          <cell r="E3756">
            <v>28.4</v>
          </cell>
          <cell r="F3756">
            <v>4515.6000000000004</v>
          </cell>
          <cell r="G3756">
            <v>0</v>
          </cell>
          <cell r="H3756">
            <v>3</v>
          </cell>
          <cell r="I3756" t="str">
            <v>USA</v>
          </cell>
          <cell r="J3756" t="str">
            <v>Amazon</v>
          </cell>
        </row>
        <row r="3757">
          <cell r="A3757" t="str">
            <v>01-07-2024</v>
          </cell>
          <cell r="B3757" t="str">
            <v>Melatonin</v>
          </cell>
          <cell r="C3757" t="str">
            <v>Sleep Aid</v>
          </cell>
          <cell r="D3757">
            <v>161</v>
          </cell>
          <cell r="E3757">
            <v>28.24</v>
          </cell>
          <cell r="F3757">
            <v>4546.6400000000003</v>
          </cell>
          <cell r="G3757">
            <v>0.24</v>
          </cell>
          <cell r="H3757">
            <v>1</v>
          </cell>
          <cell r="I3757" t="str">
            <v>USA</v>
          </cell>
          <cell r="J3757" t="str">
            <v>Amazon</v>
          </cell>
        </row>
        <row r="3758">
          <cell r="A3758" t="str">
            <v>01-07-2024</v>
          </cell>
          <cell r="B3758" t="str">
            <v>Biotin</v>
          </cell>
          <cell r="C3758" t="str">
            <v>Vitamin</v>
          </cell>
          <cell r="D3758">
            <v>151</v>
          </cell>
          <cell r="E3758">
            <v>39.81</v>
          </cell>
          <cell r="F3758">
            <v>6011.31</v>
          </cell>
          <cell r="G3758">
            <v>0.24</v>
          </cell>
          <cell r="H3758">
            <v>6</v>
          </cell>
          <cell r="I3758" t="str">
            <v>UK</v>
          </cell>
          <cell r="J3758" t="str">
            <v>Walmart</v>
          </cell>
        </row>
        <row r="3759">
          <cell r="A3759" t="str">
            <v>01-07-2024</v>
          </cell>
          <cell r="B3759" t="str">
            <v>Green Tea Extract</v>
          </cell>
          <cell r="C3759" t="str">
            <v>Fat Burner</v>
          </cell>
          <cell r="D3759">
            <v>160</v>
          </cell>
          <cell r="E3759">
            <v>34.72</v>
          </cell>
          <cell r="F3759">
            <v>5555.2</v>
          </cell>
          <cell r="G3759">
            <v>0.09</v>
          </cell>
          <cell r="H3759">
            <v>5</v>
          </cell>
          <cell r="I3759" t="str">
            <v>UK</v>
          </cell>
          <cell r="J3759" t="str">
            <v>iHerb</v>
          </cell>
        </row>
        <row r="3760">
          <cell r="A3760" t="str">
            <v>01-07-2024</v>
          </cell>
          <cell r="B3760" t="str">
            <v>Iron Supplement</v>
          </cell>
          <cell r="C3760" t="str">
            <v>Mineral</v>
          </cell>
          <cell r="D3760">
            <v>158</v>
          </cell>
          <cell r="E3760">
            <v>10.61</v>
          </cell>
          <cell r="F3760">
            <v>1676.38</v>
          </cell>
          <cell r="G3760">
            <v>0.13</v>
          </cell>
          <cell r="H3760">
            <v>5</v>
          </cell>
          <cell r="I3760" t="str">
            <v>UK</v>
          </cell>
          <cell r="J3760" t="str">
            <v>Amazon</v>
          </cell>
        </row>
        <row r="3761">
          <cell r="A3761" t="str">
            <v>01-07-2024</v>
          </cell>
          <cell r="B3761" t="str">
            <v>Electrolyte Powder</v>
          </cell>
          <cell r="C3761" t="str">
            <v>Hydration</v>
          </cell>
          <cell r="D3761">
            <v>151</v>
          </cell>
          <cell r="E3761">
            <v>11.1</v>
          </cell>
          <cell r="F3761">
            <v>1676.1</v>
          </cell>
          <cell r="G3761">
            <v>0.09</v>
          </cell>
          <cell r="H3761">
            <v>3</v>
          </cell>
          <cell r="I3761" t="str">
            <v>USA</v>
          </cell>
          <cell r="J3761" t="str">
            <v>Walmart</v>
          </cell>
        </row>
        <row r="3762">
          <cell r="A3762" t="str">
            <v>08-07-2024</v>
          </cell>
          <cell r="B3762" t="str">
            <v>Whey Protein</v>
          </cell>
          <cell r="C3762" t="str">
            <v>Protein</v>
          </cell>
          <cell r="D3762">
            <v>158</v>
          </cell>
          <cell r="E3762">
            <v>39.53</v>
          </cell>
          <cell r="F3762">
            <v>6245.74</v>
          </cell>
          <cell r="G3762">
            <v>0.13</v>
          </cell>
          <cell r="H3762">
            <v>2</v>
          </cell>
          <cell r="I3762" t="str">
            <v>Canada</v>
          </cell>
          <cell r="J3762" t="str">
            <v>Walmart</v>
          </cell>
        </row>
        <row r="3763">
          <cell r="A3763" t="str">
            <v>08-07-2024</v>
          </cell>
          <cell r="B3763" t="str">
            <v>Vitamin C</v>
          </cell>
          <cell r="C3763" t="str">
            <v>Vitamin</v>
          </cell>
          <cell r="D3763">
            <v>147</v>
          </cell>
          <cell r="E3763">
            <v>16.079999999999998</v>
          </cell>
          <cell r="F3763">
            <v>2363.7600000000002</v>
          </cell>
          <cell r="G3763">
            <v>7.0000000000000007E-2</v>
          </cell>
          <cell r="H3763">
            <v>3</v>
          </cell>
          <cell r="I3763" t="str">
            <v>Canada</v>
          </cell>
          <cell r="J3763" t="str">
            <v>Walmart</v>
          </cell>
        </row>
        <row r="3764">
          <cell r="A3764" t="str">
            <v>08-07-2024</v>
          </cell>
          <cell r="B3764" t="str">
            <v>Fish Oil</v>
          </cell>
          <cell r="C3764" t="str">
            <v>Omega</v>
          </cell>
          <cell r="D3764">
            <v>169</v>
          </cell>
          <cell r="E3764">
            <v>11.58</v>
          </cell>
          <cell r="F3764">
            <v>1957.02</v>
          </cell>
          <cell r="G3764">
            <v>0.23</v>
          </cell>
          <cell r="H3764">
            <v>2</v>
          </cell>
          <cell r="I3764" t="str">
            <v>UK</v>
          </cell>
          <cell r="J3764" t="str">
            <v>iHerb</v>
          </cell>
        </row>
        <row r="3765">
          <cell r="A3765" t="str">
            <v>08-07-2024</v>
          </cell>
          <cell r="B3765" t="str">
            <v>Multivitamin</v>
          </cell>
          <cell r="C3765" t="str">
            <v>Vitamin</v>
          </cell>
          <cell r="D3765">
            <v>147</v>
          </cell>
          <cell r="E3765">
            <v>31.49</v>
          </cell>
          <cell r="F3765">
            <v>4629.03</v>
          </cell>
          <cell r="G3765">
            <v>0.12</v>
          </cell>
          <cell r="H3765">
            <v>3</v>
          </cell>
          <cell r="I3765" t="str">
            <v>USA</v>
          </cell>
          <cell r="J3765" t="str">
            <v>Walmart</v>
          </cell>
        </row>
        <row r="3766">
          <cell r="A3766" t="str">
            <v>08-07-2024</v>
          </cell>
          <cell r="B3766" t="str">
            <v>Pre-Workout</v>
          </cell>
          <cell r="C3766" t="str">
            <v>Performance</v>
          </cell>
          <cell r="D3766">
            <v>136</v>
          </cell>
          <cell r="E3766">
            <v>10.14</v>
          </cell>
          <cell r="F3766">
            <v>1379.04</v>
          </cell>
          <cell r="G3766">
            <v>0.08</v>
          </cell>
          <cell r="H3766">
            <v>0</v>
          </cell>
          <cell r="I3766" t="str">
            <v>UK</v>
          </cell>
          <cell r="J3766" t="str">
            <v>Walmart</v>
          </cell>
        </row>
        <row r="3767">
          <cell r="A3767" t="str">
            <v>08-07-2024</v>
          </cell>
          <cell r="B3767" t="str">
            <v>BCAA</v>
          </cell>
          <cell r="C3767" t="str">
            <v>Amino Acid</v>
          </cell>
          <cell r="D3767">
            <v>139</v>
          </cell>
          <cell r="E3767">
            <v>21.36</v>
          </cell>
          <cell r="F3767">
            <v>2969.04</v>
          </cell>
          <cell r="G3767">
            <v>0.08</v>
          </cell>
          <cell r="H3767">
            <v>0</v>
          </cell>
          <cell r="I3767" t="str">
            <v>UK</v>
          </cell>
          <cell r="J3767" t="str">
            <v>Amazon</v>
          </cell>
        </row>
        <row r="3768">
          <cell r="A3768" t="str">
            <v>08-07-2024</v>
          </cell>
          <cell r="B3768" t="str">
            <v>Creatine</v>
          </cell>
          <cell r="C3768" t="str">
            <v>Performance</v>
          </cell>
          <cell r="D3768">
            <v>154</v>
          </cell>
          <cell r="E3768">
            <v>14.85</v>
          </cell>
          <cell r="F3768">
            <v>2286.9</v>
          </cell>
          <cell r="G3768">
            <v>0.15</v>
          </cell>
          <cell r="H3768">
            <v>6</v>
          </cell>
          <cell r="I3768" t="str">
            <v>Canada</v>
          </cell>
          <cell r="J3768" t="str">
            <v>Amazon</v>
          </cell>
        </row>
        <row r="3769">
          <cell r="A3769" t="str">
            <v>08-07-2024</v>
          </cell>
          <cell r="B3769" t="str">
            <v>Zinc</v>
          </cell>
          <cell r="C3769" t="str">
            <v>Mineral</v>
          </cell>
          <cell r="D3769">
            <v>176</v>
          </cell>
          <cell r="E3769">
            <v>49.77</v>
          </cell>
          <cell r="F3769">
            <v>8759.52</v>
          </cell>
          <cell r="G3769">
            <v>0.09</v>
          </cell>
          <cell r="H3769">
            <v>0</v>
          </cell>
          <cell r="I3769" t="str">
            <v>Canada</v>
          </cell>
          <cell r="J3769" t="str">
            <v>Amazon</v>
          </cell>
        </row>
        <row r="3770">
          <cell r="A3770" t="str">
            <v>08-07-2024</v>
          </cell>
          <cell r="B3770" t="str">
            <v>Collagen Peptides</v>
          </cell>
          <cell r="C3770" t="str">
            <v>Protein</v>
          </cell>
          <cell r="D3770">
            <v>142</v>
          </cell>
          <cell r="E3770">
            <v>36.159999999999997</v>
          </cell>
          <cell r="F3770">
            <v>5134.72</v>
          </cell>
          <cell r="G3770">
            <v>0.17</v>
          </cell>
          <cell r="H3770">
            <v>2</v>
          </cell>
          <cell r="I3770" t="str">
            <v>Canada</v>
          </cell>
          <cell r="J3770" t="str">
            <v>iHerb</v>
          </cell>
        </row>
        <row r="3771">
          <cell r="A3771" t="str">
            <v>08-07-2024</v>
          </cell>
          <cell r="B3771" t="str">
            <v>Magnesium</v>
          </cell>
          <cell r="C3771" t="str">
            <v>Mineral</v>
          </cell>
          <cell r="D3771">
            <v>140</v>
          </cell>
          <cell r="E3771">
            <v>25.42</v>
          </cell>
          <cell r="F3771">
            <v>3558.8</v>
          </cell>
          <cell r="G3771">
            <v>0.09</v>
          </cell>
          <cell r="H3771">
            <v>7</v>
          </cell>
          <cell r="I3771" t="str">
            <v>UK</v>
          </cell>
          <cell r="J3771" t="str">
            <v>iHerb</v>
          </cell>
        </row>
        <row r="3772">
          <cell r="A3772" t="str">
            <v>08-07-2024</v>
          </cell>
          <cell r="B3772" t="str">
            <v>Ashwagandha</v>
          </cell>
          <cell r="C3772" t="str">
            <v>Herbal</v>
          </cell>
          <cell r="D3772">
            <v>157</v>
          </cell>
          <cell r="E3772">
            <v>29.49</v>
          </cell>
          <cell r="F3772">
            <v>4629.93</v>
          </cell>
          <cell r="G3772">
            <v>0.12</v>
          </cell>
          <cell r="H3772">
            <v>1</v>
          </cell>
          <cell r="I3772" t="str">
            <v>UK</v>
          </cell>
          <cell r="J3772" t="str">
            <v>Walmart</v>
          </cell>
        </row>
        <row r="3773">
          <cell r="A3773" t="str">
            <v>08-07-2024</v>
          </cell>
          <cell r="B3773" t="str">
            <v>Melatonin</v>
          </cell>
          <cell r="C3773" t="str">
            <v>Sleep Aid</v>
          </cell>
          <cell r="D3773">
            <v>163</v>
          </cell>
          <cell r="E3773">
            <v>24.78</v>
          </cell>
          <cell r="F3773">
            <v>4039.14</v>
          </cell>
          <cell r="G3773">
            <v>0.19</v>
          </cell>
          <cell r="H3773">
            <v>3</v>
          </cell>
          <cell r="I3773" t="str">
            <v>UK</v>
          </cell>
          <cell r="J3773" t="str">
            <v>Walmart</v>
          </cell>
        </row>
        <row r="3774">
          <cell r="A3774" t="str">
            <v>08-07-2024</v>
          </cell>
          <cell r="B3774" t="str">
            <v>Biotin</v>
          </cell>
          <cell r="C3774" t="str">
            <v>Vitamin</v>
          </cell>
          <cell r="D3774">
            <v>147</v>
          </cell>
          <cell r="E3774">
            <v>12.94</v>
          </cell>
          <cell r="F3774">
            <v>1902.18</v>
          </cell>
          <cell r="G3774">
            <v>0.13</v>
          </cell>
          <cell r="H3774">
            <v>0</v>
          </cell>
          <cell r="I3774" t="str">
            <v>UK</v>
          </cell>
          <cell r="J3774" t="str">
            <v>Amazon</v>
          </cell>
        </row>
        <row r="3775">
          <cell r="A3775" t="str">
            <v>08-07-2024</v>
          </cell>
          <cell r="B3775" t="str">
            <v>Green Tea Extract</v>
          </cell>
          <cell r="C3775" t="str">
            <v>Fat Burner</v>
          </cell>
          <cell r="D3775">
            <v>143</v>
          </cell>
          <cell r="E3775">
            <v>54.8</v>
          </cell>
          <cell r="F3775">
            <v>7836.4</v>
          </cell>
          <cell r="G3775">
            <v>0.03</v>
          </cell>
          <cell r="H3775">
            <v>2</v>
          </cell>
          <cell r="I3775" t="str">
            <v>UK</v>
          </cell>
          <cell r="J3775" t="str">
            <v>iHerb</v>
          </cell>
        </row>
        <row r="3776">
          <cell r="A3776" t="str">
            <v>08-07-2024</v>
          </cell>
          <cell r="B3776" t="str">
            <v>Iron Supplement</v>
          </cell>
          <cell r="C3776" t="str">
            <v>Mineral</v>
          </cell>
          <cell r="D3776">
            <v>150</v>
          </cell>
          <cell r="E3776">
            <v>42.58</v>
          </cell>
          <cell r="F3776">
            <v>6387</v>
          </cell>
          <cell r="G3776">
            <v>0.15</v>
          </cell>
          <cell r="H3776">
            <v>1</v>
          </cell>
          <cell r="I3776" t="str">
            <v>USA</v>
          </cell>
          <cell r="J3776" t="str">
            <v>Walmart</v>
          </cell>
        </row>
        <row r="3777">
          <cell r="A3777" t="str">
            <v>08-07-2024</v>
          </cell>
          <cell r="B3777" t="str">
            <v>Electrolyte Powder</v>
          </cell>
          <cell r="C3777" t="str">
            <v>Hydration</v>
          </cell>
          <cell r="D3777">
            <v>172</v>
          </cell>
          <cell r="E3777">
            <v>59.53</v>
          </cell>
          <cell r="F3777">
            <v>10239.16</v>
          </cell>
          <cell r="G3777">
            <v>0.13</v>
          </cell>
          <cell r="H3777">
            <v>0</v>
          </cell>
          <cell r="I3777" t="str">
            <v>UK</v>
          </cell>
          <cell r="J3777" t="str">
            <v>Walmart</v>
          </cell>
        </row>
        <row r="3778">
          <cell r="A3778" t="str">
            <v>15-07-2024</v>
          </cell>
          <cell r="B3778" t="str">
            <v>Whey Protein</v>
          </cell>
          <cell r="C3778" t="str">
            <v>Protein</v>
          </cell>
          <cell r="D3778">
            <v>149</v>
          </cell>
          <cell r="E3778">
            <v>39.86</v>
          </cell>
          <cell r="F3778">
            <v>5939.14</v>
          </cell>
          <cell r="G3778">
            <v>0.17</v>
          </cell>
          <cell r="H3778">
            <v>1</v>
          </cell>
          <cell r="I3778" t="str">
            <v>Canada</v>
          </cell>
          <cell r="J3778" t="str">
            <v>iHerb</v>
          </cell>
        </row>
        <row r="3779">
          <cell r="A3779" t="str">
            <v>15-07-2024</v>
          </cell>
          <cell r="B3779" t="str">
            <v>Vitamin C</v>
          </cell>
          <cell r="C3779" t="str">
            <v>Vitamin</v>
          </cell>
          <cell r="D3779">
            <v>131</v>
          </cell>
          <cell r="E3779">
            <v>14.07</v>
          </cell>
          <cell r="F3779">
            <v>1843.17</v>
          </cell>
          <cell r="G3779">
            <v>0.17</v>
          </cell>
          <cell r="H3779">
            <v>2</v>
          </cell>
          <cell r="I3779" t="str">
            <v>Canada</v>
          </cell>
          <cell r="J3779" t="str">
            <v>Amazon</v>
          </cell>
        </row>
        <row r="3780">
          <cell r="A3780" t="str">
            <v>15-07-2024</v>
          </cell>
          <cell r="B3780" t="str">
            <v>Fish Oil</v>
          </cell>
          <cell r="C3780" t="str">
            <v>Omega</v>
          </cell>
          <cell r="D3780">
            <v>183</v>
          </cell>
          <cell r="E3780">
            <v>36.619999999999997</v>
          </cell>
          <cell r="F3780">
            <v>6701.46</v>
          </cell>
          <cell r="G3780">
            <v>0.14000000000000001</v>
          </cell>
          <cell r="H3780">
            <v>4</v>
          </cell>
          <cell r="I3780" t="str">
            <v>Canada</v>
          </cell>
          <cell r="J3780" t="str">
            <v>iHerb</v>
          </cell>
        </row>
        <row r="3781">
          <cell r="A3781" t="str">
            <v>15-07-2024</v>
          </cell>
          <cell r="B3781" t="str">
            <v>Multivitamin</v>
          </cell>
          <cell r="C3781" t="str">
            <v>Vitamin</v>
          </cell>
          <cell r="D3781">
            <v>154</v>
          </cell>
          <cell r="E3781">
            <v>31.82</v>
          </cell>
          <cell r="F3781">
            <v>4900.28</v>
          </cell>
          <cell r="G3781">
            <v>0.16</v>
          </cell>
          <cell r="H3781">
            <v>2</v>
          </cell>
          <cell r="I3781" t="str">
            <v>UK</v>
          </cell>
          <cell r="J3781" t="str">
            <v>Walmart</v>
          </cell>
        </row>
        <row r="3782">
          <cell r="A3782" t="str">
            <v>15-07-2024</v>
          </cell>
          <cell r="B3782" t="str">
            <v>Pre-Workout</v>
          </cell>
          <cell r="C3782" t="str">
            <v>Performance</v>
          </cell>
          <cell r="D3782">
            <v>165</v>
          </cell>
          <cell r="E3782">
            <v>57.58</v>
          </cell>
          <cell r="F3782">
            <v>9500.7000000000007</v>
          </cell>
          <cell r="G3782">
            <v>0.01</v>
          </cell>
          <cell r="H3782">
            <v>5</v>
          </cell>
          <cell r="I3782" t="str">
            <v>UK</v>
          </cell>
          <cell r="J3782" t="str">
            <v>iHerb</v>
          </cell>
        </row>
        <row r="3783">
          <cell r="A3783" t="str">
            <v>15-07-2024</v>
          </cell>
          <cell r="B3783" t="str">
            <v>BCAA</v>
          </cell>
          <cell r="C3783" t="str">
            <v>Amino Acid</v>
          </cell>
          <cell r="D3783">
            <v>165</v>
          </cell>
          <cell r="E3783">
            <v>46.75</v>
          </cell>
          <cell r="F3783">
            <v>7713.75</v>
          </cell>
          <cell r="G3783">
            <v>0.02</v>
          </cell>
          <cell r="H3783">
            <v>0</v>
          </cell>
          <cell r="I3783" t="str">
            <v>UK</v>
          </cell>
          <cell r="J3783" t="str">
            <v>iHerb</v>
          </cell>
        </row>
        <row r="3784">
          <cell r="A3784" t="str">
            <v>15-07-2024</v>
          </cell>
          <cell r="B3784" t="str">
            <v>Creatine</v>
          </cell>
          <cell r="C3784" t="str">
            <v>Performance</v>
          </cell>
          <cell r="D3784">
            <v>131</v>
          </cell>
          <cell r="E3784">
            <v>37.369999999999997</v>
          </cell>
          <cell r="F3784">
            <v>4895.47</v>
          </cell>
          <cell r="G3784">
            <v>0.05</v>
          </cell>
          <cell r="H3784">
            <v>3</v>
          </cell>
          <cell r="I3784" t="str">
            <v>UK</v>
          </cell>
          <cell r="J3784" t="str">
            <v>Amazon</v>
          </cell>
        </row>
        <row r="3785">
          <cell r="A3785" t="str">
            <v>15-07-2024</v>
          </cell>
          <cell r="B3785" t="str">
            <v>Zinc</v>
          </cell>
          <cell r="C3785" t="str">
            <v>Mineral</v>
          </cell>
          <cell r="D3785">
            <v>148</v>
          </cell>
          <cell r="E3785">
            <v>42.64</v>
          </cell>
          <cell r="F3785">
            <v>6310.72</v>
          </cell>
          <cell r="G3785">
            <v>0.08</v>
          </cell>
          <cell r="H3785">
            <v>1</v>
          </cell>
          <cell r="I3785" t="str">
            <v>Canada</v>
          </cell>
          <cell r="J3785" t="str">
            <v>Walmart</v>
          </cell>
        </row>
        <row r="3786">
          <cell r="A3786" t="str">
            <v>15-07-2024</v>
          </cell>
          <cell r="B3786" t="str">
            <v>Collagen Peptides</v>
          </cell>
          <cell r="C3786" t="str">
            <v>Protein</v>
          </cell>
          <cell r="D3786">
            <v>144</v>
          </cell>
          <cell r="E3786">
            <v>39.31</v>
          </cell>
          <cell r="F3786">
            <v>5660.64</v>
          </cell>
          <cell r="G3786">
            <v>0.06</v>
          </cell>
          <cell r="H3786">
            <v>2</v>
          </cell>
          <cell r="I3786" t="str">
            <v>UK</v>
          </cell>
          <cell r="J3786" t="str">
            <v>iHerb</v>
          </cell>
        </row>
        <row r="3787">
          <cell r="A3787" t="str">
            <v>15-07-2024</v>
          </cell>
          <cell r="B3787" t="str">
            <v>Magnesium</v>
          </cell>
          <cell r="C3787" t="str">
            <v>Mineral</v>
          </cell>
          <cell r="D3787">
            <v>124</v>
          </cell>
          <cell r="E3787">
            <v>31.96</v>
          </cell>
          <cell r="F3787">
            <v>3963.04</v>
          </cell>
          <cell r="G3787">
            <v>0.18</v>
          </cell>
          <cell r="H3787">
            <v>3</v>
          </cell>
          <cell r="I3787" t="str">
            <v>Canada</v>
          </cell>
          <cell r="J3787" t="str">
            <v>iHerb</v>
          </cell>
        </row>
        <row r="3788">
          <cell r="A3788" t="str">
            <v>15-07-2024</v>
          </cell>
          <cell r="B3788" t="str">
            <v>Ashwagandha</v>
          </cell>
          <cell r="C3788" t="str">
            <v>Herbal</v>
          </cell>
          <cell r="D3788">
            <v>159</v>
          </cell>
          <cell r="E3788">
            <v>17.55</v>
          </cell>
          <cell r="F3788">
            <v>2790.45</v>
          </cell>
          <cell r="G3788">
            <v>0.2</v>
          </cell>
          <cell r="H3788">
            <v>1</v>
          </cell>
          <cell r="I3788" t="str">
            <v>UK</v>
          </cell>
          <cell r="J3788" t="str">
            <v>Walmart</v>
          </cell>
        </row>
        <row r="3789">
          <cell r="A3789" t="str">
            <v>15-07-2024</v>
          </cell>
          <cell r="B3789" t="str">
            <v>Melatonin</v>
          </cell>
          <cell r="C3789" t="str">
            <v>Sleep Aid</v>
          </cell>
          <cell r="D3789">
            <v>128</v>
          </cell>
          <cell r="E3789">
            <v>24.59</v>
          </cell>
          <cell r="F3789">
            <v>3147.52</v>
          </cell>
          <cell r="G3789">
            <v>0.01</v>
          </cell>
          <cell r="H3789">
            <v>3</v>
          </cell>
          <cell r="I3789" t="str">
            <v>Canada</v>
          </cell>
          <cell r="J3789" t="str">
            <v>Amazon</v>
          </cell>
        </row>
        <row r="3790">
          <cell r="A3790" t="str">
            <v>15-07-2024</v>
          </cell>
          <cell r="B3790" t="str">
            <v>Biotin</v>
          </cell>
          <cell r="C3790" t="str">
            <v>Vitamin</v>
          </cell>
          <cell r="D3790">
            <v>149</v>
          </cell>
          <cell r="E3790">
            <v>45.82</v>
          </cell>
          <cell r="F3790">
            <v>6827.18</v>
          </cell>
          <cell r="G3790">
            <v>0.22</v>
          </cell>
          <cell r="H3790">
            <v>0</v>
          </cell>
          <cell r="I3790" t="str">
            <v>USA</v>
          </cell>
          <cell r="J3790" t="str">
            <v>iHerb</v>
          </cell>
        </row>
        <row r="3791">
          <cell r="A3791" t="str">
            <v>15-07-2024</v>
          </cell>
          <cell r="B3791" t="str">
            <v>Green Tea Extract</v>
          </cell>
          <cell r="C3791" t="str">
            <v>Fat Burner</v>
          </cell>
          <cell r="D3791">
            <v>157</v>
          </cell>
          <cell r="E3791">
            <v>20.5</v>
          </cell>
          <cell r="F3791">
            <v>3218.5</v>
          </cell>
          <cell r="G3791">
            <v>0.12</v>
          </cell>
          <cell r="H3791">
            <v>0</v>
          </cell>
          <cell r="I3791" t="str">
            <v>UK</v>
          </cell>
          <cell r="J3791" t="str">
            <v>Amazon</v>
          </cell>
        </row>
        <row r="3792">
          <cell r="A3792" t="str">
            <v>15-07-2024</v>
          </cell>
          <cell r="B3792" t="str">
            <v>Iron Supplement</v>
          </cell>
          <cell r="C3792" t="str">
            <v>Mineral</v>
          </cell>
          <cell r="D3792">
            <v>159</v>
          </cell>
          <cell r="E3792">
            <v>15.41</v>
          </cell>
          <cell r="F3792">
            <v>2450.19</v>
          </cell>
          <cell r="G3792">
            <v>0.2</v>
          </cell>
          <cell r="H3792">
            <v>2</v>
          </cell>
          <cell r="I3792" t="str">
            <v>Canada</v>
          </cell>
          <cell r="J3792" t="str">
            <v>Amazon</v>
          </cell>
        </row>
        <row r="3793">
          <cell r="A3793" t="str">
            <v>15-07-2024</v>
          </cell>
          <cell r="B3793" t="str">
            <v>Electrolyte Powder</v>
          </cell>
          <cell r="C3793" t="str">
            <v>Hydration</v>
          </cell>
          <cell r="D3793">
            <v>144</v>
          </cell>
          <cell r="E3793">
            <v>10</v>
          </cell>
          <cell r="F3793">
            <v>1440</v>
          </cell>
          <cell r="G3793">
            <v>0.23</v>
          </cell>
          <cell r="H3793">
            <v>1</v>
          </cell>
          <cell r="I3793" t="str">
            <v>Canada</v>
          </cell>
          <cell r="J3793" t="str">
            <v>iHerb</v>
          </cell>
        </row>
        <row r="3794">
          <cell r="A3794" t="str">
            <v>22-07-2024</v>
          </cell>
          <cell r="B3794" t="str">
            <v>Whey Protein</v>
          </cell>
          <cell r="C3794" t="str">
            <v>Protein</v>
          </cell>
          <cell r="D3794">
            <v>154</v>
          </cell>
          <cell r="E3794">
            <v>38.07</v>
          </cell>
          <cell r="F3794">
            <v>5862.78</v>
          </cell>
          <cell r="G3794">
            <v>0.21</v>
          </cell>
          <cell r="H3794">
            <v>2</v>
          </cell>
          <cell r="I3794" t="str">
            <v>USA</v>
          </cell>
          <cell r="J3794" t="str">
            <v>iHerb</v>
          </cell>
        </row>
        <row r="3795">
          <cell r="A3795" t="str">
            <v>22-07-2024</v>
          </cell>
          <cell r="B3795" t="str">
            <v>Vitamin C</v>
          </cell>
          <cell r="C3795" t="str">
            <v>Vitamin</v>
          </cell>
          <cell r="D3795">
            <v>169</v>
          </cell>
          <cell r="E3795">
            <v>18.559999999999999</v>
          </cell>
          <cell r="F3795">
            <v>3136.64</v>
          </cell>
          <cell r="G3795">
            <v>0.23</v>
          </cell>
          <cell r="H3795">
            <v>2</v>
          </cell>
          <cell r="I3795" t="str">
            <v>Canada</v>
          </cell>
          <cell r="J3795" t="str">
            <v>Walmart</v>
          </cell>
        </row>
        <row r="3796">
          <cell r="A3796" t="str">
            <v>22-07-2024</v>
          </cell>
          <cell r="B3796" t="str">
            <v>Fish Oil</v>
          </cell>
          <cell r="C3796" t="str">
            <v>Omega</v>
          </cell>
          <cell r="D3796">
            <v>128</v>
          </cell>
          <cell r="E3796">
            <v>21.95</v>
          </cell>
          <cell r="F3796">
            <v>2809.6</v>
          </cell>
          <cell r="G3796">
            <v>0.16</v>
          </cell>
          <cell r="H3796">
            <v>2</v>
          </cell>
          <cell r="I3796" t="str">
            <v>UK</v>
          </cell>
          <cell r="J3796" t="str">
            <v>iHerb</v>
          </cell>
        </row>
        <row r="3797">
          <cell r="A3797" t="str">
            <v>22-07-2024</v>
          </cell>
          <cell r="B3797" t="str">
            <v>Multivitamin</v>
          </cell>
          <cell r="C3797" t="str">
            <v>Vitamin</v>
          </cell>
          <cell r="D3797">
            <v>157</v>
          </cell>
          <cell r="E3797">
            <v>40.39</v>
          </cell>
          <cell r="F3797">
            <v>6341.23</v>
          </cell>
          <cell r="G3797">
            <v>0.24</v>
          </cell>
          <cell r="H3797">
            <v>5</v>
          </cell>
          <cell r="I3797" t="str">
            <v>Canada</v>
          </cell>
          <cell r="J3797" t="str">
            <v>iHerb</v>
          </cell>
        </row>
        <row r="3798">
          <cell r="A3798" t="str">
            <v>22-07-2024</v>
          </cell>
          <cell r="B3798" t="str">
            <v>Pre-Workout</v>
          </cell>
          <cell r="C3798" t="str">
            <v>Performance</v>
          </cell>
          <cell r="D3798">
            <v>155</v>
          </cell>
          <cell r="E3798">
            <v>20.02</v>
          </cell>
          <cell r="F3798">
            <v>3103.1</v>
          </cell>
          <cell r="G3798">
            <v>0.06</v>
          </cell>
          <cell r="H3798">
            <v>4</v>
          </cell>
          <cell r="I3798" t="str">
            <v>UK</v>
          </cell>
          <cell r="J3798" t="str">
            <v>Amazon</v>
          </cell>
        </row>
        <row r="3799">
          <cell r="A3799" t="str">
            <v>22-07-2024</v>
          </cell>
          <cell r="B3799" t="str">
            <v>BCAA</v>
          </cell>
          <cell r="C3799" t="str">
            <v>Amino Acid</v>
          </cell>
          <cell r="D3799">
            <v>134</v>
          </cell>
          <cell r="E3799">
            <v>31.03</v>
          </cell>
          <cell r="F3799">
            <v>4158.0200000000004</v>
          </cell>
          <cell r="G3799">
            <v>0.15</v>
          </cell>
          <cell r="H3799">
            <v>1</v>
          </cell>
          <cell r="I3799" t="str">
            <v>Canada</v>
          </cell>
          <cell r="J3799" t="str">
            <v>Amazon</v>
          </cell>
        </row>
        <row r="3800">
          <cell r="A3800" t="str">
            <v>22-07-2024</v>
          </cell>
          <cell r="B3800" t="str">
            <v>Creatine</v>
          </cell>
          <cell r="C3800" t="str">
            <v>Performance</v>
          </cell>
          <cell r="D3800">
            <v>142</v>
          </cell>
          <cell r="E3800">
            <v>55.75</v>
          </cell>
          <cell r="F3800">
            <v>7916.5</v>
          </cell>
          <cell r="G3800">
            <v>0.1</v>
          </cell>
          <cell r="H3800">
            <v>1</v>
          </cell>
          <cell r="I3800" t="str">
            <v>Canada</v>
          </cell>
          <cell r="J3800" t="str">
            <v>Amazon</v>
          </cell>
        </row>
        <row r="3801">
          <cell r="A3801" t="str">
            <v>22-07-2024</v>
          </cell>
          <cell r="B3801" t="str">
            <v>Zinc</v>
          </cell>
          <cell r="C3801" t="str">
            <v>Mineral</v>
          </cell>
          <cell r="D3801">
            <v>157</v>
          </cell>
          <cell r="E3801">
            <v>29.11</v>
          </cell>
          <cell r="F3801">
            <v>4570.2700000000004</v>
          </cell>
          <cell r="G3801">
            <v>0.1</v>
          </cell>
          <cell r="H3801">
            <v>1</v>
          </cell>
          <cell r="I3801" t="str">
            <v>Canada</v>
          </cell>
          <cell r="J3801" t="str">
            <v>Amazon</v>
          </cell>
        </row>
        <row r="3802">
          <cell r="A3802" t="str">
            <v>22-07-2024</v>
          </cell>
          <cell r="B3802" t="str">
            <v>Collagen Peptides</v>
          </cell>
          <cell r="C3802" t="str">
            <v>Protein</v>
          </cell>
          <cell r="D3802">
            <v>140</v>
          </cell>
          <cell r="E3802">
            <v>44.32</v>
          </cell>
          <cell r="F3802">
            <v>6204.8</v>
          </cell>
          <cell r="G3802">
            <v>0.19</v>
          </cell>
          <cell r="H3802">
            <v>2</v>
          </cell>
          <cell r="I3802" t="str">
            <v>Canada</v>
          </cell>
          <cell r="J3802" t="str">
            <v>Amazon</v>
          </cell>
        </row>
        <row r="3803">
          <cell r="A3803" t="str">
            <v>22-07-2024</v>
          </cell>
          <cell r="B3803" t="str">
            <v>Magnesium</v>
          </cell>
          <cell r="C3803" t="str">
            <v>Mineral</v>
          </cell>
          <cell r="D3803">
            <v>145</v>
          </cell>
          <cell r="E3803">
            <v>10.33</v>
          </cell>
          <cell r="F3803">
            <v>1497.85</v>
          </cell>
          <cell r="G3803">
            <v>0.12</v>
          </cell>
          <cell r="H3803">
            <v>2</v>
          </cell>
          <cell r="I3803" t="str">
            <v>UK</v>
          </cell>
          <cell r="J3803" t="str">
            <v>iHerb</v>
          </cell>
        </row>
        <row r="3804">
          <cell r="A3804" t="str">
            <v>22-07-2024</v>
          </cell>
          <cell r="B3804" t="str">
            <v>Ashwagandha</v>
          </cell>
          <cell r="C3804" t="str">
            <v>Herbal</v>
          </cell>
          <cell r="D3804">
            <v>155</v>
          </cell>
          <cell r="E3804">
            <v>42.23</v>
          </cell>
          <cell r="F3804">
            <v>6545.65</v>
          </cell>
          <cell r="G3804">
            <v>0.23</v>
          </cell>
          <cell r="H3804">
            <v>2</v>
          </cell>
          <cell r="I3804" t="str">
            <v>Canada</v>
          </cell>
          <cell r="J3804" t="str">
            <v>Walmart</v>
          </cell>
        </row>
        <row r="3805">
          <cell r="A3805" t="str">
            <v>22-07-2024</v>
          </cell>
          <cell r="B3805" t="str">
            <v>Melatonin</v>
          </cell>
          <cell r="C3805" t="str">
            <v>Sleep Aid</v>
          </cell>
          <cell r="D3805">
            <v>158</v>
          </cell>
          <cell r="E3805">
            <v>11.87</v>
          </cell>
          <cell r="F3805">
            <v>1875.46</v>
          </cell>
          <cell r="G3805">
            <v>0.09</v>
          </cell>
          <cell r="H3805">
            <v>2</v>
          </cell>
          <cell r="I3805" t="str">
            <v>UK</v>
          </cell>
          <cell r="J3805" t="str">
            <v>iHerb</v>
          </cell>
        </row>
        <row r="3806">
          <cell r="A3806" t="str">
            <v>22-07-2024</v>
          </cell>
          <cell r="B3806" t="str">
            <v>Biotin</v>
          </cell>
          <cell r="C3806" t="str">
            <v>Vitamin</v>
          </cell>
          <cell r="D3806">
            <v>162</v>
          </cell>
          <cell r="E3806">
            <v>58</v>
          </cell>
          <cell r="F3806">
            <v>9396</v>
          </cell>
          <cell r="G3806">
            <v>7.0000000000000007E-2</v>
          </cell>
          <cell r="H3806">
            <v>2</v>
          </cell>
          <cell r="I3806" t="str">
            <v>UK</v>
          </cell>
          <cell r="J3806" t="str">
            <v>Amazon</v>
          </cell>
        </row>
        <row r="3807">
          <cell r="A3807" t="str">
            <v>22-07-2024</v>
          </cell>
          <cell r="B3807" t="str">
            <v>Green Tea Extract</v>
          </cell>
          <cell r="C3807" t="str">
            <v>Fat Burner</v>
          </cell>
          <cell r="D3807">
            <v>147</v>
          </cell>
          <cell r="E3807">
            <v>50.13</v>
          </cell>
          <cell r="F3807">
            <v>7369.11</v>
          </cell>
          <cell r="G3807">
            <v>7.0000000000000007E-2</v>
          </cell>
          <cell r="H3807">
            <v>0</v>
          </cell>
          <cell r="I3807" t="str">
            <v>USA</v>
          </cell>
          <cell r="J3807" t="str">
            <v>iHerb</v>
          </cell>
        </row>
        <row r="3808">
          <cell r="A3808" t="str">
            <v>22-07-2024</v>
          </cell>
          <cell r="B3808" t="str">
            <v>Iron Supplement</v>
          </cell>
          <cell r="C3808" t="str">
            <v>Mineral</v>
          </cell>
          <cell r="D3808">
            <v>151</v>
          </cell>
          <cell r="E3808">
            <v>49.86</v>
          </cell>
          <cell r="F3808">
            <v>7528.86</v>
          </cell>
          <cell r="G3808">
            <v>0.24</v>
          </cell>
          <cell r="H3808">
            <v>0</v>
          </cell>
          <cell r="I3808" t="str">
            <v>USA</v>
          </cell>
          <cell r="J3808" t="str">
            <v>iHerb</v>
          </cell>
        </row>
        <row r="3809">
          <cell r="A3809" t="str">
            <v>22-07-2024</v>
          </cell>
          <cell r="B3809" t="str">
            <v>Electrolyte Powder</v>
          </cell>
          <cell r="C3809" t="str">
            <v>Hydration</v>
          </cell>
          <cell r="D3809">
            <v>153</v>
          </cell>
          <cell r="E3809">
            <v>59.29</v>
          </cell>
          <cell r="F3809">
            <v>9071.3700000000008</v>
          </cell>
          <cell r="G3809">
            <v>0.24</v>
          </cell>
          <cell r="H3809">
            <v>2</v>
          </cell>
          <cell r="I3809" t="str">
            <v>USA</v>
          </cell>
          <cell r="J3809" t="str">
            <v>Amazon</v>
          </cell>
        </row>
        <row r="3810">
          <cell r="A3810" t="str">
            <v>29-07-2024</v>
          </cell>
          <cell r="B3810" t="str">
            <v>Whey Protein</v>
          </cell>
          <cell r="C3810" t="str">
            <v>Protein</v>
          </cell>
          <cell r="D3810">
            <v>151</v>
          </cell>
          <cell r="E3810">
            <v>29.21</v>
          </cell>
          <cell r="F3810">
            <v>4410.71</v>
          </cell>
          <cell r="G3810">
            <v>0.15</v>
          </cell>
          <cell r="H3810">
            <v>2</v>
          </cell>
          <cell r="I3810" t="str">
            <v>Canada</v>
          </cell>
          <cell r="J3810" t="str">
            <v>iHerb</v>
          </cell>
        </row>
        <row r="3811">
          <cell r="A3811" t="str">
            <v>29-07-2024</v>
          </cell>
          <cell r="B3811" t="str">
            <v>Vitamin C</v>
          </cell>
          <cell r="C3811" t="str">
            <v>Vitamin</v>
          </cell>
          <cell r="D3811">
            <v>155</v>
          </cell>
          <cell r="E3811">
            <v>31.46</v>
          </cell>
          <cell r="F3811">
            <v>4876.3</v>
          </cell>
          <cell r="G3811">
            <v>0.18</v>
          </cell>
          <cell r="H3811">
            <v>0</v>
          </cell>
          <cell r="I3811" t="str">
            <v>Canada</v>
          </cell>
          <cell r="J3811" t="str">
            <v>iHerb</v>
          </cell>
        </row>
        <row r="3812">
          <cell r="A3812" t="str">
            <v>29-07-2024</v>
          </cell>
          <cell r="B3812" t="str">
            <v>Fish Oil</v>
          </cell>
          <cell r="C3812" t="str">
            <v>Omega</v>
          </cell>
          <cell r="D3812">
            <v>136</v>
          </cell>
          <cell r="E3812">
            <v>54.54</v>
          </cell>
          <cell r="F3812">
            <v>7417.44</v>
          </cell>
          <cell r="G3812">
            <v>0.02</v>
          </cell>
          <cell r="H3812">
            <v>2</v>
          </cell>
          <cell r="I3812" t="str">
            <v>UK</v>
          </cell>
          <cell r="J3812" t="str">
            <v>Walmart</v>
          </cell>
        </row>
        <row r="3813">
          <cell r="A3813" t="str">
            <v>29-07-2024</v>
          </cell>
          <cell r="B3813" t="str">
            <v>Multivitamin</v>
          </cell>
          <cell r="C3813" t="str">
            <v>Vitamin</v>
          </cell>
          <cell r="D3813">
            <v>140</v>
          </cell>
          <cell r="E3813">
            <v>55.8</v>
          </cell>
          <cell r="F3813">
            <v>7812</v>
          </cell>
          <cell r="G3813">
            <v>0.15</v>
          </cell>
          <cell r="H3813">
            <v>0</v>
          </cell>
          <cell r="I3813" t="str">
            <v>Canada</v>
          </cell>
          <cell r="J3813" t="str">
            <v>Amazon</v>
          </cell>
        </row>
        <row r="3814">
          <cell r="A3814" t="str">
            <v>29-07-2024</v>
          </cell>
          <cell r="B3814" t="str">
            <v>Pre-Workout</v>
          </cell>
          <cell r="C3814" t="str">
            <v>Performance</v>
          </cell>
          <cell r="D3814">
            <v>142</v>
          </cell>
          <cell r="E3814">
            <v>31.36</v>
          </cell>
          <cell r="F3814">
            <v>4453.12</v>
          </cell>
          <cell r="G3814">
            <v>0.15</v>
          </cell>
          <cell r="H3814">
            <v>1</v>
          </cell>
          <cell r="I3814" t="str">
            <v>Canada</v>
          </cell>
          <cell r="J3814" t="str">
            <v>Amazon</v>
          </cell>
        </row>
        <row r="3815">
          <cell r="A3815" t="str">
            <v>29-07-2024</v>
          </cell>
          <cell r="B3815" t="str">
            <v>BCAA</v>
          </cell>
          <cell r="C3815" t="str">
            <v>Amino Acid</v>
          </cell>
          <cell r="D3815">
            <v>146</v>
          </cell>
          <cell r="E3815">
            <v>44.31</v>
          </cell>
          <cell r="F3815">
            <v>6469.26</v>
          </cell>
          <cell r="G3815">
            <v>0.18</v>
          </cell>
          <cell r="H3815">
            <v>1</v>
          </cell>
          <cell r="I3815" t="str">
            <v>USA</v>
          </cell>
          <cell r="J3815" t="str">
            <v>Walmart</v>
          </cell>
        </row>
        <row r="3816">
          <cell r="A3816" t="str">
            <v>29-07-2024</v>
          </cell>
          <cell r="B3816" t="str">
            <v>Creatine</v>
          </cell>
          <cell r="C3816" t="str">
            <v>Performance</v>
          </cell>
          <cell r="D3816">
            <v>161</v>
          </cell>
          <cell r="E3816">
            <v>56.03</v>
          </cell>
          <cell r="F3816">
            <v>9020.83</v>
          </cell>
          <cell r="G3816">
            <v>0.04</v>
          </cell>
          <cell r="H3816">
            <v>1</v>
          </cell>
          <cell r="I3816" t="str">
            <v>Canada</v>
          </cell>
          <cell r="J3816" t="str">
            <v>iHerb</v>
          </cell>
        </row>
        <row r="3817">
          <cell r="A3817" t="str">
            <v>29-07-2024</v>
          </cell>
          <cell r="B3817" t="str">
            <v>Zinc</v>
          </cell>
          <cell r="C3817" t="str">
            <v>Mineral</v>
          </cell>
          <cell r="D3817">
            <v>165</v>
          </cell>
          <cell r="E3817">
            <v>10.17</v>
          </cell>
          <cell r="F3817">
            <v>1678.05</v>
          </cell>
          <cell r="G3817">
            <v>0.22</v>
          </cell>
          <cell r="H3817">
            <v>1</v>
          </cell>
          <cell r="I3817" t="str">
            <v>Canada</v>
          </cell>
          <cell r="J3817" t="str">
            <v>Walmart</v>
          </cell>
        </row>
        <row r="3818">
          <cell r="A3818" t="str">
            <v>29-07-2024</v>
          </cell>
          <cell r="B3818" t="str">
            <v>Collagen Peptides</v>
          </cell>
          <cell r="C3818" t="str">
            <v>Protein</v>
          </cell>
          <cell r="D3818">
            <v>147</v>
          </cell>
          <cell r="E3818">
            <v>52.41</v>
          </cell>
          <cell r="F3818">
            <v>7704.27</v>
          </cell>
          <cell r="G3818">
            <v>0.08</v>
          </cell>
          <cell r="H3818">
            <v>3</v>
          </cell>
          <cell r="I3818" t="str">
            <v>UK</v>
          </cell>
          <cell r="J3818" t="str">
            <v>iHerb</v>
          </cell>
        </row>
        <row r="3819">
          <cell r="A3819" t="str">
            <v>29-07-2024</v>
          </cell>
          <cell r="B3819" t="str">
            <v>Magnesium</v>
          </cell>
          <cell r="C3819" t="str">
            <v>Mineral</v>
          </cell>
          <cell r="D3819">
            <v>154</v>
          </cell>
          <cell r="E3819">
            <v>26.28</v>
          </cell>
          <cell r="F3819">
            <v>4047.12</v>
          </cell>
          <cell r="G3819">
            <v>0.06</v>
          </cell>
          <cell r="H3819">
            <v>2</v>
          </cell>
          <cell r="I3819" t="str">
            <v>UK</v>
          </cell>
          <cell r="J3819" t="str">
            <v>Walmart</v>
          </cell>
        </row>
        <row r="3820">
          <cell r="A3820" t="str">
            <v>29-07-2024</v>
          </cell>
          <cell r="B3820" t="str">
            <v>Ashwagandha</v>
          </cell>
          <cell r="C3820" t="str">
            <v>Herbal</v>
          </cell>
          <cell r="D3820">
            <v>148</v>
          </cell>
          <cell r="E3820">
            <v>34.58</v>
          </cell>
          <cell r="F3820">
            <v>5117.84</v>
          </cell>
          <cell r="G3820">
            <v>0.13</v>
          </cell>
          <cell r="H3820">
            <v>1</v>
          </cell>
          <cell r="I3820" t="str">
            <v>Canada</v>
          </cell>
          <cell r="J3820" t="str">
            <v>Walmart</v>
          </cell>
        </row>
        <row r="3821">
          <cell r="A3821" t="str">
            <v>29-07-2024</v>
          </cell>
          <cell r="B3821" t="str">
            <v>Melatonin</v>
          </cell>
          <cell r="C3821" t="str">
            <v>Sleep Aid</v>
          </cell>
          <cell r="D3821">
            <v>161</v>
          </cell>
          <cell r="E3821">
            <v>23.47</v>
          </cell>
          <cell r="F3821">
            <v>3778.67</v>
          </cell>
          <cell r="G3821">
            <v>0.22</v>
          </cell>
          <cell r="H3821">
            <v>2</v>
          </cell>
          <cell r="I3821" t="str">
            <v>Canada</v>
          </cell>
          <cell r="J3821" t="str">
            <v>Walmart</v>
          </cell>
        </row>
        <row r="3822">
          <cell r="A3822" t="str">
            <v>29-07-2024</v>
          </cell>
          <cell r="B3822" t="str">
            <v>Biotin</v>
          </cell>
          <cell r="C3822" t="str">
            <v>Vitamin</v>
          </cell>
          <cell r="D3822">
            <v>153</v>
          </cell>
          <cell r="E3822">
            <v>45.94</v>
          </cell>
          <cell r="F3822">
            <v>7028.82</v>
          </cell>
          <cell r="G3822">
            <v>0.08</v>
          </cell>
          <cell r="H3822">
            <v>0</v>
          </cell>
          <cell r="I3822" t="str">
            <v>USA</v>
          </cell>
          <cell r="J3822" t="str">
            <v>Amazon</v>
          </cell>
        </row>
        <row r="3823">
          <cell r="A3823" t="str">
            <v>29-07-2024</v>
          </cell>
          <cell r="B3823" t="str">
            <v>Green Tea Extract</v>
          </cell>
          <cell r="C3823" t="str">
            <v>Fat Burner</v>
          </cell>
          <cell r="D3823">
            <v>162</v>
          </cell>
          <cell r="E3823">
            <v>46.09</v>
          </cell>
          <cell r="F3823">
            <v>7466.58</v>
          </cell>
          <cell r="G3823">
            <v>0.02</v>
          </cell>
          <cell r="H3823">
            <v>1</v>
          </cell>
          <cell r="I3823" t="str">
            <v>Canada</v>
          </cell>
          <cell r="J3823" t="str">
            <v>Walmart</v>
          </cell>
        </row>
        <row r="3824">
          <cell r="A3824" t="str">
            <v>29-07-2024</v>
          </cell>
          <cell r="B3824" t="str">
            <v>Iron Supplement</v>
          </cell>
          <cell r="C3824" t="str">
            <v>Mineral</v>
          </cell>
          <cell r="D3824">
            <v>126</v>
          </cell>
          <cell r="E3824">
            <v>42.66</v>
          </cell>
          <cell r="F3824">
            <v>5375.16</v>
          </cell>
          <cell r="G3824">
            <v>0.04</v>
          </cell>
          <cell r="H3824">
            <v>1</v>
          </cell>
          <cell r="I3824" t="str">
            <v>USA</v>
          </cell>
          <cell r="J3824" t="str">
            <v>Walmart</v>
          </cell>
        </row>
        <row r="3825">
          <cell r="A3825" t="str">
            <v>29-07-2024</v>
          </cell>
          <cell r="B3825" t="str">
            <v>Electrolyte Powder</v>
          </cell>
          <cell r="C3825" t="str">
            <v>Hydration</v>
          </cell>
          <cell r="D3825">
            <v>173</v>
          </cell>
          <cell r="E3825">
            <v>50.13</v>
          </cell>
          <cell r="F3825">
            <v>8672.49</v>
          </cell>
          <cell r="G3825">
            <v>0.23</v>
          </cell>
          <cell r="H3825">
            <v>5</v>
          </cell>
          <cell r="I3825" t="str">
            <v>UK</v>
          </cell>
          <cell r="J3825" t="str">
            <v>Amazon</v>
          </cell>
        </row>
        <row r="3826">
          <cell r="A3826" t="str">
            <v>05-08-2024</v>
          </cell>
          <cell r="B3826" t="str">
            <v>Whey Protein</v>
          </cell>
          <cell r="C3826" t="str">
            <v>Protein</v>
          </cell>
          <cell r="D3826">
            <v>168</v>
          </cell>
          <cell r="E3826">
            <v>58.13</v>
          </cell>
          <cell r="F3826">
            <v>9765.84</v>
          </cell>
          <cell r="G3826">
            <v>0.2</v>
          </cell>
          <cell r="H3826">
            <v>3</v>
          </cell>
          <cell r="I3826" t="str">
            <v>UK</v>
          </cell>
          <cell r="J3826" t="str">
            <v>Walmart</v>
          </cell>
        </row>
        <row r="3827">
          <cell r="A3827" t="str">
            <v>05-08-2024</v>
          </cell>
          <cell r="B3827" t="str">
            <v>Vitamin C</v>
          </cell>
          <cell r="C3827" t="str">
            <v>Vitamin</v>
          </cell>
          <cell r="D3827">
            <v>161</v>
          </cell>
          <cell r="E3827">
            <v>14.08</v>
          </cell>
          <cell r="F3827">
            <v>2266.88</v>
          </cell>
          <cell r="G3827">
            <v>0.06</v>
          </cell>
          <cell r="H3827">
            <v>4</v>
          </cell>
          <cell r="I3827" t="str">
            <v>Canada</v>
          </cell>
          <cell r="J3827" t="str">
            <v>Walmart</v>
          </cell>
        </row>
        <row r="3828">
          <cell r="A3828" t="str">
            <v>05-08-2024</v>
          </cell>
          <cell r="B3828" t="str">
            <v>Fish Oil</v>
          </cell>
          <cell r="C3828" t="str">
            <v>Omega</v>
          </cell>
          <cell r="D3828">
            <v>150</v>
          </cell>
          <cell r="E3828">
            <v>52</v>
          </cell>
          <cell r="F3828">
            <v>7800</v>
          </cell>
          <cell r="G3828">
            <v>0.02</v>
          </cell>
          <cell r="H3828">
            <v>1</v>
          </cell>
          <cell r="I3828" t="str">
            <v>Canada</v>
          </cell>
          <cell r="J3828" t="str">
            <v>Amazon</v>
          </cell>
        </row>
        <row r="3829">
          <cell r="A3829" t="str">
            <v>05-08-2024</v>
          </cell>
          <cell r="B3829" t="str">
            <v>Multivitamin</v>
          </cell>
          <cell r="C3829" t="str">
            <v>Vitamin</v>
          </cell>
          <cell r="D3829">
            <v>145</v>
          </cell>
          <cell r="E3829">
            <v>25.38</v>
          </cell>
          <cell r="F3829">
            <v>3680.1</v>
          </cell>
          <cell r="G3829">
            <v>0.05</v>
          </cell>
          <cell r="H3829">
            <v>0</v>
          </cell>
          <cell r="I3829" t="str">
            <v>Canada</v>
          </cell>
          <cell r="J3829" t="str">
            <v>Walmart</v>
          </cell>
        </row>
        <row r="3830">
          <cell r="A3830" t="str">
            <v>05-08-2024</v>
          </cell>
          <cell r="B3830" t="str">
            <v>Pre-Workout</v>
          </cell>
          <cell r="C3830" t="str">
            <v>Performance</v>
          </cell>
          <cell r="D3830">
            <v>155</v>
          </cell>
          <cell r="E3830">
            <v>35.44</v>
          </cell>
          <cell r="F3830">
            <v>5493.2</v>
          </cell>
          <cell r="G3830">
            <v>7.0000000000000007E-2</v>
          </cell>
          <cell r="H3830">
            <v>0</v>
          </cell>
          <cell r="I3830" t="str">
            <v>Canada</v>
          </cell>
          <cell r="J3830" t="str">
            <v>Amazon</v>
          </cell>
        </row>
        <row r="3831">
          <cell r="A3831" t="str">
            <v>05-08-2024</v>
          </cell>
          <cell r="B3831" t="str">
            <v>BCAA</v>
          </cell>
          <cell r="C3831" t="str">
            <v>Amino Acid</v>
          </cell>
          <cell r="D3831">
            <v>144</v>
          </cell>
          <cell r="E3831">
            <v>40.07</v>
          </cell>
          <cell r="F3831">
            <v>5770.08</v>
          </cell>
          <cell r="G3831">
            <v>0.19</v>
          </cell>
          <cell r="H3831">
            <v>1</v>
          </cell>
          <cell r="I3831" t="str">
            <v>UK</v>
          </cell>
          <cell r="J3831" t="str">
            <v>Amazon</v>
          </cell>
        </row>
        <row r="3832">
          <cell r="A3832" t="str">
            <v>05-08-2024</v>
          </cell>
          <cell r="B3832" t="str">
            <v>Creatine</v>
          </cell>
          <cell r="C3832" t="str">
            <v>Performance</v>
          </cell>
          <cell r="D3832">
            <v>155</v>
          </cell>
          <cell r="E3832">
            <v>58.03</v>
          </cell>
          <cell r="F3832">
            <v>8994.65</v>
          </cell>
          <cell r="G3832">
            <v>0.04</v>
          </cell>
          <cell r="H3832">
            <v>6</v>
          </cell>
          <cell r="I3832" t="str">
            <v>Canada</v>
          </cell>
          <cell r="J3832" t="str">
            <v>iHerb</v>
          </cell>
        </row>
        <row r="3833">
          <cell r="A3833" t="str">
            <v>05-08-2024</v>
          </cell>
          <cell r="B3833" t="str">
            <v>Zinc</v>
          </cell>
          <cell r="C3833" t="str">
            <v>Mineral</v>
          </cell>
          <cell r="D3833">
            <v>146</v>
          </cell>
          <cell r="E3833">
            <v>38.619999999999997</v>
          </cell>
          <cell r="F3833">
            <v>5638.52</v>
          </cell>
          <cell r="G3833">
            <v>0.12</v>
          </cell>
          <cell r="H3833">
            <v>2</v>
          </cell>
          <cell r="I3833" t="str">
            <v>UK</v>
          </cell>
          <cell r="J3833" t="str">
            <v>iHerb</v>
          </cell>
        </row>
        <row r="3834">
          <cell r="A3834" t="str">
            <v>05-08-2024</v>
          </cell>
          <cell r="B3834" t="str">
            <v>Collagen Peptides</v>
          </cell>
          <cell r="C3834" t="str">
            <v>Protein</v>
          </cell>
          <cell r="D3834">
            <v>146</v>
          </cell>
          <cell r="E3834">
            <v>34.44</v>
          </cell>
          <cell r="F3834">
            <v>5028.24</v>
          </cell>
          <cell r="G3834">
            <v>0.13</v>
          </cell>
          <cell r="H3834">
            <v>0</v>
          </cell>
          <cell r="I3834" t="str">
            <v>USA</v>
          </cell>
          <cell r="J3834" t="str">
            <v>iHerb</v>
          </cell>
        </row>
        <row r="3835">
          <cell r="A3835" t="str">
            <v>05-08-2024</v>
          </cell>
          <cell r="B3835" t="str">
            <v>Magnesium</v>
          </cell>
          <cell r="C3835" t="str">
            <v>Mineral</v>
          </cell>
          <cell r="D3835">
            <v>174</v>
          </cell>
          <cell r="E3835">
            <v>30.46</v>
          </cell>
          <cell r="F3835">
            <v>5300.04</v>
          </cell>
          <cell r="G3835">
            <v>0.04</v>
          </cell>
          <cell r="H3835">
            <v>2</v>
          </cell>
          <cell r="I3835" t="str">
            <v>Canada</v>
          </cell>
          <cell r="J3835" t="str">
            <v>Walmart</v>
          </cell>
        </row>
        <row r="3836">
          <cell r="A3836" t="str">
            <v>05-08-2024</v>
          </cell>
          <cell r="B3836" t="str">
            <v>Ashwagandha</v>
          </cell>
          <cell r="C3836" t="str">
            <v>Herbal</v>
          </cell>
          <cell r="D3836">
            <v>143</v>
          </cell>
          <cell r="E3836">
            <v>21.23</v>
          </cell>
          <cell r="F3836">
            <v>3035.89</v>
          </cell>
          <cell r="G3836">
            <v>0.01</v>
          </cell>
          <cell r="H3836">
            <v>2</v>
          </cell>
          <cell r="I3836" t="str">
            <v>Canada</v>
          </cell>
          <cell r="J3836" t="str">
            <v>Amazon</v>
          </cell>
        </row>
        <row r="3837">
          <cell r="A3837" t="str">
            <v>05-08-2024</v>
          </cell>
          <cell r="B3837" t="str">
            <v>Melatonin</v>
          </cell>
          <cell r="C3837" t="str">
            <v>Sleep Aid</v>
          </cell>
          <cell r="D3837">
            <v>155</v>
          </cell>
          <cell r="E3837">
            <v>12.37</v>
          </cell>
          <cell r="F3837">
            <v>1917.35</v>
          </cell>
          <cell r="G3837">
            <v>0.22</v>
          </cell>
          <cell r="H3837">
            <v>0</v>
          </cell>
          <cell r="I3837" t="str">
            <v>UK</v>
          </cell>
          <cell r="J3837" t="str">
            <v>iHerb</v>
          </cell>
        </row>
        <row r="3838">
          <cell r="A3838" t="str">
            <v>05-08-2024</v>
          </cell>
          <cell r="B3838" t="str">
            <v>Biotin</v>
          </cell>
          <cell r="C3838" t="str">
            <v>Vitamin</v>
          </cell>
          <cell r="D3838">
            <v>173</v>
          </cell>
          <cell r="E3838">
            <v>27.02</v>
          </cell>
          <cell r="F3838">
            <v>4674.46</v>
          </cell>
          <cell r="G3838">
            <v>0.19</v>
          </cell>
          <cell r="H3838">
            <v>3</v>
          </cell>
          <cell r="I3838" t="str">
            <v>USA</v>
          </cell>
          <cell r="J3838" t="str">
            <v>iHerb</v>
          </cell>
        </row>
        <row r="3839">
          <cell r="A3839" t="str">
            <v>05-08-2024</v>
          </cell>
          <cell r="B3839" t="str">
            <v>Green Tea Extract</v>
          </cell>
          <cell r="C3839" t="str">
            <v>Fat Burner</v>
          </cell>
          <cell r="D3839">
            <v>145</v>
          </cell>
          <cell r="E3839">
            <v>31.66</v>
          </cell>
          <cell r="F3839">
            <v>4590.7</v>
          </cell>
          <cell r="G3839">
            <v>0.23</v>
          </cell>
          <cell r="H3839">
            <v>2</v>
          </cell>
          <cell r="I3839" t="str">
            <v>USA</v>
          </cell>
          <cell r="J3839" t="str">
            <v>iHerb</v>
          </cell>
        </row>
        <row r="3840">
          <cell r="A3840" t="str">
            <v>05-08-2024</v>
          </cell>
          <cell r="B3840" t="str">
            <v>Iron Supplement</v>
          </cell>
          <cell r="C3840" t="str">
            <v>Mineral</v>
          </cell>
          <cell r="D3840">
            <v>140</v>
          </cell>
          <cell r="E3840">
            <v>21.52</v>
          </cell>
          <cell r="F3840">
            <v>3012.8</v>
          </cell>
          <cell r="G3840">
            <v>7.0000000000000007E-2</v>
          </cell>
          <cell r="H3840">
            <v>0</v>
          </cell>
          <cell r="I3840" t="str">
            <v>Canada</v>
          </cell>
          <cell r="J3840" t="str">
            <v>iHerb</v>
          </cell>
        </row>
        <row r="3841">
          <cell r="A3841" t="str">
            <v>05-08-2024</v>
          </cell>
          <cell r="B3841" t="str">
            <v>Electrolyte Powder</v>
          </cell>
          <cell r="C3841" t="str">
            <v>Hydration</v>
          </cell>
          <cell r="D3841">
            <v>156</v>
          </cell>
          <cell r="E3841">
            <v>29.37</v>
          </cell>
          <cell r="F3841">
            <v>4581.72</v>
          </cell>
          <cell r="G3841">
            <v>0.16</v>
          </cell>
          <cell r="H3841">
            <v>1</v>
          </cell>
          <cell r="I3841" t="str">
            <v>UK</v>
          </cell>
          <cell r="J3841" t="str">
            <v>Amazon</v>
          </cell>
        </row>
        <row r="3842">
          <cell r="A3842" t="str">
            <v>12-08-2024</v>
          </cell>
          <cell r="B3842" t="str">
            <v>Whey Protein</v>
          </cell>
          <cell r="C3842" t="str">
            <v>Protein</v>
          </cell>
          <cell r="D3842">
            <v>126</v>
          </cell>
          <cell r="E3842">
            <v>16.3</v>
          </cell>
          <cell r="F3842">
            <v>2053.8000000000002</v>
          </cell>
          <cell r="G3842">
            <v>0.21</v>
          </cell>
          <cell r="H3842">
            <v>2</v>
          </cell>
          <cell r="I3842" t="str">
            <v>UK</v>
          </cell>
          <cell r="J3842" t="str">
            <v>Walmart</v>
          </cell>
        </row>
        <row r="3843">
          <cell r="A3843" t="str">
            <v>12-08-2024</v>
          </cell>
          <cell r="B3843" t="str">
            <v>Vitamin C</v>
          </cell>
          <cell r="C3843" t="str">
            <v>Vitamin</v>
          </cell>
          <cell r="D3843">
            <v>126</v>
          </cell>
          <cell r="E3843">
            <v>23.93</v>
          </cell>
          <cell r="F3843">
            <v>3015.18</v>
          </cell>
          <cell r="G3843">
            <v>0.14000000000000001</v>
          </cell>
          <cell r="H3843">
            <v>1</v>
          </cell>
          <cell r="I3843" t="str">
            <v>Canada</v>
          </cell>
          <cell r="J3843" t="str">
            <v>iHerb</v>
          </cell>
        </row>
        <row r="3844">
          <cell r="A3844" t="str">
            <v>12-08-2024</v>
          </cell>
          <cell r="B3844" t="str">
            <v>Fish Oil</v>
          </cell>
          <cell r="C3844" t="str">
            <v>Omega</v>
          </cell>
          <cell r="D3844">
            <v>149</v>
          </cell>
          <cell r="E3844">
            <v>16.89</v>
          </cell>
          <cell r="F3844">
            <v>2516.61</v>
          </cell>
          <cell r="G3844">
            <v>0.19</v>
          </cell>
          <cell r="H3844">
            <v>3</v>
          </cell>
          <cell r="I3844" t="str">
            <v>UK</v>
          </cell>
          <cell r="J3844" t="str">
            <v>Amazon</v>
          </cell>
        </row>
        <row r="3845">
          <cell r="A3845" t="str">
            <v>12-08-2024</v>
          </cell>
          <cell r="B3845" t="str">
            <v>Multivitamin</v>
          </cell>
          <cell r="C3845" t="str">
            <v>Vitamin</v>
          </cell>
          <cell r="D3845">
            <v>176</v>
          </cell>
          <cell r="E3845">
            <v>47</v>
          </cell>
          <cell r="F3845">
            <v>8272</v>
          </cell>
          <cell r="G3845">
            <v>0.18</v>
          </cell>
          <cell r="H3845">
            <v>4</v>
          </cell>
          <cell r="I3845" t="str">
            <v>UK</v>
          </cell>
          <cell r="J3845" t="str">
            <v>iHerb</v>
          </cell>
        </row>
        <row r="3846">
          <cell r="A3846" t="str">
            <v>12-08-2024</v>
          </cell>
          <cell r="B3846" t="str">
            <v>Pre-Workout</v>
          </cell>
          <cell r="C3846" t="str">
            <v>Performance</v>
          </cell>
          <cell r="D3846">
            <v>141</v>
          </cell>
          <cell r="E3846">
            <v>12.73</v>
          </cell>
          <cell r="F3846">
            <v>1794.93</v>
          </cell>
          <cell r="G3846">
            <v>0.16</v>
          </cell>
          <cell r="H3846">
            <v>1</v>
          </cell>
          <cell r="I3846" t="str">
            <v>Canada</v>
          </cell>
          <cell r="J3846" t="str">
            <v>Walmart</v>
          </cell>
        </row>
        <row r="3847">
          <cell r="A3847" t="str">
            <v>12-08-2024</v>
          </cell>
          <cell r="B3847" t="str">
            <v>BCAA</v>
          </cell>
          <cell r="C3847" t="str">
            <v>Amino Acid</v>
          </cell>
          <cell r="D3847">
            <v>160</v>
          </cell>
          <cell r="E3847">
            <v>28.24</v>
          </cell>
          <cell r="F3847">
            <v>4518.3999999999996</v>
          </cell>
          <cell r="G3847">
            <v>0.13</v>
          </cell>
          <cell r="H3847">
            <v>0</v>
          </cell>
          <cell r="I3847" t="str">
            <v>UK</v>
          </cell>
          <cell r="J3847" t="str">
            <v>Walmart</v>
          </cell>
        </row>
        <row r="3848">
          <cell r="A3848" t="str">
            <v>12-08-2024</v>
          </cell>
          <cell r="B3848" t="str">
            <v>Creatine</v>
          </cell>
          <cell r="C3848" t="str">
            <v>Performance</v>
          </cell>
          <cell r="D3848">
            <v>147</v>
          </cell>
          <cell r="E3848">
            <v>19.16</v>
          </cell>
          <cell r="F3848">
            <v>2816.52</v>
          </cell>
          <cell r="G3848">
            <v>0.22</v>
          </cell>
          <cell r="H3848">
            <v>0</v>
          </cell>
          <cell r="I3848" t="str">
            <v>Canada</v>
          </cell>
          <cell r="J3848" t="str">
            <v>Walmart</v>
          </cell>
        </row>
        <row r="3849">
          <cell r="A3849" t="str">
            <v>12-08-2024</v>
          </cell>
          <cell r="B3849" t="str">
            <v>Zinc</v>
          </cell>
          <cell r="C3849" t="str">
            <v>Mineral</v>
          </cell>
          <cell r="D3849">
            <v>155</v>
          </cell>
          <cell r="E3849">
            <v>55.6</v>
          </cell>
          <cell r="F3849">
            <v>8618</v>
          </cell>
          <cell r="G3849">
            <v>0.2</v>
          </cell>
          <cell r="H3849">
            <v>0</v>
          </cell>
          <cell r="I3849" t="str">
            <v>UK</v>
          </cell>
          <cell r="J3849" t="str">
            <v>Amazon</v>
          </cell>
        </row>
        <row r="3850">
          <cell r="A3850" t="str">
            <v>12-08-2024</v>
          </cell>
          <cell r="B3850" t="str">
            <v>Collagen Peptides</v>
          </cell>
          <cell r="C3850" t="str">
            <v>Protein</v>
          </cell>
          <cell r="D3850">
            <v>163</v>
          </cell>
          <cell r="E3850">
            <v>56.12</v>
          </cell>
          <cell r="F3850">
            <v>9147.56</v>
          </cell>
          <cell r="G3850">
            <v>0.18</v>
          </cell>
          <cell r="H3850">
            <v>3</v>
          </cell>
          <cell r="I3850" t="str">
            <v>USA</v>
          </cell>
          <cell r="J3850" t="str">
            <v>Amazon</v>
          </cell>
        </row>
        <row r="3851">
          <cell r="A3851" t="str">
            <v>12-08-2024</v>
          </cell>
          <cell r="B3851" t="str">
            <v>Magnesium</v>
          </cell>
          <cell r="C3851" t="str">
            <v>Mineral</v>
          </cell>
          <cell r="D3851">
            <v>130</v>
          </cell>
          <cell r="E3851">
            <v>51.06</v>
          </cell>
          <cell r="F3851">
            <v>6637.8</v>
          </cell>
          <cell r="G3851">
            <v>0.22</v>
          </cell>
          <cell r="H3851">
            <v>0</v>
          </cell>
          <cell r="I3851" t="str">
            <v>UK</v>
          </cell>
          <cell r="J3851" t="str">
            <v>iHerb</v>
          </cell>
        </row>
        <row r="3852">
          <cell r="A3852" t="str">
            <v>12-08-2024</v>
          </cell>
          <cell r="B3852" t="str">
            <v>Ashwagandha</v>
          </cell>
          <cell r="C3852" t="str">
            <v>Herbal</v>
          </cell>
          <cell r="D3852">
            <v>175</v>
          </cell>
          <cell r="E3852">
            <v>40.729999999999997</v>
          </cell>
          <cell r="F3852">
            <v>7127.75</v>
          </cell>
          <cell r="G3852">
            <v>0.17</v>
          </cell>
          <cell r="H3852">
            <v>0</v>
          </cell>
          <cell r="I3852" t="str">
            <v>UK</v>
          </cell>
          <cell r="J3852" t="str">
            <v>Walmart</v>
          </cell>
        </row>
        <row r="3853">
          <cell r="A3853" t="str">
            <v>12-08-2024</v>
          </cell>
          <cell r="B3853" t="str">
            <v>Melatonin</v>
          </cell>
          <cell r="C3853" t="str">
            <v>Sleep Aid</v>
          </cell>
          <cell r="D3853">
            <v>146</v>
          </cell>
          <cell r="E3853">
            <v>48.13</v>
          </cell>
          <cell r="F3853">
            <v>7026.98</v>
          </cell>
          <cell r="G3853">
            <v>0.21</v>
          </cell>
          <cell r="H3853">
            <v>2</v>
          </cell>
          <cell r="I3853" t="str">
            <v>USA</v>
          </cell>
          <cell r="J3853" t="str">
            <v>iHerb</v>
          </cell>
        </row>
        <row r="3854">
          <cell r="A3854" t="str">
            <v>12-08-2024</v>
          </cell>
          <cell r="B3854" t="str">
            <v>Biotin</v>
          </cell>
          <cell r="C3854" t="str">
            <v>Vitamin</v>
          </cell>
          <cell r="D3854">
            <v>136</v>
          </cell>
          <cell r="E3854">
            <v>45.04</v>
          </cell>
          <cell r="F3854">
            <v>6125.44</v>
          </cell>
          <cell r="G3854">
            <v>0.14000000000000001</v>
          </cell>
          <cell r="H3854">
            <v>2</v>
          </cell>
          <cell r="I3854" t="str">
            <v>USA</v>
          </cell>
          <cell r="J3854" t="str">
            <v>Amazon</v>
          </cell>
        </row>
        <row r="3855">
          <cell r="A3855" t="str">
            <v>12-08-2024</v>
          </cell>
          <cell r="B3855" t="str">
            <v>Green Tea Extract</v>
          </cell>
          <cell r="C3855" t="str">
            <v>Fat Burner</v>
          </cell>
          <cell r="D3855">
            <v>162</v>
          </cell>
          <cell r="E3855">
            <v>16.23</v>
          </cell>
          <cell r="F3855">
            <v>2629.26</v>
          </cell>
          <cell r="G3855">
            <v>0.23</v>
          </cell>
          <cell r="H3855">
            <v>2</v>
          </cell>
          <cell r="I3855" t="str">
            <v>UK</v>
          </cell>
          <cell r="J3855" t="str">
            <v>Walmart</v>
          </cell>
        </row>
        <row r="3856">
          <cell r="A3856" t="str">
            <v>12-08-2024</v>
          </cell>
          <cell r="B3856" t="str">
            <v>Iron Supplement</v>
          </cell>
          <cell r="C3856" t="str">
            <v>Mineral</v>
          </cell>
          <cell r="D3856">
            <v>154</v>
          </cell>
          <cell r="E3856">
            <v>56.58</v>
          </cell>
          <cell r="F3856">
            <v>8713.32</v>
          </cell>
          <cell r="G3856">
            <v>0.14000000000000001</v>
          </cell>
          <cell r="H3856">
            <v>1</v>
          </cell>
          <cell r="I3856" t="str">
            <v>Canada</v>
          </cell>
          <cell r="J3856" t="str">
            <v>iHerb</v>
          </cell>
        </row>
        <row r="3857">
          <cell r="A3857" t="str">
            <v>12-08-2024</v>
          </cell>
          <cell r="B3857" t="str">
            <v>Electrolyte Powder</v>
          </cell>
          <cell r="C3857" t="str">
            <v>Hydration</v>
          </cell>
          <cell r="D3857">
            <v>147</v>
          </cell>
          <cell r="E3857">
            <v>30.79</v>
          </cell>
          <cell r="F3857">
            <v>4526.13</v>
          </cell>
          <cell r="G3857">
            <v>0.22</v>
          </cell>
          <cell r="H3857">
            <v>1</v>
          </cell>
          <cell r="I3857" t="str">
            <v>USA</v>
          </cell>
          <cell r="J3857" t="str">
            <v>iHerb</v>
          </cell>
        </row>
        <row r="3858">
          <cell r="A3858" t="str">
            <v>19-08-2024</v>
          </cell>
          <cell r="B3858" t="str">
            <v>Whey Protein</v>
          </cell>
          <cell r="C3858" t="str">
            <v>Protein</v>
          </cell>
          <cell r="D3858">
            <v>163</v>
          </cell>
          <cell r="E3858">
            <v>51.22</v>
          </cell>
          <cell r="F3858">
            <v>8348.86</v>
          </cell>
          <cell r="G3858">
            <v>0.18</v>
          </cell>
          <cell r="H3858">
            <v>3</v>
          </cell>
          <cell r="I3858" t="str">
            <v>UK</v>
          </cell>
          <cell r="J3858" t="str">
            <v>iHerb</v>
          </cell>
        </row>
        <row r="3859">
          <cell r="A3859" t="str">
            <v>19-08-2024</v>
          </cell>
          <cell r="B3859" t="str">
            <v>Vitamin C</v>
          </cell>
          <cell r="C3859" t="str">
            <v>Vitamin</v>
          </cell>
          <cell r="D3859">
            <v>146</v>
          </cell>
          <cell r="E3859">
            <v>52.12</v>
          </cell>
          <cell r="F3859">
            <v>7609.52</v>
          </cell>
          <cell r="G3859">
            <v>0.12</v>
          </cell>
          <cell r="H3859">
            <v>0</v>
          </cell>
          <cell r="I3859" t="str">
            <v>USA</v>
          </cell>
          <cell r="J3859" t="str">
            <v>Walmart</v>
          </cell>
        </row>
        <row r="3860">
          <cell r="A3860" t="str">
            <v>19-08-2024</v>
          </cell>
          <cell r="B3860" t="str">
            <v>Fish Oil</v>
          </cell>
          <cell r="C3860" t="str">
            <v>Omega</v>
          </cell>
          <cell r="D3860">
            <v>133</v>
          </cell>
          <cell r="E3860">
            <v>47.55</v>
          </cell>
          <cell r="F3860">
            <v>6324.15</v>
          </cell>
          <cell r="G3860">
            <v>0.18</v>
          </cell>
          <cell r="H3860">
            <v>0</v>
          </cell>
          <cell r="I3860" t="str">
            <v>USA</v>
          </cell>
          <cell r="J3860" t="str">
            <v>Amazon</v>
          </cell>
        </row>
        <row r="3861">
          <cell r="A3861" t="str">
            <v>19-08-2024</v>
          </cell>
          <cell r="B3861" t="str">
            <v>Multivitamin</v>
          </cell>
          <cell r="C3861" t="str">
            <v>Vitamin</v>
          </cell>
          <cell r="D3861">
            <v>164</v>
          </cell>
          <cell r="E3861">
            <v>49.65</v>
          </cell>
          <cell r="F3861">
            <v>8142.6</v>
          </cell>
          <cell r="G3861">
            <v>0.12</v>
          </cell>
          <cell r="H3861">
            <v>2</v>
          </cell>
          <cell r="I3861" t="str">
            <v>USA</v>
          </cell>
          <cell r="J3861" t="str">
            <v>Walmart</v>
          </cell>
        </row>
        <row r="3862">
          <cell r="A3862" t="str">
            <v>19-08-2024</v>
          </cell>
          <cell r="B3862" t="str">
            <v>Pre-Workout</v>
          </cell>
          <cell r="C3862" t="str">
            <v>Performance</v>
          </cell>
          <cell r="D3862">
            <v>146</v>
          </cell>
          <cell r="E3862">
            <v>52.07</v>
          </cell>
          <cell r="F3862">
            <v>7602.22</v>
          </cell>
          <cell r="G3862">
            <v>0.01</v>
          </cell>
          <cell r="H3862">
            <v>4</v>
          </cell>
          <cell r="I3862" t="str">
            <v>USA</v>
          </cell>
          <cell r="J3862" t="str">
            <v>iHerb</v>
          </cell>
        </row>
        <row r="3863">
          <cell r="A3863" t="str">
            <v>19-08-2024</v>
          </cell>
          <cell r="B3863" t="str">
            <v>BCAA</v>
          </cell>
          <cell r="C3863" t="str">
            <v>Amino Acid</v>
          </cell>
          <cell r="D3863">
            <v>155</v>
          </cell>
          <cell r="E3863">
            <v>41.4</v>
          </cell>
          <cell r="F3863">
            <v>6417</v>
          </cell>
          <cell r="G3863">
            <v>0.03</v>
          </cell>
          <cell r="H3863">
            <v>1</v>
          </cell>
          <cell r="I3863" t="str">
            <v>USA</v>
          </cell>
          <cell r="J3863" t="str">
            <v>Amazon</v>
          </cell>
        </row>
        <row r="3864">
          <cell r="A3864" t="str">
            <v>19-08-2024</v>
          </cell>
          <cell r="B3864" t="str">
            <v>Creatine</v>
          </cell>
          <cell r="C3864" t="str">
            <v>Performance</v>
          </cell>
          <cell r="D3864">
            <v>158</v>
          </cell>
          <cell r="E3864">
            <v>42.62</v>
          </cell>
          <cell r="F3864">
            <v>6733.96</v>
          </cell>
          <cell r="G3864">
            <v>0.05</v>
          </cell>
          <cell r="H3864">
            <v>1</v>
          </cell>
          <cell r="I3864" t="str">
            <v>USA</v>
          </cell>
          <cell r="J3864" t="str">
            <v>Amazon</v>
          </cell>
        </row>
        <row r="3865">
          <cell r="A3865" t="str">
            <v>19-08-2024</v>
          </cell>
          <cell r="B3865" t="str">
            <v>Zinc</v>
          </cell>
          <cell r="C3865" t="str">
            <v>Mineral</v>
          </cell>
          <cell r="D3865">
            <v>155</v>
          </cell>
          <cell r="E3865">
            <v>38.25</v>
          </cell>
          <cell r="F3865">
            <v>5928.75</v>
          </cell>
          <cell r="G3865">
            <v>0.15</v>
          </cell>
          <cell r="H3865">
            <v>1</v>
          </cell>
          <cell r="I3865" t="str">
            <v>USA</v>
          </cell>
          <cell r="J3865" t="str">
            <v>iHerb</v>
          </cell>
        </row>
        <row r="3866">
          <cell r="A3866" t="str">
            <v>19-08-2024</v>
          </cell>
          <cell r="B3866" t="str">
            <v>Collagen Peptides</v>
          </cell>
          <cell r="C3866" t="str">
            <v>Protein</v>
          </cell>
          <cell r="D3866">
            <v>163</v>
          </cell>
          <cell r="E3866">
            <v>30.66</v>
          </cell>
          <cell r="F3866">
            <v>4997.58</v>
          </cell>
          <cell r="G3866">
            <v>0.19</v>
          </cell>
          <cell r="H3866">
            <v>5</v>
          </cell>
          <cell r="I3866" t="str">
            <v>Canada</v>
          </cell>
          <cell r="J3866" t="str">
            <v>Amazon</v>
          </cell>
        </row>
        <row r="3867">
          <cell r="A3867" t="str">
            <v>19-08-2024</v>
          </cell>
          <cell r="B3867" t="str">
            <v>Magnesium</v>
          </cell>
          <cell r="C3867" t="str">
            <v>Mineral</v>
          </cell>
          <cell r="D3867">
            <v>136</v>
          </cell>
          <cell r="E3867">
            <v>53.92</v>
          </cell>
          <cell r="F3867">
            <v>7333.12</v>
          </cell>
          <cell r="G3867">
            <v>0.09</v>
          </cell>
          <cell r="H3867">
            <v>1</v>
          </cell>
          <cell r="I3867" t="str">
            <v>Canada</v>
          </cell>
          <cell r="J3867" t="str">
            <v>iHerb</v>
          </cell>
        </row>
        <row r="3868">
          <cell r="A3868" t="str">
            <v>19-08-2024</v>
          </cell>
          <cell r="B3868" t="str">
            <v>Ashwagandha</v>
          </cell>
          <cell r="C3868" t="str">
            <v>Herbal</v>
          </cell>
          <cell r="D3868">
            <v>149</v>
          </cell>
          <cell r="E3868">
            <v>23.04</v>
          </cell>
          <cell r="F3868">
            <v>3432.96</v>
          </cell>
          <cell r="G3868">
            <v>0.01</v>
          </cell>
          <cell r="H3868">
            <v>0</v>
          </cell>
          <cell r="I3868" t="str">
            <v>USA</v>
          </cell>
          <cell r="J3868" t="str">
            <v>iHerb</v>
          </cell>
        </row>
        <row r="3869">
          <cell r="A3869" t="str">
            <v>19-08-2024</v>
          </cell>
          <cell r="B3869" t="str">
            <v>Melatonin</v>
          </cell>
          <cell r="C3869" t="str">
            <v>Sleep Aid</v>
          </cell>
          <cell r="D3869">
            <v>148</v>
          </cell>
          <cell r="E3869">
            <v>48.23</v>
          </cell>
          <cell r="F3869">
            <v>7138.04</v>
          </cell>
          <cell r="G3869">
            <v>0.03</v>
          </cell>
          <cell r="H3869">
            <v>3</v>
          </cell>
          <cell r="I3869" t="str">
            <v>Canada</v>
          </cell>
          <cell r="J3869" t="str">
            <v>Walmart</v>
          </cell>
        </row>
        <row r="3870">
          <cell r="A3870" t="str">
            <v>19-08-2024</v>
          </cell>
          <cell r="B3870" t="str">
            <v>Biotin</v>
          </cell>
          <cell r="C3870" t="str">
            <v>Vitamin</v>
          </cell>
          <cell r="D3870">
            <v>168</v>
          </cell>
          <cell r="E3870">
            <v>46.98</v>
          </cell>
          <cell r="F3870">
            <v>7892.64</v>
          </cell>
          <cell r="G3870">
            <v>0.03</v>
          </cell>
          <cell r="H3870">
            <v>1</v>
          </cell>
          <cell r="I3870" t="str">
            <v>Canada</v>
          </cell>
          <cell r="J3870" t="str">
            <v>iHerb</v>
          </cell>
        </row>
        <row r="3871">
          <cell r="A3871" t="str">
            <v>19-08-2024</v>
          </cell>
          <cell r="B3871" t="str">
            <v>Green Tea Extract</v>
          </cell>
          <cell r="C3871" t="str">
            <v>Fat Burner</v>
          </cell>
          <cell r="D3871">
            <v>144</v>
          </cell>
          <cell r="E3871">
            <v>48.97</v>
          </cell>
          <cell r="F3871">
            <v>7051.68</v>
          </cell>
          <cell r="G3871">
            <v>0.23</v>
          </cell>
          <cell r="H3871">
            <v>2</v>
          </cell>
          <cell r="I3871" t="str">
            <v>Canada</v>
          </cell>
          <cell r="J3871" t="str">
            <v>Amazon</v>
          </cell>
        </row>
        <row r="3872">
          <cell r="A3872" t="str">
            <v>19-08-2024</v>
          </cell>
          <cell r="B3872" t="str">
            <v>Iron Supplement</v>
          </cell>
          <cell r="C3872" t="str">
            <v>Mineral</v>
          </cell>
          <cell r="D3872">
            <v>156</v>
          </cell>
          <cell r="E3872">
            <v>40.270000000000003</v>
          </cell>
          <cell r="F3872">
            <v>6282.12</v>
          </cell>
          <cell r="G3872">
            <v>0.02</v>
          </cell>
          <cell r="H3872">
            <v>3</v>
          </cell>
          <cell r="I3872" t="str">
            <v>Canada</v>
          </cell>
          <cell r="J3872" t="str">
            <v>Walmart</v>
          </cell>
        </row>
        <row r="3873">
          <cell r="A3873" t="str">
            <v>19-08-2024</v>
          </cell>
          <cell r="B3873" t="str">
            <v>Electrolyte Powder</v>
          </cell>
          <cell r="C3873" t="str">
            <v>Hydration</v>
          </cell>
          <cell r="D3873">
            <v>151</v>
          </cell>
          <cell r="E3873">
            <v>56</v>
          </cell>
          <cell r="F3873">
            <v>8456</v>
          </cell>
          <cell r="G3873">
            <v>0.12</v>
          </cell>
          <cell r="H3873">
            <v>3</v>
          </cell>
          <cell r="I3873" t="str">
            <v>UK</v>
          </cell>
          <cell r="J3873" t="str">
            <v>iHerb</v>
          </cell>
        </row>
        <row r="3874">
          <cell r="A3874" t="str">
            <v>26-08-2024</v>
          </cell>
          <cell r="B3874" t="str">
            <v>Whey Protein</v>
          </cell>
          <cell r="C3874" t="str">
            <v>Protein</v>
          </cell>
          <cell r="D3874">
            <v>165</v>
          </cell>
          <cell r="E3874">
            <v>13.07</v>
          </cell>
          <cell r="F3874">
            <v>2156.5500000000002</v>
          </cell>
          <cell r="G3874">
            <v>0.06</v>
          </cell>
          <cell r="H3874">
            <v>3</v>
          </cell>
          <cell r="I3874" t="str">
            <v>USA</v>
          </cell>
          <cell r="J3874" t="str">
            <v>Amazon</v>
          </cell>
        </row>
        <row r="3875">
          <cell r="A3875" t="str">
            <v>26-08-2024</v>
          </cell>
          <cell r="B3875" t="str">
            <v>Vitamin C</v>
          </cell>
          <cell r="C3875" t="str">
            <v>Vitamin</v>
          </cell>
          <cell r="D3875">
            <v>168</v>
          </cell>
          <cell r="E3875">
            <v>32</v>
          </cell>
          <cell r="F3875">
            <v>5376</v>
          </cell>
          <cell r="G3875">
            <v>0.04</v>
          </cell>
          <cell r="H3875">
            <v>4</v>
          </cell>
          <cell r="I3875" t="str">
            <v>UK</v>
          </cell>
          <cell r="J3875" t="str">
            <v>iHerb</v>
          </cell>
        </row>
        <row r="3876">
          <cell r="A3876" t="str">
            <v>26-08-2024</v>
          </cell>
          <cell r="B3876" t="str">
            <v>Fish Oil</v>
          </cell>
          <cell r="C3876" t="str">
            <v>Omega</v>
          </cell>
          <cell r="D3876">
            <v>139</v>
          </cell>
          <cell r="E3876">
            <v>43.04</v>
          </cell>
          <cell r="F3876">
            <v>5982.56</v>
          </cell>
          <cell r="G3876">
            <v>0.06</v>
          </cell>
          <cell r="H3876">
            <v>3</v>
          </cell>
          <cell r="I3876" t="str">
            <v>USA</v>
          </cell>
          <cell r="J3876" t="str">
            <v>Amazon</v>
          </cell>
        </row>
        <row r="3877">
          <cell r="A3877" t="str">
            <v>26-08-2024</v>
          </cell>
          <cell r="B3877" t="str">
            <v>Multivitamin</v>
          </cell>
          <cell r="C3877" t="str">
            <v>Vitamin</v>
          </cell>
          <cell r="D3877">
            <v>150</v>
          </cell>
          <cell r="E3877">
            <v>18.170000000000002</v>
          </cell>
          <cell r="F3877">
            <v>2725.5</v>
          </cell>
          <cell r="G3877">
            <v>0.12</v>
          </cell>
          <cell r="H3877">
            <v>1</v>
          </cell>
          <cell r="I3877" t="str">
            <v>USA</v>
          </cell>
          <cell r="J3877" t="str">
            <v>Amazon</v>
          </cell>
        </row>
        <row r="3878">
          <cell r="A3878" t="str">
            <v>26-08-2024</v>
          </cell>
          <cell r="B3878" t="str">
            <v>Pre-Workout</v>
          </cell>
          <cell r="C3878" t="str">
            <v>Performance</v>
          </cell>
          <cell r="D3878">
            <v>168</v>
          </cell>
          <cell r="E3878">
            <v>58.81</v>
          </cell>
          <cell r="F3878">
            <v>9880.08</v>
          </cell>
          <cell r="G3878">
            <v>0.16</v>
          </cell>
          <cell r="H3878">
            <v>0</v>
          </cell>
          <cell r="I3878" t="str">
            <v>USA</v>
          </cell>
          <cell r="J3878" t="str">
            <v>Walmart</v>
          </cell>
        </row>
        <row r="3879">
          <cell r="A3879" t="str">
            <v>26-08-2024</v>
          </cell>
          <cell r="B3879" t="str">
            <v>BCAA</v>
          </cell>
          <cell r="C3879" t="str">
            <v>Amino Acid</v>
          </cell>
          <cell r="D3879">
            <v>121</v>
          </cell>
          <cell r="E3879">
            <v>21.74</v>
          </cell>
          <cell r="F3879">
            <v>2630.54</v>
          </cell>
          <cell r="G3879">
            <v>0.08</v>
          </cell>
          <cell r="H3879">
            <v>0</v>
          </cell>
          <cell r="I3879" t="str">
            <v>Canada</v>
          </cell>
          <cell r="J3879" t="str">
            <v>Walmart</v>
          </cell>
        </row>
        <row r="3880">
          <cell r="A3880" t="str">
            <v>26-08-2024</v>
          </cell>
          <cell r="B3880" t="str">
            <v>Creatine</v>
          </cell>
          <cell r="C3880" t="str">
            <v>Performance</v>
          </cell>
          <cell r="D3880">
            <v>155</v>
          </cell>
          <cell r="E3880">
            <v>13.9</v>
          </cell>
          <cell r="F3880">
            <v>2154.5</v>
          </cell>
          <cell r="G3880">
            <v>0.13</v>
          </cell>
          <cell r="H3880">
            <v>2</v>
          </cell>
          <cell r="I3880" t="str">
            <v>USA</v>
          </cell>
          <cell r="J3880" t="str">
            <v>Amazon</v>
          </cell>
        </row>
        <row r="3881">
          <cell r="A3881" t="str">
            <v>26-08-2024</v>
          </cell>
          <cell r="B3881" t="str">
            <v>Zinc</v>
          </cell>
          <cell r="C3881" t="str">
            <v>Mineral</v>
          </cell>
          <cell r="D3881">
            <v>129</v>
          </cell>
          <cell r="E3881">
            <v>38.92</v>
          </cell>
          <cell r="F3881">
            <v>5020.68</v>
          </cell>
          <cell r="G3881">
            <v>0.24</v>
          </cell>
          <cell r="H3881">
            <v>0</v>
          </cell>
          <cell r="I3881" t="str">
            <v>UK</v>
          </cell>
          <cell r="J3881" t="str">
            <v>Amazon</v>
          </cell>
        </row>
        <row r="3882">
          <cell r="A3882" t="str">
            <v>26-08-2024</v>
          </cell>
          <cell r="B3882" t="str">
            <v>Collagen Peptides</v>
          </cell>
          <cell r="C3882" t="str">
            <v>Protein</v>
          </cell>
          <cell r="D3882">
            <v>152</v>
          </cell>
          <cell r="E3882">
            <v>11.18</v>
          </cell>
          <cell r="F3882">
            <v>1699.36</v>
          </cell>
          <cell r="G3882">
            <v>0.23</v>
          </cell>
          <cell r="H3882">
            <v>2</v>
          </cell>
          <cell r="I3882" t="str">
            <v>UK</v>
          </cell>
          <cell r="J3882" t="str">
            <v>Amazon</v>
          </cell>
        </row>
        <row r="3883">
          <cell r="A3883" t="str">
            <v>26-08-2024</v>
          </cell>
          <cell r="B3883" t="str">
            <v>Magnesium</v>
          </cell>
          <cell r="C3883" t="str">
            <v>Mineral</v>
          </cell>
          <cell r="D3883">
            <v>130</v>
          </cell>
          <cell r="E3883">
            <v>12.54</v>
          </cell>
          <cell r="F3883">
            <v>1630.2</v>
          </cell>
          <cell r="G3883">
            <v>0.15</v>
          </cell>
          <cell r="H3883">
            <v>1</v>
          </cell>
          <cell r="I3883" t="str">
            <v>UK</v>
          </cell>
          <cell r="J3883" t="str">
            <v>Amazon</v>
          </cell>
        </row>
        <row r="3884">
          <cell r="A3884" t="str">
            <v>26-08-2024</v>
          </cell>
          <cell r="B3884" t="str">
            <v>Ashwagandha</v>
          </cell>
          <cell r="C3884" t="str">
            <v>Herbal</v>
          </cell>
          <cell r="D3884">
            <v>150</v>
          </cell>
          <cell r="E3884">
            <v>36.590000000000003</v>
          </cell>
          <cell r="F3884">
            <v>5488.5</v>
          </cell>
          <cell r="G3884">
            <v>0.13</v>
          </cell>
          <cell r="H3884">
            <v>0</v>
          </cell>
          <cell r="I3884" t="str">
            <v>USA</v>
          </cell>
          <cell r="J3884" t="str">
            <v>iHerb</v>
          </cell>
        </row>
        <row r="3885">
          <cell r="A3885" t="str">
            <v>26-08-2024</v>
          </cell>
          <cell r="B3885" t="str">
            <v>Melatonin</v>
          </cell>
          <cell r="C3885" t="str">
            <v>Sleep Aid</v>
          </cell>
          <cell r="D3885">
            <v>142</v>
          </cell>
          <cell r="E3885">
            <v>55.01</v>
          </cell>
          <cell r="F3885">
            <v>7811.42</v>
          </cell>
          <cell r="G3885">
            <v>0.18</v>
          </cell>
          <cell r="H3885">
            <v>5</v>
          </cell>
          <cell r="I3885" t="str">
            <v>UK</v>
          </cell>
          <cell r="J3885" t="str">
            <v>iHerb</v>
          </cell>
        </row>
        <row r="3886">
          <cell r="A3886" t="str">
            <v>26-08-2024</v>
          </cell>
          <cell r="B3886" t="str">
            <v>Biotin</v>
          </cell>
          <cell r="C3886" t="str">
            <v>Vitamin</v>
          </cell>
          <cell r="D3886">
            <v>143</v>
          </cell>
          <cell r="E3886">
            <v>40.15</v>
          </cell>
          <cell r="F3886">
            <v>5741.45</v>
          </cell>
          <cell r="G3886">
            <v>0.11</v>
          </cell>
          <cell r="H3886">
            <v>0</v>
          </cell>
          <cell r="I3886" t="str">
            <v>Canada</v>
          </cell>
          <cell r="J3886" t="str">
            <v>Amazon</v>
          </cell>
        </row>
        <row r="3887">
          <cell r="A3887" t="str">
            <v>26-08-2024</v>
          </cell>
          <cell r="B3887" t="str">
            <v>Green Tea Extract</v>
          </cell>
          <cell r="C3887" t="str">
            <v>Fat Burner</v>
          </cell>
          <cell r="D3887">
            <v>140</v>
          </cell>
          <cell r="E3887">
            <v>44.81</v>
          </cell>
          <cell r="F3887">
            <v>6273.4</v>
          </cell>
          <cell r="G3887">
            <v>0.24</v>
          </cell>
          <cell r="H3887">
            <v>2</v>
          </cell>
          <cell r="I3887" t="str">
            <v>USA</v>
          </cell>
          <cell r="J3887" t="str">
            <v>iHerb</v>
          </cell>
        </row>
        <row r="3888">
          <cell r="A3888" t="str">
            <v>26-08-2024</v>
          </cell>
          <cell r="B3888" t="str">
            <v>Iron Supplement</v>
          </cell>
          <cell r="C3888" t="str">
            <v>Mineral</v>
          </cell>
          <cell r="D3888">
            <v>142</v>
          </cell>
          <cell r="E3888">
            <v>29.22</v>
          </cell>
          <cell r="F3888">
            <v>4149.24</v>
          </cell>
          <cell r="G3888">
            <v>0.21</v>
          </cell>
          <cell r="H3888">
            <v>2</v>
          </cell>
          <cell r="I3888" t="str">
            <v>UK</v>
          </cell>
          <cell r="J3888" t="str">
            <v>Walmart</v>
          </cell>
        </row>
        <row r="3889">
          <cell r="A3889" t="str">
            <v>26-08-2024</v>
          </cell>
          <cell r="B3889" t="str">
            <v>Electrolyte Powder</v>
          </cell>
          <cell r="C3889" t="str">
            <v>Hydration</v>
          </cell>
          <cell r="D3889">
            <v>153</v>
          </cell>
          <cell r="E3889">
            <v>56.9</v>
          </cell>
          <cell r="F3889">
            <v>8705.7000000000007</v>
          </cell>
          <cell r="G3889">
            <v>0.16</v>
          </cell>
          <cell r="H3889">
            <v>4</v>
          </cell>
          <cell r="I3889" t="str">
            <v>USA</v>
          </cell>
          <cell r="J3889" t="str">
            <v>Amazon</v>
          </cell>
        </row>
        <row r="3890">
          <cell r="A3890" t="str">
            <v>02-09-2024</v>
          </cell>
          <cell r="B3890" t="str">
            <v>Whey Protein</v>
          </cell>
          <cell r="C3890" t="str">
            <v>Protein</v>
          </cell>
          <cell r="D3890">
            <v>153</v>
          </cell>
          <cell r="E3890">
            <v>50.66</v>
          </cell>
          <cell r="F3890">
            <v>7750.98</v>
          </cell>
          <cell r="G3890">
            <v>0.08</v>
          </cell>
          <cell r="H3890">
            <v>4</v>
          </cell>
          <cell r="I3890" t="str">
            <v>UK</v>
          </cell>
          <cell r="J3890" t="str">
            <v>Walmart</v>
          </cell>
        </row>
        <row r="3891">
          <cell r="A3891" t="str">
            <v>02-09-2024</v>
          </cell>
          <cell r="B3891" t="str">
            <v>Vitamin C</v>
          </cell>
          <cell r="C3891" t="str">
            <v>Vitamin</v>
          </cell>
          <cell r="D3891">
            <v>185</v>
          </cell>
          <cell r="E3891">
            <v>42.41</v>
          </cell>
          <cell r="F3891">
            <v>7845.85</v>
          </cell>
          <cell r="G3891">
            <v>0.14000000000000001</v>
          </cell>
          <cell r="H3891">
            <v>3</v>
          </cell>
          <cell r="I3891" t="str">
            <v>USA</v>
          </cell>
          <cell r="J3891" t="str">
            <v>Amazon</v>
          </cell>
        </row>
        <row r="3892">
          <cell r="A3892" t="str">
            <v>02-09-2024</v>
          </cell>
          <cell r="B3892" t="str">
            <v>Fish Oil</v>
          </cell>
          <cell r="C3892" t="str">
            <v>Omega</v>
          </cell>
          <cell r="D3892">
            <v>166</v>
          </cell>
          <cell r="E3892">
            <v>50.8</v>
          </cell>
          <cell r="F3892">
            <v>8432.7999999999993</v>
          </cell>
          <cell r="G3892">
            <v>0.08</v>
          </cell>
          <cell r="H3892">
            <v>1</v>
          </cell>
          <cell r="I3892" t="str">
            <v>UK</v>
          </cell>
          <cell r="J3892" t="str">
            <v>Amazon</v>
          </cell>
        </row>
        <row r="3893">
          <cell r="A3893" t="str">
            <v>02-09-2024</v>
          </cell>
          <cell r="B3893" t="str">
            <v>Multivitamin</v>
          </cell>
          <cell r="C3893" t="str">
            <v>Vitamin</v>
          </cell>
          <cell r="D3893">
            <v>147</v>
          </cell>
          <cell r="E3893">
            <v>19.36</v>
          </cell>
          <cell r="F3893">
            <v>2845.92</v>
          </cell>
          <cell r="G3893">
            <v>0.17</v>
          </cell>
          <cell r="H3893">
            <v>1</v>
          </cell>
          <cell r="I3893" t="str">
            <v>USA</v>
          </cell>
          <cell r="J3893" t="str">
            <v>Amazon</v>
          </cell>
        </row>
        <row r="3894">
          <cell r="A3894" t="str">
            <v>02-09-2024</v>
          </cell>
          <cell r="B3894" t="str">
            <v>Pre-Workout</v>
          </cell>
          <cell r="C3894" t="str">
            <v>Performance</v>
          </cell>
          <cell r="D3894">
            <v>161</v>
          </cell>
          <cell r="E3894">
            <v>43.4</v>
          </cell>
          <cell r="F3894">
            <v>6987.4</v>
          </cell>
          <cell r="G3894">
            <v>0.16</v>
          </cell>
          <cell r="H3894">
            <v>4</v>
          </cell>
          <cell r="I3894" t="str">
            <v>Canada</v>
          </cell>
          <cell r="J3894" t="str">
            <v>Amazon</v>
          </cell>
        </row>
        <row r="3895">
          <cell r="A3895" t="str">
            <v>02-09-2024</v>
          </cell>
          <cell r="B3895" t="str">
            <v>BCAA</v>
          </cell>
          <cell r="C3895" t="str">
            <v>Amino Acid</v>
          </cell>
          <cell r="D3895">
            <v>158</v>
          </cell>
          <cell r="E3895">
            <v>55.23</v>
          </cell>
          <cell r="F3895">
            <v>8726.34</v>
          </cell>
          <cell r="G3895">
            <v>0.17</v>
          </cell>
          <cell r="H3895">
            <v>1</v>
          </cell>
          <cell r="I3895" t="str">
            <v>USA</v>
          </cell>
          <cell r="J3895" t="str">
            <v>iHerb</v>
          </cell>
        </row>
        <row r="3896">
          <cell r="A3896" t="str">
            <v>02-09-2024</v>
          </cell>
          <cell r="B3896" t="str">
            <v>Creatine</v>
          </cell>
          <cell r="C3896" t="str">
            <v>Performance</v>
          </cell>
          <cell r="D3896">
            <v>166</v>
          </cell>
          <cell r="E3896">
            <v>31.22</v>
          </cell>
          <cell r="F3896">
            <v>5182.5200000000004</v>
          </cell>
          <cell r="G3896">
            <v>0.18</v>
          </cell>
          <cell r="H3896">
            <v>3</v>
          </cell>
          <cell r="I3896" t="str">
            <v>USA</v>
          </cell>
          <cell r="J3896" t="str">
            <v>Amazon</v>
          </cell>
        </row>
        <row r="3897">
          <cell r="A3897" t="str">
            <v>02-09-2024</v>
          </cell>
          <cell r="B3897" t="str">
            <v>Zinc</v>
          </cell>
          <cell r="C3897" t="str">
            <v>Mineral</v>
          </cell>
          <cell r="D3897">
            <v>144</v>
          </cell>
          <cell r="E3897">
            <v>15.48</v>
          </cell>
          <cell r="F3897">
            <v>2229.12</v>
          </cell>
          <cell r="G3897">
            <v>0.06</v>
          </cell>
          <cell r="H3897">
            <v>3</v>
          </cell>
          <cell r="I3897" t="str">
            <v>UK</v>
          </cell>
          <cell r="J3897" t="str">
            <v>Amazon</v>
          </cell>
        </row>
        <row r="3898">
          <cell r="A3898" t="str">
            <v>02-09-2024</v>
          </cell>
          <cell r="B3898" t="str">
            <v>Collagen Peptides</v>
          </cell>
          <cell r="C3898" t="str">
            <v>Protein</v>
          </cell>
          <cell r="D3898">
            <v>145</v>
          </cell>
          <cell r="E3898">
            <v>43.3</v>
          </cell>
          <cell r="F3898">
            <v>6278.5</v>
          </cell>
          <cell r="G3898">
            <v>0.2</v>
          </cell>
          <cell r="H3898">
            <v>0</v>
          </cell>
          <cell r="I3898" t="str">
            <v>USA</v>
          </cell>
          <cell r="J3898" t="str">
            <v>iHerb</v>
          </cell>
        </row>
        <row r="3899">
          <cell r="A3899" t="str">
            <v>02-09-2024</v>
          </cell>
          <cell r="B3899" t="str">
            <v>Magnesium</v>
          </cell>
          <cell r="C3899" t="str">
            <v>Mineral</v>
          </cell>
          <cell r="D3899">
            <v>143</v>
          </cell>
          <cell r="E3899">
            <v>28.24</v>
          </cell>
          <cell r="F3899">
            <v>4038.32</v>
          </cell>
          <cell r="G3899">
            <v>0.25</v>
          </cell>
          <cell r="H3899">
            <v>3</v>
          </cell>
          <cell r="I3899" t="str">
            <v>UK</v>
          </cell>
          <cell r="J3899" t="str">
            <v>iHerb</v>
          </cell>
        </row>
        <row r="3900">
          <cell r="A3900" t="str">
            <v>02-09-2024</v>
          </cell>
          <cell r="B3900" t="str">
            <v>Ashwagandha</v>
          </cell>
          <cell r="C3900" t="str">
            <v>Herbal</v>
          </cell>
          <cell r="D3900">
            <v>149</v>
          </cell>
          <cell r="E3900">
            <v>27.38</v>
          </cell>
          <cell r="F3900">
            <v>4079.62</v>
          </cell>
          <cell r="G3900">
            <v>0.2</v>
          </cell>
          <cell r="H3900">
            <v>0</v>
          </cell>
          <cell r="I3900" t="str">
            <v>UK</v>
          </cell>
          <cell r="J3900" t="str">
            <v>Amazon</v>
          </cell>
        </row>
        <row r="3901">
          <cell r="A3901" t="str">
            <v>02-09-2024</v>
          </cell>
          <cell r="B3901" t="str">
            <v>Melatonin</v>
          </cell>
          <cell r="C3901" t="str">
            <v>Sleep Aid</v>
          </cell>
          <cell r="D3901">
            <v>160</v>
          </cell>
          <cell r="E3901">
            <v>15.37</v>
          </cell>
          <cell r="F3901">
            <v>2459.1999999999998</v>
          </cell>
          <cell r="G3901">
            <v>7.0000000000000007E-2</v>
          </cell>
          <cell r="H3901">
            <v>1</v>
          </cell>
          <cell r="I3901" t="str">
            <v>UK</v>
          </cell>
          <cell r="J3901" t="str">
            <v>iHerb</v>
          </cell>
        </row>
        <row r="3902">
          <cell r="A3902" t="str">
            <v>02-09-2024</v>
          </cell>
          <cell r="B3902" t="str">
            <v>Biotin</v>
          </cell>
          <cell r="C3902" t="str">
            <v>Vitamin</v>
          </cell>
          <cell r="D3902">
            <v>159</v>
          </cell>
          <cell r="E3902">
            <v>42.98</v>
          </cell>
          <cell r="F3902">
            <v>6833.82</v>
          </cell>
          <cell r="G3902">
            <v>0.18</v>
          </cell>
          <cell r="H3902">
            <v>2</v>
          </cell>
          <cell r="I3902" t="str">
            <v>Canada</v>
          </cell>
          <cell r="J3902" t="str">
            <v>Amazon</v>
          </cell>
        </row>
        <row r="3903">
          <cell r="A3903" t="str">
            <v>02-09-2024</v>
          </cell>
          <cell r="B3903" t="str">
            <v>Green Tea Extract</v>
          </cell>
          <cell r="C3903" t="str">
            <v>Fat Burner</v>
          </cell>
          <cell r="D3903">
            <v>160</v>
          </cell>
          <cell r="E3903">
            <v>39.36</v>
          </cell>
          <cell r="F3903">
            <v>6297.6</v>
          </cell>
          <cell r="G3903">
            <v>0.24</v>
          </cell>
          <cell r="H3903">
            <v>2</v>
          </cell>
          <cell r="I3903" t="str">
            <v>USA</v>
          </cell>
          <cell r="J3903" t="str">
            <v>iHerb</v>
          </cell>
        </row>
        <row r="3904">
          <cell r="A3904" t="str">
            <v>02-09-2024</v>
          </cell>
          <cell r="B3904" t="str">
            <v>Iron Supplement</v>
          </cell>
          <cell r="C3904" t="str">
            <v>Mineral</v>
          </cell>
          <cell r="D3904">
            <v>154</v>
          </cell>
          <cell r="E3904">
            <v>26.66</v>
          </cell>
          <cell r="F3904">
            <v>4105.6400000000003</v>
          </cell>
          <cell r="G3904">
            <v>0.18</v>
          </cell>
          <cell r="H3904">
            <v>3</v>
          </cell>
          <cell r="I3904" t="str">
            <v>Canada</v>
          </cell>
          <cell r="J3904" t="str">
            <v>iHerb</v>
          </cell>
        </row>
        <row r="3905">
          <cell r="A3905" t="str">
            <v>02-09-2024</v>
          </cell>
          <cell r="B3905" t="str">
            <v>Electrolyte Powder</v>
          </cell>
          <cell r="C3905" t="str">
            <v>Hydration</v>
          </cell>
          <cell r="D3905">
            <v>139</v>
          </cell>
          <cell r="E3905">
            <v>52.62</v>
          </cell>
          <cell r="F3905">
            <v>7314.18</v>
          </cell>
          <cell r="G3905">
            <v>0.21</v>
          </cell>
          <cell r="H3905">
            <v>3</v>
          </cell>
          <cell r="I3905" t="str">
            <v>UK</v>
          </cell>
          <cell r="J3905" t="str">
            <v>Amazon</v>
          </cell>
        </row>
        <row r="3906">
          <cell r="A3906" t="str">
            <v>09-09-2024</v>
          </cell>
          <cell r="B3906" t="str">
            <v>Whey Protein</v>
          </cell>
          <cell r="C3906" t="str">
            <v>Protein</v>
          </cell>
          <cell r="D3906">
            <v>175</v>
          </cell>
          <cell r="E3906">
            <v>42.82</v>
          </cell>
          <cell r="F3906">
            <v>7493.5</v>
          </cell>
          <cell r="G3906">
            <v>0.1</v>
          </cell>
          <cell r="H3906">
            <v>1</v>
          </cell>
          <cell r="I3906" t="str">
            <v>USA</v>
          </cell>
          <cell r="J3906" t="str">
            <v>Amazon</v>
          </cell>
        </row>
        <row r="3907">
          <cell r="A3907" t="str">
            <v>09-09-2024</v>
          </cell>
          <cell r="B3907" t="str">
            <v>Vitamin C</v>
          </cell>
          <cell r="C3907" t="str">
            <v>Vitamin</v>
          </cell>
          <cell r="D3907">
            <v>148</v>
          </cell>
          <cell r="E3907">
            <v>35.07</v>
          </cell>
          <cell r="F3907">
            <v>5190.3599999999997</v>
          </cell>
          <cell r="G3907">
            <v>0.2</v>
          </cell>
          <cell r="H3907">
            <v>2</v>
          </cell>
          <cell r="I3907" t="str">
            <v>UK</v>
          </cell>
          <cell r="J3907" t="str">
            <v>iHerb</v>
          </cell>
        </row>
        <row r="3908">
          <cell r="A3908" t="str">
            <v>09-09-2024</v>
          </cell>
          <cell r="B3908" t="str">
            <v>Fish Oil</v>
          </cell>
          <cell r="C3908" t="str">
            <v>Omega</v>
          </cell>
          <cell r="D3908">
            <v>148</v>
          </cell>
          <cell r="E3908">
            <v>50.92</v>
          </cell>
          <cell r="F3908">
            <v>7536.16</v>
          </cell>
          <cell r="G3908">
            <v>0.14000000000000001</v>
          </cell>
          <cell r="H3908">
            <v>3</v>
          </cell>
          <cell r="I3908" t="str">
            <v>Canada</v>
          </cell>
          <cell r="J3908" t="str">
            <v>Amazon</v>
          </cell>
        </row>
        <row r="3909">
          <cell r="A3909" t="str">
            <v>09-09-2024</v>
          </cell>
          <cell r="B3909" t="str">
            <v>Multivitamin</v>
          </cell>
          <cell r="C3909" t="str">
            <v>Vitamin</v>
          </cell>
          <cell r="D3909">
            <v>158</v>
          </cell>
          <cell r="E3909">
            <v>47.73</v>
          </cell>
          <cell r="F3909">
            <v>7541.34</v>
          </cell>
          <cell r="G3909">
            <v>0.01</v>
          </cell>
          <cell r="H3909">
            <v>0</v>
          </cell>
          <cell r="I3909" t="str">
            <v>USA</v>
          </cell>
          <cell r="J3909" t="str">
            <v>iHerb</v>
          </cell>
        </row>
        <row r="3910">
          <cell r="A3910" t="str">
            <v>09-09-2024</v>
          </cell>
          <cell r="B3910" t="str">
            <v>Pre-Workout</v>
          </cell>
          <cell r="C3910" t="str">
            <v>Performance</v>
          </cell>
          <cell r="D3910">
            <v>129</v>
          </cell>
          <cell r="E3910">
            <v>21.77</v>
          </cell>
          <cell r="F3910">
            <v>2808.33</v>
          </cell>
          <cell r="G3910">
            <v>0.25</v>
          </cell>
          <cell r="H3910">
            <v>1</v>
          </cell>
          <cell r="I3910" t="str">
            <v>USA</v>
          </cell>
          <cell r="J3910" t="str">
            <v>iHerb</v>
          </cell>
        </row>
        <row r="3911">
          <cell r="A3911" t="str">
            <v>09-09-2024</v>
          </cell>
          <cell r="B3911" t="str">
            <v>BCAA</v>
          </cell>
          <cell r="C3911" t="str">
            <v>Amino Acid</v>
          </cell>
          <cell r="D3911">
            <v>156</v>
          </cell>
          <cell r="E3911">
            <v>26.09</v>
          </cell>
          <cell r="F3911">
            <v>4070.04</v>
          </cell>
          <cell r="G3911">
            <v>0.08</v>
          </cell>
          <cell r="H3911">
            <v>2</v>
          </cell>
          <cell r="I3911" t="str">
            <v>USA</v>
          </cell>
          <cell r="J3911" t="str">
            <v>Walmart</v>
          </cell>
        </row>
        <row r="3912">
          <cell r="A3912" t="str">
            <v>09-09-2024</v>
          </cell>
          <cell r="B3912" t="str">
            <v>Creatine</v>
          </cell>
          <cell r="C3912" t="str">
            <v>Performance</v>
          </cell>
          <cell r="D3912">
            <v>149</v>
          </cell>
          <cell r="E3912">
            <v>39.6</v>
          </cell>
          <cell r="F3912">
            <v>5900.4</v>
          </cell>
          <cell r="G3912">
            <v>0.19</v>
          </cell>
          <cell r="H3912">
            <v>0</v>
          </cell>
          <cell r="I3912" t="str">
            <v>UK</v>
          </cell>
          <cell r="J3912" t="str">
            <v>Walmart</v>
          </cell>
        </row>
        <row r="3913">
          <cell r="A3913" t="str">
            <v>09-09-2024</v>
          </cell>
          <cell r="B3913" t="str">
            <v>Zinc</v>
          </cell>
          <cell r="C3913" t="str">
            <v>Mineral</v>
          </cell>
          <cell r="D3913">
            <v>161</v>
          </cell>
          <cell r="E3913">
            <v>43.45</v>
          </cell>
          <cell r="F3913">
            <v>6995.45</v>
          </cell>
          <cell r="G3913">
            <v>0.08</v>
          </cell>
          <cell r="H3913">
            <v>1</v>
          </cell>
          <cell r="I3913" t="str">
            <v>USA</v>
          </cell>
          <cell r="J3913" t="str">
            <v>iHerb</v>
          </cell>
        </row>
        <row r="3914">
          <cell r="A3914" t="str">
            <v>09-09-2024</v>
          </cell>
          <cell r="B3914" t="str">
            <v>Collagen Peptides</v>
          </cell>
          <cell r="C3914" t="str">
            <v>Protein</v>
          </cell>
          <cell r="D3914">
            <v>150</v>
          </cell>
          <cell r="E3914">
            <v>35.369999999999997</v>
          </cell>
          <cell r="F3914">
            <v>5305.5</v>
          </cell>
          <cell r="G3914">
            <v>0.01</v>
          </cell>
          <cell r="H3914">
            <v>3</v>
          </cell>
          <cell r="I3914" t="str">
            <v>UK</v>
          </cell>
          <cell r="J3914" t="str">
            <v>iHerb</v>
          </cell>
        </row>
        <row r="3915">
          <cell r="A3915" t="str">
            <v>09-09-2024</v>
          </cell>
          <cell r="B3915" t="str">
            <v>Magnesium</v>
          </cell>
          <cell r="C3915" t="str">
            <v>Mineral</v>
          </cell>
          <cell r="D3915">
            <v>163</v>
          </cell>
          <cell r="E3915">
            <v>40.49</v>
          </cell>
          <cell r="F3915">
            <v>6599.87</v>
          </cell>
          <cell r="G3915">
            <v>0.14000000000000001</v>
          </cell>
          <cell r="H3915">
            <v>6</v>
          </cell>
          <cell r="I3915" t="str">
            <v>USA</v>
          </cell>
          <cell r="J3915" t="str">
            <v>Amazon</v>
          </cell>
        </row>
        <row r="3916">
          <cell r="A3916" t="str">
            <v>09-09-2024</v>
          </cell>
          <cell r="B3916" t="str">
            <v>Ashwagandha</v>
          </cell>
          <cell r="C3916" t="str">
            <v>Herbal</v>
          </cell>
          <cell r="D3916">
            <v>142</v>
          </cell>
          <cell r="E3916">
            <v>39.07</v>
          </cell>
          <cell r="F3916">
            <v>5547.94</v>
          </cell>
          <cell r="G3916">
            <v>0.24</v>
          </cell>
          <cell r="H3916">
            <v>2</v>
          </cell>
          <cell r="I3916" t="str">
            <v>USA</v>
          </cell>
          <cell r="J3916" t="str">
            <v>Walmart</v>
          </cell>
        </row>
        <row r="3917">
          <cell r="A3917" t="str">
            <v>09-09-2024</v>
          </cell>
          <cell r="B3917" t="str">
            <v>Melatonin</v>
          </cell>
          <cell r="C3917" t="str">
            <v>Sleep Aid</v>
          </cell>
          <cell r="D3917">
            <v>138</v>
          </cell>
          <cell r="E3917">
            <v>45.56</v>
          </cell>
          <cell r="F3917">
            <v>6287.28</v>
          </cell>
          <cell r="G3917">
            <v>0.19</v>
          </cell>
          <cell r="H3917">
            <v>0</v>
          </cell>
          <cell r="I3917" t="str">
            <v>UK</v>
          </cell>
          <cell r="J3917" t="str">
            <v>iHerb</v>
          </cell>
        </row>
        <row r="3918">
          <cell r="A3918" t="str">
            <v>09-09-2024</v>
          </cell>
          <cell r="B3918" t="str">
            <v>Biotin</v>
          </cell>
          <cell r="C3918" t="str">
            <v>Vitamin</v>
          </cell>
          <cell r="D3918">
            <v>150</v>
          </cell>
          <cell r="E3918">
            <v>53.75</v>
          </cell>
          <cell r="F3918">
            <v>8062.5</v>
          </cell>
          <cell r="G3918">
            <v>0.04</v>
          </cell>
          <cell r="H3918">
            <v>2</v>
          </cell>
          <cell r="I3918" t="str">
            <v>USA</v>
          </cell>
          <cell r="J3918" t="str">
            <v>iHerb</v>
          </cell>
        </row>
        <row r="3919">
          <cell r="A3919" t="str">
            <v>09-09-2024</v>
          </cell>
          <cell r="B3919" t="str">
            <v>Green Tea Extract</v>
          </cell>
          <cell r="C3919" t="str">
            <v>Fat Burner</v>
          </cell>
          <cell r="D3919">
            <v>141</v>
          </cell>
          <cell r="E3919">
            <v>57.03</v>
          </cell>
          <cell r="F3919">
            <v>8041.23</v>
          </cell>
          <cell r="G3919">
            <v>0.06</v>
          </cell>
          <cell r="H3919">
            <v>0</v>
          </cell>
          <cell r="I3919" t="str">
            <v>UK</v>
          </cell>
          <cell r="J3919" t="str">
            <v>Walmart</v>
          </cell>
        </row>
        <row r="3920">
          <cell r="A3920" t="str">
            <v>09-09-2024</v>
          </cell>
          <cell r="B3920" t="str">
            <v>Iron Supplement</v>
          </cell>
          <cell r="C3920" t="str">
            <v>Mineral</v>
          </cell>
          <cell r="D3920">
            <v>127</v>
          </cell>
          <cell r="E3920">
            <v>42.09</v>
          </cell>
          <cell r="F3920">
            <v>5345.43</v>
          </cell>
          <cell r="G3920">
            <v>0.08</v>
          </cell>
          <cell r="H3920">
            <v>2</v>
          </cell>
          <cell r="I3920" t="str">
            <v>USA</v>
          </cell>
          <cell r="J3920" t="str">
            <v>iHerb</v>
          </cell>
        </row>
        <row r="3921">
          <cell r="A3921" t="str">
            <v>09-09-2024</v>
          </cell>
          <cell r="B3921" t="str">
            <v>Electrolyte Powder</v>
          </cell>
          <cell r="C3921" t="str">
            <v>Hydration</v>
          </cell>
          <cell r="D3921">
            <v>174</v>
          </cell>
          <cell r="E3921">
            <v>29.96</v>
          </cell>
          <cell r="F3921">
            <v>5213.04</v>
          </cell>
          <cell r="G3921">
            <v>0.19</v>
          </cell>
          <cell r="H3921">
            <v>0</v>
          </cell>
          <cell r="I3921" t="str">
            <v>Canada</v>
          </cell>
          <cell r="J3921" t="str">
            <v>iHerb</v>
          </cell>
        </row>
        <row r="3922">
          <cell r="A3922" t="str">
            <v>16-09-2024</v>
          </cell>
          <cell r="B3922" t="str">
            <v>Whey Protein</v>
          </cell>
          <cell r="C3922" t="str">
            <v>Protein</v>
          </cell>
          <cell r="D3922">
            <v>143</v>
          </cell>
          <cell r="E3922">
            <v>32.74</v>
          </cell>
          <cell r="F3922">
            <v>4681.82</v>
          </cell>
          <cell r="G3922">
            <v>0.14000000000000001</v>
          </cell>
          <cell r="H3922">
            <v>0</v>
          </cell>
          <cell r="I3922" t="str">
            <v>UK</v>
          </cell>
          <cell r="J3922" t="str">
            <v>iHerb</v>
          </cell>
        </row>
        <row r="3923">
          <cell r="A3923" t="str">
            <v>16-09-2024</v>
          </cell>
          <cell r="B3923" t="str">
            <v>Vitamin C</v>
          </cell>
          <cell r="C3923" t="str">
            <v>Vitamin</v>
          </cell>
          <cell r="D3923">
            <v>139</v>
          </cell>
          <cell r="E3923">
            <v>31.74</v>
          </cell>
          <cell r="F3923">
            <v>4411.8599999999997</v>
          </cell>
          <cell r="G3923">
            <v>0.01</v>
          </cell>
          <cell r="H3923">
            <v>1</v>
          </cell>
          <cell r="I3923" t="str">
            <v>USA</v>
          </cell>
          <cell r="J3923" t="str">
            <v>Amazon</v>
          </cell>
        </row>
        <row r="3924">
          <cell r="A3924" t="str">
            <v>16-09-2024</v>
          </cell>
          <cell r="B3924" t="str">
            <v>Fish Oil</v>
          </cell>
          <cell r="C3924" t="str">
            <v>Omega</v>
          </cell>
          <cell r="D3924">
            <v>151</v>
          </cell>
          <cell r="E3924">
            <v>46.62</v>
          </cell>
          <cell r="F3924">
            <v>7039.62</v>
          </cell>
          <cell r="G3924">
            <v>0.02</v>
          </cell>
          <cell r="H3924">
            <v>0</v>
          </cell>
          <cell r="I3924" t="str">
            <v>USA</v>
          </cell>
          <cell r="J3924" t="str">
            <v>iHerb</v>
          </cell>
        </row>
        <row r="3925">
          <cell r="A3925" t="str">
            <v>16-09-2024</v>
          </cell>
          <cell r="B3925" t="str">
            <v>Multivitamin</v>
          </cell>
          <cell r="C3925" t="str">
            <v>Vitamin</v>
          </cell>
          <cell r="D3925">
            <v>143</v>
          </cell>
          <cell r="E3925">
            <v>32.840000000000003</v>
          </cell>
          <cell r="F3925">
            <v>4696.12</v>
          </cell>
          <cell r="G3925">
            <v>0.25</v>
          </cell>
          <cell r="H3925">
            <v>1</v>
          </cell>
          <cell r="I3925" t="str">
            <v>UK</v>
          </cell>
          <cell r="J3925" t="str">
            <v>Walmart</v>
          </cell>
        </row>
        <row r="3926">
          <cell r="A3926" t="str">
            <v>16-09-2024</v>
          </cell>
          <cell r="B3926" t="str">
            <v>Pre-Workout</v>
          </cell>
          <cell r="C3926" t="str">
            <v>Performance</v>
          </cell>
          <cell r="D3926">
            <v>159</v>
          </cell>
          <cell r="E3926">
            <v>52.5</v>
          </cell>
          <cell r="F3926">
            <v>8347.5</v>
          </cell>
          <cell r="G3926">
            <v>0.05</v>
          </cell>
          <cell r="H3926">
            <v>2</v>
          </cell>
          <cell r="I3926" t="str">
            <v>UK</v>
          </cell>
          <cell r="J3926" t="str">
            <v>iHerb</v>
          </cell>
        </row>
        <row r="3927">
          <cell r="A3927" t="str">
            <v>16-09-2024</v>
          </cell>
          <cell r="B3927" t="str">
            <v>BCAA</v>
          </cell>
          <cell r="C3927" t="str">
            <v>Amino Acid</v>
          </cell>
          <cell r="D3927">
            <v>167</v>
          </cell>
          <cell r="E3927">
            <v>27.34</v>
          </cell>
          <cell r="F3927">
            <v>4565.78</v>
          </cell>
          <cell r="G3927">
            <v>0.24</v>
          </cell>
          <cell r="H3927">
            <v>3</v>
          </cell>
          <cell r="I3927" t="str">
            <v>Canada</v>
          </cell>
          <cell r="J3927" t="str">
            <v>iHerb</v>
          </cell>
        </row>
        <row r="3928">
          <cell r="A3928" t="str">
            <v>16-09-2024</v>
          </cell>
          <cell r="B3928" t="str">
            <v>Creatine</v>
          </cell>
          <cell r="C3928" t="str">
            <v>Performance</v>
          </cell>
          <cell r="D3928">
            <v>142</v>
          </cell>
          <cell r="E3928">
            <v>30.22</v>
          </cell>
          <cell r="F3928">
            <v>4291.24</v>
          </cell>
          <cell r="G3928">
            <v>0.12</v>
          </cell>
          <cell r="H3928">
            <v>1</v>
          </cell>
          <cell r="I3928" t="str">
            <v>USA</v>
          </cell>
          <cell r="J3928" t="str">
            <v>Amazon</v>
          </cell>
        </row>
        <row r="3929">
          <cell r="A3929" t="str">
            <v>16-09-2024</v>
          </cell>
          <cell r="B3929" t="str">
            <v>Zinc</v>
          </cell>
          <cell r="C3929" t="str">
            <v>Mineral</v>
          </cell>
          <cell r="D3929">
            <v>142</v>
          </cell>
          <cell r="E3929">
            <v>48.93</v>
          </cell>
          <cell r="F3929">
            <v>6948.06</v>
          </cell>
          <cell r="G3929">
            <v>0.22</v>
          </cell>
          <cell r="H3929">
            <v>0</v>
          </cell>
          <cell r="I3929" t="str">
            <v>UK</v>
          </cell>
          <cell r="J3929" t="str">
            <v>Walmart</v>
          </cell>
        </row>
        <row r="3930">
          <cell r="A3930" t="str">
            <v>16-09-2024</v>
          </cell>
          <cell r="B3930" t="str">
            <v>Collagen Peptides</v>
          </cell>
          <cell r="C3930" t="str">
            <v>Protein</v>
          </cell>
          <cell r="D3930">
            <v>163</v>
          </cell>
          <cell r="E3930">
            <v>31.37</v>
          </cell>
          <cell r="F3930">
            <v>5113.3100000000004</v>
          </cell>
          <cell r="G3930">
            <v>0.23</v>
          </cell>
          <cell r="H3930">
            <v>1</v>
          </cell>
          <cell r="I3930" t="str">
            <v>UK</v>
          </cell>
          <cell r="J3930" t="str">
            <v>Amazon</v>
          </cell>
        </row>
        <row r="3931">
          <cell r="A3931" t="str">
            <v>16-09-2024</v>
          </cell>
          <cell r="B3931" t="str">
            <v>Magnesium</v>
          </cell>
          <cell r="C3931" t="str">
            <v>Mineral</v>
          </cell>
          <cell r="D3931">
            <v>138</v>
          </cell>
          <cell r="E3931">
            <v>33.65</v>
          </cell>
          <cell r="F3931">
            <v>4643.7</v>
          </cell>
          <cell r="G3931">
            <v>0.19</v>
          </cell>
          <cell r="H3931">
            <v>6</v>
          </cell>
          <cell r="I3931" t="str">
            <v>USA</v>
          </cell>
          <cell r="J3931" t="str">
            <v>Walmart</v>
          </cell>
        </row>
        <row r="3932">
          <cell r="A3932" t="str">
            <v>16-09-2024</v>
          </cell>
          <cell r="B3932" t="str">
            <v>Ashwagandha</v>
          </cell>
          <cell r="C3932" t="str">
            <v>Herbal</v>
          </cell>
          <cell r="D3932">
            <v>159</v>
          </cell>
          <cell r="E3932">
            <v>13.81</v>
          </cell>
          <cell r="F3932">
            <v>2195.79</v>
          </cell>
          <cell r="G3932">
            <v>0.23</v>
          </cell>
          <cell r="H3932">
            <v>1</v>
          </cell>
          <cell r="I3932" t="str">
            <v>UK</v>
          </cell>
          <cell r="J3932" t="str">
            <v>Walmart</v>
          </cell>
        </row>
        <row r="3933">
          <cell r="A3933" t="str">
            <v>16-09-2024</v>
          </cell>
          <cell r="B3933" t="str">
            <v>Melatonin</v>
          </cell>
          <cell r="C3933" t="str">
            <v>Sleep Aid</v>
          </cell>
          <cell r="D3933">
            <v>171</v>
          </cell>
          <cell r="E3933">
            <v>45.76</v>
          </cell>
          <cell r="F3933">
            <v>7824.96</v>
          </cell>
          <cell r="G3933">
            <v>0.18</v>
          </cell>
          <cell r="H3933">
            <v>6</v>
          </cell>
          <cell r="I3933" t="str">
            <v>Canada</v>
          </cell>
          <cell r="J3933" t="str">
            <v>iHerb</v>
          </cell>
        </row>
        <row r="3934">
          <cell r="A3934" t="str">
            <v>16-09-2024</v>
          </cell>
          <cell r="B3934" t="str">
            <v>Biotin</v>
          </cell>
          <cell r="C3934" t="str">
            <v>Vitamin</v>
          </cell>
          <cell r="D3934">
            <v>160</v>
          </cell>
          <cell r="E3934">
            <v>37.86</v>
          </cell>
          <cell r="F3934">
            <v>6057.6</v>
          </cell>
          <cell r="G3934">
            <v>0.09</v>
          </cell>
          <cell r="H3934">
            <v>0</v>
          </cell>
          <cell r="I3934" t="str">
            <v>Canada</v>
          </cell>
          <cell r="J3934" t="str">
            <v>Amazon</v>
          </cell>
        </row>
        <row r="3935">
          <cell r="A3935" t="str">
            <v>16-09-2024</v>
          </cell>
          <cell r="B3935" t="str">
            <v>Green Tea Extract</v>
          </cell>
          <cell r="C3935" t="str">
            <v>Fat Burner</v>
          </cell>
          <cell r="D3935">
            <v>140</v>
          </cell>
          <cell r="E3935">
            <v>37.44</v>
          </cell>
          <cell r="F3935">
            <v>5241.6000000000004</v>
          </cell>
          <cell r="G3935">
            <v>0.23</v>
          </cell>
          <cell r="H3935">
            <v>3</v>
          </cell>
          <cell r="I3935" t="str">
            <v>Canada</v>
          </cell>
          <cell r="J3935" t="str">
            <v>Walmart</v>
          </cell>
        </row>
        <row r="3936">
          <cell r="A3936" t="str">
            <v>16-09-2024</v>
          </cell>
          <cell r="B3936" t="str">
            <v>Iron Supplement</v>
          </cell>
          <cell r="C3936" t="str">
            <v>Mineral</v>
          </cell>
          <cell r="D3936">
            <v>124</v>
          </cell>
          <cell r="E3936">
            <v>22.26</v>
          </cell>
          <cell r="F3936">
            <v>2760.24</v>
          </cell>
          <cell r="G3936">
            <v>0.06</v>
          </cell>
          <cell r="H3936">
            <v>0</v>
          </cell>
          <cell r="I3936" t="str">
            <v>USA</v>
          </cell>
          <cell r="J3936" t="str">
            <v>Walmart</v>
          </cell>
        </row>
        <row r="3937">
          <cell r="A3937" t="str">
            <v>16-09-2024</v>
          </cell>
          <cell r="B3937" t="str">
            <v>Electrolyte Powder</v>
          </cell>
          <cell r="C3937" t="str">
            <v>Hydration</v>
          </cell>
          <cell r="D3937">
            <v>146</v>
          </cell>
          <cell r="E3937">
            <v>38.909999999999997</v>
          </cell>
          <cell r="F3937">
            <v>5680.86</v>
          </cell>
          <cell r="G3937">
            <v>0.14000000000000001</v>
          </cell>
          <cell r="H3937">
            <v>1</v>
          </cell>
          <cell r="I3937" t="str">
            <v>UK</v>
          </cell>
          <cell r="J3937" t="str">
            <v>iHerb</v>
          </cell>
        </row>
        <row r="3938">
          <cell r="A3938" t="str">
            <v>23-09-2024</v>
          </cell>
          <cell r="B3938" t="str">
            <v>Whey Protein</v>
          </cell>
          <cell r="C3938" t="str">
            <v>Protein</v>
          </cell>
          <cell r="D3938">
            <v>158</v>
          </cell>
          <cell r="E3938">
            <v>27.31</v>
          </cell>
          <cell r="F3938">
            <v>4314.9799999999996</v>
          </cell>
          <cell r="G3938">
            <v>0.02</v>
          </cell>
          <cell r="H3938">
            <v>1</v>
          </cell>
          <cell r="I3938" t="str">
            <v>Canada</v>
          </cell>
          <cell r="J3938" t="str">
            <v>iHerb</v>
          </cell>
        </row>
        <row r="3939">
          <cell r="A3939" t="str">
            <v>23-09-2024</v>
          </cell>
          <cell r="B3939" t="str">
            <v>Vitamin C</v>
          </cell>
          <cell r="C3939" t="str">
            <v>Vitamin</v>
          </cell>
          <cell r="D3939">
            <v>134</v>
          </cell>
          <cell r="E3939">
            <v>17.8</v>
          </cell>
          <cell r="F3939">
            <v>2385.1999999999998</v>
          </cell>
          <cell r="G3939">
            <v>0.12</v>
          </cell>
          <cell r="H3939">
            <v>0</v>
          </cell>
          <cell r="I3939" t="str">
            <v>USA</v>
          </cell>
          <cell r="J3939" t="str">
            <v>Amazon</v>
          </cell>
        </row>
        <row r="3940">
          <cell r="A3940" t="str">
            <v>23-09-2024</v>
          </cell>
          <cell r="B3940" t="str">
            <v>Fish Oil</v>
          </cell>
          <cell r="C3940" t="str">
            <v>Omega</v>
          </cell>
          <cell r="D3940">
            <v>159</v>
          </cell>
          <cell r="E3940">
            <v>37.74</v>
          </cell>
          <cell r="F3940">
            <v>6000.66</v>
          </cell>
          <cell r="G3940">
            <v>0.04</v>
          </cell>
          <cell r="H3940">
            <v>0</v>
          </cell>
          <cell r="I3940" t="str">
            <v>UK</v>
          </cell>
          <cell r="J3940" t="str">
            <v>Amazon</v>
          </cell>
        </row>
        <row r="3941">
          <cell r="A3941" t="str">
            <v>23-09-2024</v>
          </cell>
          <cell r="B3941" t="str">
            <v>Multivitamin</v>
          </cell>
          <cell r="C3941" t="str">
            <v>Vitamin</v>
          </cell>
          <cell r="D3941">
            <v>166</v>
          </cell>
          <cell r="E3941">
            <v>14.95</v>
          </cell>
          <cell r="F3941">
            <v>2481.6999999999998</v>
          </cell>
          <cell r="G3941">
            <v>0.17</v>
          </cell>
          <cell r="H3941">
            <v>2</v>
          </cell>
          <cell r="I3941" t="str">
            <v>USA</v>
          </cell>
          <cell r="J3941" t="str">
            <v>Walmart</v>
          </cell>
        </row>
        <row r="3942">
          <cell r="A3942" t="str">
            <v>23-09-2024</v>
          </cell>
          <cell r="B3942" t="str">
            <v>Pre-Workout</v>
          </cell>
          <cell r="C3942" t="str">
            <v>Performance</v>
          </cell>
          <cell r="D3942">
            <v>149</v>
          </cell>
          <cell r="E3942">
            <v>54.35</v>
          </cell>
          <cell r="F3942">
            <v>8098.15</v>
          </cell>
          <cell r="G3942">
            <v>0.06</v>
          </cell>
          <cell r="H3942">
            <v>1</v>
          </cell>
          <cell r="I3942" t="str">
            <v>Canada</v>
          </cell>
          <cell r="J3942" t="str">
            <v>Walmart</v>
          </cell>
        </row>
        <row r="3943">
          <cell r="A3943" t="str">
            <v>23-09-2024</v>
          </cell>
          <cell r="B3943" t="str">
            <v>BCAA</v>
          </cell>
          <cell r="C3943" t="str">
            <v>Amino Acid</v>
          </cell>
          <cell r="D3943">
            <v>144</v>
          </cell>
          <cell r="E3943">
            <v>55.82</v>
          </cell>
          <cell r="F3943">
            <v>8038.08</v>
          </cell>
          <cell r="G3943">
            <v>0.21</v>
          </cell>
          <cell r="H3943">
            <v>2</v>
          </cell>
          <cell r="I3943" t="str">
            <v>USA</v>
          </cell>
          <cell r="J3943" t="str">
            <v>iHerb</v>
          </cell>
        </row>
        <row r="3944">
          <cell r="A3944" t="str">
            <v>23-09-2024</v>
          </cell>
          <cell r="B3944" t="str">
            <v>Creatine</v>
          </cell>
          <cell r="C3944" t="str">
            <v>Performance</v>
          </cell>
          <cell r="D3944">
            <v>167</v>
          </cell>
          <cell r="E3944">
            <v>57.29</v>
          </cell>
          <cell r="F3944">
            <v>9567.43</v>
          </cell>
          <cell r="G3944">
            <v>0.13</v>
          </cell>
          <cell r="H3944">
            <v>0</v>
          </cell>
          <cell r="I3944" t="str">
            <v>Canada</v>
          </cell>
          <cell r="J3944" t="str">
            <v>Walmart</v>
          </cell>
        </row>
        <row r="3945">
          <cell r="A3945" t="str">
            <v>23-09-2024</v>
          </cell>
          <cell r="B3945" t="str">
            <v>Zinc</v>
          </cell>
          <cell r="C3945" t="str">
            <v>Mineral</v>
          </cell>
          <cell r="D3945">
            <v>148</v>
          </cell>
          <cell r="E3945">
            <v>30.02</v>
          </cell>
          <cell r="F3945">
            <v>4442.96</v>
          </cell>
          <cell r="G3945">
            <v>0.23</v>
          </cell>
          <cell r="H3945">
            <v>1</v>
          </cell>
          <cell r="I3945" t="str">
            <v>UK</v>
          </cell>
          <cell r="J3945" t="str">
            <v>Amazon</v>
          </cell>
        </row>
        <row r="3946">
          <cell r="A3946" t="str">
            <v>23-09-2024</v>
          </cell>
          <cell r="B3946" t="str">
            <v>Collagen Peptides</v>
          </cell>
          <cell r="C3946" t="str">
            <v>Protein</v>
          </cell>
          <cell r="D3946">
            <v>150</v>
          </cell>
          <cell r="E3946">
            <v>48.05</v>
          </cell>
          <cell r="F3946">
            <v>7207.5</v>
          </cell>
          <cell r="G3946">
            <v>0.18</v>
          </cell>
          <cell r="H3946">
            <v>1</v>
          </cell>
          <cell r="I3946" t="str">
            <v>Canada</v>
          </cell>
          <cell r="J3946" t="str">
            <v>iHerb</v>
          </cell>
        </row>
        <row r="3947">
          <cell r="A3947" t="str">
            <v>23-09-2024</v>
          </cell>
          <cell r="B3947" t="str">
            <v>Magnesium</v>
          </cell>
          <cell r="C3947" t="str">
            <v>Mineral</v>
          </cell>
          <cell r="D3947">
            <v>132</v>
          </cell>
          <cell r="E3947">
            <v>16.55</v>
          </cell>
          <cell r="F3947">
            <v>2184.6</v>
          </cell>
          <cell r="G3947">
            <v>7.0000000000000007E-2</v>
          </cell>
          <cell r="H3947">
            <v>0</v>
          </cell>
          <cell r="I3947" t="str">
            <v>Canada</v>
          </cell>
          <cell r="J3947" t="str">
            <v>Amazon</v>
          </cell>
        </row>
        <row r="3948">
          <cell r="A3948" t="str">
            <v>23-09-2024</v>
          </cell>
          <cell r="B3948" t="str">
            <v>Ashwagandha</v>
          </cell>
          <cell r="C3948" t="str">
            <v>Herbal</v>
          </cell>
          <cell r="D3948">
            <v>161</v>
          </cell>
          <cell r="E3948">
            <v>30.7</v>
          </cell>
          <cell r="F3948">
            <v>4942.7</v>
          </cell>
          <cell r="G3948">
            <v>0.08</v>
          </cell>
          <cell r="H3948">
            <v>3</v>
          </cell>
          <cell r="I3948" t="str">
            <v>UK</v>
          </cell>
          <cell r="J3948" t="str">
            <v>iHerb</v>
          </cell>
        </row>
        <row r="3949">
          <cell r="A3949" t="str">
            <v>23-09-2024</v>
          </cell>
          <cell r="B3949" t="str">
            <v>Melatonin</v>
          </cell>
          <cell r="C3949" t="str">
            <v>Sleep Aid</v>
          </cell>
          <cell r="D3949">
            <v>169</v>
          </cell>
          <cell r="E3949">
            <v>10.45</v>
          </cell>
          <cell r="F3949">
            <v>1766.05</v>
          </cell>
          <cell r="G3949">
            <v>0.2</v>
          </cell>
          <cell r="H3949">
            <v>1</v>
          </cell>
          <cell r="I3949" t="str">
            <v>USA</v>
          </cell>
          <cell r="J3949" t="str">
            <v>iHerb</v>
          </cell>
        </row>
        <row r="3950">
          <cell r="A3950" t="str">
            <v>23-09-2024</v>
          </cell>
          <cell r="B3950" t="str">
            <v>Biotin</v>
          </cell>
          <cell r="C3950" t="str">
            <v>Vitamin</v>
          </cell>
          <cell r="D3950">
            <v>151</v>
          </cell>
          <cell r="E3950">
            <v>55.73</v>
          </cell>
          <cell r="F3950">
            <v>8415.23</v>
          </cell>
          <cell r="G3950">
            <v>0.14000000000000001</v>
          </cell>
          <cell r="H3950">
            <v>1</v>
          </cell>
          <cell r="I3950" t="str">
            <v>USA</v>
          </cell>
          <cell r="J3950" t="str">
            <v>Amazon</v>
          </cell>
        </row>
        <row r="3951">
          <cell r="A3951" t="str">
            <v>23-09-2024</v>
          </cell>
          <cell r="B3951" t="str">
            <v>Green Tea Extract</v>
          </cell>
          <cell r="C3951" t="str">
            <v>Fat Burner</v>
          </cell>
          <cell r="D3951">
            <v>142</v>
          </cell>
          <cell r="E3951">
            <v>49.83</v>
          </cell>
          <cell r="F3951">
            <v>7075.86</v>
          </cell>
          <cell r="G3951">
            <v>0.11</v>
          </cell>
          <cell r="H3951">
            <v>0</v>
          </cell>
          <cell r="I3951" t="str">
            <v>Canada</v>
          </cell>
          <cell r="J3951" t="str">
            <v>Walmart</v>
          </cell>
        </row>
        <row r="3952">
          <cell r="A3952" t="str">
            <v>23-09-2024</v>
          </cell>
          <cell r="B3952" t="str">
            <v>Iron Supplement</v>
          </cell>
          <cell r="C3952" t="str">
            <v>Mineral</v>
          </cell>
          <cell r="D3952">
            <v>131</v>
          </cell>
          <cell r="E3952">
            <v>33.25</v>
          </cell>
          <cell r="F3952">
            <v>4355.75</v>
          </cell>
          <cell r="G3952">
            <v>0.16</v>
          </cell>
          <cell r="H3952">
            <v>1</v>
          </cell>
          <cell r="I3952" t="str">
            <v>UK</v>
          </cell>
          <cell r="J3952" t="str">
            <v>Amazon</v>
          </cell>
        </row>
        <row r="3953">
          <cell r="A3953" t="str">
            <v>23-09-2024</v>
          </cell>
          <cell r="B3953" t="str">
            <v>Electrolyte Powder</v>
          </cell>
          <cell r="C3953" t="str">
            <v>Hydration</v>
          </cell>
          <cell r="D3953">
            <v>135</v>
          </cell>
          <cell r="E3953">
            <v>55.34</v>
          </cell>
          <cell r="F3953">
            <v>7470.9</v>
          </cell>
          <cell r="G3953">
            <v>0.04</v>
          </cell>
          <cell r="H3953">
            <v>2</v>
          </cell>
          <cell r="I3953" t="str">
            <v>Canada</v>
          </cell>
          <cell r="J3953" t="str">
            <v>iHerb</v>
          </cell>
        </row>
        <row r="3954">
          <cell r="A3954" t="str">
            <v>30-09-2024</v>
          </cell>
          <cell r="B3954" t="str">
            <v>Whey Protein</v>
          </cell>
          <cell r="C3954" t="str">
            <v>Protein</v>
          </cell>
          <cell r="D3954">
            <v>153</v>
          </cell>
          <cell r="E3954">
            <v>17.53</v>
          </cell>
          <cell r="F3954">
            <v>2682.09</v>
          </cell>
          <cell r="G3954">
            <v>0.24</v>
          </cell>
          <cell r="H3954">
            <v>2</v>
          </cell>
          <cell r="I3954" t="str">
            <v>Canada</v>
          </cell>
          <cell r="J3954" t="str">
            <v>iHerb</v>
          </cell>
        </row>
        <row r="3955">
          <cell r="A3955" t="str">
            <v>30-09-2024</v>
          </cell>
          <cell r="B3955" t="str">
            <v>Vitamin C</v>
          </cell>
          <cell r="C3955" t="str">
            <v>Vitamin</v>
          </cell>
          <cell r="D3955">
            <v>164</v>
          </cell>
          <cell r="E3955">
            <v>46.97</v>
          </cell>
          <cell r="F3955">
            <v>7703.08</v>
          </cell>
          <cell r="G3955">
            <v>0.2</v>
          </cell>
          <cell r="H3955">
            <v>1</v>
          </cell>
          <cell r="I3955" t="str">
            <v>UK</v>
          </cell>
          <cell r="J3955" t="str">
            <v>Walmart</v>
          </cell>
        </row>
        <row r="3956">
          <cell r="A3956" t="str">
            <v>30-09-2024</v>
          </cell>
          <cell r="B3956" t="str">
            <v>Fish Oil</v>
          </cell>
          <cell r="C3956" t="str">
            <v>Omega</v>
          </cell>
          <cell r="D3956">
            <v>146</v>
          </cell>
          <cell r="E3956">
            <v>14.67</v>
          </cell>
          <cell r="F3956">
            <v>2141.8200000000002</v>
          </cell>
          <cell r="G3956">
            <v>0.18</v>
          </cell>
          <cell r="H3956">
            <v>0</v>
          </cell>
          <cell r="I3956" t="str">
            <v>USA</v>
          </cell>
          <cell r="J3956" t="str">
            <v>iHerb</v>
          </cell>
        </row>
        <row r="3957">
          <cell r="A3957" t="str">
            <v>30-09-2024</v>
          </cell>
          <cell r="B3957" t="str">
            <v>Multivitamin</v>
          </cell>
          <cell r="C3957" t="str">
            <v>Vitamin</v>
          </cell>
          <cell r="D3957">
            <v>138</v>
          </cell>
          <cell r="E3957">
            <v>14.92</v>
          </cell>
          <cell r="F3957">
            <v>2058.96</v>
          </cell>
          <cell r="G3957">
            <v>0.24</v>
          </cell>
          <cell r="H3957">
            <v>3</v>
          </cell>
          <cell r="I3957" t="str">
            <v>Canada</v>
          </cell>
          <cell r="J3957" t="str">
            <v>Amazon</v>
          </cell>
        </row>
        <row r="3958">
          <cell r="A3958" t="str">
            <v>30-09-2024</v>
          </cell>
          <cell r="B3958" t="str">
            <v>Pre-Workout</v>
          </cell>
          <cell r="C3958" t="str">
            <v>Performance</v>
          </cell>
          <cell r="D3958">
            <v>154</v>
          </cell>
          <cell r="E3958">
            <v>54.38</v>
          </cell>
          <cell r="F3958">
            <v>8374.52</v>
          </cell>
          <cell r="G3958">
            <v>0.06</v>
          </cell>
          <cell r="H3958">
            <v>3</v>
          </cell>
          <cell r="I3958" t="str">
            <v>UK</v>
          </cell>
          <cell r="J3958" t="str">
            <v>Amazon</v>
          </cell>
        </row>
        <row r="3959">
          <cell r="A3959" t="str">
            <v>30-09-2024</v>
          </cell>
          <cell r="B3959" t="str">
            <v>BCAA</v>
          </cell>
          <cell r="C3959" t="str">
            <v>Amino Acid</v>
          </cell>
          <cell r="D3959">
            <v>138</v>
          </cell>
          <cell r="E3959">
            <v>37.909999999999997</v>
          </cell>
          <cell r="F3959">
            <v>5231.58</v>
          </cell>
          <cell r="G3959">
            <v>0.18</v>
          </cell>
          <cell r="H3959">
            <v>0</v>
          </cell>
          <cell r="I3959" t="str">
            <v>UK</v>
          </cell>
          <cell r="J3959" t="str">
            <v>iHerb</v>
          </cell>
        </row>
        <row r="3960">
          <cell r="A3960" t="str">
            <v>30-09-2024</v>
          </cell>
          <cell r="B3960" t="str">
            <v>Creatine</v>
          </cell>
          <cell r="C3960" t="str">
            <v>Performance</v>
          </cell>
          <cell r="D3960">
            <v>142</v>
          </cell>
          <cell r="E3960">
            <v>27.87</v>
          </cell>
          <cell r="F3960">
            <v>3957.54</v>
          </cell>
          <cell r="G3960">
            <v>0.19</v>
          </cell>
          <cell r="H3960">
            <v>2</v>
          </cell>
          <cell r="I3960" t="str">
            <v>Canada</v>
          </cell>
          <cell r="J3960" t="str">
            <v>iHerb</v>
          </cell>
        </row>
        <row r="3961">
          <cell r="A3961" t="str">
            <v>30-09-2024</v>
          </cell>
          <cell r="B3961" t="str">
            <v>Zinc</v>
          </cell>
          <cell r="C3961" t="str">
            <v>Mineral</v>
          </cell>
          <cell r="D3961">
            <v>140</v>
          </cell>
          <cell r="E3961">
            <v>41.45</v>
          </cell>
          <cell r="F3961">
            <v>5803</v>
          </cell>
          <cell r="G3961">
            <v>0.11</v>
          </cell>
          <cell r="H3961">
            <v>0</v>
          </cell>
          <cell r="I3961" t="str">
            <v>Canada</v>
          </cell>
          <cell r="J3961" t="str">
            <v>Amazon</v>
          </cell>
        </row>
        <row r="3962">
          <cell r="A3962" t="str">
            <v>30-09-2024</v>
          </cell>
          <cell r="B3962" t="str">
            <v>Collagen Peptides</v>
          </cell>
          <cell r="C3962" t="str">
            <v>Protein</v>
          </cell>
          <cell r="D3962">
            <v>144</v>
          </cell>
          <cell r="E3962">
            <v>15.41</v>
          </cell>
          <cell r="F3962">
            <v>2219.04</v>
          </cell>
          <cell r="G3962">
            <v>0.14000000000000001</v>
          </cell>
          <cell r="H3962">
            <v>2</v>
          </cell>
          <cell r="I3962" t="str">
            <v>USA</v>
          </cell>
          <cell r="J3962" t="str">
            <v>iHerb</v>
          </cell>
        </row>
        <row r="3963">
          <cell r="A3963" t="str">
            <v>30-09-2024</v>
          </cell>
          <cell r="B3963" t="str">
            <v>Magnesium</v>
          </cell>
          <cell r="C3963" t="str">
            <v>Mineral</v>
          </cell>
          <cell r="D3963">
            <v>153</v>
          </cell>
          <cell r="E3963">
            <v>16.38</v>
          </cell>
          <cell r="F3963">
            <v>2506.14</v>
          </cell>
          <cell r="G3963">
            <v>0.11</v>
          </cell>
          <cell r="H3963">
            <v>2</v>
          </cell>
          <cell r="I3963" t="str">
            <v>UK</v>
          </cell>
          <cell r="J3963" t="str">
            <v>Walmart</v>
          </cell>
        </row>
        <row r="3964">
          <cell r="A3964" t="str">
            <v>30-09-2024</v>
          </cell>
          <cell r="B3964" t="str">
            <v>Ashwagandha</v>
          </cell>
          <cell r="C3964" t="str">
            <v>Herbal</v>
          </cell>
          <cell r="D3964">
            <v>156</v>
          </cell>
          <cell r="E3964">
            <v>46.45</v>
          </cell>
          <cell r="F3964">
            <v>7246.2</v>
          </cell>
          <cell r="G3964">
            <v>0.16</v>
          </cell>
          <cell r="H3964">
            <v>0</v>
          </cell>
          <cell r="I3964" t="str">
            <v>Canada</v>
          </cell>
          <cell r="J3964" t="str">
            <v>Walmart</v>
          </cell>
        </row>
        <row r="3965">
          <cell r="A3965" t="str">
            <v>30-09-2024</v>
          </cell>
          <cell r="B3965" t="str">
            <v>Melatonin</v>
          </cell>
          <cell r="C3965" t="str">
            <v>Sleep Aid</v>
          </cell>
          <cell r="D3965">
            <v>157</v>
          </cell>
          <cell r="E3965">
            <v>59.67</v>
          </cell>
          <cell r="F3965">
            <v>9368.19</v>
          </cell>
          <cell r="G3965">
            <v>0.17</v>
          </cell>
          <cell r="H3965">
            <v>2</v>
          </cell>
          <cell r="I3965" t="str">
            <v>UK</v>
          </cell>
          <cell r="J3965" t="str">
            <v>iHerb</v>
          </cell>
        </row>
        <row r="3966">
          <cell r="A3966" t="str">
            <v>30-09-2024</v>
          </cell>
          <cell r="B3966" t="str">
            <v>Biotin</v>
          </cell>
          <cell r="C3966" t="str">
            <v>Vitamin</v>
          </cell>
          <cell r="D3966">
            <v>150</v>
          </cell>
          <cell r="E3966">
            <v>59.84</v>
          </cell>
          <cell r="F3966">
            <v>8976</v>
          </cell>
          <cell r="G3966">
            <v>0.19</v>
          </cell>
          <cell r="H3966">
            <v>2</v>
          </cell>
          <cell r="I3966" t="str">
            <v>UK</v>
          </cell>
          <cell r="J3966" t="str">
            <v>iHerb</v>
          </cell>
        </row>
        <row r="3967">
          <cell r="A3967" t="str">
            <v>30-09-2024</v>
          </cell>
          <cell r="B3967" t="str">
            <v>Green Tea Extract</v>
          </cell>
          <cell r="C3967" t="str">
            <v>Fat Burner</v>
          </cell>
          <cell r="D3967">
            <v>129</v>
          </cell>
          <cell r="E3967">
            <v>45.43</v>
          </cell>
          <cell r="F3967">
            <v>5860.47</v>
          </cell>
          <cell r="G3967">
            <v>0.19</v>
          </cell>
          <cell r="H3967">
            <v>0</v>
          </cell>
          <cell r="I3967" t="str">
            <v>USA</v>
          </cell>
          <cell r="J3967" t="str">
            <v>Amazon</v>
          </cell>
        </row>
        <row r="3968">
          <cell r="A3968" t="str">
            <v>30-09-2024</v>
          </cell>
          <cell r="B3968" t="str">
            <v>Iron Supplement</v>
          </cell>
          <cell r="C3968" t="str">
            <v>Mineral</v>
          </cell>
          <cell r="D3968">
            <v>155</v>
          </cell>
          <cell r="E3968">
            <v>48.01</v>
          </cell>
          <cell r="F3968">
            <v>7441.55</v>
          </cell>
          <cell r="G3968">
            <v>0.06</v>
          </cell>
          <cell r="H3968">
            <v>2</v>
          </cell>
          <cell r="I3968" t="str">
            <v>USA</v>
          </cell>
          <cell r="J3968" t="str">
            <v>iHerb</v>
          </cell>
        </row>
        <row r="3969">
          <cell r="A3969" t="str">
            <v>30-09-2024</v>
          </cell>
          <cell r="B3969" t="str">
            <v>Electrolyte Powder</v>
          </cell>
          <cell r="C3969" t="str">
            <v>Hydration</v>
          </cell>
          <cell r="D3969">
            <v>142</v>
          </cell>
          <cell r="E3969">
            <v>41.67</v>
          </cell>
          <cell r="F3969">
            <v>5917.14</v>
          </cell>
          <cell r="G3969">
            <v>0.03</v>
          </cell>
          <cell r="H3969">
            <v>2</v>
          </cell>
          <cell r="I3969" t="str">
            <v>USA</v>
          </cell>
          <cell r="J3969" t="str">
            <v>iHerb</v>
          </cell>
        </row>
        <row r="3970">
          <cell r="A3970" t="str">
            <v>07-10-2024</v>
          </cell>
          <cell r="B3970" t="str">
            <v>Whey Protein</v>
          </cell>
          <cell r="C3970" t="str">
            <v>Protein</v>
          </cell>
          <cell r="D3970">
            <v>140</v>
          </cell>
          <cell r="E3970">
            <v>27.68</v>
          </cell>
          <cell r="F3970">
            <v>3875.2</v>
          </cell>
          <cell r="G3970">
            <v>0.23</v>
          </cell>
          <cell r="H3970">
            <v>2</v>
          </cell>
          <cell r="I3970" t="str">
            <v>Canada</v>
          </cell>
          <cell r="J3970" t="str">
            <v>Amazon</v>
          </cell>
        </row>
        <row r="3971">
          <cell r="A3971" t="str">
            <v>07-10-2024</v>
          </cell>
          <cell r="B3971" t="str">
            <v>Vitamin C</v>
          </cell>
          <cell r="C3971" t="str">
            <v>Vitamin</v>
          </cell>
          <cell r="D3971">
            <v>128</v>
          </cell>
          <cell r="E3971">
            <v>26.87</v>
          </cell>
          <cell r="F3971">
            <v>3439.36</v>
          </cell>
          <cell r="G3971">
            <v>0.2</v>
          </cell>
          <cell r="H3971">
            <v>1</v>
          </cell>
          <cell r="I3971" t="str">
            <v>USA</v>
          </cell>
          <cell r="J3971" t="str">
            <v>iHerb</v>
          </cell>
        </row>
        <row r="3972">
          <cell r="A3972" t="str">
            <v>07-10-2024</v>
          </cell>
          <cell r="B3972" t="str">
            <v>Fish Oil</v>
          </cell>
          <cell r="C3972" t="str">
            <v>Omega</v>
          </cell>
          <cell r="D3972">
            <v>157</v>
          </cell>
          <cell r="E3972">
            <v>58.78</v>
          </cell>
          <cell r="F3972">
            <v>9228.4599999999991</v>
          </cell>
          <cell r="G3972">
            <v>0.23</v>
          </cell>
          <cell r="H3972">
            <v>1</v>
          </cell>
          <cell r="I3972" t="str">
            <v>USA</v>
          </cell>
          <cell r="J3972" t="str">
            <v>iHerb</v>
          </cell>
        </row>
        <row r="3973">
          <cell r="A3973" t="str">
            <v>07-10-2024</v>
          </cell>
          <cell r="B3973" t="str">
            <v>Multivitamin</v>
          </cell>
          <cell r="C3973" t="str">
            <v>Vitamin</v>
          </cell>
          <cell r="D3973">
            <v>158</v>
          </cell>
          <cell r="E3973">
            <v>54.94</v>
          </cell>
          <cell r="F3973">
            <v>8680.52</v>
          </cell>
          <cell r="G3973">
            <v>0.02</v>
          </cell>
          <cell r="H3973">
            <v>1</v>
          </cell>
          <cell r="I3973" t="str">
            <v>USA</v>
          </cell>
          <cell r="J3973" t="str">
            <v>iHerb</v>
          </cell>
        </row>
        <row r="3974">
          <cell r="A3974" t="str">
            <v>07-10-2024</v>
          </cell>
          <cell r="B3974" t="str">
            <v>Pre-Workout</v>
          </cell>
          <cell r="C3974" t="str">
            <v>Performance</v>
          </cell>
          <cell r="D3974">
            <v>143</v>
          </cell>
          <cell r="E3974">
            <v>18.46</v>
          </cell>
          <cell r="F3974">
            <v>2639.78</v>
          </cell>
          <cell r="G3974">
            <v>0.12</v>
          </cell>
          <cell r="H3974">
            <v>2</v>
          </cell>
          <cell r="I3974" t="str">
            <v>UK</v>
          </cell>
          <cell r="J3974" t="str">
            <v>Amazon</v>
          </cell>
        </row>
        <row r="3975">
          <cell r="A3975" t="str">
            <v>07-10-2024</v>
          </cell>
          <cell r="B3975" t="str">
            <v>BCAA</v>
          </cell>
          <cell r="C3975" t="str">
            <v>Amino Acid</v>
          </cell>
          <cell r="D3975">
            <v>150</v>
          </cell>
          <cell r="E3975">
            <v>13.32</v>
          </cell>
          <cell r="F3975">
            <v>1998</v>
          </cell>
          <cell r="G3975">
            <v>0.22</v>
          </cell>
          <cell r="H3975">
            <v>4</v>
          </cell>
          <cell r="I3975" t="str">
            <v>UK</v>
          </cell>
          <cell r="J3975" t="str">
            <v>Walmart</v>
          </cell>
        </row>
        <row r="3976">
          <cell r="A3976" t="str">
            <v>07-10-2024</v>
          </cell>
          <cell r="B3976" t="str">
            <v>Creatine</v>
          </cell>
          <cell r="C3976" t="str">
            <v>Performance</v>
          </cell>
          <cell r="D3976">
            <v>154</v>
          </cell>
          <cell r="E3976">
            <v>16.57</v>
          </cell>
          <cell r="F3976">
            <v>2551.7800000000002</v>
          </cell>
          <cell r="G3976">
            <v>0.2</v>
          </cell>
          <cell r="H3976">
            <v>0</v>
          </cell>
          <cell r="I3976" t="str">
            <v>Canada</v>
          </cell>
          <cell r="J3976" t="str">
            <v>Amazon</v>
          </cell>
        </row>
        <row r="3977">
          <cell r="A3977" t="str">
            <v>07-10-2024</v>
          </cell>
          <cell r="B3977" t="str">
            <v>Zinc</v>
          </cell>
          <cell r="C3977" t="str">
            <v>Mineral</v>
          </cell>
          <cell r="D3977">
            <v>147</v>
          </cell>
          <cell r="E3977">
            <v>39.28</v>
          </cell>
          <cell r="F3977">
            <v>5774.16</v>
          </cell>
          <cell r="G3977">
            <v>0.08</v>
          </cell>
          <cell r="H3977">
            <v>2</v>
          </cell>
          <cell r="I3977" t="str">
            <v>UK</v>
          </cell>
          <cell r="J3977" t="str">
            <v>iHerb</v>
          </cell>
        </row>
        <row r="3978">
          <cell r="A3978" t="str">
            <v>07-10-2024</v>
          </cell>
          <cell r="B3978" t="str">
            <v>Collagen Peptides</v>
          </cell>
          <cell r="C3978" t="str">
            <v>Protein</v>
          </cell>
          <cell r="D3978">
            <v>145</v>
          </cell>
          <cell r="E3978">
            <v>41.69</v>
          </cell>
          <cell r="F3978">
            <v>6045.05</v>
          </cell>
          <cell r="G3978">
            <v>0.05</v>
          </cell>
          <cell r="H3978">
            <v>1</v>
          </cell>
          <cell r="I3978" t="str">
            <v>UK</v>
          </cell>
          <cell r="J3978" t="str">
            <v>Walmart</v>
          </cell>
        </row>
        <row r="3979">
          <cell r="A3979" t="str">
            <v>07-10-2024</v>
          </cell>
          <cell r="B3979" t="str">
            <v>Magnesium</v>
          </cell>
          <cell r="C3979" t="str">
            <v>Mineral</v>
          </cell>
          <cell r="D3979">
            <v>164</v>
          </cell>
          <cell r="E3979">
            <v>36.79</v>
          </cell>
          <cell r="F3979">
            <v>6033.56</v>
          </cell>
          <cell r="G3979">
            <v>0.16</v>
          </cell>
          <cell r="H3979">
            <v>1</v>
          </cell>
          <cell r="I3979" t="str">
            <v>USA</v>
          </cell>
          <cell r="J3979" t="str">
            <v>Amazon</v>
          </cell>
        </row>
        <row r="3980">
          <cell r="A3980" t="str">
            <v>07-10-2024</v>
          </cell>
          <cell r="B3980" t="str">
            <v>Ashwagandha</v>
          </cell>
          <cell r="C3980" t="str">
            <v>Herbal</v>
          </cell>
          <cell r="D3980">
            <v>142</v>
          </cell>
          <cell r="E3980">
            <v>20.74</v>
          </cell>
          <cell r="F3980">
            <v>2945.08</v>
          </cell>
          <cell r="G3980">
            <v>7.0000000000000007E-2</v>
          </cell>
          <cell r="H3980">
            <v>0</v>
          </cell>
          <cell r="I3980" t="str">
            <v>Canada</v>
          </cell>
          <cell r="J3980" t="str">
            <v>Amazon</v>
          </cell>
        </row>
        <row r="3981">
          <cell r="A3981" t="str">
            <v>07-10-2024</v>
          </cell>
          <cell r="B3981" t="str">
            <v>Melatonin</v>
          </cell>
          <cell r="C3981" t="str">
            <v>Sleep Aid</v>
          </cell>
          <cell r="D3981">
            <v>143</v>
          </cell>
          <cell r="E3981">
            <v>58.09</v>
          </cell>
          <cell r="F3981">
            <v>8306.8700000000008</v>
          </cell>
          <cell r="G3981">
            <v>0.15</v>
          </cell>
          <cell r="H3981">
            <v>2</v>
          </cell>
          <cell r="I3981" t="str">
            <v>Canada</v>
          </cell>
          <cell r="J3981" t="str">
            <v>Amazon</v>
          </cell>
        </row>
        <row r="3982">
          <cell r="A3982" t="str">
            <v>07-10-2024</v>
          </cell>
          <cell r="B3982" t="str">
            <v>Biotin</v>
          </cell>
          <cell r="C3982" t="str">
            <v>Vitamin</v>
          </cell>
          <cell r="D3982">
            <v>121</v>
          </cell>
          <cell r="E3982">
            <v>50.73</v>
          </cell>
          <cell r="F3982">
            <v>6138.33</v>
          </cell>
          <cell r="G3982">
            <v>0.16</v>
          </cell>
          <cell r="H3982">
            <v>0</v>
          </cell>
          <cell r="I3982" t="str">
            <v>UK</v>
          </cell>
          <cell r="J3982" t="str">
            <v>Walmart</v>
          </cell>
        </row>
        <row r="3983">
          <cell r="A3983" t="str">
            <v>07-10-2024</v>
          </cell>
          <cell r="B3983" t="str">
            <v>Green Tea Extract</v>
          </cell>
          <cell r="C3983" t="str">
            <v>Fat Burner</v>
          </cell>
          <cell r="D3983">
            <v>147</v>
          </cell>
          <cell r="E3983">
            <v>52.18</v>
          </cell>
          <cell r="F3983">
            <v>7670.46</v>
          </cell>
          <cell r="G3983">
            <v>0.02</v>
          </cell>
          <cell r="H3983">
            <v>2</v>
          </cell>
          <cell r="I3983" t="str">
            <v>USA</v>
          </cell>
          <cell r="J3983" t="str">
            <v>iHerb</v>
          </cell>
        </row>
        <row r="3984">
          <cell r="A3984" t="str">
            <v>07-10-2024</v>
          </cell>
          <cell r="B3984" t="str">
            <v>Iron Supplement</v>
          </cell>
          <cell r="C3984" t="str">
            <v>Mineral</v>
          </cell>
          <cell r="D3984">
            <v>162</v>
          </cell>
          <cell r="E3984">
            <v>45.48</v>
          </cell>
          <cell r="F3984">
            <v>7367.76</v>
          </cell>
          <cell r="G3984">
            <v>0.19</v>
          </cell>
          <cell r="H3984">
            <v>2</v>
          </cell>
          <cell r="I3984" t="str">
            <v>USA</v>
          </cell>
          <cell r="J3984" t="str">
            <v>Walmart</v>
          </cell>
        </row>
        <row r="3985">
          <cell r="A3985" t="str">
            <v>07-10-2024</v>
          </cell>
          <cell r="B3985" t="str">
            <v>Electrolyte Powder</v>
          </cell>
          <cell r="C3985" t="str">
            <v>Hydration</v>
          </cell>
          <cell r="D3985">
            <v>131</v>
          </cell>
          <cell r="E3985">
            <v>49.82</v>
          </cell>
          <cell r="F3985">
            <v>6526.42</v>
          </cell>
          <cell r="G3985">
            <v>0.06</v>
          </cell>
          <cell r="H3985">
            <v>0</v>
          </cell>
          <cell r="I3985" t="str">
            <v>UK</v>
          </cell>
          <cell r="J3985" t="str">
            <v>Walmart</v>
          </cell>
        </row>
        <row r="3986">
          <cell r="A3986" t="str">
            <v>14-10-2024</v>
          </cell>
          <cell r="B3986" t="str">
            <v>Whey Protein</v>
          </cell>
          <cell r="C3986" t="str">
            <v>Protein</v>
          </cell>
          <cell r="D3986">
            <v>146</v>
          </cell>
          <cell r="E3986">
            <v>16.329999999999998</v>
          </cell>
          <cell r="F3986">
            <v>2384.1799999999998</v>
          </cell>
          <cell r="G3986">
            <v>0.17</v>
          </cell>
          <cell r="H3986">
            <v>0</v>
          </cell>
          <cell r="I3986" t="str">
            <v>UK</v>
          </cell>
          <cell r="J3986" t="str">
            <v>iHerb</v>
          </cell>
        </row>
        <row r="3987">
          <cell r="A3987" t="str">
            <v>14-10-2024</v>
          </cell>
          <cell r="B3987" t="str">
            <v>Vitamin C</v>
          </cell>
          <cell r="C3987" t="str">
            <v>Vitamin</v>
          </cell>
          <cell r="D3987">
            <v>132</v>
          </cell>
          <cell r="E3987">
            <v>14.18</v>
          </cell>
          <cell r="F3987">
            <v>1871.76</v>
          </cell>
          <cell r="G3987">
            <v>0.21</v>
          </cell>
          <cell r="H3987">
            <v>3</v>
          </cell>
          <cell r="I3987" t="str">
            <v>UK</v>
          </cell>
          <cell r="J3987" t="str">
            <v>Walmart</v>
          </cell>
        </row>
        <row r="3988">
          <cell r="A3988" t="str">
            <v>14-10-2024</v>
          </cell>
          <cell r="B3988" t="str">
            <v>Fish Oil</v>
          </cell>
          <cell r="C3988" t="str">
            <v>Omega</v>
          </cell>
          <cell r="D3988">
            <v>160</v>
          </cell>
          <cell r="E3988">
            <v>36.159999999999997</v>
          </cell>
          <cell r="F3988">
            <v>5785.6</v>
          </cell>
          <cell r="G3988">
            <v>0.05</v>
          </cell>
          <cell r="H3988">
            <v>1</v>
          </cell>
          <cell r="I3988" t="str">
            <v>USA</v>
          </cell>
          <cell r="J3988" t="str">
            <v>iHerb</v>
          </cell>
        </row>
        <row r="3989">
          <cell r="A3989" t="str">
            <v>14-10-2024</v>
          </cell>
          <cell r="B3989" t="str">
            <v>Multivitamin</v>
          </cell>
          <cell r="C3989" t="str">
            <v>Vitamin</v>
          </cell>
          <cell r="D3989">
            <v>150</v>
          </cell>
          <cell r="E3989">
            <v>14.73</v>
          </cell>
          <cell r="F3989">
            <v>2209.5</v>
          </cell>
          <cell r="G3989">
            <v>7.0000000000000007E-2</v>
          </cell>
          <cell r="H3989">
            <v>3</v>
          </cell>
          <cell r="I3989" t="str">
            <v>Canada</v>
          </cell>
          <cell r="J3989" t="str">
            <v>iHerb</v>
          </cell>
        </row>
        <row r="3990">
          <cell r="A3990" t="str">
            <v>14-10-2024</v>
          </cell>
          <cell r="B3990" t="str">
            <v>Pre-Workout</v>
          </cell>
          <cell r="C3990" t="str">
            <v>Performance</v>
          </cell>
          <cell r="D3990">
            <v>147</v>
          </cell>
          <cell r="E3990">
            <v>59.57</v>
          </cell>
          <cell r="F3990">
            <v>8756.7900000000009</v>
          </cell>
          <cell r="G3990">
            <v>0.13</v>
          </cell>
          <cell r="H3990">
            <v>1</v>
          </cell>
          <cell r="I3990" t="str">
            <v>Canada</v>
          </cell>
          <cell r="J3990" t="str">
            <v>Walmart</v>
          </cell>
        </row>
        <row r="3991">
          <cell r="A3991" t="str">
            <v>14-10-2024</v>
          </cell>
          <cell r="B3991" t="str">
            <v>BCAA</v>
          </cell>
          <cell r="C3991" t="str">
            <v>Amino Acid</v>
          </cell>
          <cell r="D3991">
            <v>161</v>
          </cell>
          <cell r="E3991">
            <v>22.6</v>
          </cell>
          <cell r="F3991">
            <v>3638.6</v>
          </cell>
          <cell r="G3991">
            <v>0.2</v>
          </cell>
          <cell r="H3991">
            <v>1</v>
          </cell>
          <cell r="I3991" t="str">
            <v>UK</v>
          </cell>
          <cell r="J3991" t="str">
            <v>Walmart</v>
          </cell>
        </row>
        <row r="3992">
          <cell r="A3992" t="str">
            <v>14-10-2024</v>
          </cell>
          <cell r="B3992" t="str">
            <v>Creatine</v>
          </cell>
          <cell r="C3992" t="str">
            <v>Performance</v>
          </cell>
          <cell r="D3992">
            <v>138</v>
          </cell>
          <cell r="E3992">
            <v>46.64</v>
          </cell>
          <cell r="F3992">
            <v>6436.32</v>
          </cell>
          <cell r="G3992">
            <v>0.03</v>
          </cell>
          <cell r="H3992">
            <v>1</v>
          </cell>
          <cell r="I3992" t="str">
            <v>Canada</v>
          </cell>
          <cell r="J3992" t="str">
            <v>iHerb</v>
          </cell>
        </row>
        <row r="3993">
          <cell r="A3993" t="str">
            <v>14-10-2024</v>
          </cell>
          <cell r="B3993" t="str">
            <v>Zinc</v>
          </cell>
          <cell r="C3993" t="str">
            <v>Mineral</v>
          </cell>
          <cell r="D3993">
            <v>139</v>
          </cell>
          <cell r="E3993">
            <v>48.17</v>
          </cell>
          <cell r="F3993">
            <v>6695.63</v>
          </cell>
          <cell r="G3993">
            <v>0.18</v>
          </cell>
          <cell r="H3993">
            <v>2</v>
          </cell>
          <cell r="I3993" t="str">
            <v>USA</v>
          </cell>
          <cell r="J3993" t="str">
            <v>Amazon</v>
          </cell>
        </row>
        <row r="3994">
          <cell r="A3994" t="str">
            <v>14-10-2024</v>
          </cell>
          <cell r="B3994" t="str">
            <v>Collagen Peptides</v>
          </cell>
          <cell r="C3994" t="str">
            <v>Protein</v>
          </cell>
          <cell r="D3994">
            <v>139</v>
          </cell>
          <cell r="E3994">
            <v>17.32</v>
          </cell>
          <cell r="F3994">
            <v>2407.48</v>
          </cell>
          <cell r="G3994">
            <v>0.1</v>
          </cell>
          <cell r="H3994">
            <v>0</v>
          </cell>
          <cell r="I3994" t="str">
            <v>Canada</v>
          </cell>
          <cell r="J3994" t="str">
            <v>Walmart</v>
          </cell>
        </row>
        <row r="3995">
          <cell r="A3995" t="str">
            <v>14-10-2024</v>
          </cell>
          <cell r="B3995" t="str">
            <v>Magnesium</v>
          </cell>
          <cell r="C3995" t="str">
            <v>Mineral</v>
          </cell>
          <cell r="D3995">
            <v>159</v>
          </cell>
          <cell r="E3995">
            <v>38.71</v>
          </cell>
          <cell r="F3995">
            <v>6154.89</v>
          </cell>
          <cell r="G3995">
            <v>0.02</v>
          </cell>
          <cell r="H3995">
            <v>3</v>
          </cell>
          <cell r="I3995" t="str">
            <v>Canada</v>
          </cell>
          <cell r="J3995" t="str">
            <v>iHerb</v>
          </cell>
        </row>
        <row r="3996">
          <cell r="A3996" t="str">
            <v>14-10-2024</v>
          </cell>
          <cell r="B3996" t="str">
            <v>Ashwagandha</v>
          </cell>
          <cell r="C3996" t="str">
            <v>Herbal</v>
          </cell>
          <cell r="D3996">
            <v>185</v>
          </cell>
          <cell r="E3996">
            <v>45.23</v>
          </cell>
          <cell r="F3996">
            <v>8367.5499999999993</v>
          </cell>
          <cell r="G3996">
            <v>0.21</v>
          </cell>
          <cell r="H3996">
            <v>2</v>
          </cell>
          <cell r="I3996" t="str">
            <v>Canada</v>
          </cell>
          <cell r="J3996" t="str">
            <v>Amazon</v>
          </cell>
        </row>
        <row r="3997">
          <cell r="A3997" t="str">
            <v>14-10-2024</v>
          </cell>
          <cell r="B3997" t="str">
            <v>Melatonin</v>
          </cell>
          <cell r="C3997" t="str">
            <v>Sleep Aid</v>
          </cell>
          <cell r="D3997">
            <v>143</v>
          </cell>
          <cell r="E3997">
            <v>35.61</v>
          </cell>
          <cell r="F3997">
            <v>5092.2299999999996</v>
          </cell>
          <cell r="G3997">
            <v>0.1</v>
          </cell>
          <cell r="H3997">
            <v>3</v>
          </cell>
          <cell r="I3997" t="str">
            <v>Canada</v>
          </cell>
          <cell r="J3997" t="str">
            <v>iHerb</v>
          </cell>
        </row>
        <row r="3998">
          <cell r="A3998" t="str">
            <v>14-10-2024</v>
          </cell>
          <cell r="B3998" t="str">
            <v>Biotin</v>
          </cell>
          <cell r="C3998" t="str">
            <v>Vitamin</v>
          </cell>
          <cell r="D3998">
            <v>159</v>
          </cell>
          <cell r="E3998">
            <v>39.28</v>
          </cell>
          <cell r="F3998">
            <v>6245.52</v>
          </cell>
          <cell r="G3998">
            <v>0.17</v>
          </cell>
          <cell r="H3998">
            <v>0</v>
          </cell>
          <cell r="I3998" t="str">
            <v>USA</v>
          </cell>
          <cell r="J3998" t="str">
            <v>Walmart</v>
          </cell>
        </row>
        <row r="3999">
          <cell r="A3999" t="str">
            <v>14-10-2024</v>
          </cell>
          <cell r="B3999" t="str">
            <v>Green Tea Extract</v>
          </cell>
          <cell r="C3999" t="str">
            <v>Fat Burner</v>
          </cell>
          <cell r="D3999">
            <v>145</v>
          </cell>
          <cell r="E3999">
            <v>38.36</v>
          </cell>
          <cell r="F3999">
            <v>5562.2</v>
          </cell>
          <cell r="G3999">
            <v>0.05</v>
          </cell>
          <cell r="H3999">
            <v>0</v>
          </cell>
          <cell r="I3999" t="str">
            <v>USA</v>
          </cell>
          <cell r="J3999" t="str">
            <v>iHerb</v>
          </cell>
        </row>
        <row r="4000">
          <cell r="A4000" t="str">
            <v>14-10-2024</v>
          </cell>
          <cell r="B4000" t="str">
            <v>Iron Supplement</v>
          </cell>
          <cell r="C4000" t="str">
            <v>Mineral</v>
          </cell>
          <cell r="D4000">
            <v>151</v>
          </cell>
          <cell r="E4000">
            <v>26.72</v>
          </cell>
          <cell r="F4000">
            <v>4034.72</v>
          </cell>
          <cell r="G4000">
            <v>0.16</v>
          </cell>
          <cell r="H4000">
            <v>0</v>
          </cell>
          <cell r="I4000" t="str">
            <v>USA</v>
          </cell>
          <cell r="J4000" t="str">
            <v>Amazon</v>
          </cell>
        </row>
        <row r="4001">
          <cell r="A4001" t="str">
            <v>14-10-2024</v>
          </cell>
          <cell r="B4001" t="str">
            <v>Electrolyte Powder</v>
          </cell>
          <cell r="C4001" t="str">
            <v>Hydration</v>
          </cell>
          <cell r="D4001">
            <v>135</v>
          </cell>
          <cell r="E4001">
            <v>13.09</v>
          </cell>
          <cell r="F4001">
            <v>1767.15</v>
          </cell>
          <cell r="G4001">
            <v>0.22</v>
          </cell>
          <cell r="H4001">
            <v>0</v>
          </cell>
          <cell r="I4001" t="str">
            <v>USA</v>
          </cell>
          <cell r="J4001" t="str">
            <v>Amazon</v>
          </cell>
        </row>
        <row r="4002">
          <cell r="A4002" t="str">
            <v>21-10-2024</v>
          </cell>
          <cell r="B4002" t="str">
            <v>Whey Protein</v>
          </cell>
          <cell r="C4002" t="str">
            <v>Protein</v>
          </cell>
          <cell r="D4002">
            <v>156</v>
          </cell>
          <cell r="E4002">
            <v>29.99</v>
          </cell>
          <cell r="F4002">
            <v>4678.4399999999996</v>
          </cell>
          <cell r="G4002">
            <v>0.19</v>
          </cell>
          <cell r="H4002">
            <v>1</v>
          </cell>
          <cell r="I4002" t="str">
            <v>USA</v>
          </cell>
          <cell r="J4002" t="str">
            <v>Walmart</v>
          </cell>
        </row>
        <row r="4003">
          <cell r="A4003" t="str">
            <v>21-10-2024</v>
          </cell>
          <cell r="B4003" t="str">
            <v>Vitamin C</v>
          </cell>
          <cell r="C4003" t="str">
            <v>Vitamin</v>
          </cell>
          <cell r="D4003">
            <v>158</v>
          </cell>
          <cell r="E4003">
            <v>39.65</v>
          </cell>
          <cell r="F4003">
            <v>6264.7</v>
          </cell>
          <cell r="G4003">
            <v>0.19</v>
          </cell>
          <cell r="H4003">
            <v>2</v>
          </cell>
          <cell r="I4003" t="str">
            <v>UK</v>
          </cell>
          <cell r="J4003" t="str">
            <v>iHerb</v>
          </cell>
        </row>
        <row r="4004">
          <cell r="A4004" t="str">
            <v>21-10-2024</v>
          </cell>
          <cell r="B4004" t="str">
            <v>Fish Oil</v>
          </cell>
          <cell r="C4004" t="str">
            <v>Omega</v>
          </cell>
          <cell r="D4004">
            <v>154</v>
          </cell>
          <cell r="E4004">
            <v>57.45</v>
          </cell>
          <cell r="F4004">
            <v>8847.2999999999993</v>
          </cell>
          <cell r="G4004">
            <v>0.09</v>
          </cell>
          <cell r="H4004">
            <v>2</v>
          </cell>
          <cell r="I4004" t="str">
            <v>UK</v>
          </cell>
          <cell r="J4004" t="str">
            <v>Walmart</v>
          </cell>
        </row>
        <row r="4005">
          <cell r="A4005" t="str">
            <v>21-10-2024</v>
          </cell>
          <cell r="B4005" t="str">
            <v>Multivitamin</v>
          </cell>
          <cell r="C4005" t="str">
            <v>Vitamin</v>
          </cell>
          <cell r="D4005">
            <v>130</v>
          </cell>
          <cell r="E4005">
            <v>30.6</v>
          </cell>
          <cell r="F4005">
            <v>3978</v>
          </cell>
          <cell r="G4005">
            <v>0.21</v>
          </cell>
          <cell r="H4005">
            <v>1</v>
          </cell>
          <cell r="I4005" t="str">
            <v>UK</v>
          </cell>
          <cell r="J4005" t="str">
            <v>Walmart</v>
          </cell>
        </row>
        <row r="4006">
          <cell r="A4006" t="str">
            <v>21-10-2024</v>
          </cell>
          <cell r="B4006" t="str">
            <v>Pre-Workout</v>
          </cell>
          <cell r="C4006" t="str">
            <v>Performance</v>
          </cell>
          <cell r="D4006">
            <v>159</v>
          </cell>
          <cell r="E4006">
            <v>33.22</v>
          </cell>
          <cell r="F4006">
            <v>5281.98</v>
          </cell>
          <cell r="G4006">
            <v>0.23</v>
          </cell>
          <cell r="H4006">
            <v>1</v>
          </cell>
          <cell r="I4006" t="str">
            <v>USA</v>
          </cell>
          <cell r="J4006" t="str">
            <v>iHerb</v>
          </cell>
        </row>
        <row r="4007">
          <cell r="A4007" t="str">
            <v>21-10-2024</v>
          </cell>
          <cell r="B4007" t="str">
            <v>BCAA</v>
          </cell>
          <cell r="C4007" t="str">
            <v>Amino Acid</v>
          </cell>
          <cell r="D4007">
            <v>157</v>
          </cell>
          <cell r="E4007">
            <v>33</v>
          </cell>
          <cell r="F4007">
            <v>5181</v>
          </cell>
          <cell r="G4007">
            <v>0.17</v>
          </cell>
          <cell r="H4007">
            <v>1</v>
          </cell>
          <cell r="I4007" t="str">
            <v>UK</v>
          </cell>
          <cell r="J4007" t="str">
            <v>iHerb</v>
          </cell>
        </row>
        <row r="4008">
          <cell r="A4008" t="str">
            <v>21-10-2024</v>
          </cell>
          <cell r="B4008" t="str">
            <v>Creatine</v>
          </cell>
          <cell r="C4008" t="str">
            <v>Performance</v>
          </cell>
          <cell r="D4008">
            <v>159</v>
          </cell>
          <cell r="E4008">
            <v>29.79</v>
          </cell>
          <cell r="F4008">
            <v>4736.6099999999997</v>
          </cell>
          <cell r="G4008">
            <v>0.16</v>
          </cell>
          <cell r="H4008">
            <v>3</v>
          </cell>
          <cell r="I4008" t="str">
            <v>Canada</v>
          </cell>
          <cell r="J4008" t="str">
            <v>Amazon</v>
          </cell>
        </row>
        <row r="4009">
          <cell r="A4009" t="str">
            <v>21-10-2024</v>
          </cell>
          <cell r="B4009" t="str">
            <v>Zinc</v>
          </cell>
          <cell r="C4009" t="str">
            <v>Mineral</v>
          </cell>
          <cell r="D4009">
            <v>161</v>
          </cell>
          <cell r="E4009">
            <v>27.95</v>
          </cell>
          <cell r="F4009">
            <v>4499.95</v>
          </cell>
          <cell r="G4009">
            <v>0.03</v>
          </cell>
          <cell r="H4009">
            <v>1</v>
          </cell>
          <cell r="I4009" t="str">
            <v>UK</v>
          </cell>
          <cell r="J4009" t="str">
            <v>Amazon</v>
          </cell>
        </row>
        <row r="4010">
          <cell r="A4010" t="str">
            <v>21-10-2024</v>
          </cell>
          <cell r="B4010" t="str">
            <v>Collagen Peptides</v>
          </cell>
          <cell r="C4010" t="str">
            <v>Protein</v>
          </cell>
          <cell r="D4010">
            <v>178</v>
          </cell>
          <cell r="E4010">
            <v>36.840000000000003</v>
          </cell>
          <cell r="F4010">
            <v>6557.52</v>
          </cell>
          <cell r="G4010">
            <v>0.16</v>
          </cell>
          <cell r="H4010">
            <v>2</v>
          </cell>
          <cell r="I4010" t="str">
            <v>Canada</v>
          </cell>
          <cell r="J4010" t="str">
            <v>iHerb</v>
          </cell>
        </row>
        <row r="4011">
          <cell r="A4011" t="str">
            <v>21-10-2024</v>
          </cell>
          <cell r="B4011" t="str">
            <v>Magnesium</v>
          </cell>
          <cell r="C4011" t="str">
            <v>Mineral</v>
          </cell>
          <cell r="D4011">
            <v>155</v>
          </cell>
          <cell r="E4011">
            <v>27.97</v>
          </cell>
          <cell r="F4011">
            <v>4335.3500000000004</v>
          </cell>
          <cell r="G4011">
            <v>0.04</v>
          </cell>
          <cell r="H4011">
            <v>0</v>
          </cell>
          <cell r="I4011" t="str">
            <v>USA</v>
          </cell>
          <cell r="J4011" t="str">
            <v>Walmart</v>
          </cell>
        </row>
        <row r="4012">
          <cell r="A4012" t="str">
            <v>21-10-2024</v>
          </cell>
          <cell r="B4012" t="str">
            <v>Ashwagandha</v>
          </cell>
          <cell r="C4012" t="str">
            <v>Herbal</v>
          </cell>
          <cell r="D4012">
            <v>130</v>
          </cell>
          <cell r="E4012">
            <v>41.41</v>
          </cell>
          <cell r="F4012">
            <v>5383.3</v>
          </cell>
          <cell r="G4012">
            <v>0.22</v>
          </cell>
          <cell r="H4012">
            <v>2</v>
          </cell>
          <cell r="I4012" t="str">
            <v>USA</v>
          </cell>
          <cell r="J4012" t="str">
            <v>iHerb</v>
          </cell>
        </row>
        <row r="4013">
          <cell r="A4013" t="str">
            <v>21-10-2024</v>
          </cell>
          <cell r="B4013" t="str">
            <v>Melatonin</v>
          </cell>
          <cell r="C4013" t="str">
            <v>Sleep Aid</v>
          </cell>
          <cell r="D4013">
            <v>141</v>
          </cell>
          <cell r="E4013">
            <v>19.649999999999999</v>
          </cell>
          <cell r="F4013">
            <v>2770.65</v>
          </cell>
          <cell r="G4013">
            <v>0.24</v>
          </cell>
          <cell r="H4013">
            <v>1</v>
          </cell>
          <cell r="I4013" t="str">
            <v>Canada</v>
          </cell>
          <cell r="J4013" t="str">
            <v>Amazon</v>
          </cell>
        </row>
        <row r="4014">
          <cell r="A4014" t="str">
            <v>21-10-2024</v>
          </cell>
          <cell r="B4014" t="str">
            <v>Biotin</v>
          </cell>
          <cell r="C4014" t="str">
            <v>Vitamin</v>
          </cell>
          <cell r="D4014">
            <v>137</v>
          </cell>
          <cell r="E4014">
            <v>29.76</v>
          </cell>
          <cell r="F4014">
            <v>4077.12</v>
          </cell>
          <cell r="G4014">
            <v>0.22</v>
          </cell>
          <cell r="H4014">
            <v>1</v>
          </cell>
          <cell r="I4014" t="str">
            <v>UK</v>
          </cell>
          <cell r="J4014" t="str">
            <v>Amazon</v>
          </cell>
        </row>
        <row r="4015">
          <cell r="A4015" t="str">
            <v>21-10-2024</v>
          </cell>
          <cell r="B4015" t="str">
            <v>Green Tea Extract</v>
          </cell>
          <cell r="C4015" t="str">
            <v>Fat Burner</v>
          </cell>
          <cell r="D4015">
            <v>146</v>
          </cell>
          <cell r="E4015">
            <v>54.63</v>
          </cell>
          <cell r="F4015">
            <v>7975.98</v>
          </cell>
          <cell r="G4015">
            <v>0.22</v>
          </cell>
          <cell r="H4015">
            <v>2</v>
          </cell>
          <cell r="I4015" t="str">
            <v>Canada</v>
          </cell>
          <cell r="J4015" t="str">
            <v>Walmart</v>
          </cell>
        </row>
        <row r="4016">
          <cell r="A4016" t="str">
            <v>21-10-2024</v>
          </cell>
          <cell r="B4016" t="str">
            <v>Iron Supplement</v>
          </cell>
          <cell r="C4016" t="str">
            <v>Mineral</v>
          </cell>
          <cell r="D4016">
            <v>139</v>
          </cell>
          <cell r="E4016">
            <v>58.78</v>
          </cell>
          <cell r="F4016">
            <v>8170.42</v>
          </cell>
          <cell r="G4016">
            <v>0.15</v>
          </cell>
          <cell r="H4016">
            <v>2</v>
          </cell>
          <cell r="I4016" t="str">
            <v>Canada</v>
          </cell>
          <cell r="J4016" t="str">
            <v>iHerb</v>
          </cell>
        </row>
        <row r="4017">
          <cell r="A4017" t="str">
            <v>21-10-2024</v>
          </cell>
          <cell r="B4017" t="str">
            <v>Electrolyte Powder</v>
          </cell>
          <cell r="C4017" t="str">
            <v>Hydration</v>
          </cell>
          <cell r="D4017">
            <v>148</v>
          </cell>
          <cell r="E4017">
            <v>31.45</v>
          </cell>
          <cell r="F4017">
            <v>4654.6000000000004</v>
          </cell>
          <cell r="G4017">
            <v>0.18</v>
          </cell>
          <cell r="H4017">
            <v>3</v>
          </cell>
          <cell r="I4017" t="str">
            <v>Canada</v>
          </cell>
          <cell r="J4017" t="str">
            <v>iHerb</v>
          </cell>
        </row>
        <row r="4018">
          <cell r="A4018" t="str">
            <v>28-10-2024</v>
          </cell>
          <cell r="B4018" t="str">
            <v>Whey Protein</v>
          </cell>
          <cell r="C4018" t="str">
            <v>Protein</v>
          </cell>
          <cell r="D4018">
            <v>150</v>
          </cell>
          <cell r="E4018">
            <v>27.01</v>
          </cell>
          <cell r="F4018">
            <v>4051.5</v>
          </cell>
          <cell r="G4018">
            <v>0.04</v>
          </cell>
          <cell r="H4018">
            <v>4</v>
          </cell>
          <cell r="I4018" t="str">
            <v>UK</v>
          </cell>
          <cell r="J4018" t="str">
            <v>Amazon</v>
          </cell>
        </row>
        <row r="4019">
          <cell r="A4019" t="str">
            <v>28-10-2024</v>
          </cell>
          <cell r="B4019" t="str">
            <v>Vitamin C</v>
          </cell>
          <cell r="C4019" t="str">
            <v>Vitamin</v>
          </cell>
          <cell r="D4019">
            <v>143</v>
          </cell>
          <cell r="E4019">
            <v>45.77</v>
          </cell>
          <cell r="F4019">
            <v>6545.11</v>
          </cell>
          <cell r="G4019">
            <v>0.2</v>
          </cell>
          <cell r="H4019">
            <v>3</v>
          </cell>
          <cell r="I4019" t="str">
            <v>USA</v>
          </cell>
          <cell r="J4019" t="str">
            <v>Walmart</v>
          </cell>
        </row>
        <row r="4020">
          <cell r="A4020" t="str">
            <v>28-10-2024</v>
          </cell>
          <cell r="B4020" t="str">
            <v>Fish Oil</v>
          </cell>
          <cell r="C4020" t="str">
            <v>Omega</v>
          </cell>
          <cell r="D4020">
            <v>154</v>
          </cell>
          <cell r="E4020">
            <v>18.38</v>
          </cell>
          <cell r="F4020">
            <v>2830.52</v>
          </cell>
          <cell r="G4020">
            <v>0.16</v>
          </cell>
          <cell r="H4020">
            <v>2</v>
          </cell>
          <cell r="I4020" t="str">
            <v>Canada</v>
          </cell>
          <cell r="J4020" t="str">
            <v>iHerb</v>
          </cell>
        </row>
        <row r="4021">
          <cell r="A4021" t="str">
            <v>28-10-2024</v>
          </cell>
          <cell r="B4021" t="str">
            <v>Multivitamin</v>
          </cell>
          <cell r="C4021" t="str">
            <v>Vitamin</v>
          </cell>
          <cell r="D4021">
            <v>141</v>
          </cell>
          <cell r="E4021">
            <v>48.92</v>
          </cell>
          <cell r="F4021">
            <v>6897.72</v>
          </cell>
          <cell r="G4021">
            <v>0.21</v>
          </cell>
          <cell r="H4021">
            <v>1</v>
          </cell>
          <cell r="I4021" t="str">
            <v>USA</v>
          </cell>
          <cell r="J4021" t="str">
            <v>iHerb</v>
          </cell>
        </row>
        <row r="4022">
          <cell r="A4022" t="str">
            <v>28-10-2024</v>
          </cell>
          <cell r="B4022" t="str">
            <v>Pre-Workout</v>
          </cell>
          <cell r="C4022" t="str">
            <v>Performance</v>
          </cell>
          <cell r="D4022">
            <v>157</v>
          </cell>
          <cell r="E4022">
            <v>46.95</v>
          </cell>
          <cell r="F4022">
            <v>7371.15</v>
          </cell>
          <cell r="G4022">
            <v>0.12</v>
          </cell>
          <cell r="H4022">
            <v>2</v>
          </cell>
          <cell r="I4022" t="str">
            <v>USA</v>
          </cell>
          <cell r="J4022" t="str">
            <v>Walmart</v>
          </cell>
        </row>
        <row r="4023">
          <cell r="A4023" t="str">
            <v>28-10-2024</v>
          </cell>
          <cell r="B4023" t="str">
            <v>BCAA</v>
          </cell>
          <cell r="C4023" t="str">
            <v>Amino Acid</v>
          </cell>
          <cell r="D4023">
            <v>147</v>
          </cell>
          <cell r="E4023">
            <v>18.899999999999999</v>
          </cell>
          <cell r="F4023">
            <v>2778.3</v>
          </cell>
          <cell r="G4023">
            <v>0.02</v>
          </cell>
          <cell r="H4023">
            <v>2</v>
          </cell>
          <cell r="I4023" t="str">
            <v>UK</v>
          </cell>
          <cell r="J4023" t="str">
            <v>Walmart</v>
          </cell>
        </row>
        <row r="4024">
          <cell r="A4024" t="str">
            <v>28-10-2024</v>
          </cell>
          <cell r="B4024" t="str">
            <v>Creatine</v>
          </cell>
          <cell r="C4024" t="str">
            <v>Performance</v>
          </cell>
          <cell r="D4024">
            <v>164</v>
          </cell>
          <cell r="E4024">
            <v>13.31</v>
          </cell>
          <cell r="F4024">
            <v>2182.84</v>
          </cell>
          <cell r="G4024">
            <v>0.11</v>
          </cell>
          <cell r="H4024">
            <v>2</v>
          </cell>
          <cell r="I4024" t="str">
            <v>Canada</v>
          </cell>
          <cell r="J4024" t="str">
            <v>Amazon</v>
          </cell>
        </row>
        <row r="4025">
          <cell r="A4025" t="str">
            <v>28-10-2024</v>
          </cell>
          <cell r="B4025" t="str">
            <v>Zinc</v>
          </cell>
          <cell r="C4025" t="str">
            <v>Mineral</v>
          </cell>
          <cell r="D4025">
            <v>136</v>
          </cell>
          <cell r="E4025">
            <v>21.6</v>
          </cell>
          <cell r="F4025">
            <v>2937.6</v>
          </cell>
          <cell r="G4025">
            <v>0.1</v>
          </cell>
          <cell r="H4025">
            <v>0</v>
          </cell>
          <cell r="I4025" t="str">
            <v>UK</v>
          </cell>
          <cell r="J4025" t="str">
            <v>Amazon</v>
          </cell>
        </row>
        <row r="4026">
          <cell r="A4026" t="str">
            <v>28-10-2024</v>
          </cell>
          <cell r="B4026" t="str">
            <v>Collagen Peptides</v>
          </cell>
          <cell r="C4026" t="str">
            <v>Protein</v>
          </cell>
          <cell r="D4026">
            <v>145</v>
          </cell>
          <cell r="E4026">
            <v>40.549999999999997</v>
          </cell>
          <cell r="F4026">
            <v>5879.75</v>
          </cell>
          <cell r="G4026">
            <v>0.02</v>
          </cell>
          <cell r="H4026">
            <v>2</v>
          </cell>
          <cell r="I4026" t="str">
            <v>USA</v>
          </cell>
          <cell r="J4026" t="str">
            <v>iHerb</v>
          </cell>
        </row>
        <row r="4027">
          <cell r="A4027" t="str">
            <v>28-10-2024</v>
          </cell>
          <cell r="B4027" t="str">
            <v>Magnesium</v>
          </cell>
          <cell r="C4027" t="str">
            <v>Mineral</v>
          </cell>
          <cell r="D4027">
            <v>149</v>
          </cell>
          <cell r="E4027">
            <v>24.47</v>
          </cell>
          <cell r="F4027">
            <v>3646.03</v>
          </cell>
          <cell r="G4027">
            <v>0.18</v>
          </cell>
          <cell r="H4027">
            <v>2</v>
          </cell>
          <cell r="I4027" t="str">
            <v>Canada</v>
          </cell>
          <cell r="J4027" t="str">
            <v>Amazon</v>
          </cell>
        </row>
        <row r="4028">
          <cell r="A4028" t="str">
            <v>28-10-2024</v>
          </cell>
          <cell r="B4028" t="str">
            <v>Ashwagandha</v>
          </cell>
          <cell r="C4028" t="str">
            <v>Herbal</v>
          </cell>
          <cell r="D4028">
            <v>150</v>
          </cell>
          <cell r="E4028">
            <v>17.29</v>
          </cell>
          <cell r="F4028">
            <v>2593.5</v>
          </cell>
          <cell r="G4028">
            <v>0.06</v>
          </cell>
          <cell r="H4028">
            <v>2</v>
          </cell>
          <cell r="I4028" t="str">
            <v>USA</v>
          </cell>
          <cell r="J4028" t="str">
            <v>iHerb</v>
          </cell>
        </row>
        <row r="4029">
          <cell r="A4029" t="str">
            <v>28-10-2024</v>
          </cell>
          <cell r="B4029" t="str">
            <v>Melatonin</v>
          </cell>
          <cell r="C4029" t="str">
            <v>Sleep Aid</v>
          </cell>
          <cell r="D4029">
            <v>143</v>
          </cell>
          <cell r="E4029">
            <v>28.7</v>
          </cell>
          <cell r="F4029">
            <v>4104.1000000000004</v>
          </cell>
          <cell r="G4029">
            <v>0.16</v>
          </cell>
          <cell r="H4029">
            <v>1</v>
          </cell>
          <cell r="I4029" t="str">
            <v>USA</v>
          </cell>
          <cell r="J4029" t="str">
            <v>Amazon</v>
          </cell>
        </row>
        <row r="4030">
          <cell r="A4030" t="str">
            <v>28-10-2024</v>
          </cell>
          <cell r="B4030" t="str">
            <v>Biotin</v>
          </cell>
          <cell r="C4030" t="str">
            <v>Vitamin</v>
          </cell>
          <cell r="D4030">
            <v>147</v>
          </cell>
          <cell r="E4030">
            <v>14.71</v>
          </cell>
          <cell r="F4030">
            <v>2162.37</v>
          </cell>
          <cell r="G4030">
            <v>0.06</v>
          </cell>
          <cell r="H4030">
            <v>0</v>
          </cell>
          <cell r="I4030" t="str">
            <v>USA</v>
          </cell>
          <cell r="J4030" t="str">
            <v>iHerb</v>
          </cell>
        </row>
        <row r="4031">
          <cell r="A4031" t="str">
            <v>28-10-2024</v>
          </cell>
          <cell r="B4031" t="str">
            <v>Green Tea Extract</v>
          </cell>
          <cell r="C4031" t="str">
            <v>Fat Burner</v>
          </cell>
          <cell r="D4031">
            <v>174</v>
          </cell>
          <cell r="E4031">
            <v>12.1</v>
          </cell>
          <cell r="F4031">
            <v>2105.4</v>
          </cell>
          <cell r="G4031">
            <v>0.03</v>
          </cell>
          <cell r="H4031">
            <v>0</v>
          </cell>
          <cell r="I4031" t="str">
            <v>USA</v>
          </cell>
          <cell r="J4031" t="str">
            <v>Walmart</v>
          </cell>
        </row>
        <row r="4032">
          <cell r="A4032" t="str">
            <v>28-10-2024</v>
          </cell>
          <cell r="B4032" t="str">
            <v>Iron Supplement</v>
          </cell>
          <cell r="C4032" t="str">
            <v>Mineral</v>
          </cell>
          <cell r="D4032">
            <v>153</v>
          </cell>
          <cell r="E4032">
            <v>34.93</v>
          </cell>
          <cell r="F4032">
            <v>5344.29</v>
          </cell>
          <cell r="G4032">
            <v>0.09</v>
          </cell>
          <cell r="H4032">
            <v>3</v>
          </cell>
          <cell r="I4032" t="str">
            <v>Canada</v>
          </cell>
          <cell r="J4032" t="str">
            <v>Amazon</v>
          </cell>
        </row>
        <row r="4033">
          <cell r="A4033" t="str">
            <v>28-10-2024</v>
          </cell>
          <cell r="B4033" t="str">
            <v>Electrolyte Powder</v>
          </cell>
          <cell r="C4033" t="str">
            <v>Hydration</v>
          </cell>
          <cell r="D4033">
            <v>143</v>
          </cell>
          <cell r="E4033">
            <v>46.06</v>
          </cell>
          <cell r="F4033">
            <v>6586.58</v>
          </cell>
          <cell r="G4033">
            <v>0.11</v>
          </cell>
          <cell r="H4033">
            <v>2</v>
          </cell>
          <cell r="I4033" t="str">
            <v>Canada</v>
          </cell>
          <cell r="J4033" t="str">
            <v>Amazon</v>
          </cell>
        </row>
        <row r="4034">
          <cell r="A4034" t="str">
            <v>04-11-2024</v>
          </cell>
          <cell r="B4034" t="str">
            <v>Whey Protein</v>
          </cell>
          <cell r="C4034" t="str">
            <v>Protein</v>
          </cell>
          <cell r="D4034">
            <v>156</v>
          </cell>
          <cell r="E4034">
            <v>35.200000000000003</v>
          </cell>
          <cell r="F4034">
            <v>5491.2</v>
          </cell>
          <cell r="G4034">
            <v>0.24</v>
          </cell>
          <cell r="H4034">
            <v>2</v>
          </cell>
          <cell r="I4034" t="str">
            <v>UK</v>
          </cell>
          <cell r="J4034" t="str">
            <v>Amazon</v>
          </cell>
        </row>
        <row r="4035">
          <cell r="A4035" t="str">
            <v>04-11-2024</v>
          </cell>
          <cell r="B4035" t="str">
            <v>Vitamin C</v>
          </cell>
          <cell r="C4035" t="str">
            <v>Vitamin</v>
          </cell>
          <cell r="D4035">
            <v>169</v>
          </cell>
          <cell r="E4035">
            <v>34.159999999999997</v>
          </cell>
          <cell r="F4035">
            <v>5773.04</v>
          </cell>
          <cell r="G4035">
            <v>0.23</v>
          </cell>
          <cell r="H4035">
            <v>1</v>
          </cell>
          <cell r="I4035" t="str">
            <v>Canada</v>
          </cell>
          <cell r="J4035" t="str">
            <v>Walmart</v>
          </cell>
        </row>
        <row r="4036">
          <cell r="A4036" t="str">
            <v>04-11-2024</v>
          </cell>
          <cell r="B4036" t="str">
            <v>Fish Oil</v>
          </cell>
          <cell r="C4036" t="str">
            <v>Omega</v>
          </cell>
          <cell r="D4036">
            <v>186</v>
          </cell>
          <cell r="E4036">
            <v>55.13</v>
          </cell>
          <cell r="F4036">
            <v>10254.18</v>
          </cell>
          <cell r="G4036">
            <v>0.11</v>
          </cell>
          <cell r="H4036">
            <v>0</v>
          </cell>
          <cell r="I4036" t="str">
            <v>Canada</v>
          </cell>
          <cell r="J4036" t="str">
            <v>Amazon</v>
          </cell>
        </row>
        <row r="4037">
          <cell r="A4037" t="str">
            <v>04-11-2024</v>
          </cell>
          <cell r="B4037" t="str">
            <v>Multivitamin</v>
          </cell>
          <cell r="C4037" t="str">
            <v>Vitamin</v>
          </cell>
          <cell r="D4037">
            <v>167</v>
          </cell>
          <cell r="E4037">
            <v>11.11</v>
          </cell>
          <cell r="F4037">
            <v>1855.37</v>
          </cell>
          <cell r="G4037">
            <v>0.03</v>
          </cell>
          <cell r="H4037">
            <v>2</v>
          </cell>
          <cell r="I4037" t="str">
            <v>USA</v>
          </cell>
          <cell r="J4037" t="str">
            <v>iHerb</v>
          </cell>
        </row>
        <row r="4038">
          <cell r="A4038" t="str">
            <v>04-11-2024</v>
          </cell>
          <cell r="B4038" t="str">
            <v>Pre-Workout</v>
          </cell>
          <cell r="C4038" t="str">
            <v>Performance</v>
          </cell>
          <cell r="D4038">
            <v>149</v>
          </cell>
          <cell r="E4038">
            <v>47.25</v>
          </cell>
          <cell r="F4038">
            <v>7040.25</v>
          </cell>
          <cell r="G4038">
            <v>0.03</v>
          </cell>
          <cell r="H4038">
            <v>1</v>
          </cell>
          <cell r="I4038" t="str">
            <v>UK</v>
          </cell>
          <cell r="J4038" t="str">
            <v>iHerb</v>
          </cell>
        </row>
        <row r="4039">
          <cell r="A4039" t="str">
            <v>04-11-2024</v>
          </cell>
          <cell r="B4039" t="str">
            <v>BCAA</v>
          </cell>
          <cell r="C4039" t="str">
            <v>Amino Acid</v>
          </cell>
          <cell r="D4039">
            <v>138</v>
          </cell>
          <cell r="E4039">
            <v>53.66</v>
          </cell>
          <cell r="F4039">
            <v>7405.08</v>
          </cell>
          <cell r="G4039">
            <v>0.13</v>
          </cell>
          <cell r="H4039">
            <v>0</v>
          </cell>
          <cell r="I4039" t="str">
            <v>Canada</v>
          </cell>
          <cell r="J4039" t="str">
            <v>Amazon</v>
          </cell>
        </row>
        <row r="4040">
          <cell r="A4040" t="str">
            <v>04-11-2024</v>
          </cell>
          <cell r="B4040" t="str">
            <v>Creatine</v>
          </cell>
          <cell r="C4040" t="str">
            <v>Performance</v>
          </cell>
          <cell r="D4040">
            <v>152</v>
          </cell>
          <cell r="E4040">
            <v>16.61</v>
          </cell>
          <cell r="F4040">
            <v>2524.7199999999998</v>
          </cell>
          <cell r="G4040">
            <v>0.02</v>
          </cell>
          <cell r="H4040">
            <v>0</v>
          </cell>
          <cell r="I4040" t="str">
            <v>Canada</v>
          </cell>
          <cell r="J4040" t="str">
            <v>Walmart</v>
          </cell>
        </row>
        <row r="4041">
          <cell r="A4041" t="str">
            <v>04-11-2024</v>
          </cell>
          <cell r="B4041" t="str">
            <v>Zinc</v>
          </cell>
          <cell r="C4041" t="str">
            <v>Mineral</v>
          </cell>
          <cell r="D4041">
            <v>159</v>
          </cell>
          <cell r="E4041">
            <v>37.03</v>
          </cell>
          <cell r="F4041">
            <v>5887.77</v>
          </cell>
          <cell r="G4041">
            <v>0.06</v>
          </cell>
          <cell r="H4041">
            <v>1</v>
          </cell>
          <cell r="I4041" t="str">
            <v>Canada</v>
          </cell>
          <cell r="J4041" t="str">
            <v>Walmart</v>
          </cell>
        </row>
        <row r="4042">
          <cell r="A4042" t="str">
            <v>04-11-2024</v>
          </cell>
          <cell r="B4042" t="str">
            <v>Collagen Peptides</v>
          </cell>
          <cell r="C4042" t="str">
            <v>Protein</v>
          </cell>
          <cell r="D4042">
            <v>185</v>
          </cell>
          <cell r="E4042">
            <v>55.08</v>
          </cell>
          <cell r="F4042">
            <v>10189.799999999999</v>
          </cell>
          <cell r="G4042">
            <v>0.15</v>
          </cell>
          <cell r="H4042">
            <v>0</v>
          </cell>
          <cell r="I4042" t="str">
            <v>Canada</v>
          </cell>
          <cell r="J4042" t="str">
            <v>Amazon</v>
          </cell>
        </row>
        <row r="4043">
          <cell r="A4043" t="str">
            <v>04-11-2024</v>
          </cell>
          <cell r="B4043" t="str">
            <v>Magnesium</v>
          </cell>
          <cell r="C4043" t="str">
            <v>Mineral</v>
          </cell>
          <cell r="D4043">
            <v>149</v>
          </cell>
          <cell r="E4043">
            <v>30.93</v>
          </cell>
          <cell r="F4043">
            <v>4608.57</v>
          </cell>
          <cell r="G4043">
            <v>0.22</v>
          </cell>
          <cell r="H4043">
            <v>1</v>
          </cell>
          <cell r="I4043" t="str">
            <v>Canada</v>
          </cell>
          <cell r="J4043" t="str">
            <v>Walmart</v>
          </cell>
        </row>
        <row r="4044">
          <cell r="A4044" t="str">
            <v>04-11-2024</v>
          </cell>
          <cell r="B4044" t="str">
            <v>Ashwagandha</v>
          </cell>
          <cell r="C4044" t="str">
            <v>Herbal</v>
          </cell>
          <cell r="D4044">
            <v>152</v>
          </cell>
          <cell r="E4044">
            <v>56.03</v>
          </cell>
          <cell r="F4044">
            <v>8516.56</v>
          </cell>
          <cell r="G4044">
            <v>0.12</v>
          </cell>
          <cell r="H4044">
            <v>2</v>
          </cell>
          <cell r="I4044" t="str">
            <v>USA</v>
          </cell>
          <cell r="J4044" t="str">
            <v>iHerb</v>
          </cell>
        </row>
        <row r="4045">
          <cell r="A4045" t="str">
            <v>04-11-2024</v>
          </cell>
          <cell r="B4045" t="str">
            <v>Melatonin</v>
          </cell>
          <cell r="C4045" t="str">
            <v>Sleep Aid</v>
          </cell>
          <cell r="D4045">
            <v>142</v>
          </cell>
          <cell r="E4045">
            <v>23.98</v>
          </cell>
          <cell r="F4045">
            <v>3405.16</v>
          </cell>
          <cell r="G4045">
            <v>0.08</v>
          </cell>
          <cell r="H4045">
            <v>4</v>
          </cell>
          <cell r="I4045" t="str">
            <v>USA</v>
          </cell>
          <cell r="J4045" t="str">
            <v>Amazon</v>
          </cell>
        </row>
        <row r="4046">
          <cell r="A4046" t="str">
            <v>04-11-2024</v>
          </cell>
          <cell r="B4046" t="str">
            <v>Biotin</v>
          </cell>
          <cell r="C4046" t="str">
            <v>Vitamin</v>
          </cell>
          <cell r="D4046">
            <v>156</v>
          </cell>
          <cell r="E4046">
            <v>59.4</v>
          </cell>
          <cell r="F4046">
            <v>9266.4</v>
          </cell>
          <cell r="G4046">
            <v>0.04</v>
          </cell>
          <cell r="H4046">
            <v>1</v>
          </cell>
          <cell r="I4046" t="str">
            <v>Canada</v>
          </cell>
          <cell r="J4046" t="str">
            <v>iHerb</v>
          </cell>
        </row>
        <row r="4047">
          <cell r="A4047" t="str">
            <v>04-11-2024</v>
          </cell>
          <cell r="B4047" t="str">
            <v>Green Tea Extract</v>
          </cell>
          <cell r="C4047" t="str">
            <v>Fat Burner</v>
          </cell>
          <cell r="D4047">
            <v>155</v>
          </cell>
          <cell r="E4047">
            <v>45.85</v>
          </cell>
          <cell r="F4047">
            <v>7106.75</v>
          </cell>
          <cell r="G4047">
            <v>0.02</v>
          </cell>
          <cell r="H4047">
            <v>0</v>
          </cell>
          <cell r="I4047" t="str">
            <v>Canada</v>
          </cell>
          <cell r="J4047" t="str">
            <v>Walmart</v>
          </cell>
        </row>
        <row r="4048">
          <cell r="A4048" t="str">
            <v>04-11-2024</v>
          </cell>
          <cell r="B4048" t="str">
            <v>Iron Supplement</v>
          </cell>
          <cell r="C4048" t="str">
            <v>Mineral</v>
          </cell>
          <cell r="D4048">
            <v>157</v>
          </cell>
          <cell r="E4048">
            <v>37.770000000000003</v>
          </cell>
          <cell r="F4048">
            <v>5929.89</v>
          </cell>
          <cell r="G4048">
            <v>7.0000000000000007E-2</v>
          </cell>
          <cell r="H4048">
            <v>2</v>
          </cell>
          <cell r="I4048" t="str">
            <v>USA</v>
          </cell>
          <cell r="J4048" t="str">
            <v>Walmart</v>
          </cell>
        </row>
        <row r="4049">
          <cell r="A4049" t="str">
            <v>04-11-2024</v>
          </cell>
          <cell r="B4049" t="str">
            <v>Electrolyte Powder</v>
          </cell>
          <cell r="C4049" t="str">
            <v>Hydration</v>
          </cell>
          <cell r="D4049">
            <v>147</v>
          </cell>
          <cell r="E4049">
            <v>44.48</v>
          </cell>
          <cell r="F4049">
            <v>6538.56</v>
          </cell>
          <cell r="G4049">
            <v>0.03</v>
          </cell>
          <cell r="H4049">
            <v>0</v>
          </cell>
          <cell r="I4049" t="str">
            <v>Canada</v>
          </cell>
          <cell r="J4049" t="str">
            <v>Amazon</v>
          </cell>
        </row>
        <row r="4050">
          <cell r="A4050" t="str">
            <v>11-11-2024</v>
          </cell>
          <cell r="B4050" t="str">
            <v>Whey Protein</v>
          </cell>
          <cell r="C4050" t="str">
            <v>Protein</v>
          </cell>
          <cell r="D4050">
            <v>163</v>
          </cell>
          <cell r="E4050">
            <v>41.55</v>
          </cell>
          <cell r="F4050">
            <v>6772.65</v>
          </cell>
          <cell r="G4050">
            <v>0.1</v>
          </cell>
          <cell r="H4050">
            <v>1</v>
          </cell>
          <cell r="I4050" t="str">
            <v>USA</v>
          </cell>
          <cell r="J4050" t="str">
            <v>Amazon</v>
          </cell>
        </row>
        <row r="4051">
          <cell r="A4051" t="str">
            <v>11-11-2024</v>
          </cell>
          <cell r="B4051" t="str">
            <v>Vitamin C</v>
          </cell>
          <cell r="C4051" t="str">
            <v>Vitamin</v>
          </cell>
          <cell r="D4051">
            <v>157</v>
          </cell>
          <cell r="E4051">
            <v>35.51</v>
          </cell>
          <cell r="F4051">
            <v>5575.07</v>
          </cell>
          <cell r="G4051">
            <v>0.24</v>
          </cell>
          <cell r="H4051">
            <v>4</v>
          </cell>
          <cell r="I4051" t="str">
            <v>UK</v>
          </cell>
          <cell r="J4051" t="str">
            <v>iHerb</v>
          </cell>
        </row>
        <row r="4052">
          <cell r="A4052" t="str">
            <v>11-11-2024</v>
          </cell>
          <cell r="B4052" t="str">
            <v>Fish Oil</v>
          </cell>
          <cell r="C4052" t="str">
            <v>Omega</v>
          </cell>
          <cell r="D4052">
            <v>147</v>
          </cell>
          <cell r="E4052">
            <v>37.159999999999997</v>
          </cell>
          <cell r="F4052">
            <v>5462.52</v>
          </cell>
          <cell r="G4052">
            <v>0.13</v>
          </cell>
          <cell r="H4052">
            <v>0</v>
          </cell>
          <cell r="I4052" t="str">
            <v>USA</v>
          </cell>
          <cell r="J4052" t="str">
            <v>Amazon</v>
          </cell>
        </row>
        <row r="4053">
          <cell r="A4053" t="str">
            <v>11-11-2024</v>
          </cell>
          <cell r="B4053" t="str">
            <v>Multivitamin</v>
          </cell>
          <cell r="C4053" t="str">
            <v>Vitamin</v>
          </cell>
          <cell r="D4053">
            <v>153</v>
          </cell>
          <cell r="E4053">
            <v>49.01</v>
          </cell>
          <cell r="F4053">
            <v>7498.53</v>
          </cell>
          <cell r="G4053">
            <v>0.2</v>
          </cell>
          <cell r="H4053">
            <v>0</v>
          </cell>
          <cell r="I4053" t="str">
            <v>Canada</v>
          </cell>
          <cell r="J4053" t="str">
            <v>Amazon</v>
          </cell>
        </row>
        <row r="4054">
          <cell r="A4054" t="str">
            <v>11-11-2024</v>
          </cell>
          <cell r="B4054" t="str">
            <v>Pre-Workout</v>
          </cell>
          <cell r="C4054" t="str">
            <v>Performance</v>
          </cell>
          <cell r="D4054">
            <v>145</v>
          </cell>
          <cell r="E4054">
            <v>25.8</v>
          </cell>
          <cell r="F4054">
            <v>3741</v>
          </cell>
          <cell r="G4054">
            <v>0.14000000000000001</v>
          </cell>
          <cell r="H4054">
            <v>1</v>
          </cell>
          <cell r="I4054" t="str">
            <v>Canada</v>
          </cell>
          <cell r="J4054" t="str">
            <v>Walmart</v>
          </cell>
        </row>
        <row r="4055">
          <cell r="A4055" t="str">
            <v>11-11-2024</v>
          </cell>
          <cell r="B4055" t="str">
            <v>BCAA</v>
          </cell>
          <cell r="C4055" t="str">
            <v>Amino Acid</v>
          </cell>
          <cell r="D4055">
            <v>152</v>
          </cell>
          <cell r="E4055">
            <v>24.33</v>
          </cell>
          <cell r="F4055">
            <v>3698.16</v>
          </cell>
          <cell r="G4055">
            <v>0.02</v>
          </cell>
          <cell r="H4055">
            <v>3</v>
          </cell>
          <cell r="I4055" t="str">
            <v>Canada</v>
          </cell>
          <cell r="J4055" t="str">
            <v>Walmart</v>
          </cell>
        </row>
        <row r="4056">
          <cell r="A4056" t="str">
            <v>11-11-2024</v>
          </cell>
          <cell r="B4056" t="str">
            <v>Creatine</v>
          </cell>
          <cell r="C4056" t="str">
            <v>Performance</v>
          </cell>
          <cell r="D4056">
            <v>158</v>
          </cell>
          <cell r="E4056">
            <v>21.33</v>
          </cell>
          <cell r="F4056">
            <v>3370.14</v>
          </cell>
          <cell r="G4056">
            <v>0.24</v>
          </cell>
          <cell r="H4056">
            <v>3</v>
          </cell>
          <cell r="I4056" t="str">
            <v>UK</v>
          </cell>
          <cell r="J4056" t="str">
            <v>Amazon</v>
          </cell>
        </row>
        <row r="4057">
          <cell r="A4057" t="str">
            <v>11-11-2024</v>
          </cell>
          <cell r="B4057" t="str">
            <v>Zinc</v>
          </cell>
          <cell r="C4057" t="str">
            <v>Mineral</v>
          </cell>
          <cell r="D4057">
            <v>152</v>
          </cell>
          <cell r="E4057">
            <v>10.72</v>
          </cell>
          <cell r="F4057">
            <v>1629.44</v>
          </cell>
          <cell r="G4057">
            <v>0.01</v>
          </cell>
          <cell r="H4057">
            <v>2</v>
          </cell>
          <cell r="I4057" t="str">
            <v>UK</v>
          </cell>
          <cell r="J4057" t="str">
            <v>Walmart</v>
          </cell>
        </row>
        <row r="4058">
          <cell r="A4058" t="str">
            <v>11-11-2024</v>
          </cell>
          <cell r="B4058" t="str">
            <v>Collagen Peptides</v>
          </cell>
          <cell r="C4058" t="str">
            <v>Protein</v>
          </cell>
          <cell r="D4058">
            <v>137</v>
          </cell>
          <cell r="E4058">
            <v>17.75</v>
          </cell>
          <cell r="F4058">
            <v>2431.75</v>
          </cell>
          <cell r="G4058">
            <v>0.14000000000000001</v>
          </cell>
          <cell r="H4058">
            <v>0</v>
          </cell>
          <cell r="I4058" t="str">
            <v>UK</v>
          </cell>
          <cell r="J4058" t="str">
            <v>Walmart</v>
          </cell>
        </row>
        <row r="4059">
          <cell r="A4059" t="str">
            <v>11-11-2024</v>
          </cell>
          <cell r="B4059" t="str">
            <v>Magnesium</v>
          </cell>
          <cell r="C4059" t="str">
            <v>Mineral</v>
          </cell>
          <cell r="D4059">
            <v>160</v>
          </cell>
          <cell r="E4059">
            <v>14.31</v>
          </cell>
          <cell r="F4059">
            <v>2289.6</v>
          </cell>
          <cell r="G4059">
            <v>0.21</v>
          </cell>
          <cell r="H4059">
            <v>2</v>
          </cell>
          <cell r="I4059" t="str">
            <v>Canada</v>
          </cell>
          <cell r="J4059" t="str">
            <v>Amazon</v>
          </cell>
        </row>
        <row r="4060">
          <cell r="A4060" t="str">
            <v>11-11-2024</v>
          </cell>
          <cell r="B4060" t="str">
            <v>Ashwagandha</v>
          </cell>
          <cell r="C4060" t="str">
            <v>Herbal</v>
          </cell>
          <cell r="D4060">
            <v>171</v>
          </cell>
          <cell r="E4060">
            <v>56.03</v>
          </cell>
          <cell r="F4060">
            <v>9581.1299999999992</v>
          </cell>
          <cell r="G4060">
            <v>0.02</v>
          </cell>
          <cell r="H4060">
            <v>0</v>
          </cell>
          <cell r="I4060" t="str">
            <v>Canada</v>
          </cell>
          <cell r="J4060" t="str">
            <v>Walmart</v>
          </cell>
        </row>
        <row r="4061">
          <cell r="A4061" t="str">
            <v>11-11-2024</v>
          </cell>
          <cell r="B4061" t="str">
            <v>Melatonin</v>
          </cell>
          <cell r="C4061" t="str">
            <v>Sleep Aid</v>
          </cell>
          <cell r="D4061">
            <v>140</v>
          </cell>
          <cell r="E4061">
            <v>23.21</v>
          </cell>
          <cell r="F4061">
            <v>3249.4</v>
          </cell>
          <cell r="G4061">
            <v>0.18</v>
          </cell>
          <cell r="H4061">
            <v>3</v>
          </cell>
          <cell r="I4061" t="str">
            <v>USA</v>
          </cell>
          <cell r="J4061" t="str">
            <v>iHerb</v>
          </cell>
        </row>
        <row r="4062">
          <cell r="A4062" t="str">
            <v>11-11-2024</v>
          </cell>
          <cell r="B4062" t="str">
            <v>Biotin</v>
          </cell>
          <cell r="C4062" t="str">
            <v>Vitamin</v>
          </cell>
          <cell r="D4062">
            <v>161</v>
          </cell>
          <cell r="E4062">
            <v>30.08</v>
          </cell>
          <cell r="F4062">
            <v>4842.88</v>
          </cell>
          <cell r="G4062">
            <v>0.1</v>
          </cell>
          <cell r="H4062">
            <v>1</v>
          </cell>
          <cell r="I4062" t="str">
            <v>UK</v>
          </cell>
          <cell r="J4062" t="str">
            <v>Walmart</v>
          </cell>
        </row>
        <row r="4063">
          <cell r="A4063" t="str">
            <v>11-11-2024</v>
          </cell>
          <cell r="B4063" t="str">
            <v>Green Tea Extract</v>
          </cell>
          <cell r="C4063" t="str">
            <v>Fat Burner</v>
          </cell>
          <cell r="D4063">
            <v>136</v>
          </cell>
          <cell r="E4063">
            <v>35.54</v>
          </cell>
          <cell r="F4063">
            <v>4833.4399999999996</v>
          </cell>
          <cell r="G4063">
            <v>0.13</v>
          </cell>
          <cell r="H4063">
            <v>2</v>
          </cell>
          <cell r="I4063" t="str">
            <v>Canada</v>
          </cell>
          <cell r="J4063" t="str">
            <v>Amazon</v>
          </cell>
        </row>
        <row r="4064">
          <cell r="A4064" t="str">
            <v>11-11-2024</v>
          </cell>
          <cell r="B4064" t="str">
            <v>Iron Supplement</v>
          </cell>
          <cell r="C4064" t="str">
            <v>Mineral</v>
          </cell>
          <cell r="D4064">
            <v>151</v>
          </cell>
          <cell r="E4064">
            <v>43.16</v>
          </cell>
          <cell r="F4064">
            <v>6517.16</v>
          </cell>
          <cell r="G4064">
            <v>0.2</v>
          </cell>
          <cell r="H4064">
            <v>1</v>
          </cell>
          <cell r="I4064" t="str">
            <v>Canada</v>
          </cell>
          <cell r="J4064" t="str">
            <v>Walmart</v>
          </cell>
        </row>
        <row r="4065">
          <cell r="A4065" t="str">
            <v>11-11-2024</v>
          </cell>
          <cell r="B4065" t="str">
            <v>Electrolyte Powder</v>
          </cell>
          <cell r="C4065" t="str">
            <v>Hydration</v>
          </cell>
          <cell r="D4065">
            <v>155</v>
          </cell>
          <cell r="E4065">
            <v>27.1</v>
          </cell>
          <cell r="F4065">
            <v>4200.5</v>
          </cell>
          <cell r="G4065">
            <v>0.23</v>
          </cell>
          <cell r="H4065">
            <v>3</v>
          </cell>
          <cell r="I4065" t="str">
            <v>Canada</v>
          </cell>
          <cell r="J4065" t="str">
            <v>Walmart</v>
          </cell>
        </row>
        <row r="4066">
          <cell r="A4066" t="str">
            <v>18-11-2024</v>
          </cell>
          <cell r="B4066" t="str">
            <v>Whey Protein</v>
          </cell>
          <cell r="C4066" t="str">
            <v>Protein</v>
          </cell>
          <cell r="D4066">
            <v>153</v>
          </cell>
          <cell r="E4066">
            <v>52.7</v>
          </cell>
          <cell r="F4066">
            <v>8063.1</v>
          </cell>
          <cell r="G4066">
            <v>0.24</v>
          </cell>
          <cell r="H4066">
            <v>1</v>
          </cell>
          <cell r="I4066" t="str">
            <v>USA</v>
          </cell>
          <cell r="J4066" t="str">
            <v>iHerb</v>
          </cell>
        </row>
        <row r="4067">
          <cell r="A4067" t="str">
            <v>18-11-2024</v>
          </cell>
          <cell r="B4067" t="str">
            <v>Vitamin C</v>
          </cell>
          <cell r="C4067" t="str">
            <v>Vitamin</v>
          </cell>
          <cell r="D4067">
            <v>152</v>
          </cell>
          <cell r="E4067">
            <v>13.6</v>
          </cell>
          <cell r="F4067">
            <v>2067.1999999999998</v>
          </cell>
          <cell r="G4067">
            <v>0.11</v>
          </cell>
          <cell r="H4067">
            <v>2</v>
          </cell>
          <cell r="I4067" t="str">
            <v>USA</v>
          </cell>
          <cell r="J4067" t="str">
            <v>iHerb</v>
          </cell>
        </row>
        <row r="4068">
          <cell r="A4068" t="str">
            <v>18-11-2024</v>
          </cell>
          <cell r="B4068" t="str">
            <v>Fish Oil</v>
          </cell>
          <cell r="C4068" t="str">
            <v>Omega</v>
          </cell>
          <cell r="D4068">
            <v>123</v>
          </cell>
          <cell r="E4068">
            <v>15.37</v>
          </cell>
          <cell r="F4068">
            <v>1890.51</v>
          </cell>
          <cell r="G4068">
            <v>0.05</v>
          </cell>
          <cell r="H4068">
            <v>3</v>
          </cell>
          <cell r="I4068" t="str">
            <v>UK</v>
          </cell>
          <cell r="J4068" t="str">
            <v>Amazon</v>
          </cell>
        </row>
        <row r="4069">
          <cell r="A4069" t="str">
            <v>18-11-2024</v>
          </cell>
          <cell r="B4069" t="str">
            <v>Multivitamin</v>
          </cell>
          <cell r="C4069" t="str">
            <v>Vitamin</v>
          </cell>
          <cell r="D4069">
            <v>150</v>
          </cell>
          <cell r="E4069">
            <v>13.22</v>
          </cell>
          <cell r="F4069">
            <v>1983</v>
          </cell>
          <cell r="G4069">
            <v>0.1</v>
          </cell>
          <cell r="H4069">
            <v>2</v>
          </cell>
          <cell r="I4069" t="str">
            <v>Canada</v>
          </cell>
          <cell r="J4069" t="str">
            <v>iHerb</v>
          </cell>
        </row>
        <row r="4070">
          <cell r="A4070" t="str">
            <v>18-11-2024</v>
          </cell>
          <cell r="B4070" t="str">
            <v>Pre-Workout</v>
          </cell>
          <cell r="C4070" t="str">
            <v>Performance</v>
          </cell>
          <cell r="D4070">
            <v>134</v>
          </cell>
          <cell r="E4070">
            <v>13.23</v>
          </cell>
          <cell r="F4070">
            <v>1772.82</v>
          </cell>
          <cell r="G4070">
            <v>0.16</v>
          </cell>
          <cell r="H4070">
            <v>4</v>
          </cell>
          <cell r="I4070" t="str">
            <v>USA</v>
          </cell>
          <cell r="J4070" t="str">
            <v>iHerb</v>
          </cell>
        </row>
        <row r="4071">
          <cell r="A4071" t="str">
            <v>18-11-2024</v>
          </cell>
          <cell r="B4071" t="str">
            <v>BCAA</v>
          </cell>
          <cell r="C4071" t="str">
            <v>Amino Acid</v>
          </cell>
          <cell r="D4071">
            <v>164</v>
          </cell>
          <cell r="E4071">
            <v>38.86</v>
          </cell>
          <cell r="F4071">
            <v>6373.04</v>
          </cell>
          <cell r="G4071">
            <v>0.13</v>
          </cell>
          <cell r="H4071">
            <v>1</v>
          </cell>
          <cell r="I4071" t="str">
            <v>USA</v>
          </cell>
          <cell r="J4071" t="str">
            <v>iHerb</v>
          </cell>
        </row>
        <row r="4072">
          <cell r="A4072" t="str">
            <v>18-11-2024</v>
          </cell>
          <cell r="B4072" t="str">
            <v>Creatine</v>
          </cell>
          <cell r="C4072" t="str">
            <v>Performance</v>
          </cell>
          <cell r="D4072">
            <v>163</v>
          </cell>
          <cell r="E4072">
            <v>12.81</v>
          </cell>
          <cell r="F4072">
            <v>2088.0300000000002</v>
          </cell>
          <cell r="G4072">
            <v>0.24</v>
          </cell>
          <cell r="H4072">
            <v>0</v>
          </cell>
          <cell r="I4072" t="str">
            <v>UK</v>
          </cell>
          <cell r="J4072" t="str">
            <v>iHerb</v>
          </cell>
        </row>
        <row r="4073">
          <cell r="A4073" t="str">
            <v>18-11-2024</v>
          </cell>
          <cell r="B4073" t="str">
            <v>Zinc</v>
          </cell>
          <cell r="C4073" t="str">
            <v>Mineral</v>
          </cell>
          <cell r="D4073">
            <v>144</v>
          </cell>
          <cell r="E4073">
            <v>50.89</v>
          </cell>
          <cell r="F4073">
            <v>7328.16</v>
          </cell>
          <cell r="G4073">
            <v>0.06</v>
          </cell>
          <cell r="H4073">
            <v>2</v>
          </cell>
          <cell r="I4073" t="str">
            <v>UK</v>
          </cell>
          <cell r="J4073" t="str">
            <v>Amazon</v>
          </cell>
        </row>
        <row r="4074">
          <cell r="A4074" t="str">
            <v>18-11-2024</v>
          </cell>
          <cell r="B4074" t="str">
            <v>Collagen Peptides</v>
          </cell>
          <cell r="C4074" t="str">
            <v>Protein</v>
          </cell>
          <cell r="D4074">
            <v>162</v>
          </cell>
          <cell r="E4074">
            <v>12.1</v>
          </cell>
          <cell r="F4074">
            <v>1960.2</v>
          </cell>
          <cell r="G4074">
            <v>0.05</v>
          </cell>
          <cell r="H4074">
            <v>1</v>
          </cell>
          <cell r="I4074" t="str">
            <v>Canada</v>
          </cell>
          <cell r="J4074" t="str">
            <v>iHerb</v>
          </cell>
        </row>
        <row r="4075">
          <cell r="A4075" t="str">
            <v>18-11-2024</v>
          </cell>
          <cell r="B4075" t="str">
            <v>Magnesium</v>
          </cell>
          <cell r="C4075" t="str">
            <v>Mineral</v>
          </cell>
          <cell r="D4075">
            <v>126</v>
          </cell>
          <cell r="E4075">
            <v>29</v>
          </cell>
          <cell r="F4075">
            <v>3654</v>
          </cell>
          <cell r="G4075">
            <v>0.22</v>
          </cell>
          <cell r="H4075">
            <v>0</v>
          </cell>
          <cell r="I4075" t="str">
            <v>USA</v>
          </cell>
          <cell r="J4075" t="str">
            <v>Amazon</v>
          </cell>
        </row>
        <row r="4076">
          <cell r="A4076" t="str">
            <v>18-11-2024</v>
          </cell>
          <cell r="B4076" t="str">
            <v>Ashwagandha</v>
          </cell>
          <cell r="C4076" t="str">
            <v>Herbal</v>
          </cell>
          <cell r="D4076">
            <v>148</v>
          </cell>
          <cell r="E4076">
            <v>53.87</v>
          </cell>
          <cell r="F4076">
            <v>7972.76</v>
          </cell>
          <cell r="G4076">
            <v>0.13</v>
          </cell>
          <cell r="H4076">
            <v>1</v>
          </cell>
          <cell r="I4076" t="str">
            <v>UK</v>
          </cell>
          <cell r="J4076" t="str">
            <v>Amazon</v>
          </cell>
        </row>
        <row r="4077">
          <cell r="A4077" t="str">
            <v>18-11-2024</v>
          </cell>
          <cell r="B4077" t="str">
            <v>Melatonin</v>
          </cell>
          <cell r="C4077" t="str">
            <v>Sleep Aid</v>
          </cell>
          <cell r="D4077">
            <v>166</v>
          </cell>
          <cell r="E4077">
            <v>13.97</v>
          </cell>
          <cell r="F4077">
            <v>2319.02</v>
          </cell>
          <cell r="G4077">
            <v>0.11</v>
          </cell>
          <cell r="H4077">
            <v>3</v>
          </cell>
          <cell r="I4077" t="str">
            <v>Canada</v>
          </cell>
          <cell r="J4077" t="str">
            <v>iHerb</v>
          </cell>
        </row>
        <row r="4078">
          <cell r="A4078" t="str">
            <v>18-11-2024</v>
          </cell>
          <cell r="B4078" t="str">
            <v>Biotin</v>
          </cell>
          <cell r="C4078" t="str">
            <v>Vitamin</v>
          </cell>
          <cell r="D4078">
            <v>153</v>
          </cell>
          <cell r="E4078">
            <v>24.32</v>
          </cell>
          <cell r="F4078">
            <v>3720.96</v>
          </cell>
          <cell r="G4078">
            <v>7.0000000000000007E-2</v>
          </cell>
          <cell r="H4078">
            <v>1</v>
          </cell>
          <cell r="I4078" t="str">
            <v>UK</v>
          </cell>
          <cell r="J4078" t="str">
            <v>Walmart</v>
          </cell>
        </row>
        <row r="4079">
          <cell r="A4079" t="str">
            <v>18-11-2024</v>
          </cell>
          <cell r="B4079" t="str">
            <v>Green Tea Extract</v>
          </cell>
          <cell r="C4079" t="str">
            <v>Fat Burner</v>
          </cell>
          <cell r="D4079">
            <v>145</v>
          </cell>
          <cell r="E4079">
            <v>42.09</v>
          </cell>
          <cell r="F4079">
            <v>6103.05</v>
          </cell>
          <cell r="G4079">
            <v>0.19</v>
          </cell>
          <cell r="H4079">
            <v>2</v>
          </cell>
          <cell r="I4079" t="str">
            <v>Canada</v>
          </cell>
          <cell r="J4079" t="str">
            <v>iHerb</v>
          </cell>
        </row>
        <row r="4080">
          <cell r="A4080" t="str">
            <v>18-11-2024</v>
          </cell>
          <cell r="B4080" t="str">
            <v>Iron Supplement</v>
          </cell>
          <cell r="C4080" t="str">
            <v>Mineral</v>
          </cell>
          <cell r="D4080">
            <v>171</v>
          </cell>
          <cell r="E4080">
            <v>59.23</v>
          </cell>
          <cell r="F4080">
            <v>10128.33</v>
          </cell>
          <cell r="G4080">
            <v>0.05</v>
          </cell>
          <cell r="H4080">
            <v>2</v>
          </cell>
          <cell r="I4080" t="str">
            <v>Canada</v>
          </cell>
          <cell r="J4080" t="str">
            <v>Amazon</v>
          </cell>
        </row>
        <row r="4081">
          <cell r="A4081" t="str">
            <v>18-11-2024</v>
          </cell>
          <cell r="B4081" t="str">
            <v>Electrolyte Powder</v>
          </cell>
          <cell r="C4081" t="str">
            <v>Hydration</v>
          </cell>
          <cell r="D4081">
            <v>151</v>
          </cell>
          <cell r="E4081">
            <v>33.840000000000003</v>
          </cell>
          <cell r="F4081">
            <v>5109.84</v>
          </cell>
          <cell r="G4081">
            <v>0.2</v>
          </cell>
          <cell r="H4081">
            <v>3</v>
          </cell>
          <cell r="I4081" t="str">
            <v>USA</v>
          </cell>
          <cell r="J4081" t="str">
            <v>Amazon</v>
          </cell>
        </row>
        <row r="4082">
          <cell r="A4082" t="str">
            <v>25-11-2024</v>
          </cell>
          <cell r="B4082" t="str">
            <v>Whey Protein</v>
          </cell>
          <cell r="C4082" t="str">
            <v>Protein</v>
          </cell>
          <cell r="D4082">
            <v>159</v>
          </cell>
          <cell r="E4082">
            <v>13.36</v>
          </cell>
          <cell r="F4082">
            <v>2124.2399999999998</v>
          </cell>
          <cell r="G4082">
            <v>0.05</v>
          </cell>
          <cell r="H4082">
            <v>4</v>
          </cell>
          <cell r="I4082" t="str">
            <v>UK</v>
          </cell>
          <cell r="J4082" t="str">
            <v>Walmart</v>
          </cell>
        </row>
        <row r="4083">
          <cell r="A4083" t="str">
            <v>25-11-2024</v>
          </cell>
          <cell r="B4083" t="str">
            <v>Vitamin C</v>
          </cell>
          <cell r="C4083" t="str">
            <v>Vitamin</v>
          </cell>
          <cell r="D4083">
            <v>157</v>
          </cell>
          <cell r="E4083">
            <v>28.35</v>
          </cell>
          <cell r="F4083">
            <v>4450.95</v>
          </cell>
          <cell r="G4083">
            <v>0.01</v>
          </cell>
          <cell r="H4083">
            <v>1</v>
          </cell>
          <cell r="I4083" t="str">
            <v>Canada</v>
          </cell>
          <cell r="J4083" t="str">
            <v>iHerb</v>
          </cell>
        </row>
        <row r="4084">
          <cell r="A4084" t="str">
            <v>25-11-2024</v>
          </cell>
          <cell r="B4084" t="str">
            <v>Fish Oil</v>
          </cell>
          <cell r="C4084" t="str">
            <v>Omega</v>
          </cell>
          <cell r="D4084">
            <v>150</v>
          </cell>
          <cell r="E4084">
            <v>18.66</v>
          </cell>
          <cell r="F4084">
            <v>2799</v>
          </cell>
          <cell r="G4084">
            <v>0.13</v>
          </cell>
          <cell r="H4084">
            <v>2</v>
          </cell>
          <cell r="I4084" t="str">
            <v>UK</v>
          </cell>
          <cell r="J4084" t="str">
            <v>Walmart</v>
          </cell>
        </row>
        <row r="4085">
          <cell r="A4085" t="str">
            <v>25-11-2024</v>
          </cell>
          <cell r="B4085" t="str">
            <v>Multivitamin</v>
          </cell>
          <cell r="C4085" t="str">
            <v>Vitamin</v>
          </cell>
          <cell r="D4085">
            <v>140</v>
          </cell>
          <cell r="E4085">
            <v>55.02</v>
          </cell>
          <cell r="F4085">
            <v>7702.8</v>
          </cell>
          <cell r="G4085">
            <v>0.12</v>
          </cell>
          <cell r="H4085">
            <v>3</v>
          </cell>
          <cell r="I4085" t="str">
            <v>Canada</v>
          </cell>
          <cell r="J4085" t="str">
            <v>Amazon</v>
          </cell>
        </row>
        <row r="4086">
          <cell r="A4086" t="str">
            <v>25-11-2024</v>
          </cell>
          <cell r="B4086" t="str">
            <v>Pre-Workout</v>
          </cell>
          <cell r="C4086" t="str">
            <v>Performance</v>
          </cell>
          <cell r="D4086">
            <v>172</v>
          </cell>
          <cell r="E4086">
            <v>14.79</v>
          </cell>
          <cell r="F4086">
            <v>2543.88</v>
          </cell>
          <cell r="G4086">
            <v>0.12</v>
          </cell>
          <cell r="H4086">
            <v>2</v>
          </cell>
          <cell r="I4086" t="str">
            <v>USA</v>
          </cell>
          <cell r="J4086" t="str">
            <v>iHerb</v>
          </cell>
        </row>
        <row r="4087">
          <cell r="A4087" t="str">
            <v>25-11-2024</v>
          </cell>
          <cell r="B4087" t="str">
            <v>BCAA</v>
          </cell>
          <cell r="C4087" t="str">
            <v>Amino Acid</v>
          </cell>
          <cell r="D4087">
            <v>147</v>
          </cell>
          <cell r="E4087">
            <v>42.05</v>
          </cell>
          <cell r="F4087">
            <v>6181.35</v>
          </cell>
          <cell r="G4087">
            <v>0</v>
          </cell>
          <cell r="H4087">
            <v>4</v>
          </cell>
          <cell r="I4087" t="str">
            <v>Canada</v>
          </cell>
          <cell r="J4087" t="str">
            <v>iHerb</v>
          </cell>
        </row>
        <row r="4088">
          <cell r="A4088" t="str">
            <v>25-11-2024</v>
          </cell>
          <cell r="B4088" t="str">
            <v>Creatine</v>
          </cell>
          <cell r="C4088" t="str">
            <v>Performance</v>
          </cell>
          <cell r="D4088">
            <v>140</v>
          </cell>
          <cell r="E4088">
            <v>15.45</v>
          </cell>
          <cell r="F4088">
            <v>2163</v>
          </cell>
          <cell r="G4088">
            <v>0.06</v>
          </cell>
          <cell r="H4088">
            <v>0</v>
          </cell>
          <cell r="I4088" t="str">
            <v>USA</v>
          </cell>
          <cell r="J4088" t="str">
            <v>iHerb</v>
          </cell>
        </row>
        <row r="4089">
          <cell r="A4089" t="str">
            <v>25-11-2024</v>
          </cell>
          <cell r="B4089" t="str">
            <v>Zinc</v>
          </cell>
          <cell r="C4089" t="str">
            <v>Mineral</v>
          </cell>
          <cell r="D4089">
            <v>155</v>
          </cell>
          <cell r="E4089">
            <v>43.61</v>
          </cell>
          <cell r="F4089">
            <v>6759.55</v>
          </cell>
          <cell r="G4089">
            <v>0.09</v>
          </cell>
          <cell r="H4089">
            <v>4</v>
          </cell>
          <cell r="I4089" t="str">
            <v>UK</v>
          </cell>
          <cell r="J4089" t="str">
            <v>iHerb</v>
          </cell>
        </row>
        <row r="4090">
          <cell r="A4090" t="str">
            <v>25-11-2024</v>
          </cell>
          <cell r="B4090" t="str">
            <v>Collagen Peptides</v>
          </cell>
          <cell r="C4090" t="str">
            <v>Protein</v>
          </cell>
          <cell r="D4090">
            <v>168</v>
          </cell>
          <cell r="E4090">
            <v>38.67</v>
          </cell>
          <cell r="F4090">
            <v>6496.56</v>
          </cell>
          <cell r="G4090">
            <v>0.24</v>
          </cell>
          <cell r="H4090">
            <v>5</v>
          </cell>
          <cell r="I4090" t="str">
            <v>USA</v>
          </cell>
          <cell r="J4090" t="str">
            <v>Walmart</v>
          </cell>
        </row>
        <row r="4091">
          <cell r="A4091" t="str">
            <v>25-11-2024</v>
          </cell>
          <cell r="B4091" t="str">
            <v>Magnesium</v>
          </cell>
          <cell r="C4091" t="str">
            <v>Mineral</v>
          </cell>
          <cell r="D4091">
            <v>148</v>
          </cell>
          <cell r="E4091">
            <v>25.1</v>
          </cell>
          <cell r="F4091">
            <v>3714.8</v>
          </cell>
          <cell r="G4091">
            <v>0.09</v>
          </cell>
          <cell r="H4091">
            <v>0</v>
          </cell>
          <cell r="I4091" t="str">
            <v>USA</v>
          </cell>
          <cell r="J4091" t="str">
            <v>Amazon</v>
          </cell>
        </row>
        <row r="4092">
          <cell r="A4092" t="str">
            <v>25-11-2024</v>
          </cell>
          <cell r="B4092" t="str">
            <v>Ashwagandha</v>
          </cell>
          <cell r="C4092" t="str">
            <v>Herbal</v>
          </cell>
          <cell r="D4092">
            <v>139</v>
          </cell>
          <cell r="E4092">
            <v>35.54</v>
          </cell>
          <cell r="F4092">
            <v>4940.0600000000004</v>
          </cell>
          <cell r="G4092">
            <v>0.06</v>
          </cell>
          <cell r="H4092">
            <v>1</v>
          </cell>
          <cell r="I4092" t="str">
            <v>USA</v>
          </cell>
          <cell r="J4092" t="str">
            <v>Amazon</v>
          </cell>
        </row>
        <row r="4093">
          <cell r="A4093" t="str">
            <v>25-11-2024</v>
          </cell>
          <cell r="B4093" t="str">
            <v>Melatonin</v>
          </cell>
          <cell r="C4093" t="str">
            <v>Sleep Aid</v>
          </cell>
          <cell r="D4093">
            <v>165</v>
          </cell>
          <cell r="E4093">
            <v>55.7</v>
          </cell>
          <cell r="F4093">
            <v>9190.5</v>
          </cell>
          <cell r="G4093">
            <v>0.09</v>
          </cell>
          <cell r="H4093">
            <v>2</v>
          </cell>
          <cell r="I4093" t="str">
            <v>Canada</v>
          </cell>
          <cell r="J4093" t="str">
            <v>iHerb</v>
          </cell>
        </row>
        <row r="4094">
          <cell r="A4094" t="str">
            <v>25-11-2024</v>
          </cell>
          <cell r="B4094" t="str">
            <v>Biotin</v>
          </cell>
          <cell r="C4094" t="str">
            <v>Vitamin</v>
          </cell>
          <cell r="D4094">
            <v>185</v>
          </cell>
          <cell r="E4094">
            <v>43.99</v>
          </cell>
          <cell r="F4094">
            <v>8138.15</v>
          </cell>
          <cell r="G4094">
            <v>7.0000000000000007E-2</v>
          </cell>
          <cell r="H4094">
            <v>1</v>
          </cell>
          <cell r="I4094" t="str">
            <v>Canada</v>
          </cell>
          <cell r="J4094" t="str">
            <v>Amazon</v>
          </cell>
        </row>
        <row r="4095">
          <cell r="A4095" t="str">
            <v>25-11-2024</v>
          </cell>
          <cell r="B4095" t="str">
            <v>Green Tea Extract</v>
          </cell>
          <cell r="C4095" t="str">
            <v>Fat Burner</v>
          </cell>
          <cell r="D4095">
            <v>148</v>
          </cell>
          <cell r="E4095">
            <v>55.72</v>
          </cell>
          <cell r="F4095">
            <v>8246.56</v>
          </cell>
          <cell r="G4095">
            <v>0.06</v>
          </cell>
          <cell r="H4095">
            <v>1</v>
          </cell>
          <cell r="I4095" t="str">
            <v>USA</v>
          </cell>
          <cell r="J4095" t="str">
            <v>Walmart</v>
          </cell>
        </row>
        <row r="4096">
          <cell r="A4096" t="str">
            <v>25-11-2024</v>
          </cell>
          <cell r="B4096" t="str">
            <v>Iron Supplement</v>
          </cell>
          <cell r="C4096" t="str">
            <v>Mineral</v>
          </cell>
          <cell r="D4096">
            <v>155</v>
          </cell>
          <cell r="E4096">
            <v>14.8</v>
          </cell>
          <cell r="F4096">
            <v>2294</v>
          </cell>
          <cell r="G4096">
            <v>0.25</v>
          </cell>
          <cell r="H4096">
            <v>2</v>
          </cell>
          <cell r="I4096" t="str">
            <v>UK</v>
          </cell>
          <cell r="J4096" t="str">
            <v>Amazon</v>
          </cell>
        </row>
        <row r="4097">
          <cell r="A4097" t="str">
            <v>25-11-2024</v>
          </cell>
          <cell r="B4097" t="str">
            <v>Electrolyte Powder</v>
          </cell>
          <cell r="C4097" t="str">
            <v>Hydration</v>
          </cell>
          <cell r="D4097">
            <v>148</v>
          </cell>
          <cell r="E4097">
            <v>14.38</v>
          </cell>
          <cell r="F4097">
            <v>2128.2399999999998</v>
          </cell>
          <cell r="G4097">
            <v>0.12</v>
          </cell>
          <cell r="H4097">
            <v>3</v>
          </cell>
          <cell r="I4097" t="str">
            <v>USA</v>
          </cell>
          <cell r="J4097" t="str">
            <v>Walmart</v>
          </cell>
        </row>
        <row r="4098">
          <cell r="A4098" t="str">
            <v>02-12-2024</v>
          </cell>
          <cell r="B4098" t="str">
            <v>Whey Protein</v>
          </cell>
          <cell r="C4098" t="str">
            <v>Protein</v>
          </cell>
          <cell r="D4098">
            <v>168</v>
          </cell>
          <cell r="E4098">
            <v>36.57</v>
          </cell>
          <cell r="F4098">
            <v>6143.76</v>
          </cell>
          <cell r="G4098">
            <v>0.17</v>
          </cell>
          <cell r="H4098">
            <v>1</v>
          </cell>
          <cell r="I4098" t="str">
            <v>Canada</v>
          </cell>
          <cell r="J4098" t="str">
            <v>iHerb</v>
          </cell>
        </row>
        <row r="4099">
          <cell r="A4099" t="str">
            <v>02-12-2024</v>
          </cell>
          <cell r="B4099" t="str">
            <v>Vitamin C</v>
          </cell>
          <cell r="C4099" t="str">
            <v>Vitamin</v>
          </cell>
          <cell r="D4099">
            <v>126</v>
          </cell>
          <cell r="E4099">
            <v>40.08</v>
          </cell>
          <cell r="F4099">
            <v>5050.08</v>
          </cell>
          <cell r="G4099">
            <v>0</v>
          </cell>
          <cell r="H4099">
            <v>0</v>
          </cell>
          <cell r="I4099" t="str">
            <v>UK</v>
          </cell>
          <cell r="J4099" t="str">
            <v>Walmart</v>
          </cell>
        </row>
        <row r="4100">
          <cell r="A4100" t="str">
            <v>02-12-2024</v>
          </cell>
          <cell r="B4100" t="str">
            <v>Fish Oil</v>
          </cell>
          <cell r="C4100" t="str">
            <v>Omega</v>
          </cell>
          <cell r="D4100">
            <v>139</v>
          </cell>
          <cell r="E4100">
            <v>37.049999999999997</v>
          </cell>
          <cell r="F4100">
            <v>5149.95</v>
          </cell>
          <cell r="G4100">
            <v>7.0000000000000007E-2</v>
          </cell>
          <cell r="H4100">
            <v>1</v>
          </cell>
          <cell r="I4100" t="str">
            <v>USA</v>
          </cell>
          <cell r="J4100" t="str">
            <v>Walmart</v>
          </cell>
        </row>
        <row r="4101">
          <cell r="A4101" t="str">
            <v>02-12-2024</v>
          </cell>
          <cell r="B4101" t="str">
            <v>Multivitamin</v>
          </cell>
          <cell r="C4101" t="str">
            <v>Vitamin</v>
          </cell>
          <cell r="D4101">
            <v>166</v>
          </cell>
          <cell r="E4101">
            <v>34.770000000000003</v>
          </cell>
          <cell r="F4101">
            <v>5771.82</v>
          </cell>
          <cell r="G4101">
            <v>0.24</v>
          </cell>
          <cell r="H4101">
            <v>2</v>
          </cell>
          <cell r="I4101" t="str">
            <v>Canada</v>
          </cell>
          <cell r="J4101" t="str">
            <v>Walmart</v>
          </cell>
        </row>
        <row r="4102">
          <cell r="A4102" t="str">
            <v>02-12-2024</v>
          </cell>
          <cell r="B4102" t="str">
            <v>Pre-Workout</v>
          </cell>
          <cell r="C4102" t="str">
            <v>Performance</v>
          </cell>
          <cell r="D4102">
            <v>158</v>
          </cell>
          <cell r="E4102">
            <v>11</v>
          </cell>
          <cell r="F4102">
            <v>1738</v>
          </cell>
          <cell r="G4102">
            <v>0.16</v>
          </cell>
          <cell r="H4102">
            <v>2</v>
          </cell>
          <cell r="I4102" t="str">
            <v>Canada</v>
          </cell>
          <cell r="J4102" t="str">
            <v>Walmart</v>
          </cell>
        </row>
        <row r="4103">
          <cell r="A4103" t="str">
            <v>02-12-2024</v>
          </cell>
          <cell r="B4103" t="str">
            <v>BCAA</v>
          </cell>
          <cell r="C4103" t="str">
            <v>Amino Acid</v>
          </cell>
          <cell r="D4103">
            <v>132</v>
          </cell>
          <cell r="E4103">
            <v>55.77</v>
          </cell>
          <cell r="F4103">
            <v>7361.64</v>
          </cell>
          <cell r="G4103">
            <v>0.05</v>
          </cell>
          <cell r="H4103">
            <v>1</v>
          </cell>
          <cell r="I4103" t="str">
            <v>Canada</v>
          </cell>
          <cell r="J4103" t="str">
            <v>Walmart</v>
          </cell>
        </row>
        <row r="4104">
          <cell r="A4104" t="str">
            <v>02-12-2024</v>
          </cell>
          <cell r="B4104" t="str">
            <v>Creatine</v>
          </cell>
          <cell r="C4104" t="str">
            <v>Performance</v>
          </cell>
          <cell r="D4104">
            <v>149</v>
          </cell>
          <cell r="E4104">
            <v>51.23</v>
          </cell>
          <cell r="F4104">
            <v>7633.27</v>
          </cell>
          <cell r="G4104">
            <v>0.19</v>
          </cell>
          <cell r="H4104">
            <v>1</v>
          </cell>
          <cell r="I4104" t="str">
            <v>UK</v>
          </cell>
          <cell r="J4104" t="str">
            <v>Walmart</v>
          </cell>
        </row>
        <row r="4105">
          <cell r="A4105" t="str">
            <v>02-12-2024</v>
          </cell>
          <cell r="B4105" t="str">
            <v>Zinc</v>
          </cell>
          <cell r="C4105" t="str">
            <v>Mineral</v>
          </cell>
          <cell r="D4105">
            <v>128</v>
          </cell>
          <cell r="E4105">
            <v>43.99</v>
          </cell>
          <cell r="F4105">
            <v>5630.72</v>
          </cell>
          <cell r="G4105">
            <v>0.18</v>
          </cell>
          <cell r="H4105">
            <v>4</v>
          </cell>
          <cell r="I4105" t="str">
            <v>UK</v>
          </cell>
          <cell r="J4105" t="str">
            <v>Amazon</v>
          </cell>
        </row>
        <row r="4106">
          <cell r="A4106" t="str">
            <v>02-12-2024</v>
          </cell>
          <cell r="B4106" t="str">
            <v>Collagen Peptides</v>
          </cell>
          <cell r="C4106" t="str">
            <v>Protein</v>
          </cell>
          <cell r="D4106">
            <v>148</v>
          </cell>
          <cell r="E4106">
            <v>36.96</v>
          </cell>
          <cell r="F4106">
            <v>5470.08</v>
          </cell>
          <cell r="G4106">
            <v>0.04</v>
          </cell>
          <cell r="H4106">
            <v>1</v>
          </cell>
          <cell r="I4106" t="str">
            <v>USA</v>
          </cell>
          <cell r="J4106" t="str">
            <v>Amazon</v>
          </cell>
        </row>
        <row r="4107">
          <cell r="A4107" t="str">
            <v>02-12-2024</v>
          </cell>
          <cell r="B4107" t="str">
            <v>Magnesium</v>
          </cell>
          <cell r="C4107" t="str">
            <v>Mineral</v>
          </cell>
          <cell r="D4107">
            <v>152</v>
          </cell>
          <cell r="E4107">
            <v>28.33</v>
          </cell>
          <cell r="F4107">
            <v>4306.16</v>
          </cell>
          <cell r="G4107">
            <v>0.25</v>
          </cell>
          <cell r="H4107">
            <v>1</v>
          </cell>
          <cell r="I4107" t="str">
            <v>UK</v>
          </cell>
          <cell r="J4107" t="str">
            <v>iHerb</v>
          </cell>
        </row>
        <row r="4108">
          <cell r="A4108" t="str">
            <v>02-12-2024</v>
          </cell>
          <cell r="B4108" t="str">
            <v>Ashwagandha</v>
          </cell>
          <cell r="C4108" t="str">
            <v>Herbal</v>
          </cell>
          <cell r="D4108">
            <v>140</v>
          </cell>
          <cell r="E4108">
            <v>17.079999999999998</v>
          </cell>
          <cell r="F4108">
            <v>2391.1999999999998</v>
          </cell>
          <cell r="G4108">
            <v>0.11</v>
          </cell>
          <cell r="H4108">
            <v>0</v>
          </cell>
          <cell r="I4108" t="str">
            <v>Canada</v>
          </cell>
          <cell r="J4108" t="str">
            <v>iHerb</v>
          </cell>
        </row>
        <row r="4109">
          <cell r="A4109" t="str">
            <v>02-12-2024</v>
          </cell>
          <cell r="B4109" t="str">
            <v>Melatonin</v>
          </cell>
          <cell r="C4109" t="str">
            <v>Sleep Aid</v>
          </cell>
          <cell r="D4109">
            <v>148</v>
          </cell>
          <cell r="E4109">
            <v>43.51</v>
          </cell>
          <cell r="F4109">
            <v>6439.48</v>
          </cell>
          <cell r="G4109">
            <v>0.19</v>
          </cell>
          <cell r="H4109">
            <v>0</v>
          </cell>
          <cell r="I4109" t="str">
            <v>UK</v>
          </cell>
          <cell r="J4109" t="str">
            <v>Walmart</v>
          </cell>
        </row>
        <row r="4110">
          <cell r="A4110" t="str">
            <v>02-12-2024</v>
          </cell>
          <cell r="B4110" t="str">
            <v>Biotin</v>
          </cell>
          <cell r="C4110" t="str">
            <v>Vitamin</v>
          </cell>
          <cell r="D4110">
            <v>149</v>
          </cell>
          <cell r="E4110">
            <v>54.7</v>
          </cell>
          <cell r="F4110">
            <v>8150.3</v>
          </cell>
          <cell r="G4110">
            <v>0.05</v>
          </cell>
          <cell r="H4110">
            <v>1</v>
          </cell>
          <cell r="I4110" t="str">
            <v>UK</v>
          </cell>
          <cell r="J4110" t="str">
            <v>iHerb</v>
          </cell>
        </row>
        <row r="4111">
          <cell r="A4111" t="str">
            <v>02-12-2024</v>
          </cell>
          <cell r="B4111" t="str">
            <v>Green Tea Extract</v>
          </cell>
          <cell r="C4111" t="str">
            <v>Fat Burner</v>
          </cell>
          <cell r="D4111">
            <v>153</v>
          </cell>
          <cell r="E4111">
            <v>51.51</v>
          </cell>
          <cell r="F4111">
            <v>7881.03</v>
          </cell>
          <cell r="G4111">
            <v>0.06</v>
          </cell>
          <cell r="H4111">
            <v>1</v>
          </cell>
          <cell r="I4111" t="str">
            <v>USA</v>
          </cell>
          <cell r="J4111" t="str">
            <v>Amazon</v>
          </cell>
        </row>
        <row r="4112">
          <cell r="A4112" t="str">
            <v>02-12-2024</v>
          </cell>
          <cell r="B4112" t="str">
            <v>Iron Supplement</v>
          </cell>
          <cell r="C4112" t="str">
            <v>Mineral</v>
          </cell>
          <cell r="D4112">
            <v>161</v>
          </cell>
          <cell r="E4112">
            <v>30.11</v>
          </cell>
          <cell r="F4112">
            <v>4847.71</v>
          </cell>
          <cell r="G4112">
            <v>0.01</v>
          </cell>
          <cell r="H4112">
            <v>2</v>
          </cell>
          <cell r="I4112" t="str">
            <v>USA</v>
          </cell>
          <cell r="J4112" t="str">
            <v>Walmart</v>
          </cell>
        </row>
        <row r="4113">
          <cell r="A4113" t="str">
            <v>02-12-2024</v>
          </cell>
          <cell r="B4113" t="str">
            <v>Electrolyte Powder</v>
          </cell>
          <cell r="C4113" t="str">
            <v>Hydration</v>
          </cell>
          <cell r="D4113">
            <v>165</v>
          </cell>
          <cell r="E4113">
            <v>21.58</v>
          </cell>
          <cell r="F4113">
            <v>3560.7</v>
          </cell>
          <cell r="G4113">
            <v>0</v>
          </cell>
          <cell r="H4113">
            <v>2</v>
          </cell>
          <cell r="I4113" t="str">
            <v>USA</v>
          </cell>
          <cell r="J4113" t="str">
            <v>Amazon</v>
          </cell>
        </row>
        <row r="4114">
          <cell r="A4114" t="str">
            <v>09-12-2024</v>
          </cell>
          <cell r="B4114" t="str">
            <v>Whey Protein</v>
          </cell>
          <cell r="C4114" t="str">
            <v>Protein</v>
          </cell>
          <cell r="D4114">
            <v>150</v>
          </cell>
          <cell r="E4114">
            <v>44.73</v>
          </cell>
          <cell r="F4114">
            <v>6709.5</v>
          </cell>
          <cell r="G4114">
            <v>0.25</v>
          </cell>
          <cell r="H4114">
            <v>1</v>
          </cell>
          <cell r="I4114" t="str">
            <v>UK</v>
          </cell>
          <cell r="J4114" t="str">
            <v>iHerb</v>
          </cell>
        </row>
        <row r="4115">
          <cell r="A4115" t="str">
            <v>09-12-2024</v>
          </cell>
          <cell r="B4115" t="str">
            <v>Vitamin C</v>
          </cell>
          <cell r="C4115" t="str">
            <v>Vitamin</v>
          </cell>
          <cell r="D4115">
            <v>147</v>
          </cell>
          <cell r="E4115">
            <v>33.840000000000003</v>
          </cell>
          <cell r="F4115">
            <v>4974.4799999999996</v>
          </cell>
          <cell r="G4115">
            <v>0.22</v>
          </cell>
          <cell r="H4115">
            <v>0</v>
          </cell>
          <cell r="I4115" t="str">
            <v>Canada</v>
          </cell>
          <cell r="J4115" t="str">
            <v>iHerb</v>
          </cell>
        </row>
        <row r="4116">
          <cell r="A4116" t="str">
            <v>09-12-2024</v>
          </cell>
          <cell r="B4116" t="str">
            <v>Fish Oil</v>
          </cell>
          <cell r="C4116" t="str">
            <v>Omega</v>
          </cell>
          <cell r="D4116">
            <v>153</v>
          </cell>
          <cell r="E4116">
            <v>21.15</v>
          </cell>
          <cell r="F4116">
            <v>3235.95</v>
          </cell>
          <cell r="G4116">
            <v>7.0000000000000007E-2</v>
          </cell>
          <cell r="H4116">
            <v>0</v>
          </cell>
          <cell r="I4116" t="str">
            <v>Canada</v>
          </cell>
          <cell r="J4116" t="str">
            <v>Walmart</v>
          </cell>
        </row>
        <row r="4117">
          <cell r="A4117" t="str">
            <v>09-12-2024</v>
          </cell>
          <cell r="B4117" t="str">
            <v>Multivitamin</v>
          </cell>
          <cell r="C4117" t="str">
            <v>Vitamin</v>
          </cell>
          <cell r="D4117">
            <v>149</v>
          </cell>
          <cell r="E4117">
            <v>45.92</v>
          </cell>
          <cell r="F4117">
            <v>6842.08</v>
          </cell>
          <cell r="G4117">
            <v>0.09</v>
          </cell>
          <cell r="H4117">
            <v>0</v>
          </cell>
          <cell r="I4117" t="str">
            <v>Canada</v>
          </cell>
          <cell r="J4117" t="str">
            <v>iHerb</v>
          </cell>
        </row>
        <row r="4118">
          <cell r="A4118" t="str">
            <v>09-12-2024</v>
          </cell>
          <cell r="B4118" t="str">
            <v>Pre-Workout</v>
          </cell>
          <cell r="C4118" t="str">
            <v>Performance</v>
          </cell>
          <cell r="D4118">
            <v>157</v>
          </cell>
          <cell r="E4118">
            <v>48.85</v>
          </cell>
          <cell r="F4118">
            <v>7669.45</v>
          </cell>
          <cell r="G4118">
            <v>0.18</v>
          </cell>
          <cell r="H4118">
            <v>3</v>
          </cell>
          <cell r="I4118" t="str">
            <v>Canada</v>
          </cell>
          <cell r="J4118" t="str">
            <v>Amazon</v>
          </cell>
        </row>
        <row r="4119">
          <cell r="A4119" t="str">
            <v>09-12-2024</v>
          </cell>
          <cell r="B4119" t="str">
            <v>BCAA</v>
          </cell>
          <cell r="C4119" t="str">
            <v>Amino Acid</v>
          </cell>
          <cell r="D4119">
            <v>138</v>
          </cell>
          <cell r="E4119">
            <v>25.05</v>
          </cell>
          <cell r="F4119">
            <v>3456.9</v>
          </cell>
          <cell r="G4119">
            <v>0.24</v>
          </cell>
          <cell r="H4119">
            <v>1</v>
          </cell>
          <cell r="I4119" t="str">
            <v>USA</v>
          </cell>
          <cell r="J4119" t="str">
            <v>Amazon</v>
          </cell>
        </row>
        <row r="4120">
          <cell r="A4120" t="str">
            <v>09-12-2024</v>
          </cell>
          <cell r="B4120" t="str">
            <v>Creatine</v>
          </cell>
          <cell r="C4120" t="str">
            <v>Performance</v>
          </cell>
          <cell r="D4120">
            <v>130</v>
          </cell>
          <cell r="E4120">
            <v>32.21</v>
          </cell>
          <cell r="F4120">
            <v>4187.3</v>
          </cell>
          <cell r="G4120">
            <v>0.25</v>
          </cell>
          <cell r="H4120">
            <v>1</v>
          </cell>
          <cell r="I4120" t="str">
            <v>UK</v>
          </cell>
          <cell r="J4120" t="str">
            <v>iHerb</v>
          </cell>
        </row>
        <row r="4121">
          <cell r="A4121" t="str">
            <v>09-12-2024</v>
          </cell>
          <cell r="B4121" t="str">
            <v>Zinc</v>
          </cell>
          <cell r="C4121" t="str">
            <v>Mineral</v>
          </cell>
          <cell r="D4121">
            <v>152</v>
          </cell>
          <cell r="E4121">
            <v>58.41</v>
          </cell>
          <cell r="F4121">
            <v>8878.32</v>
          </cell>
          <cell r="G4121">
            <v>0.2</v>
          </cell>
          <cell r="H4121">
            <v>1</v>
          </cell>
          <cell r="I4121" t="str">
            <v>Canada</v>
          </cell>
          <cell r="J4121" t="str">
            <v>Amazon</v>
          </cell>
        </row>
        <row r="4122">
          <cell r="A4122" t="str">
            <v>09-12-2024</v>
          </cell>
          <cell r="B4122" t="str">
            <v>Collagen Peptides</v>
          </cell>
          <cell r="C4122" t="str">
            <v>Protein</v>
          </cell>
          <cell r="D4122">
            <v>143</v>
          </cell>
          <cell r="E4122">
            <v>42.22</v>
          </cell>
          <cell r="F4122">
            <v>6037.46</v>
          </cell>
          <cell r="G4122">
            <v>0.05</v>
          </cell>
          <cell r="H4122">
            <v>1</v>
          </cell>
          <cell r="I4122" t="str">
            <v>USA</v>
          </cell>
          <cell r="J4122" t="str">
            <v>Amazon</v>
          </cell>
        </row>
        <row r="4123">
          <cell r="A4123" t="str">
            <v>09-12-2024</v>
          </cell>
          <cell r="B4123" t="str">
            <v>Magnesium</v>
          </cell>
          <cell r="C4123" t="str">
            <v>Mineral</v>
          </cell>
          <cell r="D4123">
            <v>167</v>
          </cell>
          <cell r="E4123">
            <v>38.33</v>
          </cell>
          <cell r="F4123">
            <v>6401.11</v>
          </cell>
          <cell r="G4123">
            <v>0.1</v>
          </cell>
          <cell r="H4123">
            <v>0</v>
          </cell>
          <cell r="I4123" t="str">
            <v>USA</v>
          </cell>
          <cell r="J4123" t="str">
            <v>Amazon</v>
          </cell>
        </row>
        <row r="4124">
          <cell r="A4124" t="str">
            <v>09-12-2024</v>
          </cell>
          <cell r="B4124" t="str">
            <v>Ashwagandha</v>
          </cell>
          <cell r="C4124" t="str">
            <v>Herbal</v>
          </cell>
          <cell r="D4124">
            <v>145</v>
          </cell>
          <cell r="E4124">
            <v>54.79</v>
          </cell>
          <cell r="F4124">
            <v>7944.55</v>
          </cell>
          <cell r="G4124">
            <v>0.08</v>
          </cell>
          <cell r="H4124">
            <v>1</v>
          </cell>
          <cell r="I4124" t="str">
            <v>UK</v>
          </cell>
          <cell r="J4124" t="str">
            <v>Amazon</v>
          </cell>
        </row>
        <row r="4125">
          <cell r="A4125" t="str">
            <v>09-12-2024</v>
          </cell>
          <cell r="B4125" t="str">
            <v>Melatonin</v>
          </cell>
          <cell r="C4125" t="str">
            <v>Sleep Aid</v>
          </cell>
          <cell r="D4125">
            <v>161</v>
          </cell>
          <cell r="E4125">
            <v>49.91</v>
          </cell>
          <cell r="F4125">
            <v>8035.51</v>
          </cell>
          <cell r="G4125">
            <v>0.24</v>
          </cell>
          <cell r="H4125">
            <v>3</v>
          </cell>
          <cell r="I4125" t="str">
            <v>Canada</v>
          </cell>
          <cell r="J4125" t="str">
            <v>Amazon</v>
          </cell>
        </row>
        <row r="4126">
          <cell r="A4126" t="str">
            <v>09-12-2024</v>
          </cell>
          <cell r="B4126" t="str">
            <v>Biotin</v>
          </cell>
          <cell r="C4126" t="str">
            <v>Vitamin</v>
          </cell>
          <cell r="D4126">
            <v>147</v>
          </cell>
          <cell r="E4126">
            <v>35.43</v>
          </cell>
          <cell r="F4126">
            <v>5208.21</v>
          </cell>
          <cell r="G4126">
            <v>7.0000000000000007E-2</v>
          </cell>
          <cell r="H4126">
            <v>1</v>
          </cell>
          <cell r="I4126" t="str">
            <v>UK</v>
          </cell>
          <cell r="J4126" t="str">
            <v>Walmart</v>
          </cell>
        </row>
        <row r="4127">
          <cell r="A4127" t="str">
            <v>09-12-2024</v>
          </cell>
          <cell r="B4127" t="str">
            <v>Green Tea Extract</v>
          </cell>
          <cell r="C4127" t="str">
            <v>Fat Burner</v>
          </cell>
          <cell r="D4127">
            <v>139</v>
          </cell>
          <cell r="E4127">
            <v>19.22</v>
          </cell>
          <cell r="F4127">
            <v>2671.58</v>
          </cell>
          <cell r="G4127">
            <v>0.02</v>
          </cell>
          <cell r="H4127">
            <v>3</v>
          </cell>
          <cell r="I4127" t="str">
            <v>UK</v>
          </cell>
          <cell r="J4127" t="str">
            <v>Walmart</v>
          </cell>
        </row>
        <row r="4128">
          <cell r="A4128" t="str">
            <v>09-12-2024</v>
          </cell>
          <cell r="B4128" t="str">
            <v>Iron Supplement</v>
          </cell>
          <cell r="C4128" t="str">
            <v>Mineral</v>
          </cell>
          <cell r="D4128">
            <v>173</v>
          </cell>
          <cell r="E4128">
            <v>52.02</v>
          </cell>
          <cell r="F4128">
            <v>8999.4599999999991</v>
          </cell>
          <cell r="G4128">
            <v>0.05</v>
          </cell>
          <cell r="H4128">
            <v>3</v>
          </cell>
          <cell r="I4128" t="str">
            <v>USA</v>
          </cell>
          <cell r="J4128" t="str">
            <v>iHerb</v>
          </cell>
        </row>
        <row r="4129">
          <cell r="A4129" t="str">
            <v>09-12-2024</v>
          </cell>
          <cell r="B4129" t="str">
            <v>Electrolyte Powder</v>
          </cell>
          <cell r="C4129" t="str">
            <v>Hydration</v>
          </cell>
          <cell r="D4129">
            <v>150</v>
          </cell>
          <cell r="E4129">
            <v>17.07</v>
          </cell>
          <cell r="F4129">
            <v>2560.5</v>
          </cell>
          <cell r="G4129">
            <v>0.08</v>
          </cell>
          <cell r="H4129">
            <v>0</v>
          </cell>
          <cell r="I4129" t="str">
            <v>USA</v>
          </cell>
          <cell r="J4129" t="str">
            <v>Amazon</v>
          </cell>
        </row>
        <row r="4130">
          <cell r="A4130" t="str">
            <v>16-12-2024</v>
          </cell>
          <cell r="B4130" t="str">
            <v>Whey Protein</v>
          </cell>
          <cell r="C4130" t="str">
            <v>Protein</v>
          </cell>
          <cell r="D4130">
            <v>143</v>
          </cell>
          <cell r="E4130">
            <v>21.8</v>
          </cell>
          <cell r="F4130">
            <v>3117.4</v>
          </cell>
          <cell r="G4130">
            <v>7.0000000000000007E-2</v>
          </cell>
          <cell r="H4130">
            <v>5</v>
          </cell>
          <cell r="I4130" t="str">
            <v>USA</v>
          </cell>
          <cell r="J4130" t="str">
            <v>iHerb</v>
          </cell>
        </row>
        <row r="4131">
          <cell r="A4131" t="str">
            <v>16-12-2024</v>
          </cell>
          <cell r="B4131" t="str">
            <v>Vitamin C</v>
          </cell>
          <cell r="C4131" t="str">
            <v>Vitamin</v>
          </cell>
          <cell r="D4131">
            <v>140</v>
          </cell>
          <cell r="E4131">
            <v>44.34</v>
          </cell>
          <cell r="F4131">
            <v>6207.6</v>
          </cell>
          <cell r="G4131">
            <v>0.21</v>
          </cell>
          <cell r="H4131">
            <v>1</v>
          </cell>
          <cell r="I4131" t="str">
            <v>UK</v>
          </cell>
          <cell r="J4131" t="str">
            <v>Walmart</v>
          </cell>
        </row>
        <row r="4132">
          <cell r="A4132" t="str">
            <v>16-12-2024</v>
          </cell>
          <cell r="B4132" t="str">
            <v>Fish Oil</v>
          </cell>
          <cell r="C4132" t="str">
            <v>Omega</v>
          </cell>
          <cell r="D4132">
            <v>166</v>
          </cell>
          <cell r="E4132">
            <v>19.850000000000001</v>
          </cell>
          <cell r="F4132">
            <v>3295.1</v>
          </cell>
          <cell r="G4132">
            <v>0.08</v>
          </cell>
          <cell r="H4132">
            <v>2</v>
          </cell>
          <cell r="I4132" t="str">
            <v>USA</v>
          </cell>
          <cell r="J4132" t="str">
            <v>Walmart</v>
          </cell>
        </row>
        <row r="4133">
          <cell r="A4133" t="str">
            <v>16-12-2024</v>
          </cell>
          <cell r="B4133" t="str">
            <v>Multivitamin</v>
          </cell>
          <cell r="C4133" t="str">
            <v>Vitamin</v>
          </cell>
          <cell r="D4133">
            <v>145</v>
          </cell>
          <cell r="E4133">
            <v>21.85</v>
          </cell>
          <cell r="F4133">
            <v>3168.25</v>
          </cell>
          <cell r="G4133">
            <v>0.18</v>
          </cell>
          <cell r="H4133">
            <v>1</v>
          </cell>
          <cell r="I4133" t="str">
            <v>USA</v>
          </cell>
          <cell r="J4133" t="str">
            <v>iHerb</v>
          </cell>
        </row>
        <row r="4134">
          <cell r="A4134" t="str">
            <v>16-12-2024</v>
          </cell>
          <cell r="B4134" t="str">
            <v>Pre-Workout</v>
          </cell>
          <cell r="C4134" t="str">
            <v>Performance</v>
          </cell>
          <cell r="D4134">
            <v>148</v>
          </cell>
          <cell r="E4134">
            <v>44.31</v>
          </cell>
          <cell r="F4134">
            <v>6557.88</v>
          </cell>
          <cell r="G4134">
            <v>0.06</v>
          </cell>
          <cell r="H4134">
            <v>3</v>
          </cell>
          <cell r="I4134" t="str">
            <v>Canada</v>
          </cell>
          <cell r="J4134" t="str">
            <v>Amazon</v>
          </cell>
        </row>
        <row r="4135">
          <cell r="A4135" t="str">
            <v>16-12-2024</v>
          </cell>
          <cell r="B4135" t="str">
            <v>BCAA</v>
          </cell>
          <cell r="C4135" t="str">
            <v>Amino Acid</v>
          </cell>
          <cell r="D4135">
            <v>158</v>
          </cell>
          <cell r="E4135">
            <v>58.75</v>
          </cell>
          <cell r="F4135">
            <v>9282.5</v>
          </cell>
          <cell r="G4135">
            <v>0.17</v>
          </cell>
          <cell r="H4135">
            <v>1</v>
          </cell>
          <cell r="I4135" t="str">
            <v>USA</v>
          </cell>
          <cell r="J4135" t="str">
            <v>iHerb</v>
          </cell>
        </row>
        <row r="4136">
          <cell r="A4136" t="str">
            <v>16-12-2024</v>
          </cell>
          <cell r="B4136" t="str">
            <v>Creatine</v>
          </cell>
          <cell r="C4136" t="str">
            <v>Performance</v>
          </cell>
          <cell r="D4136">
            <v>136</v>
          </cell>
          <cell r="E4136">
            <v>18.239999999999998</v>
          </cell>
          <cell r="F4136">
            <v>2480.64</v>
          </cell>
          <cell r="G4136">
            <v>0.11</v>
          </cell>
          <cell r="H4136">
            <v>1</v>
          </cell>
          <cell r="I4136" t="str">
            <v>USA</v>
          </cell>
          <cell r="J4136" t="str">
            <v>Amazon</v>
          </cell>
        </row>
        <row r="4137">
          <cell r="A4137" t="str">
            <v>16-12-2024</v>
          </cell>
          <cell r="B4137" t="str">
            <v>Zinc</v>
          </cell>
          <cell r="C4137" t="str">
            <v>Mineral</v>
          </cell>
          <cell r="D4137">
            <v>158</v>
          </cell>
          <cell r="E4137">
            <v>51.09</v>
          </cell>
          <cell r="F4137">
            <v>8072.22</v>
          </cell>
          <cell r="G4137">
            <v>0.08</v>
          </cell>
          <cell r="H4137">
            <v>1</v>
          </cell>
          <cell r="I4137" t="str">
            <v>Canada</v>
          </cell>
          <cell r="J4137" t="str">
            <v>Amazon</v>
          </cell>
        </row>
        <row r="4138">
          <cell r="A4138" t="str">
            <v>16-12-2024</v>
          </cell>
          <cell r="B4138" t="str">
            <v>Collagen Peptides</v>
          </cell>
          <cell r="C4138" t="str">
            <v>Protein</v>
          </cell>
          <cell r="D4138">
            <v>160</v>
          </cell>
          <cell r="E4138">
            <v>25.4</v>
          </cell>
          <cell r="F4138">
            <v>4064</v>
          </cell>
          <cell r="G4138">
            <v>0.1</v>
          </cell>
          <cell r="H4138">
            <v>1</v>
          </cell>
          <cell r="I4138" t="str">
            <v>USA</v>
          </cell>
          <cell r="J4138" t="str">
            <v>iHerb</v>
          </cell>
        </row>
        <row r="4139">
          <cell r="A4139" t="str">
            <v>16-12-2024</v>
          </cell>
          <cell r="B4139" t="str">
            <v>Magnesium</v>
          </cell>
          <cell r="C4139" t="str">
            <v>Mineral</v>
          </cell>
          <cell r="D4139">
            <v>153</v>
          </cell>
          <cell r="E4139">
            <v>46.28</v>
          </cell>
          <cell r="F4139">
            <v>7080.84</v>
          </cell>
          <cell r="G4139">
            <v>0.14000000000000001</v>
          </cell>
          <cell r="H4139">
            <v>0</v>
          </cell>
          <cell r="I4139" t="str">
            <v>UK</v>
          </cell>
          <cell r="J4139" t="str">
            <v>iHerb</v>
          </cell>
        </row>
        <row r="4140">
          <cell r="A4140" t="str">
            <v>16-12-2024</v>
          </cell>
          <cell r="B4140" t="str">
            <v>Ashwagandha</v>
          </cell>
          <cell r="C4140" t="str">
            <v>Herbal</v>
          </cell>
          <cell r="D4140">
            <v>143</v>
          </cell>
          <cell r="E4140">
            <v>29.52</v>
          </cell>
          <cell r="F4140">
            <v>4221.3599999999997</v>
          </cell>
          <cell r="G4140">
            <v>0.13</v>
          </cell>
          <cell r="H4140">
            <v>1</v>
          </cell>
          <cell r="I4140" t="str">
            <v>UK</v>
          </cell>
          <cell r="J4140" t="str">
            <v>Walmart</v>
          </cell>
        </row>
        <row r="4141">
          <cell r="A4141" t="str">
            <v>16-12-2024</v>
          </cell>
          <cell r="B4141" t="str">
            <v>Melatonin</v>
          </cell>
          <cell r="C4141" t="str">
            <v>Sleep Aid</v>
          </cell>
          <cell r="D4141">
            <v>160</v>
          </cell>
          <cell r="E4141">
            <v>57.32</v>
          </cell>
          <cell r="F4141">
            <v>9171.2000000000007</v>
          </cell>
          <cell r="G4141">
            <v>0.09</v>
          </cell>
          <cell r="H4141">
            <v>1</v>
          </cell>
          <cell r="I4141" t="str">
            <v>USA</v>
          </cell>
          <cell r="J4141" t="str">
            <v>iHerb</v>
          </cell>
        </row>
        <row r="4142">
          <cell r="A4142" t="str">
            <v>16-12-2024</v>
          </cell>
          <cell r="B4142" t="str">
            <v>Biotin</v>
          </cell>
          <cell r="C4142" t="str">
            <v>Vitamin</v>
          </cell>
          <cell r="D4142">
            <v>157</v>
          </cell>
          <cell r="E4142">
            <v>28.92</v>
          </cell>
          <cell r="F4142">
            <v>4540.4399999999996</v>
          </cell>
          <cell r="G4142">
            <v>0.19</v>
          </cell>
          <cell r="H4142">
            <v>3</v>
          </cell>
          <cell r="I4142" t="str">
            <v>Canada</v>
          </cell>
          <cell r="J4142" t="str">
            <v>Walmart</v>
          </cell>
        </row>
        <row r="4143">
          <cell r="A4143" t="str">
            <v>16-12-2024</v>
          </cell>
          <cell r="B4143" t="str">
            <v>Green Tea Extract</v>
          </cell>
          <cell r="C4143" t="str">
            <v>Fat Burner</v>
          </cell>
          <cell r="D4143">
            <v>160</v>
          </cell>
          <cell r="E4143">
            <v>51.37</v>
          </cell>
          <cell r="F4143">
            <v>8219.2000000000007</v>
          </cell>
          <cell r="G4143">
            <v>0.19</v>
          </cell>
          <cell r="H4143">
            <v>2</v>
          </cell>
          <cell r="I4143" t="str">
            <v>USA</v>
          </cell>
          <cell r="J4143" t="str">
            <v>iHerb</v>
          </cell>
        </row>
        <row r="4144">
          <cell r="A4144" t="str">
            <v>16-12-2024</v>
          </cell>
          <cell r="B4144" t="str">
            <v>Iron Supplement</v>
          </cell>
          <cell r="C4144" t="str">
            <v>Mineral</v>
          </cell>
          <cell r="D4144">
            <v>147</v>
          </cell>
          <cell r="E4144">
            <v>33.04</v>
          </cell>
          <cell r="F4144">
            <v>4856.88</v>
          </cell>
          <cell r="G4144">
            <v>0.01</v>
          </cell>
          <cell r="H4144">
            <v>1</v>
          </cell>
          <cell r="I4144" t="str">
            <v>Canada</v>
          </cell>
          <cell r="J4144" t="str">
            <v>Amazon</v>
          </cell>
        </row>
        <row r="4145">
          <cell r="A4145" t="str">
            <v>16-12-2024</v>
          </cell>
          <cell r="B4145" t="str">
            <v>Electrolyte Powder</v>
          </cell>
          <cell r="C4145" t="str">
            <v>Hydration</v>
          </cell>
          <cell r="D4145">
            <v>153</v>
          </cell>
          <cell r="E4145">
            <v>44.27</v>
          </cell>
          <cell r="F4145">
            <v>6773.31</v>
          </cell>
          <cell r="G4145">
            <v>0.21</v>
          </cell>
          <cell r="H4145">
            <v>1</v>
          </cell>
          <cell r="I4145" t="str">
            <v>Canada</v>
          </cell>
          <cell r="J4145" t="str">
            <v>Amazon</v>
          </cell>
        </row>
        <row r="4146">
          <cell r="A4146" t="str">
            <v>23-12-2024</v>
          </cell>
          <cell r="B4146" t="str">
            <v>Whey Protein</v>
          </cell>
          <cell r="C4146" t="str">
            <v>Protein</v>
          </cell>
          <cell r="D4146">
            <v>169</v>
          </cell>
          <cell r="E4146">
            <v>52.01</v>
          </cell>
          <cell r="F4146">
            <v>8789.69</v>
          </cell>
          <cell r="G4146">
            <v>0.21</v>
          </cell>
          <cell r="H4146">
            <v>1</v>
          </cell>
          <cell r="I4146" t="str">
            <v>USA</v>
          </cell>
          <cell r="J4146" t="str">
            <v>Amazon</v>
          </cell>
        </row>
        <row r="4147">
          <cell r="A4147" t="str">
            <v>23-12-2024</v>
          </cell>
          <cell r="B4147" t="str">
            <v>Vitamin C</v>
          </cell>
          <cell r="C4147" t="str">
            <v>Vitamin</v>
          </cell>
          <cell r="D4147">
            <v>143</v>
          </cell>
          <cell r="E4147">
            <v>50.57</v>
          </cell>
          <cell r="F4147">
            <v>7231.51</v>
          </cell>
          <cell r="G4147">
            <v>0.21</v>
          </cell>
          <cell r="H4147">
            <v>1</v>
          </cell>
          <cell r="I4147" t="str">
            <v>Canada</v>
          </cell>
          <cell r="J4147" t="str">
            <v>Walmart</v>
          </cell>
        </row>
        <row r="4148">
          <cell r="A4148" t="str">
            <v>23-12-2024</v>
          </cell>
          <cell r="B4148" t="str">
            <v>Fish Oil</v>
          </cell>
          <cell r="C4148" t="str">
            <v>Omega</v>
          </cell>
          <cell r="D4148">
            <v>153</v>
          </cell>
          <cell r="E4148">
            <v>33.44</v>
          </cell>
          <cell r="F4148">
            <v>5116.32</v>
          </cell>
          <cell r="G4148">
            <v>0.25</v>
          </cell>
          <cell r="H4148">
            <v>0</v>
          </cell>
          <cell r="I4148" t="str">
            <v>USA</v>
          </cell>
          <cell r="J4148" t="str">
            <v>Amazon</v>
          </cell>
        </row>
        <row r="4149">
          <cell r="A4149" t="str">
            <v>23-12-2024</v>
          </cell>
          <cell r="B4149" t="str">
            <v>Multivitamin</v>
          </cell>
          <cell r="C4149" t="str">
            <v>Vitamin</v>
          </cell>
          <cell r="D4149">
            <v>139</v>
          </cell>
          <cell r="E4149">
            <v>46.24</v>
          </cell>
          <cell r="F4149">
            <v>6427.36</v>
          </cell>
          <cell r="G4149">
            <v>0.16</v>
          </cell>
          <cell r="H4149">
            <v>0</v>
          </cell>
          <cell r="I4149" t="str">
            <v>USA</v>
          </cell>
          <cell r="J4149" t="str">
            <v>iHerb</v>
          </cell>
        </row>
        <row r="4150">
          <cell r="A4150" t="str">
            <v>23-12-2024</v>
          </cell>
          <cell r="B4150" t="str">
            <v>Pre-Workout</v>
          </cell>
          <cell r="C4150" t="str">
            <v>Performance</v>
          </cell>
          <cell r="D4150">
            <v>161</v>
          </cell>
          <cell r="E4150">
            <v>16.75</v>
          </cell>
          <cell r="F4150">
            <v>2696.75</v>
          </cell>
          <cell r="G4150">
            <v>0.11</v>
          </cell>
          <cell r="H4150">
            <v>0</v>
          </cell>
          <cell r="I4150" t="str">
            <v>Canada</v>
          </cell>
          <cell r="J4150" t="str">
            <v>iHerb</v>
          </cell>
        </row>
        <row r="4151">
          <cell r="A4151" t="str">
            <v>23-12-2024</v>
          </cell>
          <cell r="B4151" t="str">
            <v>BCAA</v>
          </cell>
          <cell r="C4151" t="str">
            <v>Amino Acid</v>
          </cell>
          <cell r="D4151">
            <v>141</v>
          </cell>
          <cell r="E4151">
            <v>52.59</v>
          </cell>
          <cell r="F4151">
            <v>7415.19</v>
          </cell>
          <cell r="G4151">
            <v>0.2</v>
          </cell>
          <cell r="H4151">
            <v>1</v>
          </cell>
          <cell r="I4151" t="str">
            <v>UK</v>
          </cell>
          <cell r="J4151" t="str">
            <v>Amazon</v>
          </cell>
        </row>
        <row r="4152">
          <cell r="A4152" t="str">
            <v>23-12-2024</v>
          </cell>
          <cell r="B4152" t="str">
            <v>Creatine</v>
          </cell>
          <cell r="C4152" t="str">
            <v>Performance</v>
          </cell>
          <cell r="D4152">
            <v>158</v>
          </cell>
          <cell r="E4152">
            <v>27.04</v>
          </cell>
          <cell r="F4152">
            <v>4272.32</v>
          </cell>
          <cell r="G4152">
            <v>0.18</v>
          </cell>
          <cell r="H4152">
            <v>2</v>
          </cell>
          <cell r="I4152" t="str">
            <v>USA</v>
          </cell>
          <cell r="J4152" t="str">
            <v>iHerb</v>
          </cell>
        </row>
        <row r="4153">
          <cell r="A4153" t="str">
            <v>23-12-2024</v>
          </cell>
          <cell r="B4153" t="str">
            <v>Zinc</v>
          </cell>
          <cell r="C4153" t="str">
            <v>Mineral</v>
          </cell>
          <cell r="D4153">
            <v>154</v>
          </cell>
          <cell r="E4153">
            <v>44.15</v>
          </cell>
          <cell r="F4153">
            <v>6799.1</v>
          </cell>
          <cell r="G4153">
            <v>0.1</v>
          </cell>
          <cell r="H4153">
            <v>3</v>
          </cell>
          <cell r="I4153" t="str">
            <v>USA</v>
          </cell>
          <cell r="J4153" t="str">
            <v>iHerb</v>
          </cell>
        </row>
        <row r="4154">
          <cell r="A4154" t="str">
            <v>23-12-2024</v>
          </cell>
          <cell r="B4154" t="str">
            <v>Collagen Peptides</v>
          </cell>
          <cell r="C4154" t="str">
            <v>Protein</v>
          </cell>
          <cell r="D4154">
            <v>136</v>
          </cell>
          <cell r="E4154">
            <v>27.11</v>
          </cell>
          <cell r="F4154">
            <v>3686.96</v>
          </cell>
          <cell r="G4154">
            <v>0.03</v>
          </cell>
          <cell r="H4154">
            <v>1</v>
          </cell>
          <cell r="I4154" t="str">
            <v>Canada</v>
          </cell>
          <cell r="J4154" t="str">
            <v>Walmart</v>
          </cell>
        </row>
        <row r="4155">
          <cell r="A4155" t="str">
            <v>23-12-2024</v>
          </cell>
          <cell r="B4155" t="str">
            <v>Magnesium</v>
          </cell>
          <cell r="C4155" t="str">
            <v>Mineral</v>
          </cell>
          <cell r="D4155">
            <v>145</v>
          </cell>
          <cell r="E4155">
            <v>31.54</v>
          </cell>
          <cell r="F4155">
            <v>4573.3</v>
          </cell>
          <cell r="G4155">
            <v>0.17</v>
          </cell>
          <cell r="H4155">
            <v>1</v>
          </cell>
          <cell r="I4155" t="str">
            <v>USA</v>
          </cell>
          <cell r="J4155" t="str">
            <v>Walmart</v>
          </cell>
        </row>
        <row r="4156">
          <cell r="A4156" t="str">
            <v>23-12-2024</v>
          </cell>
          <cell r="B4156" t="str">
            <v>Ashwagandha</v>
          </cell>
          <cell r="C4156" t="str">
            <v>Herbal</v>
          </cell>
          <cell r="D4156">
            <v>139</v>
          </cell>
          <cell r="E4156">
            <v>40.340000000000003</v>
          </cell>
          <cell r="F4156">
            <v>5607.26</v>
          </cell>
          <cell r="G4156">
            <v>0.16</v>
          </cell>
          <cell r="H4156">
            <v>1</v>
          </cell>
          <cell r="I4156" t="str">
            <v>Canada</v>
          </cell>
          <cell r="J4156" t="str">
            <v>Walmart</v>
          </cell>
        </row>
        <row r="4157">
          <cell r="A4157" t="str">
            <v>23-12-2024</v>
          </cell>
          <cell r="B4157" t="str">
            <v>Melatonin</v>
          </cell>
          <cell r="C4157" t="str">
            <v>Sleep Aid</v>
          </cell>
          <cell r="D4157">
            <v>173</v>
          </cell>
          <cell r="E4157">
            <v>13.07</v>
          </cell>
          <cell r="F4157">
            <v>2261.11</v>
          </cell>
          <cell r="G4157">
            <v>0.08</v>
          </cell>
          <cell r="H4157">
            <v>0</v>
          </cell>
          <cell r="I4157" t="str">
            <v>Canada</v>
          </cell>
          <cell r="J4157" t="str">
            <v>Amazon</v>
          </cell>
        </row>
        <row r="4158">
          <cell r="A4158" t="str">
            <v>23-12-2024</v>
          </cell>
          <cell r="B4158" t="str">
            <v>Biotin</v>
          </cell>
          <cell r="C4158" t="str">
            <v>Vitamin</v>
          </cell>
          <cell r="D4158">
            <v>151</v>
          </cell>
          <cell r="E4158">
            <v>38.75</v>
          </cell>
          <cell r="F4158">
            <v>5851.25</v>
          </cell>
          <cell r="G4158">
            <v>0.19</v>
          </cell>
          <cell r="H4158">
            <v>4</v>
          </cell>
          <cell r="I4158" t="str">
            <v>USA</v>
          </cell>
          <cell r="J4158" t="str">
            <v>Amazon</v>
          </cell>
        </row>
        <row r="4159">
          <cell r="A4159" t="str">
            <v>23-12-2024</v>
          </cell>
          <cell r="B4159" t="str">
            <v>Green Tea Extract</v>
          </cell>
          <cell r="C4159" t="str">
            <v>Fat Burner</v>
          </cell>
          <cell r="D4159">
            <v>167</v>
          </cell>
          <cell r="E4159">
            <v>26.93</v>
          </cell>
          <cell r="F4159">
            <v>4497.3100000000004</v>
          </cell>
          <cell r="G4159">
            <v>0.06</v>
          </cell>
          <cell r="H4159">
            <v>0</v>
          </cell>
          <cell r="I4159" t="str">
            <v>Canada</v>
          </cell>
          <cell r="J4159" t="str">
            <v>iHerb</v>
          </cell>
        </row>
        <row r="4160">
          <cell r="A4160" t="str">
            <v>23-12-2024</v>
          </cell>
          <cell r="B4160" t="str">
            <v>Iron Supplement</v>
          </cell>
          <cell r="C4160" t="str">
            <v>Mineral</v>
          </cell>
          <cell r="D4160">
            <v>152</v>
          </cell>
          <cell r="E4160">
            <v>21.36</v>
          </cell>
          <cell r="F4160">
            <v>3246.72</v>
          </cell>
          <cell r="G4160">
            <v>0.18</v>
          </cell>
          <cell r="H4160">
            <v>2</v>
          </cell>
          <cell r="I4160" t="str">
            <v>UK</v>
          </cell>
          <cell r="J4160" t="str">
            <v>Amazon</v>
          </cell>
        </row>
        <row r="4161">
          <cell r="A4161" t="str">
            <v>23-12-2024</v>
          </cell>
          <cell r="B4161" t="str">
            <v>Electrolyte Powder</v>
          </cell>
          <cell r="C4161" t="str">
            <v>Hydration</v>
          </cell>
          <cell r="D4161">
            <v>168</v>
          </cell>
          <cell r="E4161">
            <v>27.38</v>
          </cell>
          <cell r="F4161">
            <v>4599.84</v>
          </cell>
          <cell r="G4161">
            <v>0.06</v>
          </cell>
          <cell r="H4161">
            <v>1</v>
          </cell>
          <cell r="I4161" t="str">
            <v>USA</v>
          </cell>
          <cell r="J4161" t="str">
            <v>Amazon</v>
          </cell>
        </row>
        <row r="4162">
          <cell r="A4162" t="str">
            <v>30-12-2024</v>
          </cell>
          <cell r="B4162" t="str">
            <v>Whey Protein</v>
          </cell>
          <cell r="C4162" t="str">
            <v>Protein</v>
          </cell>
          <cell r="D4162">
            <v>131</v>
          </cell>
          <cell r="E4162">
            <v>14.33</v>
          </cell>
          <cell r="F4162">
            <v>1877.23</v>
          </cell>
          <cell r="G4162">
            <v>7.0000000000000007E-2</v>
          </cell>
          <cell r="H4162">
            <v>0</v>
          </cell>
          <cell r="I4162" t="str">
            <v>UK</v>
          </cell>
          <cell r="J4162" t="str">
            <v>Walmart</v>
          </cell>
        </row>
        <row r="4163">
          <cell r="A4163" t="str">
            <v>30-12-2024</v>
          </cell>
          <cell r="B4163" t="str">
            <v>Vitamin C</v>
          </cell>
          <cell r="C4163" t="str">
            <v>Vitamin</v>
          </cell>
          <cell r="D4163">
            <v>161</v>
          </cell>
          <cell r="E4163">
            <v>25.42</v>
          </cell>
          <cell r="F4163">
            <v>4092.62</v>
          </cell>
          <cell r="G4163">
            <v>0.14000000000000001</v>
          </cell>
          <cell r="H4163">
            <v>1</v>
          </cell>
          <cell r="I4163" t="str">
            <v>USA</v>
          </cell>
          <cell r="J4163" t="str">
            <v>Amazon</v>
          </cell>
        </row>
        <row r="4164">
          <cell r="A4164" t="str">
            <v>30-12-2024</v>
          </cell>
          <cell r="B4164" t="str">
            <v>Fish Oil</v>
          </cell>
          <cell r="C4164" t="str">
            <v>Omega</v>
          </cell>
          <cell r="D4164">
            <v>142</v>
          </cell>
          <cell r="E4164">
            <v>49.89</v>
          </cell>
          <cell r="F4164">
            <v>7084.38</v>
          </cell>
          <cell r="G4164">
            <v>0.24</v>
          </cell>
          <cell r="H4164">
            <v>1</v>
          </cell>
          <cell r="I4164" t="str">
            <v>Canada</v>
          </cell>
          <cell r="J4164" t="str">
            <v>Walmart</v>
          </cell>
        </row>
        <row r="4165">
          <cell r="A4165" t="str">
            <v>30-12-2024</v>
          </cell>
          <cell r="B4165" t="str">
            <v>Multivitamin</v>
          </cell>
          <cell r="C4165" t="str">
            <v>Vitamin</v>
          </cell>
          <cell r="D4165">
            <v>118</v>
          </cell>
          <cell r="E4165">
            <v>47.96</v>
          </cell>
          <cell r="F4165">
            <v>5659.28</v>
          </cell>
          <cell r="G4165">
            <v>0.14000000000000001</v>
          </cell>
          <cell r="H4165">
            <v>2</v>
          </cell>
          <cell r="I4165" t="str">
            <v>USA</v>
          </cell>
          <cell r="J4165" t="str">
            <v>iHerb</v>
          </cell>
        </row>
        <row r="4166">
          <cell r="A4166" t="str">
            <v>30-12-2024</v>
          </cell>
          <cell r="B4166" t="str">
            <v>Pre-Workout</v>
          </cell>
          <cell r="C4166" t="str">
            <v>Performance</v>
          </cell>
          <cell r="D4166">
            <v>157</v>
          </cell>
          <cell r="E4166">
            <v>54.29</v>
          </cell>
          <cell r="F4166">
            <v>8523.5300000000007</v>
          </cell>
          <cell r="G4166">
            <v>0.2</v>
          </cell>
          <cell r="H4166">
            <v>1</v>
          </cell>
          <cell r="I4166" t="str">
            <v>USA</v>
          </cell>
          <cell r="J4166" t="str">
            <v>iHerb</v>
          </cell>
        </row>
        <row r="4167">
          <cell r="A4167" t="str">
            <v>30-12-2024</v>
          </cell>
          <cell r="B4167" t="str">
            <v>BCAA</v>
          </cell>
          <cell r="C4167" t="str">
            <v>Amino Acid</v>
          </cell>
          <cell r="D4167">
            <v>143</v>
          </cell>
          <cell r="E4167">
            <v>35.1</v>
          </cell>
          <cell r="F4167">
            <v>5019.3</v>
          </cell>
          <cell r="G4167">
            <v>0.15</v>
          </cell>
          <cell r="H4167">
            <v>0</v>
          </cell>
          <cell r="I4167" t="str">
            <v>UK</v>
          </cell>
          <cell r="J4167" t="str">
            <v>Walmart</v>
          </cell>
        </row>
        <row r="4168">
          <cell r="A4168" t="str">
            <v>30-12-2024</v>
          </cell>
          <cell r="B4168" t="str">
            <v>Creatine</v>
          </cell>
          <cell r="C4168" t="str">
            <v>Performance</v>
          </cell>
          <cell r="D4168">
            <v>156</v>
          </cell>
          <cell r="E4168">
            <v>41.01</v>
          </cell>
          <cell r="F4168">
            <v>6397.56</v>
          </cell>
          <cell r="G4168">
            <v>0.06</v>
          </cell>
          <cell r="H4168">
            <v>1</v>
          </cell>
          <cell r="I4168" t="str">
            <v>Canada</v>
          </cell>
          <cell r="J4168" t="str">
            <v>iHerb</v>
          </cell>
        </row>
        <row r="4169">
          <cell r="A4169" t="str">
            <v>30-12-2024</v>
          </cell>
          <cell r="B4169" t="str">
            <v>Zinc</v>
          </cell>
          <cell r="C4169" t="str">
            <v>Mineral</v>
          </cell>
          <cell r="D4169">
            <v>139</v>
          </cell>
          <cell r="E4169">
            <v>34.4</v>
          </cell>
          <cell r="F4169">
            <v>4781.6000000000004</v>
          </cell>
          <cell r="G4169">
            <v>0.06</v>
          </cell>
          <cell r="H4169">
            <v>0</v>
          </cell>
          <cell r="I4169" t="str">
            <v>Canada</v>
          </cell>
          <cell r="J4169" t="str">
            <v>Amazon</v>
          </cell>
        </row>
        <row r="4170">
          <cell r="A4170" t="str">
            <v>30-12-2024</v>
          </cell>
          <cell r="B4170" t="str">
            <v>Collagen Peptides</v>
          </cell>
          <cell r="C4170" t="str">
            <v>Protein</v>
          </cell>
          <cell r="D4170">
            <v>156</v>
          </cell>
          <cell r="E4170">
            <v>59.48</v>
          </cell>
          <cell r="F4170">
            <v>9278.8799999999992</v>
          </cell>
          <cell r="G4170">
            <v>0.13</v>
          </cell>
          <cell r="H4170">
            <v>1</v>
          </cell>
          <cell r="I4170" t="str">
            <v>UK</v>
          </cell>
          <cell r="J4170" t="str">
            <v>Walmart</v>
          </cell>
        </row>
        <row r="4171">
          <cell r="A4171" t="str">
            <v>30-12-2024</v>
          </cell>
          <cell r="B4171" t="str">
            <v>Magnesium</v>
          </cell>
          <cell r="C4171" t="str">
            <v>Mineral</v>
          </cell>
          <cell r="D4171">
            <v>156</v>
          </cell>
          <cell r="E4171">
            <v>51.01</v>
          </cell>
          <cell r="F4171">
            <v>7957.56</v>
          </cell>
          <cell r="G4171">
            <v>0.08</v>
          </cell>
          <cell r="H4171">
            <v>5</v>
          </cell>
          <cell r="I4171" t="str">
            <v>USA</v>
          </cell>
          <cell r="J4171" t="str">
            <v>Walmart</v>
          </cell>
        </row>
        <row r="4172">
          <cell r="A4172" t="str">
            <v>30-12-2024</v>
          </cell>
          <cell r="B4172" t="str">
            <v>Ashwagandha</v>
          </cell>
          <cell r="C4172" t="str">
            <v>Herbal</v>
          </cell>
          <cell r="D4172">
            <v>154</v>
          </cell>
          <cell r="E4172">
            <v>13.64</v>
          </cell>
          <cell r="F4172">
            <v>2100.56</v>
          </cell>
          <cell r="G4172">
            <v>0.09</v>
          </cell>
          <cell r="H4172">
            <v>2</v>
          </cell>
          <cell r="I4172" t="str">
            <v>USA</v>
          </cell>
          <cell r="J4172" t="str">
            <v>iHerb</v>
          </cell>
        </row>
        <row r="4173">
          <cell r="A4173" t="str">
            <v>30-12-2024</v>
          </cell>
          <cell r="B4173" t="str">
            <v>Melatonin</v>
          </cell>
          <cell r="C4173" t="str">
            <v>Sleep Aid</v>
          </cell>
          <cell r="D4173">
            <v>156</v>
          </cell>
          <cell r="E4173">
            <v>27.81</v>
          </cell>
          <cell r="F4173">
            <v>4338.3599999999997</v>
          </cell>
          <cell r="G4173">
            <v>7.0000000000000007E-2</v>
          </cell>
          <cell r="H4173">
            <v>2</v>
          </cell>
          <cell r="I4173" t="str">
            <v>Canada</v>
          </cell>
          <cell r="J4173" t="str">
            <v>iHerb</v>
          </cell>
        </row>
        <row r="4174">
          <cell r="A4174" t="str">
            <v>30-12-2024</v>
          </cell>
          <cell r="B4174" t="str">
            <v>Biotin</v>
          </cell>
          <cell r="C4174" t="str">
            <v>Vitamin</v>
          </cell>
          <cell r="D4174">
            <v>144</v>
          </cell>
          <cell r="E4174">
            <v>20.37</v>
          </cell>
          <cell r="F4174">
            <v>2933.28</v>
          </cell>
          <cell r="G4174">
            <v>0.1</v>
          </cell>
          <cell r="H4174">
            <v>0</v>
          </cell>
          <cell r="I4174" t="str">
            <v>USA</v>
          </cell>
          <cell r="J4174" t="str">
            <v>iHerb</v>
          </cell>
        </row>
        <row r="4175">
          <cell r="A4175" t="str">
            <v>30-12-2024</v>
          </cell>
          <cell r="B4175" t="str">
            <v>Green Tea Extract</v>
          </cell>
          <cell r="C4175" t="str">
            <v>Fat Burner</v>
          </cell>
          <cell r="D4175">
            <v>183</v>
          </cell>
          <cell r="E4175">
            <v>55.67</v>
          </cell>
          <cell r="F4175">
            <v>10187.61</v>
          </cell>
          <cell r="G4175">
            <v>0.11</v>
          </cell>
          <cell r="H4175">
            <v>1</v>
          </cell>
          <cell r="I4175" t="str">
            <v>Canada</v>
          </cell>
          <cell r="J4175" t="str">
            <v>Walmart</v>
          </cell>
        </row>
        <row r="4176">
          <cell r="A4176" t="str">
            <v>30-12-2024</v>
          </cell>
          <cell r="B4176" t="str">
            <v>Iron Supplement</v>
          </cell>
          <cell r="C4176" t="str">
            <v>Mineral</v>
          </cell>
          <cell r="D4176">
            <v>140</v>
          </cell>
          <cell r="E4176">
            <v>44.28</v>
          </cell>
          <cell r="F4176">
            <v>6199.2</v>
          </cell>
          <cell r="G4176">
            <v>0.12</v>
          </cell>
          <cell r="H4176">
            <v>0</v>
          </cell>
          <cell r="I4176" t="str">
            <v>USA</v>
          </cell>
          <cell r="J4176" t="str">
            <v>iHerb</v>
          </cell>
        </row>
        <row r="4177">
          <cell r="A4177" t="str">
            <v>30-12-2024</v>
          </cell>
          <cell r="B4177" t="str">
            <v>Electrolyte Powder</v>
          </cell>
          <cell r="C4177" t="str">
            <v>Hydration</v>
          </cell>
          <cell r="D4177">
            <v>147</v>
          </cell>
          <cell r="E4177">
            <v>32.51</v>
          </cell>
          <cell r="F4177">
            <v>4778.97</v>
          </cell>
          <cell r="G4177">
            <v>0.08</v>
          </cell>
          <cell r="H4177">
            <v>0</v>
          </cell>
          <cell r="I4177" t="str">
            <v>USA</v>
          </cell>
          <cell r="J4177" t="str">
            <v>Amazon</v>
          </cell>
        </row>
        <row r="4178">
          <cell r="A4178" t="str">
            <v>06-01-2025</v>
          </cell>
          <cell r="B4178" t="str">
            <v>Whey Protein</v>
          </cell>
          <cell r="C4178" t="str">
            <v>Protein</v>
          </cell>
          <cell r="D4178">
            <v>148</v>
          </cell>
          <cell r="E4178">
            <v>10.85</v>
          </cell>
          <cell r="F4178">
            <v>1605.8</v>
          </cell>
          <cell r="G4178">
            <v>0.15</v>
          </cell>
          <cell r="H4178">
            <v>3</v>
          </cell>
          <cell r="I4178" t="str">
            <v>Canada</v>
          </cell>
          <cell r="J4178" t="str">
            <v>Amazon</v>
          </cell>
        </row>
        <row r="4179">
          <cell r="A4179" t="str">
            <v>06-01-2025</v>
          </cell>
          <cell r="B4179" t="str">
            <v>Vitamin C</v>
          </cell>
          <cell r="C4179" t="str">
            <v>Vitamin</v>
          </cell>
          <cell r="D4179">
            <v>139</v>
          </cell>
          <cell r="E4179">
            <v>48.61</v>
          </cell>
          <cell r="F4179">
            <v>6756.79</v>
          </cell>
          <cell r="G4179">
            <v>0.06</v>
          </cell>
          <cell r="H4179">
            <v>0</v>
          </cell>
          <cell r="I4179" t="str">
            <v>USA</v>
          </cell>
          <cell r="J4179" t="str">
            <v>Walmart</v>
          </cell>
        </row>
        <row r="4180">
          <cell r="A4180" t="str">
            <v>06-01-2025</v>
          </cell>
          <cell r="B4180" t="str">
            <v>Fish Oil</v>
          </cell>
          <cell r="C4180" t="str">
            <v>Omega</v>
          </cell>
          <cell r="D4180">
            <v>146</v>
          </cell>
          <cell r="E4180">
            <v>53.71</v>
          </cell>
          <cell r="F4180">
            <v>7841.66</v>
          </cell>
          <cell r="G4180">
            <v>0.15</v>
          </cell>
          <cell r="H4180">
            <v>1</v>
          </cell>
          <cell r="I4180" t="str">
            <v>Canada</v>
          </cell>
          <cell r="J4180" t="str">
            <v>Walmart</v>
          </cell>
        </row>
        <row r="4181">
          <cell r="A4181" t="str">
            <v>06-01-2025</v>
          </cell>
          <cell r="B4181" t="str">
            <v>Multivitamin</v>
          </cell>
          <cell r="C4181" t="str">
            <v>Vitamin</v>
          </cell>
          <cell r="D4181">
            <v>151</v>
          </cell>
          <cell r="E4181">
            <v>15.66</v>
          </cell>
          <cell r="F4181">
            <v>2364.66</v>
          </cell>
          <cell r="G4181">
            <v>0.05</v>
          </cell>
          <cell r="H4181">
            <v>4</v>
          </cell>
          <cell r="I4181" t="str">
            <v>Canada</v>
          </cell>
          <cell r="J4181" t="str">
            <v>Amazon</v>
          </cell>
        </row>
        <row r="4182">
          <cell r="A4182" t="str">
            <v>06-01-2025</v>
          </cell>
          <cell r="B4182" t="str">
            <v>Pre-Workout</v>
          </cell>
          <cell r="C4182" t="str">
            <v>Performance</v>
          </cell>
          <cell r="D4182">
            <v>180</v>
          </cell>
          <cell r="E4182">
            <v>17.260000000000002</v>
          </cell>
          <cell r="F4182">
            <v>3106.8</v>
          </cell>
          <cell r="G4182">
            <v>0.11</v>
          </cell>
          <cell r="H4182">
            <v>0</v>
          </cell>
          <cell r="I4182" t="str">
            <v>USA</v>
          </cell>
          <cell r="J4182" t="str">
            <v>iHerb</v>
          </cell>
        </row>
        <row r="4183">
          <cell r="A4183" t="str">
            <v>06-01-2025</v>
          </cell>
          <cell r="B4183" t="str">
            <v>BCAA</v>
          </cell>
          <cell r="C4183" t="str">
            <v>Amino Acid</v>
          </cell>
          <cell r="D4183">
            <v>156</v>
          </cell>
          <cell r="E4183">
            <v>12.9</v>
          </cell>
          <cell r="F4183">
            <v>2012.4</v>
          </cell>
          <cell r="G4183">
            <v>0.12</v>
          </cell>
          <cell r="H4183">
            <v>4</v>
          </cell>
          <cell r="I4183" t="str">
            <v>Canada</v>
          </cell>
          <cell r="J4183" t="str">
            <v>Walmart</v>
          </cell>
        </row>
        <row r="4184">
          <cell r="A4184" t="str">
            <v>06-01-2025</v>
          </cell>
          <cell r="B4184" t="str">
            <v>Creatine</v>
          </cell>
          <cell r="C4184" t="str">
            <v>Performance</v>
          </cell>
          <cell r="D4184">
            <v>147</v>
          </cell>
          <cell r="E4184">
            <v>59.9</v>
          </cell>
          <cell r="F4184">
            <v>8805.2999999999993</v>
          </cell>
          <cell r="G4184">
            <v>0.13</v>
          </cell>
          <cell r="H4184">
            <v>1</v>
          </cell>
          <cell r="I4184" t="str">
            <v>USA</v>
          </cell>
          <cell r="J4184" t="str">
            <v>Walmart</v>
          </cell>
        </row>
        <row r="4185">
          <cell r="A4185" t="str">
            <v>06-01-2025</v>
          </cell>
          <cell r="B4185" t="str">
            <v>Zinc</v>
          </cell>
          <cell r="C4185" t="str">
            <v>Mineral</v>
          </cell>
          <cell r="D4185">
            <v>146</v>
          </cell>
          <cell r="E4185">
            <v>35.61</v>
          </cell>
          <cell r="F4185">
            <v>5199.0600000000004</v>
          </cell>
          <cell r="G4185">
            <v>0.11</v>
          </cell>
          <cell r="H4185">
            <v>1</v>
          </cell>
          <cell r="I4185" t="str">
            <v>USA</v>
          </cell>
          <cell r="J4185" t="str">
            <v>Amazon</v>
          </cell>
        </row>
        <row r="4186">
          <cell r="A4186" t="str">
            <v>06-01-2025</v>
          </cell>
          <cell r="B4186" t="str">
            <v>Collagen Peptides</v>
          </cell>
          <cell r="C4186" t="str">
            <v>Protein</v>
          </cell>
          <cell r="D4186">
            <v>136</v>
          </cell>
          <cell r="E4186">
            <v>35.43</v>
          </cell>
          <cell r="F4186">
            <v>4818.4799999999996</v>
          </cell>
          <cell r="G4186">
            <v>0.01</v>
          </cell>
          <cell r="H4186">
            <v>0</v>
          </cell>
          <cell r="I4186" t="str">
            <v>Canada</v>
          </cell>
          <cell r="J4186" t="str">
            <v>Amazon</v>
          </cell>
        </row>
        <row r="4187">
          <cell r="A4187" t="str">
            <v>06-01-2025</v>
          </cell>
          <cell r="B4187" t="str">
            <v>Magnesium</v>
          </cell>
          <cell r="C4187" t="str">
            <v>Mineral</v>
          </cell>
          <cell r="D4187">
            <v>177</v>
          </cell>
          <cell r="E4187">
            <v>13.17</v>
          </cell>
          <cell r="F4187">
            <v>2331.09</v>
          </cell>
          <cell r="G4187">
            <v>0.17</v>
          </cell>
          <cell r="H4187">
            <v>0</v>
          </cell>
          <cell r="I4187" t="str">
            <v>USA</v>
          </cell>
          <cell r="J4187" t="str">
            <v>iHerb</v>
          </cell>
        </row>
        <row r="4188">
          <cell r="A4188" t="str">
            <v>06-01-2025</v>
          </cell>
          <cell r="B4188" t="str">
            <v>Ashwagandha</v>
          </cell>
          <cell r="C4188" t="str">
            <v>Herbal</v>
          </cell>
          <cell r="D4188">
            <v>159</v>
          </cell>
          <cell r="E4188">
            <v>42.55</v>
          </cell>
          <cell r="F4188">
            <v>6765.45</v>
          </cell>
          <cell r="G4188">
            <v>0.18</v>
          </cell>
          <cell r="H4188">
            <v>0</v>
          </cell>
          <cell r="I4188" t="str">
            <v>UK</v>
          </cell>
          <cell r="J4188" t="str">
            <v>Walmart</v>
          </cell>
        </row>
        <row r="4189">
          <cell r="A4189" t="str">
            <v>06-01-2025</v>
          </cell>
          <cell r="B4189" t="str">
            <v>Melatonin</v>
          </cell>
          <cell r="C4189" t="str">
            <v>Sleep Aid</v>
          </cell>
          <cell r="D4189">
            <v>158</v>
          </cell>
          <cell r="E4189">
            <v>26.98</v>
          </cell>
          <cell r="F4189">
            <v>4262.84</v>
          </cell>
          <cell r="G4189">
            <v>0.24</v>
          </cell>
          <cell r="H4189">
            <v>1</v>
          </cell>
          <cell r="I4189" t="str">
            <v>UK</v>
          </cell>
          <cell r="J4189" t="str">
            <v>Amazon</v>
          </cell>
        </row>
        <row r="4190">
          <cell r="A4190" t="str">
            <v>06-01-2025</v>
          </cell>
          <cell r="B4190" t="str">
            <v>Biotin</v>
          </cell>
          <cell r="C4190" t="str">
            <v>Vitamin</v>
          </cell>
          <cell r="D4190">
            <v>186</v>
          </cell>
          <cell r="E4190">
            <v>33.880000000000003</v>
          </cell>
          <cell r="F4190">
            <v>6301.68</v>
          </cell>
          <cell r="G4190">
            <v>0.02</v>
          </cell>
          <cell r="H4190">
            <v>2</v>
          </cell>
          <cell r="I4190" t="str">
            <v>USA</v>
          </cell>
          <cell r="J4190" t="str">
            <v>Walmart</v>
          </cell>
        </row>
        <row r="4191">
          <cell r="A4191" t="str">
            <v>06-01-2025</v>
          </cell>
          <cell r="B4191" t="str">
            <v>Green Tea Extract</v>
          </cell>
          <cell r="C4191" t="str">
            <v>Fat Burner</v>
          </cell>
          <cell r="D4191">
            <v>129</v>
          </cell>
          <cell r="E4191">
            <v>22.94</v>
          </cell>
          <cell r="F4191">
            <v>2959.26</v>
          </cell>
          <cell r="G4191">
            <v>0.19</v>
          </cell>
          <cell r="H4191">
            <v>0</v>
          </cell>
          <cell r="I4191" t="str">
            <v>USA</v>
          </cell>
          <cell r="J4191" t="str">
            <v>Walmart</v>
          </cell>
        </row>
        <row r="4192">
          <cell r="A4192" t="str">
            <v>06-01-2025</v>
          </cell>
          <cell r="B4192" t="str">
            <v>Iron Supplement</v>
          </cell>
          <cell r="C4192" t="str">
            <v>Mineral</v>
          </cell>
          <cell r="D4192">
            <v>164</v>
          </cell>
          <cell r="E4192">
            <v>11.76</v>
          </cell>
          <cell r="F4192">
            <v>1928.64</v>
          </cell>
          <cell r="G4192">
            <v>0.1</v>
          </cell>
          <cell r="H4192">
            <v>5</v>
          </cell>
          <cell r="I4192" t="str">
            <v>UK</v>
          </cell>
          <cell r="J4192" t="str">
            <v>iHerb</v>
          </cell>
        </row>
        <row r="4193">
          <cell r="A4193" t="str">
            <v>06-01-2025</v>
          </cell>
          <cell r="B4193" t="str">
            <v>Electrolyte Powder</v>
          </cell>
          <cell r="C4193" t="str">
            <v>Hydration</v>
          </cell>
          <cell r="D4193">
            <v>132</v>
          </cell>
          <cell r="E4193">
            <v>47.56</v>
          </cell>
          <cell r="F4193">
            <v>6277.92</v>
          </cell>
          <cell r="G4193">
            <v>0.08</v>
          </cell>
          <cell r="H4193">
            <v>2</v>
          </cell>
          <cell r="I4193" t="str">
            <v>USA</v>
          </cell>
          <cell r="J4193" t="str">
            <v>Amazon</v>
          </cell>
        </row>
        <row r="4194">
          <cell r="A4194" t="str">
            <v>13-01-2025</v>
          </cell>
          <cell r="B4194" t="str">
            <v>Whey Protein</v>
          </cell>
          <cell r="C4194" t="str">
            <v>Protein</v>
          </cell>
          <cell r="D4194">
            <v>138</v>
          </cell>
          <cell r="E4194">
            <v>23.26</v>
          </cell>
          <cell r="F4194">
            <v>3209.88</v>
          </cell>
          <cell r="G4194">
            <v>0.11</v>
          </cell>
          <cell r="H4194">
            <v>2</v>
          </cell>
          <cell r="I4194" t="str">
            <v>UK</v>
          </cell>
          <cell r="J4194" t="str">
            <v>iHerb</v>
          </cell>
        </row>
        <row r="4195">
          <cell r="A4195" t="str">
            <v>13-01-2025</v>
          </cell>
          <cell r="B4195" t="str">
            <v>Vitamin C</v>
          </cell>
          <cell r="C4195" t="str">
            <v>Vitamin</v>
          </cell>
          <cell r="D4195">
            <v>160</v>
          </cell>
          <cell r="E4195">
            <v>56.42</v>
          </cell>
          <cell r="F4195">
            <v>9027.2000000000007</v>
          </cell>
          <cell r="G4195">
            <v>7.0000000000000007E-2</v>
          </cell>
          <cell r="H4195">
            <v>1</v>
          </cell>
          <cell r="I4195" t="str">
            <v>Canada</v>
          </cell>
          <cell r="J4195" t="str">
            <v>Walmart</v>
          </cell>
        </row>
        <row r="4196">
          <cell r="A4196" t="str">
            <v>13-01-2025</v>
          </cell>
          <cell r="B4196" t="str">
            <v>Fish Oil</v>
          </cell>
          <cell r="C4196" t="str">
            <v>Omega</v>
          </cell>
          <cell r="D4196">
            <v>154</v>
          </cell>
          <cell r="E4196">
            <v>12.33</v>
          </cell>
          <cell r="F4196">
            <v>1898.82</v>
          </cell>
          <cell r="G4196">
            <v>0.15</v>
          </cell>
          <cell r="H4196">
            <v>1</v>
          </cell>
          <cell r="I4196" t="str">
            <v>UK</v>
          </cell>
          <cell r="J4196" t="str">
            <v>iHerb</v>
          </cell>
        </row>
        <row r="4197">
          <cell r="A4197" t="str">
            <v>13-01-2025</v>
          </cell>
          <cell r="B4197" t="str">
            <v>Multivitamin</v>
          </cell>
          <cell r="C4197" t="str">
            <v>Vitamin</v>
          </cell>
          <cell r="D4197">
            <v>159</v>
          </cell>
          <cell r="E4197">
            <v>37.61</v>
          </cell>
          <cell r="F4197">
            <v>5979.99</v>
          </cell>
          <cell r="G4197">
            <v>0</v>
          </cell>
          <cell r="H4197">
            <v>2</v>
          </cell>
          <cell r="I4197" t="str">
            <v>Canada</v>
          </cell>
          <cell r="J4197" t="str">
            <v>Amazon</v>
          </cell>
        </row>
        <row r="4198">
          <cell r="A4198" t="str">
            <v>13-01-2025</v>
          </cell>
          <cell r="B4198" t="str">
            <v>Pre-Workout</v>
          </cell>
          <cell r="C4198" t="str">
            <v>Performance</v>
          </cell>
          <cell r="D4198">
            <v>159</v>
          </cell>
          <cell r="E4198">
            <v>33.229999999999997</v>
          </cell>
          <cell r="F4198">
            <v>5283.57</v>
          </cell>
          <cell r="G4198">
            <v>0.24</v>
          </cell>
          <cell r="H4198">
            <v>1</v>
          </cell>
          <cell r="I4198" t="str">
            <v>Canada</v>
          </cell>
          <cell r="J4198" t="str">
            <v>Walmart</v>
          </cell>
        </row>
        <row r="4199">
          <cell r="A4199" t="str">
            <v>13-01-2025</v>
          </cell>
          <cell r="B4199" t="str">
            <v>BCAA</v>
          </cell>
          <cell r="C4199" t="str">
            <v>Amino Acid</v>
          </cell>
          <cell r="D4199">
            <v>139</v>
          </cell>
          <cell r="E4199">
            <v>37.94</v>
          </cell>
          <cell r="F4199">
            <v>5273.66</v>
          </cell>
          <cell r="G4199">
            <v>0.24</v>
          </cell>
          <cell r="H4199">
            <v>2</v>
          </cell>
          <cell r="I4199" t="str">
            <v>USA</v>
          </cell>
          <cell r="J4199" t="str">
            <v>iHerb</v>
          </cell>
        </row>
        <row r="4200">
          <cell r="A4200" t="str">
            <v>13-01-2025</v>
          </cell>
          <cell r="B4200" t="str">
            <v>Creatine</v>
          </cell>
          <cell r="C4200" t="str">
            <v>Performance</v>
          </cell>
          <cell r="D4200">
            <v>143</v>
          </cell>
          <cell r="E4200">
            <v>41.24</v>
          </cell>
          <cell r="F4200">
            <v>5897.32</v>
          </cell>
          <cell r="G4200">
            <v>0.15</v>
          </cell>
          <cell r="H4200">
            <v>0</v>
          </cell>
          <cell r="I4200" t="str">
            <v>UK</v>
          </cell>
          <cell r="J4200" t="str">
            <v>Amazon</v>
          </cell>
        </row>
        <row r="4201">
          <cell r="A4201" t="str">
            <v>13-01-2025</v>
          </cell>
          <cell r="B4201" t="str">
            <v>Zinc</v>
          </cell>
          <cell r="C4201" t="str">
            <v>Mineral</v>
          </cell>
          <cell r="D4201">
            <v>155</v>
          </cell>
          <cell r="E4201">
            <v>10.93</v>
          </cell>
          <cell r="F4201">
            <v>1694.15</v>
          </cell>
          <cell r="G4201">
            <v>0.13</v>
          </cell>
          <cell r="H4201">
            <v>5</v>
          </cell>
          <cell r="I4201" t="str">
            <v>Canada</v>
          </cell>
          <cell r="J4201" t="str">
            <v>iHerb</v>
          </cell>
        </row>
        <row r="4202">
          <cell r="A4202" t="str">
            <v>13-01-2025</v>
          </cell>
          <cell r="B4202" t="str">
            <v>Collagen Peptides</v>
          </cell>
          <cell r="C4202" t="str">
            <v>Protein</v>
          </cell>
          <cell r="D4202">
            <v>145</v>
          </cell>
          <cell r="E4202">
            <v>14.81</v>
          </cell>
          <cell r="F4202">
            <v>2147.4499999999998</v>
          </cell>
          <cell r="G4202">
            <v>0.18</v>
          </cell>
          <cell r="H4202">
            <v>0</v>
          </cell>
          <cell r="I4202" t="str">
            <v>Canada</v>
          </cell>
          <cell r="J4202" t="str">
            <v>Walmart</v>
          </cell>
        </row>
        <row r="4203">
          <cell r="A4203" t="str">
            <v>13-01-2025</v>
          </cell>
          <cell r="B4203" t="str">
            <v>Magnesium</v>
          </cell>
          <cell r="C4203" t="str">
            <v>Mineral</v>
          </cell>
          <cell r="D4203">
            <v>141</v>
          </cell>
          <cell r="E4203">
            <v>39.64</v>
          </cell>
          <cell r="F4203">
            <v>5589.24</v>
          </cell>
          <cell r="G4203">
            <v>0.19</v>
          </cell>
          <cell r="H4203">
            <v>2</v>
          </cell>
          <cell r="I4203" t="str">
            <v>Canada</v>
          </cell>
          <cell r="J4203" t="str">
            <v>iHerb</v>
          </cell>
        </row>
        <row r="4204">
          <cell r="A4204" t="str">
            <v>13-01-2025</v>
          </cell>
          <cell r="B4204" t="str">
            <v>Ashwagandha</v>
          </cell>
          <cell r="C4204" t="str">
            <v>Herbal</v>
          </cell>
          <cell r="D4204">
            <v>153</v>
          </cell>
          <cell r="E4204">
            <v>32.61</v>
          </cell>
          <cell r="F4204">
            <v>4989.33</v>
          </cell>
          <cell r="G4204">
            <v>0.06</v>
          </cell>
          <cell r="H4204">
            <v>0</v>
          </cell>
          <cell r="I4204" t="str">
            <v>UK</v>
          </cell>
          <cell r="J4204" t="str">
            <v>Walmart</v>
          </cell>
        </row>
        <row r="4205">
          <cell r="A4205" t="str">
            <v>13-01-2025</v>
          </cell>
          <cell r="B4205" t="str">
            <v>Melatonin</v>
          </cell>
          <cell r="C4205" t="str">
            <v>Sleep Aid</v>
          </cell>
          <cell r="D4205">
            <v>146</v>
          </cell>
          <cell r="E4205">
            <v>12.13</v>
          </cell>
          <cell r="F4205">
            <v>1770.98</v>
          </cell>
          <cell r="G4205">
            <v>0.03</v>
          </cell>
          <cell r="H4205">
            <v>0</v>
          </cell>
          <cell r="I4205" t="str">
            <v>USA</v>
          </cell>
          <cell r="J4205" t="str">
            <v>Walmart</v>
          </cell>
        </row>
        <row r="4206">
          <cell r="A4206" t="str">
            <v>13-01-2025</v>
          </cell>
          <cell r="B4206" t="str">
            <v>Biotin</v>
          </cell>
          <cell r="C4206" t="str">
            <v>Vitamin</v>
          </cell>
          <cell r="D4206">
            <v>153</v>
          </cell>
          <cell r="E4206">
            <v>18.309999999999999</v>
          </cell>
          <cell r="F4206">
            <v>2801.43</v>
          </cell>
          <cell r="G4206">
            <v>0.15</v>
          </cell>
          <cell r="H4206">
            <v>2</v>
          </cell>
          <cell r="I4206" t="str">
            <v>Canada</v>
          </cell>
          <cell r="J4206" t="str">
            <v>iHerb</v>
          </cell>
        </row>
        <row r="4207">
          <cell r="A4207" t="str">
            <v>13-01-2025</v>
          </cell>
          <cell r="B4207" t="str">
            <v>Green Tea Extract</v>
          </cell>
          <cell r="C4207" t="str">
            <v>Fat Burner</v>
          </cell>
          <cell r="D4207">
            <v>144</v>
          </cell>
          <cell r="E4207">
            <v>14.91</v>
          </cell>
          <cell r="F4207">
            <v>2147.04</v>
          </cell>
          <cell r="G4207">
            <v>0.23</v>
          </cell>
          <cell r="H4207">
            <v>1</v>
          </cell>
          <cell r="I4207" t="str">
            <v>UK</v>
          </cell>
          <cell r="J4207" t="str">
            <v>Walmart</v>
          </cell>
        </row>
        <row r="4208">
          <cell r="A4208" t="str">
            <v>13-01-2025</v>
          </cell>
          <cell r="B4208" t="str">
            <v>Iron Supplement</v>
          </cell>
          <cell r="C4208" t="str">
            <v>Mineral</v>
          </cell>
          <cell r="D4208">
            <v>161</v>
          </cell>
          <cell r="E4208">
            <v>37.17</v>
          </cell>
          <cell r="F4208">
            <v>5984.37</v>
          </cell>
          <cell r="G4208">
            <v>0.02</v>
          </cell>
          <cell r="H4208">
            <v>3</v>
          </cell>
          <cell r="I4208" t="str">
            <v>USA</v>
          </cell>
          <cell r="J4208" t="str">
            <v>Amazon</v>
          </cell>
        </row>
        <row r="4209">
          <cell r="A4209" t="str">
            <v>13-01-2025</v>
          </cell>
          <cell r="B4209" t="str">
            <v>Electrolyte Powder</v>
          </cell>
          <cell r="C4209" t="str">
            <v>Hydration</v>
          </cell>
          <cell r="D4209">
            <v>154</v>
          </cell>
          <cell r="E4209">
            <v>35.950000000000003</v>
          </cell>
          <cell r="F4209">
            <v>5536.3</v>
          </cell>
          <cell r="G4209">
            <v>0.1</v>
          </cell>
          <cell r="H4209">
            <v>1</v>
          </cell>
          <cell r="I4209" t="str">
            <v>USA</v>
          </cell>
          <cell r="J4209" t="str">
            <v>iHerb</v>
          </cell>
        </row>
        <row r="4210">
          <cell r="A4210" t="str">
            <v>20-01-2025</v>
          </cell>
          <cell r="B4210" t="str">
            <v>Whey Protein</v>
          </cell>
          <cell r="C4210" t="str">
            <v>Protein</v>
          </cell>
          <cell r="D4210">
            <v>155</v>
          </cell>
          <cell r="E4210">
            <v>39.79</v>
          </cell>
          <cell r="F4210">
            <v>6167.45</v>
          </cell>
          <cell r="G4210">
            <v>0.21</v>
          </cell>
          <cell r="H4210">
            <v>3</v>
          </cell>
          <cell r="I4210" t="str">
            <v>UK</v>
          </cell>
          <cell r="J4210" t="str">
            <v>Amazon</v>
          </cell>
        </row>
        <row r="4211">
          <cell r="A4211" t="str">
            <v>20-01-2025</v>
          </cell>
          <cell r="B4211" t="str">
            <v>Vitamin C</v>
          </cell>
          <cell r="C4211" t="str">
            <v>Vitamin</v>
          </cell>
          <cell r="D4211">
            <v>151</v>
          </cell>
          <cell r="E4211">
            <v>41.98</v>
          </cell>
          <cell r="F4211">
            <v>6338.98</v>
          </cell>
          <cell r="G4211">
            <v>0.11</v>
          </cell>
          <cell r="H4211">
            <v>0</v>
          </cell>
          <cell r="I4211" t="str">
            <v>Canada</v>
          </cell>
          <cell r="J4211" t="str">
            <v>iHerb</v>
          </cell>
        </row>
        <row r="4212">
          <cell r="A4212" t="str">
            <v>20-01-2025</v>
          </cell>
          <cell r="B4212" t="str">
            <v>Fish Oil</v>
          </cell>
          <cell r="C4212" t="str">
            <v>Omega</v>
          </cell>
          <cell r="D4212">
            <v>146</v>
          </cell>
          <cell r="E4212">
            <v>12.43</v>
          </cell>
          <cell r="F4212">
            <v>1814.78</v>
          </cell>
          <cell r="G4212">
            <v>0.17</v>
          </cell>
          <cell r="H4212">
            <v>3</v>
          </cell>
          <cell r="I4212" t="str">
            <v>UK</v>
          </cell>
          <cell r="J4212" t="str">
            <v>iHerb</v>
          </cell>
        </row>
        <row r="4213">
          <cell r="A4213" t="str">
            <v>20-01-2025</v>
          </cell>
          <cell r="B4213" t="str">
            <v>Multivitamin</v>
          </cell>
          <cell r="C4213" t="str">
            <v>Vitamin</v>
          </cell>
          <cell r="D4213">
            <v>155</v>
          </cell>
          <cell r="E4213">
            <v>45.38</v>
          </cell>
          <cell r="F4213">
            <v>7033.9</v>
          </cell>
          <cell r="G4213">
            <v>0.11</v>
          </cell>
          <cell r="H4213">
            <v>0</v>
          </cell>
          <cell r="I4213" t="str">
            <v>Canada</v>
          </cell>
          <cell r="J4213" t="str">
            <v>iHerb</v>
          </cell>
        </row>
        <row r="4214">
          <cell r="A4214" t="str">
            <v>20-01-2025</v>
          </cell>
          <cell r="B4214" t="str">
            <v>Pre-Workout</v>
          </cell>
          <cell r="C4214" t="str">
            <v>Performance</v>
          </cell>
          <cell r="D4214">
            <v>183</v>
          </cell>
          <cell r="E4214">
            <v>43.27</v>
          </cell>
          <cell r="F4214">
            <v>7918.41</v>
          </cell>
          <cell r="G4214">
            <v>0.13</v>
          </cell>
          <cell r="H4214">
            <v>0</v>
          </cell>
          <cell r="I4214" t="str">
            <v>Canada</v>
          </cell>
          <cell r="J4214" t="str">
            <v>Walmart</v>
          </cell>
        </row>
        <row r="4215">
          <cell r="A4215" t="str">
            <v>20-01-2025</v>
          </cell>
          <cell r="B4215" t="str">
            <v>BCAA</v>
          </cell>
          <cell r="C4215" t="str">
            <v>Amino Acid</v>
          </cell>
          <cell r="D4215">
            <v>159</v>
          </cell>
          <cell r="E4215">
            <v>40.57</v>
          </cell>
          <cell r="F4215">
            <v>6450.63</v>
          </cell>
          <cell r="G4215">
            <v>0.03</v>
          </cell>
          <cell r="H4215">
            <v>2</v>
          </cell>
          <cell r="I4215" t="str">
            <v>Canada</v>
          </cell>
          <cell r="J4215" t="str">
            <v>iHerb</v>
          </cell>
        </row>
        <row r="4216">
          <cell r="A4216" t="str">
            <v>20-01-2025</v>
          </cell>
          <cell r="B4216" t="str">
            <v>Creatine</v>
          </cell>
          <cell r="C4216" t="str">
            <v>Performance</v>
          </cell>
          <cell r="D4216">
            <v>128</v>
          </cell>
          <cell r="E4216">
            <v>37.630000000000003</v>
          </cell>
          <cell r="F4216">
            <v>4816.6400000000003</v>
          </cell>
          <cell r="G4216">
            <v>0.22</v>
          </cell>
          <cell r="H4216">
            <v>2</v>
          </cell>
          <cell r="I4216" t="str">
            <v>UK</v>
          </cell>
          <cell r="J4216" t="str">
            <v>iHerb</v>
          </cell>
        </row>
        <row r="4217">
          <cell r="A4217" t="str">
            <v>20-01-2025</v>
          </cell>
          <cell r="B4217" t="str">
            <v>Zinc</v>
          </cell>
          <cell r="C4217" t="str">
            <v>Mineral</v>
          </cell>
          <cell r="D4217">
            <v>140</v>
          </cell>
          <cell r="E4217">
            <v>38.659999999999997</v>
          </cell>
          <cell r="F4217">
            <v>5412.4</v>
          </cell>
          <cell r="G4217">
            <v>0.15</v>
          </cell>
          <cell r="H4217">
            <v>0</v>
          </cell>
          <cell r="I4217" t="str">
            <v>Canada</v>
          </cell>
          <cell r="J4217" t="str">
            <v>Walmart</v>
          </cell>
        </row>
        <row r="4218">
          <cell r="A4218" t="str">
            <v>20-01-2025</v>
          </cell>
          <cell r="B4218" t="str">
            <v>Collagen Peptides</v>
          </cell>
          <cell r="C4218" t="str">
            <v>Protein</v>
          </cell>
          <cell r="D4218">
            <v>143</v>
          </cell>
          <cell r="E4218">
            <v>34.44</v>
          </cell>
          <cell r="F4218">
            <v>4924.92</v>
          </cell>
          <cell r="G4218">
            <v>0.04</v>
          </cell>
          <cell r="H4218">
            <v>2</v>
          </cell>
          <cell r="I4218" t="str">
            <v>Canada</v>
          </cell>
          <cell r="J4218" t="str">
            <v>iHerb</v>
          </cell>
        </row>
        <row r="4219">
          <cell r="A4219" t="str">
            <v>20-01-2025</v>
          </cell>
          <cell r="B4219" t="str">
            <v>Magnesium</v>
          </cell>
          <cell r="C4219" t="str">
            <v>Mineral</v>
          </cell>
          <cell r="D4219">
            <v>157</v>
          </cell>
          <cell r="E4219">
            <v>11.37</v>
          </cell>
          <cell r="F4219">
            <v>1785.09</v>
          </cell>
          <cell r="G4219">
            <v>0.05</v>
          </cell>
          <cell r="H4219">
            <v>1</v>
          </cell>
          <cell r="I4219" t="str">
            <v>Canada</v>
          </cell>
          <cell r="J4219" t="str">
            <v>Amazon</v>
          </cell>
        </row>
        <row r="4220">
          <cell r="A4220" t="str">
            <v>20-01-2025</v>
          </cell>
          <cell r="B4220" t="str">
            <v>Ashwagandha</v>
          </cell>
          <cell r="C4220" t="str">
            <v>Herbal</v>
          </cell>
          <cell r="D4220">
            <v>136</v>
          </cell>
          <cell r="E4220">
            <v>29.57</v>
          </cell>
          <cell r="F4220">
            <v>4021.52</v>
          </cell>
          <cell r="G4220">
            <v>0.24</v>
          </cell>
          <cell r="H4220">
            <v>2</v>
          </cell>
          <cell r="I4220" t="str">
            <v>UK</v>
          </cell>
          <cell r="J4220" t="str">
            <v>iHerb</v>
          </cell>
        </row>
        <row r="4221">
          <cell r="A4221" t="str">
            <v>20-01-2025</v>
          </cell>
          <cell r="B4221" t="str">
            <v>Melatonin</v>
          </cell>
          <cell r="C4221" t="str">
            <v>Sleep Aid</v>
          </cell>
          <cell r="D4221">
            <v>155</v>
          </cell>
          <cell r="E4221">
            <v>33.42</v>
          </cell>
          <cell r="F4221">
            <v>5180.1000000000004</v>
          </cell>
          <cell r="G4221">
            <v>0.1</v>
          </cell>
          <cell r="H4221">
            <v>1</v>
          </cell>
          <cell r="I4221" t="str">
            <v>UK</v>
          </cell>
          <cell r="J4221" t="str">
            <v>iHerb</v>
          </cell>
        </row>
        <row r="4222">
          <cell r="A4222" t="str">
            <v>20-01-2025</v>
          </cell>
          <cell r="B4222" t="str">
            <v>Biotin</v>
          </cell>
          <cell r="C4222" t="str">
            <v>Vitamin</v>
          </cell>
          <cell r="D4222">
            <v>146</v>
          </cell>
          <cell r="E4222">
            <v>36.4</v>
          </cell>
          <cell r="F4222">
            <v>5314.4</v>
          </cell>
          <cell r="G4222">
            <v>0.19</v>
          </cell>
          <cell r="H4222">
            <v>1</v>
          </cell>
          <cell r="I4222" t="str">
            <v>USA</v>
          </cell>
          <cell r="J4222" t="str">
            <v>Walmart</v>
          </cell>
        </row>
        <row r="4223">
          <cell r="A4223" t="str">
            <v>20-01-2025</v>
          </cell>
          <cell r="B4223" t="str">
            <v>Green Tea Extract</v>
          </cell>
          <cell r="C4223" t="str">
            <v>Fat Burner</v>
          </cell>
          <cell r="D4223">
            <v>158</v>
          </cell>
          <cell r="E4223">
            <v>58.09</v>
          </cell>
          <cell r="F4223">
            <v>9178.2199999999993</v>
          </cell>
          <cell r="G4223">
            <v>0.1</v>
          </cell>
          <cell r="H4223">
            <v>3</v>
          </cell>
          <cell r="I4223" t="str">
            <v>Canada</v>
          </cell>
          <cell r="J4223" t="str">
            <v>iHerb</v>
          </cell>
        </row>
        <row r="4224">
          <cell r="A4224" t="str">
            <v>20-01-2025</v>
          </cell>
          <cell r="B4224" t="str">
            <v>Iron Supplement</v>
          </cell>
          <cell r="C4224" t="str">
            <v>Mineral</v>
          </cell>
          <cell r="D4224">
            <v>163</v>
          </cell>
          <cell r="E4224">
            <v>42.73</v>
          </cell>
          <cell r="F4224">
            <v>6964.99</v>
          </cell>
          <cell r="G4224">
            <v>0.02</v>
          </cell>
          <cell r="H4224">
            <v>4</v>
          </cell>
          <cell r="I4224" t="str">
            <v>USA</v>
          </cell>
          <cell r="J4224" t="str">
            <v>iHerb</v>
          </cell>
        </row>
        <row r="4225">
          <cell r="A4225" t="str">
            <v>20-01-2025</v>
          </cell>
          <cell r="B4225" t="str">
            <v>Electrolyte Powder</v>
          </cell>
          <cell r="C4225" t="str">
            <v>Hydration</v>
          </cell>
          <cell r="D4225">
            <v>132</v>
          </cell>
          <cell r="E4225">
            <v>26.5</v>
          </cell>
          <cell r="F4225">
            <v>3498</v>
          </cell>
          <cell r="G4225">
            <v>0.11</v>
          </cell>
          <cell r="H4225">
            <v>1</v>
          </cell>
          <cell r="I4225" t="str">
            <v>USA</v>
          </cell>
          <cell r="J4225" t="str">
            <v>Amazon</v>
          </cell>
        </row>
        <row r="4226">
          <cell r="A4226" t="str">
            <v>27-01-2025</v>
          </cell>
          <cell r="B4226" t="str">
            <v>Whey Protein</v>
          </cell>
          <cell r="C4226" t="str">
            <v>Protein</v>
          </cell>
          <cell r="D4226">
            <v>170</v>
          </cell>
          <cell r="E4226">
            <v>59.39</v>
          </cell>
          <cell r="F4226">
            <v>10096.299999999999</v>
          </cell>
          <cell r="G4226">
            <v>0.15</v>
          </cell>
          <cell r="H4226">
            <v>0</v>
          </cell>
          <cell r="I4226" t="str">
            <v>Canada</v>
          </cell>
          <cell r="J4226" t="str">
            <v>Amazon</v>
          </cell>
        </row>
        <row r="4227">
          <cell r="A4227" t="str">
            <v>27-01-2025</v>
          </cell>
          <cell r="B4227" t="str">
            <v>Vitamin C</v>
          </cell>
          <cell r="C4227" t="str">
            <v>Vitamin</v>
          </cell>
          <cell r="D4227">
            <v>138</v>
          </cell>
          <cell r="E4227">
            <v>12.52</v>
          </cell>
          <cell r="F4227">
            <v>1727.76</v>
          </cell>
          <cell r="G4227">
            <v>0.12</v>
          </cell>
          <cell r="H4227">
            <v>0</v>
          </cell>
          <cell r="I4227" t="str">
            <v>Canada</v>
          </cell>
          <cell r="J4227" t="str">
            <v>Walmart</v>
          </cell>
        </row>
        <row r="4228">
          <cell r="A4228" t="str">
            <v>27-01-2025</v>
          </cell>
          <cell r="B4228" t="str">
            <v>Fish Oil</v>
          </cell>
          <cell r="C4228" t="str">
            <v>Omega</v>
          </cell>
          <cell r="D4228">
            <v>148</v>
          </cell>
          <cell r="E4228">
            <v>32.94</v>
          </cell>
          <cell r="F4228">
            <v>4875.12</v>
          </cell>
          <cell r="G4228">
            <v>0.04</v>
          </cell>
          <cell r="H4228">
            <v>1</v>
          </cell>
          <cell r="I4228" t="str">
            <v>Canada</v>
          </cell>
          <cell r="J4228" t="str">
            <v>Walmart</v>
          </cell>
        </row>
        <row r="4229">
          <cell r="A4229" t="str">
            <v>27-01-2025</v>
          </cell>
          <cell r="B4229" t="str">
            <v>Multivitamin</v>
          </cell>
          <cell r="C4229" t="str">
            <v>Vitamin</v>
          </cell>
          <cell r="D4229">
            <v>145</v>
          </cell>
          <cell r="E4229">
            <v>39.22</v>
          </cell>
          <cell r="F4229">
            <v>5686.9</v>
          </cell>
          <cell r="G4229">
            <v>0.15</v>
          </cell>
          <cell r="H4229">
            <v>0</v>
          </cell>
          <cell r="I4229" t="str">
            <v>USA</v>
          </cell>
          <cell r="J4229" t="str">
            <v>Walmart</v>
          </cell>
        </row>
        <row r="4230">
          <cell r="A4230" t="str">
            <v>27-01-2025</v>
          </cell>
          <cell r="B4230" t="str">
            <v>Pre-Workout</v>
          </cell>
          <cell r="C4230" t="str">
            <v>Performance</v>
          </cell>
          <cell r="D4230">
            <v>146</v>
          </cell>
          <cell r="E4230">
            <v>26.69</v>
          </cell>
          <cell r="F4230">
            <v>3896.74</v>
          </cell>
          <cell r="G4230">
            <v>0.14000000000000001</v>
          </cell>
          <cell r="H4230">
            <v>1</v>
          </cell>
          <cell r="I4230" t="str">
            <v>Canada</v>
          </cell>
          <cell r="J4230" t="str">
            <v>Amazon</v>
          </cell>
        </row>
        <row r="4231">
          <cell r="A4231" t="str">
            <v>27-01-2025</v>
          </cell>
          <cell r="B4231" t="str">
            <v>BCAA</v>
          </cell>
          <cell r="C4231" t="str">
            <v>Amino Acid</v>
          </cell>
          <cell r="D4231">
            <v>147</v>
          </cell>
          <cell r="E4231">
            <v>18.11</v>
          </cell>
          <cell r="F4231">
            <v>2662.17</v>
          </cell>
          <cell r="G4231">
            <v>0.15</v>
          </cell>
          <cell r="H4231">
            <v>1</v>
          </cell>
          <cell r="I4231" t="str">
            <v>USA</v>
          </cell>
          <cell r="J4231" t="str">
            <v>Amazon</v>
          </cell>
        </row>
        <row r="4232">
          <cell r="A4232" t="str">
            <v>27-01-2025</v>
          </cell>
          <cell r="B4232" t="str">
            <v>Creatine</v>
          </cell>
          <cell r="C4232" t="str">
            <v>Performance</v>
          </cell>
          <cell r="D4232">
            <v>143</v>
          </cell>
          <cell r="E4232">
            <v>37.56</v>
          </cell>
          <cell r="F4232">
            <v>5371.08</v>
          </cell>
          <cell r="G4232">
            <v>0.12</v>
          </cell>
          <cell r="H4232">
            <v>2</v>
          </cell>
          <cell r="I4232" t="str">
            <v>Canada</v>
          </cell>
          <cell r="J4232" t="str">
            <v>Walmart</v>
          </cell>
        </row>
        <row r="4233">
          <cell r="A4233" t="str">
            <v>27-01-2025</v>
          </cell>
          <cell r="B4233" t="str">
            <v>Zinc</v>
          </cell>
          <cell r="C4233" t="str">
            <v>Mineral</v>
          </cell>
          <cell r="D4233">
            <v>155</v>
          </cell>
          <cell r="E4233">
            <v>10.050000000000001</v>
          </cell>
          <cell r="F4233">
            <v>1557.75</v>
          </cell>
          <cell r="G4233">
            <v>0.13</v>
          </cell>
          <cell r="H4233">
            <v>1</v>
          </cell>
          <cell r="I4233" t="str">
            <v>UK</v>
          </cell>
          <cell r="J4233" t="str">
            <v>iHerb</v>
          </cell>
        </row>
        <row r="4234">
          <cell r="A4234" t="str">
            <v>27-01-2025</v>
          </cell>
          <cell r="B4234" t="str">
            <v>Collagen Peptides</v>
          </cell>
          <cell r="C4234" t="str">
            <v>Protein</v>
          </cell>
          <cell r="D4234">
            <v>131</v>
          </cell>
          <cell r="E4234">
            <v>47.34</v>
          </cell>
          <cell r="F4234">
            <v>6201.54</v>
          </cell>
          <cell r="G4234">
            <v>0.1</v>
          </cell>
          <cell r="H4234">
            <v>2</v>
          </cell>
          <cell r="I4234" t="str">
            <v>UK</v>
          </cell>
          <cell r="J4234" t="str">
            <v>iHerb</v>
          </cell>
        </row>
        <row r="4235">
          <cell r="A4235" t="str">
            <v>27-01-2025</v>
          </cell>
          <cell r="B4235" t="str">
            <v>Magnesium</v>
          </cell>
          <cell r="C4235" t="str">
            <v>Mineral</v>
          </cell>
          <cell r="D4235">
            <v>150</v>
          </cell>
          <cell r="E4235">
            <v>24.51</v>
          </cell>
          <cell r="F4235">
            <v>3676.5</v>
          </cell>
          <cell r="G4235">
            <v>0.1</v>
          </cell>
          <cell r="H4235">
            <v>1</v>
          </cell>
          <cell r="I4235" t="str">
            <v>UK</v>
          </cell>
          <cell r="J4235" t="str">
            <v>Amazon</v>
          </cell>
        </row>
        <row r="4236">
          <cell r="A4236" t="str">
            <v>27-01-2025</v>
          </cell>
          <cell r="B4236" t="str">
            <v>Ashwagandha</v>
          </cell>
          <cell r="C4236" t="str">
            <v>Herbal</v>
          </cell>
          <cell r="D4236">
            <v>155</v>
          </cell>
          <cell r="E4236">
            <v>14.63</v>
          </cell>
          <cell r="F4236">
            <v>2267.65</v>
          </cell>
          <cell r="G4236">
            <v>0.17</v>
          </cell>
          <cell r="H4236">
            <v>2</v>
          </cell>
          <cell r="I4236" t="str">
            <v>USA</v>
          </cell>
          <cell r="J4236" t="str">
            <v>Walmart</v>
          </cell>
        </row>
        <row r="4237">
          <cell r="A4237" t="str">
            <v>27-01-2025</v>
          </cell>
          <cell r="B4237" t="str">
            <v>Melatonin</v>
          </cell>
          <cell r="C4237" t="str">
            <v>Sleep Aid</v>
          </cell>
          <cell r="D4237">
            <v>147</v>
          </cell>
          <cell r="E4237">
            <v>30.55</v>
          </cell>
          <cell r="F4237">
            <v>4490.8500000000004</v>
          </cell>
          <cell r="G4237">
            <v>0.2</v>
          </cell>
          <cell r="H4237">
            <v>3</v>
          </cell>
          <cell r="I4237" t="str">
            <v>USA</v>
          </cell>
          <cell r="J4237" t="str">
            <v>Walmart</v>
          </cell>
        </row>
        <row r="4238">
          <cell r="A4238" t="str">
            <v>27-01-2025</v>
          </cell>
          <cell r="B4238" t="str">
            <v>Biotin</v>
          </cell>
          <cell r="C4238" t="str">
            <v>Vitamin</v>
          </cell>
          <cell r="D4238">
            <v>157</v>
          </cell>
          <cell r="E4238">
            <v>43.52</v>
          </cell>
          <cell r="F4238">
            <v>6832.64</v>
          </cell>
          <cell r="G4238">
            <v>0.06</v>
          </cell>
          <cell r="H4238">
            <v>1</v>
          </cell>
          <cell r="I4238" t="str">
            <v>Canada</v>
          </cell>
          <cell r="J4238" t="str">
            <v>iHerb</v>
          </cell>
        </row>
        <row r="4239">
          <cell r="A4239" t="str">
            <v>27-01-2025</v>
          </cell>
          <cell r="B4239" t="str">
            <v>Green Tea Extract</v>
          </cell>
          <cell r="C4239" t="str">
            <v>Fat Burner</v>
          </cell>
          <cell r="D4239">
            <v>138</v>
          </cell>
          <cell r="E4239">
            <v>42.43</v>
          </cell>
          <cell r="F4239">
            <v>5855.34</v>
          </cell>
          <cell r="G4239">
            <v>0.15</v>
          </cell>
          <cell r="H4239">
            <v>2</v>
          </cell>
          <cell r="I4239" t="str">
            <v>UK</v>
          </cell>
          <cell r="J4239" t="str">
            <v>iHerb</v>
          </cell>
        </row>
        <row r="4240">
          <cell r="A4240" t="str">
            <v>27-01-2025</v>
          </cell>
          <cell r="B4240" t="str">
            <v>Iron Supplement</v>
          </cell>
          <cell r="C4240" t="str">
            <v>Mineral</v>
          </cell>
          <cell r="D4240">
            <v>140</v>
          </cell>
          <cell r="E4240">
            <v>41.66</v>
          </cell>
          <cell r="F4240">
            <v>5832.4</v>
          </cell>
          <cell r="G4240">
            <v>0.16</v>
          </cell>
          <cell r="H4240">
            <v>2</v>
          </cell>
          <cell r="I4240" t="str">
            <v>USA</v>
          </cell>
          <cell r="J4240" t="str">
            <v>iHerb</v>
          </cell>
        </row>
        <row r="4241">
          <cell r="A4241" t="str">
            <v>27-01-2025</v>
          </cell>
          <cell r="B4241" t="str">
            <v>Electrolyte Powder</v>
          </cell>
          <cell r="C4241" t="str">
            <v>Hydration</v>
          </cell>
          <cell r="D4241">
            <v>142</v>
          </cell>
          <cell r="E4241">
            <v>32.01</v>
          </cell>
          <cell r="F4241">
            <v>4545.42</v>
          </cell>
          <cell r="G4241">
            <v>0.17</v>
          </cell>
          <cell r="H4241">
            <v>1</v>
          </cell>
          <cell r="I4241" t="str">
            <v>USA</v>
          </cell>
          <cell r="J4241" t="str">
            <v>Walmart</v>
          </cell>
        </row>
        <row r="4242">
          <cell r="A4242" t="str">
            <v>03-02-2025</v>
          </cell>
          <cell r="B4242" t="str">
            <v>Whey Protein</v>
          </cell>
          <cell r="C4242" t="str">
            <v>Protein</v>
          </cell>
          <cell r="D4242">
            <v>177</v>
          </cell>
          <cell r="E4242">
            <v>43.75</v>
          </cell>
          <cell r="F4242">
            <v>7743.75</v>
          </cell>
          <cell r="G4242">
            <v>0.14000000000000001</v>
          </cell>
          <cell r="H4242">
            <v>1</v>
          </cell>
          <cell r="I4242" t="str">
            <v>UK</v>
          </cell>
          <cell r="J4242" t="str">
            <v>Walmart</v>
          </cell>
        </row>
        <row r="4243">
          <cell r="A4243" t="str">
            <v>03-02-2025</v>
          </cell>
          <cell r="B4243" t="str">
            <v>Vitamin C</v>
          </cell>
          <cell r="C4243" t="str">
            <v>Vitamin</v>
          </cell>
          <cell r="D4243">
            <v>126</v>
          </cell>
          <cell r="E4243">
            <v>17.87</v>
          </cell>
          <cell r="F4243">
            <v>2251.62</v>
          </cell>
          <cell r="G4243">
            <v>0.05</v>
          </cell>
          <cell r="H4243">
            <v>4</v>
          </cell>
          <cell r="I4243" t="str">
            <v>UK</v>
          </cell>
          <cell r="J4243" t="str">
            <v>Walmart</v>
          </cell>
        </row>
        <row r="4244">
          <cell r="A4244" t="str">
            <v>03-02-2025</v>
          </cell>
          <cell r="B4244" t="str">
            <v>Fish Oil</v>
          </cell>
          <cell r="C4244" t="str">
            <v>Omega</v>
          </cell>
          <cell r="D4244">
            <v>158</v>
          </cell>
          <cell r="E4244">
            <v>39.549999999999997</v>
          </cell>
          <cell r="F4244">
            <v>6248.9</v>
          </cell>
          <cell r="G4244">
            <v>0.13</v>
          </cell>
          <cell r="H4244">
            <v>3</v>
          </cell>
          <cell r="I4244" t="str">
            <v>Canada</v>
          </cell>
          <cell r="J4244" t="str">
            <v>iHerb</v>
          </cell>
        </row>
        <row r="4245">
          <cell r="A4245" t="str">
            <v>03-02-2025</v>
          </cell>
          <cell r="B4245" t="str">
            <v>Multivitamin</v>
          </cell>
          <cell r="C4245" t="str">
            <v>Vitamin</v>
          </cell>
          <cell r="D4245">
            <v>158</v>
          </cell>
          <cell r="E4245">
            <v>20.58</v>
          </cell>
          <cell r="F4245">
            <v>3251.64</v>
          </cell>
          <cell r="G4245">
            <v>0.16</v>
          </cell>
          <cell r="H4245">
            <v>0</v>
          </cell>
          <cell r="I4245" t="str">
            <v>Canada</v>
          </cell>
          <cell r="J4245" t="str">
            <v>iHerb</v>
          </cell>
        </row>
        <row r="4246">
          <cell r="A4246" t="str">
            <v>03-02-2025</v>
          </cell>
          <cell r="B4246" t="str">
            <v>Pre-Workout</v>
          </cell>
          <cell r="C4246" t="str">
            <v>Performance</v>
          </cell>
          <cell r="D4246">
            <v>127</v>
          </cell>
          <cell r="E4246">
            <v>11.22</v>
          </cell>
          <cell r="F4246">
            <v>1424.94</v>
          </cell>
          <cell r="G4246">
            <v>0.14000000000000001</v>
          </cell>
          <cell r="H4246">
            <v>2</v>
          </cell>
          <cell r="I4246" t="str">
            <v>UK</v>
          </cell>
          <cell r="J4246" t="str">
            <v>iHerb</v>
          </cell>
        </row>
        <row r="4247">
          <cell r="A4247" t="str">
            <v>03-02-2025</v>
          </cell>
          <cell r="B4247" t="str">
            <v>BCAA</v>
          </cell>
          <cell r="C4247" t="str">
            <v>Amino Acid</v>
          </cell>
          <cell r="D4247">
            <v>146</v>
          </cell>
          <cell r="E4247">
            <v>45.69</v>
          </cell>
          <cell r="F4247">
            <v>6670.74</v>
          </cell>
          <cell r="G4247">
            <v>0.23</v>
          </cell>
          <cell r="H4247">
            <v>2</v>
          </cell>
          <cell r="I4247" t="str">
            <v>Canada</v>
          </cell>
          <cell r="J4247" t="str">
            <v>iHerb</v>
          </cell>
        </row>
        <row r="4248">
          <cell r="A4248" t="str">
            <v>03-02-2025</v>
          </cell>
          <cell r="B4248" t="str">
            <v>Creatine</v>
          </cell>
          <cell r="C4248" t="str">
            <v>Performance</v>
          </cell>
          <cell r="D4248">
            <v>153</v>
          </cell>
          <cell r="E4248">
            <v>10.77</v>
          </cell>
          <cell r="F4248">
            <v>1647.81</v>
          </cell>
          <cell r="G4248">
            <v>0.17</v>
          </cell>
          <cell r="H4248">
            <v>1</v>
          </cell>
          <cell r="I4248" t="str">
            <v>Canada</v>
          </cell>
          <cell r="J4248" t="str">
            <v>Amazon</v>
          </cell>
        </row>
        <row r="4249">
          <cell r="A4249" t="str">
            <v>03-02-2025</v>
          </cell>
          <cell r="B4249" t="str">
            <v>Zinc</v>
          </cell>
          <cell r="C4249" t="str">
            <v>Mineral</v>
          </cell>
          <cell r="D4249">
            <v>165</v>
          </cell>
          <cell r="E4249">
            <v>36.53</v>
          </cell>
          <cell r="F4249">
            <v>6027.45</v>
          </cell>
          <cell r="G4249">
            <v>0.19</v>
          </cell>
          <cell r="H4249">
            <v>3</v>
          </cell>
          <cell r="I4249" t="str">
            <v>Canada</v>
          </cell>
          <cell r="J4249" t="str">
            <v>Walmart</v>
          </cell>
        </row>
        <row r="4250">
          <cell r="A4250" t="str">
            <v>03-02-2025</v>
          </cell>
          <cell r="B4250" t="str">
            <v>Collagen Peptides</v>
          </cell>
          <cell r="C4250" t="str">
            <v>Protein</v>
          </cell>
          <cell r="D4250">
            <v>155</v>
          </cell>
          <cell r="E4250">
            <v>59.11</v>
          </cell>
          <cell r="F4250">
            <v>9162.0499999999993</v>
          </cell>
          <cell r="G4250">
            <v>0.24</v>
          </cell>
          <cell r="H4250">
            <v>3</v>
          </cell>
          <cell r="I4250" t="str">
            <v>Canada</v>
          </cell>
          <cell r="J4250" t="str">
            <v>Amazon</v>
          </cell>
        </row>
        <row r="4251">
          <cell r="A4251" t="str">
            <v>03-02-2025</v>
          </cell>
          <cell r="B4251" t="str">
            <v>Magnesium</v>
          </cell>
          <cell r="C4251" t="str">
            <v>Mineral</v>
          </cell>
          <cell r="D4251">
            <v>158</v>
          </cell>
          <cell r="E4251">
            <v>15.19</v>
          </cell>
          <cell r="F4251">
            <v>2400.02</v>
          </cell>
          <cell r="G4251">
            <v>7.0000000000000007E-2</v>
          </cell>
          <cell r="H4251">
            <v>0</v>
          </cell>
          <cell r="I4251" t="str">
            <v>Canada</v>
          </cell>
          <cell r="J4251" t="str">
            <v>iHerb</v>
          </cell>
        </row>
        <row r="4252">
          <cell r="A4252" t="str">
            <v>03-02-2025</v>
          </cell>
          <cell r="B4252" t="str">
            <v>Ashwagandha</v>
          </cell>
          <cell r="C4252" t="str">
            <v>Herbal</v>
          </cell>
          <cell r="D4252">
            <v>134</v>
          </cell>
          <cell r="E4252">
            <v>17.329999999999998</v>
          </cell>
          <cell r="F4252">
            <v>2322.2199999999998</v>
          </cell>
          <cell r="G4252">
            <v>0.23</v>
          </cell>
          <cell r="H4252">
            <v>2</v>
          </cell>
          <cell r="I4252" t="str">
            <v>USA</v>
          </cell>
          <cell r="J4252" t="str">
            <v>Amazon</v>
          </cell>
        </row>
        <row r="4253">
          <cell r="A4253" t="str">
            <v>03-02-2025</v>
          </cell>
          <cell r="B4253" t="str">
            <v>Melatonin</v>
          </cell>
          <cell r="C4253" t="str">
            <v>Sleep Aid</v>
          </cell>
          <cell r="D4253">
            <v>127</v>
          </cell>
          <cell r="E4253">
            <v>50.95</v>
          </cell>
          <cell r="F4253">
            <v>6470.65</v>
          </cell>
          <cell r="G4253">
            <v>0.2</v>
          </cell>
          <cell r="H4253">
            <v>3</v>
          </cell>
          <cell r="I4253" t="str">
            <v>USA</v>
          </cell>
          <cell r="J4253" t="str">
            <v>Amazon</v>
          </cell>
        </row>
        <row r="4254">
          <cell r="A4254" t="str">
            <v>03-02-2025</v>
          </cell>
          <cell r="B4254" t="str">
            <v>Biotin</v>
          </cell>
          <cell r="C4254" t="str">
            <v>Vitamin</v>
          </cell>
          <cell r="D4254">
            <v>147</v>
          </cell>
          <cell r="E4254">
            <v>47.92</v>
          </cell>
          <cell r="F4254">
            <v>7044.24</v>
          </cell>
          <cell r="G4254">
            <v>7.0000000000000007E-2</v>
          </cell>
          <cell r="H4254">
            <v>2</v>
          </cell>
          <cell r="I4254" t="str">
            <v>UK</v>
          </cell>
          <cell r="J4254" t="str">
            <v>Walmart</v>
          </cell>
        </row>
        <row r="4255">
          <cell r="A4255" t="str">
            <v>03-02-2025</v>
          </cell>
          <cell r="B4255" t="str">
            <v>Green Tea Extract</v>
          </cell>
          <cell r="C4255" t="str">
            <v>Fat Burner</v>
          </cell>
          <cell r="D4255">
            <v>151</v>
          </cell>
          <cell r="E4255">
            <v>23.79</v>
          </cell>
          <cell r="F4255">
            <v>3592.29</v>
          </cell>
          <cell r="G4255">
            <v>0.13</v>
          </cell>
          <cell r="H4255">
            <v>2</v>
          </cell>
          <cell r="I4255" t="str">
            <v>USA</v>
          </cell>
          <cell r="J4255" t="str">
            <v>iHerb</v>
          </cell>
        </row>
        <row r="4256">
          <cell r="A4256" t="str">
            <v>03-02-2025</v>
          </cell>
          <cell r="B4256" t="str">
            <v>Iron Supplement</v>
          </cell>
          <cell r="C4256" t="str">
            <v>Mineral</v>
          </cell>
          <cell r="D4256">
            <v>175</v>
          </cell>
          <cell r="E4256">
            <v>56.83</v>
          </cell>
          <cell r="F4256">
            <v>9945.25</v>
          </cell>
          <cell r="G4256">
            <v>0.2</v>
          </cell>
          <cell r="H4256">
            <v>2</v>
          </cell>
          <cell r="I4256" t="str">
            <v>USA</v>
          </cell>
          <cell r="J4256" t="str">
            <v>iHerb</v>
          </cell>
        </row>
        <row r="4257">
          <cell r="A4257" t="str">
            <v>03-02-2025</v>
          </cell>
          <cell r="B4257" t="str">
            <v>Electrolyte Powder</v>
          </cell>
          <cell r="C4257" t="str">
            <v>Hydration</v>
          </cell>
          <cell r="D4257">
            <v>161</v>
          </cell>
          <cell r="E4257">
            <v>22.2</v>
          </cell>
          <cell r="F4257">
            <v>3574.2</v>
          </cell>
          <cell r="G4257">
            <v>0.05</v>
          </cell>
          <cell r="H4257">
            <v>3</v>
          </cell>
          <cell r="I4257" t="str">
            <v>Canada</v>
          </cell>
          <cell r="J4257" t="str">
            <v>Amazon</v>
          </cell>
        </row>
        <row r="4258">
          <cell r="A4258" t="str">
            <v>10-02-2025</v>
          </cell>
          <cell r="B4258" t="str">
            <v>Whey Protein</v>
          </cell>
          <cell r="C4258" t="str">
            <v>Protein</v>
          </cell>
          <cell r="D4258">
            <v>158</v>
          </cell>
          <cell r="E4258">
            <v>40.75</v>
          </cell>
          <cell r="F4258">
            <v>6438.5</v>
          </cell>
          <cell r="G4258">
            <v>0.11</v>
          </cell>
          <cell r="H4258">
            <v>0</v>
          </cell>
          <cell r="I4258" t="str">
            <v>UK</v>
          </cell>
          <cell r="J4258" t="str">
            <v>iHerb</v>
          </cell>
        </row>
        <row r="4259">
          <cell r="A4259" t="str">
            <v>10-02-2025</v>
          </cell>
          <cell r="B4259" t="str">
            <v>Vitamin C</v>
          </cell>
          <cell r="C4259" t="str">
            <v>Vitamin</v>
          </cell>
          <cell r="D4259">
            <v>151</v>
          </cell>
          <cell r="E4259">
            <v>14.81</v>
          </cell>
          <cell r="F4259">
            <v>2236.31</v>
          </cell>
          <cell r="G4259">
            <v>0.12</v>
          </cell>
          <cell r="H4259">
            <v>2</v>
          </cell>
          <cell r="I4259" t="str">
            <v>USA</v>
          </cell>
          <cell r="J4259" t="str">
            <v>Walmart</v>
          </cell>
        </row>
        <row r="4260">
          <cell r="A4260" t="str">
            <v>10-02-2025</v>
          </cell>
          <cell r="B4260" t="str">
            <v>Fish Oil</v>
          </cell>
          <cell r="C4260" t="str">
            <v>Omega</v>
          </cell>
          <cell r="D4260">
            <v>121</v>
          </cell>
          <cell r="E4260">
            <v>22.88</v>
          </cell>
          <cell r="F4260">
            <v>2768.48</v>
          </cell>
          <cell r="G4260">
            <v>0.01</v>
          </cell>
          <cell r="H4260">
            <v>0</v>
          </cell>
          <cell r="I4260" t="str">
            <v>Canada</v>
          </cell>
          <cell r="J4260" t="str">
            <v>Amazon</v>
          </cell>
        </row>
        <row r="4261">
          <cell r="A4261" t="str">
            <v>10-02-2025</v>
          </cell>
          <cell r="B4261" t="str">
            <v>Multivitamin</v>
          </cell>
          <cell r="C4261" t="str">
            <v>Vitamin</v>
          </cell>
          <cell r="D4261">
            <v>135</v>
          </cell>
          <cell r="E4261">
            <v>50.17</v>
          </cell>
          <cell r="F4261">
            <v>6772.95</v>
          </cell>
          <cell r="G4261">
            <v>0.11</v>
          </cell>
          <cell r="H4261">
            <v>0</v>
          </cell>
          <cell r="I4261" t="str">
            <v>UK</v>
          </cell>
          <cell r="J4261" t="str">
            <v>Walmart</v>
          </cell>
        </row>
        <row r="4262">
          <cell r="A4262" t="str">
            <v>10-02-2025</v>
          </cell>
          <cell r="B4262" t="str">
            <v>Pre-Workout</v>
          </cell>
          <cell r="C4262" t="str">
            <v>Performance</v>
          </cell>
          <cell r="D4262">
            <v>131</v>
          </cell>
          <cell r="E4262">
            <v>49.9</v>
          </cell>
          <cell r="F4262">
            <v>6536.9</v>
          </cell>
          <cell r="G4262">
            <v>0.09</v>
          </cell>
          <cell r="H4262">
            <v>0</v>
          </cell>
          <cell r="I4262" t="str">
            <v>UK</v>
          </cell>
          <cell r="J4262" t="str">
            <v>iHerb</v>
          </cell>
        </row>
        <row r="4263">
          <cell r="A4263" t="str">
            <v>10-02-2025</v>
          </cell>
          <cell r="B4263" t="str">
            <v>BCAA</v>
          </cell>
          <cell r="C4263" t="str">
            <v>Amino Acid</v>
          </cell>
          <cell r="D4263">
            <v>147</v>
          </cell>
          <cell r="E4263">
            <v>11.48</v>
          </cell>
          <cell r="F4263">
            <v>1687.56</v>
          </cell>
          <cell r="G4263">
            <v>0.16</v>
          </cell>
          <cell r="H4263">
            <v>1</v>
          </cell>
          <cell r="I4263" t="str">
            <v>USA</v>
          </cell>
          <cell r="J4263" t="str">
            <v>Walmart</v>
          </cell>
        </row>
        <row r="4264">
          <cell r="A4264" t="str">
            <v>10-02-2025</v>
          </cell>
          <cell r="B4264" t="str">
            <v>Creatine</v>
          </cell>
          <cell r="C4264" t="str">
            <v>Performance</v>
          </cell>
          <cell r="D4264">
            <v>158</v>
          </cell>
          <cell r="E4264">
            <v>27.1</v>
          </cell>
          <cell r="F4264">
            <v>4281.8</v>
          </cell>
          <cell r="G4264">
            <v>0.13</v>
          </cell>
          <cell r="H4264">
            <v>1</v>
          </cell>
          <cell r="I4264" t="str">
            <v>USA</v>
          </cell>
          <cell r="J4264" t="str">
            <v>Walmart</v>
          </cell>
        </row>
        <row r="4265">
          <cell r="A4265" t="str">
            <v>10-02-2025</v>
          </cell>
          <cell r="B4265" t="str">
            <v>Zinc</v>
          </cell>
          <cell r="C4265" t="str">
            <v>Mineral</v>
          </cell>
          <cell r="D4265">
            <v>157</v>
          </cell>
          <cell r="E4265">
            <v>14.09</v>
          </cell>
          <cell r="F4265">
            <v>2212.13</v>
          </cell>
          <cell r="G4265">
            <v>0.16</v>
          </cell>
          <cell r="H4265">
            <v>2</v>
          </cell>
          <cell r="I4265" t="str">
            <v>Canada</v>
          </cell>
          <cell r="J4265" t="str">
            <v>iHerb</v>
          </cell>
        </row>
        <row r="4266">
          <cell r="A4266" t="str">
            <v>10-02-2025</v>
          </cell>
          <cell r="B4266" t="str">
            <v>Collagen Peptides</v>
          </cell>
          <cell r="C4266" t="str">
            <v>Protein</v>
          </cell>
          <cell r="D4266">
            <v>145</v>
          </cell>
          <cell r="E4266">
            <v>52.15</v>
          </cell>
          <cell r="F4266">
            <v>7561.75</v>
          </cell>
          <cell r="G4266">
            <v>0.04</v>
          </cell>
          <cell r="H4266">
            <v>3</v>
          </cell>
          <cell r="I4266" t="str">
            <v>Canada</v>
          </cell>
          <cell r="J4266" t="str">
            <v>iHerb</v>
          </cell>
        </row>
        <row r="4267">
          <cell r="A4267" t="str">
            <v>10-02-2025</v>
          </cell>
          <cell r="B4267" t="str">
            <v>Magnesium</v>
          </cell>
          <cell r="C4267" t="str">
            <v>Mineral</v>
          </cell>
          <cell r="D4267">
            <v>148</v>
          </cell>
          <cell r="E4267">
            <v>50.7</v>
          </cell>
          <cell r="F4267">
            <v>7503.6</v>
          </cell>
          <cell r="G4267">
            <v>0.13</v>
          </cell>
          <cell r="H4267">
            <v>1</v>
          </cell>
          <cell r="I4267" t="str">
            <v>USA</v>
          </cell>
          <cell r="J4267" t="str">
            <v>Amazon</v>
          </cell>
        </row>
        <row r="4268">
          <cell r="A4268" t="str">
            <v>10-02-2025</v>
          </cell>
          <cell r="B4268" t="str">
            <v>Ashwagandha</v>
          </cell>
          <cell r="C4268" t="str">
            <v>Herbal</v>
          </cell>
          <cell r="D4268">
            <v>170</v>
          </cell>
          <cell r="E4268">
            <v>22.85</v>
          </cell>
          <cell r="F4268">
            <v>3884.5</v>
          </cell>
          <cell r="G4268">
            <v>0.09</v>
          </cell>
          <cell r="H4268">
            <v>3</v>
          </cell>
          <cell r="I4268" t="str">
            <v>UK</v>
          </cell>
          <cell r="J4268" t="str">
            <v>Amazon</v>
          </cell>
        </row>
        <row r="4269">
          <cell r="A4269" t="str">
            <v>10-02-2025</v>
          </cell>
          <cell r="B4269" t="str">
            <v>Melatonin</v>
          </cell>
          <cell r="C4269" t="str">
            <v>Sleep Aid</v>
          </cell>
          <cell r="D4269">
            <v>174</v>
          </cell>
          <cell r="E4269">
            <v>53.19</v>
          </cell>
          <cell r="F4269">
            <v>9255.06</v>
          </cell>
          <cell r="G4269">
            <v>0.06</v>
          </cell>
          <cell r="H4269">
            <v>5</v>
          </cell>
          <cell r="I4269" t="str">
            <v>Canada</v>
          </cell>
          <cell r="J4269" t="str">
            <v>Walmart</v>
          </cell>
        </row>
        <row r="4270">
          <cell r="A4270" t="str">
            <v>10-02-2025</v>
          </cell>
          <cell r="B4270" t="str">
            <v>Biotin</v>
          </cell>
          <cell r="C4270" t="str">
            <v>Vitamin</v>
          </cell>
          <cell r="D4270">
            <v>153</v>
          </cell>
          <cell r="E4270">
            <v>11.71</v>
          </cell>
          <cell r="F4270">
            <v>1791.63</v>
          </cell>
          <cell r="G4270">
            <v>0.04</v>
          </cell>
          <cell r="H4270">
            <v>0</v>
          </cell>
          <cell r="I4270" t="str">
            <v>UK</v>
          </cell>
          <cell r="J4270" t="str">
            <v>iHerb</v>
          </cell>
        </row>
        <row r="4271">
          <cell r="A4271" t="str">
            <v>10-02-2025</v>
          </cell>
          <cell r="B4271" t="str">
            <v>Green Tea Extract</v>
          </cell>
          <cell r="C4271" t="str">
            <v>Fat Burner</v>
          </cell>
          <cell r="D4271">
            <v>160</v>
          </cell>
          <cell r="E4271">
            <v>58.46</v>
          </cell>
          <cell r="F4271">
            <v>9353.6</v>
          </cell>
          <cell r="G4271">
            <v>0.16</v>
          </cell>
          <cell r="H4271">
            <v>2</v>
          </cell>
          <cell r="I4271" t="str">
            <v>UK</v>
          </cell>
          <cell r="J4271" t="str">
            <v>iHerb</v>
          </cell>
        </row>
        <row r="4272">
          <cell r="A4272" t="str">
            <v>10-02-2025</v>
          </cell>
          <cell r="B4272" t="str">
            <v>Iron Supplement</v>
          </cell>
          <cell r="C4272" t="str">
            <v>Mineral</v>
          </cell>
          <cell r="D4272">
            <v>139</v>
          </cell>
          <cell r="E4272">
            <v>43.39</v>
          </cell>
          <cell r="F4272">
            <v>6031.21</v>
          </cell>
          <cell r="G4272">
            <v>0.22</v>
          </cell>
          <cell r="H4272">
            <v>4</v>
          </cell>
          <cell r="I4272" t="str">
            <v>UK</v>
          </cell>
          <cell r="J4272" t="str">
            <v>Walmart</v>
          </cell>
        </row>
        <row r="4273">
          <cell r="A4273" t="str">
            <v>10-02-2025</v>
          </cell>
          <cell r="B4273" t="str">
            <v>Electrolyte Powder</v>
          </cell>
          <cell r="C4273" t="str">
            <v>Hydration</v>
          </cell>
          <cell r="D4273">
            <v>134</v>
          </cell>
          <cell r="E4273">
            <v>50.17</v>
          </cell>
          <cell r="F4273">
            <v>6722.78</v>
          </cell>
          <cell r="G4273">
            <v>0.22</v>
          </cell>
          <cell r="H4273">
            <v>1</v>
          </cell>
          <cell r="I4273" t="str">
            <v>UK</v>
          </cell>
          <cell r="J4273" t="str">
            <v>Walmart</v>
          </cell>
        </row>
        <row r="4274">
          <cell r="A4274" t="str">
            <v>17-02-2025</v>
          </cell>
          <cell r="B4274" t="str">
            <v>Whey Protein</v>
          </cell>
          <cell r="C4274" t="str">
            <v>Protein</v>
          </cell>
          <cell r="D4274">
            <v>145</v>
          </cell>
          <cell r="E4274">
            <v>25.28</v>
          </cell>
          <cell r="F4274">
            <v>3665.6</v>
          </cell>
          <cell r="G4274">
            <v>0.06</v>
          </cell>
          <cell r="H4274">
            <v>1</v>
          </cell>
          <cell r="I4274" t="str">
            <v>USA</v>
          </cell>
          <cell r="J4274" t="str">
            <v>Walmart</v>
          </cell>
        </row>
        <row r="4275">
          <cell r="A4275" t="str">
            <v>17-02-2025</v>
          </cell>
          <cell r="B4275" t="str">
            <v>Vitamin C</v>
          </cell>
          <cell r="C4275" t="str">
            <v>Vitamin</v>
          </cell>
          <cell r="D4275">
            <v>139</v>
          </cell>
          <cell r="E4275">
            <v>57.83</v>
          </cell>
          <cell r="F4275">
            <v>8038.37</v>
          </cell>
          <cell r="G4275">
            <v>0.21</v>
          </cell>
          <cell r="H4275">
            <v>3</v>
          </cell>
          <cell r="I4275" t="str">
            <v>USA</v>
          </cell>
          <cell r="J4275" t="str">
            <v>iHerb</v>
          </cell>
        </row>
        <row r="4276">
          <cell r="A4276" t="str">
            <v>17-02-2025</v>
          </cell>
          <cell r="B4276" t="str">
            <v>Fish Oil</v>
          </cell>
          <cell r="C4276" t="str">
            <v>Omega</v>
          </cell>
          <cell r="D4276">
            <v>162</v>
          </cell>
          <cell r="E4276">
            <v>50.6</v>
          </cell>
          <cell r="F4276">
            <v>8197.2000000000007</v>
          </cell>
          <cell r="G4276">
            <v>0.23</v>
          </cell>
          <cell r="H4276">
            <v>4</v>
          </cell>
          <cell r="I4276" t="str">
            <v>USA</v>
          </cell>
          <cell r="J4276" t="str">
            <v>iHerb</v>
          </cell>
        </row>
        <row r="4277">
          <cell r="A4277" t="str">
            <v>17-02-2025</v>
          </cell>
          <cell r="B4277" t="str">
            <v>Multivitamin</v>
          </cell>
          <cell r="C4277" t="str">
            <v>Vitamin</v>
          </cell>
          <cell r="D4277">
            <v>157</v>
          </cell>
          <cell r="E4277">
            <v>11.99</v>
          </cell>
          <cell r="F4277">
            <v>1882.43</v>
          </cell>
          <cell r="G4277">
            <v>0.04</v>
          </cell>
          <cell r="H4277">
            <v>4</v>
          </cell>
          <cell r="I4277" t="str">
            <v>UK</v>
          </cell>
          <cell r="J4277" t="str">
            <v>Amazon</v>
          </cell>
        </row>
        <row r="4278">
          <cell r="A4278" t="str">
            <v>17-02-2025</v>
          </cell>
          <cell r="B4278" t="str">
            <v>Pre-Workout</v>
          </cell>
          <cell r="C4278" t="str">
            <v>Performance</v>
          </cell>
          <cell r="D4278">
            <v>149</v>
          </cell>
          <cell r="E4278">
            <v>33.25</v>
          </cell>
          <cell r="F4278">
            <v>4954.25</v>
          </cell>
          <cell r="G4278">
            <v>0.17</v>
          </cell>
          <cell r="H4278">
            <v>0</v>
          </cell>
          <cell r="I4278" t="str">
            <v>Canada</v>
          </cell>
          <cell r="J4278" t="str">
            <v>iHerb</v>
          </cell>
        </row>
        <row r="4279">
          <cell r="A4279" t="str">
            <v>17-02-2025</v>
          </cell>
          <cell r="B4279" t="str">
            <v>BCAA</v>
          </cell>
          <cell r="C4279" t="str">
            <v>Amino Acid</v>
          </cell>
          <cell r="D4279">
            <v>140</v>
          </cell>
          <cell r="E4279">
            <v>41.53</v>
          </cell>
          <cell r="F4279">
            <v>5814.2</v>
          </cell>
          <cell r="G4279">
            <v>0.04</v>
          </cell>
          <cell r="H4279">
            <v>2</v>
          </cell>
          <cell r="I4279" t="str">
            <v>UK</v>
          </cell>
          <cell r="J4279" t="str">
            <v>iHerb</v>
          </cell>
        </row>
        <row r="4280">
          <cell r="A4280" t="str">
            <v>17-02-2025</v>
          </cell>
          <cell r="B4280" t="str">
            <v>Creatine</v>
          </cell>
          <cell r="C4280" t="str">
            <v>Performance</v>
          </cell>
          <cell r="D4280">
            <v>145</v>
          </cell>
          <cell r="E4280">
            <v>14.9</v>
          </cell>
          <cell r="F4280">
            <v>2160.5</v>
          </cell>
          <cell r="G4280">
            <v>0.17</v>
          </cell>
          <cell r="H4280">
            <v>1</v>
          </cell>
          <cell r="I4280" t="str">
            <v>Canada</v>
          </cell>
          <cell r="J4280" t="str">
            <v>Amazon</v>
          </cell>
        </row>
        <row r="4281">
          <cell r="A4281" t="str">
            <v>17-02-2025</v>
          </cell>
          <cell r="B4281" t="str">
            <v>Zinc</v>
          </cell>
          <cell r="C4281" t="str">
            <v>Mineral</v>
          </cell>
          <cell r="D4281">
            <v>161</v>
          </cell>
          <cell r="E4281">
            <v>43.27</v>
          </cell>
          <cell r="F4281">
            <v>6966.47</v>
          </cell>
          <cell r="G4281">
            <v>0.23</v>
          </cell>
          <cell r="H4281">
            <v>0</v>
          </cell>
          <cell r="I4281" t="str">
            <v>UK</v>
          </cell>
          <cell r="J4281" t="str">
            <v>iHerb</v>
          </cell>
        </row>
        <row r="4282">
          <cell r="A4282" t="str">
            <v>17-02-2025</v>
          </cell>
          <cell r="B4282" t="str">
            <v>Collagen Peptides</v>
          </cell>
          <cell r="C4282" t="str">
            <v>Protein</v>
          </cell>
          <cell r="D4282">
            <v>155</v>
          </cell>
          <cell r="E4282">
            <v>34.72</v>
          </cell>
          <cell r="F4282">
            <v>5381.6</v>
          </cell>
          <cell r="G4282">
            <v>0.01</v>
          </cell>
          <cell r="H4282">
            <v>0</v>
          </cell>
          <cell r="I4282" t="str">
            <v>USA</v>
          </cell>
          <cell r="J4282" t="str">
            <v>Walmart</v>
          </cell>
        </row>
        <row r="4283">
          <cell r="A4283" t="str">
            <v>17-02-2025</v>
          </cell>
          <cell r="B4283" t="str">
            <v>Magnesium</v>
          </cell>
          <cell r="C4283" t="str">
            <v>Mineral</v>
          </cell>
          <cell r="D4283">
            <v>147</v>
          </cell>
          <cell r="E4283">
            <v>33.979999999999997</v>
          </cell>
          <cell r="F4283">
            <v>4995.0600000000004</v>
          </cell>
          <cell r="G4283">
            <v>0.15</v>
          </cell>
          <cell r="H4283">
            <v>3</v>
          </cell>
          <cell r="I4283" t="str">
            <v>UK</v>
          </cell>
          <cell r="J4283" t="str">
            <v>Amazon</v>
          </cell>
        </row>
        <row r="4284">
          <cell r="A4284" t="str">
            <v>17-02-2025</v>
          </cell>
          <cell r="B4284" t="str">
            <v>Ashwagandha</v>
          </cell>
          <cell r="C4284" t="str">
            <v>Herbal</v>
          </cell>
          <cell r="D4284">
            <v>143</v>
          </cell>
          <cell r="E4284">
            <v>53.08</v>
          </cell>
          <cell r="F4284">
            <v>7590.44</v>
          </cell>
          <cell r="G4284">
            <v>0.05</v>
          </cell>
          <cell r="H4284">
            <v>1</v>
          </cell>
          <cell r="I4284" t="str">
            <v>UK</v>
          </cell>
          <cell r="J4284" t="str">
            <v>Walmart</v>
          </cell>
        </row>
        <row r="4285">
          <cell r="A4285" t="str">
            <v>17-02-2025</v>
          </cell>
          <cell r="B4285" t="str">
            <v>Melatonin</v>
          </cell>
          <cell r="C4285" t="str">
            <v>Sleep Aid</v>
          </cell>
          <cell r="D4285">
            <v>139</v>
          </cell>
          <cell r="E4285">
            <v>23.55</v>
          </cell>
          <cell r="F4285">
            <v>3273.45</v>
          </cell>
          <cell r="G4285">
            <v>0.1</v>
          </cell>
          <cell r="H4285">
            <v>1</v>
          </cell>
          <cell r="I4285" t="str">
            <v>USA</v>
          </cell>
          <cell r="J4285" t="str">
            <v>iHerb</v>
          </cell>
        </row>
        <row r="4286">
          <cell r="A4286" t="str">
            <v>17-02-2025</v>
          </cell>
          <cell r="B4286" t="str">
            <v>Biotin</v>
          </cell>
          <cell r="C4286" t="str">
            <v>Vitamin</v>
          </cell>
          <cell r="D4286">
            <v>154</v>
          </cell>
          <cell r="E4286">
            <v>26.52</v>
          </cell>
          <cell r="F4286">
            <v>4084.08</v>
          </cell>
          <cell r="G4286">
            <v>0.21</v>
          </cell>
          <cell r="H4286">
            <v>0</v>
          </cell>
          <cell r="I4286" t="str">
            <v>UK</v>
          </cell>
          <cell r="J4286" t="str">
            <v>Amazon</v>
          </cell>
        </row>
        <row r="4287">
          <cell r="A4287" t="str">
            <v>17-02-2025</v>
          </cell>
          <cell r="B4287" t="str">
            <v>Green Tea Extract</v>
          </cell>
          <cell r="C4287" t="str">
            <v>Fat Burner</v>
          </cell>
          <cell r="D4287">
            <v>125</v>
          </cell>
          <cell r="E4287">
            <v>54.84</v>
          </cell>
          <cell r="F4287">
            <v>6855</v>
          </cell>
          <cell r="G4287">
            <v>0.06</v>
          </cell>
          <cell r="H4287">
            <v>2</v>
          </cell>
          <cell r="I4287" t="str">
            <v>UK</v>
          </cell>
          <cell r="J4287" t="str">
            <v>Amazon</v>
          </cell>
        </row>
        <row r="4288">
          <cell r="A4288" t="str">
            <v>17-02-2025</v>
          </cell>
          <cell r="B4288" t="str">
            <v>Iron Supplement</v>
          </cell>
          <cell r="C4288" t="str">
            <v>Mineral</v>
          </cell>
          <cell r="D4288">
            <v>143</v>
          </cell>
          <cell r="E4288">
            <v>37.83</v>
          </cell>
          <cell r="F4288">
            <v>5409.69</v>
          </cell>
          <cell r="G4288">
            <v>0.21</v>
          </cell>
          <cell r="H4288">
            <v>1</v>
          </cell>
          <cell r="I4288" t="str">
            <v>Canada</v>
          </cell>
          <cell r="J4288" t="str">
            <v>Amazon</v>
          </cell>
        </row>
        <row r="4289">
          <cell r="A4289" t="str">
            <v>17-02-2025</v>
          </cell>
          <cell r="B4289" t="str">
            <v>Electrolyte Powder</v>
          </cell>
          <cell r="C4289" t="str">
            <v>Hydration</v>
          </cell>
          <cell r="D4289">
            <v>154</v>
          </cell>
          <cell r="E4289">
            <v>49.48</v>
          </cell>
          <cell r="F4289">
            <v>7619.92</v>
          </cell>
          <cell r="G4289">
            <v>0.05</v>
          </cell>
          <cell r="H4289">
            <v>2</v>
          </cell>
          <cell r="I4289" t="str">
            <v>Canada</v>
          </cell>
          <cell r="J4289" t="str">
            <v>iHerb</v>
          </cell>
        </row>
        <row r="4290">
          <cell r="A4290" t="str">
            <v>24-02-2025</v>
          </cell>
          <cell r="B4290" t="str">
            <v>Whey Protein</v>
          </cell>
          <cell r="C4290" t="str">
            <v>Protein</v>
          </cell>
          <cell r="D4290">
            <v>150</v>
          </cell>
          <cell r="E4290">
            <v>34.729999999999997</v>
          </cell>
          <cell r="F4290">
            <v>5209.5</v>
          </cell>
          <cell r="G4290">
            <v>0.03</v>
          </cell>
          <cell r="H4290">
            <v>2</v>
          </cell>
          <cell r="I4290" t="str">
            <v>USA</v>
          </cell>
          <cell r="J4290" t="str">
            <v>Walmart</v>
          </cell>
        </row>
        <row r="4291">
          <cell r="A4291" t="str">
            <v>24-02-2025</v>
          </cell>
          <cell r="B4291" t="str">
            <v>Vitamin C</v>
          </cell>
          <cell r="C4291" t="str">
            <v>Vitamin</v>
          </cell>
          <cell r="D4291">
            <v>150</v>
          </cell>
          <cell r="E4291">
            <v>53.95</v>
          </cell>
          <cell r="F4291">
            <v>8092.5</v>
          </cell>
          <cell r="G4291">
            <v>0.22</v>
          </cell>
          <cell r="H4291">
            <v>1</v>
          </cell>
          <cell r="I4291" t="str">
            <v>UK</v>
          </cell>
          <cell r="J4291" t="str">
            <v>iHerb</v>
          </cell>
        </row>
        <row r="4292">
          <cell r="A4292" t="str">
            <v>24-02-2025</v>
          </cell>
          <cell r="B4292" t="str">
            <v>Fish Oil</v>
          </cell>
          <cell r="C4292" t="str">
            <v>Omega</v>
          </cell>
          <cell r="D4292">
            <v>148</v>
          </cell>
          <cell r="E4292">
            <v>35.979999999999997</v>
          </cell>
          <cell r="F4292">
            <v>5325.04</v>
          </cell>
          <cell r="G4292">
            <v>0.24</v>
          </cell>
          <cell r="H4292">
            <v>2</v>
          </cell>
          <cell r="I4292" t="str">
            <v>UK</v>
          </cell>
          <cell r="J4292" t="str">
            <v>Amazon</v>
          </cell>
        </row>
        <row r="4293">
          <cell r="A4293" t="str">
            <v>24-02-2025</v>
          </cell>
          <cell r="B4293" t="str">
            <v>Multivitamin</v>
          </cell>
          <cell r="C4293" t="str">
            <v>Vitamin</v>
          </cell>
          <cell r="D4293">
            <v>142</v>
          </cell>
          <cell r="E4293">
            <v>41.36</v>
          </cell>
          <cell r="F4293">
            <v>5873.12</v>
          </cell>
          <cell r="G4293">
            <v>0.16</v>
          </cell>
          <cell r="H4293">
            <v>2</v>
          </cell>
          <cell r="I4293" t="str">
            <v>UK</v>
          </cell>
          <cell r="J4293" t="str">
            <v>Amazon</v>
          </cell>
        </row>
        <row r="4294">
          <cell r="A4294" t="str">
            <v>24-02-2025</v>
          </cell>
          <cell r="B4294" t="str">
            <v>Pre-Workout</v>
          </cell>
          <cell r="C4294" t="str">
            <v>Performance</v>
          </cell>
          <cell r="D4294">
            <v>137</v>
          </cell>
          <cell r="E4294">
            <v>26.89</v>
          </cell>
          <cell r="F4294">
            <v>3683.93</v>
          </cell>
          <cell r="G4294">
            <v>0.11</v>
          </cell>
          <cell r="H4294">
            <v>0</v>
          </cell>
          <cell r="I4294" t="str">
            <v>USA</v>
          </cell>
          <cell r="J4294" t="str">
            <v>Amazon</v>
          </cell>
        </row>
        <row r="4295">
          <cell r="A4295" t="str">
            <v>24-02-2025</v>
          </cell>
          <cell r="B4295" t="str">
            <v>BCAA</v>
          </cell>
          <cell r="C4295" t="str">
            <v>Amino Acid</v>
          </cell>
          <cell r="D4295">
            <v>162</v>
          </cell>
          <cell r="E4295">
            <v>55.68</v>
          </cell>
          <cell r="F4295">
            <v>9020.16</v>
          </cell>
          <cell r="G4295">
            <v>0.04</v>
          </cell>
          <cell r="H4295">
            <v>0</v>
          </cell>
          <cell r="I4295" t="str">
            <v>USA</v>
          </cell>
          <cell r="J4295" t="str">
            <v>Amazon</v>
          </cell>
        </row>
        <row r="4296">
          <cell r="A4296" t="str">
            <v>24-02-2025</v>
          </cell>
          <cell r="B4296" t="str">
            <v>Creatine</v>
          </cell>
          <cell r="C4296" t="str">
            <v>Performance</v>
          </cell>
          <cell r="D4296">
            <v>149</v>
          </cell>
          <cell r="E4296">
            <v>56.87</v>
          </cell>
          <cell r="F4296">
            <v>8473.6299999999992</v>
          </cell>
          <cell r="G4296">
            <v>0</v>
          </cell>
          <cell r="H4296">
            <v>1</v>
          </cell>
          <cell r="I4296" t="str">
            <v>UK</v>
          </cell>
          <cell r="J4296" t="str">
            <v>Amazon</v>
          </cell>
        </row>
        <row r="4297">
          <cell r="A4297" t="str">
            <v>24-02-2025</v>
          </cell>
          <cell r="B4297" t="str">
            <v>Zinc</v>
          </cell>
          <cell r="C4297" t="str">
            <v>Mineral</v>
          </cell>
          <cell r="D4297">
            <v>172</v>
          </cell>
          <cell r="E4297">
            <v>14.66</v>
          </cell>
          <cell r="F4297">
            <v>2521.52</v>
          </cell>
          <cell r="G4297">
            <v>0.08</v>
          </cell>
          <cell r="H4297">
            <v>2</v>
          </cell>
          <cell r="I4297" t="str">
            <v>UK</v>
          </cell>
          <cell r="J4297" t="str">
            <v>Amazon</v>
          </cell>
        </row>
        <row r="4298">
          <cell r="A4298" t="str">
            <v>24-02-2025</v>
          </cell>
          <cell r="B4298" t="str">
            <v>Collagen Peptides</v>
          </cell>
          <cell r="C4298" t="str">
            <v>Protein</v>
          </cell>
          <cell r="D4298">
            <v>137</v>
          </cell>
          <cell r="E4298">
            <v>51.82</v>
          </cell>
          <cell r="F4298">
            <v>7099.34</v>
          </cell>
          <cell r="G4298">
            <v>0.22</v>
          </cell>
          <cell r="H4298">
            <v>0</v>
          </cell>
          <cell r="I4298" t="str">
            <v>Canada</v>
          </cell>
          <cell r="J4298" t="str">
            <v>iHerb</v>
          </cell>
        </row>
        <row r="4299">
          <cell r="A4299" t="str">
            <v>24-02-2025</v>
          </cell>
          <cell r="B4299" t="str">
            <v>Magnesium</v>
          </cell>
          <cell r="C4299" t="str">
            <v>Mineral</v>
          </cell>
          <cell r="D4299">
            <v>136</v>
          </cell>
          <cell r="E4299">
            <v>39.74</v>
          </cell>
          <cell r="F4299">
            <v>5404.64</v>
          </cell>
          <cell r="G4299">
            <v>0.09</v>
          </cell>
          <cell r="H4299">
            <v>3</v>
          </cell>
          <cell r="I4299" t="str">
            <v>Canada</v>
          </cell>
          <cell r="J4299" t="str">
            <v>Walmart</v>
          </cell>
        </row>
        <row r="4300">
          <cell r="A4300" t="str">
            <v>24-02-2025</v>
          </cell>
          <cell r="B4300" t="str">
            <v>Ashwagandha</v>
          </cell>
          <cell r="C4300" t="str">
            <v>Herbal</v>
          </cell>
          <cell r="D4300">
            <v>158</v>
          </cell>
          <cell r="E4300">
            <v>41.23</v>
          </cell>
          <cell r="F4300">
            <v>6514.34</v>
          </cell>
          <cell r="G4300">
            <v>0.03</v>
          </cell>
          <cell r="H4300">
            <v>1</v>
          </cell>
          <cell r="I4300" t="str">
            <v>UK</v>
          </cell>
          <cell r="J4300" t="str">
            <v>iHerb</v>
          </cell>
        </row>
        <row r="4301">
          <cell r="A4301" t="str">
            <v>24-02-2025</v>
          </cell>
          <cell r="B4301" t="str">
            <v>Melatonin</v>
          </cell>
          <cell r="C4301" t="str">
            <v>Sleep Aid</v>
          </cell>
          <cell r="D4301">
            <v>137</v>
          </cell>
          <cell r="E4301">
            <v>40.82</v>
          </cell>
          <cell r="F4301">
            <v>5592.34</v>
          </cell>
          <cell r="G4301">
            <v>0.14000000000000001</v>
          </cell>
          <cell r="H4301">
            <v>0</v>
          </cell>
          <cell r="I4301" t="str">
            <v>Canada</v>
          </cell>
          <cell r="J4301" t="str">
            <v>Amazon</v>
          </cell>
        </row>
        <row r="4302">
          <cell r="A4302" t="str">
            <v>24-02-2025</v>
          </cell>
          <cell r="B4302" t="str">
            <v>Biotin</v>
          </cell>
          <cell r="C4302" t="str">
            <v>Vitamin</v>
          </cell>
          <cell r="D4302">
            <v>131</v>
          </cell>
          <cell r="E4302">
            <v>39.19</v>
          </cell>
          <cell r="F4302">
            <v>5133.8900000000003</v>
          </cell>
          <cell r="G4302">
            <v>0.24</v>
          </cell>
          <cell r="H4302">
            <v>1</v>
          </cell>
          <cell r="I4302" t="str">
            <v>Canada</v>
          </cell>
          <cell r="J4302" t="str">
            <v>Walmart</v>
          </cell>
        </row>
        <row r="4303">
          <cell r="A4303" t="str">
            <v>24-02-2025</v>
          </cell>
          <cell r="B4303" t="str">
            <v>Green Tea Extract</v>
          </cell>
          <cell r="C4303" t="str">
            <v>Fat Burner</v>
          </cell>
          <cell r="D4303">
            <v>177</v>
          </cell>
          <cell r="E4303">
            <v>31.79</v>
          </cell>
          <cell r="F4303">
            <v>5626.83</v>
          </cell>
          <cell r="G4303">
            <v>0.13</v>
          </cell>
          <cell r="H4303">
            <v>2</v>
          </cell>
          <cell r="I4303" t="str">
            <v>USA</v>
          </cell>
          <cell r="J4303" t="str">
            <v>Amazon</v>
          </cell>
        </row>
        <row r="4304">
          <cell r="A4304" t="str">
            <v>24-02-2025</v>
          </cell>
          <cell r="B4304" t="str">
            <v>Iron Supplement</v>
          </cell>
          <cell r="C4304" t="str">
            <v>Mineral</v>
          </cell>
          <cell r="D4304">
            <v>145</v>
          </cell>
          <cell r="E4304">
            <v>11.46</v>
          </cell>
          <cell r="F4304">
            <v>1661.7</v>
          </cell>
          <cell r="G4304">
            <v>0.11</v>
          </cell>
          <cell r="H4304">
            <v>1</v>
          </cell>
          <cell r="I4304" t="str">
            <v>USA</v>
          </cell>
          <cell r="J4304" t="str">
            <v>iHerb</v>
          </cell>
        </row>
        <row r="4305">
          <cell r="A4305" t="str">
            <v>24-02-2025</v>
          </cell>
          <cell r="B4305" t="str">
            <v>Electrolyte Powder</v>
          </cell>
          <cell r="C4305" t="str">
            <v>Hydration</v>
          </cell>
          <cell r="D4305">
            <v>154</v>
          </cell>
          <cell r="E4305">
            <v>31.37</v>
          </cell>
          <cell r="F4305">
            <v>4830.9799999999996</v>
          </cell>
          <cell r="G4305">
            <v>0.12</v>
          </cell>
          <cell r="H4305">
            <v>2</v>
          </cell>
          <cell r="I4305" t="str">
            <v>Canada</v>
          </cell>
          <cell r="J4305" t="str">
            <v>Amazon</v>
          </cell>
        </row>
        <row r="4306">
          <cell r="A4306" t="str">
            <v>03-03-2025</v>
          </cell>
          <cell r="B4306" t="str">
            <v>Whey Protein</v>
          </cell>
          <cell r="C4306" t="str">
            <v>Protein</v>
          </cell>
          <cell r="D4306">
            <v>160</v>
          </cell>
          <cell r="E4306">
            <v>27.08</v>
          </cell>
          <cell r="F4306">
            <v>4332.8</v>
          </cell>
          <cell r="G4306">
            <v>0.25</v>
          </cell>
          <cell r="H4306">
            <v>3</v>
          </cell>
          <cell r="I4306" t="str">
            <v>Canada</v>
          </cell>
          <cell r="J4306" t="str">
            <v>iHerb</v>
          </cell>
        </row>
        <row r="4307">
          <cell r="A4307" t="str">
            <v>03-03-2025</v>
          </cell>
          <cell r="B4307" t="str">
            <v>Vitamin C</v>
          </cell>
          <cell r="C4307" t="str">
            <v>Vitamin</v>
          </cell>
          <cell r="D4307">
            <v>141</v>
          </cell>
          <cell r="E4307">
            <v>25.7</v>
          </cell>
          <cell r="F4307">
            <v>3623.7</v>
          </cell>
          <cell r="G4307">
            <v>0.11</v>
          </cell>
          <cell r="H4307">
            <v>3</v>
          </cell>
          <cell r="I4307" t="str">
            <v>Canada</v>
          </cell>
          <cell r="J4307" t="str">
            <v>Amazon</v>
          </cell>
        </row>
        <row r="4308">
          <cell r="A4308" t="str">
            <v>03-03-2025</v>
          </cell>
          <cell r="B4308" t="str">
            <v>Fish Oil</v>
          </cell>
          <cell r="C4308" t="str">
            <v>Omega</v>
          </cell>
          <cell r="D4308">
            <v>161</v>
          </cell>
          <cell r="E4308">
            <v>23.6</v>
          </cell>
          <cell r="F4308">
            <v>3799.6</v>
          </cell>
          <cell r="G4308">
            <v>0.15</v>
          </cell>
          <cell r="H4308">
            <v>1</v>
          </cell>
          <cell r="I4308" t="str">
            <v>UK</v>
          </cell>
          <cell r="J4308" t="str">
            <v>iHerb</v>
          </cell>
        </row>
        <row r="4309">
          <cell r="A4309" t="str">
            <v>03-03-2025</v>
          </cell>
          <cell r="B4309" t="str">
            <v>Multivitamin</v>
          </cell>
          <cell r="C4309" t="str">
            <v>Vitamin</v>
          </cell>
          <cell r="D4309">
            <v>132</v>
          </cell>
          <cell r="E4309">
            <v>17.149999999999999</v>
          </cell>
          <cell r="F4309">
            <v>2263.8000000000002</v>
          </cell>
          <cell r="G4309">
            <v>0.17</v>
          </cell>
          <cell r="H4309">
            <v>2</v>
          </cell>
          <cell r="I4309" t="str">
            <v>Canada</v>
          </cell>
          <cell r="J4309" t="str">
            <v>Walmart</v>
          </cell>
        </row>
        <row r="4310">
          <cell r="A4310" t="str">
            <v>03-03-2025</v>
          </cell>
          <cell r="B4310" t="str">
            <v>Pre-Workout</v>
          </cell>
          <cell r="C4310" t="str">
            <v>Performance</v>
          </cell>
          <cell r="D4310">
            <v>162</v>
          </cell>
          <cell r="E4310">
            <v>49.17</v>
          </cell>
          <cell r="F4310">
            <v>7965.54</v>
          </cell>
          <cell r="G4310">
            <v>0.25</v>
          </cell>
          <cell r="H4310">
            <v>3</v>
          </cell>
          <cell r="I4310" t="str">
            <v>UK</v>
          </cell>
          <cell r="J4310" t="str">
            <v>Amazon</v>
          </cell>
        </row>
        <row r="4311">
          <cell r="A4311" t="str">
            <v>03-03-2025</v>
          </cell>
          <cell r="B4311" t="str">
            <v>BCAA</v>
          </cell>
          <cell r="C4311" t="str">
            <v>Amino Acid</v>
          </cell>
          <cell r="D4311">
            <v>159</v>
          </cell>
          <cell r="E4311">
            <v>31.09</v>
          </cell>
          <cell r="F4311">
            <v>4943.3100000000004</v>
          </cell>
          <cell r="G4311">
            <v>0.18</v>
          </cell>
          <cell r="H4311">
            <v>2</v>
          </cell>
          <cell r="I4311" t="str">
            <v>UK</v>
          </cell>
          <cell r="J4311" t="str">
            <v>Amazon</v>
          </cell>
        </row>
        <row r="4312">
          <cell r="A4312" t="str">
            <v>03-03-2025</v>
          </cell>
          <cell r="B4312" t="str">
            <v>Creatine</v>
          </cell>
          <cell r="C4312" t="str">
            <v>Performance</v>
          </cell>
          <cell r="D4312">
            <v>155</v>
          </cell>
          <cell r="E4312">
            <v>32.44</v>
          </cell>
          <cell r="F4312">
            <v>5028.2</v>
          </cell>
          <cell r="G4312">
            <v>0.03</v>
          </cell>
          <cell r="H4312">
            <v>2</v>
          </cell>
          <cell r="I4312" t="str">
            <v>USA</v>
          </cell>
          <cell r="J4312" t="str">
            <v>iHerb</v>
          </cell>
        </row>
        <row r="4313">
          <cell r="A4313" t="str">
            <v>03-03-2025</v>
          </cell>
          <cell r="B4313" t="str">
            <v>Zinc</v>
          </cell>
          <cell r="C4313" t="str">
            <v>Mineral</v>
          </cell>
          <cell r="D4313">
            <v>141</v>
          </cell>
          <cell r="E4313">
            <v>10.87</v>
          </cell>
          <cell r="F4313">
            <v>1532.67</v>
          </cell>
          <cell r="G4313">
            <v>0.1</v>
          </cell>
          <cell r="H4313">
            <v>2</v>
          </cell>
          <cell r="I4313" t="str">
            <v>Canada</v>
          </cell>
          <cell r="J4313" t="str">
            <v>Amazon</v>
          </cell>
        </row>
        <row r="4314">
          <cell r="A4314" t="str">
            <v>03-03-2025</v>
          </cell>
          <cell r="B4314" t="str">
            <v>Collagen Peptides</v>
          </cell>
          <cell r="C4314" t="str">
            <v>Protein</v>
          </cell>
          <cell r="D4314">
            <v>151</v>
          </cell>
          <cell r="E4314">
            <v>33.49</v>
          </cell>
          <cell r="F4314">
            <v>5056.99</v>
          </cell>
          <cell r="G4314">
            <v>7.0000000000000007E-2</v>
          </cell>
          <cell r="H4314">
            <v>1</v>
          </cell>
          <cell r="I4314" t="str">
            <v>Canada</v>
          </cell>
          <cell r="J4314" t="str">
            <v>Walmart</v>
          </cell>
        </row>
        <row r="4315">
          <cell r="A4315" t="str">
            <v>03-03-2025</v>
          </cell>
          <cell r="B4315" t="str">
            <v>Magnesium</v>
          </cell>
          <cell r="C4315" t="str">
            <v>Mineral</v>
          </cell>
          <cell r="D4315">
            <v>147</v>
          </cell>
          <cell r="E4315">
            <v>12.06</v>
          </cell>
          <cell r="F4315">
            <v>1772.82</v>
          </cell>
          <cell r="G4315">
            <v>0.17</v>
          </cell>
          <cell r="H4315">
            <v>3</v>
          </cell>
          <cell r="I4315" t="str">
            <v>UK</v>
          </cell>
          <cell r="J4315" t="str">
            <v>Amazon</v>
          </cell>
        </row>
        <row r="4316">
          <cell r="A4316" t="str">
            <v>03-03-2025</v>
          </cell>
          <cell r="B4316" t="str">
            <v>Ashwagandha</v>
          </cell>
          <cell r="C4316" t="str">
            <v>Herbal</v>
          </cell>
          <cell r="D4316">
            <v>181</v>
          </cell>
          <cell r="E4316">
            <v>36.57</v>
          </cell>
          <cell r="F4316">
            <v>6619.17</v>
          </cell>
          <cell r="G4316">
            <v>0.01</v>
          </cell>
          <cell r="H4316">
            <v>2</v>
          </cell>
          <cell r="I4316" t="str">
            <v>UK</v>
          </cell>
          <cell r="J4316" t="str">
            <v>iHerb</v>
          </cell>
        </row>
        <row r="4317">
          <cell r="A4317" t="str">
            <v>03-03-2025</v>
          </cell>
          <cell r="B4317" t="str">
            <v>Melatonin</v>
          </cell>
          <cell r="C4317" t="str">
            <v>Sleep Aid</v>
          </cell>
          <cell r="D4317">
            <v>134</v>
          </cell>
          <cell r="E4317">
            <v>15.69</v>
          </cell>
          <cell r="F4317">
            <v>2102.46</v>
          </cell>
          <cell r="G4317">
            <v>0.13</v>
          </cell>
          <cell r="H4317">
            <v>1</v>
          </cell>
          <cell r="I4317" t="str">
            <v>UK</v>
          </cell>
          <cell r="J4317" t="str">
            <v>iHerb</v>
          </cell>
        </row>
        <row r="4318">
          <cell r="A4318" t="str">
            <v>03-03-2025</v>
          </cell>
          <cell r="B4318" t="str">
            <v>Biotin</v>
          </cell>
          <cell r="C4318" t="str">
            <v>Vitamin</v>
          </cell>
          <cell r="D4318">
            <v>142</v>
          </cell>
          <cell r="E4318">
            <v>16.41</v>
          </cell>
          <cell r="F4318">
            <v>2330.2199999999998</v>
          </cell>
          <cell r="G4318">
            <v>0.19</v>
          </cell>
          <cell r="H4318">
            <v>2</v>
          </cell>
          <cell r="I4318" t="str">
            <v>Canada</v>
          </cell>
          <cell r="J4318" t="str">
            <v>Walmart</v>
          </cell>
        </row>
        <row r="4319">
          <cell r="A4319" t="str">
            <v>03-03-2025</v>
          </cell>
          <cell r="B4319" t="str">
            <v>Green Tea Extract</v>
          </cell>
          <cell r="C4319" t="str">
            <v>Fat Burner</v>
          </cell>
          <cell r="D4319">
            <v>154</v>
          </cell>
          <cell r="E4319">
            <v>48.14</v>
          </cell>
          <cell r="F4319">
            <v>7413.56</v>
          </cell>
          <cell r="G4319">
            <v>0.16</v>
          </cell>
          <cell r="H4319">
            <v>4</v>
          </cell>
          <cell r="I4319" t="str">
            <v>USA</v>
          </cell>
          <cell r="J4319" t="str">
            <v>Walmart</v>
          </cell>
        </row>
        <row r="4320">
          <cell r="A4320" t="str">
            <v>03-03-2025</v>
          </cell>
          <cell r="B4320" t="str">
            <v>Iron Supplement</v>
          </cell>
          <cell r="C4320" t="str">
            <v>Mineral</v>
          </cell>
          <cell r="D4320">
            <v>153</v>
          </cell>
          <cell r="E4320">
            <v>29.08</v>
          </cell>
          <cell r="F4320">
            <v>4449.24</v>
          </cell>
          <cell r="G4320">
            <v>0.04</v>
          </cell>
          <cell r="H4320">
            <v>2</v>
          </cell>
          <cell r="I4320" t="str">
            <v>UK</v>
          </cell>
          <cell r="J4320" t="str">
            <v>Amazon</v>
          </cell>
        </row>
        <row r="4321">
          <cell r="A4321" t="str">
            <v>03-03-2025</v>
          </cell>
          <cell r="B4321" t="str">
            <v>Electrolyte Powder</v>
          </cell>
          <cell r="C4321" t="str">
            <v>Hydration</v>
          </cell>
          <cell r="D4321">
            <v>158</v>
          </cell>
          <cell r="E4321">
            <v>17.920000000000002</v>
          </cell>
          <cell r="F4321">
            <v>2831.36</v>
          </cell>
          <cell r="G4321">
            <v>0.02</v>
          </cell>
          <cell r="H4321">
            <v>3</v>
          </cell>
          <cell r="I4321" t="str">
            <v>UK</v>
          </cell>
          <cell r="J4321" t="str">
            <v>Walmart</v>
          </cell>
        </row>
        <row r="4322">
          <cell r="A4322" t="str">
            <v>10-03-2025</v>
          </cell>
          <cell r="B4322" t="str">
            <v>Whey Protein</v>
          </cell>
          <cell r="C4322" t="str">
            <v>Protein</v>
          </cell>
          <cell r="D4322">
            <v>140</v>
          </cell>
          <cell r="E4322">
            <v>24.03</v>
          </cell>
          <cell r="F4322">
            <v>3364.2</v>
          </cell>
          <cell r="G4322">
            <v>0.1</v>
          </cell>
          <cell r="H4322">
            <v>2</v>
          </cell>
          <cell r="I4322" t="str">
            <v>UK</v>
          </cell>
          <cell r="J4322" t="str">
            <v>Amazon</v>
          </cell>
        </row>
        <row r="4323">
          <cell r="A4323" t="str">
            <v>10-03-2025</v>
          </cell>
          <cell r="B4323" t="str">
            <v>Vitamin C</v>
          </cell>
          <cell r="C4323" t="str">
            <v>Vitamin</v>
          </cell>
          <cell r="D4323">
            <v>166</v>
          </cell>
          <cell r="E4323">
            <v>44.32</v>
          </cell>
          <cell r="F4323">
            <v>7357.12</v>
          </cell>
          <cell r="G4323">
            <v>0.09</v>
          </cell>
          <cell r="H4323">
            <v>5</v>
          </cell>
          <cell r="I4323" t="str">
            <v>Canada</v>
          </cell>
          <cell r="J4323" t="str">
            <v>Walmart</v>
          </cell>
        </row>
        <row r="4324">
          <cell r="A4324" t="str">
            <v>10-03-2025</v>
          </cell>
          <cell r="B4324" t="str">
            <v>Fish Oil</v>
          </cell>
          <cell r="C4324" t="str">
            <v>Omega</v>
          </cell>
          <cell r="D4324">
            <v>143</v>
          </cell>
          <cell r="E4324">
            <v>35.78</v>
          </cell>
          <cell r="F4324">
            <v>5116.54</v>
          </cell>
          <cell r="G4324">
            <v>0.04</v>
          </cell>
          <cell r="H4324">
            <v>0</v>
          </cell>
          <cell r="I4324" t="str">
            <v>USA</v>
          </cell>
          <cell r="J4324" t="str">
            <v>iHerb</v>
          </cell>
        </row>
        <row r="4325">
          <cell r="A4325" t="str">
            <v>10-03-2025</v>
          </cell>
          <cell r="B4325" t="str">
            <v>Multivitamin</v>
          </cell>
          <cell r="C4325" t="str">
            <v>Vitamin</v>
          </cell>
          <cell r="D4325">
            <v>157</v>
          </cell>
          <cell r="E4325">
            <v>33.03</v>
          </cell>
          <cell r="F4325">
            <v>5185.71</v>
          </cell>
          <cell r="G4325">
            <v>0.17</v>
          </cell>
          <cell r="H4325">
            <v>2</v>
          </cell>
          <cell r="I4325" t="str">
            <v>USA</v>
          </cell>
          <cell r="J4325" t="str">
            <v>iHerb</v>
          </cell>
        </row>
        <row r="4326">
          <cell r="A4326" t="str">
            <v>10-03-2025</v>
          </cell>
          <cell r="B4326" t="str">
            <v>Pre-Workout</v>
          </cell>
          <cell r="C4326" t="str">
            <v>Performance</v>
          </cell>
          <cell r="D4326">
            <v>155</v>
          </cell>
          <cell r="E4326">
            <v>43.29</v>
          </cell>
          <cell r="F4326">
            <v>6709.95</v>
          </cell>
          <cell r="G4326">
            <v>0.05</v>
          </cell>
          <cell r="H4326">
            <v>1</v>
          </cell>
          <cell r="I4326" t="str">
            <v>UK</v>
          </cell>
          <cell r="J4326" t="str">
            <v>iHerb</v>
          </cell>
        </row>
        <row r="4327">
          <cell r="A4327" t="str">
            <v>10-03-2025</v>
          </cell>
          <cell r="B4327" t="str">
            <v>BCAA</v>
          </cell>
          <cell r="C4327" t="str">
            <v>Amino Acid</v>
          </cell>
          <cell r="D4327">
            <v>148</v>
          </cell>
          <cell r="E4327">
            <v>48.72</v>
          </cell>
          <cell r="F4327">
            <v>7210.56</v>
          </cell>
          <cell r="G4327">
            <v>0.09</v>
          </cell>
          <cell r="H4327">
            <v>0</v>
          </cell>
          <cell r="I4327" t="str">
            <v>USA</v>
          </cell>
          <cell r="J4327" t="str">
            <v>Walmart</v>
          </cell>
        </row>
        <row r="4328">
          <cell r="A4328" t="str">
            <v>10-03-2025</v>
          </cell>
          <cell r="B4328" t="str">
            <v>Creatine</v>
          </cell>
          <cell r="C4328" t="str">
            <v>Performance</v>
          </cell>
          <cell r="D4328">
            <v>141</v>
          </cell>
          <cell r="E4328">
            <v>46.58</v>
          </cell>
          <cell r="F4328">
            <v>6567.78</v>
          </cell>
          <cell r="G4328">
            <v>0.12</v>
          </cell>
          <cell r="H4328">
            <v>2</v>
          </cell>
          <cell r="I4328" t="str">
            <v>UK</v>
          </cell>
          <cell r="J4328" t="str">
            <v>Amazon</v>
          </cell>
        </row>
        <row r="4329">
          <cell r="A4329" t="str">
            <v>10-03-2025</v>
          </cell>
          <cell r="B4329" t="str">
            <v>Zinc</v>
          </cell>
          <cell r="C4329" t="str">
            <v>Mineral</v>
          </cell>
          <cell r="D4329">
            <v>147</v>
          </cell>
          <cell r="E4329">
            <v>59.18</v>
          </cell>
          <cell r="F4329">
            <v>8699.4599999999991</v>
          </cell>
          <cell r="G4329">
            <v>0.17</v>
          </cell>
          <cell r="H4329">
            <v>3</v>
          </cell>
          <cell r="I4329" t="str">
            <v>Canada</v>
          </cell>
          <cell r="J4329" t="str">
            <v>Amazon</v>
          </cell>
        </row>
        <row r="4330">
          <cell r="A4330" t="str">
            <v>10-03-2025</v>
          </cell>
          <cell r="B4330" t="str">
            <v>Collagen Peptides</v>
          </cell>
          <cell r="C4330" t="str">
            <v>Protein</v>
          </cell>
          <cell r="D4330">
            <v>150</v>
          </cell>
          <cell r="E4330">
            <v>51.58</v>
          </cell>
          <cell r="F4330">
            <v>7737</v>
          </cell>
          <cell r="G4330">
            <v>0.25</v>
          </cell>
          <cell r="H4330">
            <v>2</v>
          </cell>
          <cell r="I4330" t="str">
            <v>USA</v>
          </cell>
          <cell r="J4330" t="str">
            <v>iHerb</v>
          </cell>
        </row>
        <row r="4331">
          <cell r="A4331" t="str">
            <v>10-03-2025</v>
          </cell>
          <cell r="B4331" t="str">
            <v>Magnesium</v>
          </cell>
          <cell r="C4331" t="str">
            <v>Mineral</v>
          </cell>
          <cell r="D4331">
            <v>161</v>
          </cell>
          <cell r="E4331">
            <v>22.96</v>
          </cell>
          <cell r="F4331">
            <v>3696.56</v>
          </cell>
          <cell r="G4331">
            <v>0.09</v>
          </cell>
          <cell r="H4331">
            <v>3</v>
          </cell>
          <cell r="I4331" t="str">
            <v>Canada</v>
          </cell>
          <cell r="J4331" t="str">
            <v>iHerb</v>
          </cell>
        </row>
        <row r="4332">
          <cell r="A4332" t="str">
            <v>10-03-2025</v>
          </cell>
          <cell r="B4332" t="str">
            <v>Ashwagandha</v>
          </cell>
          <cell r="C4332" t="str">
            <v>Herbal</v>
          </cell>
          <cell r="D4332">
            <v>124</v>
          </cell>
          <cell r="E4332">
            <v>28.62</v>
          </cell>
          <cell r="F4332">
            <v>3548.88</v>
          </cell>
          <cell r="G4332">
            <v>0.1</v>
          </cell>
          <cell r="H4332">
            <v>3</v>
          </cell>
          <cell r="I4332" t="str">
            <v>UK</v>
          </cell>
          <cell r="J4332" t="str">
            <v>Walmart</v>
          </cell>
        </row>
        <row r="4333">
          <cell r="A4333" t="str">
            <v>10-03-2025</v>
          </cell>
          <cell r="B4333" t="str">
            <v>Melatonin</v>
          </cell>
          <cell r="C4333" t="str">
            <v>Sleep Aid</v>
          </cell>
          <cell r="D4333">
            <v>165</v>
          </cell>
          <cell r="E4333">
            <v>23.65</v>
          </cell>
          <cell r="F4333">
            <v>3902.25</v>
          </cell>
          <cell r="G4333">
            <v>0.12</v>
          </cell>
          <cell r="H4333">
            <v>1</v>
          </cell>
          <cell r="I4333" t="str">
            <v>USA</v>
          </cell>
          <cell r="J4333" t="str">
            <v>Amazon</v>
          </cell>
        </row>
        <row r="4334">
          <cell r="A4334" t="str">
            <v>10-03-2025</v>
          </cell>
          <cell r="B4334" t="str">
            <v>Biotin</v>
          </cell>
          <cell r="C4334" t="str">
            <v>Vitamin</v>
          </cell>
          <cell r="D4334">
            <v>145</v>
          </cell>
          <cell r="E4334">
            <v>37.159999999999997</v>
          </cell>
          <cell r="F4334">
            <v>5388.2</v>
          </cell>
          <cell r="G4334">
            <v>0.08</v>
          </cell>
          <cell r="H4334">
            <v>2</v>
          </cell>
          <cell r="I4334" t="str">
            <v>UK</v>
          </cell>
          <cell r="J4334" t="str">
            <v>iHerb</v>
          </cell>
        </row>
        <row r="4335">
          <cell r="A4335" t="str">
            <v>10-03-2025</v>
          </cell>
          <cell r="B4335" t="str">
            <v>Green Tea Extract</v>
          </cell>
          <cell r="C4335" t="str">
            <v>Fat Burner</v>
          </cell>
          <cell r="D4335">
            <v>143</v>
          </cell>
          <cell r="E4335">
            <v>12.62</v>
          </cell>
          <cell r="F4335">
            <v>1804.66</v>
          </cell>
          <cell r="G4335">
            <v>0.25</v>
          </cell>
          <cell r="H4335">
            <v>1</v>
          </cell>
          <cell r="I4335" t="str">
            <v>Canada</v>
          </cell>
          <cell r="J4335" t="str">
            <v>iHerb</v>
          </cell>
        </row>
        <row r="4336">
          <cell r="A4336" t="str">
            <v>10-03-2025</v>
          </cell>
          <cell r="B4336" t="str">
            <v>Iron Supplement</v>
          </cell>
          <cell r="C4336" t="str">
            <v>Mineral</v>
          </cell>
          <cell r="D4336">
            <v>166</v>
          </cell>
          <cell r="E4336">
            <v>45.05</v>
          </cell>
          <cell r="F4336">
            <v>7478.3</v>
          </cell>
          <cell r="G4336">
            <v>0.03</v>
          </cell>
          <cell r="H4336">
            <v>2</v>
          </cell>
          <cell r="I4336" t="str">
            <v>UK</v>
          </cell>
          <cell r="J4336" t="str">
            <v>iHerb</v>
          </cell>
        </row>
        <row r="4337">
          <cell r="A4337" t="str">
            <v>10-03-2025</v>
          </cell>
          <cell r="B4337" t="str">
            <v>Electrolyte Powder</v>
          </cell>
          <cell r="C4337" t="str">
            <v>Hydration</v>
          </cell>
          <cell r="D4337">
            <v>160</v>
          </cell>
          <cell r="E4337">
            <v>54.64</v>
          </cell>
          <cell r="F4337">
            <v>8742.4</v>
          </cell>
          <cell r="G4337">
            <v>7.0000000000000007E-2</v>
          </cell>
          <cell r="H4337">
            <v>1</v>
          </cell>
          <cell r="I4337" t="str">
            <v>USA</v>
          </cell>
          <cell r="J4337" t="str">
            <v>Walmart</v>
          </cell>
        </row>
        <row r="4338">
          <cell r="A4338" t="str">
            <v>17-03-2025</v>
          </cell>
          <cell r="B4338" t="str">
            <v>Whey Protein</v>
          </cell>
          <cell r="C4338" t="str">
            <v>Protein</v>
          </cell>
          <cell r="D4338">
            <v>166</v>
          </cell>
          <cell r="E4338">
            <v>10.07</v>
          </cell>
          <cell r="F4338">
            <v>1671.62</v>
          </cell>
          <cell r="G4338">
            <v>0.09</v>
          </cell>
          <cell r="H4338">
            <v>3</v>
          </cell>
          <cell r="I4338" t="str">
            <v>Canada</v>
          </cell>
          <cell r="J4338" t="str">
            <v>iHerb</v>
          </cell>
        </row>
        <row r="4339">
          <cell r="A4339" t="str">
            <v>17-03-2025</v>
          </cell>
          <cell r="B4339" t="str">
            <v>Vitamin C</v>
          </cell>
          <cell r="C4339" t="str">
            <v>Vitamin</v>
          </cell>
          <cell r="D4339">
            <v>109</v>
          </cell>
          <cell r="E4339">
            <v>24.06</v>
          </cell>
          <cell r="F4339">
            <v>2622.54</v>
          </cell>
          <cell r="G4339">
            <v>0.23</v>
          </cell>
          <cell r="H4339">
            <v>2</v>
          </cell>
          <cell r="I4339" t="str">
            <v>UK</v>
          </cell>
          <cell r="J4339" t="str">
            <v>Amazon</v>
          </cell>
        </row>
        <row r="4340">
          <cell r="A4340" t="str">
            <v>17-03-2025</v>
          </cell>
          <cell r="B4340" t="str">
            <v>Fish Oil</v>
          </cell>
          <cell r="C4340" t="str">
            <v>Omega</v>
          </cell>
          <cell r="D4340">
            <v>151</v>
          </cell>
          <cell r="E4340">
            <v>26.6</v>
          </cell>
          <cell r="F4340">
            <v>4016.6</v>
          </cell>
          <cell r="G4340">
            <v>0.06</v>
          </cell>
          <cell r="H4340">
            <v>3</v>
          </cell>
          <cell r="I4340" t="str">
            <v>UK</v>
          </cell>
          <cell r="J4340" t="str">
            <v>Walmart</v>
          </cell>
        </row>
        <row r="4341">
          <cell r="A4341" t="str">
            <v>17-03-2025</v>
          </cell>
          <cell r="B4341" t="str">
            <v>Multivitamin</v>
          </cell>
          <cell r="C4341" t="str">
            <v>Vitamin</v>
          </cell>
          <cell r="D4341">
            <v>132</v>
          </cell>
          <cell r="E4341">
            <v>41.72</v>
          </cell>
          <cell r="F4341">
            <v>5507.04</v>
          </cell>
          <cell r="G4341">
            <v>0.03</v>
          </cell>
          <cell r="H4341">
            <v>1</v>
          </cell>
          <cell r="I4341" t="str">
            <v>USA</v>
          </cell>
          <cell r="J4341" t="str">
            <v>Walmart</v>
          </cell>
        </row>
        <row r="4342">
          <cell r="A4342" t="str">
            <v>17-03-2025</v>
          </cell>
          <cell r="B4342" t="str">
            <v>Pre-Workout</v>
          </cell>
          <cell r="C4342" t="str">
            <v>Performance</v>
          </cell>
          <cell r="D4342">
            <v>153</v>
          </cell>
          <cell r="E4342">
            <v>21.74</v>
          </cell>
          <cell r="F4342">
            <v>3326.22</v>
          </cell>
          <cell r="G4342">
            <v>7.0000000000000007E-2</v>
          </cell>
          <cell r="H4342">
            <v>2</v>
          </cell>
          <cell r="I4342" t="str">
            <v>Canada</v>
          </cell>
          <cell r="J4342" t="str">
            <v>Amazon</v>
          </cell>
        </row>
        <row r="4343">
          <cell r="A4343" t="str">
            <v>17-03-2025</v>
          </cell>
          <cell r="B4343" t="str">
            <v>BCAA</v>
          </cell>
          <cell r="C4343" t="str">
            <v>Amino Acid</v>
          </cell>
          <cell r="D4343">
            <v>163</v>
          </cell>
          <cell r="E4343">
            <v>25.02</v>
          </cell>
          <cell r="F4343">
            <v>4078.26</v>
          </cell>
          <cell r="G4343">
            <v>0.01</v>
          </cell>
          <cell r="H4343">
            <v>1</v>
          </cell>
          <cell r="I4343" t="str">
            <v>Canada</v>
          </cell>
          <cell r="J4343" t="str">
            <v>Walmart</v>
          </cell>
        </row>
        <row r="4344">
          <cell r="A4344" t="str">
            <v>17-03-2025</v>
          </cell>
          <cell r="B4344" t="str">
            <v>Creatine</v>
          </cell>
          <cell r="C4344" t="str">
            <v>Performance</v>
          </cell>
          <cell r="D4344">
            <v>152</v>
          </cell>
          <cell r="E4344">
            <v>45.63</v>
          </cell>
          <cell r="F4344">
            <v>6935.76</v>
          </cell>
          <cell r="G4344">
            <v>0.05</v>
          </cell>
          <cell r="H4344">
            <v>0</v>
          </cell>
          <cell r="I4344" t="str">
            <v>Canada</v>
          </cell>
          <cell r="J4344" t="str">
            <v>Walmart</v>
          </cell>
        </row>
        <row r="4345">
          <cell r="A4345" t="str">
            <v>17-03-2025</v>
          </cell>
          <cell r="B4345" t="str">
            <v>Zinc</v>
          </cell>
          <cell r="C4345" t="str">
            <v>Mineral</v>
          </cell>
          <cell r="D4345">
            <v>144</v>
          </cell>
          <cell r="E4345">
            <v>15.33</v>
          </cell>
          <cell r="F4345">
            <v>2207.52</v>
          </cell>
          <cell r="G4345">
            <v>0.06</v>
          </cell>
          <cell r="H4345">
            <v>0</v>
          </cell>
          <cell r="I4345" t="str">
            <v>USA</v>
          </cell>
          <cell r="J4345" t="str">
            <v>Amazon</v>
          </cell>
        </row>
        <row r="4346">
          <cell r="A4346" t="str">
            <v>17-03-2025</v>
          </cell>
          <cell r="B4346" t="str">
            <v>Collagen Peptides</v>
          </cell>
          <cell r="C4346" t="str">
            <v>Protein</v>
          </cell>
          <cell r="D4346">
            <v>158</v>
          </cell>
          <cell r="E4346">
            <v>17.22</v>
          </cell>
          <cell r="F4346">
            <v>2720.76</v>
          </cell>
          <cell r="G4346">
            <v>0.15</v>
          </cell>
          <cell r="H4346">
            <v>0</v>
          </cell>
          <cell r="I4346" t="str">
            <v>UK</v>
          </cell>
          <cell r="J4346" t="str">
            <v>Amazon</v>
          </cell>
        </row>
        <row r="4347">
          <cell r="A4347" t="str">
            <v>17-03-2025</v>
          </cell>
          <cell r="B4347" t="str">
            <v>Magnesium</v>
          </cell>
          <cell r="C4347" t="str">
            <v>Mineral</v>
          </cell>
          <cell r="D4347">
            <v>146</v>
          </cell>
          <cell r="E4347">
            <v>37.94</v>
          </cell>
          <cell r="F4347">
            <v>5539.24</v>
          </cell>
          <cell r="G4347">
            <v>0.03</v>
          </cell>
          <cell r="H4347">
            <v>0</v>
          </cell>
          <cell r="I4347" t="str">
            <v>UK</v>
          </cell>
          <cell r="J4347" t="str">
            <v>Walmart</v>
          </cell>
        </row>
        <row r="4348">
          <cell r="A4348" t="str">
            <v>17-03-2025</v>
          </cell>
          <cell r="B4348" t="str">
            <v>Ashwagandha</v>
          </cell>
          <cell r="C4348" t="str">
            <v>Herbal</v>
          </cell>
          <cell r="D4348">
            <v>162</v>
          </cell>
          <cell r="E4348">
            <v>14.09</v>
          </cell>
          <cell r="F4348">
            <v>2282.58</v>
          </cell>
          <cell r="G4348">
            <v>0.03</v>
          </cell>
          <cell r="H4348">
            <v>3</v>
          </cell>
          <cell r="I4348" t="str">
            <v>USA</v>
          </cell>
          <cell r="J4348" t="str">
            <v>Amazon</v>
          </cell>
        </row>
        <row r="4349">
          <cell r="A4349" t="str">
            <v>17-03-2025</v>
          </cell>
          <cell r="B4349" t="str">
            <v>Melatonin</v>
          </cell>
          <cell r="C4349" t="str">
            <v>Sleep Aid</v>
          </cell>
          <cell r="D4349">
            <v>141</v>
          </cell>
          <cell r="E4349">
            <v>21.82</v>
          </cell>
          <cell r="F4349">
            <v>3076.62</v>
          </cell>
          <cell r="G4349">
            <v>0.16</v>
          </cell>
          <cell r="H4349">
            <v>0</v>
          </cell>
          <cell r="I4349" t="str">
            <v>Canada</v>
          </cell>
          <cell r="J4349" t="str">
            <v>iHerb</v>
          </cell>
        </row>
        <row r="4350">
          <cell r="A4350" t="str">
            <v>17-03-2025</v>
          </cell>
          <cell r="B4350" t="str">
            <v>Biotin</v>
          </cell>
          <cell r="C4350" t="str">
            <v>Vitamin</v>
          </cell>
          <cell r="D4350">
            <v>134</v>
          </cell>
          <cell r="E4350">
            <v>44.68</v>
          </cell>
          <cell r="F4350">
            <v>5987.12</v>
          </cell>
          <cell r="G4350">
            <v>0.12</v>
          </cell>
          <cell r="H4350">
            <v>2</v>
          </cell>
          <cell r="I4350" t="str">
            <v>UK</v>
          </cell>
          <cell r="J4350" t="str">
            <v>iHerb</v>
          </cell>
        </row>
        <row r="4351">
          <cell r="A4351" t="str">
            <v>17-03-2025</v>
          </cell>
          <cell r="B4351" t="str">
            <v>Green Tea Extract</v>
          </cell>
          <cell r="C4351" t="str">
            <v>Fat Burner</v>
          </cell>
          <cell r="D4351">
            <v>167</v>
          </cell>
          <cell r="E4351">
            <v>33.090000000000003</v>
          </cell>
          <cell r="F4351">
            <v>5526.03</v>
          </cell>
          <cell r="G4351">
            <v>0.25</v>
          </cell>
          <cell r="H4351">
            <v>1</v>
          </cell>
          <cell r="I4351" t="str">
            <v>UK</v>
          </cell>
          <cell r="J4351" t="str">
            <v>Walmart</v>
          </cell>
        </row>
        <row r="4352">
          <cell r="A4352" t="str">
            <v>17-03-2025</v>
          </cell>
          <cell r="B4352" t="str">
            <v>Iron Supplement</v>
          </cell>
          <cell r="C4352" t="str">
            <v>Mineral</v>
          </cell>
          <cell r="D4352">
            <v>143</v>
          </cell>
          <cell r="E4352">
            <v>37.94</v>
          </cell>
          <cell r="F4352">
            <v>5425.42</v>
          </cell>
          <cell r="G4352">
            <v>0.06</v>
          </cell>
          <cell r="H4352">
            <v>1</v>
          </cell>
          <cell r="I4352" t="str">
            <v>UK</v>
          </cell>
          <cell r="J4352" t="str">
            <v>Amazon</v>
          </cell>
        </row>
        <row r="4353">
          <cell r="A4353" t="str">
            <v>17-03-2025</v>
          </cell>
          <cell r="B4353" t="str">
            <v>Electrolyte Powder</v>
          </cell>
          <cell r="C4353" t="str">
            <v>Hydration</v>
          </cell>
          <cell r="D4353">
            <v>160</v>
          </cell>
          <cell r="E4353">
            <v>29.17</v>
          </cell>
          <cell r="F4353">
            <v>4667.2</v>
          </cell>
          <cell r="G4353">
            <v>7.0000000000000007E-2</v>
          </cell>
          <cell r="H4353">
            <v>3</v>
          </cell>
          <cell r="I4353" t="str">
            <v>USA</v>
          </cell>
          <cell r="J4353" t="str">
            <v>Amazon</v>
          </cell>
        </row>
        <row r="4354">
          <cell r="A4354" t="str">
            <v>24-03-2025</v>
          </cell>
          <cell r="B4354" t="str">
            <v>Whey Protein</v>
          </cell>
          <cell r="C4354" t="str">
            <v>Protein</v>
          </cell>
          <cell r="D4354">
            <v>158</v>
          </cell>
          <cell r="E4354">
            <v>18.5</v>
          </cell>
          <cell r="F4354">
            <v>2923</v>
          </cell>
          <cell r="G4354">
            <v>0.02</v>
          </cell>
          <cell r="H4354">
            <v>0</v>
          </cell>
          <cell r="I4354" t="str">
            <v>UK</v>
          </cell>
          <cell r="J4354" t="str">
            <v>Amazon</v>
          </cell>
        </row>
        <row r="4355">
          <cell r="A4355" t="str">
            <v>24-03-2025</v>
          </cell>
          <cell r="B4355" t="str">
            <v>Vitamin C</v>
          </cell>
          <cell r="C4355" t="str">
            <v>Vitamin</v>
          </cell>
          <cell r="D4355">
            <v>136</v>
          </cell>
          <cell r="E4355">
            <v>58.55</v>
          </cell>
          <cell r="F4355">
            <v>7962.8</v>
          </cell>
          <cell r="G4355">
            <v>0.09</v>
          </cell>
          <cell r="H4355">
            <v>4</v>
          </cell>
          <cell r="I4355" t="str">
            <v>Canada</v>
          </cell>
          <cell r="J4355" t="str">
            <v>Walmart</v>
          </cell>
        </row>
        <row r="4356">
          <cell r="A4356" t="str">
            <v>24-03-2025</v>
          </cell>
          <cell r="B4356" t="str">
            <v>Fish Oil</v>
          </cell>
          <cell r="C4356" t="str">
            <v>Omega</v>
          </cell>
          <cell r="D4356">
            <v>138</v>
          </cell>
          <cell r="E4356">
            <v>34.549999999999997</v>
          </cell>
          <cell r="F4356">
            <v>4767.8999999999996</v>
          </cell>
          <cell r="G4356">
            <v>0.1</v>
          </cell>
          <cell r="H4356">
            <v>2</v>
          </cell>
          <cell r="I4356" t="str">
            <v>Canada</v>
          </cell>
          <cell r="J4356" t="str">
            <v>Walmart</v>
          </cell>
        </row>
        <row r="4357">
          <cell r="A4357" t="str">
            <v>24-03-2025</v>
          </cell>
          <cell r="B4357" t="str">
            <v>Multivitamin</v>
          </cell>
          <cell r="C4357" t="str">
            <v>Vitamin</v>
          </cell>
          <cell r="D4357">
            <v>158</v>
          </cell>
          <cell r="E4357">
            <v>41.39</v>
          </cell>
          <cell r="F4357">
            <v>6539.62</v>
          </cell>
          <cell r="G4357">
            <v>0.11</v>
          </cell>
          <cell r="H4357">
            <v>3</v>
          </cell>
          <cell r="I4357" t="str">
            <v>USA</v>
          </cell>
          <cell r="J4357" t="str">
            <v>Walmart</v>
          </cell>
        </row>
        <row r="4358">
          <cell r="A4358" t="str">
            <v>24-03-2025</v>
          </cell>
          <cell r="B4358" t="str">
            <v>Pre-Workout</v>
          </cell>
          <cell r="C4358" t="str">
            <v>Performance</v>
          </cell>
          <cell r="D4358">
            <v>146</v>
          </cell>
          <cell r="E4358">
            <v>21.41</v>
          </cell>
          <cell r="F4358">
            <v>3125.86</v>
          </cell>
          <cell r="G4358">
            <v>0.06</v>
          </cell>
          <cell r="H4358">
            <v>1</v>
          </cell>
          <cell r="I4358" t="str">
            <v>USA</v>
          </cell>
          <cell r="J4358" t="str">
            <v>Walmart</v>
          </cell>
        </row>
        <row r="4359">
          <cell r="A4359" t="str">
            <v>24-03-2025</v>
          </cell>
          <cell r="B4359" t="str">
            <v>BCAA</v>
          </cell>
          <cell r="C4359" t="str">
            <v>Amino Acid</v>
          </cell>
          <cell r="D4359">
            <v>143</v>
          </cell>
          <cell r="E4359">
            <v>12.48</v>
          </cell>
          <cell r="F4359">
            <v>1784.64</v>
          </cell>
          <cell r="G4359">
            <v>0.21</v>
          </cell>
          <cell r="H4359">
            <v>0</v>
          </cell>
          <cell r="I4359" t="str">
            <v>Canada</v>
          </cell>
          <cell r="J4359" t="str">
            <v>Amazon</v>
          </cell>
        </row>
        <row r="4360">
          <cell r="A4360" t="str">
            <v>24-03-2025</v>
          </cell>
          <cell r="B4360" t="str">
            <v>Creatine</v>
          </cell>
          <cell r="C4360" t="str">
            <v>Performance</v>
          </cell>
          <cell r="D4360">
            <v>167</v>
          </cell>
          <cell r="E4360">
            <v>13.26</v>
          </cell>
          <cell r="F4360">
            <v>2214.42</v>
          </cell>
          <cell r="G4360">
            <v>0.14000000000000001</v>
          </cell>
          <cell r="H4360">
            <v>2</v>
          </cell>
          <cell r="I4360" t="str">
            <v>USA</v>
          </cell>
          <cell r="J4360" t="str">
            <v>Walmart</v>
          </cell>
        </row>
        <row r="4361">
          <cell r="A4361" t="str">
            <v>24-03-2025</v>
          </cell>
          <cell r="B4361" t="str">
            <v>Zinc</v>
          </cell>
          <cell r="C4361" t="str">
            <v>Mineral</v>
          </cell>
          <cell r="D4361">
            <v>150</v>
          </cell>
          <cell r="E4361">
            <v>24.35</v>
          </cell>
          <cell r="F4361">
            <v>3652.5</v>
          </cell>
          <cell r="G4361">
            <v>0.17</v>
          </cell>
          <cell r="H4361">
            <v>1</v>
          </cell>
          <cell r="I4361" t="str">
            <v>Canada</v>
          </cell>
          <cell r="J4361" t="str">
            <v>iHerb</v>
          </cell>
        </row>
        <row r="4362">
          <cell r="A4362" t="str">
            <v>24-03-2025</v>
          </cell>
          <cell r="B4362" t="str">
            <v>Collagen Peptides</v>
          </cell>
          <cell r="C4362" t="str">
            <v>Protein</v>
          </cell>
          <cell r="D4362">
            <v>144</v>
          </cell>
          <cell r="E4362">
            <v>46.39</v>
          </cell>
          <cell r="F4362">
            <v>6680.16</v>
          </cell>
          <cell r="G4362">
            <v>0.1</v>
          </cell>
          <cell r="H4362">
            <v>3</v>
          </cell>
          <cell r="I4362" t="str">
            <v>Canada</v>
          </cell>
          <cell r="J4362" t="str">
            <v>iHerb</v>
          </cell>
        </row>
        <row r="4363">
          <cell r="A4363" t="str">
            <v>24-03-2025</v>
          </cell>
          <cell r="B4363" t="str">
            <v>Magnesium</v>
          </cell>
          <cell r="C4363" t="str">
            <v>Mineral</v>
          </cell>
          <cell r="D4363">
            <v>171</v>
          </cell>
          <cell r="E4363">
            <v>20.75</v>
          </cell>
          <cell r="F4363">
            <v>3548.25</v>
          </cell>
          <cell r="G4363">
            <v>0.23</v>
          </cell>
          <cell r="H4363">
            <v>1</v>
          </cell>
          <cell r="I4363" t="str">
            <v>UK</v>
          </cell>
          <cell r="J4363" t="str">
            <v>Walmart</v>
          </cell>
        </row>
        <row r="4364">
          <cell r="A4364" t="str">
            <v>24-03-2025</v>
          </cell>
          <cell r="B4364" t="str">
            <v>Ashwagandha</v>
          </cell>
          <cell r="C4364" t="str">
            <v>Herbal</v>
          </cell>
          <cell r="D4364">
            <v>122</v>
          </cell>
          <cell r="E4364">
            <v>46.35</v>
          </cell>
          <cell r="F4364">
            <v>5654.7</v>
          </cell>
          <cell r="G4364">
            <v>0.23</v>
          </cell>
          <cell r="H4364">
            <v>1</v>
          </cell>
          <cell r="I4364" t="str">
            <v>USA</v>
          </cell>
          <cell r="J4364" t="str">
            <v>Walmart</v>
          </cell>
        </row>
        <row r="4365">
          <cell r="A4365" t="str">
            <v>24-03-2025</v>
          </cell>
          <cell r="B4365" t="str">
            <v>Melatonin</v>
          </cell>
          <cell r="C4365" t="str">
            <v>Sleep Aid</v>
          </cell>
          <cell r="D4365">
            <v>178</v>
          </cell>
          <cell r="E4365">
            <v>13.04</v>
          </cell>
          <cell r="F4365">
            <v>2321.12</v>
          </cell>
          <cell r="G4365">
            <v>0.15</v>
          </cell>
          <cell r="H4365">
            <v>5</v>
          </cell>
          <cell r="I4365" t="str">
            <v>UK</v>
          </cell>
          <cell r="J4365" t="str">
            <v>Walmart</v>
          </cell>
        </row>
        <row r="4366">
          <cell r="A4366" t="str">
            <v>24-03-2025</v>
          </cell>
          <cell r="B4366" t="str">
            <v>Biotin</v>
          </cell>
          <cell r="C4366" t="str">
            <v>Vitamin</v>
          </cell>
          <cell r="D4366">
            <v>150</v>
          </cell>
          <cell r="E4366">
            <v>21.06</v>
          </cell>
          <cell r="F4366">
            <v>3159</v>
          </cell>
          <cell r="G4366">
            <v>0.06</v>
          </cell>
          <cell r="H4366">
            <v>1</v>
          </cell>
          <cell r="I4366" t="str">
            <v>UK</v>
          </cell>
          <cell r="J4366" t="str">
            <v>Amazon</v>
          </cell>
        </row>
        <row r="4367">
          <cell r="A4367" t="str">
            <v>24-03-2025</v>
          </cell>
          <cell r="B4367" t="str">
            <v>Green Tea Extract</v>
          </cell>
          <cell r="C4367" t="str">
            <v>Fat Burner</v>
          </cell>
          <cell r="D4367">
            <v>150</v>
          </cell>
          <cell r="E4367">
            <v>13.36</v>
          </cell>
          <cell r="F4367">
            <v>2004</v>
          </cell>
          <cell r="G4367">
            <v>0.01</v>
          </cell>
          <cell r="H4367">
            <v>2</v>
          </cell>
          <cell r="I4367" t="str">
            <v>USA</v>
          </cell>
          <cell r="J4367" t="str">
            <v>Amazon</v>
          </cell>
        </row>
        <row r="4368">
          <cell r="A4368" t="str">
            <v>24-03-2025</v>
          </cell>
          <cell r="B4368" t="str">
            <v>Iron Supplement</v>
          </cell>
          <cell r="C4368" t="str">
            <v>Mineral</v>
          </cell>
          <cell r="D4368">
            <v>167</v>
          </cell>
          <cell r="E4368">
            <v>53.89</v>
          </cell>
          <cell r="F4368">
            <v>8999.6299999999992</v>
          </cell>
          <cell r="G4368">
            <v>0.2</v>
          </cell>
          <cell r="H4368">
            <v>0</v>
          </cell>
          <cell r="I4368" t="str">
            <v>USA</v>
          </cell>
          <cell r="J4368" t="str">
            <v>Amazon</v>
          </cell>
        </row>
        <row r="4369">
          <cell r="A4369" t="str">
            <v>24-03-2025</v>
          </cell>
          <cell r="B4369" t="str">
            <v>Electrolyte Powder</v>
          </cell>
          <cell r="C4369" t="str">
            <v>Hydration</v>
          </cell>
          <cell r="D4369">
            <v>138</v>
          </cell>
          <cell r="E4369">
            <v>32.18</v>
          </cell>
          <cell r="F4369">
            <v>4440.84</v>
          </cell>
          <cell r="G4369">
            <v>7.0000000000000007E-2</v>
          </cell>
          <cell r="H4369">
            <v>1</v>
          </cell>
          <cell r="I4369" t="str">
            <v>Canada</v>
          </cell>
          <cell r="J4369" t="str">
            <v>Amazon</v>
          </cell>
        </row>
        <row r="4370">
          <cell r="A4370" t="str">
            <v>31-03-2025</v>
          </cell>
          <cell r="B4370" t="str">
            <v>Whey Protein</v>
          </cell>
          <cell r="C4370" t="str">
            <v>Protein</v>
          </cell>
          <cell r="D4370">
            <v>148</v>
          </cell>
          <cell r="E4370">
            <v>15.17</v>
          </cell>
          <cell r="F4370">
            <v>2245.16</v>
          </cell>
          <cell r="G4370">
            <v>7.0000000000000007E-2</v>
          </cell>
          <cell r="H4370">
            <v>1</v>
          </cell>
          <cell r="I4370" t="str">
            <v>UK</v>
          </cell>
          <cell r="J4370" t="str">
            <v>Amazon</v>
          </cell>
        </row>
        <row r="4371">
          <cell r="A4371" t="str">
            <v>31-03-2025</v>
          </cell>
          <cell r="B4371" t="str">
            <v>Vitamin C</v>
          </cell>
          <cell r="C4371" t="str">
            <v>Vitamin</v>
          </cell>
          <cell r="D4371">
            <v>157</v>
          </cell>
          <cell r="E4371">
            <v>57.08</v>
          </cell>
          <cell r="F4371">
            <v>8961.56</v>
          </cell>
          <cell r="G4371">
            <v>0.2</v>
          </cell>
          <cell r="H4371">
            <v>2</v>
          </cell>
          <cell r="I4371" t="str">
            <v>UK</v>
          </cell>
          <cell r="J4371" t="str">
            <v>iHerb</v>
          </cell>
        </row>
        <row r="4372">
          <cell r="A4372" t="str">
            <v>31-03-2025</v>
          </cell>
          <cell r="B4372" t="str">
            <v>Fish Oil</v>
          </cell>
          <cell r="C4372" t="str">
            <v>Omega</v>
          </cell>
          <cell r="D4372">
            <v>139</v>
          </cell>
          <cell r="E4372">
            <v>44.67</v>
          </cell>
          <cell r="F4372">
            <v>6209.13</v>
          </cell>
          <cell r="G4372">
            <v>0.21</v>
          </cell>
          <cell r="H4372">
            <v>4</v>
          </cell>
          <cell r="I4372" t="str">
            <v>USA</v>
          </cell>
          <cell r="J4372" t="str">
            <v>iHerb</v>
          </cell>
        </row>
        <row r="4373">
          <cell r="A4373" t="str">
            <v>31-03-2025</v>
          </cell>
          <cell r="B4373" t="str">
            <v>Multivitamin</v>
          </cell>
          <cell r="C4373" t="str">
            <v>Vitamin</v>
          </cell>
          <cell r="D4373">
            <v>154</v>
          </cell>
          <cell r="E4373">
            <v>10.88</v>
          </cell>
          <cell r="F4373">
            <v>1675.52</v>
          </cell>
          <cell r="G4373">
            <v>0.02</v>
          </cell>
          <cell r="H4373">
            <v>0</v>
          </cell>
          <cell r="I4373" t="str">
            <v>Canada</v>
          </cell>
          <cell r="J4373" t="str">
            <v>Amazon</v>
          </cell>
        </row>
        <row r="4374">
          <cell r="A4374" t="str">
            <v>31-03-2025</v>
          </cell>
          <cell r="B4374" t="str">
            <v>Pre-Workout</v>
          </cell>
          <cell r="C4374" t="str">
            <v>Performance</v>
          </cell>
          <cell r="D4374">
            <v>124</v>
          </cell>
          <cell r="E4374">
            <v>26.84</v>
          </cell>
          <cell r="F4374">
            <v>3328.16</v>
          </cell>
          <cell r="G4374">
            <v>0.16</v>
          </cell>
          <cell r="H4374">
            <v>1</v>
          </cell>
          <cell r="I4374" t="str">
            <v>Canada</v>
          </cell>
          <cell r="J4374" t="str">
            <v>iHerb</v>
          </cell>
        </row>
        <row r="4375">
          <cell r="A4375" t="str">
            <v>31-03-2025</v>
          </cell>
          <cell r="B4375" t="str">
            <v>BCAA</v>
          </cell>
          <cell r="C4375" t="str">
            <v>Amino Acid</v>
          </cell>
          <cell r="D4375">
            <v>153</v>
          </cell>
          <cell r="E4375">
            <v>23.89</v>
          </cell>
          <cell r="F4375">
            <v>3655.17</v>
          </cell>
          <cell r="G4375">
            <v>0.24</v>
          </cell>
          <cell r="H4375">
            <v>0</v>
          </cell>
          <cell r="I4375" t="str">
            <v>UK</v>
          </cell>
          <cell r="J4375" t="str">
            <v>Amazon</v>
          </cell>
        </row>
        <row r="4376">
          <cell r="A4376" t="str">
            <v>31-03-2025</v>
          </cell>
          <cell r="B4376" t="str">
            <v>Creatine</v>
          </cell>
          <cell r="C4376" t="str">
            <v>Performance</v>
          </cell>
          <cell r="D4376">
            <v>174</v>
          </cell>
          <cell r="E4376">
            <v>35.630000000000003</v>
          </cell>
          <cell r="F4376">
            <v>6199.62</v>
          </cell>
          <cell r="G4376">
            <v>0.03</v>
          </cell>
          <cell r="H4376">
            <v>0</v>
          </cell>
          <cell r="I4376" t="str">
            <v>Canada</v>
          </cell>
          <cell r="J4376" t="str">
            <v>Amazon</v>
          </cell>
        </row>
        <row r="4377">
          <cell r="A4377" t="str">
            <v>31-03-2025</v>
          </cell>
          <cell r="B4377" t="str">
            <v>Zinc</v>
          </cell>
          <cell r="C4377" t="str">
            <v>Mineral</v>
          </cell>
          <cell r="D4377">
            <v>147</v>
          </cell>
          <cell r="E4377">
            <v>23.47</v>
          </cell>
          <cell r="F4377">
            <v>3450.09</v>
          </cell>
          <cell r="G4377">
            <v>0.14000000000000001</v>
          </cell>
          <cell r="H4377">
            <v>1</v>
          </cell>
          <cell r="I4377" t="str">
            <v>Canada</v>
          </cell>
          <cell r="J4377" t="str">
            <v>Walmart</v>
          </cell>
        </row>
        <row r="4378">
          <cell r="A4378" t="str">
            <v>31-03-2025</v>
          </cell>
          <cell r="B4378" t="str">
            <v>Collagen Peptides</v>
          </cell>
          <cell r="C4378" t="str">
            <v>Protein</v>
          </cell>
          <cell r="D4378">
            <v>146</v>
          </cell>
          <cell r="E4378">
            <v>52.79</v>
          </cell>
          <cell r="F4378">
            <v>7707.34</v>
          </cell>
          <cell r="G4378">
            <v>0.13</v>
          </cell>
          <cell r="H4378">
            <v>1</v>
          </cell>
          <cell r="I4378" t="str">
            <v>USA</v>
          </cell>
          <cell r="J4378" t="str">
            <v>Amazon</v>
          </cell>
        </row>
        <row r="4379">
          <cell r="A4379" t="str">
            <v>31-03-2025</v>
          </cell>
          <cell r="B4379" t="str">
            <v>Magnesium</v>
          </cell>
          <cell r="C4379" t="str">
            <v>Mineral</v>
          </cell>
          <cell r="D4379">
            <v>138</v>
          </cell>
          <cell r="E4379">
            <v>28.45</v>
          </cell>
          <cell r="F4379">
            <v>3926.1</v>
          </cell>
          <cell r="G4379">
            <v>0.25</v>
          </cell>
          <cell r="H4379">
            <v>1</v>
          </cell>
          <cell r="I4379" t="str">
            <v>UK</v>
          </cell>
          <cell r="J4379" t="str">
            <v>Walmart</v>
          </cell>
        </row>
        <row r="4380">
          <cell r="A4380" t="str">
            <v>31-03-2025</v>
          </cell>
          <cell r="B4380" t="str">
            <v>Ashwagandha</v>
          </cell>
          <cell r="C4380" t="str">
            <v>Herbal</v>
          </cell>
          <cell r="D4380">
            <v>145</v>
          </cell>
          <cell r="E4380">
            <v>58.08</v>
          </cell>
          <cell r="F4380">
            <v>8421.6</v>
          </cell>
          <cell r="G4380">
            <v>0.24</v>
          </cell>
          <cell r="H4380">
            <v>2</v>
          </cell>
          <cell r="I4380" t="str">
            <v>Canada</v>
          </cell>
          <cell r="J4380" t="str">
            <v>Amazon</v>
          </cell>
        </row>
        <row r="4381">
          <cell r="A4381" t="str">
            <v>31-03-2025</v>
          </cell>
          <cell r="B4381" t="str">
            <v>Melatonin</v>
          </cell>
          <cell r="C4381" t="str">
            <v>Sleep Aid</v>
          </cell>
          <cell r="D4381">
            <v>160</v>
          </cell>
          <cell r="E4381">
            <v>47.79</v>
          </cell>
          <cell r="F4381">
            <v>7646.4</v>
          </cell>
          <cell r="G4381">
            <v>0.21</v>
          </cell>
          <cell r="H4381">
            <v>1</v>
          </cell>
          <cell r="I4381" t="str">
            <v>USA</v>
          </cell>
          <cell r="J4381" t="str">
            <v>iHerb</v>
          </cell>
        </row>
        <row r="4382">
          <cell r="A4382" t="str">
            <v>31-03-2025</v>
          </cell>
          <cell r="B4382" t="str">
            <v>Biotin</v>
          </cell>
          <cell r="C4382" t="str">
            <v>Vitamin</v>
          </cell>
          <cell r="D4382">
            <v>154</v>
          </cell>
          <cell r="E4382">
            <v>38.119999999999997</v>
          </cell>
          <cell r="F4382">
            <v>5870.48</v>
          </cell>
          <cell r="G4382">
            <v>0.22</v>
          </cell>
          <cell r="H4382">
            <v>1</v>
          </cell>
          <cell r="I4382" t="str">
            <v>UK</v>
          </cell>
          <cell r="J4382" t="str">
            <v>Walmart</v>
          </cell>
        </row>
        <row r="4383">
          <cell r="A4383" t="str">
            <v>31-03-2025</v>
          </cell>
          <cell r="B4383" t="str">
            <v>Green Tea Extract</v>
          </cell>
          <cell r="C4383" t="str">
            <v>Fat Burner</v>
          </cell>
          <cell r="D4383">
            <v>139</v>
          </cell>
          <cell r="E4383">
            <v>20.399999999999999</v>
          </cell>
          <cell r="F4383">
            <v>2835.6</v>
          </cell>
          <cell r="G4383">
            <v>0.12</v>
          </cell>
          <cell r="H4383">
            <v>3</v>
          </cell>
          <cell r="I4383" t="str">
            <v>USA</v>
          </cell>
          <cell r="J4383" t="str">
            <v>iHerb</v>
          </cell>
        </row>
        <row r="4384">
          <cell r="A4384" t="str">
            <v>31-03-2025</v>
          </cell>
          <cell r="B4384" t="str">
            <v>Iron Supplement</v>
          </cell>
          <cell r="C4384" t="str">
            <v>Mineral</v>
          </cell>
          <cell r="D4384">
            <v>154</v>
          </cell>
          <cell r="E4384">
            <v>18.309999999999999</v>
          </cell>
          <cell r="F4384">
            <v>2819.74</v>
          </cell>
          <cell r="G4384">
            <v>0.23</v>
          </cell>
          <cell r="H4384">
            <v>2</v>
          </cell>
          <cell r="I4384" t="str">
            <v>Canada</v>
          </cell>
          <cell r="J4384" t="str">
            <v>Amazon</v>
          </cell>
        </row>
        <row r="4385">
          <cell r="A4385" t="str">
            <v>31-03-2025</v>
          </cell>
          <cell r="B4385" t="str">
            <v>Electrolyte Powder</v>
          </cell>
          <cell r="C4385" t="str">
            <v>Hydration</v>
          </cell>
          <cell r="D4385">
            <v>178</v>
          </cell>
          <cell r="E4385">
            <v>39.119999999999997</v>
          </cell>
          <cell r="F4385">
            <v>6963.36</v>
          </cell>
          <cell r="G4385">
            <v>0.23</v>
          </cell>
          <cell r="H4385">
            <v>0</v>
          </cell>
          <cell r="I4385" t="str">
            <v>UK</v>
          </cell>
          <cell r="J4385" t="str">
            <v>iHerb</v>
          </cell>
        </row>
      </sheetData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49EC9-DACD-4004-8594-0D01A870D3A7}" name="SupplementSalesClean" displayName="SupplementSalesClean" ref="A3:N4387">
  <autoFilter ref="A3:N4387" xr:uid="{1FF49EC9-DACD-4004-8594-0D01A870D3A7}"/>
  <tableColumns count="14">
    <tableColumn id="1" xr3:uid="{F4DFB80E-5F5E-4235-95D0-5EB590E20B29}" name="Date">
      <calculatedColumnFormula>DATE(VALUE(RIGHT(TRIM([1]Raw_Data!A2),4)),VALUE(MID(TRIM([1]Raw_Data!A2),4,2)),VALUE(LEFT(TRIM([1]Raw_Data!A2),2)))</calculatedColumnFormula>
    </tableColumn>
    <tableColumn id="2" xr3:uid="{B7F99759-DD7D-4448-9F41-F6DEDF9FC477}" name="Product Name">
      <calculatedColumnFormula>TRIM([1]Raw_Data!B2)</calculatedColumnFormula>
    </tableColumn>
    <tableColumn id="3" xr3:uid="{6DA16F35-5100-48C0-8B73-49C719F4966C}" name="Category">
      <calculatedColumnFormula>TRIM([1]Raw_Data!C2)</calculatedColumnFormula>
    </tableColumn>
    <tableColumn id="4" xr3:uid="{471B42E7-21CE-4169-B498-230BD7C8BDA3}" name="Units Sold">
      <calculatedColumnFormula>[1]Raw_Data!D2</calculatedColumnFormula>
    </tableColumn>
    <tableColumn id="5" xr3:uid="{2D805985-96ED-4302-BD9D-4ADBE72D8BF1}" name="Price">
      <calculatedColumnFormula>[1]Raw_Data!E2</calculatedColumnFormula>
    </tableColumn>
    <tableColumn id="6" xr3:uid="{E7497056-8597-4860-9F6D-2A8CEA7831A5}" name="Revenue">
      <calculatedColumnFormula>[1]Raw_Data!F2</calculatedColumnFormula>
    </tableColumn>
    <tableColumn id="7" xr3:uid="{7319AA78-6E38-454F-9202-EC4EE9CBAD1D}" name="Discount">
      <calculatedColumnFormula>[1]Raw_Data!G2</calculatedColumnFormula>
    </tableColumn>
    <tableColumn id="8" xr3:uid="{DF438400-797F-453C-825C-3772A55D6858}" name="Units Returned">
      <calculatedColumnFormula>[1]Raw_Data!H2</calculatedColumnFormula>
    </tableColumn>
    <tableColumn id="9" xr3:uid="{85CBFD92-4035-4329-9C6B-1A648F2A49BD}" name="Location">
      <calculatedColumnFormula>TRIM([1]Raw_Data!I2)</calculatedColumnFormula>
    </tableColumn>
    <tableColumn id="10" xr3:uid="{763ADDEE-1FB9-4AD8-AE51-B80C2B2C96B3}" name="Platform">
      <calculatedColumnFormula>TRIM([1]Raw_Data!J2)</calculatedColumnFormula>
    </tableColumn>
    <tableColumn id="11" xr3:uid="{F7F3231D-AE03-46C0-8622-6A8BE7B26FAD}" name="Year">
      <calculatedColumnFormula>YEAR(A4)</calculatedColumnFormula>
    </tableColumn>
    <tableColumn id="12" xr3:uid="{277ADD36-8550-4DA9-9E3D-BEBBED5DE0FB}" name="Month Start">
      <calculatedColumnFormula>DATE(YEAR(A4),MONTH(A4),1)</calculatedColumnFormula>
    </tableColumn>
    <tableColumn id="13" xr3:uid="{FF421FC0-E478-475B-A997-42ED5FE3FB4D}" name="Discount Band">
      <calculatedColumnFormula>IF(ROUND(G4*100,0)&lt;=5,"0% to 5%",IF(ROUND(G4*100,0)&lt;=10,"6% to 10%",IF(ROUND(G4*100,0)&lt;=15,"11% to 15%",IF(ROUND(G4*100,0)&lt;=20,"16% to 20%","21% to 25%"))))</calculatedColumnFormula>
    </tableColumn>
    <tableColumn id="14" xr3:uid="{390658A6-97AF-40FA-BCB8-FE28A9C0CA7F}" name="Revenue Check">
      <calculatedColumnFormula>IF(ROUND(D4*E4,2)=ROUND(F4,2),"OK","Check")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B61A-5432-4F10-890A-5E0D7FFD8D9A}">
  <dimension ref="A1:N4387"/>
  <sheetViews>
    <sheetView tabSelected="1" topLeftCell="A3578" zoomScale="73" zoomScaleNormal="25" workbookViewId="0"/>
  </sheetViews>
  <sheetFormatPr defaultRowHeight="14.4" x14ac:dyDescent="0.3"/>
  <cols>
    <col min="1" max="1" width="13" customWidth="1"/>
    <col min="2" max="2" width="20" customWidth="1"/>
    <col min="3" max="3" width="14" customWidth="1"/>
    <col min="4" max="4" width="12" customWidth="1"/>
    <col min="5" max="5" width="10" customWidth="1"/>
    <col min="6" max="6" width="13" customWidth="1"/>
    <col min="7" max="7" width="10" customWidth="1"/>
    <col min="8" max="8" width="15" customWidth="1"/>
    <col min="9" max="10" width="10" customWidth="1"/>
    <col min="11" max="11" width="8" customWidth="1"/>
    <col min="12" max="12" width="13" customWidth="1"/>
    <col min="13" max="13" width="15" customWidth="1"/>
    <col min="14" max="14" width="14" customWidth="1"/>
  </cols>
  <sheetData>
    <row r="1" spans="1:14" ht="17.399999999999999" x14ac:dyDescent="0.3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3">
      <c r="A4" s="2">
        <f>DATE(VALUE(RIGHT(TRIM([1]Raw_Data!A2),4)),VALUE(MID(TRIM([1]Raw_Data!A2),4,2)),VALUE(LEFT(TRIM([1]Raw_Data!A2),2)))</f>
        <v>43836</v>
      </c>
      <c r="B4" s="3" t="str">
        <f>TRIM([1]Raw_Data!B2)</f>
        <v>Whey Protein</v>
      </c>
      <c r="C4" s="3" t="str">
        <f>TRIM([1]Raw_Data!C2)</f>
        <v>Protein</v>
      </c>
      <c r="D4" s="3">
        <f>[1]Raw_Data!D2</f>
        <v>143</v>
      </c>
      <c r="E4" s="4">
        <f>[1]Raw_Data!E2</f>
        <v>31.98</v>
      </c>
      <c r="F4" s="5">
        <f>[1]Raw_Data!F2</f>
        <v>4573.1400000000003</v>
      </c>
      <c r="G4" s="4">
        <f>[1]Raw_Data!G2</f>
        <v>0.03</v>
      </c>
      <c r="H4" s="3">
        <f>[1]Raw_Data!H2</f>
        <v>2</v>
      </c>
      <c r="I4" s="3" t="str">
        <f>TRIM([1]Raw_Data!I2)</f>
        <v>Canada</v>
      </c>
      <c r="J4" s="3" t="str">
        <f>TRIM([1]Raw_Data!J2)</f>
        <v>Walmart</v>
      </c>
      <c r="K4" s="3">
        <f t="shared" ref="K4:K67" si="0">YEAR(A4)</f>
        <v>2020</v>
      </c>
      <c r="L4" s="6">
        <f t="shared" ref="L4:L67" si="1">DATE(YEAR(A4),MONTH(A4),1)</f>
        <v>43831</v>
      </c>
      <c r="M4" s="3" t="str">
        <f t="shared" ref="M4:M67" si="2">IF(ROUND(G4*100,0)&lt;=5,"0% to 5%",IF(ROUND(G4*100,0)&lt;=10,"6% to 10%",IF(ROUND(G4*100,0)&lt;=15,"11% to 15%",IF(ROUND(G4*100,0)&lt;=20,"16% to 20%","21% to 25%"))))</f>
        <v>0% to 5%</v>
      </c>
      <c r="N4" s="3" t="str">
        <f t="shared" ref="N4:N67" si="3">IF(ROUND(D4*E4,2)=ROUND(F4,2),"OK","Check")</f>
        <v>OK</v>
      </c>
    </row>
    <row r="5" spans="1:14" ht="18.600000000000001" customHeight="1" x14ac:dyDescent="0.3">
      <c r="A5" s="2">
        <f>DATE(VALUE(RIGHT(TRIM([1]Raw_Data!A3),4)),VALUE(MID(TRIM([1]Raw_Data!A3),4,2)),VALUE(LEFT(TRIM([1]Raw_Data!A3),2)))</f>
        <v>43836</v>
      </c>
      <c r="B5" s="3" t="str">
        <f>TRIM([1]Raw_Data!B3)</f>
        <v>Vitamin C</v>
      </c>
      <c r="C5" s="3" t="str">
        <f>TRIM([1]Raw_Data!C3)</f>
        <v>Vitamin</v>
      </c>
      <c r="D5" s="3">
        <f>[1]Raw_Data!D3</f>
        <v>139</v>
      </c>
      <c r="E5" s="4">
        <f>[1]Raw_Data!E3</f>
        <v>42.51</v>
      </c>
      <c r="F5" s="5">
        <f>[1]Raw_Data!F3</f>
        <v>5908.89</v>
      </c>
      <c r="G5" s="4">
        <f>[1]Raw_Data!G3</f>
        <v>0.04</v>
      </c>
      <c r="H5" s="3">
        <f>[1]Raw_Data!H3</f>
        <v>0</v>
      </c>
      <c r="I5" s="3" t="str">
        <f>TRIM([1]Raw_Data!I3)</f>
        <v>UK</v>
      </c>
      <c r="J5" s="3" t="str">
        <f>TRIM([1]Raw_Data!J3)</f>
        <v>Amazon</v>
      </c>
      <c r="K5" s="3">
        <f t="shared" si="0"/>
        <v>2020</v>
      </c>
      <c r="L5" s="6">
        <f t="shared" si="1"/>
        <v>43831</v>
      </c>
      <c r="M5" s="3" t="str">
        <f t="shared" si="2"/>
        <v>0% to 5%</v>
      </c>
      <c r="N5" s="3" t="str">
        <f t="shared" si="3"/>
        <v>OK</v>
      </c>
    </row>
    <row r="6" spans="1:14" ht="18.600000000000001" customHeight="1" x14ac:dyDescent="0.3">
      <c r="A6" s="2">
        <f>DATE(VALUE(RIGHT(TRIM([1]Raw_Data!A4),4)),VALUE(MID(TRIM([1]Raw_Data!A4),4,2)),VALUE(LEFT(TRIM([1]Raw_Data!A4),2)))</f>
        <v>43836</v>
      </c>
      <c r="B6" s="3" t="str">
        <f>TRIM([1]Raw_Data!B4)</f>
        <v>Fish Oil</v>
      </c>
      <c r="C6" s="3" t="str">
        <f>TRIM([1]Raw_Data!C4)</f>
        <v>Omega</v>
      </c>
      <c r="D6" s="3">
        <f>[1]Raw_Data!D4</f>
        <v>161</v>
      </c>
      <c r="E6" s="4">
        <f>[1]Raw_Data!E4</f>
        <v>12.91</v>
      </c>
      <c r="F6" s="5">
        <f>[1]Raw_Data!F4</f>
        <v>2078.5100000000002</v>
      </c>
      <c r="G6" s="4">
        <f>[1]Raw_Data!G4</f>
        <v>0.25</v>
      </c>
      <c r="H6" s="3">
        <f>[1]Raw_Data!H4</f>
        <v>0</v>
      </c>
      <c r="I6" s="3" t="str">
        <f>TRIM([1]Raw_Data!I4)</f>
        <v>Canada</v>
      </c>
      <c r="J6" s="3" t="str">
        <f>TRIM([1]Raw_Data!J4)</f>
        <v>Amazon</v>
      </c>
      <c r="K6" s="3">
        <f t="shared" si="0"/>
        <v>2020</v>
      </c>
      <c r="L6" s="6">
        <f t="shared" si="1"/>
        <v>43831</v>
      </c>
      <c r="M6" s="3" t="str">
        <f t="shared" si="2"/>
        <v>21% to 25%</v>
      </c>
      <c r="N6" s="3" t="str">
        <f t="shared" si="3"/>
        <v>OK</v>
      </c>
    </row>
    <row r="7" spans="1:14" ht="18.600000000000001" customHeight="1" x14ac:dyDescent="0.3">
      <c r="A7" s="2">
        <f>DATE(VALUE(RIGHT(TRIM([1]Raw_Data!A5),4)),VALUE(MID(TRIM([1]Raw_Data!A5),4,2)),VALUE(LEFT(TRIM([1]Raw_Data!A5),2)))</f>
        <v>43836</v>
      </c>
      <c r="B7" s="3" t="str">
        <f>TRIM([1]Raw_Data!B5)</f>
        <v>Multivitamin</v>
      </c>
      <c r="C7" s="3" t="str">
        <f>TRIM([1]Raw_Data!C5)</f>
        <v>Vitamin</v>
      </c>
      <c r="D7" s="3">
        <f>[1]Raw_Data!D5</f>
        <v>140</v>
      </c>
      <c r="E7" s="4">
        <f>[1]Raw_Data!E5</f>
        <v>16.07</v>
      </c>
      <c r="F7" s="5">
        <f>[1]Raw_Data!F5</f>
        <v>2249.8000000000002</v>
      </c>
      <c r="G7" s="4">
        <f>[1]Raw_Data!G5</f>
        <v>0.08</v>
      </c>
      <c r="H7" s="3">
        <f>[1]Raw_Data!H5</f>
        <v>0</v>
      </c>
      <c r="I7" s="3" t="str">
        <f>TRIM([1]Raw_Data!I5)</f>
        <v>Canada</v>
      </c>
      <c r="J7" s="3" t="str">
        <f>TRIM([1]Raw_Data!J5)</f>
        <v>Walmart</v>
      </c>
      <c r="K7" s="3">
        <f t="shared" si="0"/>
        <v>2020</v>
      </c>
      <c r="L7" s="6">
        <f t="shared" si="1"/>
        <v>43831</v>
      </c>
      <c r="M7" s="3" t="str">
        <f t="shared" si="2"/>
        <v>6% to 10%</v>
      </c>
      <c r="N7" s="3" t="str">
        <f t="shared" si="3"/>
        <v>OK</v>
      </c>
    </row>
    <row r="8" spans="1:14" ht="18.600000000000001" customHeight="1" x14ac:dyDescent="0.3">
      <c r="A8" s="2">
        <f>DATE(VALUE(RIGHT(TRIM([1]Raw_Data!A6),4)),VALUE(MID(TRIM([1]Raw_Data!A6),4,2)),VALUE(LEFT(TRIM([1]Raw_Data!A6),2)))</f>
        <v>43836</v>
      </c>
      <c r="B8" s="3" t="str">
        <f>TRIM([1]Raw_Data!B6)</f>
        <v>Pre-Workout</v>
      </c>
      <c r="C8" s="3" t="str">
        <f>TRIM([1]Raw_Data!C6)</f>
        <v>Performance</v>
      </c>
      <c r="D8" s="3">
        <f>[1]Raw_Data!D6</f>
        <v>157</v>
      </c>
      <c r="E8" s="4">
        <f>[1]Raw_Data!E6</f>
        <v>35.47</v>
      </c>
      <c r="F8" s="5">
        <f>[1]Raw_Data!F6</f>
        <v>5568.79</v>
      </c>
      <c r="G8" s="4">
        <f>[1]Raw_Data!G6</f>
        <v>0.25</v>
      </c>
      <c r="H8" s="3">
        <f>[1]Raw_Data!H6</f>
        <v>3</v>
      </c>
      <c r="I8" s="3" t="str">
        <f>TRIM([1]Raw_Data!I6)</f>
        <v>Canada</v>
      </c>
      <c r="J8" s="3" t="str">
        <f>TRIM([1]Raw_Data!J6)</f>
        <v>iHerb</v>
      </c>
      <c r="K8" s="3">
        <f t="shared" si="0"/>
        <v>2020</v>
      </c>
      <c r="L8" s="6">
        <f t="shared" si="1"/>
        <v>43831</v>
      </c>
      <c r="M8" s="3" t="str">
        <f t="shared" si="2"/>
        <v>21% to 25%</v>
      </c>
      <c r="N8" s="3" t="str">
        <f t="shared" si="3"/>
        <v>OK</v>
      </c>
    </row>
    <row r="9" spans="1:14" ht="18.600000000000001" customHeight="1" x14ac:dyDescent="0.3">
      <c r="A9" s="2">
        <f>DATE(VALUE(RIGHT(TRIM([1]Raw_Data!A7),4)),VALUE(MID(TRIM([1]Raw_Data!A7),4,2)),VALUE(LEFT(TRIM([1]Raw_Data!A7),2)))</f>
        <v>43836</v>
      </c>
      <c r="B9" s="3" t="str">
        <f>TRIM([1]Raw_Data!B7)</f>
        <v>BCAA</v>
      </c>
      <c r="C9" s="3" t="str">
        <f>TRIM([1]Raw_Data!C7)</f>
        <v>Amino Acid</v>
      </c>
      <c r="D9" s="3">
        <f>[1]Raw_Data!D7</f>
        <v>154</v>
      </c>
      <c r="E9" s="4">
        <f>[1]Raw_Data!E7</f>
        <v>41.19</v>
      </c>
      <c r="F9" s="5">
        <f>[1]Raw_Data!F7</f>
        <v>6343.26</v>
      </c>
      <c r="G9" s="4">
        <f>[1]Raw_Data!G7</f>
        <v>0.13</v>
      </c>
      <c r="H9" s="3">
        <f>[1]Raw_Data!H7</f>
        <v>1</v>
      </c>
      <c r="I9" s="3" t="str">
        <f>TRIM([1]Raw_Data!I7)</f>
        <v>UK</v>
      </c>
      <c r="J9" s="3" t="str">
        <f>TRIM([1]Raw_Data!J7)</f>
        <v>Walmart</v>
      </c>
      <c r="K9" s="3">
        <f t="shared" si="0"/>
        <v>2020</v>
      </c>
      <c r="L9" s="6">
        <f t="shared" si="1"/>
        <v>43831</v>
      </c>
      <c r="M9" s="3" t="str">
        <f t="shared" si="2"/>
        <v>11% to 15%</v>
      </c>
      <c r="N9" s="3" t="str">
        <f t="shared" si="3"/>
        <v>OK</v>
      </c>
    </row>
    <row r="10" spans="1:14" ht="18.600000000000001" customHeight="1" x14ac:dyDescent="0.3">
      <c r="A10" s="2">
        <f>DATE(VALUE(RIGHT(TRIM([1]Raw_Data!A8),4)),VALUE(MID(TRIM([1]Raw_Data!A8),4,2)),VALUE(LEFT(TRIM([1]Raw_Data!A8),2)))</f>
        <v>43836</v>
      </c>
      <c r="B10" s="3" t="str">
        <f>TRIM([1]Raw_Data!B8)</f>
        <v>Creatine</v>
      </c>
      <c r="C10" s="3" t="str">
        <f>TRIM([1]Raw_Data!C8)</f>
        <v>Performance</v>
      </c>
      <c r="D10" s="3">
        <f>[1]Raw_Data!D8</f>
        <v>134</v>
      </c>
      <c r="E10" s="4">
        <f>[1]Raw_Data!E8</f>
        <v>32.49</v>
      </c>
      <c r="F10" s="5">
        <f>[1]Raw_Data!F8</f>
        <v>4353.66</v>
      </c>
      <c r="G10" s="4">
        <f>[1]Raw_Data!G8</f>
        <v>0.05</v>
      </c>
      <c r="H10" s="3">
        <f>[1]Raw_Data!H8</f>
        <v>1</v>
      </c>
      <c r="I10" s="3" t="str">
        <f>TRIM([1]Raw_Data!I8)</f>
        <v>UK</v>
      </c>
      <c r="J10" s="3" t="str">
        <f>TRIM([1]Raw_Data!J8)</f>
        <v>Walmart</v>
      </c>
      <c r="K10" s="3">
        <f t="shared" si="0"/>
        <v>2020</v>
      </c>
      <c r="L10" s="6">
        <f t="shared" si="1"/>
        <v>43831</v>
      </c>
      <c r="M10" s="3" t="str">
        <f t="shared" si="2"/>
        <v>0% to 5%</v>
      </c>
      <c r="N10" s="3" t="str">
        <f t="shared" si="3"/>
        <v>OK</v>
      </c>
    </row>
    <row r="11" spans="1:14" ht="18.600000000000001" customHeight="1" x14ac:dyDescent="0.3">
      <c r="A11" s="2">
        <f>DATE(VALUE(RIGHT(TRIM([1]Raw_Data!A9),4)),VALUE(MID(TRIM([1]Raw_Data!A9),4,2)),VALUE(LEFT(TRIM([1]Raw_Data!A9),2)))</f>
        <v>43836</v>
      </c>
      <c r="B11" s="3" t="str">
        <f>TRIM([1]Raw_Data!B9)</f>
        <v>Zinc</v>
      </c>
      <c r="C11" s="3" t="str">
        <f>TRIM([1]Raw_Data!C9)</f>
        <v>Mineral</v>
      </c>
      <c r="D11" s="3">
        <f>[1]Raw_Data!D9</f>
        <v>147</v>
      </c>
      <c r="E11" s="4">
        <f>[1]Raw_Data!E9</f>
        <v>46.68</v>
      </c>
      <c r="F11" s="5">
        <f>[1]Raw_Data!F9</f>
        <v>6861.96</v>
      </c>
      <c r="G11" s="4">
        <f>[1]Raw_Data!G9</f>
        <v>0.19</v>
      </c>
      <c r="H11" s="3">
        <f>[1]Raw_Data!H9</f>
        <v>0</v>
      </c>
      <c r="I11" s="3" t="str">
        <f>TRIM([1]Raw_Data!I9)</f>
        <v>Canada</v>
      </c>
      <c r="J11" s="3" t="str">
        <f>TRIM([1]Raw_Data!J9)</f>
        <v>Amazon</v>
      </c>
      <c r="K11" s="3">
        <f t="shared" si="0"/>
        <v>2020</v>
      </c>
      <c r="L11" s="6">
        <f t="shared" si="1"/>
        <v>43831</v>
      </c>
      <c r="M11" s="3" t="str">
        <f t="shared" si="2"/>
        <v>16% to 20%</v>
      </c>
      <c r="N11" s="3" t="str">
        <f t="shared" si="3"/>
        <v>OK</v>
      </c>
    </row>
    <row r="12" spans="1:14" ht="18.600000000000001" customHeight="1" x14ac:dyDescent="0.3">
      <c r="A12" s="2">
        <f>DATE(VALUE(RIGHT(TRIM([1]Raw_Data!A10),4)),VALUE(MID(TRIM([1]Raw_Data!A10),4,2)),VALUE(LEFT(TRIM([1]Raw_Data!A10),2)))</f>
        <v>43836</v>
      </c>
      <c r="B12" s="3" t="str">
        <f>TRIM([1]Raw_Data!B10)</f>
        <v>Collagen Peptides</v>
      </c>
      <c r="C12" s="3" t="str">
        <f>TRIM([1]Raw_Data!C10)</f>
        <v>Protein</v>
      </c>
      <c r="D12" s="3">
        <f>[1]Raw_Data!D10</f>
        <v>147</v>
      </c>
      <c r="E12" s="4">
        <f>[1]Raw_Data!E10</f>
        <v>10.96</v>
      </c>
      <c r="F12" s="5">
        <f>[1]Raw_Data!F10</f>
        <v>1611.12</v>
      </c>
      <c r="G12" s="4">
        <f>[1]Raw_Data!G10</f>
        <v>0.06</v>
      </c>
      <c r="H12" s="3">
        <f>[1]Raw_Data!H10</f>
        <v>2</v>
      </c>
      <c r="I12" s="3" t="str">
        <f>TRIM([1]Raw_Data!I10)</f>
        <v>USA</v>
      </c>
      <c r="J12" s="3" t="str">
        <f>TRIM([1]Raw_Data!J10)</f>
        <v>Amazon</v>
      </c>
      <c r="K12" s="3">
        <f t="shared" si="0"/>
        <v>2020</v>
      </c>
      <c r="L12" s="6">
        <f t="shared" si="1"/>
        <v>43831</v>
      </c>
      <c r="M12" s="3" t="str">
        <f t="shared" si="2"/>
        <v>6% to 10%</v>
      </c>
      <c r="N12" s="3" t="str">
        <f t="shared" si="3"/>
        <v>OK</v>
      </c>
    </row>
    <row r="13" spans="1:14" x14ac:dyDescent="0.3">
      <c r="A13" s="2">
        <f>DATE(VALUE(RIGHT(TRIM([1]Raw_Data!A11),4)),VALUE(MID(TRIM([1]Raw_Data!A11),4,2)),VALUE(LEFT(TRIM([1]Raw_Data!A11),2)))</f>
        <v>43836</v>
      </c>
      <c r="B13" s="3" t="str">
        <f>TRIM([1]Raw_Data!B11)</f>
        <v>Magnesium</v>
      </c>
      <c r="C13" s="3" t="str">
        <f>TRIM([1]Raw_Data!C11)</f>
        <v>Mineral</v>
      </c>
      <c r="D13" s="3">
        <f>[1]Raw_Data!D11</f>
        <v>134</v>
      </c>
      <c r="E13" s="4">
        <f>[1]Raw_Data!E11</f>
        <v>20.76</v>
      </c>
      <c r="F13" s="5">
        <f>[1]Raw_Data!F11</f>
        <v>2781.84</v>
      </c>
      <c r="G13" s="4">
        <f>[1]Raw_Data!G11</f>
        <v>0</v>
      </c>
      <c r="H13" s="3">
        <f>[1]Raw_Data!H11</f>
        <v>0</v>
      </c>
      <c r="I13" s="3" t="str">
        <f>TRIM([1]Raw_Data!I11)</f>
        <v>Canada</v>
      </c>
      <c r="J13" s="3" t="str">
        <f>TRIM([1]Raw_Data!J11)</f>
        <v>Amazon</v>
      </c>
      <c r="K13" s="3">
        <f t="shared" si="0"/>
        <v>2020</v>
      </c>
      <c r="L13" s="6">
        <f t="shared" si="1"/>
        <v>43831</v>
      </c>
      <c r="M13" s="3" t="str">
        <f t="shared" si="2"/>
        <v>0% to 5%</v>
      </c>
      <c r="N13" s="3" t="str">
        <f t="shared" si="3"/>
        <v>OK</v>
      </c>
    </row>
    <row r="14" spans="1:14" x14ac:dyDescent="0.3">
      <c r="A14" s="2">
        <f>DATE(VALUE(RIGHT(TRIM([1]Raw_Data!A12),4)),VALUE(MID(TRIM([1]Raw_Data!A12),4,2)),VALUE(LEFT(TRIM([1]Raw_Data!A12),2)))</f>
        <v>43836</v>
      </c>
      <c r="B14" s="3" t="str">
        <f>TRIM([1]Raw_Data!B12)</f>
        <v>Ashwagandha</v>
      </c>
      <c r="C14" s="3" t="str">
        <f>TRIM([1]Raw_Data!C12)</f>
        <v>Herbal</v>
      </c>
      <c r="D14" s="3">
        <f>[1]Raw_Data!D12</f>
        <v>181</v>
      </c>
      <c r="E14" s="4">
        <f>[1]Raw_Data!E12</f>
        <v>15.49</v>
      </c>
      <c r="F14" s="5">
        <f>[1]Raw_Data!F12</f>
        <v>2803.69</v>
      </c>
      <c r="G14" s="4">
        <f>[1]Raw_Data!G12</f>
        <v>0.14000000000000001</v>
      </c>
      <c r="H14" s="3">
        <f>[1]Raw_Data!H12</f>
        <v>1</v>
      </c>
      <c r="I14" s="3" t="str">
        <f>TRIM([1]Raw_Data!I12)</f>
        <v>USA</v>
      </c>
      <c r="J14" s="3" t="str">
        <f>TRIM([1]Raw_Data!J12)</f>
        <v>Amazon</v>
      </c>
      <c r="K14" s="3">
        <f t="shared" si="0"/>
        <v>2020</v>
      </c>
      <c r="L14" s="6">
        <f t="shared" si="1"/>
        <v>43831</v>
      </c>
      <c r="M14" s="3" t="str">
        <f t="shared" si="2"/>
        <v>11% to 15%</v>
      </c>
      <c r="N14" s="3" t="str">
        <f t="shared" si="3"/>
        <v>OK</v>
      </c>
    </row>
    <row r="15" spans="1:14" x14ac:dyDescent="0.3">
      <c r="A15" s="2">
        <f>DATE(VALUE(RIGHT(TRIM([1]Raw_Data!A13),4)),VALUE(MID(TRIM([1]Raw_Data!A13),4,2)),VALUE(LEFT(TRIM([1]Raw_Data!A13),2)))</f>
        <v>43836</v>
      </c>
      <c r="B15" s="3" t="str">
        <f>TRIM([1]Raw_Data!B13)</f>
        <v>Melatonin</v>
      </c>
      <c r="C15" s="3" t="str">
        <f>TRIM([1]Raw_Data!C13)</f>
        <v>Sleep Aid</v>
      </c>
      <c r="D15" s="3">
        <f>[1]Raw_Data!D13</f>
        <v>164</v>
      </c>
      <c r="E15" s="4">
        <f>[1]Raw_Data!E13</f>
        <v>34.409999999999997</v>
      </c>
      <c r="F15" s="5">
        <f>[1]Raw_Data!F13</f>
        <v>5643.24</v>
      </c>
      <c r="G15" s="4">
        <f>[1]Raw_Data!G13</f>
        <v>0.04</v>
      </c>
      <c r="H15" s="3">
        <f>[1]Raw_Data!H13</f>
        <v>1</v>
      </c>
      <c r="I15" s="3" t="str">
        <f>TRIM([1]Raw_Data!I13)</f>
        <v>USA</v>
      </c>
      <c r="J15" s="3" t="str">
        <f>TRIM([1]Raw_Data!J13)</f>
        <v>Walmart</v>
      </c>
      <c r="K15" s="3">
        <f t="shared" si="0"/>
        <v>2020</v>
      </c>
      <c r="L15" s="6">
        <f t="shared" si="1"/>
        <v>43831</v>
      </c>
      <c r="M15" s="3" t="str">
        <f t="shared" si="2"/>
        <v>0% to 5%</v>
      </c>
      <c r="N15" s="3" t="str">
        <f t="shared" si="3"/>
        <v>OK</v>
      </c>
    </row>
    <row r="16" spans="1:14" x14ac:dyDescent="0.3">
      <c r="A16" s="2">
        <f>DATE(VALUE(RIGHT(TRIM([1]Raw_Data!A14),4)),VALUE(MID(TRIM([1]Raw_Data!A14),4,2)),VALUE(LEFT(TRIM([1]Raw_Data!A14),2)))</f>
        <v>43836</v>
      </c>
      <c r="B16" s="3" t="str">
        <f>TRIM([1]Raw_Data!B14)</f>
        <v>Biotin</v>
      </c>
      <c r="C16" s="3" t="str">
        <f>TRIM([1]Raw_Data!C14)</f>
        <v>Vitamin</v>
      </c>
      <c r="D16" s="3">
        <f>[1]Raw_Data!D14</f>
        <v>159</v>
      </c>
      <c r="E16" s="4">
        <f>[1]Raw_Data!E14</f>
        <v>28.79</v>
      </c>
      <c r="F16" s="5">
        <f>[1]Raw_Data!F14</f>
        <v>4577.6099999999997</v>
      </c>
      <c r="G16" s="4">
        <f>[1]Raw_Data!G14</f>
        <v>0.1</v>
      </c>
      <c r="H16" s="3">
        <f>[1]Raw_Data!H14</f>
        <v>1</v>
      </c>
      <c r="I16" s="3" t="str">
        <f>TRIM([1]Raw_Data!I14)</f>
        <v>UK</v>
      </c>
      <c r="J16" s="3" t="str">
        <f>TRIM([1]Raw_Data!J14)</f>
        <v>iHerb</v>
      </c>
      <c r="K16" s="3">
        <f t="shared" si="0"/>
        <v>2020</v>
      </c>
      <c r="L16" s="6">
        <f t="shared" si="1"/>
        <v>43831</v>
      </c>
      <c r="M16" s="3" t="str">
        <f t="shared" si="2"/>
        <v>6% to 10%</v>
      </c>
      <c r="N16" s="3" t="str">
        <f t="shared" si="3"/>
        <v>OK</v>
      </c>
    </row>
    <row r="17" spans="1:14" x14ac:dyDescent="0.3">
      <c r="A17" s="2">
        <f>DATE(VALUE(RIGHT(TRIM([1]Raw_Data!A15),4)),VALUE(MID(TRIM([1]Raw_Data!A15),4,2)),VALUE(LEFT(TRIM([1]Raw_Data!A15),2)))</f>
        <v>43836</v>
      </c>
      <c r="B17" s="3" t="str">
        <f>TRIM([1]Raw_Data!B15)</f>
        <v>Green Tea Extract</v>
      </c>
      <c r="C17" s="3" t="str">
        <f>TRIM([1]Raw_Data!C15)</f>
        <v>Fat Burner</v>
      </c>
      <c r="D17" s="3">
        <f>[1]Raw_Data!D15</f>
        <v>143</v>
      </c>
      <c r="E17" s="4">
        <f>[1]Raw_Data!E15</f>
        <v>31.88</v>
      </c>
      <c r="F17" s="5">
        <f>[1]Raw_Data!F15</f>
        <v>4558.84</v>
      </c>
      <c r="G17" s="4">
        <f>[1]Raw_Data!G15</f>
        <v>0.06</v>
      </c>
      <c r="H17" s="3">
        <f>[1]Raw_Data!H15</f>
        <v>3</v>
      </c>
      <c r="I17" s="3" t="str">
        <f>TRIM([1]Raw_Data!I15)</f>
        <v>UK</v>
      </c>
      <c r="J17" s="3" t="str">
        <f>TRIM([1]Raw_Data!J15)</f>
        <v>Walmart</v>
      </c>
      <c r="K17" s="3">
        <f t="shared" si="0"/>
        <v>2020</v>
      </c>
      <c r="L17" s="6">
        <f t="shared" si="1"/>
        <v>43831</v>
      </c>
      <c r="M17" s="3" t="str">
        <f t="shared" si="2"/>
        <v>6% to 10%</v>
      </c>
      <c r="N17" s="3" t="str">
        <f t="shared" si="3"/>
        <v>OK</v>
      </c>
    </row>
    <row r="18" spans="1:14" x14ac:dyDescent="0.3">
      <c r="A18" s="2">
        <f>DATE(VALUE(RIGHT(TRIM([1]Raw_Data!A16),4)),VALUE(MID(TRIM([1]Raw_Data!A16),4,2)),VALUE(LEFT(TRIM([1]Raw_Data!A16),2)))</f>
        <v>43836</v>
      </c>
      <c r="B18" s="3" t="str">
        <f>TRIM([1]Raw_Data!B16)</f>
        <v>Iron Supplement</v>
      </c>
      <c r="C18" s="3" t="str">
        <f>TRIM([1]Raw_Data!C16)</f>
        <v>Mineral</v>
      </c>
      <c r="D18" s="3">
        <f>[1]Raw_Data!D16</f>
        <v>149</v>
      </c>
      <c r="E18" s="4">
        <f>[1]Raw_Data!E16</f>
        <v>42.97</v>
      </c>
      <c r="F18" s="5">
        <f>[1]Raw_Data!F16</f>
        <v>6402.53</v>
      </c>
      <c r="G18" s="4">
        <f>[1]Raw_Data!G16</f>
        <v>0.22</v>
      </c>
      <c r="H18" s="3">
        <f>[1]Raw_Data!H16</f>
        <v>2</v>
      </c>
      <c r="I18" s="3" t="str">
        <f>TRIM([1]Raw_Data!I16)</f>
        <v>Canada</v>
      </c>
      <c r="J18" s="3" t="str">
        <f>TRIM([1]Raw_Data!J16)</f>
        <v>iHerb</v>
      </c>
      <c r="K18" s="3">
        <f t="shared" si="0"/>
        <v>2020</v>
      </c>
      <c r="L18" s="6">
        <f t="shared" si="1"/>
        <v>43831</v>
      </c>
      <c r="M18" s="3" t="str">
        <f t="shared" si="2"/>
        <v>21% to 25%</v>
      </c>
      <c r="N18" s="3" t="str">
        <f t="shared" si="3"/>
        <v>OK</v>
      </c>
    </row>
    <row r="19" spans="1:14" x14ac:dyDescent="0.3">
      <c r="A19" s="2">
        <f>DATE(VALUE(RIGHT(TRIM([1]Raw_Data!A17),4)),VALUE(MID(TRIM([1]Raw_Data!A17),4,2)),VALUE(LEFT(TRIM([1]Raw_Data!A17),2)))</f>
        <v>43836</v>
      </c>
      <c r="B19" s="3" t="str">
        <f>TRIM([1]Raw_Data!B17)</f>
        <v>Electrolyte Powder</v>
      </c>
      <c r="C19" s="3" t="str">
        <f>TRIM([1]Raw_Data!C17)</f>
        <v>Hydration</v>
      </c>
      <c r="D19" s="3">
        <f>[1]Raw_Data!D17</f>
        <v>154</v>
      </c>
      <c r="E19" s="4">
        <f>[1]Raw_Data!E17</f>
        <v>35.92</v>
      </c>
      <c r="F19" s="5">
        <f>[1]Raw_Data!F17</f>
        <v>5531.68</v>
      </c>
      <c r="G19" s="4">
        <f>[1]Raw_Data!G17</f>
        <v>0.04</v>
      </c>
      <c r="H19" s="3">
        <f>[1]Raw_Data!H17</f>
        <v>2</v>
      </c>
      <c r="I19" s="3" t="str">
        <f>TRIM([1]Raw_Data!I17)</f>
        <v>USA</v>
      </c>
      <c r="J19" s="3" t="str">
        <f>TRIM([1]Raw_Data!J17)</f>
        <v>Amazon</v>
      </c>
      <c r="K19" s="3">
        <f t="shared" si="0"/>
        <v>2020</v>
      </c>
      <c r="L19" s="6">
        <f t="shared" si="1"/>
        <v>43831</v>
      </c>
      <c r="M19" s="3" t="str">
        <f t="shared" si="2"/>
        <v>0% to 5%</v>
      </c>
      <c r="N19" s="3" t="str">
        <f t="shared" si="3"/>
        <v>OK</v>
      </c>
    </row>
    <row r="20" spans="1:14" x14ac:dyDescent="0.3">
      <c r="A20" s="2">
        <f>DATE(VALUE(RIGHT(TRIM([1]Raw_Data!A18),4)),VALUE(MID(TRIM([1]Raw_Data!A18),4,2)),VALUE(LEFT(TRIM([1]Raw_Data!A18),2)))</f>
        <v>43843</v>
      </c>
      <c r="B20" s="3" t="str">
        <f>TRIM([1]Raw_Data!B18)</f>
        <v>Whey Protein</v>
      </c>
      <c r="C20" s="3" t="str">
        <f>TRIM([1]Raw_Data!C18)</f>
        <v>Protein</v>
      </c>
      <c r="D20" s="3">
        <f>[1]Raw_Data!D18</f>
        <v>150</v>
      </c>
      <c r="E20" s="4">
        <f>[1]Raw_Data!E18</f>
        <v>12.08</v>
      </c>
      <c r="F20" s="5">
        <f>[1]Raw_Data!F18</f>
        <v>1812</v>
      </c>
      <c r="G20" s="4">
        <f>[1]Raw_Data!G18</f>
        <v>0.02</v>
      </c>
      <c r="H20" s="3">
        <f>[1]Raw_Data!H18</f>
        <v>2</v>
      </c>
      <c r="I20" s="3" t="str">
        <f>TRIM([1]Raw_Data!I18)</f>
        <v>UK</v>
      </c>
      <c r="J20" s="3" t="str">
        <f>TRIM([1]Raw_Data!J18)</f>
        <v>Amazon</v>
      </c>
      <c r="K20" s="3">
        <f t="shared" si="0"/>
        <v>2020</v>
      </c>
      <c r="L20" s="6">
        <f t="shared" si="1"/>
        <v>43831</v>
      </c>
      <c r="M20" s="3" t="str">
        <f t="shared" si="2"/>
        <v>0% to 5%</v>
      </c>
      <c r="N20" s="3" t="str">
        <f t="shared" si="3"/>
        <v>OK</v>
      </c>
    </row>
    <row r="21" spans="1:14" x14ac:dyDescent="0.3">
      <c r="A21" s="2">
        <f>DATE(VALUE(RIGHT(TRIM([1]Raw_Data!A19),4)),VALUE(MID(TRIM([1]Raw_Data!A19),4,2)),VALUE(LEFT(TRIM([1]Raw_Data!A19),2)))</f>
        <v>43843</v>
      </c>
      <c r="B21" s="3" t="str">
        <f>TRIM([1]Raw_Data!B19)</f>
        <v>Vitamin C</v>
      </c>
      <c r="C21" s="3" t="str">
        <f>TRIM([1]Raw_Data!C19)</f>
        <v>Vitamin</v>
      </c>
      <c r="D21" s="3">
        <f>[1]Raw_Data!D19</f>
        <v>128</v>
      </c>
      <c r="E21" s="4">
        <f>[1]Raw_Data!E19</f>
        <v>10.61</v>
      </c>
      <c r="F21" s="5">
        <f>[1]Raw_Data!F19</f>
        <v>1358.08</v>
      </c>
      <c r="G21" s="4">
        <f>[1]Raw_Data!G19</f>
        <v>0.24</v>
      </c>
      <c r="H21" s="3">
        <f>[1]Raw_Data!H19</f>
        <v>2</v>
      </c>
      <c r="I21" s="3" t="str">
        <f>TRIM([1]Raw_Data!I19)</f>
        <v>USA</v>
      </c>
      <c r="J21" s="3" t="str">
        <f>TRIM([1]Raw_Data!J19)</f>
        <v>Amazon</v>
      </c>
      <c r="K21" s="3">
        <f t="shared" si="0"/>
        <v>2020</v>
      </c>
      <c r="L21" s="6">
        <f t="shared" si="1"/>
        <v>43831</v>
      </c>
      <c r="M21" s="3" t="str">
        <f t="shared" si="2"/>
        <v>21% to 25%</v>
      </c>
      <c r="N21" s="3" t="str">
        <f t="shared" si="3"/>
        <v>OK</v>
      </c>
    </row>
    <row r="22" spans="1:14" x14ac:dyDescent="0.3">
      <c r="A22" s="2">
        <f>DATE(VALUE(RIGHT(TRIM([1]Raw_Data!A20),4)),VALUE(MID(TRIM([1]Raw_Data!A20),4,2)),VALUE(LEFT(TRIM([1]Raw_Data!A20),2)))</f>
        <v>43843</v>
      </c>
      <c r="B22" s="3" t="str">
        <f>TRIM([1]Raw_Data!B20)</f>
        <v>Fish Oil</v>
      </c>
      <c r="C22" s="3" t="str">
        <f>TRIM([1]Raw_Data!C20)</f>
        <v>Omega</v>
      </c>
      <c r="D22" s="3">
        <f>[1]Raw_Data!D20</f>
        <v>145</v>
      </c>
      <c r="E22" s="4">
        <f>[1]Raw_Data!E20</f>
        <v>27.49</v>
      </c>
      <c r="F22" s="5">
        <f>[1]Raw_Data!F20</f>
        <v>3986.05</v>
      </c>
      <c r="G22" s="4">
        <f>[1]Raw_Data!G20</f>
        <v>0.19</v>
      </c>
      <c r="H22" s="3">
        <f>[1]Raw_Data!H20</f>
        <v>2</v>
      </c>
      <c r="I22" s="3" t="str">
        <f>TRIM([1]Raw_Data!I20)</f>
        <v>USA</v>
      </c>
      <c r="J22" s="3" t="str">
        <f>TRIM([1]Raw_Data!J20)</f>
        <v>Walmart</v>
      </c>
      <c r="K22" s="3">
        <f t="shared" si="0"/>
        <v>2020</v>
      </c>
      <c r="L22" s="6">
        <f t="shared" si="1"/>
        <v>43831</v>
      </c>
      <c r="M22" s="3" t="str">
        <f t="shared" si="2"/>
        <v>16% to 20%</v>
      </c>
      <c r="N22" s="3" t="str">
        <f t="shared" si="3"/>
        <v>OK</v>
      </c>
    </row>
    <row r="23" spans="1:14" x14ac:dyDescent="0.3">
      <c r="A23" s="2">
        <f>DATE(VALUE(RIGHT(TRIM([1]Raw_Data!A21),4)),VALUE(MID(TRIM([1]Raw_Data!A21),4,2)),VALUE(LEFT(TRIM([1]Raw_Data!A21),2)))</f>
        <v>43843</v>
      </c>
      <c r="B23" s="3" t="str">
        <f>TRIM([1]Raw_Data!B21)</f>
        <v>Multivitamin</v>
      </c>
      <c r="C23" s="3" t="str">
        <f>TRIM([1]Raw_Data!C21)</f>
        <v>Vitamin</v>
      </c>
      <c r="D23" s="3">
        <f>[1]Raw_Data!D21</f>
        <v>137</v>
      </c>
      <c r="E23" s="4">
        <f>[1]Raw_Data!E21</f>
        <v>14.92</v>
      </c>
      <c r="F23" s="5">
        <f>[1]Raw_Data!F21</f>
        <v>2044.04</v>
      </c>
      <c r="G23" s="4">
        <f>[1]Raw_Data!G21</f>
        <v>0.17</v>
      </c>
      <c r="H23" s="3">
        <f>[1]Raw_Data!H21</f>
        <v>2</v>
      </c>
      <c r="I23" s="3" t="str">
        <f>TRIM([1]Raw_Data!I21)</f>
        <v>USA</v>
      </c>
      <c r="J23" s="3" t="str">
        <f>TRIM([1]Raw_Data!J21)</f>
        <v>Amazon</v>
      </c>
      <c r="K23" s="3">
        <f t="shared" si="0"/>
        <v>2020</v>
      </c>
      <c r="L23" s="6">
        <f t="shared" si="1"/>
        <v>43831</v>
      </c>
      <c r="M23" s="3" t="str">
        <f t="shared" si="2"/>
        <v>16% to 20%</v>
      </c>
      <c r="N23" s="3" t="str">
        <f t="shared" si="3"/>
        <v>OK</v>
      </c>
    </row>
    <row r="24" spans="1:14" x14ac:dyDescent="0.3">
      <c r="A24" s="2">
        <f>DATE(VALUE(RIGHT(TRIM([1]Raw_Data!A22),4)),VALUE(MID(TRIM([1]Raw_Data!A22),4,2)),VALUE(LEFT(TRIM([1]Raw_Data!A22),2)))</f>
        <v>43843</v>
      </c>
      <c r="B24" s="3" t="str">
        <f>TRIM([1]Raw_Data!B22)</f>
        <v>Pre-Workout</v>
      </c>
      <c r="C24" s="3" t="str">
        <f>TRIM([1]Raw_Data!C22)</f>
        <v>Performance</v>
      </c>
      <c r="D24" s="3">
        <f>[1]Raw_Data!D22</f>
        <v>141</v>
      </c>
      <c r="E24" s="4">
        <f>[1]Raw_Data!E22</f>
        <v>14.11</v>
      </c>
      <c r="F24" s="5">
        <f>[1]Raw_Data!F22</f>
        <v>1989.51</v>
      </c>
      <c r="G24" s="4">
        <f>[1]Raw_Data!G22</f>
        <v>0.24</v>
      </c>
      <c r="H24" s="3">
        <f>[1]Raw_Data!H22</f>
        <v>1</v>
      </c>
      <c r="I24" s="3" t="str">
        <f>TRIM([1]Raw_Data!I22)</f>
        <v>Canada</v>
      </c>
      <c r="J24" s="3" t="str">
        <f>TRIM([1]Raw_Data!J22)</f>
        <v>iHerb</v>
      </c>
      <c r="K24" s="3">
        <f t="shared" si="0"/>
        <v>2020</v>
      </c>
      <c r="L24" s="6">
        <f t="shared" si="1"/>
        <v>43831</v>
      </c>
      <c r="M24" s="3" t="str">
        <f t="shared" si="2"/>
        <v>21% to 25%</v>
      </c>
      <c r="N24" s="3" t="str">
        <f t="shared" si="3"/>
        <v>OK</v>
      </c>
    </row>
    <row r="25" spans="1:14" x14ac:dyDescent="0.3">
      <c r="A25" s="2">
        <f>DATE(VALUE(RIGHT(TRIM([1]Raw_Data!A23),4)),VALUE(MID(TRIM([1]Raw_Data!A23),4,2)),VALUE(LEFT(TRIM([1]Raw_Data!A23),2)))</f>
        <v>43843</v>
      </c>
      <c r="B25" s="3" t="str">
        <f>TRIM([1]Raw_Data!B23)</f>
        <v>BCAA</v>
      </c>
      <c r="C25" s="3" t="str">
        <f>TRIM([1]Raw_Data!C23)</f>
        <v>Amino Acid</v>
      </c>
      <c r="D25" s="3">
        <f>[1]Raw_Data!D23</f>
        <v>160</v>
      </c>
      <c r="E25" s="4">
        <f>[1]Raw_Data!E23</f>
        <v>29.1</v>
      </c>
      <c r="F25" s="5">
        <f>[1]Raw_Data!F23</f>
        <v>4656</v>
      </c>
      <c r="G25" s="4">
        <f>[1]Raw_Data!G23</f>
        <v>0.05</v>
      </c>
      <c r="H25" s="3">
        <f>[1]Raw_Data!H23</f>
        <v>0</v>
      </c>
      <c r="I25" s="3" t="str">
        <f>TRIM([1]Raw_Data!I23)</f>
        <v>Canada</v>
      </c>
      <c r="J25" s="3" t="str">
        <f>TRIM([1]Raw_Data!J23)</f>
        <v>Amazon</v>
      </c>
      <c r="K25" s="3">
        <f t="shared" si="0"/>
        <v>2020</v>
      </c>
      <c r="L25" s="6">
        <f t="shared" si="1"/>
        <v>43831</v>
      </c>
      <c r="M25" s="3" t="str">
        <f t="shared" si="2"/>
        <v>0% to 5%</v>
      </c>
      <c r="N25" s="3" t="str">
        <f t="shared" si="3"/>
        <v>OK</v>
      </c>
    </row>
    <row r="26" spans="1:14" x14ac:dyDescent="0.3">
      <c r="A26" s="2">
        <f>DATE(VALUE(RIGHT(TRIM([1]Raw_Data!A24),4)),VALUE(MID(TRIM([1]Raw_Data!A24),4,2)),VALUE(LEFT(TRIM([1]Raw_Data!A24),2)))</f>
        <v>43843</v>
      </c>
      <c r="B26" s="3" t="str">
        <f>TRIM([1]Raw_Data!B24)</f>
        <v>Creatine</v>
      </c>
      <c r="C26" s="3" t="str">
        <f>TRIM([1]Raw_Data!C24)</f>
        <v>Performance</v>
      </c>
      <c r="D26" s="3">
        <f>[1]Raw_Data!D24</f>
        <v>154</v>
      </c>
      <c r="E26" s="4">
        <f>[1]Raw_Data!E24</f>
        <v>42.2</v>
      </c>
      <c r="F26" s="5">
        <f>[1]Raw_Data!F24</f>
        <v>6498.8</v>
      </c>
      <c r="G26" s="4">
        <f>[1]Raw_Data!G24</f>
        <v>0.13</v>
      </c>
      <c r="H26" s="3">
        <f>[1]Raw_Data!H24</f>
        <v>0</v>
      </c>
      <c r="I26" s="3" t="str">
        <f>TRIM([1]Raw_Data!I24)</f>
        <v>UK</v>
      </c>
      <c r="J26" s="3" t="str">
        <f>TRIM([1]Raw_Data!J24)</f>
        <v>Walmart</v>
      </c>
      <c r="K26" s="3">
        <f t="shared" si="0"/>
        <v>2020</v>
      </c>
      <c r="L26" s="6">
        <f t="shared" si="1"/>
        <v>43831</v>
      </c>
      <c r="M26" s="3" t="str">
        <f t="shared" si="2"/>
        <v>11% to 15%</v>
      </c>
      <c r="N26" s="3" t="str">
        <f t="shared" si="3"/>
        <v>OK</v>
      </c>
    </row>
    <row r="27" spans="1:14" x14ac:dyDescent="0.3">
      <c r="A27" s="2">
        <f>DATE(VALUE(RIGHT(TRIM([1]Raw_Data!A25),4)),VALUE(MID(TRIM([1]Raw_Data!A25),4,2)),VALUE(LEFT(TRIM([1]Raw_Data!A25),2)))</f>
        <v>43843</v>
      </c>
      <c r="B27" s="3" t="str">
        <f>TRIM([1]Raw_Data!B25)</f>
        <v>Zinc</v>
      </c>
      <c r="C27" s="3" t="str">
        <f>TRIM([1]Raw_Data!C25)</f>
        <v>Mineral</v>
      </c>
      <c r="D27" s="3">
        <f>[1]Raw_Data!D25</f>
        <v>154</v>
      </c>
      <c r="E27" s="4">
        <f>[1]Raw_Data!E25</f>
        <v>47.4</v>
      </c>
      <c r="F27" s="5">
        <f>[1]Raw_Data!F25</f>
        <v>7299.6</v>
      </c>
      <c r="G27" s="4">
        <f>[1]Raw_Data!G25</f>
        <v>0.2</v>
      </c>
      <c r="H27" s="3">
        <f>[1]Raw_Data!H25</f>
        <v>2</v>
      </c>
      <c r="I27" s="3" t="str">
        <f>TRIM([1]Raw_Data!I25)</f>
        <v>USA</v>
      </c>
      <c r="J27" s="3" t="str">
        <f>TRIM([1]Raw_Data!J25)</f>
        <v>Amazon</v>
      </c>
      <c r="K27" s="3">
        <f t="shared" si="0"/>
        <v>2020</v>
      </c>
      <c r="L27" s="6">
        <f t="shared" si="1"/>
        <v>43831</v>
      </c>
      <c r="M27" s="3" t="str">
        <f t="shared" si="2"/>
        <v>16% to 20%</v>
      </c>
      <c r="N27" s="3" t="str">
        <f t="shared" si="3"/>
        <v>OK</v>
      </c>
    </row>
    <row r="28" spans="1:14" x14ac:dyDescent="0.3">
      <c r="A28" s="2">
        <f>DATE(VALUE(RIGHT(TRIM([1]Raw_Data!A26),4)),VALUE(MID(TRIM([1]Raw_Data!A26),4,2)),VALUE(LEFT(TRIM([1]Raw_Data!A26),2)))</f>
        <v>43843</v>
      </c>
      <c r="B28" s="3" t="str">
        <f>TRIM([1]Raw_Data!B26)</f>
        <v>Collagen Peptides</v>
      </c>
      <c r="C28" s="3" t="str">
        <f>TRIM([1]Raw_Data!C26)</f>
        <v>Protein</v>
      </c>
      <c r="D28" s="3">
        <f>[1]Raw_Data!D26</f>
        <v>134</v>
      </c>
      <c r="E28" s="4">
        <f>[1]Raw_Data!E26</f>
        <v>56.4</v>
      </c>
      <c r="F28" s="5">
        <f>[1]Raw_Data!F26</f>
        <v>7557.6</v>
      </c>
      <c r="G28" s="4">
        <f>[1]Raw_Data!G26</f>
        <v>0.06</v>
      </c>
      <c r="H28" s="3">
        <f>[1]Raw_Data!H26</f>
        <v>1</v>
      </c>
      <c r="I28" s="3" t="str">
        <f>TRIM([1]Raw_Data!I26)</f>
        <v>Canada</v>
      </c>
      <c r="J28" s="3" t="str">
        <f>TRIM([1]Raw_Data!J26)</f>
        <v>iHerb</v>
      </c>
      <c r="K28" s="3">
        <f t="shared" si="0"/>
        <v>2020</v>
      </c>
      <c r="L28" s="6">
        <f t="shared" si="1"/>
        <v>43831</v>
      </c>
      <c r="M28" s="3" t="str">
        <f t="shared" si="2"/>
        <v>6% to 10%</v>
      </c>
      <c r="N28" s="3" t="str">
        <f t="shared" si="3"/>
        <v>OK</v>
      </c>
    </row>
    <row r="29" spans="1:14" x14ac:dyDescent="0.3">
      <c r="A29" s="2">
        <f>DATE(VALUE(RIGHT(TRIM([1]Raw_Data!A27),4)),VALUE(MID(TRIM([1]Raw_Data!A27),4,2)),VALUE(LEFT(TRIM([1]Raw_Data!A27),2)))</f>
        <v>43843</v>
      </c>
      <c r="B29" s="3" t="str">
        <f>TRIM([1]Raw_Data!B27)</f>
        <v>Magnesium</v>
      </c>
      <c r="C29" s="3" t="str">
        <f>TRIM([1]Raw_Data!C27)</f>
        <v>Mineral</v>
      </c>
      <c r="D29" s="3">
        <f>[1]Raw_Data!D27</f>
        <v>148</v>
      </c>
      <c r="E29" s="4">
        <f>[1]Raw_Data!E27</f>
        <v>40.65</v>
      </c>
      <c r="F29" s="5">
        <f>[1]Raw_Data!F27</f>
        <v>6016.2</v>
      </c>
      <c r="G29" s="4">
        <f>[1]Raw_Data!G27</f>
        <v>0.24</v>
      </c>
      <c r="H29" s="3">
        <f>[1]Raw_Data!H27</f>
        <v>1</v>
      </c>
      <c r="I29" s="3" t="str">
        <f>TRIM([1]Raw_Data!I27)</f>
        <v>UK</v>
      </c>
      <c r="J29" s="3" t="str">
        <f>TRIM([1]Raw_Data!J27)</f>
        <v>Amazon</v>
      </c>
      <c r="K29" s="3">
        <f t="shared" si="0"/>
        <v>2020</v>
      </c>
      <c r="L29" s="6">
        <f t="shared" si="1"/>
        <v>43831</v>
      </c>
      <c r="M29" s="3" t="str">
        <f t="shared" si="2"/>
        <v>21% to 25%</v>
      </c>
      <c r="N29" s="3" t="str">
        <f t="shared" si="3"/>
        <v>OK</v>
      </c>
    </row>
    <row r="30" spans="1:14" x14ac:dyDescent="0.3">
      <c r="A30" s="2">
        <f>DATE(VALUE(RIGHT(TRIM([1]Raw_Data!A28),4)),VALUE(MID(TRIM([1]Raw_Data!A28),4,2)),VALUE(LEFT(TRIM([1]Raw_Data!A28),2)))</f>
        <v>43843</v>
      </c>
      <c r="B30" s="3" t="str">
        <f>TRIM([1]Raw_Data!B28)</f>
        <v>Ashwagandha</v>
      </c>
      <c r="C30" s="3" t="str">
        <f>TRIM([1]Raw_Data!C28)</f>
        <v>Herbal</v>
      </c>
      <c r="D30" s="3">
        <f>[1]Raw_Data!D28</f>
        <v>133</v>
      </c>
      <c r="E30" s="4">
        <f>[1]Raw_Data!E28</f>
        <v>54.35</v>
      </c>
      <c r="F30" s="5">
        <f>[1]Raw_Data!F28</f>
        <v>7228.55</v>
      </c>
      <c r="G30" s="4">
        <f>[1]Raw_Data!G28</f>
        <v>0.16</v>
      </c>
      <c r="H30" s="3">
        <f>[1]Raw_Data!H28</f>
        <v>1</v>
      </c>
      <c r="I30" s="3" t="str">
        <f>TRIM([1]Raw_Data!I28)</f>
        <v>UK</v>
      </c>
      <c r="J30" s="3" t="str">
        <f>TRIM([1]Raw_Data!J28)</f>
        <v>Walmart</v>
      </c>
      <c r="K30" s="3">
        <f t="shared" si="0"/>
        <v>2020</v>
      </c>
      <c r="L30" s="6">
        <f t="shared" si="1"/>
        <v>43831</v>
      </c>
      <c r="M30" s="3" t="str">
        <f t="shared" si="2"/>
        <v>16% to 20%</v>
      </c>
      <c r="N30" s="3" t="str">
        <f t="shared" si="3"/>
        <v>OK</v>
      </c>
    </row>
    <row r="31" spans="1:14" x14ac:dyDescent="0.3">
      <c r="A31" s="2">
        <f>DATE(VALUE(RIGHT(TRIM([1]Raw_Data!A29),4)),VALUE(MID(TRIM([1]Raw_Data!A29),4,2)),VALUE(LEFT(TRIM([1]Raw_Data!A29),2)))</f>
        <v>43843</v>
      </c>
      <c r="B31" s="3" t="str">
        <f>TRIM([1]Raw_Data!B29)</f>
        <v>Melatonin</v>
      </c>
      <c r="C31" s="3" t="str">
        <f>TRIM([1]Raw_Data!C29)</f>
        <v>Sleep Aid</v>
      </c>
      <c r="D31" s="3">
        <f>[1]Raw_Data!D29</f>
        <v>141</v>
      </c>
      <c r="E31" s="4">
        <f>[1]Raw_Data!E29</f>
        <v>33.03</v>
      </c>
      <c r="F31" s="5">
        <f>[1]Raw_Data!F29</f>
        <v>4657.2299999999996</v>
      </c>
      <c r="G31" s="4">
        <f>[1]Raw_Data!G29</f>
        <v>0.21</v>
      </c>
      <c r="H31" s="3">
        <f>[1]Raw_Data!H29</f>
        <v>2</v>
      </c>
      <c r="I31" s="3" t="str">
        <f>TRIM([1]Raw_Data!I29)</f>
        <v>USA</v>
      </c>
      <c r="J31" s="3" t="str">
        <f>TRIM([1]Raw_Data!J29)</f>
        <v>Amazon</v>
      </c>
      <c r="K31" s="3">
        <f t="shared" si="0"/>
        <v>2020</v>
      </c>
      <c r="L31" s="6">
        <f t="shared" si="1"/>
        <v>43831</v>
      </c>
      <c r="M31" s="3" t="str">
        <f t="shared" si="2"/>
        <v>21% to 25%</v>
      </c>
      <c r="N31" s="3" t="str">
        <f t="shared" si="3"/>
        <v>OK</v>
      </c>
    </row>
    <row r="32" spans="1:14" x14ac:dyDescent="0.3">
      <c r="A32" s="2">
        <f>DATE(VALUE(RIGHT(TRIM([1]Raw_Data!A30),4)),VALUE(MID(TRIM([1]Raw_Data!A30),4,2)),VALUE(LEFT(TRIM([1]Raw_Data!A30),2)))</f>
        <v>43843</v>
      </c>
      <c r="B32" s="3" t="str">
        <f>TRIM([1]Raw_Data!B30)</f>
        <v>Biotin</v>
      </c>
      <c r="C32" s="3" t="str">
        <f>TRIM([1]Raw_Data!C30)</f>
        <v>Vitamin</v>
      </c>
      <c r="D32" s="3">
        <f>[1]Raw_Data!D30</f>
        <v>161</v>
      </c>
      <c r="E32" s="4">
        <f>[1]Raw_Data!E30</f>
        <v>18.87</v>
      </c>
      <c r="F32" s="5">
        <f>[1]Raw_Data!F30</f>
        <v>3038.07</v>
      </c>
      <c r="G32" s="4">
        <f>[1]Raw_Data!G30</f>
        <v>0.14000000000000001</v>
      </c>
      <c r="H32" s="3">
        <f>[1]Raw_Data!H30</f>
        <v>5</v>
      </c>
      <c r="I32" s="3" t="str">
        <f>TRIM([1]Raw_Data!I30)</f>
        <v>USA</v>
      </c>
      <c r="J32" s="3" t="str">
        <f>TRIM([1]Raw_Data!J30)</f>
        <v>iHerb</v>
      </c>
      <c r="K32" s="3">
        <f t="shared" si="0"/>
        <v>2020</v>
      </c>
      <c r="L32" s="6">
        <f t="shared" si="1"/>
        <v>43831</v>
      </c>
      <c r="M32" s="3" t="str">
        <f t="shared" si="2"/>
        <v>11% to 15%</v>
      </c>
      <c r="N32" s="3" t="str">
        <f t="shared" si="3"/>
        <v>OK</v>
      </c>
    </row>
    <row r="33" spans="1:14" x14ac:dyDescent="0.3">
      <c r="A33" s="2">
        <f>DATE(VALUE(RIGHT(TRIM([1]Raw_Data!A31),4)),VALUE(MID(TRIM([1]Raw_Data!A31),4,2)),VALUE(LEFT(TRIM([1]Raw_Data!A31),2)))</f>
        <v>43843</v>
      </c>
      <c r="B33" s="3" t="str">
        <f>TRIM([1]Raw_Data!B31)</f>
        <v>Green Tea Extract</v>
      </c>
      <c r="C33" s="3" t="str">
        <f>TRIM([1]Raw_Data!C31)</f>
        <v>Fat Burner</v>
      </c>
      <c r="D33" s="3">
        <f>[1]Raw_Data!D31</f>
        <v>174</v>
      </c>
      <c r="E33" s="4">
        <f>[1]Raw_Data!E31</f>
        <v>18.239999999999998</v>
      </c>
      <c r="F33" s="5">
        <f>[1]Raw_Data!F31</f>
        <v>3173.76</v>
      </c>
      <c r="G33" s="4">
        <f>[1]Raw_Data!G31</f>
        <v>0.03</v>
      </c>
      <c r="H33" s="3">
        <f>[1]Raw_Data!H31</f>
        <v>2</v>
      </c>
      <c r="I33" s="3" t="str">
        <f>TRIM([1]Raw_Data!I31)</f>
        <v>USA</v>
      </c>
      <c r="J33" s="3" t="str">
        <f>TRIM([1]Raw_Data!J31)</f>
        <v>Walmart</v>
      </c>
      <c r="K33" s="3">
        <f t="shared" si="0"/>
        <v>2020</v>
      </c>
      <c r="L33" s="6">
        <f t="shared" si="1"/>
        <v>43831</v>
      </c>
      <c r="M33" s="3" t="str">
        <f t="shared" si="2"/>
        <v>0% to 5%</v>
      </c>
      <c r="N33" s="3" t="str">
        <f t="shared" si="3"/>
        <v>OK</v>
      </c>
    </row>
    <row r="34" spans="1:14" x14ac:dyDescent="0.3">
      <c r="A34" s="2">
        <f>DATE(VALUE(RIGHT(TRIM([1]Raw_Data!A32),4)),VALUE(MID(TRIM([1]Raw_Data!A32),4,2)),VALUE(LEFT(TRIM([1]Raw_Data!A32),2)))</f>
        <v>43843</v>
      </c>
      <c r="B34" s="3" t="str">
        <f>TRIM([1]Raw_Data!B32)</f>
        <v>Iron Supplement</v>
      </c>
      <c r="C34" s="3" t="str">
        <f>TRIM([1]Raw_Data!C32)</f>
        <v>Mineral</v>
      </c>
      <c r="D34" s="3">
        <f>[1]Raw_Data!D32</f>
        <v>163</v>
      </c>
      <c r="E34" s="4">
        <f>[1]Raw_Data!E32</f>
        <v>35.29</v>
      </c>
      <c r="F34" s="5">
        <f>[1]Raw_Data!F32</f>
        <v>5752.27</v>
      </c>
      <c r="G34" s="4">
        <f>[1]Raw_Data!G32</f>
        <v>0.21</v>
      </c>
      <c r="H34" s="3">
        <f>[1]Raw_Data!H32</f>
        <v>2</v>
      </c>
      <c r="I34" s="3" t="str">
        <f>TRIM([1]Raw_Data!I32)</f>
        <v>USA</v>
      </c>
      <c r="J34" s="3" t="str">
        <f>TRIM([1]Raw_Data!J32)</f>
        <v>Amazon</v>
      </c>
      <c r="K34" s="3">
        <f t="shared" si="0"/>
        <v>2020</v>
      </c>
      <c r="L34" s="6">
        <f t="shared" si="1"/>
        <v>43831</v>
      </c>
      <c r="M34" s="3" t="str">
        <f t="shared" si="2"/>
        <v>21% to 25%</v>
      </c>
      <c r="N34" s="3" t="str">
        <f t="shared" si="3"/>
        <v>OK</v>
      </c>
    </row>
    <row r="35" spans="1:14" x14ac:dyDescent="0.3">
      <c r="A35" s="2">
        <f>DATE(VALUE(RIGHT(TRIM([1]Raw_Data!A33),4)),VALUE(MID(TRIM([1]Raw_Data!A33),4,2)),VALUE(LEFT(TRIM([1]Raw_Data!A33),2)))</f>
        <v>43843</v>
      </c>
      <c r="B35" s="3" t="str">
        <f>TRIM([1]Raw_Data!B33)</f>
        <v>Electrolyte Powder</v>
      </c>
      <c r="C35" s="3" t="str">
        <f>TRIM([1]Raw_Data!C33)</f>
        <v>Hydration</v>
      </c>
      <c r="D35" s="3">
        <f>[1]Raw_Data!D33</f>
        <v>151</v>
      </c>
      <c r="E35" s="4">
        <f>[1]Raw_Data!E33</f>
        <v>35.42</v>
      </c>
      <c r="F35" s="5">
        <f>[1]Raw_Data!F33</f>
        <v>5348.42</v>
      </c>
      <c r="G35" s="4">
        <f>[1]Raw_Data!G33</f>
        <v>7.0000000000000007E-2</v>
      </c>
      <c r="H35" s="3">
        <f>[1]Raw_Data!H33</f>
        <v>2</v>
      </c>
      <c r="I35" s="3" t="str">
        <f>TRIM([1]Raw_Data!I33)</f>
        <v>USA</v>
      </c>
      <c r="J35" s="3" t="str">
        <f>TRIM([1]Raw_Data!J33)</f>
        <v>Amazon</v>
      </c>
      <c r="K35" s="3">
        <f t="shared" si="0"/>
        <v>2020</v>
      </c>
      <c r="L35" s="6">
        <f t="shared" si="1"/>
        <v>43831</v>
      </c>
      <c r="M35" s="3" t="str">
        <f t="shared" si="2"/>
        <v>6% to 10%</v>
      </c>
      <c r="N35" s="3" t="str">
        <f t="shared" si="3"/>
        <v>OK</v>
      </c>
    </row>
    <row r="36" spans="1:14" x14ac:dyDescent="0.3">
      <c r="A36" s="2">
        <f>DATE(VALUE(RIGHT(TRIM([1]Raw_Data!A34),4)),VALUE(MID(TRIM([1]Raw_Data!A34),4,2)),VALUE(LEFT(TRIM([1]Raw_Data!A34),2)))</f>
        <v>43850</v>
      </c>
      <c r="B36" s="3" t="str">
        <f>TRIM([1]Raw_Data!B34)</f>
        <v>Whey Protein</v>
      </c>
      <c r="C36" s="3" t="str">
        <f>TRIM([1]Raw_Data!C34)</f>
        <v>Protein</v>
      </c>
      <c r="D36" s="3">
        <f>[1]Raw_Data!D34</f>
        <v>157</v>
      </c>
      <c r="E36" s="4">
        <f>[1]Raw_Data!E34</f>
        <v>41.81</v>
      </c>
      <c r="F36" s="5">
        <f>[1]Raw_Data!F34</f>
        <v>6564.17</v>
      </c>
      <c r="G36" s="4">
        <f>[1]Raw_Data!G34</f>
        <v>0.19</v>
      </c>
      <c r="H36" s="3">
        <f>[1]Raw_Data!H34</f>
        <v>0</v>
      </c>
      <c r="I36" s="3" t="str">
        <f>TRIM([1]Raw_Data!I34)</f>
        <v>USA</v>
      </c>
      <c r="J36" s="3" t="str">
        <f>TRIM([1]Raw_Data!J34)</f>
        <v>Walmart</v>
      </c>
      <c r="K36" s="3">
        <f t="shared" si="0"/>
        <v>2020</v>
      </c>
      <c r="L36" s="6">
        <f t="shared" si="1"/>
        <v>43831</v>
      </c>
      <c r="M36" s="3" t="str">
        <f t="shared" si="2"/>
        <v>16% to 20%</v>
      </c>
      <c r="N36" s="3" t="str">
        <f t="shared" si="3"/>
        <v>OK</v>
      </c>
    </row>
    <row r="37" spans="1:14" x14ac:dyDescent="0.3">
      <c r="A37" s="2">
        <f>DATE(VALUE(RIGHT(TRIM([1]Raw_Data!A35),4)),VALUE(MID(TRIM([1]Raw_Data!A35),4,2)),VALUE(LEFT(TRIM([1]Raw_Data!A35),2)))</f>
        <v>43850</v>
      </c>
      <c r="B37" s="3" t="str">
        <f>TRIM([1]Raw_Data!B35)</f>
        <v>Vitamin C</v>
      </c>
      <c r="C37" s="3" t="str">
        <f>TRIM([1]Raw_Data!C35)</f>
        <v>Vitamin</v>
      </c>
      <c r="D37" s="3">
        <f>[1]Raw_Data!D35</f>
        <v>149</v>
      </c>
      <c r="E37" s="4">
        <f>[1]Raw_Data!E35</f>
        <v>22.33</v>
      </c>
      <c r="F37" s="5">
        <f>[1]Raw_Data!F35</f>
        <v>3327.17</v>
      </c>
      <c r="G37" s="4">
        <f>[1]Raw_Data!G35</f>
        <v>0.18</v>
      </c>
      <c r="H37" s="3">
        <f>[1]Raw_Data!H35</f>
        <v>5</v>
      </c>
      <c r="I37" s="3" t="str">
        <f>TRIM([1]Raw_Data!I35)</f>
        <v>UK</v>
      </c>
      <c r="J37" s="3" t="str">
        <f>TRIM([1]Raw_Data!J35)</f>
        <v>Walmart</v>
      </c>
      <c r="K37" s="3">
        <f t="shared" si="0"/>
        <v>2020</v>
      </c>
      <c r="L37" s="6">
        <f t="shared" si="1"/>
        <v>43831</v>
      </c>
      <c r="M37" s="3" t="str">
        <f t="shared" si="2"/>
        <v>16% to 20%</v>
      </c>
      <c r="N37" s="3" t="str">
        <f t="shared" si="3"/>
        <v>OK</v>
      </c>
    </row>
    <row r="38" spans="1:14" x14ac:dyDescent="0.3">
      <c r="A38" s="2">
        <f>DATE(VALUE(RIGHT(TRIM([1]Raw_Data!A36),4)),VALUE(MID(TRIM([1]Raw_Data!A36),4,2)),VALUE(LEFT(TRIM([1]Raw_Data!A36),2)))</f>
        <v>43850</v>
      </c>
      <c r="B38" s="3" t="str">
        <f>TRIM([1]Raw_Data!B36)</f>
        <v>Fish Oil</v>
      </c>
      <c r="C38" s="3" t="str">
        <f>TRIM([1]Raw_Data!C36)</f>
        <v>Omega</v>
      </c>
      <c r="D38" s="3">
        <f>[1]Raw_Data!D36</f>
        <v>131</v>
      </c>
      <c r="E38" s="4">
        <f>[1]Raw_Data!E36</f>
        <v>50</v>
      </c>
      <c r="F38" s="5">
        <f>[1]Raw_Data!F36</f>
        <v>6550</v>
      </c>
      <c r="G38" s="4">
        <f>[1]Raw_Data!G36</f>
        <v>0.05</v>
      </c>
      <c r="H38" s="3">
        <f>[1]Raw_Data!H36</f>
        <v>1</v>
      </c>
      <c r="I38" s="3" t="str">
        <f>TRIM([1]Raw_Data!I36)</f>
        <v>USA</v>
      </c>
      <c r="J38" s="3" t="str">
        <f>TRIM([1]Raw_Data!J36)</f>
        <v>Walmart</v>
      </c>
      <c r="K38" s="3">
        <f t="shared" si="0"/>
        <v>2020</v>
      </c>
      <c r="L38" s="6">
        <f t="shared" si="1"/>
        <v>43831</v>
      </c>
      <c r="M38" s="3" t="str">
        <f t="shared" si="2"/>
        <v>0% to 5%</v>
      </c>
      <c r="N38" s="3" t="str">
        <f t="shared" si="3"/>
        <v>OK</v>
      </c>
    </row>
    <row r="39" spans="1:14" x14ac:dyDescent="0.3">
      <c r="A39" s="2">
        <f>DATE(VALUE(RIGHT(TRIM([1]Raw_Data!A37),4)),VALUE(MID(TRIM([1]Raw_Data!A37),4,2)),VALUE(LEFT(TRIM([1]Raw_Data!A37),2)))</f>
        <v>43850</v>
      </c>
      <c r="B39" s="3" t="str">
        <f>TRIM([1]Raw_Data!B37)</f>
        <v>Multivitamin</v>
      </c>
      <c r="C39" s="3" t="str">
        <f>TRIM([1]Raw_Data!C37)</f>
        <v>Vitamin</v>
      </c>
      <c r="D39" s="3">
        <f>[1]Raw_Data!D37</f>
        <v>159</v>
      </c>
      <c r="E39" s="4">
        <f>[1]Raw_Data!E37</f>
        <v>19.399999999999999</v>
      </c>
      <c r="F39" s="5">
        <f>[1]Raw_Data!F37</f>
        <v>3084.6</v>
      </c>
      <c r="G39" s="4">
        <f>[1]Raw_Data!G37</f>
        <v>0.09</v>
      </c>
      <c r="H39" s="3">
        <f>[1]Raw_Data!H37</f>
        <v>2</v>
      </c>
      <c r="I39" s="3" t="str">
        <f>TRIM([1]Raw_Data!I37)</f>
        <v>USA</v>
      </c>
      <c r="J39" s="3" t="str">
        <f>TRIM([1]Raw_Data!J37)</f>
        <v>Walmart</v>
      </c>
      <c r="K39" s="3">
        <f t="shared" si="0"/>
        <v>2020</v>
      </c>
      <c r="L39" s="6">
        <f t="shared" si="1"/>
        <v>43831</v>
      </c>
      <c r="M39" s="3" t="str">
        <f t="shared" si="2"/>
        <v>6% to 10%</v>
      </c>
      <c r="N39" s="3" t="str">
        <f t="shared" si="3"/>
        <v>OK</v>
      </c>
    </row>
    <row r="40" spans="1:14" x14ac:dyDescent="0.3">
      <c r="A40" s="2">
        <f>DATE(VALUE(RIGHT(TRIM([1]Raw_Data!A38),4)),VALUE(MID(TRIM([1]Raw_Data!A38),4,2)),VALUE(LEFT(TRIM([1]Raw_Data!A38),2)))</f>
        <v>43850</v>
      </c>
      <c r="B40" s="3" t="str">
        <f>TRIM([1]Raw_Data!B38)</f>
        <v>Pre-Workout</v>
      </c>
      <c r="C40" s="3" t="str">
        <f>TRIM([1]Raw_Data!C38)</f>
        <v>Performance</v>
      </c>
      <c r="D40" s="3">
        <f>[1]Raw_Data!D38</f>
        <v>152</v>
      </c>
      <c r="E40" s="4">
        <f>[1]Raw_Data!E38</f>
        <v>48.05</v>
      </c>
      <c r="F40" s="5">
        <f>[1]Raw_Data!F38</f>
        <v>7303.6</v>
      </c>
      <c r="G40" s="4">
        <f>[1]Raw_Data!G38</f>
        <v>0.01</v>
      </c>
      <c r="H40" s="3">
        <f>[1]Raw_Data!H38</f>
        <v>2</v>
      </c>
      <c r="I40" s="3" t="str">
        <f>TRIM([1]Raw_Data!I38)</f>
        <v>USA</v>
      </c>
      <c r="J40" s="3" t="str">
        <f>TRIM([1]Raw_Data!J38)</f>
        <v>iHerb</v>
      </c>
      <c r="K40" s="3">
        <f t="shared" si="0"/>
        <v>2020</v>
      </c>
      <c r="L40" s="6">
        <f t="shared" si="1"/>
        <v>43831</v>
      </c>
      <c r="M40" s="3" t="str">
        <f t="shared" si="2"/>
        <v>0% to 5%</v>
      </c>
      <c r="N40" s="3" t="str">
        <f t="shared" si="3"/>
        <v>OK</v>
      </c>
    </row>
    <row r="41" spans="1:14" x14ac:dyDescent="0.3">
      <c r="A41" s="2">
        <f>DATE(VALUE(RIGHT(TRIM([1]Raw_Data!A39),4)),VALUE(MID(TRIM([1]Raw_Data!A39),4,2)),VALUE(LEFT(TRIM([1]Raw_Data!A39),2)))</f>
        <v>43850</v>
      </c>
      <c r="B41" s="3" t="str">
        <f>TRIM([1]Raw_Data!B39)</f>
        <v>BCAA</v>
      </c>
      <c r="C41" s="3" t="str">
        <f>TRIM([1]Raw_Data!C39)</f>
        <v>Amino Acid</v>
      </c>
      <c r="D41" s="3">
        <f>[1]Raw_Data!D39</f>
        <v>145</v>
      </c>
      <c r="E41" s="4">
        <f>[1]Raw_Data!E39</f>
        <v>17.440000000000001</v>
      </c>
      <c r="F41" s="5">
        <f>[1]Raw_Data!F39</f>
        <v>2528.8000000000002</v>
      </c>
      <c r="G41" s="4">
        <f>[1]Raw_Data!G39</f>
        <v>0.08</v>
      </c>
      <c r="H41" s="3">
        <f>[1]Raw_Data!H39</f>
        <v>3</v>
      </c>
      <c r="I41" s="3" t="str">
        <f>TRIM([1]Raw_Data!I39)</f>
        <v>UK</v>
      </c>
      <c r="J41" s="3" t="str">
        <f>TRIM([1]Raw_Data!J39)</f>
        <v>Amazon</v>
      </c>
      <c r="K41" s="3">
        <f t="shared" si="0"/>
        <v>2020</v>
      </c>
      <c r="L41" s="6">
        <f t="shared" si="1"/>
        <v>43831</v>
      </c>
      <c r="M41" s="3" t="str">
        <f t="shared" si="2"/>
        <v>6% to 10%</v>
      </c>
      <c r="N41" s="3" t="str">
        <f t="shared" si="3"/>
        <v>OK</v>
      </c>
    </row>
    <row r="42" spans="1:14" x14ac:dyDescent="0.3">
      <c r="A42" s="2">
        <f>DATE(VALUE(RIGHT(TRIM([1]Raw_Data!A40),4)),VALUE(MID(TRIM([1]Raw_Data!A40),4,2)),VALUE(LEFT(TRIM([1]Raw_Data!A40),2)))</f>
        <v>43850</v>
      </c>
      <c r="B42" s="3" t="str">
        <f>TRIM([1]Raw_Data!B40)</f>
        <v>Creatine</v>
      </c>
      <c r="C42" s="3" t="str">
        <f>TRIM([1]Raw_Data!C40)</f>
        <v>Performance</v>
      </c>
      <c r="D42" s="3">
        <f>[1]Raw_Data!D40</f>
        <v>148</v>
      </c>
      <c r="E42" s="4">
        <f>[1]Raw_Data!E40</f>
        <v>54.31</v>
      </c>
      <c r="F42" s="5">
        <f>[1]Raw_Data!F40</f>
        <v>8037.88</v>
      </c>
      <c r="G42" s="4">
        <f>[1]Raw_Data!G40</f>
        <v>0.15</v>
      </c>
      <c r="H42" s="3">
        <f>[1]Raw_Data!H40</f>
        <v>1</v>
      </c>
      <c r="I42" s="3" t="str">
        <f>TRIM([1]Raw_Data!I40)</f>
        <v>UK</v>
      </c>
      <c r="J42" s="3" t="str">
        <f>TRIM([1]Raw_Data!J40)</f>
        <v>iHerb</v>
      </c>
      <c r="K42" s="3">
        <f t="shared" si="0"/>
        <v>2020</v>
      </c>
      <c r="L42" s="6">
        <f t="shared" si="1"/>
        <v>43831</v>
      </c>
      <c r="M42" s="3" t="str">
        <f t="shared" si="2"/>
        <v>11% to 15%</v>
      </c>
      <c r="N42" s="3" t="str">
        <f t="shared" si="3"/>
        <v>OK</v>
      </c>
    </row>
    <row r="43" spans="1:14" x14ac:dyDescent="0.3">
      <c r="A43" s="2">
        <f>DATE(VALUE(RIGHT(TRIM([1]Raw_Data!A41),4)),VALUE(MID(TRIM([1]Raw_Data!A41),4,2)),VALUE(LEFT(TRIM([1]Raw_Data!A41),2)))</f>
        <v>43850</v>
      </c>
      <c r="B43" s="3" t="str">
        <f>TRIM([1]Raw_Data!B41)</f>
        <v>Zinc</v>
      </c>
      <c r="C43" s="3" t="str">
        <f>TRIM([1]Raw_Data!C41)</f>
        <v>Mineral</v>
      </c>
      <c r="D43" s="3">
        <f>[1]Raw_Data!D41</f>
        <v>147</v>
      </c>
      <c r="E43" s="4">
        <f>[1]Raw_Data!E41</f>
        <v>10.16</v>
      </c>
      <c r="F43" s="5">
        <f>[1]Raw_Data!F41</f>
        <v>1493.52</v>
      </c>
      <c r="G43" s="4">
        <f>[1]Raw_Data!G41</f>
        <v>0.15</v>
      </c>
      <c r="H43" s="3">
        <f>[1]Raw_Data!H41</f>
        <v>1</v>
      </c>
      <c r="I43" s="3" t="str">
        <f>TRIM([1]Raw_Data!I41)</f>
        <v>USA</v>
      </c>
      <c r="J43" s="3" t="str">
        <f>TRIM([1]Raw_Data!J41)</f>
        <v>iHerb</v>
      </c>
      <c r="K43" s="3">
        <f t="shared" si="0"/>
        <v>2020</v>
      </c>
      <c r="L43" s="6">
        <f t="shared" si="1"/>
        <v>43831</v>
      </c>
      <c r="M43" s="3" t="str">
        <f t="shared" si="2"/>
        <v>11% to 15%</v>
      </c>
      <c r="N43" s="3" t="str">
        <f t="shared" si="3"/>
        <v>OK</v>
      </c>
    </row>
    <row r="44" spans="1:14" x14ac:dyDescent="0.3">
      <c r="A44" s="2">
        <f>DATE(VALUE(RIGHT(TRIM([1]Raw_Data!A42),4)),VALUE(MID(TRIM([1]Raw_Data!A42),4,2)),VALUE(LEFT(TRIM([1]Raw_Data!A42),2)))</f>
        <v>43850</v>
      </c>
      <c r="B44" s="3" t="str">
        <f>TRIM([1]Raw_Data!B42)</f>
        <v>Collagen Peptides</v>
      </c>
      <c r="C44" s="3" t="str">
        <f>TRIM([1]Raw_Data!C42)</f>
        <v>Protein</v>
      </c>
      <c r="D44" s="3">
        <f>[1]Raw_Data!D42</f>
        <v>161</v>
      </c>
      <c r="E44" s="4">
        <f>[1]Raw_Data!E42</f>
        <v>39.409999999999997</v>
      </c>
      <c r="F44" s="5">
        <f>[1]Raw_Data!F42</f>
        <v>6345.01</v>
      </c>
      <c r="G44" s="4">
        <f>[1]Raw_Data!G42</f>
        <v>0.12</v>
      </c>
      <c r="H44" s="3">
        <f>[1]Raw_Data!H42</f>
        <v>2</v>
      </c>
      <c r="I44" s="3" t="str">
        <f>TRIM([1]Raw_Data!I42)</f>
        <v>UK</v>
      </c>
      <c r="J44" s="3" t="str">
        <f>TRIM([1]Raw_Data!J42)</f>
        <v>Walmart</v>
      </c>
      <c r="K44" s="3">
        <f t="shared" si="0"/>
        <v>2020</v>
      </c>
      <c r="L44" s="6">
        <f t="shared" si="1"/>
        <v>43831</v>
      </c>
      <c r="M44" s="3" t="str">
        <f t="shared" si="2"/>
        <v>11% to 15%</v>
      </c>
      <c r="N44" s="3" t="str">
        <f t="shared" si="3"/>
        <v>OK</v>
      </c>
    </row>
    <row r="45" spans="1:14" x14ac:dyDescent="0.3">
      <c r="A45" s="2">
        <f>DATE(VALUE(RIGHT(TRIM([1]Raw_Data!A43),4)),VALUE(MID(TRIM([1]Raw_Data!A43),4,2)),VALUE(LEFT(TRIM([1]Raw_Data!A43),2)))</f>
        <v>43850</v>
      </c>
      <c r="B45" s="3" t="str">
        <f>TRIM([1]Raw_Data!B43)</f>
        <v>Magnesium</v>
      </c>
      <c r="C45" s="3" t="str">
        <f>TRIM([1]Raw_Data!C43)</f>
        <v>Mineral</v>
      </c>
      <c r="D45" s="3">
        <f>[1]Raw_Data!D43</f>
        <v>126</v>
      </c>
      <c r="E45" s="4">
        <f>[1]Raw_Data!E43</f>
        <v>38.07</v>
      </c>
      <c r="F45" s="5">
        <f>[1]Raw_Data!F43</f>
        <v>4796.82</v>
      </c>
      <c r="G45" s="4">
        <f>[1]Raw_Data!G43</f>
        <v>0.14000000000000001</v>
      </c>
      <c r="H45" s="3">
        <f>[1]Raw_Data!H43</f>
        <v>1</v>
      </c>
      <c r="I45" s="3" t="str">
        <f>TRIM([1]Raw_Data!I43)</f>
        <v>Canada</v>
      </c>
      <c r="J45" s="3" t="str">
        <f>TRIM([1]Raw_Data!J43)</f>
        <v>Amazon</v>
      </c>
      <c r="K45" s="3">
        <f t="shared" si="0"/>
        <v>2020</v>
      </c>
      <c r="L45" s="6">
        <f t="shared" si="1"/>
        <v>43831</v>
      </c>
      <c r="M45" s="3" t="str">
        <f t="shared" si="2"/>
        <v>11% to 15%</v>
      </c>
      <c r="N45" s="3" t="str">
        <f t="shared" si="3"/>
        <v>OK</v>
      </c>
    </row>
    <row r="46" spans="1:14" x14ac:dyDescent="0.3">
      <c r="A46" s="2">
        <f>DATE(VALUE(RIGHT(TRIM([1]Raw_Data!A44),4)),VALUE(MID(TRIM([1]Raw_Data!A44),4,2)),VALUE(LEFT(TRIM([1]Raw_Data!A44),2)))</f>
        <v>43850</v>
      </c>
      <c r="B46" s="3" t="str">
        <f>TRIM([1]Raw_Data!B44)</f>
        <v>Ashwagandha</v>
      </c>
      <c r="C46" s="3" t="str">
        <f>TRIM([1]Raw_Data!C44)</f>
        <v>Herbal</v>
      </c>
      <c r="D46" s="3">
        <f>[1]Raw_Data!D44</f>
        <v>156</v>
      </c>
      <c r="E46" s="4">
        <f>[1]Raw_Data!E44</f>
        <v>23.49</v>
      </c>
      <c r="F46" s="5">
        <f>[1]Raw_Data!F44</f>
        <v>3664.44</v>
      </c>
      <c r="G46" s="4">
        <f>[1]Raw_Data!G44</f>
        <v>0.21</v>
      </c>
      <c r="H46" s="3">
        <f>[1]Raw_Data!H44</f>
        <v>1</v>
      </c>
      <c r="I46" s="3" t="str">
        <f>TRIM([1]Raw_Data!I44)</f>
        <v>Canada</v>
      </c>
      <c r="J46" s="3" t="str">
        <f>TRIM([1]Raw_Data!J44)</f>
        <v>iHerb</v>
      </c>
      <c r="K46" s="3">
        <f t="shared" si="0"/>
        <v>2020</v>
      </c>
      <c r="L46" s="6">
        <f t="shared" si="1"/>
        <v>43831</v>
      </c>
      <c r="M46" s="3" t="str">
        <f t="shared" si="2"/>
        <v>21% to 25%</v>
      </c>
      <c r="N46" s="3" t="str">
        <f t="shared" si="3"/>
        <v>OK</v>
      </c>
    </row>
    <row r="47" spans="1:14" x14ac:dyDescent="0.3">
      <c r="A47" s="2">
        <f>DATE(VALUE(RIGHT(TRIM([1]Raw_Data!A45),4)),VALUE(MID(TRIM([1]Raw_Data!A45),4,2)),VALUE(LEFT(TRIM([1]Raw_Data!A45),2)))</f>
        <v>43850</v>
      </c>
      <c r="B47" s="3" t="str">
        <f>TRIM([1]Raw_Data!B45)</f>
        <v>Melatonin</v>
      </c>
      <c r="C47" s="3" t="str">
        <f>TRIM([1]Raw_Data!C45)</f>
        <v>Sleep Aid</v>
      </c>
      <c r="D47" s="3">
        <f>[1]Raw_Data!D45</f>
        <v>128</v>
      </c>
      <c r="E47" s="4">
        <f>[1]Raw_Data!E45</f>
        <v>26.71</v>
      </c>
      <c r="F47" s="5">
        <f>[1]Raw_Data!F45</f>
        <v>3418.88</v>
      </c>
      <c r="G47" s="4">
        <f>[1]Raw_Data!G45</f>
        <v>0.2</v>
      </c>
      <c r="H47" s="3">
        <f>[1]Raw_Data!H45</f>
        <v>2</v>
      </c>
      <c r="I47" s="3" t="str">
        <f>TRIM([1]Raw_Data!I45)</f>
        <v>Canada</v>
      </c>
      <c r="J47" s="3" t="str">
        <f>TRIM([1]Raw_Data!J45)</f>
        <v>iHerb</v>
      </c>
      <c r="K47" s="3">
        <f t="shared" si="0"/>
        <v>2020</v>
      </c>
      <c r="L47" s="6">
        <f t="shared" si="1"/>
        <v>43831</v>
      </c>
      <c r="M47" s="3" t="str">
        <f t="shared" si="2"/>
        <v>16% to 20%</v>
      </c>
      <c r="N47" s="3" t="str">
        <f t="shared" si="3"/>
        <v>OK</v>
      </c>
    </row>
    <row r="48" spans="1:14" x14ac:dyDescent="0.3">
      <c r="A48" s="2">
        <f>DATE(VALUE(RIGHT(TRIM([1]Raw_Data!A46),4)),VALUE(MID(TRIM([1]Raw_Data!A46),4,2)),VALUE(LEFT(TRIM([1]Raw_Data!A46),2)))</f>
        <v>43850</v>
      </c>
      <c r="B48" s="3" t="str">
        <f>TRIM([1]Raw_Data!B46)</f>
        <v>Biotin</v>
      </c>
      <c r="C48" s="3" t="str">
        <f>TRIM([1]Raw_Data!C46)</f>
        <v>Vitamin</v>
      </c>
      <c r="D48" s="3">
        <f>[1]Raw_Data!D46</f>
        <v>161</v>
      </c>
      <c r="E48" s="4">
        <f>[1]Raw_Data!E46</f>
        <v>32.01</v>
      </c>
      <c r="F48" s="5">
        <f>[1]Raw_Data!F46</f>
        <v>5153.6099999999997</v>
      </c>
      <c r="G48" s="4">
        <f>[1]Raw_Data!G46</f>
        <v>0.04</v>
      </c>
      <c r="H48" s="3">
        <f>[1]Raw_Data!H46</f>
        <v>1</v>
      </c>
      <c r="I48" s="3" t="str">
        <f>TRIM([1]Raw_Data!I46)</f>
        <v>Canada</v>
      </c>
      <c r="J48" s="3" t="str">
        <f>TRIM([1]Raw_Data!J46)</f>
        <v>Amazon</v>
      </c>
      <c r="K48" s="3">
        <f t="shared" si="0"/>
        <v>2020</v>
      </c>
      <c r="L48" s="6">
        <f t="shared" si="1"/>
        <v>43831</v>
      </c>
      <c r="M48" s="3" t="str">
        <f t="shared" si="2"/>
        <v>0% to 5%</v>
      </c>
      <c r="N48" s="3" t="str">
        <f t="shared" si="3"/>
        <v>OK</v>
      </c>
    </row>
    <row r="49" spans="1:14" x14ac:dyDescent="0.3">
      <c r="A49" s="2">
        <f>DATE(VALUE(RIGHT(TRIM([1]Raw_Data!A47),4)),VALUE(MID(TRIM([1]Raw_Data!A47),4,2)),VALUE(LEFT(TRIM([1]Raw_Data!A47),2)))</f>
        <v>43850</v>
      </c>
      <c r="B49" s="3" t="str">
        <f>TRIM([1]Raw_Data!B47)</f>
        <v>Green Tea Extract</v>
      </c>
      <c r="C49" s="3" t="str">
        <f>TRIM([1]Raw_Data!C47)</f>
        <v>Fat Burner</v>
      </c>
      <c r="D49" s="3">
        <f>[1]Raw_Data!D47</f>
        <v>148</v>
      </c>
      <c r="E49" s="4">
        <f>[1]Raw_Data!E47</f>
        <v>21.03</v>
      </c>
      <c r="F49" s="5">
        <f>[1]Raw_Data!F47</f>
        <v>3112.44</v>
      </c>
      <c r="G49" s="4">
        <f>[1]Raw_Data!G47</f>
        <v>0.15</v>
      </c>
      <c r="H49" s="3">
        <f>[1]Raw_Data!H47</f>
        <v>2</v>
      </c>
      <c r="I49" s="3" t="str">
        <f>TRIM([1]Raw_Data!I47)</f>
        <v>UK</v>
      </c>
      <c r="J49" s="3" t="str">
        <f>TRIM([1]Raw_Data!J47)</f>
        <v>Walmart</v>
      </c>
      <c r="K49" s="3">
        <f t="shared" si="0"/>
        <v>2020</v>
      </c>
      <c r="L49" s="6">
        <f t="shared" si="1"/>
        <v>43831</v>
      </c>
      <c r="M49" s="3" t="str">
        <f t="shared" si="2"/>
        <v>11% to 15%</v>
      </c>
      <c r="N49" s="3" t="str">
        <f t="shared" si="3"/>
        <v>OK</v>
      </c>
    </row>
    <row r="50" spans="1:14" x14ac:dyDescent="0.3">
      <c r="A50" s="2">
        <f>DATE(VALUE(RIGHT(TRIM([1]Raw_Data!A48),4)),VALUE(MID(TRIM([1]Raw_Data!A48),4,2)),VALUE(LEFT(TRIM([1]Raw_Data!A48),2)))</f>
        <v>43850</v>
      </c>
      <c r="B50" s="3" t="str">
        <f>TRIM([1]Raw_Data!B48)</f>
        <v>Iron Supplement</v>
      </c>
      <c r="C50" s="3" t="str">
        <f>TRIM([1]Raw_Data!C48)</f>
        <v>Mineral</v>
      </c>
      <c r="D50" s="3">
        <f>[1]Raw_Data!D48</f>
        <v>155</v>
      </c>
      <c r="E50" s="4">
        <f>[1]Raw_Data!E48</f>
        <v>41.81</v>
      </c>
      <c r="F50" s="5">
        <f>[1]Raw_Data!F48</f>
        <v>6480.55</v>
      </c>
      <c r="G50" s="4">
        <f>[1]Raw_Data!G48</f>
        <v>0.2</v>
      </c>
      <c r="H50" s="3">
        <f>[1]Raw_Data!H48</f>
        <v>0</v>
      </c>
      <c r="I50" s="3" t="str">
        <f>TRIM([1]Raw_Data!I48)</f>
        <v>UK</v>
      </c>
      <c r="J50" s="3" t="str">
        <f>TRIM([1]Raw_Data!J48)</f>
        <v>iHerb</v>
      </c>
      <c r="K50" s="3">
        <f t="shared" si="0"/>
        <v>2020</v>
      </c>
      <c r="L50" s="6">
        <f t="shared" si="1"/>
        <v>43831</v>
      </c>
      <c r="M50" s="3" t="str">
        <f t="shared" si="2"/>
        <v>16% to 20%</v>
      </c>
      <c r="N50" s="3" t="str">
        <f t="shared" si="3"/>
        <v>OK</v>
      </c>
    </row>
    <row r="51" spans="1:14" x14ac:dyDescent="0.3">
      <c r="A51" s="2">
        <f>DATE(VALUE(RIGHT(TRIM([1]Raw_Data!A49),4)),VALUE(MID(TRIM([1]Raw_Data!A49),4,2)),VALUE(LEFT(TRIM([1]Raw_Data!A49),2)))</f>
        <v>43850</v>
      </c>
      <c r="B51" s="3" t="str">
        <f>TRIM([1]Raw_Data!B49)</f>
        <v>Electrolyte Powder</v>
      </c>
      <c r="C51" s="3" t="str">
        <f>TRIM([1]Raw_Data!C49)</f>
        <v>Hydration</v>
      </c>
      <c r="D51" s="3">
        <f>[1]Raw_Data!D49</f>
        <v>147</v>
      </c>
      <c r="E51" s="4">
        <f>[1]Raw_Data!E49</f>
        <v>29.19</v>
      </c>
      <c r="F51" s="5">
        <f>[1]Raw_Data!F49</f>
        <v>4290.93</v>
      </c>
      <c r="G51" s="4">
        <f>[1]Raw_Data!G49</f>
        <v>0.14000000000000001</v>
      </c>
      <c r="H51" s="3">
        <f>[1]Raw_Data!H49</f>
        <v>2</v>
      </c>
      <c r="I51" s="3" t="str">
        <f>TRIM([1]Raw_Data!I49)</f>
        <v>USA</v>
      </c>
      <c r="J51" s="3" t="str">
        <f>TRIM([1]Raw_Data!J49)</f>
        <v>Amazon</v>
      </c>
      <c r="K51" s="3">
        <f t="shared" si="0"/>
        <v>2020</v>
      </c>
      <c r="L51" s="6">
        <f t="shared" si="1"/>
        <v>43831</v>
      </c>
      <c r="M51" s="3" t="str">
        <f t="shared" si="2"/>
        <v>11% to 15%</v>
      </c>
      <c r="N51" s="3" t="str">
        <f t="shared" si="3"/>
        <v>OK</v>
      </c>
    </row>
    <row r="52" spans="1:14" x14ac:dyDescent="0.3">
      <c r="A52" s="2">
        <f>DATE(VALUE(RIGHT(TRIM([1]Raw_Data!A50),4)),VALUE(MID(TRIM([1]Raw_Data!A50),4,2)),VALUE(LEFT(TRIM([1]Raw_Data!A50),2)))</f>
        <v>43857</v>
      </c>
      <c r="B52" s="3" t="str">
        <f>TRIM([1]Raw_Data!B50)</f>
        <v>Whey Protein</v>
      </c>
      <c r="C52" s="3" t="str">
        <f>TRIM([1]Raw_Data!C50)</f>
        <v>Protein</v>
      </c>
      <c r="D52" s="3">
        <f>[1]Raw_Data!D50</f>
        <v>137</v>
      </c>
      <c r="E52" s="4">
        <f>[1]Raw_Data!E50</f>
        <v>26.73</v>
      </c>
      <c r="F52" s="5">
        <f>[1]Raw_Data!F50</f>
        <v>3662.01</v>
      </c>
      <c r="G52" s="4">
        <f>[1]Raw_Data!G50</f>
        <v>0.01</v>
      </c>
      <c r="H52" s="3">
        <f>[1]Raw_Data!H50</f>
        <v>0</v>
      </c>
      <c r="I52" s="3" t="str">
        <f>TRIM([1]Raw_Data!I50)</f>
        <v>UK</v>
      </c>
      <c r="J52" s="3" t="str">
        <f>TRIM([1]Raw_Data!J50)</f>
        <v>Amazon</v>
      </c>
      <c r="K52" s="3">
        <f t="shared" si="0"/>
        <v>2020</v>
      </c>
      <c r="L52" s="6">
        <f t="shared" si="1"/>
        <v>43831</v>
      </c>
      <c r="M52" s="3" t="str">
        <f t="shared" si="2"/>
        <v>0% to 5%</v>
      </c>
      <c r="N52" s="3" t="str">
        <f t="shared" si="3"/>
        <v>OK</v>
      </c>
    </row>
    <row r="53" spans="1:14" x14ac:dyDescent="0.3">
      <c r="A53" s="2">
        <f>DATE(VALUE(RIGHT(TRIM([1]Raw_Data!A51),4)),VALUE(MID(TRIM([1]Raw_Data!A51),4,2)),VALUE(LEFT(TRIM([1]Raw_Data!A51),2)))</f>
        <v>43857</v>
      </c>
      <c r="B53" s="3" t="str">
        <f>TRIM([1]Raw_Data!B51)</f>
        <v>Vitamin C</v>
      </c>
      <c r="C53" s="3" t="str">
        <f>TRIM([1]Raw_Data!C51)</f>
        <v>Vitamin</v>
      </c>
      <c r="D53" s="3">
        <f>[1]Raw_Data!D51</f>
        <v>163</v>
      </c>
      <c r="E53" s="4">
        <f>[1]Raw_Data!E51</f>
        <v>35.9</v>
      </c>
      <c r="F53" s="5">
        <f>[1]Raw_Data!F51</f>
        <v>5851.7</v>
      </c>
      <c r="G53" s="4">
        <f>[1]Raw_Data!G51</f>
        <v>7.0000000000000007E-2</v>
      </c>
      <c r="H53" s="3">
        <f>[1]Raw_Data!H51</f>
        <v>4</v>
      </c>
      <c r="I53" s="3" t="str">
        <f>TRIM([1]Raw_Data!I51)</f>
        <v>UK</v>
      </c>
      <c r="J53" s="3" t="str">
        <f>TRIM([1]Raw_Data!J51)</f>
        <v>iHerb</v>
      </c>
      <c r="K53" s="3">
        <f t="shared" si="0"/>
        <v>2020</v>
      </c>
      <c r="L53" s="6">
        <f t="shared" si="1"/>
        <v>43831</v>
      </c>
      <c r="M53" s="3" t="str">
        <f t="shared" si="2"/>
        <v>6% to 10%</v>
      </c>
      <c r="N53" s="3" t="str">
        <f t="shared" si="3"/>
        <v>OK</v>
      </c>
    </row>
    <row r="54" spans="1:14" x14ac:dyDescent="0.3">
      <c r="A54" s="2">
        <f>DATE(VALUE(RIGHT(TRIM([1]Raw_Data!A52),4)),VALUE(MID(TRIM([1]Raw_Data!A52),4,2)),VALUE(LEFT(TRIM([1]Raw_Data!A52),2)))</f>
        <v>43857</v>
      </c>
      <c r="B54" s="3" t="str">
        <f>TRIM([1]Raw_Data!B52)</f>
        <v>Fish Oil</v>
      </c>
      <c r="C54" s="3" t="str">
        <f>TRIM([1]Raw_Data!C52)</f>
        <v>Omega</v>
      </c>
      <c r="D54" s="3">
        <f>[1]Raw_Data!D52</f>
        <v>141</v>
      </c>
      <c r="E54" s="4">
        <f>[1]Raw_Data!E52</f>
        <v>53.64</v>
      </c>
      <c r="F54" s="5">
        <f>[1]Raw_Data!F52</f>
        <v>7563.24</v>
      </c>
      <c r="G54" s="4">
        <f>[1]Raw_Data!G52</f>
        <v>0.21</v>
      </c>
      <c r="H54" s="3">
        <f>[1]Raw_Data!H52</f>
        <v>0</v>
      </c>
      <c r="I54" s="3" t="str">
        <f>TRIM([1]Raw_Data!I52)</f>
        <v>Canada</v>
      </c>
      <c r="J54" s="3" t="str">
        <f>TRIM([1]Raw_Data!J52)</f>
        <v>iHerb</v>
      </c>
      <c r="K54" s="3">
        <f t="shared" si="0"/>
        <v>2020</v>
      </c>
      <c r="L54" s="6">
        <f t="shared" si="1"/>
        <v>43831</v>
      </c>
      <c r="M54" s="3" t="str">
        <f t="shared" si="2"/>
        <v>21% to 25%</v>
      </c>
      <c r="N54" s="3" t="str">
        <f t="shared" si="3"/>
        <v>OK</v>
      </c>
    </row>
    <row r="55" spans="1:14" x14ac:dyDescent="0.3">
      <c r="A55" s="2">
        <f>DATE(VALUE(RIGHT(TRIM([1]Raw_Data!A53),4)),VALUE(MID(TRIM([1]Raw_Data!A53),4,2)),VALUE(LEFT(TRIM([1]Raw_Data!A53),2)))</f>
        <v>43857</v>
      </c>
      <c r="B55" s="3" t="str">
        <f>TRIM([1]Raw_Data!B53)</f>
        <v>Multivitamin</v>
      </c>
      <c r="C55" s="3" t="str">
        <f>TRIM([1]Raw_Data!C53)</f>
        <v>Vitamin</v>
      </c>
      <c r="D55" s="3">
        <f>[1]Raw_Data!D53</f>
        <v>162</v>
      </c>
      <c r="E55" s="4">
        <f>[1]Raw_Data!E53</f>
        <v>34.15</v>
      </c>
      <c r="F55" s="5">
        <f>[1]Raw_Data!F53</f>
        <v>5532.3</v>
      </c>
      <c r="G55" s="4">
        <f>[1]Raw_Data!G53</f>
        <v>0.03</v>
      </c>
      <c r="H55" s="3">
        <f>[1]Raw_Data!H53</f>
        <v>0</v>
      </c>
      <c r="I55" s="3" t="str">
        <f>TRIM([1]Raw_Data!I53)</f>
        <v>UK</v>
      </c>
      <c r="J55" s="3" t="str">
        <f>TRIM([1]Raw_Data!J53)</f>
        <v>iHerb</v>
      </c>
      <c r="K55" s="3">
        <f t="shared" si="0"/>
        <v>2020</v>
      </c>
      <c r="L55" s="6">
        <f t="shared" si="1"/>
        <v>43831</v>
      </c>
      <c r="M55" s="3" t="str">
        <f t="shared" si="2"/>
        <v>0% to 5%</v>
      </c>
      <c r="N55" s="3" t="str">
        <f t="shared" si="3"/>
        <v>OK</v>
      </c>
    </row>
    <row r="56" spans="1:14" x14ac:dyDescent="0.3">
      <c r="A56" s="2">
        <f>DATE(VALUE(RIGHT(TRIM([1]Raw_Data!A54),4)),VALUE(MID(TRIM([1]Raw_Data!A54),4,2)),VALUE(LEFT(TRIM([1]Raw_Data!A54),2)))</f>
        <v>43857</v>
      </c>
      <c r="B56" s="3" t="str">
        <f>TRIM([1]Raw_Data!B54)</f>
        <v>Pre-Workout</v>
      </c>
      <c r="C56" s="3" t="str">
        <f>TRIM([1]Raw_Data!C54)</f>
        <v>Performance</v>
      </c>
      <c r="D56" s="3">
        <f>[1]Raw_Data!D54</f>
        <v>158</v>
      </c>
      <c r="E56" s="4">
        <f>[1]Raw_Data!E54</f>
        <v>31.84</v>
      </c>
      <c r="F56" s="5">
        <f>[1]Raw_Data!F54</f>
        <v>5030.72</v>
      </c>
      <c r="G56" s="4">
        <f>[1]Raw_Data!G54</f>
        <v>0.18</v>
      </c>
      <c r="H56" s="3">
        <f>[1]Raw_Data!H54</f>
        <v>2</v>
      </c>
      <c r="I56" s="3" t="str">
        <f>TRIM([1]Raw_Data!I54)</f>
        <v>USA</v>
      </c>
      <c r="J56" s="3" t="str">
        <f>TRIM([1]Raw_Data!J54)</f>
        <v>iHerb</v>
      </c>
      <c r="K56" s="3">
        <f t="shared" si="0"/>
        <v>2020</v>
      </c>
      <c r="L56" s="6">
        <f t="shared" si="1"/>
        <v>43831</v>
      </c>
      <c r="M56" s="3" t="str">
        <f t="shared" si="2"/>
        <v>16% to 20%</v>
      </c>
      <c r="N56" s="3" t="str">
        <f t="shared" si="3"/>
        <v>OK</v>
      </c>
    </row>
    <row r="57" spans="1:14" x14ac:dyDescent="0.3">
      <c r="A57" s="2">
        <f>DATE(VALUE(RIGHT(TRIM([1]Raw_Data!A55),4)),VALUE(MID(TRIM([1]Raw_Data!A55),4,2)),VALUE(LEFT(TRIM([1]Raw_Data!A55),2)))</f>
        <v>43857</v>
      </c>
      <c r="B57" s="3" t="str">
        <f>TRIM([1]Raw_Data!B55)</f>
        <v>BCAA</v>
      </c>
      <c r="C57" s="3" t="str">
        <f>TRIM([1]Raw_Data!C55)</f>
        <v>Amino Acid</v>
      </c>
      <c r="D57" s="3">
        <f>[1]Raw_Data!D55</f>
        <v>136</v>
      </c>
      <c r="E57" s="4">
        <f>[1]Raw_Data!E55</f>
        <v>16.77</v>
      </c>
      <c r="F57" s="5">
        <f>[1]Raw_Data!F55</f>
        <v>2280.7199999999998</v>
      </c>
      <c r="G57" s="4">
        <f>[1]Raw_Data!G55</f>
        <v>0.19</v>
      </c>
      <c r="H57" s="3">
        <f>[1]Raw_Data!H55</f>
        <v>2</v>
      </c>
      <c r="I57" s="3" t="str">
        <f>TRIM([1]Raw_Data!I55)</f>
        <v>USA</v>
      </c>
      <c r="J57" s="3" t="str">
        <f>TRIM([1]Raw_Data!J55)</f>
        <v>iHerb</v>
      </c>
      <c r="K57" s="3">
        <f t="shared" si="0"/>
        <v>2020</v>
      </c>
      <c r="L57" s="6">
        <f t="shared" si="1"/>
        <v>43831</v>
      </c>
      <c r="M57" s="3" t="str">
        <f t="shared" si="2"/>
        <v>16% to 20%</v>
      </c>
      <c r="N57" s="3" t="str">
        <f t="shared" si="3"/>
        <v>OK</v>
      </c>
    </row>
    <row r="58" spans="1:14" x14ac:dyDescent="0.3">
      <c r="A58" s="2">
        <f>DATE(VALUE(RIGHT(TRIM([1]Raw_Data!A56),4)),VALUE(MID(TRIM([1]Raw_Data!A56),4,2)),VALUE(LEFT(TRIM([1]Raw_Data!A56),2)))</f>
        <v>43857</v>
      </c>
      <c r="B58" s="3" t="str">
        <f>TRIM([1]Raw_Data!B56)</f>
        <v>Creatine</v>
      </c>
      <c r="C58" s="3" t="str">
        <f>TRIM([1]Raw_Data!C56)</f>
        <v>Performance</v>
      </c>
      <c r="D58" s="3">
        <f>[1]Raw_Data!D56</f>
        <v>180</v>
      </c>
      <c r="E58" s="4">
        <f>[1]Raw_Data!E56</f>
        <v>12.85</v>
      </c>
      <c r="F58" s="5">
        <f>[1]Raw_Data!F56</f>
        <v>2313</v>
      </c>
      <c r="G58" s="4">
        <f>[1]Raw_Data!G56</f>
        <v>7.0000000000000007E-2</v>
      </c>
      <c r="H58" s="3">
        <f>[1]Raw_Data!H56</f>
        <v>1</v>
      </c>
      <c r="I58" s="3" t="str">
        <f>TRIM([1]Raw_Data!I56)</f>
        <v>USA</v>
      </c>
      <c r="J58" s="3" t="str">
        <f>TRIM([1]Raw_Data!J56)</f>
        <v>Walmart</v>
      </c>
      <c r="K58" s="3">
        <f t="shared" si="0"/>
        <v>2020</v>
      </c>
      <c r="L58" s="6">
        <f t="shared" si="1"/>
        <v>43831</v>
      </c>
      <c r="M58" s="3" t="str">
        <f t="shared" si="2"/>
        <v>6% to 10%</v>
      </c>
      <c r="N58" s="3" t="str">
        <f t="shared" si="3"/>
        <v>OK</v>
      </c>
    </row>
    <row r="59" spans="1:14" x14ac:dyDescent="0.3">
      <c r="A59" s="2">
        <f>DATE(VALUE(RIGHT(TRIM([1]Raw_Data!A57),4)),VALUE(MID(TRIM([1]Raw_Data!A57),4,2)),VALUE(LEFT(TRIM([1]Raw_Data!A57),2)))</f>
        <v>43857</v>
      </c>
      <c r="B59" s="3" t="str">
        <f>TRIM([1]Raw_Data!B57)</f>
        <v>Zinc</v>
      </c>
      <c r="C59" s="3" t="str">
        <f>TRIM([1]Raw_Data!C57)</f>
        <v>Mineral</v>
      </c>
      <c r="D59" s="3">
        <f>[1]Raw_Data!D57</f>
        <v>140</v>
      </c>
      <c r="E59" s="4">
        <f>[1]Raw_Data!E57</f>
        <v>47.97</v>
      </c>
      <c r="F59" s="5">
        <f>[1]Raw_Data!F57</f>
        <v>6715.8</v>
      </c>
      <c r="G59" s="4">
        <f>[1]Raw_Data!G57</f>
        <v>0.11</v>
      </c>
      <c r="H59" s="3">
        <f>[1]Raw_Data!H57</f>
        <v>2</v>
      </c>
      <c r="I59" s="3" t="str">
        <f>TRIM([1]Raw_Data!I57)</f>
        <v>UK</v>
      </c>
      <c r="J59" s="3" t="str">
        <f>TRIM([1]Raw_Data!J57)</f>
        <v>iHerb</v>
      </c>
      <c r="K59" s="3">
        <f t="shared" si="0"/>
        <v>2020</v>
      </c>
      <c r="L59" s="6">
        <f t="shared" si="1"/>
        <v>43831</v>
      </c>
      <c r="M59" s="3" t="str">
        <f t="shared" si="2"/>
        <v>11% to 15%</v>
      </c>
      <c r="N59" s="3" t="str">
        <f t="shared" si="3"/>
        <v>OK</v>
      </c>
    </row>
    <row r="60" spans="1:14" x14ac:dyDescent="0.3">
      <c r="A60" s="2">
        <f>DATE(VALUE(RIGHT(TRIM([1]Raw_Data!A58),4)),VALUE(MID(TRIM([1]Raw_Data!A58),4,2)),VALUE(LEFT(TRIM([1]Raw_Data!A58),2)))</f>
        <v>43857</v>
      </c>
      <c r="B60" s="3" t="str">
        <f>TRIM([1]Raw_Data!B58)</f>
        <v>Collagen Peptides</v>
      </c>
      <c r="C60" s="3" t="str">
        <f>TRIM([1]Raw_Data!C58)</f>
        <v>Protein</v>
      </c>
      <c r="D60" s="3">
        <f>[1]Raw_Data!D58</f>
        <v>126</v>
      </c>
      <c r="E60" s="4">
        <f>[1]Raw_Data!E58</f>
        <v>11.68</v>
      </c>
      <c r="F60" s="5">
        <f>[1]Raw_Data!F58</f>
        <v>1471.68</v>
      </c>
      <c r="G60" s="4">
        <f>[1]Raw_Data!G58</f>
        <v>0.02</v>
      </c>
      <c r="H60" s="3">
        <f>[1]Raw_Data!H58</f>
        <v>3</v>
      </c>
      <c r="I60" s="3" t="str">
        <f>TRIM([1]Raw_Data!I58)</f>
        <v>Canada</v>
      </c>
      <c r="J60" s="3" t="str">
        <f>TRIM([1]Raw_Data!J58)</f>
        <v>Walmart</v>
      </c>
      <c r="K60" s="3">
        <f t="shared" si="0"/>
        <v>2020</v>
      </c>
      <c r="L60" s="6">
        <f t="shared" si="1"/>
        <v>43831</v>
      </c>
      <c r="M60" s="3" t="str">
        <f t="shared" si="2"/>
        <v>0% to 5%</v>
      </c>
      <c r="N60" s="3" t="str">
        <f t="shared" si="3"/>
        <v>OK</v>
      </c>
    </row>
    <row r="61" spans="1:14" x14ac:dyDescent="0.3">
      <c r="A61" s="2">
        <f>DATE(VALUE(RIGHT(TRIM([1]Raw_Data!A59),4)),VALUE(MID(TRIM([1]Raw_Data!A59),4,2)),VALUE(LEFT(TRIM([1]Raw_Data!A59),2)))</f>
        <v>43857</v>
      </c>
      <c r="B61" s="3" t="str">
        <f>TRIM([1]Raw_Data!B59)</f>
        <v>Magnesium</v>
      </c>
      <c r="C61" s="3" t="str">
        <f>TRIM([1]Raw_Data!C59)</f>
        <v>Mineral</v>
      </c>
      <c r="D61" s="3">
        <f>[1]Raw_Data!D59</f>
        <v>135</v>
      </c>
      <c r="E61" s="4">
        <f>[1]Raw_Data!E59</f>
        <v>30.55</v>
      </c>
      <c r="F61" s="5">
        <f>[1]Raw_Data!F59</f>
        <v>4124.25</v>
      </c>
      <c r="G61" s="4">
        <f>[1]Raw_Data!G59</f>
        <v>0.09</v>
      </c>
      <c r="H61" s="3">
        <f>[1]Raw_Data!H59</f>
        <v>3</v>
      </c>
      <c r="I61" s="3" t="str">
        <f>TRIM([1]Raw_Data!I59)</f>
        <v>USA</v>
      </c>
      <c r="J61" s="3" t="str">
        <f>TRIM([1]Raw_Data!J59)</f>
        <v>Amazon</v>
      </c>
      <c r="K61" s="3">
        <f t="shared" si="0"/>
        <v>2020</v>
      </c>
      <c r="L61" s="6">
        <f t="shared" si="1"/>
        <v>43831</v>
      </c>
      <c r="M61" s="3" t="str">
        <f t="shared" si="2"/>
        <v>6% to 10%</v>
      </c>
      <c r="N61" s="3" t="str">
        <f t="shared" si="3"/>
        <v>OK</v>
      </c>
    </row>
    <row r="62" spans="1:14" x14ac:dyDescent="0.3">
      <c r="A62" s="2">
        <f>DATE(VALUE(RIGHT(TRIM([1]Raw_Data!A60),4)),VALUE(MID(TRIM([1]Raw_Data!A60),4,2)),VALUE(LEFT(TRIM([1]Raw_Data!A60),2)))</f>
        <v>43857</v>
      </c>
      <c r="B62" s="3" t="str">
        <f>TRIM([1]Raw_Data!B60)</f>
        <v>Ashwagandha</v>
      </c>
      <c r="C62" s="3" t="str">
        <f>TRIM([1]Raw_Data!C60)</f>
        <v>Herbal</v>
      </c>
      <c r="D62" s="3">
        <f>[1]Raw_Data!D60</f>
        <v>174</v>
      </c>
      <c r="E62" s="4">
        <f>[1]Raw_Data!E60</f>
        <v>30.94</v>
      </c>
      <c r="F62" s="5">
        <f>[1]Raw_Data!F60</f>
        <v>5383.56</v>
      </c>
      <c r="G62" s="4">
        <f>[1]Raw_Data!G60</f>
        <v>7.0000000000000007E-2</v>
      </c>
      <c r="H62" s="3">
        <f>[1]Raw_Data!H60</f>
        <v>2</v>
      </c>
      <c r="I62" s="3" t="str">
        <f>TRIM([1]Raw_Data!I60)</f>
        <v>Canada</v>
      </c>
      <c r="J62" s="3" t="str">
        <f>TRIM([1]Raw_Data!J60)</f>
        <v>Amazon</v>
      </c>
      <c r="K62" s="3">
        <f t="shared" si="0"/>
        <v>2020</v>
      </c>
      <c r="L62" s="6">
        <f t="shared" si="1"/>
        <v>43831</v>
      </c>
      <c r="M62" s="3" t="str">
        <f t="shared" si="2"/>
        <v>6% to 10%</v>
      </c>
      <c r="N62" s="3" t="str">
        <f t="shared" si="3"/>
        <v>OK</v>
      </c>
    </row>
    <row r="63" spans="1:14" x14ac:dyDescent="0.3">
      <c r="A63" s="2">
        <f>DATE(VALUE(RIGHT(TRIM([1]Raw_Data!A61),4)),VALUE(MID(TRIM([1]Raw_Data!A61),4,2)),VALUE(LEFT(TRIM([1]Raw_Data!A61),2)))</f>
        <v>43857</v>
      </c>
      <c r="B63" s="3" t="str">
        <f>TRIM([1]Raw_Data!B61)</f>
        <v>Melatonin</v>
      </c>
      <c r="C63" s="3" t="str">
        <f>TRIM([1]Raw_Data!C61)</f>
        <v>Sleep Aid</v>
      </c>
      <c r="D63" s="3">
        <f>[1]Raw_Data!D61</f>
        <v>156</v>
      </c>
      <c r="E63" s="4">
        <f>[1]Raw_Data!E61</f>
        <v>38.270000000000003</v>
      </c>
      <c r="F63" s="5">
        <f>[1]Raw_Data!F61</f>
        <v>5970.12</v>
      </c>
      <c r="G63" s="4">
        <f>[1]Raw_Data!G61</f>
        <v>0.12</v>
      </c>
      <c r="H63" s="3">
        <f>[1]Raw_Data!H61</f>
        <v>4</v>
      </c>
      <c r="I63" s="3" t="str">
        <f>TRIM([1]Raw_Data!I61)</f>
        <v>UK</v>
      </c>
      <c r="J63" s="3" t="str">
        <f>TRIM([1]Raw_Data!J61)</f>
        <v>iHerb</v>
      </c>
      <c r="K63" s="3">
        <f t="shared" si="0"/>
        <v>2020</v>
      </c>
      <c r="L63" s="6">
        <f t="shared" si="1"/>
        <v>43831</v>
      </c>
      <c r="M63" s="3" t="str">
        <f t="shared" si="2"/>
        <v>11% to 15%</v>
      </c>
      <c r="N63" s="3" t="str">
        <f t="shared" si="3"/>
        <v>OK</v>
      </c>
    </row>
    <row r="64" spans="1:14" x14ac:dyDescent="0.3">
      <c r="A64" s="2">
        <f>DATE(VALUE(RIGHT(TRIM([1]Raw_Data!A62),4)),VALUE(MID(TRIM([1]Raw_Data!A62),4,2)),VALUE(LEFT(TRIM([1]Raw_Data!A62),2)))</f>
        <v>43857</v>
      </c>
      <c r="B64" s="3" t="str">
        <f>TRIM([1]Raw_Data!B62)</f>
        <v>Biotin</v>
      </c>
      <c r="C64" s="3" t="str">
        <f>TRIM([1]Raw_Data!C62)</f>
        <v>Vitamin</v>
      </c>
      <c r="D64" s="3">
        <f>[1]Raw_Data!D62</f>
        <v>154</v>
      </c>
      <c r="E64" s="4">
        <f>[1]Raw_Data!E62</f>
        <v>15.7</v>
      </c>
      <c r="F64" s="5">
        <f>[1]Raw_Data!F62</f>
        <v>2417.8000000000002</v>
      </c>
      <c r="G64" s="4">
        <f>[1]Raw_Data!G62</f>
        <v>0.04</v>
      </c>
      <c r="H64" s="3">
        <f>[1]Raw_Data!H62</f>
        <v>1</v>
      </c>
      <c r="I64" s="3" t="str">
        <f>TRIM([1]Raw_Data!I62)</f>
        <v>UK</v>
      </c>
      <c r="J64" s="3" t="str">
        <f>TRIM([1]Raw_Data!J62)</f>
        <v>Walmart</v>
      </c>
      <c r="K64" s="3">
        <f t="shared" si="0"/>
        <v>2020</v>
      </c>
      <c r="L64" s="6">
        <f t="shared" si="1"/>
        <v>43831</v>
      </c>
      <c r="M64" s="3" t="str">
        <f t="shared" si="2"/>
        <v>0% to 5%</v>
      </c>
      <c r="N64" s="3" t="str">
        <f t="shared" si="3"/>
        <v>OK</v>
      </c>
    </row>
    <row r="65" spans="1:14" x14ac:dyDescent="0.3">
      <c r="A65" s="2">
        <f>DATE(VALUE(RIGHT(TRIM([1]Raw_Data!A63),4)),VALUE(MID(TRIM([1]Raw_Data!A63),4,2)),VALUE(LEFT(TRIM([1]Raw_Data!A63),2)))</f>
        <v>43857</v>
      </c>
      <c r="B65" s="3" t="str">
        <f>TRIM([1]Raw_Data!B63)</f>
        <v>Green Tea Extract</v>
      </c>
      <c r="C65" s="3" t="str">
        <f>TRIM([1]Raw_Data!C63)</f>
        <v>Fat Burner</v>
      </c>
      <c r="D65" s="3">
        <f>[1]Raw_Data!D63</f>
        <v>141</v>
      </c>
      <c r="E65" s="4">
        <f>[1]Raw_Data!E63</f>
        <v>38.06</v>
      </c>
      <c r="F65" s="5">
        <f>[1]Raw_Data!F63</f>
        <v>5366.46</v>
      </c>
      <c r="G65" s="4">
        <f>[1]Raw_Data!G63</f>
        <v>0.13</v>
      </c>
      <c r="H65" s="3">
        <f>[1]Raw_Data!H63</f>
        <v>0</v>
      </c>
      <c r="I65" s="3" t="str">
        <f>TRIM([1]Raw_Data!I63)</f>
        <v>UK</v>
      </c>
      <c r="J65" s="3" t="str">
        <f>TRIM([1]Raw_Data!J63)</f>
        <v>iHerb</v>
      </c>
      <c r="K65" s="3">
        <f t="shared" si="0"/>
        <v>2020</v>
      </c>
      <c r="L65" s="6">
        <f t="shared" si="1"/>
        <v>43831</v>
      </c>
      <c r="M65" s="3" t="str">
        <f t="shared" si="2"/>
        <v>11% to 15%</v>
      </c>
      <c r="N65" s="3" t="str">
        <f t="shared" si="3"/>
        <v>OK</v>
      </c>
    </row>
    <row r="66" spans="1:14" x14ac:dyDescent="0.3">
      <c r="A66" s="2">
        <f>DATE(VALUE(RIGHT(TRIM([1]Raw_Data!A64),4)),VALUE(MID(TRIM([1]Raw_Data!A64),4,2)),VALUE(LEFT(TRIM([1]Raw_Data!A64),2)))</f>
        <v>43857</v>
      </c>
      <c r="B66" s="3" t="str">
        <f>TRIM([1]Raw_Data!B64)</f>
        <v>Iron Supplement</v>
      </c>
      <c r="C66" s="3" t="str">
        <f>TRIM([1]Raw_Data!C64)</f>
        <v>Mineral</v>
      </c>
      <c r="D66" s="3">
        <f>[1]Raw_Data!D64</f>
        <v>165</v>
      </c>
      <c r="E66" s="4">
        <f>[1]Raw_Data!E64</f>
        <v>13.38</v>
      </c>
      <c r="F66" s="5">
        <f>[1]Raw_Data!F64</f>
        <v>2207.6999999999998</v>
      </c>
      <c r="G66" s="4">
        <f>[1]Raw_Data!G64</f>
        <v>0.18</v>
      </c>
      <c r="H66" s="3">
        <f>[1]Raw_Data!H64</f>
        <v>2</v>
      </c>
      <c r="I66" s="3" t="str">
        <f>TRIM([1]Raw_Data!I64)</f>
        <v>USA</v>
      </c>
      <c r="J66" s="3" t="str">
        <f>TRIM([1]Raw_Data!J64)</f>
        <v>iHerb</v>
      </c>
      <c r="K66" s="3">
        <f t="shared" si="0"/>
        <v>2020</v>
      </c>
      <c r="L66" s="6">
        <f t="shared" si="1"/>
        <v>43831</v>
      </c>
      <c r="M66" s="3" t="str">
        <f t="shared" si="2"/>
        <v>16% to 20%</v>
      </c>
      <c r="N66" s="3" t="str">
        <f t="shared" si="3"/>
        <v>OK</v>
      </c>
    </row>
    <row r="67" spans="1:14" x14ac:dyDescent="0.3">
      <c r="A67" s="2">
        <f>DATE(VALUE(RIGHT(TRIM([1]Raw_Data!A65),4)),VALUE(MID(TRIM([1]Raw_Data!A65),4,2)),VALUE(LEFT(TRIM([1]Raw_Data!A65),2)))</f>
        <v>43857</v>
      </c>
      <c r="B67" s="3" t="str">
        <f>TRIM([1]Raw_Data!B65)</f>
        <v>Electrolyte Powder</v>
      </c>
      <c r="C67" s="3" t="str">
        <f>TRIM([1]Raw_Data!C65)</f>
        <v>Hydration</v>
      </c>
      <c r="D67" s="3">
        <f>[1]Raw_Data!D65</f>
        <v>129</v>
      </c>
      <c r="E67" s="4">
        <f>[1]Raw_Data!E65</f>
        <v>34.229999999999997</v>
      </c>
      <c r="F67" s="5">
        <f>[1]Raw_Data!F65</f>
        <v>4415.67</v>
      </c>
      <c r="G67" s="4">
        <f>[1]Raw_Data!G65</f>
        <v>0.04</v>
      </c>
      <c r="H67" s="3">
        <f>[1]Raw_Data!H65</f>
        <v>3</v>
      </c>
      <c r="I67" s="3" t="str">
        <f>TRIM([1]Raw_Data!I65)</f>
        <v>Canada</v>
      </c>
      <c r="J67" s="3" t="str">
        <f>TRIM([1]Raw_Data!J65)</f>
        <v>Amazon</v>
      </c>
      <c r="K67" s="3">
        <f t="shared" si="0"/>
        <v>2020</v>
      </c>
      <c r="L67" s="6">
        <f t="shared" si="1"/>
        <v>43831</v>
      </c>
      <c r="M67" s="3" t="str">
        <f t="shared" si="2"/>
        <v>0% to 5%</v>
      </c>
      <c r="N67" s="3" t="str">
        <f t="shared" si="3"/>
        <v>OK</v>
      </c>
    </row>
    <row r="68" spans="1:14" x14ac:dyDescent="0.3">
      <c r="A68" s="2">
        <f>DATE(VALUE(RIGHT(TRIM([1]Raw_Data!A66),4)),VALUE(MID(TRIM([1]Raw_Data!A66),4,2)),VALUE(LEFT(TRIM([1]Raw_Data!A66),2)))</f>
        <v>43864</v>
      </c>
      <c r="B68" s="3" t="str">
        <f>TRIM([1]Raw_Data!B66)</f>
        <v>Whey Protein</v>
      </c>
      <c r="C68" s="3" t="str">
        <f>TRIM([1]Raw_Data!C66)</f>
        <v>Protein</v>
      </c>
      <c r="D68" s="3">
        <f>[1]Raw_Data!D66</f>
        <v>165</v>
      </c>
      <c r="E68" s="4">
        <f>[1]Raw_Data!E66</f>
        <v>33.11</v>
      </c>
      <c r="F68" s="5">
        <f>[1]Raw_Data!F66</f>
        <v>5463.15</v>
      </c>
      <c r="G68" s="4">
        <f>[1]Raw_Data!G66</f>
        <v>0.1</v>
      </c>
      <c r="H68" s="3">
        <f>[1]Raw_Data!H66</f>
        <v>2</v>
      </c>
      <c r="I68" s="3" t="str">
        <f>TRIM([1]Raw_Data!I66)</f>
        <v>Canada</v>
      </c>
      <c r="J68" s="3" t="str">
        <f>TRIM([1]Raw_Data!J66)</f>
        <v>iHerb</v>
      </c>
      <c r="K68" s="3">
        <f t="shared" ref="K68:K131" si="4">YEAR(A68)</f>
        <v>2020</v>
      </c>
      <c r="L68" s="6">
        <f t="shared" ref="L68:L131" si="5">DATE(YEAR(A68),MONTH(A68),1)</f>
        <v>43862</v>
      </c>
      <c r="M68" s="3" t="str">
        <f t="shared" ref="M68:M131" si="6">IF(ROUND(G68*100,0)&lt;=5,"0% to 5%",IF(ROUND(G68*100,0)&lt;=10,"6% to 10%",IF(ROUND(G68*100,0)&lt;=15,"11% to 15%",IF(ROUND(G68*100,0)&lt;=20,"16% to 20%","21% to 25%"))))</f>
        <v>6% to 10%</v>
      </c>
      <c r="N68" s="3" t="str">
        <f t="shared" ref="N68:N131" si="7">IF(ROUND(D68*E68,2)=ROUND(F68,2),"OK","Check")</f>
        <v>OK</v>
      </c>
    </row>
    <row r="69" spans="1:14" x14ac:dyDescent="0.3">
      <c r="A69" s="2">
        <f>DATE(VALUE(RIGHT(TRIM([1]Raw_Data!A67),4)),VALUE(MID(TRIM([1]Raw_Data!A67),4,2)),VALUE(LEFT(TRIM([1]Raw_Data!A67),2)))</f>
        <v>43864</v>
      </c>
      <c r="B69" s="3" t="str">
        <f>TRIM([1]Raw_Data!B67)</f>
        <v>Vitamin C</v>
      </c>
      <c r="C69" s="3" t="str">
        <f>TRIM([1]Raw_Data!C67)</f>
        <v>Vitamin</v>
      </c>
      <c r="D69" s="3">
        <f>[1]Raw_Data!D67</f>
        <v>152</v>
      </c>
      <c r="E69" s="4">
        <f>[1]Raw_Data!E67</f>
        <v>35.630000000000003</v>
      </c>
      <c r="F69" s="5">
        <f>[1]Raw_Data!F67</f>
        <v>5415.76</v>
      </c>
      <c r="G69" s="4">
        <f>[1]Raw_Data!G67</f>
        <v>0.2</v>
      </c>
      <c r="H69" s="3">
        <f>[1]Raw_Data!H67</f>
        <v>1</v>
      </c>
      <c r="I69" s="3" t="str">
        <f>TRIM([1]Raw_Data!I67)</f>
        <v>UK</v>
      </c>
      <c r="J69" s="3" t="str">
        <f>TRIM([1]Raw_Data!J67)</f>
        <v>Amazon</v>
      </c>
      <c r="K69" s="3">
        <f t="shared" si="4"/>
        <v>2020</v>
      </c>
      <c r="L69" s="6">
        <f t="shared" si="5"/>
        <v>43862</v>
      </c>
      <c r="M69" s="3" t="str">
        <f t="shared" si="6"/>
        <v>16% to 20%</v>
      </c>
      <c r="N69" s="3" t="str">
        <f t="shared" si="7"/>
        <v>OK</v>
      </c>
    </row>
    <row r="70" spans="1:14" x14ac:dyDescent="0.3">
      <c r="A70" s="2">
        <f>DATE(VALUE(RIGHT(TRIM([1]Raw_Data!A68),4)),VALUE(MID(TRIM([1]Raw_Data!A68),4,2)),VALUE(LEFT(TRIM([1]Raw_Data!A68),2)))</f>
        <v>43864</v>
      </c>
      <c r="B70" s="3" t="str">
        <f>TRIM([1]Raw_Data!B68)</f>
        <v>Fish Oil</v>
      </c>
      <c r="C70" s="3" t="str">
        <f>TRIM([1]Raw_Data!C68)</f>
        <v>Omega</v>
      </c>
      <c r="D70" s="3">
        <f>[1]Raw_Data!D68</f>
        <v>138</v>
      </c>
      <c r="E70" s="4">
        <f>[1]Raw_Data!E68</f>
        <v>18.239999999999998</v>
      </c>
      <c r="F70" s="5">
        <f>[1]Raw_Data!F68</f>
        <v>2517.12</v>
      </c>
      <c r="G70" s="4">
        <f>[1]Raw_Data!G68</f>
        <v>0.08</v>
      </c>
      <c r="H70" s="3">
        <f>[1]Raw_Data!H68</f>
        <v>2</v>
      </c>
      <c r="I70" s="3" t="str">
        <f>TRIM([1]Raw_Data!I68)</f>
        <v>UK</v>
      </c>
      <c r="J70" s="3" t="str">
        <f>TRIM([1]Raw_Data!J68)</f>
        <v>Amazon</v>
      </c>
      <c r="K70" s="3">
        <f t="shared" si="4"/>
        <v>2020</v>
      </c>
      <c r="L70" s="6">
        <f t="shared" si="5"/>
        <v>43862</v>
      </c>
      <c r="M70" s="3" t="str">
        <f t="shared" si="6"/>
        <v>6% to 10%</v>
      </c>
      <c r="N70" s="3" t="str">
        <f t="shared" si="7"/>
        <v>OK</v>
      </c>
    </row>
    <row r="71" spans="1:14" x14ac:dyDescent="0.3">
      <c r="A71" s="2">
        <f>DATE(VALUE(RIGHT(TRIM([1]Raw_Data!A69),4)),VALUE(MID(TRIM([1]Raw_Data!A69),4,2)),VALUE(LEFT(TRIM([1]Raw_Data!A69),2)))</f>
        <v>43864</v>
      </c>
      <c r="B71" s="3" t="str">
        <f>TRIM([1]Raw_Data!B69)</f>
        <v>Multivitamin</v>
      </c>
      <c r="C71" s="3" t="str">
        <f>TRIM([1]Raw_Data!C69)</f>
        <v>Vitamin</v>
      </c>
      <c r="D71" s="3">
        <f>[1]Raw_Data!D69</f>
        <v>151</v>
      </c>
      <c r="E71" s="4">
        <f>[1]Raw_Data!E69</f>
        <v>53.89</v>
      </c>
      <c r="F71" s="5">
        <f>[1]Raw_Data!F69</f>
        <v>8137.39</v>
      </c>
      <c r="G71" s="4">
        <f>[1]Raw_Data!G69</f>
        <v>0.22</v>
      </c>
      <c r="H71" s="3">
        <f>[1]Raw_Data!H69</f>
        <v>3</v>
      </c>
      <c r="I71" s="3" t="str">
        <f>TRIM([1]Raw_Data!I69)</f>
        <v>UK</v>
      </c>
      <c r="J71" s="3" t="str">
        <f>TRIM([1]Raw_Data!J69)</f>
        <v>Amazon</v>
      </c>
      <c r="K71" s="3">
        <f t="shared" si="4"/>
        <v>2020</v>
      </c>
      <c r="L71" s="6">
        <f t="shared" si="5"/>
        <v>43862</v>
      </c>
      <c r="M71" s="3" t="str">
        <f t="shared" si="6"/>
        <v>21% to 25%</v>
      </c>
      <c r="N71" s="3" t="str">
        <f t="shared" si="7"/>
        <v>OK</v>
      </c>
    </row>
    <row r="72" spans="1:14" x14ac:dyDescent="0.3">
      <c r="A72" s="2">
        <f>DATE(VALUE(RIGHT(TRIM([1]Raw_Data!A70),4)),VALUE(MID(TRIM([1]Raw_Data!A70),4,2)),VALUE(LEFT(TRIM([1]Raw_Data!A70),2)))</f>
        <v>43864</v>
      </c>
      <c r="B72" s="3" t="str">
        <f>TRIM([1]Raw_Data!B70)</f>
        <v>Pre-Workout</v>
      </c>
      <c r="C72" s="3" t="str">
        <f>TRIM([1]Raw_Data!C70)</f>
        <v>Performance</v>
      </c>
      <c r="D72" s="3">
        <f>[1]Raw_Data!D70</f>
        <v>140</v>
      </c>
      <c r="E72" s="4">
        <f>[1]Raw_Data!E70</f>
        <v>59.25</v>
      </c>
      <c r="F72" s="5">
        <f>[1]Raw_Data!F70</f>
        <v>8295</v>
      </c>
      <c r="G72" s="4">
        <f>[1]Raw_Data!G70</f>
        <v>0.19</v>
      </c>
      <c r="H72" s="3">
        <f>[1]Raw_Data!H70</f>
        <v>0</v>
      </c>
      <c r="I72" s="3" t="str">
        <f>TRIM([1]Raw_Data!I70)</f>
        <v>UK</v>
      </c>
      <c r="J72" s="3" t="str">
        <f>TRIM([1]Raw_Data!J70)</f>
        <v>Amazon</v>
      </c>
      <c r="K72" s="3">
        <f t="shared" si="4"/>
        <v>2020</v>
      </c>
      <c r="L72" s="6">
        <f t="shared" si="5"/>
        <v>43862</v>
      </c>
      <c r="M72" s="3" t="str">
        <f t="shared" si="6"/>
        <v>16% to 20%</v>
      </c>
      <c r="N72" s="3" t="str">
        <f t="shared" si="7"/>
        <v>OK</v>
      </c>
    </row>
    <row r="73" spans="1:14" x14ac:dyDescent="0.3">
      <c r="A73" s="2">
        <f>DATE(VALUE(RIGHT(TRIM([1]Raw_Data!A71),4)),VALUE(MID(TRIM([1]Raw_Data!A71),4,2)),VALUE(LEFT(TRIM([1]Raw_Data!A71),2)))</f>
        <v>43864</v>
      </c>
      <c r="B73" s="3" t="str">
        <f>TRIM([1]Raw_Data!B71)</f>
        <v>BCAA</v>
      </c>
      <c r="C73" s="3" t="str">
        <f>TRIM([1]Raw_Data!C71)</f>
        <v>Amino Acid</v>
      </c>
      <c r="D73" s="3">
        <f>[1]Raw_Data!D71</f>
        <v>126</v>
      </c>
      <c r="E73" s="4">
        <f>[1]Raw_Data!E71</f>
        <v>55.46</v>
      </c>
      <c r="F73" s="5">
        <f>[1]Raw_Data!F71</f>
        <v>6987.96</v>
      </c>
      <c r="G73" s="4">
        <f>[1]Raw_Data!G71</f>
        <v>0.13</v>
      </c>
      <c r="H73" s="3">
        <f>[1]Raw_Data!H71</f>
        <v>1</v>
      </c>
      <c r="I73" s="3" t="str">
        <f>TRIM([1]Raw_Data!I71)</f>
        <v>USA</v>
      </c>
      <c r="J73" s="3" t="str">
        <f>TRIM([1]Raw_Data!J71)</f>
        <v>iHerb</v>
      </c>
      <c r="K73" s="3">
        <f t="shared" si="4"/>
        <v>2020</v>
      </c>
      <c r="L73" s="6">
        <f t="shared" si="5"/>
        <v>43862</v>
      </c>
      <c r="M73" s="3" t="str">
        <f t="shared" si="6"/>
        <v>11% to 15%</v>
      </c>
      <c r="N73" s="3" t="str">
        <f t="shared" si="7"/>
        <v>OK</v>
      </c>
    </row>
    <row r="74" spans="1:14" x14ac:dyDescent="0.3">
      <c r="A74" s="2">
        <f>DATE(VALUE(RIGHT(TRIM([1]Raw_Data!A72),4)),VALUE(MID(TRIM([1]Raw_Data!A72),4,2)),VALUE(LEFT(TRIM([1]Raw_Data!A72),2)))</f>
        <v>43864</v>
      </c>
      <c r="B74" s="3" t="str">
        <f>TRIM([1]Raw_Data!B72)</f>
        <v>Creatine</v>
      </c>
      <c r="C74" s="3" t="str">
        <f>TRIM([1]Raw_Data!C72)</f>
        <v>Performance</v>
      </c>
      <c r="D74" s="3">
        <f>[1]Raw_Data!D72</f>
        <v>132</v>
      </c>
      <c r="E74" s="4">
        <f>[1]Raw_Data!E72</f>
        <v>51.11</v>
      </c>
      <c r="F74" s="5">
        <f>[1]Raw_Data!F72</f>
        <v>6746.52</v>
      </c>
      <c r="G74" s="4">
        <f>[1]Raw_Data!G72</f>
        <v>0.1</v>
      </c>
      <c r="H74" s="3">
        <f>[1]Raw_Data!H72</f>
        <v>2</v>
      </c>
      <c r="I74" s="3" t="str">
        <f>TRIM([1]Raw_Data!I72)</f>
        <v>Canada</v>
      </c>
      <c r="J74" s="3" t="str">
        <f>TRIM([1]Raw_Data!J72)</f>
        <v>Amazon</v>
      </c>
      <c r="K74" s="3">
        <f t="shared" si="4"/>
        <v>2020</v>
      </c>
      <c r="L74" s="6">
        <f t="shared" si="5"/>
        <v>43862</v>
      </c>
      <c r="M74" s="3" t="str">
        <f t="shared" si="6"/>
        <v>6% to 10%</v>
      </c>
      <c r="N74" s="3" t="str">
        <f t="shared" si="7"/>
        <v>OK</v>
      </c>
    </row>
    <row r="75" spans="1:14" x14ac:dyDescent="0.3">
      <c r="A75" s="2">
        <f>DATE(VALUE(RIGHT(TRIM([1]Raw_Data!A73),4)),VALUE(MID(TRIM([1]Raw_Data!A73),4,2)),VALUE(LEFT(TRIM([1]Raw_Data!A73),2)))</f>
        <v>43864</v>
      </c>
      <c r="B75" s="3" t="str">
        <f>TRIM([1]Raw_Data!B73)</f>
        <v>Zinc</v>
      </c>
      <c r="C75" s="3" t="str">
        <f>TRIM([1]Raw_Data!C73)</f>
        <v>Mineral</v>
      </c>
      <c r="D75" s="3">
        <f>[1]Raw_Data!D73</f>
        <v>184</v>
      </c>
      <c r="E75" s="4">
        <f>[1]Raw_Data!E73</f>
        <v>36.17</v>
      </c>
      <c r="F75" s="5">
        <f>[1]Raw_Data!F73</f>
        <v>6655.28</v>
      </c>
      <c r="G75" s="4">
        <f>[1]Raw_Data!G73</f>
        <v>7.0000000000000007E-2</v>
      </c>
      <c r="H75" s="3">
        <f>[1]Raw_Data!H73</f>
        <v>3</v>
      </c>
      <c r="I75" s="3" t="str">
        <f>TRIM([1]Raw_Data!I73)</f>
        <v>Canada</v>
      </c>
      <c r="J75" s="3" t="str">
        <f>TRIM([1]Raw_Data!J73)</f>
        <v>Amazon</v>
      </c>
      <c r="K75" s="3">
        <f t="shared" si="4"/>
        <v>2020</v>
      </c>
      <c r="L75" s="6">
        <f t="shared" si="5"/>
        <v>43862</v>
      </c>
      <c r="M75" s="3" t="str">
        <f t="shared" si="6"/>
        <v>6% to 10%</v>
      </c>
      <c r="N75" s="3" t="str">
        <f t="shared" si="7"/>
        <v>OK</v>
      </c>
    </row>
    <row r="76" spans="1:14" x14ac:dyDescent="0.3">
      <c r="A76" s="2">
        <f>DATE(VALUE(RIGHT(TRIM([1]Raw_Data!A74),4)),VALUE(MID(TRIM([1]Raw_Data!A74),4,2)),VALUE(LEFT(TRIM([1]Raw_Data!A74),2)))</f>
        <v>43864</v>
      </c>
      <c r="B76" s="3" t="str">
        <f>TRIM([1]Raw_Data!B74)</f>
        <v>Collagen Peptides</v>
      </c>
      <c r="C76" s="3" t="str">
        <f>TRIM([1]Raw_Data!C74)</f>
        <v>Protein</v>
      </c>
      <c r="D76" s="3">
        <f>[1]Raw_Data!D74</f>
        <v>153</v>
      </c>
      <c r="E76" s="4">
        <f>[1]Raw_Data!E74</f>
        <v>49.9</v>
      </c>
      <c r="F76" s="5">
        <f>[1]Raw_Data!F74</f>
        <v>7634.7</v>
      </c>
      <c r="G76" s="4">
        <f>[1]Raw_Data!G74</f>
        <v>0.1</v>
      </c>
      <c r="H76" s="3">
        <f>[1]Raw_Data!H74</f>
        <v>3</v>
      </c>
      <c r="I76" s="3" t="str">
        <f>TRIM([1]Raw_Data!I74)</f>
        <v>UK</v>
      </c>
      <c r="J76" s="3" t="str">
        <f>TRIM([1]Raw_Data!J74)</f>
        <v>Amazon</v>
      </c>
      <c r="K76" s="3">
        <f t="shared" si="4"/>
        <v>2020</v>
      </c>
      <c r="L76" s="6">
        <f t="shared" si="5"/>
        <v>43862</v>
      </c>
      <c r="M76" s="3" t="str">
        <f t="shared" si="6"/>
        <v>6% to 10%</v>
      </c>
      <c r="N76" s="3" t="str">
        <f t="shared" si="7"/>
        <v>OK</v>
      </c>
    </row>
    <row r="77" spans="1:14" x14ac:dyDescent="0.3">
      <c r="A77" s="2">
        <f>DATE(VALUE(RIGHT(TRIM([1]Raw_Data!A75),4)),VALUE(MID(TRIM([1]Raw_Data!A75),4,2)),VALUE(LEFT(TRIM([1]Raw_Data!A75),2)))</f>
        <v>43864</v>
      </c>
      <c r="B77" s="3" t="str">
        <f>TRIM([1]Raw_Data!B75)</f>
        <v>Magnesium</v>
      </c>
      <c r="C77" s="3" t="str">
        <f>TRIM([1]Raw_Data!C75)</f>
        <v>Mineral</v>
      </c>
      <c r="D77" s="3">
        <f>[1]Raw_Data!D75</f>
        <v>151</v>
      </c>
      <c r="E77" s="4">
        <f>[1]Raw_Data!E75</f>
        <v>44.79</v>
      </c>
      <c r="F77" s="5">
        <f>[1]Raw_Data!F75</f>
        <v>6763.29</v>
      </c>
      <c r="G77" s="4">
        <f>[1]Raw_Data!G75</f>
        <v>0.2</v>
      </c>
      <c r="H77" s="3">
        <f>[1]Raw_Data!H75</f>
        <v>1</v>
      </c>
      <c r="I77" s="3" t="str">
        <f>TRIM([1]Raw_Data!I75)</f>
        <v>Canada</v>
      </c>
      <c r="J77" s="3" t="str">
        <f>TRIM([1]Raw_Data!J75)</f>
        <v>Amazon</v>
      </c>
      <c r="K77" s="3">
        <f t="shared" si="4"/>
        <v>2020</v>
      </c>
      <c r="L77" s="6">
        <f t="shared" si="5"/>
        <v>43862</v>
      </c>
      <c r="M77" s="3" t="str">
        <f t="shared" si="6"/>
        <v>16% to 20%</v>
      </c>
      <c r="N77" s="3" t="str">
        <f t="shared" si="7"/>
        <v>OK</v>
      </c>
    </row>
    <row r="78" spans="1:14" x14ac:dyDescent="0.3">
      <c r="A78" s="2">
        <f>DATE(VALUE(RIGHT(TRIM([1]Raw_Data!A76),4)),VALUE(MID(TRIM([1]Raw_Data!A76),4,2)),VALUE(LEFT(TRIM([1]Raw_Data!A76),2)))</f>
        <v>43864</v>
      </c>
      <c r="B78" s="3" t="str">
        <f>TRIM([1]Raw_Data!B76)</f>
        <v>Ashwagandha</v>
      </c>
      <c r="C78" s="3" t="str">
        <f>TRIM([1]Raw_Data!C76)</f>
        <v>Herbal</v>
      </c>
      <c r="D78" s="3">
        <f>[1]Raw_Data!D76</f>
        <v>135</v>
      </c>
      <c r="E78" s="4">
        <f>[1]Raw_Data!E76</f>
        <v>19.21</v>
      </c>
      <c r="F78" s="5">
        <f>[1]Raw_Data!F76</f>
        <v>2593.35</v>
      </c>
      <c r="G78" s="4">
        <f>[1]Raw_Data!G76</f>
        <v>0.22</v>
      </c>
      <c r="H78" s="3">
        <f>[1]Raw_Data!H76</f>
        <v>2</v>
      </c>
      <c r="I78" s="3" t="str">
        <f>TRIM([1]Raw_Data!I76)</f>
        <v>UK</v>
      </c>
      <c r="J78" s="3" t="str">
        <f>TRIM([1]Raw_Data!J76)</f>
        <v>Amazon</v>
      </c>
      <c r="K78" s="3">
        <f t="shared" si="4"/>
        <v>2020</v>
      </c>
      <c r="L78" s="6">
        <f t="shared" si="5"/>
        <v>43862</v>
      </c>
      <c r="M78" s="3" t="str">
        <f t="shared" si="6"/>
        <v>21% to 25%</v>
      </c>
      <c r="N78" s="3" t="str">
        <f t="shared" si="7"/>
        <v>OK</v>
      </c>
    </row>
    <row r="79" spans="1:14" x14ac:dyDescent="0.3">
      <c r="A79" s="2">
        <f>DATE(VALUE(RIGHT(TRIM([1]Raw_Data!A77),4)),VALUE(MID(TRIM([1]Raw_Data!A77),4,2)),VALUE(LEFT(TRIM([1]Raw_Data!A77),2)))</f>
        <v>43864</v>
      </c>
      <c r="B79" s="3" t="str">
        <f>TRIM([1]Raw_Data!B77)</f>
        <v>Melatonin</v>
      </c>
      <c r="C79" s="3" t="str">
        <f>TRIM([1]Raw_Data!C77)</f>
        <v>Sleep Aid</v>
      </c>
      <c r="D79" s="3">
        <f>[1]Raw_Data!D77</f>
        <v>135</v>
      </c>
      <c r="E79" s="4">
        <f>[1]Raw_Data!E77</f>
        <v>40.76</v>
      </c>
      <c r="F79" s="5">
        <f>[1]Raw_Data!F77</f>
        <v>5502.6</v>
      </c>
      <c r="G79" s="4">
        <f>[1]Raw_Data!G77</f>
        <v>0.02</v>
      </c>
      <c r="H79" s="3">
        <f>[1]Raw_Data!H77</f>
        <v>3</v>
      </c>
      <c r="I79" s="3" t="str">
        <f>TRIM([1]Raw_Data!I77)</f>
        <v>Canada</v>
      </c>
      <c r="J79" s="3" t="str">
        <f>TRIM([1]Raw_Data!J77)</f>
        <v>iHerb</v>
      </c>
      <c r="K79" s="3">
        <f t="shared" si="4"/>
        <v>2020</v>
      </c>
      <c r="L79" s="6">
        <f t="shared" si="5"/>
        <v>43862</v>
      </c>
      <c r="M79" s="3" t="str">
        <f t="shared" si="6"/>
        <v>0% to 5%</v>
      </c>
      <c r="N79" s="3" t="str">
        <f t="shared" si="7"/>
        <v>OK</v>
      </c>
    </row>
    <row r="80" spans="1:14" x14ac:dyDescent="0.3">
      <c r="A80" s="2">
        <f>DATE(VALUE(RIGHT(TRIM([1]Raw_Data!A78),4)),VALUE(MID(TRIM([1]Raw_Data!A78),4,2)),VALUE(LEFT(TRIM([1]Raw_Data!A78),2)))</f>
        <v>43864</v>
      </c>
      <c r="B80" s="3" t="str">
        <f>TRIM([1]Raw_Data!B78)</f>
        <v>Biotin</v>
      </c>
      <c r="C80" s="3" t="str">
        <f>TRIM([1]Raw_Data!C78)</f>
        <v>Vitamin</v>
      </c>
      <c r="D80" s="3">
        <f>[1]Raw_Data!D78</f>
        <v>162</v>
      </c>
      <c r="E80" s="4">
        <f>[1]Raw_Data!E78</f>
        <v>58.36</v>
      </c>
      <c r="F80" s="5">
        <f>[1]Raw_Data!F78</f>
        <v>9454.32</v>
      </c>
      <c r="G80" s="4">
        <f>[1]Raw_Data!G78</f>
        <v>0.1</v>
      </c>
      <c r="H80" s="3">
        <f>[1]Raw_Data!H78</f>
        <v>5</v>
      </c>
      <c r="I80" s="3" t="str">
        <f>TRIM([1]Raw_Data!I78)</f>
        <v>UK</v>
      </c>
      <c r="J80" s="3" t="str">
        <f>TRIM([1]Raw_Data!J78)</f>
        <v>Amazon</v>
      </c>
      <c r="K80" s="3">
        <f t="shared" si="4"/>
        <v>2020</v>
      </c>
      <c r="L80" s="6">
        <f t="shared" si="5"/>
        <v>43862</v>
      </c>
      <c r="M80" s="3" t="str">
        <f t="shared" si="6"/>
        <v>6% to 10%</v>
      </c>
      <c r="N80" s="3" t="str">
        <f t="shared" si="7"/>
        <v>OK</v>
      </c>
    </row>
    <row r="81" spans="1:14" x14ac:dyDescent="0.3">
      <c r="A81" s="2">
        <f>DATE(VALUE(RIGHT(TRIM([1]Raw_Data!A79),4)),VALUE(MID(TRIM([1]Raw_Data!A79),4,2)),VALUE(LEFT(TRIM([1]Raw_Data!A79),2)))</f>
        <v>43864</v>
      </c>
      <c r="B81" s="3" t="str">
        <f>TRIM([1]Raw_Data!B79)</f>
        <v>Green Tea Extract</v>
      </c>
      <c r="C81" s="3" t="str">
        <f>TRIM([1]Raw_Data!C79)</f>
        <v>Fat Burner</v>
      </c>
      <c r="D81" s="3">
        <f>[1]Raw_Data!D79</f>
        <v>156</v>
      </c>
      <c r="E81" s="4">
        <f>[1]Raw_Data!E79</f>
        <v>18.3</v>
      </c>
      <c r="F81" s="5">
        <f>[1]Raw_Data!F79</f>
        <v>2854.8</v>
      </c>
      <c r="G81" s="4">
        <f>[1]Raw_Data!G79</f>
        <v>0.22</v>
      </c>
      <c r="H81" s="3">
        <f>[1]Raw_Data!H79</f>
        <v>1</v>
      </c>
      <c r="I81" s="3" t="str">
        <f>TRIM([1]Raw_Data!I79)</f>
        <v>UK</v>
      </c>
      <c r="J81" s="3" t="str">
        <f>TRIM([1]Raw_Data!J79)</f>
        <v>iHerb</v>
      </c>
      <c r="K81" s="3">
        <f t="shared" si="4"/>
        <v>2020</v>
      </c>
      <c r="L81" s="6">
        <f t="shared" si="5"/>
        <v>43862</v>
      </c>
      <c r="M81" s="3" t="str">
        <f t="shared" si="6"/>
        <v>21% to 25%</v>
      </c>
      <c r="N81" s="3" t="str">
        <f t="shared" si="7"/>
        <v>OK</v>
      </c>
    </row>
    <row r="82" spans="1:14" x14ac:dyDescent="0.3">
      <c r="A82" s="2">
        <f>DATE(VALUE(RIGHT(TRIM([1]Raw_Data!A80),4)),VALUE(MID(TRIM([1]Raw_Data!A80),4,2)),VALUE(LEFT(TRIM([1]Raw_Data!A80),2)))</f>
        <v>43864</v>
      </c>
      <c r="B82" s="3" t="str">
        <f>TRIM([1]Raw_Data!B80)</f>
        <v>Iron Supplement</v>
      </c>
      <c r="C82" s="3" t="str">
        <f>TRIM([1]Raw_Data!C80)</f>
        <v>Mineral</v>
      </c>
      <c r="D82" s="3">
        <f>[1]Raw_Data!D80</f>
        <v>136</v>
      </c>
      <c r="E82" s="4">
        <f>[1]Raw_Data!E80</f>
        <v>37.99</v>
      </c>
      <c r="F82" s="5">
        <f>[1]Raw_Data!F80</f>
        <v>5166.6400000000003</v>
      </c>
      <c r="G82" s="4">
        <f>[1]Raw_Data!G80</f>
        <v>0.13</v>
      </c>
      <c r="H82" s="3">
        <f>[1]Raw_Data!H80</f>
        <v>2</v>
      </c>
      <c r="I82" s="3" t="str">
        <f>TRIM([1]Raw_Data!I80)</f>
        <v>USA</v>
      </c>
      <c r="J82" s="3" t="str">
        <f>TRIM([1]Raw_Data!J80)</f>
        <v>Amazon</v>
      </c>
      <c r="K82" s="3">
        <f t="shared" si="4"/>
        <v>2020</v>
      </c>
      <c r="L82" s="6">
        <f t="shared" si="5"/>
        <v>43862</v>
      </c>
      <c r="M82" s="3" t="str">
        <f t="shared" si="6"/>
        <v>11% to 15%</v>
      </c>
      <c r="N82" s="3" t="str">
        <f t="shared" si="7"/>
        <v>OK</v>
      </c>
    </row>
    <row r="83" spans="1:14" x14ac:dyDescent="0.3">
      <c r="A83" s="2">
        <f>DATE(VALUE(RIGHT(TRIM([1]Raw_Data!A81),4)),VALUE(MID(TRIM([1]Raw_Data!A81),4,2)),VALUE(LEFT(TRIM([1]Raw_Data!A81),2)))</f>
        <v>43864</v>
      </c>
      <c r="B83" s="3" t="str">
        <f>TRIM([1]Raw_Data!B81)</f>
        <v>Electrolyte Powder</v>
      </c>
      <c r="C83" s="3" t="str">
        <f>TRIM([1]Raw_Data!C81)</f>
        <v>Hydration</v>
      </c>
      <c r="D83" s="3">
        <f>[1]Raw_Data!D81</f>
        <v>168</v>
      </c>
      <c r="E83" s="4">
        <f>[1]Raw_Data!E81</f>
        <v>46.57</v>
      </c>
      <c r="F83" s="5">
        <f>[1]Raw_Data!F81</f>
        <v>7823.76</v>
      </c>
      <c r="G83" s="4">
        <f>[1]Raw_Data!G81</f>
        <v>0.05</v>
      </c>
      <c r="H83" s="3">
        <f>[1]Raw_Data!H81</f>
        <v>3</v>
      </c>
      <c r="I83" s="3" t="str">
        <f>TRIM([1]Raw_Data!I81)</f>
        <v>Canada</v>
      </c>
      <c r="J83" s="3" t="str">
        <f>TRIM([1]Raw_Data!J81)</f>
        <v>iHerb</v>
      </c>
      <c r="K83" s="3">
        <f t="shared" si="4"/>
        <v>2020</v>
      </c>
      <c r="L83" s="6">
        <f t="shared" si="5"/>
        <v>43862</v>
      </c>
      <c r="M83" s="3" t="str">
        <f t="shared" si="6"/>
        <v>0% to 5%</v>
      </c>
      <c r="N83" s="3" t="str">
        <f t="shared" si="7"/>
        <v>OK</v>
      </c>
    </row>
    <row r="84" spans="1:14" x14ac:dyDescent="0.3">
      <c r="A84" s="2">
        <f>DATE(VALUE(RIGHT(TRIM([1]Raw_Data!A82),4)),VALUE(MID(TRIM([1]Raw_Data!A82),4,2)),VALUE(LEFT(TRIM([1]Raw_Data!A82),2)))</f>
        <v>43871</v>
      </c>
      <c r="B84" s="3" t="str">
        <f>TRIM([1]Raw_Data!B82)</f>
        <v>Whey Protein</v>
      </c>
      <c r="C84" s="3" t="str">
        <f>TRIM([1]Raw_Data!C82)</f>
        <v>Protein</v>
      </c>
      <c r="D84" s="3">
        <f>[1]Raw_Data!D82</f>
        <v>163</v>
      </c>
      <c r="E84" s="4">
        <f>[1]Raw_Data!E82</f>
        <v>45.51</v>
      </c>
      <c r="F84" s="5">
        <f>[1]Raw_Data!F82</f>
        <v>7418.13</v>
      </c>
      <c r="G84" s="4">
        <f>[1]Raw_Data!G82</f>
        <v>0.08</v>
      </c>
      <c r="H84" s="3">
        <f>[1]Raw_Data!H82</f>
        <v>1</v>
      </c>
      <c r="I84" s="3" t="str">
        <f>TRIM([1]Raw_Data!I82)</f>
        <v>UK</v>
      </c>
      <c r="J84" s="3" t="str">
        <f>TRIM([1]Raw_Data!J82)</f>
        <v>iHerb</v>
      </c>
      <c r="K84" s="3">
        <f t="shared" si="4"/>
        <v>2020</v>
      </c>
      <c r="L84" s="6">
        <f t="shared" si="5"/>
        <v>43862</v>
      </c>
      <c r="M84" s="3" t="str">
        <f t="shared" si="6"/>
        <v>6% to 10%</v>
      </c>
      <c r="N84" s="3" t="str">
        <f t="shared" si="7"/>
        <v>OK</v>
      </c>
    </row>
    <row r="85" spans="1:14" x14ac:dyDescent="0.3">
      <c r="A85" s="2">
        <f>DATE(VALUE(RIGHT(TRIM([1]Raw_Data!A83),4)),VALUE(MID(TRIM([1]Raw_Data!A83),4,2)),VALUE(LEFT(TRIM([1]Raw_Data!A83),2)))</f>
        <v>43871</v>
      </c>
      <c r="B85" s="3" t="str">
        <f>TRIM([1]Raw_Data!B83)</f>
        <v>Vitamin C</v>
      </c>
      <c r="C85" s="3" t="str">
        <f>TRIM([1]Raw_Data!C83)</f>
        <v>Vitamin</v>
      </c>
      <c r="D85" s="3">
        <f>[1]Raw_Data!D83</f>
        <v>163</v>
      </c>
      <c r="E85" s="4">
        <f>[1]Raw_Data!E83</f>
        <v>27.89</v>
      </c>
      <c r="F85" s="5">
        <f>[1]Raw_Data!F83</f>
        <v>4546.07</v>
      </c>
      <c r="G85" s="4">
        <f>[1]Raw_Data!G83</f>
        <v>0.12</v>
      </c>
      <c r="H85" s="3">
        <f>[1]Raw_Data!H83</f>
        <v>3</v>
      </c>
      <c r="I85" s="3" t="str">
        <f>TRIM([1]Raw_Data!I83)</f>
        <v>UK</v>
      </c>
      <c r="J85" s="3" t="str">
        <f>TRIM([1]Raw_Data!J83)</f>
        <v>Amazon</v>
      </c>
      <c r="K85" s="3">
        <f t="shared" si="4"/>
        <v>2020</v>
      </c>
      <c r="L85" s="6">
        <f t="shared" si="5"/>
        <v>43862</v>
      </c>
      <c r="M85" s="3" t="str">
        <f t="shared" si="6"/>
        <v>11% to 15%</v>
      </c>
      <c r="N85" s="3" t="str">
        <f t="shared" si="7"/>
        <v>OK</v>
      </c>
    </row>
    <row r="86" spans="1:14" x14ac:dyDescent="0.3">
      <c r="A86" s="2">
        <f>DATE(VALUE(RIGHT(TRIM([1]Raw_Data!A84),4)),VALUE(MID(TRIM([1]Raw_Data!A84),4,2)),VALUE(LEFT(TRIM([1]Raw_Data!A84),2)))</f>
        <v>43871</v>
      </c>
      <c r="B86" s="3" t="str">
        <f>TRIM([1]Raw_Data!B84)</f>
        <v>Fish Oil</v>
      </c>
      <c r="C86" s="3" t="str">
        <f>TRIM([1]Raw_Data!C84)</f>
        <v>Omega</v>
      </c>
      <c r="D86" s="3">
        <f>[1]Raw_Data!D84</f>
        <v>144</v>
      </c>
      <c r="E86" s="4">
        <f>[1]Raw_Data!E84</f>
        <v>45.6</v>
      </c>
      <c r="F86" s="5">
        <f>[1]Raw_Data!F84</f>
        <v>6566.4</v>
      </c>
      <c r="G86" s="4">
        <f>[1]Raw_Data!G84</f>
        <v>0.21</v>
      </c>
      <c r="H86" s="3">
        <f>[1]Raw_Data!H84</f>
        <v>0</v>
      </c>
      <c r="I86" s="3" t="str">
        <f>TRIM([1]Raw_Data!I84)</f>
        <v>Canada</v>
      </c>
      <c r="J86" s="3" t="str">
        <f>TRIM([1]Raw_Data!J84)</f>
        <v>Amazon</v>
      </c>
      <c r="K86" s="3">
        <f t="shared" si="4"/>
        <v>2020</v>
      </c>
      <c r="L86" s="6">
        <f t="shared" si="5"/>
        <v>43862</v>
      </c>
      <c r="M86" s="3" t="str">
        <f t="shared" si="6"/>
        <v>21% to 25%</v>
      </c>
      <c r="N86" s="3" t="str">
        <f t="shared" si="7"/>
        <v>OK</v>
      </c>
    </row>
    <row r="87" spans="1:14" x14ac:dyDescent="0.3">
      <c r="A87" s="2">
        <f>DATE(VALUE(RIGHT(TRIM([1]Raw_Data!A85),4)),VALUE(MID(TRIM([1]Raw_Data!A85),4,2)),VALUE(LEFT(TRIM([1]Raw_Data!A85),2)))</f>
        <v>43871</v>
      </c>
      <c r="B87" s="3" t="str">
        <f>TRIM([1]Raw_Data!B85)</f>
        <v>Multivitamin</v>
      </c>
      <c r="C87" s="3" t="str">
        <f>TRIM([1]Raw_Data!C85)</f>
        <v>Vitamin</v>
      </c>
      <c r="D87" s="3">
        <f>[1]Raw_Data!D85</f>
        <v>140</v>
      </c>
      <c r="E87" s="4">
        <f>[1]Raw_Data!E85</f>
        <v>27.4</v>
      </c>
      <c r="F87" s="5">
        <f>[1]Raw_Data!F85</f>
        <v>3836</v>
      </c>
      <c r="G87" s="4">
        <f>[1]Raw_Data!G85</f>
        <v>0.11</v>
      </c>
      <c r="H87" s="3">
        <f>[1]Raw_Data!H85</f>
        <v>2</v>
      </c>
      <c r="I87" s="3" t="str">
        <f>TRIM([1]Raw_Data!I85)</f>
        <v>UK</v>
      </c>
      <c r="J87" s="3" t="str">
        <f>TRIM([1]Raw_Data!J85)</f>
        <v>Walmart</v>
      </c>
      <c r="K87" s="3">
        <f t="shared" si="4"/>
        <v>2020</v>
      </c>
      <c r="L87" s="6">
        <f t="shared" si="5"/>
        <v>43862</v>
      </c>
      <c r="M87" s="3" t="str">
        <f t="shared" si="6"/>
        <v>11% to 15%</v>
      </c>
      <c r="N87" s="3" t="str">
        <f t="shared" si="7"/>
        <v>OK</v>
      </c>
    </row>
    <row r="88" spans="1:14" x14ac:dyDescent="0.3">
      <c r="A88" s="2">
        <f>DATE(VALUE(RIGHT(TRIM([1]Raw_Data!A86),4)),VALUE(MID(TRIM([1]Raw_Data!A86),4,2)),VALUE(LEFT(TRIM([1]Raw_Data!A86),2)))</f>
        <v>43871</v>
      </c>
      <c r="B88" s="3" t="str">
        <f>TRIM([1]Raw_Data!B86)</f>
        <v>Pre-Workout</v>
      </c>
      <c r="C88" s="3" t="str">
        <f>TRIM([1]Raw_Data!C86)</f>
        <v>Performance</v>
      </c>
      <c r="D88" s="3">
        <f>[1]Raw_Data!D86</f>
        <v>155</v>
      </c>
      <c r="E88" s="4">
        <f>[1]Raw_Data!E86</f>
        <v>27.62</v>
      </c>
      <c r="F88" s="5">
        <f>[1]Raw_Data!F86</f>
        <v>4281.1000000000004</v>
      </c>
      <c r="G88" s="4">
        <f>[1]Raw_Data!G86</f>
        <v>0.21</v>
      </c>
      <c r="H88" s="3">
        <f>[1]Raw_Data!H86</f>
        <v>1</v>
      </c>
      <c r="I88" s="3" t="str">
        <f>TRIM([1]Raw_Data!I86)</f>
        <v>USA</v>
      </c>
      <c r="J88" s="3" t="str">
        <f>TRIM([1]Raw_Data!J86)</f>
        <v>iHerb</v>
      </c>
      <c r="K88" s="3">
        <f t="shared" si="4"/>
        <v>2020</v>
      </c>
      <c r="L88" s="6">
        <f t="shared" si="5"/>
        <v>43862</v>
      </c>
      <c r="M88" s="3" t="str">
        <f t="shared" si="6"/>
        <v>21% to 25%</v>
      </c>
      <c r="N88" s="3" t="str">
        <f t="shared" si="7"/>
        <v>OK</v>
      </c>
    </row>
    <row r="89" spans="1:14" x14ac:dyDescent="0.3">
      <c r="A89" s="2">
        <f>DATE(VALUE(RIGHT(TRIM([1]Raw_Data!A87),4)),VALUE(MID(TRIM([1]Raw_Data!A87),4,2)),VALUE(LEFT(TRIM([1]Raw_Data!A87),2)))</f>
        <v>43871</v>
      </c>
      <c r="B89" s="3" t="str">
        <f>TRIM([1]Raw_Data!B87)</f>
        <v>BCAA</v>
      </c>
      <c r="C89" s="3" t="str">
        <f>TRIM([1]Raw_Data!C87)</f>
        <v>Amino Acid</v>
      </c>
      <c r="D89" s="3">
        <f>[1]Raw_Data!D87</f>
        <v>134</v>
      </c>
      <c r="E89" s="4">
        <f>[1]Raw_Data!E87</f>
        <v>26.26</v>
      </c>
      <c r="F89" s="5">
        <f>[1]Raw_Data!F87</f>
        <v>3518.84</v>
      </c>
      <c r="G89" s="4">
        <f>[1]Raw_Data!G87</f>
        <v>0.17</v>
      </c>
      <c r="H89" s="3">
        <f>[1]Raw_Data!H87</f>
        <v>0</v>
      </c>
      <c r="I89" s="3" t="str">
        <f>TRIM([1]Raw_Data!I87)</f>
        <v>UK</v>
      </c>
      <c r="J89" s="3" t="str">
        <f>TRIM([1]Raw_Data!J87)</f>
        <v>Amazon</v>
      </c>
      <c r="K89" s="3">
        <f t="shared" si="4"/>
        <v>2020</v>
      </c>
      <c r="L89" s="6">
        <f t="shared" si="5"/>
        <v>43862</v>
      </c>
      <c r="M89" s="3" t="str">
        <f t="shared" si="6"/>
        <v>16% to 20%</v>
      </c>
      <c r="N89" s="3" t="str">
        <f t="shared" si="7"/>
        <v>OK</v>
      </c>
    </row>
    <row r="90" spans="1:14" x14ac:dyDescent="0.3">
      <c r="A90" s="2">
        <f>DATE(VALUE(RIGHT(TRIM([1]Raw_Data!A88),4)),VALUE(MID(TRIM([1]Raw_Data!A88),4,2)),VALUE(LEFT(TRIM([1]Raw_Data!A88),2)))</f>
        <v>43871</v>
      </c>
      <c r="B90" s="3" t="str">
        <f>TRIM([1]Raw_Data!B88)</f>
        <v>Creatine</v>
      </c>
      <c r="C90" s="3" t="str">
        <f>TRIM([1]Raw_Data!C88)</f>
        <v>Performance</v>
      </c>
      <c r="D90" s="3">
        <f>[1]Raw_Data!D88</f>
        <v>137</v>
      </c>
      <c r="E90" s="4">
        <f>[1]Raw_Data!E88</f>
        <v>21.36</v>
      </c>
      <c r="F90" s="5">
        <f>[1]Raw_Data!F88</f>
        <v>2926.32</v>
      </c>
      <c r="G90" s="4">
        <f>[1]Raw_Data!G88</f>
        <v>0.21</v>
      </c>
      <c r="H90" s="3">
        <f>[1]Raw_Data!H88</f>
        <v>1</v>
      </c>
      <c r="I90" s="3" t="str">
        <f>TRIM([1]Raw_Data!I88)</f>
        <v>Canada</v>
      </c>
      <c r="J90" s="3" t="str">
        <f>TRIM([1]Raw_Data!J88)</f>
        <v>iHerb</v>
      </c>
      <c r="K90" s="3">
        <f t="shared" si="4"/>
        <v>2020</v>
      </c>
      <c r="L90" s="6">
        <f t="shared" si="5"/>
        <v>43862</v>
      </c>
      <c r="M90" s="3" t="str">
        <f t="shared" si="6"/>
        <v>21% to 25%</v>
      </c>
      <c r="N90" s="3" t="str">
        <f t="shared" si="7"/>
        <v>OK</v>
      </c>
    </row>
    <row r="91" spans="1:14" x14ac:dyDescent="0.3">
      <c r="A91" s="2">
        <f>DATE(VALUE(RIGHT(TRIM([1]Raw_Data!A89),4)),VALUE(MID(TRIM([1]Raw_Data!A89),4,2)),VALUE(LEFT(TRIM([1]Raw_Data!A89),2)))</f>
        <v>43871</v>
      </c>
      <c r="B91" s="3" t="str">
        <f>TRIM([1]Raw_Data!B89)</f>
        <v>Zinc</v>
      </c>
      <c r="C91" s="3" t="str">
        <f>TRIM([1]Raw_Data!C89)</f>
        <v>Mineral</v>
      </c>
      <c r="D91" s="3">
        <f>[1]Raw_Data!D89</f>
        <v>155</v>
      </c>
      <c r="E91" s="4">
        <f>[1]Raw_Data!E89</f>
        <v>35.630000000000003</v>
      </c>
      <c r="F91" s="5">
        <f>[1]Raw_Data!F89</f>
        <v>5522.65</v>
      </c>
      <c r="G91" s="4">
        <f>[1]Raw_Data!G89</f>
        <v>0.08</v>
      </c>
      <c r="H91" s="3">
        <f>[1]Raw_Data!H89</f>
        <v>1</v>
      </c>
      <c r="I91" s="3" t="str">
        <f>TRIM([1]Raw_Data!I89)</f>
        <v>UK</v>
      </c>
      <c r="J91" s="3" t="str">
        <f>TRIM([1]Raw_Data!J89)</f>
        <v>Amazon</v>
      </c>
      <c r="K91" s="3">
        <f t="shared" si="4"/>
        <v>2020</v>
      </c>
      <c r="L91" s="6">
        <f t="shared" si="5"/>
        <v>43862</v>
      </c>
      <c r="M91" s="3" t="str">
        <f t="shared" si="6"/>
        <v>6% to 10%</v>
      </c>
      <c r="N91" s="3" t="str">
        <f t="shared" si="7"/>
        <v>OK</v>
      </c>
    </row>
    <row r="92" spans="1:14" x14ac:dyDescent="0.3">
      <c r="A92" s="2">
        <f>DATE(VALUE(RIGHT(TRIM([1]Raw_Data!A90),4)),VALUE(MID(TRIM([1]Raw_Data!A90),4,2)),VALUE(LEFT(TRIM([1]Raw_Data!A90),2)))</f>
        <v>43871</v>
      </c>
      <c r="B92" s="3" t="str">
        <f>TRIM([1]Raw_Data!B90)</f>
        <v>Collagen Peptides</v>
      </c>
      <c r="C92" s="3" t="str">
        <f>TRIM([1]Raw_Data!C90)</f>
        <v>Protein</v>
      </c>
      <c r="D92" s="3">
        <f>[1]Raw_Data!D90</f>
        <v>155</v>
      </c>
      <c r="E92" s="4">
        <f>[1]Raw_Data!E90</f>
        <v>53.56</v>
      </c>
      <c r="F92" s="5">
        <f>[1]Raw_Data!F90</f>
        <v>8301.7999999999993</v>
      </c>
      <c r="G92" s="4">
        <f>[1]Raw_Data!G90</f>
        <v>0.19</v>
      </c>
      <c r="H92" s="3">
        <f>[1]Raw_Data!H90</f>
        <v>2</v>
      </c>
      <c r="I92" s="3" t="str">
        <f>TRIM([1]Raw_Data!I90)</f>
        <v>UK</v>
      </c>
      <c r="J92" s="3" t="str">
        <f>TRIM([1]Raw_Data!J90)</f>
        <v>Walmart</v>
      </c>
      <c r="K92" s="3">
        <f t="shared" si="4"/>
        <v>2020</v>
      </c>
      <c r="L92" s="6">
        <f t="shared" si="5"/>
        <v>43862</v>
      </c>
      <c r="M92" s="3" t="str">
        <f t="shared" si="6"/>
        <v>16% to 20%</v>
      </c>
      <c r="N92" s="3" t="str">
        <f t="shared" si="7"/>
        <v>OK</v>
      </c>
    </row>
    <row r="93" spans="1:14" x14ac:dyDescent="0.3">
      <c r="A93" s="2">
        <f>DATE(VALUE(RIGHT(TRIM([1]Raw_Data!A91),4)),VALUE(MID(TRIM([1]Raw_Data!A91),4,2)),VALUE(LEFT(TRIM([1]Raw_Data!A91),2)))</f>
        <v>43871</v>
      </c>
      <c r="B93" s="3" t="str">
        <f>TRIM([1]Raw_Data!B91)</f>
        <v>Magnesium</v>
      </c>
      <c r="C93" s="3" t="str">
        <f>TRIM([1]Raw_Data!C91)</f>
        <v>Mineral</v>
      </c>
      <c r="D93" s="3">
        <f>[1]Raw_Data!D91</f>
        <v>156</v>
      </c>
      <c r="E93" s="4">
        <f>[1]Raw_Data!E91</f>
        <v>55.36</v>
      </c>
      <c r="F93" s="5">
        <f>[1]Raw_Data!F91</f>
        <v>8636.16</v>
      </c>
      <c r="G93" s="4">
        <f>[1]Raw_Data!G91</f>
        <v>0.17</v>
      </c>
      <c r="H93" s="3">
        <f>[1]Raw_Data!H91</f>
        <v>2</v>
      </c>
      <c r="I93" s="3" t="str">
        <f>TRIM([1]Raw_Data!I91)</f>
        <v>UK</v>
      </c>
      <c r="J93" s="3" t="str">
        <f>TRIM([1]Raw_Data!J91)</f>
        <v>iHerb</v>
      </c>
      <c r="K93" s="3">
        <f t="shared" si="4"/>
        <v>2020</v>
      </c>
      <c r="L93" s="6">
        <f t="shared" si="5"/>
        <v>43862</v>
      </c>
      <c r="M93" s="3" t="str">
        <f t="shared" si="6"/>
        <v>16% to 20%</v>
      </c>
      <c r="N93" s="3" t="str">
        <f t="shared" si="7"/>
        <v>OK</v>
      </c>
    </row>
    <row r="94" spans="1:14" x14ac:dyDescent="0.3">
      <c r="A94" s="2">
        <f>DATE(VALUE(RIGHT(TRIM([1]Raw_Data!A92),4)),VALUE(MID(TRIM([1]Raw_Data!A92),4,2)),VALUE(LEFT(TRIM([1]Raw_Data!A92),2)))</f>
        <v>43871</v>
      </c>
      <c r="B94" s="3" t="str">
        <f>TRIM([1]Raw_Data!B92)</f>
        <v>Ashwagandha</v>
      </c>
      <c r="C94" s="3" t="str">
        <f>TRIM([1]Raw_Data!C92)</f>
        <v>Herbal</v>
      </c>
      <c r="D94" s="3">
        <f>[1]Raw_Data!D92</f>
        <v>132</v>
      </c>
      <c r="E94" s="4">
        <f>[1]Raw_Data!E92</f>
        <v>33.020000000000003</v>
      </c>
      <c r="F94" s="5">
        <f>[1]Raw_Data!F92</f>
        <v>4358.6400000000003</v>
      </c>
      <c r="G94" s="4">
        <f>[1]Raw_Data!G92</f>
        <v>0.22</v>
      </c>
      <c r="H94" s="3">
        <f>[1]Raw_Data!H92</f>
        <v>1</v>
      </c>
      <c r="I94" s="3" t="str">
        <f>TRIM([1]Raw_Data!I92)</f>
        <v>USA</v>
      </c>
      <c r="J94" s="3" t="str">
        <f>TRIM([1]Raw_Data!J92)</f>
        <v>iHerb</v>
      </c>
      <c r="K94" s="3">
        <f t="shared" si="4"/>
        <v>2020</v>
      </c>
      <c r="L94" s="6">
        <f t="shared" si="5"/>
        <v>43862</v>
      </c>
      <c r="M94" s="3" t="str">
        <f t="shared" si="6"/>
        <v>21% to 25%</v>
      </c>
      <c r="N94" s="3" t="str">
        <f t="shared" si="7"/>
        <v>OK</v>
      </c>
    </row>
    <row r="95" spans="1:14" x14ac:dyDescent="0.3">
      <c r="A95" s="2">
        <f>DATE(VALUE(RIGHT(TRIM([1]Raw_Data!A93),4)),VALUE(MID(TRIM([1]Raw_Data!A93),4,2)),VALUE(LEFT(TRIM([1]Raw_Data!A93),2)))</f>
        <v>43871</v>
      </c>
      <c r="B95" s="3" t="str">
        <f>TRIM([1]Raw_Data!B93)</f>
        <v>Melatonin</v>
      </c>
      <c r="C95" s="3" t="str">
        <f>TRIM([1]Raw_Data!C93)</f>
        <v>Sleep Aid</v>
      </c>
      <c r="D95" s="3">
        <f>[1]Raw_Data!D93</f>
        <v>146</v>
      </c>
      <c r="E95" s="4">
        <f>[1]Raw_Data!E93</f>
        <v>15.54</v>
      </c>
      <c r="F95" s="5">
        <f>[1]Raw_Data!F93</f>
        <v>2268.84</v>
      </c>
      <c r="G95" s="4">
        <f>[1]Raw_Data!G93</f>
        <v>0.11</v>
      </c>
      <c r="H95" s="3">
        <f>[1]Raw_Data!H93</f>
        <v>0</v>
      </c>
      <c r="I95" s="3" t="str">
        <f>TRIM([1]Raw_Data!I93)</f>
        <v>Canada</v>
      </c>
      <c r="J95" s="3" t="str">
        <f>TRIM([1]Raw_Data!J93)</f>
        <v>Amazon</v>
      </c>
      <c r="K95" s="3">
        <f t="shared" si="4"/>
        <v>2020</v>
      </c>
      <c r="L95" s="6">
        <f t="shared" si="5"/>
        <v>43862</v>
      </c>
      <c r="M95" s="3" t="str">
        <f t="shared" si="6"/>
        <v>11% to 15%</v>
      </c>
      <c r="N95" s="3" t="str">
        <f t="shared" si="7"/>
        <v>OK</v>
      </c>
    </row>
    <row r="96" spans="1:14" x14ac:dyDescent="0.3">
      <c r="A96" s="2">
        <f>DATE(VALUE(RIGHT(TRIM([1]Raw_Data!A94),4)),VALUE(MID(TRIM([1]Raw_Data!A94),4,2)),VALUE(LEFT(TRIM([1]Raw_Data!A94),2)))</f>
        <v>43871</v>
      </c>
      <c r="B96" s="3" t="str">
        <f>TRIM([1]Raw_Data!B94)</f>
        <v>Biotin</v>
      </c>
      <c r="C96" s="3" t="str">
        <f>TRIM([1]Raw_Data!C94)</f>
        <v>Vitamin</v>
      </c>
      <c r="D96" s="3">
        <f>[1]Raw_Data!D94</f>
        <v>142</v>
      </c>
      <c r="E96" s="4">
        <f>[1]Raw_Data!E94</f>
        <v>24.61</v>
      </c>
      <c r="F96" s="5">
        <f>[1]Raw_Data!F94</f>
        <v>3494.62</v>
      </c>
      <c r="G96" s="4">
        <f>[1]Raw_Data!G94</f>
        <v>0.23</v>
      </c>
      <c r="H96" s="3">
        <f>[1]Raw_Data!H94</f>
        <v>2</v>
      </c>
      <c r="I96" s="3" t="str">
        <f>TRIM([1]Raw_Data!I94)</f>
        <v>UK</v>
      </c>
      <c r="J96" s="3" t="str">
        <f>TRIM([1]Raw_Data!J94)</f>
        <v>iHerb</v>
      </c>
      <c r="K96" s="3">
        <f t="shared" si="4"/>
        <v>2020</v>
      </c>
      <c r="L96" s="6">
        <f t="shared" si="5"/>
        <v>43862</v>
      </c>
      <c r="M96" s="3" t="str">
        <f t="shared" si="6"/>
        <v>21% to 25%</v>
      </c>
      <c r="N96" s="3" t="str">
        <f t="shared" si="7"/>
        <v>OK</v>
      </c>
    </row>
    <row r="97" spans="1:14" x14ac:dyDescent="0.3">
      <c r="A97" s="2">
        <f>DATE(VALUE(RIGHT(TRIM([1]Raw_Data!A95),4)),VALUE(MID(TRIM([1]Raw_Data!A95),4,2)),VALUE(LEFT(TRIM([1]Raw_Data!A95),2)))</f>
        <v>43871</v>
      </c>
      <c r="B97" s="3" t="str">
        <f>TRIM([1]Raw_Data!B95)</f>
        <v>Green Tea Extract</v>
      </c>
      <c r="C97" s="3" t="str">
        <f>TRIM([1]Raw_Data!C95)</f>
        <v>Fat Burner</v>
      </c>
      <c r="D97" s="3">
        <f>[1]Raw_Data!D95</f>
        <v>162</v>
      </c>
      <c r="E97" s="4">
        <f>[1]Raw_Data!E95</f>
        <v>58.14</v>
      </c>
      <c r="F97" s="5">
        <f>[1]Raw_Data!F95</f>
        <v>9418.68</v>
      </c>
      <c r="G97" s="4">
        <f>[1]Raw_Data!G95</f>
        <v>0.18</v>
      </c>
      <c r="H97" s="3">
        <f>[1]Raw_Data!H95</f>
        <v>1</v>
      </c>
      <c r="I97" s="3" t="str">
        <f>TRIM([1]Raw_Data!I95)</f>
        <v>UK</v>
      </c>
      <c r="J97" s="3" t="str">
        <f>TRIM([1]Raw_Data!J95)</f>
        <v>Walmart</v>
      </c>
      <c r="K97" s="3">
        <f t="shared" si="4"/>
        <v>2020</v>
      </c>
      <c r="L97" s="6">
        <f t="shared" si="5"/>
        <v>43862</v>
      </c>
      <c r="M97" s="3" t="str">
        <f t="shared" si="6"/>
        <v>16% to 20%</v>
      </c>
      <c r="N97" s="3" t="str">
        <f t="shared" si="7"/>
        <v>OK</v>
      </c>
    </row>
    <row r="98" spans="1:14" x14ac:dyDescent="0.3">
      <c r="A98" s="2">
        <f>DATE(VALUE(RIGHT(TRIM([1]Raw_Data!A96),4)),VALUE(MID(TRIM([1]Raw_Data!A96),4,2)),VALUE(LEFT(TRIM([1]Raw_Data!A96),2)))</f>
        <v>43871</v>
      </c>
      <c r="B98" s="3" t="str">
        <f>TRIM([1]Raw_Data!B96)</f>
        <v>Iron Supplement</v>
      </c>
      <c r="C98" s="3" t="str">
        <f>TRIM([1]Raw_Data!C96)</f>
        <v>Mineral</v>
      </c>
      <c r="D98" s="3">
        <f>[1]Raw_Data!D96</f>
        <v>163</v>
      </c>
      <c r="E98" s="4">
        <f>[1]Raw_Data!E96</f>
        <v>53.64</v>
      </c>
      <c r="F98" s="5">
        <f>[1]Raw_Data!F96</f>
        <v>8743.32</v>
      </c>
      <c r="G98" s="4">
        <f>[1]Raw_Data!G96</f>
        <v>0.03</v>
      </c>
      <c r="H98" s="3">
        <f>[1]Raw_Data!H96</f>
        <v>2</v>
      </c>
      <c r="I98" s="3" t="str">
        <f>TRIM([1]Raw_Data!I96)</f>
        <v>USA</v>
      </c>
      <c r="J98" s="3" t="str">
        <f>TRIM([1]Raw_Data!J96)</f>
        <v>Walmart</v>
      </c>
      <c r="K98" s="3">
        <f t="shared" si="4"/>
        <v>2020</v>
      </c>
      <c r="L98" s="6">
        <f t="shared" si="5"/>
        <v>43862</v>
      </c>
      <c r="M98" s="3" t="str">
        <f t="shared" si="6"/>
        <v>0% to 5%</v>
      </c>
      <c r="N98" s="3" t="str">
        <f t="shared" si="7"/>
        <v>OK</v>
      </c>
    </row>
    <row r="99" spans="1:14" x14ac:dyDescent="0.3">
      <c r="A99" s="2">
        <f>DATE(VALUE(RIGHT(TRIM([1]Raw_Data!A97),4)),VALUE(MID(TRIM([1]Raw_Data!A97),4,2)),VALUE(LEFT(TRIM([1]Raw_Data!A97),2)))</f>
        <v>43871</v>
      </c>
      <c r="B99" s="3" t="str">
        <f>TRIM([1]Raw_Data!B97)</f>
        <v>Electrolyte Powder</v>
      </c>
      <c r="C99" s="3" t="str">
        <f>TRIM([1]Raw_Data!C97)</f>
        <v>Hydration</v>
      </c>
      <c r="D99" s="3">
        <f>[1]Raw_Data!D97</f>
        <v>151</v>
      </c>
      <c r="E99" s="4">
        <f>[1]Raw_Data!E97</f>
        <v>22.09</v>
      </c>
      <c r="F99" s="5">
        <f>[1]Raw_Data!F97</f>
        <v>3335.59</v>
      </c>
      <c r="G99" s="4">
        <f>[1]Raw_Data!G97</f>
        <v>0</v>
      </c>
      <c r="H99" s="3">
        <f>[1]Raw_Data!H97</f>
        <v>1</v>
      </c>
      <c r="I99" s="3" t="str">
        <f>TRIM([1]Raw_Data!I97)</f>
        <v>USA</v>
      </c>
      <c r="J99" s="3" t="str">
        <f>TRIM([1]Raw_Data!J97)</f>
        <v>Amazon</v>
      </c>
      <c r="K99" s="3">
        <f t="shared" si="4"/>
        <v>2020</v>
      </c>
      <c r="L99" s="6">
        <f t="shared" si="5"/>
        <v>43862</v>
      </c>
      <c r="M99" s="3" t="str">
        <f t="shared" si="6"/>
        <v>0% to 5%</v>
      </c>
      <c r="N99" s="3" t="str">
        <f t="shared" si="7"/>
        <v>OK</v>
      </c>
    </row>
    <row r="100" spans="1:14" x14ac:dyDescent="0.3">
      <c r="A100" s="2">
        <f>DATE(VALUE(RIGHT(TRIM([1]Raw_Data!A98),4)),VALUE(MID(TRIM([1]Raw_Data!A98),4,2)),VALUE(LEFT(TRIM([1]Raw_Data!A98),2)))</f>
        <v>43878</v>
      </c>
      <c r="B100" s="3" t="str">
        <f>TRIM([1]Raw_Data!B98)</f>
        <v>Whey Protein</v>
      </c>
      <c r="C100" s="3" t="str">
        <f>TRIM([1]Raw_Data!C98)</f>
        <v>Protein</v>
      </c>
      <c r="D100" s="3">
        <f>[1]Raw_Data!D98</f>
        <v>143</v>
      </c>
      <c r="E100" s="4">
        <f>[1]Raw_Data!E98</f>
        <v>24.86</v>
      </c>
      <c r="F100" s="5">
        <f>[1]Raw_Data!F98</f>
        <v>3554.98</v>
      </c>
      <c r="G100" s="4">
        <f>[1]Raw_Data!G98</f>
        <v>7.0000000000000007E-2</v>
      </c>
      <c r="H100" s="3">
        <f>[1]Raw_Data!H98</f>
        <v>2</v>
      </c>
      <c r="I100" s="3" t="str">
        <f>TRIM([1]Raw_Data!I98)</f>
        <v>Canada</v>
      </c>
      <c r="J100" s="3" t="str">
        <f>TRIM([1]Raw_Data!J98)</f>
        <v>iHerb</v>
      </c>
      <c r="K100" s="3">
        <f t="shared" si="4"/>
        <v>2020</v>
      </c>
      <c r="L100" s="6">
        <f t="shared" si="5"/>
        <v>43862</v>
      </c>
      <c r="M100" s="3" t="str">
        <f t="shared" si="6"/>
        <v>6% to 10%</v>
      </c>
      <c r="N100" s="3" t="str">
        <f t="shared" si="7"/>
        <v>OK</v>
      </c>
    </row>
    <row r="101" spans="1:14" x14ac:dyDescent="0.3">
      <c r="A101" s="2">
        <f>DATE(VALUE(RIGHT(TRIM([1]Raw_Data!A99),4)),VALUE(MID(TRIM([1]Raw_Data!A99),4,2)),VALUE(LEFT(TRIM([1]Raw_Data!A99),2)))</f>
        <v>43878</v>
      </c>
      <c r="B101" s="3" t="str">
        <f>TRIM([1]Raw_Data!B99)</f>
        <v>Vitamin C</v>
      </c>
      <c r="C101" s="3" t="str">
        <f>TRIM([1]Raw_Data!C99)</f>
        <v>Vitamin</v>
      </c>
      <c r="D101" s="3">
        <f>[1]Raw_Data!D99</f>
        <v>165</v>
      </c>
      <c r="E101" s="4">
        <f>[1]Raw_Data!E99</f>
        <v>39.659999999999997</v>
      </c>
      <c r="F101" s="5">
        <f>[1]Raw_Data!F99</f>
        <v>6543.9</v>
      </c>
      <c r="G101" s="4">
        <f>[1]Raw_Data!G99</f>
        <v>0.22</v>
      </c>
      <c r="H101" s="3">
        <f>[1]Raw_Data!H99</f>
        <v>0</v>
      </c>
      <c r="I101" s="3" t="str">
        <f>TRIM([1]Raw_Data!I99)</f>
        <v>Canada</v>
      </c>
      <c r="J101" s="3" t="str">
        <f>TRIM([1]Raw_Data!J99)</f>
        <v>iHerb</v>
      </c>
      <c r="K101" s="3">
        <f t="shared" si="4"/>
        <v>2020</v>
      </c>
      <c r="L101" s="6">
        <f t="shared" si="5"/>
        <v>43862</v>
      </c>
      <c r="M101" s="3" t="str">
        <f t="shared" si="6"/>
        <v>21% to 25%</v>
      </c>
      <c r="N101" s="3" t="str">
        <f t="shared" si="7"/>
        <v>OK</v>
      </c>
    </row>
    <row r="102" spans="1:14" x14ac:dyDescent="0.3">
      <c r="A102" s="2">
        <f>DATE(VALUE(RIGHT(TRIM([1]Raw_Data!A100),4)),VALUE(MID(TRIM([1]Raw_Data!A100),4,2)),VALUE(LEFT(TRIM([1]Raw_Data!A100),2)))</f>
        <v>43878</v>
      </c>
      <c r="B102" s="3" t="str">
        <f>TRIM([1]Raw_Data!B100)</f>
        <v>Fish Oil</v>
      </c>
      <c r="C102" s="3" t="str">
        <f>TRIM([1]Raw_Data!C100)</f>
        <v>Omega</v>
      </c>
      <c r="D102" s="3">
        <f>[1]Raw_Data!D100</f>
        <v>129</v>
      </c>
      <c r="E102" s="4">
        <f>[1]Raw_Data!E100</f>
        <v>49.73</v>
      </c>
      <c r="F102" s="5">
        <f>[1]Raw_Data!F100</f>
        <v>6415.17</v>
      </c>
      <c r="G102" s="4">
        <f>[1]Raw_Data!G100</f>
        <v>0.01</v>
      </c>
      <c r="H102" s="3">
        <f>[1]Raw_Data!H100</f>
        <v>1</v>
      </c>
      <c r="I102" s="3" t="str">
        <f>TRIM([1]Raw_Data!I100)</f>
        <v>Canada</v>
      </c>
      <c r="J102" s="3" t="str">
        <f>TRIM([1]Raw_Data!J100)</f>
        <v>Walmart</v>
      </c>
      <c r="K102" s="3">
        <f t="shared" si="4"/>
        <v>2020</v>
      </c>
      <c r="L102" s="6">
        <f t="shared" si="5"/>
        <v>43862</v>
      </c>
      <c r="M102" s="3" t="str">
        <f t="shared" si="6"/>
        <v>0% to 5%</v>
      </c>
      <c r="N102" s="3" t="str">
        <f t="shared" si="7"/>
        <v>OK</v>
      </c>
    </row>
    <row r="103" spans="1:14" x14ac:dyDescent="0.3">
      <c r="A103" s="2">
        <f>DATE(VALUE(RIGHT(TRIM([1]Raw_Data!A101),4)),VALUE(MID(TRIM([1]Raw_Data!A101),4,2)),VALUE(LEFT(TRIM([1]Raw_Data!A101),2)))</f>
        <v>43878</v>
      </c>
      <c r="B103" s="3" t="str">
        <f>TRIM([1]Raw_Data!B101)</f>
        <v>Multivitamin</v>
      </c>
      <c r="C103" s="3" t="str">
        <f>TRIM([1]Raw_Data!C101)</f>
        <v>Vitamin</v>
      </c>
      <c r="D103" s="3">
        <f>[1]Raw_Data!D101</f>
        <v>151</v>
      </c>
      <c r="E103" s="4">
        <f>[1]Raw_Data!E101</f>
        <v>51.57</v>
      </c>
      <c r="F103" s="5">
        <f>[1]Raw_Data!F101</f>
        <v>7787.07</v>
      </c>
      <c r="G103" s="4">
        <f>[1]Raw_Data!G101</f>
        <v>0.15</v>
      </c>
      <c r="H103" s="3">
        <f>[1]Raw_Data!H101</f>
        <v>0</v>
      </c>
      <c r="I103" s="3" t="str">
        <f>TRIM([1]Raw_Data!I101)</f>
        <v>USA</v>
      </c>
      <c r="J103" s="3" t="str">
        <f>TRIM([1]Raw_Data!J101)</f>
        <v>Amazon</v>
      </c>
      <c r="K103" s="3">
        <f t="shared" si="4"/>
        <v>2020</v>
      </c>
      <c r="L103" s="6">
        <f t="shared" si="5"/>
        <v>43862</v>
      </c>
      <c r="M103" s="3" t="str">
        <f t="shared" si="6"/>
        <v>11% to 15%</v>
      </c>
      <c r="N103" s="3" t="str">
        <f t="shared" si="7"/>
        <v>OK</v>
      </c>
    </row>
    <row r="104" spans="1:14" x14ac:dyDescent="0.3">
      <c r="A104" s="2">
        <f>DATE(VALUE(RIGHT(TRIM([1]Raw_Data!A102),4)),VALUE(MID(TRIM([1]Raw_Data!A102),4,2)),VALUE(LEFT(TRIM([1]Raw_Data!A102),2)))</f>
        <v>43878</v>
      </c>
      <c r="B104" s="3" t="str">
        <f>TRIM([1]Raw_Data!B102)</f>
        <v>Pre-Workout</v>
      </c>
      <c r="C104" s="3" t="str">
        <f>TRIM([1]Raw_Data!C102)</f>
        <v>Performance</v>
      </c>
      <c r="D104" s="3">
        <f>[1]Raw_Data!D102</f>
        <v>131</v>
      </c>
      <c r="E104" s="4">
        <f>[1]Raw_Data!E102</f>
        <v>43.46</v>
      </c>
      <c r="F104" s="5">
        <f>[1]Raw_Data!F102</f>
        <v>5693.26</v>
      </c>
      <c r="G104" s="4">
        <f>[1]Raw_Data!G102</f>
        <v>0.21</v>
      </c>
      <c r="H104" s="3">
        <f>[1]Raw_Data!H102</f>
        <v>3</v>
      </c>
      <c r="I104" s="3" t="str">
        <f>TRIM([1]Raw_Data!I102)</f>
        <v>USA</v>
      </c>
      <c r="J104" s="3" t="str">
        <f>TRIM([1]Raw_Data!J102)</f>
        <v>Walmart</v>
      </c>
      <c r="K104" s="3">
        <f t="shared" si="4"/>
        <v>2020</v>
      </c>
      <c r="L104" s="6">
        <f t="shared" si="5"/>
        <v>43862</v>
      </c>
      <c r="M104" s="3" t="str">
        <f t="shared" si="6"/>
        <v>21% to 25%</v>
      </c>
      <c r="N104" s="3" t="str">
        <f t="shared" si="7"/>
        <v>OK</v>
      </c>
    </row>
    <row r="105" spans="1:14" x14ac:dyDescent="0.3">
      <c r="A105" s="2">
        <f>DATE(VALUE(RIGHT(TRIM([1]Raw_Data!A103),4)),VALUE(MID(TRIM([1]Raw_Data!A103),4,2)),VALUE(LEFT(TRIM([1]Raw_Data!A103),2)))</f>
        <v>43878</v>
      </c>
      <c r="B105" s="3" t="str">
        <f>TRIM([1]Raw_Data!B103)</f>
        <v>BCAA</v>
      </c>
      <c r="C105" s="3" t="str">
        <f>TRIM([1]Raw_Data!C103)</f>
        <v>Amino Acid</v>
      </c>
      <c r="D105" s="3">
        <f>[1]Raw_Data!D103</f>
        <v>152</v>
      </c>
      <c r="E105" s="4">
        <f>[1]Raw_Data!E103</f>
        <v>31.52</v>
      </c>
      <c r="F105" s="5">
        <f>[1]Raw_Data!F103</f>
        <v>4791.04</v>
      </c>
      <c r="G105" s="4">
        <f>[1]Raw_Data!G103</f>
        <v>0.08</v>
      </c>
      <c r="H105" s="3">
        <f>[1]Raw_Data!H103</f>
        <v>1</v>
      </c>
      <c r="I105" s="3" t="str">
        <f>TRIM([1]Raw_Data!I103)</f>
        <v>UK</v>
      </c>
      <c r="J105" s="3" t="str">
        <f>TRIM([1]Raw_Data!J103)</f>
        <v>Amazon</v>
      </c>
      <c r="K105" s="3">
        <f t="shared" si="4"/>
        <v>2020</v>
      </c>
      <c r="L105" s="6">
        <f t="shared" si="5"/>
        <v>43862</v>
      </c>
      <c r="M105" s="3" t="str">
        <f t="shared" si="6"/>
        <v>6% to 10%</v>
      </c>
      <c r="N105" s="3" t="str">
        <f t="shared" si="7"/>
        <v>OK</v>
      </c>
    </row>
    <row r="106" spans="1:14" x14ac:dyDescent="0.3">
      <c r="A106" s="2">
        <f>DATE(VALUE(RIGHT(TRIM([1]Raw_Data!A104),4)),VALUE(MID(TRIM([1]Raw_Data!A104),4,2)),VALUE(LEFT(TRIM([1]Raw_Data!A104),2)))</f>
        <v>43878</v>
      </c>
      <c r="B106" s="3" t="str">
        <f>TRIM([1]Raw_Data!B104)</f>
        <v>Creatine</v>
      </c>
      <c r="C106" s="3" t="str">
        <f>TRIM([1]Raw_Data!C104)</f>
        <v>Performance</v>
      </c>
      <c r="D106" s="3">
        <f>[1]Raw_Data!D104</f>
        <v>160</v>
      </c>
      <c r="E106" s="4">
        <f>[1]Raw_Data!E104</f>
        <v>54.63</v>
      </c>
      <c r="F106" s="5">
        <f>[1]Raw_Data!F104</f>
        <v>8740.7999999999993</v>
      </c>
      <c r="G106" s="4">
        <f>[1]Raw_Data!G104</f>
        <v>0.11</v>
      </c>
      <c r="H106" s="3">
        <f>[1]Raw_Data!H104</f>
        <v>2</v>
      </c>
      <c r="I106" s="3" t="str">
        <f>TRIM([1]Raw_Data!I104)</f>
        <v>UK</v>
      </c>
      <c r="J106" s="3" t="str">
        <f>TRIM([1]Raw_Data!J104)</f>
        <v>Amazon</v>
      </c>
      <c r="K106" s="3">
        <f t="shared" si="4"/>
        <v>2020</v>
      </c>
      <c r="L106" s="6">
        <f t="shared" si="5"/>
        <v>43862</v>
      </c>
      <c r="M106" s="3" t="str">
        <f t="shared" si="6"/>
        <v>11% to 15%</v>
      </c>
      <c r="N106" s="3" t="str">
        <f t="shared" si="7"/>
        <v>OK</v>
      </c>
    </row>
    <row r="107" spans="1:14" x14ac:dyDescent="0.3">
      <c r="A107" s="2">
        <f>DATE(VALUE(RIGHT(TRIM([1]Raw_Data!A105),4)),VALUE(MID(TRIM([1]Raw_Data!A105),4,2)),VALUE(LEFT(TRIM([1]Raw_Data!A105),2)))</f>
        <v>43878</v>
      </c>
      <c r="B107" s="3" t="str">
        <f>TRIM([1]Raw_Data!B105)</f>
        <v>Zinc</v>
      </c>
      <c r="C107" s="3" t="str">
        <f>TRIM([1]Raw_Data!C105)</f>
        <v>Mineral</v>
      </c>
      <c r="D107" s="3">
        <f>[1]Raw_Data!D105</f>
        <v>155</v>
      </c>
      <c r="E107" s="4">
        <f>[1]Raw_Data!E105</f>
        <v>45.13</v>
      </c>
      <c r="F107" s="5">
        <f>[1]Raw_Data!F105</f>
        <v>6995.15</v>
      </c>
      <c r="G107" s="4">
        <f>[1]Raw_Data!G105</f>
        <v>0.06</v>
      </c>
      <c r="H107" s="3">
        <f>[1]Raw_Data!H105</f>
        <v>1</v>
      </c>
      <c r="I107" s="3" t="str">
        <f>TRIM([1]Raw_Data!I105)</f>
        <v>USA</v>
      </c>
      <c r="J107" s="3" t="str">
        <f>TRIM([1]Raw_Data!J105)</f>
        <v>iHerb</v>
      </c>
      <c r="K107" s="3">
        <f t="shared" si="4"/>
        <v>2020</v>
      </c>
      <c r="L107" s="6">
        <f t="shared" si="5"/>
        <v>43862</v>
      </c>
      <c r="M107" s="3" t="str">
        <f t="shared" si="6"/>
        <v>6% to 10%</v>
      </c>
      <c r="N107" s="3" t="str">
        <f t="shared" si="7"/>
        <v>OK</v>
      </c>
    </row>
    <row r="108" spans="1:14" x14ac:dyDescent="0.3">
      <c r="A108" s="2">
        <f>DATE(VALUE(RIGHT(TRIM([1]Raw_Data!A106),4)),VALUE(MID(TRIM([1]Raw_Data!A106),4,2)),VALUE(LEFT(TRIM([1]Raw_Data!A106),2)))</f>
        <v>43878</v>
      </c>
      <c r="B108" s="3" t="str">
        <f>TRIM([1]Raw_Data!B106)</f>
        <v>Collagen Peptides</v>
      </c>
      <c r="C108" s="3" t="str">
        <f>TRIM([1]Raw_Data!C106)</f>
        <v>Protein</v>
      </c>
      <c r="D108" s="3">
        <f>[1]Raw_Data!D106</f>
        <v>132</v>
      </c>
      <c r="E108" s="4">
        <f>[1]Raw_Data!E106</f>
        <v>34.380000000000003</v>
      </c>
      <c r="F108" s="5">
        <f>[1]Raw_Data!F106</f>
        <v>4538.16</v>
      </c>
      <c r="G108" s="4">
        <f>[1]Raw_Data!G106</f>
        <v>0.16</v>
      </c>
      <c r="H108" s="3">
        <f>[1]Raw_Data!H106</f>
        <v>3</v>
      </c>
      <c r="I108" s="3" t="str">
        <f>TRIM([1]Raw_Data!I106)</f>
        <v>Canada</v>
      </c>
      <c r="J108" s="3" t="str">
        <f>TRIM([1]Raw_Data!J106)</f>
        <v>Walmart</v>
      </c>
      <c r="K108" s="3">
        <f t="shared" si="4"/>
        <v>2020</v>
      </c>
      <c r="L108" s="6">
        <f t="shared" si="5"/>
        <v>43862</v>
      </c>
      <c r="M108" s="3" t="str">
        <f t="shared" si="6"/>
        <v>16% to 20%</v>
      </c>
      <c r="N108" s="3" t="str">
        <f t="shared" si="7"/>
        <v>OK</v>
      </c>
    </row>
    <row r="109" spans="1:14" x14ac:dyDescent="0.3">
      <c r="A109" s="2">
        <f>DATE(VALUE(RIGHT(TRIM([1]Raw_Data!A107),4)),VALUE(MID(TRIM([1]Raw_Data!A107),4,2)),VALUE(LEFT(TRIM([1]Raw_Data!A107),2)))</f>
        <v>43878</v>
      </c>
      <c r="B109" s="3" t="str">
        <f>TRIM([1]Raw_Data!B107)</f>
        <v>Magnesium</v>
      </c>
      <c r="C109" s="3" t="str">
        <f>TRIM([1]Raw_Data!C107)</f>
        <v>Mineral</v>
      </c>
      <c r="D109" s="3">
        <f>[1]Raw_Data!D107</f>
        <v>154</v>
      </c>
      <c r="E109" s="4">
        <f>[1]Raw_Data!E107</f>
        <v>35.31</v>
      </c>
      <c r="F109" s="5">
        <f>[1]Raw_Data!F107</f>
        <v>5437.74</v>
      </c>
      <c r="G109" s="4">
        <f>[1]Raw_Data!G107</f>
        <v>0.16</v>
      </c>
      <c r="H109" s="3">
        <f>[1]Raw_Data!H107</f>
        <v>0</v>
      </c>
      <c r="I109" s="3" t="str">
        <f>TRIM([1]Raw_Data!I107)</f>
        <v>USA</v>
      </c>
      <c r="J109" s="3" t="str">
        <f>TRIM([1]Raw_Data!J107)</f>
        <v>Amazon</v>
      </c>
      <c r="K109" s="3">
        <f t="shared" si="4"/>
        <v>2020</v>
      </c>
      <c r="L109" s="6">
        <f t="shared" si="5"/>
        <v>43862</v>
      </c>
      <c r="M109" s="3" t="str">
        <f t="shared" si="6"/>
        <v>16% to 20%</v>
      </c>
      <c r="N109" s="3" t="str">
        <f t="shared" si="7"/>
        <v>OK</v>
      </c>
    </row>
    <row r="110" spans="1:14" x14ac:dyDescent="0.3">
      <c r="A110" s="2">
        <f>DATE(VALUE(RIGHT(TRIM([1]Raw_Data!A108),4)),VALUE(MID(TRIM([1]Raw_Data!A108),4,2)),VALUE(LEFT(TRIM([1]Raw_Data!A108),2)))</f>
        <v>43878</v>
      </c>
      <c r="B110" s="3" t="str">
        <f>TRIM([1]Raw_Data!B108)</f>
        <v>Ashwagandha</v>
      </c>
      <c r="C110" s="3" t="str">
        <f>TRIM([1]Raw_Data!C108)</f>
        <v>Herbal</v>
      </c>
      <c r="D110" s="3">
        <f>[1]Raw_Data!D108</f>
        <v>141</v>
      </c>
      <c r="E110" s="4">
        <f>[1]Raw_Data!E108</f>
        <v>33.619999999999997</v>
      </c>
      <c r="F110" s="5">
        <f>[1]Raw_Data!F108</f>
        <v>4740.42</v>
      </c>
      <c r="G110" s="4">
        <f>[1]Raw_Data!G108</f>
        <v>0.01</v>
      </c>
      <c r="H110" s="3">
        <f>[1]Raw_Data!H108</f>
        <v>0</v>
      </c>
      <c r="I110" s="3" t="str">
        <f>TRIM([1]Raw_Data!I108)</f>
        <v>USA</v>
      </c>
      <c r="J110" s="3" t="str">
        <f>TRIM([1]Raw_Data!J108)</f>
        <v>iHerb</v>
      </c>
      <c r="K110" s="3">
        <f t="shared" si="4"/>
        <v>2020</v>
      </c>
      <c r="L110" s="6">
        <f t="shared" si="5"/>
        <v>43862</v>
      </c>
      <c r="M110" s="3" t="str">
        <f t="shared" si="6"/>
        <v>0% to 5%</v>
      </c>
      <c r="N110" s="3" t="str">
        <f t="shared" si="7"/>
        <v>OK</v>
      </c>
    </row>
    <row r="111" spans="1:14" x14ac:dyDescent="0.3">
      <c r="A111" s="2">
        <f>DATE(VALUE(RIGHT(TRIM([1]Raw_Data!A109),4)),VALUE(MID(TRIM([1]Raw_Data!A109),4,2)),VALUE(LEFT(TRIM([1]Raw_Data!A109),2)))</f>
        <v>43878</v>
      </c>
      <c r="B111" s="3" t="str">
        <f>TRIM([1]Raw_Data!B109)</f>
        <v>Melatonin</v>
      </c>
      <c r="C111" s="3" t="str">
        <f>TRIM([1]Raw_Data!C109)</f>
        <v>Sleep Aid</v>
      </c>
      <c r="D111" s="3">
        <f>[1]Raw_Data!D109</f>
        <v>144</v>
      </c>
      <c r="E111" s="4">
        <f>[1]Raw_Data!E109</f>
        <v>19.8</v>
      </c>
      <c r="F111" s="5">
        <f>[1]Raw_Data!F109</f>
        <v>2851.2</v>
      </c>
      <c r="G111" s="4">
        <f>[1]Raw_Data!G109</f>
        <v>0.15</v>
      </c>
      <c r="H111" s="3">
        <f>[1]Raw_Data!H109</f>
        <v>1</v>
      </c>
      <c r="I111" s="3" t="str">
        <f>TRIM([1]Raw_Data!I109)</f>
        <v>USA</v>
      </c>
      <c r="J111" s="3" t="str">
        <f>TRIM([1]Raw_Data!J109)</f>
        <v>iHerb</v>
      </c>
      <c r="K111" s="3">
        <f t="shared" si="4"/>
        <v>2020</v>
      </c>
      <c r="L111" s="6">
        <f t="shared" si="5"/>
        <v>43862</v>
      </c>
      <c r="M111" s="3" t="str">
        <f t="shared" si="6"/>
        <v>11% to 15%</v>
      </c>
      <c r="N111" s="3" t="str">
        <f t="shared" si="7"/>
        <v>OK</v>
      </c>
    </row>
    <row r="112" spans="1:14" x14ac:dyDescent="0.3">
      <c r="A112" s="2">
        <f>DATE(VALUE(RIGHT(TRIM([1]Raw_Data!A110),4)),VALUE(MID(TRIM([1]Raw_Data!A110),4,2)),VALUE(LEFT(TRIM([1]Raw_Data!A110),2)))</f>
        <v>43878</v>
      </c>
      <c r="B112" s="3" t="str">
        <f>TRIM([1]Raw_Data!B110)</f>
        <v>Biotin</v>
      </c>
      <c r="C112" s="3" t="str">
        <f>TRIM([1]Raw_Data!C110)</f>
        <v>Vitamin</v>
      </c>
      <c r="D112" s="3">
        <f>[1]Raw_Data!D110</f>
        <v>139</v>
      </c>
      <c r="E112" s="4">
        <f>[1]Raw_Data!E110</f>
        <v>10.28</v>
      </c>
      <c r="F112" s="5">
        <f>[1]Raw_Data!F110</f>
        <v>1428.92</v>
      </c>
      <c r="G112" s="4">
        <f>[1]Raw_Data!G110</f>
        <v>0</v>
      </c>
      <c r="H112" s="3">
        <f>[1]Raw_Data!H110</f>
        <v>0</v>
      </c>
      <c r="I112" s="3" t="str">
        <f>TRIM([1]Raw_Data!I110)</f>
        <v>USA</v>
      </c>
      <c r="J112" s="3" t="str">
        <f>TRIM([1]Raw_Data!J110)</f>
        <v>Walmart</v>
      </c>
      <c r="K112" s="3">
        <f t="shared" si="4"/>
        <v>2020</v>
      </c>
      <c r="L112" s="6">
        <f t="shared" si="5"/>
        <v>43862</v>
      </c>
      <c r="M112" s="3" t="str">
        <f t="shared" si="6"/>
        <v>0% to 5%</v>
      </c>
      <c r="N112" s="3" t="str">
        <f t="shared" si="7"/>
        <v>OK</v>
      </c>
    </row>
    <row r="113" spans="1:14" x14ac:dyDescent="0.3">
      <c r="A113" s="2">
        <f>DATE(VALUE(RIGHT(TRIM([1]Raw_Data!A111),4)),VALUE(MID(TRIM([1]Raw_Data!A111),4,2)),VALUE(LEFT(TRIM([1]Raw_Data!A111),2)))</f>
        <v>43878</v>
      </c>
      <c r="B113" s="3" t="str">
        <f>TRIM([1]Raw_Data!B111)</f>
        <v>Green Tea Extract</v>
      </c>
      <c r="C113" s="3" t="str">
        <f>TRIM([1]Raw_Data!C111)</f>
        <v>Fat Burner</v>
      </c>
      <c r="D113" s="3">
        <f>[1]Raw_Data!D111</f>
        <v>117</v>
      </c>
      <c r="E113" s="4">
        <f>[1]Raw_Data!E111</f>
        <v>26.94</v>
      </c>
      <c r="F113" s="5">
        <f>[1]Raw_Data!F111</f>
        <v>3151.98</v>
      </c>
      <c r="G113" s="4">
        <f>[1]Raw_Data!G111</f>
        <v>0.2</v>
      </c>
      <c r="H113" s="3">
        <f>[1]Raw_Data!H111</f>
        <v>1</v>
      </c>
      <c r="I113" s="3" t="str">
        <f>TRIM([1]Raw_Data!I111)</f>
        <v>Canada</v>
      </c>
      <c r="J113" s="3" t="str">
        <f>TRIM([1]Raw_Data!J111)</f>
        <v>Amazon</v>
      </c>
      <c r="K113" s="3">
        <f t="shared" si="4"/>
        <v>2020</v>
      </c>
      <c r="L113" s="6">
        <f t="shared" si="5"/>
        <v>43862</v>
      </c>
      <c r="M113" s="3" t="str">
        <f t="shared" si="6"/>
        <v>16% to 20%</v>
      </c>
      <c r="N113" s="3" t="str">
        <f t="shared" si="7"/>
        <v>OK</v>
      </c>
    </row>
    <row r="114" spans="1:14" x14ac:dyDescent="0.3">
      <c r="A114" s="2">
        <f>DATE(VALUE(RIGHT(TRIM([1]Raw_Data!A112),4)),VALUE(MID(TRIM([1]Raw_Data!A112),4,2)),VALUE(LEFT(TRIM([1]Raw_Data!A112),2)))</f>
        <v>43878</v>
      </c>
      <c r="B114" s="3" t="str">
        <f>TRIM([1]Raw_Data!B112)</f>
        <v>Iron Supplement</v>
      </c>
      <c r="C114" s="3" t="str">
        <f>TRIM([1]Raw_Data!C112)</f>
        <v>Mineral</v>
      </c>
      <c r="D114" s="3">
        <f>[1]Raw_Data!D112</f>
        <v>150</v>
      </c>
      <c r="E114" s="4">
        <f>[1]Raw_Data!E112</f>
        <v>56.59</v>
      </c>
      <c r="F114" s="5">
        <f>[1]Raw_Data!F112</f>
        <v>8488.5</v>
      </c>
      <c r="G114" s="4">
        <f>[1]Raw_Data!G112</f>
        <v>0.1</v>
      </c>
      <c r="H114" s="3">
        <f>[1]Raw_Data!H112</f>
        <v>0</v>
      </c>
      <c r="I114" s="3" t="str">
        <f>TRIM([1]Raw_Data!I112)</f>
        <v>UK</v>
      </c>
      <c r="J114" s="3" t="str">
        <f>TRIM([1]Raw_Data!J112)</f>
        <v>Amazon</v>
      </c>
      <c r="K114" s="3">
        <f t="shared" si="4"/>
        <v>2020</v>
      </c>
      <c r="L114" s="6">
        <f t="shared" si="5"/>
        <v>43862</v>
      </c>
      <c r="M114" s="3" t="str">
        <f t="shared" si="6"/>
        <v>6% to 10%</v>
      </c>
      <c r="N114" s="3" t="str">
        <f t="shared" si="7"/>
        <v>OK</v>
      </c>
    </row>
    <row r="115" spans="1:14" x14ac:dyDescent="0.3">
      <c r="A115" s="2">
        <f>DATE(VALUE(RIGHT(TRIM([1]Raw_Data!A113),4)),VALUE(MID(TRIM([1]Raw_Data!A113),4,2)),VALUE(LEFT(TRIM([1]Raw_Data!A113),2)))</f>
        <v>43878</v>
      </c>
      <c r="B115" s="3" t="str">
        <f>TRIM([1]Raw_Data!B113)</f>
        <v>Electrolyte Powder</v>
      </c>
      <c r="C115" s="3" t="str">
        <f>TRIM([1]Raw_Data!C113)</f>
        <v>Hydration</v>
      </c>
      <c r="D115" s="3">
        <f>[1]Raw_Data!D113</f>
        <v>154</v>
      </c>
      <c r="E115" s="4">
        <f>[1]Raw_Data!E113</f>
        <v>27.26</v>
      </c>
      <c r="F115" s="5">
        <f>[1]Raw_Data!F113</f>
        <v>4198.04</v>
      </c>
      <c r="G115" s="4">
        <f>[1]Raw_Data!G113</f>
        <v>0.13</v>
      </c>
      <c r="H115" s="3">
        <f>[1]Raw_Data!H113</f>
        <v>3</v>
      </c>
      <c r="I115" s="3" t="str">
        <f>TRIM([1]Raw_Data!I113)</f>
        <v>Canada</v>
      </c>
      <c r="J115" s="3" t="str">
        <f>TRIM([1]Raw_Data!J113)</f>
        <v>Amazon</v>
      </c>
      <c r="K115" s="3">
        <f t="shared" si="4"/>
        <v>2020</v>
      </c>
      <c r="L115" s="6">
        <f t="shared" si="5"/>
        <v>43862</v>
      </c>
      <c r="M115" s="3" t="str">
        <f t="shared" si="6"/>
        <v>11% to 15%</v>
      </c>
      <c r="N115" s="3" t="str">
        <f t="shared" si="7"/>
        <v>OK</v>
      </c>
    </row>
    <row r="116" spans="1:14" x14ac:dyDescent="0.3">
      <c r="A116" s="2">
        <f>DATE(VALUE(RIGHT(TRIM([1]Raw_Data!A114),4)),VALUE(MID(TRIM([1]Raw_Data!A114),4,2)),VALUE(LEFT(TRIM([1]Raw_Data!A114),2)))</f>
        <v>43885</v>
      </c>
      <c r="B116" s="3" t="str">
        <f>TRIM([1]Raw_Data!B114)</f>
        <v>Whey Protein</v>
      </c>
      <c r="C116" s="3" t="str">
        <f>TRIM([1]Raw_Data!C114)</f>
        <v>Protein</v>
      </c>
      <c r="D116" s="3">
        <f>[1]Raw_Data!D114</f>
        <v>150</v>
      </c>
      <c r="E116" s="4">
        <f>[1]Raw_Data!E114</f>
        <v>59.64</v>
      </c>
      <c r="F116" s="5">
        <f>[1]Raw_Data!F114</f>
        <v>8946</v>
      </c>
      <c r="G116" s="4">
        <f>[1]Raw_Data!G114</f>
        <v>0.03</v>
      </c>
      <c r="H116" s="3">
        <f>[1]Raw_Data!H114</f>
        <v>1</v>
      </c>
      <c r="I116" s="3" t="str">
        <f>TRIM([1]Raw_Data!I114)</f>
        <v>UK</v>
      </c>
      <c r="J116" s="3" t="str">
        <f>TRIM([1]Raw_Data!J114)</f>
        <v>Walmart</v>
      </c>
      <c r="K116" s="3">
        <f t="shared" si="4"/>
        <v>2020</v>
      </c>
      <c r="L116" s="6">
        <f t="shared" si="5"/>
        <v>43862</v>
      </c>
      <c r="M116" s="3" t="str">
        <f t="shared" si="6"/>
        <v>0% to 5%</v>
      </c>
      <c r="N116" s="3" t="str">
        <f t="shared" si="7"/>
        <v>OK</v>
      </c>
    </row>
    <row r="117" spans="1:14" x14ac:dyDescent="0.3">
      <c r="A117" s="2">
        <f>DATE(VALUE(RIGHT(TRIM([1]Raw_Data!A115),4)),VALUE(MID(TRIM([1]Raw_Data!A115),4,2)),VALUE(LEFT(TRIM([1]Raw_Data!A115),2)))</f>
        <v>43885</v>
      </c>
      <c r="B117" s="3" t="str">
        <f>TRIM([1]Raw_Data!B115)</f>
        <v>Vitamin C</v>
      </c>
      <c r="C117" s="3" t="str">
        <f>TRIM([1]Raw_Data!C115)</f>
        <v>Vitamin</v>
      </c>
      <c r="D117" s="3">
        <f>[1]Raw_Data!D115</f>
        <v>146</v>
      </c>
      <c r="E117" s="4">
        <f>[1]Raw_Data!E115</f>
        <v>30.55</v>
      </c>
      <c r="F117" s="5">
        <f>[1]Raw_Data!F115</f>
        <v>4460.3</v>
      </c>
      <c r="G117" s="4">
        <f>[1]Raw_Data!G115</f>
        <v>0.23</v>
      </c>
      <c r="H117" s="3">
        <f>[1]Raw_Data!H115</f>
        <v>2</v>
      </c>
      <c r="I117" s="3" t="str">
        <f>TRIM([1]Raw_Data!I115)</f>
        <v>UK</v>
      </c>
      <c r="J117" s="3" t="str">
        <f>TRIM([1]Raw_Data!J115)</f>
        <v>iHerb</v>
      </c>
      <c r="K117" s="3">
        <f t="shared" si="4"/>
        <v>2020</v>
      </c>
      <c r="L117" s="6">
        <f t="shared" si="5"/>
        <v>43862</v>
      </c>
      <c r="M117" s="3" t="str">
        <f t="shared" si="6"/>
        <v>21% to 25%</v>
      </c>
      <c r="N117" s="3" t="str">
        <f t="shared" si="7"/>
        <v>OK</v>
      </c>
    </row>
    <row r="118" spans="1:14" x14ac:dyDescent="0.3">
      <c r="A118" s="2">
        <f>DATE(VALUE(RIGHT(TRIM([1]Raw_Data!A116),4)),VALUE(MID(TRIM([1]Raw_Data!A116),4,2)),VALUE(LEFT(TRIM([1]Raw_Data!A116),2)))</f>
        <v>43885</v>
      </c>
      <c r="B118" s="3" t="str">
        <f>TRIM([1]Raw_Data!B116)</f>
        <v>Fish Oil</v>
      </c>
      <c r="C118" s="3" t="str">
        <f>TRIM([1]Raw_Data!C116)</f>
        <v>Omega</v>
      </c>
      <c r="D118" s="3">
        <f>[1]Raw_Data!D116</f>
        <v>154</v>
      </c>
      <c r="E118" s="4">
        <f>[1]Raw_Data!E116</f>
        <v>51.19</v>
      </c>
      <c r="F118" s="5">
        <f>[1]Raw_Data!F116</f>
        <v>7883.26</v>
      </c>
      <c r="G118" s="4">
        <f>[1]Raw_Data!G116</f>
        <v>0.24</v>
      </c>
      <c r="H118" s="3">
        <f>[1]Raw_Data!H116</f>
        <v>3</v>
      </c>
      <c r="I118" s="3" t="str">
        <f>TRIM([1]Raw_Data!I116)</f>
        <v>USA</v>
      </c>
      <c r="J118" s="3" t="str">
        <f>TRIM([1]Raw_Data!J116)</f>
        <v>Amazon</v>
      </c>
      <c r="K118" s="3">
        <f t="shared" si="4"/>
        <v>2020</v>
      </c>
      <c r="L118" s="6">
        <f t="shared" si="5"/>
        <v>43862</v>
      </c>
      <c r="M118" s="3" t="str">
        <f t="shared" si="6"/>
        <v>21% to 25%</v>
      </c>
      <c r="N118" s="3" t="str">
        <f t="shared" si="7"/>
        <v>OK</v>
      </c>
    </row>
    <row r="119" spans="1:14" x14ac:dyDescent="0.3">
      <c r="A119" s="2">
        <f>DATE(VALUE(RIGHT(TRIM([1]Raw_Data!A117),4)),VALUE(MID(TRIM([1]Raw_Data!A117),4,2)),VALUE(LEFT(TRIM([1]Raw_Data!A117),2)))</f>
        <v>43885</v>
      </c>
      <c r="B119" s="3" t="str">
        <f>TRIM([1]Raw_Data!B117)</f>
        <v>Multivitamin</v>
      </c>
      <c r="C119" s="3" t="str">
        <f>TRIM([1]Raw_Data!C117)</f>
        <v>Vitamin</v>
      </c>
      <c r="D119" s="3">
        <f>[1]Raw_Data!D117</f>
        <v>123</v>
      </c>
      <c r="E119" s="4">
        <f>[1]Raw_Data!E117</f>
        <v>12.98</v>
      </c>
      <c r="F119" s="5">
        <f>[1]Raw_Data!F117</f>
        <v>1596.54</v>
      </c>
      <c r="G119" s="4">
        <f>[1]Raw_Data!G117</f>
        <v>0.15</v>
      </c>
      <c r="H119" s="3">
        <f>[1]Raw_Data!H117</f>
        <v>2</v>
      </c>
      <c r="I119" s="3" t="str">
        <f>TRIM([1]Raw_Data!I117)</f>
        <v>USA</v>
      </c>
      <c r="J119" s="3" t="str">
        <f>TRIM([1]Raw_Data!J117)</f>
        <v>Walmart</v>
      </c>
      <c r="K119" s="3">
        <f t="shared" si="4"/>
        <v>2020</v>
      </c>
      <c r="L119" s="6">
        <f t="shared" si="5"/>
        <v>43862</v>
      </c>
      <c r="M119" s="3" t="str">
        <f t="shared" si="6"/>
        <v>11% to 15%</v>
      </c>
      <c r="N119" s="3" t="str">
        <f t="shared" si="7"/>
        <v>OK</v>
      </c>
    </row>
    <row r="120" spans="1:14" x14ac:dyDescent="0.3">
      <c r="A120" s="2">
        <f>DATE(VALUE(RIGHT(TRIM([1]Raw_Data!A118),4)),VALUE(MID(TRIM([1]Raw_Data!A118),4,2)),VALUE(LEFT(TRIM([1]Raw_Data!A118),2)))</f>
        <v>43885</v>
      </c>
      <c r="B120" s="3" t="str">
        <f>TRIM([1]Raw_Data!B118)</f>
        <v>Pre-Workout</v>
      </c>
      <c r="C120" s="3" t="str">
        <f>TRIM([1]Raw_Data!C118)</f>
        <v>Performance</v>
      </c>
      <c r="D120" s="3">
        <f>[1]Raw_Data!D118</f>
        <v>133</v>
      </c>
      <c r="E120" s="4">
        <f>[1]Raw_Data!E118</f>
        <v>32.81</v>
      </c>
      <c r="F120" s="5">
        <f>[1]Raw_Data!F118</f>
        <v>4363.7299999999996</v>
      </c>
      <c r="G120" s="4">
        <f>[1]Raw_Data!G118</f>
        <v>0.09</v>
      </c>
      <c r="H120" s="3">
        <f>[1]Raw_Data!H118</f>
        <v>0</v>
      </c>
      <c r="I120" s="3" t="str">
        <f>TRIM([1]Raw_Data!I118)</f>
        <v>Canada</v>
      </c>
      <c r="J120" s="3" t="str">
        <f>TRIM([1]Raw_Data!J118)</f>
        <v>Amazon</v>
      </c>
      <c r="K120" s="3">
        <f t="shared" si="4"/>
        <v>2020</v>
      </c>
      <c r="L120" s="6">
        <f t="shared" si="5"/>
        <v>43862</v>
      </c>
      <c r="M120" s="3" t="str">
        <f t="shared" si="6"/>
        <v>6% to 10%</v>
      </c>
      <c r="N120" s="3" t="str">
        <f t="shared" si="7"/>
        <v>OK</v>
      </c>
    </row>
    <row r="121" spans="1:14" x14ac:dyDescent="0.3">
      <c r="A121" s="2">
        <f>DATE(VALUE(RIGHT(TRIM([1]Raw_Data!A119),4)),VALUE(MID(TRIM([1]Raw_Data!A119),4,2)),VALUE(LEFT(TRIM([1]Raw_Data!A119),2)))</f>
        <v>43885</v>
      </c>
      <c r="B121" s="3" t="str">
        <f>TRIM([1]Raw_Data!B119)</f>
        <v>BCAA</v>
      </c>
      <c r="C121" s="3" t="str">
        <f>TRIM([1]Raw_Data!C119)</f>
        <v>Amino Acid</v>
      </c>
      <c r="D121" s="3">
        <f>[1]Raw_Data!D119</f>
        <v>147</v>
      </c>
      <c r="E121" s="4">
        <f>[1]Raw_Data!E119</f>
        <v>13.55</v>
      </c>
      <c r="F121" s="5">
        <f>[1]Raw_Data!F119</f>
        <v>1991.85</v>
      </c>
      <c r="G121" s="4">
        <f>[1]Raw_Data!G119</f>
        <v>0.02</v>
      </c>
      <c r="H121" s="3">
        <f>[1]Raw_Data!H119</f>
        <v>1</v>
      </c>
      <c r="I121" s="3" t="str">
        <f>TRIM([1]Raw_Data!I119)</f>
        <v>UK</v>
      </c>
      <c r="J121" s="3" t="str">
        <f>TRIM([1]Raw_Data!J119)</f>
        <v>Amazon</v>
      </c>
      <c r="K121" s="3">
        <f t="shared" si="4"/>
        <v>2020</v>
      </c>
      <c r="L121" s="6">
        <f t="shared" si="5"/>
        <v>43862</v>
      </c>
      <c r="M121" s="3" t="str">
        <f t="shared" si="6"/>
        <v>0% to 5%</v>
      </c>
      <c r="N121" s="3" t="str">
        <f t="shared" si="7"/>
        <v>OK</v>
      </c>
    </row>
    <row r="122" spans="1:14" x14ac:dyDescent="0.3">
      <c r="A122" s="2">
        <f>DATE(VALUE(RIGHT(TRIM([1]Raw_Data!A120),4)),VALUE(MID(TRIM([1]Raw_Data!A120),4,2)),VALUE(LEFT(TRIM([1]Raw_Data!A120),2)))</f>
        <v>43885</v>
      </c>
      <c r="B122" s="3" t="str">
        <f>TRIM([1]Raw_Data!B120)</f>
        <v>Creatine</v>
      </c>
      <c r="C122" s="3" t="str">
        <f>TRIM([1]Raw_Data!C120)</f>
        <v>Performance</v>
      </c>
      <c r="D122" s="3">
        <f>[1]Raw_Data!D120</f>
        <v>175</v>
      </c>
      <c r="E122" s="4">
        <f>[1]Raw_Data!E120</f>
        <v>43.93</v>
      </c>
      <c r="F122" s="5">
        <f>[1]Raw_Data!F120</f>
        <v>7687.75</v>
      </c>
      <c r="G122" s="4">
        <f>[1]Raw_Data!G120</f>
        <v>0.09</v>
      </c>
      <c r="H122" s="3">
        <f>[1]Raw_Data!H120</f>
        <v>2</v>
      </c>
      <c r="I122" s="3" t="str">
        <f>TRIM([1]Raw_Data!I120)</f>
        <v>UK</v>
      </c>
      <c r="J122" s="3" t="str">
        <f>TRIM([1]Raw_Data!J120)</f>
        <v>Amazon</v>
      </c>
      <c r="K122" s="3">
        <f t="shared" si="4"/>
        <v>2020</v>
      </c>
      <c r="L122" s="6">
        <f t="shared" si="5"/>
        <v>43862</v>
      </c>
      <c r="M122" s="3" t="str">
        <f t="shared" si="6"/>
        <v>6% to 10%</v>
      </c>
      <c r="N122" s="3" t="str">
        <f t="shared" si="7"/>
        <v>OK</v>
      </c>
    </row>
    <row r="123" spans="1:14" x14ac:dyDescent="0.3">
      <c r="A123" s="2">
        <f>DATE(VALUE(RIGHT(TRIM([1]Raw_Data!A121),4)),VALUE(MID(TRIM([1]Raw_Data!A121),4,2)),VALUE(LEFT(TRIM([1]Raw_Data!A121),2)))</f>
        <v>43885</v>
      </c>
      <c r="B123" s="3" t="str">
        <f>TRIM([1]Raw_Data!B121)</f>
        <v>Zinc</v>
      </c>
      <c r="C123" s="3" t="str">
        <f>TRIM([1]Raw_Data!C121)</f>
        <v>Mineral</v>
      </c>
      <c r="D123" s="3">
        <f>[1]Raw_Data!D121</f>
        <v>170</v>
      </c>
      <c r="E123" s="4">
        <f>[1]Raw_Data!E121</f>
        <v>53.68</v>
      </c>
      <c r="F123" s="5">
        <f>[1]Raw_Data!F121</f>
        <v>9125.6</v>
      </c>
      <c r="G123" s="4">
        <f>[1]Raw_Data!G121</f>
        <v>0.18</v>
      </c>
      <c r="H123" s="3">
        <f>[1]Raw_Data!H121</f>
        <v>0</v>
      </c>
      <c r="I123" s="3" t="str">
        <f>TRIM([1]Raw_Data!I121)</f>
        <v>UK</v>
      </c>
      <c r="J123" s="3" t="str">
        <f>TRIM([1]Raw_Data!J121)</f>
        <v>iHerb</v>
      </c>
      <c r="K123" s="3">
        <f t="shared" si="4"/>
        <v>2020</v>
      </c>
      <c r="L123" s="6">
        <f t="shared" si="5"/>
        <v>43862</v>
      </c>
      <c r="M123" s="3" t="str">
        <f t="shared" si="6"/>
        <v>16% to 20%</v>
      </c>
      <c r="N123" s="3" t="str">
        <f t="shared" si="7"/>
        <v>OK</v>
      </c>
    </row>
    <row r="124" spans="1:14" x14ac:dyDescent="0.3">
      <c r="A124" s="2">
        <f>DATE(VALUE(RIGHT(TRIM([1]Raw_Data!A122),4)),VALUE(MID(TRIM([1]Raw_Data!A122),4,2)),VALUE(LEFT(TRIM([1]Raw_Data!A122),2)))</f>
        <v>43885</v>
      </c>
      <c r="B124" s="3" t="str">
        <f>TRIM([1]Raw_Data!B122)</f>
        <v>Collagen Peptides</v>
      </c>
      <c r="C124" s="3" t="str">
        <f>TRIM([1]Raw_Data!C122)</f>
        <v>Protein</v>
      </c>
      <c r="D124" s="3">
        <f>[1]Raw_Data!D122</f>
        <v>169</v>
      </c>
      <c r="E124" s="4">
        <f>[1]Raw_Data!E122</f>
        <v>36.700000000000003</v>
      </c>
      <c r="F124" s="5">
        <f>[1]Raw_Data!F122</f>
        <v>6202.3</v>
      </c>
      <c r="G124" s="4">
        <f>[1]Raw_Data!G122</f>
        <v>0.04</v>
      </c>
      <c r="H124" s="3">
        <f>[1]Raw_Data!H122</f>
        <v>0</v>
      </c>
      <c r="I124" s="3" t="str">
        <f>TRIM([1]Raw_Data!I122)</f>
        <v>Canada</v>
      </c>
      <c r="J124" s="3" t="str">
        <f>TRIM([1]Raw_Data!J122)</f>
        <v>iHerb</v>
      </c>
      <c r="K124" s="3">
        <f t="shared" si="4"/>
        <v>2020</v>
      </c>
      <c r="L124" s="6">
        <f t="shared" si="5"/>
        <v>43862</v>
      </c>
      <c r="M124" s="3" t="str">
        <f t="shared" si="6"/>
        <v>0% to 5%</v>
      </c>
      <c r="N124" s="3" t="str">
        <f t="shared" si="7"/>
        <v>OK</v>
      </c>
    </row>
    <row r="125" spans="1:14" x14ac:dyDescent="0.3">
      <c r="A125" s="2">
        <f>DATE(VALUE(RIGHT(TRIM([1]Raw_Data!A123),4)),VALUE(MID(TRIM([1]Raw_Data!A123),4,2)),VALUE(LEFT(TRIM([1]Raw_Data!A123),2)))</f>
        <v>43885</v>
      </c>
      <c r="B125" s="3" t="str">
        <f>TRIM([1]Raw_Data!B123)</f>
        <v>Magnesium</v>
      </c>
      <c r="C125" s="3" t="str">
        <f>TRIM([1]Raw_Data!C123)</f>
        <v>Mineral</v>
      </c>
      <c r="D125" s="3">
        <f>[1]Raw_Data!D123</f>
        <v>147</v>
      </c>
      <c r="E125" s="4">
        <f>[1]Raw_Data!E123</f>
        <v>34.299999999999997</v>
      </c>
      <c r="F125" s="5">
        <f>[1]Raw_Data!F123</f>
        <v>5042.1000000000004</v>
      </c>
      <c r="G125" s="4">
        <f>[1]Raw_Data!G123</f>
        <v>0.14000000000000001</v>
      </c>
      <c r="H125" s="3">
        <f>[1]Raw_Data!H123</f>
        <v>0</v>
      </c>
      <c r="I125" s="3" t="str">
        <f>TRIM([1]Raw_Data!I123)</f>
        <v>UK</v>
      </c>
      <c r="J125" s="3" t="str">
        <f>TRIM([1]Raw_Data!J123)</f>
        <v>iHerb</v>
      </c>
      <c r="K125" s="3">
        <f t="shared" si="4"/>
        <v>2020</v>
      </c>
      <c r="L125" s="6">
        <f t="shared" si="5"/>
        <v>43862</v>
      </c>
      <c r="M125" s="3" t="str">
        <f t="shared" si="6"/>
        <v>11% to 15%</v>
      </c>
      <c r="N125" s="3" t="str">
        <f t="shared" si="7"/>
        <v>OK</v>
      </c>
    </row>
    <row r="126" spans="1:14" x14ac:dyDescent="0.3">
      <c r="A126" s="2">
        <f>DATE(VALUE(RIGHT(TRIM([1]Raw_Data!A124),4)),VALUE(MID(TRIM([1]Raw_Data!A124),4,2)),VALUE(LEFT(TRIM([1]Raw_Data!A124),2)))</f>
        <v>43885</v>
      </c>
      <c r="B126" s="3" t="str">
        <f>TRIM([1]Raw_Data!B124)</f>
        <v>Ashwagandha</v>
      </c>
      <c r="C126" s="3" t="str">
        <f>TRIM([1]Raw_Data!C124)</f>
        <v>Herbal</v>
      </c>
      <c r="D126" s="3">
        <f>[1]Raw_Data!D124</f>
        <v>133</v>
      </c>
      <c r="E126" s="4">
        <f>[1]Raw_Data!E124</f>
        <v>27.16</v>
      </c>
      <c r="F126" s="5">
        <f>[1]Raw_Data!F124</f>
        <v>3612.28</v>
      </c>
      <c r="G126" s="4">
        <f>[1]Raw_Data!G124</f>
        <v>0.18</v>
      </c>
      <c r="H126" s="3">
        <f>[1]Raw_Data!H124</f>
        <v>2</v>
      </c>
      <c r="I126" s="3" t="str">
        <f>TRIM([1]Raw_Data!I124)</f>
        <v>UK</v>
      </c>
      <c r="J126" s="3" t="str">
        <f>TRIM([1]Raw_Data!J124)</f>
        <v>iHerb</v>
      </c>
      <c r="K126" s="3">
        <f t="shared" si="4"/>
        <v>2020</v>
      </c>
      <c r="L126" s="6">
        <f t="shared" si="5"/>
        <v>43862</v>
      </c>
      <c r="M126" s="3" t="str">
        <f t="shared" si="6"/>
        <v>16% to 20%</v>
      </c>
      <c r="N126" s="3" t="str">
        <f t="shared" si="7"/>
        <v>OK</v>
      </c>
    </row>
    <row r="127" spans="1:14" x14ac:dyDescent="0.3">
      <c r="A127" s="2">
        <f>DATE(VALUE(RIGHT(TRIM([1]Raw_Data!A125),4)),VALUE(MID(TRIM([1]Raw_Data!A125),4,2)),VALUE(LEFT(TRIM([1]Raw_Data!A125),2)))</f>
        <v>43885</v>
      </c>
      <c r="B127" s="3" t="str">
        <f>TRIM([1]Raw_Data!B125)</f>
        <v>Melatonin</v>
      </c>
      <c r="C127" s="3" t="str">
        <f>TRIM([1]Raw_Data!C125)</f>
        <v>Sleep Aid</v>
      </c>
      <c r="D127" s="3">
        <f>[1]Raw_Data!D125</f>
        <v>164</v>
      </c>
      <c r="E127" s="4">
        <f>[1]Raw_Data!E125</f>
        <v>31.5</v>
      </c>
      <c r="F127" s="5">
        <f>[1]Raw_Data!F125</f>
        <v>5166</v>
      </c>
      <c r="G127" s="4">
        <f>[1]Raw_Data!G125</f>
        <v>0.17</v>
      </c>
      <c r="H127" s="3">
        <f>[1]Raw_Data!H125</f>
        <v>1</v>
      </c>
      <c r="I127" s="3" t="str">
        <f>TRIM([1]Raw_Data!I125)</f>
        <v>Canada</v>
      </c>
      <c r="J127" s="3" t="str">
        <f>TRIM([1]Raw_Data!J125)</f>
        <v>iHerb</v>
      </c>
      <c r="K127" s="3">
        <f t="shared" si="4"/>
        <v>2020</v>
      </c>
      <c r="L127" s="6">
        <f t="shared" si="5"/>
        <v>43862</v>
      </c>
      <c r="M127" s="3" t="str">
        <f t="shared" si="6"/>
        <v>16% to 20%</v>
      </c>
      <c r="N127" s="3" t="str">
        <f t="shared" si="7"/>
        <v>OK</v>
      </c>
    </row>
    <row r="128" spans="1:14" x14ac:dyDescent="0.3">
      <c r="A128" s="2">
        <f>DATE(VALUE(RIGHT(TRIM([1]Raw_Data!A126),4)),VALUE(MID(TRIM([1]Raw_Data!A126),4,2)),VALUE(LEFT(TRIM([1]Raw_Data!A126),2)))</f>
        <v>43885</v>
      </c>
      <c r="B128" s="3" t="str">
        <f>TRIM([1]Raw_Data!B126)</f>
        <v>Biotin</v>
      </c>
      <c r="C128" s="3" t="str">
        <f>TRIM([1]Raw_Data!C126)</f>
        <v>Vitamin</v>
      </c>
      <c r="D128" s="3">
        <f>[1]Raw_Data!D126</f>
        <v>143</v>
      </c>
      <c r="E128" s="4">
        <f>[1]Raw_Data!E126</f>
        <v>32.32</v>
      </c>
      <c r="F128" s="5">
        <f>[1]Raw_Data!F126</f>
        <v>4621.76</v>
      </c>
      <c r="G128" s="4">
        <f>[1]Raw_Data!G126</f>
        <v>0.2</v>
      </c>
      <c r="H128" s="3">
        <f>[1]Raw_Data!H126</f>
        <v>2</v>
      </c>
      <c r="I128" s="3" t="str">
        <f>TRIM([1]Raw_Data!I126)</f>
        <v>USA</v>
      </c>
      <c r="J128" s="3" t="str">
        <f>TRIM([1]Raw_Data!J126)</f>
        <v>iHerb</v>
      </c>
      <c r="K128" s="3">
        <f t="shared" si="4"/>
        <v>2020</v>
      </c>
      <c r="L128" s="6">
        <f t="shared" si="5"/>
        <v>43862</v>
      </c>
      <c r="M128" s="3" t="str">
        <f t="shared" si="6"/>
        <v>16% to 20%</v>
      </c>
      <c r="N128" s="3" t="str">
        <f t="shared" si="7"/>
        <v>OK</v>
      </c>
    </row>
    <row r="129" spans="1:14" x14ac:dyDescent="0.3">
      <c r="A129" s="2">
        <f>DATE(VALUE(RIGHT(TRIM([1]Raw_Data!A127),4)),VALUE(MID(TRIM([1]Raw_Data!A127),4,2)),VALUE(LEFT(TRIM([1]Raw_Data!A127),2)))</f>
        <v>43885</v>
      </c>
      <c r="B129" s="3" t="str">
        <f>TRIM([1]Raw_Data!B127)</f>
        <v>Green Tea Extract</v>
      </c>
      <c r="C129" s="3" t="str">
        <f>TRIM([1]Raw_Data!C127)</f>
        <v>Fat Burner</v>
      </c>
      <c r="D129" s="3">
        <f>[1]Raw_Data!D127</f>
        <v>147</v>
      </c>
      <c r="E129" s="4">
        <f>[1]Raw_Data!E127</f>
        <v>39.11</v>
      </c>
      <c r="F129" s="5">
        <f>[1]Raw_Data!F127</f>
        <v>5749.17</v>
      </c>
      <c r="G129" s="4">
        <f>[1]Raw_Data!G127</f>
        <v>0.09</v>
      </c>
      <c r="H129" s="3">
        <f>[1]Raw_Data!H127</f>
        <v>2</v>
      </c>
      <c r="I129" s="3" t="str">
        <f>TRIM([1]Raw_Data!I127)</f>
        <v>UK</v>
      </c>
      <c r="J129" s="3" t="str">
        <f>TRIM([1]Raw_Data!J127)</f>
        <v>iHerb</v>
      </c>
      <c r="K129" s="3">
        <f t="shared" si="4"/>
        <v>2020</v>
      </c>
      <c r="L129" s="6">
        <f t="shared" si="5"/>
        <v>43862</v>
      </c>
      <c r="M129" s="3" t="str">
        <f t="shared" si="6"/>
        <v>6% to 10%</v>
      </c>
      <c r="N129" s="3" t="str">
        <f t="shared" si="7"/>
        <v>OK</v>
      </c>
    </row>
    <row r="130" spans="1:14" x14ac:dyDescent="0.3">
      <c r="A130" s="2">
        <f>DATE(VALUE(RIGHT(TRIM([1]Raw_Data!A128),4)),VALUE(MID(TRIM([1]Raw_Data!A128),4,2)),VALUE(LEFT(TRIM([1]Raw_Data!A128),2)))</f>
        <v>43885</v>
      </c>
      <c r="B130" s="3" t="str">
        <f>TRIM([1]Raw_Data!B128)</f>
        <v>Iron Supplement</v>
      </c>
      <c r="C130" s="3" t="str">
        <f>TRIM([1]Raw_Data!C128)</f>
        <v>Mineral</v>
      </c>
      <c r="D130" s="3">
        <f>[1]Raw_Data!D128</f>
        <v>158</v>
      </c>
      <c r="E130" s="4">
        <f>[1]Raw_Data!E128</f>
        <v>28.73</v>
      </c>
      <c r="F130" s="5">
        <f>[1]Raw_Data!F128</f>
        <v>4539.34</v>
      </c>
      <c r="G130" s="4">
        <f>[1]Raw_Data!G128</f>
        <v>0.04</v>
      </c>
      <c r="H130" s="3">
        <f>[1]Raw_Data!H128</f>
        <v>1</v>
      </c>
      <c r="I130" s="3" t="str">
        <f>TRIM([1]Raw_Data!I128)</f>
        <v>UK</v>
      </c>
      <c r="J130" s="3" t="str">
        <f>TRIM([1]Raw_Data!J128)</f>
        <v>Amazon</v>
      </c>
      <c r="K130" s="3">
        <f t="shared" si="4"/>
        <v>2020</v>
      </c>
      <c r="L130" s="6">
        <f t="shared" si="5"/>
        <v>43862</v>
      </c>
      <c r="M130" s="3" t="str">
        <f t="shared" si="6"/>
        <v>0% to 5%</v>
      </c>
      <c r="N130" s="3" t="str">
        <f t="shared" si="7"/>
        <v>OK</v>
      </c>
    </row>
    <row r="131" spans="1:14" x14ac:dyDescent="0.3">
      <c r="A131" s="2">
        <f>DATE(VALUE(RIGHT(TRIM([1]Raw_Data!A129),4)),VALUE(MID(TRIM([1]Raw_Data!A129),4,2)),VALUE(LEFT(TRIM([1]Raw_Data!A129),2)))</f>
        <v>43885</v>
      </c>
      <c r="B131" s="3" t="str">
        <f>TRIM([1]Raw_Data!B129)</f>
        <v>Electrolyte Powder</v>
      </c>
      <c r="C131" s="3" t="str">
        <f>TRIM([1]Raw_Data!C129)</f>
        <v>Hydration</v>
      </c>
      <c r="D131" s="3">
        <f>[1]Raw_Data!D129</f>
        <v>135</v>
      </c>
      <c r="E131" s="4">
        <f>[1]Raw_Data!E129</f>
        <v>27.29</v>
      </c>
      <c r="F131" s="5">
        <f>[1]Raw_Data!F129</f>
        <v>3684.15</v>
      </c>
      <c r="G131" s="4">
        <f>[1]Raw_Data!G129</f>
        <v>0.04</v>
      </c>
      <c r="H131" s="3">
        <f>[1]Raw_Data!H129</f>
        <v>0</v>
      </c>
      <c r="I131" s="3" t="str">
        <f>TRIM([1]Raw_Data!I129)</f>
        <v>Canada</v>
      </c>
      <c r="J131" s="3" t="str">
        <f>TRIM([1]Raw_Data!J129)</f>
        <v>Amazon</v>
      </c>
      <c r="K131" s="3">
        <f t="shared" si="4"/>
        <v>2020</v>
      </c>
      <c r="L131" s="6">
        <f t="shared" si="5"/>
        <v>43862</v>
      </c>
      <c r="M131" s="3" t="str">
        <f t="shared" si="6"/>
        <v>0% to 5%</v>
      </c>
      <c r="N131" s="3" t="str">
        <f t="shared" si="7"/>
        <v>OK</v>
      </c>
    </row>
    <row r="132" spans="1:14" x14ac:dyDescent="0.3">
      <c r="A132" s="2">
        <f>DATE(VALUE(RIGHT(TRIM([1]Raw_Data!A130),4)),VALUE(MID(TRIM([1]Raw_Data!A130),4,2)),VALUE(LEFT(TRIM([1]Raw_Data!A130),2)))</f>
        <v>43892</v>
      </c>
      <c r="B132" s="3" t="str">
        <f>TRIM([1]Raw_Data!B130)</f>
        <v>Whey Protein</v>
      </c>
      <c r="C132" s="3" t="str">
        <f>TRIM([1]Raw_Data!C130)</f>
        <v>Protein</v>
      </c>
      <c r="D132" s="3">
        <f>[1]Raw_Data!D130</f>
        <v>155</v>
      </c>
      <c r="E132" s="4">
        <f>[1]Raw_Data!E130</f>
        <v>27.03</v>
      </c>
      <c r="F132" s="5">
        <f>[1]Raw_Data!F130</f>
        <v>4189.6499999999996</v>
      </c>
      <c r="G132" s="4">
        <f>[1]Raw_Data!G130</f>
        <v>0.02</v>
      </c>
      <c r="H132" s="3">
        <f>[1]Raw_Data!H130</f>
        <v>1</v>
      </c>
      <c r="I132" s="3" t="str">
        <f>TRIM([1]Raw_Data!I130)</f>
        <v>Canada</v>
      </c>
      <c r="J132" s="3" t="str">
        <f>TRIM([1]Raw_Data!J130)</f>
        <v>Amazon</v>
      </c>
      <c r="K132" s="3">
        <f t="shared" ref="K132:K195" si="8">YEAR(A132)</f>
        <v>2020</v>
      </c>
      <c r="L132" s="6">
        <f t="shared" ref="L132:L195" si="9">DATE(YEAR(A132),MONTH(A132),1)</f>
        <v>43891</v>
      </c>
      <c r="M132" s="3" t="str">
        <f t="shared" ref="M132:M195" si="10">IF(ROUND(G132*100,0)&lt;=5,"0% to 5%",IF(ROUND(G132*100,0)&lt;=10,"6% to 10%",IF(ROUND(G132*100,0)&lt;=15,"11% to 15%",IF(ROUND(G132*100,0)&lt;=20,"16% to 20%","21% to 25%"))))</f>
        <v>0% to 5%</v>
      </c>
      <c r="N132" s="3" t="str">
        <f t="shared" ref="N132:N195" si="11">IF(ROUND(D132*E132,2)=ROUND(F132,2),"OK","Check")</f>
        <v>OK</v>
      </c>
    </row>
    <row r="133" spans="1:14" x14ac:dyDescent="0.3">
      <c r="A133" s="2">
        <f>DATE(VALUE(RIGHT(TRIM([1]Raw_Data!A131),4)),VALUE(MID(TRIM([1]Raw_Data!A131),4,2)),VALUE(LEFT(TRIM([1]Raw_Data!A131),2)))</f>
        <v>43892</v>
      </c>
      <c r="B133" s="3" t="str">
        <f>TRIM([1]Raw_Data!B131)</f>
        <v>Vitamin C</v>
      </c>
      <c r="C133" s="3" t="str">
        <f>TRIM([1]Raw_Data!C131)</f>
        <v>Vitamin</v>
      </c>
      <c r="D133" s="3">
        <f>[1]Raw_Data!D131</f>
        <v>143</v>
      </c>
      <c r="E133" s="4">
        <f>[1]Raw_Data!E131</f>
        <v>40.29</v>
      </c>
      <c r="F133" s="5">
        <f>[1]Raw_Data!F131</f>
        <v>5761.47</v>
      </c>
      <c r="G133" s="4">
        <f>[1]Raw_Data!G131</f>
        <v>0.09</v>
      </c>
      <c r="H133" s="3">
        <f>[1]Raw_Data!H131</f>
        <v>0</v>
      </c>
      <c r="I133" s="3" t="str">
        <f>TRIM([1]Raw_Data!I131)</f>
        <v>Canada</v>
      </c>
      <c r="J133" s="3" t="str">
        <f>TRIM([1]Raw_Data!J131)</f>
        <v>iHerb</v>
      </c>
      <c r="K133" s="3">
        <f t="shared" si="8"/>
        <v>2020</v>
      </c>
      <c r="L133" s="6">
        <f t="shared" si="9"/>
        <v>43891</v>
      </c>
      <c r="M133" s="3" t="str">
        <f t="shared" si="10"/>
        <v>6% to 10%</v>
      </c>
      <c r="N133" s="3" t="str">
        <f t="shared" si="11"/>
        <v>OK</v>
      </c>
    </row>
    <row r="134" spans="1:14" x14ac:dyDescent="0.3">
      <c r="A134" s="2">
        <f>DATE(VALUE(RIGHT(TRIM([1]Raw_Data!A132),4)),VALUE(MID(TRIM([1]Raw_Data!A132),4,2)),VALUE(LEFT(TRIM([1]Raw_Data!A132),2)))</f>
        <v>43892</v>
      </c>
      <c r="B134" s="3" t="str">
        <f>TRIM([1]Raw_Data!B132)</f>
        <v>Fish Oil</v>
      </c>
      <c r="C134" s="3" t="str">
        <f>TRIM([1]Raw_Data!C132)</f>
        <v>Omega</v>
      </c>
      <c r="D134" s="3">
        <f>[1]Raw_Data!D132</f>
        <v>157</v>
      </c>
      <c r="E134" s="4">
        <f>[1]Raw_Data!E132</f>
        <v>34.28</v>
      </c>
      <c r="F134" s="5">
        <f>[1]Raw_Data!F132</f>
        <v>5381.96</v>
      </c>
      <c r="G134" s="4">
        <f>[1]Raw_Data!G132</f>
        <v>0.01</v>
      </c>
      <c r="H134" s="3">
        <f>[1]Raw_Data!H132</f>
        <v>1</v>
      </c>
      <c r="I134" s="3" t="str">
        <f>TRIM([1]Raw_Data!I132)</f>
        <v>Canada</v>
      </c>
      <c r="J134" s="3" t="str">
        <f>TRIM([1]Raw_Data!J132)</f>
        <v>iHerb</v>
      </c>
      <c r="K134" s="3">
        <f t="shared" si="8"/>
        <v>2020</v>
      </c>
      <c r="L134" s="6">
        <f t="shared" si="9"/>
        <v>43891</v>
      </c>
      <c r="M134" s="3" t="str">
        <f t="shared" si="10"/>
        <v>0% to 5%</v>
      </c>
      <c r="N134" s="3" t="str">
        <f t="shared" si="11"/>
        <v>OK</v>
      </c>
    </row>
    <row r="135" spans="1:14" x14ac:dyDescent="0.3">
      <c r="A135" s="2">
        <f>DATE(VALUE(RIGHT(TRIM([1]Raw_Data!A133),4)),VALUE(MID(TRIM([1]Raw_Data!A133),4,2)),VALUE(LEFT(TRIM([1]Raw_Data!A133),2)))</f>
        <v>43892</v>
      </c>
      <c r="B135" s="3" t="str">
        <f>TRIM([1]Raw_Data!B133)</f>
        <v>Multivitamin</v>
      </c>
      <c r="C135" s="3" t="str">
        <f>TRIM([1]Raw_Data!C133)</f>
        <v>Vitamin</v>
      </c>
      <c r="D135" s="3">
        <f>[1]Raw_Data!D133</f>
        <v>184</v>
      </c>
      <c r="E135" s="4">
        <f>[1]Raw_Data!E133</f>
        <v>11.95</v>
      </c>
      <c r="F135" s="5">
        <f>[1]Raw_Data!F133</f>
        <v>2198.8000000000002</v>
      </c>
      <c r="G135" s="4">
        <f>[1]Raw_Data!G133</f>
        <v>0.01</v>
      </c>
      <c r="H135" s="3">
        <f>[1]Raw_Data!H133</f>
        <v>1</v>
      </c>
      <c r="I135" s="3" t="str">
        <f>TRIM([1]Raw_Data!I133)</f>
        <v>UK</v>
      </c>
      <c r="J135" s="3" t="str">
        <f>TRIM([1]Raw_Data!J133)</f>
        <v>iHerb</v>
      </c>
      <c r="K135" s="3">
        <f t="shared" si="8"/>
        <v>2020</v>
      </c>
      <c r="L135" s="6">
        <f t="shared" si="9"/>
        <v>43891</v>
      </c>
      <c r="M135" s="3" t="str">
        <f t="shared" si="10"/>
        <v>0% to 5%</v>
      </c>
      <c r="N135" s="3" t="str">
        <f t="shared" si="11"/>
        <v>OK</v>
      </c>
    </row>
    <row r="136" spans="1:14" x14ac:dyDescent="0.3">
      <c r="A136" s="2">
        <f>DATE(VALUE(RIGHT(TRIM([1]Raw_Data!A134),4)),VALUE(MID(TRIM([1]Raw_Data!A134),4,2)),VALUE(LEFT(TRIM([1]Raw_Data!A134),2)))</f>
        <v>43892</v>
      </c>
      <c r="B136" s="3" t="str">
        <f>TRIM([1]Raw_Data!B134)</f>
        <v>Pre-Workout</v>
      </c>
      <c r="C136" s="3" t="str">
        <f>TRIM([1]Raw_Data!C134)</f>
        <v>Performance</v>
      </c>
      <c r="D136" s="3">
        <f>[1]Raw_Data!D134</f>
        <v>136</v>
      </c>
      <c r="E136" s="4">
        <f>[1]Raw_Data!E134</f>
        <v>47.81</v>
      </c>
      <c r="F136" s="5">
        <f>[1]Raw_Data!F134</f>
        <v>6502.16</v>
      </c>
      <c r="G136" s="4">
        <f>[1]Raw_Data!G134</f>
        <v>0.11</v>
      </c>
      <c r="H136" s="3">
        <f>[1]Raw_Data!H134</f>
        <v>1</v>
      </c>
      <c r="I136" s="3" t="str">
        <f>TRIM([1]Raw_Data!I134)</f>
        <v>USA</v>
      </c>
      <c r="J136" s="3" t="str">
        <f>TRIM([1]Raw_Data!J134)</f>
        <v>Walmart</v>
      </c>
      <c r="K136" s="3">
        <f t="shared" si="8"/>
        <v>2020</v>
      </c>
      <c r="L136" s="6">
        <f t="shared" si="9"/>
        <v>43891</v>
      </c>
      <c r="M136" s="3" t="str">
        <f t="shared" si="10"/>
        <v>11% to 15%</v>
      </c>
      <c r="N136" s="3" t="str">
        <f t="shared" si="11"/>
        <v>OK</v>
      </c>
    </row>
    <row r="137" spans="1:14" x14ac:dyDescent="0.3">
      <c r="A137" s="2">
        <f>DATE(VALUE(RIGHT(TRIM([1]Raw_Data!A135),4)),VALUE(MID(TRIM([1]Raw_Data!A135),4,2)),VALUE(LEFT(TRIM([1]Raw_Data!A135),2)))</f>
        <v>43892</v>
      </c>
      <c r="B137" s="3" t="str">
        <f>TRIM([1]Raw_Data!B135)</f>
        <v>BCAA</v>
      </c>
      <c r="C137" s="3" t="str">
        <f>TRIM([1]Raw_Data!C135)</f>
        <v>Amino Acid</v>
      </c>
      <c r="D137" s="3">
        <f>[1]Raw_Data!D135</f>
        <v>169</v>
      </c>
      <c r="E137" s="4">
        <f>[1]Raw_Data!E135</f>
        <v>57.8</v>
      </c>
      <c r="F137" s="5">
        <f>[1]Raw_Data!F135</f>
        <v>9768.2000000000007</v>
      </c>
      <c r="G137" s="4">
        <f>[1]Raw_Data!G135</f>
        <v>0.08</v>
      </c>
      <c r="H137" s="3">
        <f>[1]Raw_Data!H135</f>
        <v>3</v>
      </c>
      <c r="I137" s="3" t="str">
        <f>TRIM([1]Raw_Data!I135)</f>
        <v>Canada</v>
      </c>
      <c r="J137" s="3" t="str">
        <f>TRIM([1]Raw_Data!J135)</f>
        <v>Amazon</v>
      </c>
      <c r="K137" s="3">
        <f t="shared" si="8"/>
        <v>2020</v>
      </c>
      <c r="L137" s="6">
        <f t="shared" si="9"/>
        <v>43891</v>
      </c>
      <c r="M137" s="3" t="str">
        <f t="shared" si="10"/>
        <v>6% to 10%</v>
      </c>
      <c r="N137" s="3" t="str">
        <f t="shared" si="11"/>
        <v>OK</v>
      </c>
    </row>
    <row r="138" spans="1:14" x14ac:dyDescent="0.3">
      <c r="A138" s="2">
        <f>DATE(VALUE(RIGHT(TRIM([1]Raw_Data!A136),4)),VALUE(MID(TRIM([1]Raw_Data!A136),4,2)),VALUE(LEFT(TRIM([1]Raw_Data!A136),2)))</f>
        <v>43892</v>
      </c>
      <c r="B138" s="3" t="str">
        <f>TRIM([1]Raw_Data!B136)</f>
        <v>Creatine</v>
      </c>
      <c r="C138" s="3" t="str">
        <f>TRIM([1]Raw_Data!C136)</f>
        <v>Performance</v>
      </c>
      <c r="D138" s="3">
        <f>[1]Raw_Data!D136</f>
        <v>154</v>
      </c>
      <c r="E138" s="4">
        <f>[1]Raw_Data!E136</f>
        <v>59.2</v>
      </c>
      <c r="F138" s="5">
        <f>[1]Raw_Data!F136</f>
        <v>9116.7999999999993</v>
      </c>
      <c r="G138" s="4">
        <f>[1]Raw_Data!G136</f>
        <v>7.0000000000000007E-2</v>
      </c>
      <c r="H138" s="3">
        <f>[1]Raw_Data!H136</f>
        <v>4</v>
      </c>
      <c r="I138" s="3" t="str">
        <f>TRIM([1]Raw_Data!I136)</f>
        <v>Canada</v>
      </c>
      <c r="J138" s="3" t="str">
        <f>TRIM([1]Raw_Data!J136)</f>
        <v>iHerb</v>
      </c>
      <c r="K138" s="3">
        <f t="shared" si="8"/>
        <v>2020</v>
      </c>
      <c r="L138" s="6">
        <f t="shared" si="9"/>
        <v>43891</v>
      </c>
      <c r="M138" s="3" t="str">
        <f t="shared" si="10"/>
        <v>6% to 10%</v>
      </c>
      <c r="N138" s="3" t="str">
        <f t="shared" si="11"/>
        <v>OK</v>
      </c>
    </row>
    <row r="139" spans="1:14" x14ac:dyDescent="0.3">
      <c r="A139" s="2">
        <f>DATE(VALUE(RIGHT(TRIM([1]Raw_Data!A137),4)),VALUE(MID(TRIM([1]Raw_Data!A137),4,2)),VALUE(LEFT(TRIM([1]Raw_Data!A137),2)))</f>
        <v>43892</v>
      </c>
      <c r="B139" s="3" t="str">
        <f>TRIM([1]Raw_Data!B137)</f>
        <v>Zinc</v>
      </c>
      <c r="C139" s="3" t="str">
        <f>TRIM([1]Raw_Data!C137)</f>
        <v>Mineral</v>
      </c>
      <c r="D139" s="3">
        <f>[1]Raw_Data!D137</f>
        <v>146</v>
      </c>
      <c r="E139" s="4">
        <f>[1]Raw_Data!E137</f>
        <v>27.02</v>
      </c>
      <c r="F139" s="5">
        <f>[1]Raw_Data!F137</f>
        <v>3944.92</v>
      </c>
      <c r="G139" s="4">
        <f>[1]Raw_Data!G137</f>
        <v>0.14000000000000001</v>
      </c>
      <c r="H139" s="3">
        <f>[1]Raw_Data!H137</f>
        <v>0</v>
      </c>
      <c r="I139" s="3" t="str">
        <f>TRIM([1]Raw_Data!I137)</f>
        <v>UK</v>
      </c>
      <c r="J139" s="3" t="str">
        <f>TRIM([1]Raw_Data!J137)</f>
        <v>Amazon</v>
      </c>
      <c r="K139" s="3">
        <f t="shared" si="8"/>
        <v>2020</v>
      </c>
      <c r="L139" s="6">
        <f t="shared" si="9"/>
        <v>43891</v>
      </c>
      <c r="M139" s="3" t="str">
        <f t="shared" si="10"/>
        <v>11% to 15%</v>
      </c>
      <c r="N139" s="3" t="str">
        <f t="shared" si="11"/>
        <v>OK</v>
      </c>
    </row>
    <row r="140" spans="1:14" x14ac:dyDescent="0.3">
      <c r="A140" s="2">
        <f>DATE(VALUE(RIGHT(TRIM([1]Raw_Data!A138),4)),VALUE(MID(TRIM([1]Raw_Data!A138),4,2)),VALUE(LEFT(TRIM([1]Raw_Data!A138),2)))</f>
        <v>43892</v>
      </c>
      <c r="B140" s="3" t="str">
        <f>TRIM([1]Raw_Data!B138)</f>
        <v>Collagen Peptides</v>
      </c>
      <c r="C140" s="3" t="str">
        <f>TRIM([1]Raw_Data!C138)</f>
        <v>Protein</v>
      </c>
      <c r="D140" s="3">
        <f>[1]Raw_Data!D138</f>
        <v>152</v>
      </c>
      <c r="E140" s="4">
        <f>[1]Raw_Data!E138</f>
        <v>48.1</v>
      </c>
      <c r="F140" s="5">
        <f>[1]Raw_Data!F138</f>
        <v>7311.2</v>
      </c>
      <c r="G140" s="4">
        <f>[1]Raw_Data!G138</f>
        <v>0.21</v>
      </c>
      <c r="H140" s="3">
        <f>[1]Raw_Data!H138</f>
        <v>1</v>
      </c>
      <c r="I140" s="3" t="str">
        <f>TRIM([1]Raw_Data!I138)</f>
        <v>UK</v>
      </c>
      <c r="J140" s="3" t="str">
        <f>TRIM([1]Raw_Data!J138)</f>
        <v>Amazon</v>
      </c>
      <c r="K140" s="3">
        <f t="shared" si="8"/>
        <v>2020</v>
      </c>
      <c r="L140" s="6">
        <f t="shared" si="9"/>
        <v>43891</v>
      </c>
      <c r="M140" s="3" t="str">
        <f t="shared" si="10"/>
        <v>21% to 25%</v>
      </c>
      <c r="N140" s="3" t="str">
        <f t="shared" si="11"/>
        <v>OK</v>
      </c>
    </row>
    <row r="141" spans="1:14" x14ac:dyDescent="0.3">
      <c r="A141" s="2">
        <f>DATE(VALUE(RIGHT(TRIM([1]Raw_Data!A139),4)),VALUE(MID(TRIM([1]Raw_Data!A139),4,2)),VALUE(LEFT(TRIM([1]Raw_Data!A139),2)))</f>
        <v>43892</v>
      </c>
      <c r="B141" s="3" t="str">
        <f>TRIM([1]Raw_Data!B139)</f>
        <v>Magnesium</v>
      </c>
      <c r="C141" s="3" t="str">
        <f>TRIM([1]Raw_Data!C139)</f>
        <v>Mineral</v>
      </c>
      <c r="D141" s="3">
        <f>[1]Raw_Data!D139</f>
        <v>143</v>
      </c>
      <c r="E141" s="4">
        <f>[1]Raw_Data!E139</f>
        <v>19.73</v>
      </c>
      <c r="F141" s="5">
        <f>[1]Raw_Data!F139</f>
        <v>2821.39</v>
      </c>
      <c r="G141" s="4">
        <f>[1]Raw_Data!G139</f>
        <v>0.01</v>
      </c>
      <c r="H141" s="3">
        <f>[1]Raw_Data!H139</f>
        <v>1</v>
      </c>
      <c r="I141" s="3" t="str">
        <f>TRIM([1]Raw_Data!I139)</f>
        <v>USA</v>
      </c>
      <c r="J141" s="3" t="str">
        <f>TRIM([1]Raw_Data!J139)</f>
        <v>Amazon</v>
      </c>
      <c r="K141" s="3">
        <f t="shared" si="8"/>
        <v>2020</v>
      </c>
      <c r="L141" s="6">
        <f t="shared" si="9"/>
        <v>43891</v>
      </c>
      <c r="M141" s="3" t="str">
        <f t="shared" si="10"/>
        <v>0% to 5%</v>
      </c>
      <c r="N141" s="3" t="str">
        <f t="shared" si="11"/>
        <v>OK</v>
      </c>
    </row>
    <row r="142" spans="1:14" x14ac:dyDescent="0.3">
      <c r="A142" s="2">
        <f>DATE(VALUE(RIGHT(TRIM([1]Raw_Data!A140),4)),VALUE(MID(TRIM([1]Raw_Data!A140),4,2)),VALUE(LEFT(TRIM([1]Raw_Data!A140),2)))</f>
        <v>43892</v>
      </c>
      <c r="B142" s="3" t="str">
        <f>TRIM([1]Raw_Data!B140)</f>
        <v>Ashwagandha</v>
      </c>
      <c r="C142" s="3" t="str">
        <f>TRIM([1]Raw_Data!C140)</f>
        <v>Herbal</v>
      </c>
      <c r="D142" s="3">
        <f>[1]Raw_Data!D140</f>
        <v>152</v>
      </c>
      <c r="E142" s="4">
        <f>[1]Raw_Data!E140</f>
        <v>39.020000000000003</v>
      </c>
      <c r="F142" s="5">
        <f>[1]Raw_Data!F140</f>
        <v>5931.04</v>
      </c>
      <c r="G142" s="4">
        <f>[1]Raw_Data!G140</f>
        <v>0.03</v>
      </c>
      <c r="H142" s="3">
        <f>[1]Raw_Data!H140</f>
        <v>1</v>
      </c>
      <c r="I142" s="3" t="str">
        <f>TRIM([1]Raw_Data!I140)</f>
        <v>USA</v>
      </c>
      <c r="J142" s="3" t="str">
        <f>TRIM([1]Raw_Data!J140)</f>
        <v>Amazon</v>
      </c>
      <c r="K142" s="3">
        <f t="shared" si="8"/>
        <v>2020</v>
      </c>
      <c r="L142" s="6">
        <f t="shared" si="9"/>
        <v>43891</v>
      </c>
      <c r="M142" s="3" t="str">
        <f t="shared" si="10"/>
        <v>0% to 5%</v>
      </c>
      <c r="N142" s="3" t="str">
        <f t="shared" si="11"/>
        <v>OK</v>
      </c>
    </row>
    <row r="143" spans="1:14" x14ac:dyDescent="0.3">
      <c r="A143" s="2">
        <f>DATE(VALUE(RIGHT(TRIM([1]Raw_Data!A141),4)),VALUE(MID(TRIM([1]Raw_Data!A141),4,2)),VALUE(LEFT(TRIM([1]Raw_Data!A141),2)))</f>
        <v>43892</v>
      </c>
      <c r="B143" s="3" t="str">
        <f>TRIM([1]Raw_Data!B141)</f>
        <v>Melatonin</v>
      </c>
      <c r="C143" s="3" t="str">
        <f>TRIM([1]Raw_Data!C141)</f>
        <v>Sleep Aid</v>
      </c>
      <c r="D143" s="3">
        <f>[1]Raw_Data!D141</f>
        <v>154</v>
      </c>
      <c r="E143" s="4">
        <f>[1]Raw_Data!E141</f>
        <v>30.09</v>
      </c>
      <c r="F143" s="5">
        <f>[1]Raw_Data!F141</f>
        <v>4633.8599999999997</v>
      </c>
      <c r="G143" s="4">
        <f>[1]Raw_Data!G141</f>
        <v>0.25</v>
      </c>
      <c r="H143" s="3">
        <f>[1]Raw_Data!H141</f>
        <v>3</v>
      </c>
      <c r="I143" s="3" t="str">
        <f>TRIM([1]Raw_Data!I141)</f>
        <v>Canada</v>
      </c>
      <c r="J143" s="3" t="str">
        <f>TRIM([1]Raw_Data!J141)</f>
        <v>Amazon</v>
      </c>
      <c r="K143" s="3">
        <f t="shared" si="8"/>
        <v>2020</v>
      </c>
      <c r="L143" s="6">
        <f t="shared" si="9"/>
        <v>43891</v>
      </c>
      <c r="M143" s="3" t="str">
        <f t="shared" si="10"/>
        <v>21% to 25%</v>
      </c>
      <c r="N143" s="3" t="str">
        <f t="shared" si="11"/>
        <v>OK</v>
      </c>
    </row>
    <row r="144" spans="1:14" x14ac:dyDescent="0.3">
      <c r="A144" s="2">
        <f>DATE(VALUE(RIGHT(TRIM([1]Raw_Data!A142),4)),VALUE(MID(TRIM([1]Raw_Data!A142),4,2)),VALUE(LEFT(TRIM([1]Raw_Data!A142),2)))</f>
        <v>43892</v>
      </c>
      <c r="B144" s="3" t="str">
        <f>TRIM([1]Raw_Data!B142)</f>
        <v>Biotin</v>
      </c>
      <c r="C144" s="3" t="str">
        <f>TRIM([1]Raw_Data!C142)</f>
        <v>Vitamin</v>
      </c>
      <c r="D144" s="3">
        <f>[1]Raw_Data!D142</f>
        <v>154</v>
      </c>
      <c r="E144" s="4">
        <f>[1]Raw_Data!E142</f>
        <v>41.03</v>
      </c>
      <c r="F144" s="5">
        <f>[1]Raw_Data!F142</f>
        <v>6318.62</v>
      </c>
      <c r="G144" s="4">
        <f>[1]Raw_Data!G142</f>
        <v>0.05</v>
      </c>
      <c r="H144" s="3">
        <f>[1]Raw_Data!H142</f>
        <v>1</v>
      </c>
      <c r="I144" s="3" t="str">
        <f>TRIM([1]Raw_Data!I142)</f>
        <v>UK</v>
      </c>
      <c r="J144" s="3" t="str">
        <f>TRIM([1]Raw_Data!J142)</f>
        <v>Amazon</v>
      </c>
      <c r="K144" s="3">
        <f t="shared" si="8"/>
        <v>2020</v>
      </c>
      <c r="L144" s="6">
        <f t="shared" si="9"/>
        <v>43891</v>
      </c>
      <c r="M144" s="3" t="str">
        <f t="shared" si="10"/>
        <v>0% to 5%</v>
      </c>
      <c r="N144" s="3" t="str">
        <f t="shared" si="11"/>
        <v>OK</v>
      </c>
    </row>
    <row r="145" spans="1:14" x14ac:dyDescent="0.3">
      <c r="A145" s="2">
        <f>DATE(VALUE(RIGHT(TRIM([1]Raw_Data!A143),4)),VALUE(MID(TRIM([1]Raw_Data!A143),4,2)),VALUE(LEFT(TRIM([1]Raw_Data!A143),2)))</f>
        <v>43892</v>
      </c>
      <c r="B145" s="3" t="str">
        <f>TRIM([1]Raw_Data!B143)</f>
        <v>Green Tea Extract</v>
      </c>
      <c r="C145" s="3" t="str">
        <f>TRIM([1]Raw_Data!C143)</f>
        <v>Fat Burner</v>
      </c>
      <c r="D145" s="3">
        <f>[1]Raw_Data!D143</f>
        <v>151</v>
      </c>
      <c r="E145" s="4">
        <f>[1]Raw_Data!E143</f>
        <v>58.2</v>
      </c>
      <c r="F145" s="5">
        <f>[1]Raw_Data!F143</f>
        <v>8788.2000000000007</v>
      </c>
      <c r="G145" s="4">
        <f>[1]Raw_Data!G143</f>
        <v>0.23</v>
      </c>
      <c r="H145" s="3">
        <f>[1]Raw_Data!H143</f>
        <v>2</v>
      </c>
      <c r="I145" s="3" t="str">
        <f>TRIM([1]Raw_Data!I143)</f>
        <v>USA</v>
      </c>
      <c r="J145" s="3" t="str">
        <f>TRIM([1]Raw_Data!J143)</f>
        <v>Walmart</v>
      </c>
      <c r="K145" s="3">
        <f t="shared" si="8"/>
        <v>2020</v>
      </c>
      <c r="L145" s="6">
        <f t="shared" si="9"/>
        <v>43891</v>
      </c>
      <c r="M145" s="3" t="str">
        <f t="shared" si="10"/>
        <v>21% to 25%</v>
      </c>
      <c r="N145" s="3" t="str">
        <f t="shared" si="11"/>
        <v>OK</v>
      </c>
    </row>
    <row r="146" spans="1:14" x14ac:dyDescent="0.3">
      <c r="A146" s="2">
        <f>DATE(VALUE(RIGHT(TRIM([1]Raw_Data!A144),4)),VALUE(MID(TRIM([1]Raw_Data!A144),4,2)),VALUE(LEFT(TRIM([1]Raw_Data!A144),2)))</f>
        <v>43892</v>
      </c>
      <c r="B146" s="3" t="str">
        <f>TRIM([1]Raw_Data!B144)</f>
        <v>Iron Supplement</v>
      </c>
      <c r="C146" s="3" t="str">
        <f>TRIM([1]Raw_Data!C144)</f>
        <v>Mineral</v>
      </c>
      <c r="D146" s="3">
        <f>[1]Raw_Data!D144</f>
        <v>151</v>
      </c>
      <c r="E146" s="4">
        <f>[1]Raw_Data!E144</f>
        <v>16.53</v>
      </c>
      <c r="F146" s="5">
        <f>[1]Raw_Data!F144</f>
        <v>2496.0300000000002</v>
      </c>
      <c r="G146" s="4">
        <f>[1]Raw_Data!G144</f>
        <v>0.2</v>
      </c>
      <c r="H146" s="3">
        <f>[1]Raw_Data!H144</f>
        <v>0</v>
      </c>
      <c r="I146" s="3" t="str">
        <f>TRIM([1]Raw_Data!I144)</f>
        <v>UK</v>
      </c>
      <c r="J146" s="3" t="str">
        <f>TRIM([1]Raw_Data!J144)</f>
        <v>Amazon</v>
      </c>
      <c r="K146" s="3">
        <f t="shared" si="8"/>
        <v>2020</v>
      </c>
      <c r="L146" s="6">
        <f t="shared" si="9"/>
        <v>43891</v>
      </c>
      <c r="M146" s="3" t="str">
        <f t="shared" si="10"/>
        <v>16% to 20%</v>
      </c>
      <c r="N146" s="3" t="str">
        <f t="shared" si="11"/>
        <v>OK</v>
      </c>
    </row>
    <row r="147" spans="1:14" x14ac:dyDescent="0.3">
      <c r="A147" s="2">
        <f>DATE(VALUE(RIGHT(TRIM([1]Raw_Data!A145),4)),VALUE(MID(TRIM([1]Raw_Data!A145),4,2)),VALUE(LEFT(TRIM([1]Raw_Data!A145),2)))</f>
        <v>43892</v>
      </c>
      <c r="B147" s="3" t="str">
        <f>TRIM([1]Raw_Data!B145)</f>
        <v>Electrolyte Powder</v>
      </c>
      <c r="C147" s="3" t="str">
        <f>TRIM([1]Raw_Data!C145)</f>
        <v>Hydration</v>
      </c>
      <c r="D147" s="3">
        <f>[1]Raw_Data!D145</f>
        <v>161</v>
      </c>
      <c r="E147" s="4">
        <f>[1]Raw_Data!E145</f>
        <v>53.85</v>
      </c>
      <c r="F147" s="5">
        <f>[1]Raw_Data!F145</f>
        <v>8669.85</v>
      </c>
      <c r="G147" s="4">
        <f>[1]Raw_Data!G145</f>
        <v>0.24</v>
      </c>
      <c r="H147" s="3">
        <f>[1]Raw_Data!H145</f>
        <v>0</v>
      </c>
      <c r="I147" s="3" t="str">
        <f>TRIM([1]Raw_Data!I145)</f>
        <v>USA</v>
      </c>
      <c r="J147" s="3" t="str">
        <f>TRIM([1]Raw_Data!J145)</f>
        <v>Amazon</v>
      </c>
      <c r="K147" s="3">
        <f t="shared" si="8"/>
        <v>2020</v>
      </c>
      <c r="L147" s="6">
        <f t="shared" si="9"/>
        <v>43891</v>
      </c>
      <c r="M147" s="3" t="str">
        <f t="shared" si="10"/>
        <v>21% to 25%</v>
      </c>
      <c r="N147" s="3" t="str">
        <f t="shared" si="11"/>
        <v>OK</v>
      </c>
    </row>
    <row r="148" spans="1:14" x14ac:dyDescent="0.3">
      <c r="A148" s="2">
        <f>DATE(VALUE(RIGHT(TRIM([1]Raw_Data!A146),4)),VALUE(MID(TRIM([1]Raw_Data!A146),4,2)),VALUE(LEFT(TRIM([1]Raw_Data!A146),2)))</f>
        <v>43899</v>
      </c>
      <c r="B148" s="3" t="str">
        <f>TRIM([1]Raw_Data!B146)</f>
        <v>Whey Protein</v>
      </c>
      <c r="C148" s="3" t="str">
        <f>TRIM([1]Raw_Data!C146)</f>
        <v>Protein</v>
      </c>
      <c r="D148" s="3">
        <f>[1]Raw_Data!D146</f>
        <v>149</v>
      </c>
      <c r="E148" s="4">
        <f>[1]Raw_Data!E146</f>
        <v>34.17</v>
      </c>
      <c r="F148" s="5">
        <f>[1]Raw_Data!F146</f>
        <v>5091.33</v>
      </c>
      <c r="G148" s="4">
        <f>[1]Raw_Data!G146</f>
        <v>0.22</v>
      </c>
      <c r="H148" s="3">
        <f>[1]Raw_Data!H146</f>
        <v>2</v>
      </c>
      <c r="I148" s="3" t="str">
        <f>TRIM([1]Raw_Data!I146)</f>
        <v>USA</v>
      </c>
      <c r="J148" s="3" t="str">
        <f>TRIM([1]Raw_Data!J146)</f>
        <v>Walmart</v>
      </c>
      <c r="K148" s="3">
        <f t="shared" si="8"/>
        <v>2020</v>
      </c>
      <c r="L148" s="6">
        <f t="shared" si="9"/>
        <v>43891</v>
      </c>
      <c r="M148" s="3" t="str">
        <f t="shared" si="10"/>
        <v>21% to 25%</v>
      </c>
      <c r="N148" s="3" t="str">
        <f t="shared" si="11"/>
        <v>OK</v>
      </c>
    </row>
    <row r="149" spans="1:14" x14ac:dyDescent="0.3">
      <c r="A149" s="2">
        <f>DATE(VALUE(RIGHT(TRIM([1]Raw_Data!A147),4)),VALUE(MID(TRIM([1]Raw_Data!A147),4,2)),VALUE(LEFT(TRIM([1]Raw_Data!A147),2)))</f>
        <v>43899</v>
      </c>
      <c r="B149" s="3" t="str">
        <f>TRIM([1]Raw_Data!B147)</f>
        <v>Vitamin C</v>
      </c>
      <c r="C149" s="3" t="str">
        <f>TRIM([1]Raw_Data!C147)</f>
        <v>Vitamin</v>
      </c>
      <c r="D149" s="3">
        <f>[1]Raw_Data!D147</f>
        <v>145</v>
      </c>
      <c r="E149" s="4">
        <f>[1]Raw_Data!E147</f>
        <v>20.16</v>
      </c>
      <c r="F149" s="5">
        <f>[1]Raw_Data!F147</f>
        <v>2923.2</v>
      </c>
      <c r="G149" s="4">
        <f>[1]Raw_Data!G147</f>
        <v>0.19</v>
      </c>
      <c r="H149" s="3">
        <f>[1]Raw_Data!H147</f>
        <v>1</v>
      </c>
      <c r="I149" s="3" t="str">
        <f>TRIM([1]Raw_Data!I147)</f>
        <v>Canada</v>
      </c>
      <c r="J149" s="3" t="str">
        <f>TRIM([1]Raw_Data!J147)</f>
        <v>iHerb</v>
      </c>
      <c r="K149" s="3">
        <f t="shared" si="8"/>
        <v>2020</v>
      </c>
      <c r="L149" s="6">
        <f t="shared" si="9"/>
        <v>43891</v>
      </c>
      <c r="M149" s="3" t="str">
        <f t="shared" si="10"/>
        <v>16% to 20%</v>
      </c>
      <c r="N149" s="3" t="str">
        <f t="shared" si="11"/>
        <v>OK</v>
      </c>
    </row>
    <row r="150" spans="1:14" x14ac:dyDescent="0.3">
      <c r="A150" s="2">
        <f>DATE(VALUE(RIGHT(TRIM([1]Raw_Data!A148),4)),VALUE(MID(TRIM([1]Raw_Data!A148),4,2)),VALUE(LEFT(TRIM([1]Raw_Data!A148),2)))</f>
        <v>43899</v>
      </c>
      <c r="B150" s="3" t="str">
        <f>TRIM([1]Raw_Data!B148)</f>
        <v>Fish Oil</v>
      </c>
      <c r="C150" s="3" t="str">
        <f>TRIM([1]Raw_Data!C148)</f>
        <v>Omega</v>
      </c>
      <c r="D150" s="3">
        <f>[1]Raw_Data!D148</f>
        <v>150</v>
      </c>
      <c r="E150" s="4">
        <f>[1]Raw_Data!E148</f>
        <v>38.86</v>
      </c>
      <c r="F150" s="5">
        <f>[1]Raw_Data!F148</f>
        <v>5829</v>
      </c>
      <c r="G150" s="4">
        <f>[1]Raw_Data!G148</f>
        <v>0.22</v>
      </c>
      <c r="H150" s="3">
        <f>[1]Raw_Data!H148</f>
        <v>4</v>
      </c>
      <c r="I150" s="3" t="str">
        <f>TRIM([1]Raw_Data!I148)</f>
        <v>UK</v>
      </c>
      <c r="J150" s="3" t="str">
        <f>TRIM([1]Raw_Data!J148)</f>
        <v>Walmart</v>
      </c>
      <c r="K150" s="3">
        <f t="shared" si="8"/>
        <v>2020</v>
      </c>
      <c r="L150" s="6">
        <f t="shared" si="9"/>
        <v>43891</v>
      </c>
      <c r="M150" s="3" t="str">
        <f t="shared" si="10"/>
        <v>21% to 25%</v>
      </c>
      <c r="N150" s="3" t="str">
        <f t="shared" si="11"/>
        <v>OK</v>
      </c>
    </row>
    <row r="151" spans="1:14" x14ac:dyDescent="0.3">
      <c r="A151" s="2">
        <f>DATE(VALUE(RIGHT(TRIM([1]Raw_Data!A149),4)),VALUE(MID(TRIM([1]Raw_Data!A149),4,2)),VALUE(LEFT(TRIM([1]Raw_Data!A149),2)))</f>
        <v>43899</v>
      </c>
      <c r="B151" s="3" t="str">
        <f>TRIM([1]Raw_Data!B149)</f>
        <v>Multivitamin</v>
      </c>
      <c r="C151" s="3" t="str">
        <f>TRIM([1]Raw_Data!C149)</f>
        <v>Vitamin</v>
      </c>
      <c r="D151" s="3">
        <f>[1]Raw_Data!D149</f>
        <v>147</v>
      </c>
      <c r="E151" s="4">
        <f>[1]Raw_Data!E149</f>
        <v>48.23</v>
      </c>
      <c r="F151" s="5">
        <f>[1]Raw_Data!F149</f>
        <v>7089.81</v>
      </c>
      <c r="G151" s="4">
        <f>[1]Raw_Data!G149</f>
        <v>0.14000000000000001</v>
      </c>
      <c r="H151" s="3">
        <f>[1]Raw_Data!H149</f>
        <v>4</v>
      </c>
      <c r="I151" s="3" t="str">
        <f>TRIM([1]Raw_Data!I149)</f>
        <v>UK</v>
      </c>
      <c r="J151" s="3" t="str">
        <f>TRIM([1]Raw_Data!J149)</f>
        <v>Walmart</v>
      </c>
      <c r="K151" s="3">
        <f t="shared" si="8"/>
        <v>2020</v>
      </c>
      <c r="L151" s="6">
        <f t="shared" si="9"/>
        <v>43891</v>
      </c>
      <c r="M151" s="3" t="str">
        <f t="shared" si="10"/>
        <v>11% to 15%</v>
      </c>
      <c r="N151" s="3" t="str">
        <f t="shared" si="11"/>
        <v>OK</v>
      </c>
    </row>
    <row r="152" spans="1:14" x14ac:dyDescent="0.3">
      <c r="A152" s="2">
        <f>DATE(VALUE(RIGHT(TRIM([1]Raw_Data!A150),4)),VALUE(MID(TRIM([1]Raw_Data!A150),4,2)),VALUE(LEFT(TRIM([1]Raw_Data!A150),2)))</f>
        <v>43899</v>
      </c>
      <c r="B152" s="3" t="str">
        <f>TRIM([1]Raw_Data!B150)</f>
        <v>Pre-Workout</v>
      </c>
      <c r="C152" s="3" t="str">
        <f>TRIM([1]Raw_Data!C150)</f>
        <v>Performance</v>
      </c>
      <c r="D152" s="3">
        <f>[1]Raw_Data!D150</f>
        <v>138</v>
      </c>
      <c r="E152" s="4">
        <f>[1]Raw_Data!E150</f>
        <v>52.7</v>
      </c>
      <c r="F152" s="5">
        <f>[1]Raw_Data!F150</f>
        <v>7272.6</v>
      </c>
      <c r="G152" s="4">
        <f>[1]Raw_Data!G150</f>
        <v>0.11</v>
      </c>
      <c r="H152" s="3">
        <f>[1]Raw_Data!H150</f>
        <v>3</v>
      </c>
      <c r="I152" s="3" t="str">
        <f>TRIM([1]Raw_Data!I150)</f>
        <v>Canada</v>
      </c>
      <c r="J152" s="3" t="str">
        <f>TRIM([1]Raw_Data!J150)</f>
        <v>Amazon</v>
      </c>
      <c r="K152" s="3">
        <f t="shared" si="8"/>
        <v>2020</v>
      </c>
      <c r="L152" s="6">
        <f t="shared" si="9"/>
        <v>43891</v>
      </c>
      <c r="M152" s="3" t="str">
        <f t="shared" si="10"/>
        <v>11% to 15%</v>
      </c>
      <c r="N152" s="3" t="str">
        <f t="shared" si="11"/>
        <v>OK</v>
      </c>
    </row>
    <row r="153" spans="1:14" x14ac:dyDescent="0.3">
      <c r="A153" s="2">
        <f>DATE(VALUE(RIGHT(TRIM([1]Raw_Data!A151),4)),VALUE(MID(TRIM([1]Raw_Data!A151),4,2)),VALUE(LEFT(TRIM([1]Raw_Data!A151),2)))</f>
        <v>43899</v>
      </c>
      <c r="B153" s="3" t="str">
        <f>TRIM([1]Raw_Data!B151)</f>
        <v>BCAA</v>
      </c>
      <c r="C153" s="3" t="str">
        <f>TRIM([1]Raw_Data!C151)</f>
        <v>Amino Acid</v>
      </c>
      <c r="D153" s="3">
        <f>[1]Raw_Data!D151</f>
        <v>168</v>
      </c>
      <c r="E153" s="4">
        <f>[1]Raw_Data!E151</f>
        <v>54.17</v>
      </c>
      <c r="F153" s="5">
        <f>[1]Raw_Data!F151</f>
        <v>9100.56</v>
      </c>
      <c r="G153" s="4">
        <f>[1]Raw_Data!G151</f>
        <v>0.11</v>
      </c>
      <c r="H153" s="3">
        <f>[1]Raw_Data!H151</f>
        <v>2</v>
      </c>
      <c r="I153" s="3" t="str">
        <f>TRIM([1]Raw_Data!I151)</f>
        <v>Canada</v>
      </c>
      <c r="J153" s="3" t="str">
        <f>TRIM([1]Raw_Data!J151)</f>
        <v>Amazon</v>
      </c>
      <c r="K153" s="3">
        <f t="shared" si="8"/>
        <v>2020</v>
      </c>
      <c r="L153" s="6">
        <f t="shared" si="9"/>
        <v>43891</v>
      </c>
      <c r="M153" s="3" t="str">
        <f t="shared" si="10"/>
        <v>11% to 15%</v>
      </c>
      <c r="N153" s="3" t="str">
        <f t="shared" si="11"/>
        <v>OK</v>
      </c>
    </row>
    <row r="154" spans="1:14" x14ac:dyDescent="0.3">
      <c r="A154" s="2">
        <f>DATE(VALUE(RIGHT(TRIM([1]Raw_Data!A152),4)),VALUE(MID(TRIM([1]Raw_Data!A152),4,2)),VALUE(LEFT(TRIM([1]Raw_Data!A152),2)))</f>
        <v>43899</v>
      </c>
      <c r="B154" s="3" t="str">
        <f>TRIM([1]Raw_Data!B152)</f>
        <v>Creatine</v>
      </c>
      <c r="C154" s="3" t="str">
        <f>TRIM([1]Raw_Data!C152)</f>
        <v>Performance</v>
      </c>
      <c r="D154" s="3">
        <f>[1]Raw_Data!D152</f>
        <v>154</v>
      </c>
      <c r="E154" s="4">
        <f>[1]Raw_Data!E152</f>
        <v>10.96</v>
      </c>
      <c r="F154" s="5">
        <f>[1]Raw_Data!F152</f>
        <v>1687.84</v>
      </c>
      <c r="G154" s="4">
        <f>[1]Raw_Data!G152</f>
        <v>0.12</v>
      </c>
      <c r="H154" s="3">
        <f>[1]Raw_Data!H152</f>
        <v>2</v>
      </c>
      <c r="I154" s="3" t="str">
        <f>TRIM([1]Raw_Data!I152)</f>
        <v>USA</v>
      </c>
      <c r="J154" s="3" t="str">
        <f>TRIM([1]Raw_Data!J152)</f>
        <v>Amazon</v>
      </c>
      <c r="K154" s="3">
        <f t="shared" si="8"/>
        <v>2020</v>
      </c>
      <c r="L154" s="6">
        <f t="shared" si="9"/>
        <v>43891</v>
      </c>
      <c r="M154" s="3" t="str">
        <f t="shared" si="10"/>
        <v>11% to 15%</v>
      </c>
      <c r="N154" s="3" t="str">
        <f t="shared" si="11"/>
        <v>OK</v>
      </c>
    </row>
    <row r="155" spans="1:14" x14ac:dyDescent="0.3">
      <c r="A155" s="2">
        <f>DATE(VALUE(RIGHT(TRIM([1]Raw_Data!A153),4)),VALUE(MID(TRIM([1]Raw_Data!A153),4,2)),VALUE(LEFT(TRIM([1]Raw_Data!A153),2)))</f>
        <v>43899</v>
      </c>
      <c r="B155" s="3" t="str">
        <f>TRIM([1]Raw_Data!B153)</f>
        <v>Zinc</v>
      </c>
      <c r="C155" s="3" t="str">
        <f>TRIM([1]Raw_Data!C153)</f>
        <v>Mineral</v>
      </c>
      <c r="D155" s="3">
        <f>[1]Raw_Data!D153</f>
        <v>158</v>
      </c>
      <c r="E155" s="4">
        <f>[1]Raw_Data!E153</f>
        <v>16.72</v>
      </c>
      <c r="F155" s="5">
        <f>[1]Raw_Data!F153</f>
        <v>2641.76</v>
      </c>
      <c r="G155" s="4">
        <f>[1]Raw_Data!G153</f>
        <v>7.0000000000000007E-2</v>
      </c>
      <c r="H155" s="3">
        <f>[1]Raw_Data!H153</f>
        <v>1</v>
      </c>
      <c r="I155" s="3" t="str">
        <f>TRIM([1]Raw_Data!I153)</f>
        <v>USA</v>
      </c>
      <c r="J155" s="3" t="str">
        <f>TRIM([1]Raw_Data!J153)</f>
        <v>iHerb</v>
      </c>
      <c r="K155" s="3">
        <f t="shared" si="8"/>
        <v>2020</v>
      </c>
      <c r="L155" s="6">
        <f t="shared" si="9"/>
        <v>43891</v>
      </c>
      <c r="M155" s="3" t="str">
        <f t="shared" si="10"/>
        <v>6% to 10%</v>
      </c>
      <c r="N155" s="3" t="str">
        <f t="shared" si="11"/>
        <v>OK</v>
      </c>
    </row>
    <row r="156" spans="1:14" x14ac:dyDescent="0.3">
      <c r="A156" s="2">
        <f>DATE(VALUE(RIGHT(TRIM([1]Raw_Data!A154),4)),VALUE(MID(TRIM([1]Raw_Data!A154),4,2)),VALUE(LEFT(TRIM([1]Raw_Data!A154),2)))</f>
        <v>43899</v>
      </c>
      <c r="B156" s="3" t="str">
        <f>TRIM([1]Raw_Data!B154)</f>
        <v>Collagen Peptides</v>
      </c>
      <c r="C156" s="3" t="str">
        <f>TRIM([1]Raw_Data!C154)</f>
        <v>Protein</v>
      </c>
      <c r="D156" s="3">
        <f>[1]Raw_Data!D154</f>
        <v>162</v>
      </c>
      <c r="E156" s="4">
        <f>[1]Raw_Data!E154</f>
        <v>20.54</v>
      </c>
      <c r="F156" s="5">
        <f>[1]Raw_Data!F154</f>
        <v>3327.48</v>
      </c>
      <c r="G156" s="4">
        <f>[1]Raw_Data!G154</f>
        <v>0.24</v>
      </c>
      <c r="H156" s="3">
        <f>[1]Raw_Data!H154</f>
        <v>0</v>
      </c>
      <c r="I156" s="3" t="str">
        <f>TRIM([1]Raw_Data!I154)</f>
        <v>UK</v>
      </c>
      <c r="J156" s="3" t="str">
        <f>TRIM([1]Raw_Data!J154)</f>
        <v>Amazon</v>
      </c>
      <c r="K156" s="3">
        <f t="shared" si="8"/>
        <v>2020</v>
      </c>
      <c r="L156" s="6">
        <f t="shared" si="9"/>
        <v>43891</v>
      </c>
      <c r="M156" s="3" t="str">
        <f t="shared" si="10"/>
        <v>21% to 25%</v>
      </c>
      <c r="N156" s="3" t="str">
        <f t="shared" si="11"/>
        <v>OK</v>
      </c>
    </row>
    <row r="157" spans="1:14" x14ac:dyDescent="0.3">
      <c r="A157" s="2">
        <f>DATE(VALUE(RIGHT(TRIM([1]Raw_Data!A155),4)),VALUE(MID(TRIM([1]Raw_Data!A155),4,2)),VALUE(LEFT(TRIM([1]Raw_Data!A155),2)))</f>
        <v>43899</v>
      </c>
      <c r="B157" s="3" t="str">
        <f>TRIM([1]Raw_Data!B155)</f>
        <v>Magnesium</v>
      </c>
      <c r="C157" s="3" t="str">
        <f>TRIM([1]Raw_Data!C155)</f>
        <v>Mineral</v>
      </c>
      <c r="D157" s="3">
        <f>[1]Raw_Data!D155</f>
        <v>163</v>
      </c>
      <c r="E157" s="4">
        <f>[1]Raw_Data!E155</f>
        <v>10.72</v>
      </c>
      <c r="F157" s="5">
        <f>[1]Raw_Data!F155</f>
        <v>1747.36</v>
      </c>
      <c r="G157" s="4">
        <f>[1]Raw_Data!G155</f>
        <v>0.18</v>
      </c>
      <c r="H157" s="3">
        <f>[1]Raw_Data!H155</f>
        <v>3</v>
      </c>
      <c r="I157" s="3" t="str">
        <f>TRIM([1]Raw_Data!I155)</f>
        <v>UK</v>
      </c>
      <c r="J157" s="3" t="str">
        <f>TRIM([1]Raw_Data!J155)</f>
        <v>iHerb</v>
      </c>
      <c r="K157" s="3">
        <f t="shared" si="8"/>
        <v>2020</v>
      </c>
      <c r="L157" s="6">
        <f t="shared" si="9"/>
        <v>43891</v>
      </c>
      <c r="M157" s="3" t="str">
        <f t="shared" si="10"/>
        <v>16% to 20%</v>
      </c>
      <c r="N157" s="3" t="str">
        <f t="shared" si="11"/>
        <v>OK</v>
      </c>
    </row>
    <row r="158" spans="1:14" x14ac:dyDescent="0.3">
      <c r="A158" s="2">
        <f>DATE(VALUE(RIGHT(TRIM([1]Raw_Data!A156),4)),VALUE(MID(TRIM([1]Raw_Data!A156),4,2)),VALUE(LEFT(TRIM([1]Raw_Data!A156),2)))</f>
        <v>43899</v>
      </c>
      <c r="B158" s="3" t="str">
        <f>TRIM([1]Raw_Data!B156)</f>
        <v>Ashwagandha</v>
      </c>
      <c r="C158" s="3" t="str">
        <f>TRIM([1]Raw_Data!C156)</f>
        <v>Herbal</v>
      </c>
      <c r="D158" s="3">
        <f>[1]Raw_Data!D156</f>
        <v>159</v>
      </c>
      <c r="E158" s="4">
        <f>[1]Raw_Data!E156</f>
        <v>47.67</v>
      </c>
      <c r="F158" s="5">
        <f>[1]Raw_Data!F156</f>
        <v>7579.53</v>
      </c>
      <c r="G158" s="4">
        <f>[1]Raw_Data!G156</f>
        <v>0.19</v>
      </c>
      <c r="H158" s="3">
        <f>[1]Raw_Data!H156</f>
        <v>2</v>
      </c>
      <c r="I158" s="3" t="str">
        <f>TRIM([1]Raw_Data!I156)</f>
        <v>Canada</v>
      </c>
      <c r="J158" s="3" t="str">
        <f>TRIM([1]Raw_Data!J156)</f>
        <v>iHerb</v>
      </c>
      <c r="K158" s="3">
        <f t="shared" si="8"/>
        <v>2020</v>
      </c>
      <c r="L158" s="6">
        <f t="shared" si="9"/>
        <v>43891</v>
      </c>
      <c r="M158" s="3" t="str">
        <f t="shared" si="10"/>
        <v>16% to 20%</v>
      </c>
      <c r="N158" s="3" t="str">
        <f t="shared" si="11"/>
        <v>OK</v>
      </c>
    </row>
    <row r="159" spans="1:14" x14ac:dyDescent="0.3">
      <c r="A159" s="2">
        <f>DATE(VALUE(RIGHT(TRIM([1]Raw_Data!A157),4)),VALUE(MID(TRIM([1]Raw_Data!A157),4,2)),VALUE(LEFT(TRIM([1]Raw_Data!A157),2)))</f>
        <v>43899</v>
      </c>
      <c r="B159" s="3" t="str">
        <f>TRIM([1]Raw_Data!B157)</f>
        <v>Melatonin</v>
      </c>
      <c r="C159" s="3" t="str">
        <f>TRIM([1]Raw_Data!C157)</f>
        <v>Sleep Aid</v>
      </c>
      <c r="D159" s="3">
        <f>[1]Raw_Data!D157</f>
        <v>160</v>
      </c>
      <c r="E159" s="4">
        <f>[1]Raw_Data!E157</f>
        <v>40.68</v>
      </c>
      <c r="F159" s="5">
        <f>[1]Raw_Data!F157</f>
        <v>6508.8</v>
      </c>
      <c r="G159" s="4">
        <f>[1]Raw_Data!G157</f>
        <v>0.02</v>
      </c>
      <c r="H159" s="3">
        <f>[1]Raw_Data!H157</f>
        <v>1</v>
      </c>
      <c r="I159" s="3" t="str">
        <f>TRIM([1]Raw_Data!I157)</f>
        <v>UK</v>
      </c>
      <c r="J159" s="3" t="str">
        <f>TRIM([1]Raw_Data!J157)</f>
        <v>Walmart</v>
      </c>
      <c r="K159" s="3">
        <f t="shared" si="8"/>
        <v>2020</v>
      </c>
      <c r="L159" s="6">
        <f t="shared" si="9"/>
        <v>43891</v>
      </c>
      <c r="M159" s="3" t="str">
        <f t="shared" si="10"/>
        <v>0% to 5%</v>
      </c>
      <c r="N159" s="3" t="str">
        <f t="shared" si="11"/>
        <v>OK</v>
      </c>
    </row>
    <row r="160" spans="1:14" x14ac:dyDescent="0.3">
      <c r="A160" s="2">
        <f>DATE(VALUE(RIGHT(TRIM([1]Raw_Data!A158),4)),VALUE(MID(TRIM([1]Raw_Data!A158),4,2)),VALUE(LEFT(TRIM([1]Raw_Data!A158),2)))</f>
        <v>43899</v>
      </c>
      <c r="B160" s="3" t="str">
        <f>TRIM([1]Raw_Data!B158)</f>
        <v>Biotin</v>
      </c>
      <c r="C160" s="3" t="str">
        <f>TRIM([1]Raw_Data!C158)</f>
        <v>Vitamin</v>
      </c>
      <c r="D160" s="3">
        <f>[1]Raw_Data!D158</f>
        <v>128</v>
      </c>
      <c r="E160" s="4">
        <f>[1]Raw_Data!E158</f>
        <v>30.36</v>
      </c>
      <c r="F160" s="5">
        <f>[1]Raw_Data!F158</f>
        <v>3886.08</v>
      </c>
      <c r="G160" s="4">
        <f>[1]Raw_Data!G158</f>
        <v>0.02</v>
      </c>
      <c r="H160" s="3">
        <f>[1]Raw_Data!H158</f>
        <v>1</v>
      </c>
      <c r="I160" s="3" t="str">
        <f>TRIM([1]Raw_Data!I158)</f>
        <v>USA</v>
      </c>
      <c r="J160" s="3" t="str">
        <f>TRIM([1]Raw_Data!J158)</f>
        <v>Walmart</v>
      </c>
      <c r="K160" s="3">
        <f t="shared" si="8"/>
        <v>2020</v>
      </c>
      <c r="L160" s="6">
        <f t="shared" si="9"/>
        <v>43891</v>
      </c>
      <c r="M160" s="3" t="str">
        <f t="shared" si="10"/>
        <v>0% to 5%</v>
      </c>
      <c r="N160" s="3" t="str">
        <f t="shared" si="11"/>
        <v>OK</v>
      </c>
    </row>
    <row r="161" spans="1:14" x14ac:dyDescent="0.3">
      <c r="A161" s="2">
        <f>DATE(VALUE(RIGHT(TRIM([1]Raw_Data!A159),4)),VALUE(MID(TRIM([1]Raw_Data!A159),4,2)),VALUE(LEFT(TRIM([1]Raw_Data!A159),2)))</f>
        <v>43899</v>
      </c>
      <c r="B161" s="3" t="str">
        <f>TRIM([1]Raw_Data!B159)</f>
        <v>Green Tea Extract</v>
      </c>
      <c r="C161" s="3" t="str">
        <f>TRIM([1]Raw_Data!C159)</f>
        <v>Fat Burner</v>
      </c>
      <c r="D161" s="3">
        <f>[1]Raw_Data!D159</f>
        <v>132</v>
      </c>
      <c r="E161" s="4">
        <f>[1]Raw_Data!E159</f>
        <v>57.38</v>
      </c>
      <c r="F161" s="5">
        <f>[1]Raw_Data!F159</f>
        <v>7574.16</v>
      </c>
      <c r="G161" s="4">
        <f>[1]Raw_Data!G159</f>
        <v>0.02</v>
      </c>
      <c r="H161" s="3">
        <f>[1]Raw_Data!H159</f>
        <v>3</v>
      </c>
      <c r="I161" s="3" t="str">
        <f>TRIM([1]Raw_Data!I159)</f>
        <v>USA</v>
      </c>
      <c r="J161" s="3" t="str">
        <f>TRIM([1]Raw_Data!J159)</f>
        <v>Amazon</v>
      </c>
      <c r="K161" s="3">
        <f t="shared" si="8"/>
        <v>2020</v>
      </c>
      <c r="L161" s="6">
        <f t="shared" si="9"/>
        <v>43891</v>
      </c>
      <c r="M161" s="3" t="str">
        <f t="shared" si="10"/>
        <v>0% to 5%</v>
      </c>
      <c r="N161" s="3" t="str">
        <f t="shared" si="11"/>
        <v>OK</v>
      </c>
    </row>
    <row r="162" spans="1:14" x14ac:dyDescent="0.3">
      <c r="A162" s="2">
        <f>DATE(VALUE(RIGHT(TRIM([1]Raw_Data!A160),4)),VALUE(MID(TRIM([1]Raw_Data!A160),4,2)),VALUE(LEFT(TRIM([1]Raw_Data!A160),2)))</f>
        <v>43899</v>
      </c>
      <c r="B162" s="3" t="str">
        <f>TRIM([1]Raw_Data!B160)</f>
        <v>Iron Supplement</v>
      </c>
      <c r="C162" s="3" t="str">
        <f>TRIM([1]Raw_Data!C160)</f>
        <v>Mineral</v>
      </c>
      <c r="D162" s="3">
        <f>[1]Raw_Data!D160</f>
        <v>151</v>
      </c>
      <c r="E162" s="4">
        <f>[1]Raw_Data!E160</f>
        <v>13.84</v>
      </c>
      <c r="F162" s="5">
        <f>[1]Raw_Data!F160</f>
        <v>2089.84</v>
      </c>
      <c r="G162" s="4">
        <f>[1]Raw_Data!G160</f>
        <v>0.13</v>
      </c>
      <c r="H162" s="3">
        <f>[1]Raw_Data!H160</f>
        <v>2</v>
      </c>
      <c r="I162" s="3" t="str">
        <f>TRIM([1]Raw_Data!I160)</f>
        <v>Canada</v>
      </c>
      <c r="J162" s="3" t="str">
        <f>TRIM([1]Raw_Data!J160)</f>
        <v>iHerb</v>
      </c>
      <c r="K162" s="3">
        <f t="shared" si="8"/>
        <v>2020</v>
      </c>
      <c r="L162" s="6">
        <f t="shared" si="9"/>
        <v>43891</v>
      </c>
      <c r="M162" s="3" t="str">
        <f t="shared" si="10"/>
        <v>11% to 15%</v>
      </c>
      <c r="N162" s="3" t="str">
        <f t="shared" si="11"/>
        <v>OK</v>
      </c>
    </row>
    <row r="163" spans="1:14" x14ac:dyDescent="0.3">
      <c r="A163" s="2">
        <f>DATE(VALUE(RIGHT(TRIM([1]Raw_Data!A161),4)),VALUE(MID(TRIM([1]Raw_Data!A161),4,2)),VALUE(LEFT(TRIM([1]Raw_Data!A161),2)))</f>
        <v>43899</v>
      </c>
      <c r="B163" s="3" t="str">
        <f>TRIM([1]Raw_Data!B161)</f>
        <v>Electrolyte Powder</v>
      </c>
      <c r="C163" s="3" t="str">
        <f>TRIM([1]Raw_Data!C161)</f>
        <v>Hydration</v>
      </c>
      <c r="D163" s="3">
        <f>[1]Raw_Data!D161</f>
        <v>158</v>
      </c>
      <c r="E163" s="4">
        <f>[1]Raw_Data!E161</f>
        <v>13.65</v>
      </c>
      <c r="F163" s="5">
        <f>[1]Raw_Data!F161</f>
        <v>2156.6999999999998</v>
      </c>
      <c r="G163" s="4">
        <f>[1]Raw_Data!G161</f>
        <v>0.1</v>
      </c>
      <c r="H163" s="3">
        <f>[1]Raw_Data!H161</f>
        <v>1</v>
      </c>
      <c r="I163" s="3" t="str">
        <f>TRIM([1]Raw_Data!I161)</f>
        <v>Canada</v>
      </c>
      <c r="J163" s="3" t="str">
        <f>TRIM([1]Raw_Data!J161)</f>
        <v>Amazon</v>
      </c>
      <c r="K163" s="3">
        <f t="shared" si="8"/>
        <v>2020</v>
      </c>
      <c r="L163" s="6">
        <f t="shared" si="9"/>
        <v>43891</v>
      </c>
      <c r="M163" s="3" t="str">
        <f t="shared" si="10"/>
        <v>6% to 10%</v>
      </c>
      <c r="N163" s="3" t="str">
        <f t="shared" si="11"/>
        <v>OK</v>
      </c>
    </row>
    <row r="164" spans="1:14" x14ac:dyDescent="0.3">
      <c r="A164" s="2">
        <f>DATE(VALUE(RIGHT(TRIM([1]Raw_Data!A162),4)),VALUE(MID(TRIM([1]Raw_Data!A162),4,2)),VALUE(LEFT(TRIM([1]Raw_Data!A162),2)))</f>
        <v>43906</v>
      </c>
      <c r="B164" s="3" t="str">
        <f>TRIM([1]Raw_Data!B162)</f>
        <v>Whey Protein</v>
      </c>
      <c r="C164" s="3" t="str">
        <f>TRIM([1]Raw_Data!C162)</f>
        <v>Protein</v>
      </c>
      <c r="D164" s="3">
        <f>[1]Raw_Data!D162</f>
        <v>140</v>
      </c>
      <c r="E164" s="4">
        <f>[1]Raw_Data!E162</f>
        <v>50.17</v>
      </c>
      <c r="F164" s="5">
        <f>[1]Raw_Data!F162</f>
        <v>7023.8</v>
      </c>
      <c r="G164" s="4">
        <f>[1]Raw_Data!G162</f>
        <v>0.23</v>
      </c>
      <c r="H164" s="3">
        <f>[1]Raw_Data!H162</f>
        <v>1</v>
      </c>
      <c r="I164" s="3" t="str">
        <f>TRIM([1]Raw_Data!I162)</f>
        <v>Canada</v>
      </c>
      <c r="J164" s="3" t="str">
        <f>TRIM([1]Raw_Data!J162)</f>
        <v>iHerb</v>
      </c>
      <c r="K164" s="3">
        <f t="shared" si="8"/>
        <v>2020</v>
      </c>
      <c r="L164" s="6">
        <f t="shared" si="9"/>
        <v>43891</v>
      </c>
      <c r="M164" s="3" t="str">
        <f t="shared" si="10"/>
        <v>21% to 25%</v>
      </c>
      <c r="N164" s="3" t="str">
        <f t="shared" si="11"/>
        <v>OK</v>
      </c>
    </row>
    <row r="165" spans="1:14" x14ac:dyDescent="0.3">
      <c r="A165" s="2">
        <f>DATE(VALUE(RIGHT(TRIM([1]Raw_Data!A163),4)),VALUE(MID(TRIM([1]Raw_Data!A163),4,2)),VALUE(LEFT(TRIM([1]Raw_Data!A163),2)))</f>
        <v>43906</v>
      </c>
      <c r="B165" s="3" t="str">
        <f>TRIM([1]Raw_Data!B163)</f>
        <v>Vitamin C</v>
      </c>
      <c r="C165" s="3" t="str">
        <f>TRIM([1]Raw_Data!C163)</f>
        <v>Vitamin</v>
      </c>
      <c r="D165" s="3">
        <f>[1]Raw_Data!D163</f>
        <v>169</v>
      </c>
      <c r="E165" s="4">
        <f>[1]Raw_Data!E163</f>
        <v>33.82</v>
      </c>
      <c r="F165" s="5">
        <f>[1]Raw_Data!F163</f>
        <v>5715.58</v>
      </c>
      <c r="G165" s="4">
        <f>[1]Raw_Data!G163</f>
        <v>0.06</v>
      </c>
      <c r="H165" s="3">
        <f>[1]Raw_Data!H163</f>
        <v>2</v>
      </c>
      <c r="I165" s="3" t="str">
        <f>TRIM([1]Raw_Data!I163)</f>
        <v>Canada</v>
      </c>
      <c r="J165" s="3" t="str">
        <f>TRIM([1]Raw_Data!J163)</f>
        <v>Walmart</v>
      </c>
      <c r="K165" s="3">
        <f t="shared" si="8"/>
        <v>2020</v>
      </c>
      <c r="L165" s="6">
        <f t="shared" si="9"/>
        <v>43891</v>
      </c>
      <c r="M165" s="3" t="str">
        <f t="shared" si="10"/>
        <v>6% to 10%</v>
      </c>
      <c r="N165" s="3" t="str">
        <f t="shared" si="11"/>
        <v>OK</v>
      </c>
    </row>
    <row r="166" spans="1:14" x14ac:dyDescent="0.3">
      <c r="A166" s="2">
        <f>DATE(VALUE(RIGHT(TRIM([1]Raw_Data!A164),4)),VALUE(MID(TRIM([1]Raw_Data!A164),4,2)),VALUE(LEFT(TRIM([1]Raw_Data!A164),2)))</f>
        <v>43906</v>
      </c>
      <c r="B166" s="3" t="str">
        <f>TRIM([1]Raw_Data!B164)</f>
        <v>Fish Oil</v>
      </c>
      <c r="C166" s="3" t="str">
        <f>TRIM([1]Raw_Data!C164)</f>
        <v>Omega</v>
      </c>
      <c r="D166" s="3">
        <f>[1]Raw_Data!D164</f>
        <v>145</v>
      </c>
      <c r="E166" s="4">
        <f>[1]Raw_Data!E164</f>
        <v>16.149999999999999</v>
      </c>
      <c r="F166" s="5">
        <f>[1]Raw_Data!F164</f>
        <v>2341.75</v>
      </c>
      <c r="G166" s="4">
        <f>[1]Raw_Data!G164</f>
        <v>0.22</v>
      </c>
      <c r="H166" s="3">
        <f>[1]Raw_Data!H164</f>
        <v>1</v>
      </c>
      <c r="I166" s="3" t="str">
        <f>TRIM([1]Raw_Data!I164)</f>
        <v>Canada</v>
      </c>
      <c r="J166" s="3" t="str">
        <f>TRIM([1]Raw_Data!J164)</f>
        <v>Amazon</v>
      </c>
      <c r="K166" s="3">
        <f t="shared" si="8"/>
        <v>2020</v>
      </c>
      <c r="L166" s="6">
        <f t="shared" si="9"/>
        <v>43891</v>
      </c>
      <c r="M166" s="3" t="str">
        <f t="shared" si="10"/>
        <v>21% to 25%</v>
      </c>
      <c r="N166" s="3" t="str">
        <f t="shared" si="11"/>
        <v>OK</v>
      </c>
    </row>
    <row r="167" spans="1:14" x14ac:dyDescent="0.3">
      <c r="A167" s="2">
        <f>DATE(VALUE(RIGHT(TRIM([1]Raw_Data!A165),4)),VALUE(MID(TRIM([1]Raw_Data!A165),4,2)),VALUE(LEFT(TRIM([1]Raw_Data!A165),2)))</f>
        <v>43906</v>
      </c>
      <c r="B167" s="3" t="str">
        <f>TRIM([1]Raw_Data!B165)</f>
        <v>Multivitamin</v>
      </c>
      <c r="C167" s="3" t="str">
        <f>TRIM([1]Raw_Data!C165)</f>
        <v>Vitamin</v>
      </c>
      <c r="D167" s="3">
        <f>[1]Raw_Data!D165</f>
        <v>148</v>
      </c>
      <c r="E167" s="4">
        <f>[1]Raw_Data!E165</f>
        <v>41.24</v>
      </c>
      <c r="F167" s="5">
        <f>[1]Raw_Data!F165</f>
        <v>6103.52</v>
      </c>
      <c r="G167" s="4">
        <f>[1]Raw_Data!G165</f>
        <v>0.02</v>
      </c>
      <c r="H167" s="3">
        <f>[1]Raw_Data!H165</f>
        <v>2</v>
      </c>
      <c r="I167" s="3" t="str">
        <f>TRIM([1]Raw_Data!I165)</f>
        <v>UK</v>
      </c>
      <c r="J167" s="3" t="str">
        <f>TRIM([1]Raw_Data!J165)</f>
        <v>Amazon</v>
      </c>
      <c r="K167" s="3">
        <f t="shared" si="8"/>
        <v>2020</v>
      </c>
      <c r="L167" s="6">
        <f t="shared" si="9"/>
        <v>43891</v>
      </c>
      <c r="M167" s="3" t="str">
        <f t="shared" si="10"/>
        <v>0% to 5%</v>
      </c>
      <c r="N167" s="3" t="str">
        <f t="shared" si="11"/>
        <v>OK</v>
      </c>
    </row>
    <row r="168" spans="1:14" x14ac:dyDescent="0.3">
      <c r="A168" s="2">
        <f>DATE(VALUE(RIGHT(TRIM([1]Raw_Data!A166),4)),VALUE(MID(TRIM([1]Raw_Data!A166),4,2)),VALUE(LEFT(TRIM([1]Raw_Data!A166),2)))</f>
        <v>43906</v>
      </c>
      <c r="B168" s="3" t="str">
        <f>TRIM([1]Raw_Data!B166)</f>
        <v>Pre-Workout</v>
      </c>
      <c r="C168" s="3" t="str">
        <f>TRIM([1]Raw_Data!C166)</f>
        <v>Performance</v>
      </c>
      <c r="D168" s="3">
        <f>[1]Raw_Data!D166</f>
        <v>140</v>
      </c>
      <c r="E168" s="4">
        <f>[1]Raw_Data!E166</f>
        <v>51.13</v>
      </c>
      <c r="F168" s="5">
        <f>[1]Raw_Data!F166</f>
        <v>7158.2</v>
      </c>
      <c r="G168" s="4">
        <f>[1]Raw_Data!G166</f>
        <v>0.2</v>
      </c>
      <c r="H168" s="3">
        <f>[1]Raw_Data!H166</f>
        <v>1</v>
      </c>
      <c r="I168" s="3" t="str">
        <f>TRIM([1]Raw_Data!I166)</f>
        <v>USA</v>
      </c>
      <c r="J168" s="3" t="str">
        <f>TRIM([1]Raw_Data!J166)</f>
        <v>Walmart</v>
      </c>
      <c r="K168" s="3">
        <f t="shared" si="8"/>
        <v>2020</v>
      </c>
      <c r="L168" s="6">
        <f t="shared" si="9"/>
        <v>43891</v>
      </c>
      <c r="M168" s="3" t="str">
        <f t="shared" si="10"/>
        <v>16% to 20%</v>
      </c>
      <c r="N168" s="3" t="str">
        <f t="shared" si="11"/>
        <v>OK</v>
      </c>
    </row>
    <row r="169" spans="1:14" x14ac:dyDescent="0.3">
      <c r="A169" s="2">
        <f>DATE(VALUE(RIGHT(TRIM([1]Raw_Data!A167),4)),VALUE(MID(TRIM([1]Raw_Data!A167),4,2)),VALUE(LEFT(TRIM([1]Raw_Data!A167),2)))</f>
        <v>43906</v>
      </c>
      <c r="B169" s="3" t="str">
        <f>TRIM([1]Raw_Data!B167)</f>
        <v>BCAA</v>
      </c>
      <c r="C169" s="3" t="str">
        <f>TRIM([1]Raw_Data!C167)</f>
        <v>Amino Acid</v>
      </c>
      <c r="D169" s="3">
        <f>[1]Raw_Data!D167</f>
        <v>151</v>
      </c>
      <c r="E169" s="4">
        <f>[1]Raw_Data!E167</f>
        <v>48.77</v>
      </c>
      <c r="F169" s="5">
        <f>[1]Raw_Data!F167</f>
        <v>7364.27</v>
      </c>
      <c r="G169" s="4">
        <f>[1]Raw_Data!G167</f>
        <v>7.0000000000000007E-2</v>
      </c>
      <c r="H169" s="3">
        <f>[1]Raw_Data!H167</f>
        <v>1</v>
      </c>
      <c r="I169" s="3" t="str">
        <f>TRIM([1]Raw_Data!I167)</f>
        <v>UK</v>
      </c>
      <c r="J169" s="3" t="str">
        <f>TRIM([1]Raw_Data!J167)</f>
        <v>Amazon</v>
      </c>
      <c r="K169" s="3">
        <f t="shared" si="8"/>
        <v>2020</v>
      </c>
      <c r="L169" s="6">
        <f t="shared" si="9"/>
        <v>43891</v>
      </c>
      <c r="M169" s="3" t="str">
        <f t="shared" si="10"/>
        <v>6% to 10%</v>
      </c>
      <c r="N169" s="3" t="str">
        <f t="shared" si="11"/>
        <v>OK</v>
      </c>
    </row>
    <row r="170" spans="1:14" x14ac:dyDescent="0.3">
      <c r="A170" s="2">
        <f>DATE(VALUE(RIGHT(TRIM([1]Raw_Data!A168),4)),VALUE(MID(TRIM([1]Raw_Data!A168),4,2)),VALUE(LEFT(TRIM([1]Raw_Data!A168),2)))</f>
        <v>43906</v>
      </c>
      <c r="B170" s="3" t="str">
        <f>TRIM([1]Raw_Data!B168)</f>
        <v>Creatine</v>
      </c>
      <c r="C170" s="3" t="str">
        <f>TRIM([1]Raw_Data!C168)</f>
        <v>Performance</v>
      </c>
      <c r="D170" s="3">
        <f>[1]Raw_Data!D168</f>
        <v>142</v>
      </c>
      <c r="E170" s="4">
        <f>[1]Raw_Data!E168</f>
        <v>41.48</v>
      </c>
      <c r="F170" s="5">
        <f>[1]Raw_Data!F168</f>
        <v>5890.16</v>
      </c>
      <c r="G170" s="4">
        <f>[1]Raw_Data!G168</f>
        <v>0.01</v>
      </c>
      <c r="H170" s="3">
        <f>[1]Raw_Data!H168</f>
        <v>2</v>
      </c>
      <c r="I170" s="3" t="str">
        <f>TRIM([1]Raw_Data!I168)</f>
        <v>Canada</v>
      </c>
      <c r="J170" s="3" t="str">
        <f>TRIM([1]Raw_Data!J168)</f>
        <v>Amazon</v>
      </c>
      <c r="K170" s="3">
        <f t="shared" si="8"/>
        <v>2020</v>
      </c>
      <c r="L170" s="6">
        <f t="shared" si="9"/>
        <v>43891</v>
      </c>
      <c r="M170" s="3" t="str">
        <f t="shared" si="10"/>
        <v>0% to 5%</v>
      </c>
      <c r="N170" s="3" t="str">
        <f t="shared" si="11"/>
        <v>OK</v>
      </c>
    </row>
    <row r="171" spans="1:14" x14ac:dyDescent="0.3">
      <c r="A171" s="2">
        <f>DATE(VALUE(RIGHT(TRIM([1]Raw_Data!A169),4)),VALUE(MID(TRIM([1]Raw_Data!A169),4,2)),VALUE(LEFT(TRIM([1]Raw_Data!A169),2)))</f>
        <v>43906</v>
      </c>
      <c r="B171" s="3" t="str">
        <f>TRIM([1]Raw_Data!B169)</f>
        <v>Zinc</v>
      </c>
      <c r="C171" s="3" t="str">
        <f>TRIM([1]Raw_Data!C169)</f>
        <v>Mineral</v>
      </c>
      <c r="D171" s="3">
        <f>[1]Raw_Data!D169</f>
        <v>143</v>
      </c>
      <c r="E171" s="4">
        <f>[1]Raw_Data!E169</f>
        <v>35.56</v>
      </c>
      <c r="F171" s="5">
        <f>[1]Raw_Data!F169</f>
        <v>5085.08</v>
      </c>
      <c r="G171" s="4">
        <f>[1]Raw_Data!G169</f>
        <v>0.01</v>
      </c>
      <c r="H171" s="3">
        <f>[1]Raw_Data!H169</f>
        <v>1</v>
      </c>
      <c r="I171" s="3" t="str">
        <f>TRIM([1]Raw_Data!I169)</f>
        <v>USA</v>
      </c>
      <c r="J171" s="3" t="str">
        <f>TRIM([1]Raw_Data!J169)</f>
        <v>Amazon</v>
      </c>
      <c r="K171" s="3">
        <f t="shared" si="8"/>
        <v>2020</v>
      </c>
      <c r="L171" s="6">
        <f t="shared" si="9"/>
        <v>43891</v>
      </c>
      <c r="M171" s="3" t="str">
        <f t="shared" si="10"/>
        <v>0% to 5%</v>
      </c>
      <c r="N171" s="3" t="str">
        <f t="shared" si="11"/>
        <v>OK</v>
      </c>
    </row>
    <row r="172" spans="1:14" x14ac:dyDescent="0.3">
      <c r="A172" s="2">
        <f>DATE(VALUE(RIGHT(TRIM([1]Raw_Data!A170),4)),VALUE(MID(TRIM([1]Raw_Data!A170),4,2)),VALUE(LEFT(TRIM([1]Raw_Data!A170),2)))</f>
        <v>43906</v>
      </c>
      <c r="B172" s="3" t="str">
        <f>TRIM([1]Raw_Data!B170)</f>
        <v>Collagen Peptides</v>
      </c>
      <c r="C172" s="3" t="str">
        <f>TRIM([1]Raw_Data!C170)</f>
        <v>Protein</v>
      </c>
      <c r="D172" s="3">
        <f>[1]Raw_Data!D170</f>
        <v>158</v>
      </c>
      <c r="E172" s="4">
        <f>[1]Raw_Data!E170</f>
        <v>51.97</v>
      </c>
      <c r="F172" s="5">
        <f>[1]Raw_Data!F170</f>
        <v>8211.26</v>
      </c>
      <c r="G172" s="4">
        <f>[1]Raw_Data!G170</f>
        <v>0</v>
      </c>
      <c r="H172" s="3">
        <f>[1]Raw_Data!H170</f>
        <v>1</v>
      </c>
      <c r="I172" s="3" t="str">
        <f>TRIM([1]Raw_Data!I170)</f>
        <v>Canada</v>
      </c>
      <c r="J172" s="3" t="str">
        <f>TRIM([1]Raw_Data!J170)</f>
        <v>iHerb</v>
      </c>
      <c r="K172" s="3">
        <f t="shared" si="8"/>
        <v>2020</v>
      </c>
      <c r="L172" s="6">
        <f t="shared" si="9"/>
        <v>43891</v>
      </c>
      <c r="M172" s="3" t="str">
        <f t="shared" si="10"/>
        <v>0% to 5%</v>
      </c>
      <c r="N172" s="3" t="str">
        <f t="shared" si="11"/>
        <v>OK</v>
      </c>
    </row>
    <row r="173" spans="1:14" x14ac:dyDescent="0.3">
      <c r="A173" s="2">
        <f>DATE(VALUE(RIGHT(TRIM([1]Raw_Data!A171),4)),VALUE(MID(TRIM([1]Raw_Data!A171),4,2)),VALUE(LEFT(TRIM([1]Raw_Data!A171),2)))</f>
        <v>43906</v>
      </c>
      <c r="B173" s="3" t="str">
        <f>TRIM([1]Raw_Data!B171)</f>
        <v>Magnesium</v>
      </c>
      <c r="C173" s="3" t="str">
        <f>TRIM([1]Raw_Data!C171)</f>
        <v>Mineral</v>
      </c>
      <c r="D173" s="3">
        <f>[1]Raw_Data!D171</f>
        <v>159</v>
      </c>
      <c r="E173" s="4">
        <f>[1]Raw_Data!E171</f>
        <v>15.09</v>
      </c>
      <c r="F173" s="5">
        <f>[1]Raw_Data!F171</f>
        <v>2399.31</v>
      </c>
      <c r="G173" s="4">
        <f>[1]Raw_Data!G171</f>
        <v>0.09</v>
      </c>
      <c r="H173" s="3">
        <f>[1]Raw_Data!H171</f>
        <v>1</v>
      </c>
      <c r="I173" s="3" t="str">
        <f>TRIM([1]Raw_Data!I171)</f>
        <v>Canada</v>
      </c>
      <c r="J173" s="3" t="str">
        <f>TRIM([1]Raw_Data!J171)</f>
        <v>iHerb</v>
      </c>
      <c r="K173" s="3">
        <f t="shared" si="8"/>
        <v>2020</v>
      </c>
      <c r="L173" s="6">
        <f t="shared" si="9"/>
        <v>43891</v>
      </c>
      <c r="M173" s="3" t="str">
        <f t="shared" si="10"/>
        <v>6% to 10%</v>
      </c>
      <c r="N173" s="3" t="str">
        <f t="shared" si="11"/>
        <v>OK</v>
      </c>
    </row>
    <row r="174" spans="1:14" x14ac:dyDescent="0.3">
      <c r="A174" s="2">
        <f>DATE(VALUE(RIGHT(TRIM([1]Raw_Data!A172),4)),VALUE(MID(TRIM([1]Raw_Data!A172),4,2)),VALUE(LEFT(TRIM([1]Raw_Data!A172),2)))</f>
        <v>43906</v>
      </c>
      <c r="B174" s="3" t="str">
        <f>TRIM([1]Raw_Data!B172)</f>
        <v>Ashwagandha</v>
      </c>
      <c r="C174" s="3" t="str">
        <f>TRIM([1]Raw_Data!C172)</f>
        <v>Herbal</v>
      </c>
      <c r="D174" s="3">
        <f>[1]Raw_Data!D172</f>
        <v>164</v>
      </c>
      <c r="E174" s="4">
        <f>[1]Raw_Data!E172</f>
        <v>49.45</v>
      </c>
      <c r="F174" s="5">
        <f>[1]Raw_Data!F172</f>
        <v>8109.8</v>
      </c>
      <c r="G174" s="4">
        <f>[1]Raw_Data!G172</f>
        <v>0.22</v>
      </c>
      <c r="H174" s="3">
        <f>[1]Raw_Data!H172</f>
        <v>1</v>
      </c>
      <c r="I174" s="3" t="str">
        <f>TRIM([1]Raw_Data!I172)</f>
        <v>Canada</v>
      </c>
      <c r="J174" s="3" t="str">
        <f>TRIM([1]Raw_Data!J172)</f>
        <v>iHerb</v>
      </c>
      <c r="K174" s="3">
        <f t="shared" si="8"/>
        <v>2020</v>
      </c>
      <c r="L174" s="6">
        <f t="shared" si="9"/>
        <v>43891</v>
      </c>
      <c r="M174" s="3" t="str">
        <f t="shared" si="10"/>
        <v>21% to 25%</v>
      </c>
      <c r="N174" s="3" t="str">
        <f t="shared" si="11"/>
        <v>OK</v>
      </c>
    </row>
    <row r="175" spans="1:14" x14ac:dyDescent="0.3">
      <c r="A175" s="2">
        <f>DATE(VALUE(RIGHT(TRIM([1]Raw_Data!A173),4)),VALUE(MID(TRIM([1]Raw_Data!A173),4,2)),VALUE(LEFT(TRIM([1]Raw_Data!A173),2)))</f>
        <v>43906</v>
      </c>
      <c r="B175" s="3" t="str">
        <f>TRIM([1]Raw_Data!B173)</f>
        <v>Melatonin</v>
      </c>
      <c r="C175" s="3" t="str">
        <f>TRIM([1]Raw_Data!C173)</f>
        <v>Sleep Aid</v>
      </c>
      <c r="D175" s="3">
        <f>[1]Raw_Data!D173</f>
        <v>170</v>
      </c>
      <c r="E175" s="4">
        <f>[1]Raw_Data!E173</f>
        <v>58.2</v>
      </c>
      <c r="F175" s="5">
        <f>[1]Raw_Data!F173</f>
        <v>9894</v>
      </c>
      <c r="G175" s="4">
        <f>[1]Raw_Data!G173</f>
        <v>0.02</v>
      </c>
      <c r="H175" s="3">
        <f>[1]Raw_Data!H173</f>
        <v>2</v>
      </c>
      <c r="I175" s="3" t="str">
        <f>TRIM([1]Raw_Data!I173)</f>
        <v>Canada</v>
      </c>
      <c r="J175" s="3" t="str">
        <f>TRIM([1]Raw_Data!J173)</f>
        <v>Amazon</v>
      </c>
      <c r="K175" s="3">
        <f t="shared" si="8"/>
        <v>2020</v>
      </c>
      <c r="L175" s="6">
        <f t="shared" si="9"/>
        <v>43891</v>
      </c>
      <c r="M175" s="3" t="str">
        <f t="shared" si="10"/>
        <v>0% to 5%</v>
      </c>
      <c r="N175" s="3" t="str">
        <f t="shared" si="11"/>
        <v>OK</v>
      </c>
    </row>
    <row r="176" spans="1:14" x14ac:dyDescent="0.3">
      <c r="A176" s="2">
        <f>DATE(VALUE(RIGHT(TRIM([1]Raw_Data!A174),4)),VALUE(MID(TRIM([1]Raw_Data!A174),4,2)),VALUE(LEFT(TRIM([1]Raw_Data!A174),2)))</f>
        <v>43906</v>
      </c>
      <c r="B176" s="3" t="str">
        <f>TRIM([1]Raw_Data!B174)</f>
        <v>Biotin</v>
      </c>
      <c r="C176" s="3" t="str">
        <f>TRIM([1]Raw_Data!C174)</f>
        <v>Vitamin</v>
      </c>
      <c r="D176" s="3">
        <f>[1]Raw_Data!D174</f>
        <v>150</v>
      </c>
      <c r="E176" s="4">
        <f>[1]Raw_Data!E174</f>
        <v>41.64</v>
      </c>
      <c r="F176" s="5">
        <f>[1]Raw_Data!F174</f>
        <v>6246</v>
      </c>
      <c r="G176" s="4">
        <f>[1]Raw_Data!G174</f>
        <v>0.18</v>
      </c>
      <c r="H176" s="3">
        <f>[1]Raw_Data!H174</f>
        <v>0</v>
      </c>
      <c r="I176" s="3" t="str">
        <f>TRIM([1]Raw_Data!I174)</f>
        <v>UK</v>
      </c>
      <c r="J176" s="3" t="str">
        <f>TRIM([1]Raw_Data!J174)</f>
        <v>iHerb</v>
      </c>
      <c r="K176" s="3">
        <f t="shared" si="8"/>
        <v>2020</v>
      </c>
      <c r="L176" s="6">
        <f t="shared" si="9"/>
        <v>43891</v>
      </c>
      <c r="M176" s="3" t="str">
        <f t="shared" si="10"/>
        <v>16% to 20%</v>
      </c>
      <c r="N176" s="3" t="str">
        <f t="shared" si="11"/>
        <v>OK</v>
      </c>
    </row>
    <row r="177" spans="1:14" x14ac:dyDescent="0.3">
      <c r="A177" s="2">
        <f>DATE(VALUE(RIGHT(TRIM([1]Raw_Data!A175),4)),VALUE(MID(TRIM([1]Raw_Data!A175),4,2)),VALUE(LEFT(TRIM([1]Raw_Data!A175),2)))</f>
        <v>43906</v>
      </c>
      <c r="B177" s="3" t="str">
        <f>TRIM([1]Raw_Data!B175)</f>
        <v>Green Tea Extract</v>
      </c>
      <c r="C177" s="3" t="str">
        <f>TRIM([1]Raw_Data!C175)</f>
        <v>Fat Burner</v>
      </c>
      <c r="D177" s="3">
        <f>[1]Raw_Data!D175</f>
        <v>136</v>
      </c>
      <c r="E177" s="4">
        <f>[1]Raw_Data!E175</f>
        <v>43.32</v>
      </c>
      <c r="F177" s="5">
        <f>[1]Raw_Data!F175</f>
        <v>5891.52</v>
      </c>
      <c r="G177" s="4">
        <f>[1]Raw_Data!G175</f>
        <v>0.24</v>
      </c>
      <c r="H177" s="3">
        <f>[1]Raw_Data!H175</f>
        <v>2</v>
      </c>
      <c r="I177" s="3" t="str">
        <f>TRIM([1]Raw_Data!I175)</f>
        <v>UK</v>
      </c>
      <c r="J177" s="3" t="str">
        <f>TRIM([1]Raw_Data!J175)</f>
        <v>Walmart</v>
      </c>
      <c r="K177" s="3">
        <f t="shared" si="8"/>
        <v>2020</v>
      </c>
      <c r="L177" s="6">
        <f t="shared" si="9"/>
        <v>43891</v>
      </c>
      <c r="M177" s="3" t="str">
        <f t="shared" si="10"/>
        <v>21% to 25%</v>
      </c>
      <c r="N177" s="3" t="str">
        <f t="shared" si="11"/>
        <v>OK</v>
      </c>
    </row>
    <row r="178" spans="1:14" x14ac:dyDescent="0.3">
      <c r="A178" s="2">
        <f>DATE(VALUE(RIGHT(TRIM([1]Raw_Data!A176),4)),VALUE(MID(TRIM([1]Raw_Data!A176),4,2)),VALUE(LEFT(TRIM([1]Raw_Data!A176),2)))</f>
        <v>43906</v>
      </c>
      <c r="B178" s="3" t="str">
        <f>TRIM([1]Raw_Data!B176)</f>
        <v>Iron Supplement</v>
      </c>
      <c r="C178" s="3" t="str">
        <f>TRIM([1]Raw_Data!C176)</f>
        <v>Mineral</v>
      </c>
      <c r="D178" s="3">
        <f>[1]Raw_Data!D176</f>
        <v>178</v>
      </c>
      <c r="E178" s="4">
        <f>[1]Raw_Data!E176</f>
        <v>24.9</v>
      </c>
      <c r="F178" s="5">
        <f>[1]Raw_Data!F176</f>
        <v>4432.2</v>
      </c>
      <c r="G178" s="4">
        <f>[1]Raw_Data!G176</f>
        <v>0.03</v>
      </c>
      <c r="H178" s="3">
        <f>[1]Raw_Data!H176</f>
        <v>3</v>
      </c>
      <c r="I178" s="3" t="str">
        <f>TRIM([1]Raw_Data!I176)</f>
        <v>UK</v>
      </c>
      <c r="J178" s="3" t="str">
        <f>TRIM([1]Raw_Data!J176)</f>
        <v>iHerb</v>
      </c>
      <c r="K178" s="3">
        <f t="shared" si="8"/>
        <v>2020</v>
      </c>
      <c r="L178" s="6">
        <f t="shared" si="9"/>
        <v>43891</v>
      </c>
      <c r="M178" s="3" t="str">
        <f t="shared" si="10"/>
        <v>0% to 5%</v>
      </c>
      <c r="N178" s="3" t="str">
        <f t="shared" si="11"/>
        <v>OK</v>
      </c>
    </row>
    <row r="179" spans="1:14" x14ac:dyDescent="0.3">
      <c r="A179" s="2">
        <f>DATE(VALUE(RIGHT(TRIM([1]Raw_Data!A177),4)),VALUE(MID(TRIM([1]Raw_Data!A177),4,2)),VALUE(LEFT(TRIM([1]Raw_Data!A177),2)))</f>
        <v>43906</v>
      </c>
      <c r="B179" s="3" t="str">
        <f>TRIM([1]Raw_Data!B177)</f>
        <v>Electrolyte Powder</v>
      </c>
      <c r="C179" s="3" t="str">
        <f>TRIM([1]Raw_Data!C177)</f>
        <v>Hydration</v>
      </c>
      <c r="D179" s="3">
        <f>[1]Raw_Data!D177</f>
        <v>155</v>
      </c>
      <c r="E179" s="4">
        <f>[1]Raw_Data!E177</f>
        <v>28</v>
      </c>
      <c r="F179" s="5">
        <f>[1]Raw_Data!F177</f>
        <v>4340</v>
      </c>
      <c r="G179" s="4">
        <f>[1]Raw_Data!G177</f>
        <v>0.24</v>
      </c>
      <c r="H179" s="3">
        <f>[1]Raw_Data!H177</f>
        <v>1</v>
      </c>
      <c r="I179" s="3" t="str">
        <f>TRIM([1]Raw_Data!I177)</f>
        <v>USA</v>
      </c>
      <c r="J179" s="3" t="str">
        <f>TRIM([1]Raw_Data!J177)</f>
        <v>Amazon</v>
      </c>
      <c r="K179" s="3">
        <f t="shared" si="8"/>
        <v>2020</v>
      </c>
      <c r="L179" s="6">
        <f t="shared" si="9"/>
        <v>43891</v>
      </c>
      <c r="M179" s="3" t="str">
        <f t="shared" si="10"/>
        <v>21% to 25%</v>
      </c>
      <c r="N179" s="3" t="str">
        <f t="shared" si="11"/>
        <v>OK</v>
      </c>
    </row>
    <row r="180" spans="1:14" x14ac:dyDescent="0.3">
      <c r="A180" s="2">
        <f>DATE(VALUE(RIGHT(TRIM([1]Raw_Data!A178),4)),VALUE(MID(TRIM([1]Raw_Data!A178),4,2)),VALUE(LEFT(TRIM([1]Raw_Data!A178),2)))</f>
        <v>43913</v>
      </c>
      <c r="B180" s="3" t="str">
        <f>TRIM([1]Raw_Data!B178)</f>
        <v>Whey Protein</v>
      </c>
      <c r="C180" s="3" t="str">
        <f>TRIM([1]Raw_Data!C178)</f>
        <v>Protein</v>
      </c>
      <c r="D180" s="3">
        <f>[1]Raw_Data!D178</f>
        <v>148</v>
      </c>
      <c r="E180" s="4">
        <f>[1]Raw_Data!E178</f>
        <v>20.440000000000001</v>
      </c>
      <c r="F180" s="5">
        <f>[1]Raw_Data!F178</f>
        <v>3025.12</v>
      </c>
      <c r="G180" s="4">
        <f>[1]Raw_Data!G178</f>
        <v>0.09</v>
      </c>
      <c r="H180" s="3">
        <f>[1]Raw_Data!H178</f>
        <v>1</v>
      </c>
      <c r="I180" s="3" t="str">
        <f>TRIM([1]Raw_Data!I178)</f>
        <v>UK</v>
      </c>
      <c r="J180" s="3" t="str">
        <f>TRIM([1]Raw_Data!J178)</f>
        <v>Walmart</v>
      </c>
      <c r="K180" s="3">
        <f t="shared" si="8"/>
        <v>2020</v>
      </c>
      <c r="L180" s="6">
        <f t="shared" si="9"/>
        <v>43891</v>
      </c>
      <c r="M180" s="3" t="str">
        <f t="shared" si="10"/>
        <v>6% to 10%</v>
      </c>
      <c r="N180" s="3" t="str">
        <f t="shared" si="11"/>
        <v>OK</v>
      </c>
    </row>
    <row r="181" spans="1:14" x14ac:dyDescent="0.3">
      <c r="A181" s="2">
        <f>DATE(VALUE(RIGHT(TRIM([1]Raw_Data!A179),4)),VALUE(MID(TRIM([1]Raw_Data!A179),4,2)),VALUE(LEFT(TRIM([1]Raw_Data!A179),2)))</f>
        <v>43913</v>
      </c>
      <c r="B181" s="3" t="str">
        <f>TRIM([1]Raw_Data!B179)</f>
        <v>Vitamin C</v>
      </c>
      <c r="C181" s="3" t="str">
        <f>TRIM([1]Raw_Data!C179)</f>
        <v>Vitamin</v>
      </c>
      <c r="D181" s="3">
        <f>[1]Raw_Data!D179</f>
        <v>147</v>
      </c>
      <c r="E181" s="4">
        <f>[1]Raw_Data!E179</f>
        <v>52.52</v>
      </c>
      <c r="F181" s="5">
        <f>[1]Raw_Data!F179</f>
        <v>7720.44</v>
      </c>
      <c r="G181" s="4">
        <f>[1]Raw_Data!G179</f>
        <v>0.05</v>
      </c>
      <c r="H181" s="3">
        <f>[1]Raw_Data!H179</f>
        <v>2</v>
      </c>
      <c r="I181" s="3" t="str">
        <f>TRIM([1]Raw_Data!I179)</f>
        <v>Canada</v>
      </c>
      <c r="J181" s="3" t="str">
        <f>TRIM([1]Raw_Data!J179)</f>
        <v>Amazon</v>
      </c>
      <c r="K181" s="3">
        <f t="shared" si="8"/>
        <v>2020</v>
      </c>
      <c r="L181" s="6">
        <f t="shared" si="9"/>
        <v>43891</v>
      </c>
      <c r="M181" s="3" t="str">
        <f t="shared" si="10"/>
        <v>0% to 5%</v>
      </c>
      <c r="N181" s="3" t="str">
        <f t="shared" si="11"/>
        <v>OK</v>
      </c>
    </row>
    <row r="182" spans="1:14" x14ac:dyDescent="0.3">
      <c r="A182" s="2">
        <f>DATE(VALUE(RIGHT(TRIM([1]Raw_Data!A180),4)),VALUE(MID(TRIM([1]Raw_Data!A180),4,2)),VALUE(LEFT(TRIM([1]Raw_Data!A180),2)))</f>
        <v>43913</v>
      </c>
      <c r="B182" s="3" t="str">
        <f>TRIM([1]Raw_Data!B180)</f>
        <v>Fish Oil</v>
      </c>
      <c r="C182" s="3" t="str">
        <f>TRIM([1]Raw_Data!C180)</f>
        <v>Omega</v>
      </c>
      <c r="D182" s="3">
        <f>[1]Raw_Data!D180</f>
        <v>149</v>
      </c>
      <c r="E182" s="4">
        <f>[1]Raw_Data!E180</f>
        <v>20.79</v>
      </c>
      <c r="F182" s="5">
        <f>[1]Raw_Data!F180</f>
        <v>3097.71</v>
      </c>
      <c r="G182" s="4">
        <f>[1]Raw_Data!G180</f>
        <v>0.17</v>
      </c>
      <c r="H182" s="3">
        <f>[1]Raw_Data!H180</f>
        <v>2</v>
      </c>
      <c r="I182" s="3" t="str">
        <f>TRIM([1]Raw_Data!I180)</f>
        <v>Canada</v>
      </c>
      <c r="J182" s="3" t="str">
        <f>TRIM([1]Raw_Data!J180)</f>
        <v>iHerb</v>
      </c>
      <c r="K182" s="3">
        <f t="shared" si="8"/>
        <v>2020</v>
      </c>
      <c r="L182" s="6">
        <f t="shared" si="9"/>
        <v>43891</v>
      </c>
      <c r="M182" s="3" t="str">
        <f t="shared" si="10"/>
        <v>16% to 20%</v>
      </c>
      <c r="N182" s="3" t="str">
        <f t="shared" si="11"/>
        <v>OK</v>
      </c>
    </row>
    <row r="183" spans="1:14" x14ac:dyDescent="0.3">
      <c r="A183" s="2">
        <f>DATE(VALUE(RIGHT(TRIM([1]Raw_Data!A181),4)),VALUE(MID(TRIM([1]Raw_Data!A181),4,2)),VALUE(LEFT(TRIM([1]Raw_Data!A181),2)))</f>
        <v>43913</v>
      </c>
      <c r="B183" s="3" t="str">
        <f>TRIM([1]Raw_Data!B181)</f>
        <v>Multivitamin</v>
      </c>
      <c r="C183" s="3" t="str">
        <f>TRIM([1]Raw_Data!C181)</f>
        <v>Vitamin</v>
      </c>
      <c r="D183" s="3">
        <f>[1]Raw_Data!D181</f>
        <v>142</v>
      </c>
      <c r="E183" s="4">
        <f>[1]Raw_Data!E181</f>
        <v>42.58</v>
      </c>
      <c r="F183" s="5">
        <f>[1]Raw_Data!F181</f>
        <v>6046.36</v>
      </c>
      <c r="G183" s="4">
        <f>[1]Raw_Data!G181</f>
        <v>0.18</v>
      </c>
      <c r="H183" s="3">
        <f>[1]Raw_Data!H181</f>
        <v>1</v>
      </c>
      <c r="I183" s="3" t="str">
        <f>TRIM([1]Raw_Data!I181)</f>
        <v>Canada</v>
      </c>
      <c r="J183" s="3" t="str">
        <f>TRIM([1]Raw_Data!J181)</f>
        <v>Amazon</v>
      </c>
      <c r="K183" s="3">
        <f t="shared" si="8"/>
        <v>2020</v>
      </c>
      <c r="L183" s="6">
        <f t="shared" si="9"/>
        <v>43891</v>
      </c>
      <c r="M183" s="3" t="str">
        <f t="shared" si="10"/>
        <v>16% to 20%</v>
      </c>
      <c r="N183" s="3" t="str">
        <f t="shared" si="11"/>
        <v>OK</v>
      </c>
    </row>
    <row r="184" spans="1:14" x14ac:dyDescent="0.3">
      <c r="A184" s="2">
        <f>DATE(VALUE(RIGHT(TRIM([1]Raw_Data!A182),4)),VALUE(MID(TRIM([1]Raw_Data!A182),4,2)),VALUE(LEFT(TRIM([1]Raw_Data!A182),2)))</f>
        <v>43913</v>
      </c>
      <c r="B184" s="3" t="str">
        <f>TRIM([1]Raw_Data!B182)</f>
        <v>Pre-Workout</v>
      </c>
      <c r="C184" s="3" t="str">
        <f>TRIM([1]Raw_Data!C182)</f>
        <v>Performance</v>
      </c>
      <c r="D184" s="3">
        <f>[1]Raw_Data!D182</f>
        <v>155</v>
      </c>
      <c r="E184" s="4">
        <f>[1]Raw_Data!E182</f>
        <v>45.66</v>
      </c>
      <c r="F184" s="5">
        <f>[1]Raw_Data!F182</f>
        <v>7077.3</v>
      </c>
      <c r="G184" s="4">
        <f>[1]Raw_Data!G182</f>
        <v>0.05</v>
      </c>
      <c r="H184" s="3">
        <f>[1]Raw_Data!H182</f>
        <v>3</v>
      </c>
      <c r="I184" s="3" t="str">
        <f>TRIM([1]Raw_Data!I182)</f>
        <v>Canada</v>
      </c>
      <c r="J184" s="3" t="str">
        <f>TRIM([1]Raw_Data!J182)</f>
        <v>Walmart</v>
      </c>
      <c r="K184" s="3">
        <f t="shared" si="8"/>
        <v>2020</v>
      </c>
      <c r="L184" s="6">
        <f t="shared" si="9"/>
        <v>43891</v>
      </c>
      <c r="M184" s="3" t="str">
        <f t="shared" si="10"/>
        <v>0% to 5%</v>
      </c>
      <c r="N184" s="3" t="str">
        <f t="shared" si="11"/>
        <v>OK</v>
      </c>
    </row>
    <row r="185" spans="1:14" x14ac:dyDescent="0.3">
      <c r="A185" s="2">
        <f>DATE(VALUE(RIGHT(TRIM([1]Raw_Data!A183),4)),VALUE(MID(TRIM([1]Raw_Data!A183),4,2)),VALUE(LEFT(TRIM([1]Raw_Data!A183),2)))</f>
        <v>43913</v>
      </c>
      <c r="B185" s="3" t="str">
        <f>TRIM([1]Raw_Data!B183)</f>
        <v>BCAA</v>
      </c>
      <c r="C185" s="3" t="str">
        <f>TRIM([1]Raw_Data!C183)</f>
        <v>Amino Acid</v>
      </c>
      <c r="D185" s="3">
        <f>[1]Raw_Data!D183</f>
        <v>142</v>
      </c>
      <c r="E185" s="4">
        <f>[1]Raw_Data!E183</f>
        <v>12.9</v>
      </c>
      <c r="F185" s="5">
        <f>[1]Raw_Data!F183</f>
        <v>1831.8</v>
      </c>
      <c r="G185" s="4">
        <f>[1]Raw_Data!G183</f>
        <v>0.03</v>
      </c>
      <c r="H185" s="3">
        <f>[1]Raw_Data!H183</f>
        <v>1</v>
      </c>
      <c r="I185" s="3" t="str">
        <f>TRIM([1]Raw_Data!I183)</f>
        <v>UK</v>
      </c>
      <c r="J185" s="3" t="str">
        <f>TRIM([1]Raw_Data!J183)</f>
        <v>Walmart</v>
      </c>
      <c r="K185" s="3">
        <f t="shared" si="8"/>
        <v>2020</v>
      </c>
      <c r="L185" s="6">
        <f t="shared" si="9"/>
        <v>43891</v>
      </c>
      <c r="M185" s="3" t="str">
        <f t="shared" si="10"/>
        <v>0% to 5%</v>
      </c>
      <c r="N185" s="3" t="str">
        <f t="shared" si="11"/>
        <v>OK</v>
      </c>
    </row>
    <row r="186" spans="1:14" x14ac:dyDescent="0.3">
      <c r="A186" s="2">
        <f>DATE(VALUE(RIGHT(TRIM([1]Raw_Data!A184),4)),VALUE(MID(TRIM([1]Raw_Data!A184),4,2)),VALUE(LEFT(TRIM([1]Raw_Data!A184),2)))</f>
        <v>43913</v>
      </c>
      <c r="B186" s="3" t="str">
        <f>TRIM([1]Raw_Data!B184)</f>
        <v>Creatine</v>
      </c>
      <c r="C186" s="3" t="str">
        <f>TRIM([1]Raw_Data!C184)</f>
        <v>Performance</v>
      </c>
      <c r="D186" s="3">
        <f>[1]Raw_Data!D184</f>
        <v>141</v>
      </c>
      <c r="E186" s="4">
        <f>[1]Raw_Data!E184</f>
        <v>10.73</v>
      </c>
      <c r="F186" s="5">
        <f>[1]Raw_Data!F184</f>
        <v>1512.93</v>
      </c>
      <c r="G186" s="4">
        <f>[1]Raw_Data!G184</f>
        <v>0.09</v>
      </c>
      <c r="H186" s="3">
        <f>[1]Raw_Data!H184</f>
        <v>1</v>
      </c>
      <c r="I186" s="3" t="str">
        <f>TRIM([1]Raw_Data!I184)</f>
        <v>UK</v>
      </c>
      <c r="J186" s="3" t="str">
        <f>TRIM([1]Raw_Data!J184)</f>
        <v>iHerb</v>
      </c>
      <c r="K186" s="3">
        <f t="shared" si="8"/>
        <v>2020</v>
      </c>
      <c r="L186" s="6">
        <f t="shared" si="9"/>
        <v>43891</v>
      </c>
      <c r="M186" s="3" t="str">
        <f t="shared" si="10"/>
        <v>6% to 10%</v>
      </c>
      <c r="N186" s="3" t="str">
        <f t="shared" si="11"/>
        <v>OK</v>
      </c>
    </row>
    <row r="187" spans="1:14" x14ac:dyDescent="0.3">
      <c r="A187" s="2">
        <f>DATE(VALUE(RIGHT(TRIM([1]Raw_Data!A185),4)),VALUE(MID(TRIM([1]Raw_Data!A185),4,2)),VALUE(LEFT(TRIM([1]Raw_Data!A185),2)))</f>
        <v>43913</v>
      </c>
      <c r="B187" s="3" t="str">
        <f>TRIM([1]Raw_Data!B185)</f>
        <v>Zinc</v>
      </c>
      <c r="C187" s="3" t="str">
        <f>TRIM([1]Raw_Data!C185)</f>
        <v>Mineral</v>
      </c>
      <c r="D187" s="3">
        <f>[1]Raw_Data!D185</f>
        <v>147</v>
      </c>
      <c r="E187" s="4">
        <f>[1]Raw_Data!E185</f>
        <v>30.21</v>
      </c>
      <c r="F187" s="5">
        <f>[1]Raw_Data!F185</f>
        <v>4440.87</v>
      </c>
      <c r="G187" s="4">
        <f>[1]Raw_Data!G185</f>
        <v>0.13</v>
      </c>
      <c r="H187" s="3">
        <f>[1]Raw_Data!H185</f>
        <v>2</v>
      </c>
      <c r="I187" s="3" t="str">
        <f>TRIM([1]Raw_Data!I185)</f>
        <v>UK</v>
      </c>
      <c r="J187" s="3" t="str">
        <f>TRIM([1]Raw_Data!J185)</f>
        <v>Amazon</v>
      </c>
      <c r="K187" s="3">
        <f t="shared" si="8"/>
        <v>2020</v>
      </c>
      <c r="L187" s="6">
        <f t="shared" si="9"/>
        <v>43891</v>
      </c>
      <c r="M187" s="3" t="str">
        <f t="shared" si="10"/>
        <v>11% to 15%</v>
      </c>
      <c r="N187" s="3" t="str">
        <f t="shared" si="11"/>
        <v>OK</v>
      </c>
    </row>
    <row r="188" spans="1:14" x14ac:dyDescent="0.3">
      <c r="A188" s="2">
        <f>DATE(VALUE(RIGHT(TRIM([1]Raw_Data!A186),4)),VALUE(MID(TRIM([1]Raw_Data!A186),4,2)),VALUE(LEFT(TRIM([1]Raw_Data!A186),2)))</f>
        <v>43913</v>
      </c>
      <c r="B188" s="3" t="str">
        <f>TRIM([1]Raw_Data!B186)</f>
        <v>Collagen Peptides</v>
      </c>
      <c r="C188" s="3" t="str">
        <f>TRIM([1]Raw_Data!C186)</f>
        <v>Protein</v>
      </c>
      <c r="D188" s="3">
        <f>[1]Raw_Data!D186</f>
        <v>156</v>
      </c>
      <c r="E188" s="4">
        <f>[1]Raw_Data!E186</f>
        <v>48.7</v>
      </c>
      <c r="F188" s="5">
        <f>[1]Raw_Data!F186</f>
        <v>7597.2</v>
      </c>
      <c r="G188" s="4">
        <f>[1]Raw_Data!G186</f>
        <v>0.19</v>
      </c>
      <c r="H188" s="3">
        <f>[1]Raw_Data!H186</f>
        <v>1</v>
      </c>
      <c r="I188" s="3" t="str">
        <f>TRIM([1]Raw_Data!I186)</f>
        <v>Canada</v>
      </c>
      <c r="J188" s="3" t="str">
        <f>TRIM([1]Raw_Data!J186)</f>
        <v>Amazon</v>
      </c>
      <c r="K188" s="3">
        <f t="shared" si="8"/>
        <v>2020</v>
      </c>
      <c r="L188" s="6">
        <f t="shared" si="9"/>
        <v>43891</v>
      </c>
      <c r="M188" s="3" t="str">
        <f t="shared" si="10"/>
        <v>16% to 20%</v>
      </c>
      <c r="N188" s="3" t="str">
        <f t="shared" si="11"/>
        <v>OK</v>
      </c>
    </row>
    <row r="189" spans="1:14" x14ac:dyDescent="0.3">
      <c r="A189" s="2">
        <f>DATE(VALUE(RIGHT(TRIM([1]Raw_Data!A187),4)),VALUE(MID(TRIM([1]Raw_Data!A187),4,2)),VALUE(LEFT(TRIM([1]Raw_Data!A187),2)))</f>
        <v>43913</v>
      </c>
      <c r="B189" s="3" t="str">
        <f>TRIM([1]Raw_Data!B187)</f>
        <v>Magnesium</v>
      </c>
      <c r="C189" s="3" t="str">
        <f>TRIM([1]Raw_Data!C187)</f>
        <v>Mineral</v>
      </c>
      <c r="D189" s="3">
        <f>[1]Raw_Data!D187</f>
        <v>162</v>
      </c>
      <c r="E189" s="4">
        <f>[1]Raw_Data!E187</f>
        <v>23.28</v>
      </c>
      <c r="F189" s="5">
        <f>[1]Raw_Data!F187</f>
        <v>3771.36</v>
      </c>
      <c r="G189" s="4">
        <f>[1]Raw_Data!G187</f>
        <v>0</v>
      </c>
      <c r="H189" s="3">
        <f>[1]Raw_Data!H187</f>
        <v>1</v>
      </c>
      <c r="I189" s="3" t="str">
        <f>TRIM([1]Raw_Data!I187)</f>
        <v>UK</v>
      </c>
      <c r="J189" s="3" t="str">
        <f>TRIM([1]Raw_Data!J187)</f>
        <v>iHerb</v>
      </c>
      <c r="K189" s="3">
        <f t="shared" si="8"/>
        <v>2020</v>
      </c>
      <c r="L189" s="6">
        <f t="shared" si="9"/>
        <v>43891</v>
      </c>
      <c r="M189" s="3" t="str">
        <f t="shared" si="10"/>
        <v>0% to 5%</v>
      </c>
      <c r="N189" s="3" t="str">
        <f t="shared" si="11"/>
        <v>OK</v>
      </c>
    </row>
    <row r="190" spans="1:14" x14ac:dyDescent="0.3">
      <c r="A190" s="2">
        <f>DATE(VALUE(RIGHT(TRIM([1]Raw_Data!A188),4)),VALUE(MID(TRIM([1]Raw_Data!A188),4,2)),VALUE(LEFT(TRIM([1]Raw_Data!A188),2)))</f>
        <v>43913</v>
      </c>
      <c r="B190" s="3" t="str">
        <f>TRIM([1]Raw_Data!B188)</f>
        <v>Ashwagandha</v>
      </c>
      <c r="C190" s="3" t="str">
        <f>TRIM([1]Raw_Data!C188)</f>
        <v>Herbal</v>
      </c>
      <c r="D190" s="3">
        <f>[1]Raw_Data!D188</f>
        <v>160</v>
      </c>
      <c r="E190" s="4">
        <f>[1]Raw_Data!E188</f>
        <v>27.4</v>
      </c>
      <c r="F190" s="5">
        <f>[1]Raw_Data!F188</f>
        <v>4384</v>
      </c>
      <c r="G190" s="4">
        <f>[1]Raw_Data!G188</f>
        <v>0.09</v>
      </c>
      <c r="H190" s="3">
        <f>[1]Raw_Data!H188</f>
        <v>0</v>
      </c>
      <c r="I190" s="3" t="str">
        <f>TRIM([1]Raw_Data!I188)</f>
        <v>USA</v>
      </c>
      <c r="J190" s="3" t="str">
        <f>TRIM([1]Raw_Data!J188)</f>
        <v>Amazon</v>
      </c>
      <c r="K190" s="3">
        <f t="shared" si="8"/>
        <v>2020</v>
      </c>
      <c r="L190" s="6">
        <f t="shared" si="9"/>
        <v>43891</v>
      </c>
      <c r="M190" s="3" t="str">
        <f t="shared" si="10"/>
        <v>6% to 10%</v>
      </c>
      <c r="N190" s="3" t="str">
        <f t="shared" si="11"/>
        <v>OK</v>
      </c>
    </row>
    <row r="191" spans="1:14" x14ac:dyDescent="0.3">
      <c r="A191" s="2">
        <f>DATE(VALUE(RIGHT(TRIM([1]Raw_Data!A189),4)),VALUE(MID(TRIM([1]Raw_Data!A189),4,2)),VALUE(LEFT(TRIM([1]Raw_Data!A189),2)))</f>
        <v>43913</v>
      </c>
      <c r="B191" s="3" t="str">
        <f>TRIM([1]Raw_Data!B189)</f>
        <v>Melatonin</v>
      </c>
      <c r="C191" s="3" t="str">
        <f>TRIM([1]Raw_Data!C189)</f>
        <v>Sleep Aid</v>
      </c>
      <c r="D191" s="3">
        <f>[1]Raw_Data!D189</f>
        <v>143</v>
      </c>
      <c r="E191" s="4">
        <f>[1]Raw_Data!E189</f>
        <v>58.71</v>
      </c>
      <c r="F191" s="5">
        <f>[1]Raw_Data!F189</f>
        <v>8395.5300000000007</v>
      </c>
      <c r="G191" s="4">
        <f>[1]Raw_Data!G189</f>
        <v>0.21</v>
      </c>
      <c r="H191" s="3">
        <f>[1]Raw_Data!H189</f>
        <v>0</v>
      </c>
      <c r="I191" s="3" t="str">
        <f>TRIM([1]Raw_Data!I189)</f>
        <v>Canada</v>
      </c>
      <c r="J191" s="3" t="str">
        <f>TRIM([1]Raw_Data!J189)</f>
        <v>iHerb</v>
      </c>
      <c r="K191" s="3">
        <f t="shared" si="8"/>
        <v>2020</v>
      </c>
      <c r="L191" s="6">
        <f t="shared" si="9"/>
        <v>43891</v>
      </c>
      <c r="M191" s="3" t="str">
        <f t="shared" si="10"/>
        <v>21% to 25%</v>
      </c>
      <c r="N191" s="3" t="str">
        <f t="shared" si="11"/>
        <v>OK</v>
      </c>
    </row>
    <row r="192" spans="1:14" x14ac:dyDescent="0.3">
      <c r="A192" s="2">
        <f>DATE(VALUE(RIGHT(TRIM([1]Raw_Data!A190),4)),VALUE(MID(TRIM([1]Raw_Data!A190),4,2)),VALUE(LEFT(TRIM([1]Raw_Data!A190),2)))</f>
        <v>43913</v>
      </c>
      <c r="B192" s="3" t="str">
        <f>TRIM([1]Raw_Data!B190)</f>
        <v>Biotin</v>
      </c>
      <c r="C192" s="3" t="str">
        <f>TRIM([1]Raw_Data!C190)</f>
        <v>Vitamin</v>
      </c>
      <c r="D192" s="3">
        <f>[1]Raw_Data!D190</f>
        <v>168</v>
      </c>
      <c r="E192" s="4">
        <f>[1]Raw_Data!E190</f>
        <v>49.02</v>
      </c>
      <c r="F192" s="5">
        <f>[1]Raw_Data!F190</f>
        <v>8235.36</v>
      </c>
      <c r="G192" s="4">
        <f>[1]Raw_Data!G190</f>
        <v>0.11</v>
      </c>
      <c r="H192" s="3">
        <f>[1]Raw_Data!H190</f>
        <v>1</v>
      </c>
      <c r="I192" s="3" t="str">
        <f>TRIM([1]Raw_Data!I190)</f>
        <v>USA</v>
      </c>
      <c r="J192" s="3" t="str">
        <f>TRIM([1]Raw_Data!J190)</f>
        <v>Amazon</v>
      </c>
      <c r="K192" s="3">
        <f t="shared" si="8"/>
        <v>2020</v>
      </c>
      <c r="L192" s="6">
        <f t="shared" si="9"/>
        <v>43891</v>
      </c>
      <c r="M192" s="3" t="str">
        <f t="shared" si="10"/>
        <v>11% to 15%</v>
      </c>
      <c r="N192" s="3" t="str">
        <f t="shared" si="11"/>
        <v>OK</v>
      </c>
    </row>
    <row r="193" spans="1:14" x14ac:dyDescent="0.3">
      <c r="A193" s="2">
        <f>DATE(VALUE(RIGHT(TRIM([1]Raw_Data!A191),4)),VALUE(MID(TRIM([1]Raw_Data!A191),4,2)),VALUE(LEFT(TRIM([1]Raw_Data!A191),2)))</f>
        <v>43913</v>
      </c>
      <c r="B193" s="3" t="str">
        <f>TRIM([1]Raw_Data!B191)</f>
        <v>Green Tea Extract</v>
      </c>
      <c r="C193" s="3" t="str">
        <f>TRIM([1]Raw_Data!C191)</f>
        <v>Fat Burner</v>
      </c>
      <c r="D193" s="3">
        <f>[1]Raw_Data!D191</f>
        <v>143</v>
      </c>
      <c r="E193" s="4">
        <f>[1]Raw_Data!E191</f>
        <v>21.41</v>
      </c>
      <c r="F193" s="5">
        <f>[1]Raw_Data!F191</f>
        <v>3061.63</v>
      </c>
      <c r="G193" s="4">
        <f>[1]Raw_Data!G191</f>
        <v>0.06</v>
      </c>
      <c r="H193" s="3">
        <f>[1]Raw_Data!H191</f>
        <v>1</v>
      </c>
      <c r="I193" s="3" t="str">
        <f>TRIM([1]Raw_Data!I191)</f>
        <v>Canada</v>
      </c>
      <c r="J193" s="3" t="str">
        <f>TRIM([1]Raw_Data!J191)</f>
        <v>Amazon</v>
      </c>
      <c r="K193" s="3">
        <f t="shared" si="8"/>
        <v>2020</v>
      </c>
      <c r="L193" s="6">
        <f t="shared" si="9"/>
        <v>43891</v>
      </c>
      <c r="M193" s="3" t="str">
        <f t="shared" si="10"/>
        <v>6% to 10%</v>
      </c>
      <c r="N193" s="3" t="str">
        <f t="shared" si="11"/>
        <v>OK</v>
      </c>
    </row>
    <row r="194" spans="1:14" x14ac:dyDescent="0.3">
      <c r="A194" s="2">
        <f>DATE(VALUE(RIGHT(TRIM([1]Raw_Data!A192),4)),VALUE(MID(TRIM([1]Raw_Data!A192),4,2)),VALUE(LEFT(TRIM([1]Raw_Data!A192),2)))</f>
        <v>43913</v>
      </c>
      <c r="B194" s="3" t="str">
        <f>TRIM([1]Raw_Data!B192)</f>
        <v>Iron Supplement</v>
      </c>
      <c r="C194" s="3" t="str">
        <f>TRIM([1]Raw_Data!C192)</f>
        <v>Mineral</v>
      </c>
      <c r="D194" s="3">
        <f>[1]Raw_Data!D192</f>
        <v>159</v>
      </c>
      <c r="E194" s="4">
        <f>[1]Raw_Data!E192</f>
        <v>12.89</v>
      </c>
      <c r="F194" s="5">
        <f>[1]Raw_Data!F192</f>
        <v>2049.5100000000002</v>
      </c>
      <c r="G194" s="4">
        <f>[1]Raw_Data!G192</f>
        <v>0.24</v>
      </c>
      <c r="H194" s="3">
        <f>[1]Raw_Data!H192</f>
        <v>4</v>
      </c>
      <c r="I194" s="3" t="str">
        <f>TRIM([1]Raw_Data!I192)</f>
        <v>USA</v>
      </c>
      <c r="J194" s="3" t="str">
        <f>TRIM([1]Raw_Data!J192)</f>
        <v>Amazon</v>
      </c>
      <c r="K194" s="3">
        <f t="shared" si="8"/>
        <v>2020</v>
      </c>
      <c r="L194" s="6">
        <f t="shared" si="9"/>
        <v>43891</v>
      </c>
      <c r="M194" s="3" t="str">
        <f t="shared" si="10"/>
        <v>21% to 25%</v>
      </c>
      <c r="N194" s="3" t="str">
        <f t="shared" si="11"/>
        <v>OK</v>
      </c>
    </row>
    <row r="195" spans="1:14" x14ac:dyDescent="0.3">
      <c r="A195" s="2">
        <f>DATE(VALUE(RIGHT(TRIM([1]Raw_Data!A193),4)),VALUE(MID(TRIM([1]Raw_Data!A193),4,2)),VALUE(LEFT(TRIM([1]Raw_Data!A193),2)))</f>
        <v>43913</v>
      </c>
      <c r="B195" s="3" t="str">
        <f>TRIM([1]Raw_Data!B193)</f>
        <v>Electrolyte Powder</v>
      </c>
      <c r="C195" s="3" t="str">
        <f>TRIM([1]Raw_Data!C193)</f>
        <v>Hydration</v>
      </c>
      <c r="D195" s="3">
        <f>[1]Raw_Data!D193</f>
        <v>151</v>
      </c>
      <c r="E195" s="4">
        <f>[1]Raw_Data!E193</f>
        <v>13.78</v>
      </c>
      <c r="F195" s="5">
        <f>[1]Raw_Data!F193</f>
        <v>2080.7800000000002</v>
      </c>
      <c r="G195" s="4">
        <f>[1]Raw_Data!G193</f>
        <v>0.09</v>
      </c>
      <c r="H195" s="3">
        <f>[1]Raw_Data!H193</f>
        <v>1</v>
      </c>
      <c r="I195" s="3" t="str">
        <f>TRIM([1]Raw_Data!I193)</f>
        <v>UK</v>
      </c>
      <c r="J195" s="3" t="str">
        <f>TRIM([1]Raw_Data!J193)</f>
        <v>Amazon</v>
      </c>
      <c r="K195" s="3">
        <f t="shared" si="8"/>
        <v>2020</v>
      </c>
      <c r="L195" s="6">
        <f t="shared" si="9"/>
        <v>43891</v>
      </c>
      <c r="M195" s="3" t="str">
        <f t="shared" si="10"/>
        <v>6% to 10%</v>
      </c>
      <c r="N195" s="3" t="str">
        <f t="shared" si="11"/>
        <v>OK</v>
      </c>
    </row>
    <row r="196" spans="1:14" x14ac:dyDescent="0.3">
      <c r="A196" s="2">
        <f>DATE(VALUE(RIGHT(TRIM([1]Raw_Data!A194),4)),VALUE(MID(TRIM([1]Raw_Data!A194),4,2)),VALUE(LEFT(TRIM([1]Raw_Data!A194),2)))</f>
        <v>43920</v>
      </c>
      <c r="B196" s="3" t="str">
        <f>TRIM([1]Raw_Data!B194)</f>
        <v>Whey Protein</v>
      </c>
      <c r="C196" s="3" t="str">
        <f>TRIM([1]Raw_Data!C194)</f>
        <v>Protein</v>
      </c>
      <c r="D196" s="3">
        <f>[1]Raw_Data!D194</f>
        <v>138</v>
      </c>
      <c r="E196" s="4">
        <f>[1]Raw_Data!E194</f>
        <v>41.12</v>
      </c>
      <c r="F196" s="5">
        <f>[1]Raw_Data!F194</f>
        <v>5674.56</v>
      </c>
      <c r="G196" s="4">
        <f>[1]Raw_Data!G194</f>
        <v>0.2</v>
      </c>
      <c r="H196" s="3">
        <f>[1]Raw_Data!H194</f>
        <v>1</v>
      </c>
      <c r="I196" s="3" t="str">
        <f>TRIM([1]Raw_Data!I194)</f>
        <v>Canada</v>
      </c>
      <c r="J196" s="3" t="str">
        <f>TRIM([1]Raw_Data!J194)</f>
        <v>iHerb</v>
      </c>
      <c r="K196" s="3">
        <f t="shared" ref="K196:K259" si="12">YEAR(A196)</f>
        <v>2020</v>
      </c>
      <c r="L196" s="6">
        <f t="shared" ref="L196:L259" si="13">DATE(YEAR(A196),MONTH(A196),1)</f>
        <v>43891</v>
      </c>
      <c r="M196" s="3" t="str">
        <f t="shared" ref="M196:M259" si="14">IF(ROUND(G196*100,0)&lt;=5,"0% to 5%",IF(ROUND(G196*100,0)&lt;=10,"6% to 10%",IF(ROUND(G196*100,0)&lt;=15,"11% to 15%",IF(ROUND(G196*100,0)&lt;=20,"16% to 20%","21% to 25%"))))</f>
        <v>16% to 20%</v>
      </c>
      <c r="N196" s="3" t="str">
        <f t="shared" ref="N196:N259" si="15">IF(ROUND(D196*E196,2)=ROUND(F196,2),"OK","Check")</f>
        <v>OK</v>
      </c>
    </row>
    <row r="197" spans="1:14" x14ac:dyDescent="0.3">
      <c r="A197" s="2">
        <f>DATE(VALUE(RIGHT(TRIM([1]Raw_Data!A195),4)),VALUE(MID(TRIM([1]Raw_Data!A195),4,2)),VALUE(LEFT(TRIM([1]Raw_Data!A195),2)))</f>
        <v>43920</v>
      </c>
      <c r="B197" s="3" t="str">
        <f>TRIM([1]Raw_Data!B195)</f>
        <v>Vitamin C</v>
      </c>
      <c r="C197" s="3" t="str">
        <f>TRIM([1]Raw_Data!C195)</f>
        <v>Vitamin</v>
      </c>
      <c r="D197" s="3">
        <f>[1]Raw_Data!D195</f>
        <v>135</v>
      </c>
      <c r="E197" s="4">
        <f>[1]Raw_Data!E195</f>
        <v>41.8</v>
      </c>
      <c r="F197" s="5">
        <f>[1]Raw_Data!F195</f>
        <v>5643</v>
      </c>
      <c r="G197" s="4">
        <f>[1]Raw_Data!G195</f>
        <v>0.1</v>
      </c>
      <c r="H197" s="3">
        <f>[1]Raw_Data!H195</f>
        <v>2</v>
      </c>
      <c r="I197" s="3" t="str">
        <f>TRIM([1]Raw_Data!I195)</f>
        <v>Canada</v>
      </c>
      <c r="J197" s="3" t="str">
        <f>TRIM([1]Raw_Data!J195)</f>
        <v>Amazon</v>
      </c>
      <c r="K197" s="3">
        <f t="shared" si="12"/>
        <v>2020</v>
      </c>
      <c r="L197" s="6">
        <f t="shared" si="13"/>
        <v>43891</v>
      </c>
      <c r="M197" s="3" t="str">
        <f t="shared" si="14"/>
        <v>6% to 10%</v>
      </c>
      <c r="N197" s="3" t="str">
        <f t="shared" si="15"/>
        <v>OK</v>
      </c>
    </row>
    <row r="198" spans="1:14" x14ac:dyDescent="0.3">
      <c r="A198" s="2">
        <f>DATE(VALUE(RIGHT(TRIM([1]Raw_Data!A196),4)),VALUE(MID(TRIM([1]Raw_Data!A196),4,2)),VALUE(LEFT(TRIM([1]Raw_Data!A196),2)))</f>
        <v>43920</v>
      </c>
      <c r="B198" s="3" t="str">
        <f>TRIM([1]Raw_Data!B196)</f>
        <v>Fish Oil</v>
      </c>
      <c r="C198" s="3" t="str">
        <f>TRIM([1]Raw_Data!C196)</f>
        <v>Omega</v>
      </c>
      <c r="D198" s="3">
        <f>[1]Raw_Data!D196</f>
        <v>141</v>
      </c>
      <c r="E198" s="4">
        <f>[1]Raw_Data!E196</f>
        <v>55.87</v>
      </c>
      <c r="F198" s="5">
        <f>[1]Raw_Data!F196</f>
        <v>7877.67</v>
      </c>
      <c r="G198" s="4">
        <f>[1]Raw_Data!G196</f>
        <v>7.0000000000000007E-2</v>
      </c>
      <c r="H198" s="3">
        <f>[1]Raw_Data!H196</f>
        <v>1</v>
      </c>
      <c r="I198" s="3" t="str">
        <f>TRIM([1]Raw_Data!I196)</f>
        <v>USA</v>
      </c>
      <c r="J198" s="3" t="str">
        <f>TRIM([1]Raw_Data!J196)</f>
        <v>Amazon</v>
      </c>
      <c r="K198" s="3">
        <f t="shared" si="12"/>
        <v>2020</v>
      </c>
      <c r="L198" s="6">
        <f t="shared" si="13"/>
        <v>43891</v>
      </c>
      <c r="M198" s="3" t="str">
        <f t="shared" si="14"/>
        <v>6% to 10%</v>
      </c>
      <c r="N198" s="3" t="str">
        <f t="shared" si="15"/>
        <v>OK</v>
      </c>
    </row>
    <row r="199" spans="1:14" x14ac:dyDescent="0.3">
      <c r="A199" s="2">
        <f>DATE(VALUE(RIGHT(TRIM([1]Raw_Data!A197),4)),VALUE(MID(TRIM([1]Raw_Data!A197),4,2)),VALUE(LEFT(TRIM([1]Raw_Data!A197),2)))</f>
        <v>43920</v>
      </c>
      <c r="B199" s="3" t="str">
        <f>TRIM([1]Raw_Data!B197)</f>
        <v>Multivitamin</v>
      </c>
      <c r="C199" s="3" t="str">
        <f>TRIM([1]Raw_Data!C197)</f>
        <v>Vitamin</v>
      </c>
      <c r="D199" s="3">
        <f>[1]Raw_Data!D197</f>
        <v>168</v>
      </c>
      <c r="E199" s="4">
        <f>[1]Raw_Data!E197</f>
        <v>13.11</v>
      </c>
      <c r="F199" s="5">
        <f>[1]Raw_Data!F197</f>
        <v>2202.48</v>
      </c>
      <c r="G199" s="4">
        <f>[1]Raw_Data!G197</f>
        <v>0.04</v>
      </c>
      <c r="H199" s="3">
        <f>[1]Raw_Data!H197</f>
        <v>0</v>
      </c>
      <c r="I199" s="3" t="str">
        <f>TRIM([1]Raw_Data!I197)</f>
        <v>UK</v>
      </c>
      <c r="J199" s="3" t="str">
        <f>TRIM([1]Raw_Data!J197)</f>
        <v>Amazon</v>
      </c>
      <c r="K199" s="3">
        <f t="shared" si="12"/>
        <v>2020</v>
      </c>
      <c r="L199" s="6">
        <f t="shared" si="13"/>
        <v>43891</v>
      </c>
      <c r="M199" s="3" t="str">
        <f t="shared" si="14"/>
        <v>0% to 5%</v>
      </c>
      <c r="N199" s="3" t="str">
        <f t="shared" si="15"/>
        <v>OK</v>
      </c>
    </row>
    <row r="200" spans="1:14" x14ac:dyDescent="0.3">
      <c r="A200" s="2">
        <f>DATE(VALUE(RIGHT(TRIM([1]Raw_Data!A198),4)),VALUE(MID(TRIM([1]Raw_Data!A198),4,2)),VALUE(LEFT(TRIM([1]Raw_Data!A198),2)))</f>
        <v>43920</v>
      </c>
      <c r="B200" s="3" t="str">
        <f>TRIM([1]Raw_Data!B198)</f>
        <v>Pre-Workout</v>
      </c>
      <c r="C200" s="3" t="str">
        <f>TRIM([1]Raw_Data!C198)</f>
        <v>Performance</v>
      </c>
      <c r="D200" s="3">
        <f>[1]Raw_Data!D198</f>
        <v>155</v>
      </c>
      <c r="E200" s="4">
        <f>[1]Raw_Data!E198</f>
        <v>16.71</v>
      </c>
      <c r="F200" s="5">
        <f>[1]Raw_Data!F198</f>
        <v>2590.0500000000002</v>
      </c>
      <c r="G200" s="4">
        <f>[1]Raw_Data!G198</f>
        <v>0.24</v>
      </c>
      <c r="H200" s="3">
        <f>[1]Raw_Data!H198</f>
        <v>1</v>
      </c>
      <c r="I200" s="3" t="str">
        <f>TRIM([1]Raw_Data!I198)</f>
        <v>USA</v>
      </c>
      <c r="J200" s="3" t="str">
        <f>TRIM([1]Raw_Data!J198)</f>
        <v>Amazon</v>
      </c>
      <c r="K200" s="3">
        <f t="shared" si="12"/>
        <v>2020</v>
      </c>
      <c r="L200" s="6">
        <f t="shared" si="13"/>
        <v>43891</v>
      </c>
      <c r="M200" s="3" t="str">
        <f t="shared" si="14"/>
        <v>21% to 25%</v>
      </c>
      <c r="N200" s="3" t="str">
        <f t="shared" si="15"/>
        <v>OK</v>
      </c>
    </row>
    <row r="201" spans="1:14" x14ac:dyDescent="0.3">
      <c r="A201" s="2">
        <f>DATE(VALUE(RIGHT(TRIM([1]Raw_Data!A199),4)),VALUE(MID(TRIM([1]Raw_Data!A199),4,2)),VALUE(LEFT(TRIM([1]Raw_Data!A199),2)))</f>
        <v>43920</v>
      </c>
      <c r="B201" s="3" t="str">
        <f>TRIM([1]Raw_Data!B199)</f>
        <v>BCAA</v>
      </c>
      <c r="C201" s="3" t="str">
        <f>TRIM([1]Raw_Data!C199)</f>
        <v>Amino Acid</v>
      </c>
      <c r="D201" s="3">
        <f>[1]Raw_Data!D199</f>
        <v>140</v>
      </c>
      <c r="E201" s="4">
        <f>[1]Raw_Data!E199</f>
        <v>43.98</v>
      </c>
      <c r="F201" s="5">
        <f>[1]Raw_Data!F199</f>
        <v>6157.2</v>
      </c>
      <c r="G201" s="4">
        <f>[1]Raw_Data!G199</f>
        <v>0.02</v>
      </c>
      <c r="H201" s="3">
        <f>[1]Raw_Data!H199</f>
        <v>1</v>
      </c>
      <c r="I201" s="3" t="str">
        <f>TRIM([1]Raw_Data!I199)</f>
        <v>UK</v>
      </c>
      <c r="J201" s="3" t="str">
        <f>TRIM([1]Raw_Data!J199)</f>
        <v>Walmart</v>
      </c>
      <c r="K201" s="3">
        <f t="shared" si="12"/>
        <v>2020</v>
      </c>
      <c r="L201" s="6">
        <f t="shared" si="13"/>
        <v>43891</v>
      </c>
      <c r="M201" s="3" t="str">
        <f t="shared" si="14"/>
        <v>0% to 5%</v>
      </c>
      <c r="N201" s="3" t="str">
        <f t="shared" si="15"/>
        <v>OK</v>
      </c>
    </row>
    <row r="202" spans="1:14" x14ac:dyDescent="0.3">
      <c r="A202" s="2">
        <f>DATE(VALUE(RIGHT(TRIM([1]Raw_Data!A200),4)),VALUE(MID(TRIM([1]Raw_Data!A200),4,2)),VALUE(LEFT(TRIM([1]Raw_Data!A200),2)))</f>
        <v>43920</v>
      </c>
      <c r="B202" s="3" t="str">
        <f>TRIM([1]Raw_Data!B200)</f>
        <v>Creatine</v>
      </c>
      <c r="C202" s="3" t="str">
        <f>TRIM([1]Raw_Data!C200)</f>
        <v>Performance</v>
      </c>
      <c r="D202" s="3">
        <f>[1]Raw_Data!D200</f>
        <v>162</v>
      </c>
      <c r="E202" s="4">
        <f>[1]Raw_Data!E200</f>
        <v>37.33</v>
      </c>
      <c r="F202" s="5">
        <f>[1]Raw_Data!F200</f>
        <v>6047.46</v>
      </c>
      <c r="G202" s="4">
        <f>[1]Raw_Data!G200</f>
        <v>0.11</v>
      </c>
      <c r="H202" s="3">
        <f>[1]Raw_Data!H200</f>
        <v>0</v>
      </c>
      <c r="I202" s="3" t="str">
        <f>TRIM([1]Raw_Data!I200)</f>
        <v>USA</v>
      </c>
      <c r="J202" s="3" t="str">
        <f>TRIM([1]Raw_Data!J200)</f>
        <v>Amazon</v>
      </c>
      <c r="K202" s="3">
        <f t="shared" si="12"/>
        <v>2020</v>
      </c>
      <c r="L202" s="6">
        <f t="shared" si="13"/>
        <v>43891</v>
      </c>
      <c r="M202" s="3" t="str">
        <f t="shared" si="14"/>
        <v>11% to 15%</v>
      </c>
      <c r="N202" s="3" t="str">
        <f t="shared" si="15"/>
        <v>OK</v>
      </c>
    </row>
    <row r="203" spans="1:14" x14ac:dyDescent="0.3">
      <c r="A203" s="2">
        <f>DATE(VALUE(RIGHT(TRIM([1]Raw_Data!A201),4)),VALUE(MID(TRIM([1]Raw_Data!A201),4,2)),VALUE(LEFT(TRIM([1]Raw_Data!A201),2)))</f>
        <v>43920</v>
      </c>
      <c r="B203" s="3" t="str">
        <f>TRIM([1]Raw_Data!B201)</f>
        <v>Zinc</v>
      </c>
      <c r="C203" s="3" t="str">
        <f>TRIM([1]Raw_Data!C201)</f>
        <v>Mineral</v>
      </c>
      <c r="D203" s="3">
        <f>[1]Raw_Data!D201</f>
        <v>136</v>
      </c>
      <c r="E203" s="4">
        <f>[1]Raw_Data!E201</f>
        <v>20.46</v>
      </c>
      <c r="F203" s="5">
        <f>[1]Raw_Data!F201</f>
        <v>2782.56</v>
      </c>
      <c r="G203" s="4">
        <f>[1]Raw_Data!G201</f>
        <v>0.01</v>
      </c>
      <c r="H203" s="3">
        <f>[1]Raw_Data!H201</f>
        <v>2</v>
      </c>
      <c r="I203" s="3" t="str">
        <f>TRIM([1]Raw_Data!I201)</f>
        <v>USA</v>
      </c>
      <c r="J203" s="3" t="str">
        <f>TRIM([1]Raw_Data!J201)</f>
        <v>Amazon</v>
      </c>
      <c r="K203" s="3">
        <f t="shared" si="12"/>
        <v>2020</v>
      </c>
      <c r="L203" s="6">
        <f t="shared" si="13"/>
        <v>43891</v>
      </c>
      <c r="M203" s="3" t="str">
        <f t="shared" si="14"/>
        <v>0% to 5%</v>
      </c>
      <c r="N203" s="3" t="str">
        <f t="shared" si="15"/>
        <v>OK</v>
      </c>
    </row>
    <row r="204" spans="1:14" x14ac:dyDescent="0.3">
      <c r="A204" s="2">
        <f>DATE(VALUE(RIGHT(TRIM([1]Raw_Data!A202),4)),VALUE(MID(TRIM([1]Raw_Data!A202),4,2)),VALUE(LEFT(TRIM([1]Raw_Data!A202),2)))</f>
        <v>43920</v>
      </c>
      <c r="B204" s="3" t="str">
        <f>TRIM([1]Raw_Data!B202)</f>
        <v>Collagen Peptides</v>
      </c>
      <c r="C204" s="3" t="str">
        <f>TRIM([1]Raw_Data!C202)</f>
        <v>Protein</v>
      </c>
      <c r="D204" s="3">
        <f>[1]Raw_Data!D202</f>
        <v>165</v>
      </c>
      <c r="E204" s="4">
        <f>[1]Raw_Data!E202</f>
        <v>58.03</v>
      </c>
      <c r="F204" s="5">
        <f>[1]Raw_Data!F202</f>
        <v>9574.9500000000007</v>
      </c>
      <c r="G204" s="4">
        <f>[1]Raw_Data!G202</f>
        <v>0.05</v>
      </c>
      <c r="H204" s="3">
        <f>[1]Raw_Data!H202</f>
        <v>4</v>
      </c>
      <c r="I204" s="3" t="str">
        <f>TRIM([1]Raw_Data!I202)</f>
        <v>Canada</v>
      </c>
      <c r="J204" s="3" t="str">
        <f>TRIM([1]Raw_Data!J202)</f>
        <v>iHerb</v>
      </c>
      <c r="K204" s="3">
        <f t="shared" si="12"/>
        <v>2020</v>
      </c>
      <c r="L204" s="6">
        <f t="shared" si="13"/>
        <v>43891</v>
      </c>
      <c r="M204" s="3" t="str">
        <f t="shared" si="14"/>
        <v>0% to 5%</v>
      </c>
      <c r="N204" s="3" t="str">
        <f t="shared" si="15"/>
        <v>OK</v>
      </c>
    </row>
    <row r="205" spans="1:14" x14ac:dyDescent="0.3">
      <c r="A205" s="2">
        <f>DATE(VALUE(RIGHT(TRIM([1]Raw_Data!A203),4)),VALUE(MID(TRIM([1]Raw_Data!A203),4,2)),VALUE(LEFT(TRIM([1]Raw_Data!A203),2)))</f>
        <v>43920</v>
      </c>
      <c r="B205" s="3" t="str">
        <f>TRIM([1]Raw_Data!B203)</f>
        <v>Magnesium</v>
      </c>
      <c r="C205" s="3" t="str">
        <f>TRIM([1]Raw_Data!C203)</f>
        <v>Mineral</v>
      </c>
      <c r="D205" s="3">
        <f>[1]Raw_Data!D203</f>
        <v>141</v>
      </c>
      <c r="E205" s="4">
        <f>[1]Raw_Data!E203</f>
        <v>39.68</v>
      </c>
      <c r="F205" s="5">
        <f>[1]Raw_Data!F203</f>
        <v>5594.88</v>
      </c>
      <c r="G205" s="4">
        <f>[1]Raw_Data!G203</f>
        <v>0.02</v>
      </c>
      <c r="H205" s="3">
        <f>[1]Raw_Data!H203</f>
        <v>2</v>
      </c>
      <c r="I205" s="3" t="str">
        <f>TRIM([1]Raw_Data!I203)</f>
        <v>UK</v>
      </c>
      <c r="J205" s="3" t="str">
        <f>TRIM([1]Raw_Data!J203)</f>
        <v>iHerb</v>
      </c>
      <c r="K205" s="3">
        <f t="shared" si="12"/>
        <v>2020</v>
      </c>
      <c r="L205" s="6">
        <f t="shared" si="13"/>
        <v>43891</v>
      </c>
      <c r="M205" s="3" t="str">
        <f t="shared" si="14"/>
        <v>0% to 5%</v>
      </c>
      <c r="N205" s="3" t="str">
        <f t="shared" si="15"/>
        <v>OK</v>
      </c>
    </row>
    <row r="206" spans="1:14" x14ac:dyDescent="0.3">
      <c r="A206" s="2">
        <f>DATE(VALUE(RIGHT(TRIM([1]Raw_Data!A204),4)),VALUE(MID(TRIM([1]Raw_Data!A204),4,2)),VALUE(LEFT(TRIM([1]Raw_Data!A204),2)))</f>
        <v>43920</v>
      </c>
      <c r="B206" s="3" t="str">
        <f>TRIM([1]Raw_Data!B204)</f>
        <v>Ashwagandha</v>
      </c>
      <c r="C206" s="3" t="str">
        <f>TRIM([1]Raw_Data!C204)</f>
        <v>Herbal</v>
      </c>
      <c r="D206" s="3">
        <f>[1]Raw_Data!D204</f>
        <v>160</v>
      </c>
      <c r="E206" s="4">
        <f>[1]Raw_Data!E204</f>
        <v>33.85</v>
      </c>
      <c r="F206" s="5">
        <f>[1]Raw_Data!F204</f>
        <v>5416</v>
      </c>
      <c r="G206" s="4">
        <f>[1]Raw_Data!G204</f>
        <v>0.18</v>
      </c>
      <c r="H206" s="3">
        <f>[1]Raw_Data!H204</f>
        <v>1</v>
      </c>
      <c r="I206" s="3" t="str">
        <f>TRIM([1]Raw_Data!I204)</f>
        <v>USA</v>
      </c>
      <c r="J206" s="3" t="str">
        <f>TRIM([1]Raw_Data!J204)</f>
        <v>Walmart</v>
      </c>
      <c r="K206" s="3">
        <f t="shared" si="12"/>
        <v>2020</v>
      </c>
      <c r="L206" s="6">
        <f t="shared" si="13"/>
        <v>43891</v>
      </c>
      <c r="M206" s="3" t="str">
        <f t="shared" si="14"/>
        <v>16% to 20%</v>
      </c>
      <c r="N206" s="3" t="str">
        <f t="shared" si="15"/>
        <v>OK</v>
      </c>
    </row>
    <row r="207" spans="1:14" x14ac:dyDescent="0.3">
      <c r="A207" s="2">
        <f>DATE(VALUE(RIGHT(TRIM([1]Raw_Data!A205),4)),VALUE(MID(TRIM([1]Raw_Data!A205),4,2)),VALUE(LEFT(TRIM([1]Raw_Data!A205),2)))</f>
        <v>43920</v>
      </c>
      <c r="B207" s="3" t="str">
        <f>TRIM([1]Raw_Data!B205)</f>
        <v>Melatonin</v>
      </c>
      <c r="C207" s="3" t="str">
        <f>TRIM([1]Raw_Data!C205)</f>
        <v>Sleep Aid</v>
      </c>
      <c r="D207" s="3">
        <f>[1]Raw_Data!D205</f>
        <v>155</v>
      </c>
      <c r="E207" s="4">
        <f>[1]Raw_Data!E205</f>
        <v>18.13</v>
      </c>
      <c r="F207" s="5">
        <f>[1]Raw_Data!F205</f>
        <v>2810.15</v>
      </c>
      <c r="G207" s="4">
        <f>[1]Raw_Data!G205</f>
        <v>0.14000000000000001</v>
      </c>
      <c r="H207" s="3">
        <f>[1]Raw_Data!H205</f>
        <v>2</v>
      </c>
      <c r="I207" s="3" t="str">
        <f>TRIM([1]Raw_Data!I205)</f>
        <v>UK</v>
      </c>
      <c r="J207" s="3" t="str">
        <f>TRIM([1]Raw_Data!J205)</f>
        <v>iHerb</v>
      </c>
      <c r="K207" s="3">
        <f t="shared" si="12"/>
        <v>2020</v>
      </c>
      <c r="L207" s="6">
        <f t="shared" si="13"/>
        <v>43891</v>
      </c>
      <c r="M207" s="3" t="str">
        <f t="shared" si="14"/>
        <v>11% to 15%</v>
      </c>
      <c r="N207" s="3" t="str">
        <f t="shared" si="15"/>
        <v>OK</v>
      </c>
    </row>
    <row r="208" spans="1:14" x14ac:dyDescent="0.3">
      <c r="A208" s="2">
        <f>DATE(VALUE(RIGHT(TRIM([1]Raw_Data!A206),4)),VALUE(MID(TRIM([1]Raw_Data!A206),4,2)),VALUE(LEFT(TRIM([1]Raw_Data!A206),2)))</f>
        <v>43920</v>
      </c>
      <c r="B208" s="3" t="str">
        <f>TRIM([1]Raw_Data!B206)</f>
        <v>Biotin</v>
      </c>
      <c r="C208" s="3" t="str">
        <f>TRIM([1]Raw_Data!C206)</f>
        <v>Vitamin</v>
      </c>
      <c r="D208" s="3">
        <f>[1]Raw_Data!D206</f>
        <v>150</v>
      </c>
      <c r="E208" s="4">
        <f>[1]Raw_Data!E206</f>
        <v>10.45</v>
      </c>
      <c r="F208" s="5">
        <f>[1]Raw_Data!F206</f>
        <v>1567.5</v>
      </c>
      <c r="G208" s="4">
        <f>[1]Raw_Data!G206</f>
        <v>0.09</v>
      </c>
      <c r="H208" s="3">
        <f>[1]Raw_Data!H206</f>
        <v>3</v>
      </c>
      <c r="I208" s="3" t="str">
        <f>TRIM([1]Raw_Data!I206)</f>
        <v>UK</v>
      </c>
      <c r="J208" s="3" t="str">
        <f>TRIM([1]Raw_Data!J206)</f>
        <v>Amazon</v>
      </c>
      <c r="K208" s="3">
        <f t="shared" si="12"/>
        <v>2020</v>
      </c>
      <c r="L208" s="6">
        <f t="shared" si="13"/>
        <v>43891</v>
      </c>
      <c r="M208" s="3" t="str">
        <f t="shared" si="14"/>
        <v>6% to 10%</v>
      </c>
      <c r="N208" s="3" t="str">
        <f t="shared" si="15"/>
        <v>OK</v>
      </c>
    </row>
    <row r="209" spans="1:14" x14ac:dyDescent="0.3">
      <c r="A209" s="2">
        <f>DATE(VALUE(RIGHT(TRIM([1]Raw_Data!A207),4)),VALUE(MID(TRIM([1]Raw_Data!A207),4,2)),VALUE(LEFT(TRIM([1]Raw_Data!A207),2)))</f>
        <v>43920</v>
      </c>
      <c r="B209" s="3" t="str">
        <f>TRIM([1]Raw_Data!B207)</f>
        <v>Green Tea Extract</v>
      </c>
      <c r="C209" s="3" t="str">
        <f>TRIM([1]Raw_Data!C207)</f>
        <v>Fat Burner</v>
      </c>
      <c r="D209" s="3">
        <f>[1]Raw_Data!D207</f>
        <v>140</v>
      </c>
      <c r="E209" s="4">
        <f>[1]Raw_Data!E207</f>
        <v>21.1</v>
      </c>
      <c r="F209" s="5">
        <f>[1]Raw_Data!F207</f>
        <v>2954</v>
      </c>
      <c r="G209" s="4">
        <f>[1]Raw_Data!G207</f>
        <v>0.08</v>
      </c>
      <c r="H209" s="3">
        <f>[1]Raw_Data!H207</f>
        <v>3</v>
      </c>
      <c r="I209" s="3" t="str">
        <f>TRIM([1]Raw_Data!I207)</f>
        <v>USA</v>
      </c>
      <c r="J209" s="3" t="str">
        <f>TRIM([1]Raw_Data!J207)</f>
        <v>iHerb</v>
      </c>
      <c r="K209" s="3">
        <f t="shared" si="12"/>
        <v>2020</v>
      </c>
      <c r="L209" s="6">
        <f t="shared" si="13"/>
        <v>43891</v>
      </c>
      <c r="M209" s="3" t="str">
        <f t="shared" si="14"/>
        <v>6% to 10%</v>
      </c>
      <c r="N209" s="3" t="str">
        <f t="shared" si="15"/>
        <v>OK</v>
      </c>
    </row>
    <row r="210" spans="1:14" x14ac:dyDescent="0.3">
      <c r="A210" s="2">
        <f>DATE(VALUE(RIGHT(TRIM([1]Raw_Data!A208),4)),VALUE(MID(TRIM([1]Raw_Data!A208),4,2)),VALUE(LEFT(TRIM([1]Raw_Data!A208),2)))</f>
        <v>43920</v>
      </c>
      <c r="B210" s="3" t="str">
        <f>TRIM([1]Raw_Data!B208)</f>
        <v>Iron Supplement</v>
      </c>
      <c r="C210" s="3" t="str">
        <f>TRIM([1]Raw_Data!C208)</f>
        <v>Mineral</v>
      </c>
      <c r="D210" s="3">
        <f>[1]Raw_Data!D208</f>
        <v>158</v>
      </c>
      <c r="E210" s="4">
        <f>[1]Raw_Data!E208</f>
        <v>31.44</v>
      </c>
      <c r="F210" s="5">
        <f>[1]Raw_Data!F208</f>
        <v>4967.5200000000004</v>
      </c>
      <c r="G210" s="4">
        <f>[1]Raw_Data!G208</f>
        <v>0.01</v>
      </c>
      <c r="H210" s="3">
        <f>[1]Raw_Data!H208</f>
        <v>1</v>
      </c>
      <c r="I210" s="3" t="str">
        <f>TRIM([1]Raw_Data!I208)</f>
        <v>UK</v>
      </c>
      <c r="J210" s="3" t="str">
        <f>TRIM([1]Raw_Data!J208)</f>
        <v>iHerb</v>
      </c>
      <c r="K210" s="3">
        <f t="shared" si="12"/>
        <v>2020</v>
      </c>
      <c r="L210" s="6">
        <f t="shared" si="13"/>
        <v>43891</v>
      </c>
      <c r="M210" s="3" t="str">
        <f t="shared" si="14"/>
        <v>0% to 5%</v>
      </c>
      <c r="N210" s="3" t="str">
        <f t="shared" si="15"/>
        <v>OK</v>
      </c>
    </row>
    <row r="211" spans="1:14" x14ac:dyDescent="0.3">
      <c r="A211" s="2">
        <f>DATE(VALUE(RIGHT(TRIM([1]Raw_Data!A209),4)),VALUE(MID(TRIM([1]Raw_Data!A209),4,2)),VALUE(LEFT(TRIM([1]Raw_Data!A209),2)))</f>
        <v>43920</v>
      </c>
      <c r="B211" s="3" t="str">
        <f>TRIM([1]Raw_Data!B209)</f>
        <v>Electrolyte Powder</v>
      </c>
      <c r="C211" s="3" t="str">
        <f>TRIM([1]Raw_Data!C209)</f>
        <v>Hydration</v>
      </c>
      <c r="D211" s="3">
        <f>[1]Raw_Data!D209</f>
        <v>156</v>
      </c>
      <c r="E211" s="4">
        <f>[1]Raw_Data!E209</f>
        <v>24.44</v>
      </c>
      <c r="F211" s="5">
        <f>[1]Raw_Data!F209</f>
        <v>3812.64</v>
      </c>
      <c r="G211" s="4">
        <f>[1]Raw_Data!G209</f>
        <v>0.1</v>
      </c>
      <c r="H211" s="3">
        <f>[1]Raw_Data!H209</f>
        <v>3</v>
      </c>
      <c r="I211" s="3" t="str">
        <f>TRIM([1]Raw_Data!I209)</f>
        <v>USA</v>
      </c>
      <c r="J211" s="3" t="str">
        <f>TRIM([1]Raw_Data!J209)</f>
        <v>Amazon</v>
      </c>
      <c r="K211" s="3">
        <f t="shared" si="12"/>
        <v>2020</v>
      </c>
      <c r="L211" s="6">
        <f t="shared" si="13"/>
        <v>43891</v>
      </c>
      <c r="M211" s="3" t="str">
        <f t="shared" si="14"/>
        <v>6% to 10%</v>
      </c>
      <c r="N211" s="3" t="str">
        <f t="shared" si="15"/>
        <v>OK</v>
      </c>
    </row>
    <row r="212" spans="1:14" x14ac:dyDescent="0.3">
      <c r="A212" s="2">
        <f>DATE(VALUE(RIGHT(TRIM([1]Raw_Data!A210),4)),VALUE(MID(TRIM([1]Raw_Data!A210),4,2)),VALUE(LEFT(TRIM([1]Raw_Data!A210),2)))</f>
        <v>43927</v>
      </c>
      <c r="B212" s="3" t="str">
        <f>TRIM([1]Raw_Data!B210)</f>
        <v>Whey Protein</v>
      </c>
      <c r="C212" s="3" t="str">
        <f>TRIM([1]Raw_Data!C210)</f>
        <v>Protein</v>
      </c>
      <c r="D212" s="3">
        <f>[1]Raw_Data!D210</f>
        <v>160</v>
      </c>
      <c r="E212" s="4">
        <f>[1]Raw_Data!E210</f>
        <v>29.62</v>
      </c>
      <c r="F212" s="5">
        <f>[1]Raw_Data!F210</f>
        <v>4739.2</v>
      </c>
      <c r="G212" s="4">
        <f>[1]Raw_Data!G210</f>
        <v>0.19</v>
      </c>
      <c r="H212" s="3">
        <f>[1]Raw_Data!H210</f>
        <v>3</v>
      </c>
      <c r="I212" s="3" t="str">
        <f>TRIM([1]Raw_Data!I210)</f>
        <v>UK</v>
      </c>
      <c r="J212" s="3" t="str">
        <f>TRIM([1]Raw_Data!J210)</f>
        <v>iHerb</v>
      </c>
      <c r="K212" s="3">
        <f t="shared" si="12"/>
        <v>2020</v>
      </c>
      <c r="L212" s="6">
        <f t="shared" si="13"/>
        <v>43922</v>
      </c>
      <c r="M212" s="3" t="str">
        <f t="shared" si="14"/>
        <v>16% to 20%</v>
      </c>
      <c r="N212" s="3" t="str">
        <f t="shared" si="15"/>
        <v>OK</v>
      </c>
    </row>
    <row r="213" spans="1:14" x14ac:dyDescent="0.3">
      <c r="A213" s="2">
        <f>DATE(VALUE(RIGHT(TRIM([1]Raw_Data!A211),4)),VALUE(MID(TRIM([1]Raw_Data!A211),4,2)),VALUE(LEFT(TRIM([1]Raw_Data!A211),2)))</f>
        <v>43927</v>
      </c>
      <c r="B213" s="3" t="str">
        <f>TRIM([1]Raw_Data!B211)</f>
        <v>Vitamin C</v>
      </c>
      <c r="C213" s="3" t="str">
        <f>TRIM([1]Raw_Data!C211)</f>
        <v>Vitamin</v>
      </c>
      <c r="D213" s="3">
        <f>[1]Raw_Data!D211</f>
        <v>178</v>
      </c>
      <c r="E213" s="4">
        <f>[1]Raw_Data!E211</f>
        <v>27.86</v>
      </c>
      <c r="F213" s="5">
        <f>[1]Raw_Data!F211</f>
        <v>4959.08</v>
      </c>
      <c r="G213" s="4">
        <f>[1]Raw_Data!G211</f>
        <v>0.2</v>
      </c>
      <c r="H213" s="3">
        <f>[1]Raw_Data!H211</f>
        <v>1</v>
      </c>
      <c r="I213" s="3" t="str">
        <f>TRIM([1]Raw_Data!I211)</f>
        <v>UK</v>
      </c>
      <c r="J213" s="3" t="str">
        <f>TRIM([1]Raw_Data!J211)</f>
        <v>Walmart</v>
      </c>
      <c r="K213" s="3">
        <f t="shared" si="12"/>
        <v>2020</v>
      </c>
      <c r="L213" s="6">
        <f t="shared" si="13"/>
        <v>43922</v>
      </c>
      <c r="M213" s="3" t="str">
        <f t="shared" si="14"/>
        <v>16% to 20%</v>
      </c>
      <c r="N213" s="3" t="str">
        <f t="shared" si="15"/>
        <v>OK</v>
      </c>
    </row>
    <row r="214" spans="1:14" x14ac:dyDescent="0.3">
      <c r="A214" s="2">
        <f>DATE(VALUE(RIGHT(TRIM([1]Raw_Data!A212),4)),VALUE(MID(TRIM([1]Raw_Data!A212),4,2)),VALUE(LEFT(TRIM([1]Raw_Data!A212),2)))</f>
        <v>43927</v>
      </c>
      <c r="B214" s="3" t="str">
        <f>TRIM([1]Raw_Data!B212)</f>
        <v>Fish Oil</v>
      </c>
      <c r="C214" s="3" t="str">
        <f>TRIM([1]Raw_Data!C212)</f>
        <v>Omega</v>
      </c>
      <c r="D214" s="3">
        <f>[1]Raw_Data!D212</f>
        <v>152</v>
      </c>
      <c r="E214" s="4">
        <f>[1]Raw_Data!E212</f>
        <v>42.83</v>
      </c>
      <c r="F214" s="5">
        <f>[1]Raw_Data!F212</f>
        <v>6510.16</v>
      </c>
      <c r="G214" s="4">
        <f>[1]Raw_Data!G212</f>
        <v>0.06</v>
      </c>
      <c r="H214" s="3">
        <f>[1]Raw_Data!H212</f>
        <v>0</v>
      </c>
      <c r="I214" s="3" t="str">
        <f>TRIM([1]Raw_Data!I212)</f>
        <v>USA</v>
      </c>
      <c r="J214" s="3" t="str">
        <f>TRIM([1]Raw_Data!J212)</f>
        <v>Amazon</v>
      </c>
      <c r="K214" s="3">
        <f t="shared" si="12"/>
        <v>2020</v>
      </c>
      <c r="L214" s="6">
        <f t="shared" si="13"/>
        <v>43922</v>
      </c>
      <c r="M214" s="3" t="str">
        <f t="shared" si="14"/>
        <v>6% to 10%</v>
      </c>
      <c r="N214" s="3" t="str">
        <f t="shared" si="15"/>
        <v>OK</v>
      </c>
    </row>
    <row r="215" spans="1:14" x14ac:dyDescent="0.3">
      <c r="A215" s="2">
        <f>DATE(VALUE(RIGHT(TRIM([1]Raw_Data!A213),4)),VALUE(MID(TRIM([1]Raw_Data!A213),4,2)),VALUE(LEFT(TRIM([1]Raw_Data!A213),2)))</f>
        <v>43927</v>
      </c>
      <c r="B215" s="3" t="str">
        <f>TRIM([1]Raw_Data!B213)</f>
        <v>Multivitamin</v>
      </c>
      <c r="C215" s="3" t="str">
        <f>TRIM([1]Raw_Data!C213)</f>
        <v>Vitamin</v>
      </c>
      <c r="D215" s="3">
        <f>[1]Raw_Data!D213</f>
        <v>171</v>
      </c>
      <c r="E215" s="4">
        <f>[1]Raw_Data!E213</f>
        <v>35.299999999999997</v>
      </c>
      <c r="F215" s="5">
        <f>[1]Raw_Data!F213</f>
        <v>6036.3</v>
      </c>
      <c r="G215" s="4">
        <f>[1]Raw_Data!G213</f>
        <v>0.06</v>
      </c>
      <c r="H215" s="3">
        <f>[1]Raw_Data!H213</f>
        <v>0</v>
      </c>
      <c r="I215" s="3" t="str">
        <f>TRIM([1]Raw_Data!I213)</f>
        <v>USA</v>
      </c>
      <c r="J215" s="3" t="str">
        <f>TRIM([1]Raw_Data!J213)</f>
        <v>Amazon</v>
      </c>
      <c r="K215" s="3">
        <f t="shared" si="12"/>
        <v>2020</v>
      </c>
      <c r="L215" s="6">
        <f t="shared" si="13"/>
        <v>43922</v>
      </c>
      <c r="M215" s="3" t="str">
        <f t="shared" si="14"/>
        <v>6% to 10%</v>
      </c>
      <c r="N215" s="3" t="str">
        <f t="shared" si="15"/>
        <v>OK</v>
      </c>
    </row>
    <row r="216" spans="1:14" x14ac:dyDescent="0.3">
      <c r="A216" s="2">
        <f>DATE(VALUE(RIGHT(TRIM([1]Raw_Data!A214),4)),VALUE(MID(TRIM([1]Raw_Data!A214),4,2)),VALUE(LEFT(TRIM([1]Raw_Data!A214),2)))</f>
        <v>43927</v>
      </c>
      <c r="B216" s="3" t="str">
        <f>TRIM([1]Raw_Data!B214)</f>
        <v>Pre-Workout</v>
      </c>
      <c r="C216" s="3" t="str">
        <f>TRIM([1]Raw_Data!C214)</f>
        <v>Performance</v>
      </c>
      <c r="D216" s="3">
        <f>[1]Raw_Data!D214</f>
        <v>116</v>
      </c>
      <c r="E216" s="4">
        <f>[1]Raw_Data!E214</f>
        <v>53.34</v>
      </c>
      <c r="F216" s="5">
        <f>[1]Raw_Data!F214</f>
        <v>6187.44</v>
      </c>
      <c r="G216" s="4">
        <f>[1]Raw_Data!G214</f>
        <v>7.0000000000000007E-2</v>
      </c>
      <c r="H216" s="3">
        <f>[1]Raw_Data!H214</f>
        <v>3</v>
      </c>
      <c r="I216" s="3" t="str">
        <f>TRIM([1]Raw_Data!I214)</f>
        <v>UK</v>
      </c>
      <c r="J216" s="3" t="str">
        <f>TRIM([1]Raw_Data!J214)</f>
        <v>Walmart</v>
      </c>
      <c r="K216" s="3">
        <f t="shared" si="12"/>
        <v>2020</v>
      </c>
      <c r="L216" s="6">
        <f t="shared" si="13"/>
        <v>43922</v>
      </c>
      <c r="M216" s="3" t="str">
        <f t="shared" si="14"/>
        <v>6% to 10%</v>
      </c>
      <c r="N216" s="3" t="str">
        <f t="shared" si="15"/>
        <v>OK</v>
      </c>
    </row>
    <row r="217" spans="1:14" x14ac:dyDescent="0.3">
      <c r="A217" s="2">
        <f>DATE(VALUE(RIGHT(TRIM([1]Raw_Data!A215),4)),VALUE(MID(TRIM([1]Raw_Data!A215),4,2)),VALUE(LEFT(TRIM([1]Raw_Data!A215),2)))</f>
        <v>43927</v>
      </c>
      <c r="B217" s="3" t="str">
        <f>TRIM([1]Raw_Data!B215)</f>
        <v>BCAA</v>
      </c>
      <c r="C217" s="3" t="str">
        <f>TRIM([1]Raw_Data!C215)</f>
        <v>Amino Acid</v>
      </c>
      <c r="D217" s="3">
        <f>[1]Raw_Data!D215</f>
        <v>153</v>
      </c>
      <c r="E217" s="4">
        <f>[1]Raw_Data!E215</f>
        <v>39</v>
      </c>
      <c r="F217" s="5">
        <f>[1]Raw_Data!F215</f>
        <v>5967</v>
      </c>
      <c r="G217" s="4">
        <f>[1]Raw_Data!G215</f>
        <v>0.13</v>
      </c>
      <c r="H217" s="3">
        <f>[1]Raw_Data!H215</f>
        <v>2</v>
      </c>
      <c r="I217" s="3" t="str">
        <f>TRIM([1]Raw_Data!I215)</f>
        <v>USA</v>
      </c>
      <c r="J217" s="3" t="str">
        <f>TRIM([1]Raw_Data!J215)</f>
        <v>Walmart</v>
      </c>
      <c r="K217" s="3">
        <f t="shared" si="12"/>
        <v>2020</v>
      </c>
      <c r="L217" s="6">
        <f t="shared" si="13"/>
        <v>43922</v>
      </c>
      <c r="M217" s="3" t="str">
        <f t="shared" si="14"/>
        <v>11% to 15%</v>
      </c>
      <c r="N217" s="3" t="str">
        <f t="shared" si="15"/>
        <v>OK</v>
      </c>
    </row>
    <row r="218" spans="1:14" x14ac:dyDescent="0.3">
      <c r="A218" s="2">
        <f>DATE(VALUE(RIGHT(TRIM([1]Raw_Data!A216),4)),VALUE(MID(TRIM([1]Raw_Data!A216),4,2)),VALUE(LEFT(TRIM([1]Raw_Data!A216),2)))</f>
        <v>43927</v>
      </c>
      <c r="B218" s="3" t="str">
        <f>TRIM([1]Raw_Data!B216)</f>
        <v>Creatine</v>
      </c>
      <c r="C218" s="3" t="str">
        <f>TRIM([1]Raw_Data!C216)</f>
        <v>Performance</v>
      </c>
      <c r="D218" s="3">
        <f>[1]Raw_Data!D216</f>
        <v>142</v>
      </c>
      <c r="E218" s="4">
        <f>[1]Raw_Data!E216</f>
        <v>54.7</v>
      </c>
      <c r="F218" s="5">
        <f>[1]Raw_Data!F216</f>
        <v>7767.4</v>
      </c>
      <c r="G218" s="4">
        <f>[1]Raw_Data!G216</f>
        <v>0.24</v>
      </c>
      <c r="H218" s="3">
        <f>[1]Raw_Data!H216</f>
        <v>3</v>
      </c>
      <c r="I218" s="3" t="str">
        <f>TRIM([1]Raw_Data!I216)</f>
        <v>USA</v>
      </c>
      <c r="J218" s="3" t="str">
        <f>TRIM([1]Raw_Data!J216)</f>
        <v>Walmart</v>
      </c>
      <c r="K218" s="3">
        <f t="shared" si="12"/>
        <v>2020</v>
      </c>
      <c r="L218" s="6">
        <f t="shared" si="13"/>
        <v>43922</v>
      </c>
      <c r="M218" s="3" t="str">
        <f t="shared" si="14"/>
        <v>21% to 25%</v>
      </c>
      <c r="N218" s="3" t="str">
        <f t="shared" si="15"/>
        <v>OK</v>
      </c>
    </row>
    <row r="219" spans="1:14" x14ac:dyDescent="0.3">
      <c r="A219" s="2">
        <f>DATE(VALUE(RIGHT(TRIM([1]Raw_Data!A217),4)),VALUE(MID(TRIM([1]Raw_Data!A217),4,2)),VALUE(LEFT(TRIM([1]Raw_Data!A217),2)))</f>
        <v>43927</v>
      </c>
      <c r="B219" s="3" t="str">
        <f>TRIM([1]Raw_Data!B217)</f>
        <v>Zinc</v>
      </c>
      <c r="C219" s="3" t="str">
        <f>TRIM([1]Raw_Data!C217)</f>
        <v>Mineral</v>
      </c>
      <c r="D219" s="3">
        <f>[1]Raw_Data!D217</f>
        <v>147</v>
      </c>
      <c r="E219" s="4">
        <f>[1]Raw_Data!E217</f>
        <v>33.82</v>
      </c>
      <c r="F219" s="5">
        <f>[1]Raw_Data!F217</f>
        <v>4971.54</v>
      </c>
      <c r="G219" s="4">
        <f>[1]Raw_Data!G217</f>
        <v>0.12</v>
      </c>
      <c r="H219" s="3">
        <f>[1]Raw_Data!H217</f>
        <v>0</v>
      </c>
      <c r="I219" s="3" t="str">
        <f>TRIM([1]Raw_Data!I217)</f>
        <v>Canada</v>
      </c>
      <c r="J219" s="3" t="str">
        <f>TRIM([1]Raw_Data!J217)</f>
        <v>Amazon</v>
      </c>
      <c r="K219" s="3">
        <f t="shared" si="12"/>
        <v>2020</v>
      </c>
      <c r="L219" s="6">
        <f t="shared" si="13"/>
        <v>43922</v>
      </c>
      <c r="M219" s="3" t="str">
        <f t="shared" si="14"/>
        <v>11% to 15%</v>
      </c>
      <c r="N219" s="3" t="str">
        <f t="shared" si="15"/>
        <v>OK</v>
      </c>
    </row>
    <row r="220" spans="1:14" x14ac:dyDescent="0.3">
      <c r="A220" s="2">
        <f>DATE(VALUE(RIGHT(TRIM([1]Raw_Data!A218),4)),VALUE(MID(TRIM([1]Raw_Data!A218),4,2)),VALUE(LEFT(TRIM([1]Raw_Data!A218),2)))</f>
        <v>43927</v>
      </c>
      <c r="B220" s="3" t="str">
        <f>TRIM([1]Raw_Data!B218)</f>
        <v>Collagen Peptides</v>
      </c>
      <c r="C220" s="3" t="str">
        <f>TRIM([1]Raw_Data!C218)</f>
        <v>Protein</v>
      </c>
      <c r="D220" s="3">
        <f>[1]Raw_Data!D218</f>
        <v>153</v>
      </c>
      <c r="E220" s="4">
        <f>[1]Raw_Data!E218</f>
        <v>26.58</v>
      </c>
      <c r="F220" s="5">
        <f>[1]Raw_Data!F218</f>
        <v>4066.74</v>
      </c>
      <c r="G220" s="4">
        <f>[1]Raw_Data!G218</f>
        <v>0.21</v>
      </c>
      <c r="H220" s="3">
        <f>[1]Raw_Data!H218</f>
        <v>0</v>
      </c>
      <c r="I220" s="3" t="str">
        <f>TRIM([1]Raw_Data!I218)</f>
        <v>Canada</v>
      </c>
      <c r="J220" s="3" t="str">
        <f>TRIM([1]Raw_Data!J218)</f>
        <v>iHerb</v>
      </c>
      <c r="K220" s="3">
        <f t="shared" si="12"/>
        <v>2020</v>
      </c>
      <c r="L220" s="6">
        <f t="shared" si="13"/>
        <v>43922</v>
      </c>
      <c r="M220" s="3" t="str">
        <f t="shared" si="14"/>
        <v>21% to 25%</v>
      </c>
      <c r="N220" s="3" t="str">
        <f t="shared" si="15"/>
        <v>OK</v>
      </c>
    </row>
    <row r="221" spans="1:14" x14ac:dyDescent="0.3">
      <c r="A221" s="2">
        <f>DATE(VALUE(RIGHT(TRIM([1]Raw_Data!A219),4)),VALUE(MID(TRIM([1]Raw_Data!A219),4,2)),VALUE(LEFT(TRIM([1]Raw_Data!A219),2)))</f>
        <v>43927</v>
      </c>
      <c r="B221" s="3" t="str">
        <f>TRIM([1]Raw_Data!B219)</f>
        <v>Magnesium</v>
      </c>
      <c r="C221" s="3" t="str">
        <f>TRIM([1]Raw_Data!C219)</f>
        <v>Mineral</v>
      </c>
      <c r="D221" s="3">
        <f>[1]Raw_Data!D219</f>
        <v>127</v>
      </c>
      <c r="E221" s="4">
        <f>[1]Raw_Data!E219</f>
        <v>57.04</v>
      </c>
      <c r="F221" s="5">
        <f>[1]Raw_Data!F219</f>
        <v>7244.08</v>
      </c>
      <c r="G221" s="4">
        <f>[1]Raw_Data!G219</f>
        <v>0.13</v>
      </c>
      <c r="H221" s="3">
        <f>[1]Raw_Data!H219</f>
        <v>1</v>
      </c>
      <c r="I221" s="3" t="str">
        <f>TRIM([1]Raw_Data!I219)</f>
        <v>Canada</v>
      </c>
      <c r="J221" s="3" t="str">
        <f>TRIM([1]Raw_Data!J219)</f>
        <v>iHerb</v>
      </c>
      <c r="K221" s="3">
        <f t="shared" si="12"/>
        <v>2020</v>
      </c>
      <c r="L221" s="6">
        <f t="shared" si="13"/>
        <v>43922</v>
      </c>
      <c r="M221" s="3" t="str">
        <f t="shared" si="14"/>
        <v>11% to 15%</v>
      </c>
      <c r="N221" s="3" t="str">
        <f t="shared" si="15"/>
        <v>OK</v>
      </c>
    </row>
    <row r="222" spans="1:14" x14ac:dyDescent="0.3">
      <c r="A222" s="2">
        <f>DATE(VALUE(RIGHT(TRIM([1]Raw_Data!A220),4)),VALUE(MID(TRIM([1]Raw_Data!A220),4,2)),VALUE(LEFT(TRIM([1]Raw_Data!A220),2)))</f>
        <v>43927</v>
      </c>
      <c r="B222" s="3" t="str">
        <f>TRIM([1]Raw_Data!B220)</f>
        <v>Ashwagandha</v>
      </c>
      <c r="C222" s="3" t="str">
        <f>TRIM([1]Raw_Data!C220)</f>
        <v>Herbal</v>
      </c>
      <c r="D222" s="3">
        <f>[1]Raw_Data!D220</f>
        <v>162</v>
      </c>
      <c r="E222" s="4">
        <f>[1]Raw_Data!E220</f>
        <v>26.61</v>
      </c>
      <c r="F222" s="5">
        <f>[1]Raw_Data!F220</f>
        <v>4310.82</v>
      </c>
      <c r="G222" s="4">
        <f>[1]Raw_Data!G220</f>
        <v>0.17</v>
      </c>
      <c r="H222" s="3">
        <f>[1]Raw_Data!H220</f>
        <v>2</v>
      </c>
      <c r="I222" s="3" t="str">
        <f>TRIM([1]Raw_Data!I220)</f>
        <v>Canada</v>
      </c>
      <c r="J222" s="3" t="str">
        <f>TRIM([1]Raw_Data!J220)</f>
        <v>Amazon</v>
      </c>
      <c r="K222" s="3">
        <f t="shared" si="12"/>
        <v>2020</v>
      </c>
      <c r="L222" s="6">
        <f t="shared" si="13"/>
        <v>43922</v>
      </c>
      <c r="M222" s="3" t="str">
        <f t="shared" si="14"/>
        <v>16% to 20%</v>
      </c>
      <c r="N222" s="3" t="str">
        <f t="shared" si="15"/>
        <v>OK</v>
      </c>
    </row>
    <row r="223" spans="1:14" x14ac:dyDescent="0.3">
      <c r="A223" s="2">
        <f>DATE(VALUE(RIGHT(TRIM([1]Raw_Data!A221),4)),VALUE(MID(TRIM([1]Raw_Data!A221),4,2)),VALUE(LEFT(TRIM([1]Raw_Data!A221),2)))</f>
        <v>43927</v>
      </c>
      <c r="B223" s="3" t="str">
        <f>TRIM([1]Raw_Data!B221)</f>
        <v>Melatonin</v>
      </c>
      <c r="C223" s="3" t="str">
        <f>TRIM([1]Raw_Data!C221)</f>
        <v>Sleep Aid</v>
      </c>
      <c r="D223" s="3">
        <f>[1]Raw_Data!D221</f>
        <v>156</v>
      </c>
      <c r="E223" s="4">
        <f>[1]Raw_Data!E221</f>
        <v>53.79</v>
      </c>
      <c r="F223" s="5">
        <f>[1]Raw_Data!F221</f>
        <v>8391.24</v>
      </c>
      <c r="G223" s="4">
        <f>[1]Raw_Data!G221</f>
        <v>0.13</v>
      </c>
      <c r="H223" s="3">
        <f>[1]Raw_Data!H221</f>
        <v>1</v>
      </c>
      <c r="I223" s="3" t="str">
        <f>TRIM([1]Raw_Data!I221)</f>
        <v>USA</v>
      </c>
      <c r="J223" s="3" t="str">
        <f>TRIM([1]Raw_Data!J221)</f>
        <v>iHerb</v>
      </c>
      <c r="K223" s="3">
        <f t="shared" si="12"/>
        <v>2020</v>
      </c>
      <c r="L223" s="6">
        <f t="shared" si="13"/>
        <v>43922</v>
      </c>
      <c r="M223" s="3" t="str">
        <f t="shared" si="14"/>
        <v>11% to 15%</v>
      </c>
      <c r="N223" s="3" t="str">
        <f t="shared" si="15"/>
        <v>OK</v>
      </c>
    </row>
    <row r="224" spans="1:14" x14ac:dyDescent="0.3">
      <c r="A224" s="2">
        <f>DATE(VALUE(RIGHT(TRIM([1]Raw_Data!A222),4)),VALUE(MID(TRIM([1]Raw_Data!A222),4,2)),VALUE(LEFT(TRIM([1]Raw_Data!A222),2)))</f>
        <v>43927</v>
      </c>
      <c r="B224" s="3" t="str">
        <f>TRIM([1]Raw_Data!B222)</f>
        <v>Biotin</v>
      </c>
      <c r="C224" s="3" t="str">
        <f>TRIM([1]Raw_Data!C222)</f>
        <v>Vitamin</v>
      </c>
      <c r="D224" s="3">
        <f>[1]Raw_Data!D222</f>
        <v>147</v>
      </c>
      <c r="E224" s="4">
        <f>[1]Raw_Data!E222</f>
        <v>16.39</v>
      </c>
      <c r="F224" s="5">
        <f>[1]Raw_Data!F222</f>
        <v>2409.33</v>
      </c>
      <c r="G224" s="4">
        <f>[1]Raw_Data!G222</f>
        <v>0.19</v>
      </c>
      <c r="H224" s="3">
        <f>[1]Raw_Data!H222</f>
        <v>0</v>
      </c>
      <c r="I224" s="3" t="str">
        <f>TRIM([1]Raw_Data!I222)</f>
        <v>UK</v>
      </c>
      <c r="J224" s="3" t="str">
        <f>TRIM([1]Raw_Data!J222)</f>
        <v>Amazon</v>
      </c>
      <c r="K224" s="3">
        <f t="shared" si="12"/>
        <v>2020</v>
      </c>
      <c r="L224" s="6">
        <f t="shared" si="13"/>
        <v>43922</v>
      </c>
      <c r="M224" s="3" t="str">
        <f t="shared" si="14"/>
        <v>16% to 20%</v>
      </c>
      <c r="N224" s="3" t="str">
        <f t="shared" si="15"/>
        <v>OK</v>
      </c>
    </row>
    <row r="225" spans="1:14" x14ac:dyDescent="0.3">
      <c r="A225" s="2">
        <f>DATE(VALUE(RIGHT(TRIM([1]Raw_Data!A223),4)),VALUE(MID(TRIM([1]Raw_Data!A223),4,2)),VALUE(LEFT(TRIM([1]Raw_Data!A223),2)))</f>
        <v>43927</v>
      </c>
      <c r="B225" s="3" t="str">
        <f>TRIM([1]Raw_Data!B223)</f>
        <v>Green Tea Extract</v>
      </c>
      <c r="C225" s="3" t="str">
        <f>TRIM([1]Raw_Data!C223)</f>
        <v>Fat Burner</v>
      </c>
      <c r="D225" s="3">
        <f>[1]Raw_Data!D223</f>
        <v>147</v>
      </c>
      <c r="E225" s="4">
        <f>[1]Raw_Data!E223</f>
        <v>12.73</v>
      </c>
      <c r="F225" s="5">
        <f>[1]Raw_Data!F223</f>
        <v>1871.31</v>
      </c>
      <c r="G225" s="4">
        <f>[1]Raw_Data!G223</f>
        <v>0.24</v>
      </c>
      <c r="H225" s="3">
        <f>[1]Raw_Data!H223</f>
        <v>0</v>
      </c>
      <c r="I225" s="3" t="str">
        <f>TRIM([1]Raw_Data!I223)</f>
        <v>UK</v>
      </c>
      <c r="J225" s="3" t="str">
        <f>TRIM([1]Raw_Data!J223)</f>
        <v>Walmart</v>
      </c>
      <c r="K225" s="3">
        <f t="shared" si="12"/>
        <v>2020</v>
      </c>
      <c r="L225" s="6">
        <f t="shared" si="13"/>
        <v>43922</v>
      </c>
      <c r="M225" s="3" t="str">
        <f t="shared" si="14"/>
        <v>21% to 25%</v>
      </c>
      <c r="N225" s="3" t="str">
        <f t="shared" si="15"/>
        <v>OK</v>
      </c>
    </row>
    <row r="226" spans="1:14" x14ac:dyDescent="0.3">
      <c r="A226" s="2">
        <f>DATE(VALUE(RIGHT(TRIM([1]Raw_Data!A224),4)),VALUE(MID(TRIM([1]Raw_Data!A224),4,2)),VALUE(LEFT(TRIM([1]Raw_Data!A224),2)))</f>
        <v>43927</v>
      </c>
      <c r="B226" s="3" t="str">
        <f>TRIM([1]Raw_Data!B224)</f>
        <v>Iron Supplement</v>
      </c>
      <c r="C226" s="3" t="str">
        <f>TRIM([1]Raw_Data!C224)</f>
        <v>Mineral</v>
      </c>
      <c r="D226" s="3">
        <f>[1]Raw_Data!D224</f>
        <v>143</v>
      </c>
      <c r="E226" s="4">
        <f>[1]Raw_Data!E224</f>
        <v>21.52</v>
      </c>
      <c r="F226" s="5">
        <f>[1]Raw_Data!F224</f>
        <v>3077.36</v>
      </c>
      <c r="G226" s="4">
        <f>[1]Raw_Data!G224</f>
        <v>0</v>
      </c>
      <c r="H226" s="3">
        <f>[1]Raw_Data!H224</f>
        <v>2</v>
      </c>
      <c r="I226" s="3" t="str">
        <f>TRIM([1]Raw_Data!I224)</f>
        <v>USA</v>
      </c>
      <c r="J226" s="3" t="str">
        <f>TRIM([1]Raw_Data!J224)</f>
        <v>Amazon</v>
      </c>
      <c r="K226" s="3">
        <f t="shared" si="12"/>
        <v>2020</v>
      </c>
      <c r="L226" s="6">
        <f t="shared" si="13"/>
        <v>43922</v>
      </c>
      <c r="M226" s="3" t="str">
        <f t="shared" si="14"/>
        <v>0% to 5%</v>
      </c>
      <c r="N226" s="3" t="str">
        <f t="shared" si="15"/>
        <v>OK</v>
      </c>
    </row>
    <row r="227" spans="1:14" x14ac:dyDescent="0.3">
      <c r="A227" s="2">
        <f>DATE(VALUE(RIGHT(TRIM([1]Raw_Data!A225),4)),VALUE(MID(TRIM([1]Raw_Data!A225),4,2)),VALUE(LEFT(TRIM([1]Raw_Data!A225),2)))</f>
        <v>43927</v>
      </c>
      <c r="B227" s="3" t="str">
        <f>TRIM([1]Raw_Data!B225)</f>
        <v>Electrolyte Powder</v>
      </c>
      <c r="C227" s="3" t="str">
        <f>TRIM([1]Raw_Data!C225)</f>
        <v>Hydration</v>
      </c>
      <c r="D227" s="3">
        <f>[1]Raw_Data!D225</f>
        <v>185</v>
      </c>
      <c r="E227" s="4">
        <f>[1]Raw_Data!E225</f>
        <v>43.15</v>
      </c>
      <c r="F227" s="5">
        <f>[1]Raw_Data!F225</f>
        <v>7982.75</v>
      </c>
      <c r="G227" s="4">
        <f>[1]Raw_Data!G225</f>
        <v>0.19</v>
      </c>
      <c r="H227" s="3">
        <f>[1]Raw_Data!H225</f>
        <v>3</v>
      </c>
      <c r="I227" s="3" t="str">
        <f>TRIM([1]Raw_Data!I225)</f>
        <v>UK</v>
      </c>
      <c r="J227" s="3" t="str">
        <f>TRIM([1]Raw_Data!J225)</f>
        <v>iHerb</v>
      </c>
      <c r="K227" s="3">
        <f t="shared" si="12"/>
        <v>2020</v>
      </c>
      <c r="L227" s="6">
        <f t="shared" si="13"/>
        <v>43922</v>
      </c>
      <c r="M227" s="3" t="str">
        <f t="shared" si="14"/>
        <v>16% to 20%</v>
      </c>
      <c r="N227" s="3" t="str">
        <f t="shared" si="15"/>
        <v>OK</v>
      </c>
    </row>
    <row r="228" spans="1:14" x14ac:dyDescent="0.3">
      <c r="A228" s="2">
        <f>DATE(VALUE(RIGHT(TRIM([1]Raw_Data!A226),4)),VALUE(MID(TRIM([1]Raw_Data!A226),4,2)),VALUE(LEFT(TRIM([1]Raw_Data!A226),2)))</f>
        <v>43934</v>
      </c>
      <c r="B228" s="3" t="str">
        <f>TRIM([1]Raw_Data!B226)</f>
        <v>Whey Protein</v>
      </c>
      <c r="C228" s="3" t="str">
        <f>TRIM([1]Raw_Data!C226)</f>
        <v>Protein</v>
      </c>
      <c r="D228" s="3">
        <f>[1]Raw_Data!D226</f>
        <v>147</v>
      </c>
      <c r="E228" s="4">
        <f>[1]Raw_Data!E226</f>
        <v>26.26</v>
      </c>
      <c r="F228" s="5">
        <f>[1]Raw_Data!F226</f>
        <v>3860.22</v>
      </c>
      <c r="G228" s="4">
        <f>[1]Raw_Data!G226</f>
        <v>0.18</v>
      </c>
      <c r="H228" s="3">
        <f>[1]Raw_Data!H226</f>
        <v>2</v>
      </c>
      <c r="I228" s="3" t="str">
        <f>TRIM([1]Raw_Data!I226)</f>
        <v>Canada</v>
      </c>
      <c r="J228" s="3" t="str">
        <f>TRIM([1]Raw_Data!J226)</f>
        <v>Walmart</v>
      </c>
      <c r="K228" s="3">
        <f t="shared" si="12"/>
        <v>2020</v>
      </c>
      <c r="L228" s="6">
        <f t="shared" si="13"/>
        <v>43922</v>
      </c>
      <c r="M228" s="3" t="str">
        <f t="shared" si="14"/>
        <v>16% to 20%</v>
      </c>
      <c r="N228" s="3" t="str">
        <f t="shared" si="15"/>
        <v>OK</v>
      </c>
    </row>
    <row r="229" spans="1:14" x14ac:dyDescent="0.3">
      <c r="A229" s="2">
        <f>DATE(VALUE(RIGHT(TRIM([1]Raw_Data!A227),4)),VALUE(MID(TRIM([1]Raw_Data!A227),4,2)),VALUE(LEFT(TRIM([1]Raw_Data!A227),2)))</f>
        <v>43934</v>
      </c>
      <c r="B229" s="3" t="str">
        <f>TRIM([1]Raw_Data!B227)</f>
        <v>Vitamin C</v>
      </c>
      <c r="C229" s="3" t="str">
        <f>TRIM([1]Raw_Data!C227)</f>
        <v>Vitamin</v>
      </c>
      <c r="D229" s="3">
        <f>[1]Raw_Data!D227</f>
        <v>137</v>
      </c>
      <c r="E229" s="4">
        <f>[1]Raw_Data!E227</f>
        <v>55.1</v>
      </c>
      <c r="F229" s="5">
        <f>[1]Raw_Data!F227</f>
        <v>7548.7</v>
      </c>
      <c r="G229" s="4">
        <f>[1]Raw_Data!G227</f>
        <v>0.2</v>
      </c>
      <c r="H229" s="3">
        <f>[1]Raw_Data!H227</f>
        <v>4</v>
      </c>
      <c r="I229" s="3" t="str">
        <f>TRIM([1]Raw_Data!I227)</f>
        <v>USA</v>
      </c>
      <c r="J229" s="3" t="str">
        <f>TRIM([1]Raw_Data!J227)</f>
        <v>Walmart</v>
      </c>
      <c r="K229" s="3">
        <f t="shared" si="12"/>
        <v>2020</v>
      </c>
      <c r="L229" s="6">
        <f t="shared" si="13"/>
        <v>43922</v>
      </c>
      <c r="M229" s="3" t="str">
        <f t="shared" si="14"/>
        <v>16% to 20%</v>
      </c>
      <c r="N229" s="3" t="str">
        <f t="shared" si="15"/>
        <v>OK</v>
      </c>
    </row>
    <row r="230" spans="1:14" x14ac:dyDescent="0.3">
      <c r="A230" s="2">
        <f>DATE(VALUE(RIGHT(TRIM([1]Raw_Data!A228),4)),VALUE(MID(TRIM([1]Raw_Data!A228),4,2)),VALUE(LEFT(TRIM([1]Raw_Data!A228),2)))</f>
        <v>43934</v>
      </c>
      <c r="B230" s="3" t="str">
        <f>TRIM([1]Raw_Data!B228)</f>
        <v>Fish Oil</v>
      </c>
      <c r="C230" s="3" t="str">
        <f>TRIM([1]Raw_Data!C228)</f>
        <v>Omega</v>
      </c>
      <c r="D230" s="3">
        <f>[1]Raw_Data!D228</f>
        <v>160</v>
      </c>
      <c r="E230" s="4">
        <f>[1]Raw_Data!E228</f>
        <v>39.53</v>
      </c>
      <c r="F230" s="5">
        <f>[1]Raw_Data!F228</f>
        <v>6324.8</v>
      </c>
      <c r="G230" s="4">
        <f>[1]Raw_Data!G228</f>
        <v>0.17</v>
      </c>
      <c r="H230" s="3">
        <f>[1]Raw_Data!H228</f>
        <v>0</v>
      </c>
      <c r="I230" s="3" t="str">
        <f>TRIM([1]Raw_Data!I228)</f>
        <v>USA</v>
      </c>
      <c r="J230" s="3" t="str">
        <f>TRIM([1]Raw_Data!J228)</f>
        <v>iHerb</v>
      </c>
      <c r="K230" s="3">
        <f t="shared" si="12"/>
        <v>2020</v>
      </c>
      <c r="L230" s="6">
        <f t="shared" si="13"/>
        <v>43922</v>
      </c>
      <c r="M230" s="3" t="str">
        <f t="shared" si="14"/>
        <v>16% to 20%</v>
      </c>
      <c r="N230" s="3" t="str">
        <f t="shared" si="15"/>
        <v>OK</v>
      </c>
    </row>
    <row r="231" spans="1:14" x14ac:dyDescent="0.3">
      <c r="A231" s="2">
        <f>DATE(VALUE(RIGHT(TRIM([1]Raw_Data!A229),4)),VALUE(MID(TRIM([1]Raw_Data!A229),4,2)),VALUE(LEFT(TRIM([1]Raw_Data!A229),2)))</f>
        <v>43934</v>
      </c>
      <c r="B231" s="3" t="str">
        <f>TRIM([1]Raw_Data!B229)</f>
        <v>Multivitamin</v>
      </c>
      <c r="C231" s="3" t="str">
        <f>TRIM([1]Raw_Data!C229)</f>
        <v>Vitamin</v>
      </c>
      <c r="D231" s="3">
        <f>[1]Raw_Data!D229</f>
        <v>151</v>
      </c>
      <c r="E231" s="4">
        <f>[1]Raw_Data!E229</f>
        <v>18.37</v>
      </c>
      <c r="F231" s="5">
        <f>[1]Raw_Data!F229</f>
        <v>2773.87</v>
      </c>
      <c r="G231" s="4">
        <f>[1]Raw_Data!G229</f>
        <v>0.2</v>
      </c>
      <c r="H231" s="3">
        <f>[1]Raw_Data!H229</f>
        <v>2</v>
      </c>
      <c r="I231" s="3" t="str">
        <f>TRIM([1]Raw_Data!I229)</f>
        <v>USA</v>
      </c>
      <c r="J231" s="3" t="str">
        <f>TRIM([1]Raw_Data!J229)</f>
        <v>Amazon</v>
      </c>
      <c r="K231" s="3">
        <f t="shared" si="12"/>
        <v>2020</v>
      </c>
      <c r="L231" s="6">
        <f t="shared" si="13"/>
        <v>43922</v>
      </c>
      <c r="M231" s="3" t="str">
        <f t="shared" si="14"/>
        <v>16% to 20%</v>
      </c>
      <c r="N231" s="3" t="str">
        <f t="shared" si="15"/>
        <v>OK</v>
      </c>
    </row>
    <row r="232" spans="1:14" x14ac:dyDescent="0.3">
      <c r="A232" s="2">
        <f>DATE(VALUE(RIGHT(TRIM([1]Raw_Data!A230),4)),VALUE(MID(TRIM([1]Raw_Data!A230),4,2)),VALUE(LEFT(TRIM([1]Raw_Data!A230),2)))</f>
        <v>43934</v>
      </c>
      <c r="B232" s="3" t="str">
        <f>TRIM([1]Raw_Data!B230)</f>
        <v>Pre-Workout</v>
      </c>
      <c r="C232" s="3" t="str">
        <f>TRIM([1]Raw_Data!C230)</f>
        <v>Performance</v>
      </c>
      <c r="D232" s="3">
        <f>[1]Raw_Data!D230</f>
        <v>178</v>
      </c>
      <c r="E232" s="4">
        <f>[1]Raw_Data!E230</f>
        <v>23.27</v>
      </c>
      <c r="F232" s="5">
        <f>[1]Raw_Data!F230</f>
        <v>4142.0600000000004</v>
      </c>
      <c r="G232" s="4">
        <f>[1]Raw_Data!G230</f>
        <v>0.15</v>
      </c>
      <c r="H232" s="3">
        <f>[1]Raw_Data!H230</f>
        <v>1</v>
      </c>
      <c r="I232" s="3" t="str">
        <f>TRIM([1]Raw_Data!I230)</f>
        <v>USA</v>
      </c>
      <c r="J232" s="3" t="str">
        <f>TRIM([1]Raw_Data!J230)</f>
        <v>Amazon</v>
      </c>
      <c r="K232" s="3">
        <f t="shared" si="12"/>
        <v>2020</v>
      </c>
      <c r="L232" s="6">
        <f t="shared" si="13"/>
        <v>43922</v>
      </c>
      <c r="M232" s="3" t="str">
        <f t="shared" si="14"/>
        <v>11% to 15%</v>
      </c>
      <c r="N232" s="3" t="str">
        <f t="shared" si="15"/>
        <v>OK</v>
      </c>
    </row>
    <row r="233" spans="1:14" x14ac:dyDescent="0.3">
      <c r="A233" s="2">
        <f>DATE(VALUE(RIGHT(TRIM([1]Raw_Data!A231),4)),VALUE(MID(TRIM([1]Raw_Data!A231),4,2)),VALUE(LEFT(TRIM([1]Raw_Data!A231),2)))</f>
        <v>43934</v>
      </c>
      <c r="B233" s="3" t="str">
        <f>TRIM([1]Raw_Data!B231)</f>
        <v>BCAA</v>
      </c>
      <c r="C233" s="3" t="str">
        <f>TRIM([1]Raw_Data!C231)</f>
        <v>Amino Acid</v>
      </c>
      <c r="D233" s="3">
        <f>[1]Raw_Data!D231</f>
        <v>158</v>
      </c>
      <c r="E233" s="4">
        <f>[1]Raw_Data!E231</f>
        <v>15.13</v>
      </c>
      <c r="F233" s="5">
        <f>[1]Raw_Data!F231</f>
        <v>2390.54</v>
      </c>
      <c r="G233" s="4">
        <f>[1]Raw_Data!G231</f>
        <v>0.13</v>
      </c>
      <c r="H233" s="3">
        <f>[1]Raw_Data!H231</f>
        <v>1</v>
      </c>
      <c r="I233" s="3" t="str">
        <f>TRIM([1]Raw_Data!I231)</f>
        <v>Canada</v>
      </c>
      <c r="J233" s="3" t="str">
        <f>TRIM([1]Raw_Data!J231)</f>
        <v>iHerb</v>
      </c>
      <c r="K233" s="3">
        <f t="shared" si="12"/>
        <v>2020</v>
      </c>
      <c r="L233" s="6">
        <f t="shared" si="13"/>
        <v>43922</v>
      </c>
      <c r="M233" s="3" t="str">
        <f t="shared" si="14"/>
        <v>11% to 15%</v>
      </c>
      <c r="N233" s="3" t="str">
        <f t="shared" si="15"/>
        <v>OK</v>
      </c>
    </row>
    <row r="234" spans="1:14" x14ac:dyDescent="0.3">
      <c r="A234" s="2">
        <f>DATE(VALUE(RIGHT(TRIM([1]Raw_Data!A232),4)),VALUE(MID(TRIM([1]Raw_Data!A232),4,2)),VALUE(LEFT(TRIM([1]Raw_Data!A232),2)))</f>
        <v>43934</v>
      </c>
      <c r="B234" s="3" t="str">
        <f>TRIM([1]Raw_Data!B232)</f>
        <v>Creatine</v>
      </c>
      <c r="C234" s="3" t="str">
        <f>TRIM([1]Raw_Data!C232)</f>
        <v>Performance</v>
      </c>
      <c r="D234" s="3">
        <f>[1]Raw_Data!D232</f>
        <v>145</v>
      </c>
      <c r="E234" s="4">
        <f>[1]Raw_Data!E232</f>
        <v>51.38</v>
      </c>
      <c r="F234" s="5">
        <f>[1]Raw_Data!F232</f>
        <v>7450.1</v>
      </c>
      <c r="G234" s="4">
        <f>[1]Raw_Data!G232</f>
        <v>0.17</v>
      </c>
      <c r="H234" s="3">
        <f>[1]Raw_Data!H232</f>
        <v>2</v>
      </c>
      <c r="I234" s="3" t="str">
        <f>TRIM([1]Raw_Data!I232)</f>
        <v>UK</v>
      </c>
      <c r="J234" s="3" t="str">
        <f>TRIM([1]Raw_Data!J232)</f>
        <v>Walmart</v>
      </c>
      <c r="K234" s="3">
        <f t="shared" si="12"/>
        <v>2020</v>
      </c>
      <c r="L234" s="6">
        <f t="shared" si="13"/>
        <v>43922</v>
      </c>
      <c r="M234" s="3" t="str">
        <f t="shared" si="14"/>
        <v>16% to 20%</v>
      </c>
      <c r="N234" s="3" t="str">
        <f t="shared" si="15"/>
        <v>OK</v>
      </c>
    </row>
    <row r="235" spans="1:14" x14ac:dyDescent="0.3">
      <c r="A235" s="2">
        <f>DATE(VALUE(RIGHT(TRIM([1]Raw_Data!A233),4)),VALUE(MID(TRIM([1]Raw_Data!A233),4,2)),VALUE(LEFT(TRIM([1]Raw_Data!A233),2)))</f>
        <v>43934</v>
      </c>
      <c r="B235" s="3" t="str">
        <f>TRIM([1]Raw_Data!B233)</f>
        <v>Zinc</v>
      </c>
      <c r="C235" s="3" t="str">
        <f>TRIM([1]Raw_Data!C233)</f>
        <v>Mineral</v>
      </c>
      <c r="D235" s="3">
        <f>[1]Raw_Data!D233</f>
        <v>149</v>
      </c>
      <c r="E235" s="4">
        <f>[1]Raw_Data!E233</f>
        <v>44.73</v>
      </c>
      <c r="F235" s="5">
        <f>[1]Raw_Data!F233</f>
        <v>6664.77</v>
      </c>
      <c r="G235" s="4">
        <f>[1]Raw_Data!G233</f>
        <v>0.18</v>
      </c>
      <c r="H235" s="3">
        <f>[1]Raw_Data!H233</f>
        <v>3</v>
      </c>
      <c r="I235" s="3" t="str">
        <f>TRIM([1]Raw_Data!I233)</f>
        <v>Canada</v>
      </c>
      <c r="J235" s="3" t="str">
        <f>TRIM([1]Raw_Data!J233)</f>
        <v>Amazon</v>
      </c>
      <c r="K235" s="3">
        <f t="shared" si="12"/>
        <v>2020</v>
      </c>
      <c r="L235" s="6">
        <f t="shared" si="13"/>
        <v>43922</v>
      </c>
      <c r="M235" s="3" t="str">
        <f t="shared" si="14"/>
        <v>16% to 20%</v>
      </c>
      <c r="N235" s="3" t="str">
        <f t="shared" si="15"/>
        <v>OK</v>
      </c>
    </row>
    <row r="236" spans="1:14" x14ac:dyDescent="0.3">
      <c r="A236" s="2">
        <f>DATE(VALUE(RIGHT(TRIM([1]Raw_Data!A234),4)),VALUE(MID(TRIM([1]Raw_Data!A234),4,2)),VALUE(LEFT(TRIM([1]Raw_Data!A234),2)))</f>
        <v>43934</v>
      </c>
      <c r="B236" s="3" t="str">
        <f>TRIM([1]Raw_Data!B234)</f>
        <v>Collagen Peptides</v>
      </c>
      <c r="C236" s="3" t="str">
        <f>TRIM([1]Raw_Data!C234)</f>
        <v>Protein</v>
      </c>
      <c r="D236" s="3">
        <f>[1]Raw_Data!D234</f>
        <v>142</v>
      </c>
      <c r="E236" s="4">
        <f>[1]Raw_Data!E234</f>
        <v>19.760000000000002</v>
      </c>
      <c r="F236" s="5">
        <f>[1]Raw_Data!F234</f>
        <v>2805.92</v>
      </c>
      <c r="G236" s="4">
        <f>[1]Raw_Data!G234</f>
        <v>0.09</v>
      </c>
      <c r="H236" s="3">
        <f>[1]Raw_Data!H234</f>
        <v>1</v>
      </c>
      <c r="I236" s="3" t="str">
        <f>TRIM([1]Raw_Data!I234)</f>
        <v>USA</v>
      </c>
      <c r="J236" s="3" t="str">
        <f>TRIM([1]Raw_Data!J234)</f>
        <v>Amazon</v>
      </c>
      <c r="K236" s="3">
        <f t="shared" si="12"/>
        <v>2020</v>
      </c>
      <c r="L236" s="6">
        <f t="shared" si="13"/>
        <v>43922</v>
      </c>
      <c r="M236" s="3" t="str">
        <f t="shared" si="14"/>
        <v>6% to 10%</v>
      </c>
      <c r="N236" s="3" t="str">
        <f t="shared" si="15"/>
        <v>OK</v>
      </c>
    </row>
    <row r="237" spans="1:14" x14ac:dyDescent="0.3">
      <c r="A237" s="2">
        <f>DATE(VALUE(RIGHT(TRIM([1]Raw_Data!A235),4)),VALUE(MID(TRIM([1]Raw_Data!A235),4,2)),VALUE(LEFT(TRIM([1]Raw_Data!A235),2)))</f>
        <v>43934</v>
      </c>
      <c r="B237" s="3" t="str">
        <f>TRIM([1]Raw_Data!B235)</f>
        <v>Magnesium</v>
      </c>
      <c r="C237" s="3" t="str">
        <f>TRIM([1]Raw_Data!C235)</f>
        <v>Mineral</v>
      </c>
      <c r="D237" s="3">
        <f>[1]Raw_Data!D235</f>
        <v>157</v>
      </c>
      <c r="E237" s="4">
        <f>[1]Raw_Data!E235</f>
        <v>38.1</v>
      </c>
      <c r="F237" s="5">
        <f>[1]Raw_Data!F235</f>
        <v>5981.7</v>
      </c>
      <c r="G237" s="4">
        <f>[1]Raw_Data!G235</f>
        <v>0.24</v>
      </c>
      <c r="H237" s="3">
        <f>[1]Raw_Data!H235</f>
        <v>1</v>
      </c>
      <c r="I237" s="3" t="str">
        <f>TRIM([1]Raw_Data!I235)</f>
        <v>UK</v>
      </c>
      <c r="J237" s="3" t="str">
        <f>TRIM([1]Raw_Data!J235)</f>
        <v>iHerb</v>
      </c>
      <c r="K237" s="3">
        <f t="shared" si="12"/>
        <v>2020</v>
      </c>
      <c r="L237" s="6">
        <f t="shared" si="13"/>
        <v>43922</v>
      </c>
      <c r="M237" s="3" t="str">
        <f t="shared" si="14"/>
        <v>21% to 25%</v>
      </c>
      <c r="N237" s="3" t="str">
        <f t="shared" si="15"/>
        <v>OK</v>
      </c>
    </row>
    <row r="238" spans="1:14" x14ac:dyDescent="0.3">
      <c r="A238" s="2">
        <f>DATE(VALUE(RIGHT(TRIM([1]Raw_Data!A236),4)),VALUE(MID(TRIM([1]Raw_Data!A236),4,2)),VALUE(LEFT(TRIM([1]Raw_Data!A236),2)))</f>
        <v>43934</v>
      </c>
      <c r="B238" s="3" t="str">
        <f>TRIM([1]Raw_Data!B236)</f>
        <v>Ashwagandha</v>
      </c>
      <c r="C238" s="3" t="str">
        <f>TRIM([1]Raw_Data!C236)</f>
        <v>Herbal</v>
      </c>
      <c r="D238" s="3">
        <f>[1]Raw_Data!D236</f>
        <v>146</v>
      </c>
      <c r="E238" s="4">
        <f>[1]Raw_Data!E236</f>
        <v>49.31</v>
      </c>
      <c r="F238" s="5">
        <f>[1]Raw_Data!F236</f>
        <v>7199.26</v>
      </c>
      <c r="G238" s="4">
        <f>[1]Raw_Data!G236</f>
        <v>0.18</v>
      </c>
      <c r="H238" s="3">
        <f>[1]Raw_Data!H236</f>
        <v>1</v>
      </c>
      <c r="I238" s="3" t="str">
        <f>TRIM([1]Raw_Data!I236)</f>
        <v>Canada</v>
      </c>
      <c r="J238" s="3" t="str">
        <f>TRIM([1]Raw_Data!J236)</f>
        <v>iHerb</v>
      </c>
      <c r="K238" s="3">
        <f t="shared" si="12"/>
        <v>2020</v>
      </c>
      <c r="L238" s="6">
        <f t="shared" si="13"/>
        <v>43922</v>
      </c>
      <c r="M238" s="3" t="str">
        <f t="shared" si="14"/>
        <v>16% to 20%</v>
      </c>
      <c r="N238" s="3" t="str">
        <f t="shared" si="15"/>
        <v>OK</v>
      </c>
    </row>
    <row r="239" spans="1:14" x14ac:dyDescent="0.3">
      <c r="A239" s="2">
        <f>DATE(VALUE(RIGHT(TRIM([1]Raw_Data!A237),4)),VALUE(MID(TRIM([1]Raw_Data!A237),4,2)),VALUE(LEFT(TRIM([1]Raw_Data!A237),2)))</f>
        <v>43934</v>
      </c>
      <c r="B239" s="3" t="str">
        <f>TRIM([1]Raw_Data!B237)</f>
        <v>Melatonin</v>
      </c>
      <c r="C239" s="3" t="str">
        <f>TRIM([1]Raw_Data!C237)</f>
        <v>Sleep Aid</v>
      </c>
      <c r="D239" s="3">
        <f>[1]Raw_Data!D237</f>
        <v>140</v>
      </c>
      <c r="E239" s="4">
        <f>[1]Raw_Data!E237</f>
        <v>50.86</v>
      </c>
      <c r="F239" s="5">
        <f>[1]Raw_Data!F237</f>
        <v>7120.4</v>
      </c>
      <c r="G239" s="4">
        <f>[1]Raw_Data!G237</f>
        <v>0.14000000000000001</v>
      </c>
      <c r="H239" s="3">
        <f>[1]Raw_Data!H237</f>
        <v>4</v>
      </c>
      <c r="I239" s="3" t="str">
        <f>TRIM([1]Raw_Data!I237)</f>
        <v>Canada</v>
      </c>
      <c r="J239" s="3" t="str">
        <f>TRIM([1]Raw_Data!J237)</f>
        <v>Walmart</v>
      </c>
      <c r="K239" s="3">
        <f t="shared" si="12"/>
        <v>2020</v>
      </c>
      <c r="L239" s="6">
        <f t="shared" si="13"/>
        <v>43922</v>
      </c>
      <c r="M239" s="3" t="str">
        <f t="shared" si="14"/>
        <v>11% to 15%</v>
      </c>
      <c r="N239" s="3" t="str">
        <f t="shared" si="15"/>
        <v>OK</v>
      </c>
    </row>
    <row r="240" spans="1:14" x14ac:dyDescent="0.3">
      <c r="A240" s="2">
        <f>DATE(VALUE(RIGHT(TRIM([1]Raw_Data!A238),4)),VALUE(MID(TRIM([1]Raw_Data!A238),4,2)),VALUE(LEFT(TRIM([1]Raw_Data!A238),2)))</f>
        <v>43934</v>
      </c>
      <c r="B240" s="3" t="str">
        <f>TRIM([1]Raw_Data!B238)</f>
        <v>Biotin</v>
      </c>
      <c r="C240" s="3" t="str">
        <f>TRIM([1]Raw_Data!C238)</f>
        <v>Vitamin</v>
      </c>
      <c r="D240" s="3">
        <f>[1]Raw_Data!D238</f>
        <v>123</v>
      </c>
      <c r="E240" s="4">
        <f>[1]Raw_Data!E238</f>
        <v>45.92</v>
      </c>
      <c r="F240" s="5">
        <f>[1]Raw_Data!F238</f>
        <v>5648.16</v>
      </c>
      <c r="G240" s="4">
        <f>[1]Raw_Data!G238</f>
        <v>0.22</v>
      </c>
      <c r="H240" s="3">
        <f>[1]Raw_Data!H238</f>
        <v>0</v>
      </c>
      <c r="I240" s="3" t="str">
        <f>TRIM([1]Raw_Data!I238)</f>
        <v>UK</v>
      </c>
      <c r="J240" s="3" t="str">
        <f>TRIM([1]Raw_Data!J238)</f>
        <v>Amazon</v>
      </c>
      <c r="K240" s="3">
        <f t="shared" si="12"/>
        <v>2020</v>
      </c>
      <c r="L240" s="6">
        <f t="shared" si="13"/>
        <v>43922</v>
      </c>
      <c r="M240" s="3" t="str">
        <f t="shared" si="14"/>
        <v>21% to 25%</v>
      </c>
      <c r="N240" s="3" t="str">
        <f t="shared" si="15"/>
        <v>OK</v>
      </c>
    </row>
    <row r="241" spans="1:14" x14ac:dyDescent="0.3">
      <c r="A241" s="2">
        <f>DATE(VALUE(RIGHT(TRIM([1]Raw_Data!A239),4)),VALUE(MID(TRIM([1]Raw_Data!A239),4,2)),VALUE(LEFT(TRIM([1]Raw_Data!A239),2)))</f>
        <v>43934</v>
      </c>
      <c r="B241" s="3" t="str">
        <f>TRIM([1]Raw_Data!B239)</f>
        <v>Green Tea Extract</v>
      </c>
      <c r="C241" s="3" t="str">
        <f>TRIM([1]Raw_Data!C239)</f>
        <v>Fat Burner</v>
      </c>
      <c r="D241" s="3">
        <f>[1]Raw_Data!D239</f>
        <v>162</v>
      </c>
      <c r="E241" s="4">
        <f>[1]Raw_Data!E239</f>
        <v>29.83</v>
      </c>
      <c r="F241" s="5">
        <f>[1]Raw_Data!F239</f>
        <v>4832.46</v>
      </c>
      <c r="G241" s="4">
        <f>[1]Raw_Data!G239</f>
        <v>0.03</v>
      </c>
      <c r="H241" s="3">
        <f>[1]Raw_Data!H239</f>
        <v>3</v>
      </c>
      <c r="I241" s="3" t="str">
        <f>TRIM([1]Raw_Data!I239)</f>
        <v>USA</v>
      </c>
      <c r="J241" s="3" t="str">
        <f>TRIM([1]Raw_Data!J239)</f>
        <v>Amazon</v>
      </c>
      <c r="K241" s="3">
        <f t="shared" si="12"/>
        <v>2020</v>
      </c>
      <c r="L241" s="6">
        <f t="shared" si="13"/>
        <v>43922</v>
      </c>
      <c r="M241" s="3" t="str">
        <f t="shared" si="14"/>
        <v>0% to 5%</v>
      </c>
      <c r="N241" s="3" t="str">
        <f t="shared" si="15"/>
        <v>OK</v>
      </c>
    </row>
    <row r="242" spans="1:14" x14ac:dyDescent="0.3">
      <c r="A242" s="2">
        <f>DATE(VALUE(RIGHT(TRIM([1]Raw_Data!A240),4)),VALUE(MID(TRIM([1]Raw_Data!A240),4,2)),VALUE(LEFT(TRIM([1]Raw_Data!A240),2)))</f>
        <v>43934</v>
      </c>
      <c r="B242" s="3" t="str">
        <f>TRIM([1]Raw_Data!B240)</f>
        <v>Iron Supplement</v>
      </c>
      <c r="C242" s="3" t="str">
        <f>TRIM([1]Raw_Data!C240)</f>
        <v>Mineral</v>
      </c>
      <c r="D242" s="3">
        <f>[1]Raw_Data!D240</f>
        <v>136</v>
      </c>
      <c r="E242" s="4">
        <f>[1]Raw_Data!E240</f>
        <v>24.5</v>
      </c>
      <c r="F242" s="5">
        <f>[1]Raw_Data!F240</f>
        <v>3332</v>
      </c>
      <c r="G242" s="4">
        <f>[1]Raw_Data!G240</f>
        <v>0.22</v>
      </c>
      <c r="H242" s="3">
        <f>[1]Raw_Data!H240</f>
        <v>2</v>
      </c>
      <c r="I242" s="3" t="str">
        <f>TRIM([1]Raw_Data!I240)</f>
        <v>Canada</v>
      </c>
      <c r="J242" s="3" t="str">
        <f>TRIM([1]Raw_Data!J240)</f>
        <v>Walmart</v>
      </c>
      <c r="K242" s="3">
        <f t="shared" si="12"/>
        <v>2020</v>
      </c>
      <c r="L242" s="6">
        <f t="shared" si="13"/>
        <v>43922</v>
      </c>
      <c r="M242" s="3" t="str">
        <f t="shared" si="14"/>
        <v>21% to 25%</v>
      </c>
      <c r="N242" s="3" t="str">
        <f t="shared" si="15"/>
        <v>OK</v>
      </c>
    </row>
    <row r="243" spans="1:14" x14ac:dyDescent="0.3">
      <c r="A243" s="2">
        <f>DATE(VALUE(RIGHT(TRIM([1]Raw_Data!A241),4)),VALUE(MID(TRIM([1]Raw_Data!A241),4,2)),VALUE(LEFT(TRIM([1]Raw_Data!A241),2)))</f>
        <v>43934</v>
      </c>
      <c r="B243" s="3" t="str">
        <f>TRIM([1]Raw_Data!B241)</f>
        <v>Electrolyte Powder</v>
      </c>
      <c r="C243" s="3" t="str">
        <f>TRIM([1]Raw_Data!C241)</f>
        <v>Hydration</v>
      </c>
      <c r="D243" s="3">
        <f>[1]Raw_Data!D241</f>
        <v>162</v>
      </c>
      <c r="E243" s="4">
        <f>[1]Raw_Data!E241</f>
        <v>41.24</v>
      </c>
      <c r="F243" s="5">
        <f>[1]Raw_Data!F241</f>
        <v>6680.88</v>
      </c>
      <c r="G243" s="4">
        <f>[1]Raw_Data!G241</f>
        <v>0.14000000000000001</v>
      </c>
      <c r="H243" s="3">
        <f>[1]Raw_Data!H241</f>
        <v>3</v>
      </c>
      <c r="I243" s="3" t="str">
        <f>TRIM([1]Raw_Data!I241)</f>
        <v>USA</v>
      </c>
      <c r="J243" s="3" t="str">
        <f>TRIM([1]Raw_Data!J241)</f>
        <v>Walmart</v>
      </c>
      <c r="K243" s="3">
        <f t="shared" si="12"/>
        <v>2020</v>
      </c>
      <c r="L243" s="6">
        <f t="shared" si="13"/>
        <v>43922</v>
      </c>
      <c r="M243" s="3" t="str">
        <f t="shared" si="14"/>
        <v>11% to 15%</v>
      </c>
      <c r="N243" s="3" t="str">
        <f t="shared" si="15"/>
        <v>OK</v>
      </c>
    </row>
    <row r="244" spans="1:14" x14ac:dyDescent="0.3">
      <c r="A244" s="2">
        <f>DATE(VALUE(RIGHT(TRIM([1]Raw_Data!A242),4)),VALUE(MID(TRIM([1]Raw_Data!A242),4,2)),VALUE(LEFT(TRIM([1]Raw_Data!A242),2)))</f>
        <v>43941</v>
      </c>
      <c r="B244" s="3" t="str">
        <f>TRIM([1]Raw_Data!B242)</f>
        <v>Whey Protein</v>
      </c>
      <c r="C244" s="3" t="str">
        <f>TRIM([1]Raw_Data!C242)</f>
        <v>Protein</v>
      </c>
      <c r="D244" s="3">
        <f>[1]Raw_Data!D242</f>
        <v>169</v>
      </c>
      <c r="E244" s="4">
        <f>[1]Raw_Data!E242</f>
        <v>43.7</v>
      </c>
      <c r="F244" s="5">
        <f>[1]Raw_Data!F242</f>
        <v>7385.3</v>
      </c>
      <c r="G244" s="4">
        <f>[1]Raw_Data!G242</f>
        <v>0.01</v>
      </c>
      <c r="H244" s="3">
        <f>[1]Raw_Data!H242</f>
        <v>2</v>
      </c>
      <c r="I244" s="3" t="str">
        <f>TRIM([1]Raw_Data!I242)</f>
        <v>USA</v>
      </c>
      <c r="J244" s="3" t="str">
        <f>TRIM([1]Raw_Data!J242)</f>
        <v>Walmart</v>
      </c>
      <c r="K244" s="3">
        <f t="shared" si="12"/>
        <v>2020</v>
      </c>
      <c r="L244" s="6">
        <f t="shared" si="13"/>
        <v>43922</v>
      </c>
      <c r="M244" s="3" t="str">
        <f t="shared" si="14"/>
        <v>0% to 5%</v>
      </c>
      <c r="N244" s="3" t="str">
        <f t="shared" si="15"/>
        <v>OK</v>
      </c>
    </row>
    <row r="245" spans="1:14" x14ac:dyDescent="0.3">
      <c r="A245" s="2">
        <f>DATE(VALUE(RIGHT(TRIM([1]Raw_Data!A243),4)),VALUE(MID(TRIM([1]Raw_Data!A243),4,2)),VALUE(LEFT(TRIM([1]Raw_Data!A243),2)))</f>
        <v>43941</v>
      </c>
      <c r="B245" s="3" t="str">
        <f>TRIM([1]Raw_Data!B243)</f>
        <v>Vitamin C</v>
      </c>
      <c r="C245" s="3" t="str">
        <f>TRIM([1]Raw_Data!C243)</f>
        <v>Vitamin</v>
      </c>
      <c r="D245" s="3">
        <f>[1]Raw_Data!D243</f>
        <v>142</v>
      </c>
      <c r="E245" s="4">
        <f>[1]Raw_Data!E243</f>
        <v>27.65</v>
      </c>
      <c r="F245" s="5">
        <f>[1]Raw_Data!F243</f>
        <v>3926.3</v>
      </c>
      <c r="G245" s="4">
        <f>[1]Raw_Data!G243</f>
        <v>0.16</v>
      </c>
      <c r="H245" s="3">
        <f>[1]Raw_Data!H243</f>
        <v>1</v>
      </c>
      <c r="I245" s="3" t="str">
        <f>TRIM([1]Raw_Data!I243)</f>
        <v>Canada</v>
      </c>
      <c r="J245" s="3" t="str">
        <f>TRIM([1]Raw_Data!J243)</f>
        <v>iHerb</v>
      </c>
      <c r="K245" s="3">
        <f t="shared" si="12"/>
        <v>2020</v>
      </c>
      <c r="L245" s="6">
        <f t="shared" si="13"/>
        <v>43922</v>
      </c>
      <c r="M245" s="3" t="str">
        <f t="shared" si="14"/>
        <v>16% to 20%</v>
      </c>
      <c r="N245" s="3" t="str">
        <f t="shared" si="15"/>
        <v>OK</v>
      </c>
    </row>
    <row r="246" spans="1:14" x14ac:dyDescent="0.3">
      <c r="A246" s="2">
        <f>DATE(VALUE(RIGHT(TRIM([1]Raw_Data!A244),4)),VALUE(MID(TRIM([1]Raw_Data!A244),4,2)),VALUE(LEFT(TRIM([1]Raw_Data!A244),2)))</f>
        <v>43941</v>
      </c>
      <c r="B246" s="3" t="str">
        <f>TRIM([1]Raw_Data!B244)</f>
        <v>Fish Oil</v>
      </c>
      <c r="C246" s="3" t="str">
        <f>TRIM([1]Raw_Data!C244)</f>
        <v>Omega</v>
      </c>
      <c r="D246" s="3">
        <f>[1]Raw_Data!D244</f>
        <v>159</v>
      </c>
      <c r="E246" s="4">
        <f>[1]Raw_Data!E244</f>
        <v>13.42</v>
      </c>
      <c r="F246" s="5">
        <f>[1]Raw_Data!F244</f>
        <v>2133.7800000000002</v>
      </c>
      <c r="G246" s="4">
        <f>[1]Raw_Data!G244</f>
        <v>0.2</v>
      </c>
      <c r="H246" s="3">
        <f>[1]Raw_Data!H244</f>
        <v>1</v>
      </c>
      <c r="I246" s="3" t="str">
        <f>TRIM([1]Raw_Data!I244)</f>
        <v>UK</v>
      </c>
      <c r="J246" s="3" t="str">
        <f>TRIM([1]Raw_Data!J244)</f>
        <v>iHerb</v>
      </c>
      <c r="K246" s="3">
        <f t="shared" si="12"/>
        <v>2020</v>
      </c>
      <c r="L246" s="6">
        <f t="shared" si="13"/>
        <v>43922</v>
      </c>
      <c r="M246" s="3" t="str">
        <f t="shared" si="14"/>
        <v>16% to 20%</v>
      </c>
      <c r="N246" s="3" t="str">
        <f t="shared" si="15"/>
        <v>OK</v>
      </c>
    </row>
    <row r="247" spans="1:14" x14ac:dyDescent="0.3">
      <c r="A247" s="2">
        <f>DATE(VALUE(RIGHT(TRIM([1]Raw_Data!A245),4)),VALUE(MID(TRIM([1]Raw_Data!A245),4,2)),VALUE(LEFT(TRIM([1]Raw_Data!A245),2)))</f>
        <v>43941</v>
      </c>
      <c r="B247" s="3" t="str">
        <f>TRIM([1]Raw_Data!B245)</f>
        <v>Multivitamin</v>
      </c>
      <c r="C247" s="3" t="str">
        <f>TRIM([1]Raw_Data!C245)</f>
        <v>Vitamin</v>
      </c>
      <c r="D247" s="3">
        <f>[1]Raw_Data!D245</f>
        <v>148</v>
      </c>
      <c r="E247" s="4">
        <f>[1]Raw_Data!E245</f>
        <v>26.62</v>
      </c>
      <c r="F247" s="5">
        <f>[1]Raw_Data!F245</f>
        <v>3939.76</v>
      </c>
      <c r="G247" s="4">
        <f>[1]Raw_Data!G245</f>
        <v>0.01</v>
      </c>
      <c r="H247" s="3">
        <f>[1]Raw_Data!H245</f>
        <v>1</v>
      </c>
      <c r="I247" s="3" t="str">
        <f>TRIM([1]Raw_Data!I245)</f>
        <v>USA</v>
      </c>
      <c r="J247" s="3" t="str">
        <f>TRIM([1]Raw_Data!J245)</f>
        <v>Amazon</v>
      </c>
      <c r="K247" s="3">
        <f t="shared" si="12"/>
        <v>2020</v>
      </c>
      <c r="L247" s="6">
        <f t="shared" si="13"/>
        <v>43922</v>
      </c>
      <c r="M247" s="3" t="str">
        <f t="shared" si="14"/>
        <v>0% to 5%</v>
      </c>
      <c r="N247" s="3" t="str">
        <f t="shared" si="15"/>
        <v>OK</v>
      </c>
    </row>
    <row r="248" spans="1:14" x14ac:dyDescent="0.3">
      <c r="A248" s="2">
        <f>DATE(VALUE(RIGHT(TRIM([1]Raw_Data!A246),4)),VALUE(MID(TRIM([1]Raw_Data!A246),4,2)),VALUE(LEFT(TRIM([1]Raw_Data!A246),2)))</f>
        <v>43941</v>
      </c>
      <c r="B248" s="3" t="str">
        <f>TRIM([1]Raw_Data!B246)</f>
        <v>Pre-Workout</v>
      </c>
      <c r="C248" s="3" t="str">
        <f>TRIM([1]Raw_Data!C246)</f>
        <v>Performance</v>
      </c>
      <c r="D248" s="3">
        <f>[1]Raw_Data!D246</f>
        <v>176</v>
      </c>
      <c r="E248" s="4">
        <f>[1]Raw_Data!E246</f>
        <v>43.57</v>
      </c>
      <c r="F248" s="5">
        <f>[1]Raw_Data!F246</f>
        <v>7668.32</v>
      </c>
      <c r="G248" s="4">
        <f>[1]Raw_Data!G246</f>
        <v>0.16</v>
      </c>
      <c r="H248" s="3">
        <f>[1]Raw_Data!H246</f>
        <v>1</v>
      </c>
      <c r="I248" s="3" t="str">
        <f>TRIM([1]Raw_Data!I246)</f>
        <v>USA</v>
      </c>
      <c r="J248" s="3" t="str">
        <f>TRIM([1]Raw_Data!J246)</f>
        <v>Walmart</v>
      </c>
      <c r="K248" s="3">
        <f t="shared" si="12"/>
        <v>2020</v>
      </c>
      <c r="L248" s="6">
        <f t="shared" si="13"/>
        <v>43922</v>
      </c>
      <c r="M248" s="3" t="str">
        <f t="shared" si="14"/>
        <v>16% to 20%</v>
      </c>
      <c r="N248" s="3" t="str">
        <f t="shared" si="15"/>
        <v>OK</v>
      </c>
    </row>
    <row r="249" spans="1:14" x14ac:dyDescent="0.3">
      <c r="A249" s="2">
        <f>DATE(VALUE(RIGHT(TRIM([1]Raw_Data!A247),4)),VALUE(MID(TRIM([1]Raw_Data!A247),4,2)),VALUE(LEFT(TRIM([1]Raw_Data!A247),2)))</f>
        <v>43941</v>
      </c>
      <c r="B249" s="3" t="str">
        <f>TRIM([1]Raw_Data!B247)</f>
        <v>BCAA</v>
      </c>
      <c r="C249" s="3" t="str">
        <f>TRIM([1]Raw_Data!C247)</f>
        <v>Amino Acid</v>
      </c>
      <c r="D249" s="3">
        <f>[1]Raw_Data!D247</f>
        <v>147</v>
      </c>
      <c r="E249" s="4">
        <f>[1]Raw_Data!E247</f>
        <v>15.07</v>
      </c>
      <c r="F249" s="5">
        <f>[1]Raw_Data!F247</f>
        <v>2215.29</v>
      </c>
      <c r="G249" s="4">
        <f>[1]Raw_Data!G247</f>
        <v>7.0000000000000007E-2</v>
      </c>
      <c r="H249" s="3">
        <f>[1]Raw_Data!H247</f>
        <v>1</v>
      </c>
      <c r="I249" s="3" t="str">
        <f>TRIM([1]Raw_Data!I247)</f>
        <v>USA</v>
      </c>
      <c r="J249" s="3" t="str">
        <f>TRIM([1]Raw_Data!J247)</f>
        <v>iHerb</v>
      </c>
      <c r="K249" s="3">
        <f t="shared" si="12"/>
        <v>2020</v>
      </c>
      <c r="L249" s="6">
        <f t="shared" si="13"/>
        <v>43922</v>
      </c>
      <c r="M249" s="3" t="str">
        <f t="shared" si="14"/>
        <v>6% to 10%</v>
      </c>
      <c r="N249" s="3" t="str">
        <f t="shared" si="15"/>
        <v>OK</v>
      </c>
    </row>
    <row r="250" spans="1:14" x14ac:dyDescent="0.3">
      <c r="A250" s="2">
        <f>DATE(VALUE(RIGHT(TRIM([1]Raw_Data!A248),4)),VALUE(MID(TRIM([1]Raw_Data!A248),4,2)),VALUE(LEFT(TRIM([1]Raw_Data!A248),2)))</f>
        <v>43941</v>
      </c>
      <c r="B250" s="3" t="str">
        <f>TRIM([1]Raw_Data!B248)</f>
        <v>Creatine</v>
      </c>
      <c r="C250" s="3" t="str">
        <f>TRIM([1]Raw_Data!C248)</f>
        <v>Performance</v>
      </c>
      <c r="D250" s="3">
        <f>[1]Raw_Data!D248</f>
        <v>148</v>
      </c>
      <c r="E250" s="4">
        <f>[1]Raw_Data!E248</f>
        <v>13.38</v>
      </c>
      <c r="F250" s="5">
        <f>[1]Raw_Data!F248</f>
        <v>1980.24</v>
      </c>
      <c r="G250" s="4">
        <f>[1]Raw_Data!G248</f>
        <v>0.13</v>
      </c>
      <c r="H250" s="3">
        <f>[1]Raw_Data!H248</f>
        <v>0</v>
      </c>
      <c r="I250" s="3" t="str">
        <f>TRIM([1]Raw_Data!I248)</f>
        <v>Canada</v>
      </c>
      <c r="J250" s="3" t="str">
        <f>TRIM([1]Raw_Data!J248)</f>
        <v>Walmart</v>
      </c>
      <c r="K250" s="3">
        <f t="shared" si="12"/>
        <v>2020</v>
      </c>
      <c r="L250" s="6">
        <f t="shared" si="13"/>
        <v>43922</v>
      </c>
      <c r="M250" s="3" t="str">
        <f t="shared" si="14"/>
        <v>11% to 15%</v>
      </c>
      <c r="N250" s="3" t="str">
        <f t="shared" si="15"/>
        <v>OK</v>
      </c>
    </row>
    <row r="251" spans="1:14" x14ac:dyDescent="0.3">
      <c r="A251" s="2">
        <f>DATE(VALUE(RIGHT(TRIM([1]Raw_Data!A249),4)),VALUE(MID(TRIM([1]Raw_Data!A249),4,2)),VALUE(LEFT(TRIM([1]Raw_Data!A249),2)))</f>
        <v>43941</v>
      </c>
      <c r="B251" s="3" t="str">
        <f>TRIM([1]Raw_Data!B249)</f>
        <v>Zinc</v>
      </c>
      <c r="C251" s="3" t="str">
        <f>TRIM([1]Raw_Data!C249)</f>
        <v>Mineral</v>
      </c>
      <c r="D251" s="3">
        <f>[1]Raw_Data!D249</f>
        <v>188</v>
      </c>
      <c r="E251" s="4">
        <f>[1]Raw_Data!E249</f>
        <v>30.18</v>
      </c>
      <c r="F251" s="5">
        <f>[1]Raw_Data!F249</f>
        <v>5673.84</v>
      </c>
      <c r="G251" s="4">
        <f>[1]Raw_Data!G249</f>
        <v>0.18</v>
      </c>
      <c r="H251" s="3">
        <f>[1]Raw_Data!H249</f>
        <v>2</v>
      </c>
      <c r="I251" s="3" t="str">
        <f>TRIM([1]Raw_Data!I249)</f>
        <v>USA</v>
      </c>
      <c r="J251" s="3" t="str">
        <f>TRIM([1]Raw_Data!J249)</f>
        <v>iHerb</v>
      </c>
      <c r="K251" s="3">
        <f t="shared" si="12"/>
        <v>2020</v>
      </c>
      <c r="L251" s="6">
        <f t="shared" si="13"/>
        <v>43922</v>
      </c>
      <c r="M251" s="3" t="str">
        <f t="shared" si="14"/>
        <v>16% to 20%</v>
      </c>
      <c r="N251" s="3" t="str">
        <f t="shared" si="15"/>
        <v>OK</v>
      </c>
    </row>
    <row r="252" spans="1:14" x14ac:dyDescent="0.3">
      <c r="A252" s="2">
        <f>DATE(VALUE(RIGHT(TRIM([1]Raw_Data!A250),4)),VALUE(MID(TRIM([1]Raw_Data!A250),4,2)),VALUE(LEFT(TRIM([1]Raw_Data!A250),2)))</f>
        <v>43941</v>
      </c>
      <c r="B252" s="3" t="str">
        <f>TRIM([1]Raw_Data!B250)</f>
        <v>Collagen Peptides</v>
      </c>
      <c r="C252" s="3" t="str">
        <f>TRIM([1]Raw_Data!C250)</f>
        <v>Protein</v>
      </c>
      <c r="D252" s="3">
        <f>[1]Raw_Data!D250</f>
        <v>147</v>
      </c>
      <c r="E252" s="4">
        <f>[1]Raw_Data!E250</f>
        <v>29.88</v>
      </c>
      <c r="F252" s="5">
        <f>[1]Raw_Data!F250</f>
        <v>4392.3599999999997</v>
      </c>
      <c r="G252" s="4">
        <f>[1]Raw_Data!G250</f>
        <v>7.0000000000000007E-2</v>
      </c>
      <c r="H252" s="3">
        <f>[1]Raw_Data!H250</f>
        <v>0</v>
      </c>
      <c r="I252" s="3" t="str">
        <f>TRIM([1]Raw_Data!I250)</f>
        <v>USA</v>
      </c>
      <c r="J252" s="3" t="str">
        <f>TRIM([1]Raw_Data!J250)</f>
        <v>iHerb</v>
      </c>
      <c r="K252" s="3">
        <f t="shared" si="12"/>
        <v>2020</v>
      </c>
      <c r="L252" s="6">
        <f t="shared" si="13"/>
        <v>43922</v>
      </c>
      <c r="M252" s="3" t="str">
        <f t="shared" si="14"/>
        <v>6% to 10%</v>
      </c>
      <c r="N252" s="3" t="str">
        <f t="shared" si="15"/>
        <v>OK</v>
      </c>
    </row>
    <row r="253" spans="1:14" x14ac:dyDescent="0.3">
      <c r="A253" s="2">
        <f>DATE(VALUE(RIGHT(TRIM([1]Raw_Data!A251),4)),VALUE(MID(TRIM([1]Raw_Data!A251),4,2)),VALUE(LEFT(TRIM([1]Raw_Data!A251),2)))</f>
        <v>43941</v>
      </c>
      <c r="B253" s="3" t="str">
        <f>TRIM([1]Raw_Data!B251)</f>
        <v>Magnesium</v>
      </c>
      <c r="C253" s="3" t="str">
        <f>TRIM([1]Raw_Data!C251)</f>
        <v>Mineral</v>
      </c>
      <c r="D253" s="3">
        <f>[1]Raw_Data!D251</f>
        <v>149</v>
      </c>
      <c r="E253" s="4">
        <f>[1]Raw_Data!E251</f>
        <v>24.37</v>
      </c>
      <c r="F253" s="5">
        <f>[1]Raw_Data!F251</f>
        <v>3631.13</v>
      </c>
      <c r="G253" s="4">
        <f>[1]Raw_Data!G251</f>
        <v>0.16</v>
      </c>
      <c r="H253" s="3">
        <f>[1]Raw_Data!H251</f>
        <v>4</v>
      </c>
      <c r="I253" s="3" t="str">
        <f>TRIM([1]Raw_Data!I251)</f>
        <v>USA</v>
      </c>
      <c r="J253" s="3" t="str">
        <f>TRIM([1]Raw_Data!J251)</f>
        <v>Amazon</v>
      </c>
      <c r="K253" s="3">
        <f t="shared" si="12"/>
        <v>2020</v>
      </c>
      <c r="L253" s="6">
        <f t="shared" si="13"/>
        <v>43922</v>
      </c>
      <c r="M253" s="3" t="str">
        <f t="shared" si="14"/>
        <v>16% to 20%</v>
      </c>
      <c r="N253" s="3" t="str">
        <f t="shared" si="15"/>
        <v>OK</v>
      </c>
    </row>
    <row r="254" spans="1:14" x14ac:dyDescent="0.3">
      <c r="A254" s="2">
        <f>DATE(VALUE(RIGHT(TRIM([1]Raw_Data!A252),4)),VALUE(MID(TRIM([1]Raw_Data!A252),4,2)),VALUE(LEFT(TRIM([1]Raw_Data!A252),2)))</f>
        <v>43941</v>
      </c>
      <c r="B254" s="3" t="str">
        <f>TRIM([1]Raw_Data!B252)</f>
        <v>Ashwagandha</v>
      </c>
      <c r="C254" s="3" t="str">
        <f>TRIM([1]Raw_Data!C252)</f>
        <v>Herbal</v>
      </c>
      <c r="D254" s="3">
        <f>[1]Raw_Data!D252</f>
        <v>154</v>
      </c>
      <c r="E254" s="4">
        <f>[1]Raw_Data!E252</f>
        <v>13.78</v>
      </c>
      <c r="F254" s="5">
        <f>[1]Raw_Data!F252</f>
        <v>2122.12</v>
      </c>
      <c r="G254" s="4">
        <f>[1]Raw_Data!G252</f>
        <v>0.24</v>
      </c>
      <c r="H254" s="3">
        <f>[1]Raw_Data!H252</f>
        <v>1</v>
      </c>
      <c r="I254" s="3" t="str">
        <f>TRIM([1]Raw_Data!I252)</f>
        <v>Canada</v>
      </c>
      <c r="J254" s="3" t="str">
        <f>TRIM([1]Raw_Data!J252)</f>
        <v>Amazon</v>
      </c>
      <c r="K254" s="3">
        <f t="shared" si="12"/>
        <v>2020</v>
      </c>
      <c r="L254" s="6">
        <f t="shared" si="13"/>
        <v>43922</v>
      </c>
      <c r="M254" s="3" t="str">
        <f t="shared" si="14"/>
        <v>21% to 25%</v>
      </c>
      <c r="N254" s="3" t="str">
        <f t="shared" si="15"/>
        <v>OK</v>
      </c>
    </row>
    <row r="255" spans="1:14" x14ac:dyDescent="0.3">
      <c r="A255" s="2">
        <f>DATE(VALUE(RIGHT(TRIM([1]Raw_Data!A253),4)),VALUE(MID(TRIM([1]Raw_Data!A253),4,2)),VALUE(LEFT(TRIM([1]Raw_Data!A253),2)))</f>
        <v>43941</v>
      </c>
      <c r="B255" s="3" t="str">
        <f>TRIM([1]Raw_Data!B253)</f>
        <v>Melatonin</v>
      </c>
      <c r="C255" s="3" t="str">
        <f>TRIM([1]Raw_Data!C253)</f>
        <v>Sleep Aid</v>
      </c>
      <c r="D255" s="3">
        <f>[1]Raw_Data!D253</f>
        <v>130</v>
      </c>
      <c r="E255" s="4">
        <f>[1]Raw_Data!E253</f>
        <v>41.18</v>
      </c>
      <c r="F255" s="5">
        <f>[1]Raw_Data!F253</f>
        <v>5353.4</v>
      </c>
      <c r="G255" s="4">
        <f>[1]Raw_Data!G253</f>
        <v>0.16</v>
      </c>
      <c r="H255" s="3">
        <f>[1]Raw_Data!H253</f>
        <v>0</v>
      </c>
      <c r="I255" s="3" t="str">
        <f>TRIM([1]Raw_Data!I253)</f>
        <v>USA</v>
      </c>
      <c r="J255" s="3" t="str">
        <f>TRIM([1]Raw_Data!J253)</f>
        <v>Amazon</v>
      </c>
      <c r="K255" s="3">
        <f t="shared" si="12"/>
        <v>2020</v>
      </c>
      <c r="L255" s="6">
        <f t="shared" si="13"/>
        <v>43922</v>
      </c>
      <c r="M255" s="3" t="str">
        <f t="shared" si="14"/>
        <v>16% to 20%</v>
      </c>
      <c r="N255" s="3" t="str">
        <f t="shared" si="15"/>
        <v>OK</v>
      </c>
    </row>
    <row r="256" spans="1:14" x14ac:dyDescent="0.3">
      <c r="A256" s="2">
        <f>DATE(VALUE(RIGHT(TRIM([1]Raw_Data!A254),4)),VALUE(MID(TRIM([1]Raw_Data!A254),4,2)),VALUE(LEFT(TRIM([1]Raw_Data!A254),2)))</f>
        <v>43941</v>
      </c>
      <c r="B256" s="3" t="str">
        <f>TRIM([1]Raw_Data!B254)</f>
        <v>Biotin</v>
      </c>
      <c r="C256" s="3" t="str">
        <f>TRIM([1]Raw_Data!C254)</f>
        <v>Vitamin</v>
      </c>
      <c r="D256" s="3">
        <f>[1]Raw_Data!D254</f>
        <v>141</v>
      </c>
      <c r="E256" s="4">
        <f>[1]Raw_Data!E254</f>
        <v>45.33</v>
      </c>
      <c r="F256" s="5">
        <f>[1]Raw_Data!F254</f>
        <v>6391.53</v>
      </c>
      <c r="G256" s="4">
        <f>[1]Raw_Data!G254</f>
        <v>0.15</v>
      </c>
      <c r="H256" s="3">
        <f>[1]Raw_Data!H254</f>
        <v>1</v>
      </c>
      <c r="I256" s="3" t="str">
        <f>TRIM([1]Raw_Data!I254)</f>
        <v>UK</v>
      </c>
      <c r="J256" s="3" t="str">
        <f>TRIM([1]Raw_Data!J254)</f>
        <v>Amazon</v>
      </c>
      <c r="K256" s="3">
        <f t="shared" si="12"/>
        <v>2020</v>
      </c>
      <c r="L256" s="6">
        <f t="shared" si="13"/>
        <v>43922</v>
      </c>
      <c r="M256" s="3" t="str">
        <f t="shared" si="14"/>
        <v>11% to 15%</v>
      </c>
      <c r="N256" s="3" t="str">
        <f t="shared" si="15"/>
        <v>OK</v>
      </c>
    </row>
    <row r="257" spans="1:14" x14ac:dyDescent="0.3">
      <c r="A257" s="2">
        <f>DATE(VALUE(RIGHT(TRIM([1]Raw_Data!A255),4)),VALUE(MID(TRIM([1]Raw_Data!A255),4,2)),VALUE(LEFT(TRIM([1]Raw_Data!A255),2)))</f>
        <v>43941</v>
      </c>
      <c r="B257" s="3" t="str">
        <f>TRIM([1]Raw_Data!B255)</f>
        <v>Green Tea Extract</v>
      </c>
      <c r="C257" s="3" t="str">
        <f>TRIM([1]Raw_Data!C255)</f>
        <v>Fat Burner</v>
      </c>
      <c r="D257" s="3">
        <f>[1]Raw_Data!D255</f>
        <v>141</v>
      </c>
      <c r="E257" s="4">
        <f>[1]Raw_Data!E255</f>
        <v>53.3</v>
      </c>
      <c r="F257" s="5">
        <f>[1]Raw_Data!F255</f>
        <v>7515.3</v>
      </c>
      <c r="G257" s="4">
        <f>[1]Raw_Data!G255</f>
        <v>0.24</v>
      </c>
      <c r="H257" s="3">
        <f>[1]Raw_Data!H255</f>
        <v>0</v>
      </c>
      <c r="I257" s="3" t="str">
        <f>TRIM([1]Raw_Data!I255)</f>
        <v>UK</v>
      </c>
      <c r="J257" s="3" t="str">
        <f>TRIM([1]Raw_Data!J255)</f>
        <v>Amazon</v>
      </c>
      <c r="K257" s="3">
        <f t="shared" si="12"/>
        <v>2020</v>
      </c>
      <c r="L257" s="6">
        <f t="shared" si="13"/>
        <v>43922</v>
      </c>
      <c r="M257" s="3" t="str">
        <f t="shared" si="14"/>
        <v>21% to 25%</v>
      </c>
      <c r="N257" s="3" t="str">
        <f t="shared" si="15"/>
        <v>OK</v>
      </c>
    </row>
    <row r="258" spans="1:14" x14ac:dyDescent="0.3">
      <c r="A258" s="2">
        <f>DATE(VALUE(RIGHT(TRIM([1]Raw_Data!A256),4)),VALUE(MID(TRIM([1]Raw_Data!A256),4,2)),VALUE(LEFT(TRIM([1]Raw_Data!A256),2)))</f>
        <v>43941</v>
      </c>
      <c r="B258" s="3" t="str">
        <f>TRIM([1]Raw_Data!B256)</f>
        <v>Iron Supplement</v>
      </c>
      <c r="C258" s="3" t="str">
        <f>TRIM([1]Raw_Data!C256)</f>
        <v>Mineral</v>
      </c>
      <c r="D258" s="3">
        <f>[1]Raw_Data!D256</f>
        <v>159</v>
      </c>
      <c r="E258" s="4">
        <f>[1]Raw_Data!E256</f>
        <v>20.13</v>
      </c>
      <c r="F258" s="5">
        <f>[1]Raw_Data!F256</f>
        <v>3200.67</v>
      </c>
      <c r="G258" s="4">
        <f>[1]Raw_Data!G256</f>
        <v>0.15</v>
      </c>
      <c r="H258" s="3">
        <f>[1]Raw_Data!H256</f>
        <v>2</v>
      </c>
      <c r="I258" s="3" t="str">
        <f>TRIM([1]Raw_Data!I256)</f>
        <v>USA</v>
      </c>
      <c r="J258" s="3" t="str">
        <f>TRIM([1]Raw_Data!J256)</f>
        <v>iHerb</v>
      </c>
      <c r="K258" s="3">
        <f t="shared" si="12"/>
        <v>2020</v>
      </c>
      <c r="L258" s="6">
        <f t="shared" si="13"/>
        <v>43922</v>
      </c>
      <c r="M258" s="3" t="str">
        <f t="shared" si="14"/>
        <v>11% to 15%</v>
      </c>
      <c r="N258" s="3" t="str">
        <f t="shared" si="15"/>
        <v>OK</v>
      </c>
    </row>
    <row r="259" spans="1:14" x14ac:dyDescent="0.3">
      <c r="A259" s="2">
        <f>DATE(VALUE(RIGHT(TRIM([1]Raw_Data!A257),4)),VALUE(MID(TRIM([1]Raw_Data!A257),4,2)),VALUE(LEFT(TRIM([1]Raw_Data!A257),2)))</f>
        <v>43941</v>
      </c>
      <c r="B259" s="3" t="str">
        <f>TRIM([1]Raw_Data!B257)</f>
        <v>Electrolyte Powder</v>
      </c>
      <c r="C259" s="3" t="str">
        <f>TRIM([1]Raw_Data!C257)</f>
        <v>Hydration</v>
      </c>
      <c r="D259" s="3">
        <f>[1]Raw_Data!D257</f>
        <v>157</v>
      </c>
      <c r="E259" s="4">
        <f>[1]Raw_Data!E257</f>
        <v>10.77</v>
      </c>
      <c r="F259" s="5">
        <f>[1]Raw_Data!F257</f>
        <v>1690.89</v>
      </c>
      <c r="G259" s="4">
        <f>[1]Raw_Data!G257</f>
        <v>0.15</v>
      </c>
      <c r="H259" s="3">
        <f>[1]Raw_Data!H257</f>
        <v>1</v>
      </c>
      <c r="I259" s="3" t="str">
        <f>TRIM([1]Raw_Data!I257)</f>
        <v>UK</v>
      </c>
      <c r="J259" s="3" t="str">
        <f>TRIM([1]Raw_Data!J257)</f>
        <v>Amazon</v>
      </c>
      <c r="K259" s="3">
        <f t="shared" si="12"/>
        <v>2020</v>
      </c>
      <c r="L259" s="6">
        <f t="shared" si="13"/>
        <v>43922</v>
      </c>
      <c r="M259" s="3" t="str">
        <f t="shared" si="14"/>
        <v>11% to 15%</v>
      </c>
      <c r="N259" s="3" t="str">
        <f t="shared" si="15"/>
        <v>OK</v>
      </c>
    </row>
    <row r="260" spans="1:14" x14ac:dyDescent="0.3">
      <c r="A260" s="2">
        <f>DATE(VALUE(RIGHT(TRIM([1]Raw_Data!A258),4)),VALUE(MID(TRIM([1]Raw_Data!A258),4,2)),VALUE(LEFT(TRIM([1]Raw_Data!A258),2)))</f>
        <v>43948</v>
      </c>
      <c r="B260" s="3" t="str">
        <f>TRIM([1]Raw_Data!B258)</f>
        <v>Whey Protein</v>
      </c>
      <c r="C260" s="3" t="str">
        <f>TRIM([1]Raw_Data!C258)</f>
        <v>Protein</v>
      </c>
      <c r="D260" s="3">
        <f>[1]Raw_Data!D258</f>
        <v>148</v>
      </c>
      <c r="E260" s="4">
        <f>[1]Raw_Data!E258</f>
        <v>29.95</v>
      </c>
      <c r="F260" s="5">
        <f>[1]Raw_Data!F258</f>
        <v>4432.6000000000004</v>
      </c>
      <c r="G260" s="4">
        <f>[1]Raw_Data!G258</f>
        <v>0.21</v>
      </c>
      <c r="H260" s="3">
        <f>[1]Raw_Data!H258</f>
        <v>0</v>
      </c>
      <c r="I260" s="3" t="str">
        <f>TRIM([1]Raw_Data!I258)</f>
        <v>USA</v>
      </c>
      <c r="J260" s="3" t="str">
        <f>TRIM([1]Raw_Data!J258)</f>
        <v>Amazon</v>
      </c>
      <c r="K260" s="3">
        <f t="shared" ref="K260:K323" si="16">YEAR(A260)</f>
        <v>2020</v>
      </c>
      <c r="L260" s="6">
        <f t="shared" ref="L260:L323" si="17">DATE(YEAR(A260),MONTH(A260),1)</f>
        <v>43922</v>
      </c>
      <c r="M260" s="3" t="str">
        <f t="shared" ref="M260:M323" si="18">IF(ROUND(G260*100,0)&lt;=5,"0% to 5%",IF(ROUND(G260*100,0)&lt;=10,"6% to 10%",IF(ROUND(G260*100,0)&lt;=15,"11% to 15%",IF(ROUND(G260*100,0)&lt;=20,"16% to 20%","21% to 25%"))))</f>
        <v>21% to 25%</v>
      </c>
      <c r="N260" s="3" t="str">
        <f t="shared" ref="N260:N323" si="19">IF(ROUND(D260*E260,2)=ROUND(F260,2),"OK","Check")</f>
        <v>OK</v>
      </c>
    </row>
    <row r="261" spans="1:14" x14ac:dyDescent="0.3">
      <c r="A261" s="2">
        <f>DATE(VALUE(RIGHT(TRIM([1]Raw_Data!A259),4)),VALUE(MID(TRIM([1]Raw_Data!A259),4,2)),VALUE(LEFT(TRIM([1]Raw_Data!A259),2)))</f>
        <v>43948</v>
      </c>
      <c r="B261" s="3" t="str">
        <f>TRIM([1]Raw_Data!B259)</f>
        <v>Vitamin C</v>
      </c>
      <c r="C261" s="3" t="str">
        <f>TRIM([1]Raw_Data!C259)</f>
        <v>Vitamin</v>
      </c>
      <c r="D261" s="3">
        <f>[1]Raw_Data!D259</f>
        <v>131</v>
      </c>
      <c r="E261" s="4">
        <f>[1]Raw_Data!E259</f>
        <v>31.68</v>
      </c>
      <c r="F261" s="5">
        <f>[1]Raw_Data!F259</f>
        <v>4150.08</v>
      </c>
      <c r="G261" s="4">
        <f>[1]Raw_Data!G259</f>
        <v>0.02</v>
      </c>
      <c r="H261" s="3">
        <f>[1]Raw_Data!H259</f>
        <v>2</v>
      </c>
      <c r="I261" s="3" t="str">
        <f>TRIM([1]Raw_Data!I259)</f>
        <v>USA</v>
      </c>
      <c r="J261" s="3" t="str">
        <f>TRIM([1]Raw_Data!J259)</f>
        <v>iHerb</v>
      </c>
      <c r="K261" s="3">
        <f t="shared" si="16"/>
        <v>2020</v>
      </c>
      <c r="L261" s="6">
        <f t="shared" si="17"/>
        <v>43922</v>
      </c>
      <c r="M261" s="3" t="str">
        <f t="shared" si="18"/>
        <v>0% to 5%</v>
      </c>
      <c r="N261" s="3" t="str">
        <f t="shared" si="19"/>
        <v>OK</v>
      </c>
    </row>
    <row r="262" spans="1:14" x14ac:dyDescent="0.3">
      <c r="A262" s="2">
        <f>DATE(VALUE(RIGHT(TRIM([1]Raw_Data!A260),4)),VALUE(MID(TRIM([1]Raw_Data!A260),4,2)),VALUE(LEFT(TRIM([1]Raw_Data!A260),2)))</f>
        <v>43948</v>
      </c>
      <c r="B262" s="3" t="str">
        <f>TRIM([1]Raw_Data!B260)</f>
        <v>Fish Oil</v>
      </c>
      <c r="C262" s="3" t="str">
        <f>TRIM([1]Raw_Data!C260)</f>
        <v>Omega</v>
      </c>
      <c r="D262" s="3">
        <f>[1]Raw_Data!D260</f>
        <v>170</v>
      </c>
      <c r="E262" s="4">
        <f>[1]Raw_Data!E260</f>
        <v>22.94</v>
      </c>
      <c r="F262" s="5">
        <f>[1]Raw_Data!F260</f>
        <v>3899.8</v>
      </c>
      <c r="G262" s="4">
        <f>[1]Raw_Data!G260</f>
        <v>0.11</v>
      </c>
      <c r="H262" s="3">
        <f>[1]Raw_Data!H260</f>
        <v>2</v>
      </c>
      <c r="I262" s="3" t="str">
        <f>TRIM([1]Raw_Data!I260)</f>
        <v>Canada</v>
      </c>
      <c r="J262" s="3" t="str">
        <f>TRIM([1]Raw_Data!J260)</f>
        <v>iHerb</v>
      </c>
      <c r="K262" s="3">
        <f t="shared" si="16"/>
        <v>2020</v>
      </c>
      <c r="L262" s="6">
        <f t="shared" si="17"/>
        <v>43922</v>
      </c>
      <c r="M262" s="3" t="str">
        <f t="shared" si="18"/>
        <v>11% to 15%</v>
      </c>
      <c r="N262" s="3" t="str">
        <f t="shared" si="19"/>
        <v>OK</v>
      </c>
    </row>
    <row r="263" spans="1:14" x14ac:dyDescent="0.3">
      <c r="A263" s="2">
        <f>DATE(VALUE(RIGHT(TRIM([1]Raw_Data!A261),4)),VALUE(MID(TRIM([1]Raw_Data!A261),4,2)),VALUE(LEFT(TRIM([1]Raw_Data!A261),2)))</f>
        <v>43948</v>
      </c>
      <c r="B263" s="3" t="str">
        <f>TRIM([1]Raw_Data!B261)</f>
        <v>Multivitamin</v>
      </c>
      <c r="C263" s="3" t="str">
        <f>TRIM([1]Raw_Data!C261)</f>
        <v>Vitamin</v>
      </c>
      <c r="D263" s="3">
        <f>[1]Raw_Data!D261</f>
        <v>154</v>
      </c>
      <c r="E263" s="4">
        <f>[1]Raw_Data!E261</f>
        <v>22.1</v>
      </c>
      <c r="F263" s="5">
        <f>[1]Raw_Data!F261</f>
        <v>3403.4</v>
      </c>
      <c r="G263" s="4">
        <f>[1]Raw_Data!G261</f>
        <v>0.18</v>
      </c>
      <c r="H263" s="3">
        <f>[1]Raw_Data!H261</f>
        <v>0</v>
      </c>
      <c r="I263" s="3" t="str">
        <f>TRIM([1]Raw_Data!I261)</f>
        <v>USA</v>
      </c>
      <c r="J263" s="3" t="str">
        <f>TRIM([1]Raw_Data!J261)</f>
        <v>Walmart</v>
      </c>
      <c r="K263" s="3">
        <f t="shared" si="16"/>
        <v>2020</v>
      </c>
      <c r="L263" s="6">
        <f t="shared" si="17"/>
        <v>43922</v>
      </c>
      <c r="M263" s="3" t="str">
        <f t="shared" si="18"/>
        <v>16% to 20%</v>
      </c>
      <c r="N263" s="3" t="str">
        <f t="shared" si="19"/>
        <v>OK</v>
      </c>
    </row>
    <row r="264" spans="1:14" x14ac:dyDescent="0.3">
      <c r="A264" s="2">
        <f>DATE(VALUE(RIGHT(TRIM([1]Raw_Data!A262),4)),VALUE(MID(TRIM([1]Raw_Data!A262),4,2)),VALUE(LEFT(TRIM([1]Raw_Data!A262),2)))</f>
        <v>43948</v>
      </c>
      <c r="B264" s="3" t="str">
        <f>TRIM([1]Raw_Data!B262)</f>
        <v>Pre-Workout</v>
      </c>
      <c r="C264" s="3" t="str">
        <f>TRIM([1]Raw_Data!C262)</f>
        <v>Performance</v>
      </c>
      <c r="D264" s="3">
        <f>[1]Raw_Data!D262</f>
        <v>138</v>
      </c>
      <c r="E264" s="4">
        <f>[1]Raw_Data!E262</f>
        <v>46.94</v>
      </c>
      <c r="F264" s="5">
        <f>[1]Raw_Data!F262</f>
        <v>6477.72</v>
      </c>
      <c r="G264" s="4">
        <f>[1]Raw_Data!G262</f>
        <v>0</v>
      </c>
      <c r="H264" s="3">
        <f>[1]Raw_Data!H262</f>
        <v>0</v>
      </c>
      <c r="I264" s="3" t="str">
        <f>TRIM([1]Raw_Data!I262)</f>
        <v>UK</v>
      </c>
      <c r="J264" s="3" t="str">
        <f>TRIM([1]Raw_Data!J262)</f>
        <v>Walmart</v>
      </c>
      <c r="K264" s="3">
        <f t="shared" si="16"/>
        <v>2020</v>
      </c>
      <c r="L264" s="6">
        <f t="shared" si="17"/>
        <v>43922</v>
      </c>
      <c r="M264" s="3" t="str">
        <f t="shared" si="18"/>
        <v>0% to 5%</v>
      </c>
      <c r="N264" s="3" t="str">
        <f t="shared" si="19"/>
        <v>OK</v>
      </c>
    </row>
    <row r="265" spans="1:14" x14ac:dyDescent="0.3">
      <c r="A265" s="2">
        <f>DATE(VALUE(RIGHT(TRIM([1]Raw_Data!A263),4)),VALUE(MID(TRIM([1]Raw_Data!A263),4,2)),VALUE(LEFT(TRIM([1]Raw_Data!A263),2)))</f>
        <v>43948</v>
      </c>
      <c r="B265" s="3" t="str">
        <f>TRIM([1]Raw_Data!B263)</f>
        <v>BCAA</v>
      </c>
      <c r="C265" s="3" t="str">
        <f>TRIM([1]Raw_Data!C263)</f>
        <v>Amino Acid</v>
      </c>
      <c r="D265" s="3">
        <f>[1]Raw_Data!D263</f>
        <v>139</v>
      </c>
      <c r="E265" s="4">
        <f>[1]Raw_Data!E263</f>
        <v>22.38</v>
      </c>
      <c r="F265" s="5">
        <f>[1]Raw_Data!F263</f>
        <v>3110.82</v>
      </c>
      <c r="G265" s="4">
        <f>[1]Raw_Data!G263</f>
        <v>0.02</v>
      </c>
      <c r="H265" s="3">
        <f>[1]Raw_Data!H263</f>
        <v>1</v>
      </c>
      <c r="I265" s="3" t="str">
        <f>TRIM([1]Raw_Data!I263)</f>
        <v>USA</v>
      </c>
      <c r="J265" s="3" t="str">
        <f>TRIM([1]Raw_Data!J263)</f>
        <v>Walmart</v>
      </c>
      <c r="K265" s="3">
        <f t="shared" si="16"/>
        <v>2020</v>
      </c>
      <c r="L265" s="6">
        <f t="shared" si="17"/>
        <v>43922</v>
      </c>
      <c r="M265" s="3" t="str">
        <f t="shared" si="18"/>
        <v>0% to 5%</v>
      </c>
      <c r="N265" s="3" t="str">
        <f t="shared" si="19"/>
        <v>OK</v>
      </c>
    </row>
    <row r="266" spans="1:14" x14ac:dyDescent="0.3">
      <c r="A266" s="2">
        <f>DATE(VALUE(RIGHT(TRIM([1]Raw_Data!A264),4)),VALUE(MID(TRIM([1]Raw_Data!A264),4,2)),VALUE(LEFT(TRIM([1]Raw_Data!A264),2)))</f>
        <v>43948</v>
      </c>
      <c r="B266" s="3" t="str">
        <f>TRIM([1]Raw_Data!B264)</f>
        <v>Creatine</v>
      </c>
      <c r="C266" s="3" t="str">
        <f>TRIM([1]Raw_Data!C264)</f>
        <v>Performance</v>
      </c>
      <c r="D266" s="3">
        <f>[1]Raw_Data!D264</f>
        <v>159</v>
      </c>
      <c r="E266" s="4">
        <f>[1]Raw_Data!E264</f>
        <v>43.64</v>
      </c>
      <c r="F266" s="5">
        <f>[1]Raw_Data!F264</f>
        <v>6938.76</v>
      </c>
      <c r="G266" s="4">
        <f>[1]Raw_Data!G264</f>
        <v>0.02</v>
      </c>
      <c r="H266" s="3">
        <f>[1]Raw_Data!H264</f>
        <v>4</v>
      </c>
      <c r="I266" s="3" t="str">
        <f>TRIM([1]Raw_Data!I264)</f>
        <v>Canada</v>
      </c>
      <c r="J266" s="3" t="str">
        <f>TRIM([1]Raw_Data!J264)</f>
        <v>Amazon</v>
      </c>
      <c r="K266" s="3">
        <f t="shared" si="16"/>
        <v>2020</v>
      </c>
      <c r="L266" s="6">
        <f t="shared" si="17"/>
        <v>43922</v>
      </c>
      <c r="M266" s="3" t="str">
        <f t="shared" si="18"/>
        <v>0% to 5%</v>
      </c>
      <c r="N266" s="3" t="str">
        <f t="shared" si="19"/>
        <v>OK</v>
      </c>
    </row>
    <row r="267" spans="1:14" x14ac:dyDescent="0.3">
      <c r="A267" s="2">
        <f>DATE(VALUE(RIGHT(TRIM([1]Raw_Data!A265),4)),VALUE(MID(TRIM([1]Raw_Data!A265),4,2)),VALUE(LEFT(TRIM([1]Raw_Data!A265),2)))</f>
        <v>43948</v>
      </c>
      <c r="B267" s="3" t="str">
        <f>TRIM([1]Raw_Data!B265)</f>
        <v>Zinc</v>
      </c>
      <c r="C267" s="3" t="str">
        <f>TRIM([1]Raw_Data!C265)</f>
        <v>Mineral</v>
      </c>
      <c r="D267" s="3">
        <f>[1]Raw_Data!D265</f>
        <v>164</v>
      </c>
      <c r="E267" s="4">
        <f>[1]Raw_Data!E265</f>
        <v>51.15</v>
      </c>
      <c r="F267" s="5">
        <f>[1]Raw_Data!F265</f>
        <v>8388.6</v>
      </c>
      <c r="G267" s="4">
        <f>[1]Raw_Data!G265</f>
        <v>0.23</v>
      </c>
      <c r="H267" s="3">
        <f>[1]Raw_Data!H265</f>
        <v>2</v>
      </c>
      <c r="I267" s="3" t="str">
        <f>TRIM([1]Raw_Data!I265)</f>
        <v>USA</v>
      </c>
      <c r="J267" s="3" t="str">
        <f>TRIM([1]Raw_Data!J265)</f>
        <v>iHerb</v>
      </c>
      <c r="K267" s="3">
        <f t="shared" si="16"/>
        <v>2020</v>
      </c>
      <c r="L267" s="6">
        <f t="shared" si="17"/>
        <v>43922</v>
      </c>
      <c r="M267" s="3" t="str">
        <f t="shared" si="18"/>
        <v>21% to 25%</v>
      </c>
      <c r="N267" s="3" t="str">
        <f t="shared" si="19"/>
        <v>OK</v>
      </c>
    </row>
    <row r="268" spans="1:14" x14ac:dyDescent="0.3">
      <c r="A268" s="2">
        <f>DATE(VALUE(RIGHT(TRIM([1]Raw_Data!A266),4)),VALUE(MID(TRIM([1]Raw_Data!A266),4,2)),VALUE(LEFT(TRIM([1]Raw_Data!A266),2)))</f>
        <v>43948</v>
      </c>
      <c r="B268" s="3" t="str">
        <f>TRIM([1]Raw_Data!B266)</f>
        <v>Collagen Peptides</v>
      </c>
      <c r="C268" s="3" t="str">
        <f>TRIM([1]Raw_Data!C266)</f>
        <v>Protein</v>
      </c>
      <c r="D268" s="3">
        <f>[1]Raw_Data!D266</f>
        <v>138</v>
      </c>
      <c r="E268" s="4">
        <f>[1]Raw_Data!E266</f>
        <v>47.14</v>
      </c>
      <c r="F268" s="5">
        <f>[1]Raw_Data!F266</f>
        <v>6505.32</v>
      </c>
      <c r="G268" s="4">
        <f>[1]Raw_Data!G266</f>
        <v>0.18</v>
      </c>
      <c r="H268" s="3">
        <f>[1]Raw_Data!H266</f>
        <v>1</v>
      </c>
      <c r="I268" s="3" t="str">
        <f>TRIM([1]Raw_Data!I266)</f>
        <v>UK</v>
      </c>
      <c r="J268" s="3" t="str">
        <f>TRIM([1]Raw_Data!J266)</f>
        <v>iHerb</v>
      </c>
      <c r="K268" s="3">
        <f t="shared" si="16"/>
        <v>2020</v>
      </c>
      <c r="L268" s="6">
        <f t="shared" si="17"/>
        <v>43922</v>
      </c>
      <c r="M268" s="3" t="str">
        <f t="shared" si="18"/>
        <v>16% to 20%</v>
      </c>
      <c r="N268" s="3" t="str">
        <f t="shared" si="19"/>
        <v>OK</v>
      </c>
    </row>
    <row r="269" spans="1:14" x14ac:dyDescent="0.3">
      <c r="A269" s="2">
        <f>DATE(VALUE(RIGHT(TRIM([1]Raw_Data!A267),4)),VALUE(MID(TRIM([1]Raw_Data!A267),4,2)),VALUE(LEFT(TRIM([1]Raw_Data!A267),2)))</f>
        <v>43948</v>
      </c>
      <c r="B269" s="3" t="str">
        <f>TRIM([1]Raw_Data!B267)</f>
        <v>Magnesium</v>
      </c>
      <c r="C269" s="3" t="str">
        <f>TRIM([1]Raw_Data!C267)</f>
        <v>Mineral</v>
      </c>
      <c r="D269" s="3">
        <f>[1]Raw_Data!D267</f>
        <v>127</v>
      </c>
      <c r="E269" s="4">
        <f>[1]Raw_Data!E267</f>
        <v>56.04</v>
      </c>
      <c r="F269" s="5">
        <f>[1]Raw_Data!F267</f>
        <v>7117.08</v>
      </c>
      <c r="G269" s="4">
        <f>[1]Raw_Data!G267</f>
        <v>0.15</v>
      </c>
      <c r="H269" s="3">
        <f>[1]Raw_Data!H267</f>
        <v>1</v>
      </c>
      <c r="I269" s="3" t="str">
        <f>TRIM([1]Raw_Data!I267)</f>
        <v>Canada</v>
      </c>
      <c r="J269" s="3" t="str">
        <f>TRIM([1]Raw_Data!J267)</f>
        <v>Walmart</v>
      </c>
      <c r="K269" s="3">
        <f t="shared" si="16"/>
        <v>2020</v>
      </c>
      <c r="L269" s="6">
        <f t="shared" si="17"/>
        <v>43922</v>
      </c>
      <c r="M269" s="3" t="str">
        <f t="shared" si="18"/>
        <v>11% to 15%</v>
      </c>
      <c r="N269" s="3" t="str">
        <f t="shared" si="19"/>
        <v>OK</v>
      </c>
    </row>
    <row r="270" spans="1:14" x14ac:dyDescent="0.3">
      <c r="A270" s="2">
        <f>DATE(VALUE(RIGHT(TRIM([1]Raw_Data!A268),4)),VALUE(MID(TRIM([1]Raw_Data!A268),4,2)),VALUE(LEFT(TRIM([1]Raw_Data!A268),2)))</f>
        <v>43948</v>
      </c>
      <c r="B270" s="3" t="str">
        <f>TRIM([1]Raw_Data!B268)</f>
        <v>Ashwagandha</v>
      </c>
      <c r="C270" s="3" t="str">
        <f>TRIM([1]Raw_Data!C268)</f>
        <v>Herbal</v>
      </c>
      <c r="D270" s="3">
        <f>[1]Raw_Data!D268</f>
        <v>141</v>
      </c>
      <c r="E270" s="4">
        <f>[1]Raw_Data!E268</f>
        <v>54.77</v>
      </c>
      <c r="F270" s="5">
        <f>[1]Raw_Data!F268</f>
        <v>7722.57</v>
      </c>
      <c r="G270" s="4">
        <f>[1]Raw_Data!G268</f>
        <v>0.17</v>
      </c>
      <c r="H270" s="3">
        <f>[1]Raw_Data!H268</f>
        <v>2</v>
      </c>
      <c r="I270" s="3" t="str">
        <f>TRIM([1]Raw_Data!I268)</f>
        <v>UK</v>
      </c>
      <c r="J270" s="3" t="str">
        <f>TRIM([1]Raw_Data!J268)</f>
        <v>Walmart</v>
      </c>
      <c r="K270" s="3">
        <f t="shared" si="16"/>
        <v>2020</v>
      </c>
      <c r="L270" s="6">
        <f t="shared" si="17"/>
        <v>43922</v>
      </c>
      <c r="M270" s="3" t="str">
        <f t="shared" si="18"/>
        <v>16% to 20%</v>
      </c>
      <c r="N270" s="3" t="str">
        <f t="shared" si="19"/>
        <v>OK</v>
      </c>
    </row>
    <row r="271" spans="1:14" x14ac:dyDescent="0.3">
      <c r="A271" s="2">
        <f>DATE(VALUE(RIGHT(TRIM([1]Raw_Data!A269),4)),VALUE(MID(TRIM([1]Raw_Data!A269),4,2)),VALUE(LEFT(TRIM([1]Raw_Data!A269),2)))</f>
        <v>43948</v>
      </c>
      <c r="B271" s="3" t="str">
        <f>TRIM([1]Raw_Data!B269)</f>
        <v>Melatonin</v>
      </c>
      <c r="C271" s="3" t="str">
        <f>TRIM([1]Raw_Data!C269)</f>
        <v>Sleep Aid</v>
      </c>
      <c r="D271" s="3">
        <f>[1]Raw_Data!D269</f>
        <v>148</v>
      </c>
      <c r="E271" s="4">
        <f>[1]Raw_Data!E269</f>
        <v>22.42</v>
      </c>
      <c r="F271" s="5">
        <f>[1]Raw_Data!F269</f>
        <v>3318.16</v>
      </c>
      <c r="G271" s="4">
        <f>[1]Raw_Data!G269</f>
        <v>0.18</v>
      </c>
      <c r="H271" s="3">
        <f>[1]Raw_Data!H269</f>
        <v>1</v>
      </c>
      <c r="I271" s="3" t="str">
        <f>TRIM([1]Raw_Data!I269)</f>
        <v>Canada</v>
      </c>
      <c r="J271" s="3" t="str">
        <f>TRIM([1]Raw_Data!J269)</f>
        <v>Walmart</v>
      </c>
      <c r="K271" s="3">
        <f t="shared" si="16"/>
        <v>2020</v>
      </c>
      <c r="L271" s="6">
        <f t="shared" si="17"/>
        <v>43922</v>
      </c>
      <c r="M271" s="3" t="str">
        <f t="shared" si="18"/>
        <v>16% to 20%</v>
      </c>
      <c r="N271" s="3" t="str">
        <f t="shared" si="19"/>
        <v>OK</v>
      </c>
    </row>
    <row r="272" spans="1:14" x14ac:dyDescent="0.3">
      <c r="A272" s="2">
        <f>DATE(VALUE(RIGHT(TRIM([1]Raw_Data!A270),4)),VALUE(MID(TRIM([1]Raw_Data!A270),4,2)),VALUE(LEFT(TRIM([1]Raw_Data!A270),2)))</f>
        <v>43948</v>
      </c>
      <c r="B272" s="3" t="str">
        <f>TRIM([1]Raw_Data!B270)</f>
        <v>Biotin</v>
      </c>
      <c r="C272" s="3" t="str">
        <f>TRIM([1]Raw_Data!C270)</f>
        <v>Vitamin</v>
      </c>
      <c r="D272" s="3">
        <f>[1]Raw_Data!D270</f>
        <v>148</v>
      </c>
      <c r="E272" s="4">
        <f>[1]Raw_Data!E270</f>
        <v>56.81</v>
      </c>
      <c r="F272" s="5">
        <f>[1]Raw_Data!F270</f>
        <v>8407.8799999999992</v>
      </c>
      <c r="G272" s="4">
        <f>[1]Raw_Data!G270</f>
        <v>0.02</v>
      </c>
      <c r="H272" s="3">
        <f>[1]Raw_Data!H270</f>
        <v>3</v>
      </c>
      <c r="I272" s="3" t="str">
        <f>TRIM([1]Raw_Data!I270)</f>
        <v>UK</v>
      </c>
      <c r="J272" s="3" t="str">
        <f>TRIM([1]Raw_Data!J270)</f>
        <v>Walmart</v>
      </c>
      <c r="K272" s="3">
        <f t="shared" si="16"/>
        <v>2020</v>
      </c>
      <c r="L272" s="6">
        <f t="shared" si="17"/>
        <v>43922</v>
      </c>
      <c r="M272" s="3" t="str">
        <f t="shared" si="18"/>
        <v>0% to 5%</v>
      </c>
      <c r="N272" s="3" t="str">
        <f t="shared" si="19"/>
        <v>OK</v>
      </c>
    </row>
    <row r="273" spans="1:14" x14ac:dyDescent="0.3">
      <c r="A273" s="2">
        <f>DATE(VALUE(RIGHT(TRIM([1]Raw_Data!A271),4)),VALUE(MID(TRIM([1]Raw_Data!A271),4,2)),VALUE(LEFT(TRIM([1]Raw_Data!A271),2)))</f>
        <v>43948</v>
      </c>
      <c r="B273" s="3" t="str">
        <f>TRIM([1]Raw_Data!B271)</f>
        <v>Green Tea Extract</v>
      </c>
      <c r="C273" s="3" t="str">
        <f>TRIM([1]Raw_Data!C271)</f>
        <v>Fat Burner</v>
      </c>
      <c r="D273" s="3">
        <f>[1]Raw_Data!D271</f>
        <v>142</v>
      </c>
      <c r="E273" s="4">
        <f>[1]Raw_Data!E271</f>
        <v>11.1</v>
      </c>
      <c r="F273" s="5">
        <f>[1]Raw_Data!F271</f>
        <v>1576.2</v>
      </c>
      <c r="G273" s="4">
        <f>[1]Raw_Data!G271</f>
        <v>0.08</v>
      </c>
      <c r="H273" s="3">
        <f>[1]Raw_Data!H271</f>
        <v>1</v>
      </c>
      <c r="I273" s="3" t="str">
        <f>TRIM([1]Raw_Data!I271)</f>
        <v>Canada</v>
      </c>
      <c r="J273" s="3" t="str">
        <f>TRIM([1]Raw_Data!J271)</f>
        <v>iHerb</v>
      </c>
      <c r="K273" s="3">
        <f t="shared" si="16"/>
        <v>2020</v>
      </c>
      <c r="L273" s="6">
        <f t="shared" si="17"/>
        <v>43922</v>
      </c>
      <c r="M273" s="3" t="str">
        <f t="shared" si="18"/>
        <v>6% to 10%</v>
      </c>
      <c r="N273" s="3" t="str">
        <f t="shared" si="19"/>
        <v>OK</v>
      </c>
    </row>
    <row r="274" spans="1:14" x14ac:dyDescent="0.3">
      <c r="A274" s="2">
        <f>DATE(VALUE(RIGHT(TRIM([1]Raw_Data!A272),4)),VALUE(MID(TRIM([1]Raw_Data!A272),4,2)),VALUE(LEFT(TRIM([1]Raw_Data!A272),2)))</f>
        <v>43948</v>
      </c>
      <c r="B274" s="3" t="str">
        <f>TRIM([1]Raw_Data!B272)</f>
        <v>Iron Supplement</v>
      </c>
      <c r="C274" s="3" t="str">
        <f>TRIM([1]Raw_Data!C272)</f>
        <v>Mineral</v>
      </c>
      <c r="D274" s="3">
        <f>[1]Raw_Data!D272</f>
        <v>124</v>
      </c>
      <c r="E274" s="4">
        <f>[1]Raw_Data!E272</f>
        <v>56.36</v>
      </c>
      <c r="F274" s="5">
        <f>[1]Raw_Data!F272</f>
        <v>6988.64</v>
      </c>
      <c r="G274" s="4">
        <f>[1]Raw_Data!G272</f>
        <v>0.03</v>
      </c>
      <c r="H274" s="3">
        <f>[1]Raw_Data!H272</f>
        <v>2</v>
      </c>
      <c r="I274" s="3" t="str">
        <f>TRIM([1]Raw_Data!I272)</f>
        <v>Canada</v>
      </c>
      <c r="J274" s="3" t="str">
        <f>TRIM([1]Raw_Data!J272)</f>
        <v>Walmart</v>
      </c>
      <c r="K274" s="3">
        <f t="shared" si="16"/>
        <v>2020</v>
      </c>
      <c r="L274" s="6">
        <f t="shared" si="17"/>
        <v>43922</v>
      </c>
      <c r="M274" s="3" t="str">
        <f t="shared" si="18"/>
        <v>0% to 5%</v>
      </c>
      <c r="N274" s="3" t="str">
        <f t="shared" si="19"/>
        <v>OK</v>
      </c>
    </row>
    <row r="275" spans="1:14" x14ac:dyDescent="0.3">
      <c r="A275" s="2">
        <f>DATE(VALUE(RIGHT(TRIM([1]Raw_Data!A273),4)),VALUE(MID(TRIM([1]Raw_Data!A273),4,2)),VALUE(LEFT(TRIM([1]Raw_Data!A273),2)))</f>
        <v>43948</v>
      </c>
      <c r="B275" s="3" t="str">
        <f>TRIM([1]Raw_Data!B273)</f>
        <v>Electrolyte Powder</v>
      </c>
      <c r="C275" s="3" t="str">
        <f>TRIM([1]Raw_Data!C273)</f>
        <v>Hydration</v>
      </c>
      <c r="D275" s="3">
        <f>[1]Raw_Data!D273</f>
        <v>147</v>
      </c>
      <c r="E275" s="4">
        <f>[1]Raw_Data!E273</f>
        <v>23.01</v>
      </c>
      <c r="F275" s="5">
        <f>[1]Raw_Data!F273</f>
        <v>3382.47</v>
      </c>
      <c r="G275" s="4">
        <f>[1]Raw_Data!G273</f>
        <v>0.04</v>
      </c>
      <c r="H275" s="3">
        <f>[1]Raw_Data!H273</f>
        <v>0</v>
      </c>
      <c r="I275" s="3" t="str">
        <f>TRIM([1]Raw_Data!I273)</f>
        <v>Canada</v>
      </c>
      <c r="J275" s="3" t="str">
        <f>TRIM([1]Raw_Data!J273)</f>
        <v>iHerb</v>
      </c>
      <c r="K275" s="3">
        <f t="shared" si="16"/>
        <v>2020</v>
      </c>
      <c r="L275" s="6">
        <f t="shared" si="17"/>
        <v>43922</v>
      </c>
      <c r="M275" s="3" t="str">
        <f t="shared" si="18"/>
        <v>0% to 5%</v>
      </c>
      <c r="N275" s="3" t="str">
        <f t="shared" si="19"/>
        <v>OK</v>
      </c>
    </row>
    <row r="276" spans="1:14" x14ac:dyDescent="0.3">
      <c r="A276" s="2">
        <f>DATE(VALUE(RIGHT(TRIM([1]Raw_Data!A274),4)),VALUE(MID(TRIM([1]Raw_Data!A274),4,2)),VALUE(LEFT(TRIM([1]Raw_Data!A274),2)))</f>
        <v>43955</v>
      </c>
      <c r="B276" s="3" t="str">
        <f>TRIM([1]Raw_Data!B274)</f>
        <v>Whey Protein</v>
      </c>
      <c r="C276" s="3" t="str">
        <f>TRIM([1]Raw_Data!C274)</f>
        <v>Protein</v>
      </c>
      <c r="D276" s="3">
        <f>[1]Raw_Data!D274</f>
        <v>127</v>
      </c>
      <c r="E276" s="4">
        <f>[1]Raw_Data!E274</f>
        <v>43.21</v>
      </c>
      <c r="F276" s="5">
        <f>[1]Raw_Data!F274</f>
        <v>5487.67</v>
      </c>
      <c r="G276" s="4">
        <f>[1]Raw_Data!G274</f>
        <v>0.22</v>
      </c>
      <c r="H276" s="3">
        <f>[1]Raw_Data!H274</f>
        <v>2</v>
      </c>
      <c r="I276" s="3" t="str">
        <f>TRIM([1]Raw_Data!I274)</f>
        <v>Canada</v>
      </c>
      <c r="J276" s="3" t="str">
        <f>TRIM([1]Raw_Data!J274)</f>
        <v>iHerb</v>
      </c>
      <c r="K276" s="3">
        <f t="shared" si="16"/>
        <v>2020</v>
      </c>
      <c r="L276" s="6">
        <f t="shared" si="17"/>
        <v>43952</v>
      </c>
      <c r="M276" s="3" t="str">
        <f t="shared" si="18"/>
        <v>21% to 25%</v>
      </c>
      <c r="N276" s="3" t="str">
        <f t="shared" si="19"/>
        <v>OK</v>
      </c>
    </row>
    <row r="277" spans="1:14" x14ac:dyDescent="0.3">
      <c r="A277" s="2">
        <f>DATE(VALUE(RIGHT(TRIM([1]Raw_Data!A275),4)),VALUE(MID(TRIM([1]Raw_Data!A275),4,2)),VALUE(LEFT(TRIM([1]Raw_Data!A275),2)))</f>
        <v>43955</v>
      </c>
      <c r="B277" s="3" t="str">
        <f>TRIM([1]Raw_Data!B275)</f>
        <v>Vitamin C</v>
      </c>
      <c r="C277" s="3" t="str">
        <f>TRIM([1]Raw_Data!C275)</f>
        <v>Vitamin</v>
      </c>
      <c r="D277" s="3">
        <f>[1]Raw_Data!D275</f>
        <v>157</v>
      </c>
      <c r="E277" s="4">
        <f>[1]Raw_Data!E275</f>
        <v>24.46</v>
      </c>
      <c r="F277" s="5">
        <f>[1]Raw_Data!F275</f>
        <v>3840.22</v>
      </c>
      <c r="G277" s="4">
        <f>[1]Raw_Data!G275</f>
        <v>0.08</v>
      </c>
      <c r="H277" s="3">
        <f>[1]Raw_Data!H275</f>
        <v>1</v>
      </c>
      <c r="I277" s="3" t="str">
        <f>TRIM([1]Raw_Data!I275)</f>
        <v>UK</v>
      </c>
      <c r="J277" s="3" t="str">
        <f>TRIM([1]Raw_Data!J275)</f>
        <v>iHerb</v>
      </c>
      <c r="K277" s="3">
        <f t="shared" si="16"/>
        <v>2020</v>
      </c>
      <c r="L277" s="6">
        <f t="shared" si="17"/>
        <v>43952</v>
      </c>
      <c r="M277" s="3" t="str">
        <f t="shared" si="18"/>
        <v>6% to 10%</v>
      </c>
      <c r="N277" s="3" t="str">
        <f t="shared" si="19"/>
        <v>OK</v>
      </c>
    </row>
    <row r="278" spans="1:14" x14ac:dyDescent="0.3">
      <c r="A278" s="2">
        <f>DATE(VALUE(RIGHT(TRIM([1]Raw_Data!A276),4)),VALUE(MID(TRIM([1]Raw_Data!A276),4,2)),VALUE(LEFT(TRIM([1]Raw_Data!A276),2)))</f>
        <v>43955</v>
      </c>
      <c r="B278" s="3" t="str">
        <f>TRIM([1]Raw_Data!B276)</f>
        <v>Fish Oil</v>
      </c>
      <c r="C278" s="3" t="str">
        <f>TRIM([1]Raw_Data!C276)</f>
        <v>Omega</v>
      </c>
      <c r="D278" s="3">
        <f>[1]Raw_Data!D276</f>
        <v>150</v>
      </c>
      <c r="E278" s="4">
        <f>[1]Raw_Data!E276</f>
        <v>27.84</v>
      </c>
      <c r="F278" s="5">
        <f>[1]Raw_Data!F276</f>
        <v>4176</v>
      </c>
      <c r="G278" s="4">
        <f>[1]Raw_Data!G276</f>
        <v>0.09</v>
      </c>
      <c r="H278" s="3">
        <f>[1]Raw_Data!H276</f>
        <v>3</v>
      </c>
      <c r="I278" s="3" t="str">
        <f>TRIM([1]Raw_Data!I276)</f>
        <v>Canada</v>
      </c>
      <c r="J278" s="3" t="str">
        <f>TRIM([1]Raw_Data!J276)</f>
        <v>iHerb</v>
      </c>
      <c r="K278" s="3">
        <f t="shared" si="16"/>
        <v>2020</v>
      </c>
      <c r="L278" s="6">
        <f t="shared" si="17"/>
        <v>43952</v>
      </c>
      <c r="M278" s="3" t="str">
        <f t="shared" si="18"/>
        <v>6% to 10%</v>
      </c>
      <c r="N278" s="3" t="str">
        <f t="shared" si="19"/>
        <v>OK</v>
      </c>
    </row>
    <row r="279" spans="1:14" x14ac:dyDescent="0.3">
      <c r="A279" s="2">
        <f>DATE(VALUE(RIGHT(TRIM([1]Raw_Data!A277),4)),VALUE(MID(TRIM([1]Raw_Data!A277),4,2)),VALUE(LEFT(TRIM([1]Raw_Data!A277),2)))</f>
        <v>43955</v>
      </c>
      <c r="B279" s="3" t="str">
        <f>TRIM([1]Raw_Data!B277)</f>
        <v>Multivitamin</v>
      </c>
      <c r="C279" s="3" t="str">
        <f>TRIM([1]Raw_Data!C277)</f>
        <v>Vitamin</v>
      </c>
      <c r="D279" s="3">
        <f>[1]Raw_Data!D277</f>
        <v>161</v>
      </c>
      <c r="E279" s="4">
        <f>[1]Raw_Data!E277</f>
        <v>55.69</v>
      </c>
      <c r="F279" s="5">
        <f>[1]Raw_Data!F277</f>
        <v>8966.09</v>
      </c>
      <c r="G279" s="4">
        <f>[1]Raw_Data!G277</f>
        <v>0.24</v>
      </c>
      <c r="H279" s="3">
        <f>[1]Raw_Data!H277</f>
        <v>1</v>
      </c>
      <c r="I279" s="3" t="str">
        <f>TRIM([1]Raw_Data!I277)</f>
        <v>UK</v>
      </c>
      <c r="J279" s="3" t="str">
        <f>TRIM([1]Raw_Data!J277)</f>
        <v>Walmart</v>
      </c>
      <c r="K279" s="3">
        <f t="shared" si="16"/>
        <v>2020</v>
      </c>
      <c r="L279" s="6">
        <f t="shared" si="17"/>
        <v>43952</v>
      </c>
      <c r="M279" s="3" t="str">
        <f t="shared" si="18"/>
        <v>21% to 25%</v>
      </c>
      <c r="N279" s="3" t="str">
        <f t="shared" si="19"/>
        <v>OK</v>
      </c>
    </row>
    <row r="280" spans="1:14" x14ac:dyDescent="0.3">
      <c r="A280" s="2">
        <f>DATE(VALUE(RIGHT(TRIM([1]Raw_Data!A278),4)),VALUE(MID(TRIM([1]Raw_Data!A278),4,2)),VALUE(LEFT(TRIM([1]Raw_Data!A278),2)))</f>
        <v>43955</v>
      </c>
      <c r="B280" s="3" t="str">
        <f>TRIM([1]Raw_Data!B278)</f>
        <v>Pre-Workout</v>
      </c>
      <c r="C280" s="3" t="str">
        <f>TRIM([1]Raw_Data!C278)</f>
        <v>Performance</v>
      </c>
      <c r="D280" s="3">
        <f>[1]Raw_Data!D278</f>
        <v>145</v>
      </c>
      <c r="E280" s="4">
        <f>[1]Raw_Data!E278</f>
        <v>57.06</v>
      </c>
      <c r="F280" s="5">
        <f>[1]Raw_Data!F278</f>
        <v>8273.7000000000007</v>
      </c>
      <c r="G280" s="4">
        <f>[1]Raw_Data!G278</f>
        <v>0.22</v>
      </c>
      <c r="H280" s="3">
        <f>[1]Raw_Data!H278</f>
        <v>0</v>
      </c>
      <c r="I280" s="3" t="str">
        <f>TRIM([1]Raw_Data!I278)</f>
        <v>Canada</v>
      </c>
      <c r="J280" s="3" t="str">
        <f>TRIM([1]Raw_Data!J278)</f>
        <v>iHerb</v>
      </c>
      <c r="K280" s="3">
        <f t="shared" si="16"/>
        <v>2020</v>
      </c>
      <c r="L280" s="6">
        <f t="shared" si="17"/>
        <v>43952</v>
      </c>
      <c r="M280" s="3" t="str">
        <f t="shared" si="18"/>
        <v>21% to 25%</v>
      </c>
      <c r="N280" s="3" t="str">
        <f t="shared" si="19"/>
        <v>OK</v>
      </c>
    </row>
    <row r="281" spans="1:14" x14ac:dyDescent="0.3">
      <c r="A281" s="2">
        <f>DATE(VALUE(RIGHT(TRIM([1]Raw_Data!A279),4)),VALUE(MID(TRIM([1]Raw_Data!A279),4,2)),VALUE(LEFT(TRIM([1]Raw_Data!A279),2)))</f>
        <v>43955</v>
      </c>
      <c r="B281" s="3" t="str">
        <f>TRIM([1]Raw_Data!B279)</f>
        <v>BCAA</v>
      </c>
      <c r="C281" s="3" t="str">
        <f>TRIM([1]Raw_Data!C279)</f>
        <v>Amino Acid</v>
      </c>
      <c r="D281" s="3">
        <f>[1]Raw_Data!D279</f>
        <v>146</v>
      </c>
      <c r="E281" s="4">
        <f>[1]Raw_Data!E279</f>
        <v>35.159999999999997</v>
      </c>
      <c r="F281" s="5">
        <f>[1]Raw_Data!F279</f>
        <v>5133.3599999999997</v>
      </c>
      <c r="G281" s="4">
        <f>[1]Raw_Data!G279</f>
        <v>0.05</v>
      </c>
      <c r="H281" s="3">
        <f>[1]Raw_Data!H279</f>
        <v>3</v>
      </c>
      <c r="I281" s="3" t="str">
        <f>TRIM([1]Raw_Data!I279)</f>
        <v>Canada</v>
      </c>
      <c r="J281" s="3" t="str">
        <f>TRIM([1]Raw_Data!J279)</f>
        <v>iHerb</v>
      </c>
      <c r="K281" s="3">
        <f t="shared" si="16"/>
        <v>2020</v>
      </c>
      <c r="L281" s="6">
        <f t="shared" si="17"/>
        <v>43952</v>
      </c>
      <c r="M281" s="3" t="str">
        <f t="shared" si="18"/>
        <v>0% to 5%</v>
      </c>
      <c r="N281" s="3" t="str">
        <f t="shared" si="19"/>
        <v>OK</v>
      </c>
    </row>
    <row r="282" spans="1:14" x14ac:dyDescent="0.3">
      <c r="A282" s="2">
        <f>DATE(VALUE(RIGHT(TRIM([1]Raw_Data!A280),4)),VALUE(MID(TRIM([1]Raw_Data!A280),4,2)),VALUE(LEFT(TRIM([1]Raw_Data!A280),2)))</f>
        <v>43955</v>
      </c>
      <c r="B282" s="3" t="str">
        <f>TRIM([1]Raw_Data!B280)</f>
        <v>Creatine</v>
      </c>
      <c r="C282" s="3" t="str">
        <f>TRIM([1]Raw_Data!C280)</f>
        <v>Performance</v>
      </c>
      <c r="D282" s="3">
        <f>[1]Raw_Data!D280</f>
        <v>156</v>
      </c>
      <c r="E282" s="4">
        <f>[1]Raw_Data!E280</f>
        <v>52.94</v>
      </c>
      <c r="F282" s="5">
        <f>[1]Raw_Data!F280</f>
        <v>8258.64</v>
      </c>
      <c r="G282" s="4">
        <f>[1]Raw_Data!G280</f>
        <v>0.19</v>
      </c>
      <c r="H282" s="3">
        <f>[1]Raw_Data!H280</f>
        <v>1</v>
      </c>
      <c r="I282" s="3" t="str">
        <f>TRIM([1]Raw_Data!I280)</f>
        <v>Canada</v>
      </c>
      <c r="J282" s="3" t="str">
        <f>TRIM([1]Raw_Data!J280)</f>
        <v>Amazon</v>
      </c>
      <c r="K282" s="3">
        <f t="shared" si="16"/>
        <v>2020</v>
      </c>
      <c r="L282" s="6">
        <f t="shared" si="17"/>
        <v>43952</v>
      </c>
      <c r="M282" s="3" t="str">
        <f t="shared" si="18"/>
        <v>16% to 20%</v>
      </c>
      <c r="N282" s="3" t="str">
        <f t="shared" si="19"/>
        <v>OK</v>
      </c>
    </row>
    <row r="283" spans="1:14" x14ac:dyDescent="0.3">
      <c r="A283" s="2">
        <f>DATE(VALUE(RIGHT(TRIM([1]Raw_Data!A281),4)),VALUE(MID(TRIM([1]Raw_Data!A281),4,2)),VALUE(LEFT(TRIM([1]Raw_Data!A281),2)))</f>
        <v>43955</v>
      </c>
      <c r="B283" s="3" t="str">
        <f>TRIM([1]Raw_Data!B281)</f>
        <v>Zinc</v>
      </c>
      <c r="C283" s="3" t="str">
        <f>TRIM([1]Raw_Data!C281)</f>
        <v>Mineral</v>
      </c>
      <c r="D283" s="3">
        <f>[1]Raw_Data!D281</f>
        <v>154</v>
      </c>
      <c r="E283" s="4">
        <f>[1]Raw_Data!E281</f>
        <v>43.68</v>
      </c>
      <c r="F283" s="5">
        <f>[1]Raw_Data!F281</f>
        <v>6726.72</v>
      </c>
      <c r="G283" s="4">
        <f>[1]Raw_Data!G281</f>
        <v>0.04</v>
      </c>
      <c r="H283" s="3">
        <f>[1]Raw_Data!H281</f>
        <v>2</v>
      </c>
      <c r="I283" s="3" t="str">
        <f>TRIM([1]Raw_Data!I281)</f>
        <v>Canada</v>
      </c>
      <c r="J283" s="3" t="str">
        <f>TRIM([1]Raw_Data!J281)</f>
        <v>iHerb</v>
      </c>
      <c r="K283" s="3">
        <f t="shared" si="16"/>
        <v>2020</v>
      </c>
      <c r="L283" s="6">
        <f t="shared" si="17"/>
        <v>43952</v>
      </c>
      <c r="M283" s="3" t="str">
        <f t="shared" si="18"/>
        <v>0% to 5%</v>
      </c>
      <c r="N283" s="3" t="str">
        <f t="shared" si="19"/>
        <v>OK</v>
      </c>
    </row>
    <row r="284" spans="1:14" x14ac:dyDescent="0.3">
      <c r="A284" s="2">
        <f>DATE(VALUE(RIGHT(TRIM([1]Raw_Data!A282),4)),VALUE(MID(TRIM([1]Raw_Data!A282),4,2)),VALUE(LEFT(TRIM([1]Raw_Data!A282),2)))</f>
        <v>43955</v>
      </c>
      <c r="B284" s="3" t="str">
        <f>TRIM([1]Raw_Data!B282)</f>
        <v>Collagen Peptides</v>
      </c>
      <c r="C284" s="3" t="str">
        <f>TRIM([1]Raw_Data!C282)</f>
        <v>Protein</v>
      </c>
      <c r="D284" s="3">
        <f>[1]Raw_Data!D282</f>
        <v>140</v>
      </c>
      <c r="E284" s="4">
        <f>[1]Raw_Data!E282</f>
        <v>18.260000000000002</v>
      </c>
      <c r="F284" s="5">
        <f>[1]Raw_Data!F282</f>
        <v>2556.4</v>
      </c>
      <c r="G284" s="4">
        <f>[1]Raw_Data!G282</f>
        <v>0</v>
      </c>
      <c r="H284" s="3">
        <f>[1]Raw_Data!H282</f>
        <v>2</v>
      </c>
      <c r="I284" s="3" t="str">
        <f>TRIM([1]Raw_Data!I282)</f>
        <v>UK</v>
      </c>
      <c r="J284" s="3" t="str">
        <f>TRIM([1]Raw_Data!J282)</f>
        <v>iHerb</v>
      </c>
      <c r="K284" s="3">
        <f t="shared" si="16"/>
        <v>2020</v>
      </c>
      <c r="L284" s="6">
        <f t="shared" si="17"/>
        <v>43952</v>
      </c>
      <c r="M284" s="3" t="str">
        <f t="shared" si="18"/>
        <v>0% to 5%</v>
      </c>
      <c r="N284" s="3" t="str">
        <f t="shared" si="19"/>
        <v>OK</v>
      </c>
    </row>
    <row r="285" spans="1:14" x14ac:dyDescent="0.3">
      <c r="A285" s="2">
        <f>DATE(VALUE(RIGHT(TRIM([1]Raw_Data!A283),4)),VALUE(MID(TRIM([1]Raw_Data!A283),4,2)),VALUE(LEFT(TRIM([1]Raw_Data!A283),2)))</f>
        <v>43955</v>
      </c>
      <c r="B285" s="3" t="str">
        <f>TRIM([1]Raw_Data!B283)</f>
        <v>Magnesium</v>
      </c>
      <c r="C285" s="3" t="str">
        <f>TRIM([1]Raw_Data!C283)</f>
        <v>Mineral</v>
      </c>
      <c r="D285" s="3">
        <f>[1]Raw_Data!D283</f>
        <v>159</v>
      </c>
      <c r="E285" s="4">
        <f>[1]Raw_Data!E283</f>
        <v>18.07</v>
      </c>
      <c r="F285" s="5">
        <f>[1]Raw_Data!F283</f>
        <v>2873.13</v>
      </c>
      <c r="G285" s="4">
        <f>[1]Raw_Data!G283</f>
        <v>0.02</v>
      </c>
      <c r="H285" s="3">
        <f>[1]Raw_Data!H283</f>
        <v>0</v>
      </c>
      <c r="I285" s="3" t="str">
        <f>TRIM([1]Raw_Data!I283)</f>
        <v>UK</v>
      </c>
      <c r="J285" s="3" t="str">
        <f>TRIM([1]Raw_Data!J283)</f>
        <v>iHerb</v>
      </c>
      <c r="K285" s="3">
        <f t="shared" si="16"/>
        <v>2020</v>
      </c>
      <c r="L285" s="6">
        <f t="shared" si="17"/>
        <v>43952</v>
      </c>
      <c r="M285" s="3" t="str">
        <f t="shared" si="18"/>
        <v>0% to 5%</v>
      </c>
      <c r="N285" s="3" t="str">
        <f t="shared" si="19"/>
        <v>OK</v>
      </c>
    </row>
    <row r="286" spans="1:14" x14ac:dyDescent="0.3">
      <c r="A286" s="2">
        <f>DATE(VALUE(RIGHT(TRIM([1]Raw_Data!A284),4)),VALUE(MID(TRIM([1]Raw_Data!A284),4,2)),VALUE(LEFT(TRIM([1]Raw_Data!A284),2)))</f>
        <v>43955</v>
      </c>
      <c r="B286" s="3" t="str">
        <f>TRIM([1]Raw_Data!B284)</f>
        <v>Ashwagandha</v>
      </c>
      <c r="C286" s="3" t="str">
        <f>TRIM([1]Raw_Data!C284)</f>
        <v>Herbal</v>
      </c>
      <c r="D286" s="3">
        <f>[1]Raw_Data!D284</f>
        <v>140</v>
      </c>
      <c r="E286" s="4">
        <f>[1]Raw_Data!E284</f>
        <v>15.27</v>
      </c>
      <c r="F286" s="5">
        <f>[1]Raw_Data!F284</f>
        <v>2137.8000000000002</v>
      </c>
      <c r="G286" s="4">
        <f>[1]Raw_Data!G284</f>
        <v>0.06</v>
      </c>
      <c r="H286" s="3">
        <f>[1]Raw_Data!H284</f>
        <v>1</v>
      </c>
      <c r="I286" s="3" t="str">
        <f>TRIM([1]Raw_Data!I284)</f>
        <v>UK</v>
      </c>
      <c r="J286" s="3" t="str">
        <f>TRIM([1]Raw_Data!J284)</f>
        <v>Walmart</v>
      </c>
      <c r="K286" s="3">
        <f t="shared" si="16"/>
        <v>2020</v>
      </c>
      <c r="L286" s="6">
        <f t="shared" si="17"/>
        <v>43952</v>
      </c>
      <c r="M286" s="3" t="str">
        <f t="shared" si="18"/>
        <v>6% to 10%</v>
      </c>
      <c r="N286" s="3" t="str">
        <f t="shared" si="19"/>
        <v>OK</v>
      </c>
    </row>
    <row r="287" spans="1:14" x14ac:dyDescent="0.3">
      <c r="A287" s="2">
        <f>DATE(VALUE(RIGHT(TRIM([1]Raw_Data!A285),4)),VALUE(MID(TRIM([1]Raw_Data!A285),4,2)),VALUE(LEFT(TRIM([1]Raw_Data!A285),2)))</f>
        <v>43955</v>
      </c>
      <c r="B287" s="3" t="str">
        <f>TRIM([1]Raw_Data!B285)</f>
        <v>Melatonin</v>
      </c>
      <c r="C287" s="3" t="str">
        <f>TRIM([1]Raw_Data!C285)</f>
        <v>Sleep Aid</v>
      </c>
      <c r="D287" s="3">
        <f>[1]Raw_Data!D285</f>
        <v>154</v>
      </c>
      <c r="E287" s="4">
        <f>[1]Raw_Data!E285</f>
        <v>12.89</v>
      </c>
      <c r="F287" s="5">
        <f>[1]Raw_Data!F285</f>
        <v>1985.06</v>
      </c>
      <c r="G287" s="4">
        <f>[1]Raw_Data!G285</f>
        <v>0.1</v>
      </c>
      <c r="H287" s="3">
        <f>[1]Raw_Data!H285</f>
        <v>1</v>
      </c>
      <c r="I287" s="3" t="str">
        <f>TRIM([1]Raw_Data!I285)</f>
        <v>Canada</v>
      </c>
      <c r="J287" s="3" t="str">
        <f>TRIM([1]Raw_Data!J285)</f>
        <v>iHerb</v>
      </c>
      <c r="K287" s="3">
        <f t="shared" si="16"/>
        <v>2020</v>
      </c>
      <c r="L287" s="6">
        <f t="shared" si="17"/>
        <v>43952</v>
      </c>
      <c r="M287" s="3" t="str">
        <f t="shared" si="18"/>
        <v>6% to 10%</v>
      </c>
      <c r="N287" s="3" t="str">
        <f t="shared" si="19"/>
        <v>OK</v>
      </c>
    </row>
    <row r="288" spans="1:14" x14ac:dyDescent="0.3">
      <c r="A288" s="2">
        <f>DATE(VALUE(RIGHT(TRIM([1]Raw_Data!A286),4)),VALUE(MID(TRIM([1]Raw_Data!A286),4,2)),VALUE(LEFT(TRIM([1]Raw_Data!A286),2)))</f>
        <v>43955</v>
      </c>
      <c r="B288" s="3" t="str">
        <f>TRIM([1]Raw_Data!B286)</f>
        <v>Biotin</v>
      </c>
      <c r="C288" s="3" t="str">
        <f>TRIM([1]Raw_Data!C286)</f>
        <v>Vitamin</v>
      </c>
      <c r="D288" s="3">
        <f>[1]Raw_Data!D286</f>
        <v>154</v>
      </c>
      <c r="E288" s="4">
        <f>[1]Raw_Data!E286</f>
        <v>30.79</v>
      </c>
      <c r="F288" s="5">
        <f>[1]Raw_Data!F286</f>
        <v>4741.66</v>
      </c>
      <c r="G288" s="4">
        <f>[1]Raw_Data!G286</f>
        <v>0.11</v>
      </c>
      <c r="H288" s="3">
        <f>[1]Raw_Data!H286</f>
        <v>1</v>
      </c>
      <c r="I288" s="3" t="str">
        <f>TRIM([1]Raw_Data!I286)</f>
        <v>USA</v>
      </c>
      <c r="J288" s="3" t="str">
        <f>TRIM([1]Raw_Data!J286)</f>
        <v>Amazon</v>
      </c>
      <c r="K288" s="3">
        <f t="shared" si="16"/>
        <v>2020</v>
      </c>
      <c r="L288" s="6">
        <f t="shared" si="17"/>
        <v>43952</v>
      </c>
      <c r="M288" s="3" t="str">
        <f t="shared" si="18"/>
        <v>11% to 15%</v>
      </c>
      <c r="N288" s="3" t="str">
        <f t="shared" si="19"/>
        <v>OK</v>
      </c>
    </row>
    <row r="289" spans="1:14" x14ac:dyDescent="0.3">
      <c r="A289" s="2">
        <f>DATE(VALUE(RIGHT(TRIM([1]Raw_Data!A287),4)),VALUE(MID(TRIM([1]Raw_Data!A287),4,2)),VALUE(LEFT(TRIM([1]Raw_Data!A287),2)))</f>
        <v>43955</v>
      </c>
      <c r="B289" s="3" t="str">
        <f>TRIM([1]Raw_Data!B287)</f>
        <v>Green Tea Extract</v>
      </c>
      <c r="C289" s="3" t="str">
        <f>TRIM([1]Raw_Data!C287)</f>
        <v>Fat Burner</v>
      </c>
      <c r="D289" s="3">
        <f>[1]Raw_Data!D287</f>
        <v>157</v>
      </c>
      <c r="E289" s="4">
        <f>[1]Raw_Data!E287</f>
        <v>18.579999999999998</v>
      </c>
      <c r="F289" s="5">
        <f>[1]Raw_Data!F287</f>
        <v>2917.06</v>
      </c>
      <c r="G289" s="4">
        <f>[1]Raw_Data!G287</f>
        <v>0.13</v>
      </c>
      <c r="H289" s="3">
        <f>[1]Raw_Data!H287</f>
        <v>1</v>
      </c>
      <c r="I289" s="3" t="str">
        <f>TRIM([1]Raw_Data!I287)</f>
        <v>USA</v>
      </c>
      <c r="J289" s="3" t="str">
        <f>TRIM([1]Raw_Data!J287)</f>
        <v>iHerb</v>
      </c>
      <c r="K289" s="3">
        <f t="shared" si="16"/>
        <v>2020</v>
      </c>
      <c r="L289" s="6">
        <f t="shared" si="17"/>
        <v>43952</v>
      </c>
      <c r="M289" s="3" t="str">
        <f t="shared" si="18"/>
        <v>11% to 15%</v>
      </c>
      <c r="N289" s="3" t="str">
        <f t="shared" si="19"/>
        <v>OK</v>
      </c>
    </row>
    <row r="290" spans="1:14" x14ac:dyDescent="0.3">
      <c r="A290" s="2">
        <f>DATE(VALUE(RIGHT(TRIM([1]Raw_Data!A288),4)),VALUE(MID(TRIM([1]Raw_Data!A288),4,2)),VALUE(LEFT(TRIM([1]Raw_Data!A288),2)))</f>
        <v>43955</v>
      </c>
      <c r="B290" s="3" t="str">
        <f>TRIM([1]Raw_Data!B288)</f>
        <v>Iron Supplement</v>
      </c>
      <c r="C290" s="3" t="str">
        <f>TRIM([1]Raw_Data!C288)</f>
        <v>Mineral</v>
      </c>
      <c r="D290" s="3">
        <f>[1]Raw_Data!D288</f>
        <v>166</v>
      </c>
      <c r="E290" s="4">
        <f>[1]Raw_Data!E288</f>
        <v>36.630000000000003</v>
      </c>
      <c r="F290" s="5">
        <f>[1]Raw_Data!F288</f>
        <v>6080.58</v>
      </c>
      <c r="G290" s="4">
        <f>[1]Raw_Data!G288</f>
        <v>0.03</v>
      </c>
      <c r="H290" s="3">
        <f>[1]Raw_Data!H288</f>
        <v>2</v>
      </c>
      <c r="I290" s="3" t="str">
        <f>TRIM([1]Raw_Data!I288)</f>
        <v>USA</v>
      </c>
      <c r="J290" s="3" t="str">
        <f>TRIM([1]Raw_Data!J288)</f>
        <v>iHerb</v>
      </c>
      <c r="K290" s="3">
        <f t="shared" si="16"/>
        <v>2020</v>
      </c>
      <c r="L290" s="6">
        <f t="shared" si="17"/>
        <v>43952</v>
      </c>
      <c r="M290" s="3" t="str">
        <f t="shared" si="18"/>
        <v>0% to 5%</v>
      </c>
      <c r="N290" s="3" t="str">
        <f t="shared" si="19"/>
        <v>OK</v>
      </c>
    </row>
    <row r="291" spans="1:14" x14ac:dyDescent="0.3">
      <c r="A291" s="2">
        <f>DATE(VALUE(RIGHT(TRIM([1]Raw_Data!A289),4)),VALUE(MID(TRIM([1]Raw_Data!A289),4,2)),VALUE(LEFT(TRIM([1]Raw_Data!A289),2)))</f>
        <v>43955</v>
      </c>
      <c r="B291" s="3" t="str">
        <f>TRIM([1]Raw_Data!B289)</f>
        <v>Electrolyte Powder</v>
      </c>
      <c r="C291" s="3" t="str">
        <f>TRIM([1]Raw_Data!C289)</f>
        <v>Hydration</v>
      </c>
      <c r="D291" s="3">
        <f>[1]Raw_Data!D289</f>
        <v>133</v>
      </c>
      <c r="E291" s="4">
        <f>[1]Raw_Data!E289</f>
        <v>17.14</v>
      </c>
      <c r="F291" s="5">
        <f>[1]Raw_Data!F289</f>
        <v>2279.62</v>
      </c>
      <c r="G291" s="4">
        <f>[1]Raw_Data!G289</f>
        <v>0.17</v>
      </c>
      <c r="H291" s="3">
        <f>[1]Raw_Data!H289</f>
        <v>0</v>
      </c>
      <c r="I291" s="3" t="str">
        <f>TRIM([1]Raw_Data!I289)</f>
        <v>USA</v>
      </c>
      <c r="J291" s="3" t="str">
        <f>TRIM([1]Raw_Data!J289)</f>
        <v>Amazon</v>
      </c>
      <c r="K291" s="3">
        <f t="shared" si="16"/>
        <v>2020</v>
      </c>
      <c r="L291" s="6">
        <f t="shared" si="17"/>
        <v>43952</v>
      </c>
      <c r="M291" s="3" t="str">
        <f t="shared" si="18"/>
        <v>16% to 20%</v>
      </c>
      <c r="N291" s="3" t="str">
        <f t="shared" si="19"/>
        <v>OK</v>
      </c>
    </row>
    <row r="292" spans="1:14" x14ac:dyDescent="0.3">
      <c r="A292" s="2">
        <f>DATE(VALUE(RIGHT(TRIM([1]Raw_Data!A290),4)),VALUE(MID(TRIM([1]Raw_Data!A290),4,2)),VALUE(LEFT(TRIM([1]Raw_Data!A290),2)))</f>
        <v>43962</v>
      </c>
      <c r="B292" s="3" t="str">
        <f>TRIM([1]Raw_Data!B290)</f>
        <v>Whey Protein</v>
      </c>
      <c r="C292" s="3" t="str">
        <f>TRIM([1]Raw_Data!C290)</f>
        <v>Protein</v>
      </c>
      <c r="D292" s="3">
        <f>[1]Raw_Data!D290</f>
        <v>146</v>
      </c>
      <c r="E292" s="4">
        <f>[1]Raw_Data!E290</f>
        <v>20.22</v>
      </c>
      <c r="F292" s="5">
        <f>[1]Raw_Data!F290</f>
        <v>2952.12</v>
      </c>
      <c r="G292" s="4">
        <f>[1]Raw_Data!G290</f>
        <v>0.13</v>
      </c>
      <c r="H292" s="3">
        <f>[1]Raw_Data!H290</f>
        <v>1</v>
      </c>
      <c r="I292" s="3" t="str">
        <f>TRIM([1]Raw_Data!I290)</f>
        <v>Canada</v>
      </c>
      <c r="J292" s="3" t="str">
        <f>TRIM([1]Raw_Data!J290)</f>
        <v>iHerb</v>
      </c>
      <c r="K292" s="3">
        <f t="shared" si="16"/>
        <v>2020</v>
      </c>
      <c r="L292" s="6">
        <f t="shared" si="17"/>
        <v>43952</v>
      </c>
      <c r="M292" s="3" t="str">
        <f t="shared" si="18"/>
        <v>11% to 15%</v>
      </c>
      <c r="N292" s="3" t="str">
        <f t="shared" si="19"/>
        <v>OK</v>
      </c>
    </row>
    <row r="293" spans="1:14" x14ac:dyDescent="0.3">
      <c r="A293" s="2">
        <f>DATE(VALUE(RIGHT(TRIM([1]Raw_Data!A291),4)),VALUE(MID(TRIM([1]Raw_Data!A291),4,2)),VALUE(LEFT(TRIM([1]Raw_Data!A291),2)))</f>
        <v>43962</v>
      </c>
      <c r="B293" s="3" t="str">
        <f>TRIM([1]Raw_Data!B291)</f>
        <v>Vitamin C</v>
      </c>
      <c r="C293" s="3" t="str">
        <f>TRIM([1]Raw_Data!C291)</f>
        <v>Vitamin</v>
      </c>
      <c r="D293" s="3">
        <f>[1]Raw_Data!D291</f>
        <v>127</v>
      </c>
      <c r="E293" s="4">
        <f>[1]Raw_Data!E291</f>
        <v>38.03</v>
      </c>
      <c r="F293" s="5">
        <f>[1]Raw_Data!F291</f>
        <v>4829.8100000000004</v>
      </c>
      <c r="G293" s="4">
        <f>[1]Raw_Data!G291</f>
        <v>0.16</v>
      </c>
      <c r="H293" s="3">
        <f>[1]Raw_Data!H291</f>
        <v>2</v>
      </c>
      <c r="I293" s="3" t="str">
        <f>TRIM([1]Raw_Data!I291)</f>
        <v>USA</v>
      </c>
      <c r="J293" s="3" t="str">
        <f>TRIM([1]Raw_Data!J291)</f>
        <v>Amazon</v>
      </c>
      <c r="K293" s="3">
        <f t="shared" si="16"/>
        <v>2020</v>
      </c>
      <c r="L293" s="6">
        <f t="shared" si="17"/>
        <v>43952</v>
      </c>
      <c r="M293" s="3" t="str">
        <f t="shared" si="18"/>
        <v>16% to 20%</v>
      </c>
      <c r="N293" s="3" t="str">
        <f t="shared" si="19"/>
        <v>OK</v>
      </c>
    </row>
    <row r="294" spans="1:14" x14ac:dyDescent="0.3">
      <c r="A294" s="2">
        <f>DATE(VALUE(RIGHT(TRIM([1]Raw_Data!A292),4)),VALUE(MID(TRIM([1]Raw_Data!A292),4,2)),VALUE(LEFT(TRIM([1]Raw_Data!A292),2)))</f>
        <v>43962</v>
      </c>
      <c r="B294" s="3" t="str">
        <f>TRIM([1]Raw_Data!B292)</f>
        <v>Fish Oil</v>
      </c>
      <c r="C294" s="3" t="str">
        <f>TRIM([1]Raw_Data!C292)</f>
        <v>Omega</v>
      </c>
      <c r="D294" s="3">
        <f>[1]Raw_Data!D292</f>
        <v>141</v>
      </c>
      <c r="E294" s="4">
        <f>[1]Raw_Data!E292</f>
        <v>46.17</v>
      </c>
      <c r="F294" s="5">
        <f>[1]Raw_Data!F292</f>
        <v>6509.97</v>
      </c>
      <c r="G294" s="4">
        <f>[1]Raw_Data!G292</f>
        <v>0.13</v>
      </c>
      <c r="H294" s="3">
        <f>[1]Raw_Data!H292</f>
        <v>3</v>
      </c>
      <c r="I294" s="3" t="str">
        <f>TRIM([1]Raw_Data!I292)</f>
        <v>UK</v>
      </c>
      <c r="J294" s="3" t="str">
        <f>TRIM([1]Raw_Data!J292)</f>
        <v>iHerb</v>
      </c>
      <c r="K294" s="3">
        <f t="shared" si="16"/>
        <v>2020</v>
      </c>
      <c r="L294" s="6">
        <f t="shared" si="17"/>
        <v>43952</v>
      </c>
      <c r="M294" s="3" t="str">
        <f t="shared" si="18"/>
        <v>11% to 15%</v>
      </c>
      <c r="N294" s="3" t="str">
        <f t="shared" si="19"/>
        <v>OK</v>
      </c>
    </row>
    <row r="295" spans="1:14" x14ac:dyDescent="0.3">
      <c r="A295" s="2">
        <f>DATE(VALUE(RIGHT(TRIM([1]Raw_Data!A293),4)),VALUE(MID(TRIM([1]Raw_Data!A293),4,2)),VALUE(LEFT(TRIM([1]Raw_Data!A293),2)))</f>
        <v>43962</v>
      </c>
      <c r="B295" s="3" t="str">
        <f>TRIM([1]Raw_Data!B293)</f>
        <v>Multivitamin</v>
      </c>
      <c r="C295" s="3" t="str">
        <f>TRIM([1]Raw_Data!C293)</f>
        <v>Vitamin</v>
      </c>
      <c r="D295" s="3">
        <f>[1]Raw_Data!D293</f>
        <v>163</v>
      </c>
      <c r="E295" s="4">
        <f>[1]Raw_Data!E293</f>
        <v>34.25</v>
      </c>
      <c r="F295" s="5">
        <f>[1]Raw_Data!F293</f>
        <v>5582.75</v>
      </c>
      <c r="G295" s="4">
        <f>[1]Raw_Data!G293</f>
        <v>0.08</v>
      </c>
      <c r="H295" s="3">
        <f>[1]Raw_Data!H293</f>
        <v>3</v>
      </c>
      <c r="I295" s="3" t="str">
        <f>TRIM([1]Raw_Data!I293)</f>
        <v>Canada</v>
      </c>
      <c r="J295" s="3" t="str">
        <f>TRIM([1]Raw_Data!J293)</f>
        <v>Amazon</v>
      </c>
      <c r="K295" s="3">
        <f t="shared" si="16"/>
        <v>2020</v>
      </c>
      <c r="L295" s="6">
        <f t="shared" si="17"/>
        <v>43952</v>
      </c>
      <c r="M295" s="3" t="str">
        <f t="shared" si="18"/>
        <v>6% to 10%</v>
      </c>
      <c r="N295" s="3" t="str">
        <f t="shared" si="19"/>
        <v>OK</v>
      </c>
    </row>
    <row r="296" spans="1:14" x14ac:dyDescent="0.3">
      <c r="A296" s="2">
        <f>DATE(VALUE(RIGHT(TRIM([1]Raw_Data!A294),4)),VALUE(MID(TRIM([1]Raw_Data!A294),4,2)),VALUE(LEFT(TRIM([1]Raw_Data!A294),2)))</f>
        <v>43962</v>
      </c>
      <c r="B296" s="3" t="str">
        <f>TRIM([1]Raw_Data!B294)</f>
        <v>Pre-Workout</v>
      </c>
      <c r="C296" s="3" t="str">
        <f>TRIM([1]Raw_Data!C294)</f>
        <v>Performance</v>
      </c>
      <c r="D296" s="3">
        <f>[1]Raw_Data!D294</f>
        <v>148</v>
      </c>
      <c r="E296" s="4">
        <f>[1]Raw_Data!E294</f>
        <v>52.75</v>
      </c>
      <c r="F296" s="5">
        <f>[1]Raw_Data!F294</f>
        <v>7807</v>
      </c>
      <c r="G296" s="4">
        <f>[1]Raw_Data!G294</f>
        <v>0.22</v>
      </c>
      <c r="H296" s="3">
        <f>[1]Raw_Data!H294</f>
        <v>1</v>
      </c>
      <c r="I296" s="3" t="str">
        <f>TRIM([1]Raw_Data!I294)</f>
        <v>Canada</v>
      </c>
      <c r="J296" s="3" t="str">
        <f>TRIM([1]Raw_Data!J294)</f>
        <v>Amazon</v>
      </c>
      <c r="K296" s="3">
        <f t="shared" si="16"/>
        <v>2020</v>
      </c>
      <c r="L296" s="6">
        <f t="shared" si="17"/>
        <v>43952</v>
      </c>
      <c r="M296" s="3" t="str">
        <f t="shared" si="18"/>
        <v>21% to 25%</v>
      </c>
      <c r="N296" s="3" t="str">
        <f t="shared" si="19"/>
        <v>OK</v>
      </c>
    </row>
    <row r="297" spans="1:14" x14ac:dyDescent="0.3">
      <c r="A297" s="2">
        <f>DATE(VALUE(RIGHT(TRIM([1]Raw_Data!A295),4)),VALUE(MID(TRIM([1]Raw_Data!A295),4,2)),VALUE(LEFT(TRIM([1]Raw_Data!A295),2)))</f>
        <v>43962</v>
      </c>
      <c r="B297" s="3" t="str">
        <f>TRIM([1]Raw_Data!B295)</f>
        <v>BCAA</v>
      </c>
      <c r="C297" s="3" t="str">
        <f>TRIM([1]Raw_Data!C295)</f>
        <v>Amino Acid</v>
      </c>
      <c r="D297" s="3">
        <f>[1]Raw_Data!D295</f>
        <v>128</v>
      </c>
      <c r="E297" s="4">
        <f>[1]Raw_Data!E295</f>
        <v>50.18</v>
      </c>
      <c r="F297" s="5">
        <f>[1]Raw_Data!F295</f>
        <v>6423.04</v>
      </c>
      <c r="G297" s="4">
        <f>[1]Raw_Data!G295</f>
        <v>0.23</v>
      </c>
      <c r="H297" s="3">
        <f>[1]Raw_Data!H295</f>
        <v>0</v>
      </c>
      <c r="I297" s="3" t="str">
        <f>TRIM([1]Raw_Data!I295)</f>
        <v>USA</v>
      </c>
      <c r="J297" s="3" t="str">
        <f>TRIM([1]Raw_Data!J295)</f>
        <v>Walmart</v>
      </c>
      <c r="K297" s="3">
        <f t="shared" si="16"/>
        <v>2020</v>
      </c>
      <c r="L297" s="6">
        <f t="shared" si="17"/>
        <v>43952</v>
      </c>
      <c r="M297" s="3" t="str">
        <f t="shared" si="18"/>
        <v>21% to 25%</v>
      </c>
      <c r="N297" s="3" t="str">
        <f t="shared" si="19"/>
        <v>OK</v>
      </c>
    </row>
    <row r="298" spans="1:14" x14ac:dyDescent="0.3">
      <c r="A298" s="2">
        <f>DATE(VALUE(RIGHT(TRIM([1]Raw_Data!A296),4)),VALUE(MID(TRIM([1]Raw_Data!A296),4,2)),VALUE(LEFT(TRIM([1]Raw_Data!A296),2)))</f>
        <v>43962</v>
      </c>
      <c r="B298" s="3" t="str">
        <f>TRIM([1]Raw_Data!B296)</f>
        <v>Creatine</v>
      </c>
      <c r="C298" s="3" t="str">
        <f>TRIM([1]Raw_Data!C296)</f>
        <v>Performance</v>
      </c>
      <c r="D298" s="3">
        <f>[1]Raw_Data!D296</f>
        <v>127</v>
      </c>
      <c r="E298" s="4">
        <f>[1]Raw_Data!E296</f>
        <v>29.47</v>
      </c>
      <c r="F298" s="5">
        <f>[1]Raw_Data!F296</f>
        <v>3742.69</v>
      </c>
      <c r="G298" s="4">
        <f>[1]Raw_Data!G296</f>
        <v>0.14000000000000001</v>
      </c>
      <c r="H298" s="3">
        <f>[1]Raw_Data!H296</f>
        <v>4</v>
      </c>
      <c r="I298" s="3" t="str">
        <f>TRIM([1]Raw_Data!I296)</f>
        <v>Canada</v>
      </c>
      <c r="J298" s="3" t="str">
        <f>TRIM([1]Raw_Data!J296)</f>
        <v>iHerb</v>
      </c>
      <c r="K298" s="3">
        <f t="shared" si="16"/>
        <v>2020</v>
      </c>
      <c r="L298" s="6">
        <f t="shared" si="17"/>
        <v>43952</v>
      </c>
      <c r="M298" s="3" t="str">
        <f t="shared" si="18"/>
        <v>11% to 15%</v>
      </c>
      <c r="N298" s="3" t="str">
        <f t="shared" si="19"/>
        <v>OK</v>
      </c>
    </row>
    <row r="299" spans="1:14" x14ac:dyDescent="0.3">
      <c r="A299" s="2">
        <f>DATE(VALUE(RIGHT(TRIM([1]Raw_Data!A297),4)),VALUE(MID(TRIM([1]Raw_Data!A297),4,2)),VALUE(LEFT(TRIM([1]Raw_Data!A297),2)))</f>
        <v>43962</v>
      </c>
      <c r="B299" s="3" t="str">
        <f>TRIM([1]Raw_Data!B297)</f>
        <v>Zinc</v>
      </c>
      <c r="C299" s="3" t="str">
        <f>TRIM([1]Raw_Data!C297)</f>
        <v>Mineral</v>
      </c>
      <c r="D299" s="3">
        <f>[1]Raw_Data!D297</f>
        <v>127</v>
      </c>
      <c r="E299" s="4">
        <f>[1]Raw_Data!E297</f>
        <v>13.71</v>
      </c>
      <c r="F299" s="5">
        <f>[1]Raw_Data!F297</f>
        <v>1741.17</v>
      </c>
      <c r="G299" s="4">
        <f>[1]Raw_Data!G297</f>
        <v>0.09</v>
      </c>
      <c r="H299" s="3">
        <f>[1]Raw_Data!H297</f>
        <v>2</v>
      </c>
      <c r="I299" s="3" t="str">
        <f>TRIM([1]Raw_Data!I297)</f>
        <v>USA</v>
      </c>
      <c r="J299" s="3" t="str">
        <f>TRIM([1]Raw_Data!J297)</f>
        <v>Walmart</v>
      </c>
      <c r="K299" s="3">
        <f t="shared" si="16"/>
        <v>2020</v>
      </c>
      <c r="L299" s="6">
        <f t="shared" si="17"/>
        <v>43952</v>
      </c>
      <c r="M299" s="3" t="str">
        <f t="shared" si="18"/>
        <v>6% to 10%</v>
      </c>
      <c r="N299" s="3" t="str">
        <f t="shared" si="19"/>
        <v>OK</v>
      </c>
    </row>
    <row r="300" spans="1:14" x14ac:dyDescent="0.3">
      <c r="A300" s="2">
        <f>DATE(VALUE(RIGHT(TRIM([1]Raw_Data!A298),4)),VALUE(MID(TRIM([1]Raw_Data!A298),4,2)),VALUE(LEFT(TRIM([1]Raw_Data!A298),2)))</f>
        <v>43962</v>
      </c>
      <c r="B300" s="3" t="str">
        <f>TRIM([1]Raw_Data!B298)</f>
        <v>Collagen Peptides</v>
      </c>
      <c r="C300" s="3" t="str">
        <f>TRIM([1]Raw_Data!C298)</f>
        <v>Protein</v>
      </c>
      <c r="D300" s="3">
        <f>[1]Raw_Data!D298</f>
        <v>152</v>
      </c>
      <c r="E300" s="4">
        <f>[1]Raw_Data!E298</f>
        <v>21.01</v>
      </c>
      <c r="F300" s="5">
        <f>[1]Raw_Data!F298</f>
        <v>3193.52</v>
      </c>
      <c r="G300" s="4">
        <f>[1]Raw_Data!G298</f>
        <v>0.09</v>
      </c>
      <c r="H300" s="3">
        <f>[1]Raw_Data!H298</f>
        <v>1</v>
      </c>
      <c r="I300" s="3" t="str">
        <f>TRIM([1]Raw_Data!I298)</f>
        <v>Canada</v>
      </c>
      <c r="J300" s="3" t="str">
        <f>TRIM([1]Raw_Data!J298)</f>
        <v>iHerb</v>
      </c>
      <c r="K300" s="3">
        <f t="shared" si="16"/>
        <v>2020</v>
      </c>
      <c r="L300" s="6">
        <f t="shared" si="17"/>
        <v>43952</v>
      </c>
      <c r="M300" s="3" t="str">
        <f t="shared" si="18"/>
        <v>6% to 10%</v>
      </c>
      <c r="N300" s="3" t="str">
        <f t="shared" si="19"/>
        <v>OK</v>
      </c>
    </row>
    <row r="301" spans="1:14" x14ac:dyDescent="0.3">
      <c r="A301" s="2">
        <f>DATE(VALUE(RIGHT(TRIM([1]Raw_Data!A299),4)),VALUE(MID(TRIM([1]Raw_Data!A299),4,2)),VALUE(LEFT(TRIM([1]Raw_Data!A299),2)))</f>
        <v>43962</v>
      </c>
      <c r="B301" s="3" t="str">
        <f>TRIM([1]Raw_Data!B299)</f>
        <v>Magnesium</v>
      </c>
      <c r="C301" s="3" t="str">
        <f>TRIM([1]Raw_Data!C299)</f>
        <v>Mineral</v>
      </c>
      <c r="D301" s="3">
        <f>[1]Raw_Data!D299</f>
        <v>127</v>
      </c>
      <c r="E301" s="4">
        <f>[1]Raw_Data!E299</f>
        <v>33.21</v>
      </c>
      <c r="F301" s="5">
        <f>[1]Raw_Data!F299</f>
        <v>4217.67</v>
      </c>
      <c r="G301" s="4">
        <f>[1]Raw_Data!G299</f>
        <v>0.18</v>
      </c>
      <c r="H301" s="3">
        <f>[1]Raw_Data!H299</f>
        <v>2</v>
      </c>
      <c r="I301" s="3" t="str">
        <f>TRIM([1]Raw_Data!I299)</f>
        <v>USA</v>
      </c>
      <c r="J301" s="3" t="str">
        <f>TRIM([1]Raw_Data!J299)</f>
        <v>iHerb</v>
      </c>
      <c r="K301" s="3">
        <f t="shared" si="16"/>
        <v>2020</v>
      </c>
      <c r="L301" s="6">
        <f t="shared" si="17"/>
        <v>43952</v>
      </c>
      <c r="M301" s="3" t="str">
        <f t="shared" si="18"/>
        <v>16% to 20%</v>
      </c>
      <c r="N301" s="3" t="str">
        <f t="shared" si="19"/>
        <v>OK</v>
      </c>
    </row>
    <row r="302" spans="1:14" x14ac:dyDescent="0.3">
      <c r="A302" s="2">
        <f>DATE(VALUE(RIGHT(TRIM([1]Raw_Data!A300),4)),VALUE(MID(TRIM([1]Raw_Data!A300),4,2)),VALUE(LEFT(TRIM([1]Raw_Data!A300),2)))</f>
        <v>43962</v>
      </c>
      <c r="B302" s="3" t="str">
        <f>TRIM([1]Raw_Data!B300)</f>
        <v>Ashwagandha</v>
      </c>
      <c r="C302" s="3" t="str">
        <f>TRIM([1]Raw_Data!C300)</f>
        <v>Herbal</v>
      </c>
      <c r="D302" s="3">
        <f>[1]Raw_Data!D300</f>
        <v>158</v>
      </c>
      <c r="E302" s="4">
        <f>[1]Raw_Data!E300</f>
        <v>20.88</v>
      </c>
      <c r="F302" s="5">
        <f>[1]Raw_Data!F300</f>
        <v>3299.04</v>
      </c>
      <c r="G302" s="4">
        <f>[1]Raw_Data!G300</f>
        <v>0.17</v>
      </c>
      <c r="H302" s="3">
        <f>[1]Raw_Data!H300</f>
        <v>1</v>
      </c>
      <c r="I302" s="3" t="str">
        <f>TRIM([1]Raw_Data!I300)</f>
        <v>Canada</v>
      </c>
      <c r="J302" s="3" t="str">
        <f>TRIM([1]Raw_Data!J300)</f>
        <v>Amazon</v>
      </c>
      <c r="K302" s="3">
        <f t="shared" si="16"/>
        <v>2020</v>
      </c>
      <c r="L302" s="6">
        <f t="shared" si="17"/>
        <v>43952</v>
      </c>
      <c r="M302" s="3" t="str">
        <f t="shared" si="18"/>
        <v>16% to 20%</v>
      </c>
      <c r="N302" s="3" t="str">
        <f t="shared" si="19"/>
        <v>OK</v>
      </c>
    </row>
    <row r="303" spans="1:14" x14ac:dyDescent="0.3">
      <c r="A303" s="2">
        <f>DATE(VALUE(RIGHT(TRIM([1]Raw_Data!A301),4)),VALUE(MID(TRIM([1]Raw_Data!A301),4,2)),VALUE(LEFT(TRIM([1]Raw_Data!A301),2)))</f>
        <v>43962</v>
      </c>
      <c r="B303" s="3" t="str">
        <f>TRIM([1]Raw_Data!B301)</f>
        <v>Melatonin</v>
      </c>
      <c r="C303" s="3" t="str">
        <f>TRIM([1]Raw_Data!C301)</f>
        <v>Sleep Aid</v>
      </c>
      <c r="D303" s="3">
        <f>[1]Raw_Data!D301</f>
        <v>160</v>
      </c>
      <c r="E303" s="4">
        <f>[1]Raw_Data!E301</f>
        <v>13.32</v>
      </c>
      <c r="F303" s="5">
        <f>[1]Raw_Data!F301</f>
        <v>2131.1999999999998</v>
      </c>
      <c r="G303" s="4">
        <f>[1]Raw_Data!G301</f>
        <v>0.19</v>
      </c>
      <c r="H303" s="3">
        <f>[1]Raw_Data!H301</f>
        <v>2</v>
      </c>
      <c r="I303" s="3" t="str">
        <f>TRIM([1]Raw_Data!I301)</f>
        <v>Canada</v>
      </c>
      <c r="J303" s="3" t="str">
        <f>TRIM([1]Raw_Data!J301)</f>
        <v>iHerb</v>
      </c>
      <c r="K303" s="3">
        <f t="shared" si="16"/>
        <v>2020</v>
      </c>
      <c r="L303" s="6">
        <f t="shared" si="17"/>
        <v>43952</v>
      </c>
      <c r="M303" s="3" t="str">
        <f t="shared" si="18"/>
        <v>16% to 20%</v>
      </c>
      <c r="N303" s="3" t="str">
        <f t="shared" si="19"/>
        <v>OK</v>
      </c>
    </row>
    <row r="304" spans="1:14" x14ac:dyDescent="0.3">
      <c r="A304" s="2">
        <f>DATE(VALUE(RIGHT(TRIM([1]Raw_Data!A302),4)),VALUE(MID(TRIM([1]Raw_Data!A302),4,2)),VALUE(LEFT(TRIM([1]Raw_Data!A302),2)))</f>
        <v>43962</v>
      </c>
      <c r="B304" s="3" t="str">
        <f>TRIM([1]Raw_Data!B302)</f>
        <v>Biotin</v>
      </c>
      <c r="C304" s="3" t="str">
        <f>TRIM([1]Raw_Data!C302)</f>
        <v>Vitamin</v>
      </c>
      <c r="D304" s="3">
        <f>[1]Raw_Data!D302</f>
        <v>161</v>
      </c>
      <c r="E304" s="4">
        <f>[1]Raw_Data!E302</f>
        <v>50.15</v>
      </c>
      <c r="F304" s="5">
        <f>[1]Raw_Data!F302</f>
        <v>8074.15</v>
      </c>
      <c r="G304" s="4">
        <f>[1]Raw_Data!G302</f>
        <v>0.13</v>
      </c>
      <c r="H304" s="3">
        <f>[1]Raw_Data!H302</f>
        <v>0</v>
      </c>
      <c r="I304" s="3" t="str">
        <f>TRIM([1]Raw_Data!I302)</f>
        <v>Canada</v>
      </c>
      <c r="J304" s="3" t="str">
        <f>TRIM([1]Raw_Data!J302)</f>
        <v>Walmart</v>
      </c>
      <c r="K304" s="3">
        <f t="shared" si="16"/>
        <v>2020</v>
      </c>
      <c r="L304" s="6">
        <f t="shared" si="17"/>
        <v>43952</v>
      </c>
      <c r="M304" s="3" t="str">
        <f t="shared" si="18"/>
        <v>11% to 15%</v>
      </c>
      <c r="N304" s="3" t="str">
        <f t="shared" si="19"/>
        <v>OK</v>
      </c>
    </row>
    <row r="305" spans="1:14" x14ac:dyDescent="0.3">
      <c r="A305" s="2">
        <f>DATE(VALUE(RIGHT(TRIM([1]Raw_Data!A303),4)),VALUE(MID(TRIM([1]Raw_Data!A303),4,2)),VALUE(LEFT(TRIM([1]Raw_Data!A303),2)))</f>
        <v>43962</v>
      </c>
      <c r="B305" s="3" t="str">
        <f>TRIM([1]Raw_Data!B303)</f>
        <v>Green Tea Extract</v>
      </c>
      <c r="C305" s="3" t="str">
        <f>TRIM([1]Raw_Data!C303)</f>
        <v>Fat Burner</v>
      </c>
      <c r="D305" s="3">
        <f>[1]Raw_Data!D303</f>
        <v>156</v>
      </c>
      <c r="E305" s="4">
        <f>[1]Raw_Data!E303</f>
        <v>47.11</v>
      </c>
      <c r="F305" s="5">
        <f>[1]Raw_Data!F303</f>
        <v>7349.16</v>
      </c>
      <c r="G305" s="4">
        <f>[1]Raw_Data!G303</f>
        <v>0.04</v>
      </c>
      <c r="H305" s="3">
        <f>[1]Raw_Data!H303</f>
        <v>0</v>
      </c>
      <c r="I305" s="3" t="str">
        <f>TRIM([1]Raw_Data!I303)</f>
        <v>Canada</v>
      </c>
      <c r="J305" s="3" t="str">
        <f>TRIM([1]Raw_Data!J303)</f>
        <v>iHerb</v>
      </c>
      <c r="K305" s="3">
        <f t="shared" si="16"/>
        <v>2020</v>
      </c>
      <c r="L305" s="6">
        <f t="shared" si="17"/>
        <v>43952</v>
      </c>
      <c r="M305" s="3" t="str">
        <f t="shared" si="18"/>
        <v>0% to 5%</v>
      </c>
      <c r="N305" s="3" t="str">
        <f t="shared" si="19"/>
        <v>OK</v>
      </c>
    </row>
    <row r="306" spans="1:14" x14ac:dyDescent="0.3">
      <c r="A306" s="2">
        <f>DATE(VALUE(RIGHT(TRIM([1]Raw_Data!A304),4)),VALUE(MID(TRIM([1]Raw_Data!A304),4,2)),VALUE(LEFT(TRIM([1]Raw_Data!A304),2)))</f>
        <v>43962</v>
      </c>
      <c r="B306" s="3" t="str">
        <f>TRIM([1]Raw_Data!B304)</f>
        <v>Iron Supplement</v>
      </c>
      <c r="C306" s="3" t="str">
        <f>TRIM([1]Raw_Data!C304)</f>
        <v>Mineral</v>
      </c>
      <c r="D306" s="3">
        <f>[1]Raw_Data!D304</f>
        <v>168</v>
      </c>
      <c r="E306" s="4">
        <f>[1]Raw_Data!E304</f>
        <v>55.41</v>
      </c>
      <c r="F306" s="5">
        <f>[1]Raw_Data!F304</f>
        <v>9308.8799999999992</v>
      </c>
      <c r="G306" s="4">
        <f>[1]Raw_Data!G304</f>
        <v>0.19</v>
      </c>
      <c r="H306" s="3">
        <f>[1]Raw_Data!H304</f>
        <v>2</v>
      </c>
      <c r="I306" s="3" t="str">
        <f>TRIM([1]Raw_Data!I304)</f>
        <v>USA</v>
      </c>
      <c r="J306" s="3" t="str">
        <f>TRIM([1]Raw_Data!J304)</f>
        <v>Walmart</v>
      </c>
      <c r="K306" s="3">
        <f t="shared" si="16"/>
        <v>2020</v>
      </c>
      <c r="L306" s="6">
        <f t="shared" si="17"/>
        <v>43952</v>
      </c>
      <c r="M306" s="3" t="str">
        <f t="shared" si="18"/>
        <v>16% to 20%</v>
      </c>
      <c r="N306" s="3" t="str">
        <f t="shared" si="19"/>
        <v>OK</v>
      </c>
    </row>
    <row r="307" spans="1:14" x14ac:dyDescent="0.3">
      <c r="A307" s="2">
        <f>DATE(VALUE(RIGHT(TRIM([1]Raw_Data!A305),4)),VALUE(MID(TRIM([1]Raw_Data!A305),4,2)),VALUE(LEFT(TRIM([1]Raw_Data!A305),2)))</f>
        <v>43962</v>
      </c>
      <c r="B307" s="3" t="str">
        <f>TRIM([1]Raw_Data!B305)</f>
        <v>Electrolyte Powder</v>
      </c>
      <c r="C307" s="3" t="str">
        <f>TRIM([1]Raw_Data!C305)</f>
        <v>Hydration</v>
      </c>
      <c r="D307" s="3">
        <f>[1]Raw_Data!D305</f>
        <v>156</v>
      </c>
      <c r="E307" s="4">
        <f>[1]Raw_Data!E305</f>
        <v>38.94</v>
      </c>
      <c r="F307" s="5">
        <f>[1]Raw_Data!F305</f>
        <v>6074.64</v>
      </c>
      <c r="G307" s="4">
        <f>[1]Raw_Data!G305</f>
        <v>0.16</v>
      </c>
      <c r="H307" s="3">
        <f>[1]Raw_Data!H305</f>
        <v>0</v>
      </c>
      <c r="I307" s="3" t="str">
        <f>TRIM([1]Raw_Data!I305)</f>
        <v>UK</v>
      </c>
      <c r="J307" s="3" t="str">
        <f>TRIM([1]Raw_Data!J305)</f>
        <v>iHerb</v>
      </c>
      <c r="K307" s="3">
        <f t="shared" si="16"/>
        <v>2020</v>
      </c>
      <c r="L307" s="6">
        <f t="shared" si="17"/>
        <v>43952</v>
      </c>
      <c r="M307" s="3" t="str">
        <f t="shared" si="18"/>
        <v>16% to 20%</v>
      </c>
      <c r="N307" s="3" t="str">
        <f t="shared" si="19"/>
        <v>OK</v>
      </c>
    </row>
    <row r="308" spans="1:14" x14ac:dyDescent="0.3">
      <c r="A308" s="2">
        <f>DATE(VALUE(RIGHT(TRIM([1]Raw_Data!A306),4)),VALUE(MID(TRIM([1]Raw_Data!A306),4,2)),VALUE(LEFT(TRIM([1]Raw_Data!A306),2)))</f>
        <v>43969</v>
      </c>
      <c r="B308" s="3" t="str">
        <f>TRIM([1]Raw_Data!B306)</f>
        <v>Whey Protein</v>
      </c>
      <c r="C308" s="3" t="str">
        <f>TRIM([1]Raw_Data!C306)</f>
        <v>Protein</v>
      </c>
      <c r="D308" s="3">
        <f>[1]Raw_Data!D306</f>
        <v>149</v>
      </c>
      <c r="E308" s="4">
        <f>[1]Raw_Data!E306</f>
        <v>23.55</v>
      </c>
      <c r="F308" s="5">
        <f>[1]Raw_Data!F306</f>
        <v>3508.95</v>
      </c>
      <c r="G308" s="4">
        <f>[1]Raw_Data!G306</f>
        <v>0.05</v>
      </c>
      <c r="H308" s="3">
        <f>[1]Raw_Data!H306</f>
        <v>1</v>
      </c>
      <c r="I308" s="3" t="str">
        <f>TRIM([1]Raw_Data!I306)</f>
        <v>USA</v>
      </c>
      <c r="J308" s="3" t="str">
        <f>TRIM([1]Raw_Data!J306)</f>
        <v>iHerb</v>
      </c>
      <c r="K308" s="3">
        <f t="shared" si="16"/>
        <v>2020</v>
      </c>
      <c r="L308" s="6">
        <f t="shared" si="17"/>
        <v>43952</v>
      </c>
      <c r="M308" s="3" t="str">
        <f t="shared" si="18"/>
        <v>0% to 5%</v>
      </c>
      <c r="N308" s="3" t="str">
        <f t="shared" si="19"/>
        <v>OK</v>
      </c>
    </row>
    <row r="309" spans="1:14" x14ac:dyDescent="0.3">
      <c r="A309" s="2">
        <f>DATE(VALUE(RIGHT(TRIM([1]Raw_Data!A307),4)),VALUE(MID(TRIM([1]Raw_Data!A307),4,2)),VALUE(LEFT(TRIM([1]Raw_Data!A307),2)))</f>
        <v>43969</v>
      </c>
      <c r="B309" s="3" t="str">
        <f>TRIM([1]Raw_Data!B307)</f>
        <v>Vitamin C</v>
      </c>
      <c r="C309" s="3" t="str">
        <f>TRIM([1]Raw_Data!C307)</f>
        <v>Vitamin</v>
      </c>
      <c r="D309" s="3">
        <f>[1]Raw_Data!D307</f>
        <v>140</v>
      </c>
      <c r="E309" s="4">
        <f>[1]Raw_Data!E307</f>
        <v>31.24</v>
      </c>
      <c r="F309" s="5">
        <f>[1]Raw_Data!F307</f>
        <v>4373.6000000000004</v>
      </c>
      <c r="G309" s="4">
        <f>[1]Raw_Data!G307</f>
        <v>0.23</v>
      </c>
      <c r="H309" s="3">
        <f>[1]Raw_Data!H307</f>
        <v>1</v>
      </c>
      <c r="I309" s="3" t="str">
        <f>TRIM([1]Raw_Data!I307)</f>
        <v>USA</v>
      </c>
      <c r="J309" s="3" t="str">
        <f>TRIM([1]Raw_Data!J307)</f>
        <v>iHerb</v>
      </c>
      <c r="K309" s="3">
        <f t="shared" si="16"/>
        <v>2020</v>
      </c>
      <c r="L309" s="6">
        <f t="shared" si="17"/>
        <v>43952</v>
      </c>
      <c r="M309" s="3" t="str">
        <f t="shared" si="18"/>
        <v>21% to 25%</v>
      </c>
      <c r="N309" s="3" t="str">
        <f t="shared" si="19"/>
        <v>OK</v>
      </c>
    </row>
    <row r="310" spans="1:14" x14ac:dyDescent="0.3">
      <c r="A310" s="2">
        <f>DATE(VALUE(RIGHT(TRIM([1]Raw_Data!A308),4)),VALUE(MID(TRIM([1]Raw_Data!A308),4,2)),VALUE(LEFT(TRIM([1]Raw_Data!A308),2)))</f>
        <v>43969</v>
      </c>
      <c r="B310" s="3" t="str">
        <f>TRIM([1]Raw_Data!B308)</f>
        <v>Fish Oil</v>
      </c>
      <c r="C310" s="3" t="str">
        <f>TRIM([1]Raw_Data!C308)</f>
        <v>Omega</v>
      </c>
      <c r="D310" s="3">
        <f>[1]Raw_Data!D308</f>
        <v>138</v>
      </c>
      <c r="E310" s="4">
        <f>[1]Raw_Data!E308</f>
        <v>44.81</v>
      </c>
      <c r="F310" s="5">
        <f>[1]Raw_Data!F308</f>
        <v>6183.78</v>
      </c>
      <c r="G310" s="4">
        <f>[1]Raw_Data!G308</f>
        <v>0.1</v>
      </c>
      <c r="H310" s="3">
        <f>[1]Raw_Data!H308</f>
        <v>2</v>
      </c>
      <c r="I310" s="3" t="str">
        <f>TRIM([1]Raw_Data!I308)</f>
        <v>Canada</v>
      </c>
      <c r="J310" s="3" t="str">
        <f>TRIM([1]Raw_Data!J308)</f>
        <v>Amazon</v>
      </c>
      <c r="K310" s="3">
        <f t="shared" si="16"/>
        <v>2020</v>
      </c>
      <c r="L310" s="6">
        <f t="shared" si="17"/>
        <v>43952</v>
      </c>
      <c r="M310" s="3" t="str">
        <f t="shared" si="18"/>
        <v>6% to 10%</v>
      </c>
      <c r="N310" s="3" t="str">
        <f t="shared" si="19"/>
        <v>OK</v>
      </c>
    </row>
    <row r="311" spans="1:14" x14ac:dyDescent="0.3">
      <c r="A311" s="2">
        <f>DATE(VALUE(RIGHT(TRIM([1]Raw_Data!A309),4)),VALUE(MID(TRIM([1]Raw_Data!A309),4,2)),VALUE(LEFT(TRIM([1]Raw_Data!A309),2)))</f>
        <v>43969</v>
      </c>
      <c r="B311" s="3" t="str">
        <f>TRIM([1]Raw_Data!B309)</f>
        <v>Multivitamin</v>
      </c>
      <c r="C311" s="3" t="str">
        <f>TRIM([1]Raw_Data!C309)</f>
        <v>Vitamin</v>
      </c>
      <c r="D311" s="3">
        <f>[1]Raw_Data!D309</f>
        <v>156</v>
      </c>
      <c r="E311" s="4">
        <f>[1]Raw_Data!E309</f>
        <v>23.6</v>
      </c>
      <c r="F311" s="5">
        <f>[1]Raw_Data!F309</f>
        <v>3681.6</v>
      </c>
      <c r="G311" s="4">
        <f>[1]Raw_Data!G309</f>
        <v>0.17</v>
      </c>
      <c r="H311" s="3">
        <f>[1]Raw_Data!H309</f>
        <v>1</v>
      </c>
      <c r="I311" s="3" t="str">
        <f>TRIM([1]Raw_Data!I309)</f>
        <v>Canada</v>
      </c>
      <c r="J311" s="3" t="str">
        <f>TRIM([1]Raw_Data!J309)</f>
        <v>iHerb</v>
      </c>
      <c r="K311" s="3">
        <f t="shared" si="16"/>
        <v>2020</v>
      </c>
      <c r="L311" s="6">
        <f t="shared" si="17"/>
        <v>43952</v>
      </c>
      <c r="M311" s="3" t="str">
        <f t="shared" si="18"/>
        <v>16% to 20%</v>
      </c>
      <c r="N311" s="3" t="str">
        <f t="shared" si="19"/>
        <v>OK</v>
      </c>
    </row>
    <row r="312" spans="1:14" x14ac:dyDescent="0.3">
      <c r="A312" s="2">
        <f>DATE(VALUE(RIGHT(TRIM([1]Raw_Data!A310),4)),VALUE(MID(TRIM([1]Raw_Data!A310),4,2)),VALUE(LEFT(TRIM([1]Raw_Data!A310),2)))</f>
        <v>43969</v>
      </c>
      <c r="B312" s="3" t="str">
        <f>TRIM([1]Raw_Data!B310)</f>
        <v>Pre-Workout</v>
      </c>
      <c r="C312" s="3" t="str">
        <f>TRIM([1]Raw_Data!C310)</f>
        <v>Performance</v>
      </c>
      <c r="D312" s="3">
        <f>[1]Raw_Data!D310</f>
        <v>175</v>
      </c>
      <c r="E312" s="4">
        <f>[1]Raw_Data!E310</f>
        <v>26.23</v>
      </c>
      <c r="F312" s="5">
        <f>[1]Raw_Data!F310</f>
        <v>4590.25</v>
      </c>
      <c r="G312" s="4">
        <f>[1]Raw_Data!G310</f>
        <v>7.0000000000000007E-2</v>
      </c>
      <c r="H312" s="3">
        <f>[1]Raw_Data!H310</f>
        <v>1</v>
      </c>
      <c r="I312" s="3" t="str">
        <f>TRIM([1]Raw_Data!I310)</f>
        <v>Canada</v>
      </c>
      <c r="J312" s="3" t="str">
        <f>TRIM([1]Raw_Data!J310)</f>
        <v>iHerb</v>
      </c>
      <c r="K312" s="3">
        <f t="shared" si="16"/>
        <v>2020</v>
      </c>
      <c r="L312" s="6">
        <f t="shared" si="17"/>
        <v>43952</v>
      </c>
      <c r="M312" s="3" t="str">
        <f t="shared" si="18"/>
        <v>6% to 10%</v>
      </c>
      <c r="N312" s="3" t="str">
        <f t="shared" si="19"/>
        <v>OK</v>
      </c>
    </row>
    <row r="313" spans="1:14" x14ac:dyDescent="0.3">
      <c r="A313" s="2">
        <f>DATE(VALUE(RIGHT(TRIM([1]Raw_Data!A311),4)),VALUE(MID(TRIM([1]Raw_Data!A311),4,2)),VALUE(LEFT(TRIM([1]Raw_Data!A311),2)))</f>
        <v>43969</v>
      </c>
      <c r="B313" s="3" t="str">
        <f>TRIM([1]Raw_Data!B311)</f>
        <v>BCAA</v>
      </c>
      <c r="C313" s="3" t="str">
        <f>TRIM([1]Raw_Data!C311)</f>
        <v>Amino Acid</v>
      </c>
      <c r="D313" s="3">
        <f>[1]Raw_Data!D311</f>
        <v>157</v>
      </c>
      <c r="E313" s="4">
        <f>[1]Raw_Data!E311</f>
        <v>39.770000000000003</v>
      </c>
      <c r="F313" s="5">
        <f>[1]Raw_Data!F311</f>
        <v>6243.89</v>
      </c>
      <c r="G313" s="4">
        <f>[1]Raw_Data!G311</f>
        <v>7.0000000000000007E-2</v>
      </c>
      <c r="H313" s="3">
        <f>[1]Raw_Data!H311</f>
        <v>2</v>
      </c>
      <c r="I313" s="3" t="str">
        <f>TRIM([1]Raw_Data!I311)</f>
        <v>UK</v>
      </c>
      <c r="J313" s="3" t="str">
        <f>TRIM([1]Raw_Data!J311)</f>
        <v>Amazon</v>
      </c>
      <c r="K313" s="3">
        <f t="shared" si="16"/>
        <v>2020</v>
      </c>
      <c r="L313" s="6">
        <f t="shared" si="17"/>
        <v>43952</v>
      </c>
      <c r="M313" s="3" t="str">
        <f t="shared" si="18"/>
        <v>6% to 10%</v>
      </c>
      <c r="N313" s="3" t="str">
        <f t="shared" si="19"/>
        <v>OK</v>
      </c>
    </row>
    <row r="314" spans="1:14" x14ac:dyDescent="0.3">
      <c r="A314" s="2">
        <f>DATE(VALUE(RIGHT(TRIM([1]Raw_Data!A312),4)),VALUE(MID(TRIM([1]Raw_Data!A312),4,2)),VALUE(LEFT(TRIM([1]Raw_Data!A312),2)))</f>
        <v>43969</v>
      </c>
      <c r="B314" s="3" t="str">
        <f>TRIM([1]Raw_Data!B312)</f>
        <v>Creatine</v>
      </c>
      <c r="C314" s="3" t="str">
        <f>TRIM([1]Raw_Data!C312)</f>
        <v>Performance</v>
      </c>
      <c r="D314" s="3">
        <f>[1]Raw_Data!D312</f>
        <v>162</v>
      </c>
      <c r="E314" s="4">
        <f>[1]Raw_Data!E312</f>
        <v>48.04</v>
      </c>
      <c r="F314" s="5">
        <f>[1]Raw_Data!F312</f>
        <v>7782.48</v>
      </c>
      <c r="G314" s="4">
        <f>[1]Raw_Data!G312</f>
        <v>0.05</v>
      </c>
      <c r="H314" s="3">
        <f>[1]Raw_Data!H312</f>
        <v>0</v>
      </c>
      <c r="I314" s="3" t="str">
        <f>TRIM([1]Raw_Data!I312)</f>
        <v>Canada</v>
      </c>
      <c r="J314" s="3" t="str">
        <f>TRIM([1]Raw_Data!J312)</f>
        <v>Walmart</v>
      </c>
      <c r="K314" s="3">
        <f t="shared" si="16"/>
        <v>2020</v>
      </c>
      <c r="L314" s="6">
        <f t="shared" si="17"/>
        <v>43952</v>
      </c>
      <c r="M314" s="3" t="str">
        <f t="shared" si="18"/>
        <v>0% to 5%</v>
      </c>
      <c r="N314" s="3" t="str">
        <f t="shared" si="19"/>
        <v>OK</v>
      </c>
    </row>
    <row r="315" spans="1:14" x14ac:dyDescent="0.3">
      <c r="A315" s="2">
        <f>DATE(VALUE(RIGHT(TRIM([1]Raw_Data!A313),4)),VALUE(MID(TRIM([1]Raw_Data!A313),4,2)),VALUE(LEFT(TRIM([1]Raw_Data!A313),2)))</f>
        <v>43969</v>
      </c>
      <c r="B315" s="3" t="str">
        <f>TRIM([1]Raw_Data!B313)</f>
        <v>Zinc</v>
      </c>
      <c r="C315" s="3" t="str">
        <f>TRIM([1]Raw_Data!C313)</f>
        <v>Mineral</v>
      </c>
      <c r="D315" s="3">
        <f>[1]Raw_Data!D313</f>
        <v>157</v>
      </c>
      <c r="E315" s="4">
        <f>[1]Raw_Data!E313</f>
        <v>31.62</v>
      </c>
      <c r="F315" s="5">
        <f>[1]Raw_Data!F313</f>
        <v>4964.34</v>
      </c>
      <c r="G315" s="4">
        <f>[1]Raw_Data!G313</f>
        <v>0.01</v>
      </c>
      <c r="H315" s="3">
        <f>[1]Raw_Data!H313</f>
        <v>1</v>
      </c>
      <c r="I315" s="3" t="str">
        <f>TRIM([1]Raw_Data!I313)</f>
        <v>Canada</v>
      </c>
      <c r="J315" s="3" t="str">
        <f>TRIM([1]Raw_Data!J313)</f>
        <v>Amazon</v>
      </c>
      <c r="K315" s="3">
        <f t="shared" si="16"/>
        <v>2020</v>
      </c>
      <c r="L315" s="6">
        <f t="shared" si="17"/>
        <v>43952</v>
      </c>
      <c r="M315" s="3" t="str">
        <f t="shared" si="18"/>
        <v>0% to 5%</v>
      </c>
      <c r="N315" s="3" t="str">
        <f t="shared" si="19"/>
        <v>OK</v>
      </c>
    </row>
    <row r="316" spans="1:14" x14ac:dyDescent="0.3">
      <c r="A316" s="2">
        <f>DATE(VALUE(RIGHT(TRIM([1]Raw_Data!A314),4)),VALUE(MID(TRIM([1]Raw_Data!A314),4,2)),VALUE(LEFT(TRIM([1]Raw_Data!A314),2)))</f>
        <v>43969</v>
      </c>
      <c r="B316" s="3" t="str">
        <f>TRIM([1]Raw_Data!B314)</f>
        <v>Collagen Peptides</v>
      </c>
      <c r="C316" s="3" t="str">
        <f>TRIM([1]Raw_Data!C314)</f>
        <v>Protein</v>
      </c>
      <c r="D316" s="3">
        <f>[1]Raw_Data!D314</f>
        <v>140</v>
      </c>
      <c r="E316" s="4">
        <f>[1]Raw_Data!E314</f>
        <v>11.95</v>
      </c>
      <c r="F316" s="5">
        <f>[1]Raw_Data!F314</f>
        <v>1673</v>
      </c>
      <c r="G316" s="4">
        <f>[1]Raw_Data!G314</f>
        <v>0.17</v>
      </c>
      <c r="H316" s="3">
        <f>[1]Raw_Data!H314</f>
        <v>1</v>
      </c>
      <c r="I316" s="3" t="str">
        <f>TRIM([1]Raw_Data!I314)</f>
        <v>UK</v>
      </c>
      <c r="J316" s="3" t="str">
        <f>TRIM([1]Raw_Data!J314)</f>
        <v>iHerb</v>
      </c>
      <c r="K316" s="3">
        <f t="shared" si="16"/>
        <v>2020</v>
      </c>
      <c r="L316" s="6">
        <f t="shared" si="17"/>
        <v>43952</v>
      </c>
      <c r="M316" s="3" t="str">
        <f t="shared" si="18"/>
        <v>16% to 20%</v>
      </c>
      <c r="N316" s="3" t="str">
        <f t="shared" si="19"/>
        <v>OK</v>
      </c>
    </row>
    <row r="317" spans="1:14" x14ac:dyDescent="0.3">
      <c r="A317" s="2">
        <f>DATE(VALUE(RIGHT(TRIM([1]Raw_Data!A315),4)),VALUE(MID(TRIM([1]Raw_Data!A315),4,2)),VALUE(LEFT(TRIM([1]Raw_Data!A315),2)))</f>
        <v>43969</v>
      </c>
      <c r="B317" s="3" t="str">
        <f>TRIM([1]Raw_Data!B315)</f>
        <v>Magnesium</v>
      </c>
      <c r="C317" s="3" t="str">
        <f>TRIM([1]Raw_Data!C315)</f>
        <v>Mineral</v>
      </c>
      <c r="D317" s="3">
        <f>[1]Raw_Data!D315</f>
        <v>168</v>
      </c>
      <c r="E317" s="4">
        <f>[1]Raw_Data!E315</f>
        <v>26.26</v>
      </c>
      <c r="F317" s="5">
        <f>[1]Raw_Data!F315</f>
        <v>4411.68</v>
      </c>
      <c r="G317" s="4">
        <f>[1]Raw_Data!G315</f>
        <v>0.23</v>
      </c>
      <c r="H317" s="3">
        <f>[1]Raw_Data!H315</f>
        <v>6</v>
      </c>
      <c r="I317" s="3" t="str">
        <f>TRIM([1]Raw_Data!I315)</f>
        <v>Canada</v>
      </c>
      <c r="J317" s="3" t="str">
        <f>TRIM([1]Raw_Data!J315)</f>
        <v>iHerb</v>
      </c>
      <c r="K317" s="3">
        <f t="shared" si="16"/>
        <v>2020</v>
      </c>
      <c r="L317" s="6">
        <f t="shared" si="17"/>
        <v>43952</v>
      </c>
      <c r="M317" s="3" t="str">
        <f t="shared" si="18"/>
        <v>21% to 25%</v>
      </c>
      <c r="N317" s="3" t="str">
        <f t="shared" si="19"/>
        <v>OK</v>
      </c>
    </row>
    <row r="318" spans="1:14" x14ac:dyDescent="0.3">
      <c r="A318" s="2">
        <f>DATE(VALUE(RIGHT(TRIM([1]Raw_Data!A316),4)),VALUE(MID(TRIM([1]Raw_Data!A316),4,2)),VALUE(LEFT(TRIM([1]Raw_Data!A316),2)))</f>
        <v>43969</v>
      </c>
      <c r="B318" s="3" t="str">
        <f>TRIM([1]Raw_Data!B316)</f>
        <v>Ashwagandha</v>
      </c>
      <c r="C318" s="3" t="str">
        <f>TRIM([1]Raw_Data!C316)</f>
        <v>Herbal</v>
      </c>
      <c r="D318" s="3">
        <f>[1]Raw_Data!D316</f>
        <v>163</v>
      </c>
      <c r="E318" s="4">
        <f>[1]Raw_Data!E316</f>
        <v>22.45</v>
      </c>
      <c r="F318" s="5">
        <f>[1]Raw_Data!F316</f>
        <v>3659.35</v>
      </c>
      <c r="G318" s="4">
        <f>[1]Raw_Data!G316</f>
        <v>0.14000000000000001</v>
      </c>
      <c r="H318" s="3">
        <f>[1]Raw_Data!H316</f>
        <v>0</v>
      </c>
      <c r="I318" s="3" t="str">
        <f>TRIM([1]Raw_Data!I316)</f>
        <v>Canada</v>
      </c>
      <c r="J318" s="3" t="str">
        <f>TRIM([1]Raw_Data!J316)</f>
        <v>Walmart</v>
      </c>
      <c r="K318" s="3">
        <f t="shared" si="16"/>
        <v>2020</v>
      </c>
      <c r="L318" s="6">
        <f t="shared" si="17"/>
        <v>43952</v>
      </c>
      <c r="M318" s="3" t="str">
        <f t="shared" si="18"/>
        <v>11% to 15%</v>
      </c>
      <c r="N318" s="3" t="str">
        <f t="shared" si="19"/>
        <v>OK</v>
      </c>
    </row>
    <row r="319" spans="1:14" x14ac:dyDescent="0.3">
      <c r="A319" s="2">
        <f>DATE(VALUE(RIGHT(TRIM([1]Raw_Data!A317),4)),VALUE(MID(TRIM([1]Raw_Data!A317),4,2)),VALUE(LEFT(TRIM([1]Raw_Data!A317),2)))</f>
        <v>43969</v>
      </c>
      <c r="B319" s="3" t="str">
        <f>TRIM([1]Raw_Data!B317)</f>
        <v>Melatonin</v>
      </c>
      <c r="C319" s="3" t="str">
        <f>TRIM([1]Raw_Data!C317)</f>
        <v>Sleep Aid</v>
      </c>
      <c r="D319" s="3">
        <f>[1]Raw_Data!D317</f>
        <v>144</v>
      </c>
      <c r="E319" s="4">
        <f>[1]Raw_Data!E317</f>
        <v>50.33</v>
      </c>
      <c r="F319" s="5">
        <f>[1]Raw_Data!F317</f>
        <v>7247.52</v>
      </c>
      <c r="G319" s="4">
        <f>[1]Raw_Data!G317</f>
        <v>0.21</v>
      </c>
      <c r="H319" s="3">
        <f>[1]Raw_Data!H317</f>
        <v>6</v>
      </c>
      <c r="I319" s="3" t="str">
        <f>TRIM([1]Raw_Data!I317)</f>
        <v>USA</v>
      </c>
      <c r="J319" s="3" t="str">
        <f>TRIM([1]Raw_Data!J317)</f>
        <v>Amazon</v>
      </c>
      <c r="K319" s="3">
        <f t="shared" si="16"/>
        <v>2020</v>
      </c>
      <c r="L319" s="6">
        <f t="shared" si="17"/>
        <v>43952</v>
      </c>
      <c r="M319" s="3" t="str">
        <f t="shared" si="18"/>
        <v>21% to 25%</v>
      </c>
      <c r="N319" s="3" t="str">
        <f t="shared" si="19"/>
        <v>OK</v>
      </c>
    </row>
    <row r="320" spans="1:14" x14ac:dyDescent="0.3">
      <c r="A320" s="2">
        <f>DATE(VALUE(RIGHT(TRIM([1]Raw_Data!A318),4)),VALUE(MID(TRIM([1]Raw_Data!A318),4,2)),VALUE(LEFT(TRIM([1]Raw_Data!A318),2)))</f>
        <v>43969</v>
      </c>
      <c r="B320" s="3" t="str">
        <f>TRIM([1]Raw_Data!B318)</f>
        <v>Biotin</v>
      </c>
      <c r="C320" s="3" t="str">
        <f>TRIM([1]Raw_Data!C318)</f>
        <v>Vitamin</v>
      </c>
      <c r="D320" s="3">
        <f>[1]Raw_Data!D318</f>
        <v>140</v>
      </c>
      <c r="E320" s="4">
        <f>[1]Raw_Data!E318</f>
        <v>30.56</v>
      </c>
      <c r="F320" s="5">
        <f>[1]Raw_Data!F318</f>
        <v>4278.3999999999996</v>
      </c>
      <c r="G320" s="4">
        <f>[1]Raw_Data!G318</f>
        <v>0.03</v>
      </c>
      <c r="H320" s="3">
        <f>[1]Raw_Data!H318</f>
        <v>0</v>
      </c>
      <c r="I320" s="3" t="str">
        <f>TRIM([1]Raw_Data!I318)</f>
        <v>UK</v>
      </c>
      <c r="J320" s="3" t="str">
        <f>TRIM([1]Raw_Data!J318)</f>
        <v>iHerb</v>
      </c>
      <c r="K320" s="3">
        <f t="shared" si="16"/>
        <v>2020</v>
      </c>
      <c r="L320" s="6">
        <f t="shared" si="17"/>
        <v>43952</v>
      </c>
      <c r="M320" s="3" t="str">
        <f t="shared" si="18"/>
        <v>0% to 5%</v>
      </c>
      <c r="N320" s="3" t="str">
        <f t="shared" si="19"/>
        <v>OK</v>
      </c>
    </row>
    <row r="321" spans="1:14" x14ac:dyDescent="0.3">
      <c r="A321" s="2">
        <f>DATE(VALUE(RIGHT(TRIM([1]Raw_Data!A319),4)),VALUE(MID(TRIM([1]Raw_Data!A319),4,2)),VALUE(LEFT(TRIM([1]Raw_Data!A319),2)))</f>
        <v>43969</v>
      </c>
      <c r="B321" s="3" t="str">
        <f>TRIM([1]Raw_Data!B319)</f>
        <v>Green Tea Extract</v>
      </c>
      <c r="C321" s="3" t="str">
        <f>TRIM([1]Raw_Data!C319)</f>
        <v>Fat Burner</v>
      </c>
      <c r="D321" s="3">
        <f>[1]Raw_Data!D319</f>
        <v>145</v>
      </c>
      <c r="E321" s="4">
        <f>[1]Raw_Data!E319</f>
        <v>38.31</v>
      </c>
      <c r="F321" s="5">
        <f>[1]Raw_Data!F319</f>
        <v>5554.95</v>
      </c>
      <c r="G321" s="4">
        <f>[1]Raw_Data!G319</f>
        <v>0.08</v>
      </c>
      <c r="H321" s="3">
        <f>[1]Raw_Data!H319</f>
        <v>2</v>
      </c>
      <c r="I321" s="3" t="str">
        <f>TRIM([1]Raw_Data!I319)</f>
        <v>UK</v>
      </c>
      <c r="J321" s="3" t="str">
        <f>TRIM([1]Raw_Data!J319)</f>
        <v>Walmart</v>
      </c>
      <c r="K321" s="3">
        <f t="shared" si="16"/>
        <v>2020</v>
      </c>
      <c r="L321" s="6">
        <f t="shared" si="17"/>
        <v>43952</v>
      </c>
      <c r="M321" s="3" t="str">
        <f t="shared" si="18"/>
        <v>6% to 10%</v>
      </c>
      <c r="N321" s="3" t="str">
        <f t="shared" si="19"/>
        <v>OK</v>
      </c>
    </row>
    <row r="322" spans="1:14" x14ac:dyDescent="0.3">
      <c r="A322" s="2">
        <f>DATE(VALUE(RIGHT(TRIM([1]Raw_Data!A320),4)),VALUE(MID(TRIM([1]Raw_Data!A320),4,2)),VALUE(LEFT(TRIM([1]Raw_Data!A320),2)))</f>
        <v>43969</v>
      </c>
      <c r="B322" s="3" t="str">
        <f>TRIM([1]Raw_Data!B320)</f>
        <v>Iron Supplement</v>
      </c>
      <c r="C322" s="3" t="str">
        <f>TRIM([1]Raw_Data!C320)</f>
        <v>Mineral</v>
      </c>
      <c r="D322" s="3">
        <f>[1]Raw_Data!D320</f>
        <v>140</v>
      </c>
      <c r="E322" s="4">
        <f>[1]Raw_Data!E320</f>
        <v>48.22</v>
      </c>
      <c r="F322" s="5">
        <f>[1]Raw_Data!F320</f>
        <v>6750.8</v>
      </c>
      <c r="G322" s="4">
        <f>[1]Raw_Data!G320</f>
        <v>0.16</v>
      </c>
      <c r="H322" s="3">
        <f>[1]Raw_Data!H320</f>
        <v>2</v>
      </c>
      <c r="I322" s="3" t="str">
        <f>TRIM([1]Raw_Data!I320)</f>
        <v>Canada</v>
      </c>
      <c r="J322" s="3" t="str">
        <f>TRIM([1]Raw_Data!J320)</f>
        <v>Amazon</v>
      </c>
      <c r="K322" s="3">
        <f t="shared" si="16"/>
        <v>2020</v>
      </c>
      <c r="L322" s="6">
        <f t="shared" si="17"/>
        <v>43952</v>
      </c>
      <c r="M322" s="3" t="str">
        <f t="shared" si="18"/>
        <v>16% to 20%</v>
      </c>
      <c r="N322" s="3" t="str">
        <f t="shared" si="19"/>
        <v>OK</v>
      </c>
    </row>
    <row r="323" spans="1:14" x14ac:dyDescent="0.3">
      <c r="A323" s="2">
        <f>DATE(VALUE(RIGHT(TRIM([1]Raw_Data!A321),4)),VALUE(MID(TRIM([1]Raw_Data!A321),4,2)),VALUE(LEFT(TRIM([1]Raw_Data!A321),2)))</f>
        <v>43969</v>
      </c>
      <c r="B323" s="3" t="str">
        <f>TRIM([1]Raw_Data!B321)</f>
        <v>Electrolyte Powder</v>
      </c>
      <c r="C323" s="3" t="str">
        <f>TRIM([1]Raw_Data!C321)</f>
        <v>Hydration</v>
      </c>
      <c r="D323" s="3">
        <f>[1]Raw_Data!D321</f>
        <v>154</v>
      </c>
      <c r="E323" s="4">
        <f>[1]Raw_Data!E321</f>
        <v>41.23</v>
      </c>
      <c r="F323" s="5">
        <f>[1]Raw_Data!F321</f>
        <v>6349.42</v>
      </c>
      <c r="G323" s="4">
        <f>[1]Raw_Data!G321</f>
        <v>0.22</v>
      </c>
      <c r="H323" s="3">
        <f>[1]Raw_Data!H321</f>
        <v>2</v>
      </c>
      <c r="I323" s="3" t="str">
        <f>TRIM([1]Raw_Data!I321)</f>
        <v>USA</v>
      </c>
      <c r="J323" s="3" t="str">
        <f>TRIM([1]Raw_Data!J321)</f>
        <v>iHerb</v>
      </c>
      <c r="K323" s="3">
        <f t="shared" si="16"/>
        <v>2020</v>
      </c>
      <c r="L323" s="6">
        <f t="shared" si="17"/>
        <v>43952</v>
      </c>
      <c r="M323" s="3" t="str">
        <f t="shared" si="18"/>
        <v>21% to 25%</v>
      </c>
      <c r="N323" s="3" t="str">
        <f t="shared" si="19"/>
        <v>OK</v>
      </c>
    </row>
    <row r="324" spans="1:14" x14ac:dyDescent="0.3">
      <c r="A324" s="2">
        <f>DATE(VALUE(RIGHT(TRIM([1]Raw_Data!A322),4)),VALUE(MID(TRIM([1]Raw_Data!A322),4,2)),VALUE(LEFT(TRIM([1]Raw_Data!A322),2)))</f>
        <v>43976</v>
      </c>
      <c r="B324" s="3" t="str">
        <f>TRIM([1]Raw_Data!B322)</f>
        <v>Whey Protein</v>
      </c>
      <c r="C324" s="3" t="str">
        <f>TRIM([1]Raw_Data!C322)</f>
        <v>Protein</v>
      </c>
      <c r="D324" s="3">
        <f>[1]Raw_Data!D322</f>
        <v>160</v>
      </c>
      <c r="E324" s="4">
        <f>[1]Raw_Data!E322</f>
        <v>45.37</v>
      </c>
      <c r="F324" s="5">
        <f>[1]Raw_Data!F322</f>
        <v>7259.2</v>
      </c>
      <c r="G324" s="4">
        <f>[1]Raw_Data!G322</f>
        <v>0.1</v>
      </c>
      <c r="H324" s="3">
        <f>[1]Raw_Data!H322</f>
        <v>1</v>
      </c>
      <c r="I324" s="3" t="str">
        <f>TRIM([1]Raw_Data!I322)</f>
        <v>UK</v>
      </c>
      <c r="J324" s="3" t="str">
        <f>TRIM([1]Raw_Data!J322)</f>
        <v>Amazon</v>
      </c>
      <c r="K324" s="3">
        <f t="shared" ref="K324:K387" si="20">YEAR(A324)</f>
        <v>2020</v>
      </c>
      <c r="L324" s="6">
        <f t="shared" ref="L324:L387" si="21">DATE(YEAR(A324),MONTH(A324),1)</f>
        <v>43952</v>
      </c>
      <c r="M324" s="3" t="str">
        <f t="shared" ref="M324:M387" si="22">IF(ROUND(G324*100,0)&lt;=5,"0% to 5%",IF(ROUND(G324*100,0)&lt;=10,"6% to 10%",IF(ROUND(G324*100,0)&lt;=15,"11% to 15%",IF(ROUND(G324*100,0)&lt;=20,"16% to 20%","21% to 25%"))))</f>
        <v>6% to 10%</v>
      </c>
      <c r="N324" s="3" t="str">
        <f t="shared" ref="N324:N387" si="23">IF(ROUND(D324*E324,2)=ROUND(F324,2),"OK","Check")</f>
        <v>OK</v>
      </c>
    </row>
    <row r="325" spans="1:14" x14ac:dyDescent="0.3">
      <c r="A325" s="2">
        <f>DATE(VALUE(RIGHT(TRIM([1]Raw_Data!A323),4)),VALUE(MID(TRIM([1]Raw_Data!A323),4,2)),VALUE(LEFT(TRIM([1]Raw_Data!A323),2)))</f>
        <v>43976</v>
      </c>
      <c r="B325" s="3" t="str">
        <f>TRIM([1]Raw_Data!B323)</f>
        <v>Vitamin C</v>
      </c>
      <c r="C325" s="3" t="str">
        <f>TRIM([1]Raw_Data!C323)</f>
        <v>Vitamin</v>
      </c>
      <c r="D325" s="3">
        <f>[1]Raw_Data!D323</f>
        <v>153</v>
      </c>
      <c r="E325" s="4">
        <f>[1]Raw_Data!E323</f>
        <v>56.46</v>
      </c>
      <c r="F325" s="5">
        <f>[1]Raw_Data!F323</f>
        <v>8638.3799999999992</v>
      </c>
      <c r="G325" s="4">
        <f>[1]Raw_Data!G323</f>
        <v>0.09</v>
      </c>
      <c r="H325" s="3">
        <f>[1]Raw_Data!H323</f>
        <v>1</v>
      </c>
      <c r="I325" s="3" t="str">
        <f>TRIM([1]Raw_Data!I323)</f>
        <v>UK</v>
      </c>
      <c r="J325" s="3" t="str">
        <f>TRIM([1]Raw_Data!J323)</f>
        <v>iHerb</v>
      </c>
      <c r="K325" s="3">
        <f t="shared" si="20"/>
        <v>2020</v>
      </c>
      <c r="L325" s="6">
        <f t="shared" si="21"/>
        <v>43952</v>
      </c>
      <c r="M325" s="3" t="str">
        <f t="shared" si="22"/>
        <v>6% to 10%</v>
      </c>
      <c r="N325" s="3" t="str">
        <f t="shared" si="23"/>
        <v>OK</v>
      </c>
    </row>
    <row r="326" spans="1:14" x14ac:dyDescent="0.3">
      <c r="A326" s="2">
        <f>DATE(VALUE(RIGHT(TRIM([1]Raw_Data!A324),4)),VALUE(MID(TRIM([1]Raw_Data!A324),4,2)),VALUE(LEFT(TRIM([1]Raw_Data!A324),2)))</f>
        <v>43976</v>
      </c>
      <c r="B326" s="3" t="str">
        <f>TRIM([1]Raw_Data!B324)</f>
        <v>Fish Oil</v>
      </c>
      <c r="C326" s="3" t="str">
        <f>TRIM([1]Raw_Data!C324)</f>
        <v>Omega</v>
      </c>
      <c r="D326" s="3">
        <f>[1]Raw_Data!D324</f>
        <v>162</v>
      </c>
      <c r="E326" s="4">
        <f>[1]Raw_Data!E324</f>
        <v>39.659999999999997</v>
      </c>
      <c r="F326" s="5">
        <f>[1]Raw_Data!F324</f>
        <v>6424.92</v>
      </c>
      <c r="G326" s="4">
        <f>[1]Raw_Data!G324</f>
        <v>0.01</v>
      </c>
      <c r="H326" s="3">
        <f>[1]Raw_Data!H324</f>
        <v>1</v>
      </c>
      <c r="I326" s="3" t="str">
        <f>TRIM([1]Raw_Data!I324)</f>
        <v>Canada</v>
      </c>
      <c r="J326" s="3" t="str">
        <f>TRIM([1]Raw_Data!J324)</f>
        <v>Amazon</v>
      </c>
      <c r="K326" s="3">
        <f t="shared" si="20"/>
        <v>2020</v>
      </c>
      <c r="L326" s="6">
        <f t="shared" si="21"/>
        <v>43952</v>
      </c>
      <c r="M326" s="3" t="str">
        <f t="shared" si="22"/>
        <v>0% to 5%</v>
      </c>
      <c r="N326" s="3" t="str">
        <f t="shared" si="23"/>
        <v>OK</v>
      </c>
    </row>
    <row r="327" spans="1:14" x14ac:dyDescent="0.3">
      <c r="A327" s="2">
        <f>DATE(VALUE(RIGHT(TRIM([1]Raw_Data!A325),4)),VALUE(MID(TRIM([1]Raw_Data!A325),4,2)),VALUE(LEFT(TRIM([1]Raw_Data!A325),2)))</f>
        <v>43976</v>
      </c>
      <c r="B327" s="3" t="str">
        <f>TRIM([1]Raw_Data!B325)</f>
        <v>Multivitamin</v>
      </c>
      <c r="C327" s="3" t="str">
        <f>TRIM([1]Raw_Data!C325)</f>
        <v>Vitamin</v>
      </c>
      <c r="D327" s="3">
        <f>[1]Raw_Data!D325</f>
        <v>156</v>
      </c>
      <c r="E327" s="4">
        <f>[1]Raw_Data!E325</f>
        <v>28.66</v>
      </c>
      <c r="F327" s="5">
        <f>[1]Raw_Data!F325</f>
        <v>4470.96</v>
      </c>
      <c r="G327" s="4">
        <f>[1]Raw_Data!G325</f>
        <v>0.24</v>
      </c>
      <c r="H327" s="3">
        <f>[1]Raw_Data!H325</f>
        <v>0</v>
      </c>
      <c r="I327" s="3" t="str">
        <f>TRIM([1]Raw_Data!I325)</f>
        <v>UK</v>
      </c>
      <c r="J327" s="3" t="str">
        <f>TRIM([1]Raw_Data!J325)</f>
        <v>Amazon</v>
      </c>
      <c r="K327" s="3">
        <f t="shared" si="20"/>
        <v>2020</v>
      </c>
      <c r="L327" s="6">
        <f t="shared" si="21"/>
        <v>43952</v>
      </c>
      <c r="M327" s="3" t="str">
        <f t="shared" si="22"/>
        <v>21% to 25%</v>
      </c>
      <c r="N327" s="3" t="str">
        <f t="shared" si="23"/>
        <v>OK</v>
      </c>
    </row>
    <row r="328" spans="1:14" x14ac:dyDescent="0.3">
      <c r="A328" s="2">
        <f>DATE(VALUE(RIGHT(TRIM([1]Raw_Data!A326),4)),VALUE(MID(TRIM([1]Raw_Data!A326),4,2)),VALUE(LEFT(TRIM([1]Raw_Data!A326),2)))</f>
        <v>43976</v>
      </c>
      <c r="B328" s="3" t="str">
        <f>TRIM([1]Raw_Data!B326)</f>
        <v>Pre-Workout</v>
      </c>
      <c r="C328" s="3" t="str">
        <f>TRIM([1]Raw_Data!C326)</f>
        <v>Performance</v>
      </c>
      <c r="D328" s="3">
        <f>[1]Raw_Data!D326</f>
        <v>150</v>
      </c>
      <c r="E328" s="4">
        <f>[1]Raw_Data!E326</f>
        <v>44.86</v>
      </c>
      <c r="F328" s="5">
        <f>[1]Raw_Data!F326</f>
        <v>6729</v>
      </c>
      <c r="G328" s="4">
        <f>[1]Raw_Data!G326</f>
        <v>0.16</v>
      </c>
      <c r="H328" s="3">
        <f>[1]Raw_Data!H326</f>
        <v>1</v>
      </c>
      <c r="I328" s="3" t="str">
        <f>TRIM([1]Raw_Data!I326)</f>
        <v>Canada</v>
      </c>
      <c r="J328" s="3" t="str">
        <f>TRIM([1]Raw_Data!J326)</f>
        <v>Amazon</v>
      </c>
      <c r="K328" s="3">
        <f t="shared" si="20"/>
        <v>2020</v>
      </c>
      <c r="L328" s="6">
        <f t="shared" si="21"/>
        <v>43952</v>
      </c>
      <c r="M328" s="3" t="str">
        <f t="shared" si="22"/>
        <v>16% to 20%</v>
      </c>
      <c r="N328" s="3" t="str">
        <f t="shared" si="23"/>
        <v>OK</v>
      </c>
    </row>
    <row r="329" spans="1:14" x14ac:dyDescent="0.3">
      <c r="A329" s="2">
        <f>DATE(VALUE(RIGHT(TRIM([1]Raw_Data!A327),4)),VALUE(MID(TRIM([1]Raw_Data!A327),4,2)),VALUE(LEFT(TRIM([1]Raw_Data!A327),2)))</f>
        <v>43976</v>
      </c>
      <c r="B329" s="3" t="str">
        <f>TRIM([1]Raw_Data!B327)</f>
        <v>BCAA</v>
      </c>
      <c r="C329" s="3" t="str">
        <f>TRIM([1]Raw_Data!C327)</f>
        <v>Amino Acid</v>
      </c>
      <c r="D329" s="3">
        <f>[1]Raw_Data!D327</f>
        <v>136</v>
      </c>
      <c r="E329" s="4">
        <f>[1]Raw_Data!E327</f>
        <v>39.97</v>
      </c>
      <c r="F329" s="5">
        <f>[1]Raw_Data!F327</f>
        <v>5435.92</v>
      </c>
      <c r="G329" s="4">
        <f>[1]Raw_Data!G327</f>
        <v>0.04</v>
      </c>
      <c r="H329" s="3">
        <f>[1]Raw_Data!H327</f>
        <v>2</v>
      </c>
      <c r="I329" s="3" t="str">
        <f>TRIM([1]Raw_Data!I327)</f>
        <v>Canada</v>
      </c>
      <c r="J329" s="3" t="str">
        <f>TRIM([1]Raw_Data!J327)</f>
        <v>Walmart</v>
      </c>
      <c r="K329" s="3">
        <f t="shared" si="20"/>
        <v>2020</v>
      </c>
      <c r="L329" s="6">
        <f t="shared" si="21"/>
        <v>43952</v>
      </c>
      <c r="M329" s="3" t="str">
        <f t="shared" si="22"/>
        <v>0% to 5%</v>
      </c>
      <c r="N329" s="3" t="str">
        <f t="shared" si="23"/>
        <v>OK</v>
      </c>
    </row>
    <row r="330" spans="1:14" x14ac:dyDescent="0.3">
      <c r="A330" s="2">
        <f>DATE(VALUE(RIGHT(TRIM([1]Raw_Data!A328),4)),VALUE(MID(TRIM([1]Raw_Data!A328),4,2)),VALUE(LEFT(TRIM([1]Raw_Data!A328),2)))</f>
        <v>43976</v>
      </c>
      <c r="B330" s="3" t="str">
        <f>TRIM([1]Raw_Data!B328)</f>
        <v>Creatine</v>
      </c>
      <c r="C330" s="3" t="str">
        <f>TRIM([1]Raw_Data!C328)</f>
        <v>Performance</v>
      </c>
      <c r="D330" s="3">
        <f>[1]Raw_Data!D328</f>
        <v>148</v>
      </c>
      <c r="E330" s="4">
        <f>[1]Raw_Data!E328</f>
        <v>51.87</v>
      </c>
      <c r="F330" s="5">
        <f>[1]Raw_Data!F328</f>
        <v>7676.76</v>
      </c>
      <c r="G330" s="4">
        <f>[1]Raw_Data!G328</f>
        <v>0.04</v>
      </c>
      <c r="H330" s="3">
        <f>[1]Raw_Data!H328</f>
        <v>0</v>
      </c>
      <c r="I330" s="3" t="str">
        <f>TRIM([1]Raw_Data!I328)</f>
        <v>UK</v>
      </c>
      <c r="J330" s="3" t="str">
        <f>TRIM([1]Raw_Data!J328)</f>
        <v>iHerb</v>
      </c>
      <c r="K330" s="3">
        <f t="shared" si="20"/>
        <v>2020</v>
      </c>
      <c r="L330" s="6">
        <f t="shared" si="21"/>
        <v>43952</v>
      </c>
      <c r="M330" s="3" t="str">
        <f t="shared" si="22"/>
        <v>0% to 5%</v>
      </c>
      <c r="N330" s="3" t="str">
        <f t="shared" si="23"/>
        <v>OK</v>
      </c>
    </row>
    <row r="331" spans="1:14" x14ac:dyDescent="0.3">
      <c r="A331" s="2">
        <f>DATE(VALUE(RIGHT(TRIM([1]Raw_Data!A329),4)),VALUE(MID(TRIM([1]Raw_Data!A329),4,2)),VALUE(LEFT(TRIM([1]Raw_Data!A329),2)))</f>
        <v>43976</v>
      </c>
      <c r="B331" s="3" t="str">
        <f>TRIM([1]Raw_Data!B329)</f>
        <v>Zinc</v>
      </c>
      <c r="C331" s="3" t="str">
        <f>TRIM([1]Raw_Data!C329)</f>
        <v>Mineral</v>
      </c>
      <c r="D331" s="3">
        <f>[1]Raw_Data!D329</f>
        <v>161</v>
      </c>
      <c r="E331" s="4">
        <f>[1]Raw_Data!E329</f>
        <v>44.98</v>
      </c>
      <c r="F331" s="5">
        <f>[1]Raw_Data!F329</f>
        <v>7241.78</v>
      </c>
      <c r="G331" s="4">
        <f>[1]Raw_Data!G329</f>
        <v>0.21</v>
      </c>
      <c r="H331" s="3">
        <f>[1]Raw_Data!H329</f>
        <v>3</v>
      </c>
      <c r="I331" s="3" t="str">
        <f>TRIM([1]Raw_Data!I329)</f>
        <v>UK</v>
      </c>
      <c r="J331" s="3" t="str">
        <f>TRIM([1]Raw_Data!J329)</f>
        <v>Amazon</v>
      </c>
      <c r="K331" s="3">
        <f t="shared" si="20"/>
        <v>2020</v>
      </c>
      <c r="L331" s="6">
        <f t="shared" si="21"/>
        <v>43952</v>
      </c>
      <c r="M331" s="3" t="str">
        <f t="shared" si="22"/>
        <v>21% to 25%</v>
      </c>
      <c r="N331" s="3" t="str">
        <f t="shared" si="23"/>
        <v>OK</v>
      </c>
    </row>
    <row r="332" spans="1:14" x14ac:dyDescent="0.3">
      <c r="A332" s="2">
        <f>DATE(VALUE(RIGHT(TRIM([1]Raw_Data!A330),4)),VALUE(MID(TRIM([1]Raw_Data!A330),4,2)),VALUE(LEFT(TRIM([1]Raw_Data!A330),2)))</f>
        <v>43976</v>
      </c>
      <c r="B332" s="3" t="str">
        <f>TRIM([1]Raw_Data!B330)</f>
        <v>Collagen Peptides</v>
      </c>
      <c r="C332" s="3" t="str">
        <f>TRIM([1]Raw_Data!C330)</f>
        <v>Protein</v>
      </c>
      <c r="D332" s="3">
        <f>[1]Raw_Data!D330</f>
        <v>150</v>
      </c>
      <c r="E332" s="4">
        <f>[1]Raw_Data!E330</f>
        <v>17.68</v>
      </c>
      <c r="F332" s="5">
        <f>[1]Raw_Data!F330</f>
        <v>2652</v>
      </c>
      <c r="G332" s="4">
        <f>[1]Raw_Data!G330</f>
        <v>0.14000000000000001</v>
      </c>
      <c r="H332" s="3">
        <f>[1]Raw_Data!H330</f>
        <v>1</v>
      </c>
      <c r="I332" s="3" t="str">
        <f>TRIM([1]Raw_Data!I330)</f>
        <v>UK</v>
      </c>
      <c r="J332" s="3" t="str">
        <f>TRIM([1]Raw_Data!J330)</f>
        <v>Amazon</v>
      </c>
      <c r="K332" s="3">
        <f t="shared" si="20"/>
        <v>2020</v>
      </c>
      <c r="L332" s="6">
        <f t="shared" si="21"/>
        <v>43952</v>
      </c>
      <c r="M332" s="3" t="str">
        <f t="shared" si="22"/>
        <v>11% to 15%</v>
      </c>
      <c r="N332" s="3" t="str">
        <f t="shared" si="23"/>
        <v>OK</v>
      </c>
    </row>
    <row r="333" spans="1:14" x14ac:dyDescent="0.3">
      <c r="A333" s="2">
        <f>DATE(VALUE(RIGHT(TRIM([1]Raw_Data!A331),4)),VALUE(MID(TRIM([1]Raw_Data!A331),4,2)),VALUE(LEFT(TRIM([1]Raw_Data!A331),2)))</f>
        <v>43976</v>
      </c>
      <c r="B333" s="3" t="str">
        <f>TRIM([1]Raw_Data!B331)</f>
        <v>Magnesium</v>
      </c>
      <c r="C333" s="3" t="str">
        <f>TRIM([1]Raw_Data!C331)</f>
        <v>Mineral</v>
      </c>
      <c r="D333" s="3">
        <f>[1]Raw_Data!D331</f>
        <v>171</v>
      </c>
      <c r="E333" s="4">
        <f>[1]Raw_Data!E331</f>
        <v>39.64</v>
      </c>
      <c r="F333" s="5">
        <f>[1]Raw_Data!F331</f>
        <v>6778.44</v>
      </c>
      <c r="G333" s="4">
        <f>[1]Raw_Data!G331</f>
        <v>0.09</v>
      </c>
      <c r="H333" s="3">
        <f>[1]Raw_Data!H331</f>
        <v>0</v>
      </c>
      <c r="I333" s="3" t="str">
        <f>TRIM([1]Raw_Data!I331)</f>
        <v>Canada</v>
      </c>
      <c r="J333" s="3" t="str">
        <f>TRIM([1]Raw_Data!J331)</f>
        <v>Walmart</v>
      </c>
      <c r="K333" s="3">
        <f t="shared" si="20"/>
        <v>2020</v>
      </c>
      <c r="L333" s="6">
        <f t="shared" si="21"/>
        <v>43952</v>
      </c>
      <c r="M333" s="3" t="str">
        <f t="shared" si="22"/>
        <v>6% to 10%</v>
      </c>
      <c r="N333" s="3" t="str">
        <f t="shared" si="23"/>
        <v>OK</v>
      </c>
    </row>
    <row r="334" spans="1:14" x14ac:dyDescent="0.3">
      <c r="A334" s="2">
        <f>DATE(VALUE(RIGHT(TRIM([1]Raw_Data!A332),4)),VALUE(MID(TRIM([1]Raw_Data!A332),4,2)),VALUE(LEFT(TRIM([1]Raw_Data!A332),2)))</f>
        <v>43976</v>
      </c>
      <c r="B334" s="3" t="str">
        <f>TRIM([1]Raw_Data!B332)</f>
        <v>Ashwagandha</v>
      </c>
      <c r="C334" s="3" t="str">
        <f>TRIM([1]Raw_Data!C332)</f>
        <v>Herbal</v>
      </c>
      <c r="D334" s="3">
        <f>[1]Raw_Data!D332</f>
        <v>129</v>
      </c>
      <c r="E334" s="4">
        <f>[1]Raw_Data!E332</f>
        <v>54.05</v>
      </c>
      <c r="F334" s="5">
        <f>[1]Raw_Data!F332</f>
        <v>6972.45</v>
      </c>
      <c r="G334" s="4">
        <f>[1]Raw_Data!G332</f>
        <v>0.22</v>
      </c>
      <c r="H334" s="3">
        <f>[1]Raw_Data!H332</f>
        <v>2</v>
      </c>
      <c r="I334" s="3" t="str">
        <f>TRIM([1]Raw_Data!I332)</f>
        <v>USA</v>
      </c>
      <c r="J334" s="3" t="str">
        <f>TRIM([1]Raw_Data!J332)</f>
        <v>iHerb</v>
      </c>
      <c r="K334" s="3">
        <f t="shared" si="20"/>
        <v>2020</v>
      </c>
      <c r="L334" s="6">
        <f t="shared" si="21"/>
        <v>43952</v>
      </c>
      <c r="M334" s="3" t="str">
        <f t="shared" si="22"/>
        <v>21% to 25%</v>
      </c>
      <c r="N334" s="3" t="str">
        <f t="shared" si="23"/>
        <v>OK</v>
      </c>
    </row>
    <row r="335" spans="1:14" x14ac:dyDescent="0.3">
      <c r="A335" s="2">
        <f>DATE(VALUE(RIGHT(TRIM([1]Raw_Data!A333),4)),VALUE(MID(TRIM([1]Raw_Data!A333),4,2)),VALUE(LEFT(TRIM([1]Raw_Data!A333),2)))</f>
        <v>43976</v>
      </c>
      <c r="B335" s="3" t="str">
        <f>TRIM([1]Raw_Data!B333)</f>
        <v>Melatonin</v>
      </c>
      <c r="C335" s="3" t="str">
        <f>TRIM([1]Raw_Data!C333)</f>
        <v>Sleep Aid</v>
      </c>
      <c r="D335" s="3">
        <f>[1]Raw_Data!D333</f>
        <v>139</v>
      </c>
      <c r="E335" s="4">
        <f>[1]Raw_Data!E333</f>
        <v>54.3</v>
      </c>
      <c r="F335" s="5">
        <f>[1]Raw_Data!F333</f>
        <v>7547.7</v>
      </c>
      <c r="G335" s="4">
        <f>[1]Raw_Data!G333</f>
        <v>0.05</v>
      </c>
      <c r="H335" s="3">
        <f>[1]Raw_Data!H333</f>
        <v>2</v>
      </c>
      <c r="I335" s="3" t="str">
        <f>TRIM([1]Raw_Data!I333)</f>
        <v>USA</v>
      </c>
      <c r="J335" s="3" t="str">
        <f>TRIM([1]Raw_Data!J333)</f>
        <v>Amazon</v>
      </c>
      <c r="K335" s="3">
        <f t="shared" si="20"/>
        <v>2020</v>
      </c>
      <c r="L335" s="6">
        <f t="shared" si="21"/>
        <v>43952</v>
      </c>
      <c r="M335" s="3" t="str">
        <f t="shared" si="22"/>
        <v>0% to 5%</v>
      </c>
      <c r="N335" s="3" t="str">
        <f t="shared" si="23"/>
        <v>OK</v>
      </c>
    </row>
    <row r="336" spans="1:14" x14ac:dyDescent="0.3">
      <c r="A336" s="2">
        <f>DATE(VALUE(RIGHT(TRIM([1]Raw_Data!A334),4)),VALUE(MID(TRIM([1]Raw_Data!A334),4,2)),VALUE(LEFT(TRIM([1]Raw_Data!A334),2)))</f>
        <v>43976</v>
      </c>
      <c r="B336" s="3" t="str">
        <f>TRIM([1]Raw_Data!B334)</f>
        <v>Biotin</v>
      </c>
      <c r="C336" s="3" t="str">
        <f>TRIM([1]Raw_Data!C334)</f>
        <v>Vitamin</v>
      </c>
      <c r="D336" s="3">
        <f>[1]Raw_Data!D334</f>
        <v>142</v>
      </c>
      <c r="E336" s="4">
        <f>[1]Raw_Data!E334</f>
        <v>59.86</v>
      </c>
      <c r="F336" s="5">
        <f>[1]Raw_Data!F334</f>
        <v>8500.1200000000008</v>
      </c>
      <c r="G336" s="4">
        <f>[1]Raw_Data!G334</f>
        <v>0.01</v>
      </c>
      <c r="H336" s="3">
        <f>[1]Raw_Data!H334</f>
        <v>3</v>
      </c>
      <c r="I336" s="3" t="str">
        <f>TRIM([1]Raw_Data!I334)</f>
        <v>UK</v>
      </c>
      <c r="J336" s="3" t="str">
        <f>TRIM([1]Raw_Data!J334)</f>
        <v>iHerb</v>
      </c>
      <c r="K336" s="3">
        <f t="shared" si="20"/>
        <v>2020</v>
      </c>
      <c r="L336" s="6">
        <f t="shared" si="21"/>
        <v>43952</v>
      </c>
      <c r="M336" s="3" t="str">
        <f t="shared" si="22"/>
        <v>0% to 5%</v>
      </c>
      <c r="N336" s="3" t="str">
        <f t="shared" si="23"/>
        <v>OK</v>
      </c>
    </row>
    <row r="337" spans="1:14" x14ac:dyDescent="0.3">
      <c r="A337" s="2">
        <f>DATE(VALUE(RIGHT(TRIM([1]Raw_Data!A335),4)),VALUE(MID(TRIM([1]Raw_Data!A335),4,2)),VALUE(LEFT(TRIM([1]Raw_Data!A335),2)))</f>
        <v>43976</v>
      </c>
      <c r="B337" s="3" t="str">
        <f>TRIM([1]Raw_Data!B335)</f>
        <v>Green Tea Extract</v>
      </c>
      <c r="C337" s="3" t="str">
        <f>TRIM([1]Raw_Data!C335)</f>
        <v>Fat Burner</v>
      </c>
      <c r="D337" s="3">
        <f>[1]Raw_Data!D335</f>
        <v>149</v>
      </c>
      <c r="E337" s="4">
        <f>[1]Raw_Data!E335</f>
        <v>13.12</v>
      </c>
      <c r="F337" s="5">
        <f>[1]Raw_Data!F335</f>
        <v>1954.88</v>
      </c>
      <c r="G337" s="4">
        <f>[1]Raw_Data!G335</f>
        <v>0.08</v>
      </c>
      <c r="H337" s="3">
        <f>[1]Raw_Data!H335</f>
        <v>0</v>
      </c>
      <c r="I337" s="3" t="str">
        <f>TRIM([1]Raw_Data!I335)</f>
        <v>UK</v>
      </c>
      <c r="J337" s="3" t="str">
        <f>TRIM([1]Raw_Data!J335)</f>
        <v>Walmart</v>
      </c>
      <c r="K337" s="3">
        <f t="shared" si="20"/>
        <v>2020</v>
      </c>
      <c r="L337" s="6">
        <f t="shared" si="21"/>
        <v>43952</v>
      </c>
      <c r="M337" s="3" t="str">
        <f t="shared" si="22"/>
        <v>6% to 10%</v>
      </c>
      <c r="N337" s="3" t="str">
        <f t="shared" si="23"/>
        <v>OK</v>
      </c>
    </row>
    <row r="338" spans="1:14" x14ac:dyDescent="0.3">
      <c r="A338" s="2">
        <f>DATE(VALUE(RIGHT(TRIM([1]Raw_Data!A336),4)),VALUE(MID(TRIM([1]Raw_Data!A336),4,2)),VALUE(LEFT(TRIM([1]Raw_Data!A336),2)))</f>
        <v>43976</v>
      </c>
      <c r="B338" s="3" t="str">
        <f>TRIM([1]Raw_Data!B336)</f>
        <v>Iron Supplement</v>
      </c>
      <c r="C338" s="3" t="str">
        <f>TRIM([1]Raw_Data!C336)</f>
        <v>Mineral</v>
      </c>
      <c r="D338" s="3">
        <f>[1]Raw_Data!D336</f>
        <v>130</v>
      </c>
      <c r="E338" s="4">
        <f>[1]Raw_Data!E336</f>
        <v>13.55</v>
      </c>
      <c r="F338" s="5">
        <f>[1]Raw_Data!F336</f>
        <v>1761.5</v>
      </c>
      <c r="G338" s="4">
        <f>[1]Raw_Data!G336</f>
        <v>0.05</v>
      </c>
      <c r="H338" s="3">
        <f>[1]Raw_Data!H336</f>
        <v>0</v>
      </c>
      <c r="I338" s="3" t="str">
        <f>TRIM([1]Raw_Data!I336)</f>
        <v>Canada</v>
      </c>
      <c r="J338" s="3" t="str">
        <f>TRIM([1]Raw_Data!J336)</f>
        <v>Amazon</v>
      </c>
      <c r="K338" s="3">
        <f t="shared" si="20"/>
        <v>2020</v>
      </c>
      <c r="L338" s="6">
        <f t="shared" si="21"/>
        <v>43952</v>
      </c>
      <c r="M338" s="3" t="str">
        <f t="shared" si="22"/>
        <v>0% to 5%</v>
      </c>
      <c r="N338" s="3" t="str">
        <f t="shared" si="23"/>
        <v>OK</v>
      </c>
    </row>
    <row r="339" spans="1:14" x14ac:dyDescent="0.3">
      <c r="A339" s="2">
        <f>DATE(VALUE(RIGHT(TRIM([1]Raw_Data!A337),4)),VALUE(MID(TRIM([1]Raw_Data!A337),4,2)),VALUE(LEFT(TRIM([1]Raw_Data!A337),2)))</f>
        <v>43976</v>
      </c>
      <c r="B339" s="3" t="str">
        <f>TRIM([1]Raw_Data!B337)</f>
        <v>Electrolyte Powder</v>
      </c>
      <c r="C339" s="3" t="str">
        <f>TRIM([1]Raw_Data!C337)</f>
        <v>Hydration</v>
      </c>
      <c r="D339" s="3">
        <f>[1]Raw_Data!D337</f>
        <v>149</v>
      </c>
      <c r="E339" s="4">
        <f>[1]Raw_Data!E337</f>
        <v>15.05</v>
      </c>
      <c r="F339" s="5">
        <f>[1]Raw_Data!F337</f>
        <v>2242.4499999999998</v>
      </c>
      <c r="G339" s="4">
        <f>[1]Raw_Data!G337</f>
        <v>0.04</v>
      </c>
      <c r="H339" s="3">
        <f>[1]Raw_Data!H337</f>
        <v>0</v>
      </c>
      <c r="I339" s="3" t="str">
        <f>TRIM([1]Raw_Data!I337)</f>
        <v>UK</v>
      </c>
      <c r="J339" s="3" t="str">
        <f>TRIM([1]Raw_Data!J337)</f>
        <v>Amazon</v>
      </c>
      <c r="K339" s="3">
        <f t="shared" si="20"/>
        <v>2020</v>
      </c>
      <c r="L339" s="6">
        <f t="shared" si="21"/>
        <v>43952</v>
      </c>
      <c r="M339" s="3" t="str">
        <f t="shared" si="22"/>
        <v>0% to 5%</v>
      </c>
      <c r="N339" s="3" t="str">
        <f t="shared" si="23"/>
        <v>OK</v>
      </c>
    </row>
    <row r="340" spans="1:14" x14ac:dyDescent="0.3">
      <c r="A340" s="2">
        <f>DATE(VALUE(RIGHT(TRIM([1]Raw_Data!A338),4)),VALUE(MID(TRIM([1]Raw_Data!A338),4,2)),VALUE(LEFT(TRIM([1]Raw_Data!A338),2)))</f>
        <v>43983</v>
      </c>
      <c r="B340" s="3" t="str">
        <f>TRIM([1]Raw_Data!B338)</f>
        <v>Whey Protein</v>
      </c>
      <c r="C340" s="3" t="str">
        <f>TRIM([1]Raw_Data!C338)</f>
        <v>Protein</v>
      </c>
      <c r="D340" s="3">
        <f>[1]Raw_Data!D338</f>
        <v>142</v>
      </c>
      <c r="E340" s="4">
        <f>[1]Raw_Data!E338</f>
        <v>26.31</v>
      </c>
      <c r="F340" s="5">
        <f>[1]Raw_Data!F338</f>
        <v>3736.02</v>
      </c>
      <c r="G340" s="4">
        <f>[1]Raw_Data!G338</f>
        <v>7.0000000000000007E-2</v>
      </c>
      <c r="H340" s="3">
        <f>[1]Raw_Data!H338</f>
        <v>0</v>
      </c>
      <c r="I340" s="3" t="str">
        <f>TRIM([1]Raw_Data!I338)</f>
        <v>USA</v>
      </c>
      <c r="J340" s="3" t="str">
        <f>TRIM([1]Raw_Data!J338)</f>
        <v>iHerb</v>
      </c>
      <c r="K340" s="3">
        <f t="shared" si="20"/>
        <v>2020</v>
      </c>
      <c r="L340" s="6">
        <f t="shared" si="21"/>
        <v>43983</v>
      </c>
      <c r="M340" s="3" t="str">
        <f t="shared" si="22"/>
        <v>6% to 10%</v>
      </c>
      <c r="N340" s="3" t="str">
        <f t="shared" si="23"/>
        <v>OK</v>
      </c>
    </row>
    <row r="341" spans="1:14" x14ac:dyDescent="0.3">
      <c r="A341" s="2">
        <f>DATE(VALUE(RIGHT(TRIM([1]Raw_Data!A339),4)),VALUE(MID(TRIM([1]Raw_Data!A339),4,2)),VALUE(LEFT(TRIM([1]Raw_Data!A339),2)))</f>
        <v>43983</v>
      </c>
      <c r="B341" s="3" t="str">
        <f>TRIM([1]Raw_Data!B339)</f>
        <v>Vitamin C</v>
      </c>
      <c r="C341" s="3" t="str">
        <f>TRIM([1]Raw_Data!C339)</f>
        <v>Vitamin</v>
      </c>
      <c r="D341" s="3">
        <f>[1]Raw_Data!D339</f>
        <v>134</v>
      </c>
      <c r="E341" s="4">
        <f>[1]Raw_Data!E339</f>
        <v>27.77</v>
      </c>
      <c r="F341" s="5">
        <f>[1]Raw_Data!F339</f>
        <v>3721.18</v>
      </c>
      <c r="G341" s="4">
        <f>[1]Raw_Data!G339</f>
        <v>0.17</v>
      </c>
      <c r="H341" s="3">
        <f>[1]Raw_Data!H339</f>
        <v>0</v>
      </c>
      <c r="I341" s="3" t="str">
        <f>TRIM([1]Raw_Data!I339)</f>
        <v>UK</v>
      </c>
      <c r="J341" s="3" t="str">
        <f>TRIM([1]Raw_Data!J339)</f>
        <v>Walmart</v>
      </c>
      <c r="K341" s="3">
        <f t="shared" si="20"/>
        <v>2020</v>
      </c>
      <c r="L341" s="6">
        <f t="shared" si="21"/>
        <v>43983</v>
      </c>
      <c r="M341" s="3" t="str">
        <f t="shared" si="22"/>
        <v>16% to 20%</v>
      </c>
      <c r="N341" s="3" t="str">
        <f t="shared" si="23"/>
        <v>OK</v>
      </c>
    </row>
    <row r="342" spans="1:14" x14ac:dyDescent="0.3">
      <c r="A342" s="2">
        <f>DATE(VALUE(RIGHT(TRIM([1]Raw_Data!A340),4)),VALUE(MID(TRIM([1]Raw_Data!A340),4,2)),VALUE(LEFT(TRIM([1]Raw_Data!A340),2)))</f>
        <v>43983</v>
      </c>
      <c r="B342" s="3" t="str">
        <f>TRIM([1]Raw_Data!B340)</f>
        <v>Fish Oil</v>
      </c>
      <c r="C342" s="3" t="str">
        <f>TRIM([1]Raw_Data!C340)</f>
        <v>Omega</v>
      </c>
      <c r="D342" s="3">
        <f>[1]Raw_Data!D340</f>
        <v>139</v>
      </c>
      <c r="E342" s="4">
        <f>[1]Raw_Data!E340</f>
        <v>17.350000000000001</v>
      </c>
      <c r="F342" s="5">
        <f>[1]Raw_Data!F340</f>
        <v>2411.65</v>
      </c>
      <c r="G342" s="4">
        <f>[1]Raw_Data!G340</f>
        <v>0.09</v>
      </c>
      <c r="H342" s="3">
        <f>[1]Raw_Data!H340</f>
        <v>3</v>
      </c>
      <c r="I342" s="3" t="str">
        <f>TRIM([1]Raw_Data!I340)</f>
        <v>USA</v>
      </c>
      <c r="J342" s="3" t="str">
        <f>TRIM([1]Raw_Data!J340)</f>
        <v>iHerb</v>
      </c>
      <c r="K342" s="3">
        <f t="shared" si="20"/>
        <v>2020</v>
      </c>
      <c r="L342" s="6">
        <f t="shared" si="21"/>
        <v>43983</v>
      </c>
      <c r="M342" s="3" t="str">
        <f t="shared" si="22"/>
        <v>6% to 10%</v>
      </c>
      <c r="N342" s="3" t="str">
        <f t="shared" si="23"/>
        <v>OK</v>
      </c>
    </row>
    <row r="343" spans="1:14" x14ac:dyDescent="0.3">
      <c r="A343" s="2">
        <f>DATE(VALUE(RIGHT(TRIM([1]Raw_Data!A341),4)),VALUE(MID(TRIM([1]Raw_Data!A341),4,2)),VALUE(LEFT(TRIM([1]Raw_Data!A341),2)))</f>
        <v>43983</v>
      </c>
      <c r="B343" s="3" t="str">
        <f>TRIM([1]Raw_Data!B341)</f>
        <v>Multivitamin</v>
      </c>
      <c r="C343" s="3" t="str">
        <f>TRIM([1]Raw_Data!C341)</f>
        <v>Vitamin</v>
      </c>
      <c r="D343" s="3">
        <f>[1]Raw_Data!D341</f>
        <v>136</v>
      </c>
      <c r="E343" s="4">
        <f>[1]Raw_Data!E341</f>
        <v>34.229999999999997</v>
      </c>
      <c r="F343" s="5">
        <f>[1]Raw_Data!F341</f>
        <v>4655.28</v>
      </c>
      <c r="G343" s="4">
        <f>[1]Raw_Data!G341</f>
        <v>0.08</v>
      </c>
      <c r="H343" s="3">
        <f>[1]Raw_Data!H341</f>
        <v>1</v>
      </c>
      <c r="I343" s="3" t="str">
        <f>TRIM([1]Raw_Data!I341)</f>
        <v>Canada</v>
      </c>
      <c r="J343" s="3" t="str">
        <f>TRIM([1]Raw_Data!J341)</f>
        <v>Amazon</v>
      </c>
      <c r="K343" s="3">
        <f t="shared" si="20"/>
        <v>2020</v>
      </c>
      <c r="L343" s="6">
        <f t="shared" si="21"/>
        <v>43983</v>
      </c>
      <c r="M343" s="3" t="str">
        <f t="shared" si="22"/>
        <v>6% to 10%</v>
      </c>
      <c r="N343" s="3" t="str">
        <f t="shared" si="23"/>
        <v>OK</v>
      </c>
    </row>
    <row r="344" spans="1:14" x14ac:dyDescent="0.3">
      <c r="A344" s="2">
        <f>DATE(VALUE(RIGHT(TRIM([1]Raw_Data!A342),4)),VALUE(MID(TRIM([1]Raw_Data!A342),4,2)),VALUE(LEFT(TRIM([1]Raw_Data!A342),2)))</f>
        <v>43983</v>
      </c>
      <c r="B344" s="3" t="str">
        <f>TRIM([1]Raw_Data!B342)</f>
        <v>Pre-Workout</v>
      </c>
      <c r="C344" s="3" t="str">
        <f>TRIM([1]Raw_Data!C342)</f>
        <v>Performance</v>
      </c>
      <c r="D344" s="3">
        <f>[1]Raw_Data!D342</f>
        <v>162</v>
      </c>
      <c r="E344" s="4">
        <f>[1]Raw_Data!E342</f>
        <v>39.03</v>
      </c>
      <c r="F344" s="5">
        <f>[1]Raw_Data!F342</f>
        <v>6322.86</v>
      </c>
      <c r="G344" s="4">
        <f>[1]Raw_Data!G342</f>
        <v>0.13</v>
      </c>
      <c r="H344" s="3">
        <f>[1]Raw_Data!H342</f>
        <v>0</v>
      </c>
      <c r="I344" s="3" t="str">
        <f>TRIM([1]Raw_Data!I342)</f>
        <v>USA</v>
      </c>
      <c r="J344" s="3" t="str">
        <f>TRIM([1]Raw_Data!J342)</f>
        <v>Amazon</v>
      </c>
      <c r="K344" s="3">
        <f t="shared" si="20"/>
        <v>2020</v>
      </c>
      <c r="L344" s="6">
        <f t="shared" si="21"/>
        <v>43983</v>
      </c>
      <c r="M344" s="3" t="str">
        <f t="shared" si="22"/>
        <v>11% to 15%</v>
      </c>
      <c r="N344" s="3" t="str">
        <f t="shared" si="23"/>
        <v>OK</v>
      </c>
    </row>
    <row r="345" spans="1:14" x14ac:dyDescent="0.3">
      <c r="A345" s="2">
        <f>DATE(VALUE(RIGHT(TRIM([1]Raw_Data!A343),4)),VALUE(MID(TRIM([1]Raw_Data!A343),4,2)),VALUE(LEFT(TRIM([1]Raw_Data!A343),2)))</f>
        <v>43983</v>
      </c>
      <c r="B345" s="3" t="str">
        <f>TRIM([1]Raw_Data!B343)</f>
        <v>BCAA</v>
      </c>
      <c r="C345" s="3" t="str">
        <f>TRIM([1]Raw_Data!C343)</f>
        <v>Amino Acid</v>
      </c>
      <c r="D345" s="3">
        <f>[1]Raw_Data!D343</f>
        <v>154</v>
      </c>
      <c r="E345" s="4">
        <f>[1]Raw_Data!E343</f>
        <v>34.39</v>
      </c>
      <c r="F345" s="5">
        <f>[1]Raw_Data!F343</f>
        <v>5296.06</v>
      </c>
      <c r="G345" s="4">
        <f>[1]Raw_Data!G343</f>
        <v>0.02</v>
      </c>
      <c r="H345" s="3">
        <f>[1]Raw_Data!H343</f>
        <v>1</v>
      </c>
      <c r="I345" s="3" t="str">
        <f>TRIM([1]Raw_Data!I343)</f>
        <v>Canada</v>
      </c>
      <c r="J345" s="3" t="str">
        <f>TRIM([1]Raw_Data!J343)</f>
        <v>Walmart</v>
      </c>
      <c r="K345" s="3">
        <f t="shared" si="20"/>
        <v>2020</v>
      </c>
      <c r="L345" s="6">
        <f t="shared" si="21"/>
        <v>43983</v>
      </c>
      <c r="M345" s="3" t="str">
        <f t="shared" si="22"/>
        <v>0% to 5%</v>
      </c>
      <c r="N345" s="3" t="str">
        <f t="shared" si="23"/>
        <v>OK</v>
      </c>
    </row>
    <row r="346" spans="1:14" x14ac:dyDescent="0.3">
      <c r="A346" s="2">
        <f>DATE(VALUE(RIGHT(TRIM([1]Raw_Data!A344),4)),VALUE(MID(TRIM([1]Raw_Data!A344),4,2)),VALUE(LEFT(TRIM([1]Raw_Data!A344),2)))</f>
        <v>43983</v>
      </c>
      <c r="B346" s="3" t="str">
        <f>TRIM([1]Raw_Data!B344)</f>
        <v>Creatine</v>
      </c>
      <c r="C346" s="3" t="str">
        <f>TRIM([1]Raw_Data!C344)</f>
        <v>Performance</v>
      </c>
      <c r="D346" s="3">
        <f>[1]Raw_Data!D344</f>
        <v>143</v>
      </c>
      <c r="E346" s="4">
        <f>[1]Raw_Data!E344</f>
        <v>12.85</v>
      </c>
      <c r="F346" s="5">
        <f>[1]Raw_Data!F344</f>
        <v>1837.55</v>
      </c>
      <c r="G346" s="4">
        <f>[1]Raw_Data!G344</f>
        <v>0.1</v>
      </c>
      <c r="H346" s="3">
        <f>[1]Raw_Data!H344</f>
        <v>1</v>
      </c>
      <c r="I346" s="3" t="str">
        <f>TRIM([1]Raw_Data!I344)</f>
        <v>Canada</v>
      </c>
      <c r="J346" s="3" t="str">
        <f>TRIM([1]Raw_Data!J344)</f>
        <v>iHerb</v>
      </c>
      <c r="K346" s="3">
        <f t="shared" si="20"/>
        <v>2020</v>
      </c>
      <c r="L346" s="6">
        <f t="shared" si="21"/>
        <v>43983</v>
      </c>
      <c r="M346" s="3" t="str">
        <f t="shared" si="22"/>
        <v>6% to 10%</v>
      </c>
      <c r="N346" s="3" t="str">
        <f t="shared" si="23"/>
        <v>OK</v>
      </c>
    </row>
    <row r="347" spans="1:14" x14ac:dyDescent="0.3">
      <c r="A347" s="2">
        <f>DATE(VALUE(RIGHT(TRIM([1]Raw_Data!A345),4)),VALUE(MID(TRIM([1]Raw_Data!A345),4,2)),VALUE(LEFT(TRIM([1]Raw_Data!A345),2)))</f>
        <v>43983</v>
      </c>
      <c r="B347" s="3" t="str">
        <f>TRIM([1]Raw_Data!B345)</f>
        <v>Zinc</v>
      </c>
      <c r="C347" s="3" t="str">
        <f>TRIM([1]Raw_Data!C345)</f>
        <v>Mineral</v>
      </c>
      <c r="D347" s="3">
        <f>[1]Raw_Data!D345</f>
        <v>158</v>
      </c>
      <c r="E347" s="4">
        <f>[1]Raw_Data!E345</f>
        <v>43.36</v>
      </c>
      <c r="F347" s="5">
        <f>[1]Raw_Data!F345</f>
        <v>6850.88</v>
      </c>
      <c r="G347" s="4">
        <f>[1]Raw_Data!G345</f>
        <v>0.19</v>
      </c>
      <c r="H347" s="3">
        <f>[1]Raw_Data!H345</f>
        <v>3</v>
      </c>
      <c r="I347" s="3" t="str">
        <f>TRIM([1]Raw_Data!I345)</f>
        <v>Canada</v>
      </c>
      <c r="J347" s="3" t="str">
        <f>TRIM([1]Raw_Data!J345)</f>
        <v>Walmart</v>
      </c>
      <c r="K347" s="3">
        <f t="shared" si="20"/>
        <v>2020</v>
      </c>
      <c r="L347" s="6">
        <f t="shared" si="21"/>
        <v>43983</v>
      </c>
      <c r="M347" s="3" t="str">
        <f t="shared" si="22"/>
        <v>16% to 20%</v>
      </c>
      <c r="N347" s="3" t="str">
        <f t="shared" si="23"/>
        <v>OK</v>
      </c>
    </row>
    <row r="348" spans="1:14" x14ac:dyDescent="0.3">
      <c r="A348" s="2">
        <f>DATE(VALUE(RIGHT(TRIM([1]Raw_Data!A346),4)),VALUE(MID(TRIM([1]Raw_Data!A346),4,2)),VALUE(LEFT(TRIM([1]Raw_Data!A346),2)))</f>
        <v>43983</v>
      </c>
      <c r="B348" s="3" t="str">
        <f>TRIM([1]Raw_Data!B346)</f>
        <v>Collagen Peptides</v>
      </c>
      <c r="C348" s="3" t="str">
        <f>TRIM([1]Raw_Data!C346)</f>
        <v>Protein</v>
      </c>
      <c r="D348" s="3">
        <f>[1]Raw_Data!D346</f>
        <v>143</v>
      </c>
      <c r="E348" s="4">
        <f>[1]Raw_Data!E346</f>
        <v>52.01</v>
      </c>
      <c r="F348" s="5">
        <f>[1]Raw_Data!F346</f>
        <v>7437.43</v>
      </c>
      <c r="G348" s="4">
        <f>[1]Raw_Data!G346</f>
        <v>0.25</v>
      </c>
      <c r="H348" s="3">
        <f>[1]Raw_Data!H346</f>
        <v>3</v>
      </c>
      <c r="I348" s="3" t="str">
        <f>TRIM([1]Raw_Data!I346)</f>
        <v>UK</v>
      </c>
      <c r="J348" s="3" t="str">
        <f>TRIM([1]Raw_Data!J346)</f>
        <v>iHerb</v>
      </c>
      <c r="K348" s="3">
        <f t="shared" si="20"/>
        <v>2020</v>
      </c>
      <c r="L348" s="6">
        <f t="shared" si="21"/>
        <v>43983</v>
      </c>
      <c r="M348" s="3" t="str">
        <f t="shared" si="22"/>
        <v>21% to 25%</v>
      </c>
      <c r="N348" s="3" t="str">
        <f t="shared" si="23"/>
        <v>OK</v>
      </c>
    </row>
    <row r="349" spans="1:14" x14ac:dyDescent="0.3">
      <c r="A349" s="2">
        <f>DATE(VALUE(RIGHT(TRIM([1]Raw_Data!A347),4)),VALUE(MID(TRIM([1]Raw_Data!A347),4,2)),VALUE(LEFT(TRIM([1]Raw_Data!A347),2)))</f>
        <v>43983</v>
      </c>
      <c r="B349" s="3" t="str">
        <f>TRIM([1]Raw_Data!B347)</f>
        <v>Magnesium</v>
      </c>
      <c r="C349" s="3" t="str">
        <f>TRIM([1]Raw_Data!C347)</f>
        <v>Mineral</v>
      </c>
      <c r="D349" s="3">
        <f>[1]Raw_Data!D347</f>
        <v>145</v>
      </c>
      <c r="E349" s="4">
        <f>[1]Raw_Data!E347</f>
        <v>34.47</v>
      </c>
      <c r="F349" s="5">
        <f>[1]Raw_Data!F347</f>
        <v>4998.1499999999996</v>
      </c>
      <c r="G349" s="4">
        <f>[1]Raw_Data!G347</f>
        <v>0.19</v>
      </c>
      <c r="H349" s="3">
        <f>[1]Raw_Data!H347</f>
        <v>1</v>
      </c>
      <c r="I349" s="3" t="str">
        <f>TRIM([1]Raw_Data!I347)</f>
        <v>Canada</v>
      </c>
      <c r="J349" s="3" t="str">
        <f>TRIM([1]Raw_Data!J347)</f>
        <v>iHerb</v>
      </c>
      <c r="K349" s="3">
        <f t="shared" si="20"/>
        <v>2020</v>
      </c>
      <c r="L349" s="6">
        <f t="shared" si="21"/>
        <v>43983</v>
      </c>
      <c r="M349" s="3" t="str">
        <f t="shared" si="22"/>
        <v>16% to 20%</v>
      </c>
      <c r="N349" s="3" t="str">
        <f t="shared" si="23"/>
        <v>OK</v>
      </c>
    </row>
    <row r="350" spans="1:14" x14ac:dyDescent="0.3">
      <c r="A350" s="2">
        <f>DATE(VALUE(RIGHT(TRIM([1]Raw_Data!A348),4)),VALUE(MID(TRIM([1]Raw_Data!A348),4,2)),VALUE(LEFT(TRIM([1]Raw_Data!A348),2)))</f>
        <v>43983</v>
      </c>
      <c r="B350" s="3" t="str">
        <f>TRIM([1]Raw_Data!B348)</f>
        <v>Ashwagandha</v>
      </c>
      <c r="C350" s="3" t="str">
        <f>TRIM([1]Raw_Data!C348)</f>
        <v>Herbal</v>
      </c>
      <c r="D350" s="3">
        <f>[1]Raw_Data!D348</f>
        <v>149</v>
      </c>
      <c r="E350" s="4">
        <f>[1]Raw_Data!E348</f>
        <v>28.07</v>
      </c>
      <c r="F350" s="5">
        <f>[1]Raw_Data!F348</f>
        <v>4182.43</v>
      </c>
      <c r="G350" s="4">
        <f>[1]Raw_Data!G348</f>
        <v>0.21</v>
      </c>
      <c r="H350" s="3">
        <f>[1]Raw_Data!H348</f>
        <v>1</v>
      </c>
      <c r="I350" s="3" t="str">
        <f>TRIM([1]Raw_Data!I348)</f>
        <v>Canada</v>
      </c>
      <c r="J350" s="3" t="str">
        <f>TRIM([1]Raw_Data!J348)</f>
        <v>Amazon</v>
      </c>
      <c r="K350" s="3">
        <f t="shared" si="20"/>
        <v>2020</v>
      </c>
      <c r="L350" s="6">
        <f t="shared" si="21"/>
        <v>43983</v>
      </c>
      <c r="M350" s="3" t="str">
        <f t="shared" si="22"/>
        <v>21% to 25%</v>
      </c>
      <c r="N350" s="3" t="str">
        <f t="shared" si="23"/>
        <v>OK</v>
      </c>
    </row>
    <row r="351" spans="1:14" x14ac:dyDescent="0.3">
      <c r="A351" s="2">
        <f>DATE(VALUE(RIGHT(TRIM([1]Raw_Data!A349),4)),VALUE(MID(TRIM([1]Raw_Data!A349),4,2)),VALUE(LEFT(TRIM([1]Raw_Data!A349),2)))</f>
        <v>43983</v>
      </c>
      <c r="B351" s="3" t="str">
        <f>TRIM([1]Raw_Data!B349)</f>
        <v>Melatonin</v>
      </c>
      <c r="C351" s="3" t="str">
        <f>TRIM([1]Raw_Data!C349)</f>
        <v>Sleep Aid</v>
      </c>
      <c r="D351" s="3">
        <f>[1]Raw_Data!D349</f>
        <v>144</v>
      </c>
      <c r="E351" s="4">
        <f>[1]Raw_Data!E349</f>
        <v>48.12</v>
      </c>
      <c r="F351" s="5">
        <f>[1]Raw_Data!F349</f>
        <v>6929.28</v>
      </c>
      <c r="G351" s="4">
        <f>[1]Raw_Data!G349</f>
        <v>0.03</v>
      </c>
      <c r="H351" s="3">
        <f>[1]Raw_Data!H349</f>
        <v>0</v>
      </c>
      <c r="I351" s="3" t="str">
        <f>TRIM([1]Raw_Data!I349)</f>
        <v>Canada</v>
      </c>
      <c r="J351" s="3" t="str">
        <f>TRIM([1]Raw_Data!J349)</f>
        <v>iHerb</v>
      </c>
      <c r="K351" s="3">
        <f t="shared" si="20"/>
        <v>2020</v>
      </c>
      <c r="L351" s="6">
        <f t="shared" si="21"/>
        <v>43983</v>
      </c>
      <c r="M351" s="3" t="str">
        <f t="shared" si="22"/>
        <v>0% to 5%</v>
      </c>
      <c r="N351" s="3" t="str">
        <f t="shared" si="23"/>
        <v>OK</v>
      </c>
    </row>
    <row r="352" spans="1:14" x14ac:dyDescent="0.3">
      <c r="A352" s="2">
        <f>DATE(VALUE(RIGHT(TRIM([1]Raw_Data!A350),4)),VALUE(MID(TRIM([1]Raw_Data!A350),4,2)),VALUE(LEFT(TRIM([1]Raw_Data!A350),2)))</f>
        <v>43983</v>
      </c>
      <c r="B352" s="3" t="str">
        <f>TRIM([1]Raw_Data!B350)</f>
        <v>Biotin</v>
      </c>
      <c r="C352" s="3" t="str">
        <f>TRIM([1]Raw_Data!C350)</f>
        <v>Vitamin</v>
      </c>
      <c r="D352" s="3">
        <f>[1]Raw_Data!D350</f>
        <v>178</v>
      </c>
      <c r="E352" s="4">
        <f>[1]Raw_Data!E350</f>
        <v>38.39</v>
      </c>
      <c r="F352" s="5">
        <f>[1]Raw_Data!F350</f>
        <v>6833.42</v>
      </c>
      <c r="G352" s="4">
        <f>[1]Raw_Data!G350</f>
        <v>0.14000000000000001</v>
      </c>
      <c r="H352" s="3">
        <f>[1]Raw_Data!H350</f>
        <v>2</v>
      </c>
      <c r="I352" s="3" t="str">
        <f>TRIM([1]Raw_Data!I350)</f>
        <v>UK</v>
      </c>
      <c r="J352" s="3" t="str">
        <f>TRIM([1]Raw_Data!J350)</f>
        <v>Walmart</v>
      </c>
      <c r="K352" s="3">
        <f t="shared" si="20"/>
        <v>2020</v>
      </c>
      <c r="L352" s="6">
        <f t="shared" si="21"/>
        <v>43983</v>
      </c>
      <c r="M352" s="3" t="str">
        <f t="shared" si="22"/>
        <v>11% to 15%</v>
      </c>
      <c r="N352" s="3" t="str">
        <f t="shared" si="23"/>
        <v>OK</v>
      </c>
    </row>
    <row r="353" spans="1:14" x14ac:dyDescent="0.3">
      <c r="A353" s="2">
        <f>DATE(VALUE(RIGHT(TRIM([1]Raw_Data!A351),4)),VALUE(MID(TRIM([1]Raw_Data!A351),4,2)),VALUE(LEFT(TRIM([1]Raw_Data!A351),2)))</f>
        <v>43983</v>
      </c>
      <c r="B353" s="3" t="str">
        <f>TRIM([1]Raw_Data!B351)</f>
        <v>Green Tea Extract</v>
      </c>
      <c r="C353" s="3" t="str">
        <f>TRIM([1]Raw_Data!C351)</f>
        <v>Fat Burner</v>
      </c>
      <c r="D353" s="3">
        <f>[1]Raw_Data!D351</f>
        <v>155</v>
      </c>
      <c r="E353" s="4">
        <f>[1]Raw_Data!E351</f>
        <v>37.630000000000003</v>
      </c>
      <c r="F353" s="5">
        <f>[1]Raw_Data!F351</f>
        <v>5832.65</v>
      </c>
      <c r="G353" s="4">
        <f>[1]Raw_Data!G351</f>
        <v>0.09</v>
      </c>
      <c r="H353" s="3">
        <f>[1]Raw_Data!H351</f>
        <v>2</v>
      </c>
      <c r="I353" s="3" t="str">
        <f>TRIM([1]Raw_Data!I351)</f>
        <v>Canada</v>
      </c>
      <c r="J353" s="3" t="str">
        <f>TRIM([1]Raw_Data!J351)</f>
        <v>iHerb</v>
      </c>
      <c r="K353" s="3">
        <f t="shared" si="20"/>
        <v>2020</v>
      </c>
      <c r="L353" s="6">
        <f t="shared" si="21"/>
        <v>43983</v>
      </c>
      <c r="M353" s="3" t="str">
        <f t="shared" si="22"/>
        <v>6% to 10%</v>
      </c>
      <c r="N353" s="3" t="str">
        <f t="shared" si="23"/>
        <v>OK</v>
      </c>
    </row>
    <row r="354" spans="1:14" x14ac:dyDescent="0.3">
      <c r="A354" s="2">
        <f>DATE(VALUE(RIGHT(TRIM([1]Raw_Data!A352),4)),VALUE(MID(TRIM([1]Raw_Data!A352),4,2)),VALUE(LEFT(TRIM([1]Raw_Data!A352),2)))</f>
        <v>43983</v>
      </c>
      <c r="B354" s="3" t="str">
        <f>TRIM([1]Raw_Data!B352)</f>
        <v>Iron Supplement</v>
      </c>
      <c r="C354" s="3" t="str">
        <f>TRIM([1]Raw_Data!C352)</f>
        <v>Mineral</v>
      </c>
      <c r="D354" s="3">
        <f>[1]Raw_Data!D352</f>
        <v>135</v>
      </c>
      <c r="E354" s="4">
        <f>[1]Raw_Data!E352</f>
        <v>19.260000000000002</v>
      </c>
      <c r="F354" s="5">
        <f>[1]Raw_Data!F352</f>
        <v>2600.1</v>
      </c>
      <c r="G354" s="4">
        <f>[1]Raw_Data!G352</f>
        <v>7.0000000000000007E-2</v>
      </c>
      <c r="H354" s="3">
        <f>[1]Raw_Data!H352</f>
        <v>0</v>
      </c>
      <c r="I354" s="3" t="str">
        <f>TRIM([1]Raw_Data!I352)</f>
        <v>Canada</v>
      </c>
      <c r="J354" s="3" t="str">
        <f>TRIM([1]Raw_Data!J352)</f>
        <v>Walmart</v>
      </c>
      <c r="K354" s="3">
        <f t="shared" si="20"/>
        <v>2020</v>
      </c>
      <c r="L354" s="6">
        <f t="shared" si="21"/>
        <v>43983</v>
      </c>
      <c r="M354" s="3" t="str">
        <f t="shared" si="22"/>
        <v>6% to 10%</v>
      </c>
      <c r="N354" s="3" t="str">
        <f t="shared" si="23"/>
        <v>OK</v>
      </c>
    </row>
    <row r="355" spans="1:14" x14ac:dyDescent="0.3">
      <c r="A355" s="2">
        <f>DATE(VALUE(RIGHT(TRIM([1]Raw_Data!A353),4)),VALUE(MID(TRIM([1]Raw_Data!A353),4,2)),VALUE(LEFT(TRIM([1]Raw_Data!A353),2)))</f>
        <v>43983</v>
      </c>
      <c r="B355" s="3" t="str">
        <f>TRIM([1]Raw_Data!B353)</f>
        <v>Electrolyte Powder</v>
      </c>
      <c r="C355" s="3" t="str">
        <f>TRIM([1]Raw_Data!C353)</f>
        <v>Hydration</v>
      </c>
      <c r="D355" s="3">
        <f>[1]Raw_Data!D353</f>
        <v>137</v>
      </c>
      <c r="E355" s="4">
        <f>[1]Raw_Data!E353</f>
        <v>24.29</v>
      </c>
      <c r="F355" s="5">
        <f>[1]Raw_Data!F353</f>
        <v>3327.73</v>
      </c>
      <c r="G355" s="4">
        <f>[1]Raw_Data!G353</f>
        <v>0.23</v>
      </c>
      <c r="H355" s="3">
        <f>[1]Raw_Data!H353</f>
        <v>4</v>
      </c>
      <c r="I355" s="3" t="str">
        <f>TRIM([1]Raw_Data!I353)</f>
        <v>USA</v>
      </c>
      <c r="J355" s="3" t="str">
        <f>TRIM([1]Raw_Data!J353)</f>
        <v>Amazon</v>
      </c>
      <c r="K355" s="3">
        <f t="shared" si="20"/>
        <v>2020</v>
      </c>
      <c r="L355" s="6">
        <f t="shared" si="21"/>
        <v>43983</v>
      </c>
      <c r="M355" s="3" t="str">
        <f t="shared" si="22"/>
        <v>21% to 25%</v>
      </c>
      <c r="N355" s="3" t="str">
        <f t="shared" si="23"/>
        <v>OK</v>
      </c>
    </row>
    <row r="356" spans="1:14" x14ac:dyDescent="0.3">
      <c r="A356" s="2">
        <f>DATE(VALUE(RIGHT(TRIM([1]Raw_Data!A354),4)),VALUE(MID(TRIM([1]Raw_Data!A354),4,2)),VALUE(LEFT(TRIM([1]Raw_Data!A354),2)))</f>
        <v>43990</v>
      </c>
      <c r="B356" s="3" t="str">
        <f>TRIM([1]Raw_Data!B354)</f>
        <v>Whey Protein</v>
      </c>
      <c r="C356" s="3" t="str">
        <f>TRIM([1]Raw_Data!C354)</f>
        <v>Protein</v>
      </c>
      <c r="D356" s="3">
        <f>[1]Raw_Data!D354</f>
        <v>152</v>
      </c>
      <c r="E356" s="4">
        <f>[1]Raw_Data!E354</f>
        <v>28.73</v>
      </c>
      <c r="F356" s="5">
        <f>[1]Raw_Data!F354</f>
        <v>4366.96</v>
      </c>
      <c r="G356" s="4">
        <f>[1]Raw_Data!G354</f>
        <v>0.2</v>
      </c>
      <c r="H356" s="3">
        <f>[1]Raw_Data!H354</f>
        <v>1</v>
      </c>
      <c r="I356" s="3" t="str">
        <f>TRIM([1]Raw_Data!I354)</f>
        <v>UK</v>
      </c>
      <c r="J356" s="3" t="str">
        <f>TRIM([1]Raw_Data!J354)</f>
        <v>Amazon</v>
      </c>
      <c r="K356" s="3">
        <f t="shared" si="20"/>
        <v>2020</v>
      </c>
      <c r="L356" s="6">
        <f t="shared" si="21"/>
        <v>43983</v>
      </c>
      <c r="M356" s="3" t="str">
        <f t="shared" si="22"/>
        <v>16% to 20%</v>
      </c>
      <c r="N356" s="3" t="str">
        <f t="shared" si="23"/>
        <v>OK</v>
      </c>
    </row>
    <row r="357" spans="1:14" x14ac:dyDescent="0.3">
      <c r="A357" s="2">
        <f>DATE(VALUE(RIGHT(TRIM([1]Raw_Data!A355),4)),VALUE(MID(TRIM([1]Raw_Data!A355),4,2)),VALUE(LEFT(TRIM([1]Raw_Data!A355),2)))</f>
        <v>43990</v>
      </c>
      <c r="B357" s="3" t="str">
        <f>TRIM([1]Raw_Data!B355)</f>
        <v>Vitamin C</v>
      </c>
      <c r="C357" s="3" t="str">
        <f>TRIM([1]Raw_Data!C355)</f>
        <v>Vitamin</v>
      </c>
      <c r="D357" s="3">
        <f>[1]Raw_Data!D355</f>
        <v>130</v>
      </c>
      <c r="E357" s="4">
        <f>[1]Raw_Data!E355</f>
        <v>52.26</v>
      </c>
      <c r="F357" s="5">
        <f>[1]Raw_Data!F355</f>
        <v>6793.8</v>
      </c>
      <c r="G357" s="4">
        <f>[1]Raw_Data!G355</f>
        <v>0.2</v>
      </c>
      <c r="H357" s="3">
        <f>[1]Raw_Data!H355</f>
        <v>0</v>
      </c>
      <c r="I357" s="3" t="str">
        <f>TRIM([1]Raw_Data!I355)</f>
        <v>USA</v>
      </c>
      <c r="J357" s="3" t="str">
        <f>TRIM([1]Raw_Data!J355)</f>
        <v>Walmart</v>
      </c>
      <c r="K357" s="3">
        <f t="shared" si="20"/>
        <v>2020</v>
      </c>
      <c r="L357" s="6">
        <f t="shared" si="21"/>
        <v>43983</v>
      </c>
      <c r="M357" s="3" t="str">
        <f t="shared" si="22"/>
        <v>16% to 20%</v>
      </c>
      <c r="N357" s="3" t="str">
        <f t="shared" si="23"/>
        <v>OK</v>
      </c>
    </row>
    <row r="358" spans="1:14" x14ac:dyDescent="0.3">
      <c r="A358" s="2">
        <f>DATE(VALUE(RIGHT(TRIM([1]Raw_Data!A356),4)),VALUE(MID(TRIM([1]Raw_Data!A356),4,2)),VALUE(LEFT(TRIM([1]Raw_Data!A356),2)))</f>
        <v>43990</v>
      </c>
      <c r="B358" s="3" t="str">
        <f>TRIM([1]Raw_Data!B356)</f>
        <v>Fish Oil</v>
      </c>
      <c r="C358" s="3" t="str">
        <f>TRIM([1]Raw_Data!C356)</f>
        <v>Omega</v>
      </c>
      <c r="D358" s="3">
        <f>[1]Raw_Data!D356</f>
        <v>156</v>
      </c>
      <c r="E358" s="4">
        <f>[1]Raw_Data!E356</f>
        <v>20.91</v>
      </c>
      <c r="F358" s="5">
        <f>[1]Raw_Data!F356</f>
        <v>3261.96</v>
      </c>
      <c r="G358" s="4">
        <f>[1]Raw_Data!G356</f>
        <v>0.22</v>
      </c>
      <c r="H358" s="3">
        <f>[1]Raw_Data!H356</f>
        <v>1</v>
      </c>
      <c r="I358" s="3" t="str">
        <f>TRIM([1]Raw_Data!I356)</f>
        <v>USA</v>
      </c>
      <c r="J358" s="3" t="str">
        <f>TRIM([1]Raw_Data!J356)</f>
        <v>Amazon</v>
      </c>
      <c r="K358" s="3">
        <f t="shared" si="20"/>
        <v>2020</v>
      </c>
      <c r="L358" s="6">
        <f t="shared" si="21"/>
        <v>43983</v>
      </c>
      <c r="M358" s="3" t="str">
        <f t="shared" si="22"/>
        <v>21% to 25%</v>
      </c>
      <c r="N358" s="3" t="str">
        <f t="shared" si="23"/>
        <v>OK</v>
      </c>
    </row>
    <row r="359" spans="1:14" x14ac:dyDescent="0.3">
      <c r="A359" s="2">
        <f>DATE(VALUE(RIGHT(TRIM([1]Raw_Data!A357),4)),VALUE(MID(TRIM([1]Raw_Data!A357),4,2)),VALUE(LEFT(TRIM([1]Raw_Data!A357),2)))</f>
        <v>43990</v>
      </c>
      <c r="B359" s="3" t="str">
        <f>TRIM([1]Raw_Data!B357)</f>
        <v>Multivitamin</v>
      </c>
      <c r="C359" s="3" t="str">
        <f>TRIM([1]Raw_Data!C357)</f>
        <v>Vitamin</v>
      </c>
      <c r="D359" s="3">
        <f>[1]Raw_Data!D357</f>
        <v>141</v>
      </c>
      <c r="E359" s="4">
        <f>[1]Raw_Data!E357</f>
        <v>53.53</v>
      </c>
      <c r="F359" s="5">
        <f>[1]Raw_Data!F357</f>
        <v>7547.73</v>
      </c>
      <c r="G359" s="4">
        <f>[1]Raw_Data!G357</f>
        <v>0.2</v>
      </c>
      <c r="H359" s="3">
        <f>[1]Raw_Data!H357</f>
        <v>2</v>
      </c>
      <c r="I359" s="3" t="str">
        <f>TRIM([1]Raw_Data!I357)</f>
        <v>Canada</v>
      </c>
      <c r="J359" s="3" t="str">
        <f>TRIM([1]Raw_Data!J357)</f>
        <v>Walmart</v>
      </c>
      <c r="K359" s="3">
        <f t="shared" si="20"/>
        <v>2020</v>
      </c>
      <c r="L359" s="6">
        <f t="shared" si="21"/>
        <v>43983</v>
      </c>
      <c r="M359" s="3" t="str">
        <f t="shared" si="22"/>
        <v>16% to 20%</v>
      </c>
      <c r="N359" s="3" t="str">
        <f t="shared" si="23"/>
        <v>OK</v>
      </c>
    </row>
    <row r="360" spans="1:14" x14ac:dyDescent="0.3">
      <c r="A360" s="2">
        <f>DATE(VALUE(RIGHT(TRIM([1]Raw_Data!A358),4)),VALUE(MID(TRIM([1]Raw_Data!A358),4,2)),VALUE(LEFT(TRIM([1]Raw_Data!A358),2)))</f>
        <v>43990</v>
      </c>
      <c r="B360" s="3" t="str">
        <f>TRIM([1]Raw_Data!B358)</f>
        <v>Pre-Workout</v>
      </c>
      <c r="C360" s="3" t="str">
        <f>TRIM([1]Raw_Data!C358)</f>
        <v>Performance</v>
      </c>
      <c r="D360" s="3">
        <f>[1]Raw_Data!D358</f>
        <v>159</v>
      </c>
      <c r="E360" s="4">
        <f>[1]Raw_Data!E358</f>
        <v>32.92</v>
      </c>
      <c r="F360" s="5">
        <f>[1]Raw_Data!F358</f>
        <v>5234.28</v>
      </c>
      <c r="G360" s="4">
        <f>[1]Raw_Data!G358</f>
        <v>0.09</v>
      </c>
      <c r="H360" s="3">
        <f>[1]Raw_Data!H358</f>
        <v>0</v>
      </c>
      <c r="I360" s="3" t="str">
        <f>TRIM([1]Raw_Data!I358)</f>
        <v>Canada</v>
      </c>
      <c r="J360" s="3" t="str">
        <f>TRIM([1]Raw_Data!J358)</f>
        <v>iHerb</v>
      </c>
      <c r="K360" s="3">
        <f t="shared" si="20"/>
        <v>2020</v>
      </c>
      <c r="L360" s="6">
        <f t="shared" si="21"/>
        <v>43983</v>
      </c>
      <c r="M360" s="3" t="str">
        <f t="shared" si="22"/>
        <v>6% to 10%</v>
      </c>
      <c r="N360" s="3" t="str">
        <f t="shared" si="23"/>
        <v>OK</v>
      </c>
    </row>
    <row r="361" spans="1:14" x14ac:dyDescent="0.3">
      <c r="A361" s="2">
        <f>DATE(VALUE(RIGHT(TRIM([1]Raw_Data!A359),4)),VALUE(MID(TRIM([1]Raw_Data!A359),4,2)),VALUE(LEFT(TRIM([1]Raw_Data!A359),2)))</f>
        <v>43990</v>
      </c>
      <c r="B361" s="3" t="str">
        <f>TRIM([1]Raw_Data!B359)</f>
        <v>BCAA</v>
      </c>
      <c r="C361" s="3" t="str">
        <f>TRIM([1]Raw_Data!C359)</f>
        <v>Amino Acid</v>
      </c>
      <c r="D361" s="3">
        <f>[1]Raw_Data!D359</f>
        <v>149</v>
      </c>
      <c r="E361" s="4">
        <f>[1]Raw_Data!E359</f>
        <v>12</v>
      </c>
      <c r="F361" s="5">
        <f>[1]Raw_Data!F359</f>
        <v>1788</v>
      </c>
      <c r="G361" s="4">
        <f>[1]Raw_Data!G359</f>
        <v>7.0000000000000007E-2</v>
      </c>
      <c r="H361" s="3">
        <f>[1]Raw_Data!H359</f>
        <v>0</v>
      </c>
      <c r="I361" s="3" t="str">
        <f>TRIM([1]Raw_Data!I359)</f>
        <v>UK</v>
      </c>
      <c r="J361" s="3" t="str">
        <f>TRIM([1]Raw_Data!J359)</f>
        <v>iHerb</v>
      </c>
      <c r="K361" s="3">
        <f t="shared" si="20"/>
        <v>2020</v>
      </c>
      <c r="L361" s="6">
        <f t="shared" si="21"/>
        <v>43983</v>
      </c>
      <c r="M361" s="3" t="str">
        <f t="shared" si="22"/>
        <v>6% to 10%</v>
      </c>
      <c r="N361" s="3" t="str">
        <f t="shared" si="23"/>
        <v>OK</v>
      </c>
    </row>
    <row r="362" spans="1:14" x14ac:dyDescent="0.3">
      <c r="A362" s="2">
        <f>DATE(VALUE(RIGHT(TRIM([1]Raw_Data!A360),4)),VALUE(MID(TRIM([1]Raw_Data!A360),4,2)),VALUE(LEFT(TRIM([1]Raw_Data!A360),2)))</f>
        <v>43990</v>
      </c>
      <c r="B362" s="3" t="str">
        <f>TRIM([1]Raw_Data!B360)</f>
        <v>Creatine</v>
      </c>
      <c r="C362" s="3" t="str">
        <f>TRIM([1]Raw_Data!C360)</f>
        <v>Performance</v>
      </c>
      <c r="D362" s="3">
        <f>[1]Raw_Data!D360</f>
        <v>140</v>
      </c>
      <c r="E362" s="4">
        <f>[1]Raw_Data!E360</f>
        <v>33.4</v>
      </c>
      <c r="F362" s="5">
        <f>[1]Raw_Data!F360</f>
        <v>4676</v>
      </c>
      <c r="G362" s="4">
        <f>[1]Raw_Data!G360</f>
        <v>0.12</v>
      </c>
      <c r="H362" s="3">
        <f>[1]Raw_Data!H360</f>
        <v>2</v>
      </c>
      <c r="I362" s="3" t="str">
        <f>TRIM([1]Raw_Data!I360)</f>
        <v>USA</v>
      </c>
      <c r="J362" s="3" t="str">
        <f>TRIM([1]Raw_Data!J360)</f>
        <v>Walmart</v>
      </c>
      <c r="K362" s="3">
        <f t="shared" si="20"/>
        <v>2020</v>
      </c>
      <c r="L362" s="6">
        <f t="shared" si="21"/>
        <v>43983</v>
      </c>
      <c r="M362" s="3" t="str">
        <f t="shared" si="22"/>
        <v>11% to 15%</v>
      </c>
      <c r="N362" s="3" t="str">
        <f t="shared" si="23"/>
        <v>OK</v>
      </c>
    </row>
    <row r="363" spans="1:14" x14ac:dyDescent="0.3">
      <c r="A363" s="2">
        <f>DATE(VALUE(RIGHT(TRIM([1]Raw_Data!A361),4)),VALUE(MID(TRIM([1]Raw_Data!A361),4,2)),VALUE(LEFT(TRIM([1]Raw_Data!A361),2)))</f>
        <v>43990</v>
      </c>
      <c r="B363" s="3" t="str">
        <f>TRIM([1]Raw_Data!B361)</f>
        <v>Zinc</v>
      </c>
      <c r="C363" s="3" t="str">
        <f>TRIM([1]Raw_Data!C361)</f>
        <v>Mineral</v>
      </c>
      <c r="D363" s="3">
        <f>[1]Raw_Data!D361</f>
        <v>136</v>
      </c>
      <c r="E363" s="4">
        <f>[1]Raw_Data!E361</f>
        <v>31.5</v>
      </c>
      <c r="F363" s="5">
        <f>[1]Raw_Data!F361</f>
        <v>4284</v>
      </c>
      <c r="G363" s="4">
        <f>[1]Raw_Data!G361</f>
        <v>0.15</v>
      </c>
      <c r="H363" s="3">
        <f>[1]Raw_Data!H361</f>
        <v>7</v>
      </c>
      <c r="I363" s="3" t="str">
        <f>TRIM([1]Raw_Data!I361)</f>
        <v>USA</v>
      </c>
      <c r="J363" s="3" t="str">
        <f>TRIM([1]Raw_Data!J361)</f>
        <v>Walmart</v>
      </c>
      <c r="K363" s="3">
        <f t="shared" si="20"/>
        <v>2020</v>
      </c>
      <c r="L363" s="6">
        <f t="shared" si="21"/>
        <v>43983</v>
      </c>
      <c r="M363" s="3" t="str">
        <f t="shared" si="22"/>
        <v>11% to 15%</v>
      </c>
      <c r="N363" s="3" t="str">
        <f t="shared" si="23"/>
        <v>OK</v>
      </c>
    </row>
    <row r="364" spans="1:14" x14ac:dyDescent="0.3">
      <c r="A364" s="2">
        <f>DATE(VALUE(RIGHT(TRIM([1]Raw_Data!A362),4)),VALUE(MID(TRIM([1]Raw_Data!A362),4,2)),VALUE(LEFT(TRIM([1]Raw_Data!A362),2)))</f>
        <v>43990</v>
      </c>
      <c r="B364" s="3" t="str">
        <f>TRIM([1]Raw_Data!B362)</f>
        <v>Collagen Peptides</v>
      </c>
      <c r="C364" s="3" t="str">
        <f>TRIM([1]Raw_Data!C362)</f>
        <v>Protein</v>
      </c>
      <c r="D364" s="3">
        <f>[1]Raw_Data!D362</f>
        <v>160</v>
      </c>
      <c r="E364" s="4">
        <f>[1]Raw_Data!E362</f>
        <v>51.38</v>
      </c>
      <c r="F364" s="5">
        <f>[1]Raw_Data!F362</f>
        <v>8220.7999999999993</v>
      </c>
      <c r="G364" s="4">
        <f>[1]Raw_Data!G362</f>
        <v>0.04</v>
      </c>
      <c r="H364" s="3">
        <f>[1]Raw_Data!H362</f>
        <v>0</v>
      </c>
      <c r="I364" s="3" t="str">
        <f>TRIM([1]Raw_Data!I362)</f>
        <v>USA</v>
      </c>
      <c r="J364" s="3" t="str">
        <f>TRIM([1]Raw_Data!J362)</f>
        <v>Walmart</v>
      </c>
      <c r="K364" s="3">
        <f t="shared" si="20"/>
        <v>2020</v>
      </c>
      <c r="L364" s="6">
        <f t="shared" si="21"/>
        <v>43983</v>
      </c>
      <c r="M364" s="3" t="str">
        <f t="shared" si="22"/>
        <v>0% to 5%</v>
      </c>
      <c r="N364" s="3" t="str">
        <f t="shared" si="23"/>
        <v>OK</v>
      </c>
    </row>
    <row r="365" spans="1:14" x14ac:dyDescent="0.3">
      <c r="A365" s="2">
        <f>DATE(VALUE(RIGHT(TRIM([1]Raw_Data!A363),4)),VALUE(MID(TRIM([1]Raw_Data!A363),4,2)),VALUE(LEFT(TRIM([1]Raw_Data!A363),2)))</f>
        <v>43990</v>
      </c>
      <c r="B365" s="3" t="str">
        <f>TRIM([1]Raw_Data!B363)</f>
        <v>Magnesium</v>
      </c>
      <c r="C365" s="3" t="str">
        <f>TRIM([1]Raw_Data!C363)</f>
        <v>Mineral</v>
      </c>
      <c r="D365" s="3">
        <f>[1]Raw_Data!D363</f>
        <v>138</v>
      </c>
      <c r="E365" s="4">
        <f>[1]Raw_Data!E363</f>
        <v>35.53</v>
      </c>
      <c r="F365" s="5">
        <f>[1]Raw_Data!F363</f>
        <v>4903.1400000000003</v>
      </c>
      <c r="G365" s="4">
        <f>[1]Raw_Data!G363</f>
        <v>0.15</v>
      </c>
      <c r="H365" s="3">
        <f>[1]Raw_Data!H363</f>
        <v>3</v>
      </c>
      <c r="I365" s="3" t="str">
        <f>TRIM([1]Raw_Data!I363)</f>
        <v>Canada</v>
      </c>
      <c r="J365" s="3" t="str">
        <f>TRIM([1]Raw_Data!J363)</f>
        <v>iHerb</v>
      </c>
      <c r="K365" s="3">
        <f t="shared" si="20"/>
        <v>2020</v>
      </c>
      <c r="L365" s="6">
        <f t="shared" si="21"/>
        <v>43983</v>
      </c>
      <c r="M365" s="3" t="str">
        <f t="shared" si="22"/>
        <v>11% to 15%</v>
      </c>
      <c r="N365" s="3" t="str">
        <f t="shared" si="23"/>
        <v>OK</v>
      </c>
    </row>
    <row r="366" spans="1:14" x14ac:dyDescent="0.3">
      <c r="A366" s="2">
        <f>DATE(VALUE(RIGHT(TRIM([1]Raw_Data!A364),4)),VALUE(MID(TRIM([1]Raw_Data!A364),4,2)),VALUE(LEFT(TRIM([1]Raw_Data!A364),2)))</f>
        <v>43990</v>
      </c>
      <c r="B366" s="3" t="str">
        <f>TRIM([1]Raw_Data!B364)</f>
        <v>Ashwagandha</v>
      </c>
      <c r="C366" s="3" t="str">
        <f>TRIM([1]Raw_Data!C364)</f>
        <v>Herbal</v>
      </c>
      <c r="D366" s="3">
        <f>[1]Raw_Data!D364</f>
        <v>150</v>
      </c>
      <c r="E366" s="4">
        <f>[1]Raw_Data!E364</f>
        <v>12.51</v>
      </c>
      <c r="F366" s="5">
        <f>[1]Raw_Data!F364</f>
        <v>1876.5</v>
      </c>
      <c r="G366" s="4">
        <f>[1]Raw_Data!G364</f>
        <v>0.01</v>
      </c>
      <c r="H366" s="3">
        <f>[1]Raw_Data!H364</f>
        <v>1</v>
      </c>
      <c r="I366" s="3" t="str">
        <f>TRIM([1]Raw_Data!I364)</f>
        <v>Canada</v>
      </c>
      <c r="J366" s="3" t="str">
        <f>TRIM([1]Raw_Data!J364)</f>
        <v>Amazon</v>
      </c>
      <c r="K366" s="3">
        <f t="shared" si="20"/>
        <v>2020</v>
      </c>
      <c r="L366" s="6">
        <f t="shared" si="21"/>
        <v>43983</v>
      </c>
      <c r="M366" s="3" t="str">
        <f t="shared" si="22"/>
        <v>0% to 5%</v>
      </c>
      <c r="N366" s="3" t="str">
        <f t="shared" si="23"/>
        <v>OK</v>
      </c>
    </row>
    <row r="367" spans="1:14" x14ac:dyDescent="0.3">
      <c r="A367" s="2">
        <f>DATE(VALUE(RIGHT(TRIM([1]Raw_Data!A365),4)),VALUE(MID(TRIM([1]Raw_Data!A365),4,2)),VALUE(LEFT(TRIM([1]Raw_Data!A365),2)))</f>
        <v>43990</v>
      </c>
      <c r="B367" s="3" t="str">
        <f>TRIM([1]Raw_Data!B365)</f>
        <v>Melatonin</v>
      </c>
      <c r="C367" s="3" t="str">
        <f>TRIM([1]Raw_Data!C365)</f>
        <v>Sleep Aid</v>
      </c>
      <c r="D367" s="3">
        <f>[1]Raw_Data!D365</f>
        <v>148</v>
      </c>
      <c r="E367" s="4">
        <f>[1]Raw_Data!E365</f>
        <v>18.03</v>
      </c>
      <c r="F367" s="5">
        <f>[1]Raw_Data!F365</f>
        <v>2668.44</v>
      </c>
      <c r="G367" s="4">
        <f>[1]Raw_Data!G365</f>
        <v>0.01</v>
      </c>
      <c r="H367" s="3">
        <f>[1]Raw_Data!H365</f>
        <v>1</v>
      </c>
      <c r="I367" s="3" t="str">
        <f>TRIM([1]Raw_Data!I365)</f>
        <v>UK</v>
      </c>
      <c r="J367" s="3" t="str">
        <f>TRIM([1]Raw_Data!J365)</f>
        <v>Amazon</v>
      </c>
      <c r="K367" s="3">
        <f t="shared" si="20"/>
        <v>2020</v>
      </c>
      <c r="L367" s="6">
        <f t="shared" si="21"/>
        <v>43983</v>
      </c>
      <c r="M367" s="3" t="str">
        <f t="shared" si="22"/>
        <v>0% to 5%</v>
      </c>
      <c r="N367" s="3" t="str">
        <f t="shared" si="23"/>
        <v>OK</v>
      </c>
    </row>
    <row r="368" spans="1:14" x14ac:dyDescent="0.3">
      <c r="A368" s="2">
        <f>DATE(VALUE(RIGHT(TRIM([1]Raw_Data!A366),4)),VALUE(MID(TRIM([1]Raw_Data!A366),4,2)),VALUE(LEFT(TRIM([1]Raw_Data!A366),2)))</f>
        <v>43990</v>
      </c>
      <c r="B368" s="3" t="str">
        <f>TRIM([1]Raw_Data!B366)</f>
        <v>Biotin</v>
      </c>
      <c r="C368" s="3" t="str">
        <f>TRIM([1]Raw_Data!C366)</f>
        <v>Vitamin</v>
      </c>
      <c r="D368" s="3">
        <f>[1]Raw_Data!D366</f>
        <v>140</v>
      </c>
      <c r="E368" s="4">
        <f>[1]Raw_Data!E366</f>
        <v>46.23</v>
      </c>
      <c r="F368" s="5">
        <f>[1]Raw_Data!F366</f>
        <v>6472.2</v>
      </c>
      <c r="G368" s="4">
        <f>[1]Raw_Data!G366</f>
        <v>0.03</v>
      </c>
      <c r="H368" s="3">
        <f>[1]Raw_Data!H366</f>
        <v>2</v>
      </c>
      <c r="I368" s="3" t="str">
        <f>TRIM([1]Raw_Data!I366)</f>
        <v>UK</v>
      </c>
      <c r="J368" s="3" t="str">
        <f>TRIM([1]Raw_Data!J366)</f>
        <v>Walmart</v>
      </c>
      <c r="K368" s="3">
        <f t="shared" si="20"/>
        <v>2020</v>
      </c>
      <c r="L368" s="6">
        <f t="shared" si="21"/>
        <v>43983</v>
      </c>
      <c r="M368" s="3" t="str">
        <f t="shared" si="22"/>
        <v>0% to 5%</v>
      </c>
      <c r="N368" s="3" t="str">
        <f t="shared" si="23"/>
        <v>OK</v>
      </c>
    </row>
    <row r="369" spans="1:14" x14ac:dyDescent="0.3">
      <c r="A369" s="2">
        <f>DATE(VALUE(RIGHT(TRIM([1]Raw_Data!A367),4)),VALUE(MID(TRIM([1]Raw_Data!A367),4,2)),VALUE(LEFT(TRIM([1]Raw_Data!A367),2)))</f>
        <v>43990</v>
      </c>
      <c r="B369" s="3" t="str">
        <f>TRIM([1]Raw_Data!B367)</f>
        <v>Green Tea Extract</v>
      </c>
      <c r="C369" s="3" t="str">
        <f>TRIM([1]Raw_Data!C367)</f>
        <v>Fat Burner</v>
      </c>
      <c r="D369" s="3">
        <f>[1]Raw_Data!D367</f>
        <v>142</v>
      </c>
      <c r="E369" s="4">
        <f>[1]Raw_Data!E367</f>
        <v>28.99</v>
      </c>
      <c r="F369" s="5">
        <f>[1]Raw_Data!F367</f>
        <v>4116.58</v>
      </c>
      <c r="G369" s="4">
        <f>[1]Raw_Data!G367</f>
        <v>0.2</v>
      </c>
      <c r="H369" s="3">
        <f>[1]Raw_Data!H367</f>
        <v>1</v>
      </c>
      <c r="I369" s="3" t="str">
        <f>TRIM([1]Raw_Data!I367)</f>
        <v>USA</v>
      </c>
      <c r="J369" s="3" t="str">
        <f>TRIM([1]Raw_Data!J367)</f>
        <v>Amazon</v>
      </c>
      <c r="K369" s="3">
        <f t="shared" si="20"/>
        <v>2020</v>
      </c>
      <c r="L369" s="6">
        <f t="shared" si="21"/>
        <v>43983</v>
      </c>
      <c r="M369" s="3" t="str">
        <f t="shared" si="22"/>
        <v>16% to 20%</v>
      </c>
      <c r="N369" s="3" t="str">
        <f t="shared" si="23"/>
        <v>OK</v>
      </c>
    </row>
    <row r="370" spans="1:14" x14ac:dyDescent="0.3">
      <c r="A370" s="2">
        <f>DATE(VALUE(RIGHT(TRIM([1]Raw_Data!A368),4)),VALUE(MID(TRIM([1]Raw_Data!A368),4,2)),VALUE(LEFT(TRIM([1]Raw_Data!A368),2)))</f>
        <v>43990</v>
      </c>
      <c r="B370" s="3" t="str">
        <f>TRIM([1]Raw_Data!B368)</f>
        <v>Iron Supplement</v>
      </c>
      <c r="C370" s="3" t="str">
        <f>TRIM([1]Raw_Data!C368)</f>
        <v>Mineral</v>
      </c>
      <c r="D370" s="3">
        <f>[1]Raw_Data!D368</f>
        <v>159</v>
      </c>
      <c r="E370" s="4">
        <f>[1]Raw_Data!E368</f>
        <v>48.64</v>
      </c>
      <c r="F370" s="5">
        <f>[1]Raw_Data!F368</f>
        <v>7733.76</v>
      </c>
      <c r="G370" s="4">
        <f>[1]Raw_Data!G368</f>
        <v>0.06</v>
      </c>
      <c r="H370" s="3">
        <f>[1]Raw_Data!H368</f>
        <v>2</v>
      </c>
      <c r="I370" s="3" t="str">
        <f>TRIM([1]Raw_Data!I368)</f>
        <v>Canada</v>
      </c>
      <c r="J370" s="3" t="str">
        <f>TRIM([1]Raw_Data!J368)</f>
        <v>Amazon</v>
      </c>
      <c r="K370" s="3">
        <f t="shared" si="20"/>
        <v>2020</v>
      </c>
      <c r="L370" s="6">
        <f t="shared" si="21"/>
        <v>43983</v>
      </c>
      <c r="M370" s="3" t="str">
        <f t="shared" si="22"/>
        <v>6% to 10%</v>
      </c>
      <c r="N370" s="3" t="str">
        <f t="shared" si="23"/>
        <v>OK</v>
      </c>
    </row>
    <row r="371" spans="1:14" x14ac:dyDescent="0.3">
      <c r="A371" s="2">
        <f>DATE(VALUE(RIGHT(TRIM([1]Raw_Data!A369),4)),VALUE(MID(TRIM([1]Raw_Data!A369),4,2)),VALUE(LEFT(TRIM([1]Raw_Data!A369),2)))</f>
        <v>43990</v>
      </c>
      <c r="B371" s="3" t="str">
        <f>TRIM([1]Raw_Data!B369)</f>
        <v>Electrolyte Powder</v>
      </c>
      <c r="C371" s="3" t="str">
        <f>TRIM([1]Raw_Data!C369)</f>
        <v>Hydration</v>
      </c>
      <c r="D371" s="3">
        <f>[1]Raw_Data!D369</f>
        <v>152</v>
      </c>
      <c r="E371" s="4">
        <f>[1]Raw_Data!E369</f>
        <v>29.37</v>
      </c>
      <c r="F371" s="5">
        <f>[1]Raw_Data!F369</f>
        <v>4464.24</v>
      </c>
      <c r="G371" s="4">
        <f>[1]Raw_Data!G369</f>
        <v>0.02</v>
      </c>
      <c r="H371" s="3">
        <f>[1]Raw_Data!H369</f>
        <v>0</v>
      </c>
      <c r="I371" s="3" t="str">
        <f>TRIM([1]Raw_Data!I369)</f>
        <v>USA</v>
      </c>
      <c r="J371" s="3" t="str">
        <f>TRIM([1]Raw_Data!J369)</f>
        <v>iHerb</v>
      </c>
      <c r="K371" s="3">
        <f t="shared" si="20"/>
        <v>2020</v>
      </c>
      <c r="L371" s="6">
        <f t="shared" si="21"/>
        <v>43983</v>
      </c>
      <c r="M371" s="3" t="str">
        <f t="shared" si="22"/>
        <v>0% to 5%</v>
      </c>
      <c r="N371" s="3" t="str">
        <f t="shared" si="23"/>
        <v>OK</v>
      </c>
    </row>
    <row r="372" spans="1:14" x14ac:dyDescent="0.3">
      <c r="A372" s="2">
        <f>DATE(VALUE(RIGHT(TRIM([1]Raw_Data!A370),4)),VALUE(MID(TRIM([1]Raw_Data!A370),4,2)),VALUE(LEFT(TRIM([1]Raw_Data!A370),2)))</f>
        <v>43997</v>
      </c>
      <c r="B372" s="3" t="str">
        <f>TRIM([1]Raw_Data!B370)</f>
        <v>Whey Protein</v>
      </c>
      <c r="C372" s="3" t="str">
        <f>TRIM([1]Raw_Data!C370)</f>
        <v>Protein</v>
      </c>
      <c r="D372" s="3">
        <f>[1]Raw_Data!D370</f>
        <v>163</v>
      </c>
      <c r="E372" s="4">
        <f>[1]Raw_Data!E370</f>
        <v>48.76</v>
      </c>
      <c r="F372" s="5">
        <f>[1]Raw_Data!F370</f>
        <v>7947.88</v>
      </c>
      <c r="G372" s="4">
        <f>[1]Raw_Data!G370</f>
        <v>0.06</v>
      </c>
      <c r="H372" s="3">
        <f>[1]Raw_Data!H370</f>
        <v>1</v>
      </c>
      <c r="I372" s="3" t="str">
        <f>TRIM([1]Raw_Data!I370)</f>
        <v>UK</v>
      </c>
      <c r="J372" s="3" t="str">
        <f>TRIM([1]Raw_Data!J370)</f>
        <v>iHerb</v>
      </c>
      <c r="K372" s="3">
        <f t="shared" si="20"/>
        <v>2020</v>
      </c>
      <c r="L372" s="6">
        <f t="shared" si="21"/>
        <v>43983</v>
      </c>
      <c r="M372" s="3" t="str">
        <f t="shared" si="22"/>
        <v>6% to 10%</v>
      </c>
      <c r="N372" s="3" t="str">
        <f t="shared" si="23"/>
        <v>OK</v>
      </c>
    </row>
    <row r="373" spans="1:14" x14ac:dyDescent="0.3">
      <c r="A373" s="2">
        <f>DATE(VALUE(RIGHT(TRIM([1]Raw_Data!A371),4)),VALUE(MID(TRIM([1]Raw_Data!A371),4,2)),VALUE(LEFT(TRIM([1]Raw_Data!A371),2)))</f>
        <v>43997</v>
      </c>
      <c r="B373" s="3" t="str">
        <f>TRIM([1]Raw_Data!B371)</f>
        <v>Vitamin C</v>
      </c>
      <c r="C373" s="3" t="str">
        <f>TRIM([1]Raw_Data!C371)</f>
        <v>Vitamin</v>
      </c>
      <c r="D373" s="3">
        <f>[1]Raw_Data!D371</f>
        <v>156</v>
      </c>
      <c r="E373" s="4">
        <f>[1]Raw_Data!E371</f>
        <v>23.27</v>
      </c>
      <c r="F373" s="5">
        <f>[1]Raw_Data!F371</f>
        <v>3630.12</v>
      </c>
      <c r="G373" s="4">
        <f>[1]Raw_Data!G371</f>
        <v>0.15</v>
      </c>
      <c r="H373" s="3">
        <f>[1]Raw_Data!H371</f>
        <v>2</v>
      </c>
      <c r="I373" s="3" t="str">
        <f>TRIM([1]Raw_Data!I371)</f>
        <v>USA</v>
      </c>
      <c r="J373" s="3" t="str">
        <f>TRIM([1]Raw_Data!J371)</f>
        <v>iHerb</v>
      </c>
      <c r="K373" s="3">
        <f t="shared" si="20"/>
        <v>2020</v>
      </c>
      <c r="L373" s="6">
        <f t="shared" si="21"/>
        <v>43983</v>
      </c>
      <c r="M373" s="3" t="str">
        <f t="shared" si="22"/>
        <v>11% to 15%</v>
      </c>
      <c r="N373" s="3" t="str">
        <f t="shared" si="23"/>
        <v>OK</v>
      </c>
    </row>
    <row r="374" spans="1:14" x14ac:dyDescent="0.3">
      <c r="A374" s="2">
        <f>DATE(VALUE(RIGHT(TRIM([1]Raw_Data!A372),4)),VALUE(MID(TRIM([1]Raw_Data!A372),4,2)),VALUE(LEFT(TRIM([1]Raw_Data!A372),2)))</f>
        <v>43997</v>
      </c>
      <c r="B374" s="3" t="str">
        <f>TRIM([1]Raw_Data!B372)</f>
        <v>Fish Oil</v>
      </c>
      <c r="C374" s="3" t="str">
        <f>TRIM([1]Raw_Data!C372)</f>
        <v>Omega</v>
      </c>
      <c r="D374" s="3">
        <f>[1]Raw_Data!D372</f>
        <v>143</v>
      </c>
      <c r="E374" s="4">
        <f>[1]Raw_Data!E372</f>
        <v>57.36</v>
      </c>
      <c r="F374" s="5">
        <f>[1]Raw_Data!F372</f>
        <v>8202.48</v>
      </c>
      <c r="G374" s="4">
        <f>[1]Raw_Data!G372</f>
        <v>0.22</v>
      </c>
      <c r="H374" s="3">
        <f>[1]Raw_Data!H372</f>
        <v>2</v>
      </c>
      <c r="I374" s="3" t="str">
        <f>TRIM([1]Raw_Data!I372)</f>
        <v>Canada</v>
      </c>
      <c r="J374" s="3" t="str">
        <f>TRIM([1]Raw_Data!J372)</f>
        <v>Amazon</v>
      </c>
      <c r="K374" s="3">
        <f t="shared" si="20"/>
        <v>2020</v>
      </c>
      <c r="L374" s="6">
        <f t="shared" si="21"/>
        <v>43983</v>
      </c>
      <c r="M374" s="3" t="str">
        <f t="shared" si="22"/>
        <v>21% to 25%</v>
      </c>
      <c r="N374" s="3" t="str">
        <f t="shared" si="23"/>
        <v>OK</v>
      </c>
    </row>
    <row r="375" spans="1:14" x14ac:dyDescent="0.3">
      <c r="A375" s="2">
        <f>DATE(VALUE(RIGHT(TRIM([1]Raw_Data!A373),4)),VALUE(MID(TRIM([1]Raw_Data!A373),4,2)),VALUE(LEFT(TRIM([1]Raw_Data!A373),2)))</f>
        <v>43997</v>
      </c>
      <c r="B375" s="3" t="str">
        <f>TRIM([1]Raw_Data!B373)</f>
        <v>Multivitamin</v>
      </c>
      <c r="C375" s="3" t="str">
        <f>TRIM([1]Raw_Data!C373)</f>
        <v>Vitamin</v>
      </c>
      <c r="D375" s="3">
        <f>[1]Raw_Data!D373</f>
        <v>142</v>
      </c>
      <c r="E375" s="4">
        <f>[1]Raw_Data!E373</f>
        <v>58.17</v>
      </c>
      <c r="F375" s="5">
        <f>[1]Raw_Data!F373</f>
        <v>8260.14</v>
      </c>
      <c r="G375" s="4">
        <f>[1]Raw_Data!G373</f>
        <v>0</v>
      </c>
      <c r="H375" s="3">
        <f>[1]Raw_Data!H373</f>
        <v>2</v>
      </c>
      <c r="I375" s="3" t="str">
        <f>TRIM([1]Raw_Data!I373)</f>
        <v>UK</v>
      </c>
      <c r="J375" s="3" t="str">
        <f>TRIM([1]Raw_Data!J373)</f>
        <v>Walmart</v>
      </c>
      <c r="K375" s="3">
        <f t="shared" si="20"/>
        <v>2020</v>
      </c>
      <c r="L375" s="6">
        <f t="shared" si="21"/>
        <v>43983</v>
      </c>
      <c r="M375" s="3" t="str">
        <f t="shared" si="22"/>
        <v>0% to 5%</v>
      </c>
      <c r="N375" s="3" t="str">
        <f t="shared" si="23"/>
        <v>OK</v>
      </c>
    </row>
    <row r="376" spans="1:14" x14ac:dyDescent="0.3">
      <c r="A376" s="2">
        <f>DATE(VALUE(RIGHT(TRIM([1]Raw_Data!A374),4)),VALUE(MID(TRIM([1]Raw_Data!A374),4,2)),VALUE(LEFT(TRIM([1]Raw_Data!A374),2)))</f>
        <v>43997</v>
      </c>
      <c r="B376" s="3" t="str">
        <f>TRIM([1]Raw_Data!B374)</f>
        <v>Pre-Workout</v>
      </c>
      <c r="C376" s="3" t="str">
        <f>TRIM([1]Raw_Data!C374)</f>
        <v>Performance</v>
      </c>
      <c r="D376" s="3">
        <f>[1]Raw_Data!D374</f>
        <v>158</v>
      </c>
      <c r="E376" s="4">
        <f>[1]Raw_Data!E374</f>
        <v>59.51</v>
      </c>
      <c r="F376" s="5">
        <f>[1]Raw_Data!F374</f>
        <v>9402.58</v>
      </c>
      <c r="G376" s="4">
        <f>[1]Raw_Data!G374</f>
        <v>0.08</v>
      </c>
      <c r="H376" s="3">
        <f>[1]Raw_Data!H374</f>
        <v>1</v>
      </c>
      <c r="I376" s="3" t="str">
        <f>TRIM([1]Raw_Data!I374)</f>
        <v>UK</v>
      </c>
      <c r="J376" s="3" t="str">
        <f>TRIM([1]Raw_Data!J374)</f>
        <v>Walmart</v>
      </c>
      <c r="K376" s="3">
        <f t="shared" si="20"/>
        <v>2020</v>
      </c>
      <c r="L376" s="6">
        <f t="shared" si="21"/>
        <v>43983</v>
      </c>
      <c r="M376" s="3" t="str">
        <f t="shared" si="22"/>
        <v>6% to 10%</v>
      </c>
      <c r="N376" s="3" t="str">
        <f t="shared" si="23"/>
        <v>OK</v>
      </c>
    </row>
    <row r="377" spans="1:14" x14ac:dyDescent="0.3">
      <c r="A377" s="2">
        <f>DATE(VALUE(RIGHT(TRIM([1]Raw_Data!A375),4)),VALUE(MID(TRIM([1]Raw_Data!A375),4,2)),VALUE(LEFT(TRIM([1]Raw_Data!A375),2)))</f>
        <v>43997</v>
      </c>
      <c r="B377" s="3" t="str">
        <f>TRIM([1]Raw_Data!B375)</f>
        <v>BCAA</v>
      </c>
      <c r="C377" s="3" t="str">
        <f>TRIM([1]Raw_Data!C375)</f>
        <v>Amino Acid</v>
      </c>
      <c r="D377" s="3">
        <f>[1]Raw_Data!D375</f>
        <v>129</v>
      </c>
      <c r="E377" s="4">
        <f>[1]Raw_Data!E375</f>
        <v>23.05</v>
      </c>
      <c r="F377" s="5">
        <f>[1]Raw_Data!F375</f>
        <v>2973.45</v>
      </c>
      <c r="G377" s="4">
        <f>[1]Raw_Data!G375</f>
        <v>0.09</v>
      </c>
      <c r="H377" s="3">
        <f>[1]Raw_Data!H375</f>
        <v>2</v>
      </c>
      <c r="I377" s="3" t="str">
        <f>TRIM([1]Raw_Data!I375)</f>
        <v>Canada</v>
      </c>
      <c r="J377" s="3" t="str">
        <f>TRIM([1]Raw_Data!J375)</f>
        <v>Walmart</v>
      </c>
      <c r="K377" s="3">
        <f t="shared" si="20"/>
        <v>2020</v>
      </c>
      <c r="L377" s="6">
        <f t="shared" si="21"/>
        <v>43983</v>
      </c>
      <c r="M377" s="3" t="str">
        <f t="shared" si="22"/>
        <v>6% to 10%</v>
      </c>
      <c r="N377" s="3" t="str">
        <f t="shared" si="23"/>
        <v>OK</v>
      </c>
    </row>
    <row r="378" spans="1:14" x14ac:dyDescent="0.3">
      <c r="A378" s="2">
        <f>DATE(VALUE(RIGHT(TRIM([1]Raw_Data!A376),4)),VALUE(MID(TRIM([1]Raw_Data!A376),4,2)),VALUE(LEFT(TRIM([1]Raw_Data!A376),2)))</f>
        <v>43997</v>
      </c>
      <c r="B378" s="3" t="str">
        <f>TRIM([1]Raw_Data!B376)</f>
        <v>Creatine</v>
      </c>
      <c r="C378" s="3" t="str">
        <f>TRIM([1]Raw_Data!C376)</f>
        <v>Performance</v>
      </c>
      <c r="D378" s="3">
        <f>[1]Raw_Data!D376</f>
        <v>174</v>
      </c>
      <c r="E378" s="4">
        <f>[1]Raw_Data!E376</f>
        <v>28.63</v>
      </c>
      <c r="F378" s="5">
        <f>[1]Raw_Data!F376</f>
        <v>4981.62</v>
      </c>
      <c r="G378" s="4">
        <f>[1]Raw_Data!G376</f>
        <v>0.23</v>
      </c>
      <c r="H378" s="3">
        <f>[1]Raw_Data!H376</f>
        <v>0</v>
      </c>
      <c r="I378" s="3" t="str">
        <f>TRIM([1]Raw_Data!I376)</f>
        <v>Canada</v>
      </c>
      <c r="J378" s="3" t="str">
        <f>TRIM([1]Raw_Data!J376)</f>
        <v>Walmart</v>
      </c>
      <c r="K378" s="3">
        <f t="shared" si="20"/>
        <v>2020</v>
      </c>
      <c r="L378" s="6">
        <f t="shared" si="21"/>
        <v>43983</v>
      </c>
      <c r="M378" s="3" t="str">
        <f t="shared" si="22"/>
        <v>21% to 25%</v>
      </c>
      <c r="N378" s="3" t="str">
        <f t="shared" si="23"/>
        <v>OK</v>
      </c>
    </row>
    <row r="379" spans="1:14" x14ac:dyDescent="0.3">
      <c r="A379" s="2">
        <f>DATE(VALUE(RIGHT(TRIM([1]Raw_Data!A377),4)),VALUE(MID(TRIM([1]Raw_Data!A377),4,2)),VALUE(LEFT(TRIM([1]Raw_Data!A377),2)))</f>
        <v>43997</v>
      </c>
      <c r="B379" s="3" t="str">
        <f>TRIM([1]Raw_Data!B377)</f>
        <v>Zinc</v>
      </c>
      <c r="C379" s="3" t="str">
        <f>TRIM([1]Raw_Data!C377)</f>
        <v>Mineral</v>
      </c>
      <c r="D379" s="3">
        <f>[1]Raw_Data!D377</f>
        <v>130</v>
      </c>
      <c r="E379" s="4">
        <f>[1]Raw_Data!E377</f>
        <v>39.76</v>
      </c>
      <c r="F379" s="5">
        <f>[1]Raw_Data!F377</f>
        <v>5168.8</v>
      </c>
      <c r="G379" s="4">
        <f>[1]Raw_Data!G377</f>
        <v>0.04</v>
      </c>
      <c r="H379" s="3">
        <f>[1]Raw_Data!H377</f>
        <v>4</v>
      </c>
      <c r="I379" s="3" t="str">
        <f>TRIM([1]Raw_Data!I377)</f>
        <v>Canada</v>
      </c>
      <c r="J379" s="3" t="str">
        <f>TRIM([1]Raw_Data!J377)</f>
        <v>Walmart</v>
      </c>
      <c r="K379" s="3">
        <f t="shared" si="20"/>
        <v>2020</v>
      </c>
      <c r="L379" s="6">
        <f t="shared" si="21"/>
        <v>43983</v>
      </c>
      <c r="M379" s="3" t="str">
        <f t="shared" si="22"/>
        <v>0% to 5%</v>
      </c>
      <c r="N379" s="3" t="str">
        <f t="shared" si="23"/>
        <v>OK</v>
      </c>
    </row>
    <row r="380" spans="1:14" x14ac:dyDescent="0.3">
      <c r="A380" s="2">
        <f>DATE(VALUE(RIGHT(TRIM([1]Raw_Data!A378),4)),VALUE(MID(TRIM([1]Raw_Data!A378),4,2)),VALUE(LEFT(TRIM([1]Raw_Data!A378),2)))</f>
        <v>43997</v>
      </c>
      <c r="B380" s="3" t="str">
        <f>TRIM([1]Raw_Data!B378)</f>
        <v>Collagen Peptides</v>
      </c>
      <c r="C380" s="3" t="str">
        <f>TRIM([1]Raw_Data!C378)</f>
        <v>Protein</v>
      </c>
      <c r="D380" s="3">
        <f>[1]Raw_Data!D378</f>
        <v>148</v>
      </c>
      <c r="E380" s="4">
        <f>[1]Raw_Data!E378</f>
        <v>22.33</v>
      </c>
      <c r="F380" s="5">
        <f>[1]Raw_Data!F378</f>
        <v>3304.84</v>
      </c>
      <c r="G380" s="4">
        <f>[1]Raw_Data!G378</f>
        <v>0.12</v>
      </c>
      <c r="H380" s="3">
        <f>[1]Raw_Data!H378</f>
        <v>2</v>
      </c>
      <c r="I380" s="3" t="str">
        <f>TRIM([1]Raw_Data!I378)</f>
        <v>USA</v>
      </c>
      <c r="J380" s="3" t="str">
        <f>TRIM([1]Raw_Data!J378)</f>
        <v>Amazon</v>
      </c>
      <c r="K380" s="3">
        <f t="shared" si="20"/>
        <v>2020</v>
      </c>
      <c r="L380" s="6">
        <f t="shared" si="21"/>
        <v>43983</v>
      </c>
      <c r="M380" s="3" t="str">
        <f t="shared" si="22"/>
        <v>11% to 15%</v>
      </c>
      <c r="N380" s="3" t="str">
        <f t="shared" si="23"/>
        <v>OK</v>
      </c>
    </row>
    <row r="381" spans="1:14" x14ac:dyDescent="0.3">
      <c r="A381" s="2">
        <f>DATE(VALUE(RIGHT(TRIM([1]Raw_Data!A379),4)),VALUE(MID(TRIM([1]Raw_Data!A379),4,2)),VALUE(LEFT(TRIM([1]Raw_Data!A379),2)))</f>
        <v>43997</v>
      </c>
      <c r="B381" s="3" t="str">
        <f>TRIM([1]Raw_Data!B379)</f>
        <v>Magnesium</v>
      </c>
      <c r="C381" s="3" t="str">
        <f>TRIM([1]Raw_Data!C379)</f>
        <v>Mineral</v>
      </c>
      <c r="D381" s="3">
        <f>[1]Raw_Data!D379</f>
        <v>159</v>
      </c>
      <c r="E381" s="4">
        <f>[1]Raw_Data!E379</f>
        <v>38.89</v>
      </c>
      <c r="F381" s="5">
        <f>[1]Raw_Data!F379</f>
        <v>6183.51</v>
      </c>
      <c r="G381" s="4">
        <f>[1]Raw_Data!G379</f>
        <v>0.23</v>
      </c>
      <c r="H381" s="3">
        <f>[1]Raw_Data!H379</f>
        <v>3</v>
      </c>
      <c r="I381" s="3" t="str">
        <f>TRIM([1]Raw_Data!I379)</f>
        <v>UK</v>
      </c>
      <c r="J381" s="3" t="str">
        <f>TRIM([1]Raw_Data!J379)</f>
        <v>iHerb</v>
      </c>
      <c r="K381" s="3">
        <f t="shared" si="20"/>
        <v>2020</v>
      </c>
      <c r="L381" s="6">
        <f t="shared" si="21"/>
        <v>43983</v>
      </c>
      <c r="M381" s="3" t="str">
        <f t="shared" si="22"/>
        <v>21% to 25%</v>
      </c>
      <c r="N381" s="3" t="str">
        <f t="shared" si="23"/>
        <v>OK</v>
      </c>
    </row>
    <row r="382" spans="1:14" x14ac:dyDescent="0.3">
      <c r="A382" s="2">
        <f>DATE(VALUE(RIGHT(TRIM([1]Raw_Data!A380),4)),VALUE(MID(TRIM([1]Raw_Data!A380),4,2)),VALUE(LEFT(TRIM([1]Raw_Data!A380),2)))</f>
        <v>43997</v>
      </c>
      <c r="B382" s="3" t="str">
        <f>TRIM([1]Raw_Data!B380)</f>
        <v>Ashwagandha</v>
      </c>
      <c r="C382" s="3" t="str">
        <f>TRIM([1]Raw_Data!C380)</f>
        <v>Herbal</v>
      </c>
      <c r="D382" s="3">
        <f>[1]Raw_Data!D380</f>
        <v>160</v>
      </c>
      <c r="E382" s="4">
        <f>[1]Raw_Data!E380</f>
        <v>10.34</v>
      </c>
      <c r="F382" s="5">
        <f>[1]Raw_Data!F380</f>
        <v>1654.4</v>
      </c>
      <c r="G382" s="4">
        <f>[1]Raw_Data!G380</f>
        <v>0.05</v>
      </c>
      <c r="H382" s="3">
        <f>[1]Raw_Data!H380</f>
        <v>2</v>
      </c>
      <c r="I382" s="3" t="str">
        <f>TRIM([1]Raw_Data!I380)</f>
        <v>USA</v>
      </c>
      <c r="J382" s="3" t="str">
        <f>TRIM([1]Raw_Data!J380)</f>
        <v>iHerb</v>
      </c>
      <c r="K382" s="3">
        <f t="shared" si="20"/>
        <v>2020</v>
      </c>
      <c r="L382" s="6">
        <f t="shared" si="21"/>
        <v>43983</v>
      </c>
      <c r="M382" s="3" t="str">
        <f t="shared" si="22"/>
        <v>0% to 5%</v>
      </c>
      <c r="N382" s="3" t="str">
        <f t="shared" si="23"/>
        <v>OK</v>
      </c>
    </row>
    <row r="383" spans="1:14" x14ac:dyDescent="0.3">
      <c r="A383" s="2">
        <f>DATE(VALUE(RIGHT(TRIM([1]Raw_Data!A381),4)),VALUE(MID(TRIM([1]Raw_Data!A381),4,2)),VALUE(LEFT(TRIM([1]Raw_Data!A381),2)))</f>
        <v>43997</v>
      </c>
      <c r="B383" s="3" t="str">
        <f>TRIM([1]Raw_Data!B381)</f>
        <v>Melatonin</v>
      </c>
      <c r="C383" s="3" t="str">
        <f>TRIM([1]Raw_Data!C381)</f>
        <v>Sleep Aid</v>
      </c>
      <c r="D383" s="3">
        <f>[1]Raw_Data!D381</f>
        <v>147</v>
      </c>
      <c r="E383" s="4">
        <f>[1]Raw_Data!E381</f>
        <v>54.23</v>
      </c>
      <c r="F383" s="5">
        <f>[1]Raw_Data!F381</f>
        <v>7971.81</v>
      </c>
      <c r="G383" s="4">
        <f>[1]Raw_Data!G381</f>
        <v>0.22</v>
      </c>
      <c r="H383" s="3">
        <f>[1]Raw_Data!H381</f>
        <v>3</v>
      </c>
      <c r="I383" s="3" t="str">
        <f>TRIM([1]Raw_Data!I381)</f>
        <v>USA</v>
      </c>
      <c r="J383" s="3" t="str">
        <f>TRIM([1]Raw_Data!J381)</f>
        <v>Walmart</v>
      </c>
      <c r="K383" s="3">
        <f t="shared" si="20"/>
        <v>2020</v>
      </c>
      <c r="L383" s="6">
        <f t="shared" si="21"/>
        <v>43983</v>
      </c>
      <c r="M383" s="3" t="str">
        <f t="shared" si="22"/>
        <v>21% to 25%</v>
      </c>
      <c r="N383" s="3" t="str">
        <f t="shared" si="23"/>
        <v>OK</v>
      </c>
    </row>
    <row r="384" spans="1:14" x14ac:dyDescent="0.3">
      <c r="A384" s="2">
        <f>DATE(VALUE(RIGHT(TRIM([1]Raw_Data!A382),4)),VALUE(MID(TRIM([1]Raw_Data!A382),4,2)),VALUE(LEFT(TRIM([1]Raw_Data!A382),2)))</f>
        <v>43997</v>
      </c>
      <c r="B384" s="3" t="str">
        <f>TRIM([1]Raw_Data!B382)</f>
        <v>Biotin</v>
      </c>
      <c r="C384" s="3" t="str">
        <f>TRIM([1]Raw_Data!C382)</f>
        <v>Vitamin</v>
      </c>
      <c r="D384" s="3">
        <f>[1]Raw_Data!D382</f>
        <v>143</v>
      </c>
      <c r="E384" s="4">
        <f>[1]Raw_Data!E382</f>
        <v>23.58</v>
      </c>
      <c r="F384" s="5">
        <f>[1]Raw_Data!F382</f>
        <v>3371.94</v>
      </c>
      <c r="G384" s="4">
        <f>[1]Raw_Data!G382</f>
        <v>0.05</v>
      </c>
      <c r="H384" s="3">
        <f>[1]Raw_Data!H382</f>
        <v>0</v>
      </c>
      <c r="I384" s="3" t="str">
        <f>TRIM([1]Raw_Data!I382)</f>
        <v>USA</v>
      </c>
      <c r="J384" s="3" t="str">
        <f>TRIM([1]Raw_Data!J382)</f>
        <v>iHerb</v>
      </c>
      <c r="K384" s="3">
        <f t="shared" si="20"/>
        <v>2020</v>
      </c>
      <c r="L384" s="6">
        <f t="shared" si="21"/>
        <v>43983</v>
      </c>
      <c r="M384" s="3" t="str">
        <f t="shared" si="22"/>
        <v>0% to 5%</v>
      </c>
      <c r="N384" s="3" t="str">
        <f t="shared" si="23"/>
        <v>OK</v>
      </c>
    </row>
    <row r="385" spans="1:14" x14ac:dyDescent="0.3">
      <c r="A385" s="2">
        <f>DATE(VALUE(RIGHT(TRIM([1]Raw_Data!A383),4)),VALUE(MID(TRIM([1]Raw_Data!A383),4,2)),VALUE(LEFT(TRIM([1]Raw_Data!A383),2)))</f>
        <v>43997</v>
      </c>
      <c r="B385" s="3" t="str">
        <f>TRIM([1]Raw_Data!B383)</f>
        <v>Green Tea Extract</v>
      </c>
      <c r="C385" s="3" t="str">
        <f>TRIM([1]Raw_Data!C383)</f>
        <v>Fat Burner</v>
      </c>
      <c r="D385" s="3">
        <f>[1]Raw_Data!D383</f>
        <v>144</v>
      </c>
      <c r="E385" s="4">
        <f>[1]Raw_Data!E383</f>
        <v>51.55</v>
      </c>
      <c r="F385" s="5">
        <f>[1]Raw_Data!F383</f>
        <v>7423.2</v>
      </c>
      <c r="G385" s="4">
        <f>[1]Raw_Data!G383</f>
        <v>0.03</v>
      </c>
      <c r="H385" s="3">
        <f>[1]Raw_Data!H383</f>
        <v>2</v>
      </c>
      <c r="I385" s="3" t="str">
        <f>TRIM([1]Raw_Data!I383)</f>
        <v>Canada</v>
      </c>
      <c r="J385" s="3" t="str">
        <f>TRIM([1]Raw_Data!J383)</f>
        <v>iHerb</v>
      </c>
      <c r="K385" s="3">
        <f t="shared" si="20"/>
        <v>2020</v>
      </c>
      <c r="L385" s="6">
        <f t="shared" si="21"/>
        <v>43983</v>
      </c>
      <c r="M385" s="3" t="str">
        <f t="shared" si="22"/>
        <v>0% to 5%</v>
      </c>
      <c r="N385" s="3" t="str">
        <f t="shared" si="23"/>
        <v>OK</v>
      </c>
    </row>
    <row r="386" spans="1:14" x14ac:dyDescent="0.3">
      <c r="A386" s="2">
        <f>DATE(VALUE(RIGHT(TRIM([1]Raw_Data!A384),4)),VALUE(MID(TRIM([1]Raw_Data!A384),4,2)),VALUE(LEFT(TRIM([1]Raw_Data!A384),2)))</f>
        <v>43997</v>
      </c>
      <c r="B386" s="3" t="str">
        <f>TRIM([1]Raw_Data!B384)</f>
        <v>Iron Supplement</v>
      </c>
      <c r="C386" s="3" t="str">
        <f>TRIM([1]Raw_Data!C384)</f>
        <v>Mineral</v>
      </c>
      <c r="D386" s="3">
        <f>[1]Raw_Data!D384</f>
        <v>151</v>
      </c>
      <c r="E386" s="4">
        <f>[1]Raw_Data!E384</f>
        <v>34.64</v>
      </c>
      <c r="F386" s="5">
        <f>[1]Raw_Data!F384</f>
        <v>5230.6400000000003</v>
      </c>
      <c r="G386" s="4">
        <f>[1]Raw_Data!G384</f>
        <v>7.0000000000000007E-2</v>
      </c>
      <c r="H386" s="3">
        <f>[1]Raw_Data!H384</f>
        <v>2</v>
      </c>
      <c r="I386" s="3" t="str">
        <f>TRIM([1]Raw_Data!I384)</f>
        <v>UK</v>
      </c>
      <c r="J386" s="3" t="str">
        <f>TRIM([1]Raw_Data!J384)</f>
        <v>Walmart</v>
      </c>
      <c r="K386" s="3">
        <f t="shared" si="20"/>
        <v>2020</v>
      </c>
      <c r="L386" s="6">
        <f t="shared" si="21"/>
        <v>43983</v>
      </c>
      <c r="M386" s="3" t="str">
        <f t="shared" si="22"/>
        <v>6% to 10%</v>
      </c>
      <c r="N386" s="3" t="str">
        <f t="shared" si="23"/>
        <v>OK</v>
      </c>
    </row>
    <row r="387" spans="1:14" x14ac:dyDescent="0.3">
      <c r="A387" s="2">
        <f>DATE(VALUE(RIGHT(TRIM([1]Raw_Data!A385),4)),VALUE(MID(TRIM([1]Raw_Data!A385),4,2)),VALUE(LEFT(TRIM([1]Raw_Data!A385),2)))</f>
        <v>43997</v>
      </c>
      <c r="B387" s="3" t="str">
        <f>TRIM([1]Raw_Data!B385)</f>
        <v>Electrolyte Powder</v>
      </c>
      <c r="C387" s="3" t="str">
        <f>TRIM([1]Raw_Data!C385)</f>
        <v>Hydration</v>
      </c>
      <c r="D387" s="3">
        <f>[1]Raw_Data!D385</f>
        <v>148</v>
      </c>
      <c r="E387" s="4">
        <f>[1]Raw_Data!E385</f>
        <v>15.83</v>
      </c>
      <c r="F387" s="5">
        <f>[1]Raw_Data!F385</f>
        <v>2342.84</v>
      </c>
      <c r="G387" s="4">
        <f>[1]Raw_Data!G385</f>
        <v>0.14000000000000001</v>
      </c>
      <c r="H387" s="3">
        <f>[1]Raw_Data!H385</f>
        <v>3</v>
      </c>
      <c r="I387" s="3" t="str">
        <f>TRIM([1]Raw_Data!I385)</f>
        <v>USA</v>
      </c>
      <c r="J387" s="3" t="str">
        <f>TRIM([1]Raw_Data!J385)</f>
        <v>Walmart</v>
      </c>
      <c r="K387" s="3">
        <f t="shared" si="20"/>
        <v>2020</v>
      </c>
      <c r="L387" s="6">
        <f t="shared" si="21"/>
        <v>43983</v>
      </c>
      <c r="M387" s="3" t="str">
        <f t="shared" si="22"/>
        <v>11% to 15%</v>
      </c>
      <c r="N387" s="3" t="str">
        <f t="shared" si="23"/>
        <v>OK</v>
      </c>
    </row>
    <row r="388" spans="1:14" x14ac:dyDescent="0.3">
      <c r="A388" s="2">
        <f>DATE(VALUE(RIGHT(TRIM([1]Raw_Data!A386),4)),VALUE(MID(TRIM([1]Raw_Data!A386),4,2)),VALUE(LEFT(TRIM([1]Raw_Data!A386),2)))</f>
        <v>44004</v>
      </c>
      <c r="B388" s="3" t="str">
        <f>TRIM([1]Raw_Data!B386)</f>
        <v>Whey Protein</v>
      </c>
      <c r="C388" s="3" t="str">
        <f>TRIM([1]Raw_Data!C386)</f>
        <v>Protein</v>
      </c>
      <c r="D388" s="3">
        <f>[1]Raw_Data!D386</f>
        <v>144</v>
      </c>
      <c r="E388" s="4">
        <f>[1]Raw_Data!E386</f>
        <v>42.93</v>
      </c>
      <c r="F388" s="5">
        <f>[1]Raw_Data!F386</f>
        <v>6181.92</v>
      </c>
      <c r="G388" s="4">
        <f>[1]Raw_Data!G386</f>
        <v>0.23</v>
      </c>
      <c r="H388" s="3">
        <f>[1]Raw_Data!H386</f>
        <v>2</v>
      </c>
      <c r="I388" s="3" t="str">
        <f>TRIM([1]Raw_Data!I386)</f>
        <v>Canada</v>
      </c>
      <c r="J388" s="3" t="str">
        <f>TRIM([1]Raw_Data!J386)</f>
        <v>iHerb</v>
      </c>
      <c r="K388" s="3">
        <f t="shared" ref="K388:K451" si="24">YEAR(A388)</f>
        <v>2020</v>
      </c>
      <c r="L388" s="6">
        <f t="shared" ref="L388:L451" si="25">DATE(YEAR(A388),MONTH(A388),1)</f>
        <v>43983</v>
      </c>
      <c r="M388" s="3" t="str">
        <f t="shared" ref="M388:M451" si="26">IF(ROUND(G388*100,0)&lt;=5,"0% to 5%",IF(ROUND(G388*100,0)&lt;=10,"6% to 10%",IF(ROUND(G388*100,0)&lt;=15,"11% to 15%",IF(ROUND(G388*100,0)&lt;=20,"16% to 20%","21% to 25%"))))</f>
        <v>21% to 25%</v>
      </c>
      <c r="N388" s="3" t="str">
        <f t="shared" ref="N388:N451" si="27">IF(ROUND(D388*E388,2)=ROUND(F388,2),"OK","Check")</f>
        <v>OK</v>
      </c>
    </row>
    <row r="389" spans="1:14" x14ac:dyDescent="0.3">
      <c r="A389" s="2">
        <f>DATE(VALUE(RIGHT(TRIM([1]Raw_Data!A387),4)),VALUE(MID(TRIM([1]Raw_Data!A387),4,2)),VALUE(LEFT(TRIM([1]Raw_Data!A387),2)))</f>
        <v>44004</v>
      </c>
      <c r="B389" s="3" t="str">
        <f>TRIM([1]Raw_Data!B387)</f>
        <v>Vitamin C</v>
      </c>
      <c r="C389" s="3" t="str">
        <f>TRIM([1]Raw_Data!C387)</f>
        <v>Vitamin</v>
      </c>
      <c r="D389" s="3">
        <f>[1]Raw_Data!D387</f>
        <v>152</v>
      </c>
      <c r="E389" s="4">
        <f>[1]Raw_Data!E387</f>
        <v>54.92</v>
      </c>
      <c r="F389" s="5">
        <f>[1]Raw_Data!F387</f>
        <v>8347.84</v>
      </c>
      <c r="G389" s="4">
        <f>[1]Raw_Data!G387</f>
        <v>0.1</v>
      </c>
      <c r="H389" s="3">
        <f>[1]Raw_Data!H387</f>
        <v>1</v>
      </c>
      <c r="I389" s="3" t="str">
        <f>TRIM([1]Raw_Data!I387)</f>
        <v>UK</v>
      </c>
      <c r="J389" s="3" t="str">
        <f>TRIM([1]Raw_Data!J387)</f>
        <v>Amazon</v>
      </c>
      <c r="K389" s="3">
        <f t="shared" si="24"/>
        <v>2020</v>
      </c>
      <c r="L389" s="6">
        <f t="shared" si="25"/>
        <v>43983</v>
      </c>
      <c r="M389" s="3" t="str">
        <f t="shared" si="26"/>
        <v>6% to 10%</v>
      </c>
      <c r="N389" s="3" t="str">
        <f t="shared" si="27"/>
        <v>OK</v>
      </c>
    </row>
    <row r="390" spans="1:14" x14ac:dyDescent="0.3">
      <c r="A390" s="2">
        <f>DATE(VALUE(RIGHT(TRIM([1]Raw_Data!A388),4)),VALUE(MID(TRIM([1]Raw_Data!A388),4,2)),VALUE(LEFT(TRIM([1]Raw_Data!A388),2)))</f>
        <v>44004</v>
      </c>
      <c r="B390" s="3" t="str">
        <f>TRIM([1]Raw_Data!B388)</f>
        <v>Fish Oil</v>
      </c>
      <c r="C390" s="3" t="str">
        <f>TRIM([1]Raw_Data!C388)</f>
        <v>Omega</v>
      </c>
      <c r="D390" s="3">
        <f>[1]Raw_Data!D388</f>
        <v>162</v>
      </c>
      <c r="E390" s="4">
        <f>[1]Raw_Data!E388</f>
        <v>38.840000000000003</v>
      </c>
      <c r="F390" s="5">
        <f>[1]Raw_Data!F388</f>
        <v>6292.08</v>
      </c>
      <c r="G390" s="4">
        <f>[1]Raw_Data!G388</f>
        <v>0.12</v>
      </c>
      <c r="H390" s="3">
        <f>[1]Raw_Data!H388</f>
        <v>0</v>
      </c>
      <c r="I390" s="3" t="str">
        <f>TRIM([1]Raw_Data!I388)</f>
        <v>UK</v>
      </c>
      <c r="J390" s="3" t="str">
        <f>TRIM([1]Raw_Data!J388)</f>
        <v>iHerb</v>
      </c>
      <c r="K390" s="3">
        <f t="shared" si="24"/>
        <v>2020</v>
      </c>
      <c r="L390" s="6">
        <f t="shared" si="25"/>
        <v>43983</v>
      </c>
      <c r="M390" s="3" t="str">
        <f t="shared" si="26"/>
        <v>11% to 15%</v>
      </c>
      <c r="N390" s="3" t="str">
        <f t="shared" si="27"/>
        <v>OK</v>
      </c>
    </row>
    <row r="391" spans="1:14" x14ac:dyDescent="0.3">
      <c r="A391" s="2">
        <f>DATE(VALUE(RIGHT(TRIM([1]Raw_Data!A389),4)),VALUE(MID(TRIM([1]Raw_Data!A389),4,2)),VALUE(LEFT(TRIM([1]Raw_Data!A389),2)))</f>
        <v>44004</v>
      </c>
      <c r="B391" s="3" t="str">
        <f>TRIM([1]Raw_Data!B389)</f>
        <v>Multivitamin</v>
      </c>
      <c r="C391" s="3" t="str">
        <f>TRIM([1]Raw_Data!C389)</f>
        <v>Vitamin</v>
      </c>
      <c r="D391" s="3">
        <f>[1]Raw_Data!D389</f>
        <v>127</v>
      </c>
      <c r="E391" s="4">
        <f>[1]Raw_Data!E389</f>
        <v>46.94</v>
      </c>
      <c r="F391" s="5">
        <f>[1]Raw_Data!F389</f>
        <v>5961.38</v>
      </c>
      <c r="G391" s="4">
        <f>[1]Raw_Data!G389</f>
        <v>0.01</v>
      </c>
      <c r="H391" s="3">
        <f>[1]Raw_Data!H389</f>
        <v>2</v>
      </c>
      <c r="I391" s="3" t="str">
        <f>TRIM([1]Raw_Data!I389)</f>
        <v>USA</v>
      </c>
      <c r="J391" s="3" t="str">
        <f>TRIM([1]Raw_Data!J389)</f>
        <v>iHerb</v>
      </c>
      <c r="K391" s="3">
        <f t="shared" si="24"/>
        <v>2020</v>
      </c>
      <c r="L391" s="6">
        <f t="shared" si="25"/>
        <v>43983</v>
      </c>
      <c r="M391" s="3" t="str">
        <f t="shared" si="26"/>
        <v>0% to 5%</v>
      </c>
      <c r="N391" s="3" t="str">
        <f t="shared" si="27"/>
        <v>OK</v>
      </c>
    </row>
    <row r="392" spans="1:14" x14ac:dyDescent="0.3">
      <c r="A392" s="2">
        <f>DATE(VALUE(RIGHT(TRIM([1]Raw_Data!A390),4)),VALUE(MID(TRIM([1]Raw_Data!A390),4,2)),VALUE(LEFT(TRIM([1]Raw_Data!A390),2)))</f>
        <v>44004</v>
      </c>
      <c r="B392" s="3" t="str">
        <f>TRIM([1]Raw_Data!B390)</f>
        <v>Pre-Workout</v>
      </c>
      <c r="C392" s="3" t="str">
        <f>TRIM([1]Raw_Data!C390)</f>
        <v>Performance</v>
      </c>
      <c r="D392" s="3">
        <f>[1]Raw_Data!D390</f>
        <v>151</v>
      </c>
      <c r="E392" s="4">
        <f>[1]Raw_Data!E390</f>
        <v>18.63</v>
      </c>
      <c r="F392" s="5">
        <f>[1]Raw_Data!F390</f>
        <v>2813.13</v>
      </c>
      <c r="G392" s="4">
        <f>[1]Raw_Data!G390</f>
        <v>0.14000000000000001</v>
      </c>
      <c r="H392" s="3">
        <f>[1]Raw_Data!H390</f>
        <v>1</v>
      </c>
      <c r="I392" s="3" t="str">
        <f>TRIM([1]Raw_Data!I390)</f>
        <v>USA</v>
      </c>
      <c r="J392" s="3" t="str">
        <f>TRIM([1]Raw_Data!J390)</f>
        <v>Walmart</v>
      </c>
      <c r="K392" s="3">
        <f t="shared" si="24"/>
        <v>2020</v>
      </c>
      <c r="L392" s="6">
        <f t="shared" si="25"/>
        <v>43983</v>
      </c>
      <c r="M392" s="3" t="str">
        <f t="shared" si="26"/>
        <v>11% to 15%</v>
      </c>
      <c r="N392" s="3" t="str">
        <f t="shared" si="27"/>
        <v>OK</v>
      </c>
    </row>
    <row r="393" spans="1:14" x14ac:dyDescent="0.3">
      <c r="A393" s="2">
        <f>DATE(VALUE(RIGHT(TRIM([1]Raw_Data!A391),4)),VALUE(MID(TRIM([1]Raw_Data!A391),4,2)),VALUE(LEFT(TRIM([1]Raw_Data!A391),2)))</f>
        <v>44004</v>
      </c>
      <c r="B393" s="3" t="str">
        <f>TRIM([1]Raw_Data!B391)</f>
        <v>BCAA</v>
      </c>
      <c r="C393" s="3" t="str">
        <f>TRIM([1]Raw_Data!C391)</f>
        <v>Amino Acid</v>
      </c>
      <c r="D393" s="3">
        <f>[1]Raw_Data!D391</f>
        <v>174</v>
      </c>
      <c r="E393" s="4">
        <f>[1]Raw_Data!E391</f>
        <v>59.18</v>
      </c>
      <c r="F393" s="5">
        <f>[1]Raw_Data!F391</f>
        <v>10297.32</v>
      </c>
      <c r="G393" s="4">
        <f>[1]Raw_Data!G391</f>
        <v>0.06</v>
      </c>
      <c r="H393" s="3">
        <f>[1]Raw_Data!H391</f>
        <v>5</v>
      </c>
      <c r="I393" s="3" t="str">
        <f>TRIM([1]Raw_Data!I391)</f>
        <v>UK</v>
      </c>
      <c r="J393" s="3" t="str">
        <f>TRIM([1]Raw_Data!J391)</f>
        <v>iHerb</v>
      </c>
      <c r="K393" s="3">
        <f t="shared" si="24"/>
        <v>2020</v>
      </c>
      <c r="L393" s="6">
        <f t="shared" si="25"/>
        <v>43983</v>
      </c>
      <c r="M393" s="3" t="str">
        <f t="shared" si="26"/>
        <v>6% to 10%</v>
      </c>
      <c r="N393" s="3" t="str">
        <f t="shared" si="27"/>
        <v>OK</v>
      </c>
    </row>
    <row r="394" spans="1:14" x14ac:dyDescent="0.3">
      <c r="A394" s="2">
        <f>DATE(VALUE(RIGHT(TRIM([1]Raw_Data!A392),4)),VALUE(MID(TRIM([1]Raw_Data!A392),4,2)),VALUE(LEFT(TRIM([1]Raw_Data!A392),2)))</f>
        <v>44004</v>
      </c>
      <c r="B394" s="3" t="str">
        <f>TRIM([1]Raw_Data!B392)</f>
        <v>Creatine</v>
      </c>
      <c r="C394" s="3" t="str">
        <f>TRIM([1]Raw_Data!C392)</f>
        <v>Performance</v>
      </c>
      <c r="D394" s="3">
        <f>[1]Raw_Data!D392</f>
        <v>148</v>
      </c>
      <c r="E394" s="4">
        <f>[1]Raw_Data!E392</f>
        <v>12.52</v>
      </c>
      <c r="F394" s="5">
        <f>[1]Raw_Data!F392</f>
        <v>1852.96</v>
      </c>
      <c r="G394" s="4">
        <f>[1]Raw_Data!G392</f>
        <v>0.01</v>
      </c>
      <c r="H394" s="3">
        <f>[1]Raw_Data!H392</f>
        <v>2</v>
      </c>
      <c r="I394" s="3" t="str">
        <f>TRIM([1]Raw_Data!I392)</f>
        <v>UK</v>
      </c>
      <c r="J394" s="3" t="str">
        <f>TRIM([1]Raw_Data!J392)</f>
        <v>Amazon</v>
      </c>
      <c r="K394" s="3">
        <f t="shared" si="24"/>
        <v>2020</v>
      </c>
      <c r="L394" s="6">
        <f t="shared" si="25"/>
        <v>43983</v>
      </c>
      <c r="M394" s="3" t="str">
        <f t="shared" si="26"/>
        <v>0% to 5%</v>
      </c>
      <c r="N394" s="3" t="str">
        <f t="shared" si="27"/>
        <v>OK</v>
      </c>
    </row>
    <row r="395" spans="1:14" x14ac:dyDescent="0.3">
      <c r="A395" s="2">
        <f>DATE(VALUE(RIGHT(TRIM([1]Raw_Data!A393),4)),VALUE(MID(TRIM([1]Raw_Data!A393),4,2)),VALUE(LEFT(TRIM([1]Raw_Data!A393),2)))</f>
        <v>44004</v>
      </c>
      <c r="B395" s="3" t="str">
        <f>TRIM([1]Raw_Data!B393)</f>
        <v>Zinc</v>
      </c>
      <c r="C395" s="3" t="str">
        <f>TRIM([1]Raw_Data!C393)</f>
        <v>Mineral</v>
      </c>
      <c r="D395" s="3">
        <f>[1]Raw_Data!D393</f>
        <v>148</v>
      </c>
      <c r="E395" s="4">
        <f>[1]Raw_Data!E393</f>
        <v>40.700000000000003</v>
      </c>
      <c r="F395" s="5">
        <f>[1]Raw_Data!F393</f>
        <v>6023.6</v>
      </c>
      <c r="G395" s="4">
        <f>[1]Raw_Data!G393</f>
        <v>0.06</v>
      </c>
      <c r="H395" s="3">
        <f>[1]Raw_Data!H393</f>
        <v>2</v>
      </c>
      <c r="I395" s="3" t="str">
        <f>TRIM([1]Raw_Data!I393)</f>
        <v>UK</v>
      </c>
      <c r="J395" s="3" t="str">
        <f>TRIM([1]Raw_Data!J393)</f>
        <v>Amazon</v>
      </c>
      <c r="K395" s="3">
        <f t="shared" si="24"/>
        <v>2020</v>
      </c>
      <c r="L395" s="6">
        <f t="shared" si="25"/>
        <v>43983</v>
      </c>
      <c r="M395" s="3" t="str">
        <f t="shared" si="26"/>
        <v>6% to 10%</v>
      </c>
      <c r="N395" s="3" t="str">
        <f t="shared" si="27"/>
        <v>OK</v>
      </c>
    </row>
    <row r="396" spans="1:14" x14ac:dyDescent="0.3">
      <c r="A396" s="2">
        <f>DATE(VALUE(RIGHT(TRIM([1]Raw_Data!A394),4)),VALUE(MID(TRIM([1]Raw_Data!A394),4,2)),VALUE(LEFT(TRIM([1]Raw_Data!A394),2)))</f>
        <v>44004</v>
      </c>
      <c r="B396" s="3" t="str">
        <f>TRIM([1]Raw_Data!B394)</f>
        <v>Collagen Peptides</v>
      </c>
      <c r="C396" s="3" t="str">
        <f>TRIM([1]Raw_Data!C394)</f>
        <v>Protein</v>
      </c>
      <c r="D396" s="3">
        <f>[1]Raw_Data!D394</f>
        <v>145</v>
      </c>
      <c r="E396" s="4">
        <f>[1]Raw_Data!E394</f>
        <v>51.03</v>
      </c>
      <c r="F396" s="5">
        <f>[1]Raw_Data!F394</f>
        <v>7399.35</v>
      </c>
      <c r="G396" s="4">
        <f>[1]Raw_Data!G394</f>
        <v>0.12</v>
      </c>
      <c r="H396" s="3">
        <f>[1]Raw_Data!H394</f>
        <v>1</v>
      </c>
      <c r="I396" s="3" t="str">
        <f>TRIM([1]Raw_Data!I394)</f>
        <v>Canada</v>
      </c>
      <c r="J396" s="3" t="str">
        <f>TRIM([1]Raw_Data!J394)</f>
        <v>Walmart</v>
      </c>
      <c r="K396" s="3">
        <f t="shared" si="24"/>
        <v>2020</v>
      </c>
      <c r="L396" s="6">
        <f t="shared" si="25"/>
        <v>43983</v>
      </c>
      <c r="M396" s="3" t="str">
        <f t="shared" si="26"/>
        <v>11% to 15%</v>
      </c>
      <c r="N396" s="3" t="str">
        <f t="shared" si="27"/>
        <v>OK</v>
      </c>
    </row>
    <row r="397" spans="1:14" x14ac:dyDescent="0.3">
      <c r="A397" s="2">
        <f>DATE(VALUE(RIGHT(TRIM([1]Raw_Data!A395),4)),VALUE(MID(TRIM([1]Raw_Data!A395),4,2)),VALUE(LEFT(TRIM([1]Raw_Data!A395),2)))</f>
        <v>44004</v>
      </c>
      <c r="B397" s="3" t="str">
        <f>TRIM([1]Raw_Data!B395)</f>
        <v>Magnesium</v>
      </c>
      <c r="C397" s="3" t="str">
        <f>TRIM([1]Raw_Data!C395)</f>
        <v>Mineral</v>
      </c>
      <c r="D397" s="3">
        <f>[1]Raw_Data!D395</f>
        <v>145</v>
      </c>
      <c r="E397" s="4">
        <f>[1]Raw_Data!E395</f>
        <v>26.41</v>
      </c>
      <c r="F397" s="5">
        <f>[1]Raw_Data!F395</f>
        <v>3829.45</v>
      </c>
      <c r="G397" s="4">
        <f>[1]Raw_Data!G395</f>
        <v>0.05</v>
      </c>
      <c r="H397" s="3">
        <f>[1]Raw_Data!H395</f>
        <v>0</v>
      </c>
      <c r="I397" s="3" t="str">
        <f>TRIM([1]Raw_Data!I395)</f>
        <v>UK</v>
      </c>
      <c r="J397" s="3" t="str">
        <f>TRIM([1]Raw_Data!J395)</f>
        <v>iHerb</v>
      </c>
      <c r="K397" s="3">
        <f t="shared" si="24"/>
        <v>2020</v>
      </c>
      <c r="L397" s="6">
        <f t="shared" si="25"/>
        <v>43983</v>
      </c>
      <c r="M397" s="3" t="str">
        <f t="shared" si="26"/>
        <v>0% to 5%</v>
      </c>
      <c r="N397" s="3" t="str">
        <f t="shared" si="27"/>
        <v>OK</v>
      </c>
    </row>
    <row r="398" spans="1:14" x14ac:dyDescent="0.3">
      <c r="A398" s="2">
        <f>DATE(VALUE(RIGHT(TRIM([1]Raw_Data!A396),4)),VALUE(MID(TRIM([1]Raw_Data!A396),4,2)),VALUE(LEFT(TRIM([1]Raw_Data!A396),2)))</f>
        <v>44004</v>
      </c>
      <c r="B398" s="3" t="str">
        <f>TRIM([1]Raw_Data!B396)</f>
        <v>Ashwagandha</v>
      </c>
      <c r="C398" s="3" t="str">
        <f>TRIM([1]Raw_Data!C396)</f>
        <v>Herbal</v>
      </c>
      <c r="D398" s="3">
        <f>[1]Raw_Data!D396</f>
        <v>149</v>
      </c>
      <c r="E398" s="4">
        <f>[1]Raw_Data!E396</f>
        <v>52.05</v>
      </c>
      <c r="F398" s="5">
        <f>[1]Raw_Data!F396</f>
        <v>7755.45</v>
      </c>
      <c r="G398" s="4">
        <f>[1]Raw_Data!G396</f>
        <v>0.06</v>
      </c>
      <c r="H398" s="3">
        <f>[1]Raw_Data!H396</f>
        <v>1</v>
      </c>
      <c r="I398" s="3" t="str">
        <f>TRIM([1]Raw_Data!I396)</f>
        <v>Canada</v>
      </c>
      <c r="J398" s="3" t="str">
        <f>TRIM([1]Raw_Data!J396)</f>
        <v>iHerb</v>
      </c>
      <c r="K398" s="3">
        <f t="shared" si="24"/>
        <v>2020</v>
      </c>
      <c r="L398" s="6">
        <f t="shared" si="25"/>
        <v>43983</v>
      </c>
      <c r="M398" s="3" t="str">
        <f t="shared" si="26"/>
        <v>6% to 10%</v>
      </c>
      <c r="N398" s="3" t="str">
        <f t="shared" si="27"/>
        <v>OK</v>
      </c>
    </row>
    <row r="399" spans="1:14" x14ac:dyDescent="0.3">
      <c r="A399" s="2">
        <f>DATE(VALUE(RIGHT(TRIM([1]Raw_Data!A397),4)),VALUE(MID(TRIM([1]Raw_Data!A397),4,2)),VALUE(LEFT(TRIM([1]Raw_Data!A397),2)))</f>
        <v>44004</v>
      </c>
      <c r="B399" s="3" t="str">
        <f>TRIM([1]Raw_Data!B397)</f>
        <v>Melatonin</v>
      </c>
      <c r="C399" s="3" t="str">
        <f>TRIM([1]Raw_Data!C397)</f>
        <v>Sleep Aid</v>
      </c>
      <c r="D399" s="3">
        <f>[1]Raw_Data!D397</f>
        <v>162</v>
      </c>
      <c r="E399" s="4">
        <f>[1]Raw_Data!E397</f>
        <v>29.23</v>
      </c>
      <c r="F399" s="5">
        <f>[1]Raw_Data!F397</f>
        <v>4735.26</v>
      </c>
      <c r="G399" s="4">
        <f>[1]Raw_Data!G397</f>
        <v>0.11</v>
      </c>
      <c r="H399" s="3">
        <f>[1]Raw_Data!H397</f>
        <v>1</v>
      </c>
      <c r="I399" s="3" t="str">
        <f>TRIM([1]Raw_Data!I397)</f>
        <v>UK</v>
      </c>
      <c r="J399" s="3" t="str">
        <f>TRIM([1]Raw_Data!J397)</f>
        <v>Walmart</v>
      </c>
      <c r="K399" s="3">
        <f t="shared" si="24"/>
        <v>2020</v>
      </c>
      <c r="L399" s="6">
        <f t="shared" si="25"/>
        <v>43983</v>
      </c>
      <c r="M399" s="3" t="str">
        <f t="shared" si="26"/>
        <v>11% to 15%</v>
      </c>
      <c r="N399" s="3" t="str">
        <f t="shared" si="27"/>
        <v>OK</v>
      </c>
    </row>
    <row r="400" spans="1:14" x14ac:dyDescent="0.3">
      <c r="A400" s="2">
        <f>DATE(VALUE(RIGHT(TRIM([1]Raw_Data!A398),4)),VALUE(MID(TRIM([1]Raw_Data!A398),4,2)),VALUE(LEFT(TRIM([1]Raw_Data!A398),2)))</f>
        <v>44004</v>
      </c>
      <c r="B400" s="3" t="str">
        <f>TRIM([1]Raw_Data!B398)</f>
        <v>Biotin</v>
      </c>
      <c r="C400" s="3" t="str">
        <f>TRIM([1]Raw_Data!C398)</f>
        <v>Vitamin</v>
      </c>
      <c r="D400" s="3">
        <f>[1]Raw_Data!D398</f>
        <v>173</v>
      </c>
      <c r="E400" s="4">
        <f>[1]Raw_Data!E398</f>
        <v>56.69</v>
      </c>
      <c r="F400" s="5">
        <f>[1]Raw_Data!F398</f>
        <v>9807.3700000000008</v>
      </c>
      <c r="G400" s="4">
        <f>[1]Raw_Data!G398</f>
        <v>0.17</v>
      </c>
      <c r="H400" s="3">
        <f>[1]Raw_Data!H398</f>
        <v>2</v>
      </c>
      <c r="I400" s="3" t="str">
        <f>TRIM([1]Raw_Data!I398)</f>
        <v>UK</v>
      </c>
      <c r="J400" s="3" t="str">
        <f>TRIM([1]Raw_Data!J398)</f>
        <v>iHerb</v>
      </c>
      <c r="K400" s="3">
        <f t="shared" si="24"/>
        <v>2020</v>
      </c>
      <c r="L400" s="6">
        <f t="shared" si="25"/>
        <v>43983</v>
      </c>
      <c r="M400" s="3" t="str">
        <f t="shared" si="26"/>
        <v>16% to 20%</v>
      </c>
      <c r="N400" s="3" t="str">
        <f t="shared" si="27"/>
        <v>OK</v>
      </c>
    </row>
    <row r="401" spans="1:14" x14ac:dyDescent="0.3">
      <c r="A401" s="2">
        <f>DATE(VALUE(RIGHT(TRIM([1]Raw_Data!A399),4)),VALUE(MID(TRIM([1]Raw_Data!A399),4,2)),VALUE(LEFT(TRIM([1]Raw_Data!A399),2)))</f>
        <v>44004</v>
      </c>
      <c r="B401" s="3" t="str">
        <f>TRIM([1]Raw_Data!B399)</f>
        <v>Green Tea Extract</v>
      </c>
      <c r="C401" s="3" t="str">
        <f>TRIM([1]Raw_Data!C399)</f>
        <v>Fat Burner</v>
      </c>
      <c r="D401" s="3">
        <f>[1]Raw_Data!D399</f>
        <v>147</v>
      </c>
      <c r="E401" s="4">
        <f>[1]Raw_Data!E399</f>
        <v>42.82</v>
      </c>
      <c r="F401" s="5">
        <f>[1]Raw_Data!F399</f>
        <v>6294.54</v>
      </c>
      <c r="G401" s="4">
        <f>[1]Raw_Data!G399</f>
        <v>0.24</v>
      </c>
      <c r="H401" s="3">
        <f>[1]Raw_Data!H399</f>
        <v>1</v>
      </c>
      <c r="I401" s="3" t="str">
        <f>TRIM([1]Raw_Data!I399)</f>
        <v>USA</v>
      </c>
      <c r="J401" s="3" t="str">
        <f>TRIM([1]Raw_Data!J399)</f>
        <v>iHerb</v>
      </c>
      <c r="K401" s="3">
        <f t="shared" si="24"/>
        <v>2020</v>
      </c>
      <c r="L401" s="6">
        <f t="shared" si="25"/>
        <v>43983</v>
      </c>
      <c r="M401" s="3" t="str">
        <f t="shared" si="26"/>
        <v>21% to 25%</v>
      </c>
      <c r="N401" s="3" t="str">
        <f t="shared" si="27"/>
        <v>OK</v>
      </c>
    </row>
    <row r="402" spans="1:14" x14ac:dyDescent="0.3">
      <c r="A402" s="2">
        <f>DATE(VALUE(RIGHT(TRIM([1]Raw_Data!A400),4)),VALUE(MID(TRIM([1]Raw_Data!A400),4,2)),VALUE(LEFT(TRIM([1]Raw_Data!A400),2)))</f>
        <v>44004</v>
      </c>
      <c r="B402" s="3" t="str">
        <f>TRIM([1]Raw_Data!B400)</f>
        <v>Iron Supplement</v>
      </c>
      <c r="C402" s="3" t="str">
        <f>TRIM([1]Raw_Data!C400)</f>
        <v>Mineral</v>
      </c>
      <c r="D402" s="3">
        <f>[1]Raw_Data!D400</f>
        <v>158</v>
      </c>
      <c r="E402" s="4">
        <f>[1]Raw_Data!E400</f>
        <v>30.88</v>
      </c>
      <c r="F402" s="5">
        <f>[1]Raw_Data!F400</f>
        <v>4879.04</v>
      </c>
      <c r="G402" s="4">
        <f>[1]Raw_Data!G400</f>
        <v>0.03</v>
      </c>
      <c r="H402" s="3">
        <f>[1]Raw_Data!H400</f>
        <v>2</v>
      </c>
      <c r="I402" s="3" t="str">
        <f>TRIM([1]Raw_Data!I400)</f>
        <v>UK</v>
      </c>
      <c r="J402" s="3" t="str">
        <f>TRIM([1]Raw_Data!J400)</f>
        <v>iHerb</v>
      </c>
      <c r="K402" s="3">
        <f t="shared" si="24"/>
        <v>2020</v>
      </c>
      <c r="L402" s="6">
        <f t="shared" si="25"/>
        <v>43983</v>
      </c>
      <c r="M402" s="3" t="str">
        <f t="shared" si="26"/>
        <v>0% to 5%</v>
      </c>
      <c r="N402" s="3" t="str">
        <f t="shared" si="27"/>
        <v>OK</v>
      </c>
    </row>
    <row r="403" spans="1:14" x14ac:dyDescent="0.3">
      <c r="A403" s="2">
        <f>DATE(VALUE(RIGHT(TRIM([1]Raw_Data!A401),4)),VALUE(MID(TRIM([1]Raw_Data!A401),4,2)),VALUE(LEFT(TRIM([1]Raw_Data!A401),2)))</f>
        <v>44004</v>
      </c>
      <c r="B403" s="3" t="str">
        <f>TRIM([1]Raw_Data!B401)</f>
        <v>Electrolyte Powder</v>
      </c>
      <c r="C403" s="3" t="str">
        <f>TRIM([1]Raw_Data!C401)</f>
        <v>Hydration</v>
      </c>
      <c r="D403" s="3">
        <f>[1]Raw_Data!D401</f>
        <v>174</v>
      </c>
      <c r="E403" s="4">
        <f>[1]Raw_Data!E401</f>
        <v>13.84</v>
      </c>
      <c r="F403" s="5">
        <f>[1]Raw_Data!F401</f>
        <v>2408.16</v>
      </c>
      <c r="G403" s="4">
        <f>[1]Raw_Data!G401</f>
        <v>0.09</v>
      </c>
      <c r="H403" s="3">
        <f>[1]Raw_Data!H401</f>
        <v>2</v>
      </c>
      <c r="I403" s="3" t="str">
        <f>TRIM([1]Raw_Data!I401)</f>
        <v>UK</v>
      </c>
      <c r="J403" s="3" t="str">
        <f>TRIM([1]Raw_Data!J401)</f>
        <v>iHerb</v>
      </c>
      <c r="K403" s="3">
        <f t="shared" si="24"/>
        <v>2020</v>
      </c>
      <c r="L403" s="6">
        <f t="shared" si="25"/>
        <v>43983</v>
      </c>
      <c r="M403" s="3" t="str">
        <f t="shared" si="26"/>
        <v>6% to 10%</v>
      </c>
      <c r="N403" s="3" t="str">
        <f t="shared" si="27"/>
        <v>OK</v>
      </c>
    </row>
    <row r="404" spans="1:14" x14ac:dyDescent="0.3">
      <c r="A404" s="2">
        <f>DATE(VALUE(RIGHT(TRIM([1]Raw_Data!A402),4)),VALUE(MID(TRIM([1]Raw_Data!A402),4,2)),VALUE(LEFT(TRIM([1]Raw_Data!A402),2)))</f>
        <v>44011</v>
      </c>
      <c r="B404" s="3" t="str">
        <f>TRIM([1]Raw_Data!B402)</f>
        <v>Whey Protein</v>
      </c>
      <c r="C404" s="3" t="str">
        <f>TRIM([1]Raw_Data!C402)</f>
        <v>Protein</v>
      </c>
      <c r="D404" s="3">
        <f>[1]Raw_Data!D402</f>
        <v>146</v>
      </c>
      <c r="E404" s="4">
        <f>[1]Raw_Data!E402</f>
        <v>50.73</v>
      </c>
      <c r="F404" s="5">
        <f>[1]Raw_Data!F402</f>
        <v>7406.58</v>
      </c>
      <c r="G404" s="4">
        <f>[1]Raw_Data!G402</f>
        <v>0.15</v>
      </c>
      <c r="H404" s="3">
        <f>[1]Raw_Data!H402</f>
        <v>1</v>
      </c>
      <c r="I404" s="3" t="str">
        <f>TRIM([1]Raw_Data!I402)</f>
        <v>Canada</v>
      </c>
      <c r="J404" s="3" t="str">
        <f>TRIM([1]Raw_Data!J402)</f>
        <v>Walmart</v>
      </c>
      <c r="K404" s="3">
        <f t="shared" si="24"/>
        <v>2020</v>
      </c>
      <c r="L404" s="6">
        <f t="shared" si="25"/>
        <v>43983</v>
      </c>
      <c r="M404" s="3" t="str">
        <f t="shared" si="26"/>
        <v>11% to 15%</v>
      </c>
      <c r="N404" s="3" t="str">
        <f t="shared" si="27"/>
        <v>OK</v>
      </c>
    </row>
    <row r="405" spans="1:14" x14ac:dyDescent="0.3">
      <c r="A405" s="2">
        <f>DATE(VALUE(RIGHT(TRIM([1]Raw_Data!A403),4)),VALUE(MID(TRIM([1]Raw_Data!A403),4,2)),VALUE(LEFT(TRIM([1]Raw_Data!A403),2)))</f>
        <v>44011</v>
      </c>
      <c r="B405" s="3" t="str">
        <f>TRIM([1]Raw_Data!B403)</f>
        <v>Vitamin C</v>
      </c>
      <c r="C405" s="3" t="str">
        <f>TRIM([1]Raw_Data!C403)</f>
        <v>Vitamin</v>
      </c>
      <c r="D405" s="3">
        <f>[1]Raw_Data!D403</f>
        <v>141</v>
      </c>
      <c r="E405" s="4">
        <f>[1]Raw_Data!E403</f>
        <v>27.74</v>
      </c>
      <c r="F405" s="5">
        <f>[1]Raw_Data!F403</f>
        <v>3911.34</v>
      </c>
      <c r="G405" s="4">
        <f>[1]Raw_Data!G403</f>
        <v>0.1</v>
      </c>
      <c r="H405" s="3">
        <f>[1]Raw_Data!H403</f>
        <v>2</v>
      </c>
      <c r="I405" s="3" t="str">
        <f>TRIM([1]Raw_Data!I403)</f>
        <v>Canada</v>
      </c>
      <c r="J405" s="3" t="str">
        <f>TRIM([1]Raw_Data!J403)</f>
        <v>Amazon</v>
      </c>
      <c r="K405" s="3">
        <f t="shared" si="24"/>
        <v>2020</v>
      </c>
      <c r="L405" s="6">
        <f t="shared" si="25"/>
        <v>43983</v>
      </c>
      <c r="M405" s="3" t="str">
        <f t="shared" si="26"/>
        <v>6% to 10%</v>
      </c>
      <c r="N405" s="3" t="str">
        <f t="shared" si="27"/>
        <v>OK</v>
      </c>
    </row>
    <row r="406" spans="1:14" x14ac:dyDescent="0.3">
      <c r="A406" s="2">
        <f>DATE(VALUE(RIGHT(TRIM([1]Raw_Data!A404),4)),VALUE(MID(TRIM([1]Raw_Data!A404),4,2)),VALUE(LEFT(TRIM([1]Raw_Data!A404),2)))</f>
        <v>44011</v>
      </c>
      <c r="B406" s="3" t="str">
        <f>TRIM([1]Raw_Data!B404)</f>
        <v>Fish Oil</v>
      </c>
      <c r="C406" s="3" t="str">
        <f>TRIM([1]Raw_Data!C404)</f>
        <v>Omega</v>
      </c>
      <c r="D406" s="3">
        <f>[1]Raw_Data!D404</f>
        <v>156</v>
      </c>
      <c r="E406" s="4">
        <f>[1]Raw_Data!E404</f>
        <v>29.76</v>
      </c>
      <c r="F406" s="5">
        <f>[1]Raw_Data!F404</f>
        <v>4642.5600000000004</v>
      </c>
      <c r="G406" s="4">
        <f>[1]Raw_Data!G404</f>
        <v>0.05</v>
      </c>
      <c r="H406" s="3">
        <f>[1]Raw_Data!H404</f>
        <v>0</v>
      </c>
      <c r="I406" s="3" t="str">
        <f>TRIM([1]Raw_Data!I404)</f>
        <v>USA</v>
      </c>
      <c r="J406" s="3" t="str">
        <f>TRIM([1]Raw_Data!J404)</f>
        <v>Amazon</v>
      </c>
      <c r="K406" s="3">
        <f t="shared" si="24"/>
        <v>2020</v>
      </c>
      <c r="L406" s="6">
        <f t="shared" si="25"/>
        <v>43983</v>
      </c>
      <c r="M406" s="3" t="str">
        <f t="shared" si="26"/>
        <v>0% to 5%</v>
      </c>
      <c r="N406" s="3" t="str">
        <f t="shared" si="27"/>
        <v>OK</v>
      </c>
    </row>
    <row r="407" spans="1:14" x14ac:dyDescent="0.3">
      <c r="A407" s="2">
        <f>DATE(VALUE(RIGHT(TRIM([1]Raw_Data!A405),4)),VALUE(MID(TRIM([1]Raw_Data!A405),4,2)),VALUE(LEFT(TRIM([1]Raw_Data!A405),2)))</f>
        <v>44011</v>
      </c>
      <c r="B407" s="3" t="str">
        <f>TRIM([1]Raw_Data!B405)</f>
        <v>Multivitamin</v>
      </c>
      <c r="C407" s="3" t="str">
        <f>TRIM([1]Raw_Data!C405)</f>
        <v>Vitamin</v>
      </c>
      <c r="D407" s="3">
        <f>[1]Raw_Data!D405</f>
        <v>163</v>
      </c>
      <c r="E407" s="4">
        <f>[1]Raw_Data!E405</f>
        <v>30.96</v>
      </c>
      <c r="F407" s="5">
        <f>[1]Raw_Data!F405</f>
        <v>5046.4799999999996</v>
      </c>
      <c r="G407" s="4">
        <f>[1]Raw_Data!G405</f>
        <v>0.04</v>
      </c>
      <c r="H407" s="3">
        <f>[1]Raw_Data!H405</f>
        <v>3</v>
      </c>
      <c r="I407" s="3" t="str">
        <f>TRIM([1]Raw_Data!I405)</f>
        <v>USA</v>
      </c>
      <c r="J407" s="3" t="str">
        <f>TRIM([1]Raw_Data!J405)</f>
        <v>Amazon</v>
      </c>
      <c r="K407" s="3">
        <f t="shared" si="24"/>
        <v>2020</v>
      </c>
      <c r="L407" s="6">
        <f t="shared" si="25"/>
        <v>43983</v>
      </c>
      <c r="M407" s="3" t="str">
        <f t="shared" si="26"/>
        <v>0% to 5%</v>
      </c>
      <c r="N407" s="3" t="str">
        <f t="shared" si="27"/>
        <v>OK</v>
      </c>
    </row>
    <row r="408" spans="1:14" x14ac:dyDescent="0.3">
      <c r="A408" s="2">
        <f>DATE(VALUE(RIGHT(TRIM([1]Raw_Data!A406),4)),VALUE(MID(TRIM([1]Raw_Data!A406),4,2)),VALUE(LEFT(TRIM([1]Raw_Data!A406),2)))</f>
        <v>44011</v>
      </c>
      <c r="B408" s="3" t="str">
        <f>TRIM([1]Raw_Data!B406)</f>
        <v>Pre-Workout</v>
      </c>
      <c r="C408" s="3" t="str">
        <f>TRIM([1]Raw_Data!C406)</f>
        <v>Performance</v>
      </c>
      <c r="D408" s="3">
        <f>[1]Raw_Data!D406</f>
        <v>152</v>
      </c>
      <c r="E408" s="4">
        <f>[1]Raw_Data!E406</f>
        <v>35.119999999999997</v>
      </c>
      <c r="F408" s="5">
        <f>[1]Raw_Data!F406</f>
        <v>5338.24</v>
      </c>
      <c r="G408" s="4">
        <f>[1]Raw_Data!G406</f>
        <v>0.18</v>
      </c>
      <c r="H408" s="3">
        <f>[1]Raw_Data!H406</f>
        <v>4</v>
      </c>
      <c r="I408" s="3" t="str">
        <f>TRIM([1]Raw_Data!I406)</f>
        <v>USA</v>
      </c>
      <c r="J408" s="3" t="str">
        <f>TRIM([1]Raw_Data!J406)</f>
        <v>iHerb</v>
      </c>
      <c r="K408" s="3">
        <f t="shared" si="24"/>
        <v>2020</v>
      </c>
      <c r="L408" s="6">
        <f t="shared" si="25"/>
        <v>43983</v>
      </c>
      <c r="M408" s="3" t="str">
        <f t="shared" si="26"/>
        <v>16% to 20%</v>
      </c>
      <c r="N408" s="3" t="str">
        <f t="shared" si="27"/>
        <v>OK</v>
      </c>
    </row>
    <row r="409" spans="1:14" x14ac:dyDescent="0.3">
      <c r="A409" s="2">
        <f>DATE(VALUE(RIGHT(TRIM([1]Raw_Data!A407),4)),VALUE(MID(TRIM([1]Raw_Data!A407),4,2)),VALUE(LEFT(TRIM([1]Raw_Data!A407),2)))</f>
        <v>44011</v>
      </c>
      <c r="B409" s="3" t="str">
        <f>TRIM([1]Raw_Data!B407)</f>
        <v>BCAA</v>
      </c>
      <c r="C409" s="3" t="str">
        <f>TRIM([1]Raw_Data!C407)</f>
        <v>Amino Acid</v>
      </c>
      <c r="D409" s="3">
        <f>[1]Raw_Data!D407</f>
        <v>139</v>
      </c>
      <c r="E409" s="4">
        <f>[1]Raw_Data!E407</f>
        <v>56.72</v>
      </c>
      <c r="F409" s="5">
        <f>[1]Raw_Data!F407</f>
        <v>7884.08</v>
      </c>
      <c r="G409" s="4">
        <f>[1]Raw_Data!G407</f>
        <v>0.23</v>
      </c>
      <c r="H409" s="3">
        <f>[1]Raw_Data!H407</f>
        <v>2</v>
      </c>
      <c r="I409" s="3" t="str">
        <f>TRIM([1]Raw_Data!I407)</f>
        <v>UK</v>
      </c>
      <c r="J409" s="3" t="str">
        <f>TRIM([1]Raw_Data!J407)</f>
        <v>Walmart</v>
      </c>
      <c r="K409" s="3">
        <f t="shared" si="24"/>
        <v>2020</v>
      </c>
      <c r="L409" s="6">
        <f t="shared" si="25"/>
        <v>43983</v>
      </c>
      <c r="M409" s="3" t="str">
        <f t="shared" si="26"/>
        <v>21% to 25%</v>
      </c>
      <c r="N409" s="3" t="str">
        <f t="shared" si="27"/>
        <v>OK</v>
      </c>
    </row>
    <row r="410" spans="1:14" x14ac:dyDescent="0.3">
      <c r="A410" s="2">
        <f>DATE(VALUE(RIGHT(TRIM([1]Raw_Data!A408),4)),VALUE(MID(TRIM([1]Raw_Data!A408),4,2)),VALUE(LEFT(TRIM([1]Raw_Data!A408),2)))</f>
        <v>44011</v>
      </c>
      <c r="B410" s="3" t="str">
        <f>TRIM([1]Raw_Data!B408)</f>
        <v>Creatine</v>
      </c>
      <c r="C410" s="3" t="str">
        <f>TRIM([1]Raw_Data!C408)</f>
        <v>Performance</v>
      </c>
      <c r="D410" s="3">
        <f>[1]Raw_Data!D408</f>
        <v>155</v>
      </c>
      <c r="E410" s="4">
        <f>[1]Raw_Data!E408</f>
        <v>47.62</v>
      </c>
      <c r="F410" s="5">
        <f>[1]Raw_Data!F408</f>
        <v>7381.1</v>
      </c>
      <c r="G410" s="4">
        <f>[1]Raw_Data!G408</f>
        <v>0.13</v>
      </c>
      <c r="H410" s="3">
        <f>[1]Raw_Data!H408</f>
        <v>2</v>
      </c>
      <c r="I410" s="3" t="str">
        <f>TRIM([1]Raw_Data!I408)</f>
        <v>Canada</v>
      </c>
      <c r="J410" s="3" t="str">
        <f>TRIM([1]Raw_Data!J408)</f>
        <v>iHerb</v>
      </c>
      <c r="K410" s="3">
        <f t="shared" si="24"/>
        <v>2020</v>
      </c>
      <c r="L410" s="6">
        <f t="shared" si="25"/>
        <v>43983</v>
      </c>
      <c r="M410" s="3" t="str">
        <f t="shared" si="26"/>
        <v>11% to 15%</v>
      </c>
      <c r="N410" s="3" t="str">
        <f t="shared" si="27"/>
        <v>OK</v>
      </c>
    </row>
    <row r="411" spans="1:14" x14ac:dyDescent="0.3">
      <c r="A411" s="2">
        <f>DATE(VALUE(RIGHT(TRIM([1]Raw_Data!A409),4)),VALUE(MID(TRIM([1]Raw_Data!A409),4,2)),VALUE(LEFT(TRIM([1]Raw_Data!A409),2)))</f>
        <v>44011</v>
      </c>
      <c r="B411" s="3" t="str">
        <f>TRIM([1]Raw_Data!B409)</f>
        <v>Zinc</v>
      </c>
      <c r="C411" s="3" t="str">
        <f>TRIM([1]Raw_Data!C409)</f>
        <v>Mineral</v>
      </c>
      <c r="D411" s="3">
        <f>[1]Raw_Data!D409</f>
        <v>147</v>
      </c>
      <c r="E411" s="4">
        <f>[1]Raw_Data!E409</f>
        <v>51.22</v>
      </c>
      <c r="F411" s="5">
        <f>[1]Raw_Data!F409</f>
        <v>7529.34</v>
      </c>
      <c r="G411" s="4">
        <f>[1]Raw_Data!G409</f>
        <v>0.04</v>
      </c>
      <c r="H411" s="3">
        <f>[1]Raw_Data!H409</f>
        <v>3</v>
      </c>
      <c r="I411" s="3" t="str">
        <f>TRIM([1]Raw_Data!I409)</f>
        <v>UK</v>
      </c>
      <c r="J411" s="3" t="str">
        <f>TRIM([1]Raw_Data!J409)</f>
        <v>Walmart</v>
      </c>
      <c r="K411" s="3">
        <f t="shared" si="24"/>
        <v>2020</v>
      </c>
      <c r="L411" s="6">
        <f t="shared" si="25"/>
        <v>43983</v>
      </c>
      <c r="M411" s="3" t="str">
        <f t="shared" si="26"/>
        <v>0% to 5%</v>
      </c>
      <c r="N411" s="3" t="str">
        <f t="shared" si="27"/>
        <v>OK</v>
      </c>
    </row>
    <row r="412" spans="1:14" x14ac:dyDescent="0.3">
      <c r="A412" s="2">
        <f>DATE(VALUE(RIGHT(TRIM([1]Raw_Data!A410),4)),VALUE(MID(TRIM([1]Raw_Data!A410),4,2)),VALUE(LEFT(TRIM([1]Raw_Data!A410),2)))</f>
        <v>44011</v>
      </c>
      <c r="B412" s="3" t="str">
        <f>TRIM([1]Raw_Data!B410)</f>
        <v>Collagen Peptides</v>
      </c>
      <c r="C412" s="3" t="str">
        <f>TRIM([1]Raw_Data!C410)</f>
        <v>Protein</v>
      </c>
      <c r="D412" s="3">
        <f>[1]Raw_Data!D410</f>
        <v>151</v>
      </c>
      <c r="E412" s="4">
        <f>[1]Raw_Data!E410</f>
        <v>31.57</v>
      </c>
      <c r="F412" s="5">
        <f>[1]Raw_Data!F410</f>
        <v>4767.07</v>
      </c>
      <c r="G412" s="4">
        <f>[1]Raw_Data!G410</f>
        <v>0.09</v>
      </c>
      <c r="H412" s="3">
        <f>[1]Raw_Data!H410</f>
        <v>3</v>
      </c>
      <c r="I412" s="3" t="str">
        <f>TRIM([1]Raw_Data!I410)</f>
        <v>Canada</v>
      </c>
      <c r="J412" s="3" t="str">
        <f>TRIM([1]Raw_Data!J410)</f>
        <v>iHerb</v>
      </c>
      <c r="K412" s="3">
        <f t="shared" si="24"/>
        <v>2020</v>
      </c>
      <c r="L412" s="6">
        <f t="shared" si="25"/>
        <v>43983</v>
      </c>
      <c r="M412" s="3" t="str">
        <f t="shared" si="26"/>
        <v>6% to 10%</v>
      </c>
      <c r="N412" s="3" t="str">
        <f t="shared" si="27"/>
        <v>OK</v>
      </c>
    </row>
    <row r="413" spans="1:14" x14ac:dyDescent="0.3">
      <c r="A413" s="2">
        <f>DATE(VALUE(RIGHT(TRIM([1]Raw_Data!A411),4)),VALUE(MID(TRIM([1]Raw_Data!A411),4,2)),VALUE(LEFT(TRIM([1]Raw_Data!A411),2)))</f>
        <v>44011</v>
      </c>
      <c r="B413" s="3" t="str">
        <f>TRIM([1]Raw_Data!B411)</f>
        <v>Magnesium</v>
      </c>
      <c r="C413" s="3" t="str">
        <f>TRIM([1]Raw_Data!C411)</f>
        <v>Mineral</v>
      </c>
      <c r="D413" s="3">
        <f>[1]Raw_Data!D411</f>
        <v>141</v>
      </c>
      <c r="E413" s="4">
        <f>[1]Raw_Data!E411</f>
        <v>34.200000000000003</v>
      </c>
      <c r="F413" s="5">
        <f>[1]Raw_Data!F411</f>
        <v>4822.2</v>
      </c>
      <c r="G413" s="4">
        <f>[1]Raw_Data!G411</f>
        <v>0.13</v>
      </c>
      <c r="H413" s="3">
        <f>[1]Raw_Data!H411</f>
        <v>1</v>
      </c>
      <c r="I413" s="3" t="str">
        <f>TRIM([1]Raw_Data!I411)</f>
        <v>Canada</v>
      </c>
      <c r="J413" s="3" t="str">
        <f>TRIM([1]Raw_Data!J411)</f>
        <v>Amazon</v>
      </c>
      <c r="K413" s="3">
        <f t="shared" si="24"/>
        <v>2020</v>
      </c>
      <c r="L413" s="6">
        <f t="shared" si="25"/>
        <v>43983</v>
      </c>
      <c r="M413" s="3" t="str">
        <f t="shared" si="26"/>
        <v>11% to 15%</v>
      </c>
      <c r="N413" s="3" t="str">
        <f t="shared" si="27"/>
        <v>OK</v>
      </c>
    </row>
    <row r="414" spans="1:14" x14ac:dyDescent="0.3">
      <c r="A414" s="2">
        <f>DATE(VALUE(RIGHT(TRIM([1]Raw_Data!A412),4)),VALUE(MID(TRIM([1]Raw_Data!A412),4,2)),VALUE(LEFT(TRIM([1]Raw_Data!A412),2)))</f>
        <v>44011</v>
      </c>
      <c r="B414" s="3" t="str">
        <f>TRIM([1]Raw_Data!B412)</f>
        <v>Ashwagandha</v>
      </c>
      <c r="C414" s="3" t="str">
        <f>TRIM([1]Raw_Data!C412)</f>
        <v>Herbal</v>
      </c>
      <c r="D414" s="3">
        <f>[1]Raw_Data!D412</f>
        <v>153</v>
      </c>
      <c r="E414" s="4">
        <f>[1]Raw_Data!E412</f>
        <v>11.96</v>
      </c>
      <c r="F414" s="5">
        <f>[1]Raw_Data!F412</f>
        <v>1829.88</v>
      </c>
      <c r="G414" s="4">
        <f>[1]Raw_Data!G412</f>
        <v>7.0000000000000007E-2</v>
      </c>
      <c r="H414" s="3">
        <f>[1]Raw_Data!H412</f>
        <v>0</v>
      </c>
      <c r="I414" s="3" t="str">
        <f>TRIM([1]Raw_Data!I412)</f>
        <v>UK</v>
      </c>
      <c r="J414" s="3" t="str">
        <f>TRIM([1]Raw_Data!J412)</f>
        <v>Amazon</v>
      </c>
      <c r="K414" s="3">
        <f t="shared" si="24"/>
        <v>2020</v>
      </c>
      <c r="L414" s="6">
        <f t="shared" si="25"/>
        <v>43983</v>
      </c>
      <c r="M414" s="3" t="str">
        <f t="shared" si="26"/>
        <v>6% to 10%</v>
      </c>
      <c r="N414" s="3" t="str">
        <f t="shared" si="27"/>
        <v>OK</v>
      </c>
    </row>
    <row r="415" spans="1:14" x14ac:dyDescent="0.3">
      <c r="A415" s="2">
        <f>DATE(VALUE(RIGHT(TRIM([1]Raw_Data!A413),4)),VALUE(MID(TRIM([1]Raw_Data!A413),4,2)),VALUE(LEFT(TRIM([1]Raw_Data!A413),2)))</f>
        <v>44011</v>
      </c>
      <c r="B415" s="3" t="str">
        <f>TRIM([1]Raw_Data!B413)</f>
        <v>Melatonin</v>
      </c>
      <c r="C415" s="3" t="str">
        <f>TRIM([1]Raw_Data!C413)</f>
        <v>Sleep Aid</v>
      </c>
      <c r="D415" s="3">
        <f>[1]Raw_Data!D413</f>
        <v>146</v>
      </c>
      <c r="E415" s="4">
        <f>[1]Raw_Data!E413</f>
        <v>27.29</v>
      </c>
      <c r="F415" s="5">
        <f>[1]Raw_Data!F413</f>
        <v>3984.34</v>
      </c>
      <c r="G415" s="4">
        <f>[1]Raw_Data!G413</f>
        <v>0.17</v>
      </c>
      <c r="H415" s="3">
        <f>[1]Raw_Data!H413</f>
        <v>2</v>
      </c>
      <c r="I415" s="3" t="str">
        <f>TRIM([1]Raw_Data!I413)</f>
        <v>UK</v>
      </c>
      <c r="J415" s="3" t="str">
        <f>TRIM([1]Raw_Data!J413)</f>
        <v>Amazon</v>
      </c>
      <c r="K415" s="3">
        <f t="shared" si="24"/>
        <v>2020</v>
      </c>
      <c r="L415" s="6">
        <f t="shared" si="25"/>
        <v>43983</v>
      </c>
      <c r="M415" s="3" t="str">
        <f t="shared" si="26"/>
        <v>16% to 20%</v>
      </c>
      <c r="N415" s="3" t="str">
        <f t="shared" si="27"/>
        <v>OK</v>
      </c>
    </row>
    <row r="416" spans="1:14" x14ac:dyDescent="0.3">
      <c r="A416" s="2">
        <f>DATE(VALUE(RIGHT(TRIM([1]Raw_Data!A414),4)),VALUE(MID(TRIM([1]Raw_Data!A414),4,2)),VALUE(LEFT(TRIM([1]Raw_Data!A414),2)))</f>
        <v>44011</v>
      </c>
      <c r="B416" s="3" t="str">
        <f>TRIM([1]Raw_Data!B414)</f>
        <v>Biotin</v>
      </c>
      <c r="C416" s="3" t="str">
        <f>TRIM([1]Raw_Data!C414)</f>
        <v>Vitamin</v>
      </c>
      <c r="D416" s="3">
        <f>[1]Raw_Data!D414</f>
        <v>176</v>
      </c>
      <c r="E416" s="4">
        <f>[1]Raw_Data!E414</f>
        <v>49.16</v>
      </c>
      <c r="F416" s="5">
        <f>[1]Raw_Data!F414</f>
        <v>8652.16</v>
      </c>
      <c r="G416" s="4">
        <f>[1]Raw_Data!G414</f>
        <v>7.0000000000000007E-2</v>
      </c>
      <c r="H416" s="3">
        <f>[1]Raw_Data!H414</f>
        <v>5</v>
      </c>
      <c r="I416" s="3" t="str">
        <f>TRIM([1]Raw_Data!I414)</f>
        <v>Canada</v>
      </c>
      <c r="J416" s="3" t="str">
        <f>TRIM([1]Raw_Data!J414)</f>
        <v>iHerb</v>
      </c>
      <c r="K416" s="3">
        <f t="shared" si="24"/>
        <v>2020</v>
      </c>
      <c r="L416" s="6">
        <f t="shared" si="25"/>
        <v>43983</v>
      </c>
      <c r="M416" s="3" t="str">
        <f t="shared" si="26"/>
        <v>6% to 10%</v>
      </c>
      <c r="N416" s="3" t="str">
        <f t="shared" si="27"/>
        <v>OK</v>
      </c>
    </row>
    <row r="417" spans="1:14" x14ac:dyDescent="0.3">
      <c r="A417" s="2">
        <f>DATE(VALUE(RIGHT(TRIM([1]Raw_Data!A415),4)),VALUE(MID(TRIM([1]Raw_Data!A415),4,2)),VALUE(LEFT(TRIM([1]Raw_Data!A415),2)))</f>
        <v>44011</v>
      </c>
      <c r="B417" s="3" t="str">
        <f>TRIM([1]Raw_Data!B415)</f>
        <v>Green Tea Extract</v>
      </c>
      <c r="C417" s="3" t="str">
        <f>TRIM([1]Raw_Data!C415)</f>
        <v>Fat Burner</v>
      </c>
      <c r="D417" s="3">
        <f>[1]Raw_Data!D415</f>
        <v>156</v>
      </c>
      <c r="E417" s="4">
        <f>[1]Raw_Data!E415</f>
        <v>16.02</v>
      </c>
      <c r="F417" s="5">
        <f>[1]Raw_Data!F415</f>
        <v>2499.12</v>
      </c>
      <c r="G417" s="4">
        <f>[1]Raw_Data!G415</f>
        <v>0.23</v>
      </c>
      <c r="H417" s="3">
        <f>[1]Raw_Data!H415</f>
        <v>0</v>
      </c>
      <c r="I417" s="3" t="str">
        <f>TRIM([1]Raw_Data!I415)</f>
        <v>Canada</v>
      </c>
      <c r="J417" s="3" t="str">
        <f>TRIM([1]Raw_Data!J415)</f>
        <v>Walmart</v>
      </c>
      <c r="K417" s="3">
        <f t="shared" si="24"/>
        <v>2020</v>
      </c>
      <c r="L417" s="6">
        <f t="shared" si="25"/>
        <v>43983</v>
      </c>
      <c r="M417" s="3" t="str">
        <f t="shared" si="26"/>
        <v>21% to 25%</v>
      </c>
      <c r="N417" s="3" t="str">
        <f t="shared" si="27"/>
        <v>OK</v>
      </c>
    </row>
    <row r="418" spans="1:14" x14ac:dyDescent="0.3">
      <c r="A418" s="2">
        <f>DATE(VALUE(RIGHT(TRIM([1]Raw_Data!A416),4)),VALUE(MID(TRIM([1]Raw_Data!A416),4,2)),VALUE(LEFT(TRIM([1]Raw_Data!A416),2)))</f>
        <v>44011</v>
      </c>
      <c r="B418" s="3" t="str">
        <f>TRIM([1]Raw_Data!B416)</f>
        <v>Iron Supplement</v>
      </c>
      <c r="C418" s="3" t="str">
        <f>TRIM([1]Raw_Data!C416)</f>
        <v>Mineral</v>
      </c>
      <c r="D418" s="3">
        <f>[1]Raw_Data!D416</f>
        <v>154</v>
      </c>
      <c r="E418" s="4">
        <f>[1]Raw_Data!E416</f>
        <v>25.36</v>
      </c>
      <c r="F418" s="5">
        <f>[1]Raw_Data!F416</f>
        <v>3905.44</v>
      </c>
      <c r="G418" s="4">
        <f>[1]Raw_Data!G416</f>
        <v>0.14000000000000001</v>
      </c>
      <c r="H418" s="3">
        <f>[1]Raw_Data!H416</f>
        <v>1</v>
      </c>
      <c r="I418" s="3" t="str">
        <f>TRIM([1]Raw_Data!I416)</f>
        <v>Canada</v>
      </c>
      <c r="J418" s="3" t="str">
        <f>TRIM([1]Raw_Data!J416)</f>
        <v>iHerb</v>
      </c>
      <c r="K418" s="3">
        <f t="shared" si="24"/>
        <v>2020</v>
      </c>
      <c r="L418" s="6">
        <f t="shared" si="25"/>
        <v>43983</v>
      </c>
      <c r="M418" s="3" t="str">
        <f t="shared" si="26"/>
        <v>11% to 15%</v>
      </c>
      <c r="N418" s="3" t="str">
        <f t="shared" si="27"/>
        <v>OK</v>
      </c>
    </row>
    <row r="419" spans="1:14" x14ac:dyDescent="0.3">
      <c r="A419" s="2">
        <f>DATE(VALUE(RIGHT(TRIM([1]Raw_Data!A417),4)),VALUE(MID(TRIM([1]Raw_Data!A417),4,2)),VALUE(LEFT(TRIM([1]Raw_Data!A417),2)))</f>
        <v>44011</v>
      </c>
      <c r="B419" s="3" t="str">
        <f>TRIM([1]Raw_Data!B417)</f>
        <v>Electrolyte Powder</v>
      </c>
      <c r="C419" s="3" t="str">
        <f>TRIM([1]Raw_Data!C417)</f>
        <v>Hydration</v>
      </c>
      <c r="D419" s="3">
        <f>[1]Raw_Data!D417</f>
        <v>136</v>
      </c>
      <c r="E419" s="4">
        <f>[1]Raw_Data!E417</f>
        <v>30.91</v>
      </c>
      <c r="F419" s="5">
        <f>[1]Raw_Data!F417</f>
        <v>4203.76</v>
      </c>
      <c r="G419" s="4">
        <f>[1]Raw_Data!G417</f>
        <v>0.19</v>
      </c>
      <c r="H419" s="3">
        <f>[1]Raw_Data!H417</f>
        <v>3</v>
      </c>
      <c r="I419" s="3" t="str">
        <f>TRIM([1]Raw_Data!I417)</f>
        <v>Canada</v>
      </c>
      <c r="J419" s="3" t="str">
        <f>TRIM([1]Raw_Data!J417)</f>
        <v>Amazon</v>
      </c>
      <c r="K419" s="3">
        <f t="shared" si="24"/>
        <v>2020</v>
      </c>
      <c r="L419" s="6">
        <f t="shared" si="25"/>
        <v>43983</v>
      </c>
      <c r="M419" s="3" t="str">
        <f t="shared" si="26"/>
        <v>16% to 20%</v>
      </c>
      <c r="N419" s="3" t="str">
        <f t="shared" si="27"/>
        <v>OK</v>
      </c>
    </row>
    <row r="420" spans="1:14" x14ac:dyDescent="0.3">
      <c r="A420" s="2">
        <f>DATE(VALUE(RIGHT(TRIM([1]Raw_Data!A418),4)),VALUE(MID(TRIM([1]Raw_Data!A418),4,2)),VALUE(LEFT(TRIM([1]Raw_Data!A418),2)))</f>
        <v>44018</v>
      </c>
      <c r="B420" s="3" t="str">
        <f>TRIM([1]Raw_Data!B418)</f>
        <v>Whey Protein</v>
      </c>
      <c r="C420" s="3" t="str">
        <f>TRIM([1]Raw_Data!C418)</f>
        <v>Protein</v>
      </c>
      <c r="D420" s="3">
        <f>[1]Raw_Data!D418</f>
        <v>129</v>
      </c>
      <c r="E420" s="4">
        <f>[1]Raw_Data!E418</f>
        <v>15.01</v>
      </c>
      <c r="F420" s="5">
        <f>[1]Raw_Data!F418</f>
        <v>1936.29</v>
      </c>
      <c r="G420" s="4">
        <f>[1]Raw_Data!G418</f>
        <v>0</v>
      </c>
      <c r="H420" s="3">
        <f>[1]Raw_Data!H418</f>
        <v>2</v>
      </c>
      <c r="I420" s="3" t="str">
        <f>TRIM([1]Raw_Data!I418)</f>
        <v>UK</v>
      </c>
      <c r="J420" s="3" t="str">
        <f>TRIM([1]Raw_Data!J418)</f>
        <v>iHerb</v>
      </c>
      <c r="K420" s="3">
        <f t="shared" si="24"/>
        <v>2020</v>
      </c>
      <c r="L420" s="6">
        <f t="shared" si="25"/>
        <v>44013</v>
      </c>
      <c r="M420" s="3" t="str">
        <f t="shared" si="26"/>
        <v>0% to 5%</v>
      </c>
      <c r="N420" s="3" t="str">
        <f t="shared" si="27"/>
        <v>OK</v>
      </c>
    </row>
    <row r="421" spans="1:14" x14ac:dyDescent="0.3">
      <c r="A421" s="2">
        <f>DATE(VALUE(RIGHT(TRIM([1]Raw_Data!A419),4)),VALUE(MID(TRIM([1]Raw_Data!A419),4,2)),VALUE(LEFT(TRIM([1]Raw_Data!A419),2)))</f>
        <v>44018</v>
      </c>
      <c r="B421" s="3" t="str">
        <f>TRIM([1]Raw_Data!B419)</f>
        <v>Vitamin C</v>
      </c>
      <c r="C421" s="3" t="str">
        <f>TRIM([1]Raw_Data!C419)</f>
        <v>Vitamin</v>
      </c>
      <c r="D421" s="3">
        <f>[1]Raw_Data!D419</f>
        <v>154</v>
      </c>
      <c r="E421" s="4">
        <f>[1]Raw_Data!E419</f>
        <v>21.69</v>
      </c>
      <c r="F421" s="5">
        <f>[1]Raw_Data!F419</f>
        <v>3340.26</v>
      </c>
      <c r="G421" s="4">
        <f>[1]Raw_Data!G419</f>
        <v>0.01</v>
      </c>
      <c r="H421" s="3">
        <f>[1]Raw_Data!H419</f>
        <v>3</v>
      </c>
      <c r="I421" s="3" t="str">
        <f>TRIM([1]Raw_Data!I419)</f>
        <v>Canada</v>
      </c>
      <c r="J421" s="3" t="str">
        <f>TRIM([1]Raw_Data!J419)</f>
        <v>Walmart</v>
      </c>
      <c r="K421" s="3">
        <f t="shared" si="24"/>
        <v>2020</v>
      </c>
      <c r="L421" s="6">
        <f t="shared" si="25"/>
        <v>44013</v>
      </c>
      <c r="M421" s="3" t="str">
        <f t="shared" si="26"/>
        <v>0% to 5%</v>
      </c>
      <c r="N421" s="3" t="str">
        <f t="shared" si="27"/>
        <v>OK</v>
      </c>
    </row>
    <row r="422" spans="1:14" x14ac:dyDescent="0.3">
      <c r="A422" s="2">
        <f>DATE(VALUE(RIGHT(TRIM([1]Raw_Data!A420),4)),VALUE(MID(TRIM([1]Raw_Data!A420),4,2)),VALUE(LEFT(TRIM([1]Raw_Data!A420),2)))</f>
        <v>44018</v>
      </c>
      <c r="B422" s="3" t="str">
        <f>TRIM([1]Raw_Data!B420)</f>
        <v>Fish Oil</v>
      </c>
      <c r="C422" s="3" t="str">
        <f>TRIM([1]Raw_Data!C420)</f>
        <v>Omega</v>
      </c>
      <c r="D422" s="3">
        <f>[1]Raw_Data!D420</f>
        <v>140</v>
      </c>
      <c r="E422" s="4">
        <f>[1]Raw_Data!E420</f>
        <v>56.32</v>
      </c>
      <c r="F422" s="5">
        <f>[1]Raw_Data!F420</f>
        <v>7884.8</v>
      </c>
      <c r="G422" s="4">
        <f>[1]Raw_Data!G420</f>
        <v>0.1</v>
      </c>
      <c r="H422" s="3">
        <f>[1]Raw_Data!H420</f>
        <v>0</v>
      </c>
      <c r="I422" s="3" t="str">
        <f>TRIM([1]Raw_Data!I420)</f>
        <v>USA</v>
      </c>
      <c r="J422" s="3" t="str">
        <f>TRIM([1]Raw_Data!J420)</f>
        <v>Amazon</v>
      </c>
      <c r="K422" s="3">
        <f t="shared" si="24"/>
        <v>2020</v>
      </c>
      <c r="L422" s="6">
        <f t="shared" si="25"/>
        <v>44013</v>
      </c>
      <c r="M422" s="3" t="str">
        <f t="shared" si="26"/>
        <v>6% to 10%</v>
      </c>
      <c r="N422" s="3" t="str">
        <f t="shared" si="27"/>
        <v>OK</v>
      </c>
    </row>
    <row r="423" spans="1:14" x14ac:dyDescent="0.3">
      <c r="A423" s="2">
        <f>DATE(VALUE(RIGHT(TRIM([1]Raw_Data!A421),4)),VALUE(MID(TRIM([1]Raw_Data!A421),4,2)),VALUE(LEFT(TRIM([1]Raw_Data!A421),2)))</f>
        <v>44018</v>
      </c>
      <c r="B423" s="3" t="str">
        <f>TRIM([1]Raw_Data!B421)</f>
        <v>Multivitamin</v>
      </c>
      <c r="C423" s="3" t="str">
        <f>TRIM([1]Raw_Data!C421)</f>
        <v>Vitamin</v>
      </c>
      <c r="D423" s="3">
        <f>[1]Raw_Data!D421</f>
        <v>146</v>
      </c>
      <c r="E423" s="4">
        <f>[1]Raw_Data!E421</f>
        <v>39.159999999999997</v>
      </c>
      <c r="F423" s="5">
        <f>[1]Raw_Data!F421</f>
        <v>5717.36</v>
      </c>
      <c r="G423" s="4">
        <f>[1]Raw_Data!G421</f>
        <v>0</v>
      </c>
      <c r="H423" s="3">
        <f>[1]Raw_Data!H421</f>
        <v>2</v>
      </c>
      <c r="I423" s="3" t="str">
        <f>TRIM([1]Raw_Data!I421)</f>
        <v>Canada</v>
      </c>
      <c r="J423" s="3" t="str">
        <f>TRIM([1]Raw_Data!J421)</f>
        <v>Walmart</v>
      </c>
      <c r="K423" s="3">
        <f t="shared" si="24"/>
        <v>2020</v>
      </c>
      <c r="L423" s="6">
        <f t="shared" si="25"/>
        <v>44013</v>
      </c>
      <c r="M423" s="3" t="str">
        <f t="shared" si="26"/>
        <v>0% to 5%</v>
      </c>
      <c r="N423" s="3" t="str">
        <f t="shared" si="27"/>
        <v>OK</v>
      </c>
    </row>
    <row r="424" spans="1:14" x14ac:dyDescent="0.3">
      <c r="A424" s="2">
        <f>DATE(VALUE(RIGHT(TRIM([1]Raw_Data!A422),4)),VALUE(MID(TRIM([1]Raw_Data!A422),4,2)),VALUE(LEFT(TRIM([1]Raw_Data!A422),2)))</f>
        <v>44018</v>
      </c>
      <c r="B424" s="3" t="str">
        <f>TRIM([1]Raw_Data!B422)</f>
        <v>Pre-Workout</v>
      </c>
      <c r="C424" s="3" t="str">
        <f>TRIM([1]Raw_Data!C422)</f>
        <v>Performance</v>
      </c>
      <c r="D424" s="3">
        <f>[1]Raw_Data!D422</f>
        <v>143</v>
      </c>
      <c r="E424" s="4">
        <f>[1]Raw_Data!E422</f>
        <v>39.42</v>
      </c>
      <c r="F424" s="5">
        <f>[1]Raw_Data!F422</f>
        <v>5637.06</v>
      </c>
      <c r="G424" s="4">
        <f>[1]Raw_Data!G422</f>
        <v>0.1</v>
      </c>
      <c r="H424" s="3">
        <f>[1]Raw_Data!H422</f>
        <v>4</v>
      </c>
      <c r="I424" s="3" t="str">
        <f>TRIM([1]Raw_Data!I422)</f>
        <v>UK</v>
      </c>
      <c r="J424" s="3" t="str">
        <f>TRIM([1]Raw_Data!J422)</f>
        <v>Walmart</v>
      </c>
      <c r="K424" s="3">
        <f t="shared" si="24"/>
        <v>2020</v>
      </c>
      <c r="L424" s="6">
        <f t="shared" si="25"/>
        <v>44013</v>
      </c>
      <c r="M424" s="3" t="str">
        <f t="shared" si="26"/>
        <v>6% to 10%</v>
      </c>
      <c r="N424" s="3" t="str">
        <f t="shared" si="27"/>
        <v>OK</v>
      </c>
    </row>
    <row r="425" spans="1:14" x14ac:dyDescent="0.3">
      <c r="A425" s="2">
        <f>DATE(VALUE(RIGHT(TRIM([1]Raw_Data!A423),4)),VALUE(MID(TRIM([1]Raw_Data!A423),4,2)),VALUE(LEFT(TRIM([1]Raw_Data!A423),2)))</f>
        <v>44018</v>
      </c>
      <c r="B425" s="3" t="str">
        <f>TRIM([1]Raw_Data!B423)</f>
        <v>BCAA</v>
      </c>
      <c r="C425" s="3" t="str">
        <f>TRIM([1]Raw_Data!C423)</f>
        <v>Amino Acid</v>
      </c>
      <c r="D425" s="3">
        <f>[1]Raw_Data!D423</f>
        <v>151</v>
      </c>
      <c r="E425" s="4">
        <f>[1]Raw_Data!E423</f>
        <v>45.47</v>
      </c>
      <c r="F425" s="5">
        <f>[1]Raw_Data!F423</f>
        <v>6865.97</v>
      </c>
      <c r="G425" s="4">
        <f>[1]Raw_Data!G423</f>
        <v>7.0000000000000007E-2</v>
      </c>
      <c r="H425" s="3">
        <f>[1]Raw_Data!H423</f>
        <v>3</v>
      </c>
      <c r="I425" s="3" t="str">
        <f>TRIM([1]Raw_Data!I423)</f>
        <v>Canada</v>
      </c>
      <c r="J425" s="3" t="str">
        <f>TRIM([1]Raw_Data!J423)</f>
        <v>iHerb</v>
      </c>
      <c r="K425" s="3">
        <f t="shared" si="24"/>
        <v>2020</v>
      </c>
      <c r="L425" s="6">
        <f t="shared" si="25"/>
        <v>44013</v>
      </c>
      <c r="M425" s="3" t="str">
        <f t="shared" si="26"/>
        <v>6% to 10%</v>
      </c>
      <c r="N425" s="3" t="str">
        <f t="shared" si="27"/>
        <v>OK</v>
      </c>
    </row>
    <row r="426" spans="1:14" x14ac:dyDescent="0.3">
      <c r="A426" s="2">
        <f>DATE(VALUE(RIGHT(TRIM([1]Raw_Data!A424),4)),VALUE(MID(TRIM([1]Raw_Data!A424),4,2)),VALUE(LEFT(TRIM([1]Raw_Data!A424),2)))</f>
        <v>44018</v>
      </c>
      <c r="B426" s="3" t="str">
        <f>TRIM([1]Raw_Data!B424)</f>
        <v>Creatine</v>
      </c>
      <c r="C426" s="3" t="str">
        <f>TRIM([1]Raw_Data!C424)</f>
        <v>Performance</v>
      </c>
      <c r="D426" s="3">
        <f>[1]Raw_Data!D424</f>
        <v>145</v>
      </c>
      <c r="E426" s="4">
        <f>[1]Raw_Data!E424</f>
        <v>12.53</v>
      </c>
      <c r="F426" s="5">
        <f>[1]Raw_Data!F424</f>
        <v>1816.85</v>
      </c>
      <c r="G426" s="4">
        <f>[1]Raw_Data!G424</f>
        <v>0.11</v>
      </c>
      <c r="H426" s="3">
        <f>[1]Raw_Data!H424</f>
        <v>3</v>
      </c>
      <c r="I426" s="3" t="str">
        <f>TRIM([1]Raw_Data!I424)</f>
        <v>USA</v>
      </c>
      <c r="J426" s="3" t="str">
        <f>TRIM([1]Raw_Data!J424)</f>
        <v>Amazon</v>
      </c>
      <c r="K426" s="3">
        <f t="shared" si="24"/>
        <v>2020</v>
      </c>
      <c r="L426" s="6">
        <f t="shared" si="25"/>
        <v>44013</v>
      </c>
      <c r="M426" s="3" t="str">
        <f t="shared" si="26"/>
        <v>11% to 15%</v>
      </c>
      <c r="N426" s="3" t="str">
        <f t="shared" si="27"/>
        <v>OK</v>
      </c>
    </row>
    <row r="427" spans="1:14" x14ac:dyDescent="0.3">
      <c r="A427" s="2">
        <f>DATE(VALUE(RIGHT(TRIM([1]Raw_Data!A425),4)),VALUE(MID(TRIM([1]Raw_Data!A425),4,2)),VALUE(LEFT(TRIM([1]Raw_Data!A425),2)))</f>
        <v>44018</v>
      </c>
      <c r="B427" s="3" t="str">
        <f>TRIM([1]Raw_Data!B425)</f>
        <v>Zinc</v>
      </c>
      <c r="C427" s="3" t="str">
        <f>TRIM([1]Raw_Data!C425)</f>
        <v>Mineral</v>
      </c>
      <c r="D427" s="3">
        <f>[1]Raw_Data!D425</f>
        <v>162</v>
      </c>
      <c r="E427" s="4">
        <f>[1]Raw_Data!E425</f>
        <v>21.3</v>
      </c>
      <c r="F427" s="5">
        <f>[1]Raw_Data!F425</f>
        <v>3450.6</v>
      </c>
      <c r="G427" s="4">
        <f>[1]Raw_Data!G425</f>
        <v>0.2</v>
      </c>
      <c r="H427" s="3">
        <f>[1]Raw_Data!H425</f>
        <v>4</v>
      </c>
      <c r="I427" s="3" t="str">
        <f>TRIM([1]Raw_Data!I425)</f>
        <v>UK</v>
      </c>
      <c r="J427" s="3" t="str">
        <f>TRIM([1]Raw_Data!J425)</f>
        <v>Walmart</v>
      </c>
      <c r="K427" s="3">
        <f t="shared" si="24"/>
        <v>2020</v>
      </c>
      <c r="L427" s="6">
        <f t="shared" si="25"/>
        <v>44013</v>
      </c>
      <c r="M427" s="3" t="str">
        <f t="shared" si="26"/>
        <v>16% to 20%</v>
      </c>
      <c r="N427" s="3" t="str">
        <f t="shared" si="27"/>
        <v>OK</v>
      </c>
    </row>
    <row r="428" spans="1:14" x14ac:dyDescent="0.3">
      <c r="A428" s="2">
        <f>DATE(VALUE(RIGHT(TRIM([1]Raw_Data!A426),4)),VALUE(MID(TRIM([1]Raw_Data!A426),4,2)),VALUE(LEFT(TRIM([1]Raw_Data!A426),2)))</f>
        <v>44018</v>
      </c>
      <c r="B428" s="3" t="str">
        <f>TRIM([1]Raw_Data!B426)</f>
        <v>Collagen Peptides</v>
      </c>
      <c r="C428" s="3" t="str">
        <f>TRIM([1]Raw_Data!C426)</f>
        <v>Protein</v>
      </c>
      <c r="D428" s="3">
        <f>[1]Raw_Data!D426</f>
        <v>131</v>
      </c>
      <c r="E428" s="4">
        <f>[1]Raw_Data!E426</f>
        <v>26.87</v>
      </c>
      <c r="F428" s="5">
        <f>[1]Raw_Data!F426</f>
        <v>3519.97</v>
      </c>
      <c r="G428" s="4">
        <f>[1]Raw_Data!G426</f>
        <v>0.22</v>
      </c>
      <c r="H428" s="3">
        <f>[1]Raw_Data!H426</f>
        <v>0</v>
      </c>
      <c r="I428" s="3" t="str">
        <f>TRIM([1]Raw_Data!I426)</f>
        <v>USA</v>
      </c>
      <c r="J428" s="3" t="str">
        <f>TRIM([1]Raw_Data!J426)</f>
        <v>Walmart</v>
      </c>
      <c r="K428" s="3">
        <f t="shared" si="24"/>
        <v>2020</v>
      </c>
      <c r="L428" s="6">
        <f t="shared" si="25"/>
        <v>44013</v>
      </c>
      <c r="M428" s="3" t="str">
        <f t="shared" si="26"/>
        <v>21% to 25%</v>
      </c>
      <c r="N428" s="3" t="str">
        <f t="shared" si="27"/>
        <v>OK</v>
      </c>
    </row>
    <row r="429" spans="1:14" x14ac:dyDescent="0.3">
      <c r="A429" s="2">
        <f>DATE(VALUE(RIGHT(TRIM([1]Raw_Data!A427),4)),VALUE(MID(TRIM([1]Raw_Data!A427),4,2)),VALUE(LEFT(TRIM([1]Raw_Data!A427),2)))</f>
        <v>44018</v>
      </c>
      <c r="B429" s="3" t="str">
        <f>TRIM([1]Raw_Data!B427)</f>
        <v>Magnesium</v>
      </c>
      <c r="C429" s="3" t="str">
        <f>TRIM([1]Raw_Data!C427)</f>
        <v>Mineral</v>
      </c>
      <c r="D429" s="3">
        <f>[1]Raw_Data!D427</f>
        <v>139</v>
      </c>
      <c r="E429" s="4">
        <f>[1]Raw_Data!E427</f>
        <v>12.56</v>
      </c>
      <c r="F429" s="5">
        <f>[1]Raw_Data!F427</f>
        <v>1745.84</v>
      </c>
      <c r="G429" s="4">
        <f>[1]Raw_Data!G427</f>
        <v>0.12</v>
      </c>
      <c r="H429" s="3">
        <f>[1]Raw_Data!H427</f>
        <v>1</v>
      </c>
      <c r="I429" s="3" t="str">
        <f>TRIM([1]Raw_Data!I427)</f>
        <v>UK</v>
      </c>
      <c r="J429" s="3" t="str">
        <f>TRIM([1]Raw_Data!J427)</f>
        <v>iHerb</v>
      </c>
      <c r="K429" s="3">
        <f t="shared" si="24"/>
        <v>2020</v>
      </c>
      <c r="L429" s="6">
        <f t="shared" si="25"/>
        <v>44013</v>
      </c>
      <c r="M429" s="3" t="str">
        <f t="shared" si="26"/>
        <v>11% to 15%</v>
      </c>
      <c r="N429" s="3" t="str">
        <f t="shared" si="27"/>
        <v>OK</v>
      </c>
    </row>
    <row r="430" spans="1:14" x14ac:dyDescent="0.3">
      <c r="A430" s="2">
        <f>DATE(VALUE(RIGHT(TRIM([1]Raw_Data!A428),4)),VALUE(MID(TRIM([1]Raw_Data!A428),4,2)),VALUE(LEFT(TRIM([1]Raw_Data!A428),2)))</f>
        <v>44018</v>
      </c>
      <c r="B430" s="3" t="str">
        <f>TRIM([1]Raw_Data!B428)</f>
        <v>Ashwagandha</v>
      </c>
      <c r="C430" s="3" t="str">
        <f>TRIM([1]Raw_Data!C428)</f>
        <v>Herbal</v>
      </c>
      <c r="D430" s="3">
        <f>[1]Raw_Data!D428</f>
        <v>144</v>
      </c>
      <c r="E430" s="4">
        <f>[1]Raw_Data!E428</f>
        <v>36.5</v>
      </c>
      <c r="F430" s="5">
        <f>[1]Raw_Data!F428</f>
        <v>5256</v>
      </c>
      <c r="G430" s="4">
        <f>[1]Raw_Data!G428</f>
        <v>0.04</v>
      </c>
      <c r="H430" s="3">
        <f>[1]Raw_Data!H428</f>
        <v>1</v>
      </c>
      <c r="I430" s="3" t="str">
        <f>TRIM([1]Raw_Data!I428)</f>
        <v>USA</v>
      </c>
      <c r="J430" s="3" t="str">
        <f>TRIM([1]Raw_Data!J428)</f>
        <v>iHerb</v>
      </c>
      <c r="K430" s="3">
        <f t="shared" si="24"/>
        <v>2020</v>
      </c>
      <c r="L430" s="6">
        <f t="shared" si="25"/>
        <v>44013</v>
      </c>
      <c r="M430" s="3" t="str">
        <f t="shared" si="26"/>
        <v>0% to 5%</v>
      </c>
      <c r="N430" s="3" t="str">
        <f t="shared" si="27"/>
        <v>OK</v>
      </c>
    </row>
    <row r="431" spans="1:14" x14ac:dyDescent="0.3">
      <c r="A431" s="2">
        <f>DATE(VALUE(RIGHT(TRIM([1]Raw_Data!A429),4)),VALUE(MID(TRIM([1]Raw_Data!A429),4,2)),VALUE(LEFT(TRIM([1]Raw_Data!A429),2)))</f>
        <v>44018</v>
      </c>
      <c r="B431" s="3" t="str">
        <f>TRIM([1]Raw_Data!B429)</f>
        <v>Melatonin</v>
      </c>
      <c r="C431" s="3" t="str">
        <f>TRIM([1]Raw_Data!C429)</f>
        <v>Sleep Aid</v>
      </c>
      <c r="D431" s="3">
        <f>[1]Raw_Data!D429</f>
        <v>162</v>
      </c>
      <c r="E431" s="4">
        <f>[1]Raw_Data!E429</f>
        <v>17.690000000000001</v>
      </c>
      <c r="F431" s="5">
        <f>[1]Raw_Data!F429</f>
        <v>2865.78</v>
      </c>
      <c r="G431" s="4">
        <f>[1]Raw_Data!G429</f>
        <v>0.04</v>
      </c>
      <c r="H431" s="3">
        <f>[1]Raw_Data!H429</f>
        <v>1</v>
      </c>
      <c r="I431" s="3" t="str">
        <f>TRIM([1]Raw_Data!I429)</f>
        <v>Canada</v>
      </c>
      <c r="J431" s="3" t="str">
        <f>TRIM([1]Raw_Data!J429)</f>
        <v>Walmart</v>
      </c>
      <c r="K431" s="3">
        <f t="shared" si="24"/>
        <v>2020</v>
      </c>
      <c r="L431" s="6">
        <f t="shared" si="25"/>
        <v>44013</v>
      </c>
      <c r="M431" s="3" t="str">
        <f t="shared" si="26"/>
        <v>0% to 5%</v>
      </c>
      <c r="N431" s="3" t="str">
        <f t="shared" si="27"/>
        <v>OK</v>
      </c>
    </row>
    <row r="432" spans="1:14" x14ac:dyDescent="0.3">
      <c r="A432" s="2">
        <f>DATE(VALUE(RIGHT(TRIM([1]Raw_Data!A430),4)),VALUE(MID(TRIM([1]Raw_Data!A430),4,2)),VALUE(LEFT(TRIM([1]Raw_Data!A430),2)))</f>
        <v>44018</v>
      </c>
      <c r="B432" s="3" t="str">
        <f>TRIM([1]Raw_Data!B430)</f>
        <v>Biotin</v>
      </c>
      <c r="C432" s="3" t="str">
        <f>TRIM([1]Raw_Data!C430)</f>
        <v>Vitamin</v>
      </c>
      <c r="D432" s="3">
        <f>[1]Raw_Data!D430</f>
        <v>145</v>
      </c>
      <c r="E432" s="4">
        <f>[1]Raw_Data!E430</f>
        <v>43.98</v>
      </c>
      <c r="F432" s="5">
        <f>[1]Raw_Data!F430</f>
        <v>6377.1</v>
      </c>
      <c r="G432" s="4">
        <f>[1]Raw_Data!G430</f>
        <v>0.01</v>
      </c>
      <c r="H432" s="3">
        <f>[1]Raw_Data!H430</f>
        <v>0</v>
      </c>
      <c r="I432" s="3" t="str">
        <f>TRIM([1]Raw_Data!I430)</f>
        <v>USA</v>
      </c>
      <c r="J432" s="3" t="str">
        <f>TRIM([1]Raw_Data!J430)</f>
        <v>Amazon</v>
      </c>
      <c r="K432" s="3">
        <f t="shared" si="24"/>
        <v>2020</v>
      </c>
      <c r="L432" s="6">
        <f t="shared" si="25"/>
        <v>44013</v>
      </c>
      <c r="M432" s="3" t="str">
        <f t="shared" si="26"/>
        <v>0% to 5%</v>
      </c>
      <c r="N432" s="3" t="str">
        <f t="shared" si="27"/>
        <v>OK</v>
      </c>
    </row>
    <row r="433" spans="1:14" x14ac:dyDescent="0.3">
      <c r="A433" s="2">
        <f>DATE(VALUE(RIGHT(TRIM([1]Raw_Data!A431),4)),VALUE(MID(TRIM([1]Raw_Data!A431),4,2)),VALUE(LEFT(TRIM([1]Raw_Data!A431),2)))</f>
        <v>44018</v>
      </c>
      <c r="B433" s="3" t="str">
        <f>TRIM([1]Raw_Data!B431)</f>
        <v>Green Tea Extract</v>
      </c>
      <c r="C433" s="3" t="str">
        <f>TRIM([1]Raw_Data!C431)</f>
        <v>Fat Burner</v>
      </c>
      <c r="D433" s="3">
        <f>[1]Raw_Data!D431</f>
        <v>146</v>
      </c>
      <c r="E433" s="4">
        <f>[1]Raw_Data!E431</f>
        <v>19.670000000000002</v>
      </c>
      <c r="F433" s="5">
        <f>[1]Raw_Data!F431</f>
        <v>2871.82</v>
      </c>
      <c r="G433" s="4">
        <f>[1]Raw_Data!G431</f>
        <v>0.16</v>
      </c>
      <c r="H433" s="3">
        <f>[1]Raw_Data!H431</f>
        <v>1</v>
      </c>
      <c r="I433" s="3" t="str">
        <f>TRIM([1]Raw_Data!I431)</f>
        <v>Canada</v>
      </c>
      <c r="J433" s="3" t="str">
        <f>TRIM([1]Raw_Data!J431)</f>
        <v>iHerb</v>
      </c>
      <c r="K433" s="3">
        <f t="shared" si="24"/>
        <v>2020</v>
      </c>
      <c r="L433" s="6">
        <f t="shared" si="25"/>
        <v>44013</v>
      </c>
      <c r="M433" s="3" t="str">
        <f t="shared" si="26"/>
        <v>16% to 20%</v>
      </c>
      <c r="N433" s="3" t="str">
        <f t="shared" si="27"/>
        <v>OK</v>
      </c>
    </row>
    <row r="434" spans="1:14" x14ac:dyDescent="0.3">
      <c r="A434" s="2">
        <f>DATE(VALUE(RIGHT(TRIM([1]Raw_Data!A432),4)),VALUE(MID(TRIM([1]Raw_Data!A432),4,2)),VALUE(LEFT(TRIM([1]Raw_Data!A432),2)))</f>
        <v>44018</v>
      </c>
      <c r="B434" s="3" t="str">
        <f>TRIM([1]Raw_Data!B432)</f>
        <v>Iron Supplement</v>
      </c>
      <c r="C434" s="3" t="str">
        <f>TRIM([1]Raw_Data!C432)</f>
        <v>Mineral</v>
      </c>
      <c r="D434" s="3">
        <f>[1]Raw_Data!D432</f>
        <v>167</v>
      </c>
      <c r="E434" s="4">
        <f>[1]Raw_Data!E432</f>
        <v>24.86</v>
      </c>
      <c r="F434" s="5">
        <f>[1]Raw_Data!F432</f>
        <v>4151.62</v>
      </c>
      <c r="G434" s="4">
        <f>[1]Raw_Data!G432</f>
        <v>0.06</v>
      </c>
      <c r="H434" s="3">
        <f>[1]Raw_Data!H432</f>
        <v>1</v>
      </c>
      <c r="I434" s="3" t="str">
        <f>TRIM([1]Raw_Data!I432)</f>
        <v>UK</v>
      </c>
      <c r="J434" s="3" t="str">
        <f>TRIM([1]Raw_Data!J432)</f>
        <v>Walmart</v>
      </c>
      <c r="K434" s="3">
        <f t="shared" si="24"/>
        <v>2020</v>
      </c>
      <c r="L434" s="6">
        <f t="shared" si="25"/>
        <v>44013</v>
      </c>
      <c r="M434" s="3" t="str">
        <f t="shared" si="26"/>
        <v>6% to 10%</v>
      </c>
      <c r="N434" s="3" t="str">
        <f t="shared" si="27"/>
        <v>OK</v>
      </c>
    </row>
    <row r="435" spans="1:14" x14ac:dyDescent="0.3">
      <c r="A435" s="2">
        <f>DATE(VALUE(RIGHT(TRIM([1]Raw_Data!A433),4)),VALUE(MID(TRIM([1]Raw_Data!A433),4,2)),VALUE(LEFT(TRIM([1]Raw_Data!A433),2)))</f>
        <v>44018</v>
      </c>
      <c r="B435" s="3" t="str">
        <f>TRIM([1]Raw_Data!B433)</f>
        <v>Electrolyte Powder</v>
      </c>
      <c r="C435" s="3" t="str">
        <f>TRIM([1]Raw_Data!C433)</f>
        <v>Hydration</v>
      </c>
      <c r="D435" s="3">
        <f>[1]Raw_Data!D433</f>
        <v>140</v>
      </c>
      <c r="E435" s="4">
        <f>[1]Raw_Data!E433</f>
        <v>51.3</v>
      </c>
      <c r="F435" s="5">
        <f>[1]Raw_Data!F433</f>
        <v>7182</v>
      </c>
      <c r="G435" s="4">
        <f>[1]Raw_Data!G433</f>
        <v>0.17</v>
      </c>
      <c r="H435" s="3">
        <f>[1]Raw_Data!H433</f>
        <v>2</v>
      </c>
      <c r="I435" s="3" t="str">
        <f>TRIM([1]Raw_Data!I433)</f>
        <v>USA</v>
      </c>
      <c r="J435" s="3" t="str">
        <f>TRIM([1]Raw_Data!J433)</f>
        <v>Amazon</v>
      </c>
      <c r="K435" s="3">
        <f t="shared" si="24"/>
        <v>2020</v>
      </c>
      <c r="L435" s="6">
        <f t="shared" si="25"/>
        <v>44013</v>
      </c>
      <c r="M435" s="3" t="str">
        <f t="shared" si="26"/>
        <v>16% to 20%</v>
      </c>
      <c r="N435" s="3" t="str">
        <f t="shared" si="27"/>
        <v>OK</v>
      </c>
    </row>
    <row r="436" spans="1:14" x14ac:dyDescent="0.3">
      <c r="A436" s="2">
        <f>DATE(VALUE(RIGHT(TRIM([1]Raw_Data!A434),4)),VALUE(MID(TRIM([1]Raw_Data!A434),4,2)),VALUE(LEFT(TRIM([1]Raw_Data!A434),2)))</f>
        <v>44025</v>
      </c>
      <c r="B436" s="3" t="str">
        <f>TRIM([1]Raw_Data!B434)</f>
        <v>Whey Protein</v>
      </c>
      <c r="C436" s="3" t="str">
        <f>TRIM([1]Raw_Data!C434)</f>
        <v>Protein</v>
      </c>
      <c r="D436" s="3">
        <f>[1]Raw_Data!D434</f>
        <v>146</v>
      </c>
      <c r="E436" s="4">
        <f>[1]Raw_Data!E434</f>
        <v>46.9</v>
      </c>
      <c r="F436" s="5">
        <f>[1]Raw_Data!F434</f>
        <v>6847.4</v>
      </c>
      <c r="G436" s="4">
        <f>[1]Raw_Data!G434</f>
        <v>0.09</v>
      </c>
      <c r="H436" s="3">
        <f>[1]Raw_Data!H434</f>
        <v>2</v>
      </c>
      <c r="I436" s="3" t="str">
        <f>TRIM([1]Raw_Data!I434)</f>
        <v>Canada</v>
      </c>
      <c r="J436" s="3" t="str">
        <f>TRIM([1]Raw_Data!J434)</f>
        <v>iHerb</v>
      </c>
      <c r="K436" s="3">
        <f t="shared" si="24"/>
        <v>2020</v>
      </c>
      <c r="L436" s="6">
        <f t="shared" si="25"/>
        <v>44013</v>
      </c>
      <c r="M436" s="3" t="str">
        <f t="shared" si="26"/>
        <v>6% to 10%</v>
      </c>
      <c r="N436" s="3" t="str">
        <f t="shared" si="27"/>
        <v>OK</v>
      </c>
    </row>
    <row r="437" spans="1:14" x14ac:dyDescent="0.3">
      <c r="A437" s="2">
        <f>DATE(VALUE(RIGHT(TRIM([1]Raw_Data!A435),4)),VALUE(MID(TRIM([1]Raw_Data!A435),4,2)),VALUE(LEFT(TRIM([1]Raw_Data!A435),2)))</f>
        <v>44025</v>
      </c>
      <c r="B437" s="3" t="str">
        <f>TRIM([1]Raw_Data!B435)</f>
        <v>Vitamin C</v>
      </c>
      <c r="C437" s="3" t="str">
        <f>TRIM([1]Raw_Data!C435)</f>
        <v>Vitamin</v>
      </c>
      <c r="D437" s="3">
        <f>[1]Raw_Data!D435</f>
        <v>141</v>
      </c>
      <c r="E437" s="4">
        <f>[1]Raw_Data!E435</f>
        <v>59.63</v>
      </c>
      <c r="F437" s="5">
        <f>[1]Raw_Data!F435</f>
        <v>8407.83</v>
      </c>
      <c r="G437" s="4">
        <f>[1]Raw_Data!G435</f>
        <v>0.04</v>
      </c>
      <c r="H437" s="3">
        <f>[1]Raw_Data!H435</f>
        <v>5</v>
      </c>
      <c r="I437" s="3" t="str">
        <f>TRIM([1]Raw_Data!I435)</f>
        <v>Canada</v>
      </c>
      <c r="J437" s="3" t="str">
        <f>TRIM([1]Raw_Data!J435)</f>
        <v>iHerb</v>
      </c>
      <c r="K437" s="3">
        <f t="shared" si="24"/>
        <v>2020</v>
      </c>
      <c r="L437" s="6">
        <f t="shared" si="25"/>
        <v>44013</v>
      </c>
      <c r="M437" s="3" t="str">
        <f t="shared" si="26"/>
        <v>0% to 5%</v>
      </c>
      <c r="N437" s="3" t="str">
        <f t="shared" si="27"/>
        <v>OK</v>
      </c>
    </row>
    <row r="438" spans="1:14" x14ac:dyDescent="0.3">
      <c r="A438" s="2">
        <f>DATE(VALUE(RIGHT(TRIM([1]Raw_Data!A436),4)),VALUE(MID(TRIM([1]Raw_Data!A436),4,2)),VALUE(LEFT(TRIM([1]Raw_Data!A436),2)))</f>
        <v>44025</v>
      </c>
      <c r="B438" s="3" t="str">
        <f>TRIM([1]Raw_Data!B436)</f>
        <v>Fish Oil</v>
      </c>
      <c r="C438" s="3" t="str">
        <f>TRIM([1]Raw_Data!C436)</f>
        <v>Omega</v>
      </c>
      <c r="D438" s="3">
        <f>[1]Raw_Data!D436</f>
        <v>156</v>
      </c>
      <c r="E438" s="4">
        <f>[1]Raw_Data!E436</f>
        <v>53.31</v>
      </c>
      <c r="F438" s="5">
        <f>[1]Raw_Data!F436</f>
        <v>8316.36</v>
      </c>
      <c r="G438" s="4">
        <f>[1]Raw_Data!G436</f>
        <v>7.0000000000000007E-2</v>
      </c>
      <c r="H438" s="3">
        <f>[1]Raw_Data!H436</f>
        <v>1</v>
      </c>
      <c r="I438" s="3" t="str">
        <f>TRIM([1]Raw_Data!I436)</f>
        <v>Canada</v>
      </c>
      <c r="J438" s="3" t="str">
        <f>TRIM([1]Raw_Data!J436)</f>
        <v>iHerb</v>
      </c>
      <c r="K438" s="3">
        <f t="shared" si="24"/>
        <v>2020</v>
      </c>
      <c r="L438" s="6">
        <f t="shared" si="25"/>
        <v>44013</v>
      </c>
      <c r="M438" s="3" t="str">
        <f t="shared" si="26"/>
        <v>6% to 10%</v>
      </c>
      <c r="N438" s="3" t="str">
        <f t="shared" si="27"/>
        <v>OK</v>
      </c>
    </row>
    <row r="439" spans="1:14" x14ac:dyDescent="0.3">
      <c r="A439" s="2">
        <f>DATE(VALUE(RIGHT(TRIM([1]Raw_Data!A437),4)),VALUE(MID(TRIM([1]Raw_Data!A437),4,2)),VALUE(LEFT(TRIM([1]Raw_Data!A437),2)))</f>
        <v>44025</v>
      </c>
      <c r="B439" s="3" t="str">
        <f>TRIM([1]Raw_Data!B437)</f>
        <v>Multivitamin</v>
      </c>
      <c r="C439" s="3" t="str">
        <f>TRIM([1]Raw_Data!C437)</f>
        <v>Vitamin</v>
      </c>
      <c r="D439" s="3">
        <f>[1]Raw_Data!D437</f>
        <v>154</v>
      </c>
      <c r="E439" s="4">
        <f>[1]Raw_Data!E437</f>
        <v>31.37</v>
      </c>
      <c r="F439" s="5">
        <f>[1]Raw_Data!F437</f>
        <v>4830.9799999999996</v>
      </c>
      <c r="G439" s="4">
        <f>[1]Raw_Data!G437</f>
        <v>0.08</v>
      </c>
      <c r="H439" s="3">
        <f>[1]Raw_Data!H437</f>
        <v>2</v>
      </c>
      <c r="I439" s="3" t="str">
        <f>TRIM([1]Raw_Data!I437)</f>
        <v>USA</v>
      </c>
      <c r="J439" s="3" t="str">
        <f>TRIM([1]Raw_Data!J437)</f>
        <v>Walmart</v>
      </c>
      <c r="K439" s="3">
        <f t="shared" si="24"/>
        <v>2020</v>
      </c>
      <c r="L439" s="6">
        <f t="shared" si="25"/>
        <v>44013</v>
      </c>
      <c r="M439" s="3" t="str">
        <f t="shared" si="26"/>
        <v>6% to 10%</v>
      </c>
      <c r="N439" s="3" t="str">
        <f t="shared" si="27"/>
        <v>OK</v>
      </c>
    </row>
    <row r="440" spans="1:14" x14ac:dyDescent="0.3">
      <c r="A440" s="2">
        <f>DATE(VALUE(RIGHT(TRIM([1]Raw_Data!A438),4)),VALUE(MID(TRIM([1]Raw_Data!A438),4,2)),VALUE(LEFT(TRIM([1]Raw_Data!A438),2)))</f>
        <v>44025</v>
      </c>
      <c r="B440" s="3" t="str">
        <f>TRIM([1]Raw_Data!B438)</f>
        <v>Pre-Workout</v>
      </c>
      <c r="C440" s="3" t="str">
        <f>TRIM([1]Raw_Data!C438)</f>
        <v>Performance</v>
      </c>
      <c r="D440" s="3">
        <f>[1]Raw_Data!D438</f>
        <v>165</v>
      </c>
      <c r="E440" s="4">
        <f>[1]Raw_Data!E438</f>
        <v>56.72</v>
      </c>
      <c r="F440" s="5">
        <f>[1]Raw_Data!F438</f>
        <v>9358.7999999999993</v>
      </c>
      <c r="G440" s="4">
        <f>[1]Raw_Data!G438</f>
        <v>0.17</v>
      </c>
      <c r="H440" s="3">
        <f>[1]Raw_Data!H438</f>
        <v>3</v>
      </c>
      <c r="I440" s="3" t="str">
        <f>TRIM([1]Raw_Data!I438)</f>
        <v>UK</v>
      </c>
      <c r="J440" s="3" t="str">
        <f>TRIM([1]Raw_Data!J438)</f>
        <v>Amazon</v>
      </c>
      <c r="K440" s="3">
        <f t="shared" si="24"/>
        <v>2020</v>
      </c>
      <c r="L440" s="6">
        <f t="shared" si="25"/>
        <v>44013</v>
      </c>
      <c r="M440" s="3" t="str">
        <f t="shared" si="26"/>
        <v>16% to 20%</v>
      </c>
      <c r="N440" s="3" t="str">
        <f t="shared" si="27"/>
        <v>OK</v>
      </c>
    </row>
    <row r="441" spans="1:14" x14ac:dyDescent="0.3">
      <c r="A441" s="2">
        <f>DATE(VALUE(RIGHT(TRIM([1]Raw_Data!A439),4)),VALUE(MID(TRIM([1]Raw_Data!A439),4,2)),VALUE(LEFT(TRIM([1]Raw_Data!A439),2)))</f>
        <v>44025</v>
      </c>
      <c r="B441" s="3" t="str">
        <f>TRIM([1]Raw_Data!B439)</f>
        <v>BCAA</v>
      </c>
      <c r="C441" s="3" t="str">
        <f>TRIM([1]Raw_Data!C439)</f>
        <v>Amino Acid</v>
      </c>
      <c r="D441" s="3">
        <f>[1]Raw_Data!D439</f>
        <v>152</v>
      </c>
      <c r="E441" s="4">
        <f>[1]Raw_Data!E439</f>
        <v>10.81</v>
      </c>
      <c r="F441" s="5">
        <f>[1]Raw_Data!F439</f>
        <v>1643.12</v>
      </c>
      <c r="G441" s="4">
        <f>[1]Raw_Data!G439</f>
        <v>0.2</v>
      </c>
      <c r="H441" s="3">
        <f>[1]Raw_Data!H439</f>
        <v>0</v>
      </c>
      <c r="I441" s="3" t="str">
        <f>TRIM([1]Raw_Data!I439)</f>
        <v>USA</v>
      </c>
      <c r="J441" s="3" t="str">
        <f>TRIM([1]Raw_Data!J439)</f>
        <v>iHerb</v>
      </c>
      <c r="K441" s="3">
        <f t="shared" si="24"/>
        <v>2020</v>
      </c>
      <c r="L441" s="6">
        <f t="shared" si="25"/>
        <v>44013</v>
      </c>
      <c r="M441" s="3" t="str">
        <f t="shared" si="26"/>
        <v>16% to 20%</v>
      </c>
      <c r="N441" s="3" t="str">
        <f t="shared" si="27"/>
        <v>OK</v>
      </c>
    </row>
    <row r="442" spans="1:14" x14ac:dyDescent="0.3">
      <c r="A442" s="2">
        <f>DATE(VALUE(RIGHT(TRIM([1]Raw_Data!A440),4)),VALUE(MID(TRIM([1]Raw_Data!A440),4,2)),VALUE(LEFT(TRIM([1]Raw_Data!A440),2)))</f>
        <v>44025</v>
      </c>
      <c r="B442" s="3" t="str">
        <f>TRIM([1]Raw_Data!B440)</f>
        <v>Creatine</v>
      </c>
      <c r="C442" s="3" t="str">
        <f>TRIM([1]Raw_Data!C440)</f>
        <v>Performance</v>
      </c>
      <c r="D442" s="3">
        <f>[1]Raw_Data!D440</f>
        <v>142</v>
      </c>
      <c r="E442" s="4">
        <f>[1]Raw_Data!E440</f>
        <v>48.27</v>
      </c>
      <c r="F442" s="5">
        <f>[1]Raw_Data!F440</f>
        <v>6854.34</v>
      </c>
      <c r="G442" s="4">
        <f>[1]Raw_Data!G440</f>
        <v>0.06</v>
      </c>
      <c r="H442" s="3">
        <f>[1]Raw_Data!H440</f>
        <v>3</v>
      </c>
      <c r="I442" s="3" t="str">
        <f>TRIM([1]Raw_Data!I440)</f>
        <v>UK</v>
      </c>
      <c r="J442" s="3" t="str">
        <f>TRIM([1]Raw_Data!J440)</f>
        <v>Amazon</v>
      </c>
      <c r="K442" s="3">
        <f t="shared" si="24"/>
        <v>2020</v>
      </c>
      <c r="L442" s="6">
        <f t="shared" si="25"/>
        <v>44013</v>
      </c>
      <c r="M442" s="3" t="str">
        <f t="shared" si="26"/>
        <v>6% to 10%</v>
      </c>
      <c r="N442" s="3" t="str">
        <f t="shared" si="27"/>
        <v>OK</v>
      </c>
    </row>
    <row r="443" spans="1:14" x14ac:dyDescent="0.3">
      <c r="A443" s="2">
        <f>DATE(VALUE(RIGHT(TRIM([1]Raw_Data!A441),4)),VALUE(MID(TRIM([1]Raw_Data!A441),4,2)),VALUE(LEFT(TRIM([1]Raw_Data!A441),2)))</f>
        <v>44025</v>
      </c>
      <c r="B443" s="3" t="str">
        <f>TRIM([1]Raw_Data!B441)</f>
        <v>Zinc</v>
      </c>
      <c r="C443" s="3" t="str">
        <f>TRIM([1]Raw_Data!C441)</f>
        <v>Mineral</v>
      </c>
      <c r="D443" s="3">
        <f>[1]Raw_Data!D441</f>
        <v>132</v>
      </c>
      <c r="E443" s="4">
        <f>[1]Raw_Data!E441</f>
        <v>58.96</v>
      </c>
      <c r="F443" s="5">
        <f>[1]Raw_Data!F441</f>
        <v>7782.72</v>
      </c>
      <c r="G443" s="4">
        <f>[1]Raw_Data!G441</f>
        <v>0.17</v>
      </c>
      <c r="H443" s="3">
        <f>[1]Raw_Data!H441</f>
        <v>2</v>
      </c>
      <c r="I443" s="3" t="str">
        <f>TRIM([1]Raw_Data!I441)</f>
        <v>Canada</v>
      </c>
      <c r="J443" s="3" t="str">
        <f>TRIM([1]Raw_Data!J441)</f>
        <v>iHerb</v>
      </c>
      <c r="K443" s="3">
        <f t="shared" si="24"/>
        <v>2020</v>
      </c>
      <c r="L443" s="6">
        <f t="shared" si="25"/>
        <v>44013</v>
      </c>
      <c r="M443" s="3" t="str">
        <f t="shared" si="26"/>
        <v>16% to 20%</v>
      </c>
      <c r="N443" s="3" t="str">
        <f t="shared" si="27"/>
        <v>OK</v>
      </c>
    </row>
    <row r="444" spans="1:14" x14ac:dyDescent="0.3">
      <c r="A444" s="2">
        <f>DATE(VALUE(RIGHT(TRIM([1]Raw_Data!A442),4)),VALUE(MID(TRIM([1]Raw_Data!A442),4,2)),VALUE(LEFT(TRIM([1]Raw_Data!A442),2)))</f>
        <v>44025</v>
      </c>
      <c r="B444" s="3" t="str">
        <f>TRIM([1]Raw_Data!B442)</f>
        <v>Collagen Peptides</v>
      </c>
      <c r="C444" s="3" t="str">
        <f>TRIM([1]Raw_Data!C442)</f>
        <v>Protein</v>
      </c>
      <c r="D444" s="3">
        <f>[1]Raw_Data!D442</f>
        <v>144</v>
      </c>
      <c r="E444" s="4">
        <f>[1]Raw_Data!E442</f>
        <v>39.71</v>
      </c>
      <c r="F444" s="5">
        <f>[1]Raw_Data!F442</f>
        <v>5718.24</v>
      </c>
      <c r="G444" s="4">
        <f>[1]Raw_Data!G442</f>
        <v>0.15</v>
      </c>
      <c r="H444" s="3">
        <f>[1]Raw_Data!H442</f>
        <v>2</v>
      </c>
      <c r="I444" s="3" t="str">
        <f>TRIM([1]Raw_Data!I442)</f>
        <v>UK</v>
      </c>
      <c r="J444" s="3" t="str">
        <f>TRIM([1]Raw_Data!J442)</f>
        <v>Walmart</v>
      </c>
      <c r="K444" s="3">
        <f t="shared" si="24"/>
        <v>2020</v>
      </c>
      <c r="L444" s="6">
        <f t="shared" si="25"/>
        <v>44013</v>
      </c>
      <c r="M444" s="3" t="str">
        <f t="shared" si="26"/>
        <v>11% to 15%</v>
      </c>
      <c r="N444" s="3" t="str">
        <f t="shared" si="27"/>
        <v>OK</v>
      </c>
    </row>
    <row r="445" spans="1:14" x14ac:dyDescent="0.3">
      <c r="A445" s="2">
        <f>DATE(VALUE(RIGHT(TRIM([1]Raw_Data!A443),4)),VALUE(MID(TRIM([1]Raw_Data!A443),4,2)),VALUE(LEFT(TRIM([1]Raw_Data!A443),2)))</f>
        <v>44025</v>
      </c>
      <c r="B445" s="3" t="str">
        <f>TRIM([1]Raw_Data!B443)</f>
        <v>Magnesium</v>
      </c>
      <c r="C445" s="3" t="str">
        <f>TRIM([1]Raw_Data!C443)</f>
        <v>Mineral</v>
      </c>
      <c r="D445" s="3">
        <f>[1]Raw_Data!D443</f>
        <v>153</v>
      </c>
      <c r="E445" s="4">
        <f>[1]Raw_Data!E443</f>
        <v>23.8</v>
      </c>
      <c r="F445" s="5">
        <f>[1]Raw_Data!F443</f>
        <v>3641.4</v>
      </c>
      <c r="G445" s="4">
        <f>[1]Raw_Data!G443</f>
        <v>0.19</v>
      </c>
      <c r="H445" s="3">
        <f>[1]Raw_Data!H443</f>
        <v>1</v>
      </c>
      <c r="I445" s="3" t="str">
        <f>TRIM([1]Raw_Data!I443)</f>
        <v>Canada</v>
      </c>
      <c r="J445" s="3" t="str">
        <f>TRIM([1]Raw_Data!J443)</f>
        <v>iHerb</v>
      </c>
      <c r="K445" s="3">
        <f t="shared" si="24"/>
        <v>2020</v>
      </c>
      <c r="L445" s="6">
        <f t="shared" si="25"/>
        <v>44013</v>
      </c>
      <c r="M445" s="3" t="str">
        <f t="shared" si="26"/>
        <v>16% to 20%</v>
      </c>
      <c r="N445" s="3" t="str">
        <f t="shared" si="27"/>
        <v>OK</v>
      </c>
    </row>
    <row r="446" spans="1:14" x14ac:dyDescent="0.3">
      <c r="A446" s="2">
        <f>DATE(VALUE(RIGHT(TRIM([1]Raw_Data!A444),4)),VALUE(MID(TRIM([1]Raw_Data!A444),4,2)),VALUE(LEFT(TRIM([1]Raw_Data!A444),2)))</f>
        <v>44025</v>
      </c>
      <c r="B446" s="3" t="str">
        <f>TRIM([1]Raw_Data!B444)</f>
        <v>Ashwagandha</v>
      </c>
      <c r="C446" s="3" t="str">
        <f>TRIM([1]Raw_Data!C444)</f>
        <v>Herbal</v>
      </c>
      <c r="D446" s="3">
        <f>[1]Raw_Data!D444</f>
        <v>157</v>
      </c>
      <c r="E446" s="4">
        <f>[1]Raw_Data!E444</f>
        <v>41.27</v>
      </c>
      <c r="F446" s="5">
        <f>[1]Raw_Data!F444</f>
        <v>6479.39</v>
      </c>
      <c r="G446" s="4">
        <f>[1]Raw_Data!G444</f>
        <v>0.19</v>
      </c>
      <c r="H446" s="3">
        <f>[1]Raw_Data!H444</f>
        <v>1</v>
      </c>
      <c r="I446" s="3" t="str">
        <f>TRIM([1]Raw_Data!I444)</f>
        <v>Canada</v>
      </c>
      <c r="J446" s="3" t="str">
        <f>TRIM([1]Raw_Data!J444)</f>
        <v>iHerb</v>
      </c>
      <c r="K446" s="3">
        <f t="shared" si="24"/>
        <v>2020</v>
      </c>
      <c r="L446" s="6">
        <f t="shared" si="25"/>
        <v>44013</v>
      </c>
      <c r="M446" s="3" t="str">
        <f t="shared" si="26"/>
        <v>16% to 20%</v>
      </c>
      <c r="N446" s="3" t="str">
        <f t="shared" si="27"/>
        <v>OK</v>
      </c>
    </row>
    <row r="447" spans="1:14" x14ac:dyDescent="0.3">
      <c r="A447" s="2">
        <f>DATE(VALUE(RIGHT(TRIM([1]Raw_Data!A445),4)),VALUE(MID(TRIM([1]Raw_Data!A445),4,2)),VALUE(LEFT(TRIM([1]Raw_Data!A445),2)))</f>
        <v>44025</v>
      </c>
      <c r="B447" s="3" t="str">
        <f>TRIM([1]Raw_Data!B445)</f>
        <v>Melatonin</v>
      </c>
      <c r="C447" s="3" t="str">
        <f>TRIM([1]Raw_Data!C445)</f>
        <v>Sleep Aid</v>
      </c>
      <c r="D447" s="3">
        <f>[1]Raw_Data!D445</f>
        <v>125</v>
      </c>
      <c r="E447" s="4">
        <f>[1]Raw_Data!E445</f>
        <v>40.299999999999997</v>
      </c>
      <c r="F447" s="5">
        <f>[1]Raw_Data!F445</f>
        <v>5037.5</v>
      </c>
      <c r="G447" s="4">
        <f>[1]Raw_Data!G445</f>
        <v>0.21</v>
      </c>
      <c r="H447" s="3">
        <f>[1]Raw_Data!H445</f>
        <v>0</v>
      </c>
      <c r="I447" s="3" t="str">
        <f>TRIM([1]Raw_Data!I445)</f>
        <v>Canada</v>
      </c>
      <c r="J447" s="3" t="str">
        <f>TRIM([1]Raw_Data!J445)</f>
        <v>Amazon</v>
      </c>
      <c r="K447" s="3">
        <f t="shared" si="24"/>
        <v>2020</v>
      </c>
      <c r="L447" s="6">
        <f t="shared" si="25"/>
        <v>44013</v>
      </c>
      <c r="M447" s="3" t="str">
        <f t="shared" si="26"/>
        <v>21% to 25%</v>
      </c>
      <c r="N447" s="3" t="str">
        <f t="shared" si="27"/>
        <v>OK</v>
      </c>
    </row>
    <row r="448" spans="1:14" x14ac:dyDescent="0.3">
      <c r="A448" s="2">
        <f>DATE(VALUE(RIGHT(TRIM([1]Raw_Data!A446),4)),VALUE(MID(TRIM([1]Raw_Data!A446),4,2)),VALUE(LEFT(TRIM([1]Raw_Data!A446),2)))</f>
        <v>44025</v>
      </c>
      <c r="B448" s="3" t="str">
        <f>TRIM([1]Raw_Data!B446)</f>
        <v>Biotin</v>
      </c>
      <c r="C448" s="3" t="str">
        <f>TRIM([1]Raw_Data!C446)</f>
        <v>Vitamin</v>
      </c>
      <c r="D448" s="3">
        <f>[1]Raw_Data!D446</f>
        <v>159</v>
      </c>
      <c r="E448" s="4">
        <f>[1]Raw_Data!E446</f>
        <v>33.93</v>
      </c>
      <c r="F448" s="5">
        <f>[1]Raw_Data!F446</f>
        <v>5394.87</v>
      </c>
      <c r="G448" s="4">
        <f>[1]Raw_Data!G446</f>
        <v>0.23</v>
      </c>
      <c r="H448" s="3">
        <f>[1]Raw_Data!H446</f>
        <v>1</v>
      </c>
      <c r="I448" s="3" t="str">
        <f>TRIM([1]Raw_Data!I446)</f>
        <v>Canada</v>
      </c>
      <c r="J448" s="3" t="str">
        <f>TRIM([1]Raw_Data!J446)</f>
        <v>iHerb</v>
      </c>
      <c r="K448" s="3">
        <f t="shared" si="24"/>
        <v>2020</v>
      </c>
      <c r="L448" s="6">
        <f t="shared" si="25"/>
        <v>44013</v>
      </c>
      <c r="M448" s="3" t="str">
        <f t="shared" si="26"/>
        <v>21% to 25%</v>
      </c>
      <c r="N448" s="3" t="str">
        <f t="shared" si="27"/>
        <v>OK</v>
      </c>
    </row>
    <row r="449" spans="1:14" x14ac:dyDescent="0.3">
      <c r="A449" s="2">
        <f>DATE(VALUE(RIGHT(TRIM([1]Raw_Data!A447),4)),VALUE(MID(TRIM([1]Raw_Data!A447),4,2)),VALUE(LEFT(TRIM([1]Raw_Data!A447),2)))</f>
        <v>44025</v>
      </c>
      <c r="B449" s="3" t="str">
        <f>TRIM([1]Raw_Data!B447)</f>
        <v>Green Tea Extract</v>
      </c>
      <c r="C449" s="3" t="str">
        <f>TRIM([1]Raw_Data!C447)</f>
        <v>Fat Burner</v>
      </c>
      <c r="D449" s="3">
        <f>[1]Raw_Data!D447</f>
        <v>149</v>
      </c>
      <c r="E449" s="4">
        <f>[1]Raw_Data!E447</f>
        <v>14.08</v>
      </c>
      <c r="F449" s="5">
        <f>[1]Raw_Data!F447</f>
        <v>2097.92</v>
      </c>
      <c r="G449" s="4">
        <f>[1]Raw_Data!G447</f>
        <v>0.06</v>
      </c>
      <c r="H449" s="3">
        <f>[1]Raw_Data!H447</f>
        <v>0</v>
      </c>
      <c r="I449" s="3" t="str">
        <f>TRIM([1]Raw_Data!I447)</f>
        <v>Canada</v>
      </c>
      <c r="J449" s="3" t="str">
        <f>TRIM([1]Raw_Data!J447)</f>
        <v>Walmart</v>
      </c>
      <c r="K449" s="3">
        <f t="shared" si="24"/>
        <v>2020</v>
      </c>
      <c r="L449" s="6">
        <f t="shared" si="25"/>
        <v>44013</v>
      </c>
      <c r="M449" s="3" t="str">
        <f t="shared" si="26"/>
        <v>6% to 10%</v>
      </c>
      <c r="N449" s="3" t="str">
        <f t="shared" si="27"/>
        <v>OK</v>
      </c>
    </row>
    <row r="450" spans="1:14" x14ac:dyDescent="0.3">
      <c r="A450" s="2">
        <f>DATE(VALUE(RIGHT(TRIM([1]Raw_Data!A448),4)),VALUE(MID(TRIM([1]Raw_Data!A448),4,2)),VALUE(LEFT(TRIM([1]Raw_Data!A448),2)))</f>
        <v>44025</v>
      </c>
      <c r="B450" s="3" t="str">
        <f>TRIM([1]Raw_Data!B448)</f>
        <v>Iron Supplement</v>
      </c>
      <c r="C450" s="3" t="str">
        <f>TRIM([1]Raw_Data!C448)</f>
        <v>Mineral</v>
      </c>
      <c r="D450" s="3">
        <f>[1]Raw_Data!D448</f>
        <v>155</v>
      </c>
      <c r="E450" s="4">
        <f>[1]Raw_Data!E448</f>
        <v>37.409999999999997</v>
      </c>
      <c r="F450" s="5">
        <f>[1]Raw_Data!F448</f>
        <v>5798.55</v>
      </c>
      <c r="G450" s="4">
        <f>[1]Raw_Data!G448</f>
        <v>0.04</v>
      </c>
      <c r="H450" s="3">
        <f>[1]Raw_Data!H448</f>
        <v>1</v>
      </c>
      <c r="I450" s="3" t="str">
        <f>TRIM([1]Raw_Data!I448)</f>
        <v>USA</v>
      </c>
      <c r="J450" s="3" t="str">
        <f>TRIM([1]Raw_Data!J448)</f>
        <v>Amazon</v>
      </c>
      <c r="K450" s="3">
        <f t="shared" si="24"/>
        <v>2020</v>
      </c>
      <c r="L450" s="6">
        <f t="shared" si="25"/>
        <v>44013</v>
      </c>
      <c r="M450" s="3" t="str">
        <f t="shared" si="26"/>
        <v>0% to 5%</v>
      </c>
      <c r="N450" s="3" t="str">
        <f t="shared" si="27"/>
        <v>OK</v>
      </c>
    </row>
    <row r="451" spans="1:14" x14ac:dyDescent="0.3">
      <c r="A451" s="2">
        <f>DATE(VALUE(RIGHT(TRIM([1]Raw_Data!A449),4)),VALUE(MID(TRIM([1]Raw_Data!A449),4,2)),VALUE(LEFT(TRIM([1]Raw_Data!A449),2)))</f>
        <v>44025</v>
      </c>
      <c r="B451" s="3" t="str">
        <f>TRIM([1]Raw_Data!B449)</f>
        <v>Electrolyte Powder</v>
      </c>
      <c r="C451" s="3" t="str">
        <f>TRIM([1]Raw_Data!C449)</f>
        <v>Hydration</v>
      </c>
      <c r="D451" s="3">
        <f>[1]Raw_Data!D449</f>
        <v>153</v>
      </c>
      <c r="E451" s="4">
        <f>[1]Raw_Data!E449</f>
        <v>35.01</v>
      </c>
      <c r="F451" s="5">
        <f>[1]Raw_Data!F449</f>
        <v>5356.53</v>
      </c>
      <c r="G451" s="4">
        <f>[1]Raw_Data!G449</f>
        <v>0.02</v>
      </c>
      <c r="H451" s="3">
        <f>[1]Raw_Data!H449</f>
        <v>0</v>
      </c>
      <c r="I451" s="3" t="str">
        <f>TRIM([1]Raw_Data!I449)</f>
        <v>Canada</v>
      </c>
      <c r="J451" s="3" t="str">
        <f>TRIM([1]Raw_Data!J449)</f>
        <v>Walmart</v>
      </c>
      <c r="K451" s="3">
        <f t="shared" si="24"/>
        <v>2020</v>
      </c>
      <c r="L451" s="6">
        <f t="shared" si="25"/>
        <v>44013</v>
      </c>
      <c r="M451" s="3" t="str">
        <f t="shared" si="26"/>
        <v>0% to 5%</v>
      </c>
      <c r="N451" s="3" t="str">
        <f t="shared" si="27"/>
        <v>OK</v>
      </c>
    </row>
    <row r="452" spans="1:14" x14ac:dyDescent="0.3">
      <c r="A452" s="2">
        <f>DATE(VALUE(RIGHT(TRIM([1]Raw_Data!A450),4)),VALUE(MID(TRIM([1]Raw_Data!A450),4,2)),VALUE(LEFT(TRIM([1]Raw_Data!A450),2)))</f>
        <v>44032</v>
      </c>
      <c r="B452" s="3" t="str">
        <f>TRIM([1]Raw_Data!B450)</f>
        <v>Whey Protein</v>
      </c>
      <c r="C452" s="3" t="str">
        <f>TRIM([1]Raw_Data!C450)</f>
        <v>Protein</v>
      </c>
      <c r="D452" s="3">
        <f>[1]Raw_Data!D450</f>
        <v>154</v>
      </c>
      <c r="E452" s="4">
        <f>[1]Raw_Data!E450</f>
        <v>55.86</v>
      </c>
      <c r="F452" s="5">
        <f>[1]Raw_Data!F450</f>
        <v>8602.44</v>
      </c>
      <c r="G452" s="4">
        <f>[1]Raw_Data!G450</f>
        <v>0.1</v>
      </c>
      <c r="H452" s="3">
        <f>[1]Raw_Data!H450</f>
        <v>0</v>
      </c>
      <c r="I452" s="3" t="str">
        <f>TRIM([1]Raw_Data!I450)</f>
        <v>UK</v>
      </c>
      <c r="J452" s="3" t="str">
        <f>TRIM([1]Raw_Data!J450)</f>
        <v>Walmart</v>
      </c>
      <c r="K452" s="3">
        <f t="shared" ref="K452:K515" si="28">YEAR(A452)</f>
        <v>2020</v>
      </c>
      <c r="L452" s="6">
        <f t="shared" ref="L452:L515" si="29">DATE(YEAR(A452),MONTH(A452),1)</f>
        <v>44013</v>
      </c>
      <c r="M452" s="3" t="str">
        <f t="shared" ref="M452:M515" si="30">IF(ROUND(G452*100,0)&lt;=5,"0% to 5%",IF(ROUND(G452*100,0)&lt;=10,"6% to 10%",IF(ROUND(G452*100,0)&lt;=15,"11% to 15%",IF(ROUND(G452*100,0)&lt;=20,"16% to 20%","21% to 25%"))))</f>
        <v>6% to 10%</v>
      </c>
      <c r="N452" s="3" t="str">
        <f t="shared" ref="N452:N515" si="31">IF(ROUND(D452*E452,2)=ROUND(F452,2),"OK","Check")</f>
        <v>OK</v>
      </c>
    </row>
    <row r="453" spans="1:14" x14ac:dyDescent="0.3">
      <c r="A453" s="2">
        <f>DATE(VALUE(RIGHT(TRIM([1]Raw_Data!A451),4)),VALUE(MID(TRIM([1]Raw_Data!A451),4,2)),VALUE(LEFT(TRIM([1]Raw_Data!A451),2)))</f>
        <v>44032</v>
      </c>
      <c r="B453" s="3" t="str">
        <f>TRIM([1]Raw_Data!B451)</f>
        <v>Vitamin C</v>
      </c>
      <c r="C453" s="3" t="str">
        <f>TRIM([1]Raw_Data!C451)</f>
        <v>Vitamin</v>
      </c>
      <c r="D453" s="3">
        <f>[1]Raw_Data!D451</f>
        <v>158</v>
      </c>
      <c r="E453" s="4">
        <f>[1]Raw_Data!E451</f>
        <v>36.270000000000003</v>
      </c>
      <c r="F453" s="5">
        <f>[1]Raw_Data!F451</f>
        <v>5730.66</v>
      </c>
      <c r="G453" s="4">
        <f>[1]Raw_Data!G451</f>
        <v>0.17</v>
      </c>
      <c r="H453" s="3">
        <f>[1]Raw_Data!H451</f>
        <v>3</v>
      </c>
      <c r="I453" s="3" t="str">
        <f>TRIM([1]Raw_Data!I451)</f>
        <v>UK</v>
      </c>
      <c r="J453" s="3" t="str">
        <f>TRIM([1]Raw_Data!J451)</f>
        <v>Amazon</v>
      </c>
      <c r="K453" s="3">
        <f t="shared" si="28"/>
        <v>2020</v>
      </c>
      <c r="L453" s="6">
        <f t="shared" si="29"/>
        <v>44013</v>
      </c>
      <c r="M453" s="3" t="str">
        <f t="shared" si="30"/>
        <v>16% to 20%</v>
      </c>
      <c r="N453" s="3" t="str">
        <f t="shared" si="31"/>
        <v>OK</v>
      </c>
    </row>
    <row r="454" spans="1:14" x14ac:dyDescent="0.3">
      <c r="A454" s="2">
        <f>DATE(VALUE(RIGHT(TRIM([1]Raw_Data!A452),4)),VALUE(MID(TRIM([1]Raw_Data!A452),4,2)),VALUE(LEFT(TRIM([1]Raw_Data!A452),2)))</f>
        <v>44032</v>
      </c>
      <c r="B454" s="3" t="str">
        <f>TRIM([1]Raw_Data!B452)</f>
        <v>Fish Oil</v>
      </c>
      <c r="C454" s="3" t="str">
        <f>TRIM([1]Raw_Data!C452)</f>
        <v>Omega</v>
      </c>
      <c r="D454" s="3">
        <f>[1]Raw_Data!D452</f>
        <v>161</v>
      </c>
      <c r="E454" s="4">
        <f>[1]Raw_Data!E452</f>
        <v>43.98</v>
      </c>
      <c r="F454" s="5">
        <f>[1]Raw_Data!F452</f>
        <v>7080.78</v>
      </c>
      <c r="G454" s="4">
        <f>[1]Raw_Data!G452</f>
        <v>0.24</v>
      </c>
      <c r="H454" s="3">
        <f>[1]Raw_Data!H452</f>
        <v>1</v>
      </c>
      <c r="I454" s="3" t="str">
        <f>TRIM([1]Raw_Data!I452)</f>
        <v>Canada</v>
      </c>
      <c r="J454" s="3" t="str">
        <f>TRIM([1]Raw_Data!J452)</f>
        <v>Amazon</v>
      </c>
      <c r="K454" s="3">
        <f t="shared" si="28"/>
        <v>2020</v>
      </c>
      <c r="L454" s="6">
        <f t="shared" si="29"/>
        <v>44013</v>
      </c>
      <c r="M454" s="3" t="str">
        <f t="shared" si="30"/>
        <v>21% to 25%</v>
      </c>
      <c r="N454" s="3" t="str">
        <f t="shared" si="31"/>
        <v>OK</v>
      </c>
    </row>
    <row r="455" spans="1:14" x14ac:dyDescent="0.3">
      <c r="A455" s="2">
        <f>DATE(VALUE(RIGHT(TRIM([1]Raw_Data!A453),4)),VALUE(MID(TRIM([1]Raw_Data!A453),4,2)),VALUE(LEFT(TRIM([1]Raw_Data!A453),2)))</f>
        <v>44032</v>
      </c>
      <c r="B455" s="3" t="str">
        <f>TRIM([1]Raw_Data!B453)</f>
        <v>Multivitamin</v>
      </c>
      <c r="C455" s="3" t="str">
        <f>TRIM([1]Raw_Data!C453)</f>
        <v>Vitamin</v>
      </c>
      <c r="D455" s="3">
        <f>[1]Raw_Data!D453</f>
        <v>139</v>
      </c>
      <c r="E455" s="4">
        <f>[1]Raw_Data!E453</f>
        <v>41.69</v>
      </c>
      <c r="F455" s="5">
        <f>[1]Raw_Data!F453</f>
        <v>5794.91</v>
      </c>
      <c r="G455" s="4">
        <f>[1]Raw_Data!G453</f>
        <v>0.15</v>
      </c>
      <c r="H455" s="3">
        <f>[1]Raw_Data!H453</f>
        <v>0</v>
      </c>
      <c r="I455" s="3" t="str">
        <f>TRIM([1]Raw_Data!I453)</f>
        <v>USA</v>
      </c>
      <c r="J455" s="3" t="str">
        <f>TRIM([1]Raw_Data!J453)</f>
        <v>Amazon</v>
      </c>
      <c r="K455" s="3">
        <f t="shared" si="28"/>
        <v>2020</v>
      </c>
      <c r="L455" s="6">
        <f t="shared" si="29"/>
        <v>44013</v>
      </c>
      <c r="M455" s="3" t="str">
        <f t="shared" si="30"/>
        <v>11% to 15%</v>
      </c>
      <c r="N455" s="3" t="str">
        <f t="shared" si="31"/>
        <v>OK</v>
      </c>
    </row>
    <row r="456" spans="1:14" x14ac:dyDescent="0.3">
      <c r="A456" s="2">
        <f>DATE(VALUE(RIGHT(TRIM([1]Raw_Data!A454),4)),VALUE(MID(TRIM([1]Raw_Data!A454),4,2)),VALUE(LEFT(TRIM([1]Raw_Data!A454),2)))</f>
        <v>44032</v>
      </c>
      <c r="B456" s="3" t="str">
        <f>TRIM([1]Raw_Data!B454)</f>
        <v>Pre-Workout</v>
      </c>
      <c r="C456" s="3" t="str">
        <f>TRIM([1]Raw_Data!C454)</f>
        <v>Performance</v>
      </c>
      <c r="D456" s="3">
        <f>[1]Raw_Data!D454</f>
        <v>158</v>
      </c>
      <c r="E456" s="4">
        <f>[1]Raw_Data!E454</f>
        <v>43.25</v>
      </c>
      <c r="F456" s="5">
        <f>[1]Raw_Data!F454</f>
        <v>6833.5</v>
      </c>
      <c r="G456" s="4">
        <f>[1]Raw_Data!G454</f>
        <v>0.14000000000000001</v>
      </c>
      <c r="H456" s="3">
        <f>[1]Raw_Data!H454</f>
        <v>1</v>
      </c>
      <c r="I456" s="3" t="str">
        <f>TRIM([1]Raw_Data!I454)</f>
        <v>Canada</v>
      </c>
      <c r="J456" s="3" t="str">
        <f>TRIM([1]Raw_Data!J454)</f>
        <v>Amazon</v>
      </c>
      <c r="K456" s="3">
        <f t="shared" si="28"/>
        <v>2020</v>
      </c>
      <c r="L456" s="6">
        <f t="shared" si="29"/>
        <v>44013</v>
      </c>
      <c r="M456" s="3" t="str">
        <f t="shared" si="30"/>
        <v>11% to 15%</v>
      </c>
      <c r="N456" s="3" t="str">
        <f t="shared" si="31"/>
        <v>OK</v>
      </c>
    </row>
    <row r="457" spans="1:14" x14ac:dyDescent="0.3">
      <c r="A457" s="2">
        <f>DATE(VALUE(RIGHT(TRIM([1]Raw_Data!A455),4)),VALUE(MID(TRIM([1]Raw_Data!A455),4,2)),VALUE(LEFT(TRIM([1]Raw_Data!A455),2)))</f>
        <v>44032</v>
      </c>
      <c r="B457" s="3" t="str">
        <f>TRIM([1]Raw_Data!B455)</f>
        <v>BCAA</v>
      </c>
      <c r="C457" s="3" t="str">
        <f>TRIM([1]Raw_Data!C455)</f>
        <v>Amino Acid</v>
      </c>
      <c r="D457" s="3">
        <f>[1]Raw_Data!D455</f>
        <v>134</v>
      </c>
      <c r="E457" s="4">
        <f>[1]Raw_Data!E455</f>
        <v>51.58</v>
      </c>
      <c r="F457" s="5">
        <f>[1]Raw_Data!F455</f>
        <v>6911.72</v>
      </c>
      <c r="G457" s="4">
        <f>[1]Raw_Data!G455</f>
        <v>0.23</v>
      </c>
      <c r="H457" s="3">
        <f>[1]Raw_Data!H455</f>
        <v>2</v>
      </c>
      <c r="I457" s="3" t="str">
        <f>TRIM([1]Raw_Data!I455)</f>
        <v>Canada</v>
      </c>
      <c r="J457" s="3" t="str">
        <f>TRIM([1]Raw_Data!J455)</f>
        <v>Amazon</v>
      </c>
      <c r="K457" s="3">
        <f t="shared" si="28"/>
        <v>2020</v>
      </c>
      <c r="L457" s="6">
        <f t="shared" si="29"/>
        <v>44013</v>
      </c>
      <c r="M457" s="3" t="str">
        <f t="shared" si="30"/>
        <v>21% to 25%</v>
      </c>
      <c r="N457" s="3" t="str">
        <f t="shared" si="31"/>
        <v>OK</v>
      </c>
    </row>
    <row r="458" spans="1:14" x14ac:dyDescent="0.3">
      <c r="A458" s="2">
        <f>DATE(VALUE(RIGHT(TRIM([1]Raw_Data!A456),4)),VALUE(MID(TRIM([1]Raw_Data!A456),4,2)),VALUE(LEFT(TRIM([1]Raw_Data!A456),2)))</f>
        <v>44032</v>
      </c>
      <c r="B458" s="3" t="str">
        <f>TRIM([1]Raw_Data!B456)</f>
        <v>Creatine</v>
      </c>
      <c r="C458" s="3" t="str">
        <f>TRIM([1]Raw_Data!C456)</f>
        <v>Performance</v>
      </c>
      <c r="D458" s="3">
        <f>[1]Raw_Data!D456</f>
        <v>132</v>
      </c>
      <c r="E458" s="4">
        <f>[1]Raw_Data!E456</f>
        <v>46.45</v>
      </c>
      <c r="F458" s="5">
        <f>[1]Raw_Data!F456</f>
        <v>6131.4</v>
      </c>
      <c r="G458" s="4">
        <f>[1]Raw_Data!G456</f>
        <v>0.19</v>
      </c>
      <c r="H458" s="3">
        <f>[1]Raw_Data!H456</f>
        <v>0</v>
      </c>
      <c r="I458" s="3" t="str">
        <f>TRIM([1]Raw_Data!I456)</f>
        <v>UK</v>
      </c>
      <c r="J458" s="3" t="str">
        <f>TRIM([1]Raw_Data!J456)</f>
        <v>Amazon</v>
      </c>
      <c r="K458" s="3">
        <f t="shared" si="28"/>
        <v>2020</v>
      </c>
      <c r="L458" s="6">
        <f t="shared" si="29"/>
        <v>44013</v>
      </c>
      <c r="M458" s="3" t="str">
        <f t="shared" si="30"/>
        <v>16% to 20%</v>
      </c>
      <c r="N458" s="3" t="str">
        <f t="shared" si="31"/>
        <v>OK</v>
      </c>
    </row>
    <row r="459" spans="1:14" x14ac:dyDescent="0.3">
      <c r="A459" s="2">
        <f>DATE(VALUE(RIGHT(TRIM([1]Raw_Data!A457),4)),VALUE(MID(TRIM([1]Raw_Data!A457),4,2)),VALUE(LEFT(TRIM([1]Raw_Data!A457),2)))</f>
        <v>44032</v>
      </c>
      <c r="B459" s="3" t="str">
        <f>TRIM([1]Raw_Data!B457)</f>
        <v>Zinc</v>
      </c>
      <c r="C459" s="3" t="str">
        <f>TRIM([1]Raw_Data!C457)</f>
        <v>Mineral</v>
      </c>
      <c r="D459" s="3">
        <f>[1]Raw_Data!D457</f>
        <v>145</v>
      </c>
      <c r="E459" s="4">
        <f>[1]Raw_Data!E457</f>
        <v>10.64</v>
      </c>
      <c r="F459" s="5">
        <f>[1]Raw_Data!F457</f>
        <v>1542.8</v>
      </c>
      <c r="G459" s="4">
        <f>[1]Raw_Data!G457</f>
        <v>0.14000000000000001</v>
      </c>
      <c r="H459" s="3">
        <f>[1]Raw_Data!H457</f>
        <v>3</v>
      </c>
      <c r="I459" s="3" t="str">
        <f>TRIM([1]Raw_Data!I457)</f>
        <v>Canada</v>
      </c>
      <c r="J459" s="3" t="str">
        <f>TRIM([1]Raw_Data!J457)</f>
        <v>iHerb</v>
      </c>
      <c r="K459" s="3">
        <f t="shared" si="28"/>
        <v>2020</v>
      </c>
      <c r="L459" s="6">
        <f t="shared" si="29"/>
        <v>44013</v>
      </c>
      <c r="M459" s="3" t="str">
        <f t="shared" si="30"/>
        <v>11% to 15%</v>
      </c>
      <c r="N459" s="3" t="str">
        <f t="shared" si="31"/>
        <v>OK</v>
      </c>
    </row>
    <row r="460" spans="1:14" x14ac:dyDescent="0.3">
      <c r="A460" s="2">
        <f>DATE(VALUE(RIGHT(TRIM([1]Raw_Data!A458),4)),VALUE(MID(TRIM([1]Raw_Data!A458),4,2)),VALUE(LEFT(TRIM([1]Raw_Data!A458),2)))</f>
        <v>44032</v>
      </c>
      <c r="B460" s="3" t="str">
        <f>TRIM([1]Raw_Data!B458)</f>
        <v>Collagen Peptides</v>
      </c>
      <c r="C460" s="3" t="str">
        <f>TRIM([1]Raw_Data!C458)</f>
        <v>Protein</v>
      </c>
      <c r="D460" s="3">
        <f>[1]Raw_Data!D458</f>
        <v>180</v>
      </c>
      <c r="E460" s="4">
        <f>[1]Raw_Data!E458</f>
        <v>35.72</v>
      </c>
      <c r="F460" s="5">
        <f>[1]Raw_Data!F458</f>
        <v>6429.6</v>
      </c>
      <c r="G460" s="4">
        <f>[1]Raw_Data!G458</f>
        <v>0.02</v>
      </c>
      <c r="H460" s="3">
        <f>[1]Raw_Data!H458</f>
        <v>2</v>
      </c>
      <c r="I460" s="3" t="str">
        <f>TRIM([1]Raw_Data!I458)</f>
        <v>Canada</v>
      </c>
      <c r="J460" s="3" t="str">
        <f>TRIM([1]Raw_Data!J458)</f>
        <v>Walmart</v>
      </c>
      <c r="K460" s="3">
        <f t="shared" si="28"/>
        <v>2020</v>
      </c>
      <c r="L460" s="6">
        <f t="shared" si="29"/>
        <v>44013</v>
      </c>
      <c r="M460" s="3" t="str">
        <f t="shared" si="30"/>
        <v>0% to 5%</v>
      </c>
      <c r="N460" s="3" t="str">
        <f t="shared" si="31"/>
        <v>OK</v>
      </c>
    </row>
    <row r="461" spans="1:14" x14ac:dyDescent="0.3">
      <c r="A461" s="2">
        <f>DATE(VALUE(RIGHT(TRIM([1]Raw_Data!A459),4)),VALUE(MID(TRIM([1]Raw_Data!A459),4,2)),VALUE(LEFT(TRIM([1]Raw_Data!A459),2)))</f>
        <v>44032</v>
      </c>
      <c r="B461" s="3" t="str">
        <f>TRIM([1]Raw_Data!B459)</f>
        <v>Magnesium</v>
      </c>
      <c r="C461" s="3" t="str">
        <f>TRIM([1]Raw_Data!C459)</f>
        <v>Mineral</v>
      </c>
      <c r="D461" s="3">
        <f>[1]Raw_Data!D459</f>
        <v>146</v>
      </c>
      <c r="E461" s="4">
        <f>[1]Raw_Data!E459</f>
        <v>29.44</v>
      </c>
      <c r="F461" s="5">
        <f>[1]Raw_Data!F459</f>
        <v>4298.24</v>
      </c>
      <c r="G461" s="4">
        <f>[1]Raw_Data!G459</f>
        <v>0.06</v>
      </c>
      <c r="H461" s="3">
        <f>[1]Raw_Data!H459</f>
        <v>0</v>
      </c>
      <c r="I461" s="3" t="str">
        <f>TRIM([1]Raw_Data!I459)</f>
        <v>USA</v>
      </c>
      <c r="J461" s="3" t="str">
        <f>TRIM([1]Raw_Data!J459)</f>
        <v>Amazon</v>
      </c>
      <c r="K461" s="3">
        <f t="shared" si="28"/>
        <v>2020</v>
      </c>
      <c r="L461" s="6">
        <f t="shared" si="29"/>
        <v>44013</v>
      </c>
      <c r="M461" s="3" t="str">
        <f t="shared" si="30"/>
        <v>6% to 10%</v>
      </c>
      <c r="N461" s="3" t="str">
        <f t="shared" si="31"/>
        <v>OK</v>
      </c>
    </row>
    <row r="462" spans="1:14" x14ac:dyDescent="0.3">
      <c r="A462" s="2">
        <f>DATE(VALUE(RIGHT(TRIM([1]Raw_Data!A460),4)),VALUE(MID(TRIM([1]Raw_Data!A460),4,2)),VALUE(LEFT(TRIM([1]Raw_Data!A460),2)))</f>
        <v>44032</v>
      </c>
      <c r="B462" s="3" t="str">
        <f>TRIM([1]Raw_Data!B460)</f>
        <v>Ashwagandha</v>
      </c>
      <c r="C462" s="3" t="str">
        <f>TRIM([1]Raw_Data!C460)</f>
        <v>Herbal</v>
      </c>
      <c r="D462" s="3">
        <f>[1]Raw_Data!D460</f>
        <v>143</v>
      </c>
      <c r="E462" s="4">
        <f>[1]Raw_Data!E460</f>
        <v>18.84</v>
      </c>
      <c r="F462" s="5">
        <f>[1]Raw_Data!F460</f>
        <v>2694.12</v>
      </c>
      <c r="G462" s="4">
        <f>[1]Raw_Data!G460</f>
        <v>0.25</v>
      </c>
      <c r="H462" s="3">
        <f>[1]Raw_Data!H460</f>
        <v>1</v>
      </c>
      <c r="I462" s="3" t="str">
        <f>TRIM([1]Raw_Data!I460)</f>
        <v>USA</v>
      </c>
      <c r="J462" s="3" t="str">
        <f>TRIM([1]Raw_Data!J460)</f>
        <v>Amazon</v>
      </c>
      <c r="K462" s="3">
        <f t="shared" si="28"/>
        <v>2020</v>
      </c>
      <c r="L462" s="6">
        <f t="shared" si="29"/>
        <v>44013</v>
      </c>
      <c r="M462" s="3" t="str">
        <f t="shared" si="30"/>
        <v>21% to 25%</v>
      </c>
      <c r="N462" s="3" t="str">
        <f t="shared" si="31"/>
        <v>OK</v>
      </c>
    </row>
    <row r="463" spans="1:14" x14ac:dyDescent="0.3">
      <c r="A463" s="2">
        <f>DATE(VALUE(RIGHT(TRIM([1]Raw_Data!A461),4)),VALUE(MID(TRIM([1]Raw_Data!A461),4,2)),VALUE(LEFT(TRIM([1]Raw_Data!A461),2)))</f>
        <v>44032</v>
      </c>
      <c r="B463" s="3" t="str">
        <f>TRIM([1]Raw_Data!B461)</f>
        <v>Melatonin</v>
      </c>
      <c r="C463" s="3" t="str">
        <f>TRIM([1]Raw_Data!C461)</f>
        <v>Sleep Aid</v>
      </c>
      <c r="D463" s="3">
        <f>[1]Raw_Data!D461</f>
        <v>151</v>
      </c>
      <c r="E463" s="4">
        <f>[1]Raw_Data!E461</f>
        <v>59.78</v>
      </c>
      <c r="F463" s="5">
        <f>[1]Raw_Data!F461</f>
        <v>9026.7800000000007</v>
      </c>
      <c r="G463" s="4">
        <f>[1]Raw_Data!G461</f>
        <v>0.15</v>
      </c>
      <c r="H463" s="3">
        <f>[1]Raw_Data!H461</f>
        <v>3</v>
      </c>
      <c r="I463" s="3" t="str">
        <f>TRIM([1]Raw_Data!I461)</f>
        <v>UK</v>
      </c>
      <c r="J463" s="3" t="str">
        <f>TRIM([1]Raw_Data!J461)</f>
        <v>iHerb</v>
      </c>
      <c r="K463" s="3">
        <f t="shared" si="28"/>
        <v>2020</v>
      </c>
      <c r="L463" s="6">
        <f t="shared" si="29"/>
        <v>44013</v>
      </c>
      <c r="M463" s="3" t="str">
        <f t="shared" si="30"/>
        <v>11% to 15%</v>
      </c>
      <c r="N463" s="3" t="str">
        <f t="shared" si="31"/>
        <v>OK</v>
      </c>
    </row>
    <row r="464" spans="1:14" x14ac:dyDescent="0.3">
      <c r="A464" s="2">
        <f>DATE(VALUE(RIGHT(TRIM([1]Raw_Data!A462),4)),VALUE(MID(TRIM([1]Raw_Data!A462),4,2)),VALUE(LEFT(TRIM([1]Raw_Data!A462),2)))</f>
        <v>44032</v>
      </c>
      <c r="B464" s="3" t="str">
        <f>TRIM([1]Raw_Data!B462)</f>
        <v>Biotin</v>
      </c>
      <c r="C464" s="3" t="str">
        <f>TRIM([1]Raw_Data!C462)</f>
        <v>Vitamin</v>
      </c>
      <c r="D464" s="3">
        <f>[1]Raw_Data!D462</f>
        <v>144</v>
      </c>
      <c r="E464" s="4">
        <f>[1]Raw_Data!E462</f>
        <v>30.14</v>
      </c>
      <c r="F464" s="5">
        <f>[1]Raw_Data!F462</f>
        <v>4340.16</v>
      </c>
      <c r="G464" s="4">
        <f>[1]Raw_Data!G462</f>
        <v>0.17</v>
      </c>
      <c r="H464" s="3">
        <f>[1]Raw_Data!H462</f>
        <v>2</v>
      </c>
      <c r="I464" s="3" t="str">
        <f>TRIM([1]Raw_Data!I462)</f>
        <v>UK</v>
      </c>
      <c r="J464" s="3" t="str">
        <f>TRIM([1]Raw_Data!J462)</f>
        <v>Walmart</v>
      </c>
      <c r="K464" s="3">
        <f t="shared" si="28"/>
        <v>2020</v>
      </c>
      <c r="L464" s="6">
        <f t="shared" si="29"/>
        <v>44013</v>
      </c>
      <c r="M464" s="3" t="str">
        <f t="shared" si="30"/>
        <v>16% to 20%</v>
      </c>
      <c r="N464" s="3" t="str">
        <f t="shared" si="31"/>
        <v>OK</v>
      </c>
    </row>
    <row r="465" spans="1:14" x14ac:dyDescent="0.3">
      <c r="A465" s="2">
        <f>DATE(VALUE(RIGHT(TRIM([1]Raw_Data!A463),4)),VALUE(MID(TRIM([1]Raw_Data!A463),4,2)),VALUE(LEFT(TRIM([1]Raw_Data!A463),2)))</f>
        <v>44032</v>
      </c>
      <c r="B465" s="3" t="str">
        <f>TRIM([1]Raw_Data!B463)</f>
        <v>Green Tea Extract</v>
      </c>
      <c r="C465" s="3" t="str">
        <f>TRIM([1]Raw_Data!C463)</f>
        <v>Fat Burner</v>
      </c>
      <c r="D465" s="3">
        <f>[1]Raw_Data!D463</f>
        <v>143</v>
      </c>
      <c r="E465" s="4">
        <f>[1]Raw_Data!E463</f>
        <v>41.62</v>
      </c>
      <c r="F465" s="5">
        <f>[1]Raw_Data!F463</f>
        <v>5951.66</v>
      </c>
      <c r="G465" s="4">
        <f>[1]Raw_Data!G463</f>
        <v>0.03</v>
      </c>
      <c r="H465" s="3">
        <f>[1]Raw_Data!H463</f>
        <v>1</v>
      </c>
      <c r="I465" s="3" t="str">
        <f>TRIM([1]Raw_Data!I463)</f>
        <v>USA</v>
      </c>
      <c r="J465" s="3" t="str">
        <f>TRIM([1]Raw_Data!J463)</f>
        <v>iHerb</v>
      </c>
      <c r="K465" s="3">
        <f t="shared" si="28"/>
        <v>2020</v>
      </c>
      <c r="L465" s="6">
        <f t="shared" si="29"/>
        <v>44013</v>
      </c>
      <c r="M465" s="3" t="str">
        <f t="shared" si="30"/>
        <v>0% to 5%</v>
      </c>
      <c r="N465" s="3" t="str">
        <f t="shared" si="31"/>
        <v>OK</v>
      </c>
    </row>
    <row r="466" spans="1:14" x14ac:dyDescent="0.3">
      <c r="A466" s="2">
        <f>DATE(VALUE(RIGHT(TRIM([1]Raw_Data!A464),4)),VALUE(MID(TRIM([1]Raw_Data!A464),4,2)),VALUE(LEFT(TRIM([1]Raw_Data!A464),2)))</f>
        <v>44032</v>
      </c>
      <c r="B466" s="3" t="str">
        <f>TRIM([1]Raw_Data!B464)</f>
        <v>Iron Supplement</v>
      </c>
      <c r="C466" s="3" t="str">
        <f>TRIM([1]Raw_Data!C464)</f>
        <v>Mineral</v>
      </c>
      <c r="D466" s="3">
        <f>[1]Raw_Data!D464</f>
        <v>157</v>
      </c>
      <c r="E466" s="4">
        <f>[1]Raw_Data!E464</f>
        <v>47.67</v>
      </c>
      <c r="F466" s="5">
        <f>[1]Raw_Data!F464</f>
        <v>7484.19</v>
      </c>
      <c r="G466" s="4">
        <f>[1]Raw_Data!G464</f>
        <v>0.22</v>
      </c>
      <c r="H466" s="3">
        <f>[1]Raw_Data!H464</f>
        <v>1</v>
      </c>
      <c r="I466" s="3" t="str">
        <f>TRIM([1]Raw_Data!I464)</f>
        <v>USA</v>
      </c>
      <c r="J466" s="3" t="str">
        <f>TRIM([1]Raw_Data!J464)</f>
        <v>Amazon</v>
      </c>
      <c r="K466" s="3">
        <f t="shared" si="28"/>
        <v>2020</v>
      </c>
      <c r="L466" s="6">
        <f t="shared" si="29"/>
        <v>44013</v>
      </c>
      <c r="M466" s="3" t="str">
        <f t="shared" si="30"/>
        <v>21% to 25%</v>
      </c>
      <c r="N466" s="3" t="str">
        <f t="shared" si="31"/>
        <v>OK</v>
      </c>
    </row>
    <row r="467" spans="1:14" x14ac:dyDescent="0.3">
      <c r="A467" s="2">
        <f>DATE(VALUE(RIGHT(TRIM([1]Raw_Data!A465),4)),VALUE(MID(TRIM([1]Raw_Data!A465),4,2)),VALUE(LEFT(TRIM([1]Raw_Data!A465),2)))</f>
        <v>44032</v>
      </c>
      <c r="B467" s="3" t="str">
        <f>TRIM([1]Raw_Data!B465)</f>
        <v>Electrolyte Powder</v>
      </c>
      <c r="C467" s="3" t="str">
        <f>TRIM([1]Raw_Data!C465)</f>
        <v>Hydration</v>
      </c>
      <c r="D467" s="3">
        <f>[1]Raw_Data!D465</f>
        <v>159</v>
      </c>
      <c r="E467" s="4">
        <f>[1]Raw_Data!E465</f>
        <v>19.329999999999998</v>
      </c>
      <c r="F467" s="5">
        <f>[1]Raw_Data!F465</f>
        <v>3073.47</v>
      </c>
      <c r="G467" s="4">
        <f>[1]Raw_Data!G465</f>
        <v>0.01</v>
      </c>
      <c r="H467" s="3">
        <f>[1]Raw_Data!H465</f>
        <v>1</v>
      </c>
      <c r="I467" s="3" t="str">
        <f>TRIM([1]Raw_Data!I465)</f>
        <v>USA</v>
      </c>
      <c r="J467" s="3" t="str">
        <f>TRIM([1]Raw_Data!J465)</f>
        <v>iHerb</v>
      </c>
      <c r="K467" s="3">
        <f t="shared" si="28"/>
        <v>2020</v>
      </c>
      <c r="L467" s="6">
        <f t="shared" si="29"/>
        <v>44013</v>
      </c>
      <c r="M467" s="3" t="str">
        <f t="shared" si="30"/>
        <v>0% to 5%</v>
      </c>
      <c r="N467" s="3" t="str">
        <f t="shared" si="31"/>
        <v>OK</v>
      </c>
    </row>
    <row r="468" spans="1:14" x14ac:dyDescent="0.3">
      <c r="A468" s="2">
        <f>DATE(VALUE(RIGHT(TRIM([1]Raw_Data!A466),4)),VALUE(MID(TRIM([1]Raw_Data!A466),4,2)),VALUE(LEFT(TRIM([1]Raw_Data!A466),2)))</f>
        <v>44039</v>
      </c>
      <c r="B468" s="3" t="str">
        <f>TRIM([1]Raw_Data!B466)</f>
        <v>Whey Protein</v>
      </c>
      <c r="C468" s="3" t="str">
        <f>TRIM([1]Raw_Data!C466)</f>
        <v>Protein</v>
      </c>
      <c r="D468" s="3">
        <f>[1]Raw_Data!D466</f>
        <v>148</v>
      </c>
      <c r="E468" s="4">
        <f>[1]Raw_Data!E466</f>
        <v>52.5</v>
      </c>
      <c r="F468" s="5">
        <f>[1]Raw_Data!F466</f>
        <v>7770</v>
      </c>
      <c r="G468" s="4">
        <f>[1]Raw_Data!G466</f>
        <v>0.05</v>
      </c>
      <c r="H468" s="3">
        <f>[1]Raw_Data!H466</f>
        <v>0</v>
      </c>
      <c r="I468" s="3" t="str">
        <f>TRIM([1]Raw_Data!I466)</f>
        <v>UK</v>
      </c>
      <c r="J468" s="3" t="str">
        <f>TRIM([1]Raw_Data!J466)</f>
        <v>iHerb</v>
      </c>
      <c r="K468" s="3">
        <f t="shared" si="28"/>
        <v>2020</v>
      </c>
      <c r="L468" s="6">
        <f t="shared" si="29"/>
        <v>44013</v>
      </c>
      <c r="M468" s="3" t="str">
        <f t="shared" si="30"/>
        <v>0% to 5%</v>
      </c>
      <c r="N468" s="3" t="str">
        <f t="shared" si="31"/>
        <v>OK</v>
      </c>
    </row>
    <row r="469" spans="1:14" x14ac:dyDescent="0.3">
      <c r="A469" s="2">
        <f>DATE(VALUE(RIGHT(TRIM([1]Raw_Data!A467),4)),VALUE(MID(TRIM([1]Raw_Data!A467),4,2)),VALUE(LEFT(TRIM([1]Raw_Data!A467),2)))</f>
        <v>44039</v>
      </c>
      <c r="B469" s="3" t="str">
        <f>TRIM([1]Raw_Data!B467)</f>
        <v>Vitamin C</v>
      </c>
      <c r="C469" s="3" t="str">
        <f>TRIM([1]Raw_Data!C467)</f>
        <v>Vitamin</v>
      </c>
      <c r="D469" s="3">
        <f>[1]Raw_Data!D467</f>
        <v>183</v>
      </c>
      <c r="E469" s="4">
        <f>[1]Raw_Data!E467</f>
        <v>33.92</v>
      </c>
      <c r="F469" s="5">
        <f>[1]Raw_Data!F467</f>
        <v>6207.36</v>
      </c>
      <c r="G469" s="4">
        <f>[1]Raw_Data!G467</f>
        <v>0.15</v>
      </c>
      <c r="H469" s="3">
        <f>[1]Raw_Data!H467</f>
        <v>2</v>
      </c>
      <c r="I469" s="3" t="str">
        <f>TRIM([1]Raw_Data!I467)</f>
        <v>USA</v>
      </c>
      <c r="J469" s="3" t="str">
        <f>TRIM([1]Raw_Data!J467)</f>
        <v>Walmart</v>
      </c>
      <c r="K469" s="3">
        <f t="shared" si="28"/>
        <v>2020</v>
      </c>
      <c r="L469" s="6">
        <f t="shared" si="29"/>
        <v>44013</v>
      </c>
      <c r="M469" s="3" t="str">
        <f t="shared" si="30"/>
        <v>11% to 15%</v>
      </c>
      <c r="N469" s="3" t="str">
        <f t="shared" si="31"/>
        <v>OK</v>
      </c>
    </row>
    <row r="470" spans="1:14" x14ac:dyDescent="0.3">
      <c r="A470" s="2">
        <f>DATE(VALUE(RIGHT(TRIM([1]Raw_Data!A468),4)),VALUE(MID(TRIM([1]Raw_Data!A468),4,2)),VALUE(LEFT(TRIM([1]Raw_Data!A468),2)))</f>
        <v>44039</v>
      </c>
      <c r="B470" s="3" t="str">
        <f>TRIM([1]Raw_Data!B468)</f>
        <v>Fish Oil</v>
      </c>
      <c r="C470" s="3" t="str">
        <f>TRIM([1]Raw_Data!C468)</f>
        <v>Omega</v>
      </c>
      <c r="D470" s="3">
        <f>[1]Raw_Data!D468</f>
        <v>130</v>
      </c>
      <c r="E470" s="4">
        <f>[1]Raw_Data!E468</f>
        <v>15.27</v>
      </c>
      <c r="F470" s="5">
        <f>[1]Raw_Data!F468</f>
        <v>1985.1</v>
      </c>
      <c r="G470" s="4">
        <f>[1]Raw_Data!G468</f>
        <v>0.15</v>
      </c>
      <c r="H470" s="3">
        <f>[1]Raw_Data!H468</f>
        <v>1</v>
      </c>
      <c r="I470" s="3" t="str">
        <f>TRIM([1]Raw_Data!I468)</f>
        <v>Canada</v>
      </c>
      <c r="J470" s="3" t="str">
        <f>TRIM([1]Raw_Data!J468)</f>
        <v>iHerb</v>
      </c>
      <c r="K470" s="3">
        <f t="shared" si="28"/>
        <v>2020</v>
      </c>
      <c r="L470" s="6">
        <f t="shared" si="29"/>
        <v>44013</v>
      </c>
      <c r="M470" s="3" t="str">
        <f t="shared" si="30"/>
        <v>11% to 15%</v>
      </c>
      <c r="N470" s="3" t="str">
        <f t="shared" si="31"/>
        <v>OK</v>
      </c>
    </row>
    <row r="471" spans="1:14" x14ac:dyDescent="0.3">
      <c r="A471" s="2">
        <f>DATE(VALUE(RIGHT(TRIM([1]Raw_Data!A469),4)),VALUE(MID(TRIM([1]Raw_Data!A469),4,2)),VALUE(LEFT(TRIM([1]Raw_Data!A469),2)))</f>
        <v>44039</v>
      </c>
      <c r="B471" s="3" t="str">
        <f>TRIM([1]Raw_Data!B469)</f>
        <v>Multivitamin</v>
      </c>
      <c r="C471" s="3" t="str">
        <f>TRIM([1]Raw_Data!C469)</f>
        <v>Vitamin</v>
      </c>
      <c r="D471" s="3">
        <f>[1]Raw_Data!D469</f>
        <v>140</v>
      </c>
      <c r="E471" s="4">
        <f>[1]Raw_Data!E469</f>
        <v>51</v>
      </c>
      <c r="F471" s="5">
        <f>[1]Raw_Data!F469</f>
        <v>7140</v>
      </c>
      <c r="G471" s="4">
        <f>[1]Raw_Data!G469</f>
        <v>0.01</v>
      </c>
      <c r="H471" s="3">
        <f>[1]Raw_Data!H469</f>
        <v>1</v>
      </c>
      <c r="I471" s="3" t="str">
        <f>TRIM([1]Raw_Data!I469)</f>
        <v>USA</v>
      </c>
      <c r="J471" s="3" t="str">
        <f>TRIM([1]Raw_Data!J469)</f>
        <v>Amazon</v>
      </c>
      <c r="K471" s="3">
        <f t="shared" si="28"/>
        <v>2020</v>
      </c>
      <c r="L471" s="6">
        <f t="shared" si="29"/>
        <v>44013</v>
      </c>
      <c r="M471" s="3" t="str">
        <f t="shared" si="30"/>
        <v>0% to 5%</v>
      </c>
      <c r="N471" s="3" t="str">
        <f t="shared" si="31"/>
        <v>OK</v>
      </c>
    </row>
    <row r="472" spans="1:14" x14ac:dyDescent="0.3">
      <c r="A472" s="2">
        <f>DATE(VALUE(RIGHT(TRIM([1]Raw_Data!A470),4)),VALUE(MID(TRIM([1]Raw_Data!A470),4,2)),VALUE(LEFT(TRIM([1]Raw_Data!A470),2)))</f>
        <v>44039</v>
      </c>
      <c r="B472" s="3" t="str">
        <f>TRIM([1]Raw_Data!B470)</f>
        <v>Pre-Workout</v>
      </c>
      <c r="C472" s="3" t="str">
        <f>TRIM([1]Raw_Data!C470)</f>
        <v>Performance</v>
      </c>
      <c r="D472" s="3">
        <f>[1]Raw_Data!D470</f>
        <v>157</v>
      </c>
      <c r="E472" s="4">
        <f>[1]Raw_Data!E470</f>
        <v>25.39</v>
      </c>
      <c r="F472" s="5">
        <f>[1]Raw_Data!F470</f>
        <v>3986.23</v>
      </c>
      <c r="G472" s="4">
        <f>[1]Raw_Data!G470</f>
        <v>0.15</v>
      </c>
      <c r="H472" s="3">
        <f>[1]Raw_Data!H470</f>
        <v>3</v>
      </c>
      <c r="I472" s="3" t="str">
        <f>TRIM([1]Raw_Data!I470)</f>
        <v>Canada</v>
      </c>
      <c r="J472" s="3" t="str">
        <f>TRIM([1]Raw_Data!J470)</f>
        <v>Amazon</v>
      </c>
      <c r="K472" s="3">
        <f t="shared" si="28"/>
        <v>2020</v>
      </c>
      <c r="L472" s="6">
        <f t="shared" si="29"/>
        <v>44013</v>
      </c>
      <c r="M472" s="3" t="str">
        <f t="shared" si="30"/>
        <v>11% to 15%</v>
      </c>
      <c r="N472" s="3" t="str">
        <f t="shared" si="31"/>
        <v>OK</v>
      </c>
    </row>
    <row r="473" spans="1:14" x14ac:dyDescent="0.3">
      <c r="A473" s="2">
        <f>DATE(VALUE(RIGHT(TRIM([1]Raw_Data!A471),4)),VALUE(MID(TRIM([1]Raw_Data!A471),4,2)),VALUE(LEFT(TRIM([1]Raw_Data!A471),2)))</f>
        <v>44039</v>
      </c>
      <c r="B473" s="3" t="str">
        <f>TRIM([1]Raw_Data!B471)</f>
        <v>BCAA</v>
      </c>
      <c r="C473" s="3" t="str">
        <f>TRIM([1]Raw_Data!C471)</f>
        <v>Amino Acid</v>
      </c>
      <c r="D473" s="3">
        <f>[1]Raw_Data!D471</f>
        <v>162</v>
      </c>
      <c r="E473" s="4">
        <f>[1]Raw_Data!E471</f>
        <v>46.51</v>
      </c>
      <c r="F473" s="5">
        <f>[1]Raw_Data!F471</f>
        <v>7534.62</v>
      </c>
      <c r="G473" s="4">
        <f>[1]Raw_Data!G471</f>
        <v>0.09</v>
      </c>
      <c r="H473" s="3">
        <f>[1]Raw_Data!H471</f>
        <v>2</v>
      </c>
      <c r="I473" s="3" t="str">
        <f>TRIM([1]Raw_Data!I471)</f>
        <v>UK</v>
      </c>
      <c r="J473" s="3" t="str">
        <f>TRIM([1]Raw_Data!J471)</f>
        <v>iHerb</v>
      </c>
      <c r="K473" s="3">
        <f t="shared" si="28"/>
        <v>2020</v>
      </c>
      <c r="L473" s="6">
        <f t="shared" si="29"/>
        <v>44013</v>
      </c>
      <c r="M473" s="3" t="str">
        <f t="shared" si="30"/>
        <v>6% to 10%</v>
      </c>
      <c r="N473" s="3" t="str">
        <f t="shared" si="31"/>
        <v>OK</v>
      </c>
    </row>
    <row r="474" spans="1:14" x14ac:dyDescent="0.3">
      <c r="A474" s="2">
        <f>DATE(VALUE(RIGHT(TRIM([1]Raw_Data!A472),4)),VALUE(MID(TRIM([1]Raw_Data!A472),4,2)),VALUE(LEFT(TRIM([1]Raw_Data!A472),2)))</f>
        <v>44039</v>
      </c>
      <c r="B474" s="3" t="str">
        <f>TRIM([1]Raw_Data!B472)</f>
        <v>Creatine</v>
      </c>
      <c r="C474" s="3" t="str">
        <f>TRIM([1]Raw_Data!C472)</f>
        <v>Performance</v>
      </c>
      <c r="D474" s="3">
        <f>[1]Raw_Data!D472</f>
        <v>149</v>
      </c>
      <c r="E474" s="4">
        <f>[1]Raw_Data!E472</f>
        <v>45.09</v>
      </c>
      <c r="F474" s="5">
        <f>[1]Raw_Data!F472</f>
        <v>6718.41</v>
      </c>
      <c r="G474" s="4">
        <f>[1]Raw_Data!G472</f>
        <v>0.14000000000000001</v>
      </c>
      <c r="H474" s="3">
        <f>[1]Raw_Data!H472</f>
        <v>1</v>
      </c>
      <c r="I474" s="3" t="str">
        <f>TRIM([1]Raw_Data!I472)</f>
        <v>USA</v>
      </c>
      <c r="J474" s="3" t="str">
        <f>TRIM([1]Raw_Data!J472)</f>
        <v>Walmart</v>
      </c>
      <c r="K474" s="3">
        <f t="shared" si="28"/>
        <v>2020</v>
      </c>
      <c r="L474" s="6">
        <f t="shared" si="29"/>
        <v>44013</v>
      </c>
      <c r="M474" s="3" t="str">
        <f t="shared" si="30"/>
        <v>11% to 15%</v>
      </c>
      <c r="N474" s="3" t="str">
        <f t="shared" si="31"/>
        <v>OK</v>
      </c>
    </row>
    <row r="475" spans="1:14" x14ac:dyDescent="0.3">
      <c r="A475" s="2">
        <f>DATE(VALUE(RIGHT(TRIM([1]Raw_Data!A473),4)),VALUE(MID(TRIM([1]Raw_Data!A473),4,2)),VALUE(LEFT(TRIM([1]Raw_Data!A473),2)))</f>
        <v>44039</v>
      </c>
      <c r="B475" s="3" t="str">
        <f>TRIM([1]Raw_Data!B473)</f>
        <v>Zinc</v>
      </c>
      <c r="C475" s="3" t="str">
        <f>TRIM([1]Raw_Data!C473)</f>
        <v>Mineral</v>
      </c>
      <c r="D475" s="3">
        <f>[1]Raw_Data!D473</f>
        <v>170</v>
      </c>
      <c r="E475" s="4">
        <f>[1]Raw_Data!E473</f>
        <v>25.79</v>
      </c>
      <c r="F475" s="5">
        <f>[1]Raw_Data!F473</f>
        <v>4384.3</v>
      </c>
      <c r="G475" s="4">
        <f>[1]Raw_Data!G473</f>
        <v>0.01</v>
      </c>
      <c r="H475" s="3">
        <f>[1]Raw_Data!H473</f>
        <v>3</v>
      </c>
      <c r="I475" s="3" t="str">
        <f>TRIM([1]Raw_Data!I473)</f>
        <v>USA</v>
      </c>
      <c r="J475" s="3" t="str">
        <f>TRIM([1]Raw_Data!J473)</f>
        <v>Walmart</v>
      </c>
      <c r="K475" s="3">
        <f t="shared" si="28"/>
        <v>2020</v>
      </c>
      <c r="L475" s="6">
        <f t="shared" si="29"/>
        <v>44013</v>
      </c>
      <c r="M475" s="3" t="str">
        <f t="shared" si="30"/>
        <v>0% to 5%</v>
      </c>
      <c r="N475" s="3" t="str">
        <f t="shared" si="31"/>
        <v>OK</v>
      </c>
    </row>
    <row r="476" spans="1:14" x14ac:dyDescent="0.3">
      <c r="A476" s="2">
        <f>DATE(VALUE(RIGHT(TRIM([1]Raw_Data!A474),4)),VALUE(MID(TRIM([1]Raw_Data!A474),4,2)),VALUE(LEFT(TRIM([1]Raw_Data!A474),2)))</f>
        <v>44039</v>
      </c>
      <c r="B476" s="3" t="str">
        <f>TRIM([1]Raw_Data!B474)</f>
        <v>Collagen Peptides</v>
      </c>
      <c r="C476" s="3" t="str">
        <f>TRIM([1]Raw_Data!C474)</f>
        <v>Protein</v>
      </c>
      <c r="D476" s="3">
        <f>[1]Raw_Data!D474</f>
        <v>157</v>
      </c>
      <c r="E476" s="4">
        <f>[1]Raw_Data!E474</f>
        <v>43.78</v>
      </c>
      <c r="F476" s="5">
        <f>[1]Raw_Data!F474</f>
        <v>6873.46</v>
      </c>
      <c r="G476" s="4">
        <f>[1]Raw_Data!G474</f>
        <v>0.1</v>
      </c>
      <c r="H476" s="3">
        <f>[1]Raw_Data!H474</f>
        <v>2</v>
      </c>
      <c r="I476" s="3" t="str">
        <f>TRIM([1]Raw_Data!I474)</f>
        <v>Canada</v>
      </c>
      <c r="J476" s="3" t="str">
        <f>TRIM([1]Raw_Data!J474)</f>
        <v>Amazon</v>
      </c>
      <c r="K476" s="3">
        <f t="shared" si="28"/>
        <v>2020</v>
      </c>
      <c r="L476" s="6">
        <f t="shared" si="29"/>
        <v>44013</v>
      </c>
      <c r="M476" s="3" t="str">
        <f t="shared" si="30"/>
        <v>6% to 10%</v>
      </c>
      <c r="N476" s="3" t="str">
        <f t="shared" si="31"/>
        <v>OK</v>
      </c>
    </row>
    <row r="477" spans="1:14" x14ac:dyDescent="0.3">
      <c r="A477" s="2">
        <f>DATE(VALUE(RIGHT(TRIM([1]Raw_Data!A475),4)),VALUE(MID(TRIM([1]Raw_Data!A475),4,2)),VALUE(LEFT(TRIM([1]Raw_Data!A475),2)))</f>
        <v>44039</v>
      </c>
      <c r="B477" s="3" t="str">
        <f>TRIM([1]Raw_Data!B475)</f>
        <v>Magnesium</v>
      </c>
      <c r="C477" s="3" t="str">
        <f>TRIM([1]Raw_Data!C475)</f>
        <v>Mineral</v>
      </c>
      <c r="D477" s="3">
        <f>[1]Raw_Data!D475</f>
        <v>148</v>
      </c>
      <c r="E477" s="4">
        <f>[1]Raw_Data!E475</f>
        <v>56.74</v>
      </c>
      <c r="F477" s="5">
        <f>[1]Raw_Data!F475</f>
        <v>8397.52</v>
      </c>
      <c r="G477" s="4">
        <f>[1]Raw_Data!G475</f>
        <v>0.06</v>
      </c>
      <c r="H477" s="3">
        <f>[1]Raw_Data!H475</f>
        <v>0</v>
      </c>
      <c r="I477" s="3" t="str">
        <f>TRIM([1]Raw_Data!I475)</f>
        <v>UK</v>
      </c>
      <c r="J477" s="3" t="str">
        <f>TRIM([1]Raw_Data!J475)</f>
        <v>iHerb</v>
      </c>
      <c r="K477" s="3">
        <f t="shared" si="28"/>
        <v>2020</v>
      </c>
      <c r="L477" s="6">
        <f t="shared" si="29"/>
        <v>44013</v>
      </c>
      <c r="M477" s="3" t="str">
        <f t="shared" si="30"/>
        <v>6% to 10%</v>
      </c>
      <c r="N477" s="3" t="str">
        <f t="shared" si="31"/>
        <v>OK</v>
      </c>
    </row>
    <row r="478" spans="1:14" x14ac:dyDescent="0.3">
      <c r="A478" s="2">
        <f>DATE(VALUE(RIGHT(TRIM([1]Raw_Data!A476),4)),VALUE(MID(TRIM([1]Raw_Data!A476),4,2)),VALUE(LEFT(TRIM([1]Raw_Data!A476),2)))</f>
        <v>44039</v>
      </c>
      <c r="B478" s="3" t="str">
        <f>TRIM([1]Raw_Data!B476)</f>
        <v>Ashwagandha</v>
      </c>
      <c r="C478" s="3" t="str">
        <f>TRIM([1]Raw_Data!C476)</f>
        <v>Herbal</v>
      </c>
      <c r="D478" s="3">
        <f>[1]Raw_Data!D476</f>
        <v>153</v>
      </c>
      <c r="E478" s="4">
        <f>[1]Raw_Data!E476</f>
        <v>28.89</v>
      </c>
      <c r="F478" s="5">
        <f>[1]Raw_Data!F476</f>
        <v>4420.17</v>
      </c>
      <c r="G478" s="4">
        <f>[1]Raw_Data!G476</f>
        <v>0.02</v>
      </c>
      <c r="H478" s="3">
        <f>[1]Raw_Data!H476</f>
        <v>1</v>
      </c>
      <c r="I478" s="3" t="str">
        <f>TRIM([1]Raw_Data!I476)</f>
        <v>USA</v>
      </c>
      <c r="J478" s="3" t="str">
        <f>TRIM([1]Raw_Data!J476)</f>
        <v>Amazon</v>
      </c>
      <c r="K478" s="3">
        <f t="shared" si="28"/>
        <v>2020</v>
      </c>
      <c r="L478" s="6">
        <f t="shared" si="29"/>
        <v>44013</v>
      </c>
      <c r="M478" s="3" t="str">
        <f t="shared" si="30"/>
        <v>0% to 5%</v>
      </c>
      <c r="N478" s="3" t="str">
        <f t="shared" si="31"/>
        <v>OK</v>
      </c>
    </row>
    <row r="479" spans="1:14" x14ac:dyDescent="0.3">
      <c r="A479" s="2">
        <f>DATE(VALUE(RIGHT(TRIM([1]Raw_Data!A477),4)),VALUE(MID(TRIM([1]Raw_Data!A477),4,2)),VALUE(LEFT(TRIM([1]Raw_Data!A477),2)))</f>
        <v>44039</v>
      </c>
      <c r="B479" s="3" t="str">
        <f>TRIM([1]Raw_Data!B477)</f>
        <v>Melatonin</v>
      </c>
      <c r="C479" s="3" t="str">
        <f>TRIM([1]Raw_Data!C477)</f>
        <v>Sleep Aid</v>
      </c>
      <c r="D479" s="3">
        <f>[1]Raw_Data!D477</f>
        <v>150</v>
      </c>
      <c r="E479" s="4">
        <f>[1]Raw_Data!E477</f>
        <v>42.91</v>
      </c>
      <c r="F479" s="5">
        <f>[1]Raw_Data!F477</f>
        <v>6436.5</v>
      </c>
      <c r="G479" s="4">
        <f>[1]Raw_Data!G477</f>
        <v>0.25</v>
      </c>
      <c r="H479" s="3">
        <f>[1]Raw_Data!H477</f>
        <v>1</v>
      </c>
      <c r="I479" s="3" t="str">
        <f>TRIM([1]Raw_Data!I477)</f>
        <v>Canada</v>
      </c>
      <c r="J479" s="3" t="str">
        <f>TRIM([1]Raw_Data!J477)</f>
        <v>iHerb</v>
      </c>
      <c r="K479" s="3">
        <f t="shared" si="28"/>
        <v>2020</v>
      </c>
      <c r="L479" s="6">
        <f t="shared" si="29"/>
        <v>44013</v>
      </c>
      <c r="M479" s="3" t="str">
        <f t="shared" si="30"/>
        <v>21% to 25%</v>
      </c>
      <c r="N479" s="3" t="str">
        <f t="shared" si="31"/>
        <v>OK</v>
      </c>
    </row>
    <row r="480" spans="1:14" x14ac:dyDescent="0.3">
      <c r="A480" s="2">
        <f>DATE(VALUE(RIGHT(TRIM([1]Raw_Data!A478),4)),VALUE(MID(TRIM([1]Raw_Data!A478),4,2)),VALUE(LEFT(TRIM([1]Raw_Data!A478),2)))</f>
        <v>44039</v>
      </c>
      <c r="B480" s="3" t="str">
        <f>TRIM([1]Raw_Data!B478)</f>
        <v>Biotin</v>
      </c>
      <c r="C480" s="3" t="str">
        <f>TRIM([1]Raw_Data!C478)</f>
        <v>Vitamin</v>
      </c>
      <c r="D480" s="3">
        <f>[1]Raw_Data!D478</f>
        <v>145</v>
      </c>
      <c r="E480" s="4">
        <f>[1]Raw_Data!E478</f>
        <v>15.76</v>
      </c>
      <c r="F480" s="5">
        <f>[1]Raw_Data!F478</f>
        <v>2285.1999999999998</v>
      </c>
      <c r="G480" s="4">
        <f>[1]Raw_Data!G478</f>
        <v>0.22</v>
      </c>
      <c r="H480" s="3">
        <f>[1]Raw_Data!H478</f>
        <v>1</v>
      </c>
      <c r="I480" s="3" t="str">
        <f>TRIM([1]Raw_Data!I478)</f>
        <v>USA</v>
      </c>
      <c r="J480" s="3" t="str">
        <f>TRIM([1]Raw_Data!J478)</f>
        <v>Amazon</v>
      </c>
      <c r="K480" s="3">
        <f t="shared" si="28"/>
        <v>2020</v>
      </c>
      <c r="L480" s="6">
        <f t="shared" si="29"/>
        <v>44013</v>
      </c>
      <c r="M480" s="3" t="str">
        <f t="shared" si="30"/>
        <v>21% to 25%</v>
      </c>
      <c r="N480" s="3" t="str">
        <f t="shared" si="31"/>
        <v>OK</v>
      </c>
    </row>
    <row r="481" spans="1:14" x14ac:dyDescent="0.3">
      <c r="A481" s="2">
        <f>DATE(VALUE(RIGHT(TRIM([1]Raw_Data!A479),4)),VALUE(MID(TRIM([1]Raw_Data!A479),4,2)),VALUE(LEFT(TRIM([1]Raw_Data!A479),2)))</f>
        <v>44039</v>
      </c>
      <c r="B481" s="3" t="str">
        <f>TRIM([1]Raw_Data!B479)</f>
        <v>Green Tea Extract</v>
      </c>
      <c r="C481" s="3" t="str">
        <f>TRIM([1]Raw_Data!C479)</f>
        <v>Fat Burner</v>
      </c>
      <c r="D481" s="3">
        <f>[1]Raw_Data!D479</f>
        <v>146</v>
      </c>
      <c r="E481" s="4">
        <f>[1]Raw_Data!E479</f>
        <v>32.1</v>
      </c>
      <c r="F481" s="5">
        <f>[1]Raw_Data!F479</f>
        <v>4686.6000000000004</v>
      </c>
      <c r="G481" s="4">
        <f>[1]Raw_Data!G479</f>
        <v>0.16</v>
      </c>
      <c r="H481" s="3">
        <f>[1]Raw_Data!H479</f>
        <v>0</v>
      </c>
      <c r="I481" s="3" t="str">
        <f>TRIM([1]Raw_Data!I479)</f>
        <v>USA</v>
      </c>
      <c r="J481" s="3" t="str">
        <f>TRIM([1]Raw_Data!J479)</f>
        <v>Walmart</v>
      </c>
      <c r="K481" s="3">
        <f t="shared" si="28"/>
        <v>2020</v>
      </c>
      <c r="L481" s="6">
        <f t="shared" si="29"/>
        <v>44013</v>
      </c>
      <c r="M481" s="3" t="str">
        <f t="shared" si="30"/>
        <v>16% to 20%</v>
      </c>
      <c r="N481" s="3" t="str">
        <f t="shared" si="31"/>
        <v>OK</v>
      </c>
    </row>
    <row r="482" spans="1:14" x14ac:dyDescent="0.3">
      <c r="A482" s="2">
        <f>DATE(VALUE(RIGHT(TRIM([1]Raw_Data!A480),4)),VALUE(MID(TRIM([1]Raw_Data!A480),4,2)),VALUE(LEFT(TRIM([1]Raw_Data!A480),2)))</f>
        <v>44039</v>
      </c>
      <c r="B482" s="3" t="str">
        <f>TRIM([1]Raw_Data!B480)</f>
        <v>Iron Supplement</v>
      </c>
      <c r="C482" s="3" t="str">
        <f>TRIM([1]Raw_Data!C480)</f>
        <v>Mineral</v>
      </c>
      <c r="D482" s="3">
        <f>[1]Raw_Data!D480</f>
        <v>155</v>
      </c>
      <c r="E482" s="4">
        <f>[1]Raw_Data!E480</f>
        <v>17.57</v>
      </c>
      <c r="F482" s="5">
        <f>[1]Raw_Data!F480</f>
        <v>2723.35</v>
      </c>
      <c r="G482" s="4">
        <f>[1]Raw_Data!G480</f>
        <v>0.12</v>
      </c>
      <c r="H482" s="3">
        <f>[1]Raw_Data!H480</f>
        <v>2</v>
      </c>
      <c r="I482" s="3" t="str">
        <f>TRIM([1]Raw_Data!I480)</f>
        <v>USA</v>
      </c>
      <c r="J482" s="3" t="str">
        <f>TRIM([1]Raw_Data!J480)</f>
        <v>Amazon</v>
      </c>
      <c r="K482" s="3">
        <f t="shared" si="28"/>
        <v>2020</v>
      </c>
      <c r="L482" s="6">
        <f t="shared" si="29"/>
        <v>44013</v>
      </c>
      <c r="M482" s="3" t="str">
        <f t="shared" si="30"/>
        <v>11% to 15%</v>
      </c>
      <c r="N482" s="3" t="str">
        <f t="shared" si="31"/>
        <v>OK</v>
      </c>
    </row>
    <row r="483" spans="1:14" x14ac:dyDescent="0.3">
      <c r="A483" s="2">
        <f>DATE(VALUE(RIGHT(TRIM([1]Raw_Data!A481),4)),VALUE(MID(TRIM([1]Raw_Data!A481),4,2)),VALUE(LEFT(TRIM([1]Raw_Data!A481),2)))</f>
        <v>44039</v>
      </c>
      <c r="B483" s="3" t="str">
        <f>TRIM([1]Raw_Data!B481)</f>
        <v>Electrolyte Powder</v>
      </c>
      <c r="C483" s="3" t="str">
        <f>TRIM([1]Raw_Data!C481)</f>
        <v>Hydration</v>
      </c>
      <c r="D483" s="3">
        <f>[1]Raw_Data!D481</f>
        <v>153</v>
      </c>
      <c r="E483" s="4">
        <f>[1]Raw_Data!E481</f>
        <v>26.9</v>
      </c>
      <c r="F483" s="5">
        <f>[1]Raw_Data!F481</f>
        <v>4115.7</v>
      </c>
      <c r="G483" s="4">
        <f>[1]Raw_Data!G481</f>
        <v>0.03</v>
      </c>
      <c r="H483" s="3">
        <f>[1]Raw_Data!H481</f>
        <v>1</v>
      </c>
      <c r="I483" s="3" t="str">
        <f>TRIM([1]Raw_Data!I481)</f>
        <v>UK</v>
      </c>
      <c r="J483" s="3" t="str">
        <f>TRIM([1]Raw_Data!J481)</f>
        <v>iHerb</v>
      </c>
      <c r="K483" s="3">
        <f t="shared" si="28"/>
        <v>2020</v>
      </c>
      <c r="L483" s="6">
        <f t="shared" si="29"/>
        <v>44013</v>
      </c>
      <c r="M483" s="3" t="str">
        <f t="shared" si="30"/>
        <v>0% to 5%</v>
      </c>
      <c r="N483" s="3" t="str">
        <f t="shared" si="31"/>
        <v>OK</v>
      </c>
    </row>
    <row r="484" spans="1:14" x14ac:dyDescent="0.3">
      <c r="A484" s="2">
        <f>DATE(VALUE(RIGHT(TRIM([1]Raw_Data!A482),4)),VALUE(MID(TRIM([1]Raw_Data!A482),4,2)),VALUE(LEFT(TRIM([1]Raw_Data!A482),2)))</f>
        <v>44046</v>
      </c>
      <c r="B484" s="3" t="str">
        <f>TRIM([1]Raw_Data!B482)</f>
        <v>Whey Protein</v>
      </c>
      <c r="C484" s="3" t="str">
        <f>TRIM([1]Raw_Data!C482)</f>
        <v>Protein</v>
      </c>
      <c r="D484" s="3">
        <f>[1]Raw_Data!D482</f>
        <v>136</v>
      </c>
      <c r="E484" s="4">
        <f>[1]Raw_Data!E482</f>
        <v>20.440000000000001</v>
      </c>
      <c r="F484" s="5">
        <f>[1]Raw_Data!F482</f>
        <v>2779.84</v>
      </c>
      <c r="G484" s="4">
        <f>[1]Raw_Data!G482</f>
        <v>0.01</v>
      </c>
      <c r="H484" s="3">
        <f>[1]Raw_Data!H482</f>
        <v>1</v>
      </c>
      <c r="I484" s="3" t="str">
        <f>TRIM([1]Raw_Data!I482)</f>
        <v>UK</v>
      </c>
      <c r="J484" s="3" t="str">
        <f>TRIM([1]Raw_Data!J482)</f>
        <v>Walmart</v>
      </c>
      <c r="K484" s="3">
        <f t="shared" si="28"/>
        <v>2020</v>
      </c>
      <c r="L484" s="6">
        <f t="shared" si="29"/>
        <v>44044</v>
      </c>
      <c r="M484" s="3" t="str">
        <f t="shared" si="30"/>
        <v>0% to 5%</v>
      </c>
      <c r="N484" s="3" t="str">
        <f t="shared" si="31"/>
        <v>OK</v>
      </c>
    </row>
    <row r="485" spans="1:14" x14ac:dyDescent="0.3">
      <c r="A485" s="2">
        <f>DATE(VALUE(RIGHT(TRIM([1]Raw_Data!A483),4)),VALUE(MID(TRIM([1]Raw_Data!A483),4,2)),VALUE(LEFT(TRIM([1]Raw_Data!A483),2)))</f>
        <v>44046</v>
      </c>
      <c r="B485" s="3" t="str">
        <f>TRIM([1]Raw_Data!B483)</f>
        <v>Vitamin C</v>
      </c>
      <c r="C485" s="3" t="str">
        <f>TRIM([1]Raw_Data!C483)</f>
        <v>Vitamin</v>
      </c>
      <c r="D485" s="3">
        <f>[1]Raw_Data!D483</f>
        <v>153</v>
      </c>
      <c r="E485" s="4">
        <f>[1]Raw_Data!E483</f>
        <v>38.85</v>
      </c>
      <c r="F485" s="5">
        <f>[1]Raw_Data!F483</f>
        <v>5944.05</v>
      </c>
      <c r="G485" s="4">
        <f>[1]Raw_Data!G483</f>
        <v>0.09</v>
      </c>
      <c r="H485" s="3">
        <f>[1]Raw_Data!H483</f>
        <v>3</v>
      </c>
      <c r="I485" s="3" t="str">
        <f>TRIM([1]Raw_Data!I483)</f>
        <v>Canada</v>
      </c>
      <c r="J485" s="3" t="str">
        <f>TRIM([1]Raw_Data!J483)</f>
        <v>Walmart</v>
      </c>
      <c r="K485" s="3">
        <f t="shared" si="28"/>
        <v>2020</v>
      </c>
      <c r="L485" s="6">
        <f t="shared" si="29"/>
        <v>44044</v>
      </c>
      <c r="M485" s="3" t="str">
        <f t="shared" si="30"/>
        <v>6% to 10%</v>
      </c>
      <c r="N485" s="3" t="str">
        <f t="shared" si="31"/>
        <v>OK</v>
      </c>
    </row>
    <row r="486" spans="1:14" x14ac:dyDescent="0.3">
      <c r="A486" s="2">
        <f>DATE(VALUE(RIGHT(TRIM([1]Raw_Data!A484),4)),VALUE(MID(TRIM([1]Raw_Data!A484),4,2)),VALUE(LEFT(TRIM([1]Raw_Data!A484),2)))</f>
        <v>44046</v>
      </c>
      <c r="B486" s="3" t="str">
        <f>TRIM([1]Raw_Data!B484)</f>
        <v>Fish Oil</v>
      </c>
      <c r="C486" s="3" t="str">
        <f>TRIM([1]Raw_Data!C484)</f>
        <v>Omega</v>
      </c>
      <c r="D486" s="3">
        <f>[1]Raw_Data!D484</f>
        <v>151</v>
      </c>
      <c r="E486" s="4">
        <f>[1]Raw_Data!E484</f>
        <v>38.29</v>
      </c>
      <c r="F486" s="5">
        <f>[1]Raw_Data!F484</f>
        <v>5781.79</v>
      </c>
      <c r="G486" s="4">
        <f>[1]Raw_Data!G484</f>
        <v>0.23</v>
      </c>
      <c r="H486" s="3">
        <f>[1]Raw_Data!H484</f>
        <v>1</v>
      </c>
      <c r="I486" s="3" t="str">
        <f>TRIM([1]Raw_Data!I484)</f>
        <v>USA</v>
      </c>
      <c r="J486" s="3" t="str">
        <f>TRIM([1]Raw_Data!J484)</f>
        <v>iHerb</v>
      </c>
      <c r="K486" s="3">
        <f t="shared" si="28"/>
        <v>2020</v>
      </c>
      <c r="L486" s="6">
        <f t="shared" si="29"/>
        <v>44044</v>
      </c>
      <c r="M486" s="3" t="str">
        <f t="shared" si="30"/>
        <v>21% to 25%</v>
      </c>
      <c r="N486" s="3" t="str">
        <f t="shared" si="31"/>
        <v>OK</v>
      </c>
    </row>
    <row r="487" spans="1:14" x14ac:dyDescent="0.3">
      <c r="A487" s="2">
        <f>DATE(VALUE(RIGHT(TRIM([1]Raw_Data!A485),4)),VALUE(MID(TRIM([1]Raw_Data!A485),4,2)),VALUE(LEFT(TRIM([1]Raw_Data!A485),2)))</f>
        <v>44046</v>
      </c>
      <c r="B487" s="3" t="str">
        <f>TRIM([1]Raw_Data!B485)</f>
        <v>Multivitamin</v>
      </c>
      <c r="C487" s="3" t="str">
        <f>TRIM([1]Raw_Data!C485)</f>
        <v>Vitamin</v>
      </c>
      <c r="D487" s="3">
        <f>[1]Raw_Data!D485</f>
        <v>142</v>
      </c>
      <c r="E487" s="4">
        <f>[1]Raw_Data!E485</f>
        <v>17.57</v>
      </c>
      <c r="F487" s="5">
        <f>[1]Raw_Data!F485</f>
        <v>2494.94</v>
      </c>
      <c r="G487" s="4">
        <f>[1]Raw_Data!G485</f>
        <v>0.11</v>
      </c>
      <c r="H487" s="3">
        <f>[1]Raw_Data!H485</f>
        <v>2</v>
      </c>
      <c r="I487" s="3" t="str">
        <f>TRIM([1]Raw_Data!I485)</f>
        <v>USA</v>
      </c>
      <c r="J487" s="3" t="str">
        <f>TRIM([1]Raw_Data!J485)</f>
        <v>Walmart</v>
      </c>
      <c r="K487" s="3">
        <f t="shared" si="28"/>
        <v>2020</v>
      </c>
      <c r="L487" s="6">
        <f t="shared" si="29"/>
        <v>44044</v>
      </c>
      <c r="M487" s="3" t="str">
        <f t="shared" si="30"/>
        <v>11% to 15%</v>
      </c>
      <c r="N487" s="3" t="str">
        <f t="shared" si="31"/>
        <v>OK</v>
      </c>
    </row>
    <row r="488" spans="1:14" x14ac:dyDescent="0.3">
      <c r="A488" s="2">
        <f>DATE(VALUE(RIGHT(TRIM([1]Raw_Data!A486),4)),VALUE(MID(TRIM([1]Raw_Data!A486),4,2)),VALUE(LEFT(TRIM([1]Raw_Data!A486),2)))</f>
        <v>44046</v>
      </c>
      <c r="B488" s="3" t="str">
        <f>TRIM([1]Raw_Data!B486)</f>
        <v>Pre-Workout</v>
      </c>
      <c r="C488" s="3" t="str">
        <f>TRIM([1]Raw_Data!C486)</f>
        <v>Performance</v>
      </c>
      <c r="D488" s="3">
        <f>[1]Raw_Data!D486</f>
        <v>160</v>
      </c>
      <c r="E488" s="4">
        <f>[1]Raw_Data!E486</f>
        <v>51.42</v>
      </c>
      <c r="F488" s="5">
        <f>[1]Raw_Data!F486</f>
        <v>8227.2000000000007</v>
      </c>
      <c r="G488" s="4">
        <f>[1]Raw_Data!G486</f>
        <v>0.02</v>
      </c>
      <c r="H488" s="3">
        <f>[1]Raw_Data!H486</f>
        <v>1</v>
      </c>
      <c r="I488" s="3" t="str">
        <f>TRIM([1]Raw_Data!I486)</f>
        <v>Canada</v>
      </c>
      <c r="J488" s="3" t="str">
        <f>TRIM([1]Raw_Data!J486)</f>
        <v>iHerb</v>
      </c>
      <c r="K488" s="3">
        <f t="shared" si="28"/>
        <v>2020</v>
      </c>
      <c r="L488" s="6">
        <f t="shared" si="29"/>
        <v>44044</v>
      </c>
      <c r="M488" s="3" t="str">
        <f t="shared" si="30"/>
        <v>0% to 5%</v>
      </c>
      <c r="N488" s="3" t="str">
        <f t="shared" si="31"/>
        <v>OK</v>
      </c>
    </row>
    <row r="489" spans="1:14" x14ac:dyDescent="0.3">
      <c r="A489" s="2">
        <f>DATE(VALUE(RIGHT(TRIM([1]Raw_Data!A487),4)),VALUE(MID(TRIM([1]Raw_Data!A487),4,2)),VALUE(LEFT(TRIM([1]Raw_Data!A487),2)))</f>
        <v>44046</v>
      </c>
      <c r="B489" s="3" t="str">
        <f>TRIM([1]Raw_Data!B487)</f>
        <v>BCAA</v>
      </c>
      <c r="C489" s="3" t="str">
        <f>TRIM([1]Raw_Data!C487)</f>
        <v>Amino Acid</v>
      </c>
      <c r="D489" s="3">
        <f>[1]Raw_Data!D487</f>
        <v>155</v>
      </c>
      <c r="E489" s="4">
        <f>[1]Raw_Data!E487</f>
        <v>49.17</v>
      </c>
      <c r="F489" s="5">
        <f>[1]Raw_Data!F487</f>
        <v>7621.35</v>
      </c>
      <c r="G489" s="4">
        <f>[1]Raw_Data!G487</f>
        <v>7.0000000000000007E-2</v>
      </c>
      <c r="H489" s="3">
        <f>[1]Raw_Data!H487</f>
        <v>4</v>
      </c>
      <c r="I489" s="3" t="str">
        <f>TRIM([1]Raw_Data!I487)</f>
        <v>Canada</v>
      </c>
      <c r="J489" s="3" t="str">
        <f>TRIM([1]Raw_Data!J487)</f>
        <v>Amazon</v>
      </c>
      <c r="K489" s="3">
        <f t="shared" si="28"/>
        <v>2020</v>
      </c>
      <c r="L489" s="6">
        <f t="shared" si="29"/>
        <v>44044</v>
      </c>
      <c r="M489" s="3" t="str">
        <f t="shared" si="30"/>
        <v>6% to 10%</v>
      </c>
      <c r="N489" s="3" t="str">
        <f t="shared" si="31"/>
        <v>OK</v>
      </c>
    </row>
    <row r="490" spans="1:14" x14ac:dyDescent="0.3">
      <c r="A490" s="2">
        <f>DATE(VALUE(RIGHT(TRIM([1]Raw_Data!A488),4)),VALUE(MID(TRIM([1]Raw_Data!A488),4,2)),VALUE(LEFT(TRIM([1]Raw_Data!A488),2)))</f>
        <v>44046</v>
      </c>
      <c r="B490" s="3" t="str">
        <f>TRIM([1]Raw_Data!B488)</f>
        <v>Creatine</v>
      </c>
      <c r="C490" s="3" t="str">
        <f>TRIM([1]Raw_Data!C488)</f>
        <v>Performance</v>
      </c>
      <c r="D490" s="3">
        <f>[1]Raw_Data!D488</f>
        <v>134</v>
      </c>
      <c r="E490" s="4">
        <f>[1]Raw_Data!E488</f>
        <v>58.55</v>
      </c>
      <c r="F490" s="5">
        <f>[1]Raw_Data!F488</f>
        <v>7845.7</v>
      </c>
      <c r="G490" s="4">
        <f>[1]Raw_Data!G488</f>
        <v>0.04</v>
      </c>
      <c r="H490" s="3">
        <f>[1]Raw_Data!H488</f>
        <v>2</v>
      </c>
      <c r="I490" s="3" t="str">
        <f>TRIM([1]Raw_Data!I488)</f>
        <v>UK</v>
      </c>
      <c r="J490" s="3" t="str">
        <f>TRIM([1]Raw_Data!J488)</f>
        <v>Amazon</v>
      </c>
      <c r="K490" s="3">
        <f t="shared" si="28"/>
        <v>2020</v>
      </c>
      <c r="L490" s="6">
        <f t="shared" si="29"/>
        <v>44044</v>
      </c>
      <c r="M490" s="3" t="str">
        <f t="shared" si="30"/>
        <v>0% to 5%</v>
      </c>
      <c r="N490" s="3" t="str">
        <f t="shared" si="31"/>
        <v>OK</v>
      </c>
    </row>
    <row r="491" spans="1:14" x14ac:dyDescent="0.3">
      <c r="A491" s="2">
        <f>DATE(VALUE(RIGHT(TRIM([1]Raw_Data!A489),4)),VALUE(MID(TRIM([1]Raw_Data!A489),4,2)),VALUE(LEFT(TRIM([1]Raw_Data!A489),2)))</f>
        <v>44046</v>
      </c>
      <c r="B491" s="3" t="str">
        <f>TRIM([1]Raw_Data!B489)</f>
        <v>Zinc</v>
      </c>
      <c r="C491" s="3" t="str">
        <f>TRIM([1]Raw_Data!C489)</f>
        <v>Mineral</v>
      </c>
      <c r="D491" s="3">
        <f>[1]Raw_Data!D489</f>
        <v>119</v>
      </c>
      <c r="E491" s="4">
        <f>[1]Raw_Data!E489</f>
        <v>35.81</v>
      </c>
      <c r="F491" s="5">
        <f>[1]Raw_Data!F489</f>
        <v>4261.3900000000003</v>
      </c>
      <c r="G491" s="4">
        <f>[1]Raw_Data!G489</f>
        <v>0.15</v>
      </c>
      <c r="H491" s="3">
        <f>[1]Raw_Data!H489</f>
        <v>3</v>
      </c>
      <c r="I491" s="3" t="str">
        <f>TRIM([1]Raw_Data!I489)</f>
        <v>USA</v>
      </c>
      <c r="J491" s="3" t="str">
        <f>TRIM([1]Raw_Data!J489)</f>
        <v>Amazon</v>
      </c>
      <c r="K491" s="3">
        <f t="shared" si="28"/>
        <v>2020</v>
      </c>
      <c r="L491" s="6">
        <f t="shared" si="29"/>
        <v>44044</v>
      </c>
      <c r="M491" s="3" t="str">
        <f t="shared" si="30"/>
        <v>11% to 15%</v>
      </c>
      <c r="N491" s="3" t="str">
        <f t="shared" si="31"/>
        <v>OK</v>
      </c>
    </row>
    <row r="492" spans="1:14" x14ac:dyDescent="0.3">
      <c r="A492" s="2">
        <f>DATE(VALUE(RIGHT(TRIM([1]Raw_Data!A490),4)),VALUE(MID(TRIM([1]Raw_Data!A490),4,2)),VALUE(LEFT(TRIM([1]Raw_Data!A490),2)))</f>
        <v>44046</v>
      </c>
      <c r="B492" s="3" t="str">
        <f>TRIM([1]Raw_Data!B490)</f>
        <v>Collagen Peptides</v>
      </c>
      <c r="C492" s="3" t="str">
        <f>TRIM([1]Raw_Data!C490)</f>
        <v>Protein</v>
      </c>
      <c r="D492" s="3">
        <f>[1]Raw_Data!D490</f>
        <v>156</v>
      </c>
      <c r="E492" s="4">
        <f>[1]Raw_Data!E490</f>
        <v>50.48</v>
      </c>
      <c r="F492" s="5">
        <f>[1]Raw_Data!F490</f>
        <v>7874.88</v>
      </c>
      <c r="G492" s="4">
        <f>[1]Raw_Data!G490</f>
        <v>0.24</v>
      </c>
      <c r="H492" s="3">
        <f>[1]Raw_Data!H490</f>
        <v>0</v>
      </c>
      <c r="I492" s="3" t="str">
        <f>TRIM([1]Raw_Data!I490)</f>
        <v>Canada</v>
      </c>
      <c r="J492" s="3" t="str">
        <f>TRIM([1]Raw_Data!J490)</f>
        <v>Walmart</v>
      </c>
      <c r="K492" s="3">
        <f t="shared" si="28"/>
        <v>2020</v>
      </c>
      <c r="L492" s="6">
        <f t="shared" si="29"/>
        <v>44044</v>
      </c>
      <c r="M492" s="3" t="str">
        <f t="shared" si="30"/>
        <v>21% to 25%</v>
      </c>
      <c r="N492" s="3" t="str">
        <f t="shared" si="31"/>
        <v>OK</v>
      </c>
    </row>
    <row r="493" spans="1:14" x14ac:dyDescent="0.3">
      <c r="A493" s="2">
        <f>DATE(VALUE(RIGHT(TRIM([1]Raw_Data!A491),4)),VALUE(MID(TRIM([1]Raw_Data!A491),4,2)),VALUE(LEFT(TRIM([1]Raw_Data!A491),2)))</f>
        <v>44046</v>
      </c>
      <c r="B493" s="3" t="str">
        <f>TRIM([1]Raw_Data!B491)</f>
        <v>Magnesium</v>
      </c>
      <c r="C493" s="3" t="str">
        <f>TRIM([1]Raw_Data!C491)</f>
        <v>Mineral</v>
      </c>
      <c r="D493" s="3">
        <f>[1]Raw_Data!D491</f>
        <v>162</v>
      </c>
      <c r="E493" s="4">
        <f>[1]Raw_Data!E491</f>
        <v>16.61</v>
      </c>
      <c r="F493" s="5">
        <f>[1]Raw_Data!F491</f>
        <v>2690.82</v>
      </c>
      <c r="G493" s="4">
        <f>[1]Raw_Data!G491</f>
        <v>0.11</v>
      </c>
      <c r="H493" s="3">
        <f>[1]Raw_Data!H491</f>
        <v>2</v>
      </c>
      <c r="I493" s="3" t="str">
        <f>TRIM([1]Raw_Data!I491)</f>
        <v>Canada</v>
      </c>
      <c r="J493" s="3" t="str">
        <f>TRIM([1]Raw_Data!J491)</f>
        <v>Amazon</v>
      </c>
      <c r="K493" s="3">
        <f t="shared" si="28"/>
        <v>2020</v>
      </c>
      <c r="L493" s="6">
        <f t="shared" si="29"/>
        <v>44044</v>
      </c>
      <c r="M493" s="3" t="str">
        <f t="shared" si="30"/>
        <v>11% to 15%</v>
      </c>
      <c r="N493" s="3" t="str">
        <f t="shared" si="31"/>
        <v>OK</v>
      </c>
    </row>
    <row r="494" spans="1:14" x14ac:dyDescent="0.3">
      <c r="A494" s="2">
        <f>DATE(VALUE(RIGHT(TRIM([1]Raw_Data!A492),4)),VALUE(MID(TRIM([1]Raw_Data!A492),4,2)),VALUE(LEFT(TRIM([1]Raw_Data!A492),2)))</f>
        <v>44046</v>
      </c>
      <c r="B494" s="3" t="str">
        <f>TRIM([1]Raw_Data!B492)</f>
        <v>Ashwagandha</v>
      </c>
      <c r="C494" s="3" t="str">
        <f>TRIM([1]Raw_Data!C492)</f>
        <v>Herbal</v>
      </c>
      <c r="D494" s="3">
        <f>[1]Raw_Data!D492</f>
        <v>146</v>
      </c>
      <c r="E494" s="4">
        <f>[1]Raw_Data!E492</f>
        <v>39.97</v>
      </c>
      <c r="F494" s="5">
        <f>[1]Raw_Data!F492</f>
        <v>5835.62</v>
      </c>
      <c r="G494" s="4">
        <f>[1]Raw_Data!G492</f>
        <v>0.23</v>
      </c>
      <c r="H494" s="3">
        <f>[1]Raw_Data!H492</f>
        <v>1</v>
      </c>
      <c r="I494" s="3" t="str">
        <f>TRIM([1]Raw_Data!I492)</f>
        <v>USA</v>
      </c>
      <c r="J494" s="3" t="str">
        <f>TRIM([1]Raw_Data!J492)</f>
        <v>Amazon</v>
      </c>
      <c r="K494" s="3">
        <f t="shared" si="28"/>
        <v>2020</v>
      </c>
      <c r="L494" s="6">
        <f t="shared" si="29"/>
        <v>44044</v>
      </c>
      <c r="M494" s="3" t="str">
        <f t="shared" si="30"/>
        <v>21% to 25%</v>
      </c>
      <c r="N494" s="3" t="str">
        <f t="shared" si="31"/>
        <v>OK</v>
      </c>
    </row>
    <row r="495" spans="1:14" x14ac:dyDescent="0.3">
      <c r="A495" s="2">
        <f>DATE(VALUE(RIGHT(TRIM([1]Raw_Data!A493),4)),VALUE(MID(TRIM([1]Raw_Data!A493),4,2)),VALUE(LEFT(TRIM([1]Raw_Data!A493),2)))</f>
        <v>44046</v>
      </c>
      <c r="B495" s="3" t="str">
        <f>TRIM([1]Raw_Data!B493)</f>
        <v>Melatonin</v>
      </c>
      <c r="C495" s="3" t="str">
        <f>TRIM([1]Raw_Data!C493)</f>
        <v>Sleep Aid</v>
      </c>
      <c r="D495" s="3">
        <f>[1]Raw_Data!D493</f>
        <v>139</v>
      </c>
      <c r="E495" s="4">
        <f>[1]Raw_Data!E493</f>
        <v>12.42</v>
      </c>
      <c r="F495" s="5">
        <f>[1]Raw_Data!F493</f>
        <v>1726.38</v>
      </c>
      <c r="G495" s="4">
        <f>[1]Raw_Data!G493</f>
        <v>0.21</v>
      </c>
      <c r="H495" s="3">
        <f>[1]Raw_Data!H493</f>
        <v>2</v>
      </c>
      <c r="I495" s="3" t="str">
        <f>TRIM([1]Raw_Data!I493)</f>
        <v>Canada</v>
      </c>
      <c r="J495" s="3" t="str">
        <f>TRIM([1]Raw_Data!J493)</f>
        <v>Amazon</v>
      </c>
      <c r="K495" s="3">
        <f t="shared" si="28"/>
        <v>2020</v>
      </c>
      <c r="L495" s="6">
        <f t="shared" si="29"/>
        <v>44044</v>
      </c>
      <c r="M495" s="3" t="str">
        <f t="shared" si="30"/>
        <v>21% to 25%</v>
      </c>
      <c r="N495" s="3" t="str">
        <f t="shared" si="31"/>
        <v>OK</v>
      </c>
    </row>
    <row r="496" spans="1:14" x14ac:dyDescent="0.3">
      <c r="A496" s="2">
        <f>DATE(VALUE(RIGHT(TRIM([1]Raw_Data!A494),4)),VALUE(MID(TRIM([1]Raw_Data!A494),4,2)),VALUE(LEFT(TRIM([1]Raw_Data!A494),2)))</f>
        <v>44046</v>
      </c>
      <c r="B496" s="3" t="str">
        <f>TRIM([1]Raw_Data!B494)</f>
        <v>Biotin</v>
      </c>
      <c r="C496" s="3" t="str">
        <f>TRIM([1]Raw_Data!C494)</f>
        <v>Vitamin</v>
      </c>
      <c r="D496" s="3">
        <f>[1]Raw_Data!D494</f>
        <v>153</v>
      </c>
      <c r="E496" s="4">
        <f>[1]Raw_Data!E494</f>
        <v>49.99</v>
      </c>
      <c r="F496" s="5">
        <f>[1]Raw_Data!F494</f>
        <v>7648.47</v>
      </c>
      <c r="G496" s="4">
        <f>[1]Raw_Data!G494</f>
        <v>0.14000000000000001</v>
      </c>
      <c r="H496" s="3">
        <f>[1]Raw_Data!H494</f>
        <v>3</v>
      </c>
      <c r="I496" s="3" t="str">
        <f>TRIM([1]Raw_Data!I494)</f>
        <v>USA</v>
      </c>
      <c r="J496" s="3" t="str">
        <f>TRIM([1]Raw_Data!J494)</f>
        <v>Walmart</v>
      </c>
      <c r="K496" s="3">
        <f t="shared" si="28"/>
        <v>2020</v>
      </c>
      <c r="L496" s="6">
        <f t="shared" si="29"/>
        <v>44044</v>
      </c>
      <c r="M496" s="3" t="str">
        <f t="shared" si="30"/>
        <v>11% to 15%</v>
      </c>
      <c r="N496" s="3" t="str">
        <f t="shared" si="31"/>
        <v>OK</v>
      </c>
    </row>
    <row r="497" spans="1:14" x14ac:dyDescent="0.3">
      <c r="A497" s="2">
        <f>DATE(VALUE(RIGHT(TRIM([1]Raw_Data!A495),4)),VALUE(MID(TRIM([1]Raw_Data!A495),4,2)),VALUE(LEFT(TRIM([1]Raw_Data!A495),2)))</f>
        <v>44046</v>
      </c>
      <c r="B497" s="3" t="str">
        <f>TRIM([1]Raw_Data!B495)</f>
        <v>Green Tea Extract</v>
      </c>
      <c r="C497" s="3" t="str">
        <f>TRIM([1]Raw_Data!C495)</f>
        <v>Fat Burner</v>
      </c>
      <c r="D497" s="3">
        <f>[1]Raw_Data!D495</f>
        <v>155</v>
      </c>
      <c r="E497" s="4">
        <f>[1]Raw_Data!E495</f>
        <v>39.93</v>
      </c>
      <c r="F497" s="5">
        <f>[1]Raw_Data!F495</f>
        <v>6189.15</v>
      </c>
      <c r="G497" s="4">
        <f>[1]Raw_Data!G495</f>
        <v>0.1</v>
      </c>
      <c r="H497" s="3">
        <f>[1]Raw_Data!H495</f>
        <v>4</v>
      </c>
      <c r="I497" s="3" t="str">
        <f>TRIM([1]Raw_Data!I495)</f>
        <v>UK</v>
      </c>
      <c r="J497" s="3" t="str">
        <f>TRIM([1]Raw_Data!J495)</f>
        <v>Walmart</v>
      </c>
      <c r="K497" s="3">
        <f t="shared" si="28"/>
        <v>2020</v>
      </c>
      <c r="L497" s="6">
        <f t="shared" si="29"/>
        <v>44044</v>
      </c>
      <c r="M497" s="3" t="str">
        <f t="shared" si="30"/>
        <v>6% to 10%</v>
      </c>
      <c r="N497" s="3" t="str">
        <f t="shared" si="31"/>
        <v>OK</v>
      </c>
    </row>
    <row r="498" spans="1:14" x14ac:dyDescent="0.3">
      <c r="A498" s="2">
        <f>DATE(VALUE(RIGHT(TRIM([1]Raw_Data!A496),4)),VALUE(MID(TRIM([1]Raw_Data!A496),4,2)),VALUE(LEFT(TRIM([1]Raw_Data!A496),2)))</f>
        <v>44046</v>
      </c>
      <c r="B498" s="3" t="str">
        <f>TRIM([1]Raw_Data!B496)</f>
        <v>Iron Supplement</v>
      </c>
      <c r="C498" s="3" t="str">
        <f>TRIM([1]Raw_Data!C496)</f>
        <v>Mineral</v>
      </c>
      <c r="D498" s="3">
        <f>[1]Raw_Data!D496</f>
        <v>151</v>
      </c>
      <c r="E498" s="4">
        <f>[1]Raw_Data!E496</f>
        <v>21.02</v>
      </c>
      <c r="F498" s="5">
        <f>[1]Raw_Data!F496</f>
        <v>3174.02</v>
      </c>
      <c r="G498" s="4">
        <f>[1]Raw_Data!G496</f>
        <v>0.16</v>
      </c>
      <c r="H498" s="3">
        <f>[1]Raw_Data!H496</f>
        <v>2</v>
      </c>
      <c r="I498" s="3" t="str">
        <f>TRIM([1]Raw_Data!I496)</f>
        <v>Canada</v>
      </c>
      <c r="J498" s="3" t="str">
        <f>TRIM([1]Raw_Data!J496)</f>
        <v>Amazon</v>
      </c>
      <c r="K498" s="3">
        <f t="shared" si="28"/>
        <v>2020</v>
      </c>
      <c r="L498" s="6">
        <f t="shared" si="29"/>
        <v>44044</v>
      </c>
      <c r="M498" s="3" t="str">
        <f t="shared" si="30"/>
        <v>16% to 20%</v>
      </c>
      <c r="N498" s="3" t="str">
        <f t="shared" si="31"/>
        <v>OK</v>
      </c>
    </row>
    <row r="499" spans="1:14" x14ac:dyDescent="0.3">
      <c r="A499" s="2">
        <f>DATE(VALUE(RIGHT(TRIM([1]Raw_Data!A497),4)),VALUE(MID(TRIM([1]Raw_Data!A497),4,2)),VALUE(LEFT(TRIM([1]Raw_Data!A497),2)))</f>
        <v>44046</v>
      </c>
      <c r="B499" s="3" t="str">
        <f>TRIM([1]Raw_Data!B497)</f>
        <v>Electrolyte Powder</v>
      </c>
      <c r="C499" s="3" t="str">
        <f>TRIM([1]Raw_Data!C497)</f>
        <v>Hydration</v>
      </c>
      <c r="D499" s="3">
        <f>[1]Raw_Data!D497</f>
        <v>137</v>
      </c>
      <c r="E499" s="4">
        <f>[1]Raw_Data!E497</f>
        <v>40.22</v>
      </c>
      <c r="F499" s="5">
        <f>[1]Raw_Data!F497</f>
        <v>5510.14</v>
      </c>
      <c r="G499" s="4">
        <f>[1]Raw_Data!G497</f>
        <v>0.19</v>
      </c>
      <c r="H499" s="3">
        <f>[1]Raw_Data!H497</f>
        <v>1</v>
      </c>
      <c r="I499" s="3" t="str">
        <f>TRIM([1]Raw_Data!I497)</f>
        <v>Canada</v>
      </c>
      <c r="J499" s="3" t="str">
        <f>TRIM([1]Raw_Data!J497)</f>
        <v>Walmart</v>
      </c>
      <c r="K499" s="3">
        <f t="shared" si="28"/>
        <v>2020</v>
      </c>
      <c r="L499" s="6">
        <f t="shared" si="29"/>
        <v>44044</v>
      </c>
      <c r="M499" s="3" t="str">
        <f t="shared" si="30"/>
        <v>16% to 20%</v>
      </c>
      <c r="N499" s="3" t="str">
        <f t="shared" si="31"/>
        <v>OK</v>
      </c>
    </row>
    <row r="500" spans="1:14" x14ac:dyDescent="0.3">
      <c r="A500" s="2">
        <f>DATE(VALUE(RIGHT(TRIM([1]Raw_Data!A498),4)),VALUE(MID(TRIM([1]Raw_Data!A498),4,2)),VALUE(LEFT(TRIM([1]Raw_Data!A498),2)))</f>
        <v>44053</v>
      </c>
      <c r="B500" s="3" t="str">
        <f>TRIM([1]Raw_Data!B498)</f>
        <v>Whey Protein</v>
      </c>
      <c r="C500" s="3" t="str">
        <f>TRIM([1]Raw_Data!C498)</f>
        <v>Protein</v>
      </c>
      <c r="D500" s="3">
        <f>[1]Raw_Data!D498</f>
        <v>139</v>
      </c>
      <c r="E500" s="4">
        <f>[1]Raw_Data!E498</f>
        <v>14.01</v>
      </c>
      <c r="F500" s="5">
        <f>[1]Raw_Data!F498</f>
        <v>1947.39</v>
      </c>
      <c r="G500" s="4">
        <f>[1]Raw_Data!G498</f>
        <v>0.11</v>
      </c>
      <c r="H500" s="3">
        <f>[1]Raw_Data!H498</f>
        <v>0</v>
      </c>
      <c r="I500" s="3" t="str">
        <f>TRIM([1]Raw_Data!I498)</f>
        <v>Canada</v>
      </c>
      <c r="J500" s="3" t="str">
        <f>TRIM([1]Raw_Data!J498)</f>
        <v>iHerb</v>
      </c>
      <c r="K500" s="3">
        <f t="shared" si="28"/>
        <v>2020</v>
      </c>
      <c r="L500" s="6">
        <f t="shared" si="29"/>
        <v>44044</v>
      </c>
      <c r="M500" s="3" t="str">
        <f t="shared" si="30"/>
        <v>11% to 15%</v>
      </c>
      <c r="N500" s="3" t="str">
        <f t="shared" si="31"/>
        <v>OK</v>
      </c>
    </row>
    <row r="501" spans="1:14" x14ac:dyDescent="0.3">
      <c r="A501" s="2">
        <f>DATE(VALUE(RIGHT(TRIM([1]Raw_Data!A499),4)),VALUE(MID(TRIM([1]Raw_Data!A499),4,2)),VALUE(LEFT(TRIM([1]Raw_Data!A499),2)))</f>
        <v>44053</v>
      </c>
      <c r="B501" s="3" t="str">
        <f>TRIM([1]Raw_Data!B499)</f>
        <v>Vitamin C</v>
      </c>
      <c r="C501" s="3" t="str">
        <f>TRIM([1]Raw_Data!C499)</f>
        <v>Vitamin</v>
      </c>
      <c r="D501" s="3">
        <f>[1]Raw_Data!D499</f>
        <v>137</v>
      </c>
      <c r="E501" s="4">
        <f>[1]Raw_Data!E499</f>
        <v>29.34</v>
      </c>
      <c r="F501" s="5">
        <f>[1]Raw_Data!F499</f>
        <v>4019.58</v>
      </c>
      <c r="G501" s="4">
        <f>[1]Raw_Data!G499</f>
        <v>0.01</v>
      </c>
      <c r="H501" s="3">
        <f>[1]Raw_Data!H499</f>
        <v>1</v>
      </c>
      <c r="I501" s="3" t="str">
        <f>TRIM([1]Raw_Data!I499)</f>
        <v>Canada</v>
      </c>
      <c r="J501" s="3" t="str">
        <f>TRIM([1]Raw_Data!J499)</f>
        <v>Walmart</v>
      </c>
      <c r="K501" s="3">
        <f t="shared" si="28"/>
        <v>2020</v>
      </c>
      <c r="L501" s="6">
        <f t="shared" si="29"/>
        <v>44044</v>
      </c>
      <c r="M501" s="3" t="str">
        <f t="shared" si="30"/>
        <v>0% to 5%</v>
      </c>
      <c r="N501" s="3" t="str">
        <f t="shared" si="31"/>
        <v>OK</v>
      </c>
    </row>
    <row r="502" spans="1:14" x14ac:dyDescent="0.3">
      <c r="A502" s="2">
        <f>DATE(VALUE(RIGHT(TRIM([1]Raw_Data!A500),4)),VALUE(MID(TRIM([1]Raw_Data!A500),4,2)),VALUE(LEFT(TRIM([1]Raw_Data!A500),2)))</f>
        <v>44053</v>
      </c>
      <c r="B502" s="3" t="str">
        <f>TRIM([1]Raw_Data!B500)</f>
        <v>Fish Oil</v>
      </c>
      <c r="C502" s="3" t="str">
        <f>TRIM([1]Raw_Data!C500)</f>
        <v>Omega</v>
      </c>
      <c r="D502" s="3">
        <f>[1]Raw_Data!D500</f>
        <v>150</v>
      </c>
      <c r="E502" s="4">
        <f>[1]Raw_Data!E500</f>
        <v>29.14</v>
      </c>
      <c r="F502" s="5">
        <f>[1]Raw_Data!F500</f>
        <v>4371</v>
      </c>
      <c r="G502" s="4">
        <f>[1]Raw_Data!G500</f>
        <v>0.21</v>
      </c>
      <c r="H502" s="3">
        <f>[1]Raw_Data!H500</f>
        <v>0</v>
      </c>
      <c r="I502" s="3" t="str">
        <f>TRIM([1]Raw_Data!I500)</f>
        <v>UK</v>
      </c>
      <c r="J502" s="3" t="str">
        <f>TRIM([1]Raw_Data!J500)</f>
        <v>Amazon</v>
      </c>
      <c r="K502" s="3">
        <f t="shared" si="28"/>
        <v>2020</v>
      </c>
      <c r="L502" s="6">
        <f t="shared" si="29"/>
        <v>44044</v>
      </c>
      <c r="M502" s="3" t="str">
        <f t="shared" si="30"/>
        <v>21% to 25%</v>
      </c>
      <c r="N502" s="3" t="str">
        <f t="shared" si="31"/>
        <v>OK</v>
      </c>
    </row>
    <row r="503" spans="1:14" x14ac:dyDescent="0.3">
      <c r="A503" s="2">
        <f>DATE(VALUE(RIGHT(TRIM([1]Raw_Data!A501),4)),VALUE(MID(TRIM([1]Raw_Data!A501),4,2)),VALUE(LEFT(TRIM([1]Raw_Data!A501),2)))</f>
        <v>44053</v>
      </c>
      <c r="B503" s="3" t="str">
        <f>TRIM([1]Raw_Data!B501)</f>
        <v>Multivitamin</v>
      </c>
      <c r="C503" s="3" t="str">
        <f>TRIM([1]Raw_Data!C501)</f>
        <v>Vitamin</v>
      </c>
      <c r="D503" s="3">
        <f>[1]Raw_Data!D501</f>
        <v>150</v>
      </c>
      <c r="E503" s="4">
        <f>[1]Raw_Data!E501</f>
        <v>13.56</v>
      </c>
      <c r="F503" s="5">
        <f>[1]Raw_Data!F501</f>
        <v>2034</v>
      </c>
      <c r="G503" s="4">
        <f>[1]Raw_Data!G501</f>
        <v>0.14000000000000001</v>
      </c>
      <c r="H503" s="3">
        <f>[1]Raw_Data!H501</f>
        <v>2</v>
      </c>
      <c r="I503" s="3" t="str">
        <f>TRIM([1]Raw_Data!I501)</f>
        <v>UK</v>
      </c>
      <c r="J503" s="3" t="str">
        <f>TRIM([1]Raw_Data!J501)</f>
        <v>Walmart</v>
      </c>
      <c r="K503" s="3">
        <f t="shared" si="28"/>
        <v>2020</v>
      </c>
      <c r="L503" s="6">
        <f t="shared" si="29"/>
        <v>44044</v>
      </c>
      <c r="M503" s="3" t="str">
        <f t="shared" si="30"/>
        <v>11% to 15%</v>
      </c>
      <c r="N503" s="3" t="str">
        <f t="shared" si="31"/>
        <v>OK</v>
      </c>
    </row>
    <row r="504" spans="1:14" x14ac:dyDescent="0.3">
      <c r="A504" s="2">
        <f>DATE(VALUE(RIGHT(TRIM([1]Raw_Data!A502),4)),VALUE(MID(TRIM([1]Raw_Data!A502),4,2)),VALUE(LEFT(TRIM([1]Raw_Data!A502),2)))</f>
        <v>44053</v>
      </c>
      <c r="B504" s="3" t="str">
        <f>TRIM([1]Raw_Data!B502)</f>
        <v>Pre-Workout</v>
      </c>
      <c r="C504" s="3" t="str">
        <f>TRIM([1]Raw_Data!C502)</f>
        <v>Performance</v>
      </c>
      <c r="D504" s="3">
        <f>[1]Raw_Data!D502</f>
        <v>167</v>
      </c>
      <c r="E504" s="4">
        <f>[1]Raw_Data!E502</f>
        <v>57.99</v>
      </c>
      <c r="F504" s="5">
        <f>[1]Raw_Data!F502</f>
        <v>9684.33</v>
      </c>
      <c r="G504" s="4">
        <f>[1]Raw_Data!G502</f>
        <v>0.01</v>
      </c>
      <c r="H504" s="3">
        <f>[1]Raw_Data!H502</f>
        <v>0</v>
      </c>
      <c r="I504" s="3" t="str">
        <f>TRIM([1]Raw_Data!I502)</f>
        <v>UK</v>
      </c>
      <c r="J504" s="3" t="str">
        <f>TRIM([1]Raw_Data!J502)</f>
        <v>iHerb</v>
      </c>
      <c r="K504" s="3">
        <f t="shared" si="28"/>
        <v>2020</v>
      </c>
      <c r="L504" s="6">
        <f t="shared" si="29"/>
        <v>44044</v>
      </c>
      <c r="M504" s="3" t="str">
        <f t="shared" si="30"/>
        <v>0% to 5%</v>
      </c>
      <c r="N504" s="3" t="str">
        <f t="shared" si="31"/>
        <v>OK</v>
      </c>
    </row>
    <row r="505" spans="1:14" x14ac:dyDescent="0.3">
      <c r="A505" s="2">
        <f>DATE(VALUE(RIGHT(TRIM([1]Raw_Data!A503),4)),VALUE(MID(TRIM([1]Raw_Data!A503),4,2)),VALUE(LEFT(TRIM([1]Raw_Data!A503),2)))</f>
        <v>44053</v>
      </c>
      <c r="B505" s="3" t="str">
        <f>TRIM([1]Raw_Data!B503)</f>
        <v>BCAA</v>
      </c>
      <c r="C505" s="3" t="str">
        <f>TRIM([1]Raw_Data!C503)</f>
        <v>Amino Acid</v>
      </c>
      <c r="D505" s="3">
        <f>[1]Raw_Data!D503</f>
        <v>120</v>
      </c>
      <c r="E505" s="4">
        <f>[1]Raw_Data!E503</f>
        <v>37.06</v>
      </c>
      <c r="F505" s="5">
        <f>[1]Raw_Data!F503</f>
        <v>4447.2</v>
      </c>
      <c r="G505" s="4">
        <f>[1]Raw_Data!G503</f>
        <v>0.16</v>
      </c>
      <c r="H505" s="3">
        <f>[1]Raw_Data!H503</f>
        <v>0</v>
      </c>
      <c r="I505" s="3" t="str">
        <f>TRIM([1]Raw_Data!I503)</f>
        <v>Canada</v>
      </c>
      <c r="J505" s="3" t="str">
        <f>TRIM([1]Raw_Data!J503)</f>
        <v>Walmart</v>
      </c>
      <c r="K505" s="3">
        <f t="shared" si="28"/>
        <v>2020</v>
      </c>
      <c r="L505" s="6">
        <f t="shared" si="29"/>
        <v>44044</v>
      </c>
      <c r="M505" s="3" t="str">
        <f t="shared" si="30"/>
        <v>16% to 20%</v>
      </c>
      <c r="N505" s="3" t="str">
        <f t="shared" si="31"/>
        <v>OK</v>
      </c>
    </row>
    <row r="506" spans="1:14" x14ac:dyDescent="0.3">
      <c r="A506" s="2">
        <f>DATE(VALUE(RIGHT(TRIM([1]Raw_Data!A504),4)),VALUE(MID(TRIM([1]Raw_Data!A504),4,2)),VALUE(LEFT(TRIM([1]Raw_Data!A504),2)))</f>
        <v>44053</v>
      </c>
      <c r="B506" s="3" t="str">
        <f>TRIM([1]Raw_Data!B504)</f>
        <v>Creatine</v>
      </c>
      <c r="C506" s="3" t="str">
        <f>TRIM([1]Raw_Data!C504)</f>
        <v>Performance</v>
      </c>
      <c r="D506" s="3">
        <f>[1]Raw_Data!D504</f>
        <v>176</v>
      </c>
      <c r="E506" s="4">
        <f>[1]Raw_Data!E504</f>
        <v>24.83</v>
      </c>
      <c r="F506" s="5">
        <f>[1]Raw_Data!F504</f>
        <v>4370.08</v>
      </c>
      <c r="G506" s="4">
        <f>[1]Raw_Data!G504</f>
        <v>0.02</v>
      </c>
      <c r="H506" s="3">
        <f>[1]Raw_Data!H504</f>
        <v>0</v>
      </c>
      <c r="I506" s="3" t="str">
        <f>TRIM([1]Raw_Data!I504)</f>
        <v>UK</v>
      </c>
      <c r="J506" s="3" t="str">
        <f>TRIM([1]Raw_Data!J504)</f>
        <v>iHerb</v>
      </c>
      <c r="K506" s="3">
        <f t="shared" si="28"/>
        <v>2020</v>
      </c>
      <c r="L506" s="6">
        <f t="shared" si="29"/>
        <v>44044</v>
      </c>
      <c r="M506" s="3" t="str">
        <f t="shared" si="30"/>
        <v>0% to 5%</v>
      </c>
      <c r="N506" s="3" t="str">
        <f t="shared" si="31"/>
        <v>OK</v>
      </c>
    </row>
    <row r="507" spans="1:14" x14ac:dyDescent="0.3">
      <c r="A507" s="2">
        <f>DATE(VALUE(RIGHT(TRIM([1]Raw_Data!A505),4)),VALUE(MID(TRIM([1]Raw_Data!A505),4,2)),VALUE(LEFT(TRIM([1]Raw_Data!A505),2)))</f>
        <v>44053</v>
      </c>
      <c r="B507" s="3" t="str">
        <f>TRIM([1]Raw_Data!B505)</f>
        <v>Zinc</v>
      </c>
      <c r="C507" s="3" t="str">
        <f>TRIM([1]Raw_Data!C505)</f>
        <v>Mineral</v>
      </c>
      <c r="D507" s="3">
        <f>[1]Raw_Data!D505</f>
        <v>134</v>
      </c>
      <c r="E507" s="4">
        <f>[1]Raw_Data!E505</f>
        <v>35.93</v>
      </c>
      <c r="F507" s="5">
        <f>[1]Raw_Data!F505</f>
        <v>4814.62</v>
      </c>
      <c r="G507" s="4">
        <f>[1]Raw_Data!G505</f>
        <v>0.06</v>
      </c>
      <c r="H507" s="3">
        <f>[1]Raw_Data!H505</f>
        <v>1</v>
      </c>
      <c r="I507" s="3" t="str">
        <f>TRIM([1]Raw_Data!I505)</f>
        <v>Canada</v>
      </c>
      <c r="J507" s="3" t="str">
        <f>TRIM([1]Raw_Data!J505)</f>
        <v>iHerb</v>
      </c>
      <c r="K507" s="3">
        <f t="shared" si="28"/>
        <v>2020</v>
      </c>
      <c r="L507" s="6">
        <f t="shared" si="29"/>
        <v>44044</v>
      </c>
      <c r="M507" s="3" t="str">
        <f t="shared" si="30"/>
        <v>6% to 10%</v>
      </c>
      <c r="N507" s="3" t="str">
        <f t="shared" si="31"/>
        <v>OK</v>
      </c>
    </row>
    <row r="508" spans="1:14" x14ac:dyDescent="0.3">
      <c r="A508" s="2">
        <f>DATE(VALUE(RIGHT(TRIM([1]Raw_Data!A506),4)),VALUE(MID(TRIM([1]Raw_Data!A506),4,2)),VALUE(LEFT(TRIM([1]Raw_Data!A506),2)))</f>
        <v>44053</v>
      </c>
      <c r="B508" s="3" t="str">
        <f>TRIM([1]Raw_Data!B506)</f>
        <v>Collagen Peptides</v>
      </c>
      <c r="C508" s="3" t="str">
        <f>TRIM([1]Raw_Data!C506)</f>
        <v>Protein</v>
      </c>
      <c r="D508" s="3">
        <f>[1]Raw_Data!D506</f>
        <v>177</v>
      </c>
      <c r="E508" s="4">
        <f>[1]Raw_Data!E506</f>
        <v>29.11</v>
      </c>
      <c r="F508" s="5">
        <f>[1]Raw_Data!F506</f>
        <v>5152.47</v>
      </c>
      <c r="G508" s="4">
        <f>[1]Raw_Data!G506</f>
        <v>0.14000000000000001</v>
      </c>
      <c r="H508" s="3">
        <f>[1]Raw_Data!H506</f>
        <v>0</v>
      </c>
      <c r="I508" s="3" t="str">
        <f>TRIM([1]Raw_Data!I506)</f>
        <v>USA</v>
      </c>
      <c r="J508" s="3" t="str">
        <f>TRIM([1]Raw_Data!J506)</f>
        <v>Walmart</v>
      </c>
      <c r="K508" s="3">
        <f t="shared" si="28"/>
        <v>2020</v>
      </c>
      <c r="L508" s="6">
        <f t="shared" si="29"/>
        <v>44044</v>
      </c>
      <c r="M508" s="3" t="str">
        <f t="shared" si="30"/>
        <v>11% to 15%</v>
      </c>
      <c r="N508" s="3" t="str">
        <f t="shared" si="31"/>
        <v>OK</v>
      </c>
    </row>
    <row r="509" spans="1:14" x14ac:dyDescent="0.3">
      <c r="A509" s="2">
        <f>DATE(VALUE(RIGHT(TRIM([1]Raw_Data!A507),4)),VALUE(MID(TRIM([1]Raw_Data!A507),4,2)),VALUE(LEFT(TRIM([1]Raw_Data!A507),2)))</f>
        <v>44053</v>
      </c>
      <c r="B509" s="3" t="str">
        <f>TRIM([1]Raw_Data!B507)</f>
        <v>Magnesium</v>
      </c>
      <c r="C509" s="3" t="str">
        <f>TRIM([1]Raw_Data!C507)</f>
        <v>Mineral</v>
      </c>
      <c r="D509" s="3">
        <f>[1]Raw_Data!D507</f>
        <v>155</v>
      </c>
      <c r="E509" s="4">
        <f>[1]Raw_Data!E507</f>
        <v>34.479999999999997</v>
      </c>
      <c r="F509" s="5">
        <f>[1]Raw_Data!F507</f>
        <v>5344.4</v>
      </c>
      <c r="G509" s="4">
        <f>[1]Raw_Data!G507</f>
        <v>0.1</v>
      </c>
      <c r="H509" s="3">
        <f>[1]Raw_Data!H507</f>
        <v>0</v>
      </c>
      <c r="I509" s="3" t="str">
        <f>TRIM([1]Raw_Data!I507)</f>
        <v>Canada</v>
      </c>
      <c r="J509" s="3" t="str">
        <f>TRIM([1]Raw_Data!J507)</f>
        <v>Walmart</v>
      </c>
      <c r="K509" s="3">
        <f t="shared" si="28"/>
        <v>2020</v>
      </c>
      <c r="L509" s="6">
        <f t="shared" si="29"/>
        <v>44044</v>
      </c>
      <c r="M509" s="3" t="str">
        <f t="shared" si="30"/>
        <v>6% to 10%</v>
      </c>
      <c r="N509" s="3" t="str">
        <f t="shared" si="31"/>
        <v>OK</v>
      </c>
    </row>
    <row r="510" spans="1:14" x14ac:dyDescent="0.3">
      <c r="A510" s="2">
        <f>DATE(VALUE(RIGHT(TRIM([1]Raw_Data!A508),4)),VALUE(MID(TRIM([1]Raw_Data!A508),4,2)),VALUE(LEFT(TRIM([1]Raw_Data!A508),2)))</f>
        <v>44053</v>
      </c>
      <c r="B510" s="3" t="str">
        <f>TRIM([1]Raw_Data!B508)</f>
        <v>Ashwagandha</v>
      </c>
      <c r="C510" s="3" t="str">
        <f>TRIM([1]Raw_Data!C508)</f>
        <v>Herbal</v>
      </c>
      <c r="D510" s="3">
        <f>[1]Raw_Data!D508</f>
        <v>144</v>
      </c>
      <c r="E510" s="4">
        <f>[1]Raw_Data!E508</f>
        <v>14.92</v>
      </c>
      <c r="F510" s="5">
        <f>[1]Raw_Data!F508</f>
        <v>2148.48</v>
      </c>
      <c r="G510" s="4">
        <f>[1]Raw_Data!G508</f>
        <v>0.24</v>
      </c>
      <c r="H510" s="3">
        <f>[1]Raw_Data!H508</f>
        <v>2</v>
      </c>
      <c r="I510" s="3" t="str">
        <f>TRIM([1]Raw_Data!I508)</f>
        <v>UK</v>
      </c>
      <c r="J510" s="3" t="str">
        <f>TRIM([1]Raw_Data!J508)</f>
        <v>Amazon</v>
      </c>
      <c r="K510" s="3">
        <f t="shared" si="28"/>
        <v>2020</v>
      </c>
      <c r="L510" s="6">
        <f t="shared" si="29"/>
        <v>44044</v>
      </c>
      <c r="M510" s="3" t="str">
        <f t="shared" si="30"/>
        <v>21% to 25%</v>
      </c>
      <c r="N510" s="3" t="str">
        <f t="shared" si="31"/>
        <v>OK</v>
      </c>
    </row>
    <row r="511" spans="1:14" x14ac:dyDescent="0.3">
      <c r="A511" s="2">
        <f>DATE(VALUE(RIGHT(TRIM([1]Raw_Data!A509),4)),VALUE(MID(TRIM([1]Raw_Data!A509),4,2)),VALUE(LEFT(TRIM([1]Raw_Data!A509),2)))</f>
        <v>44053</v>
      </c>
      <c r="B511" s="3" t="str">
        <f>TRIM([1]Raw_Data!B509)</f>
        <v>Melatonin</v>
      </c>
      <c r="C511" s="3" t="str">
        <f>TRIM([1]Raw_Data!C509)</f>
        <v>Sleep Aid</v>
      </c>
      <c r="D511" s="3">
        <f>[1]Raw_Data!D509</f>
        <v>158</v>
      </c>
      <c r="E511" s="4">
        <f>[1]Raw_Data!E509</f>
        <v>29.66</v>
      </c>
      <c r="F511" s="5">
        <f>[1]Raw_Data!F509</f>
        <v>4686.28</v>
      </c>
      <c r="G511" s="4">
        <f>[1]Raw_Data!G509</f>
        <v>0.06</v>
      </c>
      <c r="H511" s="3">
        <f>[1]Raw_Data!H509</f>
        <v>0</v>
      </c>
      <c r="I511" s="3" t="str">
        <f>TRIM([1]Raw_Data!I509)</f>
        <v>USA</v>
      </c>
      <c r="J511" s="3" t="str">
        <f>TRIM([1]Raw_Data!J509)</f>
        <v>Walmart</v>
      </c>
      <c r="K511" s="3">
        <f t="shared" si="28"/>
        <v>2020</v>
      </c>
      <c r="L511" s="6">
        <f t="shared" si="29"/>
        <v>44044</v>
      </c>
      <c r="M511" s="3" t="str">
        <f t="shared" si="30"/>
        <v>6% to 10%</v>
      </c>
      <c r="N511" s="3" t="str">
        <f t="shared" si="31"/>
        <v>OK</v>
      </c>
    </row>
    <row r="512" spans="1:14" x14ac:dyDescent="0.3">
      <c r="A512" s="2">
        <f>DATE(VALUE(RIGHT(TRIM([1]Raw_Data!A510),4)),VALUE(MID(TRIM([1]Raw_Data!A510),4,2)),VALUE(LEFT(TRIM([1]Raw_Data!A510),2)))</f>
        <v>44053</v>
      </c>
      <c r="B512" s="3" t="str">
        <f>TRIM([1]Raw_Data!B510)</f>
        <v>Biotin</v>
      </c>
      <c r="C512" s="3" t="str">
        <f>TRIM([1]Raw_Data!C510)</f>
        <v>Vitamin</v>
      </c>
      <c r="D512" s="3">
        <f>[1]Raw_Data!D510</f>
        <v>137</v>
      </c>
      <c r="E512" s="4">
        <f>[1]Raw_Data!E510</f>
        <v>43.88</v>
      </c>
      <c r="F512" s="5">
        <f>[1]Raw_Data!F510</f>
        <v>6011.56</v>
      </c>
      <c r="G512" s="4">
        <f>[1]Raw_Data!G510</f>
        <v>0.14000000000000001</v>
      </c>
      <c r="H512" s="3">
        <f>[1]Raw_Data!H510</f>
        <v>1</v>
      </c>
      <c r="I512" s="3" t="str">
        <f>TRIM([1]Raw_Data!I510)</f>
        <v>Canada</v>
      </c>
      <c r="J512" s="3" t="str">
        <f>TRIM([1]Raw_Data!J510)</f>
        <v>Amazon</v>
      </c>
      <c r="K512" s="3">
        <f t="shared" si="28"/>
        <v>2020</v>
      </c>
      <c r="L512" s="6">
        <f t="shared" si="29"/>
        <v>44044</v>
      </c>
      <c r="M512" s="3" t="str">
        <f t="shared" si="30"/>
        <v>11% to 15%</v>
      </c>
      <c r="N512" s="3" t="str">
        <f t="shared" si="31"/>
        <v>OK</v>
      </c>
    </row>
    <row r="513" spans="1:14" x14ac:dyDescent="0.3">
      <c r="A513" s="2">
        <f>DATE(VALUE(RIGHT(TRIM([1]Raw_Data!A511),4)),VALUE(MID(TRIM([1]Raw_Data!A511),4,2)),VALUE(LEFT(TRIM([1]Raw_Data!A511),2)))</f>
        <v>44053</v>
      </c>
      <c r="B513" s="3" t="str">
        <f>TRIM([1]Raw_Data!B511)</f>
        <v>Green Tea Extract</v>
      </c>
      <c r="C513" s="3" t="str">
        <f>TRIM([1]Raw_Data!C511)</f>
        <v>Fat Burner</v>
      </c>
      <c r="D513" s="3">
        <f>[1]Raw_Data!D511</f>
        <v>171</v>
      </c>
      <c r="E513" s="4">
        <f>[1]Raw_Data!E511</f>
        <v>24.03</v>
      </c>
      <c r="F513" s="5">
        <f>[1]Raw_Data!F511</f>
        <v>4109.13</v>
      </c>
      <c r="G513" s="4">
        <f>[1]Raw_Data!G511</f>
        <v>0.09</v>
      </c>
      <c r="H513" s="3">
        <f>[1]Raw_Data!H511</f>
        <v>3</v>
      </c>
      <c r="I513" s="3" t="str">
        <f>TRIM([1]Raw_Data!I511)</f>
        <v>USA</v>
      </c>
      <c r="J513" s="3" t="str">
        <f>TRIM([1]Raw_Data!J511)</f>
        <v>iHerb</v>
      </c>
      <c r="K513" s="3">
        <f t="shared" si="28"/>
        <v>2020</v>
      </c>
      <c r="L513" s="6">
        <f t="shared" si="29"/>
        <v>44044</v>
      </c>
      <c r="M513" s="3" t="str">
        <f t="shared" si="30"/>
        <v>6% to 10%</v>
      </c>
      <c r="N513" s="3" t="str">
        <f t="shared" si="31"/>
        <v>OK</v>
      </c>
    </row>
    <row r="514" spans="1:14" x14ac:dyDescent="0.3">
      <c r="A514" s="2">
        <f>DATE(VALUE(RIGHT(TRIM([1]Raw_Data!A512),4)),VALUE(MID(TRIM([1]Raw_Data!A512),4,2)),VALUE(LEFT(TRIM([1]Raw_Data!A512),2)))</f>
        <v>44053</v>
      </c>
      <c r="B514" s="3" t="str">
        <f>TRIM([1]Raw_Data!B512)</f>
        <v>Iron Supplement</v>
      </c>
      <c r="C514" s="3" t="str">
        <f>TRIM([1]Raw_Data!C512)</f>
        <v>Mineral</v>
      </c>
      <c r="D514" s="3">
        <f>[1]Raw_Data!D512</f>
        <v>166</v>
      </c>
      <c r="E514" s="4">
        <f>[1]Raw_Data!E512</f>
        <v>21.23</v>
      </c>
      <c r="F514" s="5">
        <f>[1]Raw_Data!F512</f>
        <v>3524.18</v>
      </c>
      <c r="G514" s="4">
        <f>[1]Raw_Data!G512</f>
        <v>0.1</v>
      </c>
      <c r="H514" s="3">
        <f>[1]Raw_Data!H512</f>
        <v>1</v>
      </c>
      <c r="I514" s="3" t="str">
        <f>TRIM([1]Raw_Data!I512)</f>
        <v>USA</v>
      </c>
      <c r="J514" s="3" t="str">
        <f>TRIM([1]Raw_Data!J512)</f>
        <v>Amazon</v>
      </c>
      <c r="K514" s="3">
        <f t="shared" si="28"/>
        <v>2020</v>
      </c>
      <c r="L514" s="6">
        <f t="shared" si="29"/>
        <v>44044</v>
      </c>
      <c r="M514" s="3" t="str">
        <f t="shared" si="30"/>
        <v>6% to 10%</v>
      </c>
      <c r="N514" s="3" t="str">
        <f t="shared" si="31"/>
        <v>OK</v>
      </c>
    </row>
    <row r="515" spans="1:14" x14ac:dyDescent="0.3">
      <c r="A515" s="2">
        <f>DATE(VALUE(RIGHT(TRIM([1]Raw_Data!A513),4)),VALUE(MID(TRIM([1]Raw_Data!A513),4,2)),VALUE(LEFT(TRIM([1]Raw_Data!A513),2)))</f>
        <v>44053</v>
      </c>
      <c r="B515" s="3" t="str">
        <f>TRIM([1]Raw_Data!B513)</f>
        <v>Electrolyte Powder</v>
      </c>
      <c r="C515" s="3" t="str">
        <f>TRIM([1]Raw_Data!C513)</f>
        <v>Hydration</v>
      </c>
      <c r="D515" s="3">
        <f>[1]Raw_Data!D513</f>
        <v>162</v>
      </c>
      <c r="E515" s="4">
        <f>[1]Raw_Data!E513</f>
        <v>46.54</v>
      </c>
      <c r="F515" s="5">
        <f>[1]Raw_Data!F513</f>
        <v>7539.48</v>
      </c>
      <c r="G515" s="4">
        <f>[1]Raw_Data!G513</f>
        <v>0.11</v>
      </c>
      <c r="H515" s="3">
        <f>[1]Raw_Data!H513</f>
        <v>2</v>
      </c>
      <c r="I515" s="3" t="str">
        <f>TRIM([1]Raw_Data!I513)</f>
        <v>USA</v>
      </c>
      <c r="J515" s="3" t="str">
        <f>TRIM([1]Raw_Data!J513)</f>
        <v>iHerb</v>
      </c>
      <c r="K515" s="3">
        <f t="shared" si="28"/>
        <v>2020</v>
      </c>
      <c r="L515" s="6">
        <f t="shared" si="29"/>
        <v>44044</v>
      </c>
      <c r="M515" s="3" t="str">
        <f t="shared" si="30"/>
        <v>11% to 15%</v>
      </c>
      <c r="N515" s="3" t="str">
        <f t="shared" si="31"/>
        <v>OK</v>
      </c>
    </row>
    <row r="516" spans="1:14" x14ac:dyDescent="0.3">
      <c r="A516" s="2">
        <f>DATE(VALUE(RIGHT(TRIM([1]Raw_Data!A514),4)),VALUE(MID(TRIM([1]Raw_Data!A514),4,2)),VALUE(LEFT(TRIM([1]Raw_Data!A514),2)))</f>
        <v>44060</v>
      </c>
      <c r="B516" s="3" t="str">
        <f>TRIM([1]Raw_Data!B514)</f>
        <v>Whey Protein</v>
      </c>
      <c r="C516" s="3" t="str">
        <f>TRIM([1]Raw_Data!C514)</f>
        <v>Protein</v>
      </c>
      <c r="D516" s="3">
        <f>[1]Raw_Data!D514</f>
        <v>163</v>
      </c>
      <c r="E516" s="4">
        <f>[1]Raw_Data!E514</f>
        <v>53.32</v>
      </c>
      <c r="F516" s="5">
        <f>[1]Raw_Data!F514</f>
        <v>8691.16</v>
      </c>
      <c r="G516" s="4">
        <f>[1]Raw_Data!G514</f>
        <v>0.01</v>
      </c>
      <c r="H516" s="3">
        <f>[1]Raw_Data!H514</f>
        <v>2</v>
      </c>
      <c r="I516" s="3" t="str">
        <f>TRIM([1]Raw_Data!I514)</f>
        <v>UK</v>
      </c>
      <c r="J516" s="3" t="str">
        <f>TRIM([1]Raw_Data!J514)</f>
        <v>iHerb</v>
      </c>
      <c r="K516" s="3">
        <f t="shared" ref="K516:K579" si="32">YEAR(A516)</f>
        <v>2020</v>
      </c>
      <c r="L516" s="6">
        <f t="shared" ref="L516:L579" si="33">DATE(YEAR(A516),MONTH(A516),1)</f>
        <v>44044</v>
      </c>
      <c r="M516" s="3" t="str">
        <f t="shared" ref="M516:M579" si="34">IF(ROUND(G516*100,0)&lt;=5,"0% to 5%",IF(ROUND(G516*100,0)&lt;=10,"6% to 10%",IF(ROUND(G516*100,0)&lt;=15,"11% to 15%",IF(ROUND(G516*100,0)&lt;=20,"16% to 20%","21% to 25%"))))</f>
        <v>0% to 5%</v>
      </c>
      <c r="N516" s="3" t="str">
        <f t="shared" ref="N516:N579" si="35">IF(ROUND(D516*E516,2)=ROUND(F516,2),"OK","Check")</f>
        <v>OK</v>
      </c>
    </row>
    <row r="517" spans="1:14" x14ac:dyDescent="0.3">
      <c r="A517" s="2">
        <f>DATE(VALUE(RIGHT(TRIM([1]Raw_Data!A515),4)),VALUE(MID(TRIM([1]Raw_Data!A515),4,2)),VALUE(LEFT(TRIM([1]Raw_Data!A515),2)))</f>
        <v>44060</v>
      </c>
      <c r="B517" s="3" t="str">
        <f>TRIM([1]Raw_Data!B515)</f>
        <v>Vitamin C</v>
      </c>
      <c r="C517" s="3" t="str">
        <f>TRIM([1]Raw_Data!C515)</f>
        <v>Vitamin</v>
      </c>
      <c r="D517" s="3">
        <f>[1]Raw_Data!D515</f>
        <v>135</v>
      </c>
      <c r="E517" s="4">
        <f>[1]Raw_Data!E515</f>
        <v>37.43</v>
      </c>
      <c r="F517" s="5">
        <f>[1]Raw_Data!F515</f>
        <v>5053.05</v>
      </c>
      <c r="G517" s="4">
        <f>[1]Raw_Data!G515</f>
        <v>0.1</v>
      </c>
      <c r="H517" s="3">
        <f>[1]Raw_Data!H515</f>
        <v>1</v>
      </c>
      <c r="I517" s="3" t="str">
        <f>TRIM([1]Raw_Data!I515)</f>
        <v>Canada</v>
      </c>
      <c r="J517" s="3" t="str">
        <f>TRIM([1]Raw_Data!J515)</f>
        <v>iHerb</v>
      </c>
      <c r="K517" s="3">
        <f t="shared" si="32"/>
        <v>2020</v>
      </c>
      <c r="L517" s="6">
        <f t="shared" si="33"/>
        <v>44044</v>
      </c>
      <c r="M517" s="3" t="str">
        <f t="shared" si="34"/>
        <v>6% to 10%</v>
      </c>
      <c r="N517" s="3" t="str">
        <f t="shared" si="35"/>
        <v>OK</v>
      </c>
    </row>
    <row r="518" spans="1:14" x14ac:dyDescent="0.3">
      <c r="A518" s="2">
        <f>DATE(VALUE(RIGHT(TRIM([1]Raw_Data!A516),4)),VALUE(MID(TRIM([1]Raw_Data!A516),4,2)),VALUE(LEFT(TRIM([1]Raw_Data!A516),2)))</f>
        <v>44060</v>
      </c>
      <c r="B518" s="3" t="str">
        <f>TRIM([1]Raw_Data!B516)</f>
        <v>Fish Oil</v>
      </c>
      <c r="C518" s="3" t="str">
        <f>TRIM([1]Raw_Data!C516)</f>
        <v>Omega</v>
      </c>
      <c r="D518" s="3">
        <f>[1]Raw_Data!D516</f>
        <v>156</v>
      </c>
      <c r="E518" s="4">
        <f>[1]Raw_Data!E516</f>
        <v>16.649999999999999</v>
      </c>
      <c r="F518" s="5">
        <f>[1]Raw_Data!F516</f>
        <v>2597.4</v>
      </c>
      <c r="G518" s="4">
        <f>[1]Raw_Data!G516</f>
        <v>0.04</v>
      </c>
      <c r="H518" s="3">
        <f>[1]Raw_Data!H516</f>
        <v>4</v>
      </c>
      <c r="I518" s="3" t="str">
        <f>TRIM([1]Raw_Data!I516)</f>
        <v>Canada</v>
      </c>
      <c r="J518" s="3" t="str">
        <f>TRIM([1]Raw_Data!J516)</f>
        <v>iHerb</v>
      </c>
      <c r="K518" s="3">
        <f t="shared" si="32"/>
        <v>2020</v>
      </c>
      <c r="L518" s="6">
        <f t="shared" si="33"/>
        <v>44044</v>
      </c>
      <c r="M518" s="3" t="str">
        <f t="shared" si="34"/>
        <v>0% to 5%</v>
      </c>
      <c r="N518" s="3" t="str">
        <f t="shared" si="35"/>
        <v>OK</v>
      </c>
    </row>
    <row r="519" spans="1:14" x14ac:dyDescent="0.3">
      <c r="A519" s="2">
        <f>DATE(VALUE(RIGHT(TRIM([1]Raw_Data!A517),4)),VALUE(MID(TRIM([1]Raw_Data!A517),4,2)),VALUE(LEFT(TRIM([1]Raw_Data!A517),2)))</f>
        <v>44060</v>
      </c>
      <c r="B519" s="3" t="str">
        <f>TRIM([1]Raw_Data!B517)</f>
        <v>Multivitamin</v>
      </c>
      <c r="C519" s="3" t="str">
        <f>TRIM([1]Raw_Data!C517)</f>
        <v>Vitamin</v>
      </c>
      <c r="D519" s="3">
        <f>[1]Raw_Data!D517</f>
        <v>145</v>
      </c>
      <c r="E519" s="4">
        <f>[1]Raw_Data!E517</f>
        <v>34.19</v>
      </c>
      <c r="F519" s="5">
        <f>[1]Raw_Data!F517</f>
        <v>4957.55</v>
      </c>
      <c r="G519" s="4">
        <f>[1]Raw_Data!G517</f>
        <v>0.1</v>
      </c>
      <c r="H519" s="3">
        <f>[1]Raw_Data!H517</f>
        <v>1</v>
      </c>
      <c r="I519" s="3" t="str">
        <f>TRIM([1]Raw_Data!I517)</f>
        <v>USA</v>
      </c>
      <c r="J519" s="3" t="str">
        <f>TRIM([1]Raw_Data!J517)</f>
        <v>Walmart</v>
      </c>
      <c r="K519" s="3">
        <f t="shared" si="32"/>
        <v>2020</v>
      </c>
      <c r="L519" s="6">
        <f t="shared" si="33"/>
        <v>44044</v>
      </c>
      <c r="M519" s="3" t="str">
        <f t="shared" si="34"/>
        <v>6% to 10%</v>
      </c>
      <c r="N519" s="3" t="str">
        <f t="shared" si="35"/>
        <v>OK</v>
      </c>
    </row>
    <row r="520" spans="1:14" x14ac:dyDescent="0.3">
      <c r="A520" s="2">
        <f>DATE(VALUE(RIGHT(TRIM([1]Raw_Data!A518),4)),VALUE(MID(TRIM([1]Raw_Data!A518),4,2)),VALUE(LEFT(TRIM([1]Raw_Data!A518),2)))</f>
        <v>44060</v>
      </c>
      <c r="B520" s="3" t="str">
        <f>TRIM([1]Raw_Data!B518)</f>
        <v>Pre-Workout</v>
      </c>
      <c r="C520" s="3" t="str">
        <f>TRIM([1]Raw_Data!C518)</f>
        <v>Performance</v>
      </c>
      <c r="D520" s="3">
        <f>[1]Raw_Data!D518</f>
        <v>153</v>
      </c>
      <c r="E520" s="4">
        <f>[1]Raw_Data!E518</f>
        <v>18.07</v>
      </c>
      <c r="F520" s="5">
        <f>[1]Raw_Data!F518</f>
        <v>2764.71</v>
      </c>
      <c r="G520" s="4">
        <f>[1]Raw_Data!G518</f>
        <v>0.12</v>
      </c>
      <c r="H520" s="3">
        <f>[1]Raw_Data!H518</f>
        <v>2</v>
      </c>
      <c r="I520" s="3" t="str">
        <f>TRIM([1]Raw_Data!I518)</f>
        <v>UK</v>
      </c>
      <c r="J520" s="3" t="str">
        <f>TRIM([1]Raw_Data!J518)</f>
        <v>Walmart</v>
      </c>
      <c r="K520" s="3">
        <f t="shared" si="32"/>
        <v>2020</v>
      </c>
      <c r="L520" s="6">
        <f t="shared" si="33"/>
        <v>44044</v>
      </c>
      <c r="M520" s="3" t="str">
        <f t="shared" si="34"/>
        <v>11% to 15%</v>
      </c>
      <c r="N520" s="3" t="str">
        <f t="shared" si="35"/>
        <v>OK</v>
      </c>
    </row>
    <row r="521" spans="1:14" x14ac:dyDescent="0.3">
      <c r="A521" s="2">
        <f>DATE(VALUE(RIGHT(TRIM([1]Raw_Data!A519),4)),VALUE(MID(TRIM([1]Raw_Data!A519),4,2)),VALUE(LEFT(TRIM([1]Raw_Data!A519),2)))</f>
        <v>44060</v>
      </c>
      <c r="B521" s="3" t="str">
        <f>TRIM([1]Raw_Data!B519)</f>
        <v>BCAA</v>
      </c>
      <c r="C521" s="3" t="str">
        <f>TRIM([1]Raw_Data!C519)</f>
        <v>Amino Acid</v>
      </c>
      <c r="D521" s="3">
        <f>[1]Raw_Data!D519</f>
        <v>152</v>
      </c>
      <c r="E521" s="4">
        <f>[1]Raw_Data!E519</f>
        <v>47.11</v>
      </c>
      <c r="F521" s="5">
        <f>[1]Raw_Data!F519</f>
        <v>7160.72</v>
      </c>
      <c r="G521" s="4">
        <f>[1]Raw_Data!G519</f>
        <v>0.01</v>
      </c>
      <c r="H521" s="3">
        <f>[1]Raw_Data!H519</f>
        <v>1</v>
      </c>
      <c r="I521" s="3" t="str">
        <f>TRIM([1]Raw_Data!I519)</f>
        <v>UK</v>
      </c>
      <c r="J521" s="3" t="str">
        <f>TRIM([1]Raw_Data!J519)</f>
        <v>Amazon</v>
      </c>
      <c r="K521" s="3">
        <f t="shared" si="32"/>
        <v>2020</v>
      </c>
      <c r="L521" s="6">
        <f t="shared" si="33"/>
        <v>44044</v>
      </c>
      <c r="M521" s="3" t="str">
        <f t="shared" si="34"/>
        <v>0% to 5%</v>
      </c>
      <c r="N521" s="3" t="str">
        <f t="shared" si="35"/>
        <v>OK</v>
      </c>
    </row>
    <row r="522" spans="1:14" x14ac:dyDescent="0.3">
      <c r="A522" s="2">
        <f>DATE(VALUE(RIGHT(TRIM([1]Raw_Data!A520),4)),VALUE(MID(TRIM([1]Raw_Data!A520),4,2)),VALUE(LEFT(TRIM([1]Raw_Data!A520),2)))</f>
        <v>44060</v>
      </c>
      <c r="B522" s="3" t="str">
        <f>TRIM([1]Raw_Data!B520)</f>
        <v>Creatine</v>
      </c>
      <c r="C522" s="3" t="str">
        <f>TRIM([1]Raw_Data!C520)</f>
        <v>Performance</v>
      </c>
      <c r="D522" s="3">
        <f>[1]Raw_Data!D520</f>
        <v>161</v>
      </c>
      <c r="E522" s="4">
        <f>[1]Raw_Data!E520</f>
        <v>23.06</v>
      </c>
      <c r="F522" s="5">
        <f>[1]Raw_Data!F520</f>
        <v>3712.66</v>
      </c>
      <c r="G522" s="4">
        <f>[1]Raw_Data!G520</f>
        <v>0.17</v>
      </c>
      <c r="H522" s="3">
        <f>[1]Raw_Data!H520</f>
        <v>2</v>
      </c>
      <c r="I522" s="3" t="str">
        <f>TRIM([1]Raw_Data!I520)</f>
        <v>Canada</v>
      </c>
      <c r="J522" s="3" t="str">
        <f>TRIM([1]Raw_Data!J520)</f>
        <v>Walmart</v>
      </c>
      <c r="K522" s="3">
        <f t="shared" si="32"/>
        <v>2020</v>
      </c>
      <c r="L522" s="6">
        <f t="shared" si="33"/>
        <v>44044</v>
      </c>
      <c r="M522" s="3" t="str">
        <f t="shared" si="34"/>
        <v>16% to 20%</v>
      </c>
      <c r="N522" s="3" t="str">
        <f t="shared" si="35"/>
        <v>OK</v>
      </c>
    </row>
    <row r="523" spans="1:14" x14ac:dyDescent="0.3">
      <c r="A523" s="2">
        <f>DATE(VALUE(RIGHT(TRIM([1]Raw_Data!A521),4)),VALUE(MID(TRIM([1]Raw_Data!A521),4,2)),VALUE(LEFT(TRIM([1]Raw_Data!A521),2)))</f>
        <v>44060</v>
      </c>
      <c r="B523" s="3" t="str">
        <f>TRIM([1]Raw_Data!B521)</f>
        <v>Zinc</v>
      </c>
      <c r="C523" s="3" t="str">
        <f>TRIM([1]Raw_Data!C521)</f>
        <v>Mineral</v>
      </c>
      <c r="D523" s="3">
        <f>[1]Raw_Data!D521</f>
        <v>162</v>
      </c>
      <c r="E523" s="4">
        <f>[1]Raw_Data!E521</f>
        <v>40.51</v>
      </c>
      <c r="F523" s="5">
        <f>[1]Raw_Data!F521</f>
        <v>6562.62</v>
      </c>
      <c r="G523" s="4">
        <f>[1]Raw_Data!G521</f>
        <v>0.12</v>
      </c>
      <c r="H523" s="3">
        <f>[1]Raw_Data!H521</f>
        <v>0</v>
      </c>
      <c r="I523" s="3" t="str">
        <f>TRIM([1]Raw_Data!I521)</f>
        <v>Canada</v>
      </c>
      <c r="J523" s="3" t="str">
        <f>TRIM([1]Raw_Data!J521)</f>
        <v>Amazon</v>
      </c>
      <c r="K523" s="3">
        <f t="shared" si="32"/>
        <v>2020</v>
      </c>
      <c r="L523" s="6">
        <f t="shared" si="33"/>
        <v>44044</v>
      </c>
      <c r="M523" s="3" t="str">
        <f t="shared" si="34"/>
        <v>11% to 15%</v>
      </c>
      <c r="N523" s="3" t="str">
        <f t="shared" si="35"/>
        <v>OK</v>
      </c>
    </row>
    <row r="524" spans="1:14" x14ac:dyDescent="0.3">
      <c r="A524" s="2">
        <f>DATE(VALUE(RIGHT(TRIM([1]Raw_Data!A522),4)),VALUE(MID(TRIM([1]Raw_Data!A522),4,2)),VALUE(LEFT(TRIM([1]Raw_Data!A522),2)))</f>
        <v>44060</v>
      </c>
      <c r="B524" s="3" t="str">
        <f>TRIM([1]Raw_Data!B522)</f>
        <v>Collagen Peptides</v>
      </c>
      <c r="C524" s="3" t="str">
        <f>TRIM([1]Raw_Data!C522)</f>
        <v>Protein</v>
      </c>
      <c r="D524" s="3">
        <f>[1]Raw_Data!D522</f>
        <v>141</v>
      </c>
      <c r="E524" s="4">
        <f>[1]Raw_Data!E522</f>
        <v>39.96</v>
      </c>
      <c r="F524" s="5">
        <f>[1]Raw_Data!F522</f>
        <v>5634.36</v>
      </c>
      <c r="G524" s="4">
        <f>[1]Raw_Data!G522</f>
        <v>0.13</v>
      </c>
      <c r="H524" s="3">
        <f>[1]Raw_Data!H522</f>
        <v>1</v>
      </c>
      <c r="I524" s="3" t="str">
        <f>TRIM([1]Raw_Data!I522)</f>
        <v>USA</v>
      </c>
      <c r="J524" s="3" t="str">
        <f>TRIM([1]Raw_Data!J522)</f>
        <v>Amazon</v>
      </c>
      <c r="K524" s="3">
        <f t="shared" si="32"/>
        <v>2020</v>
      </c>
      <c r="L524" s="6">
        <f t="shared" si="33"/>
        <v>44044</v>
      </c>
      <c r="M524" s="3" t="str">
        <f t="shared" si="34"/>
        <v>11% to 15%</v>
      </c>
      <c r="N524" s="3" t="str">
        <f t="shared" si="35"/>
        <v>OK</v>
      </c>
    </row>
    <row r="525" spans="1:14" x14ac:dyDescent="0.3">
      <c r="A525" s="2">
        <f>DATE(VALUE(RIGHT(TRIM([1]Raw_Data!A523),4)),VALUE(MID(TRIM([1]Raw_Data!A523),4,2)),VALUE(LEFT(TRIM([1]Raw_Data!A523),2)))</f>
        <v>44060</v>
      </c>
      <c r="B525" s="3" t="str">
        <f>TRIM([1]Raw_Data!B523)</f>
        <v>Magnesium</v>
      </c>
      <c r="C525" s="3" t="str">
        <f>TRIM([1]Raw_Data!C523)</f>
        <v>Mineral</v>
      </c>
      <c r="D525" s="3">
        <f>[1]Raw_Data!D523</f>
        <v>142</v>
      </c>
      <c r="E525" s="4">
        <f>[1]Raw_Data!E523</f>
        <v>11.2</v>
      </c>
      <c r="F525" s="5">
        <f>[1]Raw_Data!F523</f>
        <v>1590.4</v>
      </c>
      <c r="G525" s="4">
        <f>[1]Raw_Data!G523</f>
        <v>0.15</v>
      </c>
      <c r="H525" s="3">
        <f>[1]Raw_Data!H523</f>
        <v>3</v>
      </c>
      <c r="I525" s="3" t="str">
        <f>TRIM([1]Raw_Data!I523)</f>
        <v>Canada</v>
      </c>
      <c r="J525" s="3" t="str">
        <f>TRIM([1]Raw_Data!J523)</f>
        <v>iHerb</v>
      </c>
      <c r="K525" s="3">
        <f t="shared" si="32"/>
        <v>2020</v>
      </c>
      <c r="L525" s="6">
        <f t="shared" si="33"/>
        <v>44044</v>
      </c>
      <c r="M525" s="3" t="str">
        <f t="shared" si="34"/>
        <v>11% to 15%</v>
      </c>
      <c r="N525" s="3" t="str">
        <f t="shared" si="35"/>
        <v>OK</v>
      </c>
    </row>
    <row r="526" spans="1:14" x14ac:dyDescent="0.3">
      <c r="A526" s="2">
        <f>DATE(VALUE(RIGHT(TRIM([1]Raw_Data!A524),4)),VALUE(MID(TRIM([1]Raw_Data!A524),4,2)),VALUE(LEFT(TRIM([1]Raw_Data!A524),2)))</f>
        <v>44060</v>
      </c>
      <c r="B526" s="3" t="str">
        <f>TRIM([1]Raw_Data!B524)</f>
        <v>Ashwagandha</v>
      </c>
      <c r="C526" s="3" t="str">
        <f>TRIM([1]Raw_Data!C524)</f>
        <v>Herbal</v>
      </c>
      <c r="D526" s="3">
        <f>[1]Raw_Data!D524</f>
        <v>137</v>
      </c>
      <c r="E526" s="4">
        <f>[1]Raw_Data!E524</f>
        <v>14.57</v>
      </c>
      <c r="F526" s="5">
        <f>[1]Raw_Data!F524</f>
        <v>1996.09</v>
      </c>
      <c r="G526" s="4">
        <f>[1]Raw_Data!G524</f>
        <v>0.16</v>
      </c>
      <c r="H526" s="3">
        <f>[1]Raw_Data!H524</f>
        <v>1</v>
      </c>
      <c r="I526" s="3" t="str">
        <f>TRIM([1]Raw_Data!I524)</f>
        <v>USA</v>
      </c>
      <c r="J526" s="3" t="str">
        <f>TRIM([1]Raw_Data!J524)</f>
        <v>Walmart</v>
      </c>
      <c r="K526" s="3">
        <f t="shared" si="32"/>
        <v>2020</v>
      </c>
      <c r="L526" s="6">
        <f t="shared" si="33"/>
        <v>44044</v>
      </c>
      <c r="M526" s="3" t="str">
        <f t="shared" si="34"/>
        <v>16% to 20%</v>
      </c>
      <c r="N526" s="3" t="str">
        <f t="shared" si="35"/>
        <v>OK</v>
      </c>
    </row>
    <row r="527" spans="1:14" x14ac:dyDescent="0.3">
      <c r="A527" s="2">
        <f>DATE(VALUE(RIGHT(TRIM([1]Raw_Data!A525),4)),VALUE(MID(TRIM([1]Raw_Data!A525),4,2)),VALUE(LEFT(TRIM([1]Raw_Data!A525),2)))</f>
        <v>44060</v>
      </c>
      <c r="B527" s="3" t="str">
        <f>TRIM([1]Raw_Data!B525)</f>
        <v>Melatonin</v>
      </c>
      <c r="C527" s="3" t="str">
        <f>TRIM([1]Raw_Data!C525)</f>
        <v>Sleep Aid</v>
      </c>
      <c r="D527" s="3">
        <f>[1]Raw_Data!D525</f>
        <v>147</v>
      </c>
      <c r="E527" s="4">
        <f>[1]Raw_Data!E525</f>
        <v>54.83</v>
      </c>
      <c r="F527" s="5">
        <f>[1]Raw_Data!F525</f>
        <v>8060.01</v>
      </c>
      <c r="G527" s="4">
        <f>[1]Raw_Data!G525</f>
        <v>0.05</v>
      </c>
      <c r="H527" s="3">
        <f>[1]Raw_Data!H525</f>
        <v>0</v>
      </c>
      <c r="I527" s="3" t="str">
        <f>TRIM([1]Raw_Data!I525)</f>
        <v>Canada</v>
      </c>
      <c r="J527" s="3" t="str">
        <f>TRIM([1]Raw_Data!J525)</f>
        <v>Walmart</v>
      </c>
      <c r="K527" s="3">
        <f t="shared" si="32"/>
        <v>2020</v>
      </c>
      <c r="L527" s="6">
        <f t="shared" si="33"/>
        <v>44044</v>
      </c>
      <c r="M527" s="3" t="str">
        <f t="shared" si="34"/>
        <v>0% to 5%</v>
      </c>
      <c r="N527" s="3" t="str">
        <f t="shared" si="35"/>
        <v>OK</v>
      </c>
    </row>
    <row r="528" spans="1:14" x14ac:dyDescent="0.3">
      <c r="A528" s="2">
        <f>DATE(VALUE(RIGHT(TRIM([1]Raw_Data!A526),4)),VALUE(MID(TRIM([1]Raw_Data!A526),4,2)),VALUE(LEFT(TRIM([1]Raw_Data!A526),2)))</f>
        <v>44060</v>
      </c>
      <c r="B528" s="3" t="str">
        <f>TRIM([1]Raw_Data!B526)</f>
        <v>Biotin</v>
      </c>
      <c r="C528" s="3" t="str">
        <f>TRIM([1]Raw_Data!C526)</f>
        <v>Vitamin</v>
      </c>
      <c r="D528" s="3">
        <f>[1]Raw_Data!D526</f>
        <v>165</v>
      </c>
      <c r="E528" s="4">
        <f>[1]Raw_Data!E526</f>
        <v>54.53</v>
      </c>
      <c r="F528" s="5">
        <f>[1]Raw_Data!F526</f>
        <v>8997.4500000000007</v>
      </c>
      <c r="G528" s="4">
        <f>[1]Raw_Data!G526</f>
        <v>0.15</v>
      </c>
      <c r="H528" s="3">
        <f>[1]Raw_Data!H526</f>
        <v>3</v>
      </c>
      <c r="I528" s="3" t="str">
        <f>TRIM([1]Raw_Data!I526)</f>
        <v>UK</v>
      </c>
      <c r="J528" s="3" t="str">
        <f>TRIM([1]Raw_Data!J526)</f>
        <v>iHerb</v>
      </c>
      <c r="K528" s="3">
        <f t="shared" si="32"/>
        <v>2020</v>
      </c>
      <c r="L528" s="6">
        <f t="shared" si="33"/>
        <v>44044</v>
      </c>
      <c r="M528" s="3" t="str">
        <f t="shared" si="34"/>
        <v>11% to 15%</v>
      </c>
      <c r="N528" s="3" t="str">
        <f t="shared" si="35"/>
        <v>OK</v>
      </c>
    </row>
    <row r="529" spans="1:14" x14ac:dyDescent="0.3">
      <c r="A529" s="2">
        <f>DATE(VALUE(RIGHT(TRIM([1]Raw_Data!A527),4)),VALUE(MID(TRIM([1]Raw_Data!A527),4,2)),VALUE(LEFT(TRIM([1]Raw_Data!A527),2)))</f>
        <v>44060</v>
      </c>
      <c r="B529" s="3" t="str">
        <f>TRIM([1]Raw_Data!B527)</f>
        <v>Green Tea Extract</v>
      </c>
      <c r="C529" s="3" t="str">
        <f>TRIM([1]Raw_Data!C527)</f>
        <v>Fat Burner</v>
      </c>
      <c r="D529" s="3">
        <f>[1]Raw_Data!D527</f>
        <v>147</v>
      </c>
      <c r="E529" s="4">
        <f>[1]Raw_Data!E527</f>
        <v>55.65</v>
      </c>
      <c r="F529" s="5">
        <f>[1]Raw_Data!F527</f>
        <v>8180.55</v>
      </c>
      <c r="G529" s="4">
        <f>[1]Raw_Data!G527</f>
        <v>0.14000000000000001</v>
      </c>
      <c r="H529" s="3">
        <f>[1]Raw_Data!H527</f>
        <v>0</v>
      </c>
      <c r="I529" s="3" t="str">
        <f>TRIM([1]Raw_Data!I527)</f>
        <v>Canada</v>
      </c>
      <c r="J529" s="3" t="str">
        <f>TRIM([1]Raw_Data!J527)</f>
        <v>Walmart</v>
      </c>
      <c r="K529" s="3">
        <f t="shared" si="32"/>
        <v>2020</v>
      </c>
      <c r="L529" s="6">
        <f t="shared" si="33"/>
        <v>44044</v>
      </c>
      <c r="M529" s="3" t="str">
        <f t="shared" si="34"/>
        <v>11% to 15%</v>
      </c>
      <c r="N529" s="3" t="str">
        <f t="shared" si="35"/>
        <v>OK</v>
      </c>
    </row>
    <row r="530" spans="1:14" x14ac:dyDescent="0.3">
      <c r="A530" s="2">
        <f>DATE(VALUE(RIGHT(TRIM([1]Raw_Data!A528),4)),VALUE(MID(TRIM([1]Raw_Data!A528),4,2)),VALUE(LEFT(TRIM([1]Raw_Data!A528),2)))</f>
        <v>44060</v>
      </c>
      <c r="B530" s="3" t="str">
        <f>TRIM([1]Raw_Data!B528)</f>
        <v>Iron Supplement</v>
      </c>
      <c r="C530" s="3" t="str">
        <f>TRIM([1]Raw_Data!C528)</f>
        <v>Mineral</v>
      </c>
      <c r="D530" s="3">
        <f>[1]Raw_Data!D528</f>
        <v>141</v>
      </c>
      <c r="E530" s="4">
        <f>[1]Raw_Data!E528</f>
        <v>22.34</v>
      </c>
      <c r="F530" s="5">
        <f>[1]Raw_Data!F528</f>
        <v>3149.94</v>
      </c>
      <c r="G530" s="4">
        <f>[1]Raw_Data!G528</f>
        <v>0.08</v>
      </c>
      <c r="H530" s="3">
        <f>[1]Raw_Data!H528</f>
        <v>1</v>
      </c>
      <c r="I530" s="3" t="str">
        <f>TRIM([1]Raw_Data!I528)</f>
        <v>Canada</v>
      </c>
      <c r="J530" s="3" t="str">
        <f>TRIM([1]Raw_Data!J528)</f>
        <v>iHerb</v>
      </c>
      <c r="K530" s="3">
        <f t="shared" si="32"/>
        <v>2020</v>
      </c>
      <c r="L530" s="6">
        <f t="shared" si="33"/>
        <v>44044</v>
      </c>
      <c r="M530" s="3" t="str">
        <f t="shared" si="34"/>
        <v>6% to 10%</v>
      </c>
      <c r="N530" s="3" t="str">
        <f t="shared" si="35"/>
        <v>OK</v>
      </c>
    </row>
    <row r="531" spans="1:14" x14ac:dyDescent="0.3">
      <c r="A531" s="2">
        <f>DATE(VALUE(RIGHT(TRIM([1]Raw_Data!A529),4)),VALUE(MID(TRIM([1]Raw_Data!A529),4,2)),VALUE(LEFT(TRIM([1]Raw_Data!A529),2)))</f>
        <v>44060</v>
      </c>
      <c r="B531" s="3" t="str">
        <f>TRIM([1]Raw_Data!B529)</f>
        <v>Electrolyte Powder</v>
      </c>
      <c r="C531" s="3" t="str">
        <f>TRIM([1]Raw_Data!C529)</f>
        <v>Hydration</v>
      </c>
      <c r="D531" s="3">
        <f>[1]Raw_Data!D529</f>
        <v>153</v>
      </c>
      <c r="E531" s="4">
        <f>[1]Raw_Data!E529</f>
        <v>40.770000000000003</v>
      </c>
      <c r="F531" s="5">
        <f>[1]Raw_Data!F529</f>
        <v>6237.81</v>
      </c>
      <c r="G531" s="4">
        <f>[1]Raw_Data!G529</f>
        <v>0.02</v>
      </c>
      <c r="H531" s="3">
        <f>[1]Raw_Data!H529</f>
        <v>0</v>
      </c>
      <c r="I531" s="3" t="str">
        <f>TRIM([1]Raw_Data!I529)</f>
        <v>UK</v>
      </c>
      <c r="J531" s="3" t="str">
        <f>TRIM([1]Raw_Data!J529)</f>
        <v>iHerb</v>
      </c>
      <c r="K531" s="3">
        <f t="shared" si="32"/>
        <v>2020</v>
      </c>
      <c r="L531" s="6">
        <f t="shared" si="33"/>
        <v>44044</v>
      </c>
      <c r="M531" s="3" t="str">
        <f t="shared" si="34"/>
        <v>0% to 5%</v>
      </c>
      <c r="N531" s="3" t="str">
        <f t="shared" si="35"/>
        <v>OK</v>
      </c>
    </row>
    <row r="532" spans="1:14" x14ac:dyDescent="0.3">
      <c r="A532" s="2">
        <f>DATE(VALUE(RIGHT(TRIM([1]Raw_Data!A530),4)),VALUE(MID(TRIM([1]Raw_Data!A530),4,2)),VALUE(LEFT(TRIM([1]Raw_Data!A530),2)))</f>
        <v>44067</v>
      </c>
      <c r="B532" s="3" t="str">
        <f>TRIM([1]Raw_Data!B530)</f>
        <v>Whey Protein</v>
      </c>
      <c r="C532" s="3" t="str">
        <f>TRIM([1]Raw_Data!C530)</f>
        <v>Protein</v>
      </c>
      <c r="D532" s="3">
        <f>[1]Raw_Data!D530</f>
        <v>137</v>
      </c>
      <c r="E532" s="4">
        <f>[1]Raw_Data!E530</f>
        <v>20.7</v>
      </c>
      <c r="F532" s="5">
        <f>[1]Raw_Data!F530</f>
        <v>2835.9</v>
      </c>
      <c r="G532" s="4">
        <f>[1]Raw_Data!G530</f>
        <v>7.0000000000000007E-2</v>
      </c>
      <c r="H532" s="3">
        <f>[1]Raw_Data!H530</f>
        <v>1</v>
      </c>
      <c r="I532" s="3" t="str">
        <f>TRIM([1]Raw_Data!I530)</f>
        <v>UK</v>
      </c>
      <c r="J532" s="3" t="str">
        <f>TRIM([1]Raw_Data!J530)</f>
        <v>iHerb</v>
      </c>
      <c r="K532" s="3">
        <f t="shared" si="32"/>
        <v>2020</v>
      </c>
      <c r="L532" s="6">
        <f t="shared" si="33"/>
        <v>44044</v>
      </c>
      <c r="M532" s="3" t="str">
        <f t="shared" si="34"/>
        <v>6% to 10%</v>
      </c>
      <c r="N532" s="3" t="str">
        <f t="shared" si="35"/>
        <v>OK</v>
      </c>
    </row>
    <row r="533" spans="1:14" x14ac:dyDescent="0.3">
      <c r="A533" s="2">
        <f>DATE(VALUE(RIGHT(TRIM([1]Raw_Data!A531),4)),VALUE(MID(TRIM([1]Raw_Data!A531),4,2)),VALUE(LEFT(TRIM([1]Raw_Data!A531),2)))</f>
        <v>44067</v>
      </c>
      <c r="B533" s="3" t="str">
        <f>TRIM([1]Raw_Data!B531)</f>
        <v>Vitamin C</v>
      </c>
      <c r="C533" s="3" t="str">
        <f>TRIM([1]Raw_Data!C531)</f>
        <v>Vitamin</v>
      </c>
      <c r="D533" s="3">
        <f>[1]Raw_Data!D531</f>
        <v>162</v>
      </c>
      <c r="E533" s="4">
        <f>[1]Raw_Data!E531</f>
        <v>42.47</v>
      </c>
      <c r="F533" s="5">
        <f>[1]Raw_Data!F531</f>
        <v>6880.14</v>
      </c>
      <c r="G533" s="4">
        <f>[1]Raw_Data!G531</f>
        <v>0.17</v>
      </c>
      <c r="H533" s="3">
        <f>[1]Raw_Data!H531</f>
        <v>3</v>
      </c>
      <c r="I533" s="3" t="str">
        <f>TRIM([1]Raw_Data!I531)</f>
        <v>UK</v>
      </c>
      <c r="J533" s="3" t="str">
        <f>TRIM([1]Raw_Data!J531)</f>
        <v>Amazon</v>
      </c>
      <c r="K533" s="3">
        <f t="shared" si="32"/>
        <v>2020</v>
      </c>
      <c r="L533" s="6">
        <f t="shared" si="33"/>
        <v>44044</v>
      </c>
      <c r="M533" s="3" t="str">
        <f t="shared" si="34"/>
        <v>16% to 20%</v>
      </c>
      <c r="N533" s="3" t="str">
        <f t="shared" si="35"/>
        <v>OK</v>
      </c>
    </row>
    <row r="534" spans="1:14" x14ac:dyDescent="0.3">
      <c r="A534" s="2">
        <f>DATE(VALUE(RIGHT(TRIM([1]Raw_Data!A532),4)),VALUE(MID(TRIM([1]Raw_Data!A532),4,2)),VALUE(LEFT(TRIM([1]Raw_Data!A532),2)))</f>
        <v>44067</v>
      </c>
      <c r="B534" s="3" t="str">
        <f>TRIM([1]Raw_Data!B532)</f>
        <v>Fish Oil</v>
      </c>
      <c r="C534" s="3" t="str">
        <f>TRIM([1]Raw_Data!C532)</f>
        <v>Omega</v>
      </c>
      <c r="D534" s="3">
        <f>[1]Raw_Data!D532</f>
        <v>173</v>
      </c>
      <c r="E534" s="4">
        <f>[1]Raw_Data!E532</f>
        <v>17.690000000000001</v>
      </c>
      <c r="F534" s="5">
        <f>[1]Raw_Data!F532</f>
        <v>3060.37</v>
      </c>
      <c r="G534" s="4">
        <f>[1]Raw_Data!G532</f>
        <v>0.22</v>
      </c>
      <c r="H534" s="3">
        <f>[1]Raw_Data!H532</f>
        <v>1</v>
      </c>
      <c r="I534" s="3" t="str">
        <f>TRIM([1]Raw_Data!I532)</f>
        <v>Canada</v>
      </c>
      <c r="J534" s="3" t="str">
        <f>TRIM([1]Raw_Data!J532)</f>
        <v>Amazon</v>
      </c>
      <c r="K534" s="3">
        <f t="shared" si="32"/>
        <v>2020</v>
      </c>
      <c r="L534" s="6">
        <f t="shared" si="33"/>
        <v>44044</v>
      </c>
      <c r="M534" s="3" t="str">
        <f t="shared" si="34"/>
        <v>21% to 25%</v>
      </c>
      <c r="N534" s="3" t="str">
        <f t="shared" si="35"/>
        <v>OK</v>
      </c>
    </row>
    <row r="535" spans="1:14" x14ac:dyDescent="0.3">
      <c r="A535" s="2">
        <f>DATE(VALUE(RIGHT(TRIM([1]Raw_Data!A533),4)),VALUE(MID(TRIM([1]Raw_Data!A533),4,2)),VALUE(LEFT(TRIM([1]Raw_Data!A533),2)))</f>
        <v>44067</v>
      </c>
      <c r="B535" s="3" t="str">
        <f>TRIM([1]Raw_Data!B533)</f>
        <v>Multivitamin</v>
      </c>
      <c r="C535" s="3" t="str">
        <f>TRIM([1]Raw_Data!C533)</f>
        <v>Vitamin</v>
      </c>
      <c r="D535" s="3">
        <f>[1]Raw_Data!D533</f>
        <v>152</v>
      </c>
      <c r="E535" s="4">
        <f>[1]Raw_Data!E533</f>
        <v>43.95</v>
      </c>
      <c r="F535" s="5">
        <f>[1]Raw_Data!F533</f>
        <v>6680.4</v>
      </c>
      <c r="G535" s="4">
        <f>[1]Raw_Data!G533</f>
        <v>0.23</v>
      </c>
      <c r="H535" s="3">
        <f>[1]Raw_Data!H533</f>
        <v>6</v>
      </c>
      <c r="I535" s="3" t="str">
        <f>TRIM([1]Raw_Data!I533)</f>
        <v>UK</v>
      </c>
      <c r="J535" s="3" t="str">
        <f>TRIM([1]Raw_Data!J533)</f>
        <v>Amazon</v>
      </c>
      <c r="K535" s="3">
        <f t="shared" si="32"/>
        <v>2020</v>
      </c>
      <c r="L535" s="6">
        <f t="shared" si="33"/>
        <v>44044</v>
      </c>
      <c r="M535" s="3" t="str">
        <f t="shared" si="34"/>
        <v>21% to 25%</v>
      </c>
      <c r="N535" s="3" t="str">
        <f t="shared" si="35"/>
        <v>OK</v>
      </c>
    </row>
    <row r="536" spans="1:14" x14ac:dyDescent="0.3">
      <c r="A536" s="2">
        <f>DATE(VALUE(RIGHT(TRIM([1]Raw_Data!A534),4)),VALUE(MID(TRIM([1]Raw_Data!A534),4,2)),VALUE(LEFT(TRIM([1]Raw_Data!A534),2)))</f>
        <v>44067</v>
      </c>
      <c r="B536" s="3" t="str">
        <f>TRIM([1]Raw_Data!B534)</f>
        <v>Pre-Workout</v>
      </c>
      <c r="C536" s="3" t="str">
        <f>TRIM([1]Raw_Data!C534)</f>
        <v>Performance</v>
      </c>
      <c r="D536" s="3">
        <f>[1]Raw_Data!D534</f>
        <v>158</v>
      </c>
      <c r="E536" s="4">
        <f>[1]Raw_Data!E534</f>
        <v>53.99</v>
      </c>
      <c r="F536" s="5">
        <f>[1]Raw_Data!F534</f>
        <v>8530.42</v>
      </c>
      <c r="G536" s="4">
        <f>[1]Raw_Data!G534</f>
        <v>0.01</v>
      </c>
      <c r="H536" s="3">
        <f>[1]Raw_Data!H534</f>
        <v>1</v>
      </c>
      <c r="I536" s="3" t="str">
        <f>TRIM([1]Raw_Data!I534)</f>
        <v>USA</v>
      </c>
      <c r="J536" s="3" t="str">
        <f>TRIM([1]Raw_Data!J534)</f>
        <v>iHerb</v>
      </c>
      <c r="K536" s="3">
        <f t="shared" si="32"/>
        <v>2020</v>
      </c>
      <c r="L536" s="6">
        <f t="shared" si="33"/>
        <v>44044</v>
      </c>
      <c r="M536" s="3" t="str">
        <f t="shared" si="34"/>
        <v>0% to 5%</v>
      </c>
      <c r="N536" s="3" t="str">
        <f t="shared" si="35"/>
        <v>OK</v>
      </c>
    </row>
    <row r="537" spans="1:14" x14ac:dyDescent="0.3">
      <c r="A537" s="2">
        <f>DATE(VALUE(RIGHT(TRIM([1]Raw_Data!A535),4)),VALUE(MID(TRIM([1]Raw_Data!A535),4,2)),VALUE(LEFT(TRIM([1]Raw_Data!A535),2)))</f>
        <v>44067</v>
      </c>
      <c r="B537" s="3" t="str">
        <f>TRIM([1]Raw_Data!B535)</f>
        <v>BCAA</v>
      </c>
      <c r="C537" s="3" t="str">
        <f>TRIM([1]Raw_Data!C535)</f>
        <v>Amino Acid</v>
      </c>
      <c r="D537" s="3">
        <f>[1]Raw_Data!D535</f>
        <v>168</v>
      </c>
      <c r="E537" s="4">
        <f>[1]Raw_Data!E535</f>
        <v>21.03</v>
      </c>
      <c r="F537" s="5">
        <f>[1]Raw_Data!F535</f>
        <v>3533.04</v>
      </c>
      <c r="G537" s="4">
        <f>[1]Raw_Data!G535</f>
        <v>0.03</v>
      </c>
      <c r="H537" s="3">
        <f>[1]Raw_Data!H535</f>
        <v>3</v>
      </c>
      <c r="I537" s="3" t="str">
        <f>TRIM([1]Raw_Data!I535)</f>
        <v>UK</v>
      </c>
      <c r="J537" s="3" t="str">
        <f>TRIM([1]Raw_Data!J535)</f>
        <v>Amazon</v>
      </c>
      <c r="K537" s="3">
        <f t="shared" si="32"/>
        <v>2020</v>
      </c>
      <c r="L537" s="6">
        <f t="shared" si="33"/>
        <v>44044</v>
      </c>
      <c r="M537" s="3" t="str">
        <f t="shared" si="34"/>
        <v>0% to 5%</v>
      </c>
      <c r="N537" s="3" t="str">
        <f t="shared" si="35"/>
        <v>OK</v>
      </c>
    </row>
    <row r="538" spans="1:14" x14ac:dyDescent="0.3">
      <c r="A538" s="2">
        <f>DATE(VALUE(RIGHT(TRIM([1]Raw_Data!A536),4)),VALUE(MID(TRIM([1]Raw_Data!A536),4,2)),VALUE(LEFT(TRIM([1]Raw_Data!A536),2)))</f>
        <v>44067</v>
      </c>
      <c r="B538" s="3" t="str">
        <f>TRIM([1]Raw_Data!B536)</f>
        <v>Creatine</v>
      </c>
      <c r="C538" s="3" t="str">
        <f>TRIM([1]Raw_Data!C536)</f>
        <v>Performance</v>
      </c>
      <c r="D538" s="3">
        <f>[1]Raw_Data!D536</f>
        <v>150</v>
      </c>
      <c r="E538" s="4">
        <f>[1]Raw_Data!E536</f>
        <v>21.95</v>
      </c>
      <c r="F538" s="5">
        <f>[1]Raw_Data!F536</f>
        <v>3292.5</v>
      </c>
      <c r="G538" s="4">
        <f>[1]Raw_Data!G536</f>
        <v>0.19</v>
      </c>
      <c r="H538" s="3">
        <f>[1]Raw_Data!H536</f>
        <v>2</v>
      </c>
      <c r="I538" s="3" t="str">
        <f>TRIM([1]Raw_Data!I536)</f>
        <v>Canada</v>
      </c>
      <c r="J538" s="3" t="str">
        <f>TRIM([1]Raw_Data!J536)</f>
        <v>iHerb</v>
      </c>
      <c r="K538" s="3">
        <f t="shared" si="32"/>
        <v>2020</v>
      </c>
      <c r="L538" s="6">
        <f t="shared" si="33"/>
        <v>44044</v>
      </c>
      <c r="M538" s="3" t="str">
        <f t="shared" si="34"/>
        <v>16% to 20%</v>
      </c>
      <c r="N538" s="3" t="str">
        <f t="shared" si="35"/>
        <v>OK</v>
      </c>
    </row>
    <row r="539" spans="1:14" x14ac:dyDescent="0.3">
      <c r="A539" s="2">
        <f>DATE(VALUE(RIGHT(TRIM([1]Raw_Data!A537),4)),VALUE(MID(TRIM([1]Raw_Data!A537),4,2)),VALUE(LEFT(TRIM([1]Raw_Data!A537),2)))</f>
        <v>44067</v>
      </c>
      <c r="B539" s="3" t="str">
        <f>TRIM([1]Raw_Data!B537)</f>
        <v>Zinc</v>
      </c>
      <c r="C539" s="3" t="str">
        <f>TRIM([1]Raw_Data!C537)</f>
        <v>Mineral</v>
      </c>
      <c r="D539" s="3">
        <f>[1]Raw_Data!D537</f>
        <v>143</v>
      </c>
      <c r="E539" s="4">
        <f>[1]Raw_Data!E537</f>
        <v>20.48</v>
      </c>
      <c r="F539" s="5">
        <f>[1]Raw_Data!F537</f>
        <v>2928.64</v>
      </c>
      <c r="G539" s="4">
        <f>[1]Raw_Data!G537</f>
        <v>0.24</v>
      </c>
      <c r="H539" s="3">
        <f>[1]Raw_Data!H537</f>
        <v>2</v>
      </c>
      <c r="I539" s="3" t="str">
        <f>TRIM([1]Raw_Data!I537)</f>
        <v>UK</v>
      </c>
      <c r="J539" s="3" t="str">
        <f>TRIM([1]Raw_Data!J537)</f>
        <v>iHerb</v>
      </c>
      <c r="K539" s="3">
        <f t="shared" si="32"/>
        <v>2020</v>
      </c>
      <c r="L539" s="6">
        <f t="shared" si="33"/>
        <v>44044</v>
      </c>
      <c r="M539" s="3" t="str">
        <f t="shared" si="34"/>
        <v>21% to 25%</v>
      </c>
      <c r="N539" s="3" t="str">
        <f t="shared" si="35"/>
        <v>OK</v>
      </c>
    </row>
    <row r="540" spans="1:14" x14ac:dyDescent="0.3">
      <c r="A540" s="2">
        <f>DATE(VALUE(RIGHT(TRIM([1]Raw_Data!A538),4)),VALUE(MID(TRIM([1]Raw_Data!A538),4,2)),VALUE(LEFT(TRIM([1]Raw_Data!A538),2)))</f>
        <v>44067</v>
      </c>
      <c r="B540" s="3" t="str">
        <f>TRIM([1]Raw_Data!B538)</f>
        <v>Collagen Peptides</v>
      </c>
      <c r="C540" s="3" t="str">
        <f>TRIM([1]Raw_Data!C538)</f>
        <v>Protein</v>
      </c>
      <c r="D540" s="3">
        <f>[1]Raw_Data!D538</f>
        <v>174</v>
      </c>
      <c r="E540" s="4">
        <f>[1]Raw_Data!E538</f>
        <v>49.09</v>
      </c>
      <c r="F540" s="5">
        <f>[1]Raw_Data!F538</f>
        <v>8541.66</v>
      </c>
      <c r="G540" s="4">
        <f>[1]Raw_Data!G538</f>
        <v>0.19</v>
      </c>
      <c r="H540" s="3">
        <f>[1]Raw_Data!H538</f>
        <v>2</v>
      </c>
      <c r="I540" s="3" t="str">
        <f>TRIM([1]Raw_Data!I538)</f>
        <v>Canada</v>
      </c>
      <c r="J540" s="3" t="str">
        <f>TRIM([1]Raw_Data!J538)</f>
        <v>iHerb</v>
      </c>
      <c r="K540" s="3">
        <f t="shared" si="32"/>
        <v>2020</v>
      </c>
      <c r="L540" s="6">
        <f t="shared" si="33"/>
        <v>44044</v>
      </c>
      <c r="M540" s="3" t="str">
        <f t="shared" si="34"/>
        <v>16% to 20%</v>
      </c>
      <c r="N540" s="3" t="str">
        <f t="shared" si="35"/>
        <v>OK</v>
      </c>
    </row>
    <row r="541" spans="1:14" x14ac:dyDescent="0.3">
      <c r="A541" s="2">
        <f>DATE(VALUE(RIGHT(TRIM([1]Raw_Data!A539),4)),VALUE(MID(TRIM([1]Raw_Data!A539),4,2)),VALUE(LEFT(TRIM([1]Raw_Data!A539),2)))</f>
        <v>44067</v>
      </c>
      <c r="B541" s="3" t="str">
        <f>TRIM([1]Raw_Data!B539)</f>
        <v>Magnesium</v>
      </c>
      <c r="C541" s="3" t="str">
        <f>TRIM([1]Raw_Data!C539)</f>
        <v>Mineral</v>
      </c>
      <c r="D541" s="3">
        <f>[1]Raw_Data!D539</f>
        <v>134</v>
      </c>
      <c r="E541" s="4">
        <f>[1]Raw_Data!E539</f>
        <v>46.47</v>
      </c>
      <c r="F541" s="5">
        <f>[1]Raw_Data!F539</f>
        <v>6226.98</v>
      </c>
      <c r="G541" s="4">
        <f>[1]Raw_Data!G539</f>
        <v>0.14000000000000001</v>
      </c>
      <c r="H541" s="3">
        <f>[1]Raw_Data!H539</f>
        <v>0</v>
      </c>
      <c r="I541" s="3" t="str">
        <f>TRIM([1]Raw_Data!I539)</f>
        <v>USA</v>
      </c>
      <c r="J541" s="3" t="str">
        <f>TRIM([1]Raw_Data!J539)</f>
        <v>Walmart</v>
      </c>
      <c r="K541" s="3">
        <f t="shared" si="32"/>
        <v>2020</v>
      </c>
      <c r="L541" s="6">
        <f t="shared" si="33"/>
        <v>44044</v>
      </c>
      <c r="M541" s="3" t="str">
        <f t="shared" si="34"/>
        <v>11% to 15%</v>
      </c>
      <c r="N541" s="3" t="str">
        <f t="shared" si="35"/>
        <v>OK</v>
      </c>
    </row>
    <row r="542" spans="1:14" x14ac:dyDescent="0.3">
      <c r="A542" s="2">
        <f>DATE(VALUE(RIGHT(TRIM([1]Raw_Data!A540),4)),VALUE(MID(TRIM([1]Raw_Data!A540),4,2)),VALUE(LEFT(TRIM([1]Raw_Data!A540),2)))</f>
        <v>44067</v>
      </c>
      <c r="B542" s="3" t="str">
        <f>TRIM([1]Raw_Data!B540)</f>
        <v>Ashwagandha</v>
      </c>
      <c r="C542" s="3" t="str">
        <f>TRIM([1]Raw_Data!C540)</f>
        <v>Herbal</v>
      </c>
      <c r="D542" s="3">
        <f>[1]Raw_Data!D540</f>
        <v>150</v>
      </c>
      <c r="E542" s="4">
        <f>[1]Raw_Data!E540</f>
        <v>31.37</v>
      </c>
      <c r="F542" s="5">
        <f>[1]Raw_Data!F540</f>
        <v>4705.5</v>
      </c>
      <c r="G542" s="4">
        <f>[1]Raw_Data!G540</f>
        <v>0.16</v>
      </c>
      <c r="H542" s="3">
        <f>[1]Raw_Data!H540</f>
        <v>2</v>
      </c>
      <c r="I542" s="3" t="str">
        <f>TRIM([1]Raw_Data!I540)</f>
        <v>USA</v>
      </c>
      <c r="J542" s="3" t="str">
        <f>TRIM([1]Raw_Data!J540)</f>
        <v>Amazon</v>
      </c>
      <c r="K542" s="3">
        <f t="shared" si="32"/>
        <v>2020</v>
      </c>
      <c r="L542" s="6">
        <f t="shared" si="33"/>
        <v>44044</v>
      </c>
      <c r="M542" s="3" t="str">
        <f t="shared" si="34"/>
        <v>16% to 20%</v>
      </c>
      <c r="N542" s="3" t="str">
        <f t="shared" si="35"/>
        <v>OK</v>
      </c>
    </row>
    <row r="543" spans="1:14" x14ac:dyDescent="0.3">
      <c r="A543" s="2">
        <f>DATE(VALUE(RIGHT(TRIM([1]Raw_Data!A541),4)),VALUE(MID(TRIM([1]Raw_Data!A541),4,2)),VALUE(LEFT(TRIM([1]Raw_Data!A541),2)))</f>
        <v>44067</v>
      </c>
      <c r="B543" s="3" t="str">
        <f>TRIM([1]Raw_Data!B541)</f>
        <v>Melatonin</v>
      </c>
      <c r="C543" s="3" t="str">
        <f>TRIM([1]Raw_Data!C541)</f>
        <v>Sleep Aid</v>
      </c>
      <c r="D543" s="3">
        <f>[1]Raw_Data!D541</f>
        <v>140</v>
      </c>
      <c r="E543" s="4">
        <f>[1]Raw_Data!E541</f>
        <v>23.46</v>
      </c>
      <c r="F543" s="5">
        <f>[1]Raw_Data!F541</f>
        <v>3284.4</v>
      </c>
      <c r="G543" s="4">
        <f>[1]Raw_Data!G541</f>
        <v>0.05</v>
      </c>
      <c r="H543" s="3">
        <f>[1]Raw_Data!H541</f>
        <v>2</v>
      </c>
      <c r="I543" s="3" t="str">
        <f>TRIM([1]Raw_Data!I541)</f>
        <v>USA</v>
      </c>
      <c r="J543" s="3" t="str">
        <f>TRIM([1]Raw_Data!J541)</f>
        <v>iHerb</v>
      </c>
      <c r="K543" s="3">
        <f t="shared" si="32"/>
        <v>2020</v>
      </c>
      <c r="L543" s="6">
        <f t="shared" si="33"/>
        <v>44044</v>
      </c>
      <c r="M543" s="3" t="str">
        <f t="shared" si="34"/>
        <v>0% to 5%</v>
      </c>
      <c r="N543" s="3" t="str">
        <f t="shared" si="35"/>
        <v>OK</v>
      </c>
    </row>
    <row r="544" spans="1:14" x14ac:dyDescent="0.3">
      <c r="A544" s="2">
        <f>DATE(VALUE(RIGHT(TRIM([1]Raw_Data!A542),4)),VALUE(MID(TRIM([1]Raw_Data!A542),4,2)),VALUE(LEFT(TRIM([1]Raw_Data!A542),2)))</f>
        <v>44067</v>
      </c>
      <c r="B544" s="3" t="str">
        <f>TRIM([1]Raw_Data!B542)</f>
        <v>Biotin</v>
      </c>
      <c r="C544" s="3" t="str">
        <f>TRIM([1]Raw_Data!C542)</f>
        <v>Vitamin</v>
      </c>
      <c r="D544" s="3">
        <f>[1]Raw_Data!D542</f>
        <v>170</v>
      </c>
      <c r="E544" s="4">
        <f>[1]Raw_Data!E542</f>
        <v>47.56</v>
      </c>
      <c r="F544" s="5">
        <f>[1]Raw_Data!F542</f>
        <v>8085.2</v>
      </c>
      <c r="G544" s="4">
        <f>[1]Raw_Data!G542</f>
        <v>0.22</v>
      </c>
      <c r="H544" s="3">
        <f>[1]Raw_Data!H542</f>
        <v>3</v>
      </c>
      <c r="I544" s="3" t="str">
        <f>TRIM([1]Raw_Data!I542)</f>
        <v>USA</v>
      </c>
      <c r="J544" s="3" t="str">
        <f>TRIM([1]Raw_Data!J542)</f>
        <v>Amazon</v>
      </c>
      <c r="K544" s="3">
        <f t="shared" si="32"/>
        <v>2020</v>
      </c>
      <c r="L544" s="6">
        <f t="shared" si="33"/>
        <v>44044</v>
      </c>
      <c r="M544" s="3" t="str">
        <f t="shared" si="34"/>
        <v>21% to 25%</v>
      </c>
      <c r="N544" s="3" t="str">
        <f t="shared" si="35"/>
        <v>OK</v>
      </c>
    </row>
    <row r="545" spans="1:14" x14ac:dyDescent="0.3">
      <c r="A545" s="2">
        <f>DATE(VALUE(RIGHT(TRIM([1]Raw_Data!A543),4)),VALUE(MID(TRIM([1]Raw_Data!A543),4,2)),VALUE(LEFT(TRIM([1]Raw_Data!A543),2)))</f>
        <v>44067</v>
      </c>
      <c r="B545" s="3" t="str">
        <f>TRIM([1]Raw_Data!B543)</f>
        <v>Green Tea Extract</v>
      </c>
      <c r="C545" s="3" t="str">
        <f>TRIM([1]Raw_Data!C543)</f>
        <v>Fat Burner</v>
      </c>
      <c r="D545" s="3">
        <f>[1]Raw_Data!D543</f>
        <v>146</v>
      </c>
      <c r="E545" s="4">
        <f>[1]Raw_Data!E543</f>
        <v>13.12</v>
      </c>
      <c r="F545" s="5">
        <f>[1]Raw_Data!F543</f>
        <v>1915.52</v>
      </c>
      <c r="G545" s="4">
        <f>[1]Raw_Data!G543</f>
        <v>0.12</v>
      </c>
      <c r="H545" s="3">
        <f>[1]Raw_Data!H543</f>
        <v>0</v>
      </c>
      <c r="I545" s="3" t="str">
        <f>TRIM([1]Raw_Data!I543)</f>
        <v>Canada</v>
      </c>
      <c r="J545" s="3" t="str">
        <f>TRIM([1]Raw_Data!J543)</f>
        <v>Walmart</v>
      </c>
      <c r="K545" s="3">
        <f t="shared" si="32"/>
        <v>2020</v>
      </c>
      <c r="L545" s="6">
        <f t="shared" si="33"/>
        <v>44044</v>
      </c>
      <c r="M545" s="3" t="str">
        <f t="shared" si="34"/>
        <v>11% to 15%</v>
      </c>
      <c r="N545" s="3" t="str">
        <f t="shared" si="35"/>
        <v>OK</v>
      </c>
    </row>
    <row r="546" spans="1:14" x14ac:dyDescent="0.3">
      <c r="A546" s="2">
        <f>DATE(VALUE(RIGHT(TRIM([1]Raw_Data!A544),4)),VALUE(MID(TRIM([1]Raw_Data!A544),4,2)),VALUE(LEFT(TRIM([1]Raw_Data!A544),2)))</f>
        <v>44067</v>
      </c>
      <c r="B546" s="3" t="str">
        <f>TRIM([1]Raw_Data!B544)</f>
        <v>Iron Supplement</v>
      </c>
      <c r="C546" s="3" t="str">
        <f>TRIM([1]Raw_Data!C544)</f>
        <v>Mineral</v>
      </c>
      <c r="D546" s="3">
        <f>[1]Raw_Data!D544</f>
        <v>140</v>
      </c>
      <c r="E546" s="4">
        <f>[1]Raw_Data!E544</f>
        <v>50.44</v>
      </c>
      <c r="F546" s="5">
        <f>[1]Raw_Data!F544</f>
        <v>7061.6</v>
      </c>
      <c r="G546" s="4">
        <f>[1]Raw_Data!G544</f>
        <v>0.22</v>
      </c>
      <c r="H546" s="3">
        <f>[1]Raw_Data!H544</f>
        <v>1</v>
      </c>
      <c r="I546" s="3" t="str">
        <f>TRIM([1]Raw_Data!I544)</f>
        <v>Canada</v>
      </c>
      <c r="J546" s="3" t="str">
        <f>TRIM([1]Raw_Data!J544)</f>
        <v>iHerb</v>
      </c>
      <c r="K546" s="3">
        <f t="shared" si="32"/>
        <v>2020</v>
      </c>
      <c r="L546" s="6">
        <f t="shared" si="33"/>
        <v>44044</v>
      </c>
      <c r="M546" s="3" t="str">
        <f t="shared" si="34"/>
        <v>21% to 25%</v>
      </c>
      <c r="N546" s="3" t="str">
        <f t="shared" si="35"/>
        <v>OK</v>
      </c>
    </row>
    <row r="547" spans="1:14" x14ac:dyDescent="0.3">
      <c r="A547" s="2">
        <f>DATE(VALUE(RIGHT(TRIM([1]Raw_Data!A545),4)),VALUE(MID(TRIM([1]Raw_Data!A545),4,2)),VALUE(LEFT(TRIM([1]Raw_Data!A545),2)))</f>
        <v>44067</v>
      </c>
      <c r="B547" s="3" t="str">
        <f>TRIM([1]Raw_Data!B545)</f>
        <v>Electrolyte Powder</v>
      </c>
      <c r="C547" s="3" t="str">
        <f>TRIM([1]Raw_Data!C545)</f>
        <v>Hydration</v>
      </c>
      <c r="D547" s="3">
        <f>[1]Raw_Data!D545</f>
        <v>165</v>
      </c>
      <c r="E547" s="4">
        <f>[1]Raw_Data!E545</f>
        <v>48.23</v>
      </c>
      <c r="F547" s="5">
        <f>[1]Raw_Data!F545</f>
        <v>7957.95</v>
      </c>
      <c r="G547" s="4">
        <f>[1]Raw_Data!G545</f>
        <v>0.04</v>
      </c>
      <c r="H547" s="3">
        <f>[1]Raw_Data!H545</f>
        <v>2</v>
      </c>
      <c r="I547" s="3" t="str">
        <f>TRIM([1]Raw_Data!I545)</f>
        <v>USA</v>
      </c>
      <c r="J547" s="3" t="str">
        <f>TRIM([1]Raw_Data!J545)</f>
        <v>Walmart</v>
      </c>
      <c r="K547" s="3">
        <f t="shared" si="32"/>
        <v>2020</v>
      </c>
      <c r="L547" s="6">
        <f t="shared" si="33"/>
        <v>44044</v>
      </c>
      <c r="M547" s="3" t="str">
        <f t="shared" si="34"/>
        <v>0% to 5%</v>
      </c>
      <c r="N547" s="3" t="str">
        <f t="shared" si="35"/>
        <v>OK</v>
      </c>
    </row>
    <row r="548" spans="1:14" x14ac:dyDescent="0.3">
      <c r="A548" s="2">
        <f>DATE(VALUE(RIGHT(TRIM([1]Raw_Data!A546),4)),VALUE(MID(TRIM([1]Raw_Data!A546),4,2)),VALUE(LEFT(TRIM([1]Raw_Data!A546),2)))</f>
        <v>44074</v>
      </c>
      <c r="B548" s="3" t="str">
        <f>TRIM([1]Raw_Data!B546)</f>
        <v>Whey Protein</v>
      </c>
      <c r="C548" s="3" t="str">
        <f>TRIM([1]Raw_Data!C546)</f>
        <v>Protein</v>
      </c>
      <c r="D548" s="3">
        <f>[1]Raw_Data!D546</f>
        <v>176</v>
      </c>
      <c r="E548" s="4">
        <f>[1]Raw_Data!E546</f>
        <v>26.58</v>
      </c>
      <c r="F548" s="5">
        <f>[1]Raw_Data!F546</f>
        <v>4678.08</v>
      </c>
      <c r="G548" s="4">
        <f>[1]Raw_Data!G546</f>
        <v>0.13</v>
      </c>
      <c r="H548" s="3">
        <f>[1]Raw_Data!H546</f>
        <v>2</v>
      </c>
      <c r="I548" s="3" t="str">
        <f>TRIM([1]Raw_Data!I546)</f>
        <v>USA</v>
      </c>
      <c r="J548" s="3" t="str">
        <f>TRIM([1]Raw_Data!J546)</f>
        <v>Walmart</v>
      </c>
      <c r="K548" s="3">
        <f t="shared" si="32"/>
        <v>2020</v>
      </c>
      <c r="L548" s="6">
        <f t="shared" si="33"/>
        <v>44044</v>
      </c>
      <c r="M548" s="3" t="str">
        <f t="shared" si="34"/>
        <v>11% to 15%</v>
      </c>
      <c r="N548" s="3" t="str">
        <f t="shared" si="35"/>
        <v>OK</v>
      </c>
    </row>
    <row r="549" spans="1:14" x14ac:dyDescent="0.3">
      <c r="A549" s="2">
        <f>DATE(VALUE(RIGHT(TRIM([1]Raw_Data!A547),4)),VALUE(MID(TRIM([1]Raw_Data!A547),4,2)),VALUE(LEFT(TRIM([1]Raw_Data!A547),2)))</f>
        <v>44074</v>
      </c>
      <c r="B549" s="3" t="str">
        <f>TRIM([1]Raw_Data!B547)</f>
        <v>Vitamin C</v>
      </c>
      <c r="C549" s="3" t="str">
        <f>TRIM([1]Raw_Data!C547)</f>
        <v>Vitamin</v>
      </c>
      <c r="D549" s="3">
        <f>[1]Raw_Data!D547</f>
        <v>150</v>
      </c>
      <c r="E549" s="4">
        <f>[1]Raw_Data!E547</f>
        <v>25.6</v>
      </c>
      <c r="F549" s="5">
        <f>[1]Raw_Data!F547</f>
        <v>3840</v>
      </c>
      <c r="G549" s="4">
        <f>[1]Raw_Data!G547</f>
        <v>0.2</v>
      </c>
      <c r="H549" s="3">
        <f>[1]Raw_Data!H547</f>
        <v>3</v>
      </c>
      <c r="I549" s="3" t="str">
        <f>TRIM([1]Raw_Data!I547)</f>
        <v>USA</v>
      </c>
      <c r="J549" s="3" t="str">
        <f>TRIM([1]Raw_Data!J547)</f>
        <v>Amazon</v>
      </c>
      <c r="K549" s="3">
        <f t="shared" si="32"/>
        <v>2020</v>
      </c>
      <c r="L549" s="6">
        <f t="shared" si="33"/>
        <v>44044</v>
      </c>
      <c r="M549" s="3" t="str">
        <f t="shared" si="34"/>
        <v>16% to 20%</v>
      </c>
      <c r="N549" s="3" t="str">
        <f t="shared" si="35"/>
        <v>OK</v>
      </c>
    </row>
    <row r="550" spans="1:14" x14ac:dyDescent="0.3">
      <c r="A550" s="2">
        <f>DATE(VALUE(RIGHT(TRIM([1]Raw_Data!A548),4)),VALUE(MID(TRIM([1]Raw_Data!A548),4,2)),VALUE(LEFT(TRIM([1]Raw_Data!A548),2)))</f>
        <v>44074</v>
      </c>
      <c r="B550" s="3" t="str">
        <f>TRIM([1]Raw_Data!B548)</f>
        <v>Fish Oil</v>
      </c>
      <c r="C550" s="3" t="str">
        <f>TRIM([1]Raw_Data!C548)</f>
        <v>Omega</v>
      </c>
      <c r="D550" s="3">
        <f>[1]Raw_Data!D548</f>
        <v>144</v>
      </c>
      <c r="E550" s="4">
        <f>[1]Raw_Data!E548</f>
        <v>47.59</v>
      </c>
      <c r="F550" s="5">
        <f>[1]Raw_Data!F548</f>
        <v>6852.96</v>
      </c>
      <c r="G550" s="4">
        <f>[1]Raw_Data!G548</f>
        <v>0.2</v>
      </c>
      <c r="H550" s="3">
        <f>[1]Raw_Data!H548</f>
        <v>4</v>
      </c>
      <c r="I550" s="3" t="str">
        <f>TRIM([1]Raw_Data!I548)</f>
        <v>UK</v>
      </c>
      <c r="J550" s="3" t="str">
        <f>TRIM([1]Raw_Data!J548)</f>
        <v>Amazon</v>
      </c>
      <c r="K550" s="3">
        <f t="shared" si="32"/>
        <v>2020</v>
      </c>
      <c r="L550" s="6">
        <f t="shared" si="33"/>
        <v>44044</v>
      </c>
      <c r="M550" s="3" t="str">
        <f t="shared" si="34"/>
        <v>16% to 20%</v>
      </c>
      <c r="N550" s="3" t="str">
        <f t="shared" si="35"/>
        <v>OK</v>
      </c>
    </row>
    <row r="551" spans="1:14" x14ac:dyDescent="0.3">
      <c r="A551" s="2">
        <f>DATE(VALUE(RIGHT(TRIM([1]Raw_Data!A549),4)),VALUE(MID(TRIM([1]Raw_Data!A549),4,2)),VALUE(LEFT(TRIM([1]Raw_Data!A549),2)))</f>
        <v>44074</v>
      </c>
      <c r="B551" s="3" t="str">
        <f>TRIM([1]Raw_Data!B549)</f>
        <v>Multivitamin</v>
      </c>
      <c r="C551" s="3" t="str">
        <f>TRIM([1]Raw_Data!C549)</f>
        <v>Vitamin</v>
      </c>
      <c r="D551" s="3">
        <f>[1]Raw_Data!D549</f>
        <v>143</v>
      </c>
      <c r="E551" s="4">
        <f>[1]Raw_Data!E549</f>
        <v>16.579999999999998</v>
      </c>
      <c r="F551" s="5">
        <f>[1]Raw_Data!F549</f>
        <v>2370.94</v>
      </c>
      <c r="G551" s="4">
        <f>[1]Raw_Data!G549</f>
        <v>0.18</v>
      </c>
      <c r="H551" s="3">
        <f>[1]Raw_Data!H549</f>
        <v>2</v>
      </c>
      <c r="I551" s="3" t="str">
        <f>TRIM([1]Raw_Data!I549)</f>
        <v>UK</v>
      </c>
      <c r="J551" s="3" t="str">
        <f>TRIM([1]Raw_Data!J549)</f>
        <v>Amazon</v>
      </c>
      <c r="K551" s="3">
        <f t="shared" si="32"/>
        <v>2020</v>
      </c>
      <c r="L551" s="6">
        <f t="shared" si="33"/>
        <v>44044</v>
      </c>
      <c r="M551" s="3" t="str">
        <f t="shared" si="34"/>
        <v>16% to 20%</v>
      </c>
      <c r="N551" s="3" t="str">
        <f t="shared" si="35"/>
        <v>OK</v>
      </c>
    </row>
    <row r="552" spans="1:14" x14ac:dyDescent="0.3">
      <c r="A552" s="2">
        <f>DATE(VALUE(RIGHT(TRIM([1]Raw_Data!A550),4)),VALUE(MID(TRIM([1]Raw_Data!A550),4,2)),VALUE(LEFT(TRIM([1]Raw_Data!A550),2)))</f>
        <v>44074</v>
      </c>
      <c r="B552" s="3" t="str">
        <f>TRIM([1]Raw_Data!B550)</f>
        <v>Pre-Workout</v>
      </c>
      <c r="C552" s="3" t="str">
        <f>TRIM([1]Raw_Data!C550)</f>
        <v>Performance</v>
      </c>
      <c r="D552" s="3">
        <f>[1]Raw_Data!D550</f>
        <v>156</v>
      </c>
      <c r="E552" s="4">
        <f>[1]Raw_Data!E550</f>
        <v>53.65</v>
      </c>
      <c r="F552" s="5">
        <f>[1]Raw_Data!F550</f>
        <v>8369.4</v>
      </c>
      <c r="G552" s="4">
        <f>[1]Raw_Data!G550</f>
        <v>0.04</v>
      </c>
      <c r="H552" s="3">
        <f>[1]Raw_Data!H550</f>
        <v>0</v>
      </c>
      <c r="I552" s="3" t="str">
        <f>TRIM([1]Raw_Data!I550)</f>
        <v>UK</v>
      </c>
      <c r="J552" s="3" t="str">
        <f>TRIM([1]Raw_Data!J550)</f>
        <v>Amazon</v>
      </c>
      <c r="K552" s="3">
        <f t="shared" si="32"/>
        <v>2020</v>
      </c>
      <c r="L552" s="6">
        <f t="shared" si="33"/>
        <v>44044</v>
      </c>
      <c r="M552" s="3" t="str">
        <f t="shared" si="34"/>
        <v>0% to 5%</v>
      </c>
      <c r="N552" s="3" t="str">
        <f t="shared" si="35"/>
        <v>OK</v>
      </c>
    </row>
    <row r="553" spans="1:14" x14ac:dyDescent="0.3">
      <c r="A553" s="2">
        <f>DATE(VALUE(RIGHT(TRIM([1]Raw_Data!A551),4)),VALUE(MID(TRIM([1]Raw_Data!A551),4,2)),VALUE(LEFT(TRIM([1]Raw_Data!A551),2)))</f>
        <v>44074</v>
      </c>
      <c r="B553" s="3" t="str">
        <f>TRIM([1]Raw_Data!B551)</f>
        <v>BCAA</v>
      </c>
      <c r="C553" s="3" t="str">
        <f>TRIM([1]Raw_Data!C551)</f>
        <v>Amino Acid</v>
      </c>
      <c r="D553" s="3">
        <f>[1]Raw_Data!D551</f>
        <v>158</v>
      </c>
      <c r="E553" s="4">
        <f>[1]Raw_Data!E551</f>
        <v>52.45</v>
      </c>
      <c r="F553" s="5">
        <f>[1]Raw_Data!F551</f>
        <v>8287.1</v>
      </c>
      <c r="G553" s="4">
        <f>[1]Raw_Data!G551</f>
        <v>0.1</v>
      </c>
      <c r="H553" s="3">
        <f>[1]Raw_Data!H551</f>
        <v>0</v>
      </c>
      <c r="I553" s="3" t="str">
        <f>TRIM([1]Raw_Data!I551)</f>
        <v>Canada</v>
      </c>
      <c r="J553" s="3" t="str">
        <f>TRIM([1]Raw_Data!J551)</f>
        <v>Amazon</v>
      </c>
      <c r="K553" s="3">
        <f t="shared" si="32"/>
        <v>2020</v>
      </c>
      <c r="L553" s="6">
        <f t="shared" si="33"/>
        <v>44044</v>
      </c>
      <c r="M553" s="3" t="str">
        <f t="shared" si="34"/>
        <v>6% to 10%</v>
      </c>
      <c r="N553" s="3" t="str">
        <f t="shared" si="35"/>
        <v>OK</v>
      </c>
    </row>
    <row r="554" spans="1:14" x14ac:dyDescent="0.3">
      <c r="A554" s="2">
        <f>DATE(VALUE(RIGHT(TRIM([1]Raw_Data!A552),4)),VALUE(MID(TRIM([1]Raw_Data!A552),4,2)),VALUE(LEFT(TRIM([1]Raw_Data!A552),2)))</f>
        <v>44074</v>
      </c>
      <c r="B554" s="3" t="str">
        <f>TRIM([1]Raw_Data!B552)</f>
        <v>Creatine</v>
      </c>
      <c r="C554" s="3" t="str">
        <f>TRIM([1]Raw_Data!C552)</f>
        <v>Performance</v>
      </c>
      <c r="D554" s="3">
        <f>[1]Raw_Data!D552</f>
        <v>164</v>
      </c>
      <c r="E554" s="4">
        <f>[1]Raw_Data!E552</f>
        <v>19.46</v>
      </c>
      <c r="F554" s="5">
        <f>[1]Raw_Data!F552</f>
        <v>3191.44</v>
      </c>
      <c r="G554" s="4">
        <f>[1]Raw_Data!G552</f>
        <v>0.18</v>
      </c>
      <c r="H554" s="3">
        <f>[1]Raw_Data!H552</f>
        <v>2</v>
      </c>
      <c r="I554" s="3" t="str">
        <f>TRIM([1]Raw_Data!I552)</f>
        <v>Canada</v>
      </c>
      <c r="J554" s="3" t="str">
        <f>TRIM([1]Raw_Data!J552)</f>
        <v>Walmart</v>
      </c>
      <c r="K554" s="3">
        <f t="shared" si="32"/>
        <v>2020</v>
      </c>
      <c r="L554" s="6">
        <f t="shared" si="33"/>
        <v>44044</v>
      </c>
      <c r="M554" s="3" t="str">
        <f t="shared" si="34"/>
        <v>16% to 20%</v>
      </c>
      <c r="N554" s="3" t="str">
        <f t="shared" si="35"/>
        <v>OK</v>
      </c>
    </row>
    <row r="555" spans="1:14" x14ac:dyDescent="0.3">
      <c r="A555" s="2">
        <f>DATE(VALUE(RIGHT(TRIM([1]Raw_Data!A553),4)),VALUE(MID(TRIM([1]Raw_Data!A553),4,2)),VALUE(LEFT(TRIM([1]Raw_Data!A553),2)))</f>
        <v>44074</v>
      </c>
      <c r="B555" s="3" t="str">
        <f>TRIM([1]Raw_Data!B553)</f>
        <v>Zinc</v>
      </c>
      <c r="C555" s="3" t="str">
        <f>TRIM([1]Raw_Data!C553)</f>
        <v>Mineral</v>
      </c>
      <c r="D555" s="3">
        <f>[1]Raw_Data!D553</f>
        <v>154</v>
      </c>
      <c r="E555" s="4">
        <f>[1]Raw_Data!E553</f>
        <v>51.44</v>
      </c>
      <c r="F555" s="5">
        <f>[1]Raw_Data!F553</f>
        <v>7921.76</v>
      </c>
      <c r="G555" s="4">
        <f>[1]Raw_Data!G553</f>
        <v>0.21</v>
      </c>
      <c r="H555" s="3">
        <f>[1]Raw_Data!H553</f>
        <v>2</v>
      </c>
      <c r="I555" s="3" t="str">
        <f>TRIM([1]Raw_Data!I553)</f>
        <v>UK</v>
      </c>
      <c r="J555" s="3" t="str">
        <f>TRIM([1]Raw_Data!J553)</f>
        <v>Walmart</v>
      </c>
      <c r="K555" s="3">
        <f t="shared" si="32"/>
        <v>2020</v>
      </c>
      <c r="L555" s="6">
        <f t="shared" si="33"/>
        <v>44044</v>
      </c>
      <c r="M555" s="3" t="str">
        <f t="shared" si="34"/>
        <v>21% to 25%</v>
      </c>
      <c r="N555" s="3" t="str">
        <f t="shared" si="35"/>
        <v>OK</v>
      </c>
    </row>
    <row r="556" spans="1:14" x14ac:dyDescent="0.3">
      <c r="A556" s="2">
        <f>DATE(VALUE(RIGHT(TRIM([1]Raw_Data!A554),4)),VALUE(MID(TRIM([1]Raw_Data!A554),4,2)),VALUE(LEFT(TRIM([1]Raw_Data!A554),2)))</f>
        <v>44074</v>
      </c>
      <c r="B556" s="3" t="str">
        <f>TRIM([1]Raw_Data!B554)</f>
        <v>Collagen Peptides</v>
      </c>
      <c r="C556" s="3" t="str">
        <f>TRIM([1]Raw_Data!C554)</f>
        <v>Protein</v>
      </c>
      <c r="D556" s="3">
        <f>[1]Raw_Data!D554</f>
        <v>132</v>
      </c>
      <c r="E556" s="4">
        <f>[1]Raw_Data!E554</f>
        <v>43.55</v>
      </c>
      <c r="F556" s="5">
        <f>[1]Raw_Data!F554</f>
        <v>5748.6</v>
      </c>
      <c r="G556" s="4">
        <f>[1]Raw_Data!G554</f>
        <v>0.17</v>
      </c>
      <c r="H556" s="3">
        <f>[1]Raw_Data!H554</f>
        <v>1</v>
      </c>
      <c r="I556" s="3" t="str">
        <f>TRIM([1]Raw_Data!I554)</f>
        <v>UK</v>
      </c>
      <c r="J556" s="3" t="str">
        <f>TRIM([1]Raw_Data!J554)</f>
        <v>Walmart</v>
      </c>
      <c r="K556" s="3">
        <f t="shared" si="32"/>
        <v>2020</v>
      </c>
      <c r="L556" s="6">
        <f t="shared" si="33"/>
        <v>44044</v>
      </c>
      <c r="M556" s="3" t="str">
        <f t="shared" si="34"/>
        <v>16% to 20%</v>
      </c>
      <c r="N556" s="3" t="str">
        <f t="shared" si="35"/>
        <v>OK</v>
      </c>
    </row>
    <row r="557" spans="1:14" x14ac:dyDescent="0.3">
      <c r="A557" s="2">
        <f>DATE(VALUE(RIGHT(TRIM([1]Raw_Data!A555),4)),VALUE(MID(TRIM([1]Raw_Data!A555),4,2)),VALUE(LEFT(TRIM([1]Raw_Data!A555),2)))</f>
        <v>44074</v>
      </c>
      <c r="B557" s="3" t="str">
        <f>TRIM([1]Raw_Data!B555)</f>
        <v>Magnesium</v>
      </c>
      <c r="C557" s="3" t="str">
        <f>TRIM([1]Raw_Data!C555)</f>
        <v>Mineral</v>
      </c>
      <c r="D557" s="3">
        <f>[1]Raw_Data!D555</f>
        <v>167</v>
      </c>
      <c r="E557" s="4">
        <f>[1]Raw_Data!E555</f>
        <v>15.63</v>
      </c>
      <c r="F557" s="5">
        <f>[1]Raw_Data!F555</f>
        <v>2610.21</v>
      </c>
      <c r="G557" s="4">
        <f>[1]Raw_Data!G555</f>
        <v>0.1</v>
      </c>
      <c r="H557" s="3">
        <f>[1]Raw_Data!H555</f>
        <v>3</v>
      </c>
      <c r="I557" s="3" t="str">
        <f>TRIM([1]Raw_Data!I555)</f>
        <v>USA</v>
      </c>
      <c r="J557" s="3" t="str">
        <f>TRIM([1]Raw_Data!J555)</f>
        <v>iHerb</v>
      </c>
      <c r="K557" s="3">
        <f t="shared" si="32"/>
        <v>2020</v>
      </c>
      <c r="L557" s="6">
        <f t="shared" si="33"/>
        <v>44044</v>
      </c>
      <c r="M557" s="3" t="str">
        <f t="shared" si="34"/>
        <v>6% to 10%</v>
      </c>
      <c r="N557" s="3" t="str">
        <f t="shared" si="35"/>
        <v>OK</v>
      </c>
    </row>
    <row r="558" spans="1:14" x14ac:dyDescent="0.3">
      <c r="A558" s="2">
        <f>DATE(VALUE(RIGHT(TRIM([1]Raw_Data!A556),4)),VALUE(MID(TRIM([1]Raw_Data!A556),4,2)),VALUE(LEFT(TRIM([1]Raw_Data!A556),2)))</f>
        <v>44074</v>
      </c>
      <c r="B558" s="3" t="str">
        <f>TRIM([1]Raw_Data!B556)</f>
        <v>Ashwagandha</v>
      </c>
      <c r="C558" s="3" t="str">
        <f>TRIM([1]Raw_Data!C556)</f>
        <v>Herbal</v>
      </c>
      <c r="D558" s="3">
        <f>[1]Raw_Data!D556</f>
        <v>156</v>
      </c>
      <c r="E558" s="4">
        <f>[1]Raw_Data!E556</f>
        <v>23.53</v>
      </c>
      <c r="F558" s="5">
        <f>[1]Raw_Data!F556</f>
        <v>3670.68</v>
      </c>
      <c r="G558" s="4">
        <f>[1]Raw_Data!G556</f>
        <v>0.06</v>
      </c>
      <c r="H558" s="3">
        <f>[1]Raw_Data!H556</f>
        <v>4</v>
      </c>
      <c r="I558" s="3" t="str">
        <f>TRIM([1]Raw_Data!I556)</f>
        <v>Canada</v>
      </c>
      <c r="J558" s="3" t="str">
        <f>TRIM([1]Raw_Data!J556)</f>
        <v>iHerb</v>
      </c>
      <c r="K558" s="3">
        <f t="shared" si="32"/>
        <v>2020</v>
      </c>
      <c r="L558" s="6">
        <f t="shared" si="33"/>
        <v>44044</v>
      </c>
      <c r="M558" s="3" t="str">
        <f t="shared" si="34"/>
        <v>6% to 10%</v>
      </c>
      <c r="N558" s="3" t="str">
        <f t="shared" si="35"/>
        <v>OK</v>
      </c>
    </row>
    <row r="559" spans="1:14" x14ac:dyDescent="0.3">
      <c r="A559" s="2">
        <f>DATE(VALUE(RIGHT(TRIM([1]Raw_Data!A557),4)),VALUE(MID(TRIM([1]Raw_Data!A557),4,2)),VALUE(LEFT(TRIM([1]Raw_Data!A557),2)))</f>
        <v>44074</v>
      </c>
      <c r="B559" s="3" t="str">
        <f>TRIM([1]Raw_Data!B557)</f>
        <v>Melatonin</v>
      </c>
      <c r="C559" s="3" t="str">
        <f>TRIM([1]Raw_Data!C557)</f>
        <v>Sleep Aid</v>
      </c>
      <c r="D559" s="3">
        <f>[1]Raw_Data!D557</f>
        <v>142</v>
      </c>
      <c r="E559" s="4">
        <f>[1]Raw_Data!E557</f>
        <v>29.66</v>
      </c>
      <c r="F559" s="5">
        <f>[1]Raw_Data!F557</f>
        <v>4211.72</v>
      </c>
      <c r="G559" s="4">
        <f>[1]Raw_Data!G557</f>
        <v>0.03</v>
      </c>
      <c r="H559" s="3">
        <f>[1]Raw_Data!H557</f>
        <v>0</v>
      </c>
      <c r="I559" s="3" t="str">
        <f>TRIM([1]Raw_Data!I557)</f>
        <v>USA</v>
      </c>
      <c r="J559" s="3" t="str">
        <f>TRIM([1]Raw_Data!J557)</f>
        <v>iHerb</v>
      </c>
      <c r="K559" s="3">
        <f t="shared" si="32"/>
        <v>2020</v>
      </c>
      <c r="L559" s="6">
        <f t="shared" si="33"/>
        <v>44044</v>
      </c>
      <c r="M559" s="3" t="str">
        <f t="shared" si="34"/>
        <v>0% to 5%</v>
      </c>
      <c r="N559" s="3" t="str">
        <f t="shared" si="35"/>
        <v>OK</v>
      </c>
    </row>
    <row r="560" spans="1:14" x14ac:dyDescent="0.3">
      <c r="A560" s="2">
        <f>DATE(VALUE(RIGHT(TRIM([1]Raw_Data!A558),4)),VALUE(MID(TRIM([1]Raw_Data!A558),4,2)),VALUE(LEFT(TRIM([1]Raw_Data!A558),2)))</f>
        <v>44074</v>
      </c>
      <c r="B560" s="3" t="str">
        <f>TRIM([1]Raw_Data!B558)</f>
        <v>Biotin</v>
      </c>
      <c r="C560" s="3" t="str">
        <f>TRIM([1]Raw_Data!C558)</f>
        <v>Vitamin</v>
      </c>
      <c r="D560" s="3">
        <f>[1]Raw_Data!D558</f>
        <v>151</v>
      </c>
      <c r="E560" s="4">
        <f>[1]Raw_Data!E558</f>
        <v>28.46</v>
      </c>
      <c r="F560" s="5">
        <f>[1]Raw_Data!F558</f>
        <v>4297.46</v>
      </c>
      <c r="G560" s="4">
        <f>[1]Raw_Data!G558</f>
        <v>0.09</v>
      </c>
      <c r="H560" s="3">
        <f>[1]Raw_Data!H558</f>
        <v>1</v>
      </c>
      <c r="I560" s="3" t="str">
        <f>TRIM([1]Raw_Data!I558)</f>
        <v>USA</v>
      </c>
      <c r="J560" s="3" t="str">
        <f>TRIM([1]Raw_Data!J558)</f>
        <v>Amazon</v>
      </c>
      <c r="K560" s="3">
        <f t="shared" si="32"/>
        <v>2020</v>
      </c>
      <c r="L560" s="6">
        <f t="shared" si="33"/>
        <v>44044</v>
      </c>
      <c r="M560" s="3" t="str">
        <f t="shared" si="34"/>
        <v>6% to 10%</v>
      </c>
      <c r="N560" s="3" t="str">
        <f t="shared" si="35"/>
        <v>OK</v>
      </c>
    </row>
    <row r="561" spans="1:14" x14ac:dyDescent="0.3">
      <c r="A561" s="2">
        <f>DATE(VALUE(RIGHT(TRIM([1]Raw_Data!A559),4)),VALUE(MID(TRIM([1]Raw_Data!A559),4,2)),VALUE(LEFT(TRIM([1]Raw_Data!A559),2)))</f>
        <v>44074</v>
      </c>
      <c r="B561" s="3" t="str">
        <f>TRIM([1]Raw_Data!B559)</f>
        <v>Green Tea Extract</v>
      </c>
      <c r="C561" s="3" t="str">
        <f>TRIM([1]Raw_Data!C559)</f>
        <v>Fat Burner</v>
      </c>
      <c r="D561" s="3">
        <f>[1]Raw_Data!D559</f>
        <v>151</v>
      </c>
      <c r="E561" s="4">
        <f>[1]Raw_Data!E559</f>
        <v>54</v>
      </c>
      <c r="F561" s="5">
        <f>[1]Raw_Data!F559</f>
        <v>8154</v>
      </c>
      <c r="G561" s="4">
        <f>[1]Raw_Data!G559</f>
        <v>0.13</v>
      </c>
      <c r="H561" s="3">
        <f>[1]Raw_Data!H559</f>
        <v>1</v>
      </c>
      <c r="I561" s="3" t="str">
        <f>TRIM([1]Raw_Data!I559)</f>
        <v>USA</v>
      </c>
      <c r="J561" s="3" t="str">
        <f>TRIM([1]Raw_Data!J559)</f>
        <v>iHerb</v>
      </c>
      <c r="K561" s="3">
        <f t="shared" si="32"/>
        <v>2020</v>
      </c>
      <c r="L561" s="6">
        <f t="shared" si="33"/>
        <v>44044</v>
      </c>
      <c r="M561" s="3" t="str">
        <f t="shared" si="34"/>
        <v>11% to 15%</v>
      </c>
      <c r="N561" s="3" t="str">
        <f t="shared" si="35"/>
        <v>OK</v>
      </c>
    </row>
    <row r="562" spans="1:14" x14ac:dyDescent="0.3">
      <c r="A562" s="2">
        <f>DATE(VALUE(RIGHT(TRIM([1]Raw_Data!A560),4)),VALUE(MID(TRIM([1]Raw_Data!A560),4,2)),VALUE(LEFT(TRIM([1]Raw_Data!A560),2)))</f>
        <v>44074</v>
      </c>
      <c r="B562" s="3" t="str">
        <f>TRIM([1]Raw_Data!B560)</f>
        <v>Iron Supplement</v>
      </c>
      <c r="C562" s="3" t="str">
        <f>TRIM([1]Raw_Data!C560)</f>
        <v>Mineral</v>
      </c>
      <c r="D562" s="3">
        <f>[1]Raw_Data!D560</f>
        <v>140</v>
      </c>
      <c r="E562" s="4">
        <f>[1]Raw_Data!E560</f>
        <v>43.16</v>
      </c>
      <c r="F562" s="5">
        <f>[1]Raw_Data!F560</f>
        <v>6042.4</v>
      </c>
      <c r="G562" s="4">
        <f>[1]Raw_Data!G560</f>
        <v>0.15</v>
      </c>
      <c r="H562" s="3">
        <f>[1]Raw_Data!H560</f>
        <v>1</v>
      </c>
      <c r="I562" s="3" t="str">
        <f>TRIM([1]Raw_Data!I560)</f>
        <v>Canada</v>
      </c>
      <c r="J562" s="3" t="str">
        <f>TRIM([1]Raw_Data!J560)</f>
        <v>iHerb</v>
      </c>
      <c r="K562" s="3">
        <f t="shared" si="32"/>
        <v>2020</v>
      </c>
      <c r="L562" s="6">
        <f t="shared" si="33"/>
        <v>44044</v>
      </c>
      <c r="M562" s="3" t="str">
        <f t="shared" si="34"/>
        <v>11% to 15%</v>
      </c>
      <c r="N562" s="3" t="str">
        <f t="shared" si="35"/>
        <v>OK</v>
      </c>
    </row>
    <row r="563" spans="1:14" x14ac:dyDescent="0.3">
      <c r="A563" s="2">
        <f>DATE(VALUE(RIGHT(TRIM([1]Raw_Data!A561),4)),VALUE(MID(TRIM([1]Raw_Data!A561),4,2)),VALUE(LEFT(TRIM([1]Raw_Data!A561),2)))</f>
        <v>44074</v>
      </c>
      <c r="B563" s="3" t="str">
        <f>TRIM([1]Raw_Data!B561)</f>
        <v>Electrolyte Powder</v>
      </c>
      <c r="C563" s="3" t="str">
        <f>TRIM([1]Raw_Data!C561)</f>
        <v>Hydration</v>
      </c>
      <c r="D563" s="3">
        <f>[1]Raw_Data!D561</f>
        <v>147</v>
      </c>
      <c r="E563" s="4">
        <f>[1]Raw_Data!E561</f>
        <v>19.79</v>
      </c>
      <c r="F563" s="5">
        <f>[1]Raw_Data!F561</f>
        <v>2909.13</v>
      </c>
      <c r="G563" s="4">
        <f>[1]Raw_Data!G561</f>
        <v>0.21</v>
      </c>
      <c r="H563" s="3">
        <f>[1]Raw_Data!H561</f>
        <v>2</v>
      </c>
      <c r="I563" s="3" t="str">
        <f>TRIM([1]Raw_Data!I561)</f>
        <v>Canada</v>
      </c>
      <c r="J563" s="3" t="str">
        <f>TRIM([1]Raw_Data!J561)</f>
        <v>Amazon</v>
      </c>
      <c r="K563" s="3">
        <f t="shared" si="32"/>
        <v>2020</v>
      </c>
      <c r="L563" s="6">
        <f t="shared" si="33"/>
        <v>44044</v>
      </c>
      <c r="M563" s="3" t="str">
        <f t="shared" si="34"/>
        <v>21% to 25%</v>
      </c>
      <c r="N563" s="3" t="str">
        <f t="shared" si="35"/>
        <v>OK</v>
      </c>
    </row>
    <row r="564" spans="1:14" x14ac:dyDescent="0.3">
      <c r="A564" s="2">
        <f>DATE(VALUE(RIGHT(TRIM([1]Raw_Data!A562),4)),VALUE(MID(TRIM([1]Raw_Data!A562),4,2)),VALUE(LEFT(TRIM([1]Raw_Data!A562),2)))</f>
        <v>44081</v>
      </c>
      <c r="B564" s="3" t="str">
        <f>TRIM([1]Raw_Data!B562)</f>
        <v>Whey Protein</v>
      </c>
      <c r="C564" s="3" t="str">
        <f>TRIM([1]Raw_Data!C562)</f>
        <v>Protein</v>
      </c>
      <c r="D564" s="3">
        <f>[1]Raw_Data!D562</f>
        <v>147</v>
      </c>
      <c r="E564" s="4">
        <f>[1]Raw_Data!E562</f>
        <v>22.83</v>
      </c>
      <c r="F564" s="5">
        <f>[1]Raw_Data!F562</f>
        <v>3356.01</v>
      </c>
      <c r="G564" s="4">
        <f>[1]Raw_Data!G562</f>
        <v>0.19</v>
      </c>
      <c r="H564" s="3">
        <f>[1]Raw_Data!H562</f>
        <v>1</v>
      </c>
      <c r="I564" s="3" t="str">
        <f>TRIM([1]Raw_Data!I562)</f>
        <v>UK</v>
      </c>
      <c r="J564" s="3" t="str">
        <f>TRIM([1]Raw_Data!J562)</f>
        <v>Amazon</v>
      </c>
      <c r="K564" s="3">
        <f t="shared" si="32"/>
        <v>2020</v>
      </c>
      <c r="L564" s="6">
        <f t="shared" si="33"/>
        <v>44075</v>
      </c>
      <c r="M564" s="3" t="str">
        <f t="shared" si="34"/>
        <v>16% to 20%</v>
      </c>
      <c r="N564" s="3" t="str">
        <f t="shared" si="35"/>
        <v>OK</v>
      </c>
    </row>
    <row r="565" spans="1:14" x14ac:dyDescent="0.3">
      <c r="A565" s="2">
        <f>DATE(VALUE(RIGHT(TRIM([1]Raw_Data!A563),4)),VALUE(MID(TRIM([1]Raw_Data!A563),4,2)),VALUE(LEFT(TRIM([1]Raw_Data!A563),2)))</f>
        <v>44081</v>
      </c>
      <c r="B565" s="3" t="str">
        <f>TRIM([1]Raw_Data!B563)</f>
        <v>Vitamin C</v>
      </c>
      <c r="C565" s="3" t="str">
        <f>TRIM([1]Raw_Data!C563)</f>
        <v>Vitamin</v>
      </c>
      <c r="D565" s="3">
        <f>[1]Raw_Data!D563</f>
        <v>143</v>
      </c>
      <c r="E565" s="4">
        <f>[1]Raw_Data!E563</f>
        <v>59.79</v>
      </c>
      <c r="F565" s="5">
        <f>[1]Raw_Data!F563</f>
        <v>8549.9699999999993</v>
      </c>
      <c r="G565" s="4">
        <f>[1]Raw_Data!G563</f>
        <v>0.11</v>
      </c>
      <c r="H565" s="3">
        <f>[1]Raw_Data!H563</f>
        <v>3</v>
      </c>
      <c r="I565" s="3" t="str">
        <f>TRIM([1]Raw_Data!I563)</f>
        <v>USA</v>
      </c>
      <c r="J565" s="3" t="str">
        <f>TRIM([1]Raw_Data!J563)</f>
        <v>iHerb</v>
      </c>
      <c r="K565" s="3">
        <f t="shared" si="32"/>
        <v>2020</v>
      </c>
      <c r="L565" s="6">
        <f t="shared" si="33"/>
        <v>44075</v>
      </c>
      <c r="M565" s="3" t="str">
        <f t="shared" si="34"/>
        <v>11% to 15%</v>
      </c>
      <c r="N565" s="3" t="str">
        <f t="shared" si="35"/>
        <v>OK</v>
      </c>
    </row>
    <row r="566" spans="1:14" x14ac:dyDescent="0.3">
      <c r="A566" s="2">
        <f>DATE(VALUE(RIGHT(TRIM([1]Raw_Data!A564),4)),VALUE(MID(TRIM([1]Raw_Data!A564),4,2)),VALUE(LEFT(TRIM([1]Raw_Data!A564),2)))</f>
        <v>44081</v>
      </c>
      <c r="B566" s="3" t="str">
        <f>TRIM([1]Raw_Data!B564)</f>
        <v>Fish Oil</v>
      </c>
      <c r="C566" s="3" t="str">
        <f>TRIM([1]Raw_Data!C564)</f>
        <v>Omega</v>
      </c>
      <c r="D566" s="3">
        <f>[1]Raw_Data!D564</f>
        <v>144</v>
      </c>
      <c r="E566" s="4">
        <f>[1]Raw_Data!E564</f>
        <v>20.21</v>
      </c>
      <c r="F566" s="5">
        <f>[1]Raw_Data!F564</f>
        <v>2910.24</v>
      </c>
      <c r="G566" s="4">
        <f>[1]Raw_Data!G564</f>
        <v>0.1</v>
      </c>
      <c r="H566" s="3">
        <f>[1]Raw_Data!H564</f>
        <v>0</v>
      </c>
      <c r="I566" s="3" t="str">
        <f>TRIM([1]Raw_Data!I564)</f>
        <v>Canada</v>
      </c>
      <c r="J566" s="3" t="str">
        <f>TRIM([1]Raw_Data!J564)</f>
        <v>iHerb</v>
      </c>
      <c r="K566" s="3">
        <f t="shared" si="32"/>
        <v>2020</v>
      </c>
      <c r="L566" s="6">
        <f t="shared" si="33"/>
        <v>44075</v>
      </c>
      <c r="M566" s="3" t="str">
        <f t="shared" si="34"/>
        <v>6% to 10%</v>
      </c>
      <c r="N566" s="3" t="str">
        <f t="shared" si="35"/>
        <v>OK</v>
      </c>
    </row>
    <row r="567" spans="1:14" x14ac:dyDescent="0.3">
      <c r="A567" s="2">
        <f>DATE(VALUE(RIGHT(TRIM([1]Raw_Data!A565),4)),VALUE(MID(TRIM([1]Raw_Data!A565),4,2)),VALUE(LEFT(TRIM([1]Raw_Data!A565),2)))</f>
        <v>44081</v>
      </c>
      <c r="B567" s="3" t="str">
        <f>TRIM([1]Raw_Data!B565)</f>
        <v>Multivitamin</v>
      </c>
      <c r="C567" s="3" t="str">
        <f>TRIM([1]Raw_Data!C565)</f>
        <v>Vitamin</v>
      </c>
      <c r="D567" s="3">
        <f>[1]Raw_Data!D565</f>
        <v>164</v>
      </c>
      <c r="E567" s="4">
        <f>[1]Raw_Data!E565</f>
        <v>18.39</v>
      </c>
      <c r="F567" s="5">
        <f>[1]Raw_Data!F565</f>
        <v>3015.96</v>
      </c>
      <c r="G567" s="4">
        <f>[1]Raw_Data!G565</f>
        <v>0.03</v>
      </c>
      <c r="H567" s="3">
        <f>[1]Raw_Data!H565</f>
        <v>0</v>
      </c>
      <c r="I567" s="3" t="str">
        <f>TRIM([1]Raw_Data!I565)</f>
        <v>USA</v>
      </c>
      <c r="J567" s="3" t="str">
        <f>TRIM([1]Raw_Data!J565)</f>
        <v>Amazon</v>
      </c>
      <c r="K567" s="3">
        <f t="shared" si="32"/>
        <v>2020</v>
      </c>
      <c r="L567" s="6">
        <f t="shared" si="33"/>
        <v>44075</v>
      </c>
      <c r="M567" s="3" t="str">
        <f t="shared" si="34"/>
        <v>0% to 5%</v>
      </c>
      <c r="N567" s="3" t="str">
        <f t="shared" si="35"/>
        <v>OK</v>
      </c>
    </row>
    <row r="568" spans="1:14" x14ac:dyDescent="0.3">
      <c r="A568" s="2">
        <f>DATE(VALUE(RIGHT(TRIM([1]Raw_Data!A566),4)),VALUE(MID(TRIM([1]Raw_Data!A566),4,2)),VALUE(LEFT(TRIM([1]Raw_Data!A566),2)))</f>
        <v>44081</v>
      </c>
      <c r="B568" s="3" t="str">
        <f>TRIM([1]Raw_Data!B566)</f>
        <v>Pre-Workout</v>
      </c>
      <c r="C568" s="3" t="str">
        <f>TRIM([1]Raw_Data!C566)</f>
        <v>Performance</v>
      </c>
      <c r="D568" s="3">
        <f>[1]Raw_Data!D566</f>
        <v>147</v>
      </c>
      <c r="E568" s="4">
        <f>[1]Raw_Data!E566</f>
        <v>35.619999999999997</v>
      </c>
      <c r="F568" s="5">
        <f>[1]Raw_Data!F566</f>
        <v>5236.1400000000003</v>
      </c>
      <c r="G568" s="4">
        <f>[1]Raw_Data!G566</f>
        <v>0.09</v>
      </c>
      <c r="H568" s="3">
        <f>[1]Raw_Data!H566</f>
        <v>1</v>
      </c>
      <c r="I568" s="3" t="str">
        <f>TRIM([1]Raw_Data!I566)</f>
        <v>UK</v>
      </c>
      <c r="J568" s="3" t="str">
        <f>TRIM([1]Raw_Data!J566)</f>
        <v>iHerb</v>
      </c>
      <c r="K568" s="3">
        <f t="shared" si="32"/>
        <v>2020</v>
      </c>
      <c r="L568" s="6">
        <f t="shared" si="33"/>
        <v>44075</v>
      </c>
      <c r="M568" s="3" t="str">
        <f t="shared" si="34"/>
        <v>6% to 10%</v>
      </c>
      <c r="N568" s="3" t="str">
        <f t="shared" si="35"/>
        <v>OK</v>
      </c>
    </row>
    <row r="569" spans="1:14" x14ac:dyDescent="0.3">
      <c r="A569" s="2">
        <f>DATE(VALUE(RIGHT(TRIM([1]Raw_Data!A567),4)),VALUE(MID(TRIM([1]Raw_Data!A567),4,2)),VALUE(LEFT(TRIM([1]Raw_Data!A567),2)))</f>
        <v>44081</v>
      </c>
      <c r="B569" s="3" t="str">
        <f>TRIM([1]Raw_Data!B567)</f>
        <v>BCAA</v>
      </c>
      <c r="C569" s="3" t="str">
        <f>TRIM([1]Raw_Data!C567)</f>
        <v>Amino Acid</v>
      </c>
      <c r="D569" s="3">
        <f>[1]Raw_Data!D567</f>
        <v>154</v>
      </c>
      <c r="E569" s="4">
        <f>[1]Raw_Data!E567</f>
        <v>15.53</v>
      </c>
      <c r="F569" s="5">
        <f>[1]Raw_Data!F567</f>
        <v>2391.62</v>
      </c>
      <c r="G569" s="4">
        <f>[1]Raw_Data!G567</f>
        <v>0.01</v>
      </c>
      <c r="H569" s="3">
        <f>[1]Raw_Data!H567</f>
        <v>5</v>
      </c>
      <c r="I569" s="3" t="str">
        <f>TRIM([1]Raw_Data!I567)</f>
        <v>Canada</v>
      </c>
      <c r="J569" s="3" t="str">
        <f>TRIM([1]Raw_Data!J567)</f>
        <v>Walmart</v>
      </c>
      <c r="K569" s="3">
        <f t="shared" si="32"/>
        <v>2020</v>
      </c>
      <c r="L569" s="6">
        <f t="shared" si="33"/>
        <v>44075</v>
      </c>
      <c r="M569" s="3" t="str">
        <f t="shared" si="34"/>
        <v>0% to 5%</v>
      </c>
      <c r="N569" s="3" t="str">
        <f t="shared" si="35"/>
        <v>OK</v>
      </c>
    </row>
    <row r="570" spans="1:14" x14ac:dyDescent="0.3">
      <c r="A570" s="2">
        <f>DATE(VALUE(RIGHT(TRIM([1]Raw_Data!A568),4)),VALUE(MID(TRIM([1]Raw_Data!A568),4,2)),VALUE(LEFT(TRIM([1]Raw_Data!A568),2)))</f>
        <v>44081</v>
      </c>
      <c r="B570" s="3" t="str">
        <f>TRIM([1]Raw_Data!B568)</f>
        <v>Creatine</v>
      </c>
      <c r="C570" s="3" t="str">
        <f>TRIM([1]Raw_Data!C568)</f>
        <v>Performance</v>
      </c>
      <c r="D570" s="3">
        <f>[1]Raw_Data!D568</f>
        <v>140</v>
      </c>
      <c r="E570" s="4">
        <f>[1]Raw_Data!E568</f>
        <v>19.489999999999998</v>
      </c>
      <c r="F570" s="5">
        <f>[1]Raw_Data!F568</f>
        <v>2728.6</v>
      </c>
      <c r="G570" s="4">
        <f>[1]Raw_Data!G568</f>
        <v>0.01</v>
      </c>
      <c r="H570" s="3">
        <f>[1]Raw_Data!H568</f>
        <v>1</v>
      </c>
      <c r="I570" s="3" t="str">
        <f>TRIM([1]Raw_Data!I568)</f>
        <v>USA</v>
      </c>
      <c r="J570" s="3" t="str">
        <f>TRIM([1]Raw_Data!J568)</f>
        <v>iHerb</v>
      </c>
      <c r="K570" s="3">
        <f t="shared" si="32"/>
        <v>2020</v>
      </c>
      <c r="L570" s="6">
        <f t="shared" si="33"/>
        <v>44075</v>
      </c>
      <c r="M570" s="3" t="str">
        <f t="shared" si="34"/>
        <v>0% to 5%</v>
      </c>
      <c r="N570" s="3" t="str">
        <f t="shared" si="35"/>
        <v>OK</v>
      </c>
    </row>
    <row r="571" spans="1:14" x14ac:dyDescent="0.3">
      <c r="A571" s="2">
        <f>DATE(VALUE(RIGHT(TRIM([1]Raw_Data!A569),4)),VALUE(MID(TRIM([1]Raw_Data!A569),4,2)),VALUE(LEFT(TRIM([1]Raw_Data!A569),2)))</f>
        <v>44081</v>
      </c>
      <c r="B571" s="3" t="str">
        <f>TRIM([1]Raw_Data!B569)</f>
        <v>Zinc</v>
      </c>
      <c r="C571" s="3" t="str">
        <f>TRIM([1]Raw_Data!C569)</f>
        <v>Mineral</v>
      </c>
      <c r="D571" s="3">
        <f>[1]Raw_Data!D569</f>
        <v>162</v>
      </c>
      <c r="E571" s="4">
        <f>[1]Raw_Data!E569</f>
        <v>32.21</v>
      </c>
      <c r="F571" s="5">
        <f>[1]Raw_Data!F569</f>
        <v>5218.0200000000004</v>
      </c>
      <c r="G571" s="4">
        <f>[1]Raw_Data!G569</f>
        <v>0.17</v>
      </c>
      <c r="H571" s="3">
        <f>[1]Raw_Data!H569</f>
        <v>1</v>
      </c>
      <c r="I571" s="3" t="str">
        <f>TRIM([1]Raw_Data!I569)</f>
        <v>USA</v>
      </c>
      <c r="J571" s="3" t="str">
        <f>TRIM([1]Raw_Data!J569)</f>
        <v>Walmart</v>
      </c>
      <c r="K571" s="3">
        <f t="shared" si="32"/>
        <v>2020</v>
      </c>
      <c r="L571" s="6">
        <f t="shared" si="33"/>
        <v>44075</v>
      </c>
      <c r="M571" s="3" t="str">
        <f t="shared" si="34"/>
        <v>16% to 20%</v>
      </c>
      <c r="N571" s="3" t="str">
        <f t="shared" si="35"/>
        <v>OK</v>
      </c>
    </row>
    <row r="572" spans="1:14" x14ac:dyDescent="0.3">
      <c r="A572" s="2">
        <f>DATE(VALUE(RIGHT(TRIM([1]Raw_Data!A570),4)),VALUE(MID(TRIM([1]Raw_Data!A570),4,2)),VALUE(LEFT(TRIM([1]Raw_Data!A570),2)))</f>
        <v>44081</v>
      </c>
      <c r="B572" s="3" t="str">
        <f>TRIM([1]Raw_Data!B570)</f>
        <v>Collagen Peptides</v>
      </c>
      <c r="C572" s="3" t="str">
        <f>TRIM([1]Raw_Data!C570)</f>
        <v>Protein</v>
      </c>
      <c r="D572" s="3">
        <f>[1]Raw_Data!D570</f>
        <v>165</v>
      </c>
      <c r="E572" s="4">
        <f>[1]Raw_Data!E570</f>
        <v>10.5</v>
      </c>
      <c r="F572" s="5">
        <f>[1]Raw_Data!F570</f>
        <v>1732.5</v>
      </c>
      <c r="G572" s="4">
        <f>[1]Raw_Data!G570</f>
        <v>0.19</v>
      </c>
      <c r="H572" s="3">
        <f>[1]Raw_Data!H570</f>
        <v>1</v>
      </c>
      <c r="I572" s="3" t="str">
        <f>TRIM([1]Raw_Data!I570)</f>
        <v>USA</v>
      </c>
      <c r="J572" s="3" t="str">
        <f>TRIM([1]Raw_Data!J570)</f>
        <v>Amazon</v>
      </c>
      <c r="K572" s="3">
        <f t="shared" si="32"/>
        <v>2020</v>
      </c>
      <c r="L572" s="6">
        <f t="shared" si="33"/>
        <v>44075</v>
      </c>
      <c r="M572" s="3" t="str">
        <f t="shared" si="34"/>
        <v>16% to 20%</v>
      </c>
      <c r="N572" s="3" t="str">
        <f t="shared" si="35"/>
        <v>OK</v>
      </c>
    </row>
    <row r="573" spans="1:14" x14ac:dyDescent="0.3">
      <c r="A573" s="2">
        <f>DATE(VALUE(RIGHT(TRIM([1]Raw_Data!A571),4)),VALUE(MID(TRIM([1]Raw_Data!A571),4,2)),VALUE(LEFT(TRIM([1]Raw_Data!A571),2)))</f>
        <v>44081</v>
      </c>
      <c r="B573" s="3" t="str">
        <f>TRIM([1]Raw_Data!B571)</f>
        <v>Magnesium</v>
      </c>
      <c r="C573" s="3" t="str">
        <f>TRIM([1]Raw_Data!C571)</f>
        <v>Mineral</v>
      </c>
      <c r="D573" s="3">
        <f>[1]Raw_Data!D571</f>
        <v>140</v>
      </c>
      <c r="E573" s="4">
        <f>[1]Raw_Data!E571</f>
        <v>59.61</v>
      </c>
      <c r="F573" s="5">
        <f>[1]Raw_Data!F571</f>
        <v>8345.4</v>
      </c>
      <c r="G573" s="4">
        <f>[1]Raw_Data!G571</f>
        <v>0.21</v>
      </c>
      <c r="H573" s="3">
        <f>[1]Raw_Data!H571</f>
        <v>0</v>
      </c>
      <c r="I573" s="3" t="str">
        <f>TRIM([1]Raw_Data!I571)</f>
        <v>USA</v>
      </c>
      <c r="J573" s="3" t="str">
        <f>TRIM([1]Raw_Data!J571)</f>
        <v>iHerb</v>
      </c>
      <c r="K573" s="3">
        <f t="shared" si="32"/>
        <v>2020</v>
      </c>
      <c r="L573" s="6">
        <f t="shared" si="33"/>
        <v>44075</v>
      </c>
      <c r="M573" s="3" t="str">
        <f t="shared" si="34"/>
        <v>21% to 25%</v>
      </c>
      <c r="N573" s="3" t="str">
        <f t="shared" si="35"/>
        <v>OK</v>
      </c>
    </row>
    <row r="574" spans="1:14" x14ac:dyDescent="0.3">
      <c r="A574" s="2">
        <f>DATE(VALUE(RIGHT(TRIM([1]Raw_Data!A572),4)),VALUE(MID(TRIM([1]Raw_Data!A572),4,2)),VALUE(LEFT(TRIM([1]Raw_Data!A572),2)))</f>
        <v>44081</v>
      </c>
      <c r="B574" s="3" t="str">
        <f>TRIM([1]Raw_Data!B572)</f>
        <v>Ashwagandha</v>
      </c>
      <c r="C574" s="3" t="str">
        <f>TRIM([1]Raw_Data!C572)</f>
        <v>Herbal</v>
      </c>
      <c r="D574" s="3">
        <f>[1]Raw_Data!D572</f>
        <v>158</v>
      </c>
      <c r="E574" s="4">
        <f>[1]Raw_Data!E572</f>
        <v>10.35</v>
      </c>
      <c r="F574" s="5">
        <f>[1]Raw_Data!F572</f>
        <v>1635.3</v>
      </c>
      <c r="G574" s="4">
        <f>[1]Raw_Data!G572</f>
        <v>0.1</v>
      </c>
      <c r="H574" s="3">
        <f>[1]Raw_Data!H572</f>
        <v>1</v>
      </c>
      <c r="I574" s="3" t="str">
        <f>TRIM([1]Raw_Data!I572)</f>
        <v>USA</v>
      </c>
      <c r="J574" s="3" t="str">
        <f>TRIM([1]Raw_Data!J572)</f>
        <v>Walmart</v>
      </c>
      <c r="K574" s="3">
        <f t="shared" si="32"/>
        <v>2020</v>
      </c>
      <c r="L574" s="6">
        <f t="shared" si="33"/>
        <v>44075</v>
      </c>
      <c r="M574" s="3" t="str">
        <f t="shared" si="34"/>
        <v>6% to 10%</v>
      </c>
      <c r="N574" s="3" t="str">
        <f t="shared" si="35"/>
        <v>OK</v>
      </c>
    </row>
    <row r="575" spans="1:14" x14ac:dyDescent="0.3">
      <c r="A575" s="2">
        <f>DATE(VALUE(RIGHT(TRIM([1]Raw_Data!A573),4)),VALUE(MID(TRIM([1]Raw_Data!A573),4,2)),VALUE(LEFT(TRIM([1]Raw_Data!A573),2)))</f>
        <v>44081</v>
      </c>
      <c r="B575" s="3" t="str">
        <f>TRIM([1]Raw_Data!B573)</f>
        <v>Melatonin</v>
      </c>
      <c r="C575" s="3" t="str">
        <f>TRIM([1]Raw_Data!C573)</f>
        <v>Sleep Aid</v>
      </c>
      <c r="D575" s="3">
        <f>[1]Raw_Data!D573</f>
        <v>163</v>
      </c>
      <c r="E575" s="4">
        <f>[1]Raw_Data!E573</f>
        <v>51.38</v>
      </c>
      <c r="F575" s="5">
        <f>[1]Raw_Data!F573</f>
        <v>8374.94</v>
      </c>
      <c r="G575" s="4">
        <f>[1]Raw_Data!G573</f>
        <v>0</v>
      </c>
      <c r="H575" s="3">
        <f>[1]Raw_Data!H573</f>
        <v>1</v>
      </c>
      <c r="I575" s="3" t="str">
        <f>TRIM([1]Raw_Data!I573)</f>
        <v>Canada</v>
      </c>
      <c r="J575" s="3" t="str">
        <f>TRIM([1]Raw_Data!J573)</f>
        <v>Walmart</v>
      </c>
      <c r="K575" s="3">
        <f t="shared" si="32"/>
        <v>2020</v>
      </c>
      <c r="L575" s="6">
        <f t="shared" si="33"/>
        <v>44075</v>
      </c>
      <c r="M575" s="3" t="str">
        <f t="shared" si="34"/>
        <v>0% to 5%</v>
      </c>
      <c r="N575" s="3" t="str">
        <f t="shared" si="35"/>
        <v>OK</v>
      </c>
    </row>
    <row r="576" spans="1:14" x14ac:dyDescent="0.3">
      <c r="A576" s="2">
        <f>DATE(VALUE(RIGHT(TRIM([1]Raw_Data!A574),4)),VALUE(MID(TRIM([1]Raw_Data!A574),4,2)),VALUE(LEFT(TRIM([1]Raw_Data!A574),2)))</f>
        <v>44081</v>
      </c>
      <c r="B576" s="3" t="str">
        <f>TRIM([1]Raw_Data!B574)</f>
        <v>Biotin</v>
      </c>
      <c r="C576" s="3" t="str">
        <f>TRIM([1]Raw_Data!C574)</f>
        <v>Vitamin</v>
      </c>
      <c r="D576" s="3">
        <f>[1]Raw_Data!D574</f>
        <v>140</v>
      </c>
      <c r="E576" s="4">
        <f>[1]Raw_Data!E574</f>
        <v>13.41</v>
      </c>
      <c r="F576" s="5">
        <f>[1]Raw_Data!F574</f>
        <v>1877.4</v>
      </c>
      <c r="G576" s="4">
        <f>[1]Raw_Data!G574</f>
        <v>0.05</v>
      </c>
      <c r="H576" s="3">
        <f>[1]Raw_Data!H574</f>
        <v>1</v>
      </c>
      <c r="I576" s="3" t="str">
        <f>TRIM([1]Raw_Data!I574)</f>
        <v>USA</v>
      </c>
      <c r="J576" s="3" t="str">
        <f>TRIM([1]Raw_Data!J574)</f>
        <v>Amazon</v>
      </c>
      <c r="K576" s="3">
        <f t="shared" si="32"/>
        <v>2020</v>
      </c>
      <c r="L576" s="6">
        <f t="shared" si="33"/>
        <v>44075</v>
      </c>
      <c r="M576" s="3" t="str">
        <f t="shared" si="34"/>
        <v>0% to 5%</v>
      </c>
      <c r="N576" s="3" t="str">
        <f t="shared" si="35"/>
        <v>OK</v>
      </c>
    </row>
    <row r="577" spans="1:14" x14ac:dyDescent="0.3">
      <c r="A577" s="2">
        <f>DATE(VALUE(RIGHT(TRIM([1]Raw_Data!A575),4)),VALUE(MID(TRIM([1]Raw_Data!A575),4,2)),VALUE(LEFT(TRIM([1]Raw_Data!A575),2)))</f>
        <v>44081</v>
      </c>
      <c r="B577" s="3" t="str">
        <f>TRIM([1]Raw_Data!B575)</f>
        <v>Green Tea Extract</v>
      </c>
      <c r="C577" s="3" t="str">
        <f>TRIM([1]Raw_Data!C575)</f>
        <v>Fat Burner</v>
      </c>
      <c r="D577" s="3">
        <f>[1]Raw_Data!D575</f>
        <v>142</v>
      </c>
      <c r="E577" s="4">
        <f>[1]Raw_Data!E575</f>
        <v>28.84</v>
      </c>
      <c r="F577" s="5">
        <f>[1]Raw_Data!F575</f>
        <v>4095.28</v>
      </c>
      <c r="G577" s="4">
        <f>[1]Raw_Data!G575</f>
        <v>0.22</v>
      </c>
      <c r="H577" s="3">
        <f>[1]Raw_Data!H575</f>
        <v>3</v>
      </c>
      <c r="I577" s="3" t="str">
        <f>TRIM([1]Raw_Data!I575)</f>
        <v>USA</v>
      </c>
      <c r="J577" s="3" t="str">
        <f>TRIM([1]Raw_Data!J575)</f>
        <v>Amazon</v>
      </c>
      <c r="K577" s="3">
        <f t="shared" si="32"/>
        <v>2020</v>
      </c>
      <c r="L577" s="6">
        <f t="shared" si="33"/>
        <v>44075</v>
      </c>
      <c r="M577" s="3" t="str">
        <f t="shared" si="34"/>
        <v>21% to 25%</v>
      </c>
      <c r="N577" s="3" t="str">
        <f t="shared" si="35"/>
        <v>OK</v>
      </c>
    </row>
    <row r="578" spans="1:14" x14ac:dyDescent="0.3">
      <c r="A578" s="2">
        <f>DATE(VALUE(RIGHT(TRIM([1]Raw_Data!A576),4)),VALUE(MID(TRIM([1]Raw_Data!A576),4,2)),VALUE(LEFT(TRIM([1]Raw_Data!A576),2)))</f>
        <v>44081</v>
      </c>
      <c r="B578" s="3" t="str">
        <f>TRIM([1]Raw_Data!B576)</f>
        <v>Iron Supplement</v>
      </c>
      <c r="C578" s="3" t="str">
        <f>TRIM([1]Raw_Data!C576)</f>
        <v>Mineral</v>
      </c>
      <c r="D578" s="3">
        <f>[1]Raw_Data!D576</f>
        <v>150</v>
      </c>
      <c r="E578" s="4">
        <f>[1]Raw_Data!E576</f>
        <v>15.34</v>
      </c>
      <c r="F578" s="5">
        <f>[1]Raw_Data!F576</f>
        <v>2301</v>
      </c>
      <c r="G578" s="4">
        <f>[1]Raw_Data!G576</f>
        <v>0.24</v>
      </c>
      <c r="H578" s="3">
        <f>[1]Raw_Data!H576</f>
        <v>0</v>
      </c>
      <c r="I578" s="3" t="str">
        <f>TRIM([1]Raw_Data!I576)</f>
        <v>USA</v>
      </c>
      <c r="J578" s="3" t="str">
        <f>TRIM([1]Raw_Data!J576)</f>
        <v>Amazon</v>
      </c>
      <c r="K578" s="3">
        <f t="shared" si="32"/>
        <v>2020</v>
      </c>
      <c r="L578" s="6">
        <f t="shared" si="33"/>
        <v>44075</v>
      </c>
      <c r="M578" s="3" t="str">
        <f t="shared" si="34"/>
        <v>21% to 25%</v>
      </c>
      <c r="N578" s="3" t="str">
        <f t="shared" si="35"/>
        <v>OK</v>
      </c>
    </row>
    <row r="579" spans="1:14" x14ac:dyDescent="0.3">
      <c r="A579" s="2">
        <f>DATE(VALUE(RIGHT(TRIM([1]Raw_Data!A577),4)),VALUE(MID(TRIM([1]Raw_Data!A577),4,2)),VALUE(LEFT(TRIM([1]Raw_Data!A577),2)))</f>
        <v>44081</v>
      </c>
      <c r="B579" s="3" t="str">
        <f>TRIM([1]Raw_Data!B577)</f>
        <v>Electrolyte Powder</v>
      </c>
      <c r="C579" s="3" t="str">
        <f>TRIM([1]Raw_Data!C577)</f>
        <v>Hydration</v>
      </c>
      <c r="D579" s="3">
        <f>[1]Raw_Data!D577</f>
        <v>142</v>
      </c>
      <c r="E579" s="4">
        <f>[1]Raw_Data!E577</f>
        <v>26.02</v>
      </c>
      <c r="F579" s="5">
        <f>[1]Raw_Data!F577</f>
        <v>3694.84</v>
      </c>
      <c r="G579" s="4">
        <f>[1]Raw_Data!G577</f>
        <v>0.04</v>
      </c>
      <c r="H579" s="3">
        <f>[1]Raw_Data!H577</f>
        <v>2</v>
      </c>
      <c r="I579" s="3" t="str">
        <f>TRIM([1]Raw_Data!I577)</f>
        <v>Canada</v>
      </c>
      <c r="J579" s="3" t="str">
        <f>TRIM([1]Raw_Data!J577)</f>
        <v>Amazon</v>
      </c>
      <c r="K579" s="3">
        <f t="shared" si="32"/>
        <v>2020</v>
      </c>
      <c r="L579" s="6">
        <f t="shared" si="33"/>
        <v>44075</v>
      </c>
      <c r="M579" s="3" t="str">
        <f t="shared" si="34"/>
        <v>0% to 5%</v>
      </c>
      <c r="N579" s="3" t="str">
        <f t="shared" si="35"/>
        <v>OK</v>
      </c>
    </row>
    <row r="580" spans="1:14" x14ac:dyDescent="0.3">
      <c r="A580" s="2">
        <f>DATE(VALUE(RIGHT(TRIM([1]Raw_Data!A578),4)),VALUE(MID(TRIM([1]Raw_Data!A578),4,2)),VALUE(LEFT(TRIM([1]Raw_Data!A578),2)))</f>
        <v>44088</v>
      </c>
      <c r="B580" s="3" t="str">
        <f>TRIM([1]Raw_Data!B578)</f>
        <v>Whey Protein</v>
      </c>
      <c r="C580" s="3" t="str">
        <f>TRIM([1]Raw_Data!C578)</f>
        <v>Protein</v>
      </c>
      <c r="D580" s="3">
        <f>[1]Raw_Data!D578</f>
        <v>133</v>
      </c>
      <c r="E580" s="4">
        <f>[1]Raw_Data!E578</f>
        <v>16.190000000000001</v>
      </c>
      <c r="F580" s="5">
        <f>[1]Raw_Data!F578</f>
        <v>2153.27</v>
      </c>
      <c r="G580" s="4">
        <f>[1]Raw_Data!G578</f>
        <v>0.02</v>
      </c>
      <c r="H580" s="3">
        <f>[1]Raw_Data!H578</f>
        <v>3</v>
      </c>
      <c r="I580" s="3" t="str">
        <f>TRIM([1]Raw_Data!I578)</f>
        <v>USA</v>
      </c>
      <c r="J580" s="3" t="str">
        <f>TRIM([1]Raw_Data!J578)</f>
        <v>Amazon</v>
      </c>
      <c r="K580" s="3">
        <f t="shared" ref="K580:K643" si="36">YEAR(A580)</f>
        <v>2020</v>
      </c>
      <c r="L580" s="6">
        <f t="shared" ref="L580:L643" si="37">DATE(YEAR(A580),MONTH(A580),1)</f>
        <v>44075</v>
      </c>
      <c r="M580" s="3" t="str">
        <f t="shared" ref="M580:M643" si="38">IF(ROUND(G580*100,0)&lt;=5,"0% to 5%",IF(ROUND(G580*100,0)&lt;=10,"6% to 10%",IF(ROUND(G580*100,0)&lt;=15,"11% to 15%",IF(ROUND(G580*100,0)&lt;=20,"16% to 20%","21% to 25%"))))</f>
        <v>0% to 5%</v>
      </c>
      <c r="N580" s="3" t="str">
        <f t="shared" ref="N580:N643" si="39">IF(ROUND(D580*E580,2)=ROUND(F580,2),"OK","Check")</f>
        <v>OK</v>
      </c>
    </row>
    <row r="581" spans="1:14" x14ac:dyDescent="0.3">
      <c r="A581" s="2">
        <f>DATE(VALUE(RIGHT(TRIM([1]Raw_Data!A579),4)),VALUE(MID(TRIM([1]Raw_Data!A579),4,2)),VALUE(LEFT(TRIM([1]Raw_Data!A579),2)))</f>
        <v>44088</v>
      </c>
      <c r="B581" s="3" t="str">
        <f>TRIM([1]Raw_Data!B579)</f>
        <v>Vitamin C</v>
      </c>
      <c r="C581" s="3" t="str">
        <f>TRIM([1]Raw_Data!C579)</f>
        <v>Vitamin</v>
      </c>
      <c r="D581" s="3">
        <f>[1]Raw_Data!D579</f>
        <v>138</v>
      </c>
      <c r="E581" s="4">
        <f>[1]Raw_Data!E579</f>
        <v>37.229999999999997</v>
      </c>
      <c r="F581" s="5">
        <f>[1]Raw_Data!F579</f>
        <v>5137.74</v>
      </c>
      <c r="G581" s="4">
        <f>[1]Raw_Data!G579</f>
        <v>0.02</v>
      </c>
      <c r="H581" s="3">
        <f>[1]Raw_Data!H579</f>
        <v>4</v>
      </c>
      <c r="I581" s="3" t="str">
        <f>TRIM([1]Raw_Data!I579)</f>
        <v>UK</v>
      </c>
      <c r="J581" s="3" t="str">
        <f>TRIM([1]Raw_Data!J579)</f>
        <v>Walmart</v>
      </c>
      <c r="K581" s="3">
        <f t="shared" si="36"/>
        <v>2020</v>
      </c>
      <c r="L581" s="6">
        <f t="shared" si="37"/>
        <v>44075</v>
      </c>
      <c r="M581" s="3" t="str">
        <f t="shared" si="38"/>
        <v>0% to 5%</v>
      </c>
      <c r="N581" s="3" t="str">
        <f t="shared" si="39"/>
        <v>OK</v>
      </c>
    </row>
    <row r="582" spans="1:14" x14ac:dyDescent="0.3">
      <c r="A582" s="2">
        <f>DATE(VALUE(RIGHT(TRIM([1]Raw_Data!A580),4)),VALUE(MID(TRIM([1]Raw_Data!A580),4,2)),VALUE(LEFT(TRIM([1]Raw_Data!A580),2)))</f>
        <v>44088</v>
      </c>
      <c r="B582" s="3" t="str">
        <f>TRIM([1]Raw_Data!B580)</f>
        <v>Fish Oil</v>
      </c>
      <c r="C582" s="3" t="str">
        <f>TRIM([1]Raw_Data!C580)</f>
        <v>Omega</v>
      </c>
      <c r="D582" s="3">
        <f>[1]Raw_Data!D580</f>
        <v>140</v>
      </c>
      <c r="E582" s="4">
        <f>[1]Raw_Data!E580</f>
        <v>18.440000000000001</v>
      </c>
      <c r="F582" s="5">
        <f>[1]Raw_Data!F580</f>
        <v>2581.6</v>
      </c>
      <c r="G582" s="4">
        <f>[1]Raw_Data!G580</f>
        <v>0.21</v>
      </c>
      <c r="H582" s="3">
        <f>[1]Raw_Data!H580</f>
        <v>0</v>
      </c>
      <c r="I582" s="3" t="str">
        <f>TRIM([1]Raw_Data!I580)</f>
        <v>UK</v>
      </c>
      <c r="J582" s="3" t="str">
        <f>TRIM([1]Raw_Data!J580)</f>
        <v>iHerb</v>
      </c>
      <c r="K582" s="3">
        <f t="shared" si="36"/>
        <v>2020</v>
      </c>
      <c r="L582" s="6">
        <f t="shared" si="37"/>
        <v>44075</v>
      </c>
      <c r="M582" s="3" t="str">
        <f t="shared" si="38"/>
        <v>21% to 25%</v>
      </c>
      <c r="N582" s="3" t="str">
        <f t="shared" si="39"/>
        <v>OK</v>
      </c>
    </row>
    <row r="583" spans="1:14" x14ac:dyDescent="0.3">
      <c r="A583" s="2">
        <f>DATE(VALUE(RIGHT(TRIM([1]Raw_Data!A581),4)),VALUE(MID(TRIM([1]Raw_Data!A581),4,2)),VALUE(LEFT(TRIM([1]Raw_Data!A581),2)))</f>
        <v>44088</v>
      </c>
      <c r="B583" s="3" t="str">
        <f>TRIM([1]Raw_Data!B581)</f>
        <v>Multivitamin</v>
      </c>
      <c r="C583" s="3" t="str">
        <f>TRIM([1]Raw_Data!C581)</f>
        <v>Vitamin</v>
      </c>
      <c r="D583" s="3">
        <f>[1]Raw_Data!D581</f>
        <v>150</v>
      </c>
      <c r="E583" s="4">
        <f>[1]Raw_Data!E581</f>
        <v>56.74</v>
      </c>
      <c r="F583" s="5">
        <f>[1]Raw_Data!F581</f>
        <v>8511</v>
      </c>
      <c r="G583" s="4">
        <f>[1]Raw_Data!G581</f>
        <v>0.23</v>
      </c>
      <c r="H583" s="3">
        <f>[1]Raw_Data!H581</f>
        <v>3</v>
      </c>
      <c r="I583" s="3" t="str">
        <f>TRIM([1]Raw_Data!I581)</f>
        <v>UK</v>
      </c>
      <c r="J583" s="3" t="str">
        <f>TRIM([1]Raw_Data!J581)</f>
        <v>Walmart</v>
      </c>
      <c r="K583" s="3">
        <f t="shared" si="36"/>
        <v>2020</v>
      </c>
      <c r="L583" s="6">
        <f t="shared" si="37"/>
        <v>44075</v>
      </c>
      <c r="M583" s="3" t="str">
        <f t="shared" si="38"/>
        <v>21% to 25%</v>
      </c>
      <c r="N583" s="3" t="str">
        <f t="shared" si="39"/>
        <v>OK</v>
      </c>
    </row>
    <row r="584" spans="1:14" x14ac:dyDescent="0.3">
      <c r="A584" s="2">
        <f>DATE(VALUE(RIGHT(TRIM([1]Raw_Data!A582),4)),VALUE(MID(TRIM([1]Raw_Data!A582),4,2)),VALUE(LEFT(TRIM([1]Raw_Data!A582),2)))</f>
        <v>44088</v>
      </c>
      <c r="B584" s="3" t="str">
        <f>TRIM([1]Raw_Data!B582)</f>
        <v>Pre-Workout</v>
      </c>
      <c r="C584" s="3" t="str">
        <f>TRIM([1]Raw_Data!C582)</f>
        <v>Performance</v>
      </c>
      <c r="D584" s="3">
        <f>[1]Raw_Data!D582</f>
        <v>167</v>
      </c>
      <c r="E584" s="4">
        <f>[1]Raw_Data!E582</f>
        <v>24.21</v>
      </c>
      <c r="F584" s="5">
        <f>[1]Raw_Data!F582</f>
        <v>4043.07</v>
      </c>
      <c r="G584" s="4">
        <f>[1]Raw_Data!G582</f>
        <v>7.0000000000000007E-2</v>
      </c>
      <c r="H584" s="3">
        <f>[1]Raw_Data!H582</f>
        <v>1</v>
      </c>
      <c r="I584" s="3" t="str">
        <f>TRIM([1]Raw_Data!I582)</f>
        <v>UK</v>
      </c>
      <c r="J584" s="3" t="str">
        <f>TRIM([1]Raw_Data!J582)</f>
        <v>Walmart</v>
      </c>
      <c r="K584" s="3">
        <f t="shared" si="36"/>
        <v>2020</v>
      </c>
      <c r="L584" s="6">
        <f t="shared" si="37"/>
        <v>44075</v>
      </c>
      <c r="M584" s="3" t="str">
        <f t="shared" si="38"/>
        <v>6% to 10%</v>
      </c>
      <c r="N584" s="3" t="str">
        <f t="shared" si="39"/>
        <v>OK</v>
      </c>
    </row>
    <row r="585" spans="1:14" x14ac:dyDescent="0.3">
      <c r="A585" s="2">
        <f>DATE(VALUE(RIGHT(TRIM([1]Raw_Data!A583),4)),VALUE(MID(TRIM([1]Raw_Data!A583),4,2)),VALUE(LEFT(TRIM([1]Raw_Data!A583),2)))</f>
        <v>44088</v>
      </c>
      <c r="B585" s="3" t="str">
        <f>TRIM([1]Raw_Data!B583)</f>
        <v>BCAA</v>
      </c>
      <c r="C585" s="3" t="str">
        <f>TRIM([1]Raw_Data!C583)</f>
        <v>Amino Acid</v>
      </c>
      <c r="D585" s="3">
        <f>[1]Raw_Data!D583</f>
        <v>146</v>
      </c>
      <c r="E585" s="4">
        <f>[1]Raw_Data!E583</f>
        <v>17.989999999999998</v>
      </c>
      <c r="F585" s="5">
        <f>[1]Raw_Data!F583</f>
        <v>2626.54</v>
      </c>
      <c r="G585" s="4">
        <f>[1]Raw_Data!G583</f>
        <v>0.17</v>
      </c>
      <c r="H585" s="3">
        <f>[1]Raw_Data!H583</f>
        <v>0</v>
      </c>
      <c r="I585" s="3" t="str">
        <f>TRIM([1]Raw_Data!I583)</f>
        <v>Canada</v>
      </c>
      <c r="J585" s="3" t="str">
        <f>TRIM([1]Raw_Data!J583)</f>
        <v>Walmart</v>
      </c>
      <c r="K585" s="3">
        <f t="shared" si="36"/>
        <v>2020</v>
      </c>
      <c r="L585" s="6">
        <f t="shared" si="37"/>
        <v>44075</v>
      </c>
      <c r="M585" s="3" t="str">
        <f t="shared" si="38"/>
        <v>16% to 20%</v>
      </c>
      <c r="N585" s="3" t="str">
        <f t="shared" si="39"/>
        <v>OK</v>
      </c>
    </row>
    <row r="586" spans="1:14" x14ac:dyDescent="0.3">
      <c r="A586" s="2">
        <f>DATE(VALUE(RIGHT(TRIM([1]Raw_Data!A584),4)),VALUE(MID(TRIM([1]Raw_Data!A584),4,2)),VALUE(LEFT(TRIM([1]Raw_Data!A584),2)))</f>
        <v>44088</v>
      </c>
      <c r="B586" s="3" t="str">
        <f>TRIM([1]Raw_Data!B584)</f>
        <v>Creatine</v>
      </c>
      <c r="C586" s="3" t="str">
        <f>TRIM([1]Raw_Data!C584)</f>
        <v>Performance</v>
      </c>
      <c r="D586" s="3">
        <f>[1]Raw_Data!D584</f>
        <v>143</v>
      </c>
      <c r="E586" s="4">
        <f>[1]Raw_Data!E584</f>
        <v>49.82</v>
      </c>
      <c r="F586" s="5">
        <f>[1]Raw_Data!F584</f>
        <v>7124.26</v>
      </c>
      <c r="G586" s="4">
        <f>[1]Raw_Data!G584</f>
        <v>0.18</v>
      </c>
      <c r="H586" s="3">
        <f>[1]Raw_Data!H584</f>
        <v>2</v>
      </c>
      <c r="I586" s="3" t="str">
        <f>TRIM([1]Raw_Data!I584)</f>
        <v>USA</v>
      </c>
      <c r="J586" s="3" t="str">
        <f>TRIM([1]Raw_Data!J584)</f>
        <v>iHerb</v>
      </c>
      <c r="K586" s="3">
        <f t="shared" si="36"/>
        <v>2020</v>
      </c>
      <c r="L586" s="6">
        <f t="shared" si="37"/>
        <v>44075</v>
      </c>
      <c r="M586" s="3" t="str">
        <f t="shared" si="38"/>
        <v>16% to 20%</v>
      </c>
      <c r="N586" s="3" t="str">
        <f t="shared" si="39"/>
        <v>OK</v>
      </c>
    </row>
    <row r="587" spans="1:14" x14ac:dyDescent="0.3">
      <c r="A587" s="2">
        <f>DATE(VALUE(RIGHT(TRIM([1]Raw_Data!A585),4)),VALUE(MID(TRIM([1]Raw_Data!A585),4,2)),VALUE(LEFT(TRIM([1]Raw_Data!A585),2)))</f>
        <v>44088</v>
      </c>
      <c r="B587" s="3" t="str">
        <f>TRIM([1]Raw_Data!B585)</f>
        <v>Zinc</v>
      </c>
      <c r="C587" s="3" t="str">
        <f>TRIM([1]Raw_Data!C585)</f>
        <v>Mineral</v>
      </c>
      <c r="D587" s="3">
        <f>[1]Raw_Data!D585</f>
        <v>136</v>
      </c>
      <c r="E587" s="4">
        <f>[1]Raw_Data!E585</f>
        <v>14.37</v>
      </c>
      <c r="F587" s="5">
        <f>[1]Raw_Data!F585</f>
        <v>1954.32</v>
      </c>
      <c r="G587" s="4">
        <f>[1]Raw_Data!G585</f>
        <v>0.09</v>
      </c>
      <c r="H587" s="3">
        <f>[1]Raw_Data!H585</f>
        <v>1</v>
      </c>
      <c r="I587" s="3" t="str">
        <f>TRIM([1]Raw_Data!I585)</f>
        <v>Canada</v>
      </c>
      <c r="J587" s="3" t="str">
        <f>TRIM([1]Raw_Data!J585)</f>
        <v>Walmart</v>
      </c>
      <c r="K587" s="3">
        <f t="shared" si="36"/>
        <v>2020</v>
      </c>
      <c r="L587" s="6">
        <f t="shared" si="37"/>
        <v>44075</v>
      </c>
      <c r="M587" s="3" t="str">
        <f t="shared" si="38"/>
        <v>6% to 10%</v>
      </c>
      <c r="N587" s="3" t="str">
        <f t="shared" si="39"/>
        <v>OK</v>
      </c>
    </row>
    <row r="588" spans="1:14" x14ac:dyDescent="0.3">
      <c r="A588" s="2">
        <f>DATE(VALUE(RIGHT(TRIM([1]Raw_Data!A586),4)),VALUE(MID(TRIM([1]Raw_Data!A586),4,2)),VALUE(LEFT(TRIM([1]Raw_Data!A586),2)))</f>
        <v>44088</v>
      </c>
      <c r="B588" s="3" t="str">
        <f>TRIM([1]Raw_Data!B586)</f>
        <v>Collagen Peptides</v>
      </c>
      <c r="C588" s="3" t="str">
        <f>TRIM([1]Raw_Data!C586)</f>
        <v>Protein</v>
      </c>
      <c r="D588" s="3">
        <f>[1]Raw_Data!D586</f>
        <v>118</v>
      </c>
      <c r="E588" s="4">
        <f>[1]Raw_Data!E586</f>
        <v>57.78</v>
      </c>
      <c r="F588" s="5">
        <f>[1]Raw_Data!F586</f>
        <v>6818.04</v>
      </c>
      <c r="G588" s="4">
        <f>[1]Raw_Data!G586</f>
        <v>0.24</v>
      </c>
      <c r="H588" s="3">
        <f>[1]Raw_Data!H586</f>
        <v>1</v>
      </c>
      <c r="I588" s="3" t="str">
        <f>TRIM([1]Raw_Data!I586)</f>
        <v>USA</v>
      </c>
      <c r="J588" s="3" t="str">
        <f>TRIM([1]Raw_Data!J586)</f>
        <v>Amazon</v>
      </c>
      <c r="K588" s="3">
        <f t="shared" si="36"/>
        <v>2020</v>
      </c>
      <c r="L588" s="6">
        <f t="shared" si="37"/>
        <v>44075</v>
      </c>
      <c r="M588" s="3" t="str">
        <f t="shared" si="38"/>
        <v>21% to 25%</v>
      </c>
      <c r="N588" s="3" t="str">
        <f t="shared" si="39"/>
        <v>OK</v>
      </c>
    </row>
    <row r="589" spans="1:14" x14ac:dyDescent="0.3">
      <c r="A589" s="2">
        <f>DATE(VALUE(RIGHT(TRIM([1]Raw_Data!A587),4)),VALUE(MID(TRIM([1]Raw_Data!A587),4,2)),VALUE(LEFT(TRIM([1]Raw_Data!A587),2)))</f>
        <v>44088</v>
      </c>
      <c r="B589" s="3" t="str">
        <f>TRIM([1]Raw_Data!B587)</f>
        <v>Magnesium</v>
      </c>
      <c r="C589" s="3" t="str">
        <f>TRIM([1]Raw_Data!C587)</f>
        <v>Mineral</v>
      </c>
      <c r="D589" s="3">
        <f>[1]Raw_Data!D587</f>
        <v>120</v>
      </c>
      <c r="E589" s="4">
        <f>[1]Raw_Data!E587</f>
        <v>29.61</v>
      </c>
      <c r="F589" s="5">
        <f>[1]Raw_Data!F587</f>
        <v>3553.2</v>
      </c>
      <c r="G589" s="4">
        <f>[1]Raw_Data!G587</f>
        <v>0.24</v>
      </c>
      <c r="H589" s="3">
        <f>[1]Raw_Data!H587</f>
        <v>0</v>
      </c>
      <c r="I589" s="3" t="str">
        <f>TRIM([1]Raw_Data!I587)</f>
        <v>UK</v>
      </c>
      <c r="J589" s="3" t="str">
        <f>TRIM([1]Raw_Data!J587)</f>
        <v>Amazon</v>
      </c>
      <c r="K589" s="3">
        <f t="shared" si="36"/>
        <v>2020</v>
      </c>
      <c r="L589" s="6">
        <f t="shared" si="37"/>
        <v>44075</v>
      </c>
      <c r="M589" s="3" t="str">
        <f t="shared" si="38"/>
        <v>21% to 25%</v>
      </c>
      <c r="N589" s="3" t="str">
        <f t="shared" si="39"/>
        <v>OK</v>
      </c>
    </row>
    <row r="590" spans="1:14" x14ac:dyDescent="0.3">
      <c r="A590" s="2">
        <f>DATE(VALUE(RIGHT(TRIM([1]Raw_Data!A588),4)),VALUE(MID(TRIM([1]Raw_Data!A588),4,2)),VALUE(LEFT(TRIM([1]Raw_Data!A588),2)))</f>
        <v>44088</v>
      </c>
      <c r="B590" s="3" t="str">
        <f>TRIM([1]Raw_Data!B588)</f>
        <v>Ashwagandha</v>
      </c>
      <c r="C590" s="3" t="str">
        <f>TRIM([1]Raw_Data!C588)</f>
        <v>Herbal</v>
      </c>
      <c r="D590" s="3">
        <f>[1]Raw_Data!D588</f>
        <v>160</v>
      </c>
      <c r="E590" s="4">
        <f>[1]Raw_Data!E588</f>
        <v>59.06</v>
      </c>
      <c r="F590" s="5">
        <f>[1]Raw_Data!F588</f>
        <v>9449.6</v>
      </c>
      <c r="G590" s="4">
        <f>[1]Raw_Data!G588</f>
        <v>0.1</v>
      </c>
      <c r="H590" s="3">
        <f>[1]Raw_Data!H588</f>
        <v>2</v>
      </c>
      <c r="I590" s="3" t="str">
        <f>TRIM([1]Raw_Data!I588)</f>
        <v>Canada</v>
      </c>
      <c r="J590" s="3" t="str">
        <f>TRIM([1]Raw_Data!J588)</f>
        <v>Amazon</v>
      </c>
      <c r="K590" s="3">
        <f t="shared" si="36"/>
        <v>2020</v>
      </c>
      <c r="L590" s="6">
        <f t="shared" si="37"/>
        <v>44075</v>
      </c>
      <c r="M590" s="3" t="str">
        <f t="shared" si="38"/>
        <v>6% to 10%</v>
      </c>
      <c r="N590" s="3" t="str">
        <f t="shared" si="39"/>
        <v>OK</v>
      </c>
    </row>
    <row r="591" spans="1:14" x14ac:dyDescent="0.3">
      <c r="A591" s="2">
        <f>DATE(VALUE(RIGHT(TRIM([1]Raw_Data!A589),4)),VALUE(MID(TRIM([1]Raw_Data!A589),4,2)),VALUE(LEFT(TRIM([1]Raw_Data!A589),2)))</f>
        <v>44088</v>
      </c>
      <c r="B591" s="3" t="str">
        <f>TRIM([1]Raw_Data!B589)</f>
        <v>Melatonin</v>
      </c>
      <c r="C591" s="3" t="str">
        <f>TRIM([1]Raw_Data!C589)</f>
        <v>Sleep Aid</v>
      </c>
      <c r="D591" s="3">
        <f>[1]Raw_Data!D589</f>
        <v>144</v>
      </c>
      <c r="E591" s="4">
        <f>[1]Raw_Data!E589</f>
        <v>19.600000000000001</v>
      </c>
      <c r="F591" s="5">
        <f>[1]Raw_Data!F589</f>
        <v>2822.4</v>
      </c>
      <c r="G591" s="4">
        <f>[1]Raw_Data!G589</f>
        <v>0.04</v>
      </c>
      <c r="H591" s="3">
        <f>[1]Raw_Data!H589</f>
        <v>3</v>
      </c>
      <c r="I591" s="3" t="str">
        <f>TRIM([1]Raw_Data!I589)</f>
        <v>USA</v>
      </c>
      <c r="J591" s="3" t="str">
        <f>TRIM([1]Raw_Data!J589)</f>
        <v>Amazon</v>
      </c>
      <c r="K591" s="3">
        <f t="shared" si="36"/>
        <v>2020</v>
      </c>
      <c r="L591" s="6">
        <f t="shared" si="37"/>
        <v>44075</v>
      </c>
      <c r="M591" s="3" t="str">
        <f t="shared" si="38"/>
        <v>0% to 5%</v>
      </c>
      <c r="N591" s="3" t="str">
        <f t="shared" si="39"/>
        <v>OK</v>
      </c>
    </row>
    <row r="592" spans="1:14" x14ac:dyDescent="0.3">
      <c r="A592" s="2">
        <f>DATE(VALUE(RIGHT(TRIM([1]Raw_Data!A590),4)),VALUE(MID(TRIM([1]Raw_Data!A590),4,2)),VALUE(LEFT(TRIM([1]Raw_Data!A590),2)))</f>
        <v>44088</v>
      </c>
      <c r="B592" s="3" t="str">
        <f>TRIM([1]Raw_Data!B590)</f>
        <v>Biotin</v>
      </c>
      <c r="C592" s="3" t="str">
        <f>TRIM([1]Raw_Data!C590)</f>
        <v>Vitamin</v>
      </c>
      <c r="D592" s="3">
        <f>[1]Raw_Data!D590</f>
        <v>171</v>
      </c>
      <c r="E592" s="4">
        <f>[1]Raw_Data!E590</f>
        <v>41.27</v>
      </c>
      <c r="F592" s="5">
        <f>[1]Raw_Data!F590</f>
        <v>7057.17</v>
      </c>
      <c r="G592" s="4">
        <f>[1]Raw_Data!G590</f>
        <v>0.2</v>
      </c>
      <c r="H592" s="3">
        <f>[1]Raw_Data!H590</f>
        <v>0</v>
      </c>
      <c r="I592" s="3" t="str">
        <f>TRIM([1]Raw_Data!I590)</f>
        <v>USA</v>
      </c>
      <c r="J592" s="3" t="str">
        <f>TRIM([1]Raw_Data!J590)</f>
        <v>Amazon</v>
      </c>
      <c r="K592" s="3">
        <f t="shared" si="36"/>
        <v>2020</v>
      </c>
      <c r="L592" s="6">
        <f t="shared" si="37"/>
        <v>44075</v>
      </c>
      <c r="M592" s="3" t="str">
        <f t="shared" si="38"/>
        <v>16% to 20%</v>
      </c>
      <c r="N592" s="3" t="str">
        <f t="shared" si="39"/>
        <v>OK</v>
      </c>
    </row>
    <row r="593" spans="1:14" x14ac:dyDescent="0.3">
      <c r="A593" s="2">
        <f>DATE(VALUE(RIGHT(TRIM([1]Raw_Data!A591),4)),VALUE(MID(TRIM([1]Raw_Data!A591),4,2)),VALUE(LEFT(TRIM([1]Raw_Data!A591),2)))</f>
        <v>44088</v>
      </c>
      <c r="B593" s="3" t="str">
        <f>TRIM([1]Raw_Data!B591)</f>
        <v>Green Tea Extract</v>
      </c>
      <c r="C593" s="3" t="str">
        <f>TRIM([1]Raw_Data!C591)</f>
        <v>Fat Burner</v>
      </c>
      <c r="D593" s="3">
        <f>[1]Raw_Data!D591</f>
        <v>144</v>
      </c>
      <c r="E593" s="4">
        <f>[1]Raw_Data!E591</f>
        <v>41.78</v>
      </c>
      <c r="F593" s="5">
        <f>[1]Raw_Data!F591</f>
        <v>6016.32</v>
      </c>
      <c r="G593" s="4">
        <f>[1]Raw_Data!G591</f>
        <v>0.09</v>
      </c>
      <c r="H593" s="3">
        <f>[1]Raw_Data!H591</f>
        <v>0</v>
      </c>
      <c r="I593" s="3" t="str">
        <f>TRIM([1]Raw_Data!I591)</f>
        <v>UK</v>
      </c>
      <c r="J593" s="3" t="str">
        <f>TRIM([1]Raw_Data!J591)</f>
        <v>iHerb</v>
      </c>
      <c r="K593" s="3">
        <f t="shared" si="36"/>
        <v>2020</v>
      </c>
      <c r="L593" s="6">
        <f t="shared" si="37"/>
        <v>44075</v>
      </c>
      <c r="M593" s="3" t="str">
        <f t="shared" si="38"/>
        <v>6% to 10%</v>
      </c>
      <c r="N593" s="3" t="str">
        <f t="shared" si="39"/>
        <v>OK</v>
      </c>
    </row>
    <row r="594" spans="1:14" x14ac:dyDescent="0.3">
      <c r="A594" s="2">
        <f>DATE(VALUE(RIGHT(TRIM([1]Raw_Data!A592),4)),VALUE(MID(TRIM([1]Raw_Data!A592),4,2)),VALUE(LEFT(TRIM([1]Raw_Data!A592),2)))</f>
        <v>44088</v>
      </c>
      <c r="B594" s="3" t="str">
        <f>TRIM([1]Raw_Data!B592)</f>
        <v>Iron Supplement</v>
      </c>
      <c r="C594" s="3" t="str">
        <f>TRIM([1]Raw_Data!C592)</f>
        <v>Mineral</v>
      </c>
      <c r="D594" s="3">
        <f>[1]Raw_Data!D592</f>
        <v>153</v>
      </c>
      <c r="E594" s="4">
        <f>[1]Raw_Data!E592</f>
        <v>29.11</v>
      </c>
      <c r="F594" s="5">
        <f>[1]Raw_Data!F592</f>
        <v>4453.83</v>
      </c>
      <c r="G594" s="4">
        <f>[1]Raw_Data!G592</f>
        <v>0.03</v>
      </c>
      <c r="H594" s="3">
        <f>[1]Raw_Data!H592</f>
        <v>0</v>
      </c>
      <c r="I594" s="3" t="str">
        <f>TRIM([1]Raw_Data!I592)</f>
        <v>UK</v>
      </c>
      <c r="J594" s="3" t="str">
        <f>TRIM([1]Raw_Data!J592)</f>
        <v>iHerb</v>
      </c>
      <c r="K594" s="3">
        <f t="shared" si="36"/>
        <v>2020</v>
      </c>
      <c r="L594" s="6">
        <f t="shared" si="37"/>
        <v>44075</v>
      </c>
      <c r="M594" s="3" t="str">
        <f t="shared" si="38"/>
        <v>0% to 5%</v>
      </c>
      <c r="N594" s="3" t="str">
        <f t="shared" si="39"/>
        <v>OK</v>
      </c>
    </row>
    <row r="595" spans="1:14" x14ac:dyDescent="0.3">
      <c r="A595" s="2">
        <f>DATE(VALUE(RIGHT(TRIM([1]Raw_Data!A593),4)),VALUE(MID(TRIM([1]Raw_Data!A593),4,2)),VALUE(LEFT(TRIM([1]Raw_Data!A593),2)))</f>
        <v>44088</v>
      </c>
      <c r="B595" s="3" t="str">
        <f>TRIM([1]Raw_Data!B593)</f>
        <v>Electrolyte Powder</v>
      </c>
      <c r="C595" s="3" t="str">
        <f>TRIM([1]Raw_Data!C593)</f>
        <v>Hydration</v>
      </c>
      <c r="D595" s="3">
        <f>[1]Raw_Data!D593</f>
        <v>140</v>
      </c>
      <c r="E595" s="4">
        <f>[1]Raw_Data!E593</f>
        <v>42.14</v>
      </c>
      <c r="F595" s="5">
        <f>[1]Raw_Data!F593</f>
        <v>5899.6</v>
      </c>
      <c r="G595" s="4">
        <f>[1]Raw_Data!G593</f>
        <v>0.15</v>
      </c>
      <c r="H595" s="3">
        <f>[1]Raw_Data!H593</f>
        <v>2</v>
      </c>
      <c r="I595" s="3" t="str">
        <f>TRIM([1]Raw_Data!I593)</f>
        <v>UK</v>
      </c>
      <c r="J595" s="3" t="str">
        <f>TRIM([1]Raw_Data!J593)</f>
        <v>Walmart</v>
      </c>
      <c r="K595" s="3">
        <f t="shared" si="36"/>
        <v>2020</v>
      </c>
      <c r="L595" s="6">
        <f t="shared" si="37"/>
        <v>44075</v>
      </c>
      <c r="M595" s="3" t="str">
        <f t="shared" si="38"/>
        <v>11% to 15%</v>
      </c>
      <c r="N595" s="3" t="str">
        <f t="shared" si="39"/>
        <v>OK</v>
      </c>
    </row>
    <row r="596" spans="1:14" x14ac:dyDescent="0.3">
      <c r="A596" s="2">
        <f>DATE(VALUE(RIGHT(TRIM([1]Raw_Data!A594),4)),VALUE(MID(TRIM([1]Raw_Data!A594),4,2)),VALUE(LEFT(TRIM([1]Raw_Data!A594),2)))</f>
        <v>44095</v>
      </c>
      <c r="B596" s="3" t="str">
        <f>TRIM([1]Raw_Data!B594)</f>
        <v>Whey Protein</v>
      </c>
      <c r="C596" s="3" t="str">
        <f>TRIM([1]Raw_Data!C594)</f>
        <v>Protein</v>
      </c>
      <c r="D596" s="3">
        <f>[1]Raw_Data!D594</f>
        <v>145</v>
      </c>
      <c r="E596" s="4">
        <f>[1]Raw_Data!E594</f>
        <v>20.2</v>
      </c>
      <c r="F596" s="5">
        <f>[1]Raw_Data!F594</f>
        <v>2929</v>
      </c>
      <c r="G596" s="4">
        <f>[1]Raw_Data!G594</f>
        <v>0.12</v>
      </c>
      <c r="H596" s="3">
        <f>[1]Raw_Data!H594</f>
        <v>2</v>
      </c>
      <c r="I596" s="3" t="str">
        <f>TRIM([1]Raw_Data!I594)</f>
        <v>Canada</v>
      </c>
      <c r="J596" s="3" t="str">
        <f>TRIM([1]Raw_Data!J594)</f>
        <v>iHerb</v>
      </c>
      <c r="K596" s="3">
        <f t="shared" si="36"/>
        <v>2020</v>
      </c>
      <c r="L596" s="6">
        <f t="shared" si="37"/>
        <v>44075</v>
      </c>
      <c r="M596" s="3" t="str">
        <f t="shared" si="38"/>
        <v>11% to 15%</v>
      </c>
      <c r="N596" s="3" t="str">
        <f t="shared" si="39"/>
        <v>OK</v>
      </c>
    </row>
    <row r="597" spans="1:14" x14ac:dyDescent="0.3">
      <c r="A597" s="2">
        <f>DATE(VALUE(RIGHT(TRIM([1]Raw_Data!A595),4)),VALUE(MID(TRIM([1]Raw_Data!A595),4,2)),VALUE(LEFT(TRIM([1]Raw_Data!A595),2)))</f>
        <v>44095</v>
      </c>
      <c r="B597" s="3" t="str">
        <f>TRIM([1]Raw_Data!B595)</f>
        <v>Vitamin C</v>
      </c>
      <c r="C597" s="3" t="str">
        <f>TRIM([1]Raw_Data!C595)</f>
        <v>Vitamin</v>
      </c>
      <c r="D597" s="3">
        <f>[1]Raw_Data!D595</f>
        <v>137</v>
      </c>
      <c r="E597" s="4">
        <f>[1]Raw_Data!E595</f>
        <v>54.18</v>
      </c>
      <c r="F597" s="5">
        <f>[1]Raw_Data!F595</f>
        <v>7422.66</v>
      </c>
      <c r="G597" s="4">
        <f>[1]Raw_Data!G595</f>
        <v>0.09</v>
      </c>
      <c r="H597" s="3">
        <f>[1]Raw_Data!H595</f>
        <v>2</v>
      </c>
      <c r="I597" s="3" t="str">
        <f>TRIM([1]Raw_Data!I595)</f>
        <v>Canada</v>
      </c>
      <c r="J597" s="3" t="str">
        <f>TRIM([1]Raw_Data!J595)</f>
        <v>Amazon</v>
      </c>
      <c r="K597" s="3">
        <f t="shared" si="36"/>
        <v>2020</v>
      </c>
      <c r="L597" s="6">
        <f t="shared" si="37"/>
        <v>44075</v>
      </c>
      <c r="M597" s="3" t="str">
        <f t="shared" si="38"/>
        <v>6% to 10%</v>
      </c>
      <c r="N597" s="3" t="str">
        <f t="shared" si="39"/>
        <v>OK</v>
      </c>
    </row>
    <row r="598" spans="1:14" x14ac:dyDescent="0.3">
      <c r="A598" s="2">
        <f>DATE(VALUE(RIGHT(TRIM([1]Raw_Data!A596),4)),VALUE(MID(TRIM([1]Raw_Data!A596),4,2)),VALUE(LEFT(TRIM([1]Raw_Data!A596),2)))</f>
        <v>44095</v>
      </c>
      <c r="B598" s="3" t="str">
        <f>TRIM([1]Raw_Data!B596)</f>
        <v>Fish Oil</v>
      </c>
      <c r="C598" s="3" t="str">
        <f>TRIM([1]Raw_Data!C596)</f>
        <v>Omega</v>
      </c>
      <c r="D598" s="3">
        <f>[1]Raw_Data!D596</f>
        <v>143</v>
      </c>
      <c r="E598" s="4">
        <f>[1]Raw_Data!E596</f>
        <v>40.49</v>
      </c>
      <c r="F598" s="5">
        <f>[1]Raw_Data!F596</f>
        <v>5790.07</v>
      </c>
      <c r="G598" s="4">
        <f>[1]Raw_Data!G596</f>
        <v>0.06</v>
      </c>
      <c r="H598" s="3">
        <f>[1]Raw_Data!H596</f>
        <v>1</v>
      </c>
      <c r="I598" s="3" t="str">
        <f>TRIM([1]Raw_Data!I596)</f>
        <v>USA</v>
      </c>
      <c r="J598" s="3" t="str">
        <f>TRIM([1]Raw_Data!J596)</f>
        <v>Walmart</v>
      </c>
      <c r="K598" s="3">
        <f t="shared" si="36"/>
        <v>2020</v>
      </c>
      <c r="L598" s="6">
        <f t="shared" si="37"/>
        <v>44075</v>
      </c>
      <c r="M598" s="3" t="str">
        <f t="shared" si="38"/>
        <v>6% to 10%</v>
      </c>
      <c r="N598" s="3" t="str">
        <f t="shared" si="39"/>
        <v>OK</v>
      </c>
    </row>
    <row r="599" spans="1:14" x14ac:dyDescent="0.3">
      <c r="A599" s="2">
        <f>DATE(VALUE(RIGHT(TRIM([1]Raw_Data!A597),4)),VALUE(MID(TRIM([1]Raw_Data!A597),4,2)),VALUE(LEFT(TRIM([1]Raw_Data!A597),2)))</f>
        <v>44095</v>
      </c>
      <c r="B599" s="3" t="str">
        <f>TRIM([1]Raw_Data!B597)</f>
        <v>Multivitamin</v>
      </c>
      <c r="C599" s="3" t="str">
        <f>TRIM([1]Raw_Data!C597)</f>
        <v>Vitamin</v>
      </c>
      <c r="D599" s="3">
        <f>[1]Raw_Data!D597</f>
        <v>129</v>
      </c>
      <c r="E599" s="4">
        <f>[1]Raw_Data!E597</f>
        <v>24.9</v>
      </c>
      <c r="F599" s="5">
        <f>[1]Raw_Data!F597</f>
        <v>3212.1</v>
      </c>
      <c r="G599" s="4">
        <f>[1]Raw_Data!G597</f>
        <v>0.02</v>
      </c>
      <c r="H599" s="3">
        <f>[1]Raw_Data!H597</f>
        <v>3</v>
      </c>
      <c r="I599" s="3" t="str">
        <f>TRIM([1]Raw_Data!I597)</f>
        <v>Canada</v>
      </c>
      <c r="J599" s="3" t="str">
        <f>TRIM([1]Raw_Data!J597)</f>
        <v>Amazon</v>
      </c>
      <c r="K599" s="3">
        <f t="shared" si="36"/>
        <v>2020</v>
      </c>
      <c r="L599" s="6">
        <f t="shared" si="37"/>
        <v>44075</v>
      </c>
      <c r="M599" s="3" t="str">
        <f t="shared" si="38"/>
        <v>0% to 5%</v>
      </c>
      <c r="N599" s="3" t="str">
        <f t="shared" si="39"/>
        <v>OK</v>
      </c>
    </row>
    <row r="600" spans="1:14" x14ac:dyDescent="0.3">
      <c r="A600" s="2">
        <f>DATE(VALUE(RIGHT(TRIM([1]Raw_Data!A598),4)),VALUE(MID(TRIM([1]Raw_Data!A598),4,2)),VALUE(LEFT(TRIM([1]Raw_Data!A598),2)))</f>
        <v>44095</v>
      </c>
      <c r="B600" s="3" t="str">
        <f>TRIM([1]Raw_Data!B598)</f>
        <v>Pre-Workout</v>
      </c>
      <c r="C600" s="3" t="str">
        <f>TRIM([1]Raw_Data!C598)</f>
        <v>Performance</v>
      </c>
      <c r="D600" s="3">
        <f>[1]Raw_Data!D598</f>
        <v>133</v>
      </c>
      <c r="E600" s="4">
        <f>[1]Raw_Data!E598</f>
        <v>56.3</v>
      </c>
      <c r="F600" s="5">
        <f>[1]Raw_Data!F598</f>
        <v>7487.9</v>
      </c>
      <c r="G600" s="4">
        <f>[1]Raw_Data!G598</f>
        <v>0.04</v>
      </c>
      <c r="H600" s="3">
        <f>[1]Raw_Data!H598</f>
        <v>4</v>
      </c>
      <c r="I600" s="3" t="str">
        <f>TRIM([1]Raw_Data!I598)</f>
        <v>UK</v>
      </c>
      <c r="J600" s="3" t="str">
        <f>TRIM([1]Raw_Data!J598)</f>
        <v>Walmart</v>
      </c>
      <c r="K600" s="3">
        <f t="shared" si="36"/>
        <v>2020</v>
      </c>
      <c r="L600" s="6">
        <f t="shared" si="37"/>
        <v>44075</v>
      </c>
      <c r="M600" s="3" t="str">
        <f t="shared" si="38"/>
        <v>0% to 5%</v>
      </c>
      <c r="N600" s="3" t="str">
        <f t="shared" si="39"/>
        <v>OK</v>
      </c>
    </row>
    <row r="601" spans="1:14" x14ac:dyDescent="0.3">
      <c r="A601" s="2">
        <f>DATE(VALUE(RIGHT(TRIM([1]Raw_Data!A599),4)),VALUE(MID(TRIM([1]Raw_Data!A599),4,2)),VALUE(LEFT(TRIM([1]Raw_Data!A599),2)))</f>
        <v>44095</v>
      </c>
      <c r="B601" s="3" t="str">
        <f>TRIM([1]Raw_Data!B599)</f>
        <v>BCAA</v>
      </c>
      <c r="C601" s="3" t="str">
        <f>TRIM([1]Raw_Data!C599)</f>
        <v>Amino Acid</v>
      </c>
      <c r="D601" s="3">
        <f>[1]Raw_Data!D599</f>
        <v>138</v>
      </c>
      <c r="E601" s="4">
        <f>[1]Raw_Data!E599</f>
        <v>37.33</v>
      </c>
      <c r="F601" s="5">
        <f>[1]Raw_Data!F599</f>
        <v>5151.54</v>
      </c>
      <c r="G601" s="4">
        <f>[1]Raw_Data!G599</f>
        <v>0.22</v>
      </c>
      <c r="H601" s="3">
        <f>[1]Raw_Data!H599</f>
        <v>1</v>
      </c>
      <c r="I601" s="3" t="str">
        <f>TRIM([1]Raw_Data!I599)</f>
        <v>USA</v>
      </c>
      <c r="J601" s="3" t="str">
        <f>TRIM([1]Raw_Data!J599)</f>
        <v>Amazon</v>
      </c>
      <c r="K601" s="3">
        <f t="shared" si="36"/>
        <v>2020</v>
      </c>
      <c r="L601" s="6">
        <f t="shared" si="37"/>
        <v>44075</v>
      </c>
      <c r="M601" s="3" t="str">
        <f t="shared" si="38"/>
        <v>21% to 25%</v>
      </c>
      <c r="N601" s="3" t="str">
        <f t="shared" si="39"/>
        <v>OK</v>
      </c>
    </row>
    <row r="602" spans="1:14" x14ac:dyDescent="0.3">
      <c r="A602" s="2">
        <f>DATE(VALUE(RIGHT(TRIM([1]Raw_Data!A600),4)),VALUE(MID(TRIM([1]Raw_Data!A600),4,2)),VALUE(LEFT(TRIM([1]Raw_Data!A600),2)))</f>
        <v>44095</v>
      </c>
      <c r="B602" s="3" t="str">
        <f>TRIM([1]Raw_Data!B600)</f>
        <v>Creatine</v>
      </c>
      <c r="C602" s="3" t="str">
        <f>TRIM([1]Raw_Data!C600)</f>
        <v>Performance</v>
      </c>
      <c r="D602" s="3">
        <f>[1]Raw_Data!D600</f>
        <v>151</v>
      </c>
      <c r="E602" s="4">
        <f>[1]Raw_Data!E600</f>
        <v>18.309999999999999</v>
      </c>
      <c r="F602" s="5">
        <f>[1]Raw_Data!F600</f>
        <v>2764.81</v>
      </c>
      <c r="G602" s="4">
        <f>[1]Raw_Data!G600</f>
        <v>0.23</v>
      </c>
      <c r="H602" s="3">
        <f>[1]Raw_Data!H600</f>
        <v>1</v>
      </c>
      <c r="I602" s="3" t="str">
        <f>TRIM([1]Raw_Data!I600)</f>
        <v>UK</v>
      </c>
      <c r="J602" s="3" t="str">
        <f>TRIM([1]Raw_Data!J600)</f>
        <v>Walmart</v>
      </c>
      <c r="K602" s="3">
        <f t="shared" si="36"/>
        <v>2020</v>
      </c>
      <c r="L602" s="6">
        <f t="shared" si="37"/>
        <v>44075</v>
      </c>
      <c r="M602" s="3" t="str">
        <f t="shared" si="38"/>
        <v>21% to 25%</v>
      </c>
      <c r="N602" s="3" t="str">
        <f t="shared" si="39"/>
        <v>OK</v>
      </c>
    </row>
    <row r="603" spans="1:14" x14ac:dyDescent="0.3">
      <c r="A603" s="2">
        <f>DATE(VALUE(RIGHT(TRIM([1]Raw_Data!A601),4)),VALUE(MID(TRIM([1]Raw_Data!A601),4,2)),VALUE(LEFT(TRIM([1]Raw_Data!A601),2)))</f>
        <v>44095</v>
      </c>
      <c r="B603" s="3" t="str">
        <f>TRIM([1]Raw_Data!B601)</f>
        <v>Zinc</v>
      </c>
      <c r="C603" s="3" t="str">
        <f>TRIM([1]Raw_Data!C601)</f>
        <v>Mineral</v>
      </c>
      <c r="D603" s="3">
        <f>[1]Raw_Data!D601</f>
        <v>145</v>
      </c>
      <c r="E603" s="4">
        <f>[1]Raw_Data!E601</f>
        <v>26.94</v>
      </c>
      <c r="F603" s="5">
        <f>[1]Raw_Data!F601</f>
        <v>3906.3</v>
      </c>
      <c r="G603" s="4">
        <f>[1]Raw_Data!G601</f>
        <v>0.24</v>
      </c>
      <c r="H603" s="3">
        <f>[1]Raw_Data!H601</f>
        <v>2</v>
      </c>
      <c r="I603" s="3" t="str">
        <f>TRIM([1]Raw_Data!I601)</f>
        <v>USA</v>
      </c>
      <c r="J603" s="3" t="str">
        <f>TRIM([1]Raw_Data!J601)</f>
        <v>iHerb</v>
      </c>
      <c r="K603" s="3">
        <f t="shared" si="36"/>
        <v>2020</v>
      </c>
      <c r="L603" s="6">
        <f t="shared" si="37"/>
        <v>44075</v>
      </c>
      <c r="M603" s="3" t="str">
        <f t="shared" si="38"/>
        <v>21% to 25%</v>
      </c>
      <c r="N603" s="3" t="str">
        <f t="shared" si="39"/>
        <v>OK</v>
      </c>
    </row>
    <row r="604" spans="1:14" x14ac:dyDescent="0.3">
      <c r="A604" s="2">
        <f>DATE(VALUE(RIGHT(TRIM([1]Raw_Data!A602),4)),VALUE(MID(TRIM([1]Raw_Data!A602),4,2)),VALUE(LEFT(TRIM([1]Raw_Data!A602),2)))</f>
        <v>44095</v>
      </c>
      <c r="B604" s="3" t="str">
        <f>TRIM([1]Raw_Data!B602)</f>
        <v>Collagen Peptides</v>
      </c>
      <c r="C604" s="3" t="str">
        <f>TRIM([1]Raw_Data!C602)</f>
        <v>Protein</v>
      </c>
      <c r="D604" s="3">
        <f>[1]Raw_Data!D602</f>
        <v>153</v>
      </c>
      <c r="E604" s="4">
        <f>[1]Raw_Data!E602</f>
        <v>12.48</v>
      </c>
      <c r="F604" s="5">
        <f>[1]Raw_Data!F602</f>
        <v>1909.44</v>
      </c>
      <c r="G604" s="4">
        <f>[1]Raw_Data!G602</f>
        <v>0.06</v>
      </c>
      <c r="H604" s="3">
        <f>[1]Raw_Data!H602</f>
        <v>1</v>
      </c>
      <c r="I604" s="3" t="str">
        <f>TRIM([1]Raw_Data!I602)</f>
        <v>USA</v>
      </c>
      <c r="J604" s="3" t="str">
        <f>TRIM([1]Raw_Data!J602)</f>
        <v>iHerb</v>
      </c>
      <c r="K604" s="3">
        <f t="shared" si="36"/>
        <v>2020</v>
      </c>
      <c r="L604" s="6">
        <f t="shared" si="37"/>
        <v>44075</v>
      </c>
      <c r="M604" s="3" t="str">
        <f t="shared" si="38"/>
        <v>6% to 10%</v>
      </c>
      <c r="N604" s="3" t="str">
        <f t="shared" si="39"/>
        <v>OK</v>
      </c>
    </row>
    <row r="605" spans="1:14" x14ac:dyDescent="0.3">
      <c r="A605" s="2">
        <f>DATE(VALUE(RIGHT(TRIM([1]Raw_Data!A603),4)),VALUE(MID(TRIM([1]Raw_Data!A603),4,2)),VALUE(LEFT(TRIM([1]Raw_Data!A603),2)))</f>
        <v>44095</v>
      </c>
      <c r="B605" s="3" t="str">
        <f>TRIM([1]Raw_Data!B603)</f>
        <v>Magnesium</v>
      </c>
      <c r="C605" s="3" t="str">
        <f>TRIM([1]Raw_Data!C603)</f>
        <v>Mineral</v>
      </c>
      <c r="D605" s="3">
        <f>[1]Raw_Data!D603</f>
        <v>139</v>
      </c>
      <c r="E605" s="4">
        <f>[1]Raw_Data!E603</f>
        <v>55.96</v>
      </c>
      <c r="F605" s="5">
        <f>[1]Raw_Data!F603</f>
        <v>7778.44</v>
      </c>
      <c r="G605" s="4">
        <f>[1]Raw_Data!G603</f>
        <v>0.11</v>
      </c>
      <c r="H605" s="3">
        <f>[1]Raw_Data!H603</f>
        <v>1</v>
      </c>
      <c r="I605" s="3" t="str">
        <f>TRIM([1]Raw_Data!I603)</f>
        <v>Canada</v>
      </c>
      <c r="J605" s="3" t="str">
        <f>TRIM([1]Raw_Data!J603)</f>
        <v>iHerb</v>
      </c>
      <c r="K605" s="3">
        <f t="shared" si="36"/>
        <v>2020</v>
      </c>
      <c r="L605" s="6">
        <f t="shared" si="37"/>
        <v>44075</v>
      </c>
      <c r="M605" s="3" t="str">
        <f t="shared" si="38"/>
        <v>11% to 15%</v>
      </c>
      <c r="N605" s="3" t="str">
        <f t="shared" si="39"/>
        <v>OK</v>
      </c>
    </row>
    <row r="606" spans="1:14" x14ac:dyDescent="0.3">
      <c r="A606" s="2">
        <f>DATE(VALUE(RIGHT(TRIM([1]Raw_Data!A604),4)),VALUE(MID(TRIM([1]Raw_Data!A604),4,2)),VALUE(LEFT(TRIM([1]Raw_Data!A604),2)))</f>
        <v>44095</v>
      </c>
      <c r="B606" s="3" t="str">
        <f>TRIM([1]Raw_Data!B604)</f>
        <v>Ashwagandha</v>
      </c>
      <c r="C606" s="3" t="str">
        <f>TRIM([1]Raw_Data!C604)</f>
        <v>Herbal</v>
      </c>
      <c r="D606" s="3">
        <f>[1]Raw_Data!D604</f>
        <v>182</v>
      </c>
      <c r="E606" s="4">
        <f>[1]Raw_Data!E604</f>
        <v>34.450000000000003</v>
      </c>
      <c r="F606" s="5">
        <f>[1]Raw_Data!F604</f>
        <v>6269.9</v>
      </c>
      <c r="G606" s="4">
        <f>[1]Raw_Data!G604</f>
        <v>0.09</v>
      </c>
      <c r="H606" s="3">
        <f>[1]Raw_Data!H604</f>
        <v>4</v>
      </c>
      <c r="I606" s="3" t="str">
        <f>TRIM([1]Raw_Data!I604)</f>
        <v>USA</v>
      </c>
      <c r="J606" s="3" t="str">
        <f>TRIM([1]Raw_Data!J604)</f>
        <v>Walmart</v>
      </c>
      <c r="K606" s="3">
        <f t="shared" si="36"/>
        <v>2020</v>
      </c>
      <c r="L606" s="6">
        <f t="shared" si="37"/>
        <v>44075</v>
      </c>
      <c r="M606" s="3" t="str">
        <f t="shared" si="38"/>
        <v>6% to 10%</v>
      </c>
      <c r="N606" s="3" t="str">
        <f t="shared" si="39"/>
        <v>OK</v>
      </c>
    </row>
    <row r="607" spans="1:14" x14ac:dyDescent="0.3">
      <c r="A607" s="2">
        <f>DATE(VALUE(RIGHT(TRIM([1]Raw_Data!A605),4)),VALUE(MID(TRIM([1]Raw_Data!A605),4,2)),VALUE(LEFT(TRIM([1]Raw_Data!A605),2)))</f>
        <v>44095</v>
      </c>
      <c r="B607" s="3" t="str">
        <f>TRIM([1]Raw_Data!B605)</f>
        <v>Melatonin</v>
      </c>
      <c r="C607" s="3" t="str">
        <f>TRIM([1]Raw_Data!C605)</f>
        <v>Sleep Aid</v>
      </c>
      <c r="D607" s="3">
        <f>[1]Raw_Data!D605</f>
        <v>152</v>
      </c>
      <c r="E607" s="4">
        <f>[1]Raw_Data!E605</f>
        <v>50.59</v>
      </c>
      <c r="F607" s="5">
        <f>[1]Raw_Data!F605</f>
        <v>7689.68</v>
      </c>
      <c r="G607" s="4">
        <f>[1]Raw_Data!G605</f>
        <v>0.09</v>
      </c>
      <c r="H607" s="3">
        <f>[1]Raw_Data!H605</f>
        <v>1</v>
      </c>
      <c r="I607" s="3" t="str">
        <f>TRIM([1]Raw_Data!I605)</f>
        <v>UK</v>
      </c>
      <c r="J607" s="3" t="str">
        <f>TRIM([1]Raw_Data!J605)</f>
        <v>Walmart</v>
      </c>
      <c r="K607" s="3">
        <f t="shared" si="36"/>
        <v>2020</v>
      </c>
      <c r="L607" s="6">
        <f t="shared" si="37"/>
        <v>44075</v>
      </c>
      <c r="M607" s="3" t="str">
        <f t="shared" si="38"/>
        <v>6% to 10%</v>
      </c>
      <c r="N607" s="3" t="str">
        <f t="shared" si="39"/>
        <v>OK</v>
      </c>
    </row>
    <row r="608" spans="1:14" x14ac:dyDescent="0.3">
      <c r="A608" s="2">
        <f>DATE(VALUE(RIGHT(TRIM([1]Raw_Data!A606),4)),VALUE(MID(TRIM([1]Raw_Data!A606),4,2)),VALUE(LEFT(TRIM([1]Raw_Data!A606),2)))</f>
        <v>44095</v>
      </c>
      <c r="B608" s="3" t="str">
        <f>TRIM([1]Raw_Data!B606)</f>
        <v>Biotin</v>
      </c>
      <c r="C608" s="3" t="str">
        <f>TRIM([1]Raw_Data!C606)</f>
        <v>Vitamin</v>
      </c>
      <c r="D608" s="3">
        <f>[1]Raw_Data!D606</f>
        <v>164</v>
      </c>
      <c r="E608" s="4">
        <f>[1]Raw_Data!E606</f>
        <v>49.7</v>
      </c>
      <c r="F608" s="5">
        <f>[1]Raw_Data!F606</f>
        <v>8150.8</v>
      </c>
      <c r="G608" s="4">
        <f>[1]Raw_Data!G606</f>
        <v>0.24</v>
      </c>
      <c r="H608" s="3">
        <f>[1]Raw_Data!H606</f>
        <v>2</v>
      </c>
      <c r="I608" s="3" t="str">
        <f>TRIM([1]Raw_Data!I606)</f>
        <v>USA</v>
      </c>
      <c r="J608" s="3" t="str">
        <f>TRIM([1]Raw_Data!J606)</f>
        <v>Amazon</v>
      </c>
      <c r="K608" s="3">
        <f t="shared" si="36"/>
        <v>2020</v>
      </c>
      <c r="L608" s="6">
        <f t="shared" si="37"/>
        <v>44075</v>
      </c>
      <c r="M608" s="3" t="str">
        <f t="shared" si="38"/>
        <v>21% to 25%</v>
      </c>
      <c r="N608" s="3" t="str">
        <f t="shared" si="39"/>
        <v>OK</v>
      </c>
    </row>
    <row r="609" spans="1:14" x14ac:dyDescent="0.3">
      <c r="A609" s="2">
        <f>DATE(VALUE(RIGHT(TRIM([1]Raw_Data!A607),4)),VALUE(MID(TRIM([1]Raw_Data!A607),4,2)),VALUE(LEFT(TRIM([1]Raw_Data!A607),2)))</f>
        <v>44095</v>
      </c>
      <c r="B609" s="3" t="str">
        <f>TRIM([1]Raw_Data!B607)</f>
        <v>Green Tea Extract</v>
      </c>
      <c r="C609" s="3" t="str">
        <f>TRIM([1]Raw_Data!C607)</f>
        <v>Fat Burner</v>
      </c>
      <c r="D609" s="3">
        <f>[1]Raw_Data!D607</f>
        <v>159</v>
      </c>
      <c r="E609" s="4">
        <f>[1]Raw_Data!E607</f>
        <v>52.25</v>
      </c>
      <c r="F609" s="5">
        <f>[1]Raw_Data!F607</f>
        <v>8307.75</v>
      </c>
      <c r="G609" s="4">
        <f>[1]Raw_Data!G607</f>
        <v>0.1</v>
      </c>
      <c r="H609" s="3">
        <f>[1]Raw_Data!H607</f>
        <v>0</v>
      </c>
      <c r="I609" s="3" t="str">
        <f>TRIM([1]Raw_Data!I607)</f>
        <v>UK</v>
      </c>
      <c r="J609" s="3" t="str">
        <f>TRIM([1]Raw_Data!J607)</f>
        <v>Walmart</v>
      </c>
      <c r="K609" s="3">
        <f t="shared" si="36"/>
        <v>2020</v>
      </c>
      <c r="L609" s="6">
        <f t="shared" si="37"/>
        <v>44075</v>
      </c>
      <c r="M609" s="3" t="str">
        <f t="shared" si="38"/>
        <v>6% to 10%</v>
      </c>
      <c r="N609" s="3" t="str">
        <f t="shared" si="39"/>
        <v>OK</v>
      </c>
    </row>
    <row r="610" spans="1:14" x14ac:dyDescent="0.3">
      <c r="A610" s="2">
        <f>DATE(VALUE(RIGHT(TRIM([1]Raw_Data!A608),4)),VALUE(MID(TRIM([1]Raw_Data!A608),4,2)),VALUE(LEFT(TRIM([1]Raw_Data!A608),2)))</f>
        <v>44095</v>
      </c>
      <c r="B610" s="3" t="str">
        <f>TRIM([1]Raw_Data!B608)</f>
        <v>Iron Supplement</v>
      </c>
      <c r="C610" s="3" t="str">
        <f>TRIM([1]Raw_Data!C608)</f>
        <v>Mineral</v>
      </c>
      <c r="D610" s="3">
        <f>[1]Raw_Data!D608</f>
        <v>146</v>
      </c>
      <c r="E610" s="4">
        <f>[1]Raw_Data!E608</f>
        <v>32.520000000000003</v>
      </c>
      <c r="F610" s="5">
        <f>[1]Raw_Data!F608</f>
        <v>4747.92</v>
      </c>
      <c r="G610" s="4">
        <f>[1]Raw_Data!G608</f>
        <v>0.19</v>
      </c>
      <c r="H610" s="3">
        <f>[1]Raw_Data!H608</f>
        <v>1</v>
      </c>
      <c r="I610" s="3" t="str">
        <f>TRIM([1]Raw_Data!I608)</f>
        <v>UK</v>
      </c>
      <c r="J610" s="3" t="str">
        <f>TRIM([1]Raw_Data!J608)</f>
        <v>Amazon</v>
      </c>
      <c r="K610" s="3">
        <f t="shared" si="36"/>
        <v>2020</v>
      </c>
      <c r="L610" s="6">
        <f t="shared" si="37"/>
        <v>44075</v>
      </c>
      <c r="M610" s="3" t="str">
        <f t="shared" si="38"/>
        <v>16% to 20%</v>
      </c>
      <c r="N610" s="3" t="str">
        <f t="shared" si="39"/>
        <v>OK</v>
      </c>
    </row>
    <row r="611" spans="1:14" x14ac:dyDescent="0.3">
      <c r="A611" s="2">
        <f>DATE(VALUE(RIGHT(TRIM([1]Raw_Data!A609),4)),VALUE(MID(TRIM([1]Raw_Data!A609),4,2)),VALUE(LEFT(TRIM([1]Raw_Data!A609),2)))</f>
        <v>44095</v>
      </c>
      <c r="B611" s="3" t="str">
        <f>TRIM([1]Raw_Data!B609)</f>
        <v>Electrolyte Powder</v>
      </c>
      <c r="C611" s="3" t="str">
        <f>TRIM([1]Raw_Data!C609)</f>
        <v>Hydration</v>
      </c>
      <c r="D611" s="3">
        <f>[1]Raw_Data!D609</f>
        <v>155</v>
      </c>
      <c r="E611" s="4">
        <f>[1]Raw_Data!E609</f>
        <v>47.47</v>
      </c>
      <c r="F611" s="5">
        <f>[1]Raw_Data!F609</f>
        <v>7357.85</v>
      </c>
      <c r="G611" s="4">
        <f>[1]Raw_Data!G609</f>
        <v>0.14000000000000001</v>
      </c>
      <c r="H611" s="3">
        <f>[1]Raw_Data!H609</f>
        <v>0</v>
      </c>
      <c r="I611" s="3" t="str">
        <f>TRIM([1]Raw_Data!I609)</f>
        <v>UK</v>
      </c>
      <c r="J611" s="3" t="str">
        <f>TRIM([1]Raw_Data!J609)</f>
        <v>iHerb</v>
      </c>
      <c r="K611" s="3">
        <f t="shared" si="36"/>
        <v>2020</v>
      </c>
      <c r="L611" s="6">
        <f t="shared" si="37"/>
        <v>44075</v>
      </c>
      <c r="M611" s="3" t="str">
        <f t="shared" si="38"/>
        <v>11% to 15%</v>
      </c>
      <c r="N611" s="3" t="str">
        <f t="shared" si="39"/>
        <v>OK</v>
      </c>
    </row>
    <row r="612" spans="1:14" x14ac:dyDescent="0.3">
      <c r="A612" s="2">
        <f>DATE(VALUE(RIGHT(TRIM([1]Raw_Data!A610),4)),VALUE(MID(TRIM([1]Raw_Data!A610),4,2)),VALUE(LEFT(TRIM([1]Raw_Data!A610),2)))</f>
        <v>44102</v>
      </c>
      <c r="B612" s="3" t="str">
        <f>TRIM([1]Raw_Data!B610)</f>
        <v>Whey Protein</v>
      </c>
      <c r="C612" s="3" t="str">
        <f>TRIM([1]Raw_Data!C610)</f>
        <v>Protein</v>
      </c>
      <c r="D612" s="3">
        <f>[1]Raw_Data!D610</f>
        <v>142</v>
      </c>
      <c r="E612" s="4">
        <f>[1]Raw_Data!E610</f>
        <v>34.130000000000003</v>
      </c>
      <c r="F612" s="5">
        <f>[1]Raw_Data!F610</f>
        <v>4846.46</v>
      </c>
      <c r="G612" s="4">
        <f>[1]Raw_Data!G610</f>
        <v>0.05</v>
      </c>
      <c r="H612" s="3">
        <f>[1]Raw_Data!H610</f>
        <v>4</v>
      </c>
      <c r="I612" s="3" t="str">
        <f>TRIM([1]Raw_Data!I610)</f>
        <v>UK</v>
      </c>
      <c r="J612" s="3" t="str">
        <f>TRIM([1]Raw_Data!J610)</f>
        <v>iHerb</v>
      </c>
      <c r="K612" s="3">
        <f t="shared" si="36"/>
        <v>2020</v>
      </c>
      <c r="L612" s="6">
        <f t="shared" si="37"/>
        <v>44075</v>
      </c>
      <c r="M612" s="3" t="str">
        <f t="shared" si="38"/>
        <v>0% to 5%</v>
      </c>
      <c r="N612" s="3" t="str">
        <f t="shared" si="39"/>
        <v>OK</v>
      </c>
    </row>
    <row r="613" spans="1:14" x14ac:dyDescent="0.3">
      <c r="A613" s="2">
        <f>DATE(VALUE(RIGHT(TRIM([1]Raw_Data!A611),4)),VALUE(MID(TRIM([1]Raw_Data!A611),4,2)),VALUE(LEFT(TRIM([1]Raw_Data!A611),2)))</f>
        <v>44102</v>
      </c>
      <c r="B613" s="3" t="str">
        <f>TRIM([1]Raw_Data!B611)</f>
        <v>Vitamin C</v>
      </c>
      <c r="C613" s="3" t="str">
        <f>TRIM([1]Raw_Data!C611)</f>
        <v>Vitamin</v>
      </c>
      <c r="D613" s="3">
        <f>[1]Raw_Data!D611</f>
        <v>147</v>
      </c>
      <c r="E613" s="4">
        <f>[1]Raw_Data!E611</f>
        <v>54.9</v>
      </c>
      <c r="F613" s="5">
        <f>[1]Raw_Data!F611</f>
        <v>8070.3</v>
      </c>
      <c r="G613" s="4">
        <f>[1]Raw_Data!G611</f>
        <v>0.13</v>
      </c>
      <c r="H613" s="3">
        <f>[1]Raw_Data!H611</f>
        <v>2</v>
      </c>
      <c r="I613" s="3" t="str">
        <f>TRIM([1]Raw_Data!I611)</f>
        <v>Canada</v>
      </c>
      <c r="J613" s="3" t="str">
        <f>TRIM([1]Raw_Data!J611)</f>
        <v>Amazon</v>
      </c>
      <c r="K613" s="3">
        <f t="shared" si="36"/>
        <v>2020</v>
      </c>
      <c r="L613" s="6">
        <f t="shared" si="37"/>
        <v>44075</v>
      </c>
      <c r="M613" s="3" t="str">
        <f t="shared" si="38"/>
        <v>11% to 15%</v>
      </c>
      <c r="N613" s="3" t="str">
        <f t="shared" si="39"/>
        <v>OK</v>
      </c>
    </row>
    <row r="614" spans="1:14" x14ac:dyDescent="0.3">
      <c r="A614" s="2">
        <f>DATE(VALUE(RIGHT(TRIM([1]Raw_Data!A612),4)),VALUE(MID(TRIM([1]Raw_Data!A612),4,2)),VALUE(LEFT(TRIM([1]Raw_Data!A612),2)))</f>
        <v>44102</v>
      </c>
      <c r="B614" s="3" t="str">
        <f>TRIM([1]Raw_Data!B612)</f>
        <v>Fish Oil</v>
      </c>
      <c r="C614" s="3" t="str">
        <f>TRIM([1]Raw_Data!C612)</f>
        <v>Omega</v>
      </c>
      <c r="D614" s="3">
        <f>[1]Raw_Data!D612</f>
        <v>141</v>
      </c>
      <c r="E614" s="4">
        <f>[1]Raw_Data!E612</f>
        <v>16.170000000000002</v>
      </c>
      <c r="F614" s="5">
        <f>[1]Raw_Data!F612</f>
        <v>2279.9699999999998</v>
      </c>
      <c r="G614" s="4">
        <f>[1]Raw_Data!G612</f>
        <v>0.05</v>
      </c>
      <c r="H614" s="3">
        <f>[1]Raw_Data!H612</f>
        <v>0</v>
      </c>
      <c r="I614" s="3" t="str">
        <f>TRIM([1]Raw_Data!I612)</f>
        <v>UK</v>
      </c>
      <c r="J614" s="3" t="str">
        <f>TRIM([1]Raw_Data!J612)</f>
        <v>Amazon</v>
      </c>
      <c r="K614" s="3">
        <f t="shared" si="36"/>
        <v>2020</v>
      </c>
      <c r="L614" s="6">
        <f t="shared" si="37"/>
        <v>44075</v>
      </c>
      <c r="M614" s="3" t="str">
        <f t="shared" si="38"/>
        <v>0% to 5%</v>
      </c>
      <c r="N614" s="3" t="str">
        <f t="shared" si="39"/>
        <v>OK</v>
      </c>
    </row>
    <row r="615" spans="1:14" x14ac:dyDescent="0.3">
      <c r="A615" s="2">
        <f>DATE(VALUE(RIGHT(TRIM([1]Raw_Data!A613),4)),VALUE(MID(TRIM([1]Raw_Data!A613),4,2)),VALUE(LEFT(TRIM([1]Raw_Data!A613),2)))</f>
        <v>44102</v>
      </c>
      <c r="B615" s="3" t="str">
        <f>TRIM([1]Raw_Data!B613)</f>
        <v>Multivitamin</v>
      </c>
      <c r="C615" s="3" t="str">
        <f>TRIM([1]Raw_Data!C613)</f>
        <v>Vitamin</v>
      </c>
      <c r="D615" s="3">
        <f>[1]Raw_Data!D613</f>
        <v>140</v>
      </c>
      <c r="E615" s="4">
        <f>[1]Raw_Data!E613</f>
        <v>51.95</v>
      </c>
      <c r="F615" s="5">
        <f>[1]Raw_Data!F613</f>
        <v>7273</v>
      </c>
      <c r="G615" s="4">
        <f>[1]Raw_Data!G613</f>
        <v>0.14000000000000001</v>
      </c>
      <c r="H615" s="3">
        <f>[1]Raw_Data!H613</f>
        <v>0</v>
      </c>
      <c r="I615" s="3" t="str">
        <f>TRIM([1]Raw_Data!I613)</f>
        <v>UK</v>
      </c>
      <c r="J615" s="3" t="str">
        <f>TRIM([1]Raw_Data!J613)</f>
        <v>Amazon</v>
      </c>
      <c r="K615" s="3">
        <f t="shared" si="36"/>
        <v>2020</v>
      </c>
      <c r="L615" s="6">
        <f t="shared" si="37"/>
        <v>44075</v>
      </c>
      <c r="M615" s="3" t="str">
        <f t="shared" si="38"/>
        <v>11% to 15%</v>
      </c>
      <c r="N615" s="3" t="str">
        <f t="shared" si="39"/>
        <v>OK</v>
      </c>
    </row>
    <row r="616" spans="1:14" x14ac:dyDescent="0.3">
      <c r="A616" s="2">
        <f>DATE(VALUE(RIGHT(TRIM([1]Raw_Data!A614),4)),VALUE(MID(TRIM([1]Raw_Data!A614),4,2)),VALUE(LEFT(TRIM([1]Raw_Data!A614),2)))</f>
        <v>44102</v>
      </c>
      <c r="B616" s="3" t="str">
        <f>TRIM([1]Raw_Data!B614)</f>
        <v>Pre-Workout</v>
      </c>
      <c r="C616" s="3" t="str">
        <f>TRIM([1]Raw_Data!C614)</f>
        <v>Performance</v>
      </c>
      <c r="D616" s="3">
        <f>[1]Raw_Data!D614</f>
        <v>158</v>
      </c>
      <c r="E616" s="4">
        <f>[1]Raw_Data!E614</f>
        <v>46.56</v>
      </c>
      <c r="F616" s="5">
        <f>[1]Raw_Data!F614</f>
        <v>7356.48</v>
      </c>
      <c r="G616" s="4">
        <f>[1]Raw_Data!G614</f>
        <v>0.19</v>
      </c>
      <c r="H616" s="3">
        <f>[1]Raw_Data!H614</f>
        <v>4</v>
      </c>
      <c r="I616" s="3" t="str">
        <f>TRIM([1]Raw_Data!I614)</f>
        <v>Canada</v>
      </c>
      <c r="J616" s="3" t="str">
        <f>TRIM([1]Raw_Data!J614)</f>
        <v>Amazon</v>
      </c>
      <c r="K616" s="3">
        <f t="shared" si="36"/>
        <v>2020</v>
      </c>
      <c r="L616" s="6">
        <f t="shared" si="37"/>
        <v>44075</v>
      </c>
      <c r="M616" s="3" t="str">
        <f t="shared" si="38"/>
        <v>16% to 20%</v>
      </c>
      <c r="N616" s="3" t="str">
        <f t="shared" si="39"/>
        <v>OK</v>
      </c>
    </row>
    <row r="617" spans="1:14" x14ac:dyDescent="0.3">
      <c r="A617" s="2">
        <f>DATE(VALUE(RIGHT(TRIM([1]Raw_Data!A615),4)),VALUE(MID(TRIM([1]Raw_Data!A615),4,2)),VALUE(LEFT(TRIM([1]Raw_Data!A615),2)))</f>
        <v>44102</v>
      </c>
      <c r="B617" s="3" t="str">
        <f>TRIM([1]Raw_Data!B615)</f>
        <v>BCAA</v>
      </c>
      <c r="C617" s="3" t="str">
        <f>TRIM([1]Raw_Data!C615)</f>
        <v>Amino Acid</v>
      </c>
      <c r="D617" s="3">
        <f>[1]Raw_Data!D615</f>
        <v>153</v>
      </c>
      <c r="E617" s="4">
        <f>[1]Raw_Data!E615</f>
        <v>42.42</v>
      </c>
      <c r="F617" s="5">
        <f>[1]Raw_Data!F615</f>
        <v>6490.26</v>
      </c>
      <c r="G617" s="4">
        <f>[1]Raw_Data!G615</f>
        <v>0.02</v>
      </c>
      <c r="H617" s="3">
        <f>[1]Raw_Data!H615</f>
        <v>3</v>
      </c>
      <c r="I617" s="3" t="str">
        <f>TRIM([1]Raw_Data!I615)</f>
        <v>UK</v>
      </c>
      <c r="J617" s="3" t="str">
        <f>TRIM([1]Raw_Data!J615)</f>
        <v>Amazon</v>
      </c>
      <c r="K617" s="3">
        <f t="shared" si="36"/>
        <v>2020</v>
      </c>
      <c r="L617" s="6">
        <f t="shared" si="37"/>
        <v>44075</v>
      </c>
      <c r="M617" s="3" t="str">
        <f t="shared" si="38"/>
        <v>0% to 5%</v>
      </c>
      <c r="N617" s="3" t="str">
        <f t="shared" si="39"/>
        <v>OK</v>
      </c>
    </row>
    <row r="618" spans="1:14" x14ac:dyDescent="0.3">
      <c r="A618" s="2">
        <f>DATE(VALUE(RIGHT(TRIM([1]Raw_Data!A616),4)),VALUE(MID(TRIM([1]Raw_Data!A616),4,2)),VALUE(LEFT(TRIM([1]Raw_Data!A616),2)))</f>
        <v>44102</v>
      </c>
      <c r="B618" s="3" t="str">
        <f>TRIM([1]Raw_Data!B616)</f>
        <v>Creatine</v>
      </c>
      <c r="C618" s="3" t="str">
        <f>TRIM([1]Raw_Data!C616)</f>
        <v>Performance</v>
      </c>
      <c r="D618" s="3">
        <f>[1]Raw_Data!D616</f>
        <v>133</v>
      </c>
      <c r="E618" s="4">
        <f>[1]Raw_Data!E616</f>
        <v>50.79</v>
      </c>
      <c r="F618" s="5">
        <f>[1]Raw_Data!F616</f>
        <v>6755.07</v>
      </c>
      <c r="G618" s="4">
        <f>[1]Raw_Data!G616</f>
        <v>0.15</v>
      </c>
      <c r="H618" s="3">
        <f>[1]Raw_Data!H616</f>
        <v>1</v>
      </c>
      <c r="I618" s="3" t="str">
        <f>TRIM([1]Raw_Data!I616)</f>
        <v>UK</v>
      </c>
      <c r="J618" s="3" t="str">
        <f>TRIM([1]Raw_Data!J616)</f>
        <v>Walmart</v>
      </c>
      <c r="K618" s="3">
        <f t="shared" si="36"/>
        <v>2020</v>
      </c>
      <c r="L618" s="6">
        <f t="shared" si="37"/>
        <v>44075</v>
      </c>
      <c r="M618" s="3" t="str">
        <f t="shared" si="38"/>
        <v>11% to 15%</v>
      </c>
      <c r="N618" s="3" t="str">
        <f t="shared" si="39"/>
        <v>OK</v>
      </c>
    </row>
    <row r="619" spans="1:14" x14ac:dyDescent="0.3">
      <c r="A619" s="2">
        <f>DATE(VALUE(RIGHT(TRIM([1]Raw_Data!A617),4)),VALUE(MID(TRIM([1]Raw_Data!A617),4,2)),VALUE(LEFT(TRIM([1]Raw_Data!A617),2)))</f>
        <v>44102</v>
      </c>
      <c r="B619" s="3" t="str">
        <f>TRIM([1]Raw_Data!B617)</f>
        <v>Zinc</v>
      </c>
      <c r="C619" s="3" t="str">
        <f>TRIM([1]Raw_Data!C617)</f>
        <v>Mineral</v>
      </c>
      <c r="D619" s="3">
        <f>[1]Raw_Data!D617</f>
        <v>149</v>
      </c>
      <c r="E619" s="4">
        <f>[1]Raw_Data!E617</f>
        <v>27</v>
      </c>
      <c r="F619" s="5">
        <f>[1]Raw_Data!F617</f>
        <v>4023</v>
      </c>
      <c r="G619" s="4">
        <f>[1]Raw_Data!G617</f>
        <v>0.22</v>
      </c>
      <c r="H619" s="3">
        <f>[1]Raw_Data!H617</f>
        <v>0</v>
      </c>
      <c r="I619" s="3" t="str">
        <f>TRIM([1]Raw_Data!I617)</f>
        <v>USA</v>
      </c>
      <c r="J619" s="3" t="str">
        <f>TRIM([1]Raw_Data!J617)</f>
        <v>iHerb</v>
      </c>
      <c r="K619" s="3">
        <f t="shared" si="36"/>
        <v>2020</v>
      </c>
      <c r="L619" s="6">
        <f t="shared" si="37"/>
        <v>44075</v>
      </c>
      <c r="M619" s="3" t="str">
        <f t="shared" si="38"/>
        <v>21% to 25%</v>
      </c>
      <c r="N619" s="3" t="str">
        <f t="shared" si="39"/>
        <v>OK</v>
      </c>
    </row>
    <row r="620" spans="1:14" x14ac:dyDescent="0.3">
      <c r="A620" s="2">
        <f>DATE(VALUE(RIGHT(TRIM([1]Raw_Data!A618),4)),VALUE(MID(TRIM([1]Raw_Data!A618),4,2)),VALUE(LEFT(TRIM([1]Raw_Data!A618),2)))</f>
        <v>44102</v>
      </c>
      <c r="B620" s="3" t="str">
        <f>TRIM([1]Raw_Data!B618)</f>
        <v>Collagen Peptides</v>
      </c>
      <c r="C620" s="3" t="str">
        <f>TRIM([1]Raw_Data!C618)</f>
        <v>Protein</v>
      </c>
      <c r="D620" s="3">
        <f>[1]Raw_Data!D618</f>
        <v>161</v>
      </c>
      <c r="E620" s="4">
        <f>[1]Raw_Data!E618</f>
        <v>19.09</v>
      </c>
      <c r="F620" s="5">
        <f>[1]Raw_Data!F618</f>
        <v>3073.49</v>
      </c>
      <c r="G620" s="4">
        <f>[1]Raw_Data!G618</f>
        <v>0.11</v>
      </c>
      <c r="H620" s="3">
        <f>[1]Raw_Data!H618</f>
        <v>0</v>
      </c>
      <c r="I620" s="3" t="str">
        <f>TRIM([1]Raw_Data!I618)</f>
        <v>Canada</v>
      </c>
      <c r="J620" s="3" t="str">
        <f>TRIM([1]Raw_Data!J618)</f>
        <v>iHerb</v>
      </c>
      <c r="K620" s="3">
        <f t="shared" si="36"/>
        <v>2020</v>
      </c>
      <c r="L620" s="6">
        <f t="shared" si="37"/>
        <v>44075</v>
      </c>
      <c r="M620" s="3" t="str">
        <f t="shared" si="38"/>
        <v>11% to 15%</v>
      </c>
      <c r="N620" s="3" t="str">
        <f t="shared" si="39"/>
        <v>OK</v>
      </c>
    </row>
    <row r="621" spans="1:14" x14ac:dyDescent="0.3">
      <c r="A621" s="2">
        <f>DATE(VALUE(RIGHT(TRIM([1]Raw_Data!A619),4)),VALUE(MID(TRIM([1]Raw_Data!A619),4,2)),VALUE(LEFT(TRIM([1]Raw_Data!A619),2)))</f>
        <v>44102</v>
      </c>
      <c r="B621" s="3" t="str">
        <f>TRIM([1]Raw_Data!B619)</f>
        <v>Magnesium</v>
      </c>
      <c r="C621" s="3" t="str">
        <f>TRIM([1]Raw_Data!C619)</f>
        <v>Mineral</v>
      </c>
      <c r="D621" s="3">
        <f>[1]Raw_Data!D619</f>
        <v>158</v>
      </c>
      <c r="E621" s="4">
        <f>[1]Raw_Data!E619</f>
        <v>41.77</v>
      </c>
      <c r="F621" s="5">
        <f>[1]Raw_Data!F619</f>
        <v>6599.66</v>
      </c>
      <c r="G621" s="4">
        <f>[1]Raw_Data!G619</f>
        <v>0.05</v>
      </c>
      <c r="H621" s="3">
        <f>[1]Raw_Data!H619</f>
        <v>1</v>
      </c>
      <c r="I621" s="3" t="str">
        <f>TRIM([1]Raw_Data!I619)</f>
        <v>UK</v>
      </c>
      <c r="J621" s="3" t="str">
        <f>TRIM([1]Raw_Data!J619)</f>
        <v>Walmart</v>
      </c>
      <c r="K621" s="3">
        <f t="shared" si="36"/>
        <v>2020</v>
      </c>
      <c r="L621" s="6">
        <f t="shared" si="37"/>
        <v>44075</v>
      </c>
      <c r="M621" s="3" t="str">
        <f t="shared" si="38"/>
        <v>0% to 5%</v>
      </c>
      <c r="N621" s="3" t="str">
        <f t="shared" si="39"/>
        <v>OK</v>
      </c>
    </row>
    <row r="622" spans="1:14" x14ac:dyDescent="0.3">
      <c r="A622" s="2">
        <f>DATE(VALUE(RIGHT(TRIM([1]Raw_Data!A620),4)),VALUE(MID(TRIM([1]Raw_Data!A620),4,2)),VALUE(LEFT(TRIM([1]Raw_Data!A620),2)))</f>
        <v>44102</v>
      </c>
      <c r="B622" s="3" t="str">
        <f>TRIM([1]Raw_Data!B620)</f>
        <v>Ashwagandha</v>
      </c>
      <c r="C622" s="3" t="str">
        <f>TRIM([1]Raw_Data!C620)</f>
        <v>Herbal</v>
      </c>
      <c r="D622" s="3">
        <f>[1]Raw_Data!D620</f>
        <v>119</v>
      </c>
      <c r="E622" s="4">
        <f>[1]Raw_Data!E620</f>
        <v>37.99</v>
      </c>
      <c r="F622" s="5">
        <f>[1]Raw_Data!F620</f>
        <v>4520.8100000000004</v>
      </c>
      <c r="G622" s="4">
        <f>[1]Raw_Data!G620</f>
        <v>0.21</v>
      </c>
      <c r="H622" s="3">
        <f>[1]Raw_Data!H620</f>
        <v>2</v>
      </c>
      <c r="I622" s="3" t="str">
        <f>TRIM([1]Raw_Data!I620)</f>
        <v>UK</v>
      </c>
      <c r="J622" s="3" t="str">
        <f>TRIM([1]Raw_Data!J620)</f>
        <v>Walmart</v>
      </c>
      <c r="K622" s="3">
        <f t="shared" si="36"/>
        <v>2020</v>
      </c>
      <c r="L622" s="6">
        <f t="shared" si="37"/>
        <v>44075</v>
      </c>
      <c r="M622" s="3" t="str">
        <f t="shared" si="38"/>
        <v>21% to 25%</v>
      </c>
      <c r="N622" s="3" t="str">
        <f t="shared" si="39"/>
        <v>OK</v>
      </c>
    </row>
    <row r="623" spans="1:14" x14ac:dyDescent="0.3">
      <c r="A623" s="2">
        <f>DATE(VALUE(RIGHT(TRIM([1]Raw_Data!A621),4)),VALUE(MID(TRIM([1]Raw_Data!A621),4,2)),VALUE(LEFT(TRIM([1]Raw_Data!A621),2)))</f>
        <v>44102</v>
      </c>
      <c r="B623" s="3" t="str">
        <f>TRIM([1]Raw_Data!B621)</f>
        <v>Melatonin</v>
      </c>
      <c r="C623" s="3" t="str">
        <f>TRIM([1]Raw_Data!C621)</f>
        <v>Sleep Aid</v>
      </c>
      <c r="D623" s="3">
        <f>[1]Raw_Data!D621</f>
        <v>148</v>
      </c>
      <c r="E623" s="4">
        <f>[1]Raw_Data!E621</f>
        <v>45.96</v>
      </c>
      <c r="F623" s="5">
        <f>[1]Raw_Data!F621</f>
        <v>6802.08</v>
      </c>
      <c r="G623" s="4">
        <f>[1]Raw_Data!G621</f>
        <v>0.23</v>
      </c>
      <c r="H623" s="3">
        <f>[1]Raw_Data!H621</f>
        <v>1</v>
      </c>
      <c r="I623" s="3" t="str">
        <f>TRIM([1]Raw_Data!I621)</f>
        <v>USA</v>
      </c>
      <c r="J623" s="3" t="str">
        <f>TRIM([1]Raw_Data!J621)</f>
        <v>Amazon</v>
      </c>
      <c r="K623" s="3">
        <f t="shared" si="36"/>
        <v>2020</v>
      </c>
      <c r="L623" s="6">
        <f t="shared" si="37"/>
        <v>44075</v>
      </c>
      <c r="M623" s="3" t="str">
        <f t="shared" si="38"/>
        <v>21% to 25%</v>
      </c>
      <c r="N623" s="3" t="str">
        <f t="shared" si="39"/>
        <v>OK</v>
      </c>
    </row>
    <row r="624" spans="1:14" x14ac:dyDescent="0.3">
      <c r="A624" s="2">
        <f>DATE(VALUE(RIGHT(TRIM([1]Raw_Data!A622),4)),VALUE(MID(TRIM([1]Raw_Data!A622),4,2)),VALUE(LEFT(TRIM([1]Raw_Data!A622),2)))</f>
        <v>44102</v>
      </c>
      <c r="B624" s="3" t="str">
        <f>TRIM([1]Raw_Data!B622)</f>
        <v>Biotin</v>
      </c>
      <c r="C624" s="3" t="str">
        <f>TRIM([1]Raw_Data!C622)</f>
        <v>Vitamin</v>
      </c>
      <c r="D624" s="3">
        <f>[1]Raw_Data!D622</f>
        <v>141</v>
      </c>
      <c r="E624" s="4">
        <f>[1]Raw_Data!E622</f>
        <v>46.3</v>
      </c>
      <c r="F624" s="5">
        <f>[1]Raw_Data!F622</f>
        <v>6528.3</v>
      </c>
      <c r="G624" s="4">
        <f>[1]Raw_Data!G622</f>
        <v>0.03</v>
      </c>
      <c r="H624" s="3">
        <f>[1]Raw_Data!H622</f>
        <v>1</v>
      </c>
      <c r="I624" s="3" t="str">
        <f>TRIM([1]Raw_Data!I622)</f>
        <v>UK</v>
      </c>
      <c r="J624" s="3" t="str">
        <f>TRIM([1]Raw_Data!J622)</f>
        <v>Amazon</v>
      </c>
      <c r="K624" s="3">
        <f t="shared" si="36"/>
        <v>2020</v>
      </c>
      <c r="L624" s="6">
        <f t="shared" si="37"/>
        <v>44075</v>
      </c>
      <c r="M624" s="3" t="str">
        <f t="shared" si="38"/>
        <v>0% to 5%</v>
      </c>
      <c r="N624" s="3" t="str">
        <f t="shared" si="39"/>
        <v>OK</v>
      </c>
    </row>
    <row r="625" spans="1:14" x14ac:dyDescent="0.3">
      <c r="A625" s="2">
        <f>DATE(VALUE(RIGHT(TRIM([1]Raw_Data!A623),4)),VALUE(MID(TRIM([1]Raw_Data!A623),4,2)),VALUE(LEFT(TRIM([1]Raw_Data!A623),2)))</f>
        <v>44102</v>
      </c>
      <c r="B625" s="3" t="str">
        <f>TRIM([1]Raw_Data!B623)</f>
        <v>Green Tea Extract</v>
      </c>
      <c r="C625" s="3" t="str">
        <f>TRIM([1]Raw_Data!C623)</f>
        <v>Fat Burner</v>
      </c>
      <c r="D625" s="3">
        <f>[1]Raw_Data!D623</f>
        <v>151</v>
      </c>
      <c r="E625" s="4">
        <f>[1]Raw_Data!E623</f>
        <v>40.03</v>
      </c>
      <c r="F625" s="5">
        <f>[1]Raw_Data!F623</f>
        <v>6044.53</v>
      </c>
      <c r="G625" s="4">
        <f>[1]Raw_Data!G623</f>
        <v>0.04</v>
      </c>
      <c r="H625" s="3">
        <f>[1]Raw_Data!H623</f>
        <v>1</v>
      </c>
      <c r="I625" s="3" t="str">
        <f>TRIM([1]Raw_Data!I623)</f>
        <v>Canada</v>
      </c>
      <c r="J625" s="3" t="str">
        <f>TRIM([1]Raw_Data!J623)</f>
        <v>iHerb</v>
      </c>
      <c r="K625" s="3">
        <f t="shared" si="36"/>
        <v>2020</v>
      </c>
      <c r="L625" s="6">
        <f t="shared" si="37"/>
        <v>44075</v>
      </c>
      <c r="M625" s="3" t="str">
        <f t="shared" si="38"/>
        <v>0% to 5%</v>
      </c>
      <c r="N625" s="3" t="str">
        <f t="shared" si="39"/>
        <v>OK</v>
      </c>
    </row>
    <row r="626" spans="1:14" x14ac:dyDescent="0.3">
      <c r="A626" s="2">
        <f>DATE(VALUE(RIGHT(TRIM([1]Raw_Data!A624),4)),VALUE(MID(TRIM([1]Raw_Data!A624),4,2)),VALUE(LEFT(TRIM([1]Raw_Data!A624),2)))</f>
        <v>44102</v>
      </c>
      <c r="B626" s="3" t="str">
        <f>TRIM([1]Raw_Data!B624)</f>
        <v>Iron Supplement</v>
      </c>
      <c r="C626" s="3" t="str">
        <f>TRIM([1]Raw_Data!C624)</f>
        <v>Mineral</v>
      </c>
      <c r="D626" s="3">
        <f>[1]Raw_Data!D624</f>
        <v>158</v>
      </c>
      <c r="E626" s="4">
        <f>[1]Raw_Data!E624</f>
        <v>48.11</v>
      </c>
      <c r="F626" s="5">
        <f>[1]Raw_Data!F624</f>
        <v>7601.38</v>
      </c>
      <c r="G626" s="4">
        <f>[1]Raw_Data!G624</f>
        <v>0.15</v>
      </c>
      <c r="H626" s="3">
        <f>[1]Raw_Data!H624</f>
        <v>0</v>
      </c>
      <c r="I626" s="3" t="str">
        <f>TRIM([1]Raw_Data!I624)</f>
        <v>USA</v>
      </c>
      <c r="J626" s="3" t="str">
        <f>TRIM([1]Raw_Data!J624)</f>
        <v>iHerb</v>
      </c>
      <c r="K626" s="3">
        <f t="shared" si="36"/>
        <v>2020</v>
      </c>
      <c r="L626" s="6">
        <f t="shared" si="37"/>
        <v>44075</v>
      </c>
      <c r="M626" s="3" t="str">
        <f t="shared" si="38"/>
        <v>11% to 15%</v>
      </c>
      <c r="N626" s="3" t="str">
        <f t="shared" si="39"/>
        <v>OK</v>
      </c>
    </row>
    <row r="627" spans="1:14" x14ac:dyDescent="0.3">
      <c r="A627" s="2">
        <f>DATE(VALUE(RIGHT(TRIM([1]Raw_Data!A625),4)),VALUE(MID(TRIM([1]Raw_Data!A625),4,2)),VALUE(LEFT(TRIM([1]Raw_Data!A625),2)))</f>
        <v>44102</v>
      </c>
      <c r="B627" s="3" t="str">
        <f>TRIM([1]Raw_Data!B625)</f>
        <v>Electrolyte Powder</v>
      </c>
      <c r="C627" s="3" t="str">
        <f>TRIM([1]Raw_Data!C625)</f>
        <v>Hydration</v>
      </c>
      <c r="D627" s="3">
        <f>[1]Raw_Data!D625</f>
        <v>156</v>
      </c>
      <c r="E627" s="4">
        <f>[1]Raw_Data!E625</f>
        <v>40.119999999999997</v>
      </c>
      <c r="F627" s="5">
        <f>[1]Raw_Data!F625</f>
        <v>6258.72</v>
      </c>
      <c r="G627" s="4">
        <f>[1]Raw_Data!G625</f>
        <v>0.12</v>
      </c>
      <c r="H627" s="3">
        <f>[1]Raw_Data!H625</f>
        <v>1</v>
      </c>
      <c r="I627" s="3" t="str">
        <f>TRIM([1]Raw_Data!I625)</f>
        <v>Canada</v>
      </c>
      <c r="J627" s="3" t="str">
        <f>TRIM([1]Raw_Data!J625)</f>
        <v>Walmart</v>
      </c>
      <c r="K627" s="3">
        <f t="shared" si="36"/>
        <v>2020</v>
      </c>
      <c r="L627" s="6">
        <f t="shared" si="37"/>
        <v>44075</v>
      </c>
      <c r="M627" s="3" t="str">
        <f t="shared" si="38"/>
        <v>11% to 15%</v>
      </c>
      <c r="N627" s="3" t="str">
        <f t="shared" si="39"/>
        <v>OK</v>
      </c>
    </row>
    <row r="628" spans="1:14" x14ac:dyDescent="0.3">
      <c r="A628" s="2">
        <f>DATE(VALUE(RIGHT(TRIM([1]Raw_Data!A626),4)),VALUE(MID(TRIM([1]Raw_Data!A626),4,2)),VALUE(LEFT(TRIM([1]Raw_Data!A626),2)))</f>
        <v>44109</v>
      </c>
      <c r="B628" s="3" t="str">
        <f>TRIM([1]Raw_Data!B626)</f>
        <v>Whey Protein</v>
      </c>
      <c r="C628" s="3" t="str">
        <f>TRIM([1]Raw_Data!C626)</f>
        <v>Protein</v>
      </c>
      <c r="D628" s="3">
        <f>[1]Raw_Data!D626</f>
        <v>144</v>
      </c>
      <c r="E628" s="4">
        <f>[1]Raw_Data!E626</f>
        <v>19.88</v>
      </c>
      <c r="F628" s="5">
        <f>[1]Raw_Data!F626</f>
        <v>2862.72</v>
      </c>
      <c r="G628" s="4">
        <f>[1]Raw_Data!G626</f>
        <v>0.2</v>
      </c>
      <c r="H628" s="3">
        <f>[1]Raw_Data!H626</f>
        <v>0</v>
      </c>
      <c r="I628" s="3" t="str">
        <f>TRIM([1]Raw_Data!I626)</f>
        <v>USA</v>
      </c>
      <c r="J628" s="3" t="str">
        <f>TRIM([1]Raw_Data!J626)</f>
        <v>iHerb</v>
      </c>
      <c r="K628" s="3">
        <f t="shared" si="36"/>
        <v>2020</v>
      </c>
      <c r="L628" s="6">
        <f t="shared" si="37"/>
        <v>44105</v>
      </c>
      <c r="M628" s="3" t="str">
        <f t="shared" si="38"/>
        <v>16% to 20%</v>
      </c>
      <c r="N628" s="3" t="str">
        <f t="shared" si="39"/>
        <v>OK</v>
      </c>
    </row>
    <row r="629" spans="1:14" x14ac:dyDescent="0.3">
      <c r="A629" s="2">
        <f>DATE(VALUE(RIGHT(TRIM([1]Raw_Data!A627),4)),VALUE(MID(TRIM([1]Raw_Data!A627),4,2)),VALUE(LEFT(TRIM([1]Raw_Data!A627),2)))</f>
        <v>44109</v>
      </c>
      <c r="B629" s="3" t="str">
        <f>TRIM([1]Raw_Data!B627)</f>
        <v>Vitamin C</v>
      </c>
      <c r="C629" s="3" t="str">
        <f>TRIM([1]Raw_Data!C627)</f>
        <v>Vitamin</v>
      </c>
      <c r="D629" s="3">
        <f>[1]Raw_Data!D627</f>
        <v>130</v>
      </c>
      <c r="E629" s="4">
        <f>[1]Raw_Data!E627</f>
        <v>42.92</v>
      </c>
      <c r="F629" s="5">
        <f>[1]Raw_Data!F627</f>
        <v>5579.6</v>
      </c>
      <c r="G629" s="4">
        <f>[1]Raw_Data!G627</f>
        <v>0.11</v>
      </c>
      <c r="H629" s="3">
        <f>[1]Raw_Data!H627</f>
        <v>1</v>
      </c>
      <c r="I629" s="3" t="str">
        <f>TRIM([1]Raw_Data!I627)</f>
        <v>USA</v>
      </c>
      <c r="J629" s="3" t="str">
        <f>TRIM([1]Raw_Data!J627)</f>
        <v>Amazon</v>
      </c>
      <c r="K629" s="3">
        <f t="shared" si="36"/>
        <v>2020</v>
      </c>
      <c r="L629" s="6">
        <f t="shared" si="37"/>
        <v>44105</v>
      </c>
      <c r="M629" s="3" t="str">
        <f t="shared" si="38"/>
        <v>11% to 15%</v>
      </c>
      <c r="N629" s="3" t="str">
        <f t="shared" si="39"/>
        <v>OK</v>
      </c>
    </row>
    <row r="630" spans="1:14" x14ac:dyDescent="0.3">
      <c r="A630" s="2">
        <f>DATE(VALUE(RIGHT(TRIM([1]Raw_Data!A628),4)),VALUE(MID(TRIM([1]Raw_Data!A628),4,2)),VALUE(LEFT(TRIM([1]Raw_Data!A628),2)))</f>
        <v>44109</v>
      </c>
      <c r="B630" s="3" t="str">
        <f>TRIM([1]Raw_Data!B628)</f>
        <v>Fish Oil</v>
      </c>
      <c r="C630" s="3" t="str">
        <f>TRIM([1]Raw_Data!C628)</f>
        <v>Omega</v>
      </c>
      <c r="D630" s="3">
        <f>[1]Raw_Data!D628</f>
        <v>152</v>
      </c>
      <c r="E630" s="4">
        <f>[1]Raw_Data!E628</f>
        <v>56.64</v>
      </c>
      <c r="F630" s="5">
        <f>[1]Raw_Data!F628</f>
        <v>8609.2800000000007</v>
      </c>
      <c r="G630" s="4">
        <f>[1]Raw_Data!G628</f>
        <v>0.23</v>
      </c>
      <c r="H630" s="3">
        <f>[1]Raw_Data!H628</f>
        <v>1</v>
      </c>
      <c r="I630" s="3" t="str">
        <f>TRIM([1]Raw_Data!I628)</f>
        <v>UK</v>
      </c>
      <c r="J630" s="3" t="str">
        <f>TRIM([1]Raw_Data!J628)</f>
        <v>iHerb</v>
      </c>
      <c r="K630" s="3">
        <f t="shared" si="36"/>
        <v>2020</v>
      </c>
      <c r="L630" s="6">
        <f t="shared" si="37"/>
        <v>44105</v>
      </c>
      <c r="M630" s="3" t="str">
        <f t="shared" si="38"/>
        <v>21% to 25%</v>
      </c>
      <c r="N630" s="3" t="str">
        <f t="shared" si="39"/>
        <v>OK</v>
      </c>
    </row>
    <row r="631" spans="1:14" x14ac:dyDescent="0.3">
      <c r="A631" s="2">
        <f>DATE(VALUE(RIGHT(TRIM([1]Raw_Data!A629),4)),VALUE(MID(TRIM([1]Raw_Data!A629),4,2)),VALUE(LEFT(TRIM([1]Raw_Data!A629),2)))</f>
        <v>44109</v>
      </c>
      <c r="B631" s="3" t="str">
        <f>TRIM([1]Raw_Data!B629)</f>
        <v>Multivitamin</v>
      </c>
      <c r="C631" s="3" t="str">
        <f>TRIM([1]Raw_Data!C629)</f>
        <v>Vitamin</v>
      </c>
      <c r="D631" s="3">
        <f>[1]Raw_Data!D629</f>
        <v>144</v>
      </c>
      <c r="E631" s="4">
        <f>[1]Raw_Data!E629</f>
        <v>11.84</v>
      </c>
      <c r="F631" s="5">
        <f>[1]Raw_Data!F629</f>
        <v>1704.96</v>
      </c>
      <c r="G631" s="4">
        <f>[1]Raw_Data!G629</f>
        <v>0.12</v>
      </c>
      <c r="H631" s="3">
        <f>[1]Raw_Data!H629</f>
        <v>1</v>
      </c>
      <c r="I631" s="3" t="str">
        <f>TRIM([1]Raw_Data!I629)</f>
        <v>Canada</v>
      </c>
      <c r="J631" s="3" t="str">
        <f>TRIM([1]Raw_Data!J629)</f>
        <v>iHerb</v>
      </c>
      <c r="K631" s="3">
        <f t="shared" si="36"/>
        <v>2020</v>
      </c>
      <c r="L631" s="6">
        <f t="shared" si="37"/>
        <v>44105</v>
      </c>
      <c r="M631" s="3" t="str">
        <f t="shared" si="38"/>
        <v>11% to 15%</v>
      </c>
      <c r="N631" s="3" t="str">
        <f t="shared" si="39"/>
        <v>OK</v>
      </c>
    </row>
    <row r="632" spans="1:14" x14ac:dyDescent="0.3">
      <c r="A632" s="2">
        <f>DATE(VALUE(RIGHT(TRIM([1]Raw_Data!A630),4)),VALUE(MID(TRIM([1]Raw_Data!A630),4,2)),VALUE(LEFT(TRIM([1]Raw_Data!A630),2)))</f>
        <v>44109</v>
      </c>
      <c r="B632" s="3" t="str">
        <f>TRIM([1]Raw_Data!B630)</f>
        <v>Pre-Workout</v>
      </c>
      <c r="C632" s="3" t="str">
        <f>TRIM([1]Raw_Data!C630)</f>
        <v>Performance</v>
      </c>
      <c r="D632" s="3">
        <f>[1]Raw_Data!D630</f>
        <v>171</v>
      </c>
      <c r="E632" s="4">
        <f>[1]Raw_Data!E630</f>
        <v>37.64</v>
      </c>
      <c r="F632" s="5">
        <f>[1]Raw_Data!F630</f>
        <v>6436.44</v>
      </c>
      <c r="G632" s="4">
        <f>[1]Raw_Data!G630</f>
        <v>0.19</v>
      </c>
      <c r="H632" s="3">
        <f>[1]Raw_Data!H630</f>
        <v>1</v>
      </c>
      <c r="I632" s="3" t="str">
        <f>TRIM([1]Raw_Data!I630)</f>
        <v>UK</v>
      </c>
      <c r="J632" s="3" t="str">
        <f>TRIM([1]Raw_Data!J630)</f>
        <v>iHerb</v>
      </c>
      <c r="K632" s="3">
        <f t="shared" si="36"/>
        <v>2020</v>
      </c>
      <c r="L632" s="6">
        <f t="shared" si="37"/>
        <v>44105</v>
      </c>
      <c r="M632" s="3" t="str">
        <f t="shared" si="38"/>
        <v>16% to 20%</v>
      </c>
      <c r="N632" s="3" t="str">
        <f t="shared" si="39"/>
        <v>OK</v>
      </c>
    </row>
    <row r="633" spans="1:14" x14ac:dyDescent="0.3">
      <c r="A633" s="2">
        <f>DATE(VALUE(RIGHT(TRIM([1]Raw_Data!A631),4)),VALUE(MID(TRIM([1]Raw_Data!A631),4,2)),VALUE(LEFT(TRIM([1]Raw_Data!A631),2)))</f>
        <v>44109</v>
      </c>
      <c r="B633" s="3" t="str">
        <f>TRIM([1]Raw_Data!B631)</f>
        <v>BCAA</v>
      </c>
      <c r="C633" s="3" t="str">
        <f>TRIM([1]Raw_Data!C631)</f>
        <v>Amino Acid</v>
      </c>
      <c r="D633" s="3">
        <f>[1]Raw_Data!D631</f>
        <v>130</v>
      </c>
      <c r="E633" s="4">
        <f>[1]Raw_Data!E631</f>
        <v>35.9</v>
      </c>
      <c r="F633" s="5">
        <f>[1]Raw_Data!F631</f>
        <v>4667</v>
      </c>
      <c r="G633" s="4">
        <f>[1]Raw_Data!G631</f>
        <v>0.15</v>
      </c>
      <c r="H633" s="3">
        <f>[1]Raw_Data!H631</f>
        <v>0</v>
      </c>
      <c r="I633" s="3" t="str">
        <f>TRIM([1]Raw_Data!I631)</f>
        <v>UK</v>
      </c>
      <c r="J633" s="3" t="str">
        <f>TRIM([1]Raw_Data!J631)</f>
        <v>Walmart</v>
      </c>
      <c r="K633" s="3">
        <f t="shared" si="36"/>
        <v>2020</v>
      </c>
      <c r="L633" s="6">
        <f t="shared" si="37"/>
        <v>44105</v>
      </c>
      <c r="M633" s="3" t="str">
        <f t="shared" si="38"/>
        <v>11% to 15%</v>
      </c>
      <c r="N633" s="3" t="str">
        <f t="shared" si="39"/>
        <v>OK</v>
      </c>
    </row>
    <row r="634" spans="1:14" x14ac:dyDescent="0.3">
      <c r="A634" s="2">
        <f>DATE(VALUE(RIGHT(TRIM([1]Raw_Data!A632),4)),VALUE(MID(TRIM([1]Raw_Data!A632),4,2)),VALUE(LEFT(TRIM([1]Raw_Data!A632),2)))</f>
        <v>44109</v>
      </c>
      <c r="B634" s="3" t="str">
        <f>TRIM([1]Raw_Data!B632)</f>
        <v>Creatine</v>
      </c>
      <c r="C634" s="3" t="str">
        <f>TRIM([1]Raw_Data!C632)</f>
        <v>Performance</v>
      </c>
      <c r="D634" s="3">
        <f>[1]Raw_Data!D632</f>
        <v>149</v>
      </c>
      <c r="E634" s="4">
        <f>[1]Raw_Data!E632</f>
        <v>13.74</v>
      </c>
      <c r="F634" s="5">
        <f>[1]Raw_Data!F632</f>
        <v>2047.26</v>
      </c>
      <c r="G634" s="4">
        <f>[1]Raw_Data!G632</f>
        <v>0.03</v>
      </c>
      <c r="H634" s="3">
        <f>[1]Raw_Data!H632</f>
        <v>3</v>
      </c>
      <c r="I634" s="3" t="str">
        <f>TRIM([1]Raw_Data!I632)</f>
        <v>USA</v>
      </c>
      <c r="J634" s="3" t="str">
        <f>TRIM([1]Raw_Data!J632)</f>
        <v>Amazon</v>
      </c>
      <c r="K634" s="3">
        <f t="shared" si="36"/>
        <v>2020</v>
      </c>
      <c r="L634" s="6">
        <f t="shared" si="37"/>
        <v>44105</v>
      </c>
      <c r="M634" s="3" t="str">
        <f t="shared" si="38"/>
        <v>0% to 5%</v>
      </c>
      <c r="N634" s="3" t="str">
        <f t="shared" si="39"/>
        <v>OK</v>
      </c>
    </row>
    <row r="635" spans="1:14" x14ac:dyDescent="0.3">
      <c r="A635" s="2">
        <f>DATE(VALUE(RIGHT(TRIM([1]Raw_Data!A633),4)),VALUE(MID(TRIM([1]Raw_Data!A633),4,2)),VALUE(LEFT(TRIM([1]Raw_Data!A633),2)))</f>
        <v>44109</v>
      </c>
      <c r="B635" s="3" t="str">
        <f>TRIM([1]Raw_Data!B633)</f>
        <v>Zinc</v>
      </c>
      <c r="C635" s="3" t="str">
        <f>TRIM([1]Raw_Data!C633)</f>
        <v>Mineral</v>
      </c>
      <c r="D635" s="3">
        <f>[1]Raw_Data!D633</f>
        <v>140</v>
      </c>
      <c r="E635" s="4">
        <f>[1]Raw_Data!E633</f>
        <v>35.25</v>
      </c>
      <c r="F635" s="5">
        <f>[1]Raw_Data!F633</f>
        <v>4935</v>
      </c>
      <c r="G635" s="4">
        <f>[1]Raw_Data!G633</f>
        <v>0.19</v>
      </c>
      <c r="H635" s="3">
        <f>[1]Raw_Data!H633</f>
        <v>0</v>
      </c>
      <c r="I635" s="3" t="str">
        <f>TRIM([1]Raw_Data!I633)</f>
        <v>UK</v>
      </c>
      <c r="J635" s="3" t="str">
        <f>TRIM([1]Raw_Data!J633)</f>
        <v>iHerb</v>
      </c>
      <c r="K635" s="3">
        <f t="shared" si="36"/>
        <v>2020</v>
      </c>
      <c r="L635" s="6">
        <f t="shared" si="37"/>
        <v>44105</v>
      </c>
      <c r="M635" s="3" t="str">
        <f t="shared" si="38"/>
        <v>16% to 20%</v>
      </c>
      <c r="N635" s="3" t="str">
        <f t="shared" si="39"/>
        <v>OK</v>
      </c>
    </row>
    <row r="636" spans="1:14" x14ac:dyDescent="0.3">
      <c r="A636" s="2">
        <f>DATE(VALUE(RIGHT(TRIM([1]Raw_Data!A634),4)),VALUE(MID(TRIM([1]Raw_Data!A634),4,2)),VALUE(LEFT(TRIM([1]Raw_Data!A634),2)))</f>
        <v>44109</v>
      </c>
      <c r="B636" s="3" t="str">
        <f>TRIM([1]Raw_Data!B634)</f>
        <v>Collagen Peptides</v>
      </c>
      <c r="C636" s="3" t="str">
        <f>TRIM([1]Raw_Data!C634)</f>
        <v>Protein</v>
      </c>
      <c r="D636" s="3">
        <f>[1]Raw_Data!D634</f>
        <v>153</v>
      </c>
      <c r="E636" s="4">
        <f>[1]Raw_Data!E634</f>
        <v>11.82</v>
      </c>
      <c r="F636" s="5">
        <f>[1]Raw_Data!F634</f>
        <v>1808.46</v>
      </c>
      <c r="G636" s="4">
        <f>[1]Raw_Data!G634</f>
        <v>0.01</v>
      </c>
      <c r="H636" s="3">
        <f>[1]Raw_Data!H634</f>
        <v>3</v>
      </c>
      <c r="I636" s="3" t="str">
        <f>TRIM([1]Raw_Data!I634)</f>
        <v>USA</v>
      </c>
      <c r="J636" s="3" t="str">
        <f>TRIM([1]Raw_Data!J634)</f>
        <v>iHerb</v>
      </c>
      <c r="K636" s="3">
        <f t="shared" si="36"/>
        <v>2020</v>
      </c>
      <c r="L636" s="6">
        <f t="shared" si="37"/>
        <v>44105</v>
      </c>
      <c r="M636" s="3" t="str">
        <f t="shared" si="38"/>
        <v>0% to 5%</v>
      </c>
      <c r="N636" s="3" t="str">
        <f t="shared" si="39"/>
        <v>OK</v>
      </c>
    </row>
    <row r="637" spans="1:14" x14ac:dyDescent="0.3">
      <c r="A637" s="2">
        <f>DATE(VALUE(RIGHT(TRIM([1]Raw_Data!A635),4)),VALUE(MID(TRIM([1]Raw_Data!A635),4,2)),VALUE(LEFT(TRIM([1]Raw_Data!A635),2)))</f>
        <v>44109</v>
      </c>
      <c r="B637" s="3" t="str">
        <f>TRIM([1]Raw_Data!B635)</f>
        <v>Magnesium</v>
      </c>
      <c r="C637" s="3" t="str">
        <f>TRIM([1]Raw_Data!C635)</f>
        <v>Mineral</v>
      </c>
      <c r="D637" s="3">
        <f>[1]Raw_Data!D635</f>
        <v>133</v>
      </c>
      <c r="E637" s="4">
        <f>[1]Raw_Data!E635</f>
        <v>31.89</v>
      </c>
      <c r="F637" s="5">
        <f>[1]Raw_Data!F635</f>
        <v>4241.37</v>
      </c>
      <c r="G637" s="4">
        <f>[1]Raw_Data!G635</f>
        <v>0.21</v>
      </c>
      <c r="H637" s="3">
        <f>[1]Raw_Data!H635</f>
        <v>0</v>
      </c>
      <c r="I637" s="3" t="str">
        <f>TRIM([1]Raw_Data!I635)</f>
        <v>USA</v>
      </c>
      <c r="J637" s="3" t="str">
        <f>TRIM([1]Raw_Data!J635)</f>
        <v>iHerb</v>
      </c>
      <c r="K637" s="3">
        <f t="shared" si="36"/>
        <v>2020</v>
      </c>
      <c r="L637" s="6">
        <f t="shared" si="37"/>
        <v>44105</v>
      </c>
      <c r="M637" s="3" t="str">
        <f t="shared" si="38"/>
        <v>21% to 25%</v>
      </c>
      <c r="N637" s="3" t="str">
        <f t="shared" si="39"/>
        <v>OK</v>
      </c>
    </row>
    <row r="638" spans="1:14" x14ac:dyDescent="0.3">
      <c r="A638" s="2">
        <f>DATE(VALUE(RIGHT(TRIM([1]Raw_Data!A636),4)),VALUE(MID(TRIM([1]Raw_Data!A636),4,2)),VALUE(LEFT(TRIM([1]Raw_Data!A636),2)))</f>
        <v>44109</v>
      </c>
      <c r="B638" s="3" t="str">
        <f>TRIM([1]Raw_Data!B636)</f>
        <v>Ashwagandha</v>
      </c>
      <c r="C638" s="3" t="str">
        <f>TRIM([1]Raw_Data!C636)</f>
        <v>Herbal</v>
      </c>
      <c r="D638" s="3">
        <f>[1]Raw_Data!D636</f>
        <v>147</v>
      </c>
      <c r="E638" s="4">
        <f>[1]Raw_Data!E636</f>
        <v>32.450000000000003</v>
      </c>
      <c r="F638" s="5">
        <f>[1]Raw_Data!F636</f>
        <v>4770.1499999999996</v>
      </c>
      <c r="G638" s="4">
        <f>[1]Raw_Data!G636</f>
        <v>0.14000000000000001</v>
      </c>
      <c r="H638" s="3">
        <f>[1]Raw_Data!H636</f>
        <v>2</v>
      </c>
      <c r="I638" s="3" t="str">
        <f>TRIM([1]Raw_Data!I636)</f>
        <v>USA</v>
      </c>
      <c r="J638" s="3" t="str">
        <f>TRIM([1]Raw_Data!J636)</f>
        <v>Walmart</v>
      </c>
      <c r="K638" s="3">
        <f t="shared" si="36"/>
        <v>2020</v>
      </c>
      <c r="L638" s="6">
        <f t="shared" si="37"/>
        <v>44105</v>
      </c>
      <c r="M638" s="3" t="str">
        <f t="shared" si="38"/>
        <v>11% to 15%</v>
      </c>
      <c r="N638" s="3" t="str">
        <f t="shared" si="39"/>
        <v>OK</v>
      </c>
    </row>
    <row r="639" spans="1:14" x14ac:dyDescent="0.3">
      <c r="A639" s="2">
        <f>DATE(VALUE(RIGHT(TRIM([1]Raw_Data!A637),4)),VALUE(MID(TRIM([1]Raw_Data!A637),4,2)),VALUE(LEFT(TRIM([1]Raw_Data!A637),2)))</f>
        <v>44109</v>
      </c>
      <c r="B639" s="3" t="str">
        <f>TRIM([1]Raw_Data!B637)</f>
        <v>Melatonin</v>
      </c>
      <c r="C639" s="3" t="str">
        <f>TRIM([1]Raw_Data!C637)</f>
        <v>Sleep Aid</v>
      </c>
      <c r="D639" s="3">
        <f>[1]Raw_Data!D637</f>
        <v>144</v>
      </c>
      <c r="E639" s="4">
        <f>[1]Raw_Data!E637</f>
        <v>15.33</v>
      </c>
      <c r="F639" s="5">
        <f>[1]Raw_Data!F637</f>
        <v>2207.52</v>
      </c>
      <c r="G639" s="4">
        <f>[1]Raw_Data!G637</f>
        <v>0.09</v>
      </c>
      <c r="H639" s="3">
        <f>[1]Raw_Data!H637</f>
        <v>0</v>
      </c>
      <c r="I639" s="3" t="str">
        <f>TRIM([1]Raw_Data!I637)</f>
        <v>Canada</v>
      </c>
      <c r="J639" s="3" t="str">
        <f>TRIM([1]Raw_Data!J637)</f>
        <v>Amazon</v>
      </c>
      <c r="K639" s="3">
        <f t="shared" si="36"/>
        <v>2020</v>
      </c>
      <c r="L639" s="6">
        <f t="shared" si="37"/>
        <v>44105</v>
      </c>
      <c r="M639" s="3" t="str">
        <f t="shared" si="38"/>
        <v>6% to 10%</v>
      </c>
      <c r="N639" s="3" t="str">
        <f t="shared" si="39"/>
        <v>OK</v>
      </c>
    </row>
    <row r="640" spans="1:14" x14ac:dyDescent="0.3">
      <c r="A640" s="2">
        <f>DATE(VALUE(RIGHT(TRIM([1]Raw_Data!A638),4)),VALUE(MID(TRIM([1]Raw_Data!A638),4,2)),VALUE(LEFT(TRIM([1]Raw_Data!A638),2)))</f>
        <v>44109</v>
      </c>
      <c r="B640" s="3" t="str">
        <f>TRIM([1]Raw_Data!B638)</f>
        <v>Biotin</v>
      </c>
      <c r="C640" s="3" t="str">
        <f>TRIM([1]Raw_Data!C638)</f>
        <v>Vitamin</v>
      </c>
      <c r="D640" s="3">
        <f>[1]Raw_Data!D638</f>
        <v>154</v>
      </c>
      <c r="E640" s="4">
        <f>[1]Raw_Data!E638</f>
        <v>24.26</v>
      </c>
      <c r="F640" s="5">
        <f>[1]Raw_Data!F638</f>
        <v>3736.04</v>
      </c>
      <c r="G640" s="4">
        <f>[1]Raw_Data!G638</f>
        <v>0.16</v>
      </c>
      <c r="H640" s="3">
        <f>[1]Raw_Data!H638</f>
        <v>1</v>
      </c>
      <c r="I640" s="3" t="str">
        <f>TRIM([1]Raw_Data!I638)</f>
        <v>UK</v>
      </c>
      <c r="J640" s="3" t="str">
        <f>TRIM([1]Raw_Data!J638)</f>
        <v>Walmart</v>
      </c>
      <c r="K640" s="3">
        <f t="shared" si="36"/>
        <v>2020</v>
      </c>
      <c r="L640" s="6">
        <f t="shared" si="37"/>
        <v>44105</v>
      </c>
      <c r="M640" s="3" t="str">
        <f t="shared" si="38"/>
        <v>16% to 20%</v>
      </c>
      <c r="N640" s="3" t="str">
        <f t="shared" si="39"/>
        <v>OK</v>
      </c>
    </row>
    <row r="641" spans="1:14" x14ac:dyDescent="0.3">
      <c r="A641" s="2">
        <f>DATE(VALUE(RIGHT(TRIM([1]Raw_Data!A639),4)),VALUE(MID(TRIM([1]Raw_Data!A639),4,2)),VALUE(LEFT(TRIM([1]Raw_Data!A639),2)))</f>
        <v>44109</v>
      </c>
      <c r="B641" s="3" t="str">
        <f>TRIM([1]Raw_Data!B639)</f>
        <v>Green Tea Extract</v>
      </c>
      <c r="C641" s="3" t="str">
        <f>TRIM([1]Raw_Data!C639)</f>
        <v>Fat Burner</v>
      </c>
      <c r="D641" s="3">
        <f>[1]Raw_Data!D639</f>
        <v>149</v>
      </c>
      <c r="E641" s="4">
        <f>[1]Raw_Data!E639</f>
        <v>24.1</v>
      </c>
      <c r="F641" s="5">
        <f>[1]Raw_Data!F639</f>
        <v>3590.9</v>
      </c>
      <c r="G641" s="4">
        <f>[1]Raw_Data!G639</f>
        <v>0.08</v>
      </c>
      <c r="H641" s="3">
        <f>[1]Raw_Data!H639</f>
        <v>3</v>
      </c>
      <c r="I641" s="3" t="str">
        <f>TRIM([1]Raw_Data!I639)</f>
        <v>UK</v>
      </c>
      <c r="J641" s="3" t="str">
        <f>TRIM([1]Raw_Data!J639)</f>
        <v>iHerb</v>
      </c>
      <c r="K641" s="3">
        <f t="shared" si="36"/>
        <v>2020</v>
      </c>
      <c r="L641" s="6">
        <f t="shared" si="37"/>
        <v>44105</v>
      </c>
      <c r="M641" s="3" t="str">
        <f t="shared" si="38"/>
        <v>6% to 10%</v>
      </c>
      <c r="N641" s="3" t="str">
        <f t="shared" si="39"/>
        <v>OK</v>
      </c>
    </row>
    <row r="642" spans="1:14" x14ac:dyDescent="0.3">
      <c r="A642" s="2">
        <f>DATE(VALUE(RIGHT(TRIM([1]Raw_Data!A640),4)),VALUE(MID(TRIM([1]Raw_Data!A640),4,2)),VALUE(LEFT(TRIM([1]Raw_Data!A640),2)))</f>
        <v>44109</v>
      </c>
      <c r="B642" s="3" t="str">
        <f>TRIM([1]Raw_Data!B640)</f>
        <v>Iron Supplement</v>
      </c>
      <c r="C642" s="3" t="str">
        <f>TRIM([1]Raw_Data!C640)</f>
        <v>Mineral</v>
      </c>
      <c r="D642" s="3">
        <f>[1]Raw_Data!D640</f>
        <v>124</v>
      </c>
      <c r="E642" s="4">
        <f>[1]Raw_Data!E640</f>
        <v>55.64</v>
      </c>
      <c r="F642" s="5">
        <f>[1]Raw_Data!F640</f>
        <v>6899.36</v>
      </c>
      <c r="G642" s="4">
        <f>[1]Raw_Data!G640</f>
        <v>0.15</v>
      </c>
      <c r="H642" s="3">
        <f>[1]Raw_Data!H640</f>
        <v>1</v>
      </c>
      <c r="I642" s="3" t="str">
        <f>TRIM([1]Raw_Data!I640)</f>
        <v>UK</v>
      </c>
      <c r="J642" s="3" t="str">
        <f>TRIM([1]Raw_Data!J640)</f>
        <v>iHerb</v>
      </c>
      <c r="K642" s="3">
        <f t="shared" si="36"/>
        <v>2020</v>
      </c>
      <c r="L642" s="6">
        <f t="shared" si="37"/>
        <v>44105</v>
      </c>
      <c r="M642" s="3" t="str">
        <f t="shared" si="38"/>
        <v>11% to 15%</v>
      </c>
      <c r="N642" s="3" t="str">
        <f t="shared" si="39"/>
        <v>OK</v>
      </c>
    </row>
    <row r="643" spans="1:14" x14ac:dyDescent="0.3">
      <c r="A643" s="2">
        <f>DATE(VALUE(RIGHT(TRIM([1]Raw_Data!A641),4)),VALUE(MID(TRIM([1]Raw_Data!A641),4,2)),VALUE(LEFT(TRIM([1]Raw_Data!A641),2)))</f>
        <v>44109</v>
      </c>
      <c r="B643" s="3" t="str">
        <f>TRIM([1]Raw_Data!B641)</f>
        <v>Electrolyte Powder</v>
      </c>
      <c r="C643" s="3" t="str">
        <f>TRIM([1]Raw_Data!C641)</f>
        <v>Hydration</v>
      </c>
      <c r="D643" s="3">
        <f>[1]Raw_Data!D641</f>
        <v>140</v>
      </c>
      <c r="E643" s="4">
        <f>[1]Raw_Data!E641</f>
        <v>52.6</v>
      </c>
      <c r="F643" s="5">
        <f>[1]Raw_Data!F641</f>
        <v>7364</v>
      </c>
      <c r="G643" s="4">
        <f>[1]Raw_Data!G641</f>
        <v>0.14000000000000001</v>
      </c>
      <c r="H643" s="3">
        <f>[1]Raw_Data!H641</f>
        <v>1</v>
      </c>
      <c r="I643" s="3" t="str">
        <f>TRIM([1]Raw_Data!I641)</f>
        <v>USA</v>
      </c>
      <c r="J643" s="3" t="str">
        <f>TRIM([1]Raw_Data!J641)</f>
        <v>iHerb</v>
      </c>
      <c r="K643" s="3">
        <f t="shared" si="36"/>
        <v>2020</v>
      </c>
      <c r="L643" s="6">
        <f t="shared" si="37"/>
        <v>44105</v>
      </c>
      <c r="M643" s="3" t="str">
        <f t="shared" si="38"/>
        <v>11% to 15%</v>
      </c>
      <c r="N643" s="3" t="str">
        <f t="shared" si="39"/>
        <v>OK</v>
      </c>
    </row>
    <row r="644" spans="1:14" x14ac:dyDescent="0.3">
      <c r="A644" s="2">
        <f>DATE(VALUE(RIGHT(TRIM([1]Raw_Data!A642),4)),VALUE(MID(TRIM([1]Raw_Data!A642),4,2)),VALUE(LEFT(TRIM([1]Raw_Data!A642),2)))</f>
        <v>44116</v>
      </c>
      <c r="B644" s="3" t="str">
        <f>TRIM([1]Raw_Data!B642)</f>
        <v>Whey Protein</v>
      </c>
      <c r="C644" s="3" t="str">
        <f>TRIM([1]Raw_Data!C642)</f>
        <v>Protein</v>
      </c>
      <c r="D644" s="3">
        <f>[1]Raw_Data!D642</f>
        <v>131</v>
      </c>
      <c r="E644" s="4">
        <f>[1]Raw_Data!E642</f>
        <v>58.18</v>
      </c>
      <c r="F644" s="5">
        <f>[1]Raw_Data!F642</f>
        <v>7621.58</v>
      </c>
      <c r="G644" s="4">
        <f>[1]Raw_Data!G642</f>
        <v>0.09</v>
      </c>
      <c r="H644" s="3">
        <f>[1]Raw_Data!H642</f>
        <v>1</v>
      </c>
      <c r="I644" s="3" t="str">
        <f>TRIM([1]Raw_Data!I642)</f>
        <v>USA</v>
      </c>
      <c r="J644" s="3" t="str">
        <f>TRIM([1]Raw_Data!J642)</f>
        <v>Walmart</v>
      </c>
      <c r="K644" s="3">
        <f t="shared" ref="K644:K707" si="40">YEAR(A644)</f>
        <v>2020</v>
      </c>
      <c r="L644" s="6">
        <f t="shared" ref="L644:L707" si="41">DATE(YEAR(A644),MONTH(A644),1)</f>
        <v>44105</v>
      </c>
      <c r="M644" s="3" t="str">
        <f t="shared" ref="M644:M707" si="42">IF(ROUND(G644*100,0)&lt;=5,"0% to 5%",IF(ROUND(G644*100,0)&lt;=10,"6% to 10%",IF(ROUND(G644*100,0)&lt;=15,"11% to 15%",IF(ROUND(G644*100,0)&lt;=20,"16% to 20%","21% to 25%"))))</f>
        <v>6% to 10%</v>
      </c>
      <c r="N644" s="3" t="str">
        <f t="shared" ref="N644:N707" si="43">IF(ROUND(D644*E644,2)=ROUND(F644,2),"OK","Check")</f>
        <v>OK</v>
      </c>
    </row>
    <row r="645" spans="1:14" x14ac:dyDescent="0.3">
      <c r="A645" s="2">
        <f>DATE(VALUE(RIGHT(TRIM([1]Raw_Data!A643),4)),VALUE(MID(TRIM([1]Raw_Data!A643),4,2)),VALUE(LEFT(TRIM([1]Raw_Data!A643),2)))</f>
        <v>44116</v>
      </c>
      <c r="B645" s="3" t="str">
        <f>TRIM([1]Raw_Data!B643)</f>
        <v>Vitamin C</v>
      </c>
      <c r="C645" s="3" t="str">
        <f>TRIM([1]Raw_Data!C643)</f>
        <v>Vitamin</v>
      </c>
      <c r="D645" s="3">
        <f>[1]Raw_Data!D643</f>
        <v>129</v>
      </c>
      <c r="E645" s="4">
        <f>[1]Raw_Data!E643</f>
        <v>56.63</v>
      </c>
      <c r="F645" s="5">
        <f>[1]Raw_Data!F643</f>
        <v>7305.27</v>
      </c>
      <c r="G645" s="4">
        <f>[1]Raw_Data!G643</f>
        <v>0.14000000000000001</v>
      </c>
      <c r="H645" s="3">
        <f>[1]Raw_Data!H643</f>
        <v>0</v>
      </c>
      <c r="I645" s="3" t="str">
        <f>TRIM([1]Raw_Data!I643)</f>
        <v>Canada</v>
      </c>
      <c r="J645" s="3" t="str">
        <f>TRIM([1]Raw_Data!J643)</f>
        <v>iHerb</v>
      </c>
      <c r="K645" s="3">
        <f t="shared" si="40"/>
        <v>2020</v>
      </c>
      <c r="L645" s="6">
        <f t="shared" si="41"/>
        <v>44105</v>
      </c>
      <c r="M645" s="3" t="str">
        <f t="shared" si="42"/>
        <v>11% to 15%</v>
      </c>
      <c r="N645" s="3" t="str">
        <f t="shared" si="43"/>
        <v>OK</v>
      </c>
    </row>
    <row r="646" spans="1:14" x14ac:dyDescent="0.3">
      <c r="A646" s="2">
        <f>DATE(VALUE(RIGHT(TRIM([1]Raw_Data!A644),4)),VALUE(MID(TRIM([1]Raw_Data!A644),4,2)),VALUE(LEFT(TRIM([1]Raw_Data!A644),2)))</f>
        <v>44116</v>
      </c>
      <c r="B646" s="3" t="str">
        <f>TRIM([1]Raw_Data!B644)</f>
        <v>Fish Oil</v>
      </c>
      <c r="C646" s="3" t="str">
        <f>TRIM([1]Raw_Data!C644)</f>
        <v>Omega</v>
      </c>
      <c r="D646" s="3">
        <f>[1]Raw_Data!D644</f>
        <v>153</v>
      </c>
      <c r="E646" s="4">
        <f>[1]Raw_Data!E644</f>
        <v>30.32</v>
      </c>
      <c r="F646" s="5">
        <f>[1]Raw_Data!F644</f>
        <v>4638.96</v>
      </c>
      <c r="G646" s="4">
        <f>[1]Raw_Data!G644</f>
        <v>0.22</v>
      </c>
      <c r="H646" s="3">
        <f>[1]Raw_Data!H644</f>
        <v>2</v>
      </c>
      <c r="I646" s="3" t="str">
        <f>TRIM([1]Raw_Data!I644)</f>
        <v>UK</v>
      </c>
      <c r="J646" s="3" t="str">
        <f>TRIM([1]Raw_Data!J644)</f>
        <v>Walmart</v>
      </c>
      <c r="K646" s="3">
        <f t="shared" si="40"/>
        <v>2020</v>
      </c>
      <c r="L646" s="6">
        <f t="shared" si="41"/>
        <v>44105</v>
      </c>
      <c r="M646" s="3" t="str">
        <f t="shared" si="42"/>
        <v>21% to 25%</v>
      </c>
      <c r="N646" s="3" t="str">
        <f t="shared" si="43"/>
        <v>OK</v>
      </c>
    </row>
    <row r="647" spans="1:14" x14ac:dyDescent="0.3">
      <c r="A647" s="2">
        <f>DATE(VALUE(RIGHT(TRIM([1]Raw_Data!A645),4)),VALUE(MID(TRIM([1]Raw_Data!A645),4,2)),VALUE(LEFT(TRIM([1]Raw_Data!A645),2)))</f>
        <v>44116</v>
      </c>
      <c r="B647" s="3" t="str">
        <f>TRIM([1]Raw_Data!B645)</f>
        <v>Multivitamin</v>
      </c>
      <c r="C647" s="3" t="str">
        <f>TRIM([1]Raw_Data!C645)</f>
        <v>Vitamin</v>
      </c>
      <c r="D647" s="3">
        <f>[1]Raw_Data!D645</f>
        <v>168</v>
      </c>
      <c r="E647" s="4">
        <f>[1]Raw_Data!E645</f>
        <v>16.559999999999999</v>
      </c>
      <c r="F647" s="5">
        <f>[1]Raw_Data!F645</f>
        <v>2782.08</v>
      </c>
      <c r="G647" s="4">
        <f>[1]Raw_Data!G645</f>
        <v>0.08</v>
      </c>
      <c r="H647" s="3">
        <f>[1]Raw_Data!H645</f>
        <v>1</v>
      </c>
      <c r="I647" s="3" t="str">
        <f>TRIM([1]Raw_Data!I645)</f>
        <v>USA</v>
      </c>
      <c r="J647" s="3" t="str">
        <f>TRIM([1]Raw_Data!J645)</f>
        <v>iHerb</v>
      </c>
      <c r="K647" s="3">
        <f t="shared" si="40"/>
        <v>2020</v>
      </c>
      <c r="L647" s="6">
        <f t="shared" si="41"/>
        <v>44105</v>
      </c>
      <c r="M647" s="3" t="str">
        <f t="shared" si="42"/>
        <v>6% to 10%</v>
      </c>
      <c r="N647" s="3" t="str">
        <f t="shared" si="43"/>
        <v>OK</v>
      </c>
    </row>
    <row r="648" spans="1:14" x14ac:dyDescent="0.3">
      <c r="A648" s="2">
        <f>DATE(VALUE(RIGHT(TRIM([1]Raw_Data!A646),4)),VALUE(MID(TRIM([1]Raw_Data!A646),4,2)),VALUE(LEFT(TRIM([1]Raw_Data!A646),2)))</f>
        <v>44116</v>
      </c>
      <c r="B648" s="3" t="str">
        <f>TRIM([1]Raw_Data!B646)</f>
        <v>Pre-Workout</v>
      </c>
      <c r="C648" s="3" t="str">
        <f>TRIM([1]Raw_Data!C646)</f>
        <v>Performance</v>
      </c>
      <c r="D648" s="3">
        <f>[1]Raw_Data!D646</f>
        <v>170</v>
      </c>
      <c r="E648" s="4">
        <f>[1]Raw_Data!E646</f>
        <v>43.82</v>
      </c>
      <c r="F648" s="5">
        <f>[1]Raw_Data!F646</f>
        <v>7449.4</v>
      </c>
      <c r="G648" s="4">
        <f>[1]Raw_Data!G646</f>
        <v>0.08</v>
      </c>
      <c r="H648" s="3">
        <f>[1]Raw_Data!H646</f>
        <v>1</v>
      </c>
      <c r="I648" s="3" t="str">
        <f>TRIM([1]Raw_Data!I646)</f>
        <v>Canada</v>
      </c>
      <c r="J648" s="3" t="str">
        <f>TRIM([1]Raw_Data!J646)</f>
        <v>Walmart</v>
      </c>
      <c r="K648" s="3">
        <f t="shared" si="40"/>
        <v>2020</v>
      </c>
      <c r="L648" s="6">
        <f t="shared" si="41"/>
        <v>44105</v>
      </c>
      <c r="M648" s="3" t="str">
        <f t="shared" si="42"/>
        <v>6% to 10%</v>
      </c>
      <c r="N648" s="3" t="str">
        <f t="shared" si="43"/>
        <v>OK</v>
      </c>
    </row>
    <row r="649" spans="1:14" x14ac:dyDescent="0.3">
      <c r="A649" s="2">
        <f>DATE(VALUE(RIGHT(TRIM([1]Raw_Data!A647),4)),VALUE(MID(TRIM([1]Raw_Data!A647),4,2)),VALUE(LEFT(TRIM([1]Raw_Data!A647),2)))</f>
        <v>44116</v>
      </c>
      <c r="B649" s="3" t="str">
        <f>TRIM([1]Raw_Data!B647)</f>
        <v>BCAA</v>
      </c>
      <c r="C649" s="3" t="str">
        <f>TRIM([1]Raw_Data!C647)</f>
        <v>Amino Acid</v>
      </c>
      <c r="D649" s="3">
        <f>[1]Raw_Data!D647</f>
        <v>160</v>
      </c>
      <c r="E649" s="4">
        <f>[1]Raw_Data!E647</f>
        <v>21.29</v>
      </c>
      <c r="F649" s="5">
        <f>[1]Raw_Data!F647</f>
        <v>3406.4</v>
      </c>
      <c r="G649" s="4">
        <f>[1]Raw_Data!G647</f>
        <v>0.15</v>
      </c>
      <c r="H649" s="3">
        <f>[1]Raw_Data!H647</f>
        <v>0</v>
      </c>
      <c r="I649" s="3" t="str">
        <f>TRIM([1]Raw_Data!I647)</f>
        <v>Canada</v>
      </c>
      <c r="J649" s="3" t="str">
        <f>TRIM([1]Raw_Data!J647)</f>
        <v>iHerb</v>
      </c>
      <c r="K649" s="3">
        <f t="shared" si="40"/>
        <v>2020</v>
      </c>
      <c r="L649" s="6">
        <f t="shared" si="41"/>
        <v>44105</v>
      </c>
      <c r="M649" s="3" t="str">
        <f t="shared" si="42"/>
        <v>11% to 15%</v>
      </c>
      <c r="N649" s="3" t="str">
        <f t="shared" si="43"/>
        <v>OK</v>
      </c>
    </row>
    <row r="650" spans="1:14" x14ac:dyDescent="0.3">
      <c r="A650" s="2">
        <f>DATE(VALUE(RIGHT(TRIM([1]Raw_Data!A648),4)),VALUE(MID(TRIM([1]Raw_Data!A648),4,2)),VALUE(LEFT(TRIM([1]Raw_Data!A648),2)))</f>
        <v>44116</v>
      </c>
      <c r="B650" s="3" t="str">
        <f>TRIM([1]Raw_Data!B648)</f>
        <v>Creatine</v>
      </c>
      <c r="C650" s="3" t="str">
        <f>TRIM([1]Raw_Data!C648)</f>
        <v>Performance</v>
      </c>
      <c r="D650" s="3">
        <f>[1]Raw_Data!D648</f>
        <v>144</v>
      </c>
      <c r="E650" s="4">
        <f>[1]Raw_Data!E648</f>
        <v>17.399999999999999</v>
      </c>
      <c r="F650" s="5">
        <f>[1]Raw_Data!F648</f>
        <v>2505.6</v>
      </c>
      <c r="G650" s="4">
        <f>[1]Raw_Data!G648</f>
        <v>0.25</v>
      </c>
      <c r="H650" s="3">
        <f>[1]Raw_Data!H648</f>
        <v>0</v>
      </c>
      <c r="I650" s="3" t="str">
        <f>TRIM([1]Raw_Data!I648)</f>
        <v>UK</v>
      </c>
      <c r="J650" s="3" t="str">
        <f>TRIM([1]Raw_Data!J648)</f>
        <v>iHerb</v>
      </c>
      <c r="K650" s="3">
        <f t="shared" si="40"/>
        <v>2020</v>
      </c>
      <c r="L650" s="6">
        <f t="shared" si="41"/>
        <v>44105</v>
      </c>
      <c r="M650" s="3" t="str">
        <f t="shared" si="42"/>
        <v>21% to 25%</v>
      </c>
      <c r="N650" s="3" t="str">
        <f t="shared" si="43"/>
        <v>OK</v>
      </c>
    </row>
    <row r="651" spans="1:14" x14ac:dyDescent="0.3">
      <c r="A651" s="2">
        <f>DATE(VALUE(RIGHT(TRIM([1]Raw_Data!A649),4)),VALUE(MID(TRIM([1]Raw_Data!A649),4,2)),VALUE(LEFT(TRIM([1]Raw_Data!A649),2)))</f>
        <v>44116</v>
      </c>
      <c r="B651" s="3" t="str">
        <f>TRIM([1]Raw_Data!B649)</f>
        <v>Zinc</v>
      </c>
      <c r="C651" s="3" t="str">
        <f>TRIM([1]Raw_Data!C649)</f>
        <v>Mineral</v>
      </c>
      <c r="D651" s="3">
        <f>[1]Raw_Data!D649</f>
        <v>134</v>
      </c>
      <c r="E651" s="4">
        <f>[1]Raw_Data!E649</f>
        <v>48.45</v>
      </c>
      <c r="F651" s="5">
        <f>[1]Raw_Data!F649</f>
        <v>6492.3</v>
      </c>
      <c r="G651" s="4">
        <f>[1]Raw_Data!G649</f>
        <v>0.11</v>
      </c>
      <c r="H651" s="3">
        <f>[1]Raw_Data!H649</f>
        <v>1</v>
      </c>
      <c r="I651" s="3" t="str">
        <f>TRIM([1]Raw_Data!I649)</f>
        <v>Canada</v>
      </c>
      <c r="J651" s="3" t="str">
        <f>TRIM([1]Raw_Data!J649)</f>
        <v>Walmart</v>
      </c>
      <c r="K651" s="3">
        <f t="shared" si="40"/>
        <v>2020</v>
      </c>
      <c r="L651" s="6">
        <f t="shared" si="41"/>
        <v>44105</v>
      </c>
      <c r="M651" s="3" t="str">
        <f t="shared" si="42"/>
        <v>11% to 15%</v>
      </c>
      <c r="N651" s="3" t="str">
        <f t="shared" si="43"/>
        <v>OK</v>
      </c>
    </row>
    <row r="652" spans="1:14" x14ac:dyDescent="0.3">
      <c r="A652" s="2">
        <f>DATE(VALUE(RIGHT(TRIM([1]Raw_Data!A650),4)),VALUE(MID(TRIM([1]Raw_Data!A650),4,2)),VALUE(LEFT(TRIM([1]Raw_Data!A650),2)))</f>
        <v>44116</v>
      </c>
      <c r="B652" s="3" t="str">
        <f>TRIM([1]Raw_Data!B650)</f>
        <v>Collagen Peptides</v>
      </c>
      <c r="C652" s="3" t="str">
        <f>TRIM([1]Raw_Data!C650)</f>
        <v>Protein</v>
      </c>
      <c r="D652" s="3">
        <f>[1]Raw_Data!D650</f>
        <v>148</v>
      </c>
      <c r="E652" s="4">
        <f>[1]Raw_Data!E650</f>
        <v>54.26</v>
      </c>
      <c r="F652" s="5">
        <f>[1]Raw_Data!F650</f>
        <v>8030.48</v>
      </c>
      <c r="G652" s="4">
        <f>[1]Raw_Data!G650</f>
        <v>0.02</v>
      </c>
      <c r="H652" s="3">
        <f>[1]Raw_Data!H650</f>
        <v>1</v>
      </c>
      <c r="I652" s="3" t="str">
        <f>TRIM([1]Raw_Data!I650)</f>
        <v>UK</v>
      </c>
      <c r="J652" s="3" t="str">
        <f>TRIM([1]Raw_Data!J650)</f>
        <v>iHerb</v>
      </c>
      <c r="K652" s="3">
        <f t="shared" si="40"/>
        <v>2020</v>
      </c>
      <c r="L652" s="6">
        <f t="shared" si="41"/>
        <v>44105</v>
      </c>
      <c r="M652" s="3" t="str">
        <f t="shared" si="42"/>
        <v>0% to 5%</v>
      </c>
      <c r="N652" s="3" t="str">
        <f t="shared" si="43"/>
        <v>OK</v>
      </c>
    </row>
    <row r="653" spans="1:14" x14ac:dyDescent="0.3">
      <c r="A653" s="2">
        <f>DATE(VALUE(RIGHT(TRIM([1]Raw_Data!A651),4)),VALUE(MID(TRIM([1]Raw_Data!A651),4,2)),VALUE(LEFT(TRIM([1]Raw_Data!A651),2)))</f>
        <v>44116</v>
      </c>
      <c r="B653" s="3" t="str">
        <f>TRIM([1]Raw_Data!B651)</f>
        <v>Magnesium</v>
      </c>
      <c r="C653" s="3" t="str">
        <f>TRIM([1]Raw_Data!C651)</f>
        <v>Mineral</v>
      </c>
      <c r="D653" s="3">
        <f>[1]Raw_Data!D651</f>
        <v>170</v>
      </c>
      <c r="E653" s="4">
        <f>[1]Raw_Data!E651</f>
        <v>51.48</v>
      </c>
      <c r="F653" s="5">
        <f>[1]Raw_Data!F651</f>
        <v>8751.6</v>
      </c>
      <c r="G653" s="4">
        <f>[1]Raw_Data!G651</f>
        <v>0.03</v>
      </c>
      <c r="H653" s="3">
        <f>[1]Raw_Data!H651</f>
        <v>4</v>
      </c>
      <c r="I653" s="3" t="str">
        <f>TRIM([1]Raw_Data!I651)</f>
        <v>USA</v>
      </c>
      <c r="J653" s="3" t="str">
        <f>TRIM([1]Raw_Data!J651)</f>
        <v>Amazon</v>
      </c>
      <c r="K653" s="3">
        <f t="shared" si="40"/>
        <v>2020</v>
      </c>
      <c r="L653" s="6">
        <f t="shared" si="41"/>
        <v>44105</v>
      </c>
      <c r="M653" s="3" t="str">
        <f t="shared" si="42"/>
        <v>0% to 5%</v>
      </c>
      <c r="N653" s="3" t="str">
        <f t="shared" si="43"/>
        <v>OK</v>
      </c>
    </row>
    <row r="654" spans="1:14" x14ac:dyDescent="0.3">
      <c r="A654" s="2">
        <f>DATE(VALUE(RIGHT(TRIM([1]Raw_Data!A652),4)),VALUE(MID(TRIM([1]Raw_Data!A652),4,2)),VALUE(LEFT(TRIM([1]Raw_Data!A652),2)))</f>
        <v>44116</v>
      </c>
      <c r="B654" s="3" t="str">
        <f>TRIM([1]Raw_Data!B652)</f>
        <v>Ashwagandha</v>
      </c>
      <c r="C654" s="3" t="str">
        <f>TRIM([1]Raw_Data!C652)</f>
        <v>Herbal</v>
      </c>
      <c r="D654" s="3">
        <f>[1]Raw_Data!D652</f>
        <v>156</v>
      </c>
      <c r="E654" s="4">
        <f>[1]Raw_Data!E652</f>
        <v>56.91</v>
      </c>
      <c r="F654" s="5">
        <f>[1]Raw_Data!F652</f>
        <v>8877.9599999999991</v>
      </c>
      <c r="G654" s="4">
        <f>[1]Raw_Data!G652</f>
        <v>7.0000000000000007E-2</v>
      </c>
      <c r="H654" s="3">
        <f>[1]Raw_Data!H652</f>
        <v>1</v>
      </c>
      <c r="I654" s="3" t="str">
        <f>TRIM([1]Raw_Data!I652)</f>
        <v>Canada</v>
      </c>
      <c r="J654" s="3" t="str">
        <f>TRIM([1]Raw_Data!J652)</f>
        <v>Amazon</v>
      </c>
      <c r="K654" s="3">
        <f t="shared" si="40"/>
        <v>2020</v>
      </c>
      <c r="L654" s="6">
        <f t="shared" si="41"/>
        <v>44105</v>
      </c>
      <c r="M654" s="3" t="str">
        <f t="shared" si="42"/>
        <v>6% to 10%</v>
      </c>
      <c r="N654" s="3" t="str">
        <f t="shared" si="43"/>
        <v>OK</v>
      </c>
    </row>
    <row r="655" spans="1:14" x14ac:dyDescent="0.3">
      <c r="A655" s="2">
        <f>DATE(VALUE(RIGHT(TRIM([1]Raw_Data!A653),4)),VALUE(MID(TRIM([1]Raw_Data!A653),4,2)),VALUE(LEFT(TRIM([1]Raw_Data!A653),2)))</f>
        <v>44116</v>
      </c>
      <c r="B655" s="3" t="str">
        <f>TRIM([1]Raw_Data!B653)</f>
        <v>Melatonin</v>
      </c>
      <c r="C655" s="3" t="str">
        <f>TRIM([1]Raw_Data!C653)</f>
        <v>Sleep Aid</v>
      </c>
      <c r="D655" s="3">
        <f>[1]Raw_Data!D653</f>
        <v>157</v>
      </c>
      <c r="E655" s="4">
        <f>[1]Raw_Data!E653</f>
        <v>56.47</v>
      </c>
      <c r="F655" s="5">
        <f>[1]Raw_Data!F653</f>
        <v>8865.7900000000009</v>
      </c>
      <c r="G655" s="4">
        <f>[1]Raw_Data!G653</f>
        <v>0.05</v>
      </c>
      <c r="H655" s="3">
        <f>[1]Raw_Data!H653</f>
        <v>3</v>
      </c>
      <c r="I655" s="3" t="str">
        <f>TRIM([1]Raw_Data!I653)</f>
        <v>Canada</v>
      </c>
      <c r="J655" s="3" t="str">
        <f>TRIM([1]Raw_Data!J653)</f>
        <v>iHerb</v>
      </c>
      <c r="K655" s="3">
        <f t="shared" si="40"/>
        <v>2020</v>
      </c>
      <c r="L655" s="6">
        <f t="shared" si="41"/>
        <v>44105</v>
      </c>
      <c r="M655" s="3" t="str">
        <f t="shared" si="42"/>
        <v>0% to 5%</v>
      </c>
      <c r="N655" s="3" t="str">
        <f t="shared" si="43"/>
        <v>OK</v>
      </c>
    </row>
    <row r="656" spans="1:14" x14ac:dyDescent="0.3">
      <c r="A656" s="2">
        <f>DATE(VALUE(RIGHT(TRIM([1]Raw_Data!A654),4)),VALUE(MID(TRIM([1]Raw_Data!A654),4,2)),VALUE(LEFT(TRIM([1]Raw_Data!A654),2)))</f>
        <v>44116</v>
      </c>
      <c r="B656" s="3" t="str">
        <f>TRIM([1]Raw_Data!B654)</f>
        <v>Biotin</v>
      </c>
      <c r="C656" s="3" t="str">
        <f>TRIM([1]Raw_Data!C654)</f>
        <v>Vitamin</v>
      </c>
      <c r="D656" s="3">
        <f>[1]Raw_Data!D654</f>
        <v>159</v>
      </c>
      <c r="E656" s="4">
        <f>[1]Raw_Data!E654</f>
        <v>29.36</v>
      </c>
      <c r="F656" s="5">
        <f>[1]Raw_Data!F654</f>
        <v>4668.24</v>
      </c>
      <c r="G656" s="4">
        <f>[1]Raw_Data!G654</f>
        <v>7.0000000000000007E-2</v>
      </c>
      <c r="H656" s="3">
        <f>[1]Raw_Data!H654</f>
        <v>1</v>
      </c>
      <c r="I656" s="3" t="str">
        <f>TRIM([1]Raw_Data!I654)</f>
        <v>UK</v>
      </c>
      <c r="J656" s="3" t="str">
        <f>TRIM([1]Raw_Data!J654)</f>
        <v>Walmart</v>
      </c>
      <c r="K656" s="3">
        <f t="shared" si="40"/>
        <v>2020</v>
      </c>
      <c r="L656" s="6">
        <f t="shared" si="41"/>
        <v>44105</v>
      </c>
      <c r="M656" s="3" t="str">
        <f t="shared" si="42"/>
        <v>6% to 10%</v>
      </c>
      <c r="N656" s="3" t="str">
        <f t="shared" si="43"/>
        <v>OK</v>
      </c>
    </row>
    <row r="657" spans="1:14" x14ac:dyDescent="0.3">
      <c r="A657" s="2">
        <f>DATE(VALUE(RIGHT(TRIM([1]Raw_Data!A655),4)),VALUE(MID(TRIM([1]Raw_Data!A655),4,2)),VALUE(LEFT(TRIM([1]Raw_Data!A655),2)))</f>
        <v>44116</v>
      </c>
      <c r="B657" s="3" t="str">
        <f>TRIM([1]Raw_Data!B655)</f>
        <v>Green Tea Extract</v>
      </c>
      <c r="C657" s="3" t="str">
        <f>TRIM([1]Raw_Data!C655)</f>
        <v>Fat Burner</v>
      </c>
      <c r="D657" s="3">
        <f>[1]Raw_Data!D655</f>
        <v>146</v>
      </c>
      <c r="E657" s="4">
        <f>[1]Raw_Data!E655</f>
        <v>31.73</v>
      </c>
      <c r="F657" s="5">
        <f>[1]Raw_Data!F655</f>
        <v>4632.58</v>
      </c>
      <c r="G657" s="4">
        <f>[1]Raw_Data!G655</f>
        <v>0.22</v>
      </c>
      <c r="H657" s="3">
        <f>[1]Raw_Data!H655</f>
        <v>0</v>
      </c>
      <c r="I657" s="3" t="str">
        <f>TRIM([1]Raw_Data!I655)</f>
        <v>USA</v>
      </c>
      <c r="J657" s="3" t="str">
        <f>TRIM([1]Raw_Data!J655)</f>
        <v>iHerb</v>
      </c>
      <c r="K657" s="3">
        <f t="shared" si="40"/>
        <v>2020</v>
      </c>
      <c r="L657" s="6">
        <f t="shared" si="41"/>
        <v>44105</v>
      </c>
      <c r="M657" s="3" t="str">
        <f t="shared" si="42"/>
        <v>21% to 25%</v>
      </c>
      <c r="N657" s="3" t="str">
        <f t="shared" si="43"/>
        <v>OK</v>
      </c>
    </row>
    <row r="658" spans="1:14" x14ac:dyDescent="0.3">
      <c r="A658" s="2">
        <f>DATE(VALUE(RIGHT(TRIM([1]Raw_Data!A656),4)),VALUE(MID(TRIM([1]Raw_Data!A656),4,2)),VALUE(LEFT(TRIM([1]Raw_Data!A656),2)))</f>
        <v>44116</v>
      </c>
      <c r="B658" s="3" t="str">
        <f>TRIM([1]Raw_Data!B656)</f>
        <v>Iron Supplement</v>
      </c>
      <c r="C658" s="3" t="str">
        <f>TRIM([1]Raw_Data!C656)</f>
        <v>Mineral</v>
      </c>
      <c r="D658" s="3">
        <f>[1]Raw_Data!D656</f>
        <v>177</v>
      </c>
      <c r="E658" s="4">
        <f>[1]Raw_Data!E656</f>
        <v>26.31</v>
      </c>
      <c r="F658" s="5">
        <f>[1]Raw_Data!F656</f>
        <v>4656.87</v>
      </c>
      <c r="G658" s="4">
        <f>[1]Raw_Data!G656</f>
        <v>0.19</v>
      </c>
      <c r="H658" s="3">
        <f>[1]Raw_Data!H656</f>
        <v>1</v>
      </c>
      <c r="I658" s="3" t="str">
        <f>TRIM([1]Raw_Data!I656)</f>
        <v>UK</v>
      </c>
      <c r="J658" s="3" t="str">
        <f>TRIM([1]Raw_Data!J656)</f>
        <v>iHerb</v>
      </c>
      <c r="K658" s="3">
        <f t="shared" si="40"/>
        <v>2020</v>
      </c>
      <c r="L658" s="6">
        <f t="shared" si="41"/>
        <v>44105</v>
      </c>
      <c r="M658" s="3" t="str">
        <f t="shared" si="42"/>
        <v>16% to 20%</v>
      </c>
      <c r="N658" s="3" t="str">
        <f t="shared" si="43"/>
        <v>OK</v>
      </c>
    </row>
    <row r="659" spans="1:14" x14ac:dyDescent="0.3">
      <c r="A659" s="2">
        <f>DATE(VALUE(RIGHT(TRIM([1]Raw_Data!A657),4)),VALUE(MID(TRIM([1]Raw_Data!A657),4,2)),VALUE(LEFT(TRIM([1]Raw_Data!A657),2)))</f>
        <v>44116</v>
      </c>
      <c r="B659" s="3" t="str">
        <f>TRIM([1]Raw_Data!B657)</f>
        <v>Electrolyte Powder</v>
      </c>
      <c r="C659" s="3" t="str">
        <f>TRIM([1]Raw_Data!C657)</f>
        <v>Hydration</v>
      </c>
      <c r="D659" s="3">
        <f>[1]Raw_Data!D657</f>
        <v>154</v>
      </c>
      <c r="E659" s="4">
        <f>[1]Raw_Data!E657</f>
        <v>47.12</v>
      </c>
      <c r="F659" s="5">
        <f>[1]Raw_Data!F657</f>
        <v>7256.48</v>
      </c>
      <c r="G659" s="4">
        <f>[1]Raw_Data!G657</f>
        <v>0.06</v>
      </c>
      <c r="H659" s="3">
        <f>[1]Raw_Data!H657</f>
        <v>0</v>
      </c>
      <c r="I659" s="3" t="str">
        <f>TRIM([1]Raw_Data!I657)</f>
        <v>USA</v>
      </c>
      <c r="J659" s="3" t="str">
        <f>TRIM([1]Raw_Data!J657)</f>
        <v>Amazon</v>
      </c>
      <c r="K659" s="3">
        <f t="shared" si="40"/>
        <v>2020</v>
      </c>
      <c r="L659" s="6">
        <f t="shared" si="41"/>
        <v>44105</v>
      </c>
      <c r="M659" s="3" t="str">
        <f t="shared" si="42"/>
        <v>6% to 10%</v>
      </c>
      <c r="N659" s="3" t="str">
        <f t="shared" si="43"/>
        <v>OK</v>
      </c>
    </row>
    <row r="660" spans="1:14" x14ac:dyDescent="0.3">
      <c r="A660" s="2">
        <f>DATE(VALUE(RIGHT(TRIM([1]Raw_Data!A658),4)),VALUE(MID(TRIM([1]Raw_Data!A658),4,2)),VALUE(LEFT(TRIM([1]Raw_Data!A658),2)))</f>
        <v>44123</v>
      </c>
      <c r="B660" s="3" t="str">
        <f>TRIM([1]Raw_Data!B658)</f>
        <v>Whey Protein</v>
      </c>
      <c r="C660" s="3" t="str">
        <f>TRIM([1]Raw_Data!C658)</f>
        <v>Protein</v>
      </c>
      <c r="D660" s="3">
        <f>[1]Raw_Data!D658</f>
        <v>143</v>
      </c>
      <c r="E660" s="4">
        <f>[1]Raw_Data!E658</f>
        <v>18.399999999999999</v>
      </c>
      <c r="F660" s="5">
        <f>[1]Raw_Data!F658</f>
        <v>2631.2</v>
      </c>
      <c r="G660" s="4">
        <f>[1]Raw_Data!G658</f>
        <v>0.09</v>
      </c>
      <c r="H660" s="3">
        <f>[1]Raw_Data!H658</f>
        <v>1</v>
      </c>
      <c r="I660" s="3" t="str">
        <f>TRIM([1]Raw_Data!I658)</f>
        <v>Canada</v>
      </c>
      <c r="J660" s="3" t="str">
        <f>TRIM([1]Raw_Data!J658)</f>
        <v>Walmart</v>
      </c>
      <c r="K660" s="3">
        <f t="shared" si="40"/>
        <v>2020</v>
      </c>
      <c r="L660" s="6">
        <f t="shared" si="41"/>
        <v>44105</v>
      </c>
      <c r="M660" s="3" t="str">
        <f t="shared" si="42"/>
        <v>6% to 10%</v>
      </c>
      <c r="N660" s="3" t="str">
        <f t="shared" si="43"/>
        <v>OK</v>
      </c>
    </row>
    <row r="661" spans="1:14" x14ac:dyDescent="0.3">
      <c r="A661" s="2">
        <f>DATE(VALUE(RIGHT(TRIM([1]Raw_Data!A659),4)),VALUE(MID(TRIM([1]Raw_Data!A659),4,2)),VALUE(LEFT(TRIM([1]Raw_Data!A659),2)))</f>
        <v>44123</v>
      </c>
      <c r="B661" s="3" t="str">
        <f>TRIM([1]Raw_Data!B659)</f>
        <v>Vitamin C</v>
      </c>
      <c r="C661" s="3" t="str">
        <f>TRIM([1]Raw_Data!C659)</f>
        <v>Vitamin</v>
      </c>
      <c r="D661" s="3">
        <f>[1]Raw_Data!D659</f>
        <v>124</v>
      </c>
      <c r="E661" s="4">
        <f>[1]Raw_Data!E659</f>
        <v>54.22</v>
      </c>
      <c r="F661" s="5">
        <f>[1]Raw_Data!F659</f>
        <v>6723.28</v>
      </c>
      <c r="G661" s="4">
        <f>[1]Raw_Data!G659</f>
        <v>0.04</v>
      </c>
      <c r="H661" s="3">
        <f>[1]Raw_Data!H659</f>
        <v>1</v>
      </c>
      <c r="I661" s="3" t="str">
        <f>TRIM([1]Raw_Data!I659)</f>
        <v>UK</v>
      </c>
      <c r="J661" s="3" t="str">
        <f>TRIM([1]Raw_Data!J659)</f>
        <v>Walmart</v>
      </c>
      <c r="K661" s="3">
        <f t="shared" si="40"/>
        <v>2020</v>
      </c>
      <c r="L661" s="6">
        <f t="shared" si="41"/>
        <v>44105</v>
      </c>
      <c r="M661" s="3" t="str">
        <f t="shared" si="42"/>
        <v>0% to 5%</v>
      </c>
      <c r="N661" s="3" t="str">
        <f t="shared" si="43"/>
        <v>OK</v>
      </c>
    </row>
    <row r="662" spans="1:14" x14ac:dyDescent="0.3">
      <c r="A662" s="2">
        <f>DATE(VALUE(RIGHT(TRIM([1]Raw_Data!A660),4)),VALUE(MID(TRIM([1]Raw_Data!A660),4,2)),VALUE(LEFT(TRIM([1]Raw_Data!A660),2)))</f>
        <v>44123</v>
      </c>
      <c r="B662" s="3" t="str">
        <f>TRIM([1]Raw_Data!B660)</f>
        <v>Fish Oil</v>
      </c>
      <c r="C662" s="3" t="str">
        <f>TRIM([1]Raw_Data!C660)</f>
        <v>Omega</v>
      </c>
      <c r="D662" s="3">
        <f>[1]Raw_Data!D660</f>
        <v>156</v>
      </c>
      <c r="E662" s="4">
        <f>[1]Raw_Data!E660</f>
        <v>45.05</v>
      </c>
      <c r="F662" s="5">
        <f>[1]Raw_Data!F660</f>
        <v>7027.8</v>
      </c>
      <c r="G662" s="4">
        <f>[1]Raw_Data!G660</f>
        <v>0.1</v>
      </c>
      <c r="H662" s="3">
        <f>[1]Raw_Data!H660</f>
        <v>1</v>
      </c>
      <c r="I662" s="3" t="str">
        <f>TRIM([1]Raw_Data!I660)</f>
        <v>UK</v>
      </c>
      <c r="J662" s="3" t="str">
        <f>TRIM([1]Raw_Data!J660)</f>
        <v>iHerb</v>
      </c>
      <c r="K662" s="3">
        <f t="shared" si="40"/>
        <v>2020</v>
      </c>
      <c r="L662" s="6">
        <f t="shared" si="41"/>
        <v>44105</v>
      </c>
      <c r="M662" s="3" t="str">
        <f t="shared" si="42"/>
        <v>6% to 10%</v>
      </c>
      <c r="N662" s="3" t="str">
        <f t="shared" si="43"/>
        <v>OK</v>
      </c>
    </row>
    <row r="663" spans="1:14" x14ac:dyDescent="0.3">
      <c r="A663" s="2">
        <f>DATE(VALUE(RIGHT(TRIM([1]Raw_Data!A661),4)),VALUE(MID(TRIM([1]Raw_Data!A661),4,2)),VALUE(LEFT(TRIM([1]Raw_Data!A661),2)))</f>
        <v>44123</v>
      </c>
      <c r="B663" s="3" t="str">
        <f>TRIM([1]Raw_Data!B661)</f>
        <v>Multivitamin</v>
      </c>
      <c r="C663" s="3" t="str">
        <f>TRIM([1]Raw_Data!C661)</f>
        <v>Vitamin</v>
      </c>
      <c r="D663" s="3">
        <f>[1]Raw_Data!D661</f>
        <v>156</v>
      </c>
      <c r="E663" s="4">
        <f>[1]Raw_Data!E661</f>
        <v>28.41</v>
      </c>
      <c r="F663" s="5">
        <f>[1]Raw_Data!F661</f>
        <v>4431.96</v>
      </c>
      <c r="G663" s="4">
        <f>[1]Raw_Data!G661</f>
        <v>0.24</v>
      </c>
      <c r="H663" s="3">
        <f>[1]Raw_Data!H661</f>
        <v>1</v>
      </c>
      <c r="I663" s="3" t="str">
        <f>TRIM([1]Raw_Data!I661)</f>
        <v>UK</v>
      </c>
      <c r="J663" s="3" t="str">
        <f>TRIM([1]Raw_Data!J661)</f>
        <v>Amazon</v>
      </c>
      <c r="K663" s="3">
        <f t="shared" si="40"/>
        <v>2020</v>
      </c>
      <c r="L663" s="6">
        <f t="shared" si="41"/>
        <v>44105</v>
      </c>
      <c r="M663" s="3" t="str">
        <f t="shared" si="42"/>
        <v>21% to 25%</v>
      </c>
      <c r="N663" s="3" t="str">
        <f t="shared" si="43"/>
        <v>OK</v>
      </c>
    </row>
    <row r="664" spans="1:14" x14ac:dyDescent="0.3">
      <c r="A664" s="2">
        <f>DATE(VALUE(RIGHT(TRIM([1]Raw_Data!A662),4)),VALUE(MID(TRIM([1]Raw_Data!A662),4,2)),VALUE(LEFT(TRIM([1]Raw_Data!A662),2)))</f>
        <v>44123</v>
      </c>
      <c r="B664" s="3" t="str">
        <f>TRIM([1]Raw_Data!B662)</f>
        <v>Pre-Workout</v>
      </c>
      <c r="C664" s="3" t="str">
        <f>TRIM([1]Raw_Data!C662)</f>
        <v>Performance</v>
      </c>
      <c r="D664" s="3">
        <f>[1]Raw_Data!D662</f>
        <v>150</v>
      </c>
      <c r="E664" s="4">
        <f>[1]Raw_Data!E662</f>
        <v>45.86</v>
      </c>
      <c r="F664" s="5">
        <f>[1]Raw_Data!F662</f>
        <v>6879</v>
      </c>
      <c r="G664" s="4">
        <f>[1]Raw_Data!G662</f>
        <v>0.15</v>
      </c>
      <c r="H664" s="3">
        <f>[1]Raw_Data!H662</f>
        <v>2</v>
      </c>
      <c r="I664" s="3" t="str">
        <f>TRIM([1]Raw_Data!I662)</f>
        <v>USA</v>
      </c>
      <c r="J664" s="3" t="str">
        <f>TRIM([1]Raw_Data!J662)</f>
        <v>iHerb</v>
      </c>
      <c r="K664" s="3">
        <f t="shared" si="40"/>
        <v>2020</v>
      </c>
      <c r="L664" s="6">
        <f t="shared" si="41"/>
        <v>44105</v>
      </c>
      <c r="M664" s="3" t="str">
        <f t="shared" si="42"/>
        <v>11% to 15%</v>
      </c>
      <c r="N664" s="3" t="str">
        <f t="shared" si="43"/>
        <v>OK</v>
      </c>
    </row>
    <row r="665" spans="1:14" x14ac:dyDescent="0.3">
      <c r="A665" s="2">
        <f>DATE(VALUE(RIGHT(TRIM([1]Raw_Data!A663),4)),VALUE(MID(TRIM([1]Raw_Data!A663),4,2)),VALUE(LEFT(TRIM([1]Raw_Data!A663),2)))</f>
        <v>44123</v>
      </c>
      <c r="B665" s="3" t="str">
        <f>TRIM([1]Raw_Data!B663)</f>
        <v>BCAA</v>
      </c>
      <c r="C665" s="3" t="str">
        <f>TRIM([1]Raw_Data!C663)</f>
        <v>Amino Acid</v>
      </c>
      <c r="D665" s="3">
        <f>[1]Raw_Data!D663</f>
        <v>166</v>
      </c>
      <c r="E665" s="4">
        <f>[1]Raw_Data!E663</f>
        <v>33.76</v>
      </c>
      <c r="F665" s="5">
        <f>[1]Raw_Data!F663</f>
        <v>5604.16</v>
      </c>
      <c r="G665" s="4">
        <f>[1]Raw_Data!G663</f>
        <v>0.1</v>
      </c>
      <c r="H665" s="3">
        <f>[1]Raw_Data!H663</f>
        <v>4</v>
      </c>
      <c r="I665" s="3" t="str">
        <f>TRIM([1]Raw_Data!I663)</f>
        <v>UK</v>
      </c>
      <c r="J665" s="3" t="str">
        <f>TRIM([1]Raw_Data!J663)</f>
        <v>Walmart</v>
      </c>
      <c r="K665" s="3">
        <f t="shared" si="40"/>
        <v>2020</v>
      </c>
      <c r="L665" s="6">
        <f t="shared" si="41"/>
        <v>44105</v>
      </c>
      <c r="M665" s="3" t="str">
        <f t="shared" si="42"/>
        <v>6% to 10%</v>
      </c>
      <c r="N665" s="3" t="str">
        <f t="shared" si="43"/>
        <v>OK</v>
      </c>
    </row>
    <row r="666" spans="1:14" x14ac:dyDescent="0.3">
      <c r="A666" s="2">
        <f>DATE(VALUE(RIGHT(TRIM([1]Raw_Data!A664),4)),VALUE(MID(TRIM([1]Raw_Data!A664),4,2)),VALUE(LEFT(TRIM([1]Raw_Data!A664),2)))</f>
        <v>44123</v>
      </c>
      <c r="B666" s="3" t="str">
        <f>TRIM([1]Raw_Data!B664)</f>
        <v>Creatine</v>
      </c>
      <c r="C666" s="3" t="str">
        <f>TRIM([1]Raw_Data!C664)</f>
        <v>Performance</v>
      </c>
      <c r="D666" s="3">
        <f>[1]Raw_Data!D664</f>
        <v>157</v>
      </c>
      <c r="E666" s="4">
        <f>[1]Raw_Data!E664</f>
        <v>53.15</v>
      </c>
      <c r="F666" s="5">
        <f>[1]Raw_Data!F664</f>
        <v>8344.5499999999993</v>
      </c>
      <c r="G666" s="4">
        <f>[1]Raw_Data!G664</f>
        <v>0.12</v>
      </c>
      <c r="H666" s="3">
        <f>[1]Raw_Data!H664</f>
        <v>0</v>
      </c>
      <c r="I666" s="3" t="str">
        <f>TRIM([1]Raw_Data!I664)</f>
        <v>UK</v>
      </c>
      <c r="J666" s="3" t="str">
        <f>TRIM([1]Raw_Data!J664)</f>
        <v>iHerb</v>
      </c>
      <c r="K666" s="3">
        <f t="shared" si="40"/>
        <v>2020</v>
      </c>
      <c r="L666" s="6">
        <f t="shared" si="41"/>
        <v>44105</v>
      </c>
      <c r="M666" s="3" t="str">
        <f t="shared" si="42"/>
        <v>11% to 15%</v>
      </c>
      <c r="N666" s="3" t="str">
        <f t="shared" si="43"/>
        <v>OK</v>
      </c>
    </row>
    <row r="667" spans="1:14" x14ac:dyDescent="0.3">
      <c r="A667" s="2">
        <f>DATE(VALUE(RIGHT(TRIM([1]Raw_Data!A665),4)),VALUE(MID(TRIM([1]Raw_Data!A665),4,2)),VALUE(LEFT(TRIM([1]Raw_Data!A665),2)))</f>
        <v>44123</v>
      </c>
      <c r="B667" s="3" t="str">
        <f>TRIM([1]Raw_Data!B665)</f>
        <v>Zinc</v>
      </c>
      <c r="C667" s="3" t="str">
        <f>TRIM([1]Raw_Data!C665)</f>
        <v>Mineral</v>
      </c>
      <c r="D667" s="3">
        <f>[1]Raw_Data!D665</f>
        <v>152</v>
      </c>
      <c r="E667" s="4">
        <f>[1]Raw_Data!E665</f>
        <v>53.89</v>
      </c>
      <c r="F667" s="5">
        <f>[1]Raw_Data!F665</f>
        <v>8191.28</v>
      </c>
      <c r="G667" s="4">
        <f>[1]Raw_Data!G665</f>
        <v>0.05</v>
      </c>
      <c r="H667" s="3">
        <f>[1]Raw_Data!H665</f>
        <v>3</v>
      </c>
      <c r="I667" s="3" t="str">
        <f>TRIM([1]Raw_Data!I665)</f>
        <v>USA</v>
      </c>
      <c r="J667" s="3" t="str">
        <f>TRIM([1]Raw_Data!J665)</f>
        <v>Walmart</v>
      </c>
      <c r="K667" s="3">
        <f t="shared" si="40"/>
        <v>2020</v>
      </c>
      <c r="L667" s="6">
        <f t="shared" si="41"/>
        <v>44105</v>
      </c>
      <c r="M667" s="3" t="str">
        <f t="shared" si="42"/>
        <v>0% to 5%</v>
      </c>
      <c r="N667" s="3" t="str">
        <f t="shared" si="43"/>
        <v>OK</v>
      </c>
    </row>
    <row r="668" spans="1:14" x14ac:dyDescent="0.3">
      <c r="A668" s="2">
        <f>DATE(VALUE(RIGHT(TRIM([1]Raw_Data!A666),4)),VALUE(MID(TRIM([1]Raw_Data!A666),4,2)),VALUE(LEFT(TRIM([1]Raw_Data!A666),2)))</f>
        <v>44123</v>
      </c>
      <c r="B668" s="3" t="str">
        <f>TRIM([1]Raw_Data!B666)</f>
        <v>Collagen Peptides</v>
      </c>
      <c r="C668" s="3" t="str">
        <f>TRIM([1]Raw_Data!C666)</f>
        <v>Protein</v>
      </c>
      <c r="D668" s="3">
        <f>[1]Raw_Data!D666</f>
        <v>152</v>
      </c>
      <c r="E668" s="4">
        <f>[1]Raw_Data!E666</f>
        <v>58.59</v>
      </c>
      <c r="F668" s="5">
        <f>[1]Raw_Data!F666</f>
        <v>8905.68</v>
      </c>
      <c r="G668" s="4">
        <f>[1]Raw_Data!G666</f>
        <v>0.13</v>
      </c>
      <c r="H668" s="3">
        <f>[1]Raw_Data!H666</f>
        <v>1</v>
      </c>
      <c r="I668" s="3" t="str">
        <f>TRIM([1]Raw_Data!I666)</f>
        <v>USA</v>
      </c>
      <c r="J668" s="3" t="str">
        <f>TRIM([1]Raw_Data!J666)</f>
        <v>Amazon</v>
      </c>
      <c r="K668" s="3">
        <f t="shared" si="40"/>
        <v>2020</v>
      </c>
      <c r="L668" s="6">
        <f t="shared" si="41"/>
        <v>44105</v>
      </c>
      <c r="M668" s="3" t="str">
        <f t="shared" si="42"/>
        <v>11% to 15%</v>
      </c>
      <c r="N668" s="3" t="str">
        <f t="shared" si="43"/>
        <v>OK</v>
      </c>
    </row>
    <row r="669" spans="1:14" x14ac:dyDescent="0.3">
      <c r="A669" s="2">
        <f>DATE(VALUE(RIGHT(TRIM([1]Raw_Data!A667),4)),VALUE(MID(TRIM([1]Raw_Data!A667),4,2)),VALUE(LEFT(TRIM([1]Raw_Data!A667),2)))</f>
        <v>44123</v>
      </c>
      <c r="B669" s="3" t="str">
        <f>TRIM([1]Raw_Data!B667)</f>
        <v>Magnesium</v>
      </c>
      <c r="C669" s="3" t="str">
        <f>TRIM([1]Raw_Data!C667)</f>
        <v>Mineral</v>
      </c>
      <c r="D669" s="3">
        <f>[1]Raw_Data!D667</f>
        <v>149</v>
      </c>
      <c r="E669" s="4">
        <f>[1]Raw_Data!E667</f>
        <v>25.25</v>
      </c>
      <c r="F669" s="5">
        <f>[1]Raw_Data!F667</f>
        <v>3762.25</v>
      </c>
      <c r="G669" s="4">
        <f>[1]Raw_Data!G667</f>
        <v>0.05</v>
      </c>
      <c r="H669" s="3">
        <f>[1]Raw_Data!H667</f>
        <v>0</v>
      </c>
      <c r="I669" s="3" t="str">
        <f>TRIM([1]Raw_Data!I667)</f>
        <v>USA</v>
      </c>
      <c r="J669" s="3" t="str">
        <f>TRIM([1]Raw_Data!J667)</f>
        <v>Amazon</v>
      </c>
      <c r="K669" s="3">
        <f t="shared" si="40"/>
        <v>2020</v>
      </c>
      <c r="L669" s="6">
        <f t="shared" si="41"/>
        <v>44105</v>
      </c>
      <c r="M669" s="3" t="str">
        <f t="shared" si="42"/>
        <v>0% to 5%</v>
      </c>
      <c r="N669" s="3" t="str">
        <f t="shared" si="43"/>
        <v>OK</v>
      </c>
    </row>
    <row r="670" spans="1:14" x14ac:dyDescent="0.3">
      <c r="A670" s="2">
        <f>DATE(VALUE(RIGHT(TRIM([1]Raw_Data!A668),4)),VALUE(MID(TRIM([1]Raw_Data!A668),4,2)),VALUE(LEFT(TRIM([1]Raw_Data!A668),2)))</f>
        <v>44123</v>
      </c>
      <c r="B670" s="3" t="str">
        <f>TRIM([1]Raw_Data!B668)</f>
        <v>Ashwagandha</v>
      </c>
      <c r="C670" s="3" t="str">
        <f>TRIM([1]Raw_Data!C668)</f>
        <v>Herbal</v>
      </c>
      <c r="D670" s="3">
        <f>[1]Raw_Data!D668</f>
        <v>142</v>
      </c>
      <c r="E670" s="4">
        <f>[1]Raw_Data!E668</f>
        <v>33.58</v>
      </c>
      <c r="F670" s="5">
        <f>[1]Raw_Data!F668</f>
        <v>4768.3599999999997</v>
      </c>
      <c r="G670" s="4">
        <f>[1]Raw_Data!G668</f>
        <v>0.06</v>
      </c>
      <c r="H670" s="3">
        <f>[1]Raw_Data!H668</f>
        <v>0</v>
      </c>
      <c r="I670" s="3" t="str">
        <f>TRIM([1]Raw_Data!I668)</f>
        <v>UK</v>
      </c>
      <c r="J670" s="3" t="str">
        <f>TRIM([1]Raw_Data!J668)</f>
        <v>iHerb</v>
      </c>
      <c r="K670" s="3">
        <f t="shared" si="40"/>
        <v>2020</v>
      </c>
      <c r="L670" s="6">
        <f t="shared" si="41"/>
        <v>44105</v>
      </c>
      <c r="M670" s="3" t="str">
        <f t="shared" si="42"/>
        <v>6% to 10%</v>
      </c>
      <c r="N670" s="3" t="str">
        <f t="shared" si="43"/>
        <v>OK</v>
      </c>
    </row>
    <row r="671" spans="1:14" x14ac:dyDescent="0.3">
      <c r="A671" s="2">
        <f>DATE(VALUE(RIGHT(TRIM([1]Raw_Data!A669),4)),VALUE(MID(TRIM([1]Raw_Data!A669),4,2)),VALUE(LEFT(TRIM([1]Raw_Data!A669),2)))</f>
        <v>44123</v>
      </c>
      <c r="B671" s="3" t="str">
        <f>TRIM([1]Raw_Data!B669)</f>
        <v>Melatonin</v>
      </c>
      <c r="C671" s="3" t="str">
        <f>TRIM([1]Raw_Data!C669)</f>
        <v>Sleep Aid</v>
      </c>
      <c r="D671" s="3">
        <f>[1]Raw_Data!D669</f>
        <v>144</v>
      </c>
      <c r="E671" s="4">
        <f>[1]Raw_Data!E669</f>
        <v>27.15</v>
      </c>
      <c r="F671" s="5">
        <f>[1]Raw_Data!F669</f>
        <v>3909.6</v>
      </c>
      <c r="G671" s="4">
        <f>[1]Raw_Data!G669</f>
        <v>0.25</v>
      </c>
      <c r="H671" s="3">
        <f>[1]Raw_Data!H669</f>
        <v>1</v>
      </c>
      <c r="I671" s="3" t="str">
        <f>TRIM([1]Raw_Data!I669)</f>
        <v>USA</v>
      </c>
      <c r="J671" s="3" t="str">
        <f>TRIM([1]Raw_Data!J669)</f>
        <v>iHerb</v>
      </c>
      <c r="K671" s="3">
        <f t="shared" si="40"/>
        <v>2020</v>
      </c>
      <c r="L671" s="6">
        <f t="shared" si="41"/>
        <v>44105</v>
      </c>
      <c r="M671" s="3" t="str">
        <f t="shared" si="42"/>
        <v>21% to 25%</v>
      </c>
      <c r="N671" s="3" t="str">
        <f t="shared" si="43"/>
        <v>OK</v>
      </c>
    </row>
    <row r="672" spans="1:14" x14ac:dyDescent="0.3">
      <c r="A672" s="2">
        <f>DATE(VALUE(RIGHT(TRIM([1]Raw_Data!A670),4)),VALUE(MID(TRIM([1]Raw_Data!A670),4,2)),VALUE(LEFT(TRIM([1]Raw_Data!A670),2)))</f>
        <v>44123</v>
      </c>
      <c r="B672" s="3" t="str">
        <f>TRIM([1]Raw_Data!B670)</f>
        <v>Biotin</v>
      </c>
      <c r="C672" s="3" t="str">
        <f>TRIM([1]Raw_Data!C670)</f>
        <v>Vitamin</v>
      </c>
      <c r="D672" s="3">
        <f>[1]Raw_Data!D670</f>
        <v>137</v>
      </c>
      <c r="E672" s="4">
        <f>[1]Raw_Data!E670</f>
        <v>33.020000000000003</v>
      </c>
      <c r="F672" s="5">
        <f>[1]Raw_Data!F670</f>
        <v>4523.74</v>
      </c>
      <c r="G672" s="4">
        <f>[1]Raw_Data!G670</f>
        <v>0.18</v>
      </c>
      <c r="H672" s="3">
        <f>[1]Raw_Data!H670</f>
        <v>4</v>
      </c>
      <c r="I672" s="3" t="str">
        <f>TRIM([1]Raw_Data!I670)</f>
        <v>Canada</v>
      </c>
      <c r="J672" s="3" t="str">
        <f>TRIM([1]Raw_Data!J670)</f>
        <v>iHerb</v>
      </c>
      <c r="K672" s="3">
        <f t="shared" si="40"/>
        <v>2020</v>
      </c>
      <c r="L672" s="6">
        <f t="shared" si="41"/>
        <v>44105</v>
      </c>
      <c r="M672" s="3" t="str">
        <f t="shared" si="42"/>
        <v>16% to 20%</v>
      </c>
      <c r="N672" s="3" t="str">
        <f t="shared" si="43"/>
        <v>OK</v>
      </c>
    </row>
    <row r="673" spans="1:14" x14ac:dyDescent="0.3">
      <c r="A673" s="2">
        <f>DATE(VALUE(RIGHT(TRIM([1]Raw_Data!A671),4)),VALUE(MID(TRIM([1]Raw_Data!A671),4,2)),VALUE(LEFT(TRIM([1]Raw_Data!A671),2)))</f>
        <v>44123</v>
      </c>
      <c r="B673" s="3" t="str">
        <f>TRIM([1]Raw_Data!B671)</f>
        <v>Green Tea Extract</v>
      </c>
      <c r="C673" s="3" t="str">
        <f>TRIM([1]Raw_Data!C671)</f>
        <v>Fat Burner</v>
      </c>
      <c r="D673" s="3">
        <f>[1]Raw_Data!D671</f>
        <v>122</v>
      </c>
      <c r="E673" s="4">
        <f>[1]Raw_Data!E671</f>
        <v>46.02</v>
      </c>
      <c r="F673" s="5">
        <f>[1]Raw_Data!F671</f>
        <v>5614.44</v>
      </c>
      <c r="G673" s="4">
        <f>[1]Raw_Data!G671</f>
        <v>7.0000000000000007E-2</v>
      </c>
      <c r="H673" s="3">
        <f>[1]Raw_Data!H671</f>
        <v>0</v>
      </c>
      <c r="I673" s="3" t="str">
        <f>TRIM([1]Raw_Data!I671)</f>
        <v>UK</v>
      </c>
      <c r="J673" s="3" t="str">
        <f>TRIM([1]Raw_Data!J671)</f>
        <v>Amazon</v>
      </c>
      <c r="K673" s="3">
        <f t="shared" si="40"/>
        <v>2020</v>
      </c>
      <c r="L673" s="6">
        <f t="shared" si="41"/>
        <v>44105</v>
      </c>
      <c r="M673" s="3" t="str">
        <f t="shared" si="42"/>
        <v>6% to 10%</v>
      </c>
      <c r="N673" s="3" t="str">
        <f t="shared" si="43"/>
        <v>OK</v>
      </c>
    </row>
    <row r="674" spans="1:14" x14ac:dyDescent="0.3">
      <c r="A674" s="2">
        <f>DATE(VALUE(RIGHT(TRIM([1]Raw_Data!A672),4)),VALUE(MID(TRIM([1]Raw_Data!A672),4,2)),VALUE(LEFT(TRIM([1]Raw_Data!A672),2)))</f>
        <v>44123</v>
      </c>
      <c r="B674" s="3" t="str">
        <f>TRIM([1]Raw_Data!B672)</f>
        <v>Iron Supplement</v>
      </c>
      <c r="C674" s="3" t="str">
        <f>TRIM([1]Raw_Data!C672)</f>
        <v>Mineral</v>
      </c>
      <c r="D674" s="3">
        <f>[1]Raw_Data!D672</f>
        <v>118</v>
      </c>
      <c r="E674" s="4">
        <f>[1]Raw_Data!E672</f>
        <v>48.72</v>
      </c>
      <c r="F674" s="5">
        <f>[1]Raw_Data!F672</f>
        <v>5748.96</v>
      </c>
      <c r="G674" s="4">
        <f>[1]Raw_Data!G672</f>
        <v>0.03</v>
      </c>
      <c r="H674" s="3">
        <f>[1]Raw_Data!H672</f>
        <v>1</v>
      </c>
      <c r="I674" s="3" t="str">
        <f>TRIM([1]Raw_Data!I672)</f>
        <v>UK</v>
      </c>
      <c r="J674" s="3" t="str">
        <f>TRIM([1]Raw_Data!J672)</f>
        <v>iHerb</v>
      </c>
      <c r="K674" s="3">
        <f t="shared" si="40"/>
        <v>2020</v>
      </c>
      <c r="L674" s="6">
        <f t="shared" si="41"/>
        <v>44105</v>
      </c>
      <c r="M674" s="3" t="str">
        <f t="shared" si="42"/>
        <v>0% to 5%</v>
      </c>
      <c r="N674" s="3" t="str">
        <f t="shared" si="43"/>
        <v>OK</v>
      </c>
    </row>
    <row r="675" spans="1:14" x14ac:dyDescent="0.3">
      <c r="A675" s="2">
        <f>DATE(VALUE(RIGHT(TRIM([1]Raw_Data!A673),4)),VALUE(MID(TRIM([1]Raw_Data!A673),4,2)),VALUE(LEFT(TRIM([1]Raw_Data!A673),2)))</f>
        <v>44123</v>
      </c>
      <c r="B675" s="3" t="str">
        <f>TRIM([1]Raw_Data!B673)</f>
        <v>Electrolyte Powder</v>
      </c>
      <c r="C675" s="3" t="str">
        <f>TRIM([1]Raw_Data!C673)</f>
        <v>Hydration</v>
      </c>
      <c r="D675" s="3">
        <f>[1]Raw_Data!D673</f>
        <v>154</v>
      </c>
      <c r="E675" s="4">
        <f>[1]Raw_Data!E673</f>
        <v>11.36</v>
      </c>
      <c r="F675" s="5">
        <f>[1]Raw_Data!F673</f>
        <v>1749.44</v>
      </c>
      <c r="G675" s="4">
        <f>[1]Raw_Data!G673</f>
        <v>0.2</v>
      </c>
      <c r="H675" s="3">
        <f>[1]Raw_Data!H673</f>
        <v>0</v>
      </c>
      <c r="I675" s="3" t="str">
        <f>TRIM([1]Raw_Data!I673)</f>
        <v>Canada</v>
      </c>
      <c r="J675" s="3" t="str">
        <f>TRIM([1]Raw_Data!J673)</f>
        <v>iHerb</v>
      </c>
      <c r="K675" s="3">
        <f t="shared" si="40"/>
        <v>2020</v>
      </c>
      <c r="L675" s="6">
        <f t="shared" si="41"/>
        <v>44105</v>
      </c>
      <c r="M675" s="3" t="str">
        <f t="shared" si="42"/>
        <v>16% to 20%</v>
      </c>
      <c r="N675" s="3" t="str">
        <f t="shared" si="43"/>
        <v>OK</v>
      </c>
    </row>
    <row r="676" spans="1:14" x14ac:dyDescent="0.3">
      <c r="A676" s="2">
        <f>DATE(VALUE(RIGHT(TRIM([1]Raw_Data!A674),4)),VALUE(MID(TRIM([1]Raw_Data!A674),4,2)),VALUE(LEFT(TRIM([1]Raw_Data!A674),2)))</f>
        <v>44130</v>
      </c>
      <c r="B676" s="3" t="str">
        <f>TRIM([1]Raw_Data!B674)</f>
        <v>Whey Protein</v>
      </c>
      <c r="C676" s="3" t="str">
        <f>TRIM([1]Raw_Data!C674)</f>
        <v>Protein</v>
      </c>
      <c r="D676" s="3">
        <f>[1]Raw_Data!D674</f>
        <v>148</v>
      </c>
      <c r="E676" s="4">
        <f>[1]Raw_Data!E674</f>
        <v>33.85</v>
      </c>
      <c r="F676" s="5">
        <f>[1]Raw_Data!F674</f>
        <v>5009.8</v>
      </c>
      <c r="G676" s="4">
        <f>[1]Raw_Data!G674</f>
        <v>0.1</v>
      </c>
      <c r="H676" s="3">
        <f>[1]Raw_Data!H674</f>
        <v>3</v>
      </c>
      <c r="I676" s="3" t="str">
        <f>TRIM([1]Raw_Data!I674)</f>
        <v>UK</v>
      </c>
      <c r="J676" s="3" t="str">
        <f>TRIM([1]Raw_Data!J674)</f>
        <v>iHerb</v>
      </c>
      <c r="K676" s="3">
        <f t="shared" si="40"/>
        <v>2020</v>
      </c>
      <c r="L676" s="6">
        <f t="shared" si="41"/>
        <v>44105</v>
      </c>
      <c r="M676" s="3" t="str">
        <f t="shared" si="42"/>
        <v>6% to 10%</v>
      </c>
      <c r="N676" s="3" t="str">
        <f t="shared" si="43"/>
        <v>OK</v>
      </c>
    </row>
    <row r="677" spans="1:14" x14ac:dyDescent="0.3">
      <c r="A677" s="2">
        <f>DATE(VALUE(RIGHT(TRIM([1]Raw_Data!A675),4)),VALUE(MID(TRIM([1]Raw_Data!A675),4,2)),VALUE(LEFT(TRIM([1]Raw_Data!A675),2)))</f>
        <v>44130</v>
      </c>
      <c r="B677" s="3" t="str">
        <f>TRIM([1]Raw_Data!B675)</f>
        <v>Vitamin C</v>
      </c>
      <c r="C677" s="3" t="str">
        <f>TRIM([1]Raw_Data!C675)</f>
        <v>Vitamin</v>
      </c>
      <c r="D677" s="3">
        <f>[1]Raw_Data!D675</f>
        <v>168</v>
      </c>
      <c r="E677" s="4">
        <f>[1]Raw_Data!E675</f>
        <v>40.75</v>
      </c>
      <c r="F677" s="5">
        <f>[1]Raw_Data!F675</f>
        <v>6846</v>
      </c>
      <c r="G677" s="4">
        <f>[1]Raw_Data!G675</f>
        <v>0.23</v>
      </c>
      <c r="H677" s="3">
        <f>[1]Raw_Data!H675</f>
        <v>4</v>
      </c>
      <c r="I677" s="3" t="str">
        <f>TRIM([1]Raw_Data!I675)</f>
        <v>USA</v>
      </c>
      <c r="J677" s="3" t="str">
        <f>TRIM([1]Raw_Data!J675)</f>
        <v>Amazon</v>
      </c>
      <c r="K677" s="3">
        <f t="shared" si="40"/>
        <v>2020</v>
      </c>
      <c r="L677" s="6">
        <f t="shared" si="41"/>
        <v>44105</v>
      </c>
      <c r="M677" s="3" t="str">
        <f t="shared" si="42"/>
        <v>21% to 25%</v>
      </c>
      <c r="N677" s="3" t="str">
        <f t="shared" si="43"/>
        <v>OK</v>
      </c>
    </row>
    <row r="678" spans="1:14" x14ac:dyDescent="0.3">
      <c r="A678" s="2">
        <f>DATE(VALUE(RIGHT(TRIM([1]Raw_Data!A676),4)),VALUE(MID(TRIM([1]Raw_Data!A676),4,2)),VALUE(LEFT(TRIM([1]Raw_Data!A676),2)))</f>
        <v>44130</v>
      </c>
      <c r="B678" s="3" t="str">
        <f>TRIM([1]Raw_Data!B676)</f>
        <v>Fish Oil</v>
      </c>
      <c r="C678" s="3" t="str">
        <f>TRIM([1]Raw_Data!C676)</f>
        <v>Omega</v>
      </c>
      <c r="D678" s="3">
        <f>[1]Raw_Data!D676</f>
        <v>150</v>
      </c>
      <c r="E678" s="4">
        <f>[1]Raw_Data!E676</f>
        <v>23.93</v>
      </c>
      <c r="F678" s="5">
        <f>[1]Raw_Data!F676</f>
        <v>3589.5</v>
      </c>
      <c r="G678" s="4">
        <f>[1]Raw_Data!G676</f>
        <v>0.24</v>
      </c>
      <c r="H678" s="3">
        <f>[1]Raw_Data!H676</f>
        <v>0</v>
      </c>
      <c r="I678" s="3" t="str">
        <f>TRIM([1]Raw_Data!I676)</f>
        <v>USA</v>
      </c>
      <c r="J678" s="3" t="str">
        <f>TRIM([1]Raw_Data!J676)</f>
        <v>iHerb</v>
      </c>
      <c r="K678" s="3">
        <f t="shared" si="40"/>
        <v>2020</v>
      </c>
      <c r="L678" s="6">
        <f t="shared" si="41"/>
        <v>44105</v>
      </c>
      <c r="M678" s="3" t="str">
        <f t="shared" si="42"/>
        <v>21% to 25%</v>
      </c>
      <c r="N678" s="3" t="str">
        <f t="shared" si="43"/>
        <v>OK</v>
      </c>
    </row>
    <row r="679" spans="1:14" x14ac:dyDescent="0.3">
      <c r="A679" s="2">
        <f>DATE(VALUE(RIGHT(TRIM([1]Raw_Data!A677),4)),VALUE(MID(TRIM([1]Raw_Data!A677),4,2)),VALUE(LEFT(TRIM([1]Raw_Data!A677),2)))</f>
        <v>44130</v>
      </c>
      <c r="B679" s="3" t="str">
        <f>TRIM([1]Raw_Data!B677)</f>
        <v>Multivitamin</v>
      </c>
      <c r="C679" s="3" t="str">
        <f>TRIM([1]Raw_Data!C677)</f>
        <v>Vitamin</v>
      </c>
      <c r="D679" s="3">
        <f>[1]Raw_Data!D677</f>
        <v>153</v>
      </c>
      <c r="E679" s="4">
        <f>[1]Raw_Data!E677</f>
        <v>23.95</v>
      </c>
      <c r="F679" s="5">
        <f>[1]Raw_Data!F677</f>
        <v>3664.35</v>
      </c>
      <c r="G679" s="4">
        <f>[1]Raw_Data!G677</f>
        <v>0.1</v>
      </c>
      <c r="H679" s="3">
        <f>[1]Raw_Data!H677</f>
        <v>6</v>
      </c>
      <c r="I679" s="3" t="str">
        <f>TRIM([1]Raw_Data!I677)</f>
        <v>Canada</v>
      </c>
      <c r="J679" s="3" t="str">
        <f>TRIM([1]Raw_Data!J677)</f>
        <v>Walmart</v>
      </c>
      <c r="K679" s="3">
        <f t="shared" si="40"/>
        <v>2020</v>
      </c>
      <c r="L679" s="6">
        <f t="shared" si="41"/>
        <v>44105</v>
      </c>
      <c r="M679" s="3" t="str">
        <f t="shared" si="42"/>
        <v>6% to 10%</v>
      </c>
      <c r="N679" s="3" t="str">
        <f t="shared" si="43"/>
        <v>OK</v>
      </c>
    </row>
    <row r="680" spans="1:14" x14ac:dyDescent="0.3">
      <c r="A680" s="2">
        <f>DATE(VALUE(RIGHT(TRIM([1]Raw_Data!A678),4)),VALUE(MID(TRIM([1]Raw_Data!A678),4,2)),VALUE(LEFT(TRIM([1]Raw_Data!A678),2)))</f>
        <v>44130</v>
      </c>
      <c r="B680" s="3" t="str">
        <f>TRIM([1]Raw_Data!B678)</f>
        <v>Pre-Workout</v>
      </c>
      <c r="C680" s="3" t="str">
        <f>TRIM([1]Raw_Data!C678)</f>
        <v>Performance</v>
      </c>
      <c r="D680" s="3">
        <f>[1]Raw_Data!D678</f>
        <v>124</v>
      </c>
      <c r="E680" s="4">
        <f>[1]Raw_Data!E678</f>
        <v>14.13</v>
      </c>
      <c r="F680" s="5">
        <f>[1]Raw_Data!F678</f>
        <v>1752.12</v>
      </c>
      <c r="G680" s="4">
        <f>[1]Raw_Data!G678</f>
        <v>0.04</v>
      </c>
      <c r="H680" s="3">
        <f>[1]Raw_Data!H678</f>
        <v>1</v>
      </c>
      <c r="I680" s="3" t="str">
        <f>TRIM([1]Raw_Data!I678)</f>
        <v>UK</v>
      </c>
      <c r="J680" s="3" t="str">
        <f>TRIM([1]Raw_Data!J678)</f>
        <v>Amazon</v>
      </c>
      <c r="K680" s="3">
        <f t="shared" si="40"/>
        <v>2020</v>
      </c>
      <c r="L680" s="6">
        <f t="shared" si="41"/>
        <v>44105</v>
      </c>
      <c r="M680" s="3" t="str">
        <f t="shared" si="42"/>
        <v>0% to 5%</v>
      </c>
      <c r="N680" s="3" t="str">
        <f t="shared" si="43"/>
        <v>OK</v>
      </c>
    </row>
    <row r="681" spans="1:14" x14ac:dyDescent="0.3">
      <c r="A681" s="2">
        <f>DATE(VALUE(RIGHT(TRIM([1]Raw_Data!A679),4)),VALUE(MID(TRIM([1]Raw_Data!A679),4,2)),VALUE(LEFT(TRIM([1]Raw_Data!A679),2)))</f>
        <v>44130</v>
      </c>
      <c r="B681" s="3" t="str">
        <f>TRIM([1]Raw_Data!B679)</f>
        <v>BCAA</v>
      </c>
      <c r="C681" s="3" t="str">
        <f>TRIM([1]Raw_Data!C679)</f>
        <v>Amino Acid</v>
      </c>
      <c r="D681" s="3">
        <f>[1]Raw_Data!D679</f>
        <v>150</v>
      </c>
      <c r="E681" s="4">
        <f>[1]Raw_Data!E679</f>
        <v>25.82</v>
      </c>
      <c r="F681" s="5">
        <f>[1]Raw_Data!F679</f>
        <v>3873</v>
      </c>
      <c r="G681" s="4">
        <f>[1]Raw_Data!G679</f>
        <v>0.02</v>
      </c>
      <c r="H681" s="3">
        <f>[1]Raw_Data!H679</f>
        <v>1</v>
      </c>
      <c r="I681" s="3" t="str">
        <f>TRIM([1]Raw_Data!I679)</f>
        <v>Canada</v>
      </c>
      <c r="J681" s="3" t="str">
        <f>TRIM([1]Raw_Data!J679)</f>
        <v>Walmart</v>
      </c>
      <c r="K681" s="3">
        <f t="shared" si="40"/>
        <v>2020</v>
      </c>
      <c r="L681" s="6">
        <f t="shared" si="41"/>
        <v>44105</v>
      </c>
      <c r="M681" s="3" t="str">
        <f t="shared" si="42"/>
        <v>0% to 5%</v>
      </c>
      <c r="N681" s="3" t="str">
        <f t="shared" si="43"/>
        <v>OK</v>
      </c>
    </row>
    <row r="682" spans="1:14" x14ac:dyDescent="0.3">
      <c r="A682" s="2">
        <f>DATE(VALUE(RIGHT(TRIM([1]Raw_Data!A680),4)),VALUE(MID(TRIM([1]Raw_Data!A680),4,2)),VALUE(LEFT(TRIM([1]Raw_Data!A680),2)))</f>
        <v>44130</v>
      </c>
      <c r="B682" s="3" t="str">
        <f>TRIM([1]Raw_Data!B680)</f>
        <v>Creatine</v>
      </c>
      <c r="C682" s="3" t="str">
        <f>TRIM([1]Raw_Data!C680)</f>
        <v>Performance</v>
      </c>
      <c r="D682" s="3">
        <f>[1]Raw_Data!D680</f>
        <v>144</v>
      </c>
      <c r="E682" s="4">
        <f>[1]Raw_Data!E680</f>
        <v>55.48</v>
      </c>
      <c r="F682" s="5">
        <f>[1]Raw_Data!F680</f>
        <v>7989.12</v>
      </c>
      <c r="G682" s="4">
        <f>[1]Raw_Data!G680</f>
        <v>0</v>
      </c>
      <c r="H682" s="3">
        <f>[1]Raw_Data!H680</f>
        <v>2</v>
      </c>
      <c r="I682" s="3" t="str">
        <f>TRIM([1]Raw_Data!I680)</f>
        <v>USA</v>
      </c>
      <c r="J682" s="3" t="str">
        <f>TRIM([1]Raw_Data!J680)</f>
        <v>Walmart</v>
      </c>
      <c r="K682" s="3">
        <f t="shared" si="40"/>
        <v>2020</v>
      </c>
      <c r="L682" s="6">
        <f t="shared" si="41"/>
        <v>44105</v>
      </c>
      <c r="M682" s="3" t="str">
        <f t="shared" si="42"/>
        <v>0% to 5%</v>
      </c>
      <c r="N682" s="3" t="str">
        <f t="shared" si="43"/>
        <v>OK</v>
      </c>
    </row>
    <row r="683" spans="1:14" x14ac:dyDescent="0.3">
      <c r="A683" s="2">
        <f>DATE(VALUE(RIGHT(TRIM([1]Raw_Data!A681),4)),VALUE(MID(TRIM([1]Raw_Data!A681),4,2)),VALUE(LEFT(TRIM([1]Raw_Data!A681),2)))</f>
        <v>44130</v>
      </c>
      <c r="B683" s="3" t="str">
        <f>TRIM([1]Raw_Data!B681)</f>
        <v>Zinc</v>
      </c>
      <c r="C683" s="3" t="str">
        <f>TRIM([1]Raw_Data!C681)</f>
        <v>Mineral</v>
      </c>
      <c r="D683" s="3">
        <f>[1]Raw_Data!D681</f>
        <v>177</v>
      </c>
      <c r="E683" s="4">
        <f>[1]Raw_Data!E681</f>
        <v>18.07</v>
      </c>
      <c r="F683" s="5">
        <f>[1]Raw_Data!F681</f>
        <v>3198.39</v>
      </c>
      <c r="G683" s="4">
        <f>[1]Raw_Data!G681</f>
        <v>0.24</v>
      </c>
      <c r="H683" s="3">
        <f>[1]Raw_Data!H681</f>
        <v>2</v>
      </c>
      <c r="I683" s="3" t="str">
        <f>TRIM([1]Raw_Data!I681)</f>
        <v>USA</v>
      </c>
      <c r="J683" s="3" t="str">
        <f>TRIM([1]Raw_Data!J681)</f>
        <v>iHerb</v>
      </c>
      <c r="K683" s="3">
        <f t="shared" si="40"/>
        <v>2020</v>
      </c>
      <c r="L683" s="6">
        <f t="shared" si="41"/>
        <v>44105</v>
      </c>
      <c r="M683" s="3" t="str">
        <f t="shared" si="42"/>
        <v>21% to 25%</v>
      </c>
      <c r="N683" s="3" t="str">
        <f t="shared" si="43"/>
        <v>OK</v>
      </c>
    </row>
    <row r="684" spans="1:14" x14ac:dyDescent="0.3">
      <c r="A684" s="2">
        <f>DATE(VALUE(RIGHT(TRIM([1]Raw_Data!A682),4)),VALUE(MID(TRIM([1]Raw_Data!A682),4,2)),VALUE(LEFT(TRIM([1]Raw_Data!A682),2)))</f>
        <v>44130</v>
      </c>
      <c r="B684" s="3" t="str">
        <f>TRIM([1]Raw_Data!B682)</f>
        <v>Collagen Peptides</v>
      </c>
      <c r="C684" s="3" t="str">
        <f>TRIM([1]Raw_Data!C682)</f>
        <v>Protein</v>
      </c>
      <c r="D684" s="3">
        <f>[1]Raw_Data!D682</f>
        <v>148</v>
      </c>
      <c r="E684" s="4">
        <f>[1]Raw_Data!E682</f>
        <v>46.66</v>
      </c>
      <c r="F684" s="5">
        <f>[1]Raw_Data!F682</f>
        <v>6905.68</v>
      </c>
      <c r="G684" s="4">
        <f>[1]Raw_Data!G682</f>
        <v>0.25</v>
      </c>
      <c r="H684" s="3">
        <f>[1]Raw_Data!H682</f>
        <v>1</v>
      </c>
      <c r="I684" s="3" t="str">
        <f>TRIM([1]Raw_Data!I682)</f>
        <v>USA</v>
      </c>
      <c r="J684" s="3" t="str">
        <f>TRIM([1]Raw_Data!J682)</f>
        <v>Amazon</v>
      </c>
      <c r="K684" s="3">
        <f t="shared" si="40"/>
        <v>2020</v>
      </c>
      <c r="L684" s="6">
        <f t="shared" si="41"/>
        <v>44105</v>
      </c>
      <c r="M684" s="3" t="str">
        <f t="shared" si="42"/>
        <v>21% to 25%</v>
      </c>
      <c r="N684" s="3" t="str">
        <f t="shared" si="43"/>
        <v>OK</v>
      </c>
    </row>
    <row r="685" spans="1:14" x14ac:dyDescent="0.3">
      <c r="A685" s="2">
        <f>DATE(VALUE(RIGHT(TRIM([1]Raw_Data!A683),4)),VALUE(MID(TRIM([1]Raw_Data!A683),4,2)),VALUE(LEFT(TRIM([1]Raw_Data!A683),2)))</f>
        <v>44130</v>
      </c>
      <c r="B685" s="3" t="str">
        <f>TRIM([1]Raw_Data!B683)</f>
        <v>Magnesium</v>
      </c>
      <c r="C685" s="3" t="str">
        <f>TRIM([1]Raw_Data!C683)</f>
        <v>Mineral</v>
      </c>
      <c r="D685" s="3">
        <f>[1]Raw_Data!D683</f>
        <v>151</v>
      </c>
      <c r="E685" s="4">
        <f>[1]Raw_Data!E683</f>
        <v>30.28</v>
      </c>
      <c r="F685" s="5">
        <f>[1]Raw_Data!F683</f>
        <v>4572.28</v>
      </c>
      <c r="G685" s="4">
        <f>[1]Raw_Data!G683</f>
        <v>0.04</v>
      </c>
      <c r="H685" s="3">
        <f>[1]Raw_Data!H683</f>
        <v>4</v>
      </c>
      <c r="I685" s="3" t="str">
        <f>TRIM([1]Raw_Data!I683)</f>
        <v>Canada</v>
      </c>
      <c r="J685" s="3" t="str">
        <f>TRIM([1]Raw_Data!J683)</f>
        <v>Amazon</v>
      </c>
      <c r="K685" s="3">
        <f t="shared" si="40"/>
        <v>2020</v>
      </c>
      <c r="L685" s="6">
        <f t="shared" si="41"/>
        <v>44105</v>
      </c>
      <c r="M685" s="3" t="str">
        <f t="shared" si="42"/>
        <v>0% to 5%</v>
      </c>
      <c r="N685" s="3" t="str">
        <f t="shared" si="43"/>
        <v>OK</v>
      </c>
    </row>
    <row r="686" spans="1:14" x14ac:dyDescent="0.3">
      <c r="A686" s="2">
        <f>DATE(VALUE(RIGHT(TRIM([1]Raw_Data!A684),4)),VALUE(MID(TRIM([1]Raw_Data!A684),4,2)),VALUE(LEFT(TRIM([1]Raw_Data!A684),2)))</f>
        <v>44130</v>
      </c>
      <c r="B686" s="3" t="str">
        <f>TRIM([1]Raw_Data!B684)</f>
        <v>Ashwagandha</v>
      </c>
      <c r="C686" s="3" t="str">
        <f>TRIM([1]Raw_Data!C684)</f>
        <v>Herbal</v>
      </c>
      <c r="D686" s="3">
        <f>[1]Raw_Data!D684</f>
        <v>165</v>
      </c>
      <c r="E686" s="4">
        <f>[1]Raw_Data!E684</f>
        <v>40.159999999999997</v>
      </c>
      <c r="F686" s="5">
        <f>[1]Raw_Data!F684</f>
        <v>6626.4</v>
      </c>
      <c r="G686" s="4">
        <f>[1]Raw_Data!G684</f>
        <v>0.06</v>
      </c>
      <c r="H686" s="3">
        <f>[1]Raw_Data!H684</f>
        <v>2</v>
      </c>
      <c r="I686" s="3" t="str">
        <f>TRIM([1]Raw_Data!I684)</f>
        <v>USA</v>
      </c>
      <c r="J686" s="3" t="str">
        <f>TRIM([1]Raw_Data!J684)</f>
        <v>iHerb</v>
      </c>
      <c r="K686" s="3">
        <f t="shared" si="40"/>
        <v>2020</v>
      </c>
      <c r="L686" s="6">
        <f t="shared" si="41"/>
        <v>44105</v>
      </c>
      <c r="M686" s="3" t="str">
        <f t="shared" si="42"/>
        <v>6% to 10%</v>
      </c>
      <c r="N686" s="3" t="str">
        <f t="shared" si="43"/>
        <v>OK</v>
      </c>
    </row>
    <row r="687" spans="1:14" x14ac:dyDescent="0.3">
      <c r="A687" s="2">
        <f>DATE(VALUE(RIGHT(TRIM([1]Raw_Data!A685),4)),VALUE(MID(TRIM([1]Raw_Data!A685),4,2)),VALUE(LEFT(TRIM([1]Raw_Data!A685),2)))</f>
        <v>44130</v>
      </c>
      <c r="B687" s="3" t="str">
        <f>TRIM([1]Raw_Data!B685)</f>
        <v>Melatonin</v>
      </c>
      <c r="C687" s="3" t="str">
        <f>TRIM([1]Raw_Data!C685)</f>
        <v>Sleep Aid</v>
      </c>
      <c r="D687" s="3">
        <f>[1]Raw_Data!D685</f>
        <v>157</v>
      </c>
      <c r="E687" s="4">
        <f>[1]Raw_Data!E685</f>
        <v>59.51</v>
      </c>
      <c r="F687" s="5">
        <f>[1]Raw_Data!F685</f>
        <v>9343.07</v>
      </c>
      <c r="G687" s="4">
        <f>[1]Raw_Data!G685</f>
        <v>0.15</v>
      </c>
      <c r="H687" s="3">
        <f>[1]Raw_Data!H685</f>
        <v>1</v>
      </c>
      <c r="I687" s="3" t="str">
        <f>TRIM([1]Raw_Data!I685)</f>
        <v>Canada</v>
      </c>
      <c r="J687" s="3" t="str">
        <f>TRIM([1]Raw_Data!J685)</f>
        <v>iHerb</v>
      </c>
      <c r="K687" s="3">
        <f t="shared" si="40"/>
        <v>2020</v>
      </c>
      <c r="L687" s="6">
        <f t="shared" si="41"/>
        <v>44105</v>
      </c>
      <c r="M687" s="3" t="str">
        <f t="shared" si="42"/>
        <v>11% to 15%</v>
      </c>
      <c r="N687" s="3" t="str">
        <f t="shared" si="43"/>
        <v>OK</v>
      </c>
    </row>
    <row r="688" spans="1:14" x14ac:dyDescent="0.3">
      <c r="A688" s="2">
        <f>DATE(VALUE(RIGHT(TRIM([1]Raw_Data!A686),4)),VALUE(MID(TRIM([1]Raw_Data!A686),4,2)),VALUE(LEFT(TRIM([1]Raw_Data!A686),2)))</f>
        <v>44130</v>
      </c>
      <c r="B688" s="3" t="str">
        <f>TRIM([1]Raw_Data!B686)</f>
        <v>Biotin</v>
      </c>
      <c r="C688" s="3" t="str">
        <f>TRIM([1]Raw_Data!C686)</f>
        <v>Vitamin</v>
      </c>
      <c r="D688" s="3">
        <f>[1]Raw_Data!D686</f>
        <v>160</v>
      </c>
      <c r="E688" s="4">
        <f>[1]Raw_Data!E686</f>
        <v>29.23</v>
      </c>
      <c r="F688" s="5">
        <f>[1]Raw_Data!F686</f>
        <v>4676.8</v>
      </c>
      <c r="G688" s="4">
        <f>[1]Raw_Data!G686</f>
        <v>0.09</v>
      </c>
      <c r="H688" s="3">
        <f>[1]Raw_Data!H686</f>
        <v>1</v>
      </c>
      <c r="I688" s="3" t="str">
        <f>TRIM([1]Raw_Data!I686)</f>
        <v>UK</v>
      </c>
      <c r="J688" s="3" t="str">
        <f>TRIM([1]Raw_Data!J686)</f>
        <v>iHerb</v>
      </c>
      <c r="K688" s="3">
        <f t="shared" si="40"/>
        <v>2020</v>
      </c>
      <c r="L688" s="6">
        <f t="shared" si="41"/>
        <v>44105</v>
      </c>
      <c r="M688" s="3" t="str">
        <f t="shared" si="42"/>
        <v>6% to 10%</v>
      </c>
      <c r="N688" s="3" t="str">
        <f t="shared" si="43"/>
        <v>OK</v>
      </c>
    </row>
    <row r="689" spans="1:14" x14ac:dyDescent="0.3">
      <c r="A689" s="2">
        <f>DATE(VALUE(RIGHT(TRIM([1]Raw_Data!A687),4)),VALUE(MID(TRIM([1]Raw_Data!A687),4,2)),VALUE(LEFT(TRIM([1]Raw_Data!A687),2)))</f>
        <v>44130</v>
      </c>
      <c r="B689" s="3" t="str">
        <f>TRIM([1]Raw_Data!B687)</f>
        <v>Green Tea Extract</v>
      </c>
      <c r="C689" s="3" t="str">
        <f>TRIM([1]Raw_Data!C687)</f>
        <v>Fat Burner</v>
      </c>
      <c r="D689" s="3">
        <f>[1]Raw_Data!D687</f>
        <v>161</v>
      </c>
      <c r="E689" s="4">
        <f>[1]Raw_Data!E687</f>
        <v>49.7</v>
      </c>
      <c r="F689" s="5">
        <f>[1]Raw_Data!F687</f>
        <v>8001.7</v>
      </c>
      <c r="G689" s="4">
        <f>[1]Raw_Data!G687</f>
        <v>0.14000000000000001</v>
      </c>
      <c r="H689" s="3">
        <f>[1]Raw_Data!H687</f>
        <v>1</v>
      </c>
      <c r="I689" s="3" t="str">
        <f>TRIM([1]Raw_Data!I687)</f>
        <v>UK</v>
      </c>
      <c r="J689" s="3" t="str">
        <f>TRIM([1]Raw_Data!J687)</f>
        <v>Amazon</v>
      </c>
      <c r="K689" s="3">
        <f t="shared" si="40"/>
        <v>2020</v>
      </c>
      <c r="L689" s="6">
        <f t="shared" si="41"/>
        <v>44105</v>
      </c>
      <c r="M689" s="3" t="str">
        <f t="shared" si="42"/>
        <v>11% to 15%</v>
      </c>
      <c r="N689" s="3" t="str">
        <f t="shared" si="43"/>
        <v>OK</v>
      </c>
    </row>
    <row r="690" spans="1:14" x14ac:dyDescent="0.3">
      <c r="A690" s="2">
        <f>DATE(VALUE(RIGHT(TRIM([1]Raw_Data!A688),4)),VALUE(MID(TRIM([1]Raw_Data!A688),4,2)),VALUE(LEFT(TRIM([1]Raw_Data!A688),2)))</f>
        <v>44130</v>
      </c>
      <c r="B690" s="3" t="str">
        <f>TRIM([1]Raw_Data!B688)</f>
        <v>Iron Supplement</v>
      </c>
      <c r="C690" s="3" t="str">
        <f>TRIM([1]Raw_Data!C688)</f>
        <v>Mineral</v>
      </c>
      <c r="D690" s="3">
        <f>[1]Raw_Data!D688</f>
        <v>162</v>
      </c>
      <c r="E690" s="4">
        <f>[1]Raw_Data!E688</f>
        <v>21.22</v>
      </c>
      <c r="F690" s="5">
        <f>[1]Raw_Data!F688</f>
        <v>3437.64</v>
      </c>
      <c r="G690" s="4">
        <f>[1]Raw_Data!G688</f>
        <v>0.13</v>
      </c>
      <c r="H690" s="3">
        <f>[1]Raw_Data!H688</f>
        <v>1</v>
      </c>
      <c r="I690" s="3" t="str">
        <f>TRIM([1]Raw_Data!I688)</f>
        <v>UK</v>
      </c>
      <c r="J690" s="3" t="str">
        <f>TRIM([1]Raw_Data!J688)</f>
        <v>Amazon</v>
      </c>
      <c r="K690" s="3">
        <f t="shared" si="40"/>
        <v>2020</v>
      </c>
      <c r="L690" s="6">
        <f t="shared" si="41"/>
        <v>44105</v>
      </c>
      <c r="M690" s="3" t="str">
        <f t="shared" si="42"/>
        <v>11% to 15%</v>
      </c>
      <c r="N690" s="3" t="str">
        <f t="shared" si="43"/>
        <v>OK</v>
      </c>
    </row>
    <row r="691" spans="1:14" x14ac:dyDescent="0.3">
      <c r="A691" s="2">
        <f>DATE(VALUE(RIGHT(TRIM([1]Raw_Data!A689),4)),VALUE(MID(TRIM([1]Raw_Data!A689),4,2)),VALUE(LEFT(TRIM([1]Raw_Data!A689),2)))</f>
        <v>44130</v>
      </c>
      <c r="B691" s="3" t="str">
        <f>TRIM([1]Raw_Data!B689)</f>
        <v>Electrolyte Powder</v>
      </c>
      <c r="C691" s="3" t="str">
        <f>TRIM([1]Raw_Data!C689)</f>
        <v>Hydration</v>
      </c>
      <c r="D691" s="3">
        <f>[1]Raw_Data!D689</f>
        <v>150</v>
      </c>
      <c r="E691" s="4">
        <f>[1]Raw_Data!E689</f>
        <v>58.35</v>
      </c>
      <c r="F691" s="5">
        <f>[1]Raw_Data!F689</f>
        <v>8752.5</v>
      </c>
      <c r="G691" s="4">
        <f>[1]Raw_Data!G689</f>
        <v>0.14000000000000001</v>
      </c>
      <c r="H691" s="3">
        <f>[1]Raw_Data!H689</f>
        <v>3</v>
      </c>
      <c r="I691" s="3" t="str">
        <f>TRIM([1]Raw_Data!I689)</f>
        <v>UK</v>
      </c>
      <c r="J691" s="3" t="str">
        <f>TRIM([1]Raw_Data!J689)</f>
        <v>iHerb</v>
      </c>
      <c r="K691" s="3">
        <f t="shared" si="40"/>
        <v>2020</v>
      </c>
      <c r="L691" s="6">
        <f t="shared" si="41"/>
        <v>44105</v>
      </c>
      <c r="M691" s="3" t="str">
        <f t="shared" si="42"/>
        <v>11% to 15%</v>
      </c>
      <c r="N691" s="3" t="str">
        <f t="shared" si="43"/>
        <v>OK</v>
      </c>
    </row>
    <row r="692" spans="1:14" x14ac:dyDescent="0.3">
      <c r="A692" s="2">
        <f>DATE(VALUE(RIGHT(TRIM([1]Raw_Data!A690),4)),VALUE(MID(TRIM([1]Raw_Data!A690),4,2)),VALUE(LEFT(TRIM([1]Raw_Data!A690),2)))</f>
        <v>44137</v>
      </c>
      <c r="B692" s="3" t="str">
        <f>TRIM([1]Raw_Data!B690)</f>
        <v>Whey Protein</v>
      </c>
      <c r="C692" s="3" t="str">
        <f>TRIM([1]Raw_Data!C690)</f>
        <v>Protein</v>
      </c>
      <c r="D692" s="3">
        <f>[1]Raw_Data!D690</f>
        <v>135</v>
      </c>
      <c r="E692" s="4">
        <f>[1]Raw_Data!E690</f>
        <v>53.4</v>
      </c>
      <c r="F692" s="5">
        <f>[1]Raw_Data!F690</f>
        <v>7209</v>
      </c>
      <c r="G692" s="4">
        <f>[1]Raw_Data!G690</f>
        <v>0.15</v>
      </c>
      <c r="H692" s="3">
        <f>[1]Raw_Data!H690</f>
        <v>2</v>
      </c>
      <c r="I692" s="3" t="str">
        <f>TRIM([1]Raw_Data!I690)</f>
        <v>Canada</v>
      </c>
      <c r="J692" s="3" t="str">
        <f>TRIM([1]Raw_Data!J690)</f>
        <v>Amazon</v>
      </c>
      <c r="K692" s="3">
        <f t="shared" si="40"/>
        <v>2020</v>
      </c>
      <c r="L692" s="6">
        <f t="shared" si="41"/>
        <v>44136</v>
      </c>
      <c r="M692" s="3" t="str">
        <f t="shared" si="42"/>
        <v>11% to 15%</v>
      </c>
      <c r="N692" s="3" t="str">
        <f t="shared" si="43"/>
        <v>OK</v>
      </c>
    </row>
    <row r="693" spans="1:14" x14ac:dyDescent="0.3">
      <c r="A693" s="2">
        <f>DATE(VALUE(RIGHT(TRIM([1]Raw_Data!A691),4)),VALUE(MID(TRIM([1]Raw_Data!A691),4,2)),VALUE(LEFT(TRIM([1]Raw_Data!A691),2)))</f>
        <v>44137</v>
      </c>
      <c r="B693" s="3" t="str">
        <f>TRIM([1]Raw_Data!B691)</f>
        <v>Vitamin C</v>
      </c>
      <c r="C693" s="3" t="str">
        <f>TRIM([1]Raw_Data!C691)</f>
        <v>Vitamin</v>
      </c>
      <c r="D693" s="3">
        <f>[1]Raw_Data!D691</f>
        <v>145</v>
      </c>
      <c r="E693" s="4">
        <f>[1]Raw_Data!E691</f>
        <v>32.9</v>
      </c>
      <c r="F693" s="5">
        <f>[1]Raw_Data!F691</f>
        <v>4770.5</v>
      </c>
      <c r="G693" s="4">
        <f>[1]Raw_Data!G691</f>
        <v>0.1</v>
      </c>
      <c r="H693" s="3">
        <f>[1]Raw_Data!H691</f>
        <v>3</v>
      </c>
      <c r="I693" s="3" t="str">
        <f>TRIM([1]Raw_Data!I691)</f>
        <v>UK</v>
      </c>
      <c r="J693" s="3" t="str">
        <f>TRIM([1]Raw_Data!J691)</f>
        <v>iHerb</v>
      </c>
      <c r="K693" s="3">
        <f t="shared" si="40"/>
        <v>2020</v>
      </c>
      <c r="L693" s="6">
        <f t="shared" si="41"/>
        <v>44136</v>
      </c>
      <c r="M693" s="3" t="str">
        <f t="shared" si="42"/>
        <v>6% to 10%</v>
      </c>
      <c r="N693" s="3" t="str">
        <f t="shared" si="43"/>
        <v>OK</v>
      </c>
    </row>
    <row r="694" spans="1:14" x14ac:dyDescent="0.3">
      <c r="A694" s="2">
        <f>DATE(VALUE(RIGHT(TRIM([1]Raw_Data!A692),4)),VALUE(MID(TRIM([1]Raw_Data!A692),4,2)),VALUE(LEFT(TRIM([1]Raw_Data!A692),2)))</f>
        <v>44137</v>
      </c>
      <c r="B694" s="3" t="str">
        <f>TRIM([1]Raw_Data!B692)</f>
        <v>Fish Oil</v>
      </c>
      <c r="C694" s="3" t="str">
        <f>TRIM([1]Raw_Data!C692)</f>
        <v>Omega</v>
      </c>
      <c r="D694" s="3">
        <f>[1]Raw_Data!D692</f>
        <v>181</v>
      </c>
      <c r="E694" s="4">
        <f>[1]Raw_Data!E692</f>
        <v>27.4</v>
      </c>
      <c r="F694" s="5">
        <f>[1]Raw_Data!F692</f>
        <v>4959.3999999999996</v>
      </c>
      <c r="G694" s="4">
        <f>[1]Raw_Data!G692</f>
        <v>0.22</v>
      </c>
      <c r="H694" s="3">
        <f>[1]Raw_Data!H692</f>
        <v>5</v>
      </c>
      <c r="I694" s="3" t="str">
        <f>TRIM([1]Raw_Data!I692)</f>
        <v>UK</v>
      </c>
      <c r="J694" s="3" t="str">
        <f>TRIM([1]Raw_Data!J692)</f>
        <v>iHerb</v>
      </c>
      <c r="K694" s="3">
        <f t="shared" si="40"/>
        <v>2020</v>
      </c>
      <c r="L694" s="6">
        <f t="shared" si="41"/>
        <v>44136</v>
      </c>
      <c r="M694" s="3" t="str">
        <f t="shared" si="42"/>
        <v>21% to 25%</v>
      </c>
      <c r="N694" s="3" t="str">
        <f t="shared" si="43"/>
        <v>OK</v>
      </c>
    </row>
    <row r="695" spans="1:14" x14ac:dyDescent="0.3">
      <c r="A695" s="2">
        <f>DATE(VALUE(RIGHT(TRIM([1]Raw_Data!A693),4)),VALUE(MID(TRIM([1]Raw_Data!A693),4,2)),VALUE(LEFT(TRIM([1]Raw_Data!A693),2)))</f>
        <v>44137</v>
      </c>
      <c r="B695" s="3" t="str">
        <f>TRIM([1]Raw_Data!B693)</f>
        <v>Multivitamin</v>
      </c>
      <c r="C695" s="3" t="str">
        <f>TRIM([1]Raw_Data!C693)</f>
        <v>Vitamin</v>
      </c>
      <c r="D695" s="3">
        <f>[1]Raw_Data!D693</f>
        <v>148</v>
      </c>
      <c r="E695" s="4">
        <f>[1]Raw_Data!E693</f>
        <v>36.299999999999997</v>
      </c>
      <c r="F695" s="5">
        <f>[1]Raw_Data!F693</f>
        <v>5372.4</v>
      </c>
      <c r="G695" s="4">
        <f>[1]Raw_Data!G693</f>
        <v>0.17</v>
      </c>
      <c r="H695" s="3">
        <f>[1]Raw_Data!H693</f>
        <v>1</v>
      </c>
      <c r="I695" s="3" t="str">
        <f>TRIM([1]Raw_Data!I693)</f>
        <v>Canada</v>
      </c>
      <c r="J695" s="3" t="str">
        <f>TRIM([1]Raw_Data!J693)</f>
        <v>Walmart</v>
      </c>
      <c r="K695" s="3">
        <f t="shared" si="40"/>
        <v>2020</v>
      </c>
      <c r="L695" s="6">
        <f t="shared" si="41"/>
        <v>44136</v>
      </c>
      <c r="M695" s="3" t="str">
        <f t="shared" si="42"/>
        <v>16% to 20%</v>
      </c>
      <c r="N695" s="3" t="str">
        <f t="shared" si="43"/>
        <v>OK</v>
      </c>
    </row>
    <row r="696" spans="1:14" x14ac:dyDescent="0.3">
      <c r="A696" s="2">
        <f>DATE(VALUE(RIGHT(TRIM([1]Raw_Data!A694),4)),VALUE(MID(TRIM([1]Raw_Data!A694),4,2)),VALUE(LEFT(TRIM([1]Raw_Data!A694),2)))</f>
        <v>44137</v>
      </c>
      <c r="B696" s="3" t="str">
        <f>TRIM([1]Raw_Data!B694)</f>
        <v>Pre-Workout</v>
      </c>
      <c r="C696" s="3" t="str">
        <f>TRIM([1]Raw_Data!C694)</f>
        <v>Performance</v>
      </c>
      <c r="D696" s="3">
        <f>[1]Raw_Data!D694</f>
        <v>159</v>
      </c>
      <c r="E696" s="4">
        <f>[1]Raw_Data!E694</f>
        <v>12.46</v>
      </c>
      <c r="F696" s="5">
        <f>[1]Raw_Data!F694</f>
        <v>1981.14</v>
      </c>
      <c r="G696" s="4">
        <f>[1]Raw_Data!G694</f>
        <v>0.1</v>
      </c>
      <c r="H696" s="3">
        <f>[1]Raw_Data!H694</f>
        <v>1</v>
      </c>
      <c r="I696" s="3" t="str">
        <f>TRIM([1]Raw_Data!I694)</f>
        <v>Canada</v>
      </c>
      <c r="J696" s="3" t="str">
        <f>TRIM([1]Raw_Data!J694)</f>
        <v>Walmart</v>
      </c>
      <c r="K696" s="3">
        <f t="shared" si="40"/>
        <v>2020</v>
      </c>
      <c r="L696" s="6">
        <f t="shared" si="41"/>
        <v>44136</v>
      </c>
      <c r="M696" s="3" t="str">
        <f t="shared" si="42"/>
        <v>6% to 10%</v>
      </c>
      <c r="N696" s="3" t="str">
        <f t="shared" si="43"/>
        <v>OK</v>
      </c>
    </row>
    <row r="697" spans="1:14" x14ac:dyDescent="0.3">
      <c r="A697" s="2">
        <f>DATE(VALUE(RIGHT(TRIM([1]Raw_Data!A695),4)),VALUE(MID(TRIM([1]Raw_Data!A695),4,2)),VALUE(LEFT(TRIM([1]Raw_Data!A695),2)))</f>
        <v>44137</v>
      </c>
      <c r="B697" s="3" t="str">
        <f>TRIM([1]Raw_Data!B695)</f>
        <v>BCAA</v>
      </c>
      <c r="C697" s="3" t="str">
        <f>TRIM([1]Raw_Data!C695)</f>
        <v>Amino Acid</v>
      </c>
      <c r="D697" s="3">
        <f>[1]Raw_Data!D695</f>
        <v>143</v>
      </c>
      <c r="E697" s="4">
        <f>[1]Raw_Data!E695</f>
        <v>26.04</v>
      </c>
      <c r="F697" s="5">
        <f>[1]Raw_Data!F695</f>
        <v>3723.72</v>
      </c>
      <c r="G697" s="4">
        <f>[1]Raw_Data!G695</f>
        <v>0.05</v>
      </c>
      <c r="H697" s="3">
        <f>[1]Raw_Data!H695</f>
        <v>1</v>
      </c>
      <c r="I697" s="3" t="str">
        <f>TRIM([1]Raw_Data!I695)</f>
        <v>USA</v>
      </c>
      <c r="J697" s="3" t="str">
        <f>TRIM([1]Raw_Data!J695)</f>
        <v>iHerb</v>
      </c>
      <c r="K697" s="3">
        <f t="shared" si="40"/>
        <v>2020</v>
      </c>
      <c r="L697" s="6">
        <f t="shared" si="41"/>
        <v>44136</v>
      </c>
      <c r="M697" s="3" t="str">
        <f t="shared" si="42"/>
        <v>0% to 5%</v>
      </c>
      <c r="N697" s="3" t="str">
        <f t="shared" si="43"/>
        <v>OK</v>
      </c>
    </row>
    <row r="698" spans="1:14" x14ac:dyDescent="0.3">
      <c r="A698" s="2">
        <f>DATE(VALUE(RIGHT(TRIM([1]Raw_Data!A696),4)),VALUE(MID(TRIM([1]Raw_Data!A696),4,2)),VALUE(LEFT(TRIM([1]Raw_Data!A696),2)))</f>
        <v>44137</v>
      </c>
      <c r="B698" s="3" t="str">
        <f>TRIM([1]Raw_Data!B696)</f>
        <v>Creatine</v>
      </c>
      <c r="C698" s="3" t="str">
        <f>TRIM([1]Raw_Data!C696)</f>
        <v>Performance</v>
      </c>
      <c r="D698" s="3">
        <f>[1]Raw_Data!D696</f>
        <v>148</v>
      </c>
      <c r="E698" s="4">
        <f>[1]Raw_Data!E696</f>
        <v>59.17</v>
      </c>
      <c r="F698" s="5">
        <f>[1]Raw_Data!F696</f>
        <v>8757.16</v>
      </c>
      <c r="G698" s="4">
        <f>[1]Raw_Data!G696</f>
        <v>0.06</v>
      </c>
      <c r="H698" s="3">
        <f>[1]Raw_Data!H696</f>
        <v>2</v>
      </c>
      <c r="I698" s="3" t="str">
        <f>TRIM([1]Raw_Data!I696)</f>
        <v>Canada</v>
      </c>
      <c r="J698" s="3" t="str">
        <f>TRIM([1]Raw_Data!J696)</f>
        <v>Amazon</v>
      </c>
      <c r="K698" s="3">
        <f t="shared" si="40"/>
        <v>2020</v>
      </c>
      <c r="L698" s="6">
        <f t="shared" si="41"/>
        <v>44136</v>
      </c>
      <c r="M698" s="3" t="str">
        <f t="shared" si="42"/>
        <v>6% to 10%</v>
      </c>
      <c r="N698" s="3" t="str">
        <f t="shared" si="43"/>
        <v>OK</v>
      </c>
    </row>
    <row r="699" spans="1:14" x14ac:dyDescent="0.3">
      <c r="A699" s="2">
        <f>DATE(VALUE(RIGHT(TRIM([1]Raw_Data!A697),4)),VALUE(MID(TRIM([1]Raw_Data!A697),4,2)),VALUE(LEFT(TRIM([1]Raw_Data!A697),2)))</f>
        <v>44137</v>
      </c>
      <c r="B699" s="3" t="str">
        <f>TRIM([1]Raw_Data!B697)</f>
        <v>Zinc</v>
      </c>
      <c r="C699" s="3" t="str">
        <f>TRIM([1]Raw_Data!C697)</f>
        <v>Mineral</v>
      </c>
      <c r="D699" s="3">
        <f>[1]Raw_Data!D697</f>
        <v>158</v>
      </c>
      <c r="E699" s="4">
        <f>[1]Raw_Data!E697</f>
        <v>14.43</v>
      </c>
      <c r="F699" s="5">
        <f>[1]Raw_Data!F697</f>
        <v>2279.94</v>
      </c>
      <c r="G699" s="4">
        <f>[1]Raw_Data!G697</f>
        <v>0.17</v>
      </c>
      <c r="H699" s="3">
        <f>[1]Raw_Data!H697</f>
        <v>0</v>
      </c>
      <c r="I699" s="3" t="str">
        <f>TRIM([1]Raw_Data!I697)</f>
        <v>USA</v>
      </c>
      <c r="J699" s="3" t="str">
        <f>TRIM([1]Raw_Data!J697)</f>
        <v>iHerb</v>
      </c>
      <c r="K699" s="3">
        <f t="shared" si="40"/>
        <v>2020</v>
      </c>
      <c r="L699" s="6">
        <f t="shared" si="41"/>
        <v>44136</v>
      </c>
      <c r="M699" s="3" t="str">
        <f t="shared" si="42"/>
        <v>16% to 20%</v>
      </c>
      <c r="N699" s="3" t="str">
        <f t="shared" si="43"/>
        <v>OK</v>
      </c>
    </row>
    <row r="700" spans="1:14" x14ac:dyDescent="0.3">
      <c r="A700" s="2">
        <f>DATE(VALUE(RIGHT(TRIM([1]Raw_Data!A698),4)),VALUE(MID(TRIM([1]Raw_Data!A698),4,2)),VALUE(LEFT(TRIM([1]Raw_Data!A698),2)))</f>
        <v>44137</v>
      </c>
      <c r="B700" s="3" t="str">
        <f>TRIM([1]Raw_Data!B698)</f>
        <v>Collagen Peptides</v>
      </c>
      <c r="C700" s="3" t="str">
        <f>TRIM([1]Raw_Data!C698)</f>
        <v>Protein</v>
      </c>
      <c r="D700" s="3">
        <f>[1]Raw_Data!D698</f>
        <v>153</v>
      </c>
      <c r="E700" s="4">
        <f>[1]Raw_Data!E698</f>
        <v>20.55</v>
      </c>
      <c r="F700" s="5">
        <f>[1]Raw_Data!F698</f>
        <v>3144.15</v>
      </c>
      <c r="G700" s="4">
        <f>[1]Raw_Data!G698</f>
        <v>0.21</v>
      </c>
      <c r="H700" s="3">
        <f>[1]Raw_Data!H698</f>
        <v>0</v>
      </c>
      <c r="I700" s="3" t="str">
        <f>TRIM([1]Raw_Data!I698)</f>
        <v>Canada</v>
      </c>
      <c r="J700" s="3" t="str">
        <f>TRIM([1]Raw_Data!J698)</f>
        <v>Amazon</v>
      </c>
      <c r="K700" s="3">
        <f t="shared" si="40"/>
        <v>2020</v>
      </c>
      <c r="L700" s="6">
        <f t="shared" si="41"/>
        <v>44136</v>
      </c>
      <c r="M700" s="3" t="str">
        <f t="shared" si="42"/>
        <v>21% to 25%</v>
      </c>
      <c r="N700" s="3" t="str">
        <f t="shared" si="43"/>
        <v>OK</v>
      </c>
    </row>
    <row r="701" spans="1:14" x14ac:dyDescent="0.3">
      <c r="A701" s="2">
        <f>DATE(VALUE(RIGHT(TRIM([1]Raw_Data!A699),4)),VALUE(MID(TRIM([1]Raw_Data!A699),4,2)),VALUE(LEFT(TRIM([1]Raw_Data!A699),2)))</f>
        <v>44137</v>
      </c>
      <c r="B701" s="3" t="str">
        <f>TRIM([1]Raw_Data!B699)</f>
        <v>Magnesium</v>
      </c>
      <c r="C701" s="3" t="str">
        <f>TRIM([1]Raw_Data!C699)</f>
        <v>Mineral</v>
      </c>
      <c r="D701" s="3">
        <f>[1]Raw_Data!D699</f>
        <v>164</v>
      </c>
      <c r="E701" s="4">
        <f>[1]Raw_Data!E699</f>
        <v>20.88</v>
      </c>
      <c r="F701" s="5">
        <f>[1]Raw_Data!F699</f>
        <v>3424.32</v>
      </c>
      <c r="G701" s="4">
        <f>[1]Raw_Data!G699</f>
        <v>0.03</v>
      </c>
      <c r="H701" s="3">
        <f>[1]Raw_Data!H699</f>
        <v>4</v>
      </c>
      <c r="I701" s="3" t="str">
        <f>TRIM([1]Raw_Data!I699)</f>
        <v>USA</v>
      </c>
      <c r="J701" s="3" t="str">
        <f>TRIM([1]Raw_Data!J699)</f>
        <v>Walmart</v>
      </c>
      <c r="K701" s="3">
        <f t="shared" si="40"/>
        <v>2020</v>
      </c>
      <c r="L701" s="6">
        <f t="shared" si="41"/>
        <v>44136</v>
      </c>
      <c r="M701" s="3" t="str">
        <f t="shared" si="42"/>
        <v>0% to 5%</v>
      </c>
      <c r="N701" s="3" t="str">
        <f t="shared" si="43"/>
        <v>OK</v>
      </c>
    </row>
    <row r="702" spans="1:14" x14ac:dyDescent="0.3">
      <c r="A702" s="2">
        <f>DATE(VALUE(RIGHT(TRIM([1]Raw_Data!A700),4)),VALUE(MID(TRIM([1]Raw_Data!A700),4,2)),VALUE(LEFT(TRIM([1]Raw_Data!A700),2)))</f>
        <v>44137</v>
      </c>
      <c r="B702" s="3" t="str">
        <f>TRIM([1]Raw_Data!B700)</f>
        <v>Ashwagandha</v>
      </c>
      <c r="C702" s="3" t="str">
        <f>TRIM([1]Raw_Data!C700)</f>
        <v>Herbal</v>
      </c>
      <c r="D702" s="3">
        <f>[1]Raw_Data!D700</f>
        <v>128</v>
      </c>
      <c r="E702" s="4">
        <f>[1]Raw_Data!E700</f>
        <v>27.39</v>
      </c>
      <c r="F702" s="5">
        <f>[1]Raw_Data!F700</f>
        <v>3505.92</v>
      </c>
      <c r="G702" s="4">
        <f>[1]Raw_Data!G700</f>
        <v>0.16</v>
      </c>
      <c r="H702" s="3">
        <f>[1]Raw_Data!H700</f>
        <v>1</v>
      </c>
      <c r="I702" s="3" t="str">
        <f>TRIM([1]Raw_Data!I700)</f>
        <v>USA</v>
      </c>
      <c r="J702" s="3" t="str">
        <f>TRIM([1]Raw_Data!J700)</f>
        <v>Amazon</v>
      </c>
      <c r="K702" s="3">
        <f t="shared" si="40"/>
        <v>2020</v>
      </c>
      <c r="L702" s="6">
        <f t="shared" si="41"/>
        <v>44136</v>
      </c>
      <c r="M702" s="3" t="str">
        <f t="shared" si="42"/>
        <v>16% to 20%</v>
      </c>
      <c r="N702" s="3" t="str">
        <f t="shared" si="43"/>
        <v>OK</v>
      </c>
    </row>
    <row r="703" spans="1:14" x14ac:dyDescent="0.3">
      <c r="A703" s="2">
        <f>DATE(VALUE(RIGHT(TRIM([1]Raw_Data!A701),4)),VALUE(MID(TRIM([1]Raw_Data!A701),4,2)),VALUE(LEFT(TRIM([1]Raw_Data!A701),2)))</f>
        <v>44137</v>
      </c>
      <c r="B703" s="3" t="str">
        <f>TRIM([1]Raw_Data!B701)</f>
        <v>Melatonin</v>
      </c>
      <c r="C703" s="3" t="str">
        <f>TRIM([1]Raw_Data!C701)</f>
        <v>Sleep Aid</v>
      </c>
      <c r="D703" s="3">
        <f>[1]Raw_Data!D701</f>
        <v>134</v>
      </c>
      <c r="E703" s="4">
        <f>[1]Raw_Data!E701</f>
        <v>21.94</v>
      </c>
      <c r="F703" s="5">
        <f>[1]Raw_Data!F701</f>
        <v>2939.96</v>
      </c>
      <c r="G703" s="4">
        <f>[1]Raw_Data!G701</f>
        <v>0.05</v>
      </c>
      <c r="H703" s="3">
        <f>[1]Raw_Data!H701</f>
        <v>1</v>
      </c>
      <c r="I703" s="3" t="str">
        <f>TRIM([1]Raw_Data!I701)</f>
        <v>UK</v>
      </c>
      <c r="J703" s="3" t="str">
        <f>TRIM([1]Raw_Data!J701)</f>
        <v>iHerb</v>
      </c>
      <c r="K703" s="3">
        <f t="shared" si="40"/>
        <v>2020</v>
      </c>
      <c r="L703" s="6">
        <f t="shared" si="41"/>
        <v>44136</v>
      </c>
      <c r="M703" s="3" t="str">
        <f t="shared" si="42"/>
        <v>0% to 5%</v>
      </c>
      <c r="N703" s="3" t="str">
        <f t="shared" si="43"/>
        <v>OK</v>
      </c>
    </row>
    <row r="704" spans="1:14" x14ac:dyDescent="0.3">
      <c r="A704" s="2">
        <f>DATE(VALUE(RIGHT(TRIM([1]Raw_Data!A702),4)),VALUE(MID(TRIM([1]Raw_Data!A702),4,2)),VALUE(LEFT(TRIM([1]Raw_Data!A702),2)))</f>
        <v>44137</v>
      </c>
      <c r="B704" s="3" t="str">
        <f>TRIM([1]Raw_Data!B702)</f>
        <v>Biotin</v>
      </c>
      <c r="C704" s="3" t="str">
        <f>TRIM([1]Raw_Data!C702)</f>
        <v>Vitamin</v>
      </c>
      <c r="D704" s="3">
        <f>[1]Raw_Data!D702</f>
        <v>157</v>
      </c>
      <c r="E704" s="4">
        <f>[1]Raw_Data!E702</f>
        <v>28.33</v>
      </c>
      <c r="F704" s="5">
        <f>[1]Raw_Data!F702</f>
        <v>4447.8100000000004</v>
      </c>
      <c r="G704" s="4">
        <f>[1]Raw_Data!G702</f>
        <v>0.1</v>
      </c>
      <c r="H704" s="3">
        <f>[1]Raw_Data!H702</f>
        <v>4</v>
      </c>
      <c r="I704" s="3" t="str">
        <f>TRIM([1]Raw_Data!I702)</f>
        <v>Canada</v>
      </c>
      <c r="J704" s="3" t="str">
        <f>TRIM([1]Raw_Data!J702)</f>
        <v>Walmart</v>
      </c>
      <c r="K704" s="3">
        <f t="shared" si="40"/>
        <v>2020</v>
      </c>
      <c r="L704" s="6">
        <f t="shared" si="41"/>
        <v>44136</v>
      </c>
      <c r="M704" s="3" t="str">
        <f t="shared" si="42"/>
        <v>6% to 10%</v>
      </c>
      <c r="N704" s="3" t="str">
        <f t="shared" si="43"/>
        <v>OK</v>
      </c>
    </row>
    <row r="705" spans="1:14" x14ac:dyDescent="0.3">
      <c r="A705" s="2">
        <f>DATE(VALUE(RIGHT(TRIM([1]Raw_Data!A703),4)),VALUE(MID(TRIM([1]Raw_Data!A703),4,2)),VALUE(LEFT(TRIM([1]Raw_Data!A703),2)))</f>
        <v>44137</v>
      </c>
      <c r="B705" s="3" t="str">
        <f>TRIM([1]Raw_Data!B703)</f>
        <v>Green Tea Extract</v>
      </c>
      <c r="C705" s="3" t="str">
        <f>TRIM([1]Raw_Data!C703)</f>
        <v>Fat Burner</v>
      </c>
      <c r="D705" s="3">
        <f>[1]Raw_Data!D703</f>
        <v>140</v>
      </c>
      <c r="E705" s="4">
        <f>[1]Raw_Data!E703</f>
        <v>25.85</v>
      </c>
      <c r="F705" s="5">
        <f>[1]Raw_Data!F703</f>
        <v>3619</v>
      </c>
      <c r="G705" s="4">
        <f>[1]Raw_Data!G703</f>
        <v>7.0000000000000007E-2</v>
      </c>
      <c r="H705" s="3">
        <f>[1]Raw_Data!H703</f>
        <v>1</v>
      </c>
      <c r="I705" s="3" t="str">
        <f>TRIM([1]Raw_Data!I703)</f>
        <v>USA</v>
      </c>
      <c r="J705" s="3" t="str">
        <f>TRIM([1]Raw_Data!J703)</f>
        <v>Amazon</v>
      </c>
      <c r="K705" s="3">
        <f t="shared" si="40"/>
        <v>2020</v>
      </c>
      <c r="L705" s="6">
        <f t="shared" si="41"/>
        <v>44136</v>
      </c>
      <c r="M705" s="3" t="str">
        <f t="shared" si="42"/>
        <v>6% to 10%</v>
      </c>
      <c r="N705" s="3" t="str">
        <f t="shared" si="43"/>
        <v>OK</v>
      </c>
    </row>
    <row r="706" spans="1:14" x14ac:dyDescent="0.3">
      <c r="A706" s="2">
        <f>DATE(VALUE(RIGHT(TRIM([1]Raw_Data!A704),4)),VALUE(MID(TRIM([1]Raw_Data!A704),4,2)),VALUE(LEFT(TRIM([1]Raw_Data!A704),2)))</f>
        <v>44137</v>
      </c>
      <c r="B706" s="3" t="str">
        <f>TRIM([1]Raw_Data!B704)</f>
        <v>Iron Supplement</v>
      </c>
      <c r="C706" s="3" t="str">
        <f>TRIM([1]Raw_Data!C704)</f>
        <v>Mineral</v>
      </c>
      <c r="D706" s="3">
        <f>[1]Raw_Data!D704</f>
        <v>164</v>
      </c>
      <c r="E706" s="4">
        <f>[1]Raw_Data!E704</f>
        <v>44.36</v>
      </c>
      <c r="F706" s="5">
        <f>[1]Raw_Data!F704</f>
        <v>7275.04</v>
      </c>
      <c r="G706" s="4">
        <f>[1]Raw_Data!G704</f>
        <v>0.08</v>
      </c>
      <c r="H706" s="3">
        <f>[1]Raw_Data!H704</f>
        <v>0</v>
      </c>
      <c r="I706" s="3" t="str">
        <f>TRIM([1]Raw_Data!I704)</f>
        <v>UK</v>
      </c>
      <c r="J706" s="3" t="str">
        <f>TRIM([1]Raw_Data!J704)</f>
        <v>Amazon</v>
      </c>
      <c r="K706" s="3">
        <f t="shared" si="40"/>
        <v>2020</v>
      </c>
      <c r="L706" s="6">
        <f t="shared" si="41"/>
        <v>44136</v>
      </c>
      <c r="M706" s="3" t="str">
        <f t="shared" si="42"/>
        <v>6% to 10%</v>
      </c>
      <c r="N706" s="3" t="str">
        <f t="shared" si="43"/>
        <v>OK</v>
      </c>
    </row>
    <row r="707" spans="1:14" x14ac:dyDescent="0.3">
      <c r="A707" s="2">
        <f>DATE(VALUE(RIGHT(TRIM([1]Raw_Data!A705),4)),VALUE(MID(TRIM([1]Raw_Data!A705),4,2)),VALUE(LEFT(TRIM([1]Raw_Data!A705),2)))</f>
        <v>44137</v>
      </c>
      <c r="B707" s="3" t="str">
        <f>TRIM([1]Raw_Data!B705)</f>
        <v>Electrolyte Powder</v>
      </c>
      <c r="C707" s="3" t="str">
        <f>TRIM([1]Raw_Data!C705)</f>
        <v>Hydration</v>
      </c>
      <c r="D707" s="3">
        <f>[1]Raw_Data!D705</f>
        <v>157</v>
      </c>
      <c r="E707" s="4">
        <f>[1]Raw_Data!E705</f>
        <v>30.46</v>
      </c>
      <c r="F707" s="5">
        <f>[1]Raw_Data!F705</f>
        <v>4782.22</v>
      </c>
      <c r="G707" s="4">
        <f>[1]Raw_Data!G705</f>
        <v>0.08</v>
      </c>
      <c r="H707" s="3">
        <f>[1]Raw_Data!H705</f>
        <v>2</v>
      </c>
      <c r="I707" s="3" t="str">
        <f>TRIM([1]Raw_Data!I705)</f>
        <v>UK</v>
      </c>
      <c r="J707" s="3" t="str">
        <f>TRIM([1]Raw_Data!J705)</f>
        <v>Amazon</v>
      </c>
      <c r="K707" s="3">
        <f t="shared" si="40"/>
        <v>2020</v>
      </c>
      <c r="L707" s="6">
        <f t="shared" si="41"/>
        <v>44136</v>
      </c>
      <c r="M707" s="3" t="str">
        <f t="shared" si="42"/>
        <v>6% to 10%</v>
      </c>
      <c r="N707" s="3" t="str">
        <f t="shared" si="43"/>
        <v>OK</v>
      </c>
    </row>
    <row r="708" spans="1:14" x14ac:dyDescent="0.3">
      <c r="A708" s="2">
        <f>DATE(VALUE(RIGHT(TRIM([1]Raw_Data!A706),4)),VALUE(MID(TRIM([1]Raw_Data!A706),4,2)),VALUE(LEFT(TRIM([1]Raw_Data!A706),2)))</f>
        <v>44144</v>
      </c>
      <c r="B708" s="3" t="str">
        <f>TRIM([1]Raw_Data!B706)</f>
        <v>Whey Protein</v>
      </c>
      <c r="C708" s="3" t="str">
        <f>TRIM([1]Raw_Data!C706)</f>
        <v>Protein</v>
      </c>
      <c r="D708" s="3">
        <f>[1]Raw_Data!D706</f>
        <v>160</v>
      </c>
      <c r="E708" s="4">
        <f>[1]Raw_Data!E706</f>
        <v>50.58</v>
      </c>
      <c r="F708" s="5">
        <f>[1]Raw_Data!F706</f>
        <v>8092.8</v>
      </c>
      <c r="G708" s="4">
        <f>[1]Raw_Data!G706</f>
        <v>7.0000000000000007E-2</v>
      </c>
      <c r="H708" s="3">
        <f>[1]Raw_Data!H706</f>
        <v>1</v>
      </c>
      <c r="I708" s="3" t="str">
        <f>TRIM([1]Raw_Data!I706)</f>
        <v>Canada</v>
      </c>
      <c r="J708" s="3" t="str">
        <f>TRIM([1]Raw_Data!J706)</f>
        <v>Amazon</v>
      </c>
      <c r="K708" s="3">
        <f t="shared" ref="K708:K771" si="44">YEAR(A708)</f>
        <v>2020</v>
      </c>
      <c r="L708" s="6">
        <f t="shared" ref="L708:L771" si="45">DATE(YEAR(A708),MONTH(A708),1)</f>
        <v>44136</v>
      </c>
      <c r="M708" s="3" t="str">
        <f t="shared" ref="M708:M771" si="46">IF(ROUND(G708*100,0)&lt;=5,"0% to 5%",IF(ROUND(G708*100,0)&lt;=10,"6% to 10%",IF(ROUND(G708*100,0)&lt;=15,"11% to 15%",IF(ROUND(G708*100,0)&lt;=20,"16% to 20%","21% to 25%"))))</f>
        <v>6% to 10%</v>
      </c>
      <c r="N708" s="3" t="str">
        <f t="shared" ref="N708:N771" si="47">IF(ROUND(D708*E708,2)=ROUND(F708,2),"OK","Check")</f>
        <v>OK</v>
      </c>
    </row>
    <row r="709" spans="1:14" x14ac:dyDescent="0.3">
      <c r="A709" s="2">
        <f>DATE(VALUE(RIGHT(TRIM([1]Raw_Data!A707),4)),VALUE(MID(TRIM([1]Raw_Data!A707),4,2)),VALUE(LEFT(TRIM([1]Raw_Data!A707),2)))</f>
        <v>44144</v>
      </c>
      <c r="B709" s="3" t="str">
        <f>TRIM([1]Raw_Data!B707)</f>
        <v>Vitamin C</v>
      </c>
      <c r="C709" s="3" t="str">
        <f>TRIM([1]Raw_Data!C707)</f>
        <v>Vitamin</v>
      </c>
      <c r="D709" s="3">
        <f>[1]Raw_Data!D707</f>
        <v>158</v>
      </c>
      <c r="E709" s="4">
        <f>[1]Raw_Data!E707</f>
        <v>59.37</v>
      </c>
      <c r="F709" s="5">
        <f>[1]Raw_Data!F707</f>
        <v>9380.4599999999991</v>
      </c>
      <c r="G709" s="4">
        <f>[1]Raw_Data!G707</f>
        <v>0.06</v>
      </c>
      <c r="H709" s="3">
        <f>[1]Raw_Data!H707</f>
        <v>2</v>
      </c>
      <c r="I709" s="3" t="str">
        <f>TRIM([1]Raw_Data!I707)</f>
        <v>USA</v>
      </c>
      <c r="J709" s="3" t="str">
        <f>TRIM([1]Raw_Data!J707)</f>
        <v>iHerb</v>
      </c>
      <c r="K709" s="3">
        <f t="shared" si="44"/>
        <v>2020</v>
      </c>
      <c r="L709" s="6">
        <f t="shared" si="45"/>
        <v>44136</v>
      </c>
      <c r="M709" s="3" t="str">
        <f t="shared" si="46"/>
        <v>6% to 10%</v>
      </c>
      <c r="N709" s="3" t="str">
        <f t="shared" si="47"/>
        <v>OK</v>
      </c>
    </row>
    <row r="710" spans="1:14" x14ac:dyDescent="0.3">
      <c r="A710" s="2">
        <f>DATE(VALUE(RIGHT(TRIM([1]Raw_Data!A708),4)),VALUE(MID(TRIM([1]Raw_Data!A708),4,2)),VALUE(LEFT(TRIM([1]Raw_Data!A708),2)))</f>
        <v>44144</v>
      </c>
      <c r="B710" s="3" t="str">
        <f>TRIM([1]Raw_Data!B708)</f>
        <v>Fish Oil</v>
      </c>
      <c r="C710" s="3" t="str">
        <f>TRIM([1]Raw_Data!C708)</f>
        <v>Omega</v>
      </c>
      <c r="D710" s="3">
        <f>[1]Raw_Data!D708</f>
        <v>154</v>
      </c>
      <c r="E710" s="4">
        <f>[1]Raw_Data!E708</f>
        <v>17.82</v>
      </c>
      <c r="F710" s="5">
        <f>[1]Raw_Data!F708</f>
        <v>2744.28</v>
      </c>
      <c r="G710" s="4">
        <f>[1]Raw_Data!G708</f>
        <v>0.19</v>
      </c>
      <c r="H710" s="3">
        <f>[1]Raw_Data!H708</f>
        <v>2</v>
      </c>
      <c r="I710" s="3" t="str">
        <f>TRIM([1]Raw_Data!I708)</f>
        <v>UK</v>
      </c>
      <c r="J710" s="3" t="str">
        <f>TRIM([1]Raw_Data!J708)</f>
        <v>Walmart</v>
      </c>
      <c r="K710" s="3">
        <f t="shared" si="44"/>
        <v>2020</v>
      </c>
      <c r="L710" s="6">
        <f t="shared" si="45"/>
        <v>44136</v>
      </c>
      <c r="M710" s="3" t="str">
        <f t="shared" si="46"/>
        <v>16% to 20%</v>
      </c>
      <c r="N710" s="3" t="str">
        <f t="shared" si="47"/>
        <v>OK</v>
      </c>
    </row>
    <row r="711" spans="1:14" x14ac:dyDescent="0.3">
      <c r="A711" s="2">
        <f>DATE(VALUE(RIGHT(TRIM([1]Raw_Data!A709),4)),VALUE(MID(TRIM([1]Raw_Data!A709),4,2)),VALUE(LEFT(TRIM([1]Raw_Data!A709),2)))</f>
        <v>44144</v>
      </c>
      <c r="B711" s="3" t="str">
        <f>TRIM([1]Raw_Data!B709)</f>
        <v>Multivitamin</v>
      </c>
      <c r="C711" s="3" t="str">
        <f>TRIM([1]Raw_Data!C709)</f>
        <v>Vitamin</v>
      </c>
      <c r="D711" s="3">
        <f>[1]Raw_Data!D709</f>
        <v>142</v>
      </c>
      <c r="E711" s="4">
        <f>[1]Raw_Data!E709</f>
        <v>26.69</v>
      </c>
      <c r="F711" s="5">
        <f>[1]Raw_Data!F709</f>
        <v>3789.98</v>
      </c>
      <c r="G711" s="4">
        <f>[1]Raw_Data!G709</f>
        <v>0.14000000000000001</v>
      </c>
      <c r="H711" s="3">
        <f>[1]Raw_Data!H709</f>
        <v>3</v>
      </c>
      <c r="I711" s="3" t="str">
        <f>TRIM([1]Raw_Data!I709)</f>
        <v>Canada</v>
      </c>
      <c r="J711" s="3" t="str">
        <f>TRIM([1]Raw_Data!J709)</f>
        <v>Amazon</v>
      </c>
      <c r="K711" s="3">
        <f t="shared" si="44"/>
        <v>2020</v>
      </c>
      <c r="L711" s="6">
        <f t="shared" si="45"/>
        <v>44136</v>
      </c>
      <c r="M711" s="3" t="str">
        <f t="shared" si="46"/>
        <v>11% to 15%</v>
      </c>
      <c r="N711" s="3" t="str">
        <f t="shared" si="47"/>
        <v>OK</v>
      </c>
    </row>
    <row r="712" spans="1:14" x14ac:dyDescent="0.3">
      <c r="A712" s="2">
        <f>DATE(VALUE(RIGHT(TRIM([1]Raw_Data!A710),4)),VALUE(MID(TRIM([1]Raw_Data!A710),4,2)),VALUE(LEFT(TRIM([1]Raw_Data!A710),2)))</f>
        <v>44144</v>
      </c>
      <c r="B712" s="3" t="str">
        <f>TRIM([1]Raw_Data!B710)</f>
        <v>Pre-Workout</v>
      </c>
      <c r="C712" s="3" t="str">
        <f>TRIM([1]Raw_Data!C710)</f>
        <v>Performance</v>
      </c>
      <c r="D712" s="3">
        <f>[1]Raw_Data!D710</f>
        <v>152</v>
      </c>
      <c r="E712" s="4">
        <f>[1]Raw_Data!E710</f>
        <v>35.94</v>
      </c>
      <c r="F712" s="5">
        <f>[1]Raw_Data!F710</f>
        <v>5462.88</v>
      </c>
      <c r="G712" s="4">
        <f>[1]Raw_Data!G710</f>
        <v>0.01</v>
      </c>
      <c r="H712" s="3">
        <f>[1]Raw_Data!H710</f>
        <v>1</v>
      </c>
      <c r="I712" s="3" t="str">
        <f>TRIM([1]Raw_Data!I710)</f>
        <v>Canada</v>
      </c>
      <c r="J712" s="3" t="str">
        <f>TRIM([1]Raw_Data!J710)</f>
        <v>Amazon</v>
      </c>
      <c r="K712" s="3">
        <f t="shared" si="44"/>
        <v>2020</v>
      </c>
      <c r="L712" s="6">
        <f t="shared" si="45"/>
        <v>44136</v>
      </c>
      <c r="M712" s="3" t="str">
        <f t="shared" si="46"/>
        <v>0% to 5%</v>
      </c>
      <c r="N712" s="3" t="str">
        <f t="shared" si="47"/>
        <v>OK</v>
      </c>
    </row>
    <row r="713" spans="1:14" x14ac:dyDescent="0.3">
      <c r="A713" s="2">
        <f>DATE(VALUE(RIGHT(TRIM([1]Raw_Data!A711),4)),VALUE(MID(TRIM([1]Raw_Data!A711),4,2)),VALUE(LEFT(TRIM([1]Raw_Data!A711),2)))</f>
        <v>44144</v>
      </c>
      <c r="B713" s="3" t="str">
        <f>TRIM([1]Raw_Data!B711)</f>
        <v>BCAA</v>
      </c>
      <c r="C713" s="3" t="str">
        <f>TRIM([1]Raw_Data!C711)</f>
        <v>Amino Acid</v>
      </c>
      <c r="D713" s="3">
        <f>[1]Raw_Data!D711</f>
        <v>150</v>
      </c>
      <c r="E713" s="4">
        <f>[1]Raw_Data!E711</f>
        <v>19.09</v>
      </c>
      <c r="F713" s="5">
        <f>[1]Raw_Data!F711</f>
        <v>2863.5</v>
      </c>
      <c r="G713" s="4">
        <f>[1]Raw_Data!G711</f>
        <v>0.13</v>
      </c>
      <c r="H713" s="3">
        <f>[1]Raw_Data!H711</f>
        <v>1</v>
      </c>
      <c r="I713" s="3" t="str">
        <f>TRIM([1]Raw_Data!I711)</f>
        <v>Canada</v>
      </c>
      <c r="J713" s="3" t="str">
        <f>TRIM([1]Raw_Data!J711)</f>
        <v>Amazon</v>
      </c>
      <c r="K713" s="3">
        <f t="shared" si="44"/>
        <v>2020</v>
      </c>
      <c r="L713" s="6">
        <f t="shared" si="45"/>
        <v>44136</v>
      </c>
      <c r="M713" s="3" t="str">
        <f t="shared" si="46"/>
        <v>11% to 15%</v>
      </c>
      <c r="N713" s="3" t="str">
        <f t="shared" si="47"/>
        <v>OK</v>
      </c>
    </row>
    <row r="714" spans="1:14" x14ac:dyDescent="0.3">
      <c r="A714" s="2">
        <f>DATE(VALUE(RIGHT(TRIM([1]Raw_Data!A712),4)),VALUE(MID(TRIM([1]Raw_Data!A712),4,2)),VALUE(LEFT(TRIM([1]Raw_Data!A712),2)))</f>
        <v>44144</v>
      </c>
      <c r="B714" s="3" t="str">
        <f>TRIM([1]Raw_Data!B712)</f>
        <v>Creatine</v>
      </c>
      <c r="C714" s="3" t="str">
        <f>TRIM([1]Raw_Data!C712)</f>
        <v>Performance</v>
      </c>
      <c r="D714" s="3">
        <f>[1]Raw_Data!D712</f>
        <v>141</v>
      </c>
      <c r="E714" s="4">
        <f>[1]Raw_Data!E712</f>
        <v>16.66</v>
      </c>
      <c r="F714" s="5">
        <f>[1]Raw_Data!F712</f>
        <v>2349.06</v>
      </c>
      <c r="G714" s="4">
        <f>[1]Raw_Data!G712</f>
        <v>0.23</v>
      </c>
      <c r="H714" s="3">
        <f>[1]Raw_Data!H712</f>
        <v>3</v>
      </c>
      <c r="I714" s="3" t="str">
        <f>TRIM([1]Raw_Data!I712)</f>
        <v>UK</v>
      </c>
      <c r="J714" s="3" t="str">
        <f>TRIM([1]Raw_Data!J712)</f>
        <v>Amazon</v>
      </c>
      <c r="K714" s="3">
        <f t="shared" si="44"/>
        <v>2020</v>
      </c>
      <c r="L714" s="6">
        <f t="shared" si="45"/>
        <v>44136</v>
      </c>
      <c r="M714" s="3" t="str">
        <f t="shared" si="46"/>
        <v>21% to 25%</v>
      </c>
      <c r="N714" s="3" t="str">
        <f t="shared" si="47"/>
        <v>OK</v>
      </c>
    </row>
    <row r="715" spans="1:14" x14ac:dyDescent="0.3">
      <c r="A715" s="2">
        <f>DATE(VALUE(RIGHT(TRIM([1]Raw_Data!A713),4)),VALUE(MID(TRIM([1]Raw_Data!A713),4,2)),VALUE(LEFT(TRIM([1]Raw_Data!A713),2)))</f>
        <v>44144</v>
      </c>
      <c r="B715" s="3" t="str">
        <f>TRIM([1]Raw_Data!B713)</f>
        <v>Zinc</v>
      </c>
      <c r="C715" s="3" t="str">
        <f>TRIM([1]Raw_Data!C713)</f>
        <v>Mineral</v>
      </c>
      <c r="D715" s="3">
        <f>[1]Raw_Data!D713</f>
        <v>158</v>
      </c>
      <c r="E715" s="4">
        <f>[1]Raw_Data!E713</f>
        <v>48.79</v>
      </c>
      <c r="F715" s="5">
        <f>[1]Raw_Data!F713</f>
        <v>7708.82</v>
      </c>
      <c r="G715" s="4">
        <f>[1]Raw_Data!G713</f>
        <v>0.2</v>
      </c>
      <c r="H715" s="3">
        <f>[1]Raw_Data!H713</f>
        <v>2</v>
      </c>
      <c r="I715" s="3" t="str">
        <f>TRIM([1]Raw_Data!I713)</f>
        <v>UK</v>
      </c>
      <c r="J715" s="3" t="str">
        <f>TRIM([1]Raw_Data!J713)</f>
        <v>Amazon</v>
      </c>
      <c r="K715" s="3">
        <f t="shared" si="44"/>
        <v>2020</v>
      </c>
      <c r="L715" s="6">
        <f t="shared" si="45"/>
        <v>44136</v>
      </c>
      <c r="M715" s="3" t="str">
        <f t="shared" si="46"/>
        <v>16% to 20%</v>
      </c>
      <c r="N715" s="3" t="str">
        <f t="shared" si="47"/>
        <v>OK</v>
      </c>
    </row>
    <row r="716" spans="1:14" x14ac:dyDescent="0.3">
      <c r="A716" s="2">
        <f>DATE(VALUE(RIGHT(TRIM([1]Raw_Data!A714),4)),VALUE(MID(TRIM([1]Raw_Data!A714),4,2)),VALUE(LEFT(TRIM([1]Raw_Data!A714),2)))</f>
        <v>44144</v>
      </c>
      <c r="B716" s="3" t="str">
        <f>TRIM([1]Raw_Data!B714)</f>
        <v>Collagen Peptides</v>
      </c>
      <c r="C716" s="3" t="str">
        <f>TRIM([1]Raw_Data!C714)</f>
        <v>Protein</v>
      </c>
      <c r="D716" s="3">
        <f>[1]Raw_Data!D714</f>
        <v>133</v>
      </c>
      <c r="E716" s="4">
        <f>[1]Raw_Data!E714</f>
        <v>51.72</v>
      </c>
      <c r="F716" s="5">
        <f>[1]Raw_Data!F714</f>
        <v>6878.76</v>
      </c>
      <c r="G716" s="4">
        <f>[1]Raw_Data!G714</f>
        <v>0.14000000000000001</v>
      </c>
      <c r="H716" s="3">
        <f>[1]Raw_Data!H714</f>
        <v>2</v>
      </c>
      <c r="I716" s="3" t="str">
        <f>TRIM([1]Raw_Data!I714)</f>
        <v>UK</v>
      </c>
      <c r="J716" s="3" t="str">
        <f>TRIM([1]Raw_Data!J714)</f>
        <v>iHerb</v>
      </c>
      <c r="K716" s="3">
        <f t="shared" si="44"/>
        <v>2020</v>
      </c>
      <c r="L716" s="6">
        <f t="shared" si="45"/>
        <v>44136</v>
      </c>
      <c r="M716" s="3" t="str">
        <f t="shared" si="46"/>
        <v>11% to 15%</v>
      </c>
      <c r="N716" s="3" t="str">
        <f t="shared" si="47"/>
        <v>OK</v>
      </c>
    </row>
    <row r="717" spans="1:14" x14ac:dyDescent="0.3">
      <c r="A717" s="2">
        <f>DATE(VALUE(RIGHT(TRIM([1]Raw_Data!A715),4)),VALUE(MID(TRIM([1]Raw_Data!A715),4,2)),VALUE(LEFT(TRIM([1]Raw_Data!A715),2)))</f>
        <v>44144</v>
      </c>
      <c r="B717" s="3" t="str">
        <f>TRIM([1]Raw_Data!B715)</f>
        <v>Magnesium</v>
      </c>
      <c r="C717" s="3" t="str">
        <f>TRIM([1]Raw_Data!C715)</f>
        <v>Mineral</v>
      </c>
      <c r="D717" s="3">
        <f>[1]Raw_Data!D715</f>
        <v>148</v>
      </c>
      <c r="E717" s="4">
        <f>[1]Raw_Data!E715</f>
        <v>11.72</v>
      </c>
      <c r="F717" s="5">
        <f>[1]Raw_Data!F715</f>
        <v>1734.56</v>
      </c>
      <c r="G717" s="4">
        <f>[1]Raw_Data!G715</f>
        <v>0.16</v>
      </c>
      <c r="H717" s="3">
        <f>[1]Raw_Data!H715</f>
        <v>0</v>
      </c>
      <c r="I717" s="3" t="str">
        <f>TRIM([1]Raw_Data!I715)</f>
        <v>USA</v>
      </c>
      <c r="J717" s="3" t="str">
        <f>TRIM([1]Raw_Data!J715)</f>
        <v>iHerb</v>
      </c>
      <c r="K717" s="3">
        <f t="shared" si="44"/>
        <v>2020</v>
      </c>
      <c r="L717" s="6">
        <f t="shared" si="45"/>
        <v>44136</v>
      </c>
      <c r="M717" s="3" t="str">
        <f t="shared" si="46"/>
        <v>16% to 20%</v>
      </c>
      <c r="N717" s="3" t="str">
        <f t="shared" si="47"/>
        <v>OK</v>
      </c>
    </row>
    <row r="718" spans="1:14" x14ac:dyDescent="0.3">
      <c r="A718" s="2">
        <f>DATE(VALUE(RIGHT(TRIM([1]Raw_Data!A716),4)),VALUE(MID(TRIM([1]Raw_Data!A716),4,2)),VALUE(LEFT(TRIM([1]Raw_Data!A716),2)))</f>
        <v>44144</v>
      </c>
      <c r="B718" s="3" t="str">
        <f>TRIM([1]Raw_Data!B716)</f>
        <v>Ashwagandha</v>
      </c>
      <c r="C718" s="3" t="str">
        <f>TRIM([1]Raw_Data!C716)</f>
        <v>Herbal</v>
      </c>
      <c r="D718" s="3">
        <f>[1]Raw_Data!D716</f>
        <v>148</v>
      </c>
      <c r="E718" s="4">
        <f>[1]Raw_Data!E716</f>
        <v>37.270000000000003</v>
      </c>
      <c r="F718" s="5">
        <f>[1]Raw_Data!F716</f>
        <v>5515.96</v>
      </c>
      <c r="G718" s="4">
        <f>[1]Raw_Data!G716</f>
        <v>0.03</v>
      </c>
      <c r="H718" s="3">
        <f>[1]Raw_Data!H716</f>
        <v>2</v>
      </c>
      <c r="I718" s="3" t="str">
        <f>TRIM([1]Raw_Data!I716)</f>
        <v>UK</v>
      </c>
      <c r="J718" s="3" t="str">
        <f>TRIM([1]Raw_Data!J716)</f>
        <v>Walmart</v>
      </c>
      <c r="K718" s="3">
        <f t="shared" si="44"/>
        <v>2020</v>
      </c>
      <c r="L718" s="6">
        <f t="shared" si="45"/>
        <v>44136</v>
      </c>
      <c r="M718" s="3" t="str">
        <f t="shared" si="46"/>
        <v>0% to 5%</v>
      </c>
      <c r="N718" s="3" t="str">
        <f t="shared" si="47"/>
        <v>OK</v>
      </c>
    </row>
    <row r="719" spans="1:14" x14ac:dyDescent="0.3">
      <c r="A719" s="2">
        <f>DATE(VALUE(RIGHT(TRIM([1]Raw_Data!A717),4)),VALUE(MID(TRIM([1]Raw_Data!A717),4,2)),VALUE(LEFT(TRIM([1]Raw_Data!A717),2)))</f>
        <v>44144</v>
      </c>
      <c r="B719" s="3" t="str">
        <f>TRIM([1]Raw_Data!B717)</f>
        <v>Melatonin</v>
      </c>
      <c r="C719" s="3" t="str">
        <f>TRIM([1]Raw_Data!C717)</f>
        <v>Sleep Aid</v>
      </c>
      <c r="D719" s="3">
        <f>[1]Raw_Data!D717</f>
        <v>161</v>
      </c>
      <c r="E719" s="4">
        <f>[1]Raw_Data!E717</f>
        <v>15.22</v>
      </c>
      <c r="F719" s="5">
        <f>[1]Raw_Data!F717</f>
        <v>2450.42</v>
      </c>
      <c r="G719" s="4">
        <f>[1]Raw_Data!G717</f>
        <v>0.04</v>
      </c>
      <c r="H719" s="3">
        <f>[1]Raw_Data!H717</f>
        <v>3</v>
      </c>
      <c r="I719" s="3" t="str">
        <f>TRIM([1]Raw_Data!I717)</f>
        <v>Canada</v>
      </c>
      <c r="J719" s="3" t="str">
        <f>TRIM([1]Raw_Data!J717)</f>
        <v>iHerb</v>
      </c>
      <c r="K719" s="3">
        <f t="shared" si="44"/>
        <v>2020</v>
      </c>
      <c r="L719" s="6">
        <f t="shared" si="45"/>
        <v>44136</v>
      </c>
      <c r="M719" s="3" t="str">
        <f t="shared" si="46"/>
        <v>0% to 5%</v>
      </c>
      <c r="N719" s="3" t="str">
        <f t="shared" si="47"/>
        <v>OK</v>
      </c>
    </row>
    <row r="720" spans="1:14" x14ac:dyDescent="0.3">
      <c r="A720" s="2">
        <f>DATE(VALUE(RIGHT(TRIM([1]Raw_Data!A718),4)),VALUE(MID(TRIM([1]Raw_Data!A718),4,2)),VALUE(LEFT(TRIM([1]Raw_Data!A718),2)))</f>
        <v>44144</v>
      </c>
      <c r="B720" s="3" t="str">
        <f>TRIM([1]Raw_Data!B718)</f>
        <v>Biotin</v>
      </c>
      <c r="C720" s="3" t="str">
        <f>TRIM([1]Raw_Data!C718)</f>
        <v>Vitamin</v>
      </c>
      <c r="D720" s="3">
        <f>[1]Raw_Data!D718</f>
        <v>151</v>
      </c>
      <c r="E720" s="4">
        <f>[1]Raw_Data!E718</f>
        <v>15.34</v>
      </c>
      <c r="F720" s="5">
        <f>[1]Raw_Data!F718</f>
        <v>2316.34</v>
      </c>
      <c r="G720" s="4">
        <f>[1]Raw_Data!G718</f>
        <v>0.16</v>
      </c>
      <c r="H720" s="3">
        <f>[1]Raw_Data!H718</f>
        <v>3</v>
      </c>
      <c r="I720" s="3" t="str">
        <f>TRIM([1]Raw_Data!I718)</f>
        <v>Canada</v>
      </c>
      <c r="J720" s="3" t="str">
        <f>TRIM([1]Raw_Data!J718)</f>
        <v>iHerb</v>
      </c>
      <c r="K720" s="3">
        <f t="shared" si="44"/>
        <v>2020</v>
      </c>
      <c r="L720" s="6">
        <f t="shared" si="45"/>
        <v>44136</v>
      </c>
      <c r="M720" s="3" t="str">
        <f t="shared" si="46"/>
        <v>16% to 20%</v>
      </c>
      <c r="N720" s="3" t="str">
        <f t="shared" si="47"/>
        <v>OK</v>
      </c>
    </row>
    <row r="721" spans="1:14" x14ac:dyDescent="0.3">
      <c r="A721" s="2">
        <f>DATE(VALUE(RIGHT(TRIM([1]Raw_Data!A719),4)),VALUE(MID(TRIM([1]Raw_Data!A719),4,2)),VALUE(LEFT(TRIM([1]Raw_Data!A719),2)))</f>
        <v>44144</v>
      </c>
      <c r="B721" s="3" t="str">
        <f>TRIM([1]Raw_Data!B719)</f>
        <v>Green Tea Extract</v>
      </c>
      <c r="C721" s="3" t="str">
        <f>TRIM([1]Raw_Data!C719)</f>
        <v>Fat Burner</v>
      </c>
      <c r="D721" s="3">
        <f>[1]Raw_Data!D719</f>
        <v>163</v>
      </c>
      <c r="E721" s="4">
        <f>[1]Raw_Data!E719</f>
        <v>13.76</v>
      </c>
      <c r="F721" s="5">
        <f>[1]Raw_Data!F719</f>
        <v>2242.88</v>
      </c>
      <c r="G721" s="4">
        <f>[1]Raw_Data!G719</f>
        <v>0.03</v>
      </c>
      <c r="H721" s="3">
        <f>[1]Raw_Data!H719</f>
        <v>0</v>
      </c>
      <c r="I721" s="3" t="str">
        <f>TRIM([1]Raw_Data!I719)</f>
        <v>UK</v>
      </c>
      <c r="J721" s="3" t="str">
        <f>TRIM([1]Raw_Data!J719)</f>
        <v>Amazon</v>
      </c>
      <c r="K721" s="3">
        <f t="shared" si="44"/>
        <v>2020</v>
      </c>
      <c r="L721" s="6">
        <f t="shared" si="45"/>
        <v>44136</v>
      </c>
      <c r="M721" s="3" t="str">
        <f t="shared" si="46"/>
        <v>0% to 5%</v>
      </c>
      <c r="N721" s="3" t="str">
        <f t="shared" si="47"/>
        <v>OK</v>
      </c>
    </row>
    <row r="722" spans="1:14" x14ac:dyDescent="0.3">
      <c r="A722" s="2">
        <f>DATE(VALUE(RIGHT(TRIM([1]Raw_Data!A720),4)),VALUE(MID(TRIM([1]Raw_Data!A720),4,2)),VALUE(LEFT(TRIM([1]Raw_Data!A720),2)))</f>
        <v>44144</v>
      </c>
      <c r="B722" s="3" t="str">
        <f>TRIM([1]Raw_Data!B720)</f>
        <v>Iron Supplement</v>
      </c>
      <c r="C722" s="3" t="str">
        <f>TRIM([1]Raw_Data!C720)</f>
        <v>Mineral</v>
      </c>
      <c r="D722" s="3">
        <f>[1]Raw_Data!D720</f>
        <v>141</v>
      </c>
      <c r="E722" s="4">
        <f>[1]Raw_Data!E720</f>
        <v>23</v>
      </c>
      <c r="F722" s="5">
        <f>[1]Raw_Data!F720</f>
        <v>3243</v>
      </c>
      <c r="G722" s="4">
        <f>[1]Raw_Data!G720</f>
        <v>0.1</v>
      </c>
      <c r="H722" s="3">
        <f>[1]Raw_Data!H720</f>
        <v>3</v>
      </c>
      <c r="I722" s="3" t="str">
        <f>TRIM([1]Raw_Data!I720)</f>
        <v>USA</v>
      </c>
      <c r="J722" s="3" t="str">
        <f>TRIM([1]Raw_Data!J720)</f>
        <v>Amazon</v>
      </c>
      <c r="K722" s="3">
        <f t="shared" si="44"/>
        <v>2020</v>
      </c>
      <c r="L722" s="6">
        <f t="shared" si="45"/>
        <v>44136</v>
      </c>
      <c r="M722" s="3" t="str">
        <f t="shared" si="46"/>
        <v>6% to 10%</v>
      </c>
      <c r="N722" s="3" t="str">
        <f t="shared" si="47"/>
        <v>OK</v>
      </c>
    </row>
    <row r="723" spans="1:14" x14ac:dyDescent="0.3">
      <c r="A723" s="2">
        <f>DATE(VALUE(RIGHT(TRIM([1]Raw_Data!A721),4)),VALUE(MID(TRIM([1]Raw_Data!A721),4,2)),VALUE(LEFT(TRIM([1]Raw_Data!A721),2)))</f>
        <v>44144</v>
      </c>
      <c r="B723" s="3" t="str">
        <f>TRIM([1]Raw_Data!B721)</f>
        <v>Electrolyte Powder</v>
      </c>
      <c r="C723" s="3" t="str">
        <f>TRIM([1]Raw_Data!C721)</f>
        <v>Hydration</v>
      </c>
      <c r="D723" s="3">
        <f>[1]Raw_Data!D721</f>
        <v>154</v>
      </c>
      <c r="E723" s="4">
        <f>[1]Raw_Data!E721</f>
        <v>45.52</v>
      </c>
      <c r="F723" s="5">
        <f>[1]Raw_Data!F721</f>
        <v>7010.08</v>
      </c>
      <c r="G723" s="4">
        <f>[1]Raw_Data!G721</f>
        <v>0.03</v>
      </c>
      <c r="H723" s="3">
        <f>[1]Raw_Data!H721</f>
        <v>2</v>
      </c>
      <c r="I723" s="3" t="str">
        <f>TRIM([1]Raw_Data!I721)</f>
        <v>Canada</v>
      </c>
      <c r="J723" s="3" t="str">
        <f>TRIM([1]Raw_Data!J721)</f>
        <v>iHerb</v>
      </c>
      <c r="K723" s="3">
        <f t="shared" si="44"/>
        <v>2020</v>
      </c>
      <c r="L723" s="6">
        <f t="shared" si="45"/>
        <v>44136</v>
      </c>
      <c r="M723" s="3" t="str">
        <f t="shared" si="46"/>
        <v>0% to 5%</v>
      </c>
      <c r="N723" s="3" t="str">
        <f t="shared" si="47"/>
        <v>OK</v>
      </c>
    </row>
    <row r="724" spans="1:14" x14ac:dyDescent="0.3">
      <c r="A724" s="2">
        <f>DATE(VALUE(RIGHT(TRIM([1]Raw_Data!A722),4)),VALUE(MID(TRIM([1]Raw_Data!A722),4,2)),VALUE(LEFT(TRIM([1]Raw_Data!A722),2)))</f>
        <v>44151</v>
      </c>
      <c r="B724" s="3" t="str">
        <f>TRIM([1]Raw_Data!B722)</f>
        <v>Whey Protein</v>
      </c>
      <c r="C724" s="3" t="str">
        <f>TRIM([1]Raw_Data!C722)</f>
        <v>Protein</v>
      </c>
      <c r="D724" s="3">
        <f>[1]Raw_Data!D722</f>
        <v>142</v>
      </c>
      <c r="E724" s="4">
        <f>[1]Raw_Data!E722</f>
        <v>27.05</v>
      </c>
      <c r="F724" s="5">
        <f>[1]Raw_Data!F722</f>
        <v>3841.1</v>
      </c>
      <c r="G724" s="4">
        <f>[1]Raw_Data!G722</f>
        <v>0.25</v>
      </c>
      <c r="H724" s="3">
        <f>[1]Raw_Data!H722</f>
        <v>1</v>
      </c>
      <c r="I724" s="3" t="str">
        <f>TRIM([1]Raw_Data!I722)</f>
        <v>UK</v>
      </c>
      <c r="J724" s="3" t="str">
        <f>TRIM([1]Raw_Data!J722)</f>
        <v>Walmart</v>
      </c>
      <c r="K724" s="3">
        <f t="shared" si="44"/>
        <v>2020</v>
      </c>
      <c r="L724" s="6">
        <f t="shared" si="45"/>
        <v>44136</v>
      </c>
      <c r="M724" s="3" t="str">
        <f t="shared" si="46"/>
        <v>21% to 25%</v>
      </c>
      <c r="N724" s="3" t="str">
        <f t="shared" si="47"/>
        <v>OK</v>
      </c>
    </row>
    <row r="725" spans="1:14" x14ac:dyDescent="0.3">
      <c r="A725" s="2">
        <f>DATE(VALUE(RIGHT(TRIM([1]Raw_Data!A723),4)),VALUE(MID(TRIM([1]Raw_Data!A723),4,2)),VALUE(LEFT(TRIM([1]Raw_Data!A723),2)))</f>
        <v>44151</v>
      </c>
      <c r="B725" s="3" t="str">
        <f>TRIM([1]Raw_Data!B723)</f>
        <v>Vitamin C</v>
      </c>
      <c r="C725" s="3" t="str">
        <f>TRIM([1]Raw_Data!C723)</f>
        <v>Vitamin</v>
      </c>
      <c r="D725" s="3">
        <f>[1]Raw_Data!D723</f>
        <v>142</v>
      </c>
      <c r="E725" s="4">
        <f>[1]Raw_Data!E723</f>
        <v>11.23</v>
      </c>
      <c r="F725" s="5">
        <f>[1]Raw_Data!F723</f>
        <v>1594.66</v>
      </c>
      <c r="G725" s="4">
        <f>[1]Raw_Data!G723</f>
        <v>0.17</v>
      </c>
      <c r="H725" s="3">
        <f>[1]Raw_Data!H723</f>
        <v>2</v>
      </c>
      <c r="I725" s="3" t="str">
        <f>TRIM([1]Raw_Data!I723)</f>
        <v>Canada</v>
      </c>
      <c r="J725" s="3" t="str">
        <f>TRIM([1]Raw_Data!J723)</f>
        <v>Amazon</v>
      </c>
      <c r="K725" s="3">
        <f t="shared" si="44"/>
        <v>2020</v>
      </c>
      <c r="L725" s="6">
        <f t="shared" si="45"/>
        <v>44136</v>
      </c>
      <c r="M725" s="3" t="str">
        <f t="shared" si="46"/>
        <v>16% to 20%</v>
      </c>
      <c r="N725" s="3" t="str">
        <f t="shared" si="47"/>
        <v>OK</v>
      </c>
    </row>
    <row r="726" spans="1:14" x14ac:dyDescent="0.3">
      <c r="A726" s="2">
        <f>DATE(VALUE(RIGHT(TRIM([1]Raw_Data!A724),4)),VALUE(MID(TRIM([1]Raw_Data!A724),4,2)),VALUE(LEFT(TRIM([1]Raw_Data!A724),2)))</f>
        <v>44151</v>
      </c>
      <c r="B726" s="3" t="str">
        <f>TRIM([1]Raw_Data!B724)</f>
        <v>Fish Oil</v>
      </c>
      <c r="C726" s="3" t="str">
        <f>TRIM([1]Raw_Data!C724)</f>
        <v>Omega</v>
      </c>
      <c r="D726" s="3">
        <f>[1]Raw_Data!D724</f>
        <v>194</v>
      </c>
      <c r="E726" s="4">
        <f>[1]Raw_Data!E724</f>
        <v>51.09</v>
      </c>
      <c r="F726" s="5">
        <f>[1]Raw_Data!F724</f>
        <v>9911.4599999999991</v>
      </c>
      <c r="G726" s="4">
        <f>[1]Raw_Data!G724</f>
        <v>0.16</v>
      </c>
      <c r="H726" s="3">
        <f>[1]Raw_Data!H724</f>
        <v>2</v>
      </c>
      <c r="I726" s="3" t="str">
        <f>TRIM([1]Raw_Data!I724)</f>
        <v>USA</v>
      </c>
      <c r="J726" s="3" t="str">
        <f>TRIM([1]Raw_Data!J724)</f>
        <v>iHerb</v>
      </c>
      <c r="K726" s="3">
        <f t="shared" si="44"/>
        <v>2020</v>
      </c>
      <c r="L726" s="6">
        <f t="shared" si="45"/>
        <v>44136</v>
      </c>
      <c r="M726" s="3" t="str">
        <f t="shared" si="46"/>
        <v>16% to 20%</v>
      </c>
      <c r="N726" s="3" t="str">
        <f t="shared" si="47"/>
        <v>OK</v>
      </c>
    </row>
    <row r="727" spans="1:14" x14ac:dyDescent="0.3">
      <c r="A727" s="2">
        <f>DATE(VALUE(RIGHT(TRIM([1]Raw_Data!A725),4)),VALUE(MID(TRIM([1]Raw_Data!A725),4,2)),VALUE(LEFT(TRIM([1]Raw_Data!A725),2)))</f>
        <v>44151</v>
      </c>
      <c r="B727" s="3" t="str">
        <f>TRIM([1]Raw_Data!B725)</f>
        <v>Multivitamin</v>
      </c>
      <c r="C727" s="3" t="str">
        <f>TRIM([1]Raw_Data!C725)</f>
        <v>Vitamin</v>
      </c>
      <c r="D727" s="3">
        <f>[1]Raw_Data!D725</f>
        <v>134</v>
      </c>
      <c r="E727" s="4">
        <f>[1]Raw_Data!E725</f>
        <v>59.12</v>
      </c>
      <c r="F727" s="5">
        <f>[1]Raw_Data!F725</f>
        <v>7922.08</v>
      </c>
      <c r="G727" s="4">
        <f>[1]Raw_Data!G725</f>
        <v>0.23</v>
      </c>
      <c r="H727" s="3">
        <f>[1]Raw_Data!H725</f>
        <v>1</v>
      </c>
      <c r="I727" s="3" t="str">
        <f>TRIM([1]Raw_Data!I725)</f>
        <v>UK</v>
      </c>
      <c r="J727" s="3" t="str">
        <f>TRIM([1]Raw_Data!J725)</f>
        <v>iHerb</v>
      </c>
      <c r="K727" s="3">
        <f t="shared" si="44"/>
        <v>2020</v>
      </c>
      <c r="L727" s="6">
        <f t="shared" si="45"/>
        <v>44136</v>
      </c>
      <c r="M727" s="3" t="str">
        <f t="shared" si="46"/>
        <v>21% to 25%</v>
      </c>
      <c r="N727" s="3" t="str">
        <f t="shared" si="47"/>
        <v>OK</v>
      </c>
    </row>
    <row r="728" spans="1:14" x14ac:dyDescent="0.3">
      <c r="A728" s="2">
        <f>DATE(VALUE(RIGHT(TRIM([1]Raw_Data!A726),4)),VALUE(MID(TRIM([1]Raw_Data!A726),4,2)),VALUE(LEFT(TRIM([1]Raw_Data!A726),2)))</f>
        <v>44151</v>
      </c>
      <c r="B728" s="3" t="str">
        <f>TRIM([1]Raw_Data!B726)</f>
        <v>Pre-Workout</v>
      </c>
      <c r="C728" s="3" t="str">
        <f>TRIM([1]Raw_Data!C726)</f>
        <v>Performance</v>
      </c>
      <c r="D728" s="3">
        <f>[1]Raw_Data!D726</f>
        <v>118</v>
      </c>
      <c r="E728" s="4">
        <f>[1]Raw_Data!E726</f>
        <v>51.32</v>
      </c>
      <c r="F728" s="5">
        <f>[1]Raw_Data!F726</f>
        <v>6055.76</v>
      </c>
      <c r="G728" s="4">
        <f>[1]Raw_Data!G726</f>
        <v>0.18</v>
      </c>
      <c r="H728" s="3">
        <f>[1]Raw_Data!H726</f>
        <v>1</v>
      </c>
      <c r="I728" s="3" t="str">
        <f>TRIM([1]Raw_Data!I726)</f>
        <v>UK</v>
      </c>
      <c r="J728" s="3" t="str">
        <f>TRIM([1]Raw_Data!J726)</f>
        <v>iHerb</v>
      </c>
      <c r="K728" s="3">
        <f t="shared" si="44"/>
        <v>2020</v>
      </c>
      <c r="L728" s="6">
        <f t="shared" si="45"/>
        <v>44136</v>
      </c>
      <c r="M728" s="3" t="str">
        <f t="shared" si="46"/>
        <v>16% to 20%</v>
      </c>
      <c r="N728" s="3" t="str">
        <f t="shared" si="47"/>
        <v>OK</v>
      </c>
    </row>
    <row r="729" spans="1:14" x14ac:dyDescent="0.3">
      <c r="A729" s="2">
        <f>DATE(VALUE(RIGHT(TRIM([1]Raw_Data!A727),4)),VALUE(MID(TRIM([1]Raw_Data!A727),4,2)),VALUE(LEFT(TRIM([1]Raw_Data!A727),2)))</f>
        <v>44151</v>
      </c>
      <c r="B729" s="3" t="str">
        <f>TRIM([1]Raw_Data!B727)</f>
        <v>BCAA</v>
      </c>
      <c r="C729" s="3" t="str">
        <f>TRIM([1]Raw_Data!C727)</f>
        <v>Amino Acid</v>
      </c>
      <c r="D729" s="3">
        <f>[1]Raw_Data!D727</f>
        <v>124</v>
      </c>
      <c r="E729" s="4">
        <f>[1]Raw_Data!E727</f>
        <v>33.450000000000003</v>
      </c>
      <c r="F729" s="5">
        <f>[1]Raw_Data!F727</f>
        <v>4147.8</v>
      </c>
      <c r="G729" s="4">
        <f>[1]Raw_Data!G727</f>
        <v>0.23</v>
      </c>
      <c r="H729" s="3">
        <f>[1]Raw_Data!H727</f>
        <v>1</v>
      </c>
      <c r="I729" s="3" t="str">
        <f>TRIM([1]Raw_Data!I727)</f>
        <v>Canada</v>
      </c>
      <c r="J729" s="3" t="str">
        <f>TRIM([1]Raw_Data!J727)</f>
        <v>iHerb</v>
      </c>
      <c r="K729" s="3">
        <f t="shared" si="44"/>
        <v>2020</v>
      </c>
      <c r="L729" s="6">
        <f t="shared" si="45"/>
        <v>44136</v>
      </c>
      <c r="M729" s="3" t="str">
        <f t="shared" si="46"/>
        <v>21% to 25%</v>
      </c>
      <c r="N729" s="3" t="str">
        <f t="shared" si="47"/>
        <v>OK</v>
      </c>
    </row>
    <row r="730" spans="1:14" x14ac:dyDescent="0.3">
      <c r="A730" s="2">
        <f>DATE(VALUE(RIGHT(TRIM([1]Raw_Data!A728),4)),VALUE(MID(TRIM([1]Raw_Data!A728),4,2)),VALUE(LEFT(TRIM([1]Raw_Data!A728),2)))</f>
        <v>44151</v>
      </c>
      <c r="B730" s="3" t="str">
        <f>TRIM([1]Raw_Data!B728)</f>
        <v>Creatine</v>
      </c>
      <c r="C730" s="3" t="str">
        <f>TRIM([1]Raw_Data!C728)</f>
        <v>Performance</v>
      </c>
      <c r="D730" s="3">
        <f>[1]Raw_Data!D728</f>
        <v>143</v>
      </c>
      <c r="E730" s="4">
        <f>[1]Raw_Data!E728</f>
        <v>13.3</v>
      </c>
      <c r="F730" s="5">
        <f>[1]Raw_Data!F728</f>
        <v>1901.9</v>
      </c>
      <c r="G730" s="4">
        <f>[1]Raw_Data!G728</f>
        <v>0.24</v>
      </c>
      <c r="H730" s="3">
        <f>[1]Raw_Data!H728</f>
        <v>1</v>
      </c>
      <c r="I730" s="3" t="str">
        <f>TRIM([1]Raw_Data!I728)</f>
        <v>Canada</v>
      </c>
      <c r="J730" s="3" t="str">
        <f>TRIM([1]Raw_Data!J728)</f>
        <v>Amazon</v>
      </c>
      <c r="K730" s="3">
        <f t="shared" si="44"/>
        <v>2020</v>
      </c>
      <c r="L730" s="6">
        <f t="shared" si="45"/>
        <v>44136</v>
      </c>
      <c r="M730" s="3" t="str">
        <f t="shared" si="46"/>
        <v>21% to 25%</v>
      </c>
      <c r="N730" s="3" t="str">
        <f t="shared" si="47"/>
        <v>OK</v>
      </c>
    </row>
    <row r="731" spans="1:14" x14ac:dyDescent="0.3">
      <c r="A731" s="2">
        <f>DATE(VALUE(RIGHT(TRIM([1]Raw_Data!A729),4)),VALUE(MID(TRIM([1]Raw_Data!A729),4,2)),VALUE(LEFT(TRIM([1]Raw_Data!A729),2)))</f>
        <v>44151</v>
      </c>
      <c r="B731" s="3" t="str">
        <f>TRIM([1]Raw_Data!B729)</f>
        <v>Zinc</v>
      </c>
      <c r="C731" s="3" t="str">
        <f>TRIM([1]Raw_Data!C729)</f>
        <v>Mineral</v>
      </c>
      <c r="D731" s="3">
        <f>[1]Raw_Data!D729</f>
        <v>149</v>
      </c>
      <c r="E731" s="4">
        <f>[1]Raw_Data!E729</f>
        <v>44.13</v>
      </c>
      <c r="F731" s="5">
        <f>[1]Raw_Data!F729</f>
        <v>6575.37</v>
      </c>
      <c r="G731" s="4">
        <f>[1]Raw_Data!G729</f>
        <v>0.17</v>
      </c>
      <c r="H731" s="3">
        <f>[1]Raw_Data!H729</f>
        <v>2</v>
      </c>
      <c r="I731" s="3" t="str">
        <f>TRIM([1]Raw_Data!I729)</f>
        <v>Canada</v>
      </c>
      <c r="J731" s="3" t="str">
        <f>TRIM([1]Raw_Data!J729)</f>
        <v>Walmart</v>
      </c>
      <c r="K731" s="3">
        <f t="shared" si="44"/>
        <v>2020</v>
      </c>
      <c r="L731" s="6">
        <f t="shared" si="45"/>
        <v>44136</v>
      </c>
      <c r="M731" s="3" t="str">
        <f t="shared" si="46"/>
        <v>16% to 20%</v>
      </c>
      <c r="N731" s="3" t="str">
        <f t="shared" si="47"/>
        <v>OK</v>
      </c>
    </row>
    <row r="732" spans="1:14" x14ac:dyDescent="0.3">
      <c r="A732" s="2">
        <f>DATE(VALUE(RIGHT(TRIM([1]Raw_Data!A730),4)),VALUE(MID(TRIM([1]Raw_Data!A730),4,2)),VALUE(LEFT(TRIM([1]Raw_Data!A730),2)))</f>
        <v>44151</v>
      </c>
      <c r="B732" s="3" t="str">
        <f>TRIM([1]Raw_Data!B730)</f>
        <v>Collagen Peptides</v>
      </c>
      <c r="C732" s="3" t="str">
        <f>TRIM([1]Raw_Data!C730)</f>
        <v>Protein</v>
      </c>
      <c r="D732" s="3">
        <f>[1]Raw_Data!D730</f>
        <v>141</v>
      </c>
      <c r="E732" s="4">
        <f>[1]Raw_Data!E730</f>
        <v>16.260000000000002</v>
      </c>
      <c r="F732" s="5">
        <f>[1]Raw_Data!F730</f>
        <v>2292.66</v>
      </c>
      <c r="G732" s="4">
        <f>[1]Raw_Data!G730</f>
        <v>0.16</v>
      </c>
      <c r="H732" s="3">
        <f>[1]Raw_Data!H730</f>
        <v>0</v>
      </c>
      <c r="I732" s="3" t="str">
        <f>TRIM([1]Raw_Data!I730)</f>
        <v>USA</v>
      </c>
      <c r="J732" s="3" t="str">
        <f>TRIM([1]Raw_Data!J730)</f>
        <v>iHerb</v>
      </c>
      <c r="K732" s="3">
        <f t="shared" si="44"/>
        <v>2020</v>
      </c>
      <c r="L732" s="6">
        <f t="shared" si="45"/>
        <v>44136</v>
      </c>
      <c r="M732" s="3" t="str">
        <f t="shared" si="46"/>
        <v>16% to 20%</v>
      </c>
      <c r="N732" s="3" t="str">
        <f t="shared" si="47"/>
        <v>OK</v>
      </c>
    </row>
    <row r="733" spans="1:14" x14ac:dyDescent="0.3">
      <c r="A733" s="2">
        <f>DATE(VALUE(RIGHT(TRIM([1]Raw_Data!A731),4)),VALUE(MID(TRIM([1]Raw_Data!A731),4,2)),VALUE(LEFT(TRIM([1]Raw_Data!A731),2)))</f>
        <v>44151</v>
      </c>
      <c r="B733" s="3" t="str">
        <f>TRIM([1]Raw_Data!B731)</f>
        <v>Magnesium</v>
      </c>
      <c r="C733" s="3" t="str">
        <f>TRIM([1]Raw_Data!C731)</f>
        <v>Mineral</v>
      </c>
      <c r="D733" s="3">
        <f>[1]Raw_Data!D731</f>
        <v>153</v>
      </c>
      <c r="E733" s="4">
        <f>[1]Raw_Data!E731</f>
        <v>54.54</v>
      </c>
      <c r="F733" s="5">
        <f>[1]Raw_Data!F731</f>
        <v>8344.6200000000008</v>
      </c>
      <c r="G733" s="4">
        <f>[1]Raw_Data!G731</f>
        <v>0.11</v>
      </c>
      <c r="H733" s="3">
        <f>[1]Raw_Data!H731</f>
        <v>1</v>
      </c>
      <c r="I733" s="3" t="str">
        <f>TRIM([1]Raw_Data!I731)</f>
        <v>UK</v>
      </c>
      <c r="J733" s="3" t="str">
        <f>TRIM([1]Raw_Data!J731)</f>
        <v>Walmart</v>
      </c>
      <c r="K733" s="3">
        <f t="shared" si="44"/>
        <v>2020</v>
      </c>
      <c r="L733" s="6">
        <f t="shared" si="45"/>
        <v>44136</v>
      </c>
      <c r="M733" s="3" t="str">
        <f t="shared" si="46"/>
        <v>11% to 15%</v>
      </c>
      <c r="N733" s="3" t="str">
        <f t="shared" si="47"/>
        <v>OK</v>
      </c>
    </row>
    <row r="734" spans="1:14" x14ac:dyDescent="0.3">
      <c r="A734" s="2">
        <f>DATE(VALUE(RIGHT(TRIM([1]Raw_Data!A732),4)),VALUE(MID(TRIM([1]Raw_Data!A732),4,2)),VALUE(LEFT(TRIM([1]Raw_Data!A732),2)))</f>
        <v>44151</v>
      </c>
      <c r="B734" s="3" t="str">
        <f>TRIM([1]Raw_Data!B732)</f>
        <v>Ashwagandha</v>
      </c>
      <c r="C734" s="3" t="str">
        <f>TRIM([1]Raw_Data!C732)</f>
        <v>Herbal</v>
      </c>
      <c r="D734" s="3">
        <f>[1]Raw_Data!D732</f>
        <v>128</v>
      </c>
      <c r="E734" s="4">
        <f>[1]Raw_Data!E732</f>
        <v>51.06</v>
      </c>
      <c r="F734" s="5">
        <f>[1]Raw_Data!F732</f>
        <v>6535.68</v>
      </c>
      <c r="G734" s="4">
        <f>[1]Raw_Data!G732</f>
        <v>0.06</v>
      </c>
      <c r="H734" s="3">
        <f>[1]Raw_Data!H732</f>
        <v>1</v>
      </c>
      <c r="I734" s="3" t="str">
        <f>TRIM([1]Raw_Data!I732)</f>
        <v>USA</v>
      </c>
      <c r="J734" s="3" t="str">
        <f>TRIM([1]Raw_Data!J732)</f>
        <v>iHerb</v>
      </c>
      <c r="K734" s="3">
        <f t="shared" si="44"/>
        <v>2020</v>
      </c>
      <c r="L734" s="6">
        <f t="shared" si="45"/>
        <v>44136</v>
      </c>
      <c r="M734" s="3" t="str">
        <f t="shared" si="46"/>
        <v>6% to 10%</v>
      </c>
      <c r="N734" s="3" t="str">
        <f t="shared" si="47"/>
        <v>OK</v>
      </c>
    </row>
    <row r="735" spans="1:14" x14ac:dyDescent="0.3">
      <c r="A735" s="2">
        <f>DATE(VALUE(RIGHT(TRIM([1]Raw_Data!A733),4)),VALUE(MID(TRIM([1]Raw_Data!A733),4,2)),VALUE(LEFT(TRIM([1]Raw_Data!A733),2)))</f>
        <v>44151</v>
      </c>
      <c r="B735" s="3" t="str">
        <f>TRIM([1]Raw_Data!B733)</f>
        <v>Melatonin</v>
      </c>
      <c r="C735" s="3" t="str">
        <f>TRIM([1]Raw_Data!C733)</f>
        <v>Sleep Aid</v>
      </c>
      <c r="D735" s="3">
        <f>[1]Raw_Data!D733</f>
        <v>140</v>
      </c>
      <c r="E735" s="4">
        <f>[1]Raw_Data!E733</f>
        <v>19.62</v>
      </c>
      <c r="F735" s="5">
        <f>[1]Raw_Data!F733</f>
        <v>2746.8</v>
      </c>
      <c r="G735" s="4">
        <f>[1]Raw_Data!G733</f>
        <v>0.03</v>
      </c>
      <c r="H735" s="3">
        <f>[1]Raw_Data!H733</f>
        <v>3</v>
      </c>
      <c r="I735" s="3" t="str">
        <f>TRIM([1]Raw_Data!I733)</f>
        <v>Canada</v>
      </c>
      <c r="J735" s="3" t="str">
        <f>TRIM([1]Raw_Data!J733)</f>
        <v>Amazon</v>
      </c>
      <c r="K735" s="3">
        <f t="shared" si="44"/>
        <v>2020</v>
      </c>
      <c r="L735" s="6">
        <f t="shared" si="45"/>
        <v>44136</v>
      </c>
      <c r="M735" s="3" t="str">
        <f t="shared" si="46"/>
        <v>0% to 5%</v>
      </c>
      <c r="N735" s="3" t="str">
        <f t="shared" si="47"/>
        <v>OK</v>
      </c>
    </row>
    <row r="736" spans="1:14" x14ac:dyDescent="0.3">
      <c r="A736" s="2">
        <f>DATE(VALUE(RIGHT(TRIM([1]Raw_Data!A734),4)),VALUE(MID(TRIM([1]Raw_Data!A734),4,2)),VALUE(LEFT(TRIM([1]Raw_Data!A734),2)))</f>
        <v>44151</v>
      </c>
      <c r="B736" s="3" t="str">
        <f>TRIM([1]Raw_Data!B734)</f>
        <v>Biotin</v>
      </c>
      <c r="C736" s="3" t="str">
        <f>TRIM([1]Raw_Data!C734)</f>
        <v>Vitamin</v>
      </c>
      <c r="D736" s="3">
        <f>[1]Raw_Data!D734</f>
        <v>163</v>
      </c>
      <c r="E736" s="4">
        <f>[1]Raw_Data!E734</f>
        <v>12.44</v>
      </c>
      <c r="F736" s="5">
        <f>[1]Raw_Data!F734</f>
        <v>2027.72</v>
      </c>
      <c r="G736" s="4">
        <f>[1]Raw_Data!G734</f>
        <v>0.21</v>
      </c>
      <c r="H736" s="3">
        <f>[1]Raw_Data!H734</f>
        <v>1</v>
      </c>
      <c r="I736" s="3" t="str">
        <f>TRIM([1]Raw_Data!I734)</f>
        <v>UK</v>
      </c>
      <c r="J736" s="3" t="str">
        <f>TRIM([1]Raw_Data!J734)</f>
        <v>iHerb</v>
      </c>
      <c r="K736" s="3">
        <f t="shared" si="44"/>
        <v>2020</v>
      </c>
      <c r="L736" s="6">
        <f t="shared" si="45"/>
        <v>44136</v>
      </c>
      <c r="M736" s="3" t="str">
        <f t="shared" si="46"/>
        <v>21% to 25%</v>
      </c>
      <c r="N736" s="3" t="str">
        <f t="shared" si="47"/>
        <v>OK</v>
      </c>
    </row>
    <row r="737" spans="1:14" x14ac:dyDescent="0.3">
      <c r="A737" s="2">
        <f>DATE(VALUE(RIGHT(TRIM([1]Raw_Data!A735),4)),VALUE(MID(TRIM([1]Raw_Data!A735),4,2)),VALUE(LEFT(TRIM([1]Raw_Data!A735),2)))</f>
        <v>44151</v>
      </c>
      <c r="B737" s="3" t="str">
        <f>TRIM([1]Raw_Data!B735)</f>
        <v>Green Tea Extract</v>
      </c>
      <c r="C737" s="3" t="str">
        <f>TRIM([1]Raw_Data!C735)</f>
        <v>Fat Burner</v>
      </c>
      <c r="D737" s="3">
        <f>[1]Raw_Data!D735</f>
        <v>144</v>
      </c>
      <c r="E737" s="4">
        <f>[1]Raw_Data!E735</f>
        <v>14.57</v>
      </c>
      <c r="F737" s="5">
        <f>[1]Raw_Data!F735</f>
        <v>2098.08</v>
      </c>
      <c r="G737" s="4">
        <f>[1]Raw_Data!G735</f>
        <v>0.19</v>
      </c>
      <c r="H737" s="3">
        <f>[1]Raw_Data!H735</f>
        <v>2</v>
      </c>
      <c r="I737" s="3" t="str">
        <f>TRIM([1]Raw_Data!I735)</f>
        <v>Canada</v>
      </c>
      <c r="J737" s="3" t="str">
        <f>TRIM([1]Raw_Data!J735)</f>
        <v>iHerb</v>
      </c>
      <c r="K737" s="3">
        <f t="shared" si="44"/>
        <v>2020</v>
      </c>
      <c r="L737" s="6">
        <f t="shared" si="45"/>
        <v>44136</v>
      </c>
      <c r="M737" s="3" t="str">
        <f t="shared" si="46"/>
        <v>16% to 20%</v>
      </c>
      <c r="N737" s="3" t="str">
        <f t="shared" si="47"/>
        <v>OK</v>
      </c>
    </row>
    <row r="738" spans="1:14" x14ac:dyDescent="0.3">
      <c r="A738" s="2">
        <f>DATE(VALUE(RIGHT(TRIM([1]Raw_Data!A736),4)),VALUE(MID(TRIM([1]Raw_Data!A736),4,2)),VALUE(LEFT(TRIM([1]Raw_Data!A736),2)))</f>
        <v>44151</v>
      </c>
      <c r="B738" s="3" t="str">
        <f>TRIM([1]Raw_Data!B736)</f>
        <v>Iron Supplement</v>
      </c>
      <c r="C738" s="3" t="str">
        <f>TRIM([1]Raw_Data!C736)</f>
        <v>Mineral</v>
      </c>
      <c r="D738" s="3">
        <f>[1]Raw_Data!D736</f>
        <v>137</v>
      </c>
      <c r="E738" s="4">
        <f>[1]Raw_Data!E736</f>
        <v>19.21</v>
      </c>
      <c r="F738" s="5">
        <f>[1]Raw_Data!F736</f>
        <v>2631.77</v>
      </c>
      <c r="G738" s="4">
        <f>[1]Raw_Data!G736</f>
        <v>0.01</v>
      </c>
      <c r="H738" s="3">
        <f>[1]Raw_Data!H736</f>
        <v>1</v>
      </c>
      <c r="I738" s="3" t="str">
        <f>TRIM([1]Raw_Data!I736)</f>
        <v>Canada</v>
      </c>
      <c r="J738" s="3" t="str">
        <f>TRIM([1]Raw_Data!J736)</f>
        <v>Walmart</v>
      </c>
      <c r="K738" s="3">
        <f t="shared" si="44"/>
        <v>2020</v>
      </c>
      <c r="L738" s="6">
        <f t="shared" si="45"/>
        <v>44136</v>
      </c>
      <c r="M738" s="3" t="str">
        <f t="shared" si="46"/>
        <v>0% to 5%</v>
      </c>
      <c r="N738" s="3" t="str">
        <f t="shared" si="47"/>
        <v>OK</v>
      </c>
    </row>
    <row r="739" spans="1:14" x14ac:dyDescent="0.3">
      <c r="A739" s="2">
        <f>DATE(VALUE(RIGHT(TRIM([1]Raw_Data!A737),4)),VALUE(MID(TRIM([1]Raw_Data!A737),4,2)),VALUE(LEFT(TRIM([1]Raw_Data!A737),2)))</f>
        <v>44151</v>
      </c>
      <c r="B739" s="3" t="str">
        <f>TRIM([1]Raw_Data!B737)</f>
        <v>Electrolyte Powder</v>
      </c>
      <c r="C739" s="3" t="str">
        <f>TRIM([1]Raw_Data!C737)</f>
        <v>Hydration</v>
      </c>
      <c r="D739" s="3">
        <f>[1]Raw_Data!D737</f>
        <v>164</v>
      </c>
      <c r="E739" s="4">
        <f>[1]Raw_Data!E737</f>
        <v>12.45</v>
      </c>
      <c r="F739" s="5">
        <f>[1]Raw_Data!F737</f>
        <v>2041.8</v>
      </c>
      <c r="G739" s="4">
        <f>[1]Raw_Data!G737</f>
        <v>0.14000000000000001</v>
      </c>
      <c r="H739" s="3">
        <f>[1]Raw_Data!H737</f>
        <v>3</v>
      </c>
      <c r="I739" s="3" t="str">
        <f>TRIM([1]Raw_Data!I737)</f>
        <v>UK</v>
      </c>
      <c r="J739" s="3" t="str">
        <f>TRIM([1]Raw_Data!J737)</f>
        <v>iHerb</v>
      </c>
      <c r="K739" s="3">
        <f t="shared" si="44"/>
        <v>2020</v>
      </c>
      <c r="L739" s="6">
        <f t="shared" si="45"/>
        <v>44136</v>
      </c>
      <c r="M739" s="3" t="str">
        <f t="shared" si="46"/>
        <v>11% to 15%</v>
      </c>
      <c r="N739" s="3" t="str">
        <f t="shared" si="47"/>
        <v>OK</v>
      </c>
    </row>
    <row r="740" spans="1:14" x14ac:dyDescent="0.3">
      <c r="A740" s="2">
        <f>DATE(VALUE(RIGHT(TRIM([1]Raw_Data!A738),4)),VALUE(MID(TRIM([1]Raw_Data!A738),4,2)),VALUE(LEFT(TRIM([1]Raw_Data!A738),2)))</f>
        <v>44158</v>
      </c>
      <c r="B740" s="3" t="str">
        <f>TRIM([1]Raw_Data!B738)</f>
        <v>Whey Protein</v>
      </c>
      <c r="C740" s="3" t="str">
        <f>TRIM([1]Raw_Data!C738)</f>
        <v>Protein</v>
      </c>
      <c r="D740" s="3">
        <f>[1]Raw_Data!D738</f>
        <v>144</v>
      </c>
      <c r="E740" s="4">
        <f>[1]Raw_Data!E738</f>
        <v>39.82</v>
      </c>
      <c r="F740" s="5">
        <f>[1]Raw_Data!F738</f>
        <v>5734.08</v>
      </c>
      <c r="G740" s="4">
        <f>[1]Raw_Data!G738</f>
        <v>7.0000000000000007E-2</v>
      </c>
      <c r="H740" s="3">
        <f>[1]Raw_Data!H738</f>
        <v>0</v>
      </c>
      <c r="I740" s="3" t="str">
        <f>TRIM([1]Raw_Data!I738)</f>
        <v>UK</v>
      </c>
      <c r="J740" s="3" t="str">
        <f>TRIM([1]Raw_Data!J738)</f>
        <v>Amazon</v>
      </c>
      <c r="K740" s="3">
        <f t="shared" si="44"/>
        <v>2020</v>
      </c>
      <c r="L740" s="6">
        <f t="shared" si="45"/>
        <v>44136</v>
      </c>
      <c r="M740" s="3" t="str">
        <f t="shared" si="46"/>
        <v>6% to 10%</v>
      </c>
      <c r="N740" s="3" t="str">
        <f t="shared" si="47"/>
        <v>OK</v>
      </c>
    </row>
    <row r="741" spans="1:14" x14ac:dyDescent="0.3">
      <c r="A741" s="2">
        <f>DATE(VALUE(RIGHT(TRIM([1]Raw_Data!A739),4)),VALUE(MID(TRIM([1]Raw_Data!A739),4,2)),VALUE(LEFT(TRIM([1]Raw_Data!A739),2)))</f>
        <v>44158</v>
      </c>
      <c r="B741" s="3" t="str">
        <f>TRIM([1]Raw_Data!B739)</f>
        <v>Vitamin C</v>
      </c>
      <c r="C741" s="3" t="str">
        <f>TRIM([1]Raw_Data!C739)</f>
        <v>Vitamin</v>
      </c>
      <c r="D741" s="3">
        <f>[1]Raw_Data!D739</f>
        <v>159</v>
      </c>
      <c r="E741" s="4">
        <f>[1]Raw_Data!E739</f>
        <v>39.04</v>
      </c>
      <c r="F741" s="5">
        <f>[1]Raw_Data!F739</f>
        <v>6207.36</v>
      </c>
      <c r="G741" s="4">
        <f>[1]Raw_Data!G739</f>
        <v>0.19</v>
      </c>
      <c r="H741" s="3">
        <f>[1]Raw_Data!H739</f>
        <v>2</v>
      </c>
      <c r="I741" s="3" t="str">
        <f>TRIM([1]Raw_Data!I739)</f>
        <v>UK</v>
      </c>
      <c r="J741" s="3" t="str">
        <f>TRIM([1]Raw_Data!J739)</f>
        <v>iHerb</v>
      </c>
      <c r="K741" s="3">
        <f t="shared" si="44"/>
        <v>2020</v>
      </c>
      <c r="L741" s="6">
        <f t="shared" si="45"/>
        <v>44136</v>
      </c>
      <c r="M741" s="3" t="str">
        <f t="shared" si="46"/>
        <v>16% to 20%</v>
      </c>
      <c r="N741" s="3" t="str">
        <f t="shared" si="47"/>
        <v>OK</v>
      </c>
    </row>
    <row r="742" spans="1:14" x14ac:dyDescent="0.3">
      <c r="A742" s="2">
        <f>DATE(VALUE(RIGHT(TRIM([1]Raw_Data!A740),4)),VALUE(MID(TRIM([1]Raw_Data!A740),4,2)),VALUE(LEFT(TRIM([1]Raw_Data!A740),2)))</f>
        <v>44158</v>
      </c>
      <c r="B742" s="3" t="str">
        <f>TRIM([1]Raw_Data!B740)</f>
        <v>Fish Oil</v>
      </c>
      <c r="C742" s="3" t="str">
        <f>TRIM([1]Raw_Data!C740)</f>
        <v>Omega</v>
      </c>
      <c r="D742" s="3">
        <f>[1]Raw_Data!D740</f>
        <v>138</v>
      </c>
      <c r="E742" s="4">
        <f>[1]Raw_Data!E740</f>
        <v>16.309999999999999</v>
      </c>
      <c r="F742" s="5">
        <f>[1]Raw_Data!F740</f>
        <v>2250.7800000000002</v>
      </c>
      <c r="G742" s="4">
        <f>[1]Raw_Data!G740</f>
        <v>0.03</v>
      </c>
      <c r="H742" s="3">
        <f>[1]Raw_Data!H740</f>
        <v>2</v>
      </c>
      <c r="I742" s="3" t="str">
        <f>TRIM([1]Raw_Data!I740)</f>
        <v>UK</v>
      </c>
      <c r="J742" s="3" t="str">
        <f>TRIM([1]Raw_Data!J740)</f>
        <v>Walmart</v>
      </c>
      <c r="K742" s="3">
        <f t="shared" si="44"/>
        <v>2020</v>
      </c>
      <c r="L742" s="6">
        <f t="shared" si="45"/>
        <v>44136</v>
      </c>
      <c r="M742" s="3" t="str">
        <f t="shared" si="46"/>
        <v>0% to 5%</v>
      </c>
      <c r="N742" s="3" t="str">
        <f t="shared" si="47"/>
        <v>OK</v>
      </c>
    </row>
    <row r="743" spans="1:14" x14ac:dyDescent="0.3">
      <c r="A743" s="2">
        <f>DATE(VALUE(RIGHT(TRIM([1]Raw_Data!A741),4)),VALUE(MID(TRIM([1]Raw_Data!A741),4,2)),VALUE(LEFT(TRIM([1]Raw_Data!A741),2)))</f>
        <v>44158</v>
      </c>
      <c r="B743" s="3" t="str">
        <f>TRIM([1]Raw_Data!B741)</f>
        <v>Multivitamin</v>
      </c>
      <c r="C743" s="3" t="str">
        <f>TRIM([1]Raw_Data!C741)</f>
        <v>Vitamin</v>
      </c>
      <c r="D743" s="3">
        <f>[1]Raw_Data!D741</f>
        <v>155</v>
      </c>
      <c r="E743" s="4">
        <f>[1]Raw_Data!E741</f>
        <v>15.28</v>
      </c>
      <c r="F743" s="5">
        <f>[1]Raw_Data!F741</f>
        <v>2368.4</v>
      </c>
      <c r="G743" s="4">
        <f>[1]Raw_Data!G741</f>
        <v>0.2</v>
      </c>
      <c r="H743" s="3">
        <f>[1]Raw_Data!H741</f>
        <v>2</v>
      </c>
      <c r="I743" s="3" t="str">
        <f>TRIM([1]Raw_Data!I741)</f>
        <v>USA</v>
      </c>
      <c r="J743" s="3" t="str">
        <f>TRIM([1]Raw_Data!J741)</f>
        <v>Walmart</v>
      </c>
      <c r="K743" s="3">
        <f t="shared" si="44"/>
        <v>2020</v>
      </c>
      <c r="L743" s="6">
        <f t="shared" si="45"/>
        <v>44136</v>
      </c>
      <c r="M743" s="3" t="str">
        <f t="shared" si="46"/>
        <v>16% to 20%</v>
      </c>
      <c r="N743" s="3" t="str">
        <f t="shared" si="47"/>
        <v>OK</v>
      </c>
    </row>
    <row r="744" spans="1:14" x14ac:dyDescent="0.3">
      <c r="A744" s="2">
        <f>DATE(VALUE(RIGHT(TRIM([1]Raw_Data!A742),4)),VALUE(MID(TRIM([1]Raw_Data!A742),4,2)),VALUE(LEFT(TRIM([1]Raw_Data!A742),2)))</f>
        <v>44158</v>
      </c>
      <c r="B744" s="3" t="str">
        <f>TRIM([1]Raw_Data!B742)</f>
        <v>Pre-Workout</v>
      </c>
      <c r="C744" s="3" t="str">
        <f>TRIM([1]Raw_Data!C742)</f>
        <v>Performance</v>
      </c>
      <c r="D744" s="3">
        <f>[1]Raw_Data!D742</f>
        <v>154</v>
      </c>
      <c r="E744" s="4">
        <f>[1]Raw_Data!E742</f>
        <v>45.16</v>
      </c>
      <c r="F744" s="5">
        <f>[1]Raw_Data!F742</f>
        <v>6954.64</v>
      </c>
      <c r="G744" s="4">
        <f>[1]Raw_Data!G742</f>
        <v>0.21</v>
      </c>
      <c r="H744" s="3">
        <f>[1]Raw_Data!H742</f>
        <v>0</v>
      </c>
      <c r="I744" s="3" t="str">
        <f>TRIM([1]Raw_Data!I742)</f>
        <v>Canada</v>
      </c>
      <c r="J744" s="3" t="str">
        <f>TRIM([1]Raw_Data!J742)</f>
        <v>Amazon</v>
      </c>
      <c r="K744" s="3">
        <f t="shared" si="44"/>
        <v>2020</v>
      </c>
      <c r="L744" s="6">
        <f t="shared" si="45"/>
        <v>44136</v>
      </c>
      <c r="M744" s="3" t="str">
        <f t="shared" si="46"/>
        <v>21% to 25%</v>
      </c>
      <c r="N744" s="3" t="str">
        <f t="shared" si="47"/>
        <v>OK</v>
      </c>
    </row>
    <row r="745" spans="1:14" x14ac:dyDescent="0.3">
      <c r="A745" s="2">
        <f>DATE(VALUE(RIGHT(TRIM([1]Raw_Data!A743),4)),VALUE(MID(TRIM([1]Raw_Data!A743),4,2)),VALUE(LEFT(TRIM([1]Raw_Data!A743),2)))</f>
        <v>44158</v>
      </c>
      <c r="B745" s="3" t="str">
        <f>TRIM([1]Raw_Data!B743)</f>
        <v>BCAA</v>
      </c>
      <c r="C745" s="3" t="str">
        <f>TRIM([1]Raw_Data!C743)</f>
        <v>Amino Acid</v>
      </c>
      <c r="D745" s="3">
        <f>[1]Raw_Data!D743</f>
        <v>159</v>
      </c>
      <c r="E745" s="4">
        <f>[1]Raw_Data!E743</f>
        <v>24.31</v>
      </c>
      <c r="F745" s="5">
        <f>[1]Raw_Data!F743</f>
        <v>3865.29</v>
      </c>
      <c r="G745" s="4">
        <f>[1]Raw_Data!G743</f>
        <v>0.16</v>
      </c>
      <c r="H745" s="3">
        <f>[1]Raw_Data!H743</f>
        <v>1</v>
      </c>
      <c r="I745" s="3" t="str">
        <f>TRIM([1]Raw_Data!I743)</f>
        <v>USA</v>
      </c>
      <c r="J745" s="3" t="str">
        <f>TRIM([1]Raw_Data!J743)</f>
        <v>Amazon</v>
      </c>
      <c r="K745" s="3">
        <f t="shared" si="44"/>
        <v>2020</v>
      </c>
      <c r="L745" s="6">
        <f t="shared" si="45"/>
        <v>44136</v>
      </c>
      <c r="M745" s="3" t="str">
        <f t="shared" si="46"/>
        <v>16% to 20%</v>
      </c>
      <c r="N745" s="3" t="str">
        <f t="shared" si="47"/>
        <v>OK</v>
      </c>
    </row>
    <row r="746" spans="1:14" x14ac:dyDescent="0.3">
      <c r="A746" s="2">
        <f>DATE(VALUE(RIGHT(TRIM([1]Raw_Data!A744),4)),VALUE(MID(TRIM([1]Raw_Data!A744),4,2)),VALUE(LEFT(TRIM([1]Raw_Data!A744),2)))</f>
        <v>44158</v>
      </c>
      <c r="B746" s="3" t="str">
        <f>TRIM([1]Raw_Data!B744)</f>
        <v>Creatine</v>
      </c>
      <c r="C746" s="3" t="str">
        <f>TRIM([1]Raw_Data!C744)</f>
        <v>Performance</v>
      </c>
      <c r="D746" s="3">
        <f>[1]Raw_Data!D744</f>
        <v>181</v>
      </c>
      <c r="E746" s="4">
        <f>[1]Raw_Data!E744</f>
        <v>38.99</v>
      </c>
      <c r="F746" s="5">
        <f>[1]Raw_Data!F744</f>
        <v>7057.19</v>
      </c>
      <c r="G746" s="4">
        <f>[1]Raw_Data!G744</f>
        <v>0.04</v>
      </c>
      <c r="H746" s="3">
        <f>[1]Raw_Data!H744</f>
        <v>2</v>
      </c>
      <c r="I746" s="3" t="str">
        <f>TRIM([1]Raw_Data!I744)</f>
        <v>UK</v>
      </c>
      <c r="J746" s="3" t="str">
        <f>TRIM([1]Raw_Data!J744)</f>
        <v>Amazon</v>
      </c>
      <c r="K746" s="3">
        <f t="shared" si="44"/>
        <v>2020</v>
      </c>
      <c r="L746" s="6">
        <f t="shared" si="45"/>
        <v>44136</v>
      </c>
      <c r="M746" s="3" t="str">
        <f t="shared" si="46"/>
        <v>0% to 5%</v>
      </c>
      <c r="N746" s="3" t="str">
        <f t="shared" si="47"/>
        <v>OK</v>
      </c>
    </row>
    <row r="747" spans="1:14" x14ac:dyDescent="0.3">
      <c r="A747" s="2">
        <f>DATE(VALUE(RIGHT(TRIM([1]Raw_Data!A745),4)),VALUE(MID(TRIM([1]Raw_Data!A745),4,2)),VALUE(LEFT(TRIM([1]Raw_Data!A745),2)))</f>
        <v>44158</v>
      </c>
      <c r="B747" s="3" t="str">
        <f>TRIM([1]Raw_Data!B745)</f>
        <v>Zinc</v>
      </c>
      <c r="C747" s="3" t="str">
        <f>TRIM([1]Raw_Data!C745)</f>
        <v>Mineral</v>
      </c>
      <c r="D747" s="3">
        <f>[1]Raw_Data!D745</f>
        <v>137</v>
      </c>
      <c r="E747" s="4">
        <f>[1]Raw_Data!E745</f>
        <v>34.72</v>
      </c>
      <c r="F747" s="5">
        <f>[1]Raw_Data!F745</f>
        <v>4756.6400000000003</v>
      </c>
      <c r="G747" s="4">
        <f>[1]Raw_Data!G745</f>
        <v>0.23</v>
      </c>
      <c r="H747" s="3">
        <f>[1]Raw_Data!H745</f>
        <v>0</v>
      </c>
      <c r="I747" s="3" t="str">
        <f>TRIM([1]Raw_Data!I745)</f>
        <v>Canada</v>
      </c>
      <c r="J747" s="3" t="str">
        <f>TRIM([1]Raw_Data!J745)</f>
        <v>Walmart</v>
      </c>
      <c r="K747" s="3">
        <f t="shared" si="44"/>
        <v>2020</v>
      </c>
      <c r="L747" s="6">
        <f t="shared" si="45"/>
        <v>44136</v>
      </c>
      <c r="M747" s="3" t="str">
        <f t="shared" si="46"/>
        <v>21% to 25%</v>
      </c>
      <c r="N747" s="3" t="str">
        <f t="shared" si="47"/>
        <v>OK</v>
      </c>
    </row>
    <row r="748" spans="1:14" x14ac:dyDescent="0.3">
      <c r="A748" s="2">
        <f>DATE(VALUE(RIGHT(TRIM([1]Raw_Data!A746),4)),VALUE(MID(TRIM([1]Raw_Data!A746),4,2)),VALUE(LEFT(TRIM([1]Raw_Data!A746),2)))</f>
        <v>44158</v>
      </c>
      <c r="B748" s="3" t="str">
        <f>TRIM([1]Raw_Data!B746)</f>
        <v>Collagen Peptides</v>
      </c>
      <c r="C748" s="3" t="str">
        <f>TRIM([1]Raw_Data!C746)</f>
        <v>Protein</v>
      </c>
      <c r="D748" s="3">
        <f>[1]Raw_Data!D746</f>
        <v>135</v>
      </c>
      <c r="E748" s="4">
        <f>[1]Raw_Data!E746</f>
        <v>35.03</v>
      </c>
      <c r="F748" s="5">
        <f>[1]Raw_Data!F746</f>
        <v>4729.05</v>
      </c>
      <c r="G748" s="4">
        <f>[1]Raw_Data!G746</f>
        <v>0.23</v>
      </c>
      <c r="H748" s="3">
        <f>[1]Raw_Data!H746</f>
        <v>0</v>
      </c>
      <c r="I748" s="3" t="str">
        <f>TRIM([1]Raw_Data!I746)</f>
        <v>Canada</v>
      </c>
      <c r="J748" s="3" t="str">
        <f>TRIM([1]Raw_Data!J746)</f>
        <v>iHerb</v>
      </c>
      <c r="K748" s="3">
        <f t="shared" si="44"/>
        <v>2020</v>
      </c>
      <c r="L748" s="6">
        <f t="shared" si="45"/>
        <v>44136</v>
      </c>
      <c r="M748" s="3" t="str">
        <f t="shared" si="46"/>
        <v>21% to 25%</v>
      </c>
      <c r="N748" s="3" t="str">
        <f t="shared" si="47"/>
        <v>OK</v>
      </c>
    </row>
    <row r="749" spans="1:14" x14ac:dyDescent="0.3">
      <c r="A749" s="2">
        <f>DATE(VALUE(RIGHT(TRIM([1]Raw_Data!A747),4)),VALUE(MID(TRIM([1]Raw_Data!A747),4,2)),VALUE(LEFT(TRIM([1]Raw_Data!A747),2)))</f>
        <v>44158</v>
      </c>
      <c r="B749" s="3" t="str">
        <f>TRIM([1]Raw_Data!B747)</f>
        <v>Magnesium</v>
      </c>
      <c r="C749" s="3" t="str">
        <f>TRIM([1]Raw_Data!C747)</f>
        <v>Mineral</v>
      </c>
      <c r="D749" s="3">
        <f>[1]Raw_Data!D747</f>
        <v>155</v>
      </c>
      <c r="E749" s="4">
        <f>[1]Raw_Data!E747</f>
        <v>17.84</v>
      </c>
      <c r="F749" s="5">
        <f>[1]Raw_Data!F747</f>
        <v>2765.2</v>
      </c>
      <c r="G749" s="4">
        <f>[1]Raw_Data!G747</f>
        <v>0.17</v>
      </c>
      <c r="H749" s="3">
        <f>[1]Raw_Data!H747</f>
        <v>2</v>
      </c>
      <c r="I749" s="3" t="str">
        <f>TRIM([1]Raw_Data!I747)</f>
        <v>UK</v>
      </c>
      <c r="J749" s="3" t="str">
        <f>TRIM([1]Raw_Data!J747)</f>
        <v>Amazon</v>
      </c>
      <c r="K749" s="3">
        <f t="shared" si="44"/>
        <v>2020</v>
      </c>
      <c r="L749" s="6">
        <f t="shared" si="45"/>
        <v>44136</v>
      </c>
      <c r="M749" s="3" t="str">
        <f t="shared" si="46"/>
        <v>16% to 20%</v>
      </c>
      <c r="N749" s="3" t="str">
        <f t="shared" si="47"/>
        <v>OK</v>
      </c>
    </row>
    <row r="750" spans="1:14" x14ac:dyDescent="0.3">
      <c r="A750" s="2">
        <f>DATE(VALUE(RIGHT(TRIM([1]Raw_Data!A748),4)),VALUE(MID(TRIM([1]Raw_Data!A748),4,2)),VALUE(LEFT(TRIM([1]Raw_Data!A748),2)))</f>
        <v>44158</v>
      </c>
      <c r="B750" s="3" t="str">
        <f>TRIM([1]Raw_Data!B748)</f>
        <v>Ashwagandha</v>
      </c>
      <c r="C750" s="3" t="str">
        <f>TRIM([1]Raw_Data!C748)</f>
        <v>Herbal</v>
      </c>
      <c r="D750" s="3">
        <f>[1]Raw_Data!D748</f>
        <v>160</v>
      </c>
      <c r="E750" s="4">
        <f>[1]Raw_Data!E748</f>
        <v>32.4</v>
      </c>
      <c r="F750" s="5">
        <f>[1]Raw_Data!F748</f>
        <v>5184</v>
      </c>
      <c r="G750" s="4">
        <f>[1]Raw_Data!G748</f>
        <v>0.1</v>
      </c>
      <c r="H750" s="3">
        <f>[1]Raw_Data!H748</f>
        <v>5</v>
      </c>
      <c r="I750" s="3" t="str">
        <f>TRIM([1]Raw_Data!I748)</f>
        <v>USA</v>
      </c>
      <c r="J750" s="3" t="str">
        <f>TRIM([1]Raw_Data!J748)</f>
        <v>Amazon</v>
      </c>
      <c r="K750" s="3">
        <f t="shared" si="44"/>
        <v>2020</v>
      </c>
      <c r="L750" s="6">
        <f t="shared" si="45"/>
        <v>44136</v>
      </c>
      <c r="M750" s="3" t="str">
        <f t="shared" si="46"/>
        <v>6% to 10%</v>
      </c>
      <c r="N750" s="3" t="str">
        <f t="shared" si="47"/>
        <v>OK</v>
      </c>
    </row>
    <row r="751" spans="1:14" x14ac:dyDescent="0.3">
      <c r="A751" s="2">
        <f>DATE(VALUE(RIGHT(TRIM([1]Raw_Data!A749),4)),VALUE(MID(TRIM([1]Raw_Data!A749),4,2)),VALUE(LEFT(TRIM([1]Raw_Data!A749),2)))</f>
        <v>44158</v>
      </c>
      <c r="B751" s="3" t="str">
        <f>TRIM([1]Raw_Data!B749)</f>
        <v>Melatonin</v>
      </c>
      <c r="C751" s="3" t="str">
        <f>TRIM([1]Raw_Data!C749)</f>
        <v>Sleep Aid</v>
      </c>
      <c r="D751" s="3">
        <f>[1]Raw_Data!D749</f>
        <v>142</v>
      </c>
      <c r="E751" s="4">
        <f>[1]Raw_Data!E749</f>
        <v>27.73</v>
      </c>
      <c r="F751" s="5">
        <f>[1]Raw_Data!F749</f>
        <v>3937.66</v>
      </c>
      <c r="G751" s="4">
        <f>[1]Raw_Data!G749</f>
        <v>0.14000000000000001</v>
      </c>
      <c r="H751" s="3">
        <f>[1]Raw_Data!H749</f>
        <v>1</v>
      </c>
      <c r="I751" s="3" t="str">
        <f>TRIM([1]Raw_Data!I749)</f>
        <v>UK</v>
      </c>
      <c r="J751" s="3" t="str">
        <f>TRIM([1]Raw_Data!J749)</f>
        <v>Amazon</v>
      </c>
      <c r="K751" s="3">
        <f t="shared" si="44"/>
        <v>2020</v>
      </c>
      <c r="L751" s="6">
        <f t="shared" si="45"/>
        <v>44136</v>
      </c>
      <c r="M751" s="3" t="str">
        <f t="shared" si="46"/>
        <v>11% to 15%</v>
      </c>
      <c r="N751" s="3" t="str">
        <f t="shared" si="47"/>
        <v>OK</v>
      </c>
    </row>
    <row r="752" spans="1:14" x14ac:dyDescent="0.3">
      <c r="A752" s="2">
        <f>DATE(VALUE(RIGHT(TRIM([1]Raw_Data!A750),4)),VALUE(MID(TRIM([1]Raw_Data!A750),4,2)),VALUE(LEFT(TRIM([1]Raw_Data!A750),2)))</f>
        <v>44158</v>
      </c>
      <c r="B752" s="3" t="str">
        <f>TRIM([1]Raw_Data!B750)</f>
        <v>Biotin</v>
      </c>
      <c r="C752" s="3" t="str">
        <f>TRIM([1]Raw_Data!C750)</f>
        <v>Vitamin</v>
      </c>
      <c r="D752" s="3">
        <f>[1]Raw_Data!D750</f>
        <v>170</v>
      </c>
      <c r="E752" s="4">
        <f>[1]Raw_Data!E750</f>
        <v>54.79</v>
      </c>
      <c r="F752" s="5">
        <f>[1]Raw_Data!F750</f>
        <v>9314.2999999999993</v>
      </c>
      <c r="G752" s="4">
        <f>[1]Raw_Data!G750</f>
        <v>0.03</v>
      </c>
      <c r="H752" s="3">
        <f>[1]Raw_Data!H750</f>
        <v>2</v>
      </c>
      <c r="I752" s="3" t="str">
        <f>TRIM([1]Raw_Data!I750)</f>
        <v>UK</v>
      </c>
      <c r="J752" s="3" t="str">
        <f>TRIM([1]Raw_Data!J750)</f>
        <v>Amazon</v>
      </c>
      <c r="K752" s="3">
        <f t="shared" si="44"/>
        <v>2020</v>
      </c>
      <c r="L752" s="6">
        <f t="shared" si="45"/>
        <v>44136</v>
      </c>
      <c r="M752" s="3" t="str">
        <f t="shared" si="46"/>
        <v>0% to 5%</v>
      </c>
      <c r="N752" s="3" t="str">
        <f t="shared" si="47"/>
        <v>OK</v>
      </c>
    </row>
    <row r="753" spans="1:14" x14ac:dyDescent="0.3">
      <c r="A753" s="2">
        <f>DATE(VALUE(RIGHT(TRIM([1]Raw_Data!A751),4)),VALUE(MID(TRIM([1]Raw_Data!A751),4,2)),VALUE(LEFT(TRIM([1]Raw_Data!A751),2)))</f>
        <v>44158</v>
      </c>
      <c r="B753" s="3" t="str">
        <f>TRIM([1]Raw_Data!B751)</f>
        <v>Green Tea Extract</v>
      </c>
      <c r="C753" s="3" t="str">
        <f>TRIM([1]Raw_Data!C751)</f>
        <v>Fat Burner</v>
      </c>
      <c r="D753" s="3">
        <f>[1]Raw_Data!D751</f>
        <v>169</v>
      </c>
      <c r="E753" s="4">
        <f>[1]Raw_Data!E751</f>
        <v>58.42</v>
      </c>
      <c r="F753" s="5">
        <f>[1]Raw_Data!F751</f>
        <v>9872.98</v>
      </c>
      <c r="G753" s="4">
        <f>[1]Raw_Data!G751</f>
        <v>0.11</v>
      </c>
      <c r="H753" s="3">
        <f>[1]Raw_Data!H751</f>
        <v>4</v>
      </c>
      <c r="I753" s="3" t="str">
        <f>TRIM([1]Raw_Data!I751)</f>
        <v>Canada</v>
      </c>
      <c r="J753" s="3" t="str">
        <f>TRIM([1]Raw_Data!J751)</f>
        <v>Amazon</v>
      </c>
      <c r="K753" s="3">
        <f t="shared" si="44"/>
        <v>2020</v>
      </c>
      <c r="L753" s="6">
        <f t="shared" si="45"/>
        <v>44136</v>
      </c>
      <c r="M753" s="3" t="str">
        <f t="shared" si="46"/>
        <v>11% to 15%</v>
      </c>
      <c r="N753" s="3" t="str">
        <f t="shared" si="47"/>
        <v>OK</v>
      </c>
    </row>
    <row r="754" spans="1:14" x14ac:dyDescent="0.3">
      <c r="A754" s="2">
        <f>DATE(VALUE(RIGHT(TRIM([1]Raw_Data!A752),4)),VALUE(MID(TRIM([1]Raw_Data!A752),4,2)),VALUE(LEFT(TRIM([1]Raw_Data!A752),2)))</f>
        <v>44158</v>
      </c>
      <c r="B754" s="3" t="str">
        <f>TRIM([1]Raw_Data!B752)</f>
        <v>Iron Supplement</v>
      </c>
      <c r="C754" s="3" t="str">
        <f>TRIM([1]Raw_Data!C752)</f>
        <v>Mineral</v>
      </c>
      <c r="D754" s="3">
        <f>[1]Raw_Data!D752</f>
        <v>156</v>
      </c>
      <c r="E754" s="4">
        <f>[1]Raw_Data!E752</f>
        <v>19.420000000000002</v>
      </c>
      <c r="F754" s="5">
        <f>[1]Raw_Data!F752</f>
        <v>3029.52</v>
      </c>
      <c r="G754" s="4">
        <f>[1]Raw_Data!G752</f>
        <v>0.08</v>
      </c>
      <c r="H754" s="3">
        <f>[1]Raw_Data!H752</f>
        <v>0</v>
      </c>
      <c r="I754" s="3" t="str">
        <f>TRIM([1]Raw_Data!I752)</f>
        <v>USA</v>
      </c>
      <c r="J754" s="3" t="str">
        <f>TRIM([1]Raw_Data!J752)</f>
        <v>Amazon</v>
      </c>
      <c r="K754" s="3">
        <f t="shared" si="44"/>
        <v>2020</v>
      </c>
      <c r="L754" s="6">
        <f t="shared" si="45"/>
        <v>44136</v>
      </c>
      <c r="M754" s="3" t="str">
        <f t="shared" si="46"/>
        <v>6% to 10%</v>
      </c>
      <c r="N754" s="3" t="str">
        <f t="shared" si="47"/>
        <v>OK</v>
      </c>
    </row>
    <row r="755" spans="1:14" x14ac:dyDescent="0.3">
      <c r="A755" s="2">
        <f>DATE(VALUE(RIGHT(TRIM([1]Raw_Data!A753),4)),VALUE(MID(TRIM([1]Raw_Data!A753),4,2)),VALUE(LEFT(TRIM([1]Raw_Data!A753),2)))</f>
        <v>44158</v>
      </c>
      <c r="B755" s="3" t="str">
        <f>TRIM([1]Raw_Data!B753)</f>
        <v>Electrolyte Powder</v>
      </c>
      <c r="C755" s="3" t="str">
        <f>TRIM([1]Raw_Data!C753)</f>
        <v>Hydration</v>
      </c>
      <c r="D755" s="3">
        <f>[1]Raw_Data!D753</f>
        <v>135</v>
      </c>
      <c r="E755" s="4">
        <f>[1]Raw_Data!E753</f>
        <v>31.15</v>
      </c>
      <c r="F755" s="5">
        <f>[1]Raw_Data!F753</f>
        <v>4205.25</v>
      </c>
      <c r="G755" s="4">
        <f>[1]Raw_Data!G753</f>
        <v>0.2</v>
      </c>
      <c r="H755" s="3">
        <f>[1]Raw_Data!H753</f>
        <v>0</v>
      </c>
      <c r="I755" s="3" t="str">
        <f>TRIM([1]Raw_Data!I753)</f>
        <v>UK</v>
      </c>
      <c r="J755" s="3" t="str">
        <f>TRIM([1]Raw_Data!J753)</f>
        <v>Walmart</v>
      </c>
      <c r="K755" s="3">
        <f t="shared" si="44"/>
        <v>2020</v>
      </c>
      <c r="L755" s="6">
        <f t="shared" si="45"/>
        <v>44136</v>
      </c>
      <c r="M755" s="3" t="str">
        <f t="shared" si="46"/>
        <v>16% to 20%</v>
      </c>
      <c r="N755" s="3" t="str">
        <f t="shared" si="47"/>
        <v>OK</v>
      </c>
    </row>
    <row r="756" spans="1:14" x14ac:dyDescent="0.3">
      <c r="A756" s="2">
        <f>DATE(VALUE(RIGHT(TRIM([1]Raw_Data!A754),4)),VALUE(MID(TRIM([1]Raw_Data!A754),4,2)),VALUE(LEFT(TRIM([1]Raw_Data!A754),2)))</f>
        <v>44165</v>
      </c>
      <c r="B756" s="3" t="str">
        <f>TRIM([1]Raw_Data!B754)</f>
        <v>Whey Protein</v>
      </c>
      <c r="C756" s="3" t="str">
        <f>TRIM([1]Raw_Data!C754)</f>
        <v>Protein</v>
      </c>
      <c r="D756" s="3">
        <f>[1]Raw_Data!D754</f>
        <v>134</v>
      </c>
      <c r="E756" s="4">
        <f>[1]Raw_Data!E754</f>
        <v>19.86</v>
      </c>
      <c r="F756" s="5">
        <f>[1]Raw_Data!F754</f>
        <v>2661.24</v>
      </c>
      <c r="G756" s="4">
        <f>[1]Raw_Data!G754</f>
        <v>0.02</v>
      </c>
      <c r="H756" s="3">
        <f>[1]Raw_Data!H754</f>
        <v>0</v>
      </c>
      <c r="I756" s="3" t="str">
        <f>TRIM([1]Raw_Data!I754)</f>
        <v>Canada</v>
      </c>
      <c r="J756" s="3" t="str">
        <f>TRIM([1]Raw_Data!J754)</f>
        <v>Walmart</v>
      </c>
      <c r="K756" s="3">
        <f t="shared" si="44"/>
        <v>2020</v>
      </c>
      <c r="L756" s="6">
        <f t="shared" si="45"/>
        <v>44136</v>
      </c>
      <c r="M756" s="3" t="str">
        <f t="shared" si="46"/>
        <v>0% to 5%</v>
      </c>
      <c r="N756" s="3" t="str">
        <f t="shared" si="47"/>
        <v>OK</v>
      </c>
    </row>
    <row r="757" spans="1:14" x14ac:dyDescent="0.3">
      <c r="A757" s="2">
        <f>DATE(VALUE(RIGHT(TRIM([1]Raw_Data!A755),4)),VALUE(MID(TRIM([1]Raw_Data!A755),4,2)),VALUE(LEFT(TRIM([1]Raw_Data!A755),2)))</f>
        <v>44165</v>
      </c>
      <c r="B757" s="3" t="str">
        <f>TRIM([1]Raw_Data!B755)</f>
        <v>Vitamin C</v>
      </c>
      <c r="C757" s="3" t="str">
        <f>TRIM([1]Raw_Data!C755)</f>
        <v>Vitamin</v>
      </c>
      <c r="D757" s="3">
        <f>[1]Raw_Data!D755</f>
        <v>172</v>
      </c>
      <c r="E757" s="4">
        <f>[1]Raw_Data!E755</f>
        <v>27.7</v>
      </c>
      <c r="F757" s="5">
        <f>[1]Raw_Data!F755</f>
        <v>4764.3999999999996</v>
      </c>
      <c r="G757" s="4">
        <f>[1]Raw_Data!G755</f>
        <v>0.16</v>
      </c>
      <c r="H757" s="3">
        <f>[1]Raw_Data!H755</f>
        <v>2</v>
      </c>
      <c r="I757" s="3" t="str">
        <f>TRIM([1]Raw_Data!I755)</f>
        <v>UK</v>
      </c>
      <c r="J757" s="3" t="str">
        <f>TRIM([1]Raw_Data!J755)</f>
        <v>iHerb</v>
      </c>
      <c r="K757" s="3">
        <f t="shared" si="44"/>
        <v>2020</v>
      </c>
      <c r="L757" s="6">
        <f t="shared" si="45"/>
        <v>44136</v>
      </c>
      <c r="M757" s="3" t="str">
        <f t="shared" si="46"/>
        <v>16% to 20%</v>
      </c>
      <c r="N757" s="3" t="str">
        <f t="shared" si="47"/>
        <v>OK</v>
      </c>
    </row>
    <row r="758" spans="1:14" x14ac:dyDescent="0.3">
      <c r="A758" s="2">
        <f>DATE(VALUE(RIGHT(TRIM([1]Raw_Data!A756),4)),VALUE(MID(TRIM([1]Raw_Data!A756),4,2)),VALUE(LEFT(TRIM([1]Raw_Data!A756),2)))</f>
        <v>44165</v>
      </c>
      <c r="B758" s="3" t="str">
        <f>TRIM([1]Raw_Data!B756)</f>
        <v>Fish Oil</v>
      </c>
      <c r="C758" s="3" t="str">
        <f>TRIM([1]Raw_Data!C756)</f>
        <v>Omega</v>
      </c>
      <c r="D758" s="3">
        <f>[1]Raw_Data!D756</f>
        <v>156</v>
      </c>
      <c r="E758" s="4">
        <f>[1]Raw_Data!E756</f>
        <v>41.44</v>
      </c>
      <c r="F758" s="5">
        <f>[1]Raw_Data!F756</f>
        <v>6464.64</v>
      </c>
      <c r="G758" s="4">
        <f>[1]Raw_Data!G756</f>
        <v>7.0000000000000007E-2</v>
      </c>
      <c r="H758" s="3">
        <f>[1]Raw_Data!H756</f>
        <v>0</v>
      </c>
      <c r="I758" s="3" t="str">
        <f>TRIM([1]Raw_Data!I756)</f>
        <v>Canada</v>
      </c>
      <c r="J758" s="3" t="str">
        <f>TRIM([1]Raw_Data!J756)</f>
        <v>Amazon</v>
      </c>
      <c r="K758" s="3">
        <f t="shared" si="44"/>
        <v>2020</v>
      </c>
      <c r="L758" s="6">
        <f t="shared" si="45"/>
        <v>44136</v>
      </c>
      <c r="M758" s="3" t="str">
        <f t="shared" si="46"/>
        <v>6% to 10%</v>
      </c>
      <c r="N758" s="3" t="str">
        <f t="shared" si="47"/>
        <v>OK</v>
      </c>
    </row>
    <row r="759" spans="1:14" x14ac:dyDescent="0.3">
      <c r="A759" s="2">
        <f>DATE(VALUE(RIGHT(TRIM([1]Raw_Data!A757),4)),VALUE(MID(TRIM([1]Raw_Data!A757),4,2)),VALUE(LEFT(TRIM([1]Raw_Data!A757),2)))</f>
        <v>44165</v>
      </c>
      <c r="B759" s="3" t="str">
        <f>TRIM([1]Raw_Data!B757)</f>
        <v>Multivitamin</v>
      </c>
      <c r="C759" s="3" t="str">
        <f>TRIM([1]Raw_Data!C757)</f>
        <v>Vitamin</v>
      </c>
      <c r="D759" s="3">
        <f>[1]Raw_Data!D757</f>
        <v>148</v>
      </c>
      <c r="E759" s="4">
        <f>[1]Raw_Data!E757</f>
        <v>38.47</v>
      </c>
      <c r="F759" s="5">
        <f>[1]Raw_Data!F757</f>
        <v>5693.56</v>
      </c>
      <c r="G759" s="4">
        <f>[1]Raw_Data!G757</f>
        <v>0.21</v>
      </c>
      <c r="H759" s="3">
        <f>[1]Raw_Data!H757</f>
        <v>5</v>
      </c>
      <c r="I759" s="3" t="str">
        <f>TRIM([1]Raw_Data!I757)</f>
        <v>Canada</v>
      </c>
      <c r="J759" s="3" t="str">
        <f>TRIM([1]Raw_Data!J757)</f>
        <v>Amazon</v>
      </c>
      <c r="K759" s="3">
        <f t="shared" si="44"/>
        <v>2020</v>
      </c>
      <c r="L759" s="6">
        <f t="shared" si="45"/>
        <v>44136</v>
      </c>
      <c r="M759" s="3" t="str">
        <f t="shared" si="46"/>
        <v>21% to 25%</v>
      </c>
      <c r="N759" s="3" t="str">
        <f t="shared" si="47"/>
        <v>OK</v>
      </c>
    </row>
    <row r="760" spans="1:14" x14ac:dyDescent="0.3">
      <c r="A760" s="2">
        <f>DATE(VALUE(RIGHT(TRIM([1]Raw_Data!A758),4)),VALUE(MID(TRIM([1]Raw_Data!A758),4,2)),VALUE(LEFT(TRIM([1]Raw_Data!A758),2)))</f>
        <v>44165</v>
      </c>
      <c r="B760" s="3" t="str">
        <f>TRIM([1]Raw_Data!B758)</f>
        <v>Pre-Workout</v>
      </c>
      <c r="C760" s="3" t="str">
        <f>TRIM([1]Raw_Data!C758)</f>
        <v>Performance</v>
      </c>
      <c r="D760" s="3">
        <f>[1]Raw_Data!D758</f>
        <v>136</v>
      </c>
      <c r="E760" s="4">
        <f>[1]Raw_Data!E758</f>
        <v>43.71</v>
      </c>
      <c r="F760" s="5">
        <f>[1]Raw_Data!F758</f>
        <v>5944.56</v>
      </c>
      <c r="G760" s="4">
        <f>[1]Raw_Data!G758</f>
        <v>0.24</v>
      </c>
      <c r="H760" s="3">
        <f>[1]Raw_Data!H758</f>
        <v>4</v>
      </c>
      <c r="I760" s="3" t="str">
        <f>TRIM([1]Raw_Data!I758)</f>
        <v>Canada</v>
      </c>
      <c r="J760" s="3" t="str">
        <f>TRIM([1]Raw_Data!J758)</f>
        <v>iHerb</v>
      </c>
      <c r="K760" s="3">
        <f t="shared" si="44"/>
        <v>2020</v>
      </c>
      <c r="L760" s="6">
        <f t="shared" si="45"/>
        <v>44136</v>
      </c>
      <c r="M760" s="3" t="str">
        <f t="shared" si="46"/>
        <v>21% to 25%</v>
      </c>
      <c r="N760" s="3" t="str">
        <f t="shared" si="47"/>
        <v>OK</v>
      </c>
    </row>
    <row r="761" spans="1:14" x14ac:dyDescent="0.3">
      <c r="A761" s="2">
        <f>DATE(VALUE(RIGHT(TRIM([1]Raw_Data!A759),4)),VALUE(MID(TRIM([1]Raw_Data!A759),4,2)),VALUE(LEFT(TRIM([1]Raw_Data!A759),2)))</f>
        <v>44165</v>
      </c>
      <c r="B761" s="3" t="str">
        <f>TRIM([1]Raw_Data!B759)</f>
        <v>BCAA</v>
      </c>
      <c r="C761" s="3" t="str">
        <f>TRIM([1]Raw_Data!C759)</f>
        <v>Amino Acid</v>
      </c>
      <c r="D761" s="3">
        <f>[1]Raw_Data!D759</f>
        <v>157</v>
      </c>
      <c r="E761" s="4">
        <f>[1]Raw_Data!E759</f>
        <v>49.93</v>
      </c>
      <c r="F761" s="5">
        <f>[1]Raw_Data!F759</f>
        <v>7839.01</v>
      </c>
      <c r="G761" s="4">
        <f>[1]Raw_Data!G759</f>
        <v>0.03</v>
      </c>
      <c r="H761" s="3">
        <f>[1]Raw_Data!H759</f>
        <v>2</v>
      </c>
      <c r="I761" s="3" t="str">
        <f>TRIM([1]Raw_Data!I759)</f>
        <v>Canada</v>
      </c>
      <c r="J761" s="3" t="str">
        <f>TRIM([1]Raw_Data!J759)</f>
        <v>iHerb</v>
      </c>
      <c r="K761" s="3">
        <f t="shared" si="44"/>
        <v>2020</v>
      </c>
      <c r="L761" s="6">
        <f t="shared" si="45"/>
        <v>44136</v>
      </c>
      <c r="M761" s="3" t="str">
        <f t="shared" si="46"/>
        <v>0% to 5%</v>
      </c>
      <c r="N761" s="3" t="str">
        <f t="shared" si="47"/>
        <v>OK</v>
      </c>
    </row>
    <row r="762" spans="1:14" x14ac:dyDescent="0.3">
      <c r="A762" s="2">
        <f>DATE(VALUE(RIGHT(TRIM([1]Raw_Data!A760),4)),VALUE(MID(TRIM([1]Raw_Data!A760),4,2)),VALUE(LEFT(TRIM([1]Raw_Data!A760),2)))</f>
        <v>44165</v>
      </c>
      <c r="B762" s="3" t="str">
        <f>TRIM([1]Raw_Data!B760)</f>
        <v>Creatine</v>
      </c>
      <c r="C762" s="3" t="str">
        <f>TRIM([1]Raw_Data!C760)</f>
        <v>Performance</v>
      </c>
      <c r="D762" s="3">
        <f>[1]Raw_Data!D760</f>
        <v>170</v>
      </c>
      <c r="E762" s="4">
        <f>[1]Raw_Data!E760</f>
        <v>41.53</v>
      </c>
      <c r="F762" s="5">
        <f>[1]Raw_Data!F760</f>
        <v>7060.1</v>
      </c>
      <c r="G762" s="4">
        <f>[1]Raw_Data!G760</f>
        <v>0.11</v>
      </c>
      <c r="H762" s="3">
        <f>[1]Raw_Data!H760</f>
        <v>1</v>
      </c>
      <c r="I762" s="3" t="str">
        <f>TRIM([1]Raw_Data!I760)</f>
        <v>UK</v>
      </c>
      <c r="J762" s="3" t="str">
        <f>TRIM([1]Raw_Data!J760)</f>
        <v>Amazon</v>
      </c>
      <c r="K762" s="3">
        <f t="shared" si="44"/>
        <v>2020</v>
      </c>
      <c r="L762" s="6">
        <f t="shared" si="45"/>
        <v>44136</v>
      </c>
      <c r="M762" s="3" t="str">
        <f t="shared" si="46"/>
        <v>11% to 15%</v>
      </c>
      <c r="N762" s="3" t="str">
        <f t="shared" si="47"/>
        <v>OK</v>
      </c>
    </row>
    <row r="763" spans="1:14" x14ac:dyDescent="0.3">
      <c r="A763" s="2">
        <f>DATE(VALUE(RIGHT(TRIM([1]Raw_Data!A761),4)),VALUE(MID(TRIM([1]Raw_Data!A761),4,2)),VALUE(LEFT(TRIM([1]Raw_Data!A761),2)))</f>
        <v>44165</v>
      </c>
      <c r="B763" s="3" t="str">
        <f>TRIM([1]Raw_Data!B761)</f>
        <v>Zinc</v>
      </c>
      <c r="C763" s="3" t="str">
        <f>TRIM([1]Raw_Data!C761)</f>
        <v>Mineral</v>
      </c>
      <c r="D763" s="3">
        <f>[1]Raw_Data!D761</f>
        <v>143</v>
      </c>
      <c r="E763" s="4">
        <f>[1]Raw_Data!E761</f>
        <v>56.81</v>
      </c>
      <c r="F763" s="5">
        <f>[1]Raw_Data!F761</f>
        <v>8123.83</v>
      </c>
      <c r="G763" s="4">
        <f>[1]Raw_Data!G761</f>
        <v>0.24</v>
      </c>
      <c r="H763" s="3">
        <f>[1]Raw_Data!H761</f>
        <v>0</v>
      </c>
      <c r="I763" s="3" t="str">
        <f>TRIM([1]Raw_Data!I761)</f>
        <v>UK</v>
      </c>
      <c r="J763" s="3" t="str">
        <f>TRIM([1]Raw_Data!J761)</f>
        <v>iHerb</v>
      </c>
      <c r="K763" s="3">
        <f t="shared" si="44"/>
        <v>2020</v>
      </c>
      <c r="L763" s="6">
        <f t="shared" si="45"/>
        <v>44136</v>
      </c>
      <c r="M763" s="3" t="str">
        <f t="shared" si="46"/>
        <v>21% to 25%</v>
      </c>
      <c r="N763" s="3" t="str">
        <f t="shared" si="47"/>
        <v>OK</v>
      </c>
    </row>
    <row r="764" spans="1:14" x14ac:dyDescent="0.3">
      <c r="A764" s="2">
        <f>DATE(VALUE(RIGHT(TRIM([1]Raw_Data!A762),4)),VALUE(MID(TRIM([1]Raw_Data!A762),4,2)),VALUE(LEFT(TRIM([1]Raw_Data!A762),2)))</f>
        <v>44165</v>
      </c>
      <c r="B764" s="3" t="str">
        <f>TRIM([1]Raw_Data!B762)</f>
        <v>Collagen Peptides</v>
      </c>
      <c r="C764" s="3" t="str">
        <f>TRIM([1]Raw_Data!C762)</f>
        <v>Protein</v>
      </c>
      <c r="D764" s="3">
        <f>[1]Raw_Data!D762</f>
        <v>166</v>
      </c>
      <c r="E764" s="4">
        <f>[1]Raw_Data!E762</f>
        <v>22.64</v>
      </c>
      <c r="F764" s="5">
        <f>[1]Raw_Data!F762</f>
        <v>3758.24</v>
      </c>
      <c r="G764" s="4">
        <f>[1]Raw_Data!G762</f>
        <v>0.02</v>
      </c>
      <c r="H764" s="3">
        <f>[1]Raw_Data!H762</f>
        <v>1</v>
      </c>
      <c r="I764" s="3" t="str">
        <f>TRIM([1]Raw_Data!I762)</f>
        <v>UK</v>
      </c>
      <c r="J764" s="3" t="str">
        <f>TRIM([1]Raw_Data!J762)</f>
        <v>Amazon</v>
      </c>
      <c r="K764" s="3">
        <f t="shared" si="44"/>
        <v>2020</v>
      </c>
      <c r="L764" s="6">
        <f t="shared" si="45"/>
        <v>44136</v>
      </c>
      <c r="M764" s="3" t="str">
        <f t="shared" si="46"/>
        <v>0% to 5%</v>
      </c>
      <c r="N764" s="3" t="str">
        <f t="shared" si="47"/>
        <v>OK</v>
      </c>
    </row>
    <row r="765" spans="1:14" x14ac:dyDescent="0.3">
      <c r="A765" s="2">
        <f>DATE(VALUE(RIGHT(TRIM([1]Raw_Data!A763),4)),VALUE(MID(TRIM([1]Raw_Data!A763),4,2)),VALUE(LEFT(TRIM([1]Raw_Data!A763),2)))</f>
        <v>44165</v>
      </c>
      <c r="B765" s="3" t="str">
        <f>TRIM([1]Raw_Data!B763)</f>
        <v>Magnesium</v>
      </c>
      <c r="C765" s="3" t="str">
        <f>TRIM([1]Raw_Data!C763)</f>
        <v>Mineral</v>
      </c>
      <c r="D765" s="3">
        <f>[1]Raw_Data!D763</f>
        <v>170</v>
      </c>
      <c r="E765" s="4">
        <f>[1]Raw_Data!E763</f>
        <v>46.05</v>
      </c>
      <c r="F765" s="5">
        <f>[1]Raw_Data!F763</f>
        <v>7828.5</v>
      </c>
      <c r="G765" s="4">
        <f>[1]Raw_Data!G763</f>
        <v>0.06</v>
      </c>
      <c r="H765" s="3">
        <f>[1]Raw_Data!H763</f>
        <v>2</v>
      </c>
      <c r="I765" s="3" t="str">
        <f>TRIM([1]Raw_Data!I763)</f>
        <v>USA</v>
      </c>
      <c r="J765" s="3" t="str">
        <f>TRIM([1]Raw_Data!J763)</f>
        <v>Walmart</v>
      </c>
      <c r="K765" s="3">
        <f t="shared" si="44"/>
        <v>2020</v>
      </c>
      <c r="L765" s="6">
        <f t="shared" si="45"/>
        <v>44136</v>
      </c>
      <c r="M765" s="3" t="str">
        <f t="shared" si="46"/>
        <v>6% to 10%</v>
      </c>
      <c r="N765" s="3" t="str">
        <f t="shared" si="47"/>
        <v>OK</v>
      </c>
    </row>
    <row r="766" spans="1:14" x14ac:dyDescent="0.3">
      <c r="A766" s="2">
        <f>DATE(VALUE(RIGHT(TRIM([1]Raw_Data!A764),4)),VALUE(MID(TRIM([1]Raw_Data!A764),4,2)),VALUE(LEFT(TRIM([1]Raw_Data!A764),2)))</f>
        <v>44165</v>
      </c>
      <c r="B766" s="3" t="str">
        <f>TRIM([1]Raw_Data!B764)</f>
        <v>Ashwagandha</v>
      </c>
      <c r="C766" s="3" t="str">
        <f>TRIM([1]Raw_Data!C764)</f>
        <v>Herbal</v>
      </c>
      <c r="D766" s="3">
        <f>[1]Raw_Data!D764</f>
        <v>154</v>
      </c>
      <c r="E766" s="4">
        <f>[1]Raw_Data!E764</f>
        <v>51.15</v>
      </c>
      <c r="F766" s="5">
        <f>[1]Raw_Data!F764</f>
        <v>7877.1</v>
      </c>
      <c r="G766" s="4">
        <f>[1]Raw_Data!G764</f>
        <v>0.06</v>
      </c>
      <c r="H766" s="3">
        <f>[1]Raw_Data!H764</f>
        <v>2</v>
      </c>
      <c r="I766" s="3" t="str">
        <f>TRIM([1]Raw_Data!I764)</f>
        <v>UK</v>
      </c>
      <c r="J766" s="3" t="str">
        <f>TRIM([1]Raw_Data!J764)</f>
        <v>Walmart</v>
      </c>
      <c r="K766" s="3">
        <f t="shared" si="44"/>
        <v>2020</v>
      </c>
      <c r="L766" s="6">
        <f t="shared" si="45"/>
        <v>44136</v>
      </c>
      <c r="M766" s="3" t="str">
        <f t="shared" si="46"/>
        <v>6% to 10%</v>
      </c>
      <c r="N766" s="3" t="str">
        <f t="shared" si="47"/>
        <v>OK</v>
      </c>
    </row>
    <row r="767" spans="1:14" x14ac:dyDescent="0.3">
      <c r="A767" s="2">
        <f>DATE(VALUE(RIGHT(TRIM([1]Raw_Data!A765),4)),VALUE(MID(TRIM([1]Raw_Data!A765),4,2)),VALUE(LEFT(TRIM([1]Raw_Data!A765),2)))</f>
        <v>44165</v>
      </c>
      <c r="B767" s="3" t="str">
        <f>TRIM([1]Raw_Data!B765)</f>
        <v>Melatonin</v>
      </c>
      <c r="C767" s="3" t="str">
        <f>TRIM([1]Raw_Data!C765)</f>
        <v>Sleep Aid</v>
      </c>
      <c r="D767" s="3">
        <f>[1]Raw_Data!D765</f>
        <v>147</v>
      </c>
      <c r="E767" s="4">
        <f>[1]Raw_Data!E765</f>
        <v>15.37</v>
      </c>
      <c r="F767" s="5">
        <f>[1]Raw_Data!F765</f>
        <v>2259.39</v>
      </c>
      <c r="G767" s="4">
        <f>[1]Raw_Data!G765</f>
        <v>0</v>
      </c>
      <c r="H767" s="3">
        <f>[1]Raw_Data!H765</f>
        <v>3</v>
      </c>
      <c r="I767" s="3" t="str">
        <f>TRIM([1]Raw_Data!I765)</f>
        <v>Canada</v>
      </c>
      <c r="J767" s="3" t="str">
        <f>TRIM([1]Raw_Data!J765)</f>
        <v>Walmart</v>
      </c>
      <c r="K767" s="3">
        <f t="shared" si="44"/>
        <v>2020</v>
      </c>
      <c r="L767" s="6">
        <f t="shared" si="45"/>
        <v>44136</v>
      </c>
      <c r="M767" s="3" t="str">
        <f t="shared" si="46"/>
        <v>0% to 5%</v>
      </c>
      <c r="N767" s="3" t="str">
        <f t="shared" si="47"/>
        <v>OK</v>
      </c>
    </row>
    <row r="768" spans="1:14" x14ac:dyDescent="0.3">
      <c r="A768" s="2">
        <f>DATE(VALUE(RIGHT(TRIM([1]Raw_Data!A766),4)),VALUE(MID(TRIM([1]Raw_Data!A766),4,2)),VALUE(LEFT(TRIM([1]Raw_Data!A766),2)))</f>
        <v>44165</v>
      </c>
      <c r="B768" s="3" t="str">
        <f>TRIM([1]Raw_Data!B766)</f>
        <v>Biotin</v>
      </c>
      <c r="C768" s="3" t="str">
        <f>TRIM([1]Raw_Data!C766)</f>
        <v>Vitamin</v>
      </c>
      <c r="D768" s="3">
        <f>[1]Raw_Data!D766</f>
        <v>141</v>
      </c>
      <c r="E768" s="4">
        <f>[1]Raw_Data!E766</f>
        <v>59.97</v>
      </c>
      <c r="F768" s="5">
        <f>[1]Raw_Data!F766</f>
        <v>8455.77</v>
      </c>
      <c r="G768" s="4">
        <f>[1]Raw_Data!G766</f>
        <v>0.05</v>
      </c>
      <c r="H768" s="3">
        <f>[1]Raw_Data!H766</f>
        <v>1</v>
      </c>
      <c r="I768" s="3" t="str">
        <f>TRIM([1]Raw_Data!I766)</f>
        <v>Canada</v>
      </c>
      <c r="J768" s="3" t="str">
        <f>TRIM([1]Raw_Data!J766)</f>
        <v>iHerb</v>
      </c>
      <c r="K768" s="3">
        <f t="shared" si="44"/>
        <v>2020</v>
      </c>
      <c r="L768" s="6">
        <f t="shared" si="45"/>
        <v>44136</v>
      </c>
      <c r="M768" s="3" t="str">
        <f t="shared" si="46"/>
        <v>0% to 5%</v>
      </c>
      <c r="N768" s="3" t="str">
        <f t="shared" si="47"/>
        <v>OK</v>
      </c>
    </row>
    <row r="769" spans="1:14" x14ac:dyDescent="0.3">
      <c r="A769" s="2">
        <f>DATE(VALUE(RIGHT(TRIM([1]Raw_Data!A767),4)),VALUE(MID(TRIM([1]Raw_Data!A767),4,2)),VALUE(LEFT(TRIM([1]Raw_Data!A767),2)))</f>
        <v>44165</v>
      </c>
      <c r="B769" s="3" t="str">
        <f>TRIM([1]Raw_Data!B767)</f>
        <v>Green Tea Extract</v>
      </c>
      <c r="C769" s="3" t="str">
        <f>TRIM([1]Raw_Data!C767)</f>
        <v>Fat Burner</v>
      </c>
      <c r="D769" s="3">
        <f>[1]Raw_Data!D767</f>
        <v>170</v>
      </c>
      <c r="E769" s="4">
        <f>[1]Raw_Data!E767</f>
        <v>49.76</v>
      </c>
      <c r="F769" s="5">
        <f>[1]Raw_Data!F767</f>
        <v>8459.2000000000007</v>
      </c>
      <c r="G769" s="4">
        <f>[1]Raw_Data!G767</f>
        <v>0.03</v>
      </c>
      <c r="H769" s="3">
        <f>[1]Raw_Data!H767</f>
        <v>5</v>
      </c>
      <c r="I769" s="3" t="str">
        <f>TRIM([1]Raw_Data!I767)</f>
        <v>USA</v>
      </c>
      <c r="J769" s="3" t="str">
        <f>TRIM([1]Raw_Data!J767)</f>
        <v>Walmart</v>
      </c>
      <c r="K769" s="3">
        <f t="shared" si="44"/>
        <v>2020</v>
      </c>
      <c r="L769" s="6">
        <f t="shared" si="45"/>
        <v>44136</v>
      </c>
      <c r="M769" s="3" t="str">
        <f t="shared" si="46"/>
        <v>0% to 5%</v>
      </c>
      <c r="N769" s="3" t="str">
        <f t="shared" si="47"/>
        <v>OK</v>
      </c>
    </row>
    <row r="770" spans="1:14" x14ac:dyDescent="0.3">
      <c r="A770" s="2">
        <f>DATE(VALUE(RIGHT(TRIM([1]Raw_Data!A768),4)),VALUE(MID(TRIM([1]Raw_Data!A768),4,2)),VALUE(LEFT(TRIM([1]Raw_Data!A768),2)))</f>
        <v>44165</v>
      </c>
      <c r="B770" s="3" t="str">
        <f>TRIM([1]Raw_Data!B768)</f>
        <v>Iron Supplement</v>
      </c>
      <c r="C770" s="3" t="str">
        <f>TRIM([1]Raw_Data!C768)</f>
        <v>Mineral</v>
      </c>
      <c r="D770" s="3">
        <f>[1]Raw_Data!D768</f>
        <v>184</v>
      </c>
      <c r="E770" s="4">
        <f>[1]Raw_Data!E768</f>
        <v>24.97</v>
      </c>
      <c r="F770" s="5">
        <f>[1]Raw_Data!F768</f>
        <v>4594.4799999999996</v>
      </c>
      <c r="G770" s="4">
        <f>[1]Raw_Data!G768</f>
        <v>0.03</v>
      </c>
      <c r="H770" s="3">
        <f>[1]Raw_Data!H768</f>
        <v>1</v>
      </c>
      <c r="I770" s="3" t="str">
        <f>TRIM([1]Raw_Data!I768)</f>
        <v>Canada</v>
      </c>
      <c r="J770" s="3" t="str">
        <f>TRIM([1]Raw_Data!J768)</f>
        <v>Walmart</v>
      </c>
      <c r="K770" s="3">
        <f t="shared" si="44"/>
        <v>2020</v>
      </c>
      <c r="L770" s="6">
        <f t="shared" si="45"/>
        <v>44136</v>
      </c>
      <c r="M770" s="3" t="str">
        <f t="shared" si="46"/>
        <v>0% to 5%</v>
      </c>
      <c r="N770" s="3" t="str">
        <f t="shared" si="47"/>
        <v>OK</v>
      </c>
    </row>
    <row r="771" spans="1:14" x14ac:dyDescent="0.3">
      <c r="A771" s="2">
        <f>DATE(VALUE(RIGHT(TRIM([1]Raw_Data!A769),4)),VALUE(MID(TRIM([1]Raw_Data!A769),4,2)),VALUE(LEFT(TRIM([1]Raw_Data!A769),2)))</f>
        <v>44165</v>
      </c>
      <c r="B771" s="3" t="str">
        <f>TRIM([1]Raw_Data!B769)</f>
        <v>Electrolyte Powder</v>
      </c>
      <c r="C771" s="3" t="str">
        <f>TRIM([1]Raw_Data!C769)</f>
        <v>Hydration</v>
      </c>
      <c r="D771" s="3">
        <f>[1]Raw_Data!D769</f>
        <v>163</v>
      </c>
      <c r="E771" s="4">
        <f>[1]Raw_Data!E769</f>
        <v>14.42</v>
      </c>
      <c r="F771" s="5">
        <f>[1]Raw_Data!F769</f>
        <v>2350.46</v>
      </c>
      <c r="G771" s="4">
        <f>[1]Raw_Data!G769</f>
        <v>0.09</v>
      </c>
      <c r="H771" s="3">
        <f>[1]Raw_Data!H769</f>
        <v>5</v>
      </c>
      <c r="I771" s="3" t="str">
        <f>TRIM([1]Raw_Data!I769)</f>
        <v>USA</v>
      </c>
      <c r="J771" s="3" t="str">
        <f>TRIM([1]Raw_Data!J769)</f>
        <v>Amazon</v>
      </c>
      <c r="K771" s="3">
        <f t="shared" si="44"/>
        <v>2020</v>
      </c>
      <c r="L771" s="6">
        <f t="shared" si="45"/>
        <v>44136</v>
      </c>
      <c r="M771" s="3" t="str">
        <f t="shared" si="46"/>
        <v>6% to 10%</v>
      </c>
      <c r="N771" s="3" t="str">
        <f t="shared" si="47"/>
        <v>OK</v>
      </c>
    </row>
    <row r="772" spans="1:14" x14ac:dyDescent="0.3">
      <c r="A772" s="2">
        <f>DATE(VALUE(RIGHT(TRIM([1]Raw_Data!A770),4)),VALUE(MID(TRIM([1]Raw_Data!A770),4,2)),VALUE(LEFT(TRIM([1]Raw_Data!A770),2)))</f>
        <v>44172</v>
      </c>
      <c r="B772" s="3" t="str">
        <f>TRIM([1]Raw_Data!B770)</f>
        <v>Whey Protein</v>
      </c>
      <c r="C772" s="3" t="str">
        <f>TRIM([1]Raw_Data!C770)</f>
        <v>Protein</v>
      </c>
      <c r="D772" s="3">
        <f>[1]Raw_Data!D770</f>
        <v>155</v>
      </c>
      <c r="E772" s="4">
        <f>[1]Raw_Data!E770</f>
        <v>18.329999999999998</v>
      </c>
      <c r="F772" s="5">
        <f>[1]Raw_Data!F770</f>
        <v>2841.15</v>
      </c>
      <c r="G772" s="4">
        <f>[1]Raw_Data!G770</f>
        <v>0.25</v>
      </c>
      <c r="H772" s="3">
        <f>[1]Raw_Data!H770</f>
        <v>3</v>
      </c>
      <c r="I772" s="3" t="str">
        <f>TRIM([1]Raw_Data!I770)</f>
        <v>USA</v>
      </c>
      <c r="J772" s="3" t="str">
        <f>TRIM([1]Raw_Data!J770)</f>
        <v>Walmart</v>
      </c>
      <c r="K772" s="3">
        <f t="shared" ref="K772:K835" si="48">YEAR(A772)</f>
        <v>2020</v>
      </c>
      <c r="L772" s="6">
        <f t="shared" ref="L772:L835" si="49">DATE(YEAR(A772),MONTH(A772),1)</f>
        <v>44166</v>
      </c>
      <c r="M772" s="3" t="str">
        <f t="shared" ref="M772:M835" si="50">IF(ROUND(G772*100,0)&lt;=5,"0% to 5%",IF(ROUND(G772*100,0)&lt;=10,"6% to 10%",IF(ROUND(G772*100,0)&lt;=15,"11% to 15%",IF(ROUND(G772*100,0)&lt;=20,"16% to 20%","21% to 25%"))))</f>
        <v>21% to 25%</v>
      </c>
      <c r="N772" s="3" t="str">
        <f t="shared" ref="N772:N835" si="51">IF(ROUND(D772*E772,2)=ROUND(F772,2),"OK","Check")</f>
        <v>OK</v>
      </c>
    </row>
    <row r="773" spans="1:14" x14ac:dyDescent="0.3">
      <c r="A773" s="2">
        <f>DATE(VALUE(RIGHT(TRIM([1]Raw_Data!A771),4)),VALUE(MID(TRIM([1]Raw_Data!A771),4,2)),VALUE(LEFT(TRIM([1]Raw_Data!A771),2)))</f>
        <v>44172</v>
      </c>
      <c r="B773" s="3" t="str">
        <f>TRIM([1]Raw_Data!B771)</f>
        <v>Vitamin C</v>
      </c>
      <c r="C773" s="3" t="str">
        <f>TRIM([1]Raw_Data!C771)</f>
        <v>Vitamin</v>
      </c>
      <c r="D773" s="3">
        <f>[1]Raw_Data!D771</f>
        <v>142</v>
      </c>
      <c r="E773" s="4">
        <f>[1]Raw_Data!E771</f>
        <v>12.83</v>
      </c>
      <c r="F773" s="5">
        <f>[1]Raw_Data!F771</f>
        <v>1821.86</v>
      </c>
      <c r="G773" s="4">
        <f>[1]Raw_Data!G771</f>
        <v>0.03</v>
      </c>
      <c r="H773" s="3">
        <f>[1]Raw_Data!H771</f>
        <v>1</v>
      </c>
      <c r="I773" s="3" t="str">
        <f>TRIM([1]Raw_Data!I771)</f>
        <v>UK</v>
      </c>
      <c r="J773" s="3" t="str">
        <f>TRIM([1]Raw_Data!J771)</f>
        <v>iHerb</v>
      </c>
      <c r="K773" s="3">
        <f t="shared" si="48"/>
        <v>2020</v>
      </c>
      <c r="L773" s="6">
        <f t="shared" si="49"/>
        <v>44166</v>
      </c>
      <c r="M773" s="3" t="str">
        <f t="shared" si="50"/>
        <v>0% to 5%</v>
      </c>
      <c r="N773" s="3" t="str">
        <f t="shared" si="51"/>
        <v>OK</v>
      </c>
    </row>
    <row r="774" spans="1:14" x14ac:dyDescent="0.3">
      <c r="A774" s="2">
        <f>DATE(VALUE(RIGHT(TRIM([1]Raw_Data!A772),4)),VALUE(MID(TRIM([1]Raw_Data!A772),4,2)),VALUE(LEFT(TRIM([1]Raw_Data!A772),2)))</f>
        <v>44172</v>
      </c>
      <c r="B774" s="3" t="str">
        <f>TRIM([1]Raw_Data!B772)</f>
        <v>Fish Oil</v>
      </c>
      <c r="C774" s="3" t="str">
        <f>TRIM([1]Raw_Data!C772)</f>
        <v>Omega</v>
      </c>
      <c r="D774" s="3">
        <f>[1]Raw_Data!D772</f>
        <v>172</v>
      </c>
      <c r="E774" s="4">
        <f>[1]Raw_Data!E772</f>
        <v>52.15</v>
      </c>
      <c r="F774" s="5">
        <f>[1]Raw_Data!F772</f>
        <v>8969.7999999999993</v>
      </c>
      <c r="G774" s="4">
        <f>[1]Raw_Data!G772</f>
        <v>0.11</v>
      </c>
      <c r="H774" s="3">
        <f>[1]Raw_Data!H772</f>
        <v>2</v>
      </c>
      <c r="I774" s="3" t="str">
        <f>TRIM([1]Raw_Data!I772)</f>
        <v>USA</v>
      </c>
      <c r="J774" s="3" t="str">
        <f>TRIM([1]Raw_Data!J772)</f>
        <v>Amazon</v>
      </c>
      <c r="K774" s="3">
        <f t="shared" si="48"/>
        <v>2020</v>
      </c>
      <c r="L774" s="6">
        <f t="shared" si="49"/>
        <v>44166</v>
      </c>
      <c r="M774" s="3" t="str">
        <f t="shared" si="50"/>
        <v>11% to 15%</v>
      </c>
      <c r="N774" s="3" t="str">
        <f t="shared" si="51"/>
        <v>OK</v>
      </c>
    </row>
    <row r="775" spans="1:14" x14ac:dyDescent="0.3">
      <c r="A775" s="2">
        <f>DATE(VALUE(RIGHT(TRIM([1]Raw_Data!A773),4)),VALUE(MID(TRIM([1]Raw_Data!A773),4,2)),VALUE(LEFT(TRIM([1]Raw_Data!A773),2)))</f>
        <v>44172</v>
      </c>
      <c r="B775" s="3" t="str">
        <f>TRIM([1]Raw_Data!B773)</f>
        <v>Multivitamin</v>
      </c>
      <c r="C775" s="3" t="str">
        <f>TRIM([1]Raw_Data!C773)</f>
        <v>Vitamin</v>
      </c>
      <c r="D775" s="3">
        <f>[1]Raw_Data!D773</f>
        <v>159</v>
      </c>
      <c r="E775" s="4">
        <f>[1]Raw_Data!E773</f>
        <v>28.06</v>
      </c>
      <c r="F775" s="5">
        <f>[1]Raw_Data!F773</f>
        <v>4461.54</v>
      </c>
      <c r="G775" s="4">
        <f>[1]Raw_Data!G773</f>
        <v>0.16</v>
      </c>
      <c r="H775" s="3">
        <f>[1]Raw_Data!H773</f>
        <v>0</v>
      </c>
      <c r="I775" s="3" t="str">
        <f>TRIM([1]Raw_Data!I773)</f>
        <v>Canada</v>
      </c>
      <c r="J775" s="3" t="str">
        <f>TRIM([1]Raw_Data!J773)</f>
        <v>Walmart</v>
      </c>
      <c r="K775" s="3">
        <f t="shared" si="48"/>
        <v>2020</v>
      </c>
      <c r="L775" s="6">
        <f t="shared" si="49"/>
        <v>44166</v>
      </c>
      <c r="M775" s="3" t="str">
        <f t="shared" si="50"/>
        <v>16% to 20%</v>
      </c>
      <c r="N775" s="3" t="str">
        <f t="shared" si="51"/>
        <v>OK</v>
      </c>
    </row>
    <row r="776" spans="1:14" x14ac:dyDescent="0.3">
      <c r="A776" s="2">
        <f>DATE(VALUE(RIGHT(TRIM([1]Raw_Data!A774),4)),VALUE(MID(TRIM([1]Raw_Data!A774),4,2)),VALUE(LEFT(TRIM([1]Raw_Data!A774),2)))</f>
        <v>44172</v>
      </c>
      <c r="B776" s="3" t="str">
        <f>TRIM([1]Raw_Data!B774)</f>
        <v>Pre-Workout</v>
      </c>
      <c r="C776" s="3" t="str">
        <f>TRIM([1]Raw_Data!C774)</f>
        <v>Performance</v>
      </c>
      <c r="D776" s="3">
        <f>[1]Raw_Data!D774</f>
        <v>145</v>
      </c>
      <c r="E776" s="4">
        <f>[1]Raw_Data!E774</f>
        <v>59.81</v>
      </c>
      <c r="F776" s="5">
        <f>[1]Raw_Data!F774</f>
        <v>8672.4500000000007</v>
      </c>
      <c r="G776" s="4">
        <f>[1]Raw_Data!G774</f>
        <v>0.12</v>
      </c>
      <c r="H776" s="3">
        <f>[1]Raw_Data!H774</f>
        <v>2</v>
      </c>
      <c r="I776" s="3" t="str">
        <f>TRIM([1]Raw_Data!I774)</f>
        <v>USA</v>
      </c>
      <c r="J776" s="3" t="str">
        <f>TRIM([1]Raw_Data!J774)</f>
        <v>Amazon</v>
      </c>
      <c r="K776" s="3">
        <f t="shared" si="48"/>
        <v>2020</v>
      </c>
      <c r="L776" s="6">
        <f t="shared" si="49"/>
        <v>44166</v>
      </c>
      <c r="M776" s="3" t="str">
        <f t="shared" si="50"/>
        <v>11% to 15%</v>
      </c>
      <c r="N776" s="3" t="str">
        <f t="shared" si="51"/>
        <v>OK</v>
      </c>
    </row>
    <row r="777" spans="1:14" x14ac:dyDescent="0.3">
      <c r="A777" s="2">
        <f>DATE(VALUE(RIGHT(TRIM([1]Raw_Data!A775),4)),VALUE(MID(TRIM([1]Raw_Data!A775),4,2)),VALUE(LEFT(TRIM([1]Raw_Data!A775),2)))</f>
        <v>44172</v>
      </c>
      <c r="B777" s="3" t="str">
        <f>TRIM([1]Raw_Data!B775)</f>
        <v>BCAA</v>
      </c>
      <c r="C777" s="3" t="str">
        <f>TRIM([1]Raw_Data!C775)</f>
        <v>Amino Acid</v>
      </c>
      <c r="D777" s="3">
        <f>[1]Raw_Data!D775</f>
        <v>148</v>
      </c>
      <c r="E777" s="4">
        <f>[1]Raw_Data!E775</f>
        <v>39.770000000000003</v>
      </c>
      <c r="F777" s="5">
        <f>[1]Raw_Data!F775</f>
        <v>5885.96</v>
      </c>
      <c r="G777" s="4">
        <f>[1]Raw_Data!G775</f>
        <v>0.22</v>
      </c>
      <c r="H777" s="3">
        <f>[1]Raw_Data!H775</f>
        <v>1</v>
      </c>
      <c r="I777" s="3" t="str">
        <f>TRIM([1]Raw_Data!I775)</f>
        <v>Canada</v>
      </c>
      <c r="J777" s="3" t="str">
        <f>TRIM([1]Raw_Data!J775)</f>
        <v>iHerb</v>
      </c>
      <c r="K777" s="3">
        <f t="shared" si="48"/>
        <v>2020</v>
      </c>
      <c r="L777" s="6">
        <f t="shared" si="49"/>
        <v>44166</v>
      </c>
      <c r="M777" s="3" t="str">
        <f t="shared" si="50"/>
        <v>21% to 25%</v>
      </c>
      <c r="N777" s="3" t="str">
        <f t="shared" si="51"/>
        <v>OK</v>
      </c>
    </row>
    <row r="778" spans="1:14" x14ac:dyDescent="0.3">
      <c r="A778" s="2">
        <f>DATE(VALUE(RIGHT(TRIM([1]Raw_Data!A776),4)),VALUE(MID(TRIM([1]Raw_Data!A776),4,2)),VALUE(LEFT(TRIM([1]Raw_Data!A776),2)))</f>
        <v>44172</v>
      </c>
      <c r="B778" s="3" t="str">
        <f>TRIM([1]Raw_Data!B776)</f>
        <v>Creatine</v>
      </c>
      <c r="C778" s="3" t="str">
        <f>TRIM([1]Raw_Data!C776)</f>
        <v>Performance</v>
      </c>
      <c r="D778" s="3">
        <f>[1]Raw_Data!D776</f>
        <v>154</v>
      </c>
      <c r="E778" s="4">
        <f>[1]Raw_Data!E776</f>
        <v>30.87</v>
      </c>
      <c r="F778" s="5">
        <f>[1]Raw_Data!F776</f>
        <v>4753.9799999999996</v>
      </c>
      <c r="G778" s="4">
        <f>[1]Raw_Data!G776</f>
        <v>0.04</v>
      </c>
      <c r="H778" s="3">
        <f>[1]Raw_Data!H776</f>
        <v>0</v>
      </c>
      <c r="I778" s="3" t="str">
        <f>TRIM([1]Raw_Data!I776)</f>
        <v>Canada</v>
      </c>
      <c r="J778" s="3" t="str">
        <f>TRIM([1]Raw_Data!J776)</f>
        <v>Amazon</v>
      </c>
      <c r="K778" s="3">
        <f t="shared" si="48"/>
        <v>2020</v>
      </c>
      <c r="L778" s="6">
        <f t="shared" si="49"/>
        <v>44166</v>
      </c>
      <c r="M778" s="3" t="str">
        <f t="shared" si="50"/>
        <v>0% to 5%</v>
      </c>
      <c r="N778" s="3" t="str">
        <f t="shared" si="51"/>
        <v>OK</v>
      </c>
    </row>
    <row r="779" spans="1:14" x14ac:dyDescent="0.3">
      <c r="A779" s="2">
        <f>DATE(VALUE(RIGHT(TRIM([1]Raw_Data!A777),4)),VALUE(MID(TRIM([1]Raw_Data!A777),4,2)),VALUE(LEFT(TRIM([1]Raw_Data!A777),2)))</f>
        <v>44172</v>
      </c>
      <c r="B779" s="3" t="str">
        <f>TRIM([1]Raw_Data!B777)</f>
        <v>Zinc</v>
      </c>
      <c r="C779" s="3" t="str">
        <f>TRIM([1]Raw_Data!C777)</f>
        <v>Mineral</v>
      </c>
      <c r="D779" s="3">
        <f>[1]Raw_Data!D777</f>
        <v>140</v>
      </c>
      <c r="E779" s="4">
        <f>[1]Raw_Data!E777</f>
        <v>46.8</v>
      </c>
      <c r="F779" s="5">
        <f>[1]Raw_Data!F777</f>
        <v>6552</v>
      </c>
      <c r="G779" s="4">
        <f>[1]Raw_Data!G777</f>
        <v>0.08</v>
      </c>
      <c r="H779" s="3">
        <f>[1]Raw_Data!H777</f>
        <v>1</v>
      </c>
      <c r="I779" s="3" t="str">
        <f>TRIM([1]Raw_Data!I777)</f>
        <v>UK</v>
      </c>
      <c r="J779" s="3" t="str">
        <f>TRIM([1]Raw_Data!J777)</f>
        <v>iHerb</v>
      </c>
      <c r="K779" s="3">
        <f t="shared" si="48"/>
        <v>2020</v>
      </c>
      <c r="L779" s="6">
        <f t="shared" si="49"/>
        <v>44166</v>
      </c>
      <c r="M779" s="3" t="str">
        <f t="shared" si="50"/>
        <v>6% to 10%</v>
      </c>
      <c r="N779" s="3" t="str">
        <f t="shared" si="51"/>
        <v>OK</v>
      </c>
    </row>
    <row r="780" spans="1:14" x14ac:dyDescent="0.3">
      <c r="A780" s="2">
        <f>DATE(VALUE(RIGHT(TRIM([1]Raw_Data!A778),4)),VALUE(MID(TRIM([1]Raw_Data!A778),4,2)),VALUE(LEFT(TRIM([1]Raw_Data!A778),2)))</f>
        <v>44172</v>
      </c>
      <c r="B780" s="3" t="str">
        <f>TRIM([1]Raw_Data!B778)</f>
        <v>Collagen Peptides</v>
      </c>
      <c r="C780" s="3" t="str">
        <f>TRIM([1]Raw_Data!C778)</f>
        <v>Protein</v>
      </c>
      <c r="D780" s="3">
        <f>[1]Raw_Data!D778</f>
        <v>147</v>
      </c>
      <c r="E780" s="4">
        <f>[1]Raw_Data!E778</f>
        <v>17.190000000000001</v>
      </c>
      <c r="F780" s="5">
        <f>[1]Raw_Data!F778</f>
        <v>2526.9299999999998</v>
      </c>
      <c r="G780" s="4">
        <f>[1]Raw_Data!G778</f>
        <v>0</v>
      </c>
      <c r="H780" s="3">
        <f>[1]Raw_Data!H778</f>
        <v>0</v>
      </c>
      <c r="I780" s="3" t="str">
        <f>TRIM([1]Raw_Data!I778)</f>
        <v>Canada</v>
      </c>
      <c r="J780" s="3" t="str">
        <f>TRIM([1]Raw_Data!J778)</f>
        <v>Amazon</v>
      </c>
      <c r="K780" s="3">
        <f t="shared" si="48"/>
        <v>2020</v>
      </c>
      <c r="L780" s="6">
        <f t="shared" si="49"/>
        <v>44166</v>
      </c>
      <c r="M780" s="3" t="str">
        <f t="shared" si="50"/>
        <v>0% to 5%</v>
      </c>
      <c r="N780" s="3" t="str">
        <f t="shared" si="51"/>
        <v>OK</v>
      </c>
    </row>
    <row r="781" spans="1:14" x14ac:dyDescent="0.3">
      <c r="A781" s="2">
        <f>DATE(VALUE(RIGHT(TRIM([1]Raw_Data!A779),4)),VALUE(MID(TRIM([1]Raw_Data!A779),4,2)),VALUE(LEFT(TRIM([1]Raw_Data!A779),2)))</f>
        <v>44172</v>
      </c>
      <c r="B781" s="3" t="str">
        <f>TRIM([1]Raw_Data!B779)</f>
        <v>Magnesium</v>
      </c>
      <c r="C781" s="3" t="str">
        <f>TRIM([1]Raw_Data!C779)</f>
        <v>Mineral</v>
      </c>
      <c r="D781" s="3">
        <f>[1]Raw_Data!D779</f>
        <v>153</v>
      </c>
      <c r="E781" s="4">
        <f>[1]Raw_Data!E779</f>
        <v>35.9</v>
      </c>
      <c r="F781" s="5">
        <f>[1]Raw_Data!F779</f>
        <v>5492.7</v>
      </c>
      <c r="G781" s="4">
        <f>[1]Raw_Data!G779</f>
        <v>0</v>
      </c>
      <c r="H781" s="3">
        <f>[1]Raw_Data!H779</f>
        <v>1</v>
      </c>
      <c r="I781" s="3" t="str">
        <f>TRIM([1]Raw_Data!I779)</f>
        <v>UK</v>
      </c>
      <c r="J781" s="3" t="str">
        <f>TRIM([1]Raw_Data!J779)</f>
        <v>Walmart</v>
      </c>
      <c r="K781" s="3">
        <f t="shared" si="48"/>
        <v>2020</v>
      </c>
      <c r="L781" s="6">
        <f t="shared" si="49"/>
        <v>44166</v>
      </c>
      <c r="M781" s="3" t="str">
        <f t="shared" si="50"/>
        <v>0% to 5%</v>
      </c>
      <c r="N781" s="3" t="str">
        <f t="shared" si="51"/>
        <v>OK</v>
      </c>
    </row>
    <row r="782" spans="1:14" x14ac:dyDescent="0.3">
      <c r="A782" s="2">
        <f>DATE(VALUE(RIGHT(TRIM([1]Raw_Data!A780),4)),VALUE(MID(TRIM([1]Raw_Data!A780),4,2)),VALUE(LEFT(TRIM([1]Raw_Data!A780),2)))</f>
        <v>44172</v>
      </c>
      <c r="B782" s="3" t="str">
        <f>TRIM([1]Raw_Data!B780)</f>
        <v>Ashwagandha</v>
      </c>
      <c r="C782" s="3" t="str">
        <f>TRIM([1]Raw_Data!C780)</f>
        <v>Herbal</v>
      </c>
      <c r="D782" s="3">
        <f>[1]Raw_Data!D780</f>
        <v>158</v>
      </c>
      <c r="E782" s="4">
        <f>[1]Raw_Data!E780</f>
        <v>46.61</v>
      </c>
      <c r="F782" s="5">
        <f>[1]Raw_Data!F780</f>
        <v>7364.38</v>
      </c>
      <c r="G782" s="4">
        <f>[1]Raw_Data!G780</f>
        <v>0.06</v>
      </c>
      <c r="H782" s="3">
        <f>[1]Raw_Data!H780</f>
        <v>3</v>
      </c>
      <c r="I782" s="3" t="str">
        <f>TRIM([1]Raw_Data!I780)</f>
        <v>UK</v>
      </c>
      <c r="J782" s="3" t="str">
        <f>TRIM([1]Raw_Data!J780)</f>
        <v>Amazon</v>
      </c>
      <c r="K782" s="3">
        <f t="shared" si="48"/>
        <v>2020</v>
      </c>
      <c r="L782" s="6">
        <f t="shared" si="49"/>
        <v>44166</v>
      </c>
      <c r="M782" s="3" t="str">
        <f t="shared" si="50"/>
        <v>6% to 10%</v>
      </c>
      <c r="N782" s="3" t="str">
        <f t="shared" si="51"/>
        <v>OK</v>
      </c>
    </row>
    <row r="783" spans="1:14" x14ac:dyDescent="0.3">
      <c r="A783" s="2">
        <f>DATE(VALUE(RIGHT(TRIM([1]Raw_Data!A781),4)),VALUE(MID(TRIM([1]Raw_Data!A781),4,2)),VALUE(LEFT(TRIM([1]Raw_Data!A781),2)))</f>
        <v>44172</v>
      </c>
      <c r="B783" s="3" t="str">
        <f>TRIM([1]Raw_Data!B781)</f>
        <v>Melatonin</v>
      </c>
      <c r="C783" s="3" t="str">
        <f>TRIM([1]Raw_Data!C781)</f>
        <v>Sleep Aid</v>
      </c>
      <c r="D783" s="3">
        <f>[1]Raw_Data!D781</f>
        <v>153</v>
      </c>
      <c r="E783" s="4">
        <f>[1]Raw_Data!E781</f>
        <v>21.84</v>
      </c>
      <c r="F783" s="5">
        <f>[1]Raw_Data!F781</f>
        <v>3341.52</v>
      </c>
      <c r="G783" s="4">
        <f>[1]Raw_Data!G781</f>
        <v>0.16</v>
      </c>
      <c r="H783" s="3">
        <f>[1]Raw_Data!H781</f>
        <v>3</v>
      </c>
      <c r="I783" s="3" t="str">
        <f>TRIM([1]Raw_Data!I781)</f>
        <v>USA</v>
      </c>
      <c r="J783" s="3" t="str">
        <f>TRIM([1]Raw_Data!J781)</f>
        <v>iHerb</v>
      </c>
      <c r="K783" s="3">
        <f t="shared" si="48"/>
        <v>2020</v>
      </c>
      <c r="L783" s="6">
        <f t="shared" si="49"/>
        <v>44166</v>
      </c>
      <c r="M783" s="3" t="str">
        <f t="shared" si="50"/>
        <v>16% to 20%</v>
      </c>
      <c r="N783" s="3" t="str">
        <f t="shared" si="51"/>
        <v>OK</v>
      </c>
    </row>
    <row r="784" spans="1:14" x14ac:dyDescent="0.3">
      <c r="A784" s="2">
        <f>DATE(VALUE(RIGHT(TRIM([1]Raw_Data!A782),4)),VALUE(MID(TRIM([1]Raw_Data!A782),4,2)),VALUE(LEFT(TRIM([1]Raw_Data!A782),2)))</f>
        <v>44172</v>
      </c>
      <c r="B784" s="3" t="str">
        <f>TRIM([1]Raw_Data!B782)</f>
        <v>Biotin</v>
      </c>
      <c r="C784" s="3" t="str">
        <f>TRIM([1]Raw_Data!C782)</f>
        <v>Vitamin</v>
      </c>
      <c r="D784" s="3">
        <f>[1]Raw_Data!D782</f>
        <v>147</v>
      </c>
      <c r="E784" s="4">
        <f>[1]Raw_Data!E782</f>
        <v>53.35</v>
      </c>
      <c r="F784" s="5">
        <f>[1]Raw_Data!F782</f>
        <v>7842.45</v>
      </c>
      <c r="G784" s="4">
        <f>[1]Raw_Data!G782</f>
        <v>0.17</v>
      </c>
      <c r="H784" s="3">
        <f>[1]Raw_Data!H782</f>
        <v>1</v>
      </c>
      <c r="I784" s="3" t="str">
        <f>TRIM([1]Raw_Data!I782)</f>
        <v>Canada</v>
      </c>
      <c r="J784" s="3" t="str">
        <f>TRIM([1]Raw_Data!J782)</f>
        <v>Walmart</v>
      </c>
      <c r="K784" s="3">
        <f t="shared" si="48"/>
        <v>2020</v>
      </c>
      <c r="L784" s="6">
        <f t="shared" si="49"/>
        <v>44166</v>
      </c>
      <c r="M784" s="3" t="str">
        <f t="shared" si="50"/>
        <v>16% to 20%</v>
      </c>
      <c r="N784" s="3" t="str">
        <f t="shared" si="51"/>
        <v>OK</v>
      </c>
    </row>
    <row r="785" spans="1:14" x14ac:dyDescent="0.3">
      <c r="A785" s="2">
        <f>DATE(VALUE(RIGHT(TRIM([1]Raw_Data!A783),4)),VALUE(MID(TRIM([1]Raw_Data!A783),4,2)),VALUE(LEFT(TRIM([1]Raw_Data!A783),2)))</f>
        <v>44172</v>
      </c>
      <c r="B785" s="3" t="str">
        <f>TRIM([1]Raw_Data!B783)</f>
        <v>Green Tea Extract</v>
      </c>
      <c r="C785" s="3" t="str">
        <f>TRIM([1]Raw_Data!C783)</f>
        <v>Fat Burner</v>
      </c>
      <c r="D785" s="3">
        <f>[1]Raw_Data!D783</f>
        <v>150</v>
      </c>
      <c r="E785" s="4">
        <f>[1]Raw_Data!E783</f>
        <v>41.34</v>
      </c>
      <c r="F785" s="5">
        <f>[1]Raw_Data!F783</f>
        <v>6201</v>
      </c>
      <c r="G785" s="4">
        <f>[1]Raw_Data!G783</f>
        <v>0.09</v>
      </c>
      <c r="H785" s="3">
        <f>[1]Raw_Data!H783</f>
        <v>5</v>
      </c>
      <c r="I785" s="3" t="str">
        <f>TRIM([1]Raw_Data!I783)</f>
        <v>Canada</v>
      </c>
      <c r="J785" s="3" t="str">
        <f>TRIM([1]Raw_Data!J783)</f>
        <v>iHerb</v>
      </c>
      <c r="K785" s="3">
        <f t="shared" si="48"/>
        <v>2020</v>
      </c>
      <c r="L785" s="6">
        <f t="shared" si="49"/>
        <v>44166</v>
      </c>
      <c r="M785" s="3" t="str">
        <f t="shared" si="50"/>
        <v>6% to 10%</v>
      </c>
      <c r="N785" s="3" t="str">
        <f t="shared" si="51"/>
        <v>OK</v>
      </c>
    </row>
    <row r="786" spans="1:14" x14ac:dyDescent="0.3">
      <c r="A786" s="2">
        <f>DATE(VALUE(RIGHT(TRIM([1]Raw_Data!A784),4)),VALUE(MID(TRIM([1]Raw_Data!A784),4,2)),VALUE(LEFT(TRIM([1]Raw_Data!A784),2)))</f>
        <v>44172</v>
      </c>
      <c r="B786" s="3" t="str">
        <f>TRIM([1]Raw_Data!B784)</f>
        <v>Iron Supplement</v>
      </c>
      <c r="C786" s="3" t="str">
        <f>TRIM([1]Raw_Data!C784)</f>
        <v>Mineral</v>
      </c>
      <c r="D786" s="3">
        <f>[1]Raw_Data!D784</f>
        <v>149</v>
      </c>
      <c r="E786" s="4">
        <f>[1]Raw_Data!E784</f>
        <v>38.29</v>
      </c>
      <c r="F786" s="5">
        <f>[1]Raw_Data!F784</f>
        <v>5705.21</v>
      </c>
      <c r="G786" s="4">
        <f>[1]Raw_Data!G784</f>
        <v>0.23</v>
      </c>
      <c r="H786" s="3">
        <f>[1]Raw_Data!H784</f>
        <v>2</v>
      </c>
      <c r="I786" s="3" t="str">
        <f>TRIM([1]Raw_Data!I784)</f>
        <v>Canada</v>
      </c>
      <c r="J786" s="3" t="str">
        <f>TRIM([1]Raw_Data!J784)</f>
        <v>Amazon</v>
      </c>
      <c r="K786" s="3">
        <f t="shared" si="48"/>
        <v>2020</v>
      </c>
      <c r="L786" s="6">
        <f t="shared" si="49"/>
        <v>44166</v>
      </c>
      <c r="M786" s="3" t="str">
        <f t="shared" si="50"/>
        <v>21% to 25%</v>
      </c>
      <c r="N786" s="3" t="str">
        <f t="shared" si="51"/>
        <v>OK</v>
      </c>
    </row>
    <row r="787" spans="1:14" x14ac:dyDescent="0.3">
      <c r="A787" s="2">
        <f>DATE(VALUE(RIGHT(TRIM([1]Raw_Data!A785),4)),VALUE(MID(TRIM([1]Raw_Data!A785),4,2)),VALUE(LEFT(TRIM([1]Raw_Data!A785),2)))</f>
        <v>44172</v>
      </c>
      <c r="B787" s="3" t="str">
        <f>TRIM([1]Raw_Data!B785)</f>
        <v>Electrolyte Powder</v>
      </c>
      <c r="C787" s="3" t="str">
        <f>TRIM([1]Raw_Data!C785)</f>
        <v>Hydration</v>
      </c>
      <c r="D787" s="3">
        <f>[1]Raw_Data!D785</f>
        <v>148</v>
      </c>
      <c r="E787" s="4">
        <f>[1]Raw_Data!E785</f>
        <v>39.31</v>
      </c>
      <c r="F787" s="5">
        <f>[1]Raw_Data!F785</f>
        <v>5817.88</v>
      </c>
      <c r="G787" s="4">
        <f>[1]Raw_Data!G785</f>
        <v>0.12</v>
      </c>
      <c r="H787" s="3">
        <f>[1]Raw_Data!H785</f>
        <v>0</v>
      </c>
      <c r="I787" s="3" t="str">
        <f>TRIM([1]Raw_Data!I785)</f>
        <v>UK</v>
      </c>
      <c r="J787" s="3" t="str">
        <f>TRIM([1]Raw_Data!J785)</f>
        <v>Walmart</v>
      </c>
      <c r="K787" s="3">
        <f t="shared" si="48"/>
        <v>2020</v>
      </c>
      <c r="L787" s="6">
        <f t="shared" si="49"/>
        <v>44166</v>
      </c>
      <c r="M787" s="3" t="str">
        <f t="shared" si="50"/>
        <v>11% to 15%</v>
      </c>
      <c r="N787" s="3" t="str">
        <f t="shared" si="51"/>
        <v>OK</v>
      </c>
    </row>
    <row r="788" spans="1:14" x14ac:dyDescent="0.3">
      <c r="A788" s="2">
        <f>DATE(VALUE(RIGHT(TRIM([1]Raw_Data!A786),4)),VALUE(MID(TRIM([1]Raw_Data!A786),4,2)),VALUE(LEFT(TRIM([1]Raw_Data!A786),2)))</f>
        <v>44179</v>
      </c>
      <c r="B788" s="3" t="str">
        <f>TRIM([1]Raw_Data!B786)</f>
        <v>Whey Protein</v>
      </c>
      <c r="C788" s="3" t="str">
        <f>TRIM([1]Raw_Data!C786)</f>
        <v>Protein</v>
      </c>
      <c r="D788" s="3">
        <f>[1]Raw_Data!D786</f>
        <v>149</v>
      </c>
      <c r="E788" s="4">
        <f>[1]Raw_Data!E786</f>
        <v>55.74</v>
      </c>
      <c r="F788" s="5">
        <f>[1]Raw_Data!F786</f>
        <v>8305.26</v>
      </c>
      <c r="G788" s="4">
        <f>[1]Raw_Data!G786</f>
        <v>0.08</v>
      </c>
      <c r="H788" s="3">
        <f>[1]Raw_Data!H786</f>
        <v>4</v>
      </c>
      <c r="I788" s="3" t="str">
        <f>TRIM([1]Raw_Data!I786)</f>
        <v>UK</v>
      </c>
      <c r="J788" s="3" t="str">
        <f>TRIM([1]Raw_Data!J786)</f>
        <v>iHerb</v>
      </c>
      <c r="K788" s="3">
        <f t="shared" si="48"/>
        <v>2020</v>
      </c>
      <c r="L788" s="6">
        <f t="shared" si="49"/>
        <v>44166</v>
      </c>
      <c r="M788" s="3" t="str">
        <f t="shared" si="50"/>
        <v>6% to 10%</v>
      </c>
      <c r="N788" s="3" t="str">
        <f t="shared" si="51"/>
        <v>OK</v>
      </c>
    </row>
    <row r="789" spans="1:14" x14ac:dyDescent="0.3">
      <c r="A789" s="2">
        <f>DATE(VALUE(RIGHT(TRIM([1]Raw_Data!A787),4)),VALUE(MID(TRIM([1]Raw_Data!A787),4,2)),VALUE(LEFT(TRIM([1]Raw_Data!A787),2)))</f>
        <v>44179</v>
      </c>
      <c r="B789" s="3" t="str">
        <f>TRIM([1]Raw_Data!B787)</f>
        <v>Vitamin C</v>
      </c>
      <c r="C789" s="3" t="str">
        <f>TRIM([1]Raw_Data!C787)</f>
        <v>Vitamin</v>
      </c>
      <c r="D789" s="3">
        <f>[1]Raw_Data!D787</f>
        <v>151</v>
      </c>
      <c r="E789" s="4">
        <f>[1]Raw_Data!E787</f>
        <v>37.15</v>
      </c>
      <c r="F789" s="5">
        <f>[1]Raw_Data!F787</f>
        <v>5609.65</v>
      </c>
      <c r="G789" s="4">
        <f>[1]Raw_Data!G787</f>
        <v>0.03</v>
      </c>
      <c r="H789" s="3">
        <f>[1]Raw_Data!H787</f>
        <v>1</v>
      </c>
      <c r="I789" s="3" t="str">
        <f>TRIM([1]Raw_Data!I787)</f>
        <v>USA</v>
      </c>
      <c r="J789" s="3" t="str">
        <f>TRIM([1]Raw_Data!J787)</f>
        <v>Amazon</v>
      </c>
      <c r="K789" s="3">
        <f t="shared" si="48"/>
        <v>2020</v>
      </c>
      <c r="L789" s="6">
        <f t="shared" si="49"/>
        <v>44166</v>
      </c>
      <c r="M789" s="3" t="str">
        <f t="shared" si="50"/>
        <v>0% to 5%</v>
      </c>
      <c r="N789" s="3" t="str">
        <f t="shared" si="51"/>
        <v>OK</v>
      </c>
    </row>
    <row r="790" spans="1:14" x14ac:dyDescent="0.3">
      <c r="A790" s="2">
        <f>DATE(VALUE(RIGHT(TRIM([1]Raw_Data!A788),4)),VALUE(MID(TRIM([1]Raw_Data!A788),4,2)),VALUE(LEFT(TRIM([1]Raw_Data!A788),2)))</f>
        <v>44179</v>
      </c>
      <c r="B790" s="3" t="str">
        <f>TRIM([1]Raw_Data!B788)</f>
        <v>Fish Oil</v>
      </c>
      <c r="C790" s="3" t="str">
        <f>TRIM([1]Raw_Data!C788)</f>
        <v>Omega</v>
      </c>
      <c r="D790" s="3">
        <f>[1]Raw_Data!D788</f>
        <v>131</v>
      </c>
      <c r="E790" s="4">
        <f>[1]Raw_Data!E788</f>
        <v>32.340000000000003</v>
      </c>
      <c r="F790" s="5">
        <f>[1]Raw_Data!F788</f>
        <v>4236.54</v>
      </c>
      <c r="G790" s="4">
        <f>[1]Raw_Data!G788</f>
        <v>0.19</v>
      </c>
      <c r="H790" s="3">
        <f>[1]Raw_Data!H788</f>
        <v>0</v>
      </c>
      <c r="I790" s="3" t="str">
        <f>TRIM([1]Raw_Data!I788)</f>
        <v>Canada</v>
      </c>
      <c r="J790" s="3" t="str">
        <f>TRIM([1]Raw_Data!J788)</f>
        <v>Amazon</v>
      </c>
      <c r="K790" s="3">
        <f t="shared" si="48"/>
        <v>2020</v>
      </c>
      <c r="L790" s="6">
        <f t="shared" si="49"/>
        <v>44166</v>
      </c>
      <c r="M790" s="3" t="str">
        <f t="shared" si="50"/>
        <v>16% to 20%</v>
      </c>
      <c r="N790" s="3" t="str">
        <f t="shared" si="51"/>
        <v>OK</v>
      </c>
    </row>
    <row r="791" spans="1:14" x14ac:dyDescent="0.3">
      <c r="A791" s="2">
        <f>DATE(VALUE(RIGHT(TRIM([1]Raw_Data!A789),4)),VALUE(MID(TRIM([1]Raw_Data!A789),4,2)),VALUE(LEFT(TRIM([1]Raw_Data!A789),2)))</f>
        <v>44179</v>
      </c>
      <c r="B791" s="3" t="str">
        <f>TRIM([1]Raw_Data!B789)</f>
        <v>Multivitamin</v>
      </c>
      <c r="C791" s="3" t="str">
        <f>TRIM([1]Raw_Data!C789)</f>
        <v>Vitamin</v>
      </c>
      <c r="D791" s="3">
        <f>[1]Raw_Data!D789</f>
        <v>136</v>
      </c>
      <c r="E791" s="4">
        <f>[1]Raw_Data!E789</f>
        <v>56.33</v>
      </c>
      <c r="F791" s="5">
        <f>[1]Raw_Data!F789</f>
        <v>7660.88</v>
      </c>
      <c r="G791" s="4">
        <f>[1]Raw_Data!G789</f>
        <v>0.18</v>
      </c>
      <c r="H791" s="3">
        <f>[1]Raw_Data!H789</f>
        <v>1</v>
      </c>
      <c r="I791" s="3" t="str">
        <f>TRIM([1]Raw_Data!I789)</f>
        <v>UK</v>
      </c>
      <c r="J791" s="3" t="str">
        <f>TRIM([1]Raw_Data!J789)</f>
        <v>Amazon</v>
      </c>
      <c r="K791" s="3">
        <f t="shared" si="48"/>
        <v>2020</v>
      </c>
      <c r="L791" s="6">
        <f t="shared" si="49"/>
        <v>44166</v>
      </c>
      <c r="M791" s="3" t="str">
        <f t="shared" si="50"/>
        <v>16% to 20%</v>
      </c>
      <c r="N791" s="3" t="str">
        <f t="shared" si="51"/>
        <v>OK</v>
      </c>
    </row>
    <row r="792" spans="1:14" x14ac:dyDescent="0.3">
      <c r="A792" s="2">
        <f>DATE(VALUE(RIGHT(TRIM([1]Raw_Data!A790),4)),VALUE(MID(TRIM([1]Raw_Data!A790),4,2)),VALUE(LEFT(TRIM([1]Raw_Data!A790),2)))</f>
        <v>44179</v>
      </c>
      <c r="B792" s="3" t="str">
        <f>TRIM([1]Raw_Data!B790)</f>
        <v>Pre-Workout</v>
      </c>
      <c r="C792" s="3" t="str">
        <f>TRIM([1]Raw_Data!C790)</f>
        <v>Performance</v>
      </c>
      <c r="D792" s="3">
        <f>[1]Raw_Data!D790</f>
        <v>151</v>
      </c>
      <c r="E792" s="4">
        <f>[1]Raw_Data!E790</f>
        <v>59.23</v>
      </c>
      <c r="F792" s="5">
        <f>[1]Raw_Data!F790</f>
        <v>8943.73</v>
      </c>
      <c r="G792" s="4">
        <f>[1]Raw_Data!G790</f>
        <v>0.17</v>
      </c>
      <c r="H792" s="3">
        <f>[1]Raw_Data!H790</f>
        <v>1</v>
      </c>
      <c r="I792" s="3" t="str">
        <f>TRIM([1]Raw_Data!I790)</f>
        <v>Canada</v>
      </c>
      <c r="J792" s="3" t="str">
        <f>TRIM([1]Raw_Data!J790)</f>
        <v>iHerb</v>
      </c>
      <c r="K792" s="3">
        <f t="shared" si="48"/>
        <v>2020</v>
      </c>
      <c r="L792" s="6">
        <f t="shared" si="49"/>
        <v>44166</v>
      </c>
      <c r="M792" s="3" t="str">
        <f t="shared" si="50"/>
        <v>16% to 20%</v>
      </c>
      <c r="N792" s="3" t="str">
        <f t="shared" si="51"/>
        <v>OK</v>
      </c>
    </row>
    <row r="793" spans="1:14" x14ac:dyDescent="0.3">
      <c r="A793" s="2">
        <f>DATE(VALUE(RIGHT(TRIM([1]Raw_Data!A791),4)),VALUE(MID(TRIM([1]Raw_Data!A791),4,2)),VALUE(LEFT(TRIM([1]Raw_Data!A791),2)))</f>
        <v>44179</v>
      </c>
      <c r="B793" s="3" t="str">
        <f>TRIM([1]Raw_Data!B791)</f>
        <v>BCAA</v>
      </c>
      <c r="C793" s="3" t="str">
        <f>TRIM([1]Raw_Data!C791)</f>
        <v>Amino Acid</v>
      </c>
      <c r="D793" s="3">
        <f>[1]Raw_Data!D791</f>
        <v>153</v>
      </c>
      <c r="E793" s="4">
        <f>[1]Raw_Data!E791</f>
        <v>58.29</v>
      </c>
      <c r="F793" s="5">
        <f>[1]Raw_Data!F791</f>
        <v>8918.3700000000008</v>
      </c>
      <c r="G793" s="4">
        <f>[1]Raw_Data!G791</f>
        <v>0.04</v>
      </c>
      <c r="H793" s="3">
        <f>[1]Raw_Data!H791</f>
        <v>2</v>
      </c>
      <c r="I793" s="3" t="str">
        <f>TRIM([1]Raw_Data!I791)</f>
        <v>USA</v>
      </c>
      <c r="J793" s="3" t="str">
        <f>TRIM([1]Raw_Data!J791)</f>
        <v>Walmart</v>
      </c>
      <c r="K793" s="3">
        <f t="shared" si="48"/>
        <v>2020</v>
      </c>
      <c r="L793" s="6">
        <f t="shared" si="49"/>
        <v>44166</v>
      </c>
      <c r="M793" s="3" t="str">
        <f t="shared" si="50"/>
        <v>0% to 5%</v>
      </c>
      <c r="N793" s="3" t="str">
        <f t="shared" si="51"/>
        <v>OK</v>
      </c>
    </row>
    <row r="794" spans="1:14" x14ac:dyDescent="0.3">
      <c r="A794" s="2">
        <f>DATE(VALUE(RIGHT(TRIM([1]Raw_Data!A792),4)),VALUE(MID(TRIM([1]Raw_Data!A792),4,2)),VALUE(LEFT(TRIM([1]Raw_Data!A792),2)))</f>
        <v>44179</v>
      </c>
      <c r="B794" s="3" t="str">
        <f>TRIM([1]Raw_Data!B792)</f>
        <v>Creatine</v>
      </c>
      <c r="C794" s="3" t="str">
        <f>TRIM([1]Raw_Data!C792)</f>
        <v>Performance</v>
      </c>
      <c r="D794" s="3">
        <f>[1]Raw_Data!D792</f>
        <v>140</v>
      </c>
      <c r="E794" s="4">
        <f>[1]Raw_Data!E792</f>
        <v>48.84</v>
      </c>
      <c r="F794" s="5">
        <f>[1]Raw_Data!F792</f>
        <v>6837.6</v>
      </c>
      <c r="G794" s="4">
        <f>[1]Raw_Data!G792</f>
        <v>0.17</v>
      </c>
      <c r="H794" s="3">
        <f>[1]Raw_Data!H792</f>
        <v>2</v>
      </c>
      <c r="I794" s="3" t="str">
        <f>TRIM([1]Raw_Data!I792)</f>
        <v>USA</v>
      </c>
      <c r="J794" s="3" t="str">
        <f>TRIM([1]Raw_Data!J792)</f>
        <v>Amazon</v>
      </c>
      <c r="K794" s="3">
        <f t="shared" si="48"/>
        <v>2020</v>
      </c>
      <c r="L794" s="6">
        <f t="shared" si="49"/>
        <v>44166</v>
      </c>
      <c r="M794" s="3" t="str">
        <f t="shared" si="50"/>
        <v>16% to 20%</v>
      </c>
      <c r="N794" s="3" t="str">
        <f t="shared" si="51"/>
        <v>OK</v>
      </c>
    </row>
    <row r="795" spans="1:14" x14ac:dyDescent="0.3">
      <c r="A795" s="2">
        <f>DATE(VALUE(RIGHT(TRIM([1]Raw_Data!A793),4)),VALUE(MID(TRIM([1]Raw_Data!A793),4,2)),VALUE(LEFT(TRIM([1]Raw_Data!A793),2)))</f>
        <v>44179</v>
      </c>
      <c r="B795" s="3" t="str">
        <f>TRIM([1]Raw_Data!B793)</f>
        <v>Zinc</v>
      </c>
      <c r="C795" s="3" t="str">
        <f>TRIM([1]Raw_Data!C793)</f>
        <v>Mineral</v>
      </c>
      <c r="D795" s="3">
        <f>[1]Raw_Data!D793</f>
        <v>168</v>
      </c>
      <c r="E795" s="4">
        <f>[1]Raw_Data!E793</f>
        <v>26.55</v>
      </c>
      <c r="F795" s="5">
        <f>[1]Raw_Data!F793</f>
        <v>4460.3999999999996</v>
      </c>
      <c r="G795" s="4">
        <f>[1]Raw_Data!G793</f>
        <v>0.06</v>
      </c>
      <c r="H795" s="3">
        <f>[1]Raw_Data!H793</f>
        <v>5</v>
      </c>
      <c r="I795" s="3" t="str">
        <f>TRIM([1]Raw_Data!I793)</f>
        <v>UK</v>
      </c>
      <c r="J795" s="3" t="str">
        <f>TRIM([1]Raw_Data!J793)</f>
        <v>Walmart</v>
      </c>
      <c r="K795" s="3">
        <f t="shared" si="48"/>
        <v>2020</v>
      </c>
      <c r="L795" s="6">
        <f t="shared" si="49"/>
        <v>44166</v>
      </c>
      <c r="M795" s="3" t="str">
        <f t="shared" si="50"/>
        <v>6% to 10%</v>
      </c>
      <c r="N795" s="3" t="str">
        <f t="shared" si="51"/>
        <v>OK</v>
      </c>
    </row>
    <row r="796" spans="1:14" x14ac:dyDescent="0.3">
      <c r="A796" s="2">
        <f>DATE(VALUE(RIGHT(TRIM([1]Raw_Data!A794),4)),VALUE(MID(TRIM([1]Raw_Data!A794),4,2)),VALUE(LEFT(TRIM([1]Raw_Data!A794),2)))</f>
        <v>44179</v>
      </c>
      <c r="B796" s="3" t="str">
        <f>TRIM([1]Raw_Data!B794)</f>
        <v>Collagen Peptides</v>
      </c>
      <c r="C796" s="3" t="str">
        <f>TRIM([1]Raw_Data!C794)</f>
        <v>Protein</v>
      </c>
      <c r="D796" s="3">
        <f>[1]Raw_Data!D794</f>
        <v>146</v>
      </c>
      <c r="E796" s="4">
        <f>[1]Raw_Data!E794</f>
        <v>44.24</v>
      </c>
      <c r="F796" s="5">
        <f>[1]Raw_Data!F794</f>
        <v>6459.04</v>
      </c>
      <c r="G796" s="4">
        <f>[1]Raw_Data!G794</f>
        <v>0.05</v>
      </c>
      <c r="H796" s="3">
        <f>[1]Raw_Data!H794</f>
        <v>1</v>
      </c>
      <c r="I796" s="3" t="str">
        <f>TRIM([1]Raw_Data!I794)</f>
        <v>UK</v>
      </c>
      <c r="J796" s="3" t="str">
        <f>TRIM([1]Raw_Data!J794)</f>
        <v>Walmart</v>
      </c>
      <c r="K796" s="3">
        <f t="shared" si="48"/>
        <v>2020</v>
      </c>
      <c r="L796" s="6">
        <f t="shared" si="49"/>
        <v>44166</v>
      </c>
      <c r="M796" s="3" t="str">
        <f t="shared" si="50"/>
        <v>0% to 5%</v>
      </c>
      <c r="N796" s="3" t="str">
        <f t="shared" si="51"/>
        <v>OK</v>
      </c>
    </row>
    <row r="797" spans="1:14" x14ac:dyDescent="0.3">
      <c r="A797" s="2">
        <f>DATE(VALUE(RIGHT(TRIM([1]Raw_Data!A795),4)),VALUE(MID(TRIM([1]Raw_Data!A795),4,2)),VALUE(LEFT(TRIM([1]Raw_Data!A795),2)))</f>
        <v>44179</v>
      </c>
      <c r="B797" s="3" t="str">
        <f>TRIM([1]Raw_Data!B795)</f>
        <v>Magnesium</v>
      </c>
      <c r="C797" s="3" t="str">
        <f>TRIM([1]Raw_Data!C795)</f>
        <v>Mineral</v>
      </c>
      <c r="D797" s="3">
        <f>[1]Raw_Data!D795</f>
        <v>142</v>
      </c>
      <c r="E797" s="4">
        <f>[1]Raw_Data!E795</f>
        <v>21.72</v>
      </c>
      <c r="F797" s="5">
        <f>[1]Raw_Data!F795</f>
        <v>3084.24</v>
      </c>
      <c r="G797" s="4">
        <f>[1]Raw_Data!G795</f>
        <v>0</v>
      </c>
      <c r="H797" s="3">
        <f>[1]Raw_Data!H795</f>
        <v>3</v>
      </c>
      <c r="I797" s="3" t="str">
        <f>TRIM([1]Raw_Data!I795)</f>
        <v>UK</v>
      </c>
      <c r="J797" s="3" t="str">
        <f>TRIM([1]Raw_Data!J795)</f>
        <v>iHerb</v>
      </c>
      <c r="K797" s="3">
        <f t="shared" si="48"/>
        <v>2020</v>
      </c>
      <c r="L797" s="6">
        <f t="shared" si="49"/>
        <v>44166</v>
      </c>
      <c r="M797" s="3" t="str">
        <f t="shared" si="50"/>
        <v>0% to 5%</v>
      </c>
      <c r="N797" s="3" t="str">
        <f t="shared" si="51"/>
        <v>OK</v>
      </c>
    </row>
    <row r="798" spans="1:14" x14ac:dyDescent="0.3">
      <c r="A798" s="2">
        <f>DATE(VALUE(RIGHT(TRIM([1]Raw_Data!A796),4)),VALUE(MID(TRIM([1]Raw_Data!A796),4,2)),VALUE(LEFT(TRIM([1]Raw_Data!A796),2)))</f>
        <v>44179</v>
      </c>
      <c r="B798" s="3" t="str">
        <f>TRIM([1]Raw_Data!B796)</f>
        <v>Ashwagandha</v>
      </c>
      <c r="C798" s="3" t="str">
        <f>TRIM([1]Raw_Data!C796)</f>
        <v>Herbal</v>
      </c>
      <c r="D798" s="3">
        <f>[1]Raw_Data!D796</f>
        <v>185</v>
      </c>
      <c r="E798" s="4">
        <f>[1]Raw_Data!E796</f>
        <v>26.93</v>
      </c>
      <c r="F798" s="5">
        <f>[1]Raw_Data!F796</f>
        <v>4982.05</v>
      </c>
      <c r="G798" s="4">
        <f>[1]Raw_Data!G796</f>
        <v>0</v>
      </c>
      <c r="H798" s="3">
        <f>[1]Raw_Data!H796</f>
        <v>2</v>
      </c>
      <c r="I798" s="3" t="str">
        <f>TRIM([1]Raw_Data!I796)</f>
        <v>USA</v>
      </c>
      <c r="J798" s="3" t="str">
        <f>TRIM([1]Raw_Data!J796)</f>
        <v>Amazon</v>
      </c>
      <c r="K798" s="3">
        <f t="shared" si="48"/>
        <v>2020</v>
      </c>
      <c r="L798" s="6">
        <f t="shared" si="49"/>
        <v>44166</v>
      </c>
      <c r="M798" s="3" t="str">
        <f t="shared" si="50"/>
        <v>0% to 5%</v>
      </c>
      <c r="N798" s="3" t="str">
        <f t="shared" si="51"/>
        <v>OK</v>
      </c>
    </row>
    <row r="799" spans="1:14" x14ac:dyDescent="0.3">
      <c r="A799" s="2">
        <f>DATE(VALUE(RIGHT(TRIM([1]Raw_Data!A797),4)),VALUE(MID(TRIM([1]Raw_Data!A797),4,2)),VALUE(LEFT(TRIM([1]Raw_Data!A797),2)))</f>
        <v>44179</v>
      </c>
      <c r="B799" s="3" t="str">
        <f>TRIM([1]Raw_Data!B797)</f>
        <v>Melatonin</v>
      </c>
      <c r="C799" s="3" t="str">
        <f>TRIM([1]Raw_Data!C797)</f>
        <v>Sleep Aid</v>
      </c>
      <c r="D799" s="3">
        <f>[1]Raw_Data!D797</f>
        <v>163</v>
      </c>
      <c r="E799" s="4">
        <f>[1]Raw_Data!E797</f>
        <v>17.98</v>
      </c>
      <c r="F799" s="5">
        <f>[1]Raw_Data!F797</f>
        <v>2930.74</v>
      </c>
      <c r="G799" s="4">
        <f>[1]Raw_Data!G797</f>
        <v>0.2</v>
      </c>
      <c r="H799" s="3">
        <f>[1]Raw_Data!H797</f>
        <v>2</v>
      </c>
      <c r="I799" s="3" t="str">
        <f>TRIM([1]Raw_Data!I797)</f>
        <v>Canada</v>
      </c>
      <c r="J799" s="3" t="str">
        <f>TRIM([1]Raw_Data!J797)</f>
        <v>iHerb</v>
      </c>
      <c r="K799" s="3">
        <f t="shared" si="48"/>
        <v>2020</v>
      </c>
      <c r="L799" s="6">
        <f t="shared" si="49"/>
        <v>44166</v>
      </c>
      <c r="M799" s="3" t="str">
        <f t="shared" si="50"/>
        <v>16% to 20%</v>
      </c>
      <c r="N799" s="3" t="str">
        <f t="shared" si="51"/>
        <v>OK</v>
      </c>
    </row>
    <row r="800" spans="1:14" x14ac:dyDescent="0.3">
      <c r="A800" s="2">
        <f>DATE(VALUE(RIGHT(TRIM([1]Raw_Data!A798),4)),VALUE(MID(TRIM([1]Raw_Data!A798),4,2)),VALUE(LEFT(TRIM([1]Raw_Data!A798),2)))</f>
        <v>44179</v>
      </c>
      <c r="B800" s="3" t="str">
        <f>TRIM([1]Raw_Data!B798)</f>
        <v>Biotin</v>
      </c>
      <c r="C800" s="3" t="str">
        <f>TRIM([1]Raw_Data!C798)</f>
        <v>Vitamin</v>
      </c>
      <c r="D800" s="3">
        <f>[1]Raw_Data!D798</f>
        <v>143</v>
      </c>
      <c r="E800" s="4">
        <f>[1]Raw_Data!E798</f>
        <v>48.49</v>
      </c>
      <c r="F800" s="5">
        <f>[1]Raw_Data!F798</f>
        <v>6934.07</v>
      </c>
      <c r="G800" s="4">
        <f>[1]Raw_Data!G798</f>
        <v>0.2</v>
      </c>
      <c r="H800" s="3">
        <f>[1]Raw_Data!H798</f>
        <v>1</v>
      </c>
      <c r="I800" s="3" t="str">
        <f>TRIM([1]Raw_Data!I798)</f>
        <v>USA</v>
      </c>
      <c r="J800" s="3" t="str">
        <f>TRIM([1]Raw_Data!J798)</f>
        <v>iHerb</v>
      </c>
      <c r="K800" s="3">
        <f t="shared" si="48"/>
        <v>2020</v>
      </c>
      <c r="L800" s="6">
        <f t="shared" si="49"/>
        <v>44166</v>
      </c>
      <c r="M800" s="3" t="str">
        <f t="shared" si="50"/>
        <v>16% to 20%</v>
      </c>
      <c r="N800" s="3" t="str">
        <f t="shared" si="51"/>
        <v>OK</v>
      </c>
    </row>
    <row r="801" spans="1:14" x14ac:dyDescent="0.3">
      <c r="A801" s="2">
        <f>DATE(VALUE(RIGHT(TRIM([1]Raw_Data!A799),4)),VALUE(MID(TRIM([1]Raw_Data!A799),4,2)),VALUE(LEFT(TRIM([1]Raw_Data!A799),2)))</f>
        <v>44179</v>
      </c>
      <c r="B801" s="3" t="str">
        <f>TRIM([1]Raw_Data!B799)</f>
        <v>Green Tea Extract</v>
      </c>
      <c r="C801" s="3" t="str">
        <f>TRIM([1]Raw_Data!C799)</f>
        <v>Fat Burner</v>
      </c>
      <c r="D801" s="3">
        <f>[1]Raw_Data!D799</f>
        <v>177</v>
      </c>
      <c r="E801" s="4">
        <f>[1]Raw_Data!E799</f>
        <v>48.59</v>
      </c>
      <c r="F801" s="5">
        <f>[1]Raw_Data!F799</f>
        <v>8600.43</v>
      </c>
      <c r="G801" s="4">
        <f>[1]Raw_Data!G799</f>
        <v>0.12</v>
      </c>
      <c r="H801" s="3">
        <f>[1]Raw_Data!H799</f>
        <v>4</v>
      </c>
      <c r="I801" s="3" t="str">
        <f>TRIM([1]Raw_Data!I799)</f>
        <v>Canada</v>
      </c>
      <c r="J801" s="3" t="str">
        <f>TRIM([1]Raw_Data!J799)</f>
        <v>iHerb</v>
      </c>
      <c r="K801" s="3">
        <f t="shared" si="48"/>
        <v>2020</v>
      </c>
      <c r="L801" s="6">
        <f t="shared" si="49"/>
        <v>44166</v>
      </c>
      <c r="M801" s="3" t="str">
        <f t="shared" si="50"/>
        <v>11% to 15%</v>
      </c>
      <c r="N801" s="3" t="str">
        <f t="shared" si="51"/>
        <v>OK</v>
      </c>
    </row>
    <row r="802" spans="1:14" x14ac:dyDescent="0.3">
      <c r="A802" s="2">
        <f>DATE(VALUE(RIGHT(TRIM([1]Raw_Data!A800),4)),VALUE(MID(TRIM([1]Raw_Data!A800),4,2)),VALUE(LEFT(TRIM([1]Raw_Data!A800),2)))</f>
        <v>44179</v>
      </c>
      <c r="B802" s="3" t="str">
        <f>TRIM([1]Raw_Data!B800)</f>
        <v>Iron Supplement</v>
      </c>
      <c r="C802" s="3" t="str">
        <f>TRIM([1]Raw_Data!C800)</f>
        <v>Mineral</v>
      </c>
      <c r="D802" s="3">
        <f>[1]Raw_Data!D800</f>
        <v>169</v>
      </c>
      <c r="E802" s="4">
        <f>[1]Raw_Data!E800</f>
        <v>56.82</v>
      </c>
      <c r="F802" s="5">
        <f>[1]Raw_Data!F800</f>
        <v>9602.58</v>
      </c>
      <c r="G802" s="4">
        <f>[1]Raw_Data!G800</f>
        <v>0.21</v>
      </c>
      <c r="H802" s="3">
        <f>[1]Raw_Data!H800</f>
        <v>3</v>
      </c>
      <c r="I802" s="3" t="str">
        <f>TRIM([1]Raw_Data!I800)</f>
        <v>UK</v>
      </c>
      <c r="J802" s="3" t="str">
        <f>TRIM([1]Raw_Data!J800)</f>
        <v>iHerb</v>
      </c>
      <c r="K802" s="3">
        <f t="shared" si="48"/>
        <v>2020</v>
      </c>
      <c r="L802" s="6">
        <f t="shared" si="49"/>
        <v>44166</v>
      </c>
      <c r="M802" s="3" t="str">
        <f t="shared" si="50"/>
        <v>21% to 25%</v>
      </c>
      <c r="N802" s="3" t="str">
        <f t="shared" si="51"/>
        <v>OK</v>
      </c>
    </row>
    <row r="803" spans="1:14" x14ac:dyDescent="0.3">
      <c r="A803" s="2">
        <f>DATE(VALUE(RIGHT(TRIM([1]Raw_Data!A801),4)),VALUE(MID(TRIM([1]Raw_Data!A801),4,2)),VALUE(LEFT(TRIM([1]Raw_Data!A801),2)))</f>
        <v>44179</v>
      </c>
      <c r="B803" s="3" t="str">
        <f>TRIM([1]Raw_Data!B801)</f>
        <v>Electrolyte Powder</v>
      </c>
      <c r="C803" s="3" t="str">
        <f>TRIM([1]Raw_Data!C801)</f>
        <v>Hydration</v>
      </c>
      <c r="D803" s="3">
        <f>[1]Raw_Data!D801</f>
        <v>138</v>
      </c>
      <c r="E803" s="4">
        <f>[1]Raw_Data!E801</f>
        <v>52.51</v>
      </c>
      <c r="F803" s="5">
        <f>[1]Raw_Data!F801</f>
        <v>7246.38</v>
      </c>
      <c r="G803" s="4">
        <f>[1]Raw_Data!G801</f>
        <v>7.0000000000000007E-2</v>
      </c>
      <c r="H803" s="3">
        <f>[1]Raw_Data!H801</f>
        <v>4</v>
      </c>
      <c r="I803" s="3" t="str">
        <f>TRIM([1]Raw_Data!I801)</f>
        <v>USA</v>
      </c>
      <c r="J803" s="3" t="str">
        <f>TRIM([1]Raw_Data!J801)</f>
        <v>Amazon</v>
      </c>
      <c r="K803" s="3">
        <f t="shared" si="48"/>
        <v>2020</v>
      </c>
      <c r="L803" s="6">
        <f t="shared" si="49"/>
        <v>44166</v>
      </c>
      <c r="M803" s="3" t="str">
        <f t="shared" si="50"/>
        <v>6% to 10%</v>
      </c>
      <c r="N803" s="3" t="str">
        <f t="shared" si="51"/>
        <v>OK</v>
      </c>
    </row>
    <row r="804" spans="1:14" x14ac:dyDescent="0.3">
      <c r="A804" s="2">
        <f>DATE(VALUE(RIGHT(TRIM([1]Raw_Data!A802),4)),VALUE(MID(TRIM([1]Raw_Data!A802),4,2)),VALUE(LEFT(TRIM([1]Raw_Data!A802),2)))</f>
        <v>44186</v>
      </c>
      <c r="B804" s="3" t="str">
        <f>TRIM([1]Raw_Data!B802)</f>
        <v>Whey Protein</v>
      </c>
      <c r="C804" s="3" t="str">
        <f>TRIM([1]Raw_Data!C802)</f>
        <v>Protein</v>
      </c>
      <c r="D804" s="3">
        <f>[1]Raw_Data!D802</f>
        <v>122</v>
      </c>
      <c r="E804" s="4">
        <f>[1]Raw_Data!E802</f>
        <v>36.880000000000003</v>
      </c>
      <c r="F804" s="5">
        <f>[1]Raw_Data!F802</f>
        <v>4499.3599999999997</v>
      </c>
      <c r="G804" s="4">
        <f>[1]Raw_Data!G802</f>
        <v>0.14000000000000001</v>
      </c>
      <c r="H804" s="3">
        <f>[1]Raw_Data!H802</f>
        <v>1</v>
      </c>
      <c r="I804" s="3" t="str">
        <f>TRIM([1]Raw_Data!I802)</f>
        <v>Canada</v>
      </c>
      <c r="J804" s="3" t="str">
        <f>TRIM([1]Raw_Data!J802)</f>
        <v>iHerb</v>
      </c>
      <c r="K804" s="3">
        <f t="shared" si="48"/>
        <v>2020</v>
      </c>
      <c r="L804" s="6">
        <f t="shared" si="49"/>
        <v>44166</v>
      </c>
      <c r="M804" s="3" t="str">
        <f t="shared" si="50"/>
        <v>11% to 15%</v>
      </c>
      <c r="N804" s="3" t="str">
        <f t="shared" si="51"/>
        <v>OK</v>
      </c>
    </row>
    <row r="805" spans="1:14" x14ac:dyDescent="0.3">
      <c r="A805" s="2">
        <f>DATE(VALUE(RIGHT(TRIM([1]Raw_Data!A803),4)),VALUE(MID(TRIM([1]Raw_Data!A803),4,2)),VALUE(LEFT(TRIM([1]Raw_Data!A803),2)))</f>
        <v>44186</v>
      </c>
      <c r="B805" s="3" t="str">
        <f>TRIM([1]Raw_Data!B803)</f>
        <v>Vitamin C</v>
      </c>
      <c r="C805" s="3" t="str">
        <f>TRIM([1]Raw_Data!C803)</f>
        <v>Vitamin</v>
      </c>
      <c r="D805" s="3">
        <f>[1]Raw_Data!D803</f>
        <v>120</v>
      </c>
      <c r="E805" s="4">
        <f>[1]Raw_Data!E803</f>
        <v>10.7</v>
      </c>
      <c r="F805" s="5">
        <f>[1]Raw_Data!F803</f>
        <v>1284</v>
      </c>
      <c r="G805" s="4">
        <f>[1]Raw_Data!G803</f>
        <v>0.14000000000000001</v>
      </c>
      <c r="H805" s="3">
        <f>[1]Raw_Data!H803</f>
        <v>3</v>
      </c>
      <c r="I805" s="3" t="str">
        <f>TRIM([1]Raw_Data!I803)</f>
        <v>Canada</v>
      </c>
      <c r="J805" s="3" t="str">
        <f>TRIM([1]Raw_Data!J803)</f>
        <v>Walmart</v>
      </c>
      <c r="K805" s="3">
        <f t="shared" si="48"/>
        <v>2020</v>
      </c>
      <c r="L805" s="6">
        <f t="shared" si="49"/>
        <v>44166</v>
      </c>
      <c r="M805" s="3" t="str">
        <f t="shared" si="50"/>
        <v>11% to 15%</v>
      </c>
      <c r="N805" s="3" t="str">
        <f t="shared" si="51"/>
        <v>OK</v>
      </c>
    </row>
    <row r="806" spans="1:14" x14ac:dyDescent="0.3">
      <c r="A806" s="2">
        <f>DATE(VALUE(RIGHT(TRIM([1]Raw_Data!A804),4)),VALUE(MID(TRIM([1]Raw_Data!A804),4,2)),VALUE(LEFT(TRIM([1]Raw_Data!A804),2)))</f>
        <v>44186</v>
      </c>
      <c r="B806" s="3" t="str">
        <f>TRIM([1]Raw_Data!B804)</f>
        <v>Fish Oil</v>
      </c>
      <c r="C806" s="3" t="str">
        <f>TRIM([1]Raw_Data!C804)</f>
        <v>Omega</v>
      </c>
      <c r="D806" s="3">
        <f>[1]Raw_Data!D804</f>
        <v>156</v>
      </c>
      <c r="E806" s="4">
        <f>[1]Raw_Data!E804</f>
        <v>10.66</v>
      </c>
      <c r="F806" s="5">
        <f>[1]Raw_Data!F804</f>
        <v>1662.96</v>
      </c>
      <c r="G806" s="4">
        <f>[1]Raw_Data!G804</f>
        <v>0.14000000000000001</v>
      </c>
      <c r="H806" s="3">
        <f>[1]Raw_Data!H804</f>
        <v>1</v>
      </c>
      <c r="I806" s="3" t="str">
        <f>TRIM([1]Raw_Data!I804)</f>
        <v>UK</v>
      </c>
      <c r="J806" s="3" t="str">
        <f>TRIM([1]Raw_Data!J804)</f>
        <v>Walmart</v>
      </c>
      <c r="K806" s="3">
        <f t="shared" si="48"/>
        <v>2020</v>
      </c>
      <c r="L806" s="6">
        <f t="shared" si="49"/>
        <v>44166</v>
      </c>
      <c r="M806" s="3" t="str">
        <f t="shared" si="50"/>
        <v>11% to 15%</v>
      </c>
      <c r="N806" s="3" t="str">
        <f t="shared" si="51"/>
        <v>OK</v>
      </c>
    </row>
    <row r="807" spans="1:14" x14ac:dyDescent="0.3">
      <c r="A807" s="2">
        <f>DATE(VALUE(RIGHT(TRIM([1]Raw_Data!A805),4)),VALUE(MID(TRIM([1]Raw_Data!A805),4,2)),VALUE(LEFT(TRIM([1]Raw_Data!A805),2)))</f>
        <v>44186</v>
      </c>
      <c r="B807" s="3" t="str">
        <f>TRIM([1]Raw_Data!B805)</f>
        <v>Multivitamin</v>
      </c>
      <c r="C807" s="3" t="str">
        <f>TRIM([1]Raw_Data!C805)</f>
        <v>Vitamin</v>
      </c>
      <c r="D807" s="3">
        <f>[1]Raw_Data!D805</f>
        <v>150</v>
      </c>
      <c r="E807" s="4">
        <f>[1]Raw_Data!E805</f>
        <v>44.22</v>
      </c>
      <c r="F807" s="5">
        <f>[1]Raw_Data!F805</f>
        <v>6633</v>
      </c>
      <c r="G807" s="4">
        <f>[1]Raw_Data!G805</f>
        <v>0.13</v>
      </c>
      <c r="H807" s="3">
        <f>[1]Raw_Data!H805</f>
        <v>2</v>
      </c>
      <c r="I807" s="3" t="str">
        <f>TRIM([1]Raw_Data!I805)</f>
        <v>USA</v>
      </c>
      <c r="J807" s="3" t="str">
        <f>TRIM([1]Raw_Data!J805)</f>
        <v>Walmart</v>
      </c>
      <c r="K807" s="3">
        <f t="shared" si="48"/>
        <v>2020</v>
      </c>
      <c r="L807" s="6">
        <f t="shared" si="49"/>
        <v>44166</v>
      </c>
      <c r="M807" s="3" t="str">
        <f t="shared" si="50"/>
        <v>11% to 15%</v>
      </c>
      <c r="N807" s="3" t="str">
        <f t="shared" si="51"/>
        <v>OK</v>
      </c>
    </row>
    <row r="808" spans="1:14" x14ac:dyDescent="0.3">
      <c r="A808" s="2">
        <f>DATE(VALUE(RIGHT(TRIM([1]Raw_Data!A806),4)),VALUE(MID(TRIM([1]Raw_Data!A806),4,2)),VALUE(LEFT(TRIM([1]Raw_Data!A806),2)))</f>
        <v>44186</v>
      </c>
      <c r="B808" s="3" t="str">
        <f>TRIM([1]Raw_Data!B806)</f>
        <v>Pre-Workout</v>
      </c>
      <c r="C808" s="3" t="str">
        <f>TRIM([1]Raw_Data!C806)</f>
        <v>Performance</v>
      </c>
      <c r="D808" s="3">
        <f>[1]Raw_Data!D806</f>
        <v>149</v>
      </c>
      <c r="E808" s="4">
        <f>[1]Raw_Data!E806</f>
        <v>42.41</v>
      </c>
      <c r="F808" s="5">
        <f>[1]Raw_Data!F806</f>
        <v>6319.09</v>
      </c>
      <c r="G808" s="4">
        <f>[1]Raw_Data!G806</f>
        <v>0.04</v>
      </c>
      <c r="H808" s="3">
        <f>[1]Raw_Data!H806</f>
        <v>3</v>
      </c>
      <c r="I808" s="3" t="str">
        <f>TRIM([1]Raw_Data!I806)</f>
        <v>USA</v>
      </c>
      <c r="J808" s="3" t="str">
        <f>TRIM([1]Raw_Data!J806)</f>
        <v>Walmart</v>
      </c>
      <c r="K808" s="3">
        <f t="shared" si="48"/>
        <v>2020</v>
      </c>
      <c r="L808" s="6">
        <f t="shared" si="49"/>
        <v>44166</v>
      </c>
      <c r="M808" s="3" t="str">
        <f t="shared" si="50"/>
        <v>0% to 5%</v>
      </c>
      <c r="N808" s="3" t="str">
        <f t="shared" si="51"/>
        <v>OK</v>
      </c>
    </row>
    <row r="809" spans="1:14" x14ac:dyDescent="0.3">
      <c r="A809" s="2">
        <f>DATE(VALUE(RIGHT(TRIM([1]Raw_Data!A807),4)),VALUE(MID(TRIM([1]Raw_Data!A807),4,2)),VALUE(LEFT(TRIM([1]Raw_Data!A807),2)))</f>
        <v>44186</v>
      </c>
      <c r="B809" s="3" t="str">
        <f>TRIM([1]Raw_Data!B807)</f>
        <v>BCAA</v>
      </c>
      <c r="C809" s="3" t="str">
        <f>TRIM([1]Raw_Data!C807)</f>
        <v>Amino Acid</v>
      </c>
      <c r="D809" s="3">
        <f>[1]Raw_Data!D807</f>
        <v>154</v>
      </c>
      <c r="E809" s="4">
        <f>[1]Raw_Data!E807</f>
        <v>58.12</v>
      </c>
      <c r="F809" s="5">
        <f>[1]Raw_Data!F807</f>
        <v>8950.48</v>
      </c>
      <c r="G809" s="4">
        <f>[1]Raw_Data!G807</f>
        <v>0.13</v>
      </c>
      <c r="H809" s="3">
        <f>[1]Raw_Data!H807</f>
        <v>0</v>
      </c>
      <c r="I809" s="3" t="str">
        <f>TRIM([1]Raw_Data!I807)</f>
        <v>UK</v>
      </c>
      <c r="J809" s="3" t="str">
        <f>TRIM([1]Raw_Data!J807)</f>
        <v>Amazon</v>
      </c>
      <c r="K809" s="3">
        <f t="shared" si="48"/>
        <v>2020</v>
      </c>
      <c r="L809" s="6">
        <f t="shared" si="49"/>
        <v>44166</v>
      </c>
      <c r="M809" s="3" t="str">
        <f t="shared" si="50"/>
        <v>11% to 15%</v>
      </c>
      <c r="N809" s="3" t="str">
        <f t="shared" si="51"/>
        <v>OK</v>
      </c>
    </row>
    <row r="810" spans="1:14" x14ac:dyDescent="0.3">
      <c r="A810" s="2">
        <f>DATE(VALUE(RIGHT(TRIM([1]Raw_Data!A808),4)),VALUE(MID(TRIM([1]Raw_Data!A808),4,2)),VALUE(LEFT(TRIM([1]Raw_Data!A808),2)))</f>
        <v>44186</v>
      </c>
      <c r="B810" s="3" t="str">
        <f>TRIM([1]Raw_Data!B808)</f>
        <v>Creatine</v>
      </c>
      <c r="C810" s="3" t="str">
        <f>TRIM([1]Raw_Data!C808)</f>
        <v>Performance</v>
      </c>
      <c r="D810" s="3">
        <f>[1]Raw_Data!D808</f>
        <v>154</v>
      </c>
      <c r="E810" s="4">
        <f>[1]Raw_Data!E808</f>
        <v>50.18</v>
      </c>
      <c r="F810" s="5">
        <f>[1]Raw_Data!F808</f>
        <v>7727.72</v>
      </c>
      <c r="G810" s="4">
        <f>[1]Raw_Data!G808</f>
        <v>0.2</v>
      </c>
      <c r="H810" s="3">
        <f>[1]Raw_Data!H808</f>
        <v>4</v>
      </c>
      <c r="I810" s="3" t="str">
        <f>TRIM([1]Raw_Data!I808)</f>
        <v>UK</v>
      </c>
      <c r="J810" s="3" t="str">
        <f>TRIM([1]Raw_Data!J808)</f>
        <v>iHerb</v>
      </c>
      <c r="K810" s="3">
        <f t="shared" si="48"/>
        <v>2020</v>
      </c>
      <c r="L810" s="6">
        <f t="shared" si="49"/>
        <v>44166</v>
      </c>
      <c r="M810" s="3" t="str">
        <f t="shared" si="50"/>
        <v>16% to 20%</v>
      </c>
      <c r="N810" s="3" t="str">
        <f t="shared" si="51"/>
        <v>OK</v>
      </c>
    </row>
    <row r="811" spans="1:14" x14ac:dyDescent="0.3">
      <c r="A811" s="2">
        <f>DATE(VALUE(RIGHT(TRIM([1]Raw_Data!A809),4)),VALUE(MID(TRIM([1]Raw_Data!A809),4,2)),VALUE(LEFT(TRIM([1]Raw_Data!A809),2)))</f>
        <v>44186</v>
      </c>
      <c r="B811" s="3" t="str">
        <f>TRIM([1]Raw_Data!B809)</f>
        <v>Zinc</v>
      </c>
      <c r="C811" s="3" t="str">
        <f>TRIM([1]Raw_Data!C809)</f>
        <v>Mineral</v>
      </c>
      <c r="D811" s="3">
        <f>[1]Raw_Data!D809</f>
        <v>150</v>
      </c>
      <c r="E811" s="4">
        <f>[1]Raw_Data!E809</f>
        <v>47.67</v>
      </c>
      <c r="F811" s="5">
        <f>[1]Raw_Data!F809</f>
        <v>7150.5</v>
      </c>
      <c r="G811" s="4">
        <f>[1]Raw_Data!G809</f>
        <v>0.03</v>
      </c>
      <c r="H811" s="3">
        <f>[1]Raw_Data!H809</f>
        <v>1</v>
      </c>
      <c r="I811" s="3" t="str">
        <f>TRIM([1]Raw_Data!I809)</f>
        <v>Canada</v>
      </c>
      <c r="J811" s="3" t="str">
        <f>TRIM([1]Raw_Data!J809)</f>
        <v>iHerb</v>
      </c>
      <c r="K811" s="3">
        <f t="shared" si="48"/>
        <v>2020</v>
      </c>
      <c r="L811" s="6">
        <f t="shared" si="49"/>
        <v>44166</v>
      </c>
      <c r="M811" s="3" t="str">
        <f t="shared" si="50"/>
        <v>0% to 5%</v>
      </c>
      <c r="N811" s="3" t="str">
        <f t="shared" si="51"/>
        <v>OK</v>
      </c>
    </row>
    <row r="812" spans="1:14" x14ac:dyDescent="0.3">
      <c r="A812" s="2">
        <f>DATE(VALUE(RIGHT(TRIM([1]Raw_Data!A810),4)),VALUE(MID(TRIM([1]Raw_Data!A810),4,2)),VALUE(LEFT(TRIM([1]Raw_Data!A810),2)))</f>
        <v>44186</v>
      </c>
      <c r="B812" s="3" t="str">
        <f>TRIM([1]Raw_Data!B810)</f>
        <v>Collagen Peptides</v>
      </c>
      <c r="C812" s="3" t="str">
        <f>TRIM([1]Raw_Data!C810)</f>
        <v>Protein</v>
      </c>
      <c r="D812" s="3">
        <f>[1]Raw_Data!D810</f>
        <v>152</v>
      </c>
      <c r="E812" s="4">
        <f>[1]Raw_Data!E810</f>
        <v>30.9</v>
      </c>
      <c r="F812" s="5">
        <f>[1]Raw_Data!F810</f>
        <v>4696.8</v>
      </c>
      <c r="G812" s="4">
        <f>[1]Raw_Data!G810</f>
        <v>0.21</v>
      </c>
      <c r="H812" s="3">
        <f>[1]Raw_Data!H810</f>
        <v>3</v>
      </c>
      <c r="I812" s="3" t="str">
        <f>TRIM([1]Raw_Data!I810)</f>
        <v>USA</v>
      </c>
      <c r="J812" s="3" t="str">
        <f>TRIM([1]Raw_Data!J810)</f>
        <v>Amazon</v>
      </c>
      <c r="K812" s="3">
        <f t="shared" si="48"/>
        <v>2020</v>
      </c>
      <c r="L812" s="6">
        <f t="shared" si="49"/>
        <v>44166</v>
      </c>
      <c r="M812" s="3" t="str">
        <f t="shared" si="50"/>
        <v>21% to 25%</v>
      </c>
      <c r="N812" s="3" t="str">
        <f t="shared" si="51"/>
        <v>OK</v>
      </c>
    </row>
    <row r="813" spans="1:14" x14ac:dyDescent="0.3">
      <c r="A813" s="2">
        <f>DATE(VALUE(RIGHT(TRIM([1]Raw_Data!A811),4)),VALUE(MID(TRIM([1]Raw_Data!A811),4,2)),VALUE(LEFT(TRIM([1]Raw_Data!A811),2)))</f>
        <v>44186</v>
      </c>
      <c r="B813" s="3" t="str">
        <f>TRIM([1]Raw_Data!B811)</f>
        <v>Magnesium</v>
      </c>
      <c r="C813" s="3" t="str">
        <f>TRIM([1]Raw_Data!C811)</f>
        <v>Mineral</v>
      </c>
      <c r="D813" s="3">
        <f>[1]Raw_Data!D811</f>
        <v>131</v>
      </c>
      <c r="E813" s="4">
        <f>[1]Raw_Data!E811</f>
        <v>23.13</v>
      </c>
      <c r="F813" s="5">
        <f>[1]Raw_Data!F811</f>
        <v>3030.03</v>
      </c>
      <c r="G813" s="4">
        <f>[1]Raw_Data!G811</f>
        <v>0.22</v>
      </c>
      <c r="H813" s="3">
        <f>[1]Raw_Data!H811</f>
        <v>0</v>
      </c>
      <c r="I813" s="3" t="str">
        <f>TRIM([1]Raw_Data!I811)</f>
        <v>Canada</v>
      </c>
      <c r="J813" s="3" t="str">
        <f>TRIM([1]Raw_Data!J811)</f>
        <v>iHerb</v>
      </c>
      <c r="K813" s="3">
        <f t="shared" si="48"/>
        <v>2020</v>
      </c>
      <c r="L813" s="6">
        <f t="shared" si="49"/>
        <v>44166</v>
      </c>
      <c r="M813" s="3" t="str">
        <f t="shared" si="50"/>
        <v>21% to 25%</v>
      </c>
      <c r="N813" s="3" t="str">
        <f t="shared" si="51"/>
        <v>OK</v>
      </c>
    </row>
    <row r="814" spans="1:14" x14ac:dyDescent="0.3">
      <c r="A814" s="2">
        <f>DATE(VALUE(RIGHT(TRIM([1]Raw_Data!A812),4)),VALUE(MID(TRIM([1]Raw_Data!A812),4,2)),VALUE(LEFT(TRIM([1]Raw_Data!A812),2)))</f>
        <v>44186</v>
      </c>
      <c r="B814" s="3" t="str">
        <f>TRIM([1]Raw_Data!B812)</f>
        <v>Ashwagandha</v>
      </c>
      <c r="C814" s="3" t="str">
        <f>TRIM([1]Raw_Data!C812)</f>
        <v>Herbal</v>
      </c>
      <c r="D814" s="3">
        <f>[1]Raw_Data!D812</f>
        <v>158</v>
      </c>
      <c r="E814" s="4">
        <f>[1]Raw_Data!E812</f>
        <v>41.16</v>
      </c>
      <c r="F814" s="5">
        <f>[1]Raw_Data!F812</f>
        <v>6503.28</v>
      </c>
      <c r="G814" s="4">
        <f>[1]Raw_Data!G812</f>
        <v>0.09</v>
      </c>
      <c r="H814" s="3">
        <f>[1]Raw_Data!H812</f>
        <v>2</v>
      </c>
      <c r="I814" s="3" t="str">
        <f>TRIM([1]Raw_Data!I812)</f>
        <v>USA</v>
      </c>
      <c r="J814" s="3" t="str">
        <f>TRIM([1]Raw_Data!J812)</f>
        <v>iHerb</v>
      </c>
      <c r="K814" s="3">
        <f t="shared" si="48"/>
        <v>2020</v>
      </c>
      <c r="L814" s="6">
        <f t="shared" si="49"/>
        <v>44166</v>
      </c>
      <c r="M814" s="3" t="str">
        <f t="shared" si="50"/>
        <v>6% to 10%</v>
      </c>
      <c r="N814" s="3" t="str">
        <f t="shared" si="51"/>
        <v>OK</v>
      </c>
    </row>
    <row r="815" spans="1:14" x14ac:dyDescent="0.3">
      <c r="A815" s="2">
        <f>DATE(VALUE(RIGHT(TRIM([1]Raw_Data!A813),4)),VALUE(MID(TRIM([1]Raw_Data!A813),4,2)),VALUE(LEFT(TRIM([1]Raw_Data!A813),2)))</f>
        <v>44186</v>
      </c>
      <c r="B815" s="3" t="str">
        <f>TRIM([1]Raw_Data!B813)</f>
        <v>Melatonin</v>
      </c>
      <c r="C815" s="3" t="str">
        <f>TRIM([1]Raw_Data!C813)</f>
        <v>Sleep Aid</v>
      </c>
      <c r="D815" s="3">
        <f>[1]Raw_Data!D813</f>
        <v>140</v>
      </c>
      <c r="E815" s="4">
        <f>[1]Raw_Data!E813</f>
        <v>21.78</v>
      </c>
      <c r="F815" s="5">
        <f>[1]Raw_Data!F813</f>
        <v>3049.2</v>
      </c>
      <c r="G815" s="4">
        <f>[1]Raw_Data!G813</f>
        <v>0.18</v>
      </c>
      <c r="H815" s="3">
        <f>[1]Raw_Data!H813</f>
        <v>3</v>
      </c>
      <c r="I815" s="3" t="str">
        <f>TRIM([1]Raw_Data!I813)</f>
        <v>Canada</v>
      </c>
      <c r="J815" s="3" t="str">
        <f>TRIM([1]Raw_Data!J813)</f>
        <v>Amazon</v>
      </c>
      <c r="K815" s="3">
        <f t="shared" si="48"/>
        <v>2020</v>
      </c>
      <c r="L815" s="6">
        <f t="shared" si="49"/>
        <v>44166</v>
      </c>
      <c r="M815" s="3" t="str">
        <f t="shared" si="50"/>
        <v>16% to 20%</v>
      </c>
      <c r="N815" s="3" t="str">
        <f t="shared" si="51"/>
        <v>OK</v>
      </c>
    </row>
    <row r="816" spans="1:14" x14ac:dyDescent="0.3">
      <c r="A816" s="2">
        <f>DATE(VALUE(RIGHT(TRIM([1]Raw_Data!A814),4)),VALUE(MID(TRIM([1]Raw_Data!A814),4,2)),VALUE(LEFT(TRIM([1]Raw_Data!A814),2)))</f>
        <v>44186</v>
      </c>
      <c r="B816" s="3" t="str">
        <f>TRIM([1]Raw_Data!B814)</f>
        <v>Biotin</v>
      </c>
      <c r="C816" s="3" t="str">
        <f>TRIM([1]Raw_Data!C814)</f>
        <v>Vitamin</v>
      </c>
      <c r="D816" s="3">
        <f>[1]Raw_Data!D814</f>
        <v>134</v>
      </c>
      <c r="E816" s="4">
        <f>[1]Raw_Data!E814</f>
        <v>39.68</v>
      </c>
      <c r="F816" s="5">
        <f>[1]Raw_Data!F814</f>
        <v>5317.12</v>
      </c>
      <c r="G816" s="4">
        <f>[1]Raw_Data!G814</f>
        <v>0.03</v>
      </c>
      <c r="H816" s="3">
        <f>[1]Raw_Data!H814</f>
        <v>1</v>
      </c>
      <c r="I816" s="3" t="str">
        <f>TRIM([1]Raw_Data!I814)</f>
        <v>UK</v>
      </c>
      <c r="J816" s="3" t="str">
        <f>TRIM([1]Raw_Data!J814)</f>
        <v>iHerb</v>
      </c>
      <c r="K816" s="3">
        <f t="shared" si="48"/>
        <v>2020</v>
      </c>
      <c r="L816" s="6">
        <f t="shared" si="49"/>
        <v>44166</v>
      </c>
      <c r="M816" s="3" t="str">
        <f t="shared" si="50"/>
        <v>0% to 5%</v>
      </c>
      <c r="N816" s="3" t="str">
        <f t="shared" si="51"/>
        <v>OK</v>
      </c>
    </row>
    <row r="817" spans="1:14" x14ac:dyDescent="0.3">
      <c r="A817" s="2">
        <f>DATE(VALUE(RIGHT(TRIM([1]Raw_Data!A815),4)),VALUE(MID(TRIM([1]Raw_Data!A815),4,2)),VALUE(LEFT(TRIM([1]Raw_Data!A815),2)))</f>
        <v>44186</v>
      </c>
      <c r="B817" s="3" t="str">
        <f>TRIM([1]Raw_Data!B815)</f>
        <v>Green Tea Extract</v>
      </c>
      <c r="C817" s="3" t="str">
        <f>TRIM([1]Raw_Data!C815)</f>
        <v>Fat Burner</v>
      </c>
      <c r="D817" s="3">
        <f>[1]Raw_Data!D815</f>
        <v>136</v>
      </c>
      <c r="E817" s="4">
        <f>[1]Raw_Data!E815</f>
        <v>47.94</v>
      </c>
      <c r="F817" s="5">
        <f>[1]Raw_Data!F815</f>
        <v>6519.84</v>
      </c>
      <c r="G817" s="4">
        <f>[1]Raw_Data!G815</f>
        <v>0.03</v>
      </c>
      <c r="H817" s="3">
        <f>[1]Raw_Data!H815</f>
        <v>1</v>
      </c>
      <c r="I817" s="3" t="str">
        <f>TRIM([1]Raw_Data!I815)</f>
        <v>USA</v>
      </c>
      <c r="J817" s="3" t="str">
        <f>TRIM([1]Raw_Data!J815)</f>
        <v>Walmart</v>
      </c>
      <c r="K817" s="3">
        <f t="shared" si="48"/>
        <v>2020</v>
      </c>
      <c r="L817" s="6">
        <f t="shared" si="49"/>
        <v>44166</v>
      </c>
      <c r="M817" s="3" t="str">
        <f t="shared" si="50"/>
        <v>0% to 5%</v>
      </c>
      <c r="N817" s="3" t="str">
        <f t="shared" si="51"/>
        <v>OK</v>
      </c>
    </row>
    <row r="818" spans="1:14" x14ac:dyDescent="0.3">
      <c r="A818" s="2">
        <f>DATE(VALUE(RIGHT(TRIM([1]Raw_Data!A816),4)),VALUE(MID(TRIM([1]Raw_Data!A816),4,2)),VALUE(LEFT(TRIM([1]Raw_Data!A816),2)))</f>
        <v>44186</v>
      </c>
      <c r="B818" s="3" t="str">
        <f>TRIM([1]Raw_Data!B816)</f>
        <v>Iron Supplement</v>
      </c>
      <c r="C818" s="3" t="str">
        <f>TRIM([1]Raw_Data!C816)</f>
        <v>Mineral</v>
      </c>
      <c r="D818" s="3">
        <f>[1]Raw_Data!D816</f>
        <v>150</v>
      </c>
      <c r="E818" s="4">
        <f>[1]Raw_Data!E816</f>
        <v>36.78</v>
      </c>
      <c r="F818" s="5">
        <f>[1]Raw_Data!F816</f>
        <v>5517</v>
      </c>
      <c r="G818" s="4">
        <f>[1]Raw_Data!G816</f>
        <v>0.1</v>
      </c>
      <c r="H818" s="3">
        <f>[1]Raw_Data!H816</f>
        <v>3</v>
      </c>
      <c r="I818" s="3" t="str">
        <f>TRIM([1]Raw_Data!I816)</f>
        <v>UK</v>
      </c>
      <c r="J818" s="3" t="str">
        <f>TRIM([1]Raw_Data!J816)</f>
        <v>Amazon</v>
      </c>
      <c r="K818" s="3">
        <f t="shared" si="48"/>
        <v>2020</v>
      </c>
      <c r="L818" s="6">
        <f t="shared" si="49"/>
        <v>44166</v>
      </c>
      <c r="M818" s="3" t="str">
        <f t="shared" si="50"/>
        <v>6% to 10%</v>
      </c>
      <c r="N818" s="3" t="str">
        <f t="shared" si="51"/>
        <v>OK</v>
      </c>
    </row>
    <row r="819" spans="1:14" x14ac:dyDescent="0.3">
      <c r="A819" s="2">
        <f>DATE(VALUE(RIGHT(TRIM([1]Raw_Data!A817),4)),VALUE(MID(TRIM([1]Raw_Data!A817),4,2)),VALUE(LEFT(TRIM([1]Raw_Data!A817),2)))</f>
        <v>44186</v>
      </c>
      <c r="B819" s="3" t="str">
        <f>TRIM([1]Raw_Data!B817)</f>
        <v>Electrolyte Powder</v>
      </c>
      <c r="C819" s="3" t="str">
        <f>TRIM([1]Raw_Data!C817)</f>
        <v>Hydration</v>
      </c>
      <c r="D819" s="3">
        <f>[1]Raw_Data!D817</f>
        <v>150</v>
      </c>
      <c r="E819" s="4">
        <f>[1]Raw_Data!E817</f>
        <v>34.520000000000003</v>
      </c>
      <c r="F819" s="5">
        <f>[1]Raw_Data!F817</f>
        <v>5178</v>
      </c>
      <c r="G819" s="4">
        <f>[1]Raw_Data!G817</f>
        <v>0.21</v>
      </c>
      <c r="H819" s="3">
        <f>[1]Raw_Data!H817</f>
        <v>3</v>
      </c>
      <c r="I819" s="3" t="str">
        <f>TRIM([1]Raw_Data!I817)</f>
        <v>UK</v>
      </c>
      <c r="J819" s="3" t="str">
        <f>TRIM([1]Raw_Data!J817)</f>
        <v>Amazon</v>
      </c>
      <c r="K819" s="3">
        <f t="shared" si="48"/>
        <v>2020</v>
      </c>
      <c r="L819" s="6">
        <f t="shared" si="49"/>
        <v>44166</v>
      </c>
      <c r="M819" s="3" t="str">
        <f t="shared" si="50"/>
        <v>21% to 25%</v>
      </c>
      <c r="N819" s="3" t="str">
        <f t="shared" si="51"/>
        <v>OK</v>
      </c>
    </row>
    <row r="820" spans="1:14" x14ac:dyDescent="0.3">
      <c r="A820" s="2">
        <f>DATE(VALUE(RIGHT(TRIM([1]Raw_Data!A818),4)),VALUE(MID(TRIM([1]Raw_Data!A818),4,2)),VALUE(LEFT(TRIM([1]Raw_Data!A818),2)))</f>
        <v>44193</v>
      </c>
      <c r="B820" s="3" t="str">
        <f>TRIM([1]Raw_Data!B818)</f>
        <v>Whey Protein</v>
      </c>
      <c r="C820" s="3" t="str">
        <f>TRIM([1]Raw_Data!C818)</f>
        <v>Protein</v>
      </c>
      <c r="D820" s="3">
        <f>[1]Raw_Data!D818</f>
        <v>146</v>
      </c>
      <c r="E820" s="4">
        <f>[1]Raw_Data!E818</f>
        <v>34.6</v>
      </c>
      <c r="F820" s="5">
        <f>[1]Raw_Data!F818</f>
        <v>5051.6000000000004</v>
      </c>
      <c r="G820" s="4">
        <f>[1]Raw_Data!G818</f>
        <v>0.14000000000000001</v>
      </c>
      <c r="H820" s="3">
        <f>[1]Raw_Data!H818</f>
        <v>1</v>
      </c>
      <c r="I820" s="3" t="str">
        <f>TRIM([1]Raw_Data!I818)</f>
        <v>USA</v>
      </c>
      <c r="J820" s="3" t="str">
        <f>TRIM([1]Raw_Data!J818)</f>
        <v>Amazon</v>
      </c>
      <c r="K820" s="3">
        <f t="shared" si="48"/>
        <v>2020</v>
      </c>
      <c r="L820" s="6">
        <f t="shared" si="49"/>
        <v>44166</v>
      </c>
      <c r="M820" s="3" t="str">
        <f t="shared" si="50"/>
        <v>11% to 15%</v>
      </c>
      <c r="N820" s="3" t="str">
        <f t="shared" si="51"/>
        <v>OK</v>
      </c>
    </row>
    <row r="821" spans="1:14" x14ac:dyDescent="0.3">
      <c r="A821" s="2">
        <f>DATE(VALUE(RIGHT(TRIM([1]Raw_Data!A819),4)),VALUE(MID(TRIM([1]Raw_Data!A819),4,2)),VALUE(LEFT(TRIM([1]Raw_Data!A819),2)))</f>
        <v>44193</v>
      </c>
      <c r="B821" s="3" t="str">
        <f>TRIM([1]Raw_Data!B819)</f>
        <v>Vitamin C</v>
      </c>
      <c r="C821" s="3" t="str">
        <f>TRIM([1]Raw_Data!C819)</f>
        <v>Vitamin</v>
      </c>
      <c r="D821" s="3">
        <f>[1]Raw_Data!D819</f>
        <v>161</v>
      </c>
      <c r="E821" s="4">
        <f>[1]Raw_Data!E819</f>
        <v>26.7</v>
      </c>
      <c r="F821" s="5">
        <f>[1]Raw_Data!F819</f>
        <v>4298.7</v>
      </c>
      <c r="G821" s="4">
        <f>[1]Raw_Data!G819</f>
        <v>0.03</v>
      </c>
      <c r="H821" s="3">
        <f>[1]Raw_Data!H819</f>
        <v>1</v>
      </c>
      <c r="I821" s="3" t="str">
        <f>TRIM([1]Raw_Data!I819)</f>
        <v>UK</v>
      </c>
      <c r="J821" s="3" t="str">
        <f>TRIM([1]Raw_Data!J819)</f>
        <v>Amazon</v>
      </c>
      <c r="K821" s="3">
        <f t="shared" si="48"/>
        <v>2020</v>
      </c>
      <c r="L821" s="6">
        <f t="shared" si="49"/>
        <v>44166</v>
      </c>
      <c r="M821" s="3" t="str">
        <f t="shared" si="50"/>
        <v>0% to 5%</v>
      </c>
      <c r="N821" s="3" t="str">
        <f t="shared" si="51"/>
        <v>OK</v>
      </c>
    </row>
    <row r="822" spans="1:14" x14ac:dyDescent="0.3">
      <c r="A822" s="2">
        <f>DATE(VALUE(RIGHT(TRIM([1]Raw_Data!A820),4)),VALUE(MID(TRIM([1]Raw_Data!A820),4,2)),VALUE(LEFT(TRIM([1]Raw_Data!A820),2)))</f>
        <v>44193</v>
      </c>
      <c r="B822" s="3" t="str">
        <f>TRIM([1]Raw_Data!B820)</f>
        <v>Fish Oil</v>
      </c>
      <c r="C822" s="3" t="str">
        <f>TRIM([1]Raw_Data!C820)</f>
        <v>Omega</v>
      </c>
      <c r="D822" s="3">
        <f>[1]Raw_Data!D820</f>
        <v>177</v>
      </c>
      <c r="E822" s="4">
        <f>[1]Raw_Data!E820</f>
        <v>18.440000000000001</v>
      </c>
      <c r="F822" s="5">
        <f>[1]Raw_Data!F820</f>
        <v>3263.88</v>
      </c>
      <c r="G822" s="4">
        <f>[1]Raw_Data!G820</f>
        <v>0.12</v>
      </c>
      <c r="H822" s="3">
        <f>[1]Raw_Data!H820</f>
        <v>1</v>
      </c>
      <c r="I822" s="3" t="str">
        <f>TRIM([1]Raw_Data!I820)</f>
        <v>Canada</v>
      </c>
      <c r="J822" s="3" t="str">
        <f>TRIM([1]Raw_Data!J820)</f>
        <v>iHerb</v>
      </c>
      <c r="K822" s="3">
        <f t="shared" si="48"/>
        <v>2020</v>
      </c>
      <c r="L822" s="6">
        <f t="shared" si="49"/>
        <v>44166</v>
      </c>
      <c r="M822" s="3" t="str">
        <f t="shared" si="50"/>
        <v>11% to 15%</v>
      </c>
      <c r="N822" s="3" t="str">
        <f t="shared" si="51"/>
        <v>OK</v>
      </c>
    </row>
    <row r="823" spans="1:14" x14ac:dyDescent="0.3">
      <c r="A823" s="2">
        <f>DATE(VALUE(RIGHT(TRIM([1]Raw_Data!A821),4)),VALUE(MID(TRIM([1]Raw_Data!A821),4,2)),VALUE(LEFT(TRIM([1]Raw_Data!A821),2)))</f>
        <v>44193</v>
      </c>
      <c r="B823" s="3" t="str">
        <f>TRIM([1]Raw_Data!B821)</f>
        <v>Multivitamin</v>
      </c>
      <c r="C823" s="3" t="str">
        <f>TRIM([1]Raw_Data!C821)</f>
        <v>Vitamin</v>
      </c>
      <c r="D823" s="3">
        <f>[1]Raw_Data!D821</f>
        <v>151</v>
      </c>
      <c r="E823" s="4">
        <f>[1]Raw_Data!E821</f>
        <v>27.83</v>
      </c>
      <c r="F823" s="5">
        <f>[1]Raw_Data!F821</f>
        <v>4202.33</v>
      </c>
      <c r="G823" s="4">
        <f>[1]Raw_Data!G821</f>
        <v>0.11</v>
      </c>
      <c r="H823" s="3">
        <f>[1]Raw_Data!H821</f>
        <v>4</v>
      </c>
      <c r="I823" s="3" t="str">
        <f>TRIM([1]Raw_Data!I821)</f>
        <v>USA</v>
      </c>
      <c r="J823" s="3" t="str">
        <f>TRIM([1]Raw_Data!J821)</f>
        <v>Amazon</v>
      </c>
      <c r="K823" s="3">
        <f t="shared" si="48"/>
        <v>2020</v>
      </c>
      <c r="L823" s="6">
        <f t="shared" si="49"/>
        <v>44166</v>
      </c>
      <c r="M823" s="3" t="str">
        <f t="shared" si="50"/>
        <v>11% to 15%</v>
      </c>
      <c r="N823" s="3" t="str">
        <f t="shared" si="51"/>
        <v>OK</v>
      </c>
    </row>
    <row r="824" spans="1:14" x14ac:dyDescent="0.3">
      <c r="A824" s="2">
        <f>DATE(VALUE(RIGHT(TRIM([1]Raw_Data!A822),4)),VALUE(MID(TRIM([1]Raw_Data!A822),4,2)),VALUE(LEFT(TRIM([1]Raw_Data!A822),2)))</f>
        <v>44193</v>
      </c>
      <c r="B824" s="3" t="str">
        <f>TRIM([1]Raw_Data!B822)</f>
        <v>Pre-Workout</v>
      </c>
      <c r="C824" s="3" t="str">
        <f>TRIM([1]Raw_Data!C822)</f>
        <v>Performance</v>
      </c>
      <c r="D824" s="3">
        <f>[1]Raw_Data!D822</f>
        <v>146</v>
      </c>
      <c r="E824" s="4">
        <f>[1]Raw_Data!E822</f>
        <v>22.17</v>
      </c>
      <c r="F824" s="5">
        <f>[1]Raw_Data!F822</f>
        <v>3236.82</v>
      </c>
      <c r="G824" s="4">
        <f>[1]Raw_Data!G822</f>
        <v>0.11</v>
      </c>
      <c r="H824" s="3">
        <f>[1]Raw_Data!H822</f>
        <v>2</v>
      </c>
      <c r="I824" s="3" t="str">
        <f>TRIM([1]Raw_Data!I822)</f>
        <v>Canada</v>
      </c>
      <c r="J824" s="3" t="str">
        <f>TRIM([1]Raw_Data!J822)</f>
        <v>Walmart</v>
      </c>
      <c r="K824" s="3">
        <f t="shared" si="48"/>
        <v>2020</v>
      </c>
      <c r="L824" s="6">
        <f t="shared" si="49"/>
        <v>44166</v>
      </c>
      <c r="M824" s="3" t="str">
        <f t="shared" si="50"/>
        <v>11% to 15%</v>
      </c>
      <c r="N824" s="3" t="str">
        <f t="shared" si="51"/>
        <v>OK</v>
      </c>
    </row>
    <row r="825" spans="1:14" x14ac:dyDescent="0.3">
      <c r="A825" s="2">
        <f>DATE(VALUE(RIGHT(TRIM([1]Raw_Data!A823),4)),VALUE(MID(TRIM([1]Raw_Data!A823),4,2)),VALUE(LEFT(TRIM([1]Raw_Data!A823),2)))</f>
        <v>44193</v>
      </c>
      <c r="B825" s="3" t="str">
        <f>TRIM([1]Raw_Data!B823)</f>
        <v>BCAA</v>
      </c>
      <c r="C825" s="3" t="str">
        <f>TRIM([1]Raw_Data!C823)</f>
        <v>Amino Acid</v>
      </c>
      <c r="D825" s="3">
        <f>[1]Raw_Data!D823</f>
        <v>138</v>
      </c>
      <c r="E825" s="4">
        <f>[1]Raw_Data!E823</f>
        <v>11.06</v>
      </c>
      <c r="F825" s="5">
        <f>[1]Raw_Data!F823</f>
        <v>1526.28</v>
      </c>
      <c r="G825" s="4">
        <f>[1]Raw_Data!G823</f>
        <v>0.1</v>
      </c>
      <c r="H825" s="3">
        <f>[1]Raw_Data!H823</f>
        <v>2</v>
      </c>
      <c r="I825" s="3" t="str">
        <f>TRIM([1]Raw_Data!I823)</f>
        <v>UK</v>
      </c>
      <c r="J825" s="3" t="str">
        <f>TRIM([1]Raw_Data!J823)</f>
        <v>iHerb</v>
      </c>
      <c r="K825" s="3">
        <f t="shared" si="48"/>
        <v>2020</v>
      </c>
      <c r="L825" s="6">
        <f t="shared" si="49"/>
        <v>44166</v>
      </c>
      <c r="M825" s="3" t="str">
        <f t="shared" si="50"/>
        <v>6% to 10%</v>
      </c>
      <c r="N825" s="3" t="str">
        <f t="shared" si="51"/>
        <v>OK</v>
      </c>
    </row>
    <row r="826" spans="1:14" x14ac:dyDescent="0.3">
      <c r="A826" s="2">
        <f>DATE(VALUE(RIGHT(TRIM([1]Raw_Data!A824),4)),VALUE(MID(TRIM([1]Raw_Data!A824),4,2)),VALUE(LEFT(TRIM([1]Raw_Data!A824),2)))</f>
        <v>44193</v>
      </c>
      <c r="B826" s="3" t="str">
        <f>TRIM([1]Raw_Data!B824)</f>
        <v>Creatine</v>
      </c>
      <c r="C826" s="3" t="str">
        <f>TRIM([1]Raw_Data!C824)</f>
        <v>Performance</v>
      </c>
      <c r="D826" s="3">
        <f>[1]Raw_Data!D824</f>
        <v>144</v>
      </c>
      <c r="E826" s="4">
        <f>[1]Raw_Data!E824</f>
        <v>20.25</v>
      </c>
      <c r="F826" s="5">
        <f>[1]Raw_Data!F824</f>
        <v>2916</v>
      </c>
      <c r="G826" s="4">
        <f>[1]Raw_Data!G824</f>
        <v>0.19</v>
      </c>
      <c r="H826" s="3">
        <f>[1]Raw_Data!H824</f>
        <v>0</v>
      </c>
      <c r="I826" s="3" t="str">
        <f>TRIM([1]Raw_Data!I824)</f>
        <v>USA</v>
      </c>
      <c r="J826" s="3" t="str">
        <f>TRIM([1]Raw_Data!J824)</f>
        <v>iHerb</v>
      </c>
      <c r="K826" s="3">
        <f t="shared" si="48"/>
        <v>2020</v>
      </c>
      <c r="L826" s="6">
        <f t="shared" si="49"/>
        <v>44166</v>
      </c>
      <c r="M826" s="3" t="str">
        <f t="shared" si="50"/>
        <v>16% to 20%</v>
      </c>
      <c r="N826" s="3" t="str">
        <f t="shared" si="51"/>
        <v>OK</v>
      </c>
    </row>
    <row r="827" spans="1:14" x14ac:dyDescent="0.3">
      <c r="A827" s="2">
        <f>DATE(VALUE(RIGHT(TRIM([1]Raw_Data!A825),4)),VALUE(MID(TRIM([1]Raw_Data!A825),4,2)),VALUE(LEFT(TRIM([1]Raw_Data!A825),2)))</f>
        <v>44193</v>
      </c>
      <c r="B827" s="3" t="str">
        <f>TRIM([1]Raw_Data!B825)</f>
        <v>Zinc</v>
      </c>
      <c r="C827" s="3" t="str">
        <f>TRIM([1]Raw_Data!C825)</f>
        <v>Mineral</v>
      </c>
      <c r="D827" s="3">
        <f>[1]Raw_Data!D825</f>
        <v>165</v>
      </c>
      <c r="E827" s="4">
        <f>[1]Raw_Data!E825</f>
        <v>53.72</v>
      </c>
      <c r="F827" s="5">
        <f>[1]Raw_Data!F825</f>
        <v>8863.7999999999993</v>
      </c>
      <c r="G827" s="4">
        <f>[1]Raw_Data!G825</f>
        <v>0.09</v>
      </c>
      <c r="H827" s="3">
        <f>[1]Raw_Data!H825</f>
        <v>2</v>
      </c>
      <c r="I827" s="3" t="str">
        <f>TRIM([1]Raw_Data!I825)</f>
        <v>USA</v>
      </c>
      <c r="J827" s="3" t="str">
        <f>TRIM([1]Raw_Data!J825)</f>
        <v>Amazon</v>
      </c>
      <c r="K827" s="3">
        <f t="shared" si="48"/>
        <v>2020</v>
      </c>
      <c r="L827" s="6">
        <f t="shared" si="49"/>
        <v>44166</v>
      </c>
      <c r="M827" s="3" t="str">
        <f t="shared" si="50"/>
        <v>6% to 10%</v>
      </c>
      <c r="N827" s="3" t="str">
        <f t="shared" si="51"/>
        <v>OK</v>
      </c>
    </row>
    <row r="828" spans="1:14" x14ac:dyDescent="0.3">
      <c r="A828" s="2">
        <f>DATE(VALUE(RIGHT(TRIM([1]Raw_Data!A826),4)),VALUE(MID(TRIM([1]Raw_Data!A826),4,2)),VALUE(LEFT(TRIM([1]Raw_Data!A826),2)))</f>
        <v>44193</v>
      </c>
      <c r="B828" s="3" t="str">
        <f>TRIM([1]Raw_Data!B826)</f>
        <v>Collagen Peptides</v>
      </c>
      <c r="C828" s="3" t="str">
        <f>TRIM([1]Raw_Data!C826)</f>
        <v>Protein</v>
      </c>
      <c r="D828" s="3">
        <f>[1]Raw_Data!D826</f>
        <v>143</v>
      </c>
      <c r="E828" s="4">
        <f>[1]Raw_Data!E826</f>
        <v>16.329999999999998</v>
      </c>
      <c r="F828" s="5">
        <f>[1]Raw_Data!F826</f>
        <v>2335.19</v>
      </c>
      <c r="G828" s="4">
        <f>[1]Raw_Data!G826</f>
        <v>0.04</v>
      </c>
      <c r="H828" s="3">
        <f>[1]Raw_Data!H826</f>
        <v>1</v>
      </c>
      <c r="I828" s="3" t="str">
        <f>TRIM([1]Raw_Data!I826)</f>
        <v>Canada</v>
      </c>
      <c r="J828" s="3" t="str">
        <f>TRIM([1]Raw_Data!J826)</f>
        <v>Amazon</v>
      </c>
      <c r="K828" s="3">
        <f t="shared" si="48"/>
        <v>2020</v>
      </c>
      <c r="L828" s="6">
        <f t="shared" si="49"/>
        <v>44166</v>
      </c>
      <c r="M828" s="3" t="str">
        <f t="shared" si="50"/>
        <v>0% to 5%</v>
      </c>
      <c r="N828" s="3" t="str">
        <f t="shared" si="51"/>
        <v>OK</v>
      </c>
    </row>
    <row r="829" spans="1:14" x14ac:dyDescent="0.3">
      <c r="A829" s="2">
        <f>DATE(VALUE(RIGHT(TRIM([1]Raw_Data!A827),4)),VALUE(MID(TRIM([1]Raw_Data!A827),4,2)),VALUE(LEFT(TRIM([1]Raw_Data!A827),2)))</f>
        <v>44193</v>
      </c>
      <c r="B829" s="3" t="str">
        <f>TRIM([1]Raw_Data!B827)</f>
        <v>Magnesium</v>
      </c>
      <c r="C829" s="3" t="str">
        <f>TRIM([1]Raw_Data!C827)</f>
        <v>Mineral</v>
      </c>
      <c r="D829" s="3">
        <f>[1]Raw_Data!D827</f>
        <v>129</v>
      </c>
      <c r="E829" s="4">
        <f>[1]Raw_Data!E827</f>
        <v>57.19</v>
      </c>
      <c r="F829" s="5">
        <f>[1]Raw_Data!F827</f>
        <v>7377.51</v>
      </c>
      <c r="G829" s="4">
        <f>[1]Raw_Data!G827</f>
        <v>0.24</v>
      </c>
      <c r="H829" s="3">
        <f>[1]Raw_Data!H827</f>
        <v>1</v>
      </c>
      <c r="I829" s="3" t="str">
        <f>TRIM([1]Raw_Data!I827)</f>
        <v>Canada</v>
      </c>
      <c r="J829" s="3" t="str">
        <f>TRIM([1]Raw_Data!J827)</f>
        <v>Walmart</v>
      </c>
      <c r="K829" s="3">
        <f t="shared" si="48"/>
        <v>2020</v>
      </c>
      <c r="L829" s="6">
        <f t="shared" si="49"/>
        <v>44166</v>
      </c>
      <c r="M829" s="3" t="str">
        <f t="shared" si="50"/>
        <v>21% to 25%</v>
      </c>
      <c r="N829" s="3" t="str">
        <f t="shared" si="51"/>
        <v>OK</v>
      </c>
    </row>
    <row r="830" spans="1:14" x14ac:dyDescent="0.3">
      <c r="A830" s="2">
        <f>DATE(VALUE(RIGHT(TRIM([1]Raw_Data!A828),4)),VALUE(MID(TRIM([1]Raw_Data!A828),4,2)),VALUE(LEFT(TRIM([1]Raw_Data!A828),2)))</f>
        <v>44193</v>
      </c>
      <c r="B830" s="3" t="str">
        <f>TRIM([1]Raw_Data!B828)</f>
        <v>Ashwagandha</v>
      </c>
      <c r="C830" s="3" t="str">
        <f>TRIM([1]Raw_Data!C828)</f>
        <v>Herbal</v>
      </c>
      <c r="D830" s="3">
        <f>[1]Raw_Data!D828</f>
        <v>172</v>
      </c>
      <c r="E830" s="4">
        <f>[1]Raw_Data!E828</f>
        <v>23.49</v>
      </c>
      <c r="F830" s="5">
        <f>[1]Raw_Data!F828</f>
        <v>4040.28</v>
      </c>
      <c r="G830" s="4">
        <f>[1]Raw_Data!G828</f>
        <v>0.18</v>
      </c>
      <c r="H830" s="3">
        <f>[1]Raw_Data!H828</f>
        <v>2</v>
      </c>
      <c r="I830" s="3" t="str">
        <f>TRIM([1]Raw_Data!I828)</f>
        <v>UK</v>
      </c>
      <c r="J830" s="3" t="str">
        <f>TRIM([1]Raw_Data!J828)</f>
        <v>Amazon</v>
      </c>
      <c r="K830" s="3">
        <f t="shared" si="48"/>
        <v>2020</v>
      </c>
      <c r="L830" s="6">
        <f t="shared" si="49"/>
        <v>44166</v>
      </c>
      <c r="M830" s="3" t="str">
        <f t="shared" si="50"/>
        <v>16% to 20%</v>
      </c>
      <c r="N830" s="3" t="str">
        <f t="shared" si="51"/>
        <v>OK</v>
      </c>
    </row>
    <row r="831" spans="1:14" x14ac:dyDescent="0.3">
      <c r="A831" s="2">
        <f>DATE(VALUE(RIGHT(TRIM([1]Raw_Data!A829),4)),VALUE(MID(TRIM([1]Raw_Data!A829),4,2)),VALUE(LEFT(TRIM([1]Raw_Data!A829),2)))</f>
        <v>44193</v>
      </c>
      <c r="B831" s="3" t="str">
        <f>TRIM([1]Raw_Data!B829)</f>
        <v>Melatonin</v>
      </c>
      <c r="C831" s="3" t="str">
        <f>TRIM([1]Raw_Data!C829)</f>
        <v>Sleep Aid</v>
      </c>
      <c r="D831" s="3">
        <f>[1]Raw_Data!D829</f>
        <v>156</v>
      </c>
      <c r="E831" s="4">
        <f>[1]Raw_Data!E829</f>
        <v>15.68</v>
      </c>
      <c r="F831" s="5">
        <f>[1]Raw_Data!F829</f>
        <v>2446.08</v>
      </c>
      <c r="G831" s="4">
        <f>[1]Raw_Data!G829</f>
        <v>0</v>
      </c>
      <c r="H831" s="3">
        <f>[1]Raw_Data!H829</f>
        <v>7</v>
      </c>
      <c r="I831" s="3" t="str">
        <f>TRIM([1]Raw_Data!I829)</f>
        <v>UK</v>
      </c>
      <c r="J831" s="3" t="str">
        <f>TRIM([1]Raw_Data!J829)</f>
        <v>Walmart</v>
      </c>
      <c r="K831" s="3">
        <f t="shared" si="48"/>
        <v>2020</v>
      </c>
      <c r="L831" s="6">
        <f t="shared" si="49"/>
        <v>44166</v>
      </c>
      <c r="M831" s="3" t="str">
        <f t="shared" si="50"/>
        <v>0% to 5%</v>
      </c>
      <c r="N831" s="3" t="str">
        <f t="shared" si="51"/>
        <v>OK</v>
      </c>
    </row>
    <row r="832" spans="1:14" x14ac:dyDescent="0.3">
      <c r="A832" s="2">
        <f>DATE(VALUE(RIGHT(TRIM([1]Raw_Data!A830),4)),VALUE(MID(TRIM([1]Raw_Data!A830),4,2)),VALUE(LEFT(TRIM([1]Raw_Data!A830),2)))</f>
        <v>44193</v>
      </c>
      <c r="B832" s="3" t="str">
        <f>TRIM([1]Raw_Data!B830)</f>
        <v>Biotin</v>
      </c>
      <c r="C832" s="3" t="str">
        <f>TRIM([1]Raw_Data!C830)</f>
        <v>Vitamin</v>
      </c>
      <c r="D832" s="3">
        <f>[1]Raw_Data!D830</f>
        <v>162</v>
      </c>
      <c r="E832" s="4">
        <f>[1]Raw_Data!E830</f>
        <v>35.49</v>
      </c>
      <c r="F832" s="5">
        <f>[1]Raw_Data!F830</f>
        <v>5749.38</v>
      </c>
      <c r="G832" s="4">
        <f>[1]Raw_Data!G830</f>
        <v>0.08</v>
      </c>
      <c r="H832" s="3">
        <f>[1]Raw_Data!H830</f>
        <v>0</v>
      </c>
      <c r="I832" s="3" t="str">
        <f>TRIM([1]Raw_Data!I830)</f>
        <v>USA</v>
      </c>
      <c r="J832" s="3" t="str">
        <f>TRIM([1]Raw_Data!J830)</f>
        <v>Amazon</v>
      </c>
      <c r="K832" s="3">
        <f t="shared" si="48"/>
        <v>2020</v>
      </c>
      <c r="L832" s="6">
        <f t="shared" si="49"/>
        <v>44166</v>
      </c>
      <c r="M832" s="3" t="str">
        <f t="shared" si="50"/>
        <v>6% to 10%</v>
      </c>
      <c r="N832" s="3" t="str">
        <f t="shared" si="51"/>
        <v>OK</v>
      </c>
    </row>
    <row r="833" spans="1:14" x14ac:dyDescent="0.3">
      <c r="A833" s="2">
        <f>DATE(VALUE(RIGHT(TRIM([1]Raw_Data!A831),4)),VALUE(MID(TRIM([1]Raw_Data!A831),4,2)),VALUE(LEFT(TRIM([1]Raw_Data!A831),2)))</f>
        <v>44193</v>
      </c>
      <c r="B833" s="3" t="str">
        <f>TRIM([1]Raw_Data!B831)</f>
        <v>Green Tea Extract</v>
      </c>
      <c r="C833" s="3" t="str">
        <f>TRIM([1]Raw_Data!C831)</f>
        <v>Fat Burner</v>
      </c>
      <c r="D833" s="3">
        <f>[1]Raw_Data!D831</f>
        <v>142</v>
      </c>
      <c r="E833" s="4">
        <f>[1]Raw_Data!E831</f>
        <v>47.82</v>
      </c>
      <c r="F833" s="5">
        <f>[1]Raw_Data!F831</f>
        <v>6790.44</v>
      </c>
      <c r="G833" s="4">
        <f>[1]Raw_Data!G831</f>
        <v>0.13</v>
      </c>
      <c r="H833" s="3">
        <f>[1]Raw_Data!H831</f>
        <v>0</v>
      </c>
      <c r="I833" s="3" t="str">
        <f>TRIM([1]Raw_Data!I831)</f>
        <v>USA</v>
      </c>
      <c r="J833" s="3" t="str">
        <f>TRIM([1]Raw_Data!J831)</f>
        <v>Amazon</v>
      </c>
      <c r="K833" s="3">
        <f t="shared" si="48"/>
        <v>2020</v>
      </c>
      <c r="L833" s="6">
        <f t="shared" si="49"/>
        <v>44166</v>
      </c>
      <c r="M833" s="3" t="str">
        <f t="shared" si="50"/>
        <v>11% to 15%</v>
      </c>
      <c r="N833" s="3" t="str">
        <f t="shared" si="51"/>
        <v>OK</v>
      </c>
    </row>
    <row r="834" spans="1:14" x14ac:dyDescent="0.3">
      <c r="A834" s="2">
        <f>DATE(VALUE(RIGHT(TRIM([1]Raw_Data!A832),4)),VALUE(MID(TRIM([1]Raw_Data!A832),4,2)),VALUE(LEFT(TRIM([1]Raw_Data!A832),2)))</f>
        <v>44193</v>
      </c>
      <c r="B834" s="3" t="str">
        <f>TRIM([1]Raw_Data!B832)</f>
        <v>Iron Supplement</v>
      </c>
      <c r="C834" s="3" t="str">
        <f>TRIM([1]Raw_Data!C832)</f>
        <v>Mineral</v>
      </c>
      <c r="D834" s="3">
        <f>[1]Raw_Data!D832</f>
        <v>147</v>
      </c>
      <c r="E834" s="4">
        <f>[1]Raw_Data!E832</f>
        <v>41.87</v>
      </c>
      <c r="F834" s="5">
        <f>[1]Raw_Data!F832</f>
        <v>6154.89</v>
      </c>
      <c r="G834" s="4">
        <f>[1]Raw_Data!G832</f>
        <v>0.2</v>
      </c>
      <c r="H834" s="3">
        <f>[1]Raw_Data!H832</f>
        <v>1</v>
      </c>
      <c r="I834" s="3" t="str">
        <f>TRIM([1]Raw_Data!I832)</f>
        <v>USA</v>
      </c>
      <c r="J834" s="3" t="str">
        <f>TRIM([1]Raw_Data!J832)</f>
        <v>Walmart</v>
      </c>
      <c r="K834" s="3">
        <f t="shared" si="48"/>
        <v>2020</v>
      </c>
      <c r="L834" s="6">
        <f t="shared" si="49"/>
        <v>44166</v>
      </c>
      <c r="M834" s="3" t="str">
        <f t="shared" si="50"/>
        <v>16% to 20%</v>
      </c>
      <c r="N834" s="3" t="str">
        <f t="shared" si="51"/>
        <v>OK</v>
      </c>
    </row>
    <row r="835" spans="1:14" x14ac:dyDescent="0.3">
      <c r="A835" s="2">
        <f>DATE(VALUE(RIGHT(TRIM([1]Raw_Data!A833),4)),VALUE(MID(TRIM([1]Raw_Data!A833),4,2)),VALUE(LEFT(TRIM([1]Raw_Data!A833),2)))</f>
        <v>44193</v>
      </c>
      <c r="B835" s="3" t="str">
        <f>TRIM([1]Raw_Data!B833)</f>
        <v>Electrolyte Powder</v>
      </c>
      <c r="C835" s="3" t="str">
        <f>TRIM([1]Raw_Data!C833)</f>
        <v>Hydration</v>
      </c>
      <c r="D835" s="3">
        <f>[1]Raw_Data!D833</f>
        <v>145</v>
      </c>
      <c r="E835" s="4">
        <f>[1]Raw_Data!E833</f>
        <v>53.8</v>
      </c>
      <c r="F835" s="5">
        <f>[1]Raw_Data!F833</f>
        <v>7801</v>
      </c>
      <c r="G835" s="4">
        <f>[1]Raw_Data!G833</f>
        <v>0.2</v>
      </c>
      <c r="H835" s="3">
        <f>[1]Raw_Data!H833</f>
        <v>0</v>
      </c>
      <c r="I835" s="3" t="str">
        <f>TRIM([1]Raw_Data!I833)</f>
        <v>USA</v>
      </c>
      <c r="J835" s="3" t="str">
        <f>TRIM([1]Raw_Data!J833)</f>
        <v>iHerb</v>
      </c>
      <c r="K835" s="3">
        <f t="shared" si="48"/>
        <v>2020</v>
      </c>
      <c r="L835" s="6">
        <f t="shared" si="49"/>
        <v>44166</v>
      </c>
      <c r="M835" s="3" t="str">
        <f t="shared" si="50"/>
        <v>16% to 20%</v>
      </c>
      <c r="N835" s="3" t="str">
        <f t="shared" si="51"/>
        <v>OK</v>
      </c>
    </row>
    <row r="836" spans="1:14" x14ac:dyDescent="0.3">
      <c r="A836" s="2">
        <f>DATE(VALUE(RIGHT(TRIM([1]Raw_Data!A834),4)),VALUE(MID(TRIM([1]Raw_Data!A834),4,2)),VALUE(LEFT(TRIM([1]Raw_Data!A834),2)))</f>
        <v>44200</v>
      </c>
      <c r="B836" s="3" t="str">
        <f>TRIM([1]Raw_Data!B834)</f>
        <v>Whey Protein</v>
      </c>
      <c r="C836" s="3" t="str">
        <f>TRIM([1]Raw_Data!C834)</f>
        <v>Protein</v>
      </c>
      <c r="D836" s="3">
        <f>[1]Raw_Data!D834</f>
        <v>150</v>
      </c>
      <c r="E836" s="4">
        <f>[1]Raw_Data!E834</f>
        <v>41.25</v>
      </c>
      <c r="F836" s="5">
        <f>[1]Raw_Data!F834</f>
        <v>6187.5</v>
      </c>
      <c r="G836" s="4">
        <f>[1]Raw_Data!G834</f>
        <v>0.24</v>
      </c>
      <c r="H836" s="3">
        <f>[1]Raw_Data!H834</f>
        <v>2</v>
      </c>
      <c r="I836" s="3" t="str">
        <f>TRIM([1]Raw_Data!I834)</f>
        <v>UK</v>
      </c>
      <c r="J836" s="3" t="str">
        <f>TRIM([1]Raw_Data!J834)</f>
        <v>iHerb</v>
      </c>
      <c r="K836" s="3">
        <f t="shared" ref="K836:K899" si="52">YEAR(A836)</f>
        <v>2021</v>
      </c>
      <c r="L836" s="6">
        <f t="shared" ref="L836:L899" si="53">DATE(YEAR(A836),MONTH(A836),1)</f>
        <v>44197</v>
      </c>
      <c r="M836" s="3" t="str">
        <f t="shared" ref="M836:M899" si="54">IF(ROUND(G836*100,0)&lt;=5,"0% to 5%",IF(ROUND(G836*100,0)&lt;=10,"6% to 10%",IF(ROUND(G836*100,0)&lt;=15,"11% to 15%",IF(ROUND(G836*100,0)&lt;=20,"16% to 20%","21% to 25%"))))</f>
        <v>21% to 25%</v>
      </c>
      <c r="N836" s="3" t="str">
        <f t="shared" ref="N836:N899" si="55">IF(ROUND(D836*E836,2)=ROUND(F836,2),"OK","Check")</f>
        <v>OK</v>
      </c>
    </row>
    <row r="837" spans="1:14" x14ac:dyDescent="0.3">
      <c r="A837" s="2">
        <f>DATE(VALUE(RIGHT(TRIM([1]Raw_Data!A835),4)),VALUE(MID(TRIM([1]Raw_Data!A835),4,2)),VALUE(LEFT(TRIM([1]Raw_Data!A835),2)))</f>
        <v>44200</v>
      </c>
      <c r="B837" s="3" t="str">
        <f>TRIM([1]Raw_Data!B835)</f>
        <v>Vitamin C</v>
      </c>
      <c r="C837" s="3" t="str">
        <f>TRIM([1]Raw_Data!C835)</f>
        <v>Vitamin</v>
      </c>
      <c r="D837" s="3">
        <f>[1]Raw_Data!D835</f>
        <v>151</v>
      </c>
      <c r="E837" s="4">
        <f>[1]Raw_Data!E835</f>
        <v>13.15</v>
      </c>
      <c r="F837" s="5">
        <f>[1]Raw_Data!F835</f>
        <v>1985.65</v>
      </c>
      <c r="G837" s="4">
        <f>[1]Raw_Data!G835</f>
        <v>0.05</v>
      </c>
      <c r="H837" s="3">
        <f>[1]Raw_Data!H835</f>
        <v>0</v>
      </c>
      <c r="I837" s="3" t="str">
        <f>TRIM([1]Raw_Data!I835)</f>
        <v>Canada</v>
      </c>
      <c r="J837" s="3" t="str">
        <f>TRIM([1]Raw_Data!J835)</f>
        <v>iHerb</v>
      </c>
      <c r="K837" s="3">
        <f t="shared" si="52"/>
        <v>2021</v>
      </c>
      <c r="L837" s="6">
        <f t="shared" si="53"/>
        <v>44197</v>
      </c>
      <c r="M837" s="3" t="str">
        <f t="shared" si="54"/>
        <v>0% to 5%</v>
      </c>
      <c r="N837" s="3" t="str">
        <f t="shared" si="55"/>
        <v>OK</v>
      </c>
    </row>
    <row r="838" spans="1:14" x14ac:dyDescent="0.3">
      <c r="A838" s="2">
        <f>DATE(VALUE(RIGHT(TRIM([1]Raw_Data!A836),4)),VALUE(MID(TRIM([1]Raw_Data!A836),4,2)),VALUE(LEFT(TRIM([1]Raw_Data!A836),2)))</f>
        <v>44200</v>
      </c>
      <c r="B838" s="3" t="str">
        <f>TRIM([1]Raw_Data!B836)</f>
        <v>Fish Oil</v>
      </c>
      <c r="C838" s="3" t="str">
        <f>TRIM([1]Raw_Data!C836)</f>
        <v>Omega</v>
      </c>
      <c r="D838" s="3">
        <f>[1]Raw_Data!D836</f>
        <v>159</v>
      </c>
      <c r="E838" s="4">
        <f>[1]Raw_Data!E836</f>
        <v>16.8</v>
      </c>
      <c r="F838" s="5">
        <f>[1]Raw_Data!F836</f>
        <v>2671.2</v>
      </c>
      <c r="G838" s="4">
        <f>[1]Raw_Data!G836</f>
        <v>0.21</v>
      </c>
      <c r="H838" s="3">
        <f>[1]Raw_Data!H836</f>
        <v>0</v>
      </c>
      <c r="I838" s="3" t="str">
        <f>TRIM([1]Raw_Data!I836)</f>
        <v>UK</v>
      </c>
      <c r="J838" s="3" t="str">
        <f>TRIM([1]Raw_Data!J836)</f>
        <v>Amazon</v>
      </c>
      <c r="K838" s="3">
        <f t="shared" si="52"/>
        <v>2021</v>
      </c>
      <c r="L838" s="6">
        <f t="shared" si="53"/>
        <v>44197</v>
      </c>
      <c r="M838" s="3" t="str">
        <f t="shared" si="54"/>
        <v>21% to 25%</v>
      </c>
      <c r="N838" s="3" t="str">
        <f t="shared" si="55"/>
        <v>OK</v>
      </c>
    </row>
    <row r="839" spans="1:14" x14ac:dyDescent="0.3">
      <c r="A839" s="2">
        <f>DATE(VALUE(RIGHT(TRIM([1]Raw_Data!A837),4)),VALUE(MID(TRIM([1]Raw_Data!A837),4,2)),VALUE(LEFT(TRIM([1]Raw_Data!A837),2)))</f>
        <v>44200</v>
      </c>
      <c r="B839" s="3" t="str">
        <f>TRIM([1]Raw_Data!B837)</f>
        <v>Multivitamin</v>
      </c>
      <c r="C839" s="3" t="str">
        <f>TRIM([1]Raw_Data!C837)</f>
        <v>Vitamin</v>
      </c>
      <c r="D839" s="3">
        <f>[1]Raw_Data!D837</f>
        <v>143</v>
      </c>
      <c r="E839" s="4">
        <f>[1]Raw_Data!E837</f>
        <v>28.62</v>
      </c>
      <c r="F839" s="5">
        <f>[1]Raw_Data!F837</f>
        <v>4092.66</v>
      </c>
      <c r="G839" s="4">
        <f>[1]Raw_Data!G837</f>
        <v>0.06</v>
      </c>
      <c r="H839" s="3">
        <f>[1]Raw_Data!H837</f>
        <v>1</v>
      </c>
      <c r="I839" s="3" t="str">
        <f>TRIM([1]Raw_Data!I837)</f>
        <v>USA</v>
      </c>
      <c r="J839" s="3" t="str">
        <f>TRIM([1]Raw_Data!J837)</f>
        <v>iHerb</v>
      </c>
      <c r="K839" s="3">
        <f t="shared" si="52"/>
        <v>2021</v>
      </c>
      <c r="L839" s="6">
        <f t="shared" si="53"/>
        <v>44197</v>
      </c>
      <c r="M839" s="3" t="str">
        <f t="shared" si="54"/>
        <v>6% to 10%</v>
      </c>
      <c r="N839" s="3" t="str">
        <f t="shared" si="55"/>
        <v>OK</v>
      </c>
    </row>
    <row r="840" spans="1:14" x14ac:dyDescent="0.3">
      <c r="A840" s="2">
        <f>DATE(VALUE(RIGHT(TRIM([1]Raw_Data!A838),4)),VALUE(MID(TRIM([1]Raw_Data!A838),4,2)),VALUE(LEFT(TRIM([1]Raw_Data!A838),2)))</f>
        <v>44200</v>
      </c>
      <c r="B840" s="3" t="str">
        <f>TRIM([1]Raw_Data!B838)</f>
        <v>Pre-Workout</v>
      </c>
      <c r="C840" s="3" t="str">
        <f>TRIM([1]Raw_Data!C838)</f>
        <v>Performance</v>
      </c>
      <c r="D840" s="3">
        <f>[1]Raw_Data!D838</f>
        <v>147</v>
      </c>
      <c r="E840" s="4">
        <f>[1]Raw_Data!E838</f>
        <v>12.8</v>
      </c>
      <c r="F840" s="5">
        <f>[1]Raw_Data!F838</f>
        <v>1881.6</v>
      </c>
      <c r="G840" s="4">
        <f>[1]Raw_Data!G838</f>
        <v>0.04</v>
      </c>
      <c r="H840" s="3">
        <f>[1]Raw_Data!H838</f>
        <v>0</v>
      </c>
      <c r="I840" s="3" t="str">
        <f>TRIM([1]Raw_Data!I838)</f>
        <v>UK</v>
      </c>
      <c r="J840" s="3" t="str">
        <f>TRIM([1]Raw_Data!J838)</f>
        <v>iHerb</v>
      </c>
      <c r="K840" s="3">
        <f t="shared" si="52"/>
        <v>2021</v>
      </c>
      <c r="L840" s="6">
        <f t="shared" si="53"/>
        <v>44197</v>
      </c>
      <c r="M840" s="3" t="str">
        <f t="shared" si="54"/>
        <v>0% to 5%</v>
      </c>
      <c r="N840" s="3" t="str">
        <f t="shared" si="55"/>
        <v>OK</v>
      </c>
    </row>
    <row r="841" spans="1:14" x14ac:dyDescent="0.3">
      <c r="A841" s="2">
        <f>DATE(VALUE(RIGHT(TRIM([1]Raw_Data!A839),4)),VALUE(MID(TRIM([1]Raw_Data!A839),4,2)),VALUE(LEFT(TRIM([1]Raw_Data!A839),2)))</f>
        <v>44200</v>
      </c>
      <c r="B841" s="3" t="str">
        <f>TRIM([1]Raw_Data!B839)</f>
        <v>BCAA</v>
      </c>
      <c r="C841" s="3" t="str">
        <f>TRIM([1]Raw_Data!C839)</f>
        <v>Amino Acid</v>
      </c>
      <c r="D841" s="3">
        <f>[1]Raw_Data!D839</f>
        <v>154</v>
      </c>
      <c r="E841" s="4">
        <f>[1]Raw_Data!E839</f>
        <v>51.82</v>
      </c>
      <c r="F841" s="5">
        <f>[1]Raw_Data!F839</f>
        <v>7980.28</v>
      </c>
      <c r="G841" s="4">
        <f>[1]Raw_Data!G839</f>
        <v>0.13</v>
      </c>
      <c r="H841" s="3">
        <f>[1]Raw_Data!H839</f>
        <v>1</v>
      </c>
      <c r="I841" s="3" t="str">
        <f>TRIM([1]Raw_Data!I839)</f>
        <v>UK</v>
      </c>
      <c r="J841" s="3" t="str">
        <f>TRIM([1]Raw_Data!J839)</f>
        <v>iHerb</v>
      </c>
      <c r="K841" s="3">
        <f t="shared" si="52"/>
        <v>2021</v>
      </c>
      <c r="L841" s="6">
        <f t="shared" si="53"/>
        <v>44197</v>
      </c>
      <c r="M841" s="3" t="str">
        <f t="shared" si="54"/>
        <v>11% to 15%</v>
      </c>
      <c r="N841" s="3" t="str">
        <f t="shared" si="55"/>
        <v>OK</v>
      </c>
    </row>
    <row r="842" spans="1:14" x14ac:dyDescent="0.3">
      <c r="A842" s="2">
        <f>DATE(VALUE(RIGHT(TRIM([1]Raw_Data!A840),4)),VALUE(MID(TRIM([1]Raw_Data!A840),4,2)),VALUE(LEFT(TRIM([1]Raw_Data!A840),2)))</f>
        <v>44200</v>
      </c>
      <c r="B842" s="3" t="str">
        <f>TRIM([1]Raw_Data!B840)</f>
        <v>Creatine</v>
      </c>
      <c r="C842" s="3" t="str">
        <f>TRIM([1]Raw_Data!C840)</f>
        <v>Performance</v>
      </c>
      <c r="D842" s="3">
        <f>[1]Raw_Data!D840</f>
        <v>152</v>
      </c>
      <c r="E842" s="4">
        <f>[1]Raw_Data!E840</f>
        <v>19.88</v>
      </c>
      <c r="F842" s="5">
        <f>[1]Raw_Data!F840</f>
        <v>3021.76</v>
      </c>
      <c r="G842" s="4">
        <f>[1]Raw_Data!G840</f>
        <v>0.08</v>
      </c>
      <c r="H842" s="3">
        <f>[1]Raw_Data!H840</f>
        <v>2</v>
      </c>
      <c r="I842" s="3" t="str">
        <f>TRIM([1]Raw_Data!I840)</f>
        <v>USA</v>
      </c>
      <c r="J842" s="3" t="str">
        <f>TRIM([1]Raw_Data!J840)</f>
        <v>Walmart</v>
      </c>
      <c r="K842" s="3">
        <f t="shared" si="52"/>
        <v>2021</v>
      </c>
      <c r="L842" s="6">
        <f t="shared" si="53"/>
        <v>44197</v>
      </c>
      <c r="M842" s="3" t="str">
        <f t="shared" si="54"/>
        <v>6% to 10%</v>
      </c>
      <c r="N842" s="3" t="str">
        <f t="shared" si="55"/>
        <v>OK</v>
      </c>
    </row>
    <row r="843" spans="1:14" x14ac:dyDescent="0.3">
      <c r="A843" s="2">
        <f>DATE(VALUE(RIGHT(TRIM([1]Raw_Data!A841),4)),VALUE(MID(TRIM([1]Raw_Data!A841),4,2)),VALUE(LEFT(TRIM([1]Raw_Data!A841),2)))</f>
        <v>44200</v>
      </c>
      <c r="B843" s="3" t="str">
        <f>TRIM([1]Raw_Data!B841)</f>
        <v>Zinc</v>
      </c>
      <c r="C843" s="3" t="str">
        <f>TRIM([1]Raw_Data!C841)</f>
        <v>Mineral</v>
      </c>
      <c r="D843" s="3">
        <f>[1]Raw_Data!D841</f>
        <v>139</v>
      </c>
      <c r="E843" s="4">
        <f>[1]Raw_Data!E841</f>
        <v>58.51</v>
      </c>
      <c r="F843" s="5">
        <f>[1]Raw_Data!F841</f>
        <v>8132.89</v>
      </c>
      <c r="G843" s="4">
        <f>[1]Raw_Data!G841</f>
        <v>0.01</v>
      </c>
      <c r="H843" s="3">
        <f>[1]Raw_Data!H841</f>
        <v>2</v>
      </c>
      <c r="I843" s="3" t="str">
        <f>TRIM([1]Raw_Data!I841)</f>
        <v>USA</v>
      </c>
      <c r="J843" s="3" t="str">
        <f>TRIM([1]Raw_Data!J841)</f>
        <v>iHerb</v>
      </c>
      <c r="K843" s="3">
        <f t="shared" si="52"/>
        <v>2021</v>
      </c>
      <c r="L843" s="6">
        <f t="shared" si="53"/>
        <v>44197</v>
      </c>
      <c r="M843" s="3" t="str">
        <f t="shared" si="54"/>
        <v>0% to 5%</v>
      </c>
      <c r="N843" s="3" t="str">
        <f t="shared" si="55"/>
        <v>OK</v>
      </c>
    </row>
    <row r="844" spans="1:14" x14ac:dyDescent="0.3">
      <c r="A844" s="2">
        <f>DATE(VALUE(RIGHT(TRIM([1]Raw_Data!A842),4)),VALUE(MID(TRIM([1]Raw_Data!A842),4,2)),VALUE(LEFT(TRIM([1]Raw_Data!A842),2)))</f>
        <v>44200</v>
      </c>
      <c r="B844" s="3" t="str">
        <f>TRIM([1]Raw_Data!B842)</f>
        <v>Collagen Peptides</v>
      </c>
      <c r="C844" s="3" t="str">
        <f>TRIM([1]Raw_Data!C842)</f>
        <v>Protein</v>
      </c>
      <c r="D844" s="3">
        <f>[1]Raw_Data!D842</f>
        <v>161</v>
      </c>
      <c r="E844" s="4">
        <f>[1]Raw_Data!E842</f>
        <v>16.78</v>
      </c>
      <c r="F844" s="5">
        <f>[1]Raw_Data!F842</f>
        <v>2701.58</v>
      </c>
      <c r="G844" s="4">
        <f>[1]Raw_Data!G842</f>
        <v>0.04</v>
      </c>
      <c r="H844" s="3">
        <f>[1]Raw_Data!H842</f>
        <v>2</v>
      </c>
      <c r="I844" s="3" t="str">
        <f>TRIM([1]Raw_Data!I842)</f>
        <v>UK</v>
      </c>
      <c r="J844" s="3" t="str">
        <f>TRIM([1]Raw_Data!J842)</f>
        <v>iHerb</v>
      </c>
      <c r="K844" s="3">
        <f t="shared" si="52"/>
        <v>2021</v>
      </c>
      <c r="L844" s="6">
        <f t="shared" si="53"/>
        <v>44197</v>
      </c>
      <c r="M844" s="3" t="str">
        <f t="shared" si="54"/>
        <v>0% to 5%</v>
      </c>
      <c r="N844" s="3" t="str">
        <f t="shared" si="55"/>
        <v>OK</v>
      </c>
    </row>
    <row r="845" spans="1:14" x14ac:dyDescent="0.3">
      <c r="A845" s="2">
        <f>DATE(VALUE(RIGHT(TRIM([1]Raw_Data!A843),4)),VALUE(MID(TRIM([1]Raw_Data!A843),4,2)),VALUE(LEFT(TRIM([1]Raw_Data!A843),2)))</f>
        <v>44200</v>
      </c>
      <c r="B845" s="3" t="str">
        <f>TRIM([1]Raw_Data!B843)</f>
        <v>Magnesium</v>
      </c>
      <c r="C845" s="3" t="str">
        <f>TRIM([1]Raw_Data!C843)</f>
        <v>Mineral</v>
      </c>
      <c r="D845" s="3">
        <f>[1]Raw_Data!D843</f>
        <v>155</v>
      </c>
      <c r="E845" s="4">
        <f>[1]Raw_Data!E843</f>
        <v>56.87</v>
      </c>
      <c r="F845" s="5">
        <f>[1]Raw_Data!F843</f>
        <v>8814.85</v>
      </c>
      <c r="G845" s="4">
        <f>[1]Raw_Data!G843</f>
        <v>0.17</v>
      </c>
      <c r="H845" s="3">
        <f>[1]Raw_Data!H843</f>
        <v>0</v>
      </c>
      <c r="I845" s="3" t="str">
        <f>TRIM([1]Raw_Data!I843)</f>
        <v>Canada</v>
      </c>
      <c r="J845" s="3" t="str">
        <f>TRIM([1]Raw_Data!J843)</f>
        <v>Walmart</v>
      </c>
      <c r="K845" s="3">
        <f t="shared" si="52"/>
        <v>2021</v>
      </c>
      <c r="L845" s="6">
        <f t="shared" si="53"/>
        <v>44197</v>
      </c>
      <c r="M845" s="3" t="str">
        <f t="shared" si="54"/>
        <v>16% to 20%</v>
      </c>
      <c r="N845" s="3" t="str">
        <f t="shared" si="55"/>
        <v>OK</v>
      </c>
    </row>
    <row r="846" spans="1:14" x14ac:dyDescent="0.3">
      <c r="A846" s="2">
        <f>DATE(VALUE(RIGHT(TRIM([1]Raw_Data!A844),4)),VALUE(MID(TRIM([1]Raw_Data!A844),4,2)),VALUE(LEFT(TRIM([1]Raw_Data!A844),2)))</f>
        <v>44200</v>
      </c>
      <c r="B846" s="3" t="str">
        <f>TRIM([1]Raw_Data!B844)</f>
        <v>Ashwagandha</v>
      </c>
      <c r="C846" s="3" t="str">
        <f>TRIM([1]Raw_Data!C844)</f>
        <v>Herbal</v>
      </c>
      <c r="D846" s="3">
        <f>[1]Raw_Data!D844</f>
        <v>140</v>
      </c>
      <c r="E846" s="4">
        <f>[1]Raw_Data!E844</f>
        <v>20.47</v>
      </c>
      <c r="F846" s="5">
        <f>[1]Raw_Data!F844</f>
        <v>2865.8</v>
      </c>
      <c r="G846" s="4">
        <f>[1]Raw_Data!G844</f>
        <v>0.02</v>
      </c>
      <c r="H846" s="3">
        <f>[1]Raw_Data!H844</f>
        <v>2</v>
      </c>
      <c r="I846" s="3" t="str">
        <f>TRIM([1]Raw_Data!I844)</f>
        <v>USA</v>
      </c>
      <c r="J846" s="3" t="str">
        <f>TRIM([1]Raw_Data!J844)</f>
        <v>Amazon</v>
      </c>
      <c r="K846" s="3">
        <f t="shared" si="52"/>
        <v>2021</v>
      </c>
      <c r="L846" s="6">
        <f t="shared" si="53"/>
        <v>44197</v>
      </c>
      <c r="M846" s="3" t="str">
        <f t="shared" si="54"/>
        <v>0% to 5%</v>
      </c>
      <c r="N846" s="3" t="str">
        <f t="shared" si="55"/>
        <v>OK</v>
      </c>
    </row>
    <row r="847" spans="1:14" x14ac:dyDescent="0.3">
      <c r="A847" s="2">
        <f>DATE(VALUE(RIGHT(TRIM([1]Raw_Data!A845),4)),VALUE(MID(TRIM([1]Raw_Data!A845),4,2)),VALUE(LEFT(TRIM([1]Raw_Data!A845),2)))</f>
        <v>44200</v>
      </c>
      <c r="B847" s="3" t="str">
        <f>TRIM([1]Raw_Data!B845)</f>
        <v>Melatonin</v>
      </c>
      <c r="C847" s="3" t="str">
        <f>TRIM([1]Raw_Data!C845)</f>
        <v>Sleep Aid</v>
      </c>
      <c r="D847" s="3">
        <f>[1]Raw_Data!D845</f>
        <v>146</v>
      </c>
      <c r="E847" s="4">
        <f>[1]Raw_Data!E845</f>
        <v>42.51</v>
      </c>
      <c r="F847" s="5">
        <f>[1]Raw_Data!F845</f>
        <v>6206.46</v>
      </c>
      <c r="G847" s="4">
        <f>[1]Raw_Data!G845</f>
        <v>0.02</v>
      </c>
      <c r="H847" s="3">
        <f>[1]Raw_Data!H845</f>
        <v>4</v>
      </c>
      <c r="I847" s="3" t="str">
        <f>TRIM([1]Raw_Data!I845)</f>
        <v>UK</v>
      </c>
      <c r="J847" s="3" t="str">
        <f>TRIM([1]Raw_Data!J845)</f>
        <v>Amazon</v>
      </c>
      <c r="K847" s="3">
        <f t="shared" si="52"/>
        <v>2021</v>
      </c>
      <c r="L847" s="6">
        <f t="shared" si="53"/>
        <v>44197</v>
      </c>
      <c r="M847" s="3" t="str">
        <f t="shared" si="54"/>
        <v>0% to 5%</v>
      </c>
      <c r="N847" s="3" t="str">
        <f t="shared" si="55"/>
        <v>OK</v>
      </c>
    </row>
    <row r="848" spans="1:14" x14ac:dyDescent="0.3">
      <c r="A848" s="2">
        <f>DATE(VALUE(RIGHT(TRIM([1]Raw_Data!A846),4)),VALUE(MID(TRIM([1]Raw_Data!A846),4,2)),VALUE(LEFT(TRIM([1]Raw_Data!A846),2)))</f>
        <v>44200</v>
      </c>
      <c r="B848" s="3" t="str">
        <f>TRIM([1]Raw_Data!B846)</f>
        <v>Biotin</v>
      </c>
      <c r="C848" s="3" t="str">
        <f>TRIM([1]Raw_Data!C846)</f>
        <v>Vitamin</v>
      </c>
      <c r="D848" s="3">
        <f>[1]Raw_Data!D846</f>
        <v>141</v>
      </c>
      <c r="E848" s="4">
        <f>[1]Raw_Data!E846</f>
        <v>30.11</v>
      </c>
      <c r="F848" s="5">
        <f>[1]Raw_Data!F846</f>
        <v>4245.51</v>
      </c>
      <c r="G848" s="4">
        <f>[1]Raw_Data!G846</f>
        <v>0.01</v>
      </c>
      <c r="H848" s="3">
        <f>[1]Raw_Data!H846</f>
        <v>1</v>
      </c>
      <c r="I848" s="3" t="str">
        <f>TRIM([1]Raw_Data!I846)</f>
        <v>USA</v>
      </c>
      <c r="J848" s="3" t="str">
        <f>TRIM([1]Raw_Data!J846)</f>
        <v>iHerb</v>
      </c>
      <c r="K848" s="3">
        <f t="shared" si="52"/>
        <v>2021</v>
      </c>
      <c r="L848" s="6">
        <f t="shared" si="53"/>
        <v>44197</v>
      </c>
      <c r="M848" s="3" t="str">
        <f t="shared" si="54"/>
        <v>0% to 5%</v>
      </c>
      <c r="N848" s="3" t="str">
        <f t="shared" si="55"/>
        <v>OK</v>
      </c>
    </row>
    <row r="849" spans="1:14" x14ac:dyDescent="0.3">
      <c r="A849" s="2">
        <f>DATE(VALUE(RIGHT(TRIM([1]Raw_Data!A847),4)),VALUE(MID(TRIM([1]Raw_Data!A847),4,2)),VALUE(LEFT(TRIM([1]Raw_Data!A847),2)))</f>
        <v>44200</v>
      </c>
      <c r="B849" s="3" t="str">
        <f>TRIM([1]Raw_Data!B847)</f>
        <v>Green Tea Extract</v>
      </c>
      <c r="C849" s="3" t="str">
        <f>TRIM([1]Raw_Data!C847)</f>
        <v>Fat Burner</v>
      </c>
      <c r="D849" s="3">
        <f>[1]Raw_Data!D847</f>
        <v>133</v>
      </c>
      <c r="E849" s="4">
        <f>[1]Raw_Data!E847</f>
        <v>27.54</v>
      </c>
      <c r="F849" s="5">
        <f>[1]Raw_Data!F847</f>
        <v>3662.82</v>
      </c>
      <c r="G849" s="4">
        <f>[1]Raw_Data!G847</f>
        <v>0.19</v>
      </c>
      <c r="H849" s="3">
        <f>[1]Raw_Data!H847</f>
        <v>2</v>
      </c>
      <c r="I849" s="3" t="str">
        <f>TRIM([1]Raw_Data!I847)</f>
        <v>UK</v>
      </c>
      <c r="J849" s="3" t="str">
        <f>TRIM([1]Raw_Data!J847)</f>
        <v>Amazon</v>
      </c>
      <c r="K849" s="3">
        <f t="shared" si="52"/>
        <v>2021</v>
      </c>
      <c r="L849" s="6">
        <f t="shared" si="53"/>
        <v>44197</v>
      </c>
      <c r="M849" s="3" t="str">
        <f t="shared" si="54"/>
        <v>16% to 20%</v>
      </c>
      <c r="N849" s="3" t="str">
        <f t="shared" si="55"/>
        <v>OK</v>
      </c>
    </row>
    <row r="850" spans="1:14" x14ac:dyDescent="0.3">
      <c r="A850" s="2">
        <f>DATE(VALUE(RIGHT(TRIM([1]Raw_Data!A848),4)),VALUE(MID(TRIM([1]Raw_Data!A848),4,2)),VALUE(LEFT(TRIM([1]Raw_Data!A848),2)))</f>
        <v>44200</v>
      </c>
      <c r="B850" s="3" t="str">
        <f>TRIM([1]Raw_Data!B848)</f>
        <v>Iron Supplement</v>
      </c>
      <c r="C850" s="3" t="str">
        <f>TRIM([1]Raw_Data!C848)</f>
        <v>Mineral</v>
      </c>
      <c r="D850" s="3">
        <f>[1]Raw_Data!D848</f>
        <v>136</v>
      </c>
      <c r="E850" s="4">
        <f>[1]Raw_Data!E848</f>
        <v>28.67</v>
      </c>
      <c r="F850" s="5">
        <f>[1]Raw_Data!F848</f>
        <v>3899.12</v>
      </c>
      <c r="G850" s="4">
        <f>[1]Raw_Data!G848</f>
        <v>0.04</v>
      </c>
      <c r="H850" s="3">
        <f>[1]Raw_Data!H848</f>
        <v>2</v>
      </c>
      <c r="I850" s="3" t="str">
        <f>TRIM([1]Raw_Data!I848)</f>
        <v>UK</v>
      </c>
      <c r="J850" s="3" t="str">
        <f>TRIM([1]Raw_Data!J848)</f>
        <v>Walmart</v>
      </c>
      <c r="K850" s="3">
        <f t="shared" si="52"/>
        <v>2021</v>
      </c>
      <c r="L850" s="6">
        <f t="shared" si="53"/>
        <v>44197</v>
      </c>
      <c r="M850" s="3" t="str">
        <f t="shared" si="54"/>
        <v>0% to 5%</v>
      </c>
      <c r="N850" s="3" t="str">
        <f t="shared" si="55"/>
        <v>OK</v>
      </c>
    </row>
    <row r="851" spans="1:14" x14ac:dyDescent="0.3">
      <c r="A851" s="2">
        <f>DATE(VALUE(RIGHT(TRIM([1]Raw_Data!A849),4)),VALUE(MID(TRIM([1]Raw_Data!A849),4,2)),VALUE(LEFT(TRIM([1]Raw_Data!A849),2)))</f>
        <v>44200</v>
      </c>
      <c r="B851" s="3" t="str">
        <f>TRIM([1]Raw_Data!B849)</f>
        <v>Electrolyte Powder</v>
      </c>
      <c r="C851" s="3" t="str">
        <f>TRIM([1]Raw_Data!C849)</f>
        <v>Hydration</v>
      </c>
      <c r="D851" s="3">
        <f>[1]Raw_Data!D849</f>
        <v>158</v>
      </c>
      <c r="E851" s="4">
        <f>[1]Raw_Data!E849</f>
        <v>28.34</v>
      </c>
      <c r="F851" s="5">
        <f>[1]Raw_Data!F849</f>
        <v>4477.72</v>
      </c>
      <c r="G851" s="4">
        <f>[1]Raw_Data!G849</f>
        <v>0.03</v>
      </c>
      <c r="H851" s="3">
        <f>[1]Raw_Data!H849</f>
        <v>2</v>
      </c>
      <c r="I851" s="3" t="str">
        <f>TRIM([1]Raw_Data!I849)</f>
        <v>Canada</v>
      </c>
      <c r="J851" s="3" t="str">
        <f>TRIM([1]Raw_Data!J849)</f>
        <v>iHerb</v>
      </c>
      <c r="K851" s="3">
        <f t="shared" si="52"/>
        <v>2021</v>
      </c>
      <c r="L851" s="6">
        <f t="shared" si="53"/>
        <v>44197</v>
      </c>
      <c r="M851" s="3" t="str">
        <f t="shared" si="54"/>
        <v>0% to 5%</v>
      </c>
      <c r="N851" s="3" t="str">
        <f t="shared" si="55"/>
        <v>OK</v>
      </c>
    </row>
    <row r="852" spans="1:14" x14ac:dyDescent="0.3">
      <c r="A852" s="2">
        <f>DATE(VALUE(RIGHT(TRIM([1]Raw_Data!A850),4)),VALUE(MID(TRIM([1]Raw_Data!A850),4,2)),VALUE(LEFT(TRIM([1]Raw_Data!A850),2)))</f>
        <v>44207</v>
      </c>
      <c r="B852" s="3" t="str">
        <f>TRIM([1]Raw_Data!B850)</f>
        <v>Whey Protein</v>
      </c>
      <c r="C852" s="3" t="str">
        <f>TRIM([1]Raw_Data!C850)</f>
        <v>Protein</v>
      </c>
      <c r="D852" s="3">
        <f>[1]Raw_Data!D850</f>
        <v>161</v>
      </c>
      <c r="E852" s="4">
        <f>[1]Raw_Data!E850</f>
        <v>38.93</v>
      </c>
      <c r="F852" s="5">
        <f>[1]Raw_Data!F850</f>
        <v>6267.73</v>
      </c>
      <c r="G852" s="4">
        <f>[1]Raw_Data!G850</f>
        <v>0.23</v>
      </c>
      <c r="H852" s="3">
        <f>[1]Raw_Data!H850</f>
        <v>2</v>
      </c>
      <c r="I852" s="3" t="str">
        <f>TRIM([1]Raw_Data!I850)</f>
        <v>USA</v>
      </c>
      <c r="J852" s="3" t="str">
        <f>TRIM([1]Raw_Data!J850)</f>
        <v>iHerb</v>
      </c>
      <c r="K852" s="3">
        <f t="shared" si="52"/>
        <v>2021</v>
      </c>
      <c r="L852" s="6">
        <f t="shared" si="53"/>
        <v>44197</v>
      </c>
      <c r="M852" s="3" t="str">
        <f t="shared" si="54"/>
        <v>21% to 25%</v>
      </c>
      <c r="N852" s="3" t="str">
        <f t="shared" si="55"/>
        <v>OK</v>
      </c>
    </row>
    <row r="853" spans="1:14" x14ac:dyDescent="0.3">
      <c r="A853" s="2">
        <f>DATE(VALUE(RIGHT(TRIM([1]Raw_Data!A851),4)),VALUE(MID(TRIM([1]Raw_Data!A851),4,2)),VALUE(LEFT(TRIM([1]Raw_Data!A851),2)))</f>
        <v>44207</v>
      </c>
      <c r="B853" s="3" t="str">
        <f>TRIM([1]Raw_Data!B851)</f>
        <v>Vitamin C</v>
      </c>
      <c r="C853" s="3" t="str">
        <f>TRIM([1]Raw_Data!C851)</f>
        <v>Vitamin</v>
      </c>
      <c r="D853" s="3">
        <f>[1]Raw_Data!D851</f>
        <v>137</v>
      </c>
      <c r="E853" s="4">
        <f>[1]Raw_Data!E851</f>
        <v>52.16</v>
      </c>
      <c r="F853" s="5">
        <f>[1]Raw_Data!F851</f>
        <v>7145.92</v>
      </c>
      <c r="G853" s="4">
        <f>[1]Raw_Data!G851</f>
        <v>0.16</v>
      </c>
      <c r="H853" s="3">
        <f>[1]Raw_Data!H851</f>
        <v>2</v>
      </c>
      <c r="I853" s="3" t="str">
        <f>TRIM([1]Raw_Data!I851)</f>
        <v>UK</v>
      </c>
      <c r="J853" s="3" t="str">
        <f>TRIM([1]Raw_Data!J851)</f>
        <v>Amazon</v>
      </c>
      <c r="K853" s="3">
        <f t="shared" si="52"/>
        <v>2021</v>
      </c>
      <c r="L853" s="6">
        <f t="shared" si="53"/>
        <v>44197</v>
      </c>
      <c r="M853" s="3" t="str">
        <f t="shared" si="54"/>
        <v>16% to 20%</v>
      </c>
      <c r="N853" s="3" t="str">
        <f t="shared" si="55"/>
        <v>OK</v>
      </c>
    </row>
    <row r="854" spans="1:14" x14ac:dyDescent="0.3">
      <c r="A854" s="2">
        <f>DATE(VALUE(RIGHT(TRIM([1]Raw_Data!A852),4)),VALUE(MID(TRIM([1]Raw_Data!A852),4,2)),VALUE(LEFT(TRIM([1]Raw_Data!A852),2)))</f>
        <v>44207</v>
      </c>
      <c r="B854" s="3" t="str">
        <f>TRIM([1]Raw_Data!B852)</f>
        <v>Fish Oil</v>
      </c>
      <c r="C854" s="3" t="str">
        <f>TRIM([1]Raw_Data!C852)</f>
        <v>Omega</v>
      </c>
      <c r="D854" s="3">
        <f>[1]Raw_Data!D852</f>
        <v>171</v>
      </c>
      <c r="E854" s="4">
        <f>[1]Raw_Data!E852</f>
        <v>37.21</v>
      </c>
      <c r="F854" s="5">
        <f>[1]Raw_Data!F852</f>
        <v>6362.91</v>
      </c>
      <c r="G854" s="4">
        <f>[1]Raw_Data!G852</f>
        <v>0.19</v>
      </c>
      <c r="H854" s="3">
        <f>[1]Raw_Data!H852</f>
        <v>3</v>
      </c>
      <c r="I854" s="3" t="str">
        <f>TRIM([1]Raw_Data!I852)</f>
        <v>Canada</v>
      </c>
      <c r="J854" s="3" t="str">
        <f>TRIM([1]Raw_Data!J852)</f>
        <v>Walmart</v>
      </c>
      <c r="K854" s="3">
        <f t="shared" si="52"/>
        <v>2021</v>
      </c>
      <c r="L854" s="6">
        <f t="shared" si="53"/>
        <v>44197</v>
      </c>
      <c r="M854" s="3" t="str">
        <f t="shared" si="54"/>
        <v>16% to 20%</v>
      </c>
      <c r="N854" s="3" t="str">
        <f t="shared" si="55"/>
        <v>OK</v>
      </c>
    </row>
    <row r="855" spans="1:14" x14ac:dyDescent="0.3">
      <c r="A855" s="2">
        <f>DATE(VALUE(RIGHT(TRIM([1]Raw_Data!A853),4)),VALUE(MID(TRIM([1]Raw_Data!A853),4,2)),VALUE(LEFT(TRIM([1]Raw_Data!A853),2)))</f>
        <v>44207</v>
      </c>
      <c r="B855" s="3" t="str">
        <f>TRIM([1]Raw_Data!B853)</f>
        <v>Multivitamin</v>
      </c>
      <c r="C855" s="3" t="str">
        <f>TRIM([1]Raw_Data!C853)</f>
        <v>Vitamin</v>
      </c>
      <c r="D855" s="3">
        <f>[1]Raw_Data!D853</f>
        <v>154</v>
      </c>
      <c r="E855" s="4">
        <f>[1]Raw_Data!E853</f>
        <v>49.87</v>
      </c>
      <c r="F855" s="5">
        <f>[1]Raw_Data!F853</f>
        <v>7679.98</v>
      </c>
      <c r="G855" s="4">
        <f>[1]Raw_Data!G853</f>
        <v>0.18</v>
      </c>
      <c r="H855" s="3">
        <f>[1]Raw_Data!H853</f>
        <v>0</v>
      </c>
      <c r="I855" s="3" t="str">
        <f>TRIM([1]Raw_Data!I853)</f>
        <v>UK</v>
      </c>
      <c r="J855" s="3" t="str">
        <f>TRIM([1]Raw_Data!J853)</f>
        <v>iHerb</v>
      </c>
      <c r="K855" s="3">
        <f t="shared" si="52"/>
        <v>2021</v>
      </c>
      <c r="L855" s="6">
        <f t="shared" si="53"/>
        <v>44197</v>
      </c>
      <c r="M855" s="3" t="str">
        <f t="shared" si="54"/>
        <v>16% to 20%</v>
      </c>
      <c r="N855" s="3" t="str">
        <f t="shared" si="55"/>
        <v>OK</v>
      </c>
    </row>
    <row r="856" spans="1:14" x14ac:dyDescent="0.3">
      <c r="A856" s="2">
        <f>DATE(VALUE(RIGHT(TRIM([1]Raw_Data!A854),4)),VALUE(MID(TRIM([1]Raw_Data!A854),4,2)),VALUE(LEFT(TRIM([1]Raw_Data!A854),2)))</f>
        <v>44207</v>
      </c>
      <c r="B856" s="3" t="str">
        <f>TRIM([1]Raw_Data!B854)</f>
        <v>Pre-Workout</v>
      </c>
      <c r="C856" s="3" t="str">
        <f>TRIM([1]Raw_Data!C854)</f>
        <v>Performance</v>
      </c>
      <c r="D856" s="3">
        <f>[1]Raw_Data!D854</f>
        <v>149</v>
      </c>
      <c r="E856" s="4">
        <f>[1]Raw_Data!E854</f>
        <v>26.87</v>
      </c>
      <c r="F856" s="5">
        <f>[1]Raw_Data!F854</f>
        <v>4003.63</v>
      </c>
      <c r="G856" s="4">
        <f>[1]Raw_Data!G854</f>
        <v>0</v>
      </c>
      <c r="H856" s="3">
        <f>[1]Raw_Data!H854</f>
        <v>1</v>
      </c>
      <c r="I856" s="3" t="str">
        <f>TRIM([1]Raw_Data!I854)</f>
        <v>Canada</v>
      </c>
      <c r="J856" s="3" t="str">
        <f>TRIM([1]Raw_Data!J854)</f>
        <v>Amazon</v>
      </c>
      <c r="K856" s="3">
        <f t="shared" si="52"/>
        <v>2021</v>
      </c>
      <c r="L856" s="6">
        <f t="shared" si="53"/>
        <v>44197</v>
      </c>
      <c r="M856" s="3" t="str">
        <f t="shared" si="54"/>
        <v>0% to 5%</v>
      </c>
      <c r="N856" s="3" t="str">
        <f t="shared" si="55"/>
        <v>OK</v>
      </c>
    </row>
    <row r="857" spans="1:14" x14ac:dyDescent="0.3">
      <c r="A857" s="2">
        <f>DATE(VALUE(RIGHT(TRIM([1]Raw_Data!A855),4)),VALUE(MID(TRIM([1]Raw_Data!A855),4,2)),VALUE(LEFT(TRIM([1]Raw_Data!A855),2)))</f>
        <v>44207</v>
      </c>
      <c r="B857" s="3" t="str">
        <f>TRIM([1]Raw_Data!B855)</f>
        <v>BCAA</v>
      </c>
      <c r="C857" s="3" t="str">
        <f>TRIM([1]Raw_Data!C855)</f>
        <v>Amino Acid</v>
      </c>
      <c r="D857" s="3">
        <f>[1]Raw_Data!D855</f>
        <v>152</v>
      </c>
      <c r="E857" s="4">
        <f>[1]Raw_Data!E855</f>
        <v>43.17</v>
      </c>
      <c r="F857" s="5">
        <f>[1]Raw_Data!F855</f>
        <v>6561.84</v>
      </c>
      <c r="G857" s="4">
        <f>[1]Raw_Data!G855</f>
        <v>0.21</v>
      </c>
      <c r="H857" s="3">
        <f>[1]Raw_Data!H855</f>
        <v>0</v>
      </c>
      <c r="I857" s="3" t="str">
        <f>TRIM([1]Raw_Data!I855)</f>
        <v>Canada</v>
      </c>
      <c r="J857" s="3" t="str">
        <f>TRIM([1]Raw_Data!J855)</f>
        <v>Walmart</v>
      </c>
      <c r="K857" s="3">
        <f t="shared" si="52"/>
        <v>2021</v>
      </c>
      <c r="L857" s="6">
        <f t="shared" si="53"/>
        <v>44197</v>
      </c>
      <c r="M857" s="3" t="str">
        <f t="shared" si="54"/>
        <v>21% to 25%</v>
      </c>
      <c r="N857" s="3" t="str">
        <f t="shared" si="55"/>
        <v>OK</v>
      </c>
    </row>
    <row r="858" spans="1:14" x14ac:dyDescent="0.3">
      <c r="A858" s="2">
        <f>DATE(VALUE(RIGHT(TRIM([1]Raw_Data!A856),4)),VALUE(MID(TRIM([1]Raw_Data!A856),4,2)),VALUE(LEFT(TRIM([1]Raw_Data!A856),2)))</f>
        <v>44207</v>
      </c>
      <c r="B858" s="3" t="str">
        <f>TRIM([1]Raw_Data!B856)</f>
        <v>Creatine</v>
      </c>
      <c r="C858" s="3" t="str">
        <f>TRIM([1]Raw_Data!C856)</f>
        <v>Performance</v>
      </c>
      <c r="D858" s="3">
        <f>[1]Raw_Data!D856</f>
        <v>133</v>
      </c>
      <c r="E858" s="4">
        <f>[1]Raw_Data!E856</f>
        <v>17.829999999999998</v>
      </c>
      <c r="F858" s="5">
        <f>[1]Raw_Data!F856</f>
        <v>2371.39</v>
      </c>
      <c r="G858" s="4">
        <f>[1]Raw_Data!G856</f>
        <v>0.24</v>
      </c>
      <c r="H858" s="3">
        <f>[1]Raw_Data!H856</f>
        <v>2</v>
      </c>
      <c r="I858" s="3" t="str">
        <f>TRIM([1]Raw_Data!I856)</f>
        <v>Canada</v>
      </c>
      <c r="J858" s="3" t="str">
        <f>TRIM([1]Raw_Data!J856)</f>
        <v>Walmart</v>
      </c>
      <c r="K858" s="3">
        <f t="shared" si="52"/>
        <v>2021</v>
      </c>
      <c r="L858" s="6">
        <f t="shared" si="53"/>
        <v>44197</v>
      </c>
      <c r="M858" s="3" t="str">
        <f t="shared" si="54"/>
        <v>21% to 25%</v>
      </c>
      <c r="N858" s="3" t="str">
        <f t="shared" si="55"/>
        <v>OK</v>
      </c>
    </row>
    <row r="859" spans="1:14" x14ac:dyDescent="0.3">
      <c r="A859" s="2">
        <f>DATE(VALUE(RIGHT(TRIM([1]Raw_Data!A857),4)),VALUE(MID(TRIM([1]Raw_Data!A857),4,2)),VALUE(LEFT(TRIM([1]Raw_Data!A857),2)))</f>
        <v>44207</v>
      </c>
      <c r="B859" s="3" t="str">
        <f>TRIM([1]Raw_Data!B857)</f>
        <v>Zinc</v>
      </c>
      <c r="C859" s="3" t="str">
        <f>TRIM([1]Raw_Data!C857)</f>
        <v>Mineral</v>
      </c>
      <c r="D859" s="3">
        <f>[1]Raw_Data!D857</f>
        <v>131</v>
      </c>
      <c r="E859" s="4">
        <f>[1]Raw_Data!E857</f>
        <v>41.91</v>
      </c>
      <c r="F859" s="5">
        <f>[1]Raw_Data!F857</f>
        <v>5490.21</v>
      </c>
      <c r="G859" s="4">
        <f>[1]Raw_Data!G857</f>
        <v>0.09</v>
      </c>
      <c r="H859" s="3">
        <f>[1]Raw_Data!H857</f>
        <v>3</v>
      </c>
      <c r="I859" s="3" t="str">
        <f>TRIM([1]Raw_Data!I857)</f>
        <v>UK</v>
      </c>
      <c r="J859" s="3" t="str">
        <f>TRIM([1]Raw_Data!J857)</f>
        <v>iHerb</v>
      </c>
      <c r="K859" s="3">
        <f t="shared" si="52"/>
        <v>2021</v>
      </c>
      <c r="L859" s="6">
        <f t="shared" si="53"/>
        <v>44197</v>
      </c>
      <c r="M859" s="3" t="str">
        <f t="shared" si="54"/>
        <v>6% to 10%</v>
      </c>
      <c r="N859" s="3" t="str">
        <f t="shared" si="55"/>
        <v>OK</v>
      </c>
    </row>
    <row r="860" spans="1:14" x14ac:dyDescent="0.3">
      <c r="A860" s="2">
        <f>DATE(VALUE(RIGHT(TRIM([1]Raw_Data!A858),4)),VALUE(MID(TRIM([1]Raw_Data!A858),4,2)),VALUE(LEFT(TRIM([1]Raw_Data!A858),2)))</f>
        <v>44207</v>
      </c>
      <c r="B860" s="3" t="str">
        <f>TRIM([1]Raw_Data!B858)</f>
        <v>Collagen Peptides</v>
      </c>
      <c r="C860" s="3" t="str">
        <f>TRIM([1]Raw_Data!C858)</f>
        <v>Protein</v>
      </c>
      <c r="D860" s="3">
        <f>[1]Raw_Data!D858</f>
        <v>126</v>
      </c>
      <c r="E860" s="4">
        <f>[1]Raw_Data!E858</f>
        <v>39.54</v>
      </c>
      <c r="F860" s="5">
        <f>[1]Raw_Data!F858</f>
        <v>4982.04</v>
      </c>
      <c r="G860" s="4">
        <f>[1]Raw_Data!G858</f>
        <v>0.16</v>
      </c>
      <c r="H860" s="3">
        <f>[1]Raw_Data!H858</f>
        <v>0</v>
      </c>
      <c r="I860" s="3" t="str">
        <f>TRIM([1]Raw_Data!I858)</f>
        <v>Canada</v>
      </c>
      <c r="J860" s="3" t="str">
        <f>TRIM([1]Raw_Data!J858)</f>
        <v>Walmart</v>
      </c>
      <c r="K860" s="3">
        <f t="shared" si="52"/>
        <v>2021</v>
      </c>
      <c r="L860" s="6">
        <f t="shared" si="53"/>
        <v>44197</v>
      </c>
      <c r="M860" s="3" t="str">
        <f t="shared" si="54"/>
        <v>16% to 20%</v>
      </c>
      <c r="N860" s="3" t="str">
        <f t="shared" si="55"/>
        <v>OK</v>
      </c>
    </row>
    <row r="861" spans="1:14" x14ac:dyDescent="0.3">
      <c r="A861" s="2">
        <f>DATE(VALUE(RIGHT(TRIM([1]Raw_Data!A859),4)),VALUE(MID(TRIM([1]Raw_Data!A859),4,2)),VALUE(LEFT(TRIM([1]Raw_Data!A859),2)))</f>
        <v>44207</v>
      </c>
      <c r="B861" s="3" t="str">
        <f>TRIM([1]Raw_Data!B859)</f>
        <v>Magnesium</v>
      </c>
      <c r="C861" s="3" t="str">
        <f>TRIM([1]Raw_Data!C859)</f>
        <v>Mineral</v>
      </c>
      <c r="D861" s="3">
        <f>[1]Raw_Data!D859</f>
        <v>145</v>
      </c>
      <c r="E861" s="4">
        <f>[1]Raw_Data!E859</f>
        <v>19.75</v>
      </c>
      <c r="F861" s="5">
        <f>[1]Raw_Data!F859</f>
        <v>2863.75</v>
      </c>
      <c r="G861" s="4">
        <f>[1]Raw_Data!G859</f>
        <v>0.21</v>
      </c>
      <c r="H861" s="3">
        <f>[1]Raw_Data!H859</f>
        <v>1</v>
      </c>
      <c r="I861" s="3" t="str">
        <f>TRIM([1]Raw_Data!I859)</f>
        <v>USA</v>
      </c>
      <c r="J861" s="3" t="str">
        <f>TRIM([1]Raw_Data!J859)</f>
        <v>iHerb</v>
      </c>
      <c r="K861" s="3">
        <f t="shared" si="52"/>
        <v>2021</v>
      </c>
      <c r="L861" s="6">
        <f t="shared" si="53"/>
        <v>44197</v>
      </c>
      <c r="M861" s="3" t="str">
        <f t="shared" si="54"/>
        <v>21% to 25%</v>
      </c>
      <c r="N861" s="3" t="str">
        <f t="shared" si="55"/>
        <v>OK</v>
      </c>
    </row>
    <row r="862" spans="1:14" x14ac:dyDescent="0.3">
      <c r="A862" s="2">
        <f>DATE(VALUE(RIGHT(TRIM([1]Raw_Data!A860),4)),VALUE(MID(TRIM([1]Raw_Data!A860),4,2)),VALUE(LEFT(TRIM([1]Raw_Data!A860),2)))</f>
        <v>44207</v>
      </c>
      <c r="B862" s="3" t="str">
        <f>TRIM([1]Raw_Data!B860)</f>
        <v>Ashwagandha</v>
      </c>
      <c r="C862" s="3" t="str">
        <f>TRIM([1]Raw_Data!C860)</f>
        <v>Herbal</v>
      </c>
      <c r="D862" s="3">
        <f>[1]Raw_Data!D860</f>
        <v>160</v>
      </c>
      <c r="E862" s="4">
        <f>[1]Raw_Data!E860</f>
        <v>20.38</v>
      </c>
      <c r="F862" s="5">
        <f>[1]Raw_Data!F860</f>
        <v>3260.8</v>
      </c>
      <c r="G862" s="4">
        <f>[1]Raw_Data!G860</f>
        <v>0.14000000000000001</v>
      </c>
      <c r="H862" s="3">
        <f>[1]Raw_Data!H860</f>
        <v>3</v>
      </c>
      <c r="I862" s="3" t="str">
        <f>TRIM([1]Raw_Data!I860)</f>
        <v>USA</v>
      </c>
      <c r="J862" s="3" t="str">
        <f>TRIM([1]Raw_Data!J860)</f>
        <v>iHerb</v>
      </c>
      <c r="K862" s="3">
        <f t="shared" si="52"/>
        <v>2021</v>
      </c>
      <c r="L862" s="6">
        <f t="shared" si="53"/>
        <v>44197</v>
      </c>
      <c r="M862" s="3" t="str">
        <f t="shared" si="54"/>
        <v>11% to 15%</v>
      </c>
      <c r="N862" s="3" t="str">
        <f t="shared" si="55"/>
        <v>OK</v>
      </c>
    </row>
    <row r="863" spans="1:14" x14ac:dyDescent="0.3">
      <c r="A863" s="2">
        <f>DATE(VALUE(RIGHT(TRIM([1]Raw_Data!A861),4)),VALUE(MID(TRIM([1]Raw_Data!A861),4,2)),VALUE(LEFT(TRIM([1]Raw_Data!A861),2)))</f>
        <v>44207</v>
      </c>
      <c r="B863" s="3" t="str">
        <f>TRIM([1]Raw_Data!B861)</f>
        <v>Melatonin</v>
      </c>
      <c r="C863" s="3" t="str">
        <f>TRIM([1]Raw_Data!C861)</f>
        <v>Sleep Aid</v>
      </c>
      <c r="D863" s="3">
        <f>[1]Raw_Data!D861</f>
        <v>148</v>
      </c>
      <c r="E863" s="4">
        <f>[1]Raw_Data!E861</f>
        <v>32.61</v>
      </c>
      <c r="F863" s="5">
        <f>[1]Raw_Data!F861</f>
        <v>4826.28</v>
      </c>
      <c r="G863" s="4">
        <f>[1]Raw_Data!G861</f>
        <v>0.04</v>
      </c>
      <c r="H863" s="3">
        <f>[1]Raw_Data!H861</f>
        <v>1</v>
      </c>
      <c r="I863" s="3" t="str">
        <f>TRIM([1]Raw_Data!I861)</f>
        <v>USA</v>
      </c>
      <c r="J863" s="3" t="str">
        <f>TRIM([1]Raw_Data!J861)</f>
        <v>Amazon</v>
      </c>
      <c r="K863" s="3">
        <f t="shared" si="52"/>
        <v>2021</v>
      </c>
      <c r="L863" s="6">
        <f t="shared" si="53"/>
        <v>44197</v>
      </c>
      <c r="M863" s="3" t="str">
        <f t="shared" si="54"/>
        <v>0% to 5%</v>
      </c>
      <c r="N863" s="3" t="str">
        <f t="shared" si="55"/>
        <v>OK</v>
      </c>
    </row>
    <row r="864" spans="1:14" x14ac:dyDescent="0.3">
      <c r="A864" s="2">
        <f>DATE(VALUE(RIGHT(TRIM([1]Raw_Data!A862),4)),VALUE(MID(TRIM([1]Raw_Data!A862),4,2)),VALUE(LEFT(TRIM([1]Raw_Data!A862),2)))</f>
        <v>44207</v>
      </c>
      <c r="B864" s="3" t="str">
        <f>TRIM([1]Raw_Data!B862)</f>
        <v>Biotin</v>
      </c>
      <c r="C864" s="3" t="str">
        <f>TRIM([1]Raw_Data!C862)</f>
        <v>Vitamin</v>
      </c>
      <c r="D864" s="3">
        <f>[1]Raw_Data!D862</f>
        <v>178</v>
      </c>
      <c r="E864" s="4">
        <f>[1]Raw_Data!E862</f>
        <v>53.4</v>
      </c>
      <c r="F864" s="5">
        <f>[1]Raw_Data!F862</f>
        <v>9505.2000000000007</v>
      </c>
      <c r="G864" s="4">
        <f>[1]Raw_Data!G862</f>
        <v>0.22</v>
      </c>
      <c r="H864" s="3">
        <f>[1]Raw_Data!H862</f>
        <v>1</v>
      </c>
      <c r="I864" s="3" t="str">
        <f>TRIM([1]Raw_Data!I862)</f>
        <v>Canada</v>
      </c>
      <c r="J864" s="3" t="str">
        <f>TRIM([1]Raw_Data!J862)</f>
        <v>Walmart</v>
      </c>
      <c r="K864" s="3">
        <f t="shared" si="52"/>
        <v>2021</v>
      </c>
      <c r="L864" s="6">
        <f t="shared" si="53"/>
        <v>44197</v>
      </c>
      <c r="M864" s="3" t="str">
        <f t="shared" si="54"/>
        <v>21% to 25%</v>
      </c>
      <c r="N864" s="3" t="str">
        <f t="shared" si="55"/>
        <v>OK</v>
      </c>
    </row>
    <row r="865" spans="1:14" x14ac:dyDescent="0.3">
      <c r="A865" s="2">
        <f>DATE(VALUE(RIGHT(TRIM([1]Raw_Data!A863),4)),VALUE(MID(TRIM([1]Raw_Data!A863),4,2)),VALUE(LEFT(TRIM([1]Raw_Data!A863),2)))</f>
        <v>44207</v>
      </c>
      <c r="B865" s="3" t="str">
        <f>TRIM([1]Raw_Data!B863)</f>
        <v>Green Tea Extract</v>
      </c>
      <c r="C865" s="3" t="str">
        <f>TRIM([1]Raw_Data!C863)</f>
        <v>Fat Burner</v>
      </c>
      <c r="D865" s="3">
        <f>[1]Raw_Data!D863</f>
        <v>129</v>
      </c>
      <c r="E865" s="4">
        <f>[1]Raw_Data!E863</f>
        <v>25.58</v>
      </c>
      <c r="F865" s="5">
        <f>[1]Raw_Data!F863</f>
        <v>3299.82</v>
      </c>
      <c r="G865" s="4">
        <f>[1]Raw_Data!G863</f>
        <v>0.2</v>
      </c>
      <c r="H865" s="3">
        <f>[1]Raw_Data!H863</f>
        <v>1</v>
      </c>
      <c r="I865" s="3" t="str">
        <f>TRIM([1]Raw_Data!I863)</f>
        <v>USA</v>
      </c>
      <c r="J865" s="3" t="str">
        <f>TRIM([1]Raw_Data!J863)</f>
        <v>Walmart</v>
      </c>
      <c r="K865" s="3">
        <f t="shared" si="52"/>
        <v>2021</v>
      </c>
      <c r="L865" s="6">
        <f t="shared" si="53"/>
        <v>44197</v>
      </c>
      <c r="M865" s="3" t="str">
        <f t="shared" si="54"/>
        <v>16% to 20%</v>
      </c>
      <c r="N865" s="3" t="str">
        <f t="shared" si="55"/>
        <v>OK</v>
      </c>
    </row>
    <row r="866" spans="1:14" x14ac:dyDescent="0.3">
      <c r="A866" s="2">
        <f>DATE(VALUE(RIGHT(TRIM([1]Raw_Data!A864),4)),VALUE(MID(TRIM([1]Raw_Data!A864),4,2)),VALUE(LEFT(TRIM([1]Raw_Data!A864),2)))</f>
        <v>44207</v>
      </c>
      <c r="B866" s="3" t="str">
        <f>TRIM([1]Raw_Data!B864)</f>
        <v>Iron Supplement</v>
      </c>
      <c r="C866" s="3" t="str">
        <f>TRIM([1]Raw_Data!C864)</f>
        <v>Mineral</v>
      </c>
      <c r="D866" s="3">
        <f>[1]Raw_Data!D864</f>
        <v>149</v>
      </c>
      <c r="E866" s="4">
        <f>[1]Raw_Data!E864</f>
        <v>29.12</v>
      </c>
      <c r="F866" s="5">
        <f>[1]Raw_Data!F864</f>
        <v>4338.88</v>
      </c>
      <c r="G866" s="4">
        <f>[1]Raw_Data!G864</f>
        <v>0.11</v>
      </c>
      <c r="H866" s="3">
        <f>[1]Raw_Data!H864</f>
        <v>1</v>
      </c>
      <c r="I866" s="3" t="str">
        <f>TRIM([1]Raw_Data!I864)</f>
        <v>USA</v>
      </c>
      <c r="J866" s="3" t="str">
        <f>TRIM([1]Raw_Data!J864)</f>
        <v>iHerb</v>
      </c>
      <c r="K866" s="3">
        <f t="shared" si="52"/>
        <v>2021</v>
      </c>
      <c r="L866" s="6">
        <f t="shared" si="53"/>
        <v>44197</v>
      </c>
      <c r="M866" s="3" t="str">
        <f t="shared" si="54"/>
        <v>11% to 15%</v>
      </c>
      <c r="N866" s="3" t="str">
        <f t="shared" si="55"/>
        <v>OK</v>
      </c>
    </row>
    <row r="867" spans="1:14" x14ac:dyDescent="0.3">
      <c r="A867" s="2">
        <f>DATE(VALUE(RIGHT(TRIM([1]Raw_Data!A865),4)),VALUE(MID(TRIM([1]Raw_Data!A865),4,2)),VALUE(LEFT(TRIM([1]Raw_Data!A865),2)))</f>
        <v>44207</v>
      </c>
      <c r="B867" s="3" t="str">
        <f>TRIM([1]Raw_Data!B865)</f>
        <v>Electrolyte Powder</v>
      </c>
      <c r="C867" s="3" t="str">
        <f>TRIM([1]Raw_Data!C865)</f>
        <v>Hydration</v>
      </c>
      <c r="D867" s="3">
        <f>[1]Raw_Data!D865</f>
        <v>145</v>
      </c>
      <c r="E867" s="4">
        <f>[1]Raw_Data!E865</f>
        <v>50.44</v>
      </c>
      <c r="F867" s="5">
        <f>[1]Raw_Data!F865</f>
        <v>7313.8</v>
      </c>
      <c r="G867" s="4">
        <f>[1]Raw_Data!G865</f>
        <v>0.09</v>
      </c>
      <c r="H867" s="3">
        <f>[1]Raw_Data!H865</f>
        <v>1</v>
      </c>
      <c r="I867" s="3" t="str">
        <f>TRIM([1]Raw_Data!I865)</f>
        <v>USA</v>
      </c>
      <c r="J867" s="3" t="str">
        <f>TRIM([1]Raw_Data!J865)</f>
        <v>Amazon</v>
      </c>
      <c r="K867" s="3">
        <f t="shared" si="52"/>
        <v>2021</v>
      </c>
      <c r="L867" s="6">
        <f t="shared" si="53"/>
        <v>44197</v>
      </c>
      <c r="M867" s="3" t="str">
        <f t="shared" si="54"/>
        <v>6% to 10%</v>
      </c>
      <c r="N867" s="3" t="str">
        <f t="shared" si="55"/>
        <v>OK</v>
      </c>
    </row>
    <row r="868" spans="1:14" x14ac:dyDescent="0.3">
      <c r="A868" s="2">
        <f>DATE(VALUE(RIGHT(TRIM([1]Raw_Data!A866),4)),VALUE(MID(TRIM([1]Raw_Data!A866),4,2)),VALUE(LEFT(TRIM([1]Raw_Data!A866),2)))</f>
        <v>44214</v>
      </c>
      <c r="B868" s="3" t="str">
        <f>TRIM([1]Raw_Data!B866)</f>
        <v>Whey Protein</v>
      </c>
      <c r="C868" s="3" t="str">
        <f>TRIM([1]Raw_Data!C866)</f>
        <v>Protein</v>
      </c>
      <c r="D868" s="3">
        <f>[1]Raw_Data!D866</f>
        <v>156</v>
      </c>
      <c r="E868" s="4">
        <f>[1]Raw_Data!E866</f>
        <v>23.88</v>
      </c>
      <c r="F868" s="5">
        <f>[1]Raw_Data!F866</f>
        <v>3725.28</v>
      </c>
      <c r="G868" s="4">
        <f>[1]Raw_Data!G866</f>
        <v>0.23</v>
      </c>
      <c r="H868" s="3">
        <f>[1]Raw_Data!H866</f>
        <v>2</v>
      </c>
      <c r="I868" s="3" t="str">
        <f>TRIM([1]Raw_Data!I866)</f>
        <v>Canada</v>
      </c>
      <c r="J868" s="3" t="str">
        <f>TRIM([1]Raw_Data!J866)</f>
        <v>Walmart</v>
      </c>
      <c r="K868" s="3">
        <f t="shared" si="52"/>
        <v>2021</v>
      </c>
      <c r="L868" s="6">
        <f t="shared" si="53"/>
        <v>44197</v>
      </c>
      <c r="M868" s="3" t="str">
        <f t="shared" si="54"/>
        <v>21% to 25%</v>
      </c>
      <c r="N868" s="3" t="str">
        <f t="shared" si="55"/>
        <v>OK</v>
      </c>
    </row>
    <row r="869" spans="1:14" x14ac:dyDescent="0.3">
      <c r="A869" s="2">
        <f>DATE(VALUE(RIGHT(TRIM([1]Raw_Data!A867),4)),VALUE(MID(TRIM([1]Raw_Data!A867),4,2)),VALUE(LEFT(TRIM([1]Raw_Data!A867),2)))</f>
        <v>44214</v>
      </c>
      <c r="B869" s="3" t="str">
        <f>TRIM([1]Raw_Data!B867)</f>
        <v>Vitamin C</v>
      </c>
      <c r="C869" s="3" t="str">
        <f>TRIM([1]Raw_Data!C867)</f>
        <v>Vitamin</v>
      </c>
      <c r="D869" s="3">
        <f>[1]Raw_Data!D867</f>
        <v>153</v>
      </c>
      <c r="E869" s="4">
        <f>[1]Raw_Data!E867</f>
        <v>11.46</v>
      </c>
      <c r="F869" s="5">
        <f>[1]Raw_Data!F867</f>
        <v>1753.38</v>
      </c>
      <c r="G869" s="4">
        <f>[1]Raw_Data!G867</f>
        <v>0.15</v>
      </c>
      <c r="H869" s="3">
        <f>[1]Raw_Data!H867</f>
        <v>1</v>
      </c>
      <c r="I869" s="3" t="str">
        <f>TRIM([1]Raw_Data!I867)</f>
        <v>USA</v>
      </c>
      <c r="J869" s="3" t="str">
        <f>TRIM([1]Raw_Data!J867)</f>
        <v>Walmart</v>
      </c>
      <c r="K869" s="3">
        <f t="shared" si="52"/>
        <v>2021</v>
      </c>
      <c r="L869" s="6">
        <f t="shared" si="53"/>
        <v>44197</v>
      </c>
      <c r="M869" s="3" t="str">
        <f t="shared" si="54"/>
        <v>11% to 15%</v>
      </c>
      <c r="N869" s="3" t="str">
        <f t="shared" si="55"/>
        <v>OK</v>
      </c>
    </row>
    <row r="870" spans="1:14" x14ac:dyDescent="0.3">
      <c r="A870" s="2">
        <f>DATE(VALUE(RIGHT(TRIM([1]Raw_Data!A868),4)),VALUE(MID(TRIM([1]Raw_Data!A868),4,2)),VALUE(LEFT(TRIM([1]Raw_Data!A868),2)))</f>
        <v>44214</v>
      </c>
      <c r="B870" s="3" t="str">
        <f>TRIM([1]Raw_Data!B868)</f>
        <v>Fish Oil</v>
      </c>
      <c r="C870" s="3" t="str">
        <f>TRIM([1]Raw_Data!C868)</f>
        <v>Omega</v>
      </c>
      <c r="D870" s="3">
        <f>[1]Raw_Data!D868</f>
        <v>152</v>
      </c>
      <c r="E870" s="4">
        <f>[1]Raw_Data!E868</f>
        <v>14.07</v>
      </c>
      <c r="F870" s="5">
        <f>[1]Raw_Data!F868</f>
        <v>2138.64</v>
      </c>
      <c r="G870" s="4">
        <f>[1]Raw_Data!G868</f>
        <v>0.05</v>
      </c>
      <c r="H870" s="3">
        <f>[1]Raw_Data!H868</f>
        <v>4</v>
      </c>
      <c r="I870" s="3" t="str">
        <f>TRIM([1]Raw_Data!I868)</f>
        <v>USA</v>
      </c>
      <c r="J870" s="3" t="str">
        <f>TRIM([1]Raw_Data!J868)</f>
        <v>Amazon</v>
      </c>
      <c r="K870" s="3">
        <f t="shared" si="52"/>
        <v>2021</v>
      </c>
      <c r="L870" s="6">
        <f t="shared" si="53"/>
        <v>44197</v>
      </c>
      <c r="M870" s="3" t="str">
        <f t="shared" si="54"/>
        <v>0% to 5%</v>
      </c>
      <c r="N870" s="3" t="str">
        <f t="shared" si="55"/>
        <v>OK</v>
      </c>
    </row>
    <row r="871" spans="1:14" x14ac:dyDescent="0.3">
      <c r="A871" s="2">
        <f>DATE(VALUE(RIGHT(TRIM([1]Raw_Data!A869),4)),VALUE(MID(TRIM([1]Raw_Data!A869),4,2)),VALUE(LEFT(TRIM([1]Raw_Data!A869),2)))</f>
        <v>44214</v>
      </c>
      <c r="B871" s="3" t="str">
        <f>TRIM([1]Raw_Data!B869)</f>
        <v>Multivitamin</v>
      </c>
      <c r="C871" s="3" t="str">
        <f>TRIM([1]Raw_Data!C869)</f>
        <v>Vitamin</v>
      </c>
      <c r="D871" s="3">
        <f>[1]Raw_Data!D869</f>
        <v>147</v>
      </c>
      <c r="E871" s="4">
        <f>[1]Raw_Data!E869</f>
        <v>12.64</v>
      </c>
      <c r="F871" s="5">
        <f>[1]Raw_Data!F869</f>
        <v>1858.08</v>
      </c>
      <c r="G871" s="4">
        <f>[1]Raw_Data!G869</f>
        <v>0.01</v>
      </c>
      <c r="H871" s="3">
        <f>[1]Raw_Data!H869</f>
        <v>2</v>
      </c>
      <c r="I871" s="3" t="str">
        <f>TRIM([1]Raw_Data!I869)</f>
        <v>UK</v>
      </c>
      <c r="J871" s="3" t="str">
        <f>TRIM([1]Raw_Data!J869)</f>
        <v>iHerb</v>
      </c>
      <c r="K871" s="3">
        <f t="shared" si="52"/>
        <v>2021</v>
      </c>
      <c r="L871" s="6">
        <f t="shared" si="53"/>
        <v>44197</v>
      </c>
      <c r="M871" s="3" t="str">
        <f t="shared" si="54"/>
        <v>0% to 5%</v>
      </c>
      <c r="N871" s="3" t="str">
        <f t="shared" si="55"/>
        <v>OK</v>
      </c>
    </row>
    <row r="872" spans="1:14" x14ac:dyDescent="0.3">
      <c r="A872" s="2">
        <f>DATE(VALUE(RIGHT(TRIM([1]Raw_Data!A870),4)),VALUE(MID(TRIM([1]Raw_Data!A870),4,2)),VALUE(LEFT(TRIM([1]Raw_Data!A870),2)))</f>
        <v>44214</v>
      </c>
      <c r="B872" s="3" t="str">
        <f>TRIM([1]Raw_Data!B870)</f>
        <v>Pre-Workout</v>
      </c>
      <c r="C872" s="3" t="str">
        <f>TRIM([1]Raw_Data!C870)</f>
        <v>Performance</v>
      </c>
      <c r="D872" s="3">
        <f>[1]Raw_Data!D870</f>
        <v>151</v>
      </c>
      <c r="E872" s="4">
        <f>[1]Raw_Data!E870</f>
        <v>22.16</v>
      </c>
      <c r="F872" s="5">
        <f>[1]Raw_Data!F870</f>
        <v>3346.16</v>
      </c>
      <c r="G872" s="4">
        <f>[1]Raw_Data!G870</f>
        <v>0.19</v>
      </c>
      <c r="H872" s="3">
        <f>[1]Raw_Data!H870</f>
        <v>0</v>
      </c>
      <c r="I872" s="3" t="str">
        <f>TRIM([1]Raw_Data!I870)</f>
        <v>Canada</v>
      </c>
      <c r="J872" s="3" t="str">
        <f>TRIM([1]Raw_Data!J870)</f>
        <v>Amazon</v>
      </c>
      <c r="K872" s="3">
        <f t="shared" si="52"/>
        <v>2021</v>
      </c>
      <c r="L872" s="6">
        <f t="shared" si="53"/>
        <v>44197</v>
      </c>
      <c r="M872" s="3" t="str">
        <f t="shared" si="54"/>
        <v>16% to 20%</v>
      </c>
      <c r="N872" s="3" t="str">
        <f t="shared" si="55"/>
        <v>OK</v>
      </c>
    </row>
    <row r="873" spans="1:14" x14ac:dyDescent="0.3">
      <c r="A873" s="2">
        <f>DATE(VALUE(RIGHT(TRIM([1]Raw_Data!A871),4)),VALUE(MID(TRIM([1]Raw_Data!A871),4,2)),VALUE(LEFT(TRIM([1]Raw_Data!A871),2)))</f>
        <v>44214</v>
      </c>
      <c r="B873" s="3" t="str">
        <f>TRIM([1]Raw_Data!B871)</f>
        <v>BCAA</v>
      </c>
      <c r="C873" s="3" t="str">
        <f>TRIM([1]Raw_Data!C871)</f>
        <v>Amino Acid</v>
      </c>
      <c r="D873" s="3">
        <f>[1]Raw_Data!D871</f>
        <v>138</v>
      </c>
      <c r="E873" s="4">
        <f>[1]Raw_Data!E871</f>
        <v>24.31</v>
      </c>
      <c r="F873" s="5">
        <f>[1]Raw_Data!F871</f>
        <v>3354.78</v>
      </c>
      <c r="G873" s="4">
        <f>[1]Raw_Data!G871</f>
        <v>0.06</v>
      </c>
      <c r="H873" s="3">
        <f>[1]Raw_Data!H871</f>
        <v>2</v>
      </c>
      <c r="I873" s="3" t="str">
        <f>TRIM([1]Raw_Data!I871)</f>
        <v>USA</v>
      </c>
      <c r="J873" s="3" t="str">
        <f>TRIM([1]Raw_Data!J871)</f>
        <v>iHerb</v>
      </c>
      <c r="K873" s="3">
        <f t="shared" si="52"/>
        <v>2021</v>
      </c>
      <c r="L873" s="6">
        <f t="shared" si="53"/>
        <v>44197</v>
      </c>
      <c r="M873" s="3" t="str">
        <f t="shared" si="54"/>
        <v>6% to 10%</v>
      </c>
      <c r="N873" s="3" t="str">
        <f t="shared" si="55"/>
        <v>OK</v>
      </c>
    </row>
    <row r="874" spans="1:14" x14ac:dyDescent="0.3">
      <c r="A874" s="2">
        <f>DATE(VALUE(RIGHT(TRIM([1]Raw_Data!A872),4)),VALUE(MID(TRIM([1]Raw_Data!A872),4,2)),VALUE(LEFT(TRIM([1]Raw_Data!A872),2)))</f>
        <v>44214</v>
      </c>
      <c r="B874" s="3" t="str">
        <f>TRIM([1]Raw_Data!B872)</f>
        <v>Creatine</v>
      </c>
      <c r="C874" s="3" t="str">
        <f>TRIM([1]Raw_Data!C872)</f>
        <v>Performance</v>
      </c>
      <c r="D874" s="3">
        <f>[1]Raw_Data!D872</f>
        <v>155</v>
      </c>
      <c r="E874" s="4">
        <f>[1]Raw_Data!E872</f>
        <v>30.89</v>
      </c>
      <c r="F874" s="5">
        <f>[1]Raw_Data!F872</f>
        <v>4787.95</v>
      </c>
      <c r="G874" s="4">
        <f>[1]Raw_Data!G872</f>
        <v>0.02</v>
      </c>
      <c r="H874" s="3">
        <f>[1]Raw_Data!H872</f>
        <v>1</v>
      </c>
      <c r="I874" s="3" t="str">
        <f>TRIM([1]Raw_Data!I872)</f>
        <v>UK</v>
      </c>
      <c r="J874" s="3" t="str">
        <f>TRIM([1]Raw_Data!J872)</f>
        <v>Walmart</v>
      </c>
      <c r="K874" s="3">
        <f t="shared" si="52"/>
        <v>2021</v>
      </c>
      <c r="L874" s="6">
        <f t="shared" si="53"/>
        <v>44197</v>
      </c>
      <c r="M874" s="3" t="str">
        <f t="shared" si="54"/>
        <v>0% to 5%</v>
      </c>
      <c r="N874" s="3" t="str">
        <f t="shared" si="55"/>
        <v>OK</v>
      </c>
    </row>
    <row r="875" spans="1:14" x14ac:dyDescent="0.3">
      <c r="A875" s="2">
        <f>DATE(VALUE(RIGHT(TRIM([1]Raw_Data!A873),4)),VALUE(MID(TRIM([1]Raw_Data!A873),4,2)),VALUE(LEFT(TRIM([1]Raw_Data!A873),2)))</f>
        <v>44214</v>
      </c>
      <c r="B875" s="3" t="str">
        <f>TRIM([1]Raw_Data!B873)</f>
        <v>Zinc</v>
      </c>
      <c r="C875" s="3" t="str">
        <f>TRIM([1]Raw_Data!C873)</f>
        <v>Mineral</v>
      </c>
      <c r="D875" s="3">
        <f>[1]Raw_Data!D873</f>
        <v>158</v>
      </c>
      <c r="E875" s="4">
        <f>[1]Raw_Data!E873</f>
        <v>35.909999999999997</v>
      </c>
      <c r="F875" s="5">
        <f>[1]Raw_Data!F873</f>
        <v>5673.78</v>
      </c>
      <c r="G875" s="4">
        <f>[1]Raw_Data!G873</f>
        <v>0.01</v>
      </c>
      <c r="H875" s="3">
        <f>[1]Raw_Data!H873</f>
        <v>2</v>
      </c>
      <c r="I875" s="3" t="str">
        <f>TRIM([1]Raw_Data!I873)</f>
        <v>UK</v>
      </c>
      <c r="J875" s="3" t="str">
        <f>TRIM([1]Raw_Data!J873)</f>
        <v>iHerb</v>
      </c>
      <c r="K875" s="3">
        <f t="shared" si="52"/>
        <v>2021</v>
      </c>
      <c r="L875" s="6">
        <f t="shared" si="53"/>
        <v>44197</v>
      </c>
      <c r="M875" s="3" t="str">
        <f t="shared" si="54"/>
        <v>0% to 5%</v>
      </c>
      <c r="N875" s="3" t="str">
        <f t="shared" si="55"/>
        <v>OK</v>
      </c>
    </row>
    <row r="876" spans="1:14" x14ac:dyDescent="0.3">
      <c r="A876" s="2">
        <f>DATE(VALUE(RIGHT(TRIM([1]Raw_Data!A874),4)),VALUE(MID(TRIM([1]Raw_Data!A874),4,2)),VALUE(LEFT(TRIM([1]Raw_Data!A874),2)))</f>
        <v>44214</v>
      </c>
      <c r="B876" s="3" t="str">
        <f>TRIM([1]Raw_Data!B874)</f>
        <v>Collagen Peptides</v>
      </c>
      <c r="C876" s="3" t="str">
        <f>TRIM([1]Raw_Data!C874)</f>
        <v>Protein</v>
      </c>
      <c r="D876" s="3">
        <f>[1]Raw_Data!D874</f>
        <v>151</v>
      </c>
      <c r="E876" s="4">
        <f>[1]Raw_Data!E874</f>
        <v>57.25</v>
      </c>
      <c r="F876" s="5">
        <f>[1]Raw_Data!F874</f>
        <v>8644.75</v>
      </c>
      <c r="G876" s="4">
        <f>[1]Raw_Data!G874</f>
        <v>0.17</v>
      </c>
      <c r="H876" s="3">
        <f>[1]Raw_Data!H874</f>
        <v>0</v>
      </c>
      <c r="I876" s="3" t="str">
        <f>TRIM([1]Raw_Data!I874)</f>
        <v>Canada</v>
      </c>
      <c r="J876" s="3" t="str">
        <f>TRIM([1]Raw_Data!J874)</f>
        <v>Amazon</v>
      </c>
      <c r="K876" s="3">
        <f t="shared" si="52"/>
        <v>2021</v>
      </c>
      <c r="L876" s="6">
        <f t="shared" si="53"/>
        <v>44197</v>
      </c>
      <c r="M876" s="3" t="str">
        <f t="shared" si="54"/>
        <v>16% to 20%</v>
      </c>
      <c r="N876" s="3" t="str">
        <f t="shared" si="55"/>
        <v>OK</v>
      </c>
    </row>
    <row r="877" spans="1:14" x14ac:dyDescent="0.3">
      <c r="A877" s="2">
        <f>DATE(VALUE(RIGHT(TRIM([1]Raw_Data!A875),4)),VALUE(MID(TRIM([1]Raw_Data!A875),4,2)),VALUE(LEFT(TRIM([1]Raw_Data!A875),2)))</f>
        <v>44214</v>
      </c>
      <c r="B877" s="3" t="str">
        <f>TRIM([1]Raw_Data!B875)</f>
        <v>Magnesium</v>
      </c>
      <c r="C877" s="3" t="str">
        <f>TRIM([1]Raw_Data!C875)</f>
        <v>Mineral</v>
      </c>
      <c r="D877" s="3">
        <f>[1]Raw_Data!D875</f>
        <v>149</v>
      </c>
      <c r="E877" s="4">
        <f>[1]Raw_Data!E875</f>
        <v>33.49</v>
      </c>
      <c r="F877" s="5">
        <f>[1]Raw_Data!F875</f>
        <v>4990.01</v>
      </c>
      <c r="G877" s="4">
        <f>[1]Raw_Data!G875</f>
        <v>0.11</v>
      </c>
      <c r="H877" s="3">
        <f>[1]Raw_Data!H875</f>
        <v>2</v>
      </c>
      <c r="I877" s="3" t="str">
        <f>TRIM([1]Raw_Data!I875)</f>
        <v>USA</v>
      </c>
      <c r="J877" s="3" t="str">
        <f>TRIM([1]Raw_Data!J875)</f>
        <v>Walmart</v>
      </c>
      <c r="K877" s="3">
        <f t="shared" si="52"/>
        <v>2021</v>
      </c>
      <c r="L877" s="6">
        <f t="shared" si="53"/>
        <v>44197</v>
      </c>
      <c r="M877" s="3" t="str">
        <f t="shared" si="54"/>
        <v>11% to 15%</v>
      </c>
      <c r="N877" s="3" t="str">
        <f t="shared" si="55"/>
        <v>OK</v>
      </c>
    </row>
    <row r="878" spans="1:14" x14ac:dyDescent="0.3">
      <c r="A878" s="2">
        <f>DATE(VALUE(RIGHT(TRIM([1]Raw_Data!A876),4)),VALUE(MID(TRIM([1]Raw_Data!A876),4,2)),VALUE(LEFT(TRIM([1]Raw_Data!A876),2)))</f>
        <v>44214</v>
      </c>
      <c r="B878" s="3" t="str">
        <f>TRIM([1]Raw_Data!B876)</f>
        <v>Ashwagandha</v>
      </c>
      <c r="C878" s="3" t="str">
        <f>TRIM([1]Raw_Data!C876)</f>
        <v>Herbal</v>
      </c>
      <c r="D878" s="3">
        <f>[1]Raw_Data!D876</f>
        <v>145</v>
      </c>
      <c r="E878" s="4">
        <f>[1]Raw_Data!E876</f>
        <v>35.19</v>
      </c>
      <c r="F878" s="5">
        <f>[1]Raw_Data!F876</f>
        <v>5102.55</v>
      </c>
      <c r="G878" s="4">
        <f>[1]Raw_Data!G876</f>
        <v>0.21</v>
      </c>
      <c r="H878" s="3">
        <f>[1]Raw_Data!H876</f>
        <v>2</v>
      </c>
      <c r="I878" s="3" t="str">
        <f>TRIM([1]Raw_Data!I876)</f>
        <v>USA</v>
      </c>
      <c r="J878" s="3" t="str">
        <f>TRIM([1]Raw_Data!J876)</f>
        <v>Amazon</v>
      </c>
      <c r="K878" s="3">
        <f t="shared" si="52"/>
        <v>2021</v>
      </c>
      <c r="L878" s="6">
        <f t="shared" si="53"/>
        <v>44197</v>
      </c>
      <c r="M878" s="3" t="str">
        <f t="shared" si="54"/>
        <v>21% to 25%</v>
      </c>
      <c r="N878" s="3" t="str">
        <f t="shared" si="55"/>
        <v>OK</v>
      </c>
    </row>
    <row r="879" spans="1:14" x14ac:dyDescent="0.3">
      <c r="A879" s="2">
        <f>DATE(VALUE(RIGHT(TRIM([1]Raw_Data!A877),4)),VALUE(MID(TRIM([1]Raw_Data!A877),4,2)),VALUE(LEFT(TRIM([1]Raw_Data!A877),2)))</f>
        <v>44214</v>
      </c>
      <c r="B879" s="3" t="str">
        <f>TRIM([1]Raw_Data!B877)</f>
        <v>Melatonin</v>
      </c>
      <c r="C879" s="3" t="str">
        <f>TRIM([1]Raw_Data!C877)</f>
        <v>Sleep Aid</v>
      </c>
      <c r="D879" s="3">
        <f>[1]Raw_Data!D877</f>
        <v>144</v>
      </c>
      <c r="E879" s="4">
        <f>[1]Raw_Data!E877</f>
        <v>55.61</v>
      </c>
      <c r="F879" s="5">
        <f>[1]Raw_Data!F877</f>
        <v>8007.84</v>
      </c>
      <c r="G879" s="4">
        <f>[1]Raw_Data!G877</f>
        <v>0.05</v>
      </c>
      <c r="H879" s="3">
        <f>[1]Raw_Data!H877</f>
        <v>0</v>
      </c>
      <c r="I879" s="3" t="str">
        <f>TRIM([1]Raw_Data!I877)</f>
        <v>Canada</v>
      </c>
      <c r="J879" s="3" t="str">
        <f>TRIM([1]Raw_Data!J877)</f>
        <v>Amazon</v>
      </c>
      <c r="K879" s="3">
        <f t="shared" si="52"/>
        <v>2021</v>
      </c>
      <c r="L879" s="6">
        <f t="shared" si="53"/>
        <v>44197</v>
      </c>
      <c r="M879" s="3" t="str">
        <f t="shared" si="54"/>
        <v>0% to 5%</v>
      </c>
      <c r="N879" s="3" t="str">
        <f t="shared" si="55"/>
        <v>OK</v>
      </c>
    </row>
    <row r="880" spans="1:14" x14ac:dyDescent="0.3">
      <c r="A880" s="2">
        <f>DATE(VALUE(RIGHT(TRIM([1]Raw_Data!A878),4)),VALUE(MID(TRIM([1]Raw_Data!A878),4,2)),VALUE(LEFT(TRIM([1]Raw_Data!A878),2)))</f>
        <v>44214</v>
      </c>
      <c r="B880" s="3" t="str">
        <f>TRIM([1]Raw_Data!B878)</f>
        <v>Biotin</v>
      </c>
      <c r="C880" s="3" t="str">
        <f>TRIM([1]Raw_Data!C878)</f>
        <v>Vitamin</v>
      </c>
      <c r="D880" s="3">
        <f>[1]Raw_Data!D878</f>
        <v>159</v>
      </c>
      <c r="E880" s="4">
        <f>[1]Raw_Data!E878</f>
        <v>58.39</v>
      </c>
      <c r="F880" s="5">
        <f>[1]Raw_Data!F878</f>
        <v>9284.01</v>
      </c>
      <c r="G880" s="4">
        <f>[1]Raw_Data!G878</f>
        <v>0.22</v>
      </c>
      <c r="H880" s="3">
        <f>[1]Raw_Data!H878</f>
        <v>2</v>
      </c>
      <c r="I880" s="3" t="str">
        <f>TRIM([1]Raw_Data!I878)</f>
        <v>UK</v>
      </c>
      <c r="J880" s="3" t="str">
        <f>TRIM([1]Raw_Data!J878)</f>
        <v>iHerb</v>
      </c>
      <c r="K880" s="3">
        <f t="shared" si="52"/>
        <v>2021</v>
      </c>
      <c r="L880" s="6">
        <f t="shared" si="53"/>
        <v>44197</v>
      </c>
      <c r="M880" s="3" t="str">
        <f t="shared" si="54"/>
        <v>21% to 25%</v>
      </c>
      <c r="N880" s="3" t="str">
        <f t="shared" si="55"/>
        <v>OK</v>
      </c>
    </row>
    <row r="881" spans="1:14" x14ac:dyDescent="0.3">
      <c r="A881" s="2">
        <f>DATE(VALUE(RIGHT(TRIM([1]Raw_Data!A879),4)),VALUE(MID(TRIM([1]Raw_Data!A879),4,2)),VALUE(LEFT(TRIM([1]Raw_Data!A879),2)))</f>
        <v>44214</v>
      </c>
      <c r="B881" s="3" t="str">
        <f>TRIM([1]Raw_Data!B879)</f>
        <v>Green Tea Extract</v>
      </c>
      <c r="C881" s="3" t="str">
        <f>TRIM([1]Raw_Data!C879)</f>
        <v>Fat Burner</v>
      </c>
      <c r="D881" s="3">
        <f>[1]Raw_Data!D879</f>
        <v>151</v>
      </c>
      <c r="E881" s="4">
        <f>[1]Raw_Data!E879</f>
        <v>22.33</v>
      </c>
      <c r="F881" s="5">
        <f>[1]Raw_Data!F879</f>
        <v>3371.83</v>
      </c>
      <c r="G881" s="4">
        <f>[1]Raw_Data!G879</f>
        <v>0.11</v>
      </c>
      <c r="H881" s="3">
        <f>[1]Raw_Data!H879</f>
        <v>2</v>
      </c>
      <c r="I881" s="3" t="str">
        <f>TRIM([1]Raw_Data!I879)</f>
        <v>USA</v>
      </c>
      <c r="J881" s="3" t="str">
        <f>TRIM([1]Raw_Data!J879)</f>
        <v>Walmart</v>
      </c>
      <c r="K881" s="3">
        <f t="shared" si="52"/>
        <v>2021</v>
      </c>
      <c r="L881" s="6">
        <f t="shared" si="53"/>
        <v>44197</v>
      </c>
      <c r="M881" s="3" t="str">
        <f t="shared" si="54"/>
        <v>11% to 15%</v>
      </c>
      <c r="N881" s="3" t="str">
        <f t="shared" si="55"/>
        <v>OK</v>
      </c>
    </row>
    <row r="882" spans="1:14" x14ac:dyDescent="0.3">
      <c r="A882" s="2">
        <f>DATE(VALUE(RIGHT(TRIM([1]Raw_Data!A880),4)),VALUE(MID(TRIM([1]Raw_Data!A880),4,2)),VALUE(LEFT(TRIM([1]Raw_Data!A880),2)))</f>
        <v>44214</v>
      </c>
      <c r="B882" s="3" t="str">
        <f>TRIM([1]Raw_Data!B880)</f>
        <v>Iron Supplement</v>
      </c>
      <c r="C882" s="3" t="str">
        <f>TRIM([1]Raw_Data!C880)</f>
        <v>Mineral</v>
      </c>
      <c r="D882" s="3">
        <f>[1]Raw_Data!D880</f>
        <v>152</v>
      </c>
      <c r="E882" s="4">
        <f>[1]Raw_Data!E880</f>
        <v>23.99</v>
      </c>
      <c r="F882" s="5">
        <f>[1]Raw_Data!F880</f>
        <v>3646.48</v>
      </c>
      <c r="G882" s="4">
        <f>[1]Raw_Data!G880</f>
        <v>0.14000000000000001</v>
      </c>
      <c r="H882" s="3">
        <f>[1]Raw_Data!H880</f>
        <v>0</v>
      </c>
      <c r="I882" s="3" t="str">
        <f>TRIM([1]Raw_Data!I880)</f>
        <v>USA</v>
      </c>
      <c r="J882" s="3" t="str">
        <f>TRIM([1]Raw_Data!J880)</f>
        <v>Walmart</v>
      </c>
      <c r="K882" s="3">
        <f t="shared" si="52"/>
        <v>2021</v>
      </c>
      <c r="L882" s="6">
        <f t="shared" si="53"/>
        <v>44197</v>
      </c>
      <c r="M882" s="3" t="str">
        <f t="shared" si="54"/>
        <v>11% to 15%</v>
      </c>
      <c r="N882" s="3" t="str">
        <f t="shared" si="55"/>
        <v>OK</v>
      </c>
    </row>
    <row r="883" spans="1:14" x14ac:dyDescent="0.3">
      <c r="A883" s="2">
        <f>DATE(VALUE(RIGHT(TRIM([1]Raw_Data!A881),4)),VALUE(MID(TRIM([1]Raw_Data!A881),4,2)),VALUE(LEFT(TRIM([1]Raw_Data!A881),2)))</f>
        <v>44214</v>
      </c>
      <c r="B883" s="3" t="str">
        <f>TRIM([1]Raw_Data!B881)</f>
        <v>Electrolyte Powder</v>
      </c>
      <c r="C883" s="3" t="str">
        <f>TRIM([1]Raw_Data!C881)</f>
        <v>Hydration</v>
      </c>
      <c r="D883" s="3">
        <f>[1]Raw_Data!D881</f>
        <v>147</v>
      </c>
      <c r="E883" s="4">
        <f>[1]Raw_Data!E881</f>
        <v>44.67</v>
      </c>
      <c r="F883" s="5">
        <f>[1]Raw_Data!F881</f>
        <v>6566.49</v>
      </c>
      <c r="G883" s="4">
        <f>[1]Raw_Data!G881</f>
        <v>0.25</v>
      </c>
      <c r="H883" s="3">
        <f>[1]Raw_Data!H881</f>
        <v>1</v>
      </c>
      <c r="I883" s="3" t="str">
        <f>TRIM([1]Raw_Data!I881)</f>
        <v>UK</v>
      </c>
      <c r="J883" s="3" t="str">
        <f>TRIM([1]Raw_Data!J881)</f>
        <v>iHerb</v>
      </c>
      <c r="K883" s="3">
        <f t="shared" si="52"/>
        <v>2021</v>
      </c>
      <c r="L883" s="6">
        <f t="shared" si="53"/>
        <v>44197</v>
      </c>
      <c r="M883" s="3" t="str">
        <f t="shared" si="54"/>
        <v>21% to 25%</v>
      </c>
      <c r="N883" s="3" t="str">
        <f t="shared" si="55"/>
        <v>OK</v>
      </c>
    </row>
    <row r="884" spans="1:14" x14ac:dyDescent="0.3">
      <c r="A884" s="2">
        <f>DATE(VALUE(RIGHT(TRIM([1]Raw_Data!A882),4)),VALUE(MID(TRIM([1]Raw_Data!A882),4,2)),VALUE(LEFT(TRIM([1]Raw_Data!A882),2)))</f>
        <v>44221</v>
      </c>
      <c r="B884" s="3" t="str">
        <f>TRIM([1]Raw_Data!B882)</f>
        <v>Whey Protein</v>
      </c>
      <c r="C884" s="3" t="str">
        <f>TRIM([1]Raw_Data!C882)</f>
        <v>Protein</v>
      </c>
      <c r="D884" s="3">
        <f>[1]Raw_Data!D882</f>
        <v>150</v>
      </c>
      <c r="E884" s="4">
        <f>[1]Raw_Data!E882</f>
        <v>32.03</v>
      </c>
      <c r="F884" s="5">
        <f>[1]Raw_Data!F882</f>
        <v>4804.5</v>
      </c>
      <c r="G884" s="4">
        <f>[1]Raw_Data!G882</f>
        <v>0.21</v>
      </c>
      <c r="H884" s="3">
        <f>[1]Raw_Data!H882</f>
        <v>2</v>
      </c>
      <c r="I884" s="3" t="str">
        <f>TRIM([1]Raw_Data!I882)</f>
        <v>Canada</v>
      </c>
      <c r="J884" s="3" t="str">
        <f>TRIM([1]Raw_Data!J882)</f>
        <v>iHerb</v>
      </c>
      <c r="K884" s="3">
        <f t="shared" si="52"/>
        <v>2021</v>
      </c>
      <c r="L884" s="6">
        <f t="shared" si="53"/>
        <v>44197</v>
      </c>
      <c r="M884" s="3" t="str">
        <f t="shared" si="54"/>
        <v>21% to 25%</v>
      </c>
      <c r="N884" s="3" t="str">
        <f t="shared" si="55"/>
        <v>OK</v>
      </c>
    </row>
    <row r="885" spans="1:14" x14ac:dyDescent="0.3">
      <c r="A885" s="2">
        <f>DATE(VALUE(RIGHT(TRIM([1]Raw_Data!A883),4)),VALUE(MID(TRIM([1]Raw_Data!A883),4,2)),VALUE(LEFT(TRIM([1]Raw_Data!A883),2)))</f>
        <v>44221</v>
      </c>
      <c r="B885" s="3" t="str">
        <f>TRIM([1]Raw_Data!B883)</f>
        <v>Vitamin C</v>
      </c>
      <c r="C885" s="3" t="str">
        <f>TRIM([1]Raw_Data!C883)</f>
        <v>Vitamin</v>
      </c>
      <c r="D885" s="3">
        <f>[1]Raw_Data!D883</f>
        <v>167</v>
      </c>
      <c r="E885" s="4">
        <f>[1]Raw_Data!E883</f>
        <v>53.67</v>
      </c>
      <c r="F885" s="5">
        <f>[1]Raw_Data!F883</f>
        <v>8962.89</v>
      </c>
      <c r="G885" s="4">
        <f>[1]Raw_Data!G883</f>
        <v>0.01</v>
      </c>
      <c r="H885" s="3">
        <f>[1]Raw_Data!H883</f>
        <v>3</v>
      </c>
      <c r="I885" s="3" t="str">
        <f>TRIM([1]Raw_Data!I883)</f>
        <v>UK</v>
      </c>
      <c r="J885" s="3" t="str">
        <f>TRIM([1]Raw_Data!J883)</f>
        <v>Amazon</v>
      </c>
      <c r="K885" s="3">
        <f t="shared" si="52"/>
        <v>2021</v>
      </c>
      <c r="L885" s="6">
        <f t="shared" si="53"/>
        <v>44197</v>
      </c>
      <c r="M885" s="3" t="str">
        <f t="shared" si="54"/>
        <v>0% to 5%</v>
      </c>
      <c r="N885" s="3" t="str">
        <f t="shared" si="55"/>
        <v>OK</v>
      </c>
    </row>
    <row r="886" spans="1:14" x14ac:dyDescent="0.3">
      <c r="A886" s="2">
        <f>DATE(VALUE(RIGHT(TRIM([1]Raw_Data!A884),4)),VALUE(MID(TRIM([1]Raw_Data!A884),4,2)),VALUE(LEFT(TRIM([1]Raw_Data!A884),2)))</f>
        <v>44221</v>
      </c>
      <c r="B886" s="3" t="str">
        <f>TRIM([1]Raw_Data!B884)</f>
        <v>Fish Oil</v>
      </c>
      <c r="C886" s="3" t="str">
        <f>TRIM([1]Raw_Data!C884)</f>
        <v>Omega</v>
      </c>
      <c r="D886" s="3">
        <f>[1]Raw_Data!D884</f>
        <v>144</v>
      </c>
      <c r="E886" s="4">
        <f>[1]Raw_Data!E884</f>
        <v>35.6</v>
      </c>
      <c r="F886" s="5">
        <f>[1]Raw_Data!F884</f>
        <v>5126.3999999999996</v>
      </c>
      <c r="G886" s="4">
        <f>[1]Raw_Data!G884</f>
        <v>0.24</v>
      </c>
      <c r="H886" s="3">
        <f>[1]Raw_Data!H884</f>
        <v>0</v>
      </c>
      <c r="I886" s="3" t="str">
        <f>TRIM([1]Raw_Data!I884)</f>
        <v>UK</v>
      </c>
      <c r="J886" s="3" t="str">
        <f>TRIM([1]Raw_Data!J884)</f>
        <v>Walmart</v>
      </c>
      <c r="K886" s="3">
        <f t="shared" si="52"/>
        <v>2021</v>
      </c>
      <c r="L886" s="6">
        <f t="shared" si="53"/>
        <v>44197</v>
      </c>
      <c r="M886" s="3" t="str">
        <f t="shared" si="54"/>
        <v>21% to 25%</v>
      </c>
      <c r="N886" s="3" t="str">
        <f t="shared" si="55"/>
        <v>OK</v>
      </c>
    </row>
    <row r="887" spans="1:14" x14ac:dyDescent="0.3">
      <c r="A887" s="2">
        <f>DATE(VALUE(RIGHT(TRIM([1]Raw_Data!A885),4)),VALUE(MID(TRIM([1]Raw_Data!A885),4,2)),VALUE(LEFT(TRIM([1]Raw_Data!A885),2)))</f>
        <v>44221</v>
      </c>
      <c r="B887" s="3" t="str">
        <f>TRIM([1]Raw_Data!B885)</f>
        <v>Multivitamin</v>
      </c>
      <c r="C887" s="3" t="str">
        <f>TRIM([1]Raw_Data!C885)</f>
        <v>Vitamin</v>
      </c>
      <c r="D887" s="3">
        <f>[1]Raw_Data!D885</f>
        <v>145</v>
      </c>
      <c r="E887" s="4">
        <f>[1]Raw_Data!E885</f>
        <v>29.8</v>
      </c>
      <c r="F887" s="5">
        <f>[1]Raw_Data!F885</f>
        <v>4321</v>
      </c>
      <c r="G887" s="4">
        <f>[1]Raw_Data!G885</f>
        <v>0.05</v>
      </c>
      <c r="H887" s="3">
        <f>[1]Raw_Data!H885</f>
        <v>1</v>
      </c>
      <c r="I887" s="3" t="str">
        <f>TRIM([1]Raw_Data!I885)</f>
        <v>UK</v>
      </c>
      <c r="J887" s="3" t="str">
        <f>TRIM([1]Raw_Data!J885)</f>
        <v>Amazon</v>
      </c>
      <c r="K887" s="3">
        <f t="shared" si="52"/>
        <v>2021</v>
      </c>
      <c r="L887" s="6">
        <f t="shared" si="53"/>
        <v>44197</v>
      </c>
      <c r="M887" s="3" t="str">
        <f t="shared" si="54"/>
        <v>0% to 5%</v>
      </c>
      <c r="N887" s="3" t="str">
        <f t="shared" si="55"/>
        <v>OK</v>
      </c>
    </row>
    <row r="888" spans="1:14" x14ac:dyDescent="0.3">
      <c r="A888" s="2">
        <f>DATE(VALUE(RIGHT(TRIM([1]Raw_Data!A886),4)),VALUE(MID(TRIM([1]Raw_Data!A886),4,2)),VALUE(LEFT(TRIM([1]Raw_Data!A886),2)))</f>
        <v>44221</v>
      </c>
      <c r="B888" s="3" t="str">
        <f>TRIM([1]Raw_Data!B886)</f>
        <v>Pre-Workout</v>
      </c>
      <c r="C888" s="3" t="str">
        <f>TRIM([1]Raw_Data!C886)</f>
        <v>Performance</v>
      </c>
      <c r="D888" s="3">
        <f>[1]Raw_Data!D886</f>
        <v>146</v>
      </c>
      <c r="E888" s="4">
        <f>[1]Raw_Data!E886</f>
        <v>48.1</v>
      </c>
      <c r="F888" s="5">
        <f>[1]Raw_Data!F886</f>
        <v>7022.6</v>
      </c>
      <c r="G888" s="4">
        <f>[1]Raw_Data!G886</f>
        <v>0.13</v>
      </c>
      <c r="H888" s="3">
        <f>[1]Raw_Data!H886</f>
        <v>5</v>
      </c>
      <c r="I888" s="3" t="str">
        <f>TRIM([1]Raw_Data!I886)</f>
        <v>USA</v>
      </c>
      <c r="J888" s="3" t="str">
        <f>TRIM([1]Raw_Data!J886)</f>
        <v>Amazon</v>
      </c>
      <c r="K888" s="3">
        <f t="shared" si="52"/>
        <v>2021</v>
      </c>
      <c r="L888" s="6">
        <f t="shared" si="53"/>
        <v>44197</v>
      </c>
      <c r="M888" s="3" t="str">
        <f t="shared" si="54"/>
        <v>11% to 15%</v>
      </c>
      <c r="N888" s="3" t="str">
        <f t="shared" si="55"/>
        <v>OK</v>
      </c>
    </row>
    <row r="889" spans="1:14" x14ac:dyDescent="0.3">
      <c r="A889" s="2">
        <f>DATE(VALUE(RIGHT(TRIM([1]Raw_Data!A887),4)),VALUE(MID(TRIM([1]Raw_Data!A887),4,2)),VALUE(LEFT(TRIM([1]Raw_Data!A887),2)))</f>
        <v>44221</v>
      </c>
      <c r="B889" s="3" t="str">
        <f>TRIM([1]Raw_Data!B887)</f>
        <v>BCAA</v>
      </c>
      <c r="C889" s="3" t="str">
        <f>TRIM([1]Raw_Data!C887)</f>
        <v>Amino Acid</v>
      </c>
      <c r="D889" s="3">
        <f>[1]Raw_Data!D887</f>
        <v>149</v>
      </c>
      <c r="E889" s="4">
        <f>[1]Raw_Data!E887</f>
        <v>23.11</v>
      </c>
      <c r="F889" s="5">
        <f>[1]Raw_Data!F887</f>
        <v>3443.39</v>
      </c>
      <c r="G889" s="4">
        <f>[1]Raw_Data!G887</f>
        <v>0.11</v>
      </c>
      <c r="H889" s="3">
        <f>[1]Raw_Data!H887</f>
        <v>0</v>
      </c>
      <c r="I889" s="3" t="str">
        <f>TRIM([1]Raw_Data!I887)</f>
        <v>USA</v>
      </c>
      <c r="J889" s="3" t="str">
        <f>TRIM([1]Raw_Data!J887)</f>
        <v>iHerb</v>
      </c>
      <c r="K889" s="3">
        <f t="shared" si="52"/>
        <v>2021</v>
      </c>
      <c r="L889" s="6">
        <f t="shared" si="53"/>
        <v>44197</v>
      </c>
      <c r="M889" s="3" t="str">
        <f t="shared" si="54"/>
        <v>11% to 15%</v>
      </c>
      <c r="N889" s="3" t="str">
        <f t="shared" si="55"/>
        <v>OK</v>
      </c>
    </row>
    <row r="890" spans="1:14" x14ac:dyDescent="0.3">
      <c r="A890" s="2">
        <f>DATE(VALUE(RIGHT(TRIM([1]Raw_Data!A888),4)),VALUE(MID(TRIM([1]Raw_Data!A888),4,2)),VALUE(LEFT(TRIM([1]Raw_Data!A888),2)))</f>
        <v>44221</v>
      </c>
      <c r="B890" s="3" t="str">
        <f>TRIM([1]Raw_Data!B888)</f>
        <v>Creatine</v>
      </c>
      <c r="C890" s="3" t="str">
        <f>TRIM([1]Raw_Data!C888)</f>
        <v>Performance</v>
      </c>
      <c r="D890" s="3">
        <f>[1]Raw_Data!D888</f>
        <v>177</v>
      </c>
      <c r="E890" s="4">
        <f>[1]Raw_Data!E888</f>
        <v>23.41</v>
      </c>
      <c r="F890" s="5">
        <f>[1]Raw_Data!F888</f>
        <v>4143.57</v>
      </c>
      <c r="G890" s="4">
        <f>[1]Raw_Data!G888</f>
        <v>0.15</v>
      </c>
      <c r="H890" s="3">
        <f>[1]Raw_Data!H888</f>
        <v>2</v>
      </c>
      <c r="I890" s="3" t="str">
        <f>TRIM([1]Raw_Data!I888)</f>
        <v>Canada</v>
      </c>
      <c r="J890" s="3" t="str">
        <f>TRIM([1]Raw_Data!J888)</f>
        <v>iHerb</v>
      </c>
      <c r="K890" s="3">
        <f t="shared" si="52"/>
        <v>2021</v>
      </c>
      <c r="L890" s="6">
        <f t="shared" si="53"/>
        <v>44197</v>
      </c>
      <c r="M890" s="3" t="str">
        <f t="shared" si="54"/>
        <v>11% to 15%</v>
      </c>
      <c r="N890" s="3" t="str">
        <f t="shared" si="55"/>
        <v>OK</v>
      </c>
    </row>
    <row r="891" spans="1:14" x14ac:dyDescent="0.3">
      <c r="A891" s="2">
        <f>DATE(VALUE(RIGHT(TRIM([1]Raw_Data!A889),4)),VALUE(MID(TRIM([1]Raw_Data!A889),4,2)),VALUE(LEFT(TRIM([1]Raw_Data!A889),2)))</f>
        <v>44221</v>
      </c>
      <c r="B891" s="3" t="str">
        <f>TRIM([1]Raw_Data!B889)</f>
        <v>Zinc</v>
      </c>
      <c r="C891" s="3" t="str">
        <f>TRIM([1]Raw_Data!C889)</f>
        <v>Mineral</v>
      </c>
      <c r="D891" s="3">
        <f>[1]Raw_Data!D889</f>
        <v>150</v>
      </c>
      <c r="E891" s="4">
        <f>[1]Raw_Data!E889</f>
        <v>38.11</v>
      </c>
      <c r="F891" s="5">
        <f>[1]Raw_Data!F889</f>
        <v>5716.5</v>
      </c>
      <c r="G891" s="4">
        <f>[1]Raw_Data!G889</f>
        <v>0.14000000000000001</v>
      </c>
      <c r="H891" s="3">
        <f>[1]Raw_Data!H889</f>
        <v>0</v>
      </c>
      <c r="I891" s="3" t="str">
        <f>TRIM([1]Raw_Data!I889)</f>
        <v>UK</v>
      </c>
      <c r="J891" s="3" t="str">
        <f>TRIM([1]Raw_Data!J889)</f>
        <v>Walmart</v>
      </c>
      <c r="K891" s="3">
        <f t="shared" si="52"/>
        <v>2021</v>
      </c>
      <c r="L891" s="6">
        <f t="shared" si="53"/>
        <v>44197</v>
      </c>
      <c r="M891" s="3" t="str">
        <f t="shared" si="54"/>
        <v>11% to 15%</v>
      </c>
      <c r="N891" s="3" t="str">
        <f t="shared" si="55"/>
        <v>OK</v>
      </c>
    </row>
    <row r="892" spans="1:14" x14ac:dyDescent="0.3">
      <c r="A892" s="2">
        <f>DATE(VALUE(RIGHT(TRIM([1]Raw_Data!A890),4)),VALUE(MID(TRIM([1]Raw_Data!A890),4,2)),VALUE(LEFT(TRIM([1]Raw_Data!A890),2)))</f>
        <v>44221</v>
      </c>
      <c r="B892" s="3" t="str">
        <f>TRIM([1]Raw_Data!B890)</f>
        <v>Collagen Peptides</v>
      </c>
      <c r="C892" s="3" t="str">
        <f>TRIM([1]Raw_Data!C890)</f>
        <v>Protein</v>
      </c>
      <c r="D892" s="3">
        <f>[1]Raw_Data!D890</f>
        <v>134</v>
      </c>
      <c r="E892" s="4">
        <f>[1]Raw_Data!E890</f>
        <v>23.44</v>
      </c>
      <c r="F892" s="5">
        <f>[1]Raw_Data!F890</f>
        <v>3140.96</v>
      </c>
      <c r="G892" s="4">
        <f>[1]Raw_Data!G890</f>
        <v>0.01</v>
      </c>
      <c r="H892" s="3">
        <f>[1]Raw_Data!H890</f>
        <v>2</v>
      </c>
      <c r="I892" s="3" t="str">
        <f>TRIM([1]Raw_Data!I890)</f>
        <v>Canada</v>
      </c>
      <c r="J892" s="3" t="str">
        <f>TRIM([1]Raw_Data!J890)</f>
        <v>Amazon</v>
      </c>
      <c r="K892" s="3">
        <f t="shared" si="52"/>
        <v>2021</v>
      </c>
      <c r="L892" s="6">
        <f t="shared" si="53"/>
        <v>44197</v>
      </c>
      <c r="M892" s="3" t="str">
        <f t="shared" si="54"/>
        <v>0% to 5%</v>
      </c>
      <c r="N892" s="3" t="str">
        <f t="shared" si="55"/>
        <v>OK</v>
      </c>
    </row>
    <row r="893" spans="1:14" x14ac:dyDescent="0.3">
      <c r="A893" s="2">
        <f>DATE(VALUE(RIGHT(TRIM([1]Raw_Data!A891),4)),VALUE(MID(TRIM([1]Raw_Data!A891),4,2)),VALUE(LEFT(TRIM([1]Raw_Data!A891),2)))</f>
        <v>44221</v>
      </c>
      <c r="B893" s="3" t="str">
        <f>TRIM([1]Raw_Data!B891)</f>
        <v>Magnesium</v>
      </c>
      <c r="C893" s="3" t="str">
        <f>TRIM([1]Raw_Data!C891)</f>
        <v>Mineral</v>
      </c>
      <c r="D893" s="3">
        <f>[1]Raw_Data!D891</f>
        <v>151</v>
      </c>
      <c r="E893" s="4">
        <f>[1]Raw_Data!E891</f>
        <v>34.21</v>
      </c>
      <c r="F893" s="5">
        <f>[1]Raw_Data!F891</f>
        <v>5165.71</v>
      </c>
      <c r="G893" s="4">
        <f>[1]Raw_Data!G891</f>
        <v>0.02</v>
      </c>
      <c r="H893" s="3">
        <f>[1]Raw_Data!H891</f>
        <v>1</v>
      </c>
      <c r="I893" s="3" t="str">
        <f>TRIM([1]Raw_Data!I891)</f>
        <v>USA</v>
      </c>
      <c r="J893" s="3" t="str">
        <f>TRIM([1]Raw_Data!J891)</f>
        <v>Walmart</v>
      </c>
      <c r="K893" s="3">
        <f t="shared" si="52"/>
        <v>2021</v>
      </c>
      <c r="L893" s="6">
        <f t="shared" si="53"/>
        <v>44197</v>
      </c>
      <c r="M893" s="3" t="str">
        <f t="shared" si="54"/>
        <v>0% to 5%</v>
      </c>
      <c r="N893" s="3" t="str">
        <f t="shared" si="55"/>
        <v>OK</v>
      </c>
    </row>
    <row r="894" spans="1:14" x14ac:dyDescent="0.3">
      <c r="A894" s="2">
        <f>DATE(VALUE(RIGHT(TRIM([1]Raw_Data!A892),4)),VALUE(MID(TRIM([1]Raw_Data!A892),4,2)),VALUE(LEFT(TRIM([1]Raw_Data!A892),2)))</f>
        <v>44221</v>
      </c>
      <c r="B894" s="3" t="str">
        <f>TRIM([1]Raw_Data!B892)</f>
        <v>Ashwagandha</v>
      </c>
      <c r="C894" s="3" t="str">
        <f>TRIM([1]Raw_Data!C892)</f>
        <v>Herbal</v>
      </c>
      <c r="D894" s="3">
        <f>[1]Raw_Data!D892</f>
        <v>147</v>
      </c>
      <c r="E894" s="4">
        <f>[1]Raw_Data!E892</f>
        <v>55.33</v>
      </c>
      <c r="F894" s="5">
        <f>[1]Raw_Data!F892</f>
        <v>8133.51</v>
      </c>
      <c r="G894" s="4">
        <f>[1]Raw_Data!G892</f>
        <v>0.05</v>
      </c>
      <c r="H894" s="3">
        <f>[1]Raw_Data!H892</f>
        <v>2</v>
      </c>
      <c r="I894" s="3" t="str">
        <f>TRIM([1]Raw_Data!I892)</f>
        <v>UK</v>
      </c>
      <c r="J894" s="3" t="str">
        <f>TRIM([1]Raw_Data!J892)</f>
        <v>Amazon</v>
      </c>
      <c r="K894" s="3">
        <f t="shared" si="52"/>
        <v>2021</v>
      </c>
      <c r="L894" s="6">
        <f t="shared" si="53"/>
        <v>44197</v>
      </c>
      <c r="M894" s="3" t="str">
        <f t="shared" si="54"/>
        <v>0% to 5%</v>
      </c>
      <c r="N894" s="3" t="str">
        <f t="shared" si="55"/>
        <v>OK</v>
      </c>
    </row>
    <row r="895" spans="1:14" x14ac:dyDescent="0.3">
      <c r="A895" s="2">
        <f>DATE(VALUE(RIGHT(TRIM([1]Raw_Data!A893),4)),VALUE(MID(TRIM([1]Raw_Data!A893),4,2)),VALUE(LEFT(TRIM([1]Raw_Data!A893),2)))</f>
        <v>44221</v>
      </c>
      <c r="B895" s="3" t="str">
        <f>TRIM([1]Raw_Data!B893)</f>
        <v>Melatonin</v>
      </c>
      <c r="C895" s="3" t="str">
        <f>TRIM([1]Raw_Data!C893)</f>
        <v>Sleep Aid</v>
      </c>
      <c r="D895" s="3">
        <f>[1]Raw_Data!D893</f>
        <v>147</v>
      </c>
      <c r="E895" s="4">
        <f>[1]Raw_Data!E893</f>
        <v>27.36</v>
      </c>
      <c r="F895" s="5">
        <f>[1]Raw_Data!F893</f>
        <v>4021.92</v>
      </c>
      <c r="G895" s="4">
        <f>[1]Raw_Data!G893</f>
        <v>7.0000000000000007E-2</v>
      </c>
      <c r="H895" s="3">
        <f>[1]Raw_Data!H893</f>
        <v>2</v>
      </c>
      <c r="I895" s="3" t="str">
        <f>TRIM([1]Raw_Data!I893)</f>
        <v>UK</v>
      </c>
      <c r="J895" s="3" t="str">
        <f>TRIM([1]Raw_Data!J893)</f>
        <v>iHerb</v>
      </c>
      <c r="K895" s="3">
        <f t="shared" si="52"/>
        <v>2021</v>
      </c>
      <c r="L895" s="6">
        <f t="shared" si="53"/>
        <v>44197</v>
      </c>
      <c r="M895" s="3" t="str">
        <f t="shared" si="54"/>
        <v>6% to 10%</v>
      </c>
      <c r="N895" s="3" t="str">
        <f t="shared" si="55"/>
        <v>OK</v>
      </c>
    </row>
    <row r="896" spans="1:14" x14ac:dyDescent="0.3">
      <c r="A896" s="2">
        <f>DATE(VALUE(RIGHT(TRIM([1]Raw_Data!A894),4)),VALUE(MID(TRIM([1]Raw_Data!A894),4,2)),VALUE(LEFT(TRIM([1]Raw_Data!A894),2)))</f>
        <v>44221</v>
      </c>
      <c r="B896" s="3" t="str">
        <f>TRIM([1]Raw_Data!B894)</f>
        <v>Biotin</v>
      </c>
      <c r="C896" s="3" t="str">
        <f>TRIM([1]Raw_Data!C894)</f>
        <v>Vitamin</v>
      </c>
      <c r="D896" s="3">
        <f>[1]Raw_Data!D894</f>
        <v>177</v>
      </c>
      <c r="E896" s="4">
        <f>[1]Raw_Data!E894</f>
        <v>50.57</v>
      </c>
      <c r="F896" s="5">
        <f>[1]Raw_Data!F894</f>
        <v>8950.89</v>
      </c>
      <c r="G896" s="4">
        <f>[1]Raw_Data!G894</f>
        <v>0.01</v>
      </c>
      <c r="H896" s="3">
        <f>[1]Raw_Data!H894</f>
        <v>2</v>
      </c>
      <c r="I896" s="3" t="str">
        <f>TRIM([1]Raw_Data!I894)</f>
        <v>USA</v>
      </c>
      <c r="J896" s="3" t="str">
        <f>TRIM([1]Raw_Data!J894)</f>
        <v>Walmart</v>
      </c>
      <c r="K896" s="3">
        <f t="shared" si="52"/>
        <v>2021</v>
      </c>
      <c r="L896" s="6">
        <f t="shared" si="53"/>
        <v>44197</v>
      </c>
      <c r="M896" s="3" t="str">
        <f t="shared" si="54"/>
        <v>0% to 5%</v>
      </c>
      <c r="N896" s="3" t="str">
        <f t="shared" si="55"/>
        <v>OK</v>
      </c>
    </row>
    <row r="897" spans="1:14" x14ac:dyDescent="0.3">
      <c r="A897" s="2">
        <f>DATE(VALUE(RIGHT(TRIM([1]Raw_Data!A895),4)),VALUE(MID(TRIM([1]Raw_Data!A895),4,2)),VALUE(LEFT(TRIM([1]Raw_Data!A895),2)))</f>
        <v>44221</v>
      </c>
      <c r="B897" s="3" t="str">
        <f>TRIM([1]Raw_Data!B895)</f>
        <v>Green Tea Extract</v>
      </c>
      <c r="C897" s="3" t="str">
        <f>TRIM([1]Raw_Data!C895)</f>
        <v>Fat Burner</v>
      </c>
      <c r="D897" s="3">
        <f>[1]Raw_Data!D895</f>
        <v>160</v>
      </c>
      <c r="E897" s="4">
        <f>[1]Raw_Data!E895</f>
        <v>51.19</v>
      </c>
      <c r="F897" s="5">
        <f>[1]Raw_Data!F895</f>
        <v>8190.4</v>
      </c>
      <c r="G897" s="4">
        <f>[1]Raw_Data!G895</f>
        <v>0.16</v>
      </c>
      <c r="H897" s="3">
        <f>[1]Raw_Data!H895</f>
        <v>4</v>
      </c>
      <c r="I897" s="3" t="str">
        <f>TRIM([1]Raw_Data!I895)</f>
        <v>USA</v>
      </c>
      <c r="J897" s="3" t="str">
        <f>TRIM([1]Raw_Data!J895)</f>
        <v>Amazon</v>
      </c>
      <c r="K897" s="3">
        <f t="shared" si="52"/>
        <v>2021</v>
      </c>
      <c r="L897" s="6">
        <f t="shared" si="53"/>
        <v>44197</v>
      </c>
      <c r="M897" s="3" t="str">
        <f t="shared" si="54"/>
        <v>16% to 20%</v>
      </c>
      <c r="N897" s="3" t="str">
        <f t="shared" si="55"/>
        <v>OK</v>
      </c>
    </row>
    <row r="898" spans="1:14" x14ac:dyDescent="0.3">
      <c r="A898" s="2">
        <f>DATE(VALUE(RIGHT(TRIM([1]Raw_Data!A896),4)),VALUE(MID(TRIM([1]Raw_Data!A896),4,2)),VALUE(LEFT(TRIM([1]Raw_Data!A896),2)))</f>
        <v>44221</v>
      </c>
      <c r="B898" s="3" t="str">
        <f>TRIM([1]Raw_Data!B896)</f>
        <v>Iron Supplement</v>
      </c>
      <c r="C898" s="3" t="str">
        <f>TRIM([1]Raw_Data!C896)</f>
        <v>Mineral</v>
      </c>
      <c r="D898" s="3">
        <f>[1]Raw_Data!D896</f>
        <v>151</v>
      </c>
      <c r="E898" s="4">
        <f>[1]Raw_Data!E896</f>
        <v>36.409999999999997</v>
      </c>
      <c r="F898" s="5">
        <f>[1]Raw_Data!F896</f>
        <v>5497.91</v>
      </c>
      <c r="G898" s="4">
        <f>[1]Raw_Data!G896</f>
        <v>0.03</v>
      </c>
      <c r="H898" s="3">
        <f>[1]Raw_Data!H896</f>
        <v>2</v>
      </c>
      <c r="I898" s="3" t="str">
        <f>TRIM([1]Raw_Data!I896)</f>
        <v>USA</v>
      </c>
      <c r="J898" s="3" t="str">
        <f>TRIM([1]Raw_Data!J896)</f>
        <v>iHerb</v>
      </c>
      <c r="K898" s="3">
        <f t="shared" si="52"/>
        <v>2021</v>
      </c>
      <c r="L898" s="6">
        <f t="shared" si="53"/>
        <v>44197</v>
      </c>
      <c r="M898" s="3" t="str">
        <f t="shared" si="54"/>
        <v>0% to 5%</v>
      </c>
      <c r="N898" s="3" t="str">
        <f t="shared" si="55"/>
        <v>OK</v>
      </c>
    </row>
    <row r="899" spans="1:14" x14ac:dyDescent="0.3">
      <c r="A899" s="2">
        <f>DATE(VALUE(RIGHT(TRIM([1]Raw_Data!A897),4)),VALUE(MID(TRIM([1]Raw_Data!A897),4,2)),VALUE(LEFT(TRIM([1]Raw_Data!A897),2)))</f>
        <v>44221</v>
      </c>
      <c r="B899" s="3" t="str">
        <f>TRIM([1]Raw_Data!B897)</f>
        <v>Electrolyte Powder</v>
      </c>
      <c r="C899" s="3" t="str">
        <f>TRIM([1]Raw_Data!C897)</f>
        <v>Hydration</v>
      </c>
      <c r="D899" s="3">
        <f>[1]Raw_Data!D897</f>
        <v>149</v>
      </c>
      <c r="E899" s="4">
        <f>[1]Raw_Data!E897</f>
        <v>10.5</v>
      </c>
      <c r="F899" s="5">
        <f>[1]Raw_Data!F897</f>
        <v>1564.5</v>
      </c>
      <c r="G899" s="4">
        <f>[1]Raw_Data!G897</f>
        <v>0.05</v>
      </c>
      <c r="H899" s="3">
        <f>[1]Raw_Data!H897</f>
        <v>1</v>
      </c>
      <c r="I899" s="3" t="str">
        <f>TRIM([1]Raw_Data!I897)</f>
        <v>Canada</v>
      </c>
      <c r="J899" s="3" t="str">
        <f>TRIM([1]Raw_Data!J897)</f>
        <v>iHerb</v>
      </c>
      <c r="K899" s="3">
        <f t="shared" si="52"/>
        <v>2021</v>
      </c>
      <c r="L899" s="6">
        <f t="shared" si="53"/>
        <v>44197</v>
      </c>
      <c r="M899" s="3" t="str">
        <f t="shared" si="54"/>
        <v>0% to 5%</v>
      </c>
      <c r="N899" s="3" t="str">
        <f t="shared" si="55"/>
        <v>OK</v>
      </c>
    </row>
    <row r="900" spans="1:14" x14ac:dyDescent="0.3">
      <c r="A900" s="2">
        <f>DATE(VALUE(RIGHT(TRIM([1]Raw_Data!A898),4)),VALUE(MID(TRIM([1]Raw_Data!A898),4,2)),VALUE(LEFT(TRIM([1]Raw_Data!A898),2)))</f>
        <v>44228</v>
      </c>
      <c r="B900" s="3" t="str">
        <f>TRIM([1]Raw_Data!B898)</f>
        <v>Whey Protein</v>
      </c>
      <c r="C900" s="3" t="str">
        <f>TRIM([1]Raw_Data!C898)</f>
        <v>Protein</v>
      </c>
      <c r="D900" s="3">
        <f>[1]Raw_Data!D898</f>
        <v>178</v>
      </c>
      <c r="E900" s="4">
        <f>[1]Raw_Data!E898</f>
        <v>31.22</v>
      </c>
      <c r="F900" s="5">
        <f>[1]Raw_Data!F898</f>
        <v>5557.16</v>
      </c>
      <c r="G900" s="4">
        <f>[1]Raw_Data!G898</f>
        <v>0.18</v>
      </c>
      <c r="H900" s="3">
        <f>[1]Raw_Data!H898</f>
        <v>2</v>
      </c>
      <c r="I900" s="3" t="str">
        <f>TRIM([1]Raw_Data!I898)</f>
        <v>Canada</v>
      </c>
      <c r="J900" s="3" t="str">
        <f>TRIM([1]Raw_Data!J898)</f>
        <v>Amazon</v>
      </c>
      <c r="K900" s="3">
        <f t="shared" ref="K900:K963" si="56">YEAR(A900)</f>
        <v>2021</v>
      </c>
      <c r="L900" s="6">
        <f t="shared" ref="L900:L963" si="57">DATE(YEAR(A900),MONTH(A900),1)</f>
        <v>44228</v>
      </c>
      <c r="M900" s="3" t="str">
        <f t="shared" ref="M900:M963" si="58">IF(ROUND(G900*100,0)&lt;=5,"0% to 5%",IF(ROUND(G900*100,0)&lt;=10,"6% to 10%",IF(ROUND(G900*100,0)&lt;=15,"11% to 15%",IF(ROUND(G900*100,0)&lt;=20,"16% to 20%","21% to 25%"))))</f>
        <v>16% to 20%</v>
      </c>
      <c r="N900" s="3" t="str">
        <f t="shared" ref="N900:N963" si="59">IF(ROUND(D900*E900,2)=ROUND(F900,2),"OK","Check")</f>
        <v>OK</v>
      </c>
    </row>
    <row r="901" spans="1:14" x14ac:dyDescent="0.3">
      <c r="A901" s="2">
        <f>DATE(VALUE(RIGHT(TRIM([1]Raw_Data!A899),4)),VALUE(MID(TRIM([1]Raw_Data!A899),4,2)),VALUE(LEFT(TRIM([1]Raw_Data!A899),2)))</f>
        <v>44228</v>
      </c>
      <c r="B901" s="3" t="str">
        <f>TRIM([1]Raw_Data!B899)</f>
        <v>Vitamin C</v>
      </c>
      <c r="C901" s="3" t="str">
        <f>TRIM([1]Raw_Data!C899)</f>
        <v>Vitamin</v>
      </c>
      <c r="D901" s="3">
        <f>[1]Raw_Data!D899</f>
        <v>143</v>
      </c>
      <c r="E901" s="4">
        <f>[1]Raw_Data!E899</f>
        <v>20.88</v>
      </c>
      <c r="F901" s="5">
        <f>[1]Raw_Data!F899</f>
        <v>2985.84</v>
      </c>
      <c r="G901" s="4">
        <f>[1]Raw_Data!G899</f>
        <v>0.24</v>
      </c>
      <c r="H901" s="3">
        <f>[1]Raw_Data!H899</f>
        <v>0</v>
      </c>
      <c r="I901" s="3" t="str">
        <f>TRIM([1]Raw_Data!I899)</f>
        <v>UK</v>
      </c>
      <c r="J901" s="3" t="str">
        <f>TRIM([1]Raw_Data!J899)</f>
        <v>Walmart</v>
      </c>
      <c r="K901" s="3">
        <f t="shared" si="56"/>
        <v>2021</v>
      </c>
      <c r="L901" s="6">
        <f t="shared" si="57"/>
        <v>44228</v>
      </c>
      <c r="M901" s="3" t="str">
        <f t="shared" si="58"/>
        <v>21% to 25%</v>
      </c>
      <c r="N901" s="3" t="str">
        <f t="shared" si="59"/>
        <v>OK</v>
      </c>
    </row>
    <row r="902" spans="1:14" x14ac:dyDescent="0.3">
      <c r="A902" s="2">
        <f>DATE(VALUE(RIGHT(TRIM([1]Raw_Data!A900),4)),VALUE(MID(TRIM([1]Raw_Data!A900),4,2)),VALUE(LEFT(TRIM([1]Raw_Data!A900),2)))</f>
        <v>44228</v>
      </c>
      <c r="B902" s="3" t="str">
        <f>TRIM([1]Raw_Data!B900)</f>
        <v>Fish Oil</v>
      </c>
      <c r="C902" s="3" t="str">
        <f>TRIM([1]Raw_Data!C900)</f>
        <v>Omega</v>
      </c>
      <c r="D902" s="3">
        <f>[1]Raw_Data!D900</f>
        <v>145</v>
      </c>
      <c r="E902" s="4">
        <f>[1]Raw_Data!E900</f>
        <v>21.09</v>
      </c>
      <c r="F902" s="5">
        <f>[1]Raw_Data!F900</f>
        <v>3058.05</v>
      </c>
      <c r="G902" s="4">
        <f>[1]Raw_Data!G900</f>
        <v>0.2</v>
      </c>
      <c r="H902" s="3">
        <f>[1]Raw_Data!H900</f>
        <v>0</v>
      </c>
      <c r="I902" s="3" t="str">
        <f>TRIM([1]Raw_Data!I900)</f>
        <v>UK</v>
      </c>
      <c r="J902" s="3" t="str">
        <f>TRIM([1]Raw_Data!J900)</f>
        <v>Amazon</v>
      </c>
      <c r="K902" s="3">
        <f t="shared" si="56"/>
        <v>2021</v>
      </c>
      <c r="L902" s="6">
        <f t="shared" si="57"/>
        <v>44228</v>
      </c>
      <c r="M902" s="3" t="str">
        <f t="shared" si="58"/>
        <v>16% to 20%</v>
      </c>
      <c r="N902" s="3" t="str">
        <f t="shared" si="59"/>
        <v>OK</v>
      </c>
    </row>
    <row r="903" spans="1:14" x14ac:dyDescent="0.3">
      <c r="A903" s="2">
        <f>DATE(VALUE(RIGHT(TRIM([1]Raw_Data!A901),4)),VALUE(MID(TRIM([1]Raw_Data!A901),4,2)),VALUE(LEFT(TRIM([1]Raw_Data!A901),2)))</f>
        <v>44228</v>
      </c>
      <c r="B903" s="3" t="str">
        <f>TRIM([1]Raw_Data!B901)</f>
        <v>Multivitamin</v>
      </c>
      <c r="C903" s="3" t="str">
        <f>TRIM([1]Raw_Data!C901)</f>
        <v>Vitamin</v>
      </c>
      <c r="D903" s="3">
        <f>[1]Raw_Data!D901</f>
        <v>129</v>
      </c>
      <c r="E903" s="4">
        <f>[1]Raw_Data!E901</f>
        <v>10.5</v>
      </c>
      <c r="F903" s="5">
        <f>[1]Raw_Data!F901</f>
        <v>1354.5</v>
      </c>
      <c r="G903" s="4">
        <f>[1]Raw_Data!G901</f>
        <v>0.02</v>
      </c>
      <c r="H903" s="3">
        <f>[1]Raw_Data!H901</f>
        <v>2</v>
      </c>
      <c r="I903" s="3" t="str">
        <f>TRIM([1]Raw_Data!I901)</f>
        <v>UK</v>
      </c>
      <c r="J903" s="3" t="str">
        <f>TRIM([1]Raw_Data!J901)</f>
        <v>iHerb</v>
      </c>
      <c r="K903" s="3">
        <f t="shared" si="56"/>
        <v>2021</v>
      </c>
      <c r="L903" s="6">
        <f t="shared" si="57"/>
        <v>44228</v>
      </c>
      <c r="M903" s="3" t="str">
        <f t="shared" si="58"/>
        <v>0% to 5%</v>
      </c>
      <c r="N903" s="3" t="str">
        <f t="shared" si="59"/>
        <v>OK</v>
      </c>
    </row>
    <row r="904" spans="1:14" x14ac:dyDescent="0.3">
      <c r="A904" s="2">
        <f>DATE(VALUE(RIGHT(TRIM([1]Raw_Data!A902),4)),VALUE(MID(TRIM([1]Raw_Data!A902),4,2)),VALUE(LEFT(TRIM([1]Raw_Data!A902),2)))</f>
        <v>44228</v>
      </c>
      <c r="B904" s="3" t="str">
        <f>TRIM([1]Raw_Data!B902)</f>
        <v>Pre-Workout</v>
      </c>
      <c r="C904" s="3" t="str">
        <f>TRIM([1]Raw_Data!C902)</f>
        <v>Performance</v>
      </c>
      <c r="D904" s="3">
        <f>[1]Raw_Data!D902</f>
        <v>165</v>
      </c>
      <c r="E904" s="4">
        <f>[1]Raw_Data!E902</f>
        <v>12.62</v>
      </c>
      <c r="F904" s="5">
        <f>[1]Raw_Data!F902</f>
        <v>2082.3000000000002</v>
      </c>
      <c r="G904" s="4">
        <f>[1]Raw_Data!G902</f>
        <v>0.2</v>
      </c>
      <c r="H904" s="3">
        <f>[1]Raw_Data!H902</f>
        <v>3</v>
      </c>
      <c r="I904" s="3" t="str">
        <f>TRIM([1]Raw_Data!I902)</f>
        <v>UK</v>
      </c>
      <c r="J904" s="3" t="str">
        <f>TRIM([1]Raw_Data!J902)</f>
        <v>iHerb</v>
      </c>
      <c r="K904" s="3">
        <f t="shared" si="56"/>
        <v>2021</v>
      </c>
      <c r="L904" s="6">
        <f t="shared" si="57"/>
        <v>44228</v>
      </c>
      <c r="M904" s="3" t="str">
        <f t="shared" si="58"/>
        <v>16% to 20%</v>
      </c>
      <c r="N904" s="3" t="str">
        <f t="shared" si="59"/>
        <v>OK</v>
      </c>
    </row>
    <row r="905" spans="1:14" x14ac:dyDescent="0.3">
      <c r="A905" s="2">
        <f>DATE(VALUE(RIGHT(TRIM([1]Raw_Data!A903),4)),VALUE(MID(TRIM([1]Raw_Data!A903),4,2)),VALUE(LEFT(TRIM([1]Raw_Data!A903),2)))</f>
        <v>44228</v>
      </c>
      <c r="B905" s="3" t="str">
        <f>TRIM([1]Raw_Data!B903)</f>
        <v>BCAA</v>
      </c>
      <c r="C905" s="3" t="str">
        <f>TRIM([1]Raw_Data!C903)</f>
        <v>Amino Acid</v>
      </c>
      <c r="D905" s="3">
        <f>[1]Raw_Data!D903</f>
        <v>162</v>
      </c>
      <c r="E905" s="4">
        <f>[1]Raw_Data!E903</f>
        <v>21.65</v>
      </c>
      <c r="F905" s="5">
        <f>[1]Raw_Data!F903</f>
        <v>3507.3</v>
      </c>
      <c r="G905" s="4">
        <f>[1]Raw_Data!G903</f>
        <v>0.21</v>
      </c>
      <c r="H905" s="3">
        <f>[1]Raw_Data!H903</f>
        <v>2</v>
      </c>
      <c r="I905" s="3" t="str">
        <f>TRIM([1]Raw_Data!I903)</f>
        <v>USA</v>
      </c>
      <c r="J905" s="3" t="str">
        <f>TRIM([1]Raw_Data!J903)</f>
        <v>iHerb</v>
      </c>
      <c r="K905" s="3">
        <f t="shared" si="56"/>
        <v>2021</v>
      </c>
      <c r="L905" s="6">
        <f t="shared" si="57"/>
        <v>44228</v>
      </c>
      <c r="M905" s="3" t="str">
        <f t="shared" si="58"/>
        <v>21% to 25%</v>
      </c>
      <c r="N905" s="3" t="str">
        <f t="shared" si="59"/>
        <v>OK</v>
      </c>
    </row>
    <row r="906" spans="1:14" x14ac:dyDescent="0.3">
      <c r="A906" s="2">
        <f>DATE(VALUE(RIGHT(TRIM([1]Raw_Data!A904),4)),VALUE(MID(TRIM([1]Raw_Data!A904),4,2)),VALUE(LEFT(TRIM([1]Raw_Data!A904),2)))</f>
        <v>44228</v>
      </c>
      <c r="B906" s="3" t="str">
        <f>TRIM([1]Raw_Data!B904)</f>
        <v>Creatine</v>
      </c>
      <c r="C906" s="3" t="str">
        <f>TRIM([1]Raw_Data!C904)</f>
        <v>Performance</v>
      </c>
      <c r="D906" s="3">
        <f>[1]Raw_Data!D904</f>
        <v>139</v>
      </c>
      <c r="E906" s="4">
        <f>[1]Raw_Data!E904</f>
        <v>49.63</v>
      </c>
      <c r="F906" s="5">
        <f>[1]Raw_Data!F904</f>
        <v>6898.57</v>
      </c>
      <c r="G906" s="4">
        <f>[1]Raw_Data!G904</f>
        <v>0.05</v>
      </c>
      <c r="H906" s="3">
        <f>[1]Raw_Data!H904</f>
        <v>0</v>
      </c>
      <c r="I906" s="3" t="str">
        <f>TRIM([1]Raw_Data!I904)</f>
        <v>Canada</v>
      </c>
      <c r="J906" s="3" t="str">
        <f>TRIM([1]Raw_Data!J904)</f>
        <v>Walmart</v>
      </c>
      <c r="K906" s="3">
        <f t="shared" si="56"/>
        <v>2021</v>
      </c>
      <c r="L906" s="6">
        <f t="shared" si="57"/>
        <v>44228</v>
      </c>
      <c r="M906" s="3" t="str">
        <f t="shared" si="58"/>
        <v>0% to 5%</v>
      </c>
      <c r="N906" s="3" t="str">
        <f t="shared" si="59"/>
        <v>OK</v>
      </c>
    </row>
    <row r="907" spans="1:14" x14ac:dyDescent="0.3">
      <c r="A907" s="2">
        <f>DATE(VALUE(RIGHT(TRIM([1]Raw_Data!A905),4)),VALUE(MID(TRIM([1]Raw_Data!A905),4,2)),VALUE(LEFT(TRIM([1]Raw_Data!A905),2)))</f>
        <v>44228</v>
      </c>
      <c r="B907" s="3" t="str">
        <f>TRIM([1]Raw_Data!B905)</f>
        <v>Zinc</v>
      </c>
      <c r="C907" s="3" t="str">
        <f>TRIM([1]Raw_Data!C905)</f>
        <v>Mineral</v>
      </c>
      <c r="D907" s="3">
        <f>[1]Raw_Data!D905</f>
        <v>164</v>
      </c>
      <c r="E907" s="4">
        <f>[1]Raw_Data!E905</f>
        <v>52.08</v>
      </c>
      <c r="F907" s="5">
        <f>[1]Raw_Data!F905</f>
        <v>8541.1200000000008</v>
      </c>
      <c r="G907" s="4">
        <f>[1]Raw_Data!G905</f>
        <v>0.14000000000000001</v>
      </c>
      <c r="H907" s="3">
        <f>[1]Raw_Data!H905</f>
        <v>3</v>
      </c>
      <c r="I907" s="3" t="str">
        <f>TRIM([1]Raw_Data!I905)</f>
        <v>USA</v>
      </c>
      <c r="J907" s="3" t="str">
        <f>TRIM([1]Raw_Data!J905)</f>
        <v>iHerb</v>
      </c>
      <c r="K907" s="3">
        <f t="shared" si="56"/>
        <v>2021</v>
      </c>
      <c r="L907" s="6">
        <f t="shared" si="57"/>
        <v>44228</v>
      </c>
      <c r="M907" s="3" t="str">
        <f t="shared" si="58"/>
        <v>11% to 15%</v>
      </c>
      <c r="N907" s="3" t="str">
        <f t="shared" si="59"/>
        <v>OK</v>
      </c>
    </row>
    <row r="908" spans="1:14" x14ac:dyDescent="0.3">
      <c r="A908" s="2">
        <f>DATE(VALUE(RIGHT(TRIM([1]Raw_Data!A906),4)),VALUE(MID(TRIM([1]Raw_Data!A906),4,2)),VALUE(LEFT(TRIM([1]Raw_Data!A906),2)))</f>
        <v>44228</v>
      </c>
      <c r="B908" s="3" t="str">
        <f>TRIM([1]Raw_Data!B906)</f>
        <v>Collagen Peptides</v>
      </c>
      <c r="C908" s="3" t="str">
        <f>TRIM([1]Raw_Data!C906)</f>
        <v>Protein</v>
      </c>
      <c r="D908" s="3">
        <f>[1]Raw_Data!D906</f>
        <v>172</v>
      </c>
      <c r="E908" s="4">
        <f>[1]Raw_Data!E906</f>
        <v>13.77</v>
      </c>
      <c r="F908" s="5">
        <f>[1]Raw_Data!F906</f>
        <v>2368.44</v>
      </c>
      <c r="G908" s="4">
        <f>[1]Raw_Data!G906</f>
        <v>0.06</v>
      </c>
      <c r="H908" s="3">
        <f>[1]Raw_Data!H906</f>
        <v>2</v>
      </c>
      <c r="I908" s="3" t="str">
        <f>TRIM([1]Raw_Data!I906)</f>
        <v>USA</v>
      </c>
      <c r="J908" s="3" t="str">
        <f>TRIM([1]Raw_Data!J906)</f>
        <v>Walmart</v>
      </c>
      <c r="K908" s="3">
        <f t="shared" si="56"/>
        <v>2021</v>
      </c>
      <c r="L908" s="6">
        <f t="shared" si="57"/>
        <v>44228</v>
      </c>
      <c r="M908" s="3" t="str">
        <f t="shared" si="58"/>
        <v>6% to 10%</v>
      </c>
      <c r="N908" s="3" t="str">
        <f t="shared" si="59"/>
        <v>OK</v>
      </c>
    </row>
    <row r="909" spans="1:14" x14ac:dyDescent="0.3">
      <c r="A909" s="2">
        <f>DATE(VALUE(RIGHT(TRIM([1]Raw_Data!A907),4)),VALUE(MID(TRIM([1]Raw_Data!A907),4,2)),VALUE(LEFT(TRIM([1]Raw_Data!A907),2)))</f>
        <v>44228</v>
      </c>
      <c r="B909" s="3" t="str">
        <f>TRIM([1]Raw_Data!B907)</f>
        <v>Magnesium</v>
      </c>
      <c r="C909" s="3" t="str">
        <f>TRIM([1]Raw_Data!C907)</f>
        <v>Mineral</v>
      </c>
      <c r="D909" s="3">
        <f>[1]Raw_Data!D907</f>
        <v>167</v>
      </c>
      <c r="E909" s="4">
        <f>[1]Raw_Data!E907</f>
        <v>40.35</v>
      </c>
      <c r="F909" s="5">
        <f>[1]Raw_Data!F907</f>
        <v>6738.45</v>
      </c>
      <c r="G909" s="4">
        <f>[1]Raw_Data!G907</f>
        <v>0.05</v>
      </c>
      <c r="H909" s="3">
        <f>[1]Raw_Data!H907</f>
        <v>3</v>
      </c>
      <c r="I909" s="3" t="str">
        <f>TRIM([1]Raw_Data!I907)</f>
        <v>Canada</v>
      </c>
      <c r="J909" s="3" t="str">
        <f>TRIM([1]Raw_Data!J907)</f>
        <v>Walmart</v>
      </c>
      <c r="K909" s="3">
        <f t="shared" si="56"/>
        <v>2021</v>
      </c>
      <c r="L909" s="6">
        <f t="shared" si="57"/>
        <v>44228</v>
      </c>
      <c r="M909" s="3" t="str">
        <f t="shared" si="58"/>
        <v>0% to 5%</v>
      </c>
      <c r="N909" s="3" t="str">
        <f t="shared" si="59"/>
        <v>OK</v>
      </c>
    </row>
    <row r="910" spans="1:14" x14ac:dyDescent="0.3">
      <c r="A910" s="2">
        <f>DATE(VALUE(RIGHT(TRIM([1]Raw_Data!A908),4)),VALUE(MID(TRIM([1]Raw_Data!A908),4,2)),VALUE(LEFT(TRIM([1]Raw_Data!A908),2)))</f>
        <v>44228</v>
      </c>
      <c r="B910" s="3" t="str">
        <f>TRIM([1]Raw_Data!B908)</f>
        <v>Ashwagandha</v>
      </c>
      <c r="C910" s="3" t="str">
        <f>TRIM([1]Raw_Data!C908)</f>
        <v>Herbal</v>
      </c>
      <c r="D910" s="3">
        <f>[1]Raw_Data!D908</f>
        <v>186</v>
      </c>
      <c r="E910" s="4">
        <f>[1]Raw_Data!E908</f>
        <v>34.74</v>
      </c>
      <c r="F910" s="5">
        <f>[1]Raw_Data!F908</f>
        <v>6461.64</v>
      </c>
      <c r="G910" s="4">
        <f>[1]Raw_Data!G908</f>
        <v>0.02</v>
      </c>
      <c r="H910" s="3">
        <f>[1]Raw_Data!H908</f>
        <v>2</v>
      </c>
      <c r="I910" s="3" t="str">
        <f>TRIM([1]Raw_Data!I908)</f>
        <v>Canada</v>
      </c>
      <c r="J910" s="3" t="str">
        <f>TRIM([1]Raw_Data!J908)</f>
        <v>Walmart</v>
      </c>
      <c r="K910" s="3">
        <f t="shared" si="56"/>
        <v>2021</v>
      </c>
      <c r="L910" s="6">
        <f t="shared" si="57"/>
        <v>44228</v>
      </c>
      <c r="M910" s="3" t="str">
        <f t="shared" si="58"/>
        <v>0% to 5%</v>
      </c>
      <c r="N910" s="3" t="str">
        <f t="shared" si="59"/>
        <v>OK</v>
      </c>
    </row>
    <row r="911" spans="1:14" x14ac:dyDescent="0.3">
      <c r="A911" s="2">
        <f>DATE(VALUE(RIGHT(TRIM([1]Raw_Data!A909),4)),VALUE(MID(TRIM([1]Raw_Data!A909),4,2)),VALUE(LEFT(TRIM([1]Raw_Data!A909),2)))</f>
        <v>44228</v>
      </c>
      <c r="B911" s="3" t="str">
        <f>TRIM([1]Raw_Data!B909)</f>
        <v>Melatonin</v>
      </c>
      <c r="C911" s="3" t="str">
        <f>TRIM([1]Raw_Data!C909)</f>
        <v>Sleep Aid</v>
      </c>
      <c r="D911" s="3">
        <f>[1]Raw_Data!D909</f>
        <v>150</v>
      </c>
      <c r="E911" s="4">
        <f>[1]Raw_Data!E909</f>
        <v>32.1</v>
      </c>
      <c r="F911" s="5">
        <f>[1]Raw_Data!F909</f>
        <v>4815</v>
      </c>
      <c r="G911" s="4">
        <f>[1]Raw_Data!G909</f>
        <v>0.08</v>
      </c>
      <c r="H911" s="3">
        <f>[1]Raw_Data!H909</f>
        <v>1</v>
      </c>
      <c r="I911" s="3" t="str">
        <f>TRIM([1]Raw_Data!I909)</f>
        <v>UK</v>
      </c>
      <c r="J911" s="3" t="str">
        <f>TRIM([1]Raw_Data!J909)</f>
        <v>Walmart</v>
      </c>
      <c r="K911" s="3">
        <f t="shared" si="56"/>
        <v>2021</v>
      </c>
      <c r="L911" s="6">
        <f t="shared" si="57"/>
        <v>44228</v>
      </c>
      <c r="M911" s="3" t="str">
        <f t="shared" si="58"/>
        <v>6% to 10%</v>
      </c>
      <c r="N911" s="3" t="str">
        <f t="shared" si="59"/>
        <v>OK</v>
      </c>
    </row>
    <row r="912" spans="1:14" x14ac:dyDescent="0.3">
      <c r="A912" s="2">
        <f>DATE(VALUE(RIGHT(TRIM([1]Raw_Data!A910),4)),VALUE(MID(TRIM([1]Raw_Data!A910),4,2)),VALUE(LEFT(TRIM([1]Raw_Data!A910),2)))</f>
        <v>44228</v>
      </c>
      <c r="B912" s="3" t="str">
        <f>TRIM([1]Raw_Data!B910)</f>
        <v>Biotin</v>
      </c>
      <c r="C912" s="3" t="str">
        <f>TRIM([1]Raw_Data!C910)</f>
        <v>Vitamin</v>
      </c>
      <c r="D912" s="3">
        <f>[1]Raw_Data!D910</f>
        <v>153</v>
      </c>
      <c r="E912" s="4">
        <f>[1]Raw_Data!E910</f>
        <v>48.05</v>
      </c>
      <c r="F912" s="5">
        <f>[1]Raw_Data!F910</f>
        <v>7351.65</v>
      </c>
      <c r="G912" s="4">
        <f>[1]Raw_Data!G910</f>
        <v>0.18</v>
      </c>
      <c r="H912" s="3">
        <f>[1]Raw_Data!H910</f>
        <v>1</v>
      </c>
      <c r="I912" s="3" t="str">
        <f>TRIM([1]Raw_Data!I910)</f>
        <v>UK</v>
      </c>
      <c r="J912" s="3" t="str">
        <f>TRIM([1]Raw_Data!J910)</f>
        <v>Walmart</v>
      </c>
      <c r="K912" s="3">
        <f t="shared" si="56"/>
        <v>2021</v>
      </c>
      <c r="L912" s="6">
        <f t="shared" si="57"/>
        <v>44228</v>
      </c>
      <c r="M912" s="3" t="str">
        <f t="shared" si="58"/>
        <v>16% to 20%</v>
      </c>
      <c r="N912" s="3" t="str">
        <f t="shared" si="59"/>
        <v>OK</v>
      </c>
    </row>
    <row r="913" spans="1:14" x14ac:dyDescent="0.3">
      <c r="A913" s="2">
        <f>DATE(VALUE(RIGHT(TRIM([1]Raw_Data!A911),4)),VALUE(MID(TRIM([1]Raw_Data!A911),4,2)),VALUE(LEFT(TRIM([1]Raw_Data!A911),2)))</f>
        <v>44228</v>
      </c>
      <c r="B913" s="3" t="str">
        <f>TRIM([1]Raw_Data!B911)</f>
        <v>Green Tea Extract</v>
      </c>
      <c r="C913" s="3" t="str">
        <f>TRIM([1]Raw_Data!C911)</f>
        <v>Fat Burner</v>
      </c>
      <c r="D913" s="3">
        <f>[1]Raw_Data!D911</f>
        <v>179</v>
      </c>
      <c r="E913" s="4">
        <f>[1]Raw_Data!E911</f>
        <v>26.18</v>
      </c>
      <c r="F913" s="5">
        <f>[1]Raw_Data!F911</f>
        <v>4686.22</v>
      </c>
      <c r="G913" s="4">
        <f>[1]Raw_Data!G911</f>
        <v>0.05</v>
      </c>
      <c r="H913" s="3">
        <f>[1]Raw_Data!H911</f>
        <v>2</v>
      </c>
      <c r="I913" s="3" t="str">
        <f>TRIM([1]Raw_Data!I911)</f>
        <v>Canada</v>
      </c>
      <c r="J913" s="3" t="str">
        <f>TRIM([1]Raw_Data!J911)</f>
        <v>iHerb</v>
      </c>
      <c r="K913" s="3">
        <f t="shared" si="56"/>
        <v>2021</v>
      </c>
      <c r="L913" s="6">
        <f t="shared" si="57"/>
        <v>44228</v>
      </c>
      <c r="M913" s="3" t="str">
        <f t="shared" si="58"/>
        <v>0% to 5%</v>
      </c>
      <c r="N913" s="3" t="str">
        <f t="shared" si="59"/>
        <v>OK</v>
      </c>
    </row>
    <row r="914" spans="1:14" x14ac:dyDescent="0.3">
      <c r="A914" s="2">
        <f>DATE(VALUE(RIGHT(TRIM([1]Raw_Data!A912),4)),VALUE(MID(TRIM([1]Raw_Data!A912),4,2)),VALUE(LEFT(TRIM([1]Raw_Data!A912),2)))</f>
        <v>44228</v>
      </c>
      <c r="B914" s="3" t="str">
        <f>TRIM([1]Raw_Data!B912)</f>
        <v>Iron Supplement</v>
      </c>
      <c r="C914" s="3" t="str">
        <f>TRIM([1]Raw_Data!C912)</f>
        <v>Mineral</v>
      </c>
      <c r="D914" s="3">
        <f>[1]Raw_Data!D912</f>
        <v>136</v>
      </c>
      <c r="E914" s="4">
        <f>[1]Raw_Data!E912</f>
        <v>44.85</v>
      </c>
      <c r="F914" s="5">
        <f>[1]Raw_Data!F912</f>
        <v>6099.6</v>
      </c>
      <c r="G914" s="4">
        <f>[1]Raw_Data!G912</f>
        <v>0.14000000000000001</v>
      </c>
      <c r="H914" s="3">
        <f>[1]Raw_Data!H912</f>
        <v>1</v>
      </c>
      <c r="I914" s="3" t="str">
        <f>TRIM([1]Raw_Data!I912)</f>
        <v>USA</v>
      </c>
      <c r="J914" s="3" t="str">
        <f>TRIM([1]Raw_Data!J912)</f>
        <v>Amazon</v>
      </c>
      <c r="K914" s="3">
        <f t="shared" si="56"/>
        <v>2021</v>
      </c>
      <c r="L914" s="6">
        <f t="shared" si="57"/>
        <v>44228</v>
      </c>
      <c r="M914" s="3" t="str">
        <f t="shared" si="58"/>
        <v>11% to 15%</v>
      </c>
      <c r="N914" s="3" t="str">
        <f t="shared" si="59"/>
        <v>OK</v>
      </c>
    </row>
    <row r="915" spans="1:14" x14ac:dyDescent="0.3">
      <c r="A915" s="2">
        <f>DATE(VALUE(RIGHT(TRIM([1]Raw_Data!A913),4)),VALUE(MID(TRIM([1]Raw_Data!A913),4,2)),VALUE(LEFT(TRIM([1]Raw_Data!A913),2)))</f>
        <v>44228</v>
      </c>
      <c r="B915" s="3" t="str">
        <f>TRIM([1]Raw_Data!B913)</f>
        <v>Electrolyte Powder</v>
      </c>
      <c r="C915" s="3" t="str">
        <f>TRIM([1]Raw_Data!C913)</f>
        <v>Hydration</v>
      </c>
      <c r="D915" s="3">
        <f>[1]Raw_Data!D913</f>
        <v>147</v>
      </c>
      <c r="E915" s="4">
        <f>[1]Raw_Data!E913</f>
        <v>10.29</v>
      </c>
      <c r="F915" s="5">
        <f>[1]Raw_Data!F913</f>
        <v>1512.63</v>
      </c>
      <c r="G915" s="4">
        <f>[1]Raw_Data!G913</f>
        <v>0.02</v>
      </c>
      <c r="H915" s="3">
        <f>[1]Raw_Data!H913</f>
        <v>3</v>
      </c>
      <c r="I915" s="3" t="str">
        <f>TRIM([1]Raw_Data!I913)</f>
        <v>Canada</v>
      </c>
      <c r="J915" s="3" t="str">
        <f>TRIM([1]Raw_Data!J913)</f>
        <v>Amazon</v>
      </c>
      <c r="K915" s="3">
        <f t="shared" si="56"/>
        <v>2021</v>
      </c>
      <c r="L915" s="6">
        <f t="shared" si="57"/>
        <v>44228</v>
      </c>
      <c r="M915" s="3" t="str">
        <f t="shared" si="58"/>
        <v>0% to 5%</v>
      </c>
      <c r="N915" s="3" t="str">
        <f t="shared" si="59"/>
        <v>OK</v>
      </c>
    </row>
    <row r="916" spans="1:14" x14ac:dyDescent="0.3">
      <c r="A916" s="2">
        <f>DATE(VALUE(RIGHT(TRIM([1]Raw_Data!A914),4)),VALUE(MID(TRIM([1]Raw_Data!A914),4,2)),VALUE(LEFT(TRIM([1]Raw_Data!A914),2)))</f>
        <v>44235</v>
      </c>
      <c r="B916" s="3" t="str">
        <f>TRIM([1]Raw_Data!B914)</f>
        <v>Whey Protein</v>
      </c>
      <c r="C916" s="3" t="str">
        <f>TRIM([1]Raw_Data!C914)</f>
        <v>Protein</v>
      </c>
      <c r="D916" s="3">
        <f>[1]Raw_Data!D914</f>
        <v>129</v>
      </c>
      <c r="E916" s="4">
        <f>[1]Raw_Data!E914</f>
        <v>56</v>
      </c>
      <c r="F916" s="5">
        <f>[1]Raw_Data!F914</f>
        <v>7224</v>
      </c>
      <c r="G916" s="4">
        <f>[1]Raw_Data!G914</f>
        <v>7.0000000000000007E-2</v>
      </c>
      <c r="H916" s="3">
        <f>[1]Raw_Data!H914</f>
        <v>1</v>
      </c>
      <c r="I916" s="3" t="str">
        <f>TRIM([1]Raw_Data!I914)</f>
        <v>UK</v>
      </c>
      <c r="J916" s="3" t="str">
        <f>TRIM([1]Raw_Data!J914)</f>
        <v>Walmart</v>
      </c>
      <c r="K916" s="3">
        <f t="shared" si="56"/>
        <v>2021</v>
      </c>
      <c r="L916" s="6">
        <f t="shared" si="57"/>
        <v>44228</v>
      </c>
      <c r="M916" s="3" t="str">
        <f t="shared" si="58"/>
        <v>6% to 10%</v>
      </c>
      <c r="N916" s="3" t="str">
        <f t="shared" si="59"/>
        <v>OK</v>
      </c>
    </row>
    <row r="917" spans="1:14" x14ac:dyDescent="0.3">
      <c r="A917" s="2">
        <f>DATE(VALUE(RIGHT(TRIM([1]Raw_Data!A915),4)),VALUE(MID(TRIM([1]Raw_Data!A915),4,2)),VALUE(LEFT(TRIM([1]Raw_Data!A915),2)))</f>
        <v>44235</v>
      </c>
      <c r="B917" s="3" t="str">
        <f>TRIM([1]Raw_Data!B915)</f>
        <v>Vitamin C</v>
      </c>
      <c r="C917" s="3" t="str">
        <f>TRIM([1]Raw_Data!C915)</f>
        <v>Vitamin</v>
      </c>
      <c r="D917" s="3">
        <f>[1]Raw_Data!D915</f>
        <v>152</v>
      </c>
      <c r="E917" s="4">
        <f>[1]Raw_Data!E915</f>
        <v>57.1</v>
      </c>
      <c r="F917" s="5">
        <f>[1]Raw_Data!F915</f>
        <v>8679.2000000000007</v>
      </c>
      <c r="G917" s="4">
        <f>[1]Raw_Data!G915</f>
        <v>0.18</v>
      </c>
      <c r="H917" s="3">
        <f>[1]Raw_Data!H915</f>
        <v>0</v>
      </c>
      <c r="I917" s="3" t="str">
        <f>TRIM([1]Raw_Data!I915)</f>
        <v>Canada</v>
      </c>
      <c r="J917" s="3" t="str">
        <f>TRIM([1]Raw_Data!J915)</f>
        <v>iHerb</v>
      </c>
      <c r="K917" s="3">
        <f t="shared" si="56"/>
        <v>2021</v>
      </c>
      <c r="L917" s="6">
        <f t="shared" si="57"/>
        <v>44228</v>
      </c>
      <c r="M917" s="3" t="str">
        <f t="shared" si="58"/>
        <v>16% to 20%</v>
      </c>
      <c r="N917" s="3" t="str">
        <f t="shared" si="59"/>
        <v>OK</v>
      </c>
    </row>
    <row r="918" spans="1:14" x14ac:dyDescent="0.3">
      <c r="A918" s="2">
        <f>DATE(VALUE(RIGHT(TRIM([1]Raw_Data!A916),4)),VALUE(MID(TRIM([1]Raw_Data!A916),4,2)),VALUE(LEFT(TRIM([1]Raw_Data!A916),2)))</f>
        <v>44235</v>
      </c>
      <c r="B918" s="3" t="str">
        <f>TRIM([1]Raw_Data!B916)</f>
        <v>Fish Oil</v>
      </c>
      <c r="C918" s="3" t="str">
        <f>TRIM([1]Raw_Data!C916)</f>
        <v>Omega</v>
      </c>
      <c r="D918" s="3">
        <f>[1]Raw_Data!D916</f>
        <v>156</v>
      </c>
      <c r="E918" s="4">
        <f>[1]Raw_Data!E916</f>
        <v>33.54</v>
      </c>
      <c r="F918" s="5">
        <f>[1]Raw_Data!F916</f>
        <v>5232.24</v>
      </c>
      <c r="G918" s="4">
        <f>[1]Raw_Data!G916</f>
        <v>0.01</v>
      </c>
      <c r="H918" s="3">
        <f>[1]Raw_Data!H916</f>
        <v>0</v>
      </c>
      <c r="I918" s="3" t="str">
        <f>TRIM([1]Raw_Data!I916)</f>
        <v>Canada</v>
      </c>
      <c r="J918" s="3" t="str">
        <f>TRIM([1]Raw_Data!J916)</f>
        <v>iHerb</v>
      </c>
      <c r="K918" s="3">
        <f t="shared" si="56"/>
        <v>2021</v>
      </c>
      <c r="L918" s="6">
        <f t="shared" si="57"/>
        <v>44228</v>
      </c>
      <c r="M918" s="3" t="str">
        <f t="shared" si="58"/>
        <v>0% to 5%</v>
      </c>
      <c r="N918" s="3" t="str">
        <f t="shared" si="59"/>
        <v>OK</v>
      </c>
    </row>
    <row r="919" spans="1:14" x14ac:dyDescent="0.3">
      <c r="A919" s="2">
        <f>DATE(VALUE(RIGHT(TRIM([1]Raw_Data!A917),4)),VALUE(MID(TRIM([1]Raw_Data!A917),4,2)),VALUE(LEFT(TRIM([1]Raw_Data!A917),2)))</f>
        <v>44235</v>
      </c>
      <c r="B919" s="3" t="str">
        <f>TRIM([1]Raw_Data!B917)</f>
        <v>Multivitamin</v>
      </c>
      <c r="C919" s="3" t="str">
        <f>TRIM([1]Raw_Data!C917)</f>
        <v>Vitamin</v>
      </c>
      <c r="D919" s="3">
        <f>[1]Raw_Data!D917</f>
        <v>161</v>
      </c>
      <c r="E919" s="4">
        <f>[1]Raw_Data!E917</f>
        <v>25.08</v>
      </c>
      <c r="F919" s="5">
        <f>[1]Raw_Data!F917</f>
        <v>4037.88</v>
      </c>
      <c r="G919" s="4">
        <f>[1]Raw_Data!G917</f>
        <v>0.1</v>
      </c>
      <c r="H919" s="3">
        <f>[1]Raw_Data!H917</f>
        <v>3</v>
      </c>
      <c r="I919" s="3" t="str">
        <f>TRIM([1]Raw_Data!I917)</f>
        <v>USA</v>
      </c>
      <c r="J919" s="3" t="str">
        <f>TRIM([1]Raw_Data!J917)</f>
        <v>Walmart</v>
      </c>
      <c r="K919" s="3">
        <f t="shared" si="56"/>
        <v>2021</v>
      </c>
      <c r="L919" s="6">
        <f t="shared" si="57"/>
        <v>44228</v>
      </c>
      <c r="M919" s="3" t="str">
        <f t="shared" si="58"/>
        <v>6% to 10%</v>
      </c>
      <c r="N919" s="3" t="str">
        <f t="shared" si="59"/>
        <v>OK</v>
      </c>
    </row>
    <row r="920" spans="1:14" x14ac:dyDescent="0.3">
      <c r="A920" s="2">
        <f>DATE(VALUE(RIGHT(TRIM([1]Raw_Data!A918),4)),VALUE(MID(TRIM([1]Raw_Data!A918),4,2)),VALUE(LEFT(TRIM([1]Raw_Data!A918),2)))</f>
        <v>44235</v>
      </c>
      <c r="B920" s="3" t="str">
        <f>TRIM([1]Raw_Data!B918)</f>
        <v>Pre-Workout</v>
      </c>
      <c r="C920" s="3" t="str">
        <f>TRIM([1]Raw_Data!C918)</f>
        <v>Performance</v>
      </c>
      <c r="D920" s="3">
        <f>[1]Raw_Data!D918</f>
        <v>159</v>
      </c>
      <c r="E920" s="4">
        <f>[1]Raw_Data!E918</f>
        <v>15.88</v>
      </c>
      <c r="F920" s="5">
        <f>[1]Raw_Data!F918</f>
        <v>2524.92</v>
      </c>
      <c r="G920" s="4">
        <f>[1]Raw_Data!G918</f>
        <v>0.06</v>
      </c>
      <c r="H920" s="3">
        <f>[1]Raw_Data!H918</f>
        <v>3</v>
      </c>
      <c r="I920" s="3" t="str">
        <f>TRIM([1]Raw_Data!I918)</f>
        <v>Canada</v>
      </c>
      <c r="J920" s="3" t="str">
        <f>TRIM([1]Raw_Data!J918)</f>
        <v>Walmart</v>
      </c>
      <c r="K920" s="3">
        <f t="shared" si="56"/>
        <v>2021</v>
      </c>
      <c r="L920" s="6">
        <f t="shared" si="57"/>
        <v>44228</v>
      </c>
      <c r="M920" s="3" t="str">
        <f t="shared" si="58"/>
        <v>6% to 10%</v>
      </c>
      <c r="N920" s="3" t="str">
        <f t="shared" si="59"/>
        <v>OK</v>
      </c>
    </row>
    <row r="921" spans="1:14" x14ac:dyDescent="0.3">
      <c r="A921" s="2">
        <f>DATE(VALUE(RIGHT(TRIM([1]Raw_Data!A919),4)),VALUE(MID(TRIM([1]Raw_Data!A919),4,2)),VALUE(LEFT(TRIM([1]Raw_Data!A919),2)))</f>
        <v>44235</v>
      </c>
      <c r="B921" s="3" t="str">
        <f>TRIM([1]Raw_Data!B919)</f>
        <v>BCAA</v>
      </c>
      <c r="C921" s="3" t="str">
        <f>TRIM([1]Raw_Data!C919)</f>
        <v>Amino Acid</v>
      </c>
      <c r="D921" s="3">
        <f>[1]Raw_Data!D919</f>
        <v>153</v>
      </c>
      <c r="E921" s="4">
        <f>[1]Raw_Data!E919</f>
        <v>39.82</v>
      </c>
      <c r="F921" s="5">
        <f>[1]Raw_Data!F919</f>
        <v>6092.46</v>
      </c>
      <c r="G921" s="4">
        <f>[1]Raw_Data!G919</f>
        <v>0.09</v>
      </c>
      <c r="H921" s="3">
        <f>[1]Raw_Data!H919</f>
        <v>3</v>
      </c>
      <c r="I921" s="3" t="str">
        <f>TRIM([1]Raw_Data!I919)</f>
        <v>UK</v>
      </c>
      <c r="J921" s="3" t="str">
        <f>TRIM([1]Raw_Data!J919)</f>
        <v>iHerb</v>
      </c>
      <c r="K921" s="3">
        <f t="shared" si="56"/>
        <v>2021</v>
      </c>
      <c r="L921" s="6">
        <f t="shared" si="57"/>
        <v>44228</v>
      </c>
      <c r="M921" s="3" t="str">
        <f t="shared" si="58"/>
        <v>6% to 10%</v>
      </c>
      <c r="N921" s="3" t="str">
        <f t="shared" si="59"/>
        <v>OK</v>
      </c>
    </row>
    <row r="922" spans="1:14" x14ac:dyDescent="0.3">
      <c r="A922" s="2">
        <f>DATE(VALUE(RIGHT(TRIM([1]Raw_Data!A920),4)),VALUE(MID(TRIM([1]Raw_Data!A920),4,2)),VALUE(LEFT(TRIM([1]Raw_Data!A920),2)))</f>
        <v>44235</v>
      </c>
      <c r="B922" s="3" t="str">
        <f>TRIM([1]Raw_Data!B920)</f>
        <v>Creatine</v>
      </c>
      <c r="C922" s="3" t="str">
        <f>TRIM([1]Raw_Data!C920)</f>
        <v>Performance</v>
      </c>
      <c r="D922" s="3">
        <f>[1]Raw_Data!D920</f>
        <v>151</v>
      </c>
      <c r="E922" s="4">
        <f>[1]Raw_Data!E920</f>
        <v>16.45</v>
      </c>
      <c r="F922" s="5">
        <f>[1]Raw_Data!F920</f>
        <v>2483.9499999999998</v>
      </c>
      <c r="G922" s="4">
        <f>[1]Raw_Data!G920</f>
        <v>0.13</v>
      </c>
      <c r="H922" s="3">
        <f>[1]Raw_Data!H920</f>
        <v>4</v>
      </c>
      <c r="I922" s="3" t="str">
        <f>TRIM([1]Raw_Data!I920)</f>
        <v>USA</v>
      </c>
      <c r="J922" s="3" t="str">
        <f>TRIM([1]Raw_Data!J920)</f>
        <v>Walmart</v>
      </c>
      <c r="K922" s="3">
        <f t="shared" si="56"/>
        <v>2021</v>
      </c>
      <c r="L922" s="6">
        <f t="shared" si="57"/>
        <v>44228</v>
      </c>
      <c r="M922" s="3" t="str">
        <f t="shared" si="58"/>
        <v>11% to 15%</v>
      </c>
      <c r="N922" s="3" t="str">
        <f t="shared" si="59"/>
        <v>OK</v>
      </c>
    </row>
    <row r="923" spans="1:14" x14ac:dyDescent="0.3">
      <c r="A923" s="2">
        <f>DATE(VALUE(RIGHT(TRIM([1]Raw_Data!A921),4)),VALUE(MID(TRIM([1]Raw_Data!A921),4,2)),VALUE(LEFT(TRIM([1]Raw_Data!A921),2)))</f>
        <v>44235</v>
      </c>
      <c r="B923" s="3" t="str">
        <f>TRIM([1]Raw_Data!B921)</f>
        <v>Zinc</v>
      </c>
      <c r="C923" s="3" t="str">
        <f>TRIM([1]Raw_Data!C921)</f>
        <v>Mineral</v>
      </c>
      <c r="D923" s="3">
        <f>[1]Raw_Data!D921</f>
        <v>143</v>
      </c>
      <c r="E923" s="4">
        <f>[1]Raw_Data!E921</f>
        <v>48.2</v>
      </c>
      <c r="F923" s="5">
        <f>[1]Raw_Data!F921</f>
        <v>6892.6</v>
      </c>
      <c r="G923" s="4">
        <f>[1]Raw_Data!G921</f>
        <v>0.06</v>
      </c>
      <c r="H923" s="3">
        <f>[1]Raw_Data!H921</f>
        <v>0</v>
      </c>
      <c r="I923" s="3" t="str">
        <f>TRIM([1]Raw_Data!I921)</f>
        <v>UK</v>
      </c>
      <c r="J923" s="3" t="str">
        <f>TRIM([1]Raw_Data!J921)</f>
        <v>Amazon</v>
      </c>
      <c r="K923" s="3">
        <f t="shared" si="56"/>
        <v>2021</v>
      </c>
      <c r="L923" s="6">
        <f t="shared" si="57"/>
        <v>44228</v>
      </c>
      <c r="M923" s="3" t="str">
        <f t="shared" si="58"/>
        <v>6% to 10%</v>
      </c>
      <c r="N923" s="3" t="str">
        <f t="shared" si="59"/>
        <v>OK</v>
      </c>
    </row>
    <row r="924" spans="1:14" x14ac:dyDescent="0.3">
      <c r="A924" s="2">
        <f>DATE(VALUE(RIGHT(TRIM([1]Raw_Data!A922),4)),VALUE(MID(TRIM([1]Raw_Data!A922),4,2)),VALUE(LEFT(TRIM([1]Raw_Data!A922),2)))</f>
        <v>44235</v>
      </c>
      <c r="B924" s="3" t="str">
        <f>TRIM([1]Raw_Data!B922)</f>
        <v>Collagen Peptides</v>
      </c>
      <c r="C924" s="3" t="str">
        <f>TRIM([1]Raw_Data!C922)</f>
        <v>Protein</v>
      </c>
      <c r="D924" s="3">
        <f>[1]Raw_Data!D922</f>
        <v>131</v>
      </c>
      <c r="E924" s="4">
        <f>[1]Raw_Data!E922</f>
        <v>19.98</v>
      </c>
      <c r="F924" s="5">
        <f>[1]Raw_Data!F922</f>
        <v>2617.38</v>
      </c>
      <c r="G924" s="4">
        <f>[1]Raw_Data!G922</f>
        <v>0.09</v>
      </c>
      <c r="H924" s="3">
        <f>[1]Raw_Data!H922</f>
        <v>1</v>
      </c>
      <c r="I924" s="3" t="str">
        <f>TRIM([1]Raw_Data!I922)</f>
        <v>Canada</v>
      </c>
      <c r="J924" s="3" t="str">
        <f>TRIM([1]Raw_Data!J922)</f>
        <v>Amazon</v>
      </c>
      <c r="K924" s="3">
        <f t="shared" si="56"/>
        <v>2021</v>
      </c>
      <c r="L924" s="6">
        <f t="shared" si="57"/>
        <v>44228</v>
      </c>
      <c r="M924" s="3" t="str">
        <f t="shared" si="58"/>
        <v>6% to 10%</v>
      </c>
      <c r="N924" s="3" t="str">
        <f t="shared" si="59"/>
        <v>OK</v>
      </c>
    </row>
    <row r="925" spans="1:14" x14ac:dyDescent="0.3">
      <c r="A925" s="2">
        <f>DATE(VALUE(RIGHT(TRIM([1]Raw_Data!A923),4)),VALUE(MID(TRIM([1]Raw_Data!A923),4,2)),VALUE(LEFT(TRIM([1]Raw_Data!A923),2)))</f>
        <v>44235</v>
      </c>
      <c r="B925" s="3" t="str">
        <f>TRIM([1]Raw_Data!B923)</f>
        <v>Magnesium</v>
      </c>
      <c r="C925" s="3" t="str">
        <f>TRIM([1]Raw_Data!C923)</f>
        <v>Mineral</v>
      </c>
      <c r="D925" s="3">
        <f>[1]Raw_Data!D923</f>
        <v>158</v>
      </c>
      <c r="E925" s="4">
        <f>[1]Raw_Data!E923</f>
        <v>30.32</v>
      </c>
      <c r="F925" s="5">
        <f>[1]Raw_Data!F923</f>
        <v>4790.5600000000004</v>
      </c>
      <c r="G925" s="4">
        <f>[1]Raw_Data!G923</f>
        <v>0.12</v>
      </c>
      <c r="H925" s="3">
        <f>[1]Raw_Data!H923</f>
        <v>2</v>
      </c>
      <c r="I925" s="3" t="str">
        <f>TRIM([1]Raw_Data!I923)</f>
        <v>Canada</v>
      </c>
      <c r="J925" s="3" t="str">
        <f>TRIM([1]Raw_Data!J923)</f>
        <v>Walmart</v>
      </c>
      <c r="K925" s="3">
        <f t="shared" si="56"/>
        <v>2021</v>
      </c>
      <c r="L925" s="6">
        <f t="shared" si="57"/>
        <v>44228</v>
      </c>
      <c r="M925" s="3" t="str">
        <f t="shared" si="58"/>
        <v>11% to 15%</v>
      </c>
      <c r="N925" s="3" t="str">
        <f t="shared" si="59"/>
        <v>OK</v>
      </c>
    </row>
    <row r="926" spans="1:14" x14ac:dyDescent="0.3">
      <c r="A926" s="2">
        <f>DATE(VALUE(RIGHT(TRIM([1]Raw_Data!A924),4)),VALUE(MID(TRIM([1]Raw_Data!A924),4,2)),VALUE(LEFT(TRIM([1]Raw_Data!A924),2)))</f>
        <v>44235</v>
      </c>
      <c r="B926" s="3" t="str">
        <f>TRIM([1]Raw_Data!B924)</f>
        <v>Ashwagandha</v>
      </c>
      <c r="C926" s="3" t="str">
        <f>TRIM([1]Raw_Data!C924)</f>
        <v>Herbal</v>
      </c>
      <c r="D926" s="3">
        <f>[1]Raw_Data!D924</f>
        <v>163</v>
      </c>
      <c r="E926" s="4">
        <f>[1]Raw_Data!E924</f>
        <v>50.39</v>
      </c>
      <c r="F926" s="5">
        <f>[1]Raw_Data!F924</f>
        <v>8213.57</v>
      </c>
      <c r="G926" s="4">
        <f>[1]Raw_Data!G924</f>
        <v>0.17</v>
      </c>
      <c r="H926" s="3">
        <f>[1]Raw_Data!H924</f>
        <v>2</v>
      </c>
      <c r="I926" s="3" t="str">
        <f>TRIM([1]Raw_Data!I924)</f>
        <v>USA</v>
      </c>
      <c r="J926" s="3" t="str">
        <f>TRIM([1]Raw_Data!J924)</f>
        <v>iHerb</v>
      </c>
      <c r="K926" s="3">
        <f t="shared" si="56"/>
        <v>2021</v>
      </c>
      <c r="L926" s="6">
        <f t="shared" si="57"/>
        <v>44228</v>
      </c>
      <c r="M926" s="3" t="str">
        <f t="shared" si="58"/>
        <v>16% to 20%</v>
      </c>
      <c r="N926" s="3" t="str">
        <f t="shared" si="59"/>
        <v>OK</v>
      </c>
    </row>
    <row r="927" spans="1:14" x14ac:dyDescent="0.3">
      <c r="A927" s="2">
        <f>DATE(VALUE(RIGHT(TRIM([1]Raw_Data!A925),4)),VALUE(MID(TRIM([1]Raw_Data!A925),4,2)),VALUE(LEFT(TRIM([1]Raw_Data!A925),2)))</f>
        <v>44235</v>
      </c>
      <c r="B927" s="3" t="str">
        <f>TRIM([1]Raw_Data!B925)</f>
        <v>Melatonin</v>
      </c>
      <c r="C927" s="3" t="str">
        <f>TRIM([1]Raw_Data!C925)</f>
        <v>Sleep Aid</v>
      </c>
      <c r="D927" s="3">
        <f>[1]Raw_Data!D925</f>
        <v>157</v>
      </c>
      <c r="E927" s="4">
        <f>[1]Raw_Data!E925</f>
        <v>16.920000000000002</v>
      </c>
      <c r="F927" s="5">
        <f>[1]Raw_Data!F925</f>
        <v>2656.44</v>
      </c>
      <c r="G927" s="4">
        <f>[1]Raw_Data!G925</f>
        <v>0.17</v>
      </c>
      <c r="H927" s="3">
        <f>[1]Raw_Data!H925</f>
        <v>1</v>
      </c>
      <c r="I927" s="3" t="str">
        <f>TRIM([1]Raw_Data!I925)</f>
        <v>USA</v>
      </c>
      <c r="J927" s="3" t="str">
        <f>TRIM([1]Raw_Data!J925)</f>
        <v>Walmart</v>
      </c>
      <c r="K927" s="3">
        <f t="shared" si="56"/>
        <v>2021</v>
      </c>
      <c r="L927" s="6">
        <f t="shared" si="57"/>
        <v>44228</v>
      </c>
      <c r="M927" s="3" t="str">
        <f t="shared" si="58"/>
        <v>16% to 20%</v>
      </c>
      <c r="N927" s="3" t="str">
        <f t="shared" si="59"/>
        <v>OK</v>
      </c>
    </row>
    <row r="928" spans="1:14" x14ac:dyDescent="0.3">
      <c r="A928" s="2">
        <f>DATE(VALUE(RIGHT(TRIM([1]Raw_Data!A926),4)),VALUE(MID(TRIM([1]Raw_Data!A926),4,2)),VALUE(LEFT(TRIM([1]Raw_Data!A926),2)))</f>
        <v>44235</v>
      </c>
      <c r="B928" s="3" t="str">
        <f>TRIM([1]Raw_Data!B926)</f>
        <v>Biotin</v>
      </c>
      <c r="C928" s="3" t="str">
        <f>TRIM([1]Raw_Data!C926)</f>
        <v>Vitamin</v>
      </c>
      <c r="D928" s="3">
        <f>[1]Raw_Data!D926</f>
        <v>155</v>
      </c>
      <c r="E928" s="4">
        <f>[1]Raw_Data!E926</f>
        <v>55.34</v>
      </c>
      <c r="F928" s="5">
        <f>[1]Raw_Data!F926</f>
        <v>8577.7000000000007</v>
      </c>
      <c r="G928" s="4">
        <f>[1]Raw_Data!G926</f>
        <v>0.15</v>
      </c>
      <c r="H928" s="3">
        <f>[1]Raw_Data!H926</f>
        <v>0</v>
      </c>
      <c r="I928" s="3" t="str">
        <f>TRIM([1]Raw_Data!I926)</f>
        <v>Canada</v>
      </c>
      <c r="J928" s="3" t="str">
        <f>TRIM([1]Raw_Data!J926)</f>
        <v>Amazon</v>
      </c>
      <c r="K928" s="3">
        <f t="shared" si="56"/>
        <v>2021</v>
      </c>
      <c r="L928" s="6">
        <f t="shared" si="57"/>
        <v>44228</v>
      </c>
      <c r="M928" s="3" t="str">
        <f t="shared" si="58"/>
        <v>11% to 15%</v>
      </c>
      <c r="N928" s="3" t="str">
        <f t="shared" si="59"/>
        <v>OK</v>
      </c>
    </row>
    <row r="929" spans="1:14" x14ac:dyDescent="0.3">
      <c r="A929" s="2">
        <f>DATE(VALUE(RIGHT(TRIM([1]Raw_Data!A927),4)),VALUE(MID(TRIM([1]Raw_Data!A927),4,2)),VALUE(LEFT(TRIM([1]Raw_Data!A927),2)))</f>
        <v>44235</v>
      </c>
      <c r="B929" s="3" t="str">
        <f>TRIM([1]Raw_Data!B927)</f>
        <v>Green Tea Extract</v>
      </c>
      <c r="C929" s="3" t="str">
        <f>TRIM([1]Raw_Data!C927)</f>
        <v>Fat Burner</v>
      </c>
      <c r="D929" s="3">
        <f>[1]Raw_Data!D927</f>
        <v>148</v>
      </c>
      <c r="E929" s="4">
        <f>[1]Raw_Data!E927</f>
        <v>49.71</v>
      </c>
      <c r="F929" s="5">
        <f>[1]Raw_Data!F927</f>
        <v>7357.08</v>
      </c>
      <c r="G929" s="4">
        <f>[1]Raw_Data!G927</f>
        <v>0.12</v>
      </c>
      <c r="H929" s="3">
        <f>[1]Raw_Data!H927</f>
        <v>3</v>
      </c>
      <c r="I929" s="3" t="str">
        <f>TRIM([1]Raw_Data!I927)</f>
        <v>UK</v>
      </c>
      <c r="J929" s="3" t="str">
        <f>TRIM([1]Raw_Data!J927)</f>
        <v>Walmart</v>
      </c>
      <c r="K929" s="3">
        <f t="shared" si="56"/>
        <v>2021</v>
      </c>
      <c r="L929" s="6">
        <f t="shared" si="57"/>
        <v>44228</v>
      </c>
      <c r="M929" s="3" t="str">
        <f t="shared" si="58"/>
        <v>11% to 15%</v>
      </c>
      <c r="N929" s="3" t="str">
        <f t="shared" si="59"/>
        <v>OK</v>
      </c>
    </row>
    <row r="930" spans="1:14" x14ac:dyDescent="0.3">
      <c r="A930" s="2">
        <f>DATE(VALUE(RIGHT(TRIM([1]Raw_Data!A928),4)),VALUE(MID(TRIM([1]Raw_Data!A928),4,2)),VALUE(LEFT(TRIM([1]Raw_Data!A928),2)))</f>
        <v>44235</v>
      </c>
      <c r="B930" s="3" t="str">
        <f>TRIM([1]Raw_Data!B928)</f>
        <v>Iron Supplement</v>
      </c>
      <c r="C930" s="3" t="str">
        <f>TRIM([1]Raw_Data!C928)</f>
        <v>Mineral</v>
      </c>
      <c r="D930" s="3">
        <f>[1]Raw_Data!D928</f>
        <v>141</v>
      </c>
      <c r="E930" s="4">
        <f>[1]Raw_Data!E928</f>
        <v>54.93</v>
      </c>
      <c r="F930" s="5">
        <f>[1]Raw_Data!F928</f>
        <v>7745.13</v>
      </c>
      <c r="G930" s="4">
        <f>[1]Raw_Data!G928</f>
        <v>0.22</v>
      </c>
      <c r="H930" s="3">
        <f>[1]Raw_Data!H928</f>
        <v>2</v>
      </c>
      <c r="I930" s="3" t="str">
        <f>TRIM([1]Raw_Data!I928)</f>
        <v>USA</v>
      </c>
      <c r="J930" s="3" t="str">
        <f>TRIM([1]Raw_Data!J928)</f>
        <v>iHerb</v>
      </c>
      <c r="K930" s="3">
        <f t="shared" si="56"/>
        <v>2021</v>
      </c>
      <c r="L930" s="6">
        <f t="shared" si="57"/>
        <v>44228</v>
      </c>
      <c r="M930" s="3" t="str">
        <f t="shared" si="58"/>
        <v>21% to 25%</v>
      </c>
      <c r="N930" s="3" t="str">
        <f t="shared" si="59"/>
        <v>OK</v>
      </c>
    </row>
    <row r="931" spans="1:14" x14ac:dyDescent="0.3">
      <c r="A931" s="2">
        <f>DATE(VALUE(RIGHT(TRIM([1]Raw_Data!A929),4)),VALUE(MID(TRIM([1]Raw_Data!A929),4,2)),VALUE(LEFT(TRIM([1]Raw_Data!A929),2)))</f>
        <v>44235</v>
      </c>
      <c r="B931" s="3" t="str">
        <f>TRIM([1]Raw_Data!B929)</f>
        <v>Electrolyte Powder</v>
      </c>
      <c r="C931" s="3" t="str">
        <f>TRIM([1]Raw_Data!C929)</f>
        <v>Hydration</v>
      </c>
      <c r="D931" s="3">
        <f>[1]Raw_Data!D929</f>
        <v>165</v>
      </c>
      <c r="E931" s="4">
        <f>[1]Raw_Data!E929</f>
        <v>53.25</v>
      </c>
      <c r="F931" s="5">
        <f>[1]Raw_Data!F929</f>
        <v>8786.25</v>
      </c>
      <c r="G931" s="4">
        <f>[1]Raw_Data!G929</f>
        <v>0.08</v>
      </c>
      <c r="H931" s="3">
        <f>[1]Raw_Data!H929</f>
        <v>0</v>
      </c>
      <c r="I931" s="3" t="str">
        <f>TRIM([1]Raw_Data!I929)</f>
        <v>UK</v>
      </c>
      <c r="J931" s="3" t="str">
        <f>TRIM([1]Raw_Data!J929)</f>
        <v>iHerb</v>
      </c>
      <c r="K931" s="3">
        <f t="shared" si="56"/>
        <v>2021</v>
      </c>
      <c r="L931" s="6">
        <f t="shared" si="57"/>
        <v>44228</v>
      </c>
      <c r="M931" s="3" t="str">
        <f t="shared" si="58"/>
        <v>6% to 10%</v>
      </c>
      <c r="N931" s="3" t="str">
        <f t="shared" si="59"/>
        <v>OK</v>
      </c>
    </row>
    <row r="932" spans="1:14" x14ac:dyDescent="0.3">
      <c r="A932" s="2">
        <f>DATE(VALUE(RIGHT(TRIM([1]Raw_Data!A930),4)),VALUE(MID(TRIM([1]Raw_Data!A930),4,2)),VALUE(LEFT(TRIM([1]Raw_Data!A930),2)))</f>
        <v>44242</v>
      </c>
      <c r="B932" s="3" t="str">
        <f>TRIM([1]Raw_Data!B930)</f>
        <v>Whey Protein</v>
      </c>
      <c r="C932" s="3" t="str">
        <f>TRIM([1]Raw_Data!C930)</f>
        <v>Protein</v>
      </c>
      <c r="D932" s="3">
        <f>[1]Raw_Data!D930</f>
        <v>140</v>
      </c>
      <c r="E932" s="4">
        <f>[1]Raw_Data!E930</f>
        <v>22.56</v>
      </c>
      <c r="F932" s="5">
        <f>[1]Raw_Data!F930</f>
        <v>3158.4</v>
      </c>
      <c r="G932" s="4">
        <f>[1]Raw_Data!G930</f>
        <v>0.08</v>
      </c>
      <c r="H932" s="3">
        <f>[1]Raw_Data!H930</f>
        <v>0</v>
      </c>
      <c r="I932" s="3" t="str">
        <f>TRIM([1]Raw_Data!I930)</f>
        <v>USA</v>
      </c>
      <c r="J932" s="3" t="str">
        <f>TRIM([1]Raw_Data!J930)</f>
        <v>Walmart</v>
      </c>
      <c r="K932" s="3">
        <f t="shared" si="56"/>
        <v>2021</v>
      </c>
      <c r="L932" s="6">
        <f t="shared" si="57"/>
        <v>44228</v>
      </c>
      <c r="M932" s="3" t="str">
        <f t="shared" si="58"/>
        <v>6% to 10%</v>
      </c>
      <c r="N932" s="3" t="str">
        <f t="shared" si="59"/>
        <v>OK</v>
      </c>
    </row>
    <row r="933" spans="1:14" x14ac:dyDescent="0.3">
      <c r="A933" s="2">
        <f>DATE(VALUE(RIGHT(TRIM([1]Raw_Data!A931),4)),VALUE(MID(TRIM([1]Raw_Data!A931),4,2)),VALUE(LEFT(TRIM([1]Raw_Data!A931),2)))</f>
        <v>44242</v>
      </c>
      <c r="B933" s="3" t="str">
        <f>TRIM([1]Raw_Data!B931)</f>
        <v>Vitamin C</v>
      </c>
      <c r="C933" s="3" t="str">
        <f>TRIM([1]Raw_Data!C931)</f>
        <v>Vitamin</v>
      </c>
      <c r="D933" s="3">
        <f>[1]Raw_Data!D931</f>
        <v>142</v>
      </c>
      <c r="E933" s="4">
        <f>[1]Raw_Data!E931</f>
        <v>32.090000000000003</v>
      </c>
      <c r="F933" s="5">
        <f>[1]Raw_Data!F931</f>
        <v>4556.78</v>
      </c>
      <c r="G933" s="4">
        <f>[1]Raw_Data!G931</f>
        <v>0.09</v>
      </c>
      <c r="H933" s="3">
        <f>[1]Raw_Data!H931</f>
        <v>2</v>
      </c>
      <c r="I933" s="3" t="str">
        <f>TRIM([1]Raw_Data!I931)</f>
        <v>Canada</v>
      </c>
      <c r="J933" s="3" t="str">
        <f>TRIM([1]Raw_Data!J931)</f>
        <v>iHerb</v>
      </c>
      <c r="K933" s="3">
        <f t="shared" si="56"/>
        <v>2021</v>
      </c>
      <c r="L933" s="6">
        <f t="shared" si="57"/>
        <v>44228</v>
      </c>
      <c r="M933" s="3" t="str">
        <f t="shared" si="58"/>
        <v>6% to 10%</v>
      </c>
      <c r="N933" s="3" t="str">
        <f t="shared" si="59"/>
        <v>OK</v>
      </c>
    </row>
    <row r="934" spans="1:14" x14ac:dyDescent="0.3">
      <c r="A934" s="2">
        <f>DATE(VALUE(RIGHT(TRIM([1]Raw_Data!A932),4)),VALUE(MID(TRIM([1]Raw_Data!A932),4,2)),VALUE(LEFT(TRIM([1]Raw_Data!A932),2)))</f>
        <v>44242</v>
      </c>
      <c r="B934" s="3" t="str">
        <f>TRIM([1]Raw_Data!B932)</f>
        <v>Fish Oil</v>
      </c>
      <c r="C934" s="3" t="str">
        <f>TRIM([1]Raw_Data!C932)</f>
        <v>Omega</v>
      </c>
      <c r="D934" s="3">
        <f>[1]Raw_Data!D932</f>
        <v>168</v>
      </c>
      <c r="E934" s="4">
        <f>[1]Raw_Data!E932</f>
        <v>26.6</v>
      </c>
      <c r="F934" s="5">
        <f>[1]Raw_Data!F932</f>
        <v>4468.8</v>
      </c>
      <c r="G934" s="4">
        <f>[1]Raw_Data!G932</f>
        <v>0.19</v>
      </c>
      <c r="H934" s="3">
        <f>[1]Raw_Data!H932</f>
        <v>0</v>
      </c>
      <c r="I934" s="3" t="str">
        <f>TRIM([1]Raw_Data!I932)</f>
        <v>UK</v>
      </c>
      <c r="J934" s="3" t="str">
        <f>TRIM([1]Raw_Data!J932)</f>
        <v>Walmart</v>
      </c>
      <c r="K934" s="3">
        <f t="shared" si="56"/>
        <v>2021</v>
      </c>
      <c r="L934" s="6">
        <f t="shared" si="57"/>
        <v>44228</v>
      </c>
      <c r="M934" s="3" t="str">
        <f t="shared" si="58"/>
        <v>16% to 20%</v>
      </c>
      <c r="N934" s="3" t="str">
        <f t="shared" si="59"/>
        <v>OK</v>
      </c>
    </row>
    <row r="935" spans="1:14" x14ac:dyDescent="0.3">
      <c r="A935" s="2">
        <f>DATE(VALUE(RIGHT(TRIM([1]Raw_Data!A933),4)),VALUE(MID(TRIM([1]Raw_Data!A933),4,2)),VALUE(LEFT(TRIM([1]Raw_Data!A933),2)))</f>
        <v>44242</v>
      </c>
      <c r="B935" s="3" t="str">
        <f>TRIM([1]Raw_Data!B933)</f>
        <v>Multivitamin</v>
      </c>
      <c r="C935" s="3" t="str">
        <f>TRIM([1]Raw_Data!C933)</f>
        <v>Vitamin</v>
      </c>
      <c r="D935" s="3">
        <f>[1]Raw_Data!D933</f>
        <v>134</v>
      </c>
      <c r="E935" s="4">
        <f>[1]Raw_Data!E933</f>
        <v>50.39</v>
      </c>
      <c r="F935" s="5">
        <f>[1]Raw_Data!F933</f>
        <v>6752.26</v>
      </c>
      <c r="G935" s="4">
        <f>[1]Raw_Data!G933</f>
        <v>0.06</v>
      </c>
      <c r="H935" s="3">
        <f>[1]Raw_Data!H933</f>
        <v>0</v>
      </c>
      <c r="I935" s="3" t="str">
        <f>TRIM([1]Raw_Data!I933)</f>
        <v>USA</v>
      </c>
      <c r="J935" s="3" t="str">
        <f>TRIM([1]Raw_Data!J933)</f>
        <v>Amazon</v>
      </c>
      <c r="K935" s="3">
        <f t="shared" si="56"/>
        <v>2021</v>
      </c>
      <c r="L935" s="6">
        <f t="shared" si="57"/>
        <v>44228</v>
      </c>
      <c r="M935" s="3" t="str">
        <f t="shared" si="58"/>
        <v>6% to 10%</v>
      </c>
      <c r="N935" s="3" t="str">
        <f t="shared" si="59"/>
        <v>OK</v>
      </c>
    </row>
    <row r="936" spans="1:14" x14ac:dyDescent="0.3">
      <c r="A936" s="2">
        <f>DATE(VALUE(RIGHT(TRIM([1]Raw_Data!A934),4)),VALUE(MID(TRIM([1]Raw_Data!A934),4,2)),VALUE(LEFT(TRIM([1]Raw_Data!A934),2)))</f>
        <v>44242</v>
      </c>
      <c r="B936" s="3" t="str">
        <f>TRIM([1]Raw_Data!B934)</f>
        <v>Pre-Workout</v>
      </c>
      <c r="C936" s="3" t="str">
        <f>TRIM([1]Raw_Data!C934)</f>
        <v>Performance</v>
      </c>
      <c r="D936" s="3">
        <f>[1]Raw_Data!D934</f>
        <v>134</v>
      </c>
      <c r="E936" s="4">
        <f>[1]Raw_Data!E934</f>
        <v>41.69</v>
      </c>
      <c r="F936" s="5">
        <f>[1]Raw_Data!F934</f>
        <v>5586.46</v>
      </c>
      <c r="G936" s="4">
        <f>[1]Raw_Data!G934</f>
        <v>0.06</v>
      </c>
      <c r="H936" s="3">
        <f>[1]Raw_Data!H934</f>
        <v>1</v>
      </c>
      <c r="I936" s="3" t="str">
        <f>TRIM([1]Raw_Data!I934)</f>
        <v>UK</v>
      </c>
      <c r="J936" s="3" t="str">
        <f>TRIM([1]Raw_Data!J934)</f>
        <v>Walmart</v>
      </c>
      <c r="K936" s="3">
        <f t="shared" si="56"/>
        <v>2021</v>
      </c>
      <c r="L936" s="6">
        <f t="shared" si="57"/>
        <v>44228</v>
      </c>
      <c r="M936" s="3" t="str">
        <f t="shared" si="58"/>
        <v>6% to 10%</v>
      </c>
      <c r="N936" s="3" t="str">
        <f t="shared" si="59"/>
        <v>OK</v>
      </c>
    </row>
    <row r="937" spans="1:14" x14ac:dyDescent="0.3">
      <c r="A937" s="2">
        <f>DATE(VALUE(RIGHT(TRIM([1]Raw_Data!A935),4)),VALUE(MID(TRIM([1]Raw_Data!A935),4,2)),VALUE(LEFT(TRIM([1]Raw_Data!A935),2)))</f>
        <v>44242</v>
      </c>
      <c r="B937" s="3" t="str">
        <f>TRIM([1]Raw_Data!B935)</f>
        <v>BCAA</v>
      </c>
      <c r="C937" s="3" t="str">
        <f>TRIM([1]Raw_Data!C935)</f>
        <v>Amino Acid</v>
      </c>
      <c r="D937" s="3">
        <f>[1]Raw_Data!D935</f>
        <v>151</v>
      </c>
      <c r="E937" s="4">
        <f>[1]Raw_Data!E935</f>
        <v>21.66</v>
      </c>
      <c r="F937" s="5">
        <f>[1]Raw_Data!F935</f>
        <v>3270.66</v>
      </c>
      <c r="G937" s="4">
        <f>[1]Raw_Data!G935</f>
        <v>0.22</v>
      </c>
      <c r="H937" s="3">
        <f>[1]Raw_Data!H935</f>
        <v>1</v>
      </c>
      <c r="I937" s="3" t="str">
        <f>TRIM([1]Raw_Data!I935)</f>
        <v>Canada</v>
      </c>
      <c r="J937" s="3" t="str">
        <f>TRIM([1]Raw_Data!J935)</f>
        <v>Amazon</v>
      </c>
      <c r="K937" s="3">
        <f t="shared" si="56"/>
        <v>2021</v>
      </c>
      <c r="L937" s="6">
        <f t="shared" si="57"/>
        <v>44228</v>
      </c>
      <c r="M937" s="3" t="str">
        <f t="shared" si="58"/>
        <v>21% to 25%</v>
      </c>
      <c r="N937" s="3" t="str">
        <f t="shared" si="59"/>
        <v>OK</v>
      </c>
    </row>
    <row r="938" spans="1:14" x14ac:dyDescent="0.3">
      <c r="A938" s="2">
        <f>DATE(VALUE(RIGHT(TRIM([1]Raw_Data!A936),4)),VALUE(MID(TRIM([1]Raw_Data!A936),4,2)),VALUE(LEFT(TRIM([1]Raw_Data!A936),2)))</f>
        <v>44242</v>
      </c>
      <c r="B938" s="3" t="str">
        <f>TRIM([1]Raw_Data!B936)</f>
        <v>Creatine</v>
      </c>
      <c r="C938" s="3" t="str">
        <f>TRIM([1]Raw_Data!C936)</f>
        <v>Performance</v>
      </c>
      <c r="D938" s="3">
        <f>[1]Raw_Data!D936</f>
        <v>157</v>
      </c>
      <c r="E938" s="4">
        <f>[1]Raw_Data!E936</f>
        <v>28.63</v>
      </c>
      <c r="F938" s="5">
        <f>[1]Raw_Data!F936</f>
        <v>4494.91</v>
      </c>
      <c r="G938" s="4">
        <f>[1]Raw_Data!G936</f>
        <v>0.09</v>
      </c>
      <c r="H938" s="3">
        <f>[1]Raw_Data!H936</f>
        <v>2</v>
      </c>
      <c r="I938" s="3" t="str">
        <f>TRIM([1]Raw_Data!I936)</f>
        <v>Canada</v>
      </c>
      <c r="J938" s="3" t="str">
        <f>TRIM([1]Raw_Data!J936)</f>
        <v>iHerb</v>
      </c>
      <c r="K938" s="3">
        <f t="shared" si="56"/>
        <v>2021</v>
      </c>
      <c r="L938" s="6">
        <f t="shared" si="57"/>
        <v>44228</v>
      </c>
      <c r="M938" s="3" t="str">
        <f t="shared" si="58"/>
        <v>6% to 10%</v>
      </c>
      <c r="N938" s="3" t="str">
        <f t="shared" si="59"/>
        <v>OK</v>
      </c>
    </row>
    <row r="939" spans="1:14" x14ac:dyDescent="0.3">
      <c r="A939" s="2">
        <f>DATE(VALUE(RIGHT(TRIM([1]Raw_Data!A937),4)),VALUE(MID(TRIM([1]Raw_Data!A937),4,2)),VALUE(LEFT(TRIM([1]Raw_Data!A937),2)))</f>
        <v>44242</v>
      </c>
      <c r="B939" s="3" t="str">
        <f>TRIM([1]Raw_Data!B937)</f>
        <v>Zinc</v>
      </c>
      <c r="C939" s="3" t="str">
        <f>TRIM([1]Raw_Data!C937)</f>
        <v>Mineral</v>
      </c>
      <c r="D939" s="3">
        <f>[1]Raw_Data!D937</f>
        <v>128</v>
      </c>
      <c r="E939" s="4">
        <f>[1]Raw_Data!E937</f>
        <v>20.89</v>
      </c>
      <c r="F939" s="5">
        <f>[1]Raw_Data!F937</f>
        <v>2673.92</v>
      </c>
      <c r="G939" s="4">
        <f>[1]Raw_Data!G937</f>
        <v>0.17</v>
      </c>
      <c r="H939" s="3">
        <f>[1]Raw_Data!H937</f>
        <v>2</v>
      </c>
      <c r="I939" s="3" t="str">
        <f>TRIM([1]Raw_Data!I937)</f>
        <v>UK</v>
      </c>
      <c r="J939" s="3" t="str">
        <f>TRIM([1]Raw_Data!J937)</f>
        <v>Amazon</v>
      </c>
      <c r="K939" s="3">
        <f t="shared" si="56"/>
        <v>2021</v>
      </c>
      <c r="L939" s="6">
        <f t="shared" si="57"/>
        <v>44228</v>
      </c>
      <c r="M939" s="3" t="str">
        <f t="shared" si="58"/>
        <v>16% to 20%</v>
      </c>
      <c r="N939" s="3" t="str">
        <f t="shared" si="59"/>
        <v>OK</v>
      </c>
    </row>
    <row r="940" spans="1:14" x14ac:dyDescent="0.3">
      <c r="A940" s="2">
        <f>DATE(VALUE(RIGHT(TRIM([1]Raw_Data!A938),4)),VALUE(MID(TRIM([1]Raw_Data!A938),4,2)),VALUE(LEFT(TRIM([1]Raw_Data!A938),2)))</f>
        <v>44242</v>
      </c>
      <c r="B940" s="3" t="str">
        <f>TRIM([1]Raw_Data!B938)</f>
        <v>Collagen Peptides</v>
      </c>
      <c r="C940" s="3" t="str">
        <f>TRIM([1]Raw_Data!C938)</f>
        <v>Protein</v>
      </c>
      <c r="D940" s="3">
        <f>[1]Raw_Data!D938</f>
        <v>152</v>
      </c>
      <c r="E940" s="4">
        <f>[1]Raw_Data!E938</f>
        <v>43.09</v>
      </c>
      <c r="F940" s="5">
        <f>[1]Raw_Data!F938</f>
        <v>6549.68</v>
      </c>
      <c r="G940" s="4">
        <f>[1]Raw_Data!G938</f>
        <v>0.09</v>
      </c>
      <c r="H940" s="3">
        <f>[1]Raw_Data!H938</f>
        <v>3</v>
      </c>
      <c r="I940" s="3" t="str">
        <f>TRIM([1]Raw_Data!I938)</f>
        <v>Canada</v>
      </c>
      <c r="J940" s="3" t="str">
        <f>TRIM([1]Raw_Data!J938)</f>
        <v>Walmart</v>
      </c>
      <c r="K940" s="3">
        <f t="shared" si="56"/>
        <v>2021</v>
      </c>
      <c r="L940" s="6">
        <f t="shared" si="57"/>
        <v>44228</v>
      </c>
      <c r="M940" s="3" t="str">
        <f t="shared" si="58"/>
        <v>6% to 10%</v>
      </c>
      <c r="N940" s="3" t="str">
        <f t="shared" si="59"/>
        <v>OK</v>
      </c>
    </row>
    <row r="941" spans="1:14" x14ac:dyDescent="0.3">
      <c r="A941" s="2">
        <f>DATE(VALUE(RIGHT(TRIM([1]Raw_Data!A939),4)),VALUE(MID(TRIM([1]Raw_Data!A939),4,2)),VALUE(LEFT(TRIM([1]Raw_Data!A939),2)))</f>
        <v>44242</v>
      </c>
      <c r="B941" s="3" t="str">
        <f>TRIM([1]Raw_Data!B939)</f>
        <v>Magnesium</v>
      </c>
      <c r="C941" s="3" t="str">
        <f>TRIM([1]Raw_Data!C939)</f>
        <v>Mineral</v>
      </c>
      <c r="D941" s="3">
        <f>[1]Raw_Data!D939</f>
        <v>142</v>
      </c>
      <c r="E941" s="4">
        <f>[1]Raw_Data!E939</f>
        <v>47.27</v>
      </c>
      <c r="F941" s="5">
        <f>[1]Raw_Data!F939</f>
        <v>6712.34</v>
      </c>
      <c r="G941" s="4">
        <f>[1]Raw_Data!G939</f>
        <v>0.09</v>
      </c>
      <c r="H941" s="3">
        <f>[1]Raw_Data!H939</f>
        <v>1</v>
      </c>
      <c r="I941" s="3" t="str">
        <f>TRIM([1]Raw_Data!I939)</f>
        <v>Canada</v>
      </c>
      <c r="J941" s="3" t="str">
        <f>TRIM([1]Raw_Data!J939)</f>
        <v>Walmart</v>
      </c>
      <c r="K941" s="3">
        <f t="shared" si="56"/>
        <v>2021</v>
      </c>
      <c r="L941" s="6">
        <f t="shared" si="57"/>
        <v>44228</v>
      </c>
      <c r="M941" s="3" t="str">
        <f t="shared" si="58"/>
        <v>6% to 10%</v>
      </c>
      <c r="N941" s="3" t="str">
        <f t="shared" si="59"/>
        <v>OK</v>
      </c>
    </row>
    <row r="942" spans="1:14" x14ac:dyDescent="0.3">
      <c r="A942" s="2">
        <f>DATE(VALUE(RIGHT(TRIM([1]Raw_Data!A940),4)),VALUE(MID(TRIM([1]Raw_Data!A940),4,2)),VALUE(LEFT(TRIM([1]Raw_Data!A940),2)))</f>
        <v>44242</v>
      </c>
      <c r="B942" s="3" t="str">
        <f>TRIM([1]Raw_Data!B940)</f>
        <v>Ashwagandha</v>
      </c>
      <c r="C942" s="3" t="str">
        <f>TRIM([1]Raw_Data!C940)</f>
        <v>Herbal</v>
      </c>
      <c r="D942" s="3">
        <f>[1]Raw_Data!D940</f>
        <v>149</v>
      </c>
      <c r="E942" s="4">
        <f>[1]Raw_Data!E940</f>
        <v>56.5</v>
      </c>
      <c r="F942" s="5">
        <f>[1]Raw_Data!F940</f>
        <v>8418.5</v>
      </c>
      <c r="G942" s="4">
        <f>[1]Raw_Data!G940</f>
        <v>0.14000000000000001</v>
      </c>
      <c r="H942" s="3">
        <f>[1]Raw_Data!H940</f>
        <v>2</v>
      </c>
      <c r="I942" s="3" t="str">
        <f>TRIM([1]Raw_Data!I940)</f>
        <v>UK</v>
      </c>
      <c r="J942" s="3" t="str">
        <f>TRIM([1]Raw_Data!J940)</f>
        <v>Amazon</v>
      </c>
      <c r="K942" s="3">
        <f t="shared" si="56"/>
        <v>2021</v>
      </c>
      <c r="L942" s="6">
        <f t="shared" si="57"/>
        <v>44228</v>
      </c>
      <c r="M942" s="3" t="str">
        <f t="shared" si="58"/>
        <v>11% to 15%</v>
      </c>
      <c r="N942" s="3" t="str">
        <f t="shared" si="59"/>
        <v>OK</v>
      </c>
    </row>
    <row r="943" spans="1:14" x14ac:dyDescent="0.3">
      <c r="A943" s="2">
        <f>DATE(VALUE(RIGHT(TRIM([1]Raw_Data!A941),4)),VALUE(MID(TRIM([1]Raw_Data!A941),4,2)),VALUE(LEFT(TRIM([1]Raw_Data!A941),2)))</f>
        <v>44242</v>
      </c>
      <c r="B943" s="3" t="str">
        <f>TRIM([1]Raw_Data!B941)</f>
        <v>Melatonin</v>
      </c>
      <c r="C943" s="3" t="str">
        <f>TRIM([1]Raw_Data!C941)</f>
        <v>Sleep Aid</v>
      </c>
      <c r="D943" s="3">
        <f>[1]Raw_Data!D941</f>
        <v>169</v>
      </c>
      <c r="E943" s="4">
        <f>[1]Raw_Data!E941</f>
        <v>21.6</v>
      </c>
      <c r="F943" s="5">
        <f>[1]Raw_Data!F941</f>
        <v>3650.4</v>
      </c>
      <c r="G943" s="4">
        <f>[1]Raw_Data!G941</f>
        <v>0.18</v>
      </c>
      <c r="H943" s="3">
        <f>[1]Raw_Data!H941</f>
        <v>3</v>
      </c>
      <c r="I943" s="3" t="str">
        <f>TRIM([1]Raw_Data!I941)</f>
        <v>USA</v>
      </c>
      <c r="J943" s="3" t="str">
        <f>TRIM([1]Raw_Data!J941)</f>
        <v>iHerb</v>
      </c>
      <c r="K943" s="3">
        <f t="shared" si="56"/>
        <v>2021</v>
      </c>
      <c r="L943" s="6">
        <f t="shared" si="57"/>
        <v>44228</v>
      </c>
      <c r="M943" s="3" t="str">
        <f t="shared" si="58"/>
        <v>16% to 20%</v>
      </c>
      <c r="N943" s="3" t="str">
        <f t="shared" si="59"/>
        <v>OK</v>
      </c>
    </row>
    <row r="944" spans="1:14" x14ac:dyDescent="0.3">
      <c r="A944" s="2">
        <f>DATE(VALUE(RIGHT(TRIM([1]Raw_Data!A942),4)),VALUE(MID(TRIM([1]Raw_Data!A942),4,2)),VALUE(LEFT(TRIM([1]Raw_Data!A942),2)))</f>
        <v>44242</v>
      </c>
      <c r="B944" s="3" t="str">
        <f>TRIM([1]Raw_Data!B942)</f>
        <v>Biotin</v>
      </c>
      <c r="C944" s="3" t="str">
        <f>TRIM([1]Raw_Data!C942)</f>
        <v>Vitamin</v>
      </c>
      <c r="D944" s="3">
        <f>[1]Raw_Data!D942</f>
        <v>165</v>
      </c>
      <c r="E944" s="4">
        <f>[1]Raw_Data!E942</f>
        <v>14.47</v>
      </c>
      <c r="F944" s="5">
        <f>[1]Raw_Data!F942</f>
        <v>2387.5500000000002</v>
      </c>
      <c r="G944" s="4">
        <f>[1]Raw_Data!G942</f>
        <v>0.11</v>
      </c>
      <c r="H944" s="3">
        <f>[1]Raw_Data!H942</f>
        <v>1</v>
      </c>
      <c r="I944" s="3" t="str">
        <f>TRIM([1]Raw_Data!I942)</f>
        <v>USA</v>
      </c>
      <c r="J944" s="3" t="str">
        <f>TRIM([1]Raw_Data!J942)</f>
        <v>Walmart</v>
      </c>
      <c r="K944" s="3">
        <f t="shared" si="56"/>
        <v>2021</v>
      </c>
      <c r="L944" s="6">
        <f t="shared" si="57"/>
        <v>44228</v>
      </c>
      <c r="M944" s="3" t="str">
        <f t="shared" si="58"/>
        <v>11% to 15%</v>
      </c>
      <c r="N944" s="3" t="str">
        <f t="shared" si="59"/>
        <v>OK</v>
      </c>
    </row>
    <row r="945" spans="1:14" x14ac:dyDescent="0.3">
      <c r="A945" s="2">
        <f>DATE(VALUE(RIGHT(TRIM([1]Raw_Data!A943),4)),VALUE(MID(TRIM([1]Raw_Data!A943),4,2)),VALUE(LEFT(TRIM([1]Raw_Data!A943),2)))</f>
        <v>44242</v>
      </c>
      <c r="B945" s="3" t="str">
        <f>TRIM([1]Raw_Data!B943)</f>
        <v>Green Tea Extract</v>
      </c>
      <c r="C945" s="3" t="str">
        <f>TRIM([1]Raw_Data!C943)</f>
        <v>Fat Burner</v>
      </c>
      <c r="D945" s="3">
        <f>[1]Raw_Data!D943</f>
        <v>142</v>
      </c>
      <c r="E945" s="4">
        <f>[1]Raw_Data!E943</f>
        <v>13.78</v>
      </c>
      <c r="F945" s="5">
        <f>[1]Raw_Data!F943</f>
        <v>1956.76</v>
      </c>
      <c r="G945" s="4">
        <f>[1]Raw_Data!G943</f>
        <v>0.21</v>
      </c>
      <c r="H945" s="3">
        <f>[1]Raw_Data!H943</f>
        <v>1</v>
      </c>
      <c r="I945" s="3" t="str">
        <f>TRIM([1]Raw_Data!I943)</f>
        <v>Canada</v>
      </c>
      <c r="J945" s="3" t="str">
        <f>TRIM([1]Raw_Data!J943)</f>
        <v>Walmart</v>
      </c>
      <c r="K945" s="3">
        <f t="shared" si="56"/>
        <v>2021</v>
      </c>
      <c r="L945" s="6">
        <f t="shared" si="57"/>
        <v>44228</v>
      </c>
      <c r="M945" s="3" t="str">
        <f t="shared" si="58"/>
        <v>21% to 25%</v>
      </c>
      <c r="N945" s="3" t="str">
        <f t="shared" si="59"/>
        <v>OK</v>
      </c>
    </row>
    <row r="946" spans="1:14" x14ac:dyDescent="0.3">
      <c r="A946" s="2">
        <f>DATE(VALUE(RIGHT(TRIM([1]Raw_Data!A944),4)),VALUE(MID(TRIM([1]Raw_Data!A944),4,2)),VALUE(LEFT(TRIM([1]Raw_Data!A944),2)))</f>
        <v>44242</v>
      </c>
      <c r="B946" s="3" t="str">
        <f>TRIM([1]Raw_Data!B944)</f>
        <v>Iron Supplement</v>
      </c>
      <c r="C946" s="3" t="str">
        <f>TRIM([1]Raw_Data!C944)</f>
        <v>Mineral</v>
      </c>
      <c r="D946" s="3">
        <f>[1]Raw_Data!D944</f>
        <v>153</v>
      </c>
      <c r="E946" s="4">
        <f>[1]Raw_Data!E944</f>
        <v>26.87</v>
      </c>
      <c r="F946" s="5">
        <f>[1]Raw_Data!F944</f>
        <v>4111.1099999999997</v>
      </c>
      <c r="G946" s="4">
        <f>[1]Raw_Data!G944</f>
        <v>0.02</v>
      </c>
      <c r="H946" s="3">
        <f>[1]Raw_Data!H944</f>
        <v>4</v>
      </c>
      <c r="I946" s="3" t="str">
        <f>TRIM([1]Raw_Data!I944)</f>
        <v>Canada</v>
      </c>
      <c r="J946" s="3" t="str">
        <f>TRIM([1]Raw_Data!J944)</f>
        <v>iHerb</v>
      </c>
      <c r="K946" s="3">
        <f t="shared" si="56"/>
        <v>2021</v>
      </c>
      <c r="L946" s="6">
        <f t="shared" si="57"/>
        <v>44228</v>
      </c>
      <c r="M946" s="3" t="str">
        <f t="shared" si="58"/>
        <v>0% to 5%</v>
      </c>
      <c r="N946" s="3" t="str">
        <f t="shared" si="59"/>
        <v>OK</v>
      </c>
    </row>
    <row r="947" spans="1:14" x14ac:dyDescent="0.3">
      <c r="A947" s="2">
        <f>DATE(VALUE(RIGHT(TRIM([1]Raw_Data!A945),4)),VALUE(MID(TRIM([1]Raw_Data!A945),4,2)),VALUE(LEFT(TRIM([1]Raw_Data!A945),2)))</f>
        <v>44242</v>
      </c>
      <c r="B947" s="3" t="str">
        <f>TRIM([1]Raw_Data!B945)</f>
        <v>Electrolyte Powder</v>
      </c>
      <c r="C947" s="3" t="str">
        <f>TRIM([1]Raw_Data!C945)</f>
        <v>Hydration</v>
      </c>
      <c r="D947" s="3">
        <f>[1]Raw_Data!D945</f>
        <v>162</v>
      </c>
      <c r="E947" s="4">
        <f>[1]Raw_Data!E945</f>
        <v>21.18</v>
      </c>
      <c r="F947" s="5">
        <f>[1]Raw_Data!F945</f>
        <v>3431.16</v>
      </c>
      <c r="G947" s="4">
        <f>[1]Raw_Data!G945</f>
        <v>0.23</v>
      </c>
      <c r="H947" s="3">
        <f>[1]Raw_Data!H945</f>
        <v>1</v>
      </c>
      <c r="I947" s="3" t="str">
        <f>TRIM([1]Raw_Data!I945)</f>
        <v>USA</v>
      </c>
      <c r="J947" s="3" t="str">
        <f>TRIM([1]Raw_Data!J945)</f>
        <v>iHerb</v>
      </c>
      <c r="K947" s="3">
        <f t="shared" si="56"/>
        <v>2021</v>
      </c>
      <c r="L947" s="6">
        <f t="shared" si="57"/>
        <v>44228</v>
      </c>
      <c r="M947" s="3" t="str">
        <f t="shared" si="58"/>
        <v>21% to 25%</v>
      </c>
      <c r="N947" s="3" t="str">
        <f t="shared" si="59"/>
        <v>OK</v>
      </c>
    </row>
    <row r="948" spans="1:14" x14ac:dyDescent="0.3">
      <c r="A948" s="2">
        <f>DATE(VALUE(RIGHT(TRIM([1]Raw_Data!A946),4)),VALUE(MID(TRIM([1]Raw_Data!A946),4,2)),VALUE(LEFT(TRIM([1]Raw_Data!A946),2)))</f>
        <v>44249</v>
      </c>
      <c r="B948" s="3" t="str">
        <f>TRIM([1]Raw_Data!B946)</f>
        <v>Whey Protein</v>
      </c>
      <c r="C948" s="3" t="str">
        <f>TRIM([1]Raw_Data!C946)</f>
        <v>Protein</v>
      </c>
      <c r="D948" s="3">
        <f>[1]Raw_Data!D946</f>
        <v>136</v>
      </c>
      <c r="E948" s="4">
        <f>[1]Raw_Data!E946</f>
        <v>57.19</v>
      </c>
      <c r="F948" s="5">
        <f>[1]Raw_Data!F946</f>
        <v>7777.84</v>
      </c>
      <c r="G948" s="4">
        <f>[1]Raw_Data!G946</f>
        <v>0</v>
      </c>
      <c r="H948" s="3">
        <f>[1]Raw_Data!H946</f>
        <v>0</v>
      </c>
      <c r="I948" s="3" t="str">
        <f>TRIM([1]Raw_Data!I946)</f>
        <v>Canada</v>
      </c>
      <c r="J948" s="3" t="str">
        <f>TRIM([1]Raw_Data!J946)</f>
        <v>Walmart</v>
      </c>
      <c r="K948" s="3">
        <f t="shared" si="56"/>
        <v>2021</v>
      </c>
      <c r="L948" s="6">
        <f t="shared" si="57"/>
        <v>44228</v>
      </c>
      <c r="M948" s="3" t="str">
        <f t="shared" si="58"/>
        <v>0% to 5%</v>
      </c>
      <c r="N948" s="3" t="str">
        <f t="shared" si="59"/>
        <v>OK</v>
      </c>
    </row>
    <row r="949" spans="1:14" x14ac:dyDescent="0.3">
      <c r="A949" s="2">
        <f>DATE(VALUE(RIGHT(TRIM([1]Raw_Data!A947),4)),VALUE(MID(TRIM([1]Raw_Data!A947),4,2)),VALUE(LEFT(TRIM([1]Raw_Data!A947),2)))</f>
        <v>44249</v>
      </c>
      <c r="B949" s="3" t="str">
        <f>TRIM([1]Raw_Data!B947)</f>
        <v>Vitamin C</v>
      </c>
      <c r="C949" s="3" t="str">
        <f>TRIM([1]Raw_Data!C947)</f>
        <v>Vitamin</v>
      </c>
      <c r="D949" s="3">
        <f>[1]Raw_Data!D947</f>
        <v>174</v>
      </c>
      <c r="E949" s="4">
        <f>[1]Raw_Data!E947</f>
        <v>15.66</v>
      </c>
      <c r="F949" s="5">
        <f>[1]Raw_Data!F947</f>
        <v>2724.84</v>
      </c>
      <c r="G949" s="4">
        <f>[1]Raw_Data!G947</f>
        <v>0.14000000000000001</v>
      </c>
      <c r="H949" s="3">
        <f>[1]Raw_Data!H947</f>
        <v>3</v>
      </c>
      <c r="I949" s="3" t="str">
        <f>TRIM([1]Raw_Data!I947)</f>
        <v>UK</v>
      </c>
      <c r="J949" s="3" t="str">
        <f>TRIM([1]Raw_Data!J947)</f>
        <v>iHerb</v>
      </c>
      <c r="K949" s="3">
        <f t="shared" si="56"/>
        <v>2021</v>
      </c>
      <c r="L949" s="6">
        <f t="shared" si="57"/>
        <v>44228</v>
      </c>
      <c r="M949" s="3" t="str">
        <f t="shared" si="58"/>
        <v>11% to 15%</v>
      </c>
      <c r="N949" s="3" t="str">
        <f t="shared" si="59"/>
        <v>OK</v>
      </c>
    </row>
    <row r="950" spans="1:14" x14ac:dyDescent="0.3">
      <c r="A950" s="2">
        <f>DATE(VALUE(RIGHT(TRIM([1]Raw_Data!A948),4)),VALUE(MID(TRIM([1]Raw_Data!A948),4,2)),VALUE(LEFT(TRIM([1]Raw_Data!A948),2)))</f>
        <v>44249</v>
      </c>
      <c r="B950" s="3" t="str">
        <f>TRIM([1]Raw_Data!B948)</f>
        <v>Fish Oil</v>
      </c>
      <c r="C950" s="3" t="str">
        <f>TRIM([1]Raw_Data!C948)</f>
        <v>Omega</v>
      </c>
      <c r="D950" s="3">
        <f>[1]Raw_Data!D948</f>
        <v>156</v>
      </c>
      <c r="E950" s="4">
        <f>[1]Raw_Data!E948</f>
        <v>59.64</v>
      </c>
      <c r="F950" s="5">
        <f>[1]Raw_Data!F948</f>
        <v>9303.84</v>
      </c>
      <c r="G950" s="4">
        <f>[1]Raw_Data!G948</f>
        <v>0.1</v>
      </c>
      <c r="H950" s="3">
        <f>[1]Raw_Data!H948</f>
        <v>1</v>
      </c>
      <c r="I950" s="3" t="str">
        <f>TRIM([1]Raw_Data!I948)</f>
        <v>USA</v>
      </c>
      <c r="J950" s="3" t="str">
        <f>TRIM([1]Raw_Data!J948)</f>
        <v>Amazon</v>
      </c>
      <c r="K950" s="3">
        <f t="shared" si="56"/>
        <v>2021</v>
      </c>
      <c r="L950" s="6">
        <f t="shared" si="57"/>
        <v>44228</v>
      </c>
      <c r="M950" s="3" t="str">
        <f t="shared" si="58"/>
        <v>6% to 10%</v>
      </c>
      <c r="N950" s="3" t="str">
        <f t="shared" si="59"/>
        <v>OK</v>
      </c>
    </row>
    <row r="951" spans="1:14" x14ac:dyDescent="0.3">
      <c r="A951" s="2">
        <f>DATE(VALUE(RIGHT(TRIM([1]Raw_Data!A949),4)),VALUE(MID(TRIM([1]Raw_Data!A949),4,2)),VALUE(LEFT(TRIM([1]Raw_Data!A949),2)))</f>
        <v>44249</v>
      </c>
      <c r="B951" s="3" t="str">
        <f>TRIM([1]Raw_Data!B949)</f>
        <v>Multivitamin</v>
      </c>
      <c r="C951" s="3" t="str">
        <f>TRIM([1]Raw_Data!C949)</f>
        <v>Vitamin</v>
      </c>
      <c r="D951" s="3">
        <f>[1]Raw_Data!D949</f>
        <v>152</v>
      </c>
      <c r="E951" s="4">
        <f>[1]Raw_Data!E949</f>
        <v>14.32</v>
      </c>
      <c r="F951" s="5">
        <f>[1]Raw_Data!F949</f>
        <v>2176.64</v>
      </c>
      <c r="G951" s="4">
        <f>[1]Raw_Data!G949</f>
        <v>0</v>
      </c>
      <c r="H951" s="3">
        <f>[1]Raw_Data!H949</f>
        <v>1</v>
      </c>
      <c r="I951" s="3" t="str">
        <f>TRIM([1]Raw_Data!I949)</f>
        <v>Canada</v>
      </c>
      <c r="J951" s="3" t="str">
        <f>TRIM([1]Raw_Data!J949)</f>
        <v>iHerb</v>
      </c>
      <c r="K951" s="3">
        <f t="shared" si="56"/>
        <v>2021</v>
      </c>
      <c r="L951" s="6">
        <f t="shared" si="57"/>
        <v>44228</v>
      </c>
      <c r="M951" s="3" t="str">
        <f t="shared" si="58"/>
        <v>0% to 5%</v>
      </c>
      <c r="N951" s="3" t="str">
        <f t="shared" si="59"/>
        <v>OK</v>
      </c>
    </row>
    <row r="952" spans="1:14" x14ac:dyDescent="0.3">
      <c r="A952" s="2">
        <f>DATE(VALUE(RIGHT(TRIM([1]Raw_Data!A950),4)),VALUE(MID(TRIM([1]Raw_Data!A950),4,2)),VALUE(LEFT(TRIM([1]Raw_Data!A950),2)))</f>
        <v>44249</v>
      </c>
      <c r="B952" s="3" t="str">
        <f>TRIM([1]Raw_Data!B950)</f>
        <v>Pre-Workout</v>
      </c>
      <c r="C952" s="3" t="str">
        <f>TRIM([1]Raw_Data!C950)</f>
        <v>Performance</v>
      </c>
      <c r="D952" s="3">
        <f>[1]Raw_Data!D950</f>
        <v>164</v>
      </c>
      <c r="E952" s="4">
        <f>[1]Raw_Data!E950</f>
        <v>59.96</v>
      </c>
      <c r="F952" s="5">
        <f>[1]Raw_Data!F950</f>
        <v>9833.44</v>
      </c>
      <c r="G952" s="4">
        <f>[1]Raw_Data!G950</f>
        <v>7.0000000000000007E-2</v>
      </c>
      <c r="H952" s="3">
        <f>[1]Raw_Data!H950</f>
        <v>1</v>
      </c>
      <c r="I952" s="3" t="str">
        <f>TRIM([1]Raw_Data!I950)</f>
        <v>UK</v>
      </c>
      <c r="J952" s="3" t="str">
        <f>TRIM([1]Raw_Data!J950)</f>
        <v>Walmart</v>
      </c>
      <c r="K952" s="3">
        <f t="shared" si="56"/>
        <v>2021</v>
      </c>
      <c r="L952" s="6">
        <f t="shared" si="57"/>
        <v>44228</v>
      </c>
      <c r="M952" s="3" t="str">
        <f t="shared" si="58"/>
        <v>6% to 10%</v>
      </c>
      <c r="N952" s="3" t="str">
        <f t="shared" si="59"/>
        <v>OK</v>
      </c>
    </row>
    <row r="953" spans="1:14" x14ac:dyDescent="0.3">
      <c r="A953" s="2">
        <f>DATE(VALUE(RIGHT(TRIM([1]Raw_Data!A951),4)),VALUE(MID(TRIM([1]Raw_Data!A951),4,2)),VALUE(LEFT(TRIM([1]Raw_Data!A951),2)))</f>
        <v>44249</v>
      </c>
      <c r="B953" s="3" t="str">
        <f>TRIM([1]Raw_Data!B951)</f>
        <v>BCAA</v>
      </c>
      <c r="C953" s="3" t="str">
        <f>TRIM([1]Raw_Data!C951)</f>
        <v>Amino Acid</v>
      </c>
      <c r="D953" s="3">
        <f>[1]Raw_Data!D951</f>
        <v>136</v>
      </c>
      <c r="E953" s="4">
        <f>[1]Raw_Data!E951</f>
        <v>24.26</v>
      </c>
      <c r="F953" s="5">
        <f>[1]Raw_Data!F951</f>
        <v>3299.36</v>
      </c>
      <c r="G953" s="4">
        <f>[1]Raw_Data!G951</f>
        <v>0.2</v>
      </c>
      <c r="H953" s="3">
        <f>[1]Raw_Data!H951</f>
        <v>3</v>
      </c>
      <c r="I953" s="3" t="str">
        <f>TRIM([1]Raw_Data!I951)</f>
        <v>UK</v>
      </c>
      <c r="J953" s="3" t="str">
        <f>TRIM([1]Raw_Data!J951)</f>
        <v>iHerb</v>
      </c>
      <c r="K953" s="3">
        <f t="shared" si="56"/>
        <v>2021</v>
      </c>
      <c r="L953" s="6">
        <f t="shared" si="57"/>
        <v>44228</v>
      </c>
      <c r="M953" s="3" t="str">
        <f t="shared" si="58"/>
        <v>16% to 20%</v>
      </c>
      <c r="N953" s="3" t="str">
        <f t="shared" si="59"/>
        <v>OK</v>
      </c>
    </row>
    <row r="954" spans="1:14" x14ac:dyDescent="0.3">
      <c r="A954" s="2">
        <f>DATE(VALUE(RIGHT(TRIM([1]Raw_Data!A952),4)),VALUE(MID(TRIM([1]Raw_Data!A952),4,2)),VALUE(LEFT(TRIM([1]Raw_Data!A952),2)))</f>
        <v>44249</v>
      </c>
      <c r="B954" s="3" t="str">
        <f>TRIM([1]Raw_Data!B952)</f>
        <v>Creatine</v>
      </c>
      <c r="C954" s="3" t="str">
        <f>TRIM([1]Raw_Data!C952)</f>
        <v>Performance</v>
      </c>
      <c r="D954" s="3">
        <f>[1]Raw_Data!D952</f>
        <v>167</v>
      </c>
      <c r="E954" s="4">
        <f>[1]Raw_Data!E952</f>
        <v>15.64</v>
      </c>
      <c r="F954" s="5">
        <f>[1]Raw_Data!F952</f>
        <v>2611.88</v>
      </c>
      <c r="G954" s="4">
        <f>[1]Raw_Data!G952</f>
        <v>0.22</v>
      </c>
      <c r="H954" s="3">
        <f>[1]Raw_Data!H952</f>
        <v>2</v>
      </c>
      <c r="I954" s="3" t="str">
        <f>TRIM([1]Raw_Data!I952)</f>
        <v>USA</v>
      </c>
      <c r="J954" s="3" t="str">
        <f>TRIM([1]Raw_Data!J952)</f>
        <v>Walmart</v>
      </c>
      <c r="K954" s="3">
        <f t="shared" si="56"/>
        <v>2021</v>
      </c>
      <c r="L954" s="6">
        <f t="shared" si="57"/>
        <v>44228</v>
      </c>
      <c r="M954" s="3" t="str">
        <f t="shared" si="58"/>
        <v>21% to 25%</v>
      </c>
      <c r="N954" s="3" t="str">
        <f t="shared" si="59"/>
        <v>OK</v>
      </c>
    </row>
    <row r="955" spans="1:14" x14ac:dyDescent="0.3">
      <c r="A955" s="2">
        <f>DATE(VALUE(RIGHT(TRIM([1]Raw_Data!A953),4)),VALUE(MID(TRIM([1]Raw_Data!A953),4,2)),VALUE(LEFT(TRIM([1]Raw_Data!A953),2)))</f>
        <v>44249</v>
      </c>
      <c r="B955" s="3" t="str">
        <f>TRIM([1]Raw_Data!B953)</f>
        <v>Zinc</v>
      </c>
      <c r="C955" s="3" t="str">
        <f>TRIM([1]Raw_Data!C953)</f>
        <v>Mineral</v>
      </c>
      <c r="D955" s="3">
        <f>[1]Raw_Data!D953</f>
        <v>136</v>
      </c>
      <c r="E955" s="4">
        <f>[1]Raw_Data!E953</f>
        <v>24.36</v>
      </c>
      <c r="F955" s="5">
        <f>[1]Raw_Data!F953</f>
        <v>3312.96</v>
      </c>
      <c r="G955" s="4">
        <f>[1]Raw_Data!G953</f>
        <v>0.18</v>
      </c>
      <c r="H955" s="3">
        <f>[1]Raw_Data!H953</f>
        <v>1</v>
      </c>
      <c r="I955" s="3" t="str">
        <f>TRIM([1]Raw_Data!I953)</f>
        <v>UK</v>
      </c>
      <c r="J955" s="3" t="str">
        <f>TRIM([1]Raw_Data!J953)</f>
        <v>Walmart</v>
      </c>
      <c r="K955" s="3">
        <f t="shared" si="56"/>
        <v>2021</v>
      </c>
      <c r="L955" s="6">
        <f t="shared" si="57"/>
        <v>44228</v>
      </c>
      <c r="M955" s="3" t="str">
        <f t="shared" si="58"/>
        <v>16% to 20%</v>
      </c>
      <c r="N955" s="3" t="str">
        <f t="shared" si="59"/>
        <v>OK</v>
      </c>
    </row>
    <row r="956" spans="1:14" x14ac:dyDescent="0.3">
      <c r="A956" s="2">
        <f>DATE(VALUE(RIGHT(TRIM([1]Raw_Data!A954),4)),VALUE(MID(TRIM([1]Raw_Data!A954),4,2)),VALUE(LEFT(TRIM([1]Raw_Data!A954),2)))</f>
        <v>44249</v>
      </c>
      <c r="B956" s="3" t="str">
        <f>TRIM([1]Raw_Data!B954)</f>
        <v>Collagen Peptides</v>
      </c>
      <c r="C956" s="3" t="str">
        <f>TRIM([1]Raw_Data!C954)</f>
        <v>Protein</v>
      </c>
      <c r="D956" s="3">
        <f>[1]Raw_Data!D954</f>
        <v>145</v>
      </c>
      <c r="E956" s="4">
        <f>[1]Raw_Data!E954</f>
        <v>35.159999999999997</v>
      </c>
      <c r="F956" s="5">
        <f>[1]Raw_Data!F954</f>
        <v>5098.2</v>
      </c>
      <c r="G956" s="4">
        <f>[1]Raw_Data!G954</f>
        <v>0.08</v>
      </c>
      <c r="H956" s="3">
        <f>[1]Raw_Data!H954</f>
        <v>2</v>
      </c>
      <c r="I956" s="3" t="str">
        <f>TRIM([1]Raw_Data!I954)</f>
        <v>UK</v>
      </c>
      <c r="J956" s="3" t="str">
        <f>TRIM([1]Raw_Data!J954)</f>
        <v>Walmart</v>
      </c>
      <c r="K956" s="3">
        <f t="shared" si="56"/>
        <v>2021</v>
      </c>
      <c r="L956" s="6">
        <f t="shared" si="57"/>
        <v>44228</v>
      </c>
      <c r="M956" s="3" t="str">
        <f t="shared" si="58"/>
        <v>6% to 10%</v>
      </c>
      <c r="N956" s="3" t="str">
        <f t="shared" si="59"/>
        <v>OK</v>
      </c>
    </row>
    <row r="957" spans="1:14" x14ac:dyDescent="0.3">
      <c r="A957" s="2">
        <f>DATE(VALUE(RIGHT(TRIM([1]Raw_Data!A955),4)),VALUE(MID(TRIM([1]Raw_Data!A955),4,2)),VALUE(LEFT(TRIM([1]Raw_Data!A955),2)))</f>
        <v>44249</v>
      </c>
      <c r="B957" s="3" t="str">
        <f>TRIM([1]Raw_Data!B955)</f>
        <v>Magnesium</v>
      </c>
      <c r="C957" s="3" t="str">
        <f>TRIM([1]Raw_Data!C955)</f>
        <v>Mineral</v>
      </c>
      <c r="D957" s="3">
        <f>[1]Raw_Data!D955</f>
        <v>162</v>
      </c>
      <c r="E957" s="4">
        <f>[1]Raw_Data!E955</f>
        <v>37.53</v>
      </c>
      <c r="F957" s="5">
        <f>[1]Raw_Data!F955</f>
        <v>6079.86</v>
      </c>
      <c r="G957" s="4">
        <f>[1]Raw_Data!G955</f>
        <v>0.21</v>
      </c>
      <c r="H957" s="3">
        <f>[1]Raw_Data!H955</f>
        <v>1</v>
      </c>
      <c r="I957" s="3" t="str">
        <f>TRIM([1]Raw_Data!I955)</f>
        <v>USA</v>
      </c>
      <c r="J957" s="3" t="str">
        <f>TRIM([1]Raw_Data!J955)</f>
        <v>iHerb</v>
      </c>
      <c r="K957" s="3">
        <f t="shared" si="56"/>
        <v>2021</v>
      </c>
      <c r="L957" s="6">
        <f t="shared" si="57"/>
        <v>44228</v>
      </c>
      <c r="M957" s="3" t="str">
        <f t="shared" si="58"/>
        <v>21% to 25%</v>
      </c>
      <c r="N957" s="3" t="str">
        <f t="shared" si="59"/>
        <v>OK</v>
      </c>
    </row>
    <row r="958" spans="1:14" x14ac:dyDescent="0.3">
      <c r="A958" s="2">
        <f>DATE(VALUE(RIGHT(TRIM([1]Raw_Data!A956),4)),VALUE(MID(TRIM([1]Raw_Data!A956),4,2)),VALUE(LEFT(TRIM([1]Raw_Data!A956),2)))</f>
        <v>44249</v>
      </c>
      <c r="B958" s="3" t="str">
        <f>TRIM([1]Raw_Data!B956)</f>
        <v>Ashwagandha</v>
      </c>
      <c r="C958" s="3" t="str">
        <f>TRIM([1]Raw_Data!C956)</f>
        <v>Herbal</v>
      </c>
      <c r="D958" s="3">
        <f>[1]Raw_Data!D956</f>
        <v>146</v>
      </c>
      <c r="E958" s="4">
        <f>[1]Raw_Data!E956</f>
        <v>33.369999999999997</v>
      </c>
      <c r="F958" s="5">
        <f>[1]Raw_Data!F956</f>
        <v>4872.0200000000004</v>
      </c>
      <c r="G958" s="4">
        <f>[1]Raw_Data!G956</f>
        <v>7.0000000000000007E-2</v>
      </c>
      <c r="H958" s="3">
        <f>[1]Raw_Data!H956</f>
        <v>4</v>
      </c>
      <c r="I958" s="3" t="str">
        <f>TRIM([1]Raw_Data!I956)</f>
        <v>USA</v>
      </c>
      <c r="J958" s="3" t="str">
        <f>TRIM([1]Raw_Data!J956)</f>
        <v>Walmart</v>
      </c>
      <c r="K958" s="3">
        <f t="shared" si="56"/>
        <v>2021</v>
      </c>
      <c r="L958" s="6">
        <f t="shared" si="57"/>
        <v>44228</v>
      </c>
      <c r="M958" s="3" t="str">
        <f t="shared" si="58"/>
        <v>6% to 10%</v>
      </c>
      <c r="N958" s="3" t="str">
        <f t="shared" si="59"/>
        <v>OK</v>
      </c>
    </row>
    <row r="959" spans="1:14" x14ac:dyDescent="0.3">
      <c r="A959" s="2">
        <f>DATE(VALUE(RIGHT(TRIM([1]Raw_Data!A957),4)),VALUE(MID(TRIM([1]Raw_Data!A957),4,2)),VALUE(LEFT(TRIM([1]Raw_Data!A957),2)))</f>
        <v>44249</v>
      </c>
      <c r="B959" s="3" t="str">
        <f>TRIM([1]Raw_Data!B957)</f>
        <v>Melatonin</v>
      </c>
      <c r="C959" s="3" t="str">
        <f>TRIM([1]Raw_Data!C957)</f>
        <v>Sleep Aid</v>
      </c>
      <c r="D959" s="3">
        <f>[1]Raw_Data!D957</f>
        <v>143</v>
      </c>
      <c r="E959" s="4">
        <f>[1]Raw_Data!E957</f>
        <v>36.340000000000003</v>
      </c>
      <c r="F959" s="5">
        <f>[1]Raw_Data!F957</f>
        <v>5196.62</v>
      </c>
      <c r="G959" s="4">
        <f>[1]Raw_Data!G957</f>
        <v>0.01</v>
      </c>
      <c r="H959" s="3">
        <f>[1]Raw_Data!H957</f>
        <v>0</v>
      </c>
      <c r="I959" s="3" t="str">
        <f>TRIM([1]Raw_Data!I957)</f>
        <v>Canada</v>
      </c>
      <c r="J959" s="3" t="str">
        <f>TRIM([1]Raw_Data!J957)</f>
        <v>iHerb</v>
      </c>
      <c r="K959" s="3">
        <f t="shared" si="56"/>
        <v>2021</v>
      </c>
      <c r="L959" s="6">
        <f t="shared" si="57"/>
        <v>44228</v>
      </c>
      <c r="M959" s="3" t="str">
        <f t="shared" si="58"/>
        <v>0% to 5%</v>
      </c>
      <c r="N959" s="3" t="str">
        <f t="shared" si="59"/>
        <v>OK</v>
      </c>
    </row>
    <row r="960" spans="1:14" x14ac:dyDescent="0.3">
      <c r="A960" s="2">
        <f>DATE(VALUE(RIGHT(TRIM([1]Raw_Data!A958),4)),VALUE(MID(TRIM([1]Raw_Data!A958),4,2)),VALUE(LEFT(TRIM([1]Raw_Data!A958),2)))</f>
        <v>44249</v>
      </c>
      <c r="B960" s="3" t="str">
        <f>TRIM([1]Raw_Data!B958)</f>
        <v>Biotin</v>
      </c>
      <c r="C960" s="3" t="str">
        <f>TRIM([1]Raw_Data!C958)</f>
        <v>Vitamin</v>
      </c>
      <c r="D960" s="3">
        <f>[1]Raw_Data!D958</f>
        <v>139</v>
      </c>
      <c r="E960" s="4">
        <f>[1]Raw_Data!E958</f>
        <v>31.66</v>
      </c>
      <c r="F960" s="5">
        <f>[1]Raw_Data!F958</f>
        <v>4400.74</v>
      </c>
      <c r="G960" s="4">
        <f>[1]Raw_Data!G958</f>
        <v>0.2</v>
      </c>
      <c r="H960" s="3">
        <f>[1]Raw_Data!H958</f>
        <v>2</v>
      </c>
      <c r="I960" s="3" t="str">
        <f>TRIM([1]Raw_Data!I958)</f>
        <v>UK</v>
      </c>
      <c r="J960" s="3" t="str">
        <f>TRIM([1]Raw_Data!J958)</f>
        <v>iHerb</v>
      </c>
      <c r="K960" s="3">
        <f t="shared" si="56"/>
        <v>2021</v>
      </c>
      <c r="L960" s="6">
        <f t="shared" si="57"/>
        <v>44228</v>
      </c>
      <c r="M960" s="3" t="str">
        <f t="shared" si="58"/>
        <v>16% to 20%</v>
      </c>
      <c r="N960" s="3" t="str">
        <f t="shared" si="59"/>
        <v>OK</v>
      </c>
    </row>
    <row r="961" spans="1:14" x14ac:dyDescent="0.3">
      <c r="A961" s="2">
        <f>DATE(VALUE(RIGHT(TRIM([1]Raw_Data!A959),4)),VALUE(MID(TRIM([1]Raw_Data!A959),4,2)),VALUE(LEFT(TRIM([1]Raw_Data!A959),2)))</f>
        <v>44249</v>
      </c>
      <c r="B961" s="3" t="str">
        <f>TRIM([1]Raw_Data!B959)</f>
        <v>Green Tea Extract</v>
      </c>
      <c r="C961" s="3" t="str">
        <f>TRIM([1]Raw_Data!C959)</f>
        <v>Fat Burner</v>
      </c>
      <c r="D961" s="3">
        <f>[1]Raw_Data!D959</f>
        <v>147</v>
      </c>
      <c r="E961" s="4">
        <f>[1]Raw_Data!E959</f>
        <v>25.82</v>
      </c>
      <c r="F961" s="5">
        <f>[1]Raw_Data!F959</f>
        <v>3795.54</v>
      </c>
      <c r="G961" s="4">
        <f>[1]Raw_Data!G959</f>
        <v>0.19</v>
      </c>
      <c r="H961" s="3">
        <f>[1]Raw_Data!H959</f>
        <v>0</v>
      </c>
      <c r="I961" s="3" t="str">
        <f>TRIM([1]Raw_Data!I959)</f>
        <v>UK</v>
      </c>
      <c r="J961" s="3" t="str">
        <f>TRIM([1]Raw_Data!J959)</f>
        <v>Walmart</v>
      </c>
      <c r="K961" s="3">
        <f t="shared" si="56"/>
        <v>2021</v>
      </c>
      <c r="L961" s="6">
        <f t="shared" si="57"/>
        <v>44228</v>
      </c>
      <c r="M961" s="3" t="str">
        <f t="shared" si="58"/>
        <v>16% to 20%</v>
      </c>
      <c r="N961" s="3" t="str">
        <f t="shared" si="59"/>
        <v>OK</v>
      </c>
    </row>
    <row r="962" spans="1:14" x14ac:dyDescent="0.3">
      <c r="A962" s="2">
        <f>DATE(VALUE(RIGHT(TRIM([1]Raw_Data!A960),4)),VALUE(MID(TRIM([1]Raw_Data!A960),4,2)),VALUE(LEFT(TRIM([1]Raw_Data!A960),2)))</f>
        <v>44249</v>
      </c>
      <c r="B962" s="3" t="str">
        <f>TRIM([1]Raw_Data!B960)</f>
        <v>Iron Supplement</v>
      </c>
      <c r="C962" s="3" t="str">
        <f>TRIM([1]Raw_Data!C960)</f>
        <v>Mineral</v>
      </c>
      <c r="D962" s="3">
        <f>[1]Raw_Data!D960</f>
        <v>149</v>
      </c>
      <c r="E962" s="4">
        <f>[1]Raw_Data!E960</f>
        <v>21.78</v>
      </c>
      <c r="F962" s="5">
        <f>[1]Raw_Data!F960</f>
        <v>3245.22</v>
      </c>
      <c r="G962" s="4">
        <f>[1]Raw_Data!G960</f>
        <v>0.23</v>
      </c>
      <c r="H962" s="3">
        <f>[1]Raw_Data!H960</f>
        <v>3</v>
      </c>
      <c r="I962" s="3" t="str">
        <f>TRIM([1]Raw_Data!I960)</f>
        <v>UK</v>
      </c>
      <c r="J962" s="3" t="str">
        <f>TRIM([1]Raw_Data!J960)</f>
        <v>iHerb</v>
      </c>
      <c r="K962" s="3">
        <f t="shared" si="56"/>
        <v>2021</v>
      </c>
      <c r="L962" s="6">
        <f t="shared" si="57"/>
        <v>44228</v>
      </c>
      <c r="M962" s="3" t="str">
        <f t="shared" si="58"/>
        <v>21% to 25%</v>
      </c>
      <c r="N962" s="3" t="str">
        <f t="shared" si="59"/>
        <v>OK</v>
      </c>
    </row>
    <row r="963" spans="1:14" x14ac:dyDescent="0.3">
      <c r="A963" s="2">
        <f>DATE(VALUE(RIGHT(TRIM([1]Raw_Data!A961),4)),VALUE(MID(TRIM([1]Raw_Data!A961),4,2)),VALUE(LEFT(TRIM([1]Raw_Data!A961),2)))</f>
        <v>44249</v>
      </c>
      <c r="B963" s="3" t="str">
        <f>TRIM([1]Raw_Data!B961)</f>
        <v>Electrolyte Powder</v>
      </c>
      <c r="C963" s="3" t="str">
        <f>TRIM([1]Raw_Data!C961)</f>
        <v>Hydration</v>
      </c>
      <c r="D963" s="3">
        <f>[1]Raw_Data!D961</f>
        <v>158</v>
      </c>
      <c r="E963" s="4">
        <f>[1]Raw_Data!E961</f>
        <v>36.020000000000003</v>
      </c>
      <c r="F963" s="5">
        <f>[1]Raw_Data!F961</f>
        <v>5691.16</v>
      </c>
      <c r="G963" s="4">
        <f>[1]Raw_Data!G961</f>
        <v>0.24</v>
      </c>
      <c r="H963" s="3">
        <f>[1]Raw_Data!H961</f>
        <v>4</v>
      </c>
      <c r="I963" s="3" t="str">
        <f>TRIM([1]Raw_Data!I961)</f>
        <v>UK</v>
      </c>
      <c r="J963" s="3" t="str">
        <f>TRIM([1]Raw_Data!J961)</f>
        <v>Amazon</v>
      </c>
      <c r="K963" s="3">
        <f t="shared" si="56"/>
        <v>2021</v>
      </c>
      <c r="L963" s="6">
        <f t="shared" si="57"/>
        <v>44228</v>
      </c>
      <c r="M963" s="3" t="str">
        <f t="shared" si="58"/>
        <v>21% to 25%</v>
      </c>
      <c r="N963" s="3" t="str">
        <f t="shared" si="59"/>
        <v>OK</v>
      </c>
    </row>
    <row r="964" spans="1:14" x14ac:dyDescent="0.3">
      <c r="A964" s="2">
        <f>DATE(VALUE(RIGHT(TRIM([1]Raw_Data!A962),4)),VALUE(MID(TRIM([1]Raw_Data!A962),4,2)),VALUE(LEFT(TRIM([1]Raw_Data!A962),2)))</f>
        <v>44256</v>
      </c>
      <c r="B964" s="3" t="str">
        <f>TRIM([1]Raw_Data!B962)</f>
        <v>Whey Protein</v>
      </c>
      <c r="C964" s="3" t="str">
        <f>TRIM([1]Raw_Data!C962)</f>
        <v>Protein</v>
      </c>
      <c r="D964" s="3">
        <f>[1]Raw_Data!D962</f>
        <v>139</v>
      </c>
      <c r="E964" s="4">
        <f>[1]Raw_Data!E962</f>
        <v>19.86</v>
      </c>
      <c r="F964" s="5">
        <f>[1]Raw_Data!F962</f>
        <v>2760.54</v>
      </c>
      <c r="G964" s="4">
        <f>[1]Raw_Data!G962</f>
        <v>0.05</v>
      </c>
      <c r="H964" s="3">
        <f>[1]Raw_Data!H962</f>
        <v>2</v>
      </c>
      <c r="I964" s="3" t="str">
        <f>TRIM([1]Raw_Data!I962)</f>
        <v>Canada</v>
      </c>
      <c r="J964" s="3" t="str">
        <f>TRIM([1]Raw_Data!J962)</f>
        <v>Walmart</v>
      </c>
      <c r="K964" s="3">
        <f t="shared" ref="K964:K1027" si="60">YEAR(A964)</f>
        <v>2021</v>
      </c>
      <c r="L964" s="6">
        <f t="shared" ref="L964:L1027" si="61">DATE(YEAR(A964),MONTH(A964),1)</f>
        <v>44256</v>
      </c>
      <c r="M964" s="3" t="str">
        <f t="shared" ref="M964:M1027" si="62">IF(ROUND(G964*100,0)&lt;=5,"0% to 5%",IF(ROUND(G964*100,0)&lt;=10,"6% to 10%",IF(ROUND(G964*100,0)&lt;=15,"11% to 15%",IF(ROUND(G964*100,0)&lt;=20,"16% to 20%","21% to 25%"))))</f>
        <v>0% to 5%</v>
      </c>
      <c r="N964" s="3" t="str">
        <f t="shared" ref="N964:N1027" si="63">IF(ROUND(D964*E964,2)=ROUND(F964,2),"OK","Check")</f>
        <v>OK</v>
      </c>
    </row>
    <row r="965" spans="1:14" x14ac:dyDescent="0.3">
      <c r="A965" s="2">
        <f>DATE(VALUE(RIGHT(TRIM([1]Raw_Data!A963),4)),VALUE(MID(TRIM([1]Raw_Data!A963),4,2)),VALUE(LEFT(TRIM([1]Raw_Data!A963),2)))</f>
        <v>44256</v>
      </c>
      <c r="B965" s="3" t="str">
        <f>TRIM([1]Raw_Data!B963)</f>
        <v>Vitamin C</v>
      </c>
      <c r="C965" s="3" t="str">
        <f>TRIM([1]Raw_Data!C963)</f>
        <v>Vitamin</v>
      </c>
      <c r="D965" s="3">
        <f>[1]Raw_Data!D963</f>
        <v>147</v>
      </c>
      <c r="E965" s="4">
        <f>[1]Raw_Data!E963</f>
        <v>14.45</v>
      </c>
      <c r="F965" s="5">
        <f>[1]Raw_Data!F963</f>
        <v>2124.15</v>
      </c>
      <c r="G965" s="4">
        <f>[1]Raw_Data!G963</f>
        <v>0.13</v>
      </c>
      <c r="H965" s="3">
        <f>[1]Raw_Data!H963</f>
        <v>3</v>
      </c>
      <c r="I965" s="3" t="str">
        <f>TRIM([1]Raw_Data!I963)</f>
        <v>USA</v>
      </c>
      <c r="J965" s="3" t="str">
        <f>TRIM([1]Raw_Data!J963)</f>
        <v>iHerb</v>
      </c>
      <c r="K965" s="3">
        <f t="shared" si="60"/>
        <v>2021</v>
      </c>
      <c r="L965" s="6">
        <f t="shared" si="61"/>
        <v>44256</v>
      </c>
      <c r="M965" s="3" t="str">
        <f t="shared" si="62"/>
        <v>11% to 15%</v>
      </c>
      <c r="N965" s="3" t="str">
        <f t="shared" si="63"/>
        <v>OK</v>
      </c>
    </row>
    <row r="966" spans="1:14" x14ac:dyDescent="0.3">
      <c r="A966" s="2">
        <f>DATE(VALUE(RIGHT(TRIM([1]Raw_Data!A964),4)),VALUE(MID(TRIM([1]Raw_Data!A964),4,2)),VALUE(LEFT(TRIM([1]Raw_Data!A964),2)))</f>
        <v>44256</v>
      </c>
      <c r="B966" s="3" t="str">
        <f>TRIM([1]Raw_Data!B964)</f>
        <v>Fish Oil</v>
      </c>
      <c r="C966" s="3" t="str">
        <f>TRIM([1]Raw_Data!C964)</f>
        <v>Omega</v>
      </c>
      <c r="D966" s="3">
        <f>[1]Raw_Data!D964</f>
        <v>169</v>
      </c>
      <c r="E966" s="4">
        <f>[1]Raw_Data!E964</f>
        <v>28.33</v>
      </c>
      <c r="F966" s="5">
        <f>[1]Raw_Data!F964</f>
        <v>4787.7700000000004</v>
      </c>
      <c r="G966" s="4">
        <f>[1]Raw_Data!G964</f>
        <v>0.15</v>
      </c>
      <c r="H966" s="3">
        <f>[1]Raw_Data!H964</f>
        <v>0</v>
      </c>
      <c r="I966" s="3" t="str">
        <f>TRIM([1]Raw_Data!I964)</f>
        <v>UK</v>
      </c>
      <c r="J966" s="3" t="str">
        <f>TRIM([1]Raw_Data!J964)</f>
        <v>Amazon</v>
      </c>
      <c r="K966" s="3">
        <f t="shared" si="60"/>
        <v>2021</v>
      </c>
      <c r="L966" s="6">
        <f t="shared" si="61"/>
        <v>44256</v>
      </c>
      <c r="M966" s="3" t="str">
        <f t="shared" si="62"/>
        <v>11% to 15%</v>
      </c>
      <c r="N966" s="3" t="str">
        <f t="shared" si="63"/>
        <v>OK</v>
      </c>
    </row>
    <row r="967" spans="1:14" x14ac:dyDescent="0.3">
      <c r="A967" s="2">
        <f>DATE(VALUE(RIGHT(TRIM([1]Raw_Data!A965),4)),VALUE(MID(TRIM([1]Raw_Data!A965),4,2)),VALUE(LEFT(TRIM([1]Raw_Data!A965),2)))</f>
        <v>44256</v>
      </c>
      <c r="B967" s="3" t="str">
        <f>TRIM([1]Raw_Data!B965)</f>
        <v>Multivitamin</v>
      </c>
      <c r="C967" s="3" t="str">
        <f>TRIM([1]Raw_Data!C965)</f>
        <v>Vitamin</v>
      </c>
      <c r="D967" s="3">
        <f>[1]Raw_Data!D965</f>
        <v>136</v>
      </c>
      <c r="E967" s="4">
        <f>[1]Raw_Data!E965</f>
        <v>14.27</v>
      </c>
      <c r="F967" s="5">
        <f>[1]Raw_Data!F965</f>
        <v>1940.72</v>
      </c>
      <c r="G967" s="4">
        <f>[1]Raw_Data!G965</f>
        <v>0.23</v>
      </c>
      <c r="H967" s="3">
        <f>[1]Raw_Data!H965</f>
        <v>0</v>
      </c>
      <c r="I967" s="3" t="str">
        <f>TRIM([1]Raw_Data!I965)</f>
        <v>UK</v>
      </c>
      <c r="J967" s="3" t="str">
        <f>TRIM([1]Raw_Data!J965)</f>
        <v>Walmart</v>
      </c>
      <c r="K967" s="3">
        <f t="shared" si="60"/>
        <v>2021</v>
      </c>
      <c r="L967" s="6">
        <f t="shared" si="61"/>
        <v>44256</v>
      </c>
      <c r="M967" s="3" t="str">
        <f t="shared" si="62"/>
        <v>21% to 25%</v>
      </c>
      <c r="N967" s="3" t="str">
        <f t="shared" si="63"/>
        <v>OK</v>
      </c>
    </row>
    <row r="968" spans="1:14" x14ac:dyDescent="0.3">
      <c r="A968" s="2">
        <f>DATE(VALUE(RIGHT(TRIM([1]Raw_Data!A966),4)),VALUE(MID(TRIM([1]Raw_Data!A966),4,2)),VALUE(LEFT(TRIM([1]Raw_Data!A966),2)))</f>
        <v>44256</v>
      </c>
      <c r="B968" s="3" t="str">
        <f>TRIM([1]Raw_Data!B966)</f>
        <v>Pre-Workout</v>
      </c>
      <c r="C968" s="3" t="str">
        <f>TRIM([1]Raw_Data!C966)</f>
        <v>Performance</v>
      </c>
      <c r="D968" s="3">
        <f>[1]Raw_Data!D966</f>
        <v>147</v>
      </c>
      <c r="E968" s="4">
        <f>[1]Raw_Data!E966</f>
        <v>39.950000000000003</v>
      </c>
      <c r="F968" s="5">
        <f>[1]Raw_Data!F966</f>
        <v>5872.65</v>
      </c>
      <c r="G968" s="4">
        <f>[1]Raw_Data!G966</f>
        <v>0.02</v>
      </c>
      <c r="H968" s="3">
        <f>[1]Raw_Data!H966</f>
        <v>0</v>
      </c>
      <c r="I968" s="3" t="str">
        <f>TRIM([1]Raw_Data!I966)</f>
        <v>Canada</v>
      </c>
      <c r="J968" s="3" t="str">
        <f>TRIM([1]Raw_Data!J966)</f>
        <v>iHerb</v>
      </c>
      <c r="K968" s="3">
        <f t="shared" si="60"/>
        <v>2021</v>
      </c>
      <c r="L968" s="6">
        <f t="shared" si="61"/>
        <v>44256</v>
      </c>
      <c r="M968" s="3" t="str">
        <f t="shared" si="62"/>
        <v>0% to 5%</v>
      </c>
      <c r="N968" s="3" t="str">
        <f t="shared" si="63"/>
        <v>OK</v>
      </c>
    </row>
    <row r="969" spans="1:14" x14ac:dyDescent="0.3">
      <c r="A969" s="2">
        <f>DATE(VALUE(RIGHT(TRIM([1]Raw_Data!A967),4)),VALUE(MID(TRIM([1]Raw_Data!A967),4,2)),VALUE(LEFT(TRIM([1]Raw_Data!A967),2)))</f>
        <v>44256</v>
      </c>
      <c r="B969" s="3" t="str">
        <f>TRIM([1]Raw_Data!B967)</f>
        <v>BCAA</v>
      </c>
      <c r="C969" s="3" t="str">
        <f>TRIM([1]Raw_Data!C967)</f>
        <v>Amino Acid</v>
      </c>
      <c r="D969" s="3">
        <f>[1]Raw_Data!D967</f>
        <v>173</v>
      </c>
      <c r="E969" s="4">
        <f>[1]Raw_Data!E967</f>
        <v>49.06</v>
      </c>
      <c r="F969" s="5">
        <f>[1]Raw_Data!F967</f>
        <v>8487.3799999999992</v>
      </c>
      <c r="G969" s="4">
        <f>[1]Raw_Data!G967</f>
        <v>0</v>
      </c>
      <c r="H969" s="3">
        <f>[1]Raw_Data!H967</f>
        <v>1</v>
      </c>
      <c r="I969" s="3" t="str">
        <f>TRIM([1]Raw_Data!I967)</f>
        <v>UK</v>
      </c>
      <c r="J969" s="3" t="str">
        <f>TRIM([1]Raw_Data!J967)</f>
        <v>Walmart</v>
      </c>
      <c r="K969" s="3">
        <f t="shared" si="60"/>
        <v>2021</v>
      </c>
      <c r="L969" s="6">
        <f t="shared" si="61"/>
        <v>44256</v>
      </c>
      <c r="M969" s="3" t="str">
        <f t="shared" si="62"/>
        <v>0% to 5%</v>
      </c>
      <c r="N969" s="3" t="str">
        <f t="shared" si="63"/>
        <v>OK</v>
      </c>
    </row>
    <row r="970" spans="1:14" x14ac:dyDescent="0.3">
      <c r="A970" s="2">
        <f>DATE(VALUE(RIGHT(TRIM([1]Raw_Data!A968),4)),VALUE(MID(TRIM([1]Raw_Data!A968),4,2)),VALUE(LEFT(TRIM([1]Raw_Data!A968),2)))</f>
        <v>44256</v>
      </c>
      <c r="B970" s="3" t="str">
        <f>TRIM([1]Raw_Data!B968)</f>
        <v>Creatine</v>
      </c>
      <c r="C970" s="3" t="str">
        <f>TRIM([1]Raw_Data!C968)</f>
        <v>Performance</v>
      </c>
      <c r="D970" s="3">
        <f>[1]Raw_Data!D968</f>
        <v>155</v>
      </c>
      <c r="E970" s="4">
        <f>[1]Raw_Data!E968</f>
        <v>55.48</v>
      </c>
      <c r="F970" s="5">
        <f>[1]Raw_Data!F968</f>
        <v>8599.4</v>
      </c>
      <c r="G970" s="4">
        <f>[1]Raw_Data!G968</f>
        <v>0.16</v>
      </c>
      <c r="H970" s="3">
        <f>[1]Raw_Data!H968</f>
        <v>0</v>
      </c>
      <c r="I970" s="3" t="str">
        <f>TRIM([1]Raw_Data!I968)</f>
        <v>Canada</v>
      </c>
      <c r="J970" s="3" t="str">
        <f>TRIM([1]Raw_Data!J968)</f>
        <v>iHerb</v>
      </c>
      <c r="K970" s="3">
        <f t="shared" si="60"/>
        <v>2021</v>
      </c>
      <c r="L970" s="6">
        <f t="shared" si="61"/>
        <v>44256</v>
      </c>
      <c r="M970" s="3" t="str">
        <f t="shared" si="62"/>
        <v>16% to 20%</v>
      </c>
      <c r="N970" s="3" t="str">
        <f t="shared" si="63"/>
        <v>OK</v>
      </c>
    </row>
    <row r="971" spans="1:14" x14ac:dyDescent="0.3">
      <c r="A971" s="2">
        <f>DATE(VALUE(RIGHT(TRIM([1]Raw_Data!A969),4)),VALUE(MID(TRIM([1]Raw_Data!A969),4,2)),VALUE(LEFT(TRIM([1]Raw_Data!A969),2)))</f>
        <v>44256</v>
      </c>
      <c r="B971" s="3" t="str">
        <f>TRIM([1]Raw_Data!B969)</f>
        <v>Zinc</v>
      </c>
      <c r="C971" s="3" t="str">
        <f>TRIM([1]Raw_Data!C969)</f>
        <v>Mineral</v>
      </c>
      <c r="D971" s="3">
        <f>[1]Raw_Data!D969</f>
        <v>128</v>
      </c>
      <c r="E971" s="4">
        <f>[1]Raw_Data!E969</f>
        <v>25.17</v>
      </c>
      <c r="F971" s="5">
        <f>[1]Raw_Data!F969</f>
        <v>3221.76</v>
      </c>
      <c r="G971" s="4">
        <f>[1]Raw_Data!G969</f>
        <v>0.1</v>
      </c>
      <c r="H971" s="3">
        <f>[1]Raw_Data!H969</f>
        <v>0</v>
      </c>
      <c r="I971" s="3" t="str">
        <f>TRIM([1]Raw_Data!I969)</f>
        <v>UK</v>
      </c>
      <c r="J971" s="3" t="str">
        <f>TRIM([1]Raw_Data!J969)</f>
        <v>Walmart</v>
      </c>
      <c r="K971" s="3">
        <f t="shared" si="60"/>
        <v>2021</v>
      </c>
      <c r="L971" s="6">
        <f t="shared" si="61"/>
        <v>44256</v>
      </c>
      <c r="M971" s="3" t="str">
        <f t="shared" si="62"/>
        <v>6% to 10%</v>
      </c>
      <c r="N971" s="3" t="str">
        <f t="shared" si="63"/>
        <v>OK</v>
      </c>
    </row>
    <row r="972" spans="1:14" x14ac:dyDescent="0.3">
      <c r="A972" s="2">
        <f>DATE(VALUE(RIGHT(TRIM([1]Raw_Data!A970),4)),VALUE(MID(TRIM([1]Raw_Data!A970),4,2)),VALUE(LEFT(TRIM([1]Raw_Data!A970),2)))</f>
        <v>44256</v>
      </c>
      <c r="B972" s="3" t="str">
        <f>TRIM([1]Raw_Data!B970)</f>
        <v>Collagen Peptides</v>
      </c>
      <c r="C972" s="3" t="str">
        <f>TRIM([1]Raw_Data!C970)</f>
        <v>Protein</v>
      </c>
      <c r="D972" s="3">
        <f>[1]Raw_Data!D970</f>
        <v>153</v>
      </c>
      <c r="E972" s="4">
        <f>[1]Raw_Data!E970</f>
        <v>35.15</v>
      </c>
      <c r="F972" s="5">
        <f>[1]Raw_Data!F970</f>
        <v>5377.95</v>
      </c>
      <c r="G972" s="4">
        <f>[1]Raw_Data!G970</f>
        <v>0.02</v>
      </c>
      <c r="H972" s="3">
        <f>[1]Raw_Data!H970</f>
        <v>2</v>
      </c>
      <c r="I972" s="3" t="str">
        <f>TRIM([1]Raw_Data!I970)</f>
        <v>USA</v>
      </c>
      <c r="J972" s="3" t="str">
        <f>TRIM([1]Raw_Data!J970)</f>
        <v>Amazon</v>
      </c>
      <c r="K972" s="3">
        <f t="shared" si="60"/>
        <v>2021</v>
      </c>
      <c r="L972" s="6">
        <f t="shared" si="61"/>
        <v>44256</v>
      </c>
      <c r="M972" s="3" t="str">
        <f t="shared" si="62"/>
        <v>0% to 5%</v>
      </c>
      <c r="N972" s="3" t="str">
        <f t="shared" si="63"/>
        <v>OK</v>
      </c>
    </row>
    <row r="973" spans="1:14" x14ac:dyDescent="0.3">
      <c r="A973" s="2">
        <f>DATE(VALUE(RIGHT(TRIM([1]Raw_Data!A971),4)),VALUE(MID(TRIM([1]Raw_Data!A971),4,2)),VALUE(LEFT(TRIM([1]Raw_Data!A971),2)))</f>
        <v>44256</v>
      </c>
      <c r="B973" s="3" t="str">
        <f>TRIM([1]Raw_Data!B971)</f>
        <v>Magnesium</v>
      </c>
      <c r="C973" s="3" t="str">
        <f>TRIM([1]Raw_Data!C971)</f>
        <v>Mineral</v>
      </c>
      <c r="D973" s="3">
        <f>[1]Raw_Data!D971</f>
        <v>144</v>
      </c>
      <c r="E973" s="4">
        <f>[1]Raw_Data!E971</f>
        <v>31.73</v>
      </c>
      <c r="F973" s="5">
        <f>[1]Raw_Data!F971</f>
        <v>4569.12</v>
      </c>
      <c r="G973" s="4">
        <f>[1]Raw_Data!G971</f>
        <v>0.05</v>
      </c>
      <c r="H973" s="3">
        <f>[1]Raw_Data!H971</f>
        <v>0</v>
      </c>
      <c r="I973" s="3" t="str">
        <f>TRIM([1]Raw_Data!I971)</f>
        <v>Canada</v>
      </c>
      <c r="J973" s="3" t="str">
        <f>TRIM([1]Raw_Data!J971)</f>
        <v>Walmart</v>
      </c>
      <c r="K973" s="3">
        <f t="shared" si="60"/>
        <v>2021</v>
      </c>
      <c r="L973" s="6">
        <f t="shared" si="61"/>
        <v>44256</v>
      </c>
      <c r="M973" s="3" t="str">
        <f t="shared" si="62"/>
        <v>0% to 5%</v>
      </c>
      <c r="N973" s="3" t="str">
        <f t="shared" si="63"/>
        <v>OK</v>
      </c>
    </row>
    <row r="974" spans="1:14" x14ac:dyDescent="0.3">
      <c r="A974" s="2">
        <f>DATE(VALUE(RIGHT(TRIM([1]Raw_Data!A972),4)),VALUE(MID(TRIM([1]Raw_Data!A972),4,2)),VALUE(LEFT(TRIM([1]Raw_Data!A972),2)))</f>
        <v>44256</v>
      </c>
      <c r="B974" s="3" t="str">
        <f>TRIM([1]Raw_Data!B972)</f>
        <v>Ashwagandha</v>
      </c>
      <c r="C974" s="3" t="str">
        <f>TRIM([1]Raw_Data!C972)</f>
        <v>Herbal</v>
      </c>
      <c r="D974" s="3">
        <f>[1]Raw_Data!D972</f>
        <v>160</v>
      </c>
      <c r="E974" s="4">
        <f>[1]Raw_Data!E972</f>
        <v>48.36</v>
      </c>
      <c r="F974" s="5">
        <f>[1]Raw_Data!F972</f>
        <v>7737.6</v>
      </c>
      <c r="G974" s="4">
        <f>[1]Raw_Data!G972</f>
        <v>0.05</v>
      </c>
      <c r="H974" s="3">
        <f>[1]Raw_Data!H972</f>
        <v>1</v>
      </c>
      <c r="I974" s="3" t="str">
        <f>TRIM([1]Raw_Data!I972)</f>
        <v>UK</v>
      </c>
      <c r="J974" s="3" t="str">
        <f>TRIM([1]Raw_Data!J972)</f>
        <v>Walmart</v>
      </c>
      <c r="K974" s="3">
        <f t="shared" si="60"/>
        <v>2021</v>
      </c>
      <c r="L974" s="6">
        <f t="shared" si="61"/>
        <v>44256</v>
      </c>
      <c r="M974" s="3" t="str">
        <f t="shared" si="62"/>
        <v>0% to 5%</v>
      </c>
      <c r="N974" s="3" t="str">
        <f t="shared" si="63"/>
        <v>OK</v>
      </c>
    </row>
    <row r="975" spans="1:14" x14ac:dyDescent="0.3">
      <c r="A975" s="2">
        <f>DATE(VALUE(RIGHT(TRIM([1]Raw_Data!A973),4)),VALUE(MID(TRIM([1]Raw_Data!A973),4,2)),VALUE(LEFT(TRIM([1]Raw_Data!A973),2)))</f>
        <v>44256</v>
      </c>
      <c r="B975" s="3" t="str">
        <f>TRIM([1]Raw_Data!B973)</f>
        <v>Melatonin</v>
      </c>
      <c r="C975" s="3" t="str">
        <f>TRIM([1]Raw_Data!C973)</f>
        <v>Sleep Aid</v>
      </c>
      <c r="D975" s="3">
        <f>[1]Raw_Data!D973</f>
        <v>149</v>
      </c>
      <c r="E975" s="4">
        <f>[1]Raw_Data!E973</f>
        <v>56.59</v>
      </c>
      <c r="F975" s="5">
        <f>[1]Raw_Data!F973</f>
        <v>8431.91</v>
      </c>
      <c r="G975" s="4">
        <f>[1]Raw_Data!G973</f>
        <v>0.05</v>
      </c>
      <c r="H975" s="3">
        <f>[1]Raw_Data!H973</f>
        <v>1</v>
      </c>
      <c r="I975" s="3" t="str">
        <f>TRIM([1]Raw_Data!I973)</f>
        <v>UK</v>
      </c>
      <c r="J975" s="3" t="str">
        <f>TRIM([1]Raw_Data!J973)</f>
        <v>Amazon</v>
      </c>
      <c r="K975" s="3">
        <f t="shared" si="60"/>
        <v>2021</v>
      </c>
      <c r="L975" s="6">
        <f t="shared" si="61"/>
        <v>44256</v>
      </c>
      <c r="M975" s="3" t="str">
        <f t="shared" si="62"/>
        <v>0% to 5%</v>
      </c>
      <c r="N975" s="3" t="str">
        <f t="shared" si="63"/>
        <v>OK</v>
      </c>
    </row>
    <row r="976" spans="1:14" x14ac:dyDescent="0.3">
      <c r="A976" s="2">
        <f>DATE(VALUE(RIGHT(TRIM([1]Raw_Data!A974),4)),VALUE(MID(TRIM([1]Raw_Data!A974),4,2)),VALUE(LEFT(TRIM([1]Raw_Data!A974),2)))</f>
        <v>44256</v>
      </c>
      <c r="B976" s="3" t="str">
        <f>TRIM([1]Raw_Data!B974)</f>
        <v>Biotin</v>
      </c>
      <c r="C976" s="3" t="str">
        <f>TRIM([1]Raw_Data!C974)</f>
        <v>Vitamin</v>
      </c>
      <c r="D976" s="3">
        <f>[1]Raw_Data!D974</f>
        <v>135</v>
      </c>
      <c r="E976" s="4">
        <f>[1]Raw_Data!E974</f>
        <v>33.03</v>
      </c>
      <c r="F976" s="5">
        <f>[1]Raw_Data!F974</f>
        <v>4459.05</v>
      </c>
      <c r="G976" s="4">
        <f>[1]Raw_Data!G974</f>
        <v>0.23</v>
      </c>
      <c r="H976" s="3">
        <f>[1]Raw_Data!H974</f>
        <v>3</v>
      </c>
      <c r="I976" s="3" t="str">
        <f>TRIM([1]Raw_Data!I974)</f>
        <v>Canada</v>
      </c>
      <c r="J976" s="3" t="str">
        <f>TRIM([1]Raw_Data!J974)</f>
        <v>Amazon</v>
      </c>
      <c r="K976" s="3">
        <f t="shared" si="60"/>
        <v>2021</v>
      </c>
      <c r="L976" s="6">
        <f t="shared" si="61"/>
        <v>44256</v>
      </c>
      <c r="M976" s="3" t="str">
        <f t="shared" si="62"/>
        <v>21% to 25%</v>
      </c>
      <c r="N976" s="3" t="str">
        <f t="shared" si="63"/>
        <v>OK</v>
      </c>
    </row>
    <row r="977" spans="1:14" x14ac:dyDescent="0.3">
      <c r="A977" s="2">
        <f>DATE(VALUE(RIGHT(TRIM([1]Raw_Data!A975),4)),VALUE(MID(TRIM([1]Raw_Data!A975),4,2)),VALUE(LEFT(TRIM([1]Raw_Data!A975),2)))</f>
        <v>44256</v>
      </c>
      <c r="B977" s="3" t="str">
        <f>TRIM([1]Raw_Data!B975)</f>
        <v>Green Tea Extract</v>
      </c>
      <c r="C977" s="3" t="str">
        <f>TRIM([1]Raw_Data!C975)</f>
        <v>Fat Burner</v>
      </c>
      <c r="D977" s="3">
        <f>[1]Raw_Data!D975</f>
        <v>146</v>
      </c>
      <c r="E977" s="4">
        <f>[1]Raw_Data!E975</f>
        <v>54.81</v>
      </c>
      <c r="F977" s="5">
        <f>[1]Raw_Data!F975</f>
        <v>8002.26</v>
      </c>
      <c r="G977" s="4">
        <f>[1]Raw_Data!G975</f>
        <v>0.2</v>
      </c>
      <c r="H977" s="3">
        <f>[1]Raw_Data!H975</f>
        <v>0</v>
      </c>
      <c r="I977" s="3" t="str">
        <f>TRIM([1]Raw_Data!I975)</f>
        <v>USA</v>
      </c>
      <c r="J977" s="3" t="str">
        <f>TRIM([1]Raw_Data!J975)</f>
        <v>Walmart</v>
      </c>
      <c r="K977" s="3">
        <f t="shared" si="60"/>
        <v>2021</v>
      </c>
      <c r="L977" s="6">
        <f t="shared" si="61"/>
        <v>44256</v>
      </c>
      <c r="M977" s="3" t="str">
        <f t="shared" si="62"/>
        <v>16% to 20%</v>
      </c>
      <c r="N977" s="3" t="str">
        <f t="shared" si="63"/>
        <v>OK</v>
      </c>
    </row>
    <row r="978" spans="1:14" x14ac:dyDescent="0.3">
      <c r="A978" s="2">
        <f>DATE(VALUE(RIGHT(TRIM([1]Raw_Data!A976),4)),VALUE(MID(TRIM([1]Raw_Data!A976),4,2)),VALUE(LEFT(TRIM([1]Raw_Data!A976),2)))</f>
        <v>44256</v>
      </c>
      <c r="B978" s="3" t="str">
        <f>TRIM([1]Raw_Data!B976)</f>
        <v>Iron Supplement</v>
      </c>
      <c r="C978" s="3" t="str">
        <f>TRIM([1]Raw_Data!C976)</f>
        <v>Mineral</v>
      </c>
      <c r="D978" s="3">
        <f>[1]Raw_Data!D976</f>
        <v>143</v>
      </c>
      <c r="E978" s="4">
        <f>[1]Raw_Data!E976</f>
        <v>21.49</v>
      </c>
      <c r="F978" s="5">
        <f>[1]Raw_Data!F976</f>
        <v>3073.07</v>
      </c>
      <c r="G978" s="4">
        <f>[1]Raw_Data!G976</f>
        <v>0.05</v>
      </c>
      <c r="H978" s="3">
        <f>[1]Raw_Data!H976</f>
        <v>0</v>
      </c>
      <c r="I978" s="3" t="str">
        <f>TRIM([1]Raw_Data!I976)</f>
        <v>UK</v>
      </c>
      <c r="J978" s="3" t="str">
        <f>TRIM([1]Raw_Data!J976)</f>
        <v>Walmart</v>
      </c>
      <c r="K978" s="3">
        <f t="shared" si="60"/>
        <v>2021</v>
      </c>
      <c r="L978" s="6">
        <f t="shared" si="61"/>
        <v>44256</v>
      </c>
      <c r="M978" s="3" t="str">
        <f t="shared" si="62"/>
        <v>0% to 5%</v>
      </c>
      <c r="N978" s="3" t="str">
        <f t="shared" si="63"/>
        <v>OK</v>
      </c>
    </row>
    <row r="979" spans="1:14" x14ac:dyDescent="0.3">
      <c r="A979" s="2">
        <f>DATE(VALUE(RIGHT(TRIM([1]Raw_Data!A977),4)),VALUE(MID(TRIM([1]Raw_Data!A977),4,2)),VALUE(LEFT(TRIM([1]Raw_Data!A977),2)))</f>
        <v>44256</v>
      </c>
      <c r="B979" s="3" t="str">
        <f>TRIM([1]Raw_Data!B977)</f>
        <v>Electrolyte Powder</v>
      </c>
      <c r="C979" s="3" t="str">
        <f>TRIM([1]Raw_Data!C977)</f>
        <v>Hydration</v>
      </c>
      <c r="D979" s="3">
        <f>[1]Raw_Data!D977</f>
        <v>155</v>
      </c>
      <c r="E979" s="4">
        <f>[1]Raw_Data!E977</f>
        <v>12.62</v>
      </c>
      <c r="F979" s="5">
        <f>[1]Raw_Data!F977</f>
        <v>1956.1</v>
      </c>
      <c r="G979" s="4">
        <f>[1]Raw_Data!G977</f>
        <v>0.06</v>
      </c>
      <c r="H979" s="3">
        <f>[1]Raw_Data!H977</f>
        <v>3</v>
      </c>
      <c r="I979" s="3" t="str">
        <f>TRIM([1]Raw_Data!I977)</f>
        <v>Canada</v>
      </c>
      <c r="J979" s="3" t="str">
        <f>TRIM([1]Raw_Data!J977)</f>
        <v>Walmart</v>
      </c>
      <c r="K979" s="3">
        <f t="shared" si="60"/>
        <v>2021</v>
      </c>
      <c r="L979" s="6">
        <f t="shared" si="61"/>
        <v>44256</v>
      </c>
      <c r="M979" s="3" t="str">
        <f t="shared" si="62"/>
        <v>6% to 10%</v>
      </c>
      <c r="N979" s="3" t="str">
        <f t="shared" si="63"/>
        <v>OK</v>
      </c>
    </row>
    <row r="980" spans="1:14" x14ac:dyDescent="0.3">
      <c r="A980" s="2">
        <f>DATE(VALUE(RIGHT(TRIM([1]Raw_Data!A978),4)),VALUE(MID(TRIM([1]Raw_Data!A978),4,2)),VALUE(LEFT(TRIM([1]Raw_Data!A978),2)))</f>
        <v>44263</v>
      </c>
      <c r="B980" s="3" t="str">
        <f>TRIM([1]Raw_Data!B978)</f>
        <v>Whey Protein</v>
      </c>
      <c r="C980" s="3" t="str">
        <f>TRIM([1]Raw_Data!C978)</f>
        <v>Protein</v>
      </c>
      <c r="D980" s="3">
        <f>[1]Raw_Data!D978</f>
        <v>165</v>
      </c>
      <c r="E980" s="4">
        <f>[1]Raw_Data!E978</f>
        <v>30.8</v>
      </c>
      <c r="F980" s="5">
        <f>[1]Raw_Data!F978</f>
        <v>5082</v>
      </c>
      <c r="G980" s="4">
        <f>[1]Raw_Data!G978</f>
        <v>0.24</v>
      </c>
      <c r="H980" s="3">
        <f>[1]Raw_Data!H978</f>
        <v>1</v>
      </c>
      <c r="I980" s="3" t="str">
        <f>TRIM([1]Raw_Data!I978)</f>
        <v>UK</v>
      </c>
      <c r="J980" s="3" t="str">
        <f>TRIM([1]Raw_Data!J978)</f>
        <v>Amazon</v>
      </c>
      <c r="K980" s="3">
        <f t="shared" si="60"/>
        <v>2021</v>
      </c>
      <c r="L980" s="6">
        <f t="shared" si="61"/>
        <v>44256</v>
      </c>
      <c r="M980" s="3" t="str">
        <f t="shared" si="62"/>
        <v>21% to 25%</v>
      </c>
      <c r="N980" s="3" t="str">
        <f t="shared" si="63"/>
        <v>OK</v>
      </c>
    </row>
    <row r="981" spans="1:14" x14ac:dyDescent="0.3">
      <c r="A981" s="2">
        <f>DATE(VALUE(RIGHT(TRIM([1]Raw_Data!A979),4)),VALUE(MID(TRIM([1]Raw_Data!A979),4,2)),VALUE(LEFT(TRIM([1]Raw_Data!A979),2)))</f>
        <v>44263</v>
      </c>
      <c r="B981" s="3" t="str">
        <f>TRIM([1]Raw_Data!B979)</f>
        <v>Vitamin C</v>
      </c>
      <c r="C981" s="3" t="str">
        <f>TRIM([1]Raw_Data!C979)</f>
        <v>Vitamin</v>
      </c>
      <c r="D981" s="3">
        <f>[1]Raw_Data!D979</f>
        <v>139</v>
      </c>
      <c r="E981" s="4">
        <f>[1]Raw_Data!E979</f>
        <v>18.64</v>
      </c>
      <c r="F981" s="5">
        <f>[1]Raw_Data!F979</f>
        <v>2590.96</v>
      </c>
      <c r="G981" s="4">
        <f>[1]Raw_Data!G979</f>
        <v>0.09</v>
      </c>
      <c r="H981" s="3">
        <f>[1]Raw_Data!H979</f>
        <v>3</v>
      </c>
      <c r="I981" s="3" t="str">
        <f>TRIM([1]Raw_Data!I979)</f>
        <v>USA</v>
      </c>
      <c r="J981" s="3" t="str">
        <f>TRIM([1]Raw_Data!J979)</f>
        <v>Amazon</v>
      </c>
      <c r="K981" s="3">
        <f t="shared" si="60"/>
        <v>2021</v>
      </c>
      <c r="L981" s="6">
        <f t="shared" si="61"/>
        <v>44256</v>
      </c>
      <c r="M981" s="3" t="str">
        <f t="shared" si="62"/>
        <v>6% to 10%</v>
      </c>
      <c r="N981" s="3" t="str">
        <f t="shared" si="63"/>
        <v>OK</v>
      </c>
    </row>
    <row r="982" spans="1:14" x14ac:dyDescent="0.3">
      <c r="A982" s="2">
        <f>DATE(VALUE(RIGHT(TRIM([1]Raw_Data!A980),4)),VALUE(MID(TRIM([1]Raw_Data!A980),4,2)),VALUE(LEFT(TRIM([1]Raw_Data!A980),2)))</f>
        <v>44263</v>
      </c>
      <c r="B982" s="3" t="str">
        <f>TRIM([1]Raw_Data!B980)</f>
        <v>Fish Oil</v>
      </c>
      <c r="C982" s="3" t="str">
        <f>TRIM([1]Raw_Data!C980)</f>
        <v>Omega</v>
      </c>
      <c r="D982" s="3">
        <f>[1]Raw_Data!D980</f>
        <v>154</v>
      </c>
      <c r="E982" s="4">
        <f>[1]Raw_Data!E980</f>
        <v>56.72</v>
      </c>
      <c r="F982" s="5">
        <f>[1]Raw_Data!F980</f>
        <v>8734.8799999999992</v>
      </c>
      <c r="G982" s="4">
        <f>[1]Raw_Data!G980</f>
        <v>0.01</v>
      </c>
      <c r="H982" s="3">
        <f>[1]Raw_Data!H980</f>
        <v>0</v>
      </c>
      <c r="I982" s="3" t="str">
        <f>TRIM([1]Raw_Data!I980)</f>
        <v>UK</v>
      </c>
      <c r="J982" s="3" t="str">
        <f>TRIM([1]Raw_Data!J980)</f>
        <v>iHerb</v>
      </c>
      <c r="K982" s="3">
        <f t="shared" si="60"/>
        <v>2021</v>
      </c>
      <c r="L982" s="6">
        <f t="shared" si="61"/>
        <v>44256</v>
      </c>
      <c r="M982" s="3" t="str">
        <f t="shared" si="62"/>
        <v>0% to 5%</v>
      </c>
      <c r="N982" s="3" t="str">
        <f t="shared" si="63"/>
        <v>OK</v>
      </c>
    </row>
    <row r="983" spans="1:14" x14ac:dyDescent="0.3">
      <c r="A983" s="2">
        <f>DATE(VALUE(RIGHT(TRIM([1]Raw_Data!A981),4)),VALUE(MID(TRIM([1]Raw_Data!A981),4,2)),VALUE(LEFT(TRIM([1]Raw_Data!A981),2)))</f>
        <v>44263</v>
      </c>
      <c r="B983" s="3" t="str">
        <f>TRIM([1]Raw_Data!B981)</f>
        <v>Multivitamin</v>
      </c>
      <c r="C983" s="3" t="str">
        <f>TRIM([1]Raw_Data!C981)</f>
        <v>Vitamin</v>
      </c>
      <c r="D983" s="3">
        <f>[1]Raw_Data!D981</f>
        <v>152</v>
      </c>
      <c r="E983" s="4">
        <f>[1]Raw_Data!E981</f>
        <v>11.98</v>
      </c>
      <c r="F983" s="5">
        <f>[1]Raw_Data!F981</f>
        <v>1820.96</v>
      </c>
      <c r="G983" s="4">
        <f>[1]Raw_Data!G981</f>
        <v>0.1</v>
      </c>
      <c r="H983" s="3">
        <f>[1]Raw_Data!H981</f>
        <v>2</v>
      </c>
      <c r="I983" s="3" t="str">
        <f>TRIM([1]Raw_Data!I981)</f>
        <v>UK</v>
      </c>
      <c r="J983" s="3" t="str">
        <f>TRIM([1]Raw_Data!J981)</f>
        <v>Walmart</v>
      </c>
      <c r="K983" s="3">
        <f t="shared" si="60"/>
        <v>2021</v>
      </c>
      <c r="L983" s="6">
        <f t="shared" si="61"/>
        <v>44256</v>
      </c>
      <c r="M983" s="3" t="str">
        <f t="shared" si="62"/>
        <v>6% to 10%</v>
      </c>
      <c r="N983" s="3" t="str">
        <f t="shared" si="63"/>
        <v>OK</v>
      </c>
    </row>
    <row r="984" spans="1:14" x14ac:dyDescent="0.3">
      <c r="A984" s="2">
        <f>DATE(VALUE(RIGHT(TRIM([1]Raw_Data!A982),4)),VALUE(MID(TRIM([1]Raw_Data!A982),4,2)),VALUE(LEFT(TRIM([1]Raw_Data!A982),2)))</f>
        <v>44263</v>
      </c>
      <c r="B984" s="3" t="str">
        <f>TRIM([1]Raw_Data!B982)</f>
        <v>Pre-Workout</v>
      </c>
      <c r="C984" s="3" t="str">
        <f>TRIM([1]Raw_Data!C982)</f>
        <v>Performance</v>
      </c>
      <c r="D984" s="3">
        <f>[1]Raw_Data!D982</f>
        <v>157</v>
      </c>
      <c r="E984" s="4">
        <f>[1]Raw_Data!E982</f>
        <v>26.03</v>
      </c>
      <c r="F984" s="5">
        <f>[1]Raw_Data!F982</f>
        <v>4086.71</v>
      </c>
      <c r="G984" s="4">
        <f>[1]Raw_Data!G982</f>
        <v>0.02</v>
      </c>
      <c r="H984" s="3">
        <f>[1]Raw_Data!H982</f>
        <v>1</v>
      </c>
      <c r="I984" s="3" t="str">
        <f>TRIM([1]Raw_Data!I982)</f>
        <v>USA</v>
      </c>
      <c r="J984" s="3" t="str">
        <f>TRIM([1]Raw_Data!J982)</f>
        <v>iHerb</v>
      </c>
      <c r="K984" s="3">
        <f t="shared" si="60"/>
        <v>2021</v>
      </c>
      <c r="L984" s="6">
        <f t="shared" si="61"/>
        <v>44256</v>
      </c>
      <c r="M984" s="3" t="str">
        <f t="shared" si="62"/>
        <v>0% to 5%</v>
      </c>
      <c r="N984" s="3" t="str">
        <f t="shared" si="63"/>
        <v>OK</v>
      </c>
    </row>
    <row r="985" spans="1:14" x14ac:dyDescent="0.3">
      <c r="A985" s="2">
        <f>DATE(VALUE(RIGHT(TRIM([1]Raw_Data!A983),4)),VALUE(MID(TRIM([1]Raw_Data!A983),4,2)),VALUE(LEFT(TRIM([1]Raw_Data!A983),2)))</f>
        <v>44263</v>
      </c>
      <c r="B985" s="3" t="str">
        <f>TRIM([1]Raw_Data!B983)</f>
        <v>BCAA</v>
      </c>
      <c r="C985" s="3" t="str">
        <f>TRIM([1]Raw_Data!C983)</f>
        <v>Amino Acid</v>
      </c>
      <c r="D985" s="3">
        <f>[1]Raw_Data!D983</f>
        <v>149</v>
      </c>
      <c r="E985" s="4">
        <f>[1]Raw_Data!E983</f>
        <v>48.32</v>
      </c>
      <c r="F985" s="5">
        <f>[1]Raw_Data!F983</f>
        <v>7199.68</v>
      </c>
      <c r="G985" s="4">
        <f>[1]Raw_Data!G983</f>
        <v>0.12</v>
      </c>
      <c r="H985" s="3">
        <f>[1]Raw_Data!H983</f>
        <v>1</v>
      </c>
      <c r="I985" s="3" t="str">
        <f>TRIM([1]Raw_Data!I983)</f>
        <v>UK</v>
      </c>
      <c r="J985" s="3" t="str">
        <f>TRIM([1]Raw_Data!J983)</f>
        <v>Amazon</v>
      </c>
      <c r="K985" s="3">
        <f t="shared" si="60"/>
        <v>2021</v>
      </c>
      <c r="L985" s="6">
        <f t="shared" si="61"/>
        <v>44256</v>
      </c>
      <c r="M985" s="3" t="str">
        <f t="shared" si="62"/>
        <v>11% to 15%</v>
      </c>
      <c r="N985" s="3" t="str">
        <f t="shared" si="63"/>
        <v>OK</v>
      </c>
    </row>
    <row r="986" spans="1:14" x14ac:dyDescent="0.3">
      <c r="A986" s="2">
        <f>DATE(VALUE(RIGHT(TRIM([1]Raw_Data!A984),4)),VALUE(MID(TRIM([1]Raw_Data!A984),4,2)),VALUE(LEFT(TRIM([1]Raw_Data!A984),2)))</f>
        <v>44263</v>
      </c>
      <c r="B986" s="3" t="str">
        <f>TRIM([1]Raw_Data!B984)</f>
        <v>Creatine</v>
      </c>
      <c r="C986" s="3" t="str">
        <f>TRIM([1]Raw_Data!C984)</f>
        <v>Performance</v>
      </c>
      <c r="D986" s="3">
        <f>[1]Raw_Data!D984</f>
        <v>162</v>
      </c>
      <c r="E986" s="4">
        <f>[1]Raw_Data!E984</f>
        <v>43.65</v>
      </c>
      <c r="F986" s="5">
        <f>[1]Raw_Data!F984</f>
        <v>7071.3</v>
      </c>
      <c r="G986" s="4">
        <f>[1]Raw_Data!G984</f>
        <v>0.01</v>
      </c>
      <c r="H986" s="3">
        <f>[1]Raw_Data!H984</f>
        <v>2</v>
      </c>
      <c r="I986" s="3" t="str">
        <f>TRIM([1]Raw_Data!I984)</f>
        <v>UK</v>
      </c>
      <c r="J986" s="3" t="str">
        <f>TRIM([1]Raw_Data!J984)</f>
        <v>Walmart</v>
      </c>
      <c r="K986" s="3">
        <f t="shared" si="60"/>
        <v>2021</v>
      </c>
      <c r="L986" s="6">
        <f t="shared" si="61"/>
        <v>44256</v>
      </c>
      <c r="M986" s="3" t="str">
        <f t="shared" si="62"/>
        <v>0% to 5%</v>
      </c>
      <c r="N986" s="3" t="str">
        <f t="shared" si="63"/>
        <v>OK</v>
      </c>
    </row>
    <row r="987" spans="1:14" x14ac:dyDescent="0.3">
      <c r="A987" s="2">
        <f>DATE(VALUE(RIGHT(TRIM([1]Raw_Data!A985),4)),VALUE(MID(TRIM([1]Raw_Data!A985),4,2)),VALUE(LEFT(TRIM([1]Raw_Data!A985),2)))</f>
        <v>44263</v>
      </c>
      <c r="B987" s="3" t="str">
        <f>TRIM([1]Raw_Data!B985)</f>
        <v>Zinc</v>
      </c>
      <c r="C987" s="3" t="str">
        <f>TRIM([1]Raw_Data!C985)</f>
        <v>Mineral</v>
      </c>
      <c r="D987" s="3">
        <f>[1]Raw_Data!D985</f>
        <v>160</v>
      </c>
      <c r="E987" s="4">
        <f>[1]Raw_Data!E985</f>
        <v>21.43</v>
      </c>
      <c r="F987" s="5">
        <f>[1]Raw_Data!F985</f>
        <v>3428.8</v>
      </c>
      <c r="G987" s="4">
        <f>[1]Raw_Data!G985</f>
        <v>0.22</v>
      </c>
      <c r="H987" s="3">
        <f>[1]Raw_Data!H985</f>
        <v>0</v>
      </c>
      <c r="I987" s="3" t="str">
        <f>TRIM([1]Raw_Data!I985)</f>
        <v>UK</v>
      </c>
      <c r="J987" s="3" t="str">
        <f>TRIM([1]Raw_Data!J985)</f>
        <v>iHerb</v>
      </c>
      <c r="K987" s="3">
        <f t="shared" si="60"/>
        <v>2021</v>
      </c>
      <c r="L987" s="6">
        <f t="shared" si="61"/>
        <v>44256</v>
      </c>
      <c r="M987" s="3" t="str">
        <f t="shared" si="62"/>
        <v>21% to 25%</v>
      </c>
      <c r="N987" s="3" t="str">
        <f t="shared" si="63"/>
        <v>OK</v>
      </c>
    </row>
    <row r="988" spans="1:14" x14ac:dyDescent="0.3">
      <c r="A988" s="2">
        <f>DATE(VALUE(RIGHT(TRIM([1]Raw_Data!A986),4)),VALUE(MID(TRIM([1]Raw_Data!A986),4,2)),VALUE(LEFT(TRIM([1]Raw_Data!A986),2)))</f>
        <v>44263</v>
      </c>
      <c r="B988" s="3" t="str">
        <f>TRIM([1]Raw_Data!B986)</f>
        <v>Collagen Peptides</v>
      </c>
      <c r="C988" s="3" t="str">
        <f>TRIM([1]Raw_Data!C986)</f>
        <v>Protein</v>
      </c>
      <c r="D988" s="3">
        <f>[1]Raw_Data!D986</f>
        <v>159</v>
      </c>
      <c r="E988" s="4">
        <f>[1]Raw_Data!E986</f>
        <v>32.340000000000003</v>
      </c>
      <c r="F988" s="5">
        <f>[1]Raw_Data!F986</f>
        <v>5142.0600000000004</v>
      </c>
      <c r="G988" s="4">
        <f>[1]Raw_Data!G986</f>
        <v>0</v>
      </c>
      <c r="H988" s="3">
        <f>[1]Raw_Data!H986</f>
        <v>3</v>
      </c>
      <c r="I988" s="3" t="str">
        <f>TRIM([1]Raw_Data!I986)</f>
        <v>USA</v>
      </c>
      <c r="J988" s="3" t="str">
        <f>TRIM([1]Raw_Data!J986)</f>
        <v>Amazon</v>
      </c>
      <c r="K988" s="3">
        <f t="shared" si="60"/>
        <v>2021</v>
      </c>
      <c r="L988" s="6">
        <f t="shared" si="61"/>
        <v>44256</v>
      </c>
      <c r="M988" s="3" t="str">
        <f t="shared" si="62"/>
        <v>0% to 5%</v>
      </c>
      <c r="N988" s="3" t="str">
        <f t="shared" si="63"/>
        <v>OK</v>
      </c>
    </row>
    <row r="989" spans="1:14" x14ac:dyDescent="0.3">
      <c r="A989" s="2">
        <f>DATE(VALUE(RIGHT(TRIM([1]Raw_Data!A987),4)),VALUE(MID(TRIM([1]Raw_Data!A987),4,2)),VALUE(LEFT(TRIM([1]Raw_Data!A987),2)))</f>
        <v>44263</v>
      </c>
      <c r="B989" s="3" t="str">
        <f>TRIM([1]Raw_Data!B987)</f>
        <v>Magnesium</v>
      </c>
      <c r="C989" s="3" t="str">
        <f>TRIM([1]Raw_Data!C987)</f>
        <v>Mineral</v>
      </c>
      <c r="D989" s="3">
        <f>[1]Raw_Data!D987</f>
        <v>145</v>
      </c>
      <c r="E989" s="4">
        <f>[1]Raw_Data!E987</f>
        <v>43.87</v>
      </c>
      <c r="F989" s="5">
        <f>[1]Raw_Data!F987</f>
        <v>6361.15</v>
      </c>
      <c r="G989" s="4">
        <f>[1]Raw_Data!G987</f>
        <v>0.18</v>
      </c>
      <c r="H989" s="3">
        <f>[1]Raw_Data!H987</f>
        <v>4</v>
      </c>
      <c r="I989" s="3" t="str">
        <f>TRIM([1]Raw_Data!I987)</f>
        <v>UK</v>
      </c>
      <c r="J989" s="3" t="str">
        <f>TRIM([1]Raw_Data!J987)</f>
        <v>Amazon</v>
      </c>
      <c r="K989" s="3">
        <f t="shared" si="60"/>
        <v>2021</v>
      </c>
      <c r="L989" s="6">
        <f t="shared" si="61"/>
        <v>44256</v>
      </c>
      <c r="M989" s="3" t="str">
        <f t="shared" si="62"/>
        <v>16% to 20%</v>
      </c>
      <c r="N989" s="3" t="str">
        <f t="shared" si="63"/>
        <v>OK</v>
      </c>
    </row>
    <row r="990" spans="1:14" x14ac:dyDescent="0.3">
      <c r="A990" s="2">
        <f>DATE(VALUE(RIGHT(TRIM([1]Raw_Data!A988),4)),VALUE(MID(TRIM([1]Raw_Data!A988),4,2)),VALUE(LEFT(TRIM([1]Raw_Data!A988),2)))</f>
        <v>44263</v>
      </c>
      <c r="B990" s="3" t="str">
        <f>TRIM([1]Raw_Data!B988)</f>
        <v>Ashwagandha</v>
      </c>
      <c r="C990" s="3" t="str">
        <f>TRIM([1]Raw_Data!C988)</f>
        <v>Herbal</v>
      </c>
      <c r="D990" s="3">
        <f>[1]Raw_Data!D988</f>
        <v>151</v>
      </c>
      <c r="E990" s="4">
        <f>[1]Raw_Data!E988</f>
        <v>57.69</v>
      </c>
      <c r="F990" s="5">
        <f>[1]Raw_Data!F988</f>
        <v>8711.19</v>
      </c>
      <c r="G990" s="4">
        <f>[1]Raw_Data!G988</f>
        <v>0.16</v>
      </c>
      <c r="H990" s="3">
        <f>[1]Raw_Data!H988</f>
        <v>1</v>
      </c>
      <c r="I990" s="3" t="str">
        <f>TRIM([1]Raw_Data!I988)</f>
        <v>UK</v>
      </c>
      <c r="J990" s="3" t="str">
        <f>TRIM([1]Raw_Data!J988)</f>
        <v>iHerb</v>
      </c>
      <c r="K990" s="3">
        <f t="shared" si="60"/>
        <v>2021</v>
      </c>
      <c r="L990" s="6">
        <f t="shared" si="61"/>
        <v>44256</v>
      </c>
      <c r="M990" s="3" t="str">
        <f t="shared" si="62"/>
        <v>16% to 20%</v>
      </c>
      <c r="N990" s="3" t="str">
        <f t="shared" si="63"/>
        <v>OK</v>
      </c>
    </row>
    <row r="991" spans="1:14" x14ac:dyDescent="0.3">
      <c r="A991" s="2">
        <f>DATE(VALUE(RIGHT(TRIM([1]Raw_Data!A989),4)),VALUE(MID(TRIM([1]Raw_Data!A989),4,2)),VALUE(LEFT(TRIM([1]Raw_Data!A989),2)))</f>
        <v>44263</v>
      </c>
      <c r="B991" s="3" t="str">
        <f>TRIM([1]Raw_Data!B989)</f>
        <v>Melatonin</v>
      </c>
      <c r="C991" s="3" t="str">
        <f>TRIM([1]Raw_Data!C989)</f>
        <v>Sleep Aid</v>
      </c>
      <c r="D991" s="3">
        <f>[1]Raw_Data!D989</f>
        <v>134</v>
      </c>
      <c r="E991" s="4">
        <f>[1]Raw_Data!E989</f>
        <v>28.11</v>
      </c>
      <c r="F991" s="5">
        <f>[1]Raw_Data!F989</f>
        <v>3766.74</v>
      </c>
      <c r="G991" s="4">
        <f>[1]Raw_Data!G989</f>
        <v>0.17</v>
      </c>
      <c r="H991" s="3">
        <f>[1]Raw_Data!H989</f>
        <v>1</v>
      </c>
      <c r="I991" s="3" t="str">
        <f>TRIM([1]Raw_Data!I989)</f>
        <v>USA</v>
      </c>
      <c r="J991" s="3" t="str">
        <f>TRIM([1]Raw_Data!J989)</f>
        <v>iHerb</v>
      </c>
      <c r="K991" s="3">
        <f t="shared" si="60"/>
        <v>2021</v>
      </c>
      <c r="L991" s="6">
        <f t="shared" si="61"/>
        <v>44256</v>
      </c>
      <c r="M991" s="3" t="str">
        <f t="shared" si="62"/>
        <v>16% to 20%</v>
      </c>
      <c r="N991" s="3" t="str">
        <f t="shared" si="63"/>
        <v>OK</v>
      </c>
    </row>
    <row r="992" spans="1:14" x14ac:dyDescent="0.3">
      <c r="A992" s="2">
        <f>DATE(VALUE(RIGHT(TRIM([1]Raw_Data!A990),4)),VALUE(MID(TRIM([1]Raw_Data!A990),4,2)),VALUE(LEFT(TRIM([1]Raw_Data!A990),2)))</f>
        <v>44263</v>
      </c>
      <c r="B992" s="3" t="str">
        <f>TRIM([1]Raw_Data!B990)</f>
        <v>Biotin</v>
      </c>
      <c r="C992" s="3" t="str">
        <f>TRIM([1]Raw_Data!C990)</f>
        <v>Vitamin</v>
      </c>
      <c r="D992" s="3">
        <f>[1]Raw_Data!D990</f>
        <v>138</v>
      </c>
      <c r="E992" s="4">
        <f>[1]Raw_Data!E990</f>
        <v>13.03</v>
      </c>
      <c r="F992" s="5">
        <f>[1]Raw_Data!F990</f>
        <v>1798.14</v>
      </c>
      <c r="G992" s="4">
        <f>[1]Raw_Data!G990</f>
        <v>0.1</v>
      </c>
      <c r="H992" s="3">
        <f>[1]Raw_Data!H990</f>
        <v>1</v>
      </c>
      <c r="I992" s="3" t="str">
        <f>TRIM([1]Raw_Data!I990)</f>
        <v>USA</v>
      </c>
      <c r="J992" s="3" t="str">
        <f>TRIM([1]Raw_Data!J990)</f>
        <v>iHerb</v>
      </c>
      <c r="K992" s="3">
        <f t="shared" si="60"/>
        <v>2021</v>
      </c>
      <c r="L992" s="6">
        <f t="shared" si="61"/>
        <v>44256</v>
      </c>
      <c r="M992" s="3" t="str">
        <f t="shared" si="62"/>
        <v>6% to 10%</v>
      </c>
      <c r="N992" s="3" t="str">
        <f t="shared" si="63"/>
        <v>OK</v>
      </c>
    </row>
    <row r="993" spans="1:14" x14ac:dyDescent="0.3">
      <c r="A993" s="2">
        <f>DATE(VALUE(RIGHT(TRIM([1]Raw_Data!A991),4)),VALUE(MID(TRIM([1]Raw_Data!A991),4,2)),VALUE(LEFT(TRIM([1]Raw_Data!A991),2)))</f>
        <v>44263</v>
      </c>
      <c r="B993" s="3" t="str">
        <f>TRIM([1]Raw_Data!B991)</f>
        <v>Green Tea Extract</v>
      </c>
      <c r="C993" s="3" t="str">
        <f>TRIM([1]Raw_Data!C991)</f>
        <v>Fat Burner</v>
      </c>
      <c r="D993" s="3">
        <f>[1]Raw_Data!D991</f>
        <v>148</v>
      </c>
      <c r="E993" s="4">
        <f>[1]Raw_Data!E991</f>
        <v>51.4</v>
      </c>
      <c r="F993" s="5">
        <f>[1]Raw_Data!F991</f>
        <v>7607.2</v>
      </c>
      <c r="G993" s="4">
        <f>[1]Raw_Data!G991</f>
        <v>0.19</v>
      </c>
      <c r="H993" s="3">
        <f>[1]Raw_Data!H991</f>
        <v>0</v>
      </c>
      <c r="I993" s="3" t="str">
        <f>TRIM([1]Raw_Data!I991)</f>
        <v>UK</v>
      </c>
      <c r="J993" s="3" t="str">
        <f>TRIM([1]Raw_Data!J991)</f>
        <v>Amazon</v>
      </c>
      <c r="K993" s="3">
        <f t="shared" si="60"/>
        <v>2021</v>
      </c>
      <c r="L993" s="6">
        <f t="shared" si="61"/>
        <v>44256</v>
      </c>
      <c r="M993" s="3" t="str">
        <f t="shared" si="62"/>
        <v>16% to 20%</v>
      </c>
      <c r="N993" s="3" t="str">
        <f t="shared" si="63"/>
        <v>OK</v>
      </c>
    </row>
    <row r="994" spans="1:14" x14ac:dyDescent="0.3">
      <c r="A994" s="2">
        <f>DATE(VALUE(RIGHT(TRIM([1]Raw_Data!A992),4)),VALUE(MID(TRIM([1]Raw_Data!A992),4,2)),VALUE(LEFT(TRIM([1]Raw_Data!A992),2)))</f>
        <v>44263</v>
      </c>
      <c r="B994" s="3" t="str">
        <f>TRIM([1]Raw_Data!B992)</f>
        <v>Iron Supplement</v>
      </c>
      <c r="C994" s="3" t="str">
        <f>TRIM([1]Raw_Data!C992)</f>
        <v>Mineral</v>
      </c>
      <c r="D994" s="3">
        <f>[1]Raw_Data!D992</f>
        <v>138</v>
      </c>
      <c r="E994" s="4">
        <f>[1]Raw_Data!E992</f>
        <v>56.74</v>
      </c>
      <c r="F994" s="5">
        <f>[1]Raw_Data!F992</f>
        <v>7830.12</v>
      </c>
      <c r="G994" s="4">
        <f>[1]Raw_Data!G992</f>
        <v>0.21</v>
      </c>
      <c r="H994" s="3">
        <f>[1]Raw_Data!H992</f>
        <v>3</v>
      </c>
      <c r="I994" s="3" t="str">
        <f>TRIM([1]Raw_Data!I992)</f>
        <v>USA</v>
      </c>
      <c r="J994" s="3" t="str">
        <f>TRIM([1]Raw_Data!J992)</f>
        <v>iHerb</v>
      </c>
      <c r="K994" s="3">
        <f t="shared" si="60"/>
        <v>2021</v>
      </c>
      <c r="L994" s="6">
        <f t="shared" si="61"/>
        <v>44256</v>
      </c>
      <c r="M994" s="3" t="str">
        <f t="shared" si="62"/>
        <v>21% to 25%</v>
      </c>
      <c r="N994" s="3" t="str">
        <f t="shared" si="63"/>
        <v>OK</v>
      </c>
    </row>
    <row r="995" spans="1:14" x14ac:dyDescent="0.3">
      <c r="A995" s="2">
        <f>DATE(VALUE(RIGHT(TRIM([1]Raw_Data!A993),4)),VALUE(MID(TRIM([1]Raw_Data!A993),4,2)),VALUE(LEFT(TRIM([1]Raw_Data!A993),2)))</f>
        <v>44263</v>
      </c>
      <c r="B995" s="3" t="str">
        <f>TRIM([1]Raw_Data!B993)</f>
        <v>Electrolyte Powder</v>
      </c>
      <c r="C995" s="3" t="str">
        <f>TRIM([1]Raw_Data!C993)</f>
        <v>Hydration</v>
      </c>
      <c r="D995" s="3">
        <f>[1]Raw_Data!D993</f>
        <v>143</v>
      </c>
      <c r="E995" s="4">
        <f>[1]Raw_Data!E993</f>
        <v>33.54</v>
      </c>
      <c r="F995" s="5">
        <f>[1]Raw_Data!F993</f>
        <v>4796.22</v>
      </c>
      <c r="G995" s="4">
        <f>[1]Raw_Data!G993</f>
        <v>0.04</v>
      </c>
      <c r="H995" s="3">
        <f>[1]Raw_Data!H993</f>
        <v>0</v>
      </c>
      <c r="I995" s="3" t="str">
        <f>TRIM([1]Raw_Data!I993)</f>
        <v>Canada</v>
      </c>
      <c r="J995" s="3" t="str">
        <f>TRIM([1]Raw_Data!J993)</f>
        <v>iHerb</v>
      </c>
      <c r="K995" s="3">
        <f t="shared" si="60"/>
        <v>2021</v>
      </c>
      <c r="L995" s="6">
        <f t="shared" si="61"/>
        <v>44256</v>
      </c>
      <c r="M995" s="3" t="str">
        <f t="shared" si="62"/>
        <v>0% to 5%</v>
      </c>
      <c r="N995" s="3" t="str">
        <f t="shared" si="63"/>
        <v>OK</v>
      </c>
    </row>
    <row r="996" spans="1:14" x14ac:dyDescent="0.3">
      <c r="A996" s="2">
        <f>DATE(VALUE(RIGHT(TRIM([1]Raw_Data!A994),4)),VALUE(MID(TRIM([1]Raw_Data!A994),4,2)),VALUE(LEFT(TRIM([1]Raw_Data!A994),2)))</f>
        <v>44270</v>
      </c>
      <c r="B996" s="3" t="str">
        <f>TRIM([1]Raw_Data!B994)</f>
        <v>Whey Protein</v>
      </c>
      <c r="C996" s="3" t="str">
        <f>TRIM([1]Raw_Data!C994)</f>
        <v>Protein</v>
      </c>
      <c r="D996" s="3">
        <f>[1]Raw_Data!D994</f>
        <v>177</v>
      </c>
      <c r="E996" s="4">
        <f>[1]Raw_Data!E994</f>
        <v>22</v>
      </c>
      <c r="F996" s="5">
        <f>[1]Raw_Data!F994</f>
        <v>3894</v>
      </c>
      <c r="G996" s="4">
        <f>[1]Raw_Data!G994</f>
        <v>0.02</v>
      </c>
      <c r="H996" s="3">
        <f>[1]Raw_Data!H994</f>
        <v>4</v>
      </c>
      <c r="I996" s="3" t="str">
        <f>TRIM([1]Raw_Data!I994)</f>
        <v>USA</v>
      </c>
      <c r="J996" s="3" t="str">
        <f>TRIM([1]Raw_Data!J994)</f>
        <v>Amazon</v>
      </c>
      <c r="K996" s="3">
        <f t="shared" si="60"/>
        <v>2021</v>
      </c>
      <c r="L996" s="6">
        <f t="shared" si="61"/>
        <v>44256</v>
      </c>
      <c r="M996" s="3" t="str">
        <f t="shared" si="62"/>
        <v>0% to 5%</v>
      </c>
      <c r="N996" s="3" t="str">
        <f t="shared" si="63"/>
        <v>OK</v>
      </c>
    </row>
    <row r="997" spans="1:14" x14ac:dyDescent="0.3">
      <c r="A997" s="2">
        <f>DATE(VALUE(RIGHT(TRIM([1]Raw_Data!A995),4)),VALUE(MID(TRIM([1]Raw_Data!A995),4,2)),VALUE(LEFT(TRIM([1]Raw_Data!A995),2)))</f>
        <v>44270</v>
      </c>
      <c r="B997" s="3" t="str">
        <f>TRIM([1]Raw_Data!B995)</f>
        <v>Vitamin C</v>
      </c>
      <c r="C997" s="3" t="str">
        <f>TRIM([1]Raw_Data!C995)</f>
        <v>Vitamin</v>
      </c>
      <c r="D997" s="3">
        <f>[1]Raw_Data!D995</f>
        <v>153</v>
      </c>
      <c r="E997" s="4">
        <f>[1]Raw_Data!E995</f>
        <v>55.58</v>
      </c>
      <c r="F997" s="5">
        <f>[1]Raw_Data!F995</f>
        <v>8503.74</v>
      </c>
      <c r="G997" s="4">
        <f>[1]Raw_Data!G995</f>
        <v>0.09</v>
      </c>
      <c r="H997" s="3">
        <f>[1]Raw_Data!H995</f>
        <v>2</v>
      </c>
      <c r="I997" s="3" t="str">
        <f>TRIM([1]Raw_Data!I995)</f>
        <v>UK</v>
      </c>
      <c r="J997" s="3" t="str">
        <f>TRIM([1]Raw_Data!J995)</f>
        <v>Walmart</v>
      </c>
      <c r="K997" s="3">
        <f t="shared" si="60"/>
        <v>2021</v>
      </c>
      <c r="L997" s="6">
        <f t="shared" si="61"/>
        <v>44256</v>
      </c>
      <c r="M997" s="3" t="str">
        <f t="shared" si="62"/>
        <v>6% to 10%</v>
      </c>
      <c r="N997" s="3" t="str">
        <f t="shared" si="63"/>
        <v>OK</v>
      </c>
    </row>
    <row r="998" spans="1:14" x14ac:dyDescent="0.3">
      <c r="A998" s="2">
        <f>DATE(VALUE(RIGHT(TRIM([1]Raw_Data!A996),4)),VALUE(MID(TRIM([1]Raw_Data!A996),4,2)),VALUE(LEFT(TRIM([1]Raw_Data!A996),2)))</f>
        <v>44270</v>
      </c>
      <c r="B998" s="3" t="str">
        <f>TRIM([1]Raw_Data!B996)</f>
        <v>Fish Oil</v>
      </c>
      <c r="C998" s="3" t="str">
        <f>TRIM([1]Raw_Data!C996)</f>
        <v>Omega</v>
      </c>
      <c r="D998" s="3">
        <f>[1]Raw_Data!D996</f>
        <v>118</v>
      </c>
      <c r="E998" s="4">
        <f>[1]Raw_Data!E996</f>
        <v>51.56</v>
      </c>
      <c r="F998" s="5">
        <f>[1]Raw_Data!F996</f>
        <v>6084.08</v>
      </c>
      <c r="G998" s="4">
        <f>[1]Raw_Data!G996</f>
        <v>0.19</v>
      </c>
      <c r="H998" s="3">
        <f>[1]Raw_Data!H996</f>
        <v>1</v>
      </c>
      <c r="I998" s="3" t="str">
        <f>TRIM([1]Raw_Data!I996)</f>
        <v>Canada</v>
      </c>
      <c r="J998" s="3" t="str">
        <f>TRIM([1]Raw_Data!J996)</f>
        <v>iHerb</v>
      </c>
      <c r="K998" s="3">
        <f t="shared" si="60"/>
        <v>2021</v>
      </c>
      <c r="L998" s="6">
        <f t="shared" si="61"/>
        <v>44256</v>
      </c>
      <c r="M998" s="3" t="str">
        <f t="shared" si="62"/>
        <v>16% to 20%</v>
      </c>
      <c r="N998" s="3" t="str">
        <f t="shared" si="63"/>
        <v>OK</v>
      </c>
    </row>
    <row r="999" spans="1:14" x14ac:dyDescent="0.3">
      <c r="A999" s="2">
        <f>DATE(VALUE(RIGHT(TRIM([1]Raw_Data!A997),4)),VALUE(MID(TRIM([1]Raw_Data!A997),4,2)),VALUE(LEFT(TRIM([1]Raw_Data!A997),2)))</f>
        <v>44270</v>
      </c>
      <c r="B999" s="3" t="str">
        <f>TRIM([1]Raw_Data!B997)</f>
        <v>Multivitamin</v>
      </c>
      <c r="C999" s="3" t="str">
        <f>TRIM([1]Raw_Data!C997)</f>
        <v>Vitamin</v>
      </c>
      <c r="D999" s="3">
        <f>[1]Raw_Data!D997</f>
        <v>146</v>
      </c>
      <c r="E999" s="4">
        <f>[1]Raw_Data!E997</f>
        <v>10.01</v>
      </c>
      <c r="F999" s="5">
        <f>[1]Raw_Data!F997</f>
        <v>1461.46</v>
      </c>
      <c r="G999" s="4">
        <f>[1]Raw_Data!G997</f>
        <v>0.06</v>
      </c>
      <c r="H999" s="3">
        <f>[1]Raw_Data!H997</f>
        <v>0</v>
      </c>
      <c r="I999" s="3" t="str">
        <f>TRIM([1]Raw_Data!I997)</f>
        <v>USA</v>
      </c>
      <c r="J999" s="3" t="str">
        <f>TRIM([1]Raw_Data!J997)</f>
        <v>iHerb</v>
      </c>
      <c r="K999" s="3">
        <f t="shared" si="60"/>
        <v>2021</v>
      </c>
      <c r="L999" s="6">
        <f t="shared" si="61"/>
        <v>44256</v>
      </c>
      <c r="M999" s="3" t="str">
        <f t="shared" si="62"/>
        <v>6% to 10%</v>
      </c>
      <c r="N999" s="3" t="str">
        <f t="shared" si="63"/>
        <v>OK</v>
      </c>
    </row>
    <row r="1000" spans="1:14" x14ac:dyDescent="0.3">
      <c r="A1000" s="2">
        <f>DATE(VALUE(RIGHT(TRIM([1]Raw_Data!A998),4)),VALUE(MID(TRIM([1]Raw_Data!A998),4,2)),VALUE(LEFT(TRIM([1]Raw_Data!A998),2)))</f>
        <v>44270</v>
      </c>
      <c r="B1000" s="3" t="str">
        <f>TRIM([1]Raw_Data!B998)</f>
        <v>Pre-Workout</v>
      </c>
      <c r="C1000" s="3" t="str">
        <f>TRIM([1]Raw_Data!C998)</f>
        <v>Performance</v>
      </c>
      <c r="D1000" s="3">
        <f>[1]Raw_Data!D998</f>
        <v>141</v>
      </c>
      <c r="E1000" s="4">
        <f>[1]Raw_Data!E998</f>
        <v>23.98</v>
      </c>
      <c r="F1000" s="5">
        <f>[1]Raw_Data!F998</f>
        <v>3381.18</v>
      </c>
      <c r="G1000" s="4">
        <f>[1]Raw_Data!G998</f>
        <v>0.05</v>
      </c>
      <c r="H1000" s="3">
        <f>[1]Raw_Data!H998</f>
        <v>1</v>
      </c>
      <c r="I1000" s="3" t="str">
        <f>TRIM([1]Raw_Data!I998)</f>
        <v>Canada</v>
      </c>
      <c r="J1000" s="3" t="str">
        <f>TRIM([1]Raw_Data!J998)</f>
        <v>Walmart</v>
      </c>
      <c r="K1000" s="3">
        <f t="shared" si="60"/>
        <v>2021</v>
      </c>
      <c r="L1000" s="6">
        <f t="shared" si="61"/>
        <v>44256</v>
      </c>
      <c r="M1000" s="3" t="str">
        <f t="shared" si="62"/>
        <v>0% to 5%</v>
      </c>
      <c r="N1000" s="3" t="str">
        <f t="shared" si="63"/>
        <v>OK</v>
      </c>
    </row>
    <row r="1001" spans="1:14" x14ac:dyDescent="0.3">
      <c r="A1001" s="2">
        <f>DATE(VALUE(RIGHT(TRIM([1]Raw_Data!A999),4)),VALUE(MID(TRIM([1]Raw_Data!A999),4,2)),VALUE(LEFT(TRIM([1]Raw_Data!A999),2)))</f>
        <v>44270</v>
      </c>
      <c r="B1001" s="3" t="str">
        <f>TRIM([1]Raw_Data!B999)</f>
        <v>BCAA</v>
      </c>
      <c r="C1001" s="3" t="str">
        <f>TRIM([1]Raw_Data!C999)</f>
        <v>Amino Acid</v>
      </c>
      <c r="D1001" s="3">
        <f>[1]Raw_Data!D999</f>
        <v>166</v>
      </c>
      <c r="E1001" s="4">
        <f>[1]Raw_Data!E999</f>
        <v>13.93</v>
      </c>
      <c r="F1001" s="5">
        <f>[1]Raw_Data!F999</f>
        <v>2312.38</v>
      </c>
      <c r="G1001" s="4">
        <f>[1]Raw_Data!G999</f>
        <v>0.09</v>
      </c>
      <c r="H1001" s="3">
        <f>[1]Raw_Data!H999</f>
        <v>2</v>
      </c>
      <c r="I1001" s="3" t="str">
        <f>TRIM([1]Raw_Data!I999)</f>
        <v>UK</v>
      </c>
      <c r="J1001" s="3" t="str">
        <f>TRIM([1]Raw_Data!J999)</f>
        <v>iHerb</v>
      </c>
      <c r="K1001" s="3">
        <f t="shared" si="60"/>
        <v>2021</v>
      </c>
      <c r="L1001" s="6">
        <f t="shared" si="61"/>
        <v>44256</v>
      </c>
      <c r="M1001" s="3" t="str">
        <f t="shared" si="62"/>
        <v>6% to 10%</v>
      </c>
      <c r="N1001" s="3" t="str">
        <f t="shared" si="63"/>
        <v>OK</v>
      </c>
    </row>
    <row r="1002" spans="1:14" x14ac:dyDescent="0.3">
      <c r="A1002" s="2">
        <f>DATE(VALUE(RIGHT(TRIM([1]Raw_Data!A1000),4)),VALUE(MID(TRIM([1]Raw_Data!A1000),4,2)),VALUE(LEFT(TRIM([1]Raw_Data!A1000),2)))</f>
        <v>44270</v>
      </c>
      <c r="B1002" s="3" t="str">
        <f>TRIM([1]Raw_Data!B1000)</f>
        <v>Creatine</v>
      </c>
      <c r="C1002" s="3" t="str">
        <f>TRIM([1]Raw_Data!C1000)</f>
        <v>Performance</v>
      </c>
      <c r="D1002" s="3">
        <f>[1]Raw_Data!D1000</f>
        <v>152</v>
      </c>
      <c r="E1002" s="4">
        <f>[1]Raw_Data!E1000</f>
        <v>57.98</v>
      </c>
      <c r="F1002" s="5">
        <f>[1]Raw_Data!F1000</f>
        <v>8812.9599999999991</v>
      </c>
      <c r="G1002" s="4">
        <f>[1]Raw_Data!G1000</f>
        <v>0.2</v>
      </c>
      <c r="H1002" s="3">
        <f>[1]Raw_Data!H1000</f>
        <v>2</v>
      </c>
      <c r="I1002" s="3" t="str">
        <f>TRIM([1]Raw_Data!I1000)</f>
        <v>USA</v>
      </c>
      <c r="J1002" s="3" t="str">
        <f>TRIM([1]Raw_Data!J1000)</f>
        <v>Amazon</v>
      </c>
      <c r="K1002" s="3">
        <f t="shared" si="60"/>
        <v>2021</v>
      </c>
      <c r="L1002" s="6">
        <f t="shared" si="61"/>
        <v>44256</v>
      </c>
      <c r="M1002" s="3" t="str">
        <f t="shared" si="62"/>
        <v>16% to 20%</v>
      </c>
      <c r="N1002" s="3" t="str">
        <f t="shared" si="63"/>
        <v>OK</v>
      </c>
    </row>
    <row r="1003" spans="1:14" x14ac:dyDescent="0.3">
      <c r="A1003" s="2">
        <f>DATE(VALUE(RIGHT(TRIM([1]Raw_Data!A1001),4)),VALUE(MID(TRIM([1]Raw_Data!A1001),4,2)),VALUE(LEFT(TRIM([1]Raw_Data!A1001),2)))</f>
        <v>44270</v>
      </c>
      <c r="B1003" s="3" t="str">
        <f>TRIM([1]Raw_Data!B1001)</f>
        <v>Zinc</v>
      </c>
      <c r="C1003" s="3" t="str">
        <f>TRIM([1]Raw_Data!C1001)</f>
        <v>Mineral</v>
      </c>
      <c r="D1003" s="3">
        <f>[1]Raw_Data!D1001</f>
        <v>150</v>
      </c>
      <c r="E1003" s="4">
        <f>[1]Raw_Data!E1001</f>
        <v>59.22</v>
      </c>
      <c r="F1003" s="5">
        <f>[1]Raw_Data!F1001</f>
        <v>8883</v>
      </c>
      <c r="G1003" s="4">
        <f>[1]Raw_Data!G1001</f>
        <v>0.1</v>
      </c>
      <c r="H1003" s="3">
        <f>[1]Raw_Data!H1001</f>
        <v>0</v>
      </c>
      <c r="I1003" s="3" t="str">
        <f>TRIM([1]Raw_Data!I1001)</f>
        <v>Canada</v>
      </c>
      <c r="J1003" s="3" t="str">
        <f>TRIM([1]Raw_Data!J1001)</f>
        <v>iHerb</v>
      </c>
      <c r="K1003" s="3">
        <f t="shared" si="60"/>
        <v>2021</v>
      </c>
      <c r="L1003" s="6">
        <f t="shared" si="61"/>
        <v>44256</v>
      </c>
      <c r="M1003" s="3" t="str">
        <f t="shared" si="62"/>
        <v>6% to 10%</v>
      </c>
      <c r="N1003" s="3" t="str">
        <f t="shared" si="63"/>
        <v>OK</v>
      </c>
    </row>
    <row r="1004" spans="1:14" x14ac:dyDescent="0.3">
      <c r="A1004" s="2">
        <f>DATE(VALUE(RIGHT(TRIM([1]Raw_Data!A1002),4)),VALUE(MID(TRIM([1]Raw_Data!A1002),4,2)),VALUE(LEFT(TRIM([1]Raw_Data!A1002),2)))</f>
        <v>44270</v>
      </c>
      <c r="B1004" s="3" t="str">
        <f>TRIM([1]Raw_Data!B1002)</f>
        <v>Collagen Peptides</v>
      </c>
      <c r="C1004" s="3" t="str">
        <f>TRIM([1]Raw_Data!C1002)</f>
        <v>Protein</v>
      </c>
      <c r="D1004" s="3">
        <f>[1]Raw_Data!D1002</f>
        <v>156</v>
      </c>
      <c r="E1004" s="4">
        <f>[1]Raw_Data!E1002</f>
        <v>39.29</v>
      </c>
      <c r="F1004" s="5">
        <f>[1]Raw_Data!F1002</f>
        <v>6129.24</v>
      </c>
      <c r="G1004" s="4">
        <f>[1]Raw_Data!G1002</f>
        <v>0.15</v>
      </c>
      <c r="H1004" s="3">
        <f>[1]Raw_Data!H1002</f>
        <v>1</v>
      </c>
      <c r="I1004" s="3" t="str">
        <f>TRIM([1]Raw_Data!I1002)</f>
        <v>UK</v>
      </c>
      <c r="J1004" s="3" t="str">
        <f>TRIM([1]Raw_Data!J1002)</f>
        <v>Walmart</v>
      </c>
      <c r="K1004" s="3">
        <f t="shared" si="60"/>
        <v>2021</v>
      </c>
      <c r="L1004" s="6">
        <f t="shared" si="61"/>
        <v>44256</v>
      </c>
      <c r="M1004" s="3" t="str">
        <f t="shared" si="62"/>
        <v>11% to 15%</v>
      </c>
      <c r="N1004" s="3" t="str">
        <f t="shared" si="63"/>
        <v>OK</v>
      </c>
    </row>
    <row r="1005" spans="1:14" x14ac:dyDescent="0.3">
      <c r="A1005" s="2">
        <f>DATE(VALUE(RIGHT(TRIM([1]Raw_Data!A1003),4)),VALUE(MID(TRIM([1]Raw_Data!A1003),4,2)),VALUE(LEFT(TRIM([1]Raw_Data!A1003),2)))</f>
        <v>44270</v>
      </c>
      <c r="B1005" s="3" t="str">
        <f>TRIM([1]Raw_Data!B1003)</f>
        <v>Magnesium</v>
      </c>
      <c r="C1005" s="3" t="str">
        <f>TRIM([1]Raw_Data!C1003)</f>
        <v>Mineral</v>
      </c>
      <c r="D1005" s="3">
        <f>[1]Raw_Data!D1003</f>
        <v>164</v>
      </c>
      <c r="E1005" s="4">
        <f>[1]Raw_Data!E1003</f>
        <v>32.43</v>
      </c>
      <c r="F1005" s="5">
        <f>[1]Raw_Data!F1003</f>
        <v>5318.52</v>
      </c>
      <c r="G1005" s="4">
        <f>[1]Raw_Data!G1003</f>
        <v>0.13</v>
      </c>
      <c r="H1005" s="3">
        <f>[1]Raw_Data!H1003</f>
        <v>2</v>
      </c>
      <c r="I1005" s="3" t="str">
        <f>TRIM([1]Raw_Data!I1003)</f>
        <v>Canada</v>
      </c>
      <c r="J1005" s="3" t="str">
        <f>TRIM([1]Raw_Data!J1003)</f>
        <v>Amazon</v>
      </c>
      <c r="K1005" s="3">
        <f t="shared" si="60"/>
        <v>2021</v>
      </c>
      <c r="L1005" s="6">
        <f t="shared" si="61"/>
        <v>44256</v>
      </c>
      <c r="M1005" s="3" t="str">
        <f t="shared" si="62"/>
        <v>11% to 15%</v>
      </c>
      <c r="N1005" s="3" t="str">
        <f t="shared" si="63"/>
        <v>OK</v>
      </c>
    </row>
    <row r="1006" spans="1:14" x14ac:dyDescent="0.3">
      <c r="A1006" s="2">
        <f>DATE(VALUE(RIGHT(TRIM([1]Raw_Data!A1004),4)),VALUE(MID(TRIM([1]Raw_Data!A1004),4,2)),VALUE(LEFT(TRIM([1]Raw_Data!A1004),2)))</f>
        <v>44270</v>
      </c>
      <c r="B1006" s="3" t="str">
        <f>TRIM([1]Raw_Data!B1004)</f>
        <v>Ashwagandha</v>
      </c>
      <c r="C1006" s="3" t="str">
        <f>TRIM([1]Raw_Data!C1004)</f>
        <v>Herbal</v>
      </c>
      <c r="D1006" s="3">
        <f>[1]Raw_Data!D1004</f>
        <v>161</v>
      </c>
      <c r="E1006" s="4">
        <f>[1]Raw_Data!E1004</f>
        <v>42.3</v>
      </c>
      <c r="F1006" s="5">
        <f>[1]Raw_Data!F1004</f>
        <v>6810.3</v>
      </c>
      <c r="G1006" s="4">
        <f>[1]Raw_Data!G1004</f>
        <v>0.04</v>
      </c>
      <c r="H1006" s="3">
        <f>[1]Raw_Data!H1004</f>
        <v>4</v>
      </c>
      <c r="I1006" s="3" t="str">
        <f>TRIM([1]Raw_Data!I1004)</f>
        <v>UK</v>
      </c>
      <c r="J1006" s="3" t="str">
        <f>TRIM([1]Raw_Data!J1004)</f>
        <v>Amazon</v>
      </c>
      <c r="K1006" s="3">
        <f t="shared" si="60"/>
        <v>2021</v>
      </c>
      <c r="L1006" s="6">
        <f t="shared" si="61"/>
        <v>44256</v>
      </c>
      <c r="M1006" s="3" t="str">
        <f t="shared" si="62"/>
        <v>0% to 5%</v>
      </c>
      <c r="N1006" s="3" t="str">
        <f t="shared" si="63"/>
        <v>OK</v>
      </c>
    </row>
    <row r="1007" spans="1:14" x14ac:dyDescent="0.3">
      <c r="A1007" s="2">
        <f>DATE(VALUE(RIGHT(TRIM([1]Raw_Data!A1005),4)),VALUE(MID(TRIM([1]Raw_Data!A1005),4,2)),VALUE(LEFT(TRIM([1]Raw_Data!A1005),2)))</f>
        <v>44270</v>
      </c>
      <c r="B1007" s="3" t="str">
        <f>TRIM([1]Raw_Data!B1005)</f>
        <v>Melatonin</v>
      </c>
      <c r="C1007" s="3" t="str">
        <f>TRIM([1]Raw_Data!C1005)</f>
        <v>Sleep Aid</v>
      </c>
      <c r="D1007" s="3">
        <f>[1]Raw_Data!D1005</f>
        <v>146</v>
      </c>
      <c r="E1007" s="4">
        <f>[1]Raw_Data!E1005</f>
        <v>11.02</v>
      </c>
      <c r="F1007" s="5">
        <f>[1]Raw_Data!F1005</f>
        <v>1608.92</v>
      </c>
      <c r="G1007" s="4">
        <f>[1]Raw_Data!G1005</f>
        <v>0.05</v>
      </c>
      <c r="H1007" s="3">
        <f>[1]Raw_Data!H1005</f>
        <v>1</v>
      </c>
      <c r="I1007" s="3" t="str">
        <f>TRIM([1]Raw_Data!I1005)</f>
        <v>Canada</v>
      </c>
      <c r="J1007" s="3" t="str">
        <f>TRIM([1]Raw_Data!J1005)</f>
        <v>Amazon</v>
      </c>
      <c r="K1007" s="3">
        <f t="shared" si="60"/>
        <v>2021</v>
      </c>
      <c r="L1007" s="6">
        <f t="shared" si="61"/>
        <v>44256</v>
      </c>
      <c r="M1007" s="3" t="str">
        <f t="shared" si="62"/>
        <v>0% to 5%</v>
      </c>
      <c r="N1007" s="3" t="str">
        <f t="shared" si="63"/>
        <v>OK</v>
      </c>
    </row>
    <row r="1008" spans="1:14" x14ac:dyDescent="0.3">
      <c r="A1008" s="2">
        <f>DATE(VALUE(RIGHT(TRIM([1]Raw_Data!A1006),4)),VALUE(MID(TRIM([1]Raw_Data!A1006),4,2)),VALUE(LEFT(TRIM([1]Raw_Data!A1006),2)))</f>
        <v>44270</v>
      </c>
      <c r="B1008" s="3" t="str">
        <f>TRIM([1]Raw_Data!B1006)</f>
        <v>Biotin</v>
      </c>
      <c r="C1008" s="3" t="str">
        <f>TRIM([1]Raw_Data!C1006)</f>
        <v>Vitamin</v>
      </c>
      <c r="D1008" s="3">
        <f>[1]Raw_Data!D1006</f>
        <v>167</v>
      </c>
      <c r="E1008" s="4">
        <f>[1]Raw_Data!E1006</f>
        <v>56.49</v>
      </c>
      <c r="F1008" s="5">
        <f>[1]Raw_Data!F1006</f>
        <v>9433.83</v>
      </c>
      <c r="G1008" s="4">
        <f>[1]Raw_Data!G1006</f>
        <v>0.12</v>
      </c>
      <c r="H1008" s="3">
        <f>[1]Raw_Data!H1006</f>
        <v>1</v>
      </c>
      <c r="I1008" s="3" t="str">
        <f>TRIM([1]Raw_Data!I1006)</f>
        <v>USA</v>
      </c>
      <c r="J1008" s="3" t="str">
        <f>TRIM([1]Raw_Data!J1006)</f>
        <v>iHerb</v>
      </c>
      <c r="K1008" s="3">
        <f t="shared" si="60"/>
        <v>2021</v>
      </c>
      <c r="L1008" s="6">
        <f t="shared" si="61"/>
        <v>44256</v>
      </c>
      <c r="M1008" s="3" t="str">
        <f t="shared" si="62"/>
        <v>11% to 15%</v>
      </c>
      <c r="N1008" s="3" t="str">
        <f t="shared" si="63"/>
        <v>OK</v>
      </c>
    </row>
    <row r="1009" spans="1:14" x14ac:dyDescent="0.3">
      <c r="A1009" s="2">
        <f>DATE(VALUE(RIGHT(TRIM([1]Raw_Data!A1007),4)),VALUE(MID(TRIM([1]Raw_Data!A1007),4,2)),VALUE(LEFT(TRIM([1]Raw_Data!A1007),2)))</f>
        <v>44270</v>
      </c>
      <c r="B1009" s="3" t="str">
        <f>TRIM([1]Raw_Data!B1007)</f>
        <v>Green Tea Extract</v>
      </c>
      <c r="C1009" s="3" t="str">
        <f>TRIM([1]Raw_Data!C1007)</f>
        <v>Fat Burner</v>
      </c>
      <c r="D1009" s="3">
        <f>[1]Raw_Data!D1007</f>
        <v>133</v>
      </c>
      <c r="E1009" s="4">
        <f>[1]Raw_Data!E1007</f>
        <v>22.35</v>
      </c>
      <c r="F1009" s="5">
        <f>[1]Raw_Data!F1007</f>
        <v>2972.55</v>
      </c>
      <c r="G1009" s="4">
        <f>[1]Raw_Data!G1007</f>
        <v>0.22</v>
      </c>
      <c r="H1009" s="3">
        <f>[1]Raw_Data!H1007</f>
        <v>3</v>
      </c>
      <c r="I1009" s="3" t="str">
        <f>TRIM([1]Raw_Data!I1007)</f>
        <v>UK</v>
      </c>
      <c r="J1009" s="3" t="str">
        <f>TRIM([1]Raw_Data!J1007)</f>
        <v>Walmart</v>
      </c>
      <c r="K1009" s="3">
        <f t="shared" si="60"/>
        <v>2021</v>
      </c>
      <c r="L1009" s="6">
        <f t="shared" si="61"/>
        <v>44256</v>
      </c>
      <c r="M1009" s="3" t="str">
        <f t="shared" si="62"/>
        <v>21% to 25%</v>
      </c>
      <c r="N1009" s="3" t="str">
        <f t="shared" si="63"/>
        <v>OK</v>
      </c>
    </row>
    <row r="1010" spans="1:14" x14ac:dyDescent="0.3">
      <c r="A1010" s="2">
        <f>DATE(VALUE(RIGHT(TRIM([1]Raw_Data!A1008),4)),VALUE(MID(TRIM([1]Raw_Data!A1008),4,2)),VALUE(LEFT(TRIM([1]Raw_Data!A1008),2)))</f>
        <v>44270</v>
      </c>
      <c r="B1010" s="3" t="str">
        <f>TRIM([1]Raw_Data!B1008)</f>
        <v>Iron Supplement</v>
      </c>
      <c r="C1010" s="3" t="str">
        <f>TRIM([1]Raw_Data!C1008)</f>
        <v>Mineral</v>
      </c>
      <c r="D1010" s="3">
        <f>[1]Raw_Data!D1008</f>
        <v>176</v>
      </c>
      <c r="E1010" s="4">
        <f>[1]Raw_Data!E1008</f>
        <v>43.85</v>
      </c>
      <c r="F1010" s="5">
        <f>[1]Raw_Data!F1008</f>
        <v>7717.6</v>
      </c>
      <c r="G1010" s="4">
        <f>[1]Raw_Data!G1008</f>
        <v>0.19</v>
      </c>
      <c r="H1010" s="3">
        <f>[1]Raw_Data!H1008</f>
        <v>0</v>
      </c>
      <c r="I1010" s="3" t="str">
        <f>TRIM([1]Raw_Data!I1008)</f>
        <v>UK</v>
      </c>
      <c r="J1010" s="3" t="str">
        <f>TRIM([1]Raw_Data!J1008)</f>
        <v>Amazon</v>
      </c>
      <c r="K1010" s="3">
        <f t="shared" si="60"/>
        <v>2021</v>
      </c>
      <c r="L1010" s="6">
        <f t="shared" si="61"/>
        <v>44256</v>
      </c>
      <c r="M1010" s="3" t="str">
        <f t="shared" si="62"/>
        <v>16% to 20%</v>
      </c>
      <c r="N1010" s="3" t="str">
        <f t="shared" si="63"/>
        <v>OK</v>
      </c>
    </row>
    <row r="1011" spans="1:14" x14ac:dyDescent="0.3">
      <c r="A1011" s="2">
        <f>DATE(VALUE(RIGHT(TRIM([1]Raw_Data!A1009),4)),VALUE(MID(TRIM([1]Raw_Data!A1009),4,2)),VALUE(LEFT(TRIM([1]Raw_Data!A1009),2)))</f>
        <v>44270</v>
      </c>
      <c r="B1011" s="3" t="str">
        <f>TRIM([1]Raw_Data!B1009)</f>
        <v>Electrolyte Powder</v>
      </c>
      <c r="C1011" s="3" t="str">
        <f>TRIM([1]Raw_Data!C1009)</f>
        <v>Hydration</v>
      </c>
      <c r="D1011" s="3">
        <f>[1]Raw_Data!D1009</f>
        <v>154</v>
      </c>
      <c r="E1011" s="4">
        <f>[1]Raw_Data!E1009</f>
        <v>34.880000000000003</v>
      </c>
      <c r="F1011" s="5">
        <f>[1]Raw_Data!F1009</f>
        <v>5371.52</v>
      </c>
      <c r="G1011" s="4">
        <f>[1]Raw_Data!G1009</f>
        <v>0.04</v>
      </c>
      <c r="H1011" s="3">
        <f>[1]Raw_Data!H1009</f>
        <v>0</v>
      </c>
      <c r="I1011" s="3" t="str">
        <f>TRIM([1]Raw_Data!I1009)</f>
        <v>Canada</v>
      </c>
      <c r="J1011" s="3" t="str">
        <f>TRIM([1]Raw_Data!J1009)</f>
        <v>iHerb</v>
      </c>
      <c r="K1011" s="3">
        <f t="shared" si="60"/>
        <v>2021</v>
      </c>
      <c r="L1011" s="6">
        <f t="shared" si="61"/>
        <v>44256</v>
      </c>
      <c r="M1011" s="3" t="str">
        <f t="shared" si="62"/>
        <v>0% to 5%</v>
      </c>
      <c r="N1011" s="3" t="str">
        <f t="shared" si="63"/>
        <v>OK</v>
      </c>
    </row>
    <row r="1012" spans="1:14" x14ac:dyDescent="0.3">
      <c r="A1012" s="2">
        <f>DATE(VALUE(RIGHT(TRIM([1]Raw_Data!A1010),4)),VALUE(MID(TRIM([1]Raw_Data!A1010),4,2)),VALUE(LEFT(TRIM([1]Raw_Data!A1010),2)))</f>
        <v>44277</v>
      </c>
      <c r="B1012" s="3" t="str">
        <f>TRIM([1]Raw_Data!B1010)</f>
        <v>Whey Protein</v>
      </c>
      <c r="C1012" s="3" t="str">
        <f>TRIM([1]Raw_Data!C1010)</f>
        <v>Protein</v>
      </c>
      <c r="D1012" s="3">
        <f>[1]Raw_Data!D1010</f>
        <v>145</v>
      </c>
      <c r="E1012" s="4">
        <f>[1]Raw_Data!E1010</f>
        <v>41.16</v>
      </c>
      <c r="F1012" s="5">
        <f>[1]Raw_Data!F1010</f>
        <v>5968.2</v>
      </c>
      <c r="G1012" s="4">
        <f>[1]Raw_Data!G1010</f>
        <v>0.02</v>
      </c>
      <c r="H1012" s="3">
        <f>[1]Raw_Data!H1010</f>
        <v>1</v>
      </c>
      <c r="I1012" s="3" t="str">
        <f>TRIM([1]Raw_Data!I1010)</f>
        <v>UK</v>
      </c>
      <c r="J1012" s="3" t="str">
        <f>TRIM([1]Raw_Data!J1010)</f>
        <v>Walmart</v>
      </c>
      <c r="K1012" s="3">
        <f t="shared" si="60"/>
        <v>2021</v>
      </c>
      <c r="L1012" s="6">
        <f t="shared" si="61"/>
        <v>44256</v>
      </c>
      <c r="M1012" s="3" t="str">
        <f t="shared" si="62"/>
        <v>0% to 5%</v>
      </c>
      <c r="N1012" s="3" t="str">
        <f t="shared" si="63"/>
        <v>OK</v>
      </c>
    </row>
    <row r="1013" spans="1:14" x14ac:dyDescent="0.3">
      <c r="A1013" s="2">
        <f>DATE(VALUE(RIGHT(TRIM([1]Raw_Data!A1011),4)),VALUE(MID(TRIM([1]Raw_Data!A1011),4,2)),VALUE(LEFT(TRIM([1]Raw_Data!A1011),2)))</f>
        <v>44277</v>
      </c>
      <c r="B1013" s="3" t="str">
        <f>TRIM([1]Raw_Data!B1011)</f>
        <v>Vitamin C</v>
      </c>
      <c r="C1013" s="3" t="str">
        <f>TRIM([1]Raw_Data!C1011)</f>
        <v>Vitamin</v>
      </c>
      <c r="D1013" s="3">
        <f>[1]Raw_Data!D1011</f>
        <v>137</v>
      </c>
      <c r="E1013" s="4">
        <f>[1]Raw_Data!E1011</f>
        <v>41.87</v>
      </c>
      <c r="F1013" s="5">
        <f>[1]Raw_Data!F1011</f>
        <v>5736.19</v>
      </c>
      <c r="G1013" s="4">
        <f>[1]Raw_Data!G1011</f>
        <v>0.14000000000000001</v>
      </c>
      <c r="H1013" s="3">
        <f>[1]Raw_Data!H1011</f>
        <v>2</v>
      </c>
      <c r="I1013" s="3" t="str">
        <f>TRIM([1]Raw_Data!I1011)</f>
        <v>USA</v>
      </c>
      <c r="J1013" s="3" t="str">
        <f>TRIM([1]Raw_Data!J1011)</f>
        <v>Walmart</v>
      </c>
      <c r="K1013" s="3">
        <f t="shared" si="60"/>
        <v>2021</v>
      </c>
      <c r="L1013" s="6">
        <f t="shared" si="61"/>
        <v>44256</v>
      </c>
      <c r="M1013" s="3" t="str">
        <f t="shared" si="62"/>
        <v>11% to 15%</v>
      </c>
      <c r="N1013" s="3" t="str">
        <f t="shared" si="63"/>
        <v>OK</v>
      </c>
    </row>
    <row r="1014" spans="1:14" x14ac:dyDescent="0.3">
      <c r="A1014" s="2">
        <f>DATE(VALUE(RIGHT(TRIM([1]Raw_Data!A1012),4)),VALUE(MID(TRIM([1]Raw_Data!A1012),4,2)),VALUE(LEFT(TRIM([1]Raw_Data!A1012),2)))</f>
        <v>44277</v>
      </c>
      <c r="B1014" s="3" t="str">
        <f>TRIM([1]Raw_Data!B1012)</f>
        <v>Fish Oil</v>
      </c>
      <c r="C1014" s="3" t="str">
        <f>TRIM([1]Raw_Data!C1012)</f>
        <v>Omega</v>
      </c>
      <c r="D1014" s="3">
        <f>[1]Raw_Data!D1012</f>
        <v>144</v>
      </c>
      <c r="E1014" s="4">
        <f>[1]Raw_Data!E1012</f>
        <v>31.64</v>
      </c>
      <c r="F1014" s="5">
        <f>[1]Raw_Data!F1012</f>
        <v>4556.16</v>
      </c>
      <c r="G1014" s="4">
        <f>[1]Raw_Data!G1012</f>
        <v>0.12</v>
      </c>
      <c r="H1014" s="3">
        <f>[1]Raw_Data!H1012</f>
        <v>2</v>
      </c>
      <c r="I1014" s="3" t="str">
        <f>TRIM([1]Raw_Data!I1012)</f>
        <v>UK</v>
      </c>
      <c r="J1014" s="3" t="str">
        <f>TRIM([1]Raw_Data!J1012)</f>
        <v>Amazon</v>
      </c>
      <c r="K1014" s="3">
        <f t="shared" si="60"/>
        <v>2021</v>
      </c>
      <c r="L1014" s="6">
        <f t="shared" si="61"/>
        <v>44256</v>
      </c>
      <c r="M1014" s="3" t="str">
        <f t="shared" si="62"/>
        <v>11% to 15%</v>
      </c>
      <c r="N1014" s="3" t="str">
        <f t="shared" si="63"/>
        <v>OK</v>
      </c>
    </row>
    <row r="1015" spans="1:14" x14ac:dyDescent="0.3">
      <c r="A1015" s="2">
        <f>DATE(VALUE(RIGHT(TRIM([1]Raw_Data!A1013),4)),VALUE(MID(TRIM([1]Raw_Data!A1013),4,2)),VALUE(LEFT(TRIM([1]Raw_Data!A1013),2)))</f>
        <v>44277</v>
      </c>
      <c r="B1015" s="3" t="str">
        <f>TRIM([1]Raw_Data!B1013)</f>
        <v>Multivitamin</v>
      </c>
      <c r="C1015" s="3" t="str">
        <f>TRIM([1]Raw_Data!C1013)</f>
        <v>Vitamin</v>
      </c>
      <c r="D1015" s="3">
        <f>[1]Raw_Data!D1013</f>
        <v>154</v>
      </c>
      <c r="E1015" s="4">
        <f>[1]Raw_Data!E1013</f>
        <v>14.29</v>
      </c>
      <c r="F1015" s="5">
        <f>[1]Raw_Data!F1013</f>
        <v>2200.66</v>
      </c>
      <c r="G1015" s="4">
        <f>[1]Raw_Data!G1013</f>
        <v>0.02</v>
      </c>
      <c r="H1015" s="3">
        <f>[1]Raw_Data!H1013</f>
        <v>3</v>
      </c>
      <c r="I1015" s="3" t="str">
        <f>TRIM([1]Raw_Data!I1013)</f>
        <v>UK</v>
      </c>
      <c r="J1015" s="3" t="str">
        <f>TRIM([1]Raw_Data!J1013)</f>
        <v>Walmart</v>
      </c>
      <c r="K1015" s="3">
        <f t="shared" si="60"/>
        <v>2021</v>
      </c>
      <c r="L1015" s="6">
        <f t="shared" si="61"/>
        <v>44256</v>
      </c>
      <c r="M1015" s="3" t="str">
        <f t="shared" si="62"/>
        <v>0% to 5%</v>
      </c>
      <c r="N1015" s="3" t="str">
        <f t="shared" si="63"/>
        <v>OK</v>
      </c>
    </row>
    <row r="1016" spans="1:14" x14ac:dyDescent="0.3">
      <c r="A1016" s="2">
        <f>DATE(VALUE(RIGHT(TRIM([1]Raw_Data!A1014),4)),VALUE(MID(TRIM([1]Raw_Data!A1014),4,2)),VALUE(LEFT(TRIM([1]Raw_Data!A1014),2)))</f>
        <v>44277</v>
      </c>
      <c r="B1016" s="3" t="str">
        <f>TRIM([1]Raw_Data!B1014)</f>
        <v>Pre-Workout</v>
      </c>
      <c r="C1016" s="3" t="str">
        <f>TRIM([1]Raw_Data!C1014)</f>
        <v>Performance</v>
      </c>
      <c r="D1016" s="3">
        <f>[1]Raw_Data!D1014</f>
        <v>157</v>
      </c>
      <c r="E1016" s="4">
        <f>[1]Raw_Data!E1014</f>
        <v>27.84</v>
      </c>
      <c r="F1016" s="5">
        <f>[1]Raw_Data!F1014</f>
        <v>4370.88</v>
      </c>
      <c r="G1016" s="4">
        <f>[1]Raw_Data!G1014</f>
        <v>0.15</v>
      </c>
      <c r="H1016" s="3">
        <f>[1]Raw_Data!H1014</f>
        <v>3</v>
      </c>
      <c r="I1016" s="3" t="str">
        <f>TRIM([1]Raw_Data!I1014)</f>
        <v>UK</v>
      </c>
      <c r="J1016" s="3" t="str">
        <f>TRIM([1]Raw_Data!J1014)</f>
        <v>Amazon</v>
      </c>
      <c r="K1016" s="3">
        <f t="shared" si="60"/>
        <v>2021</v>
      </c>
      <c r="L1016" s="6">
        <f t="shared" si="61"/>
        <v>44256</v>
      </c>
      <c r="M1016" s="3" t="str">
        <f t="shared" si="62"/>
        <v>11% to 15%</v>
      </c>
      <c r="N1016" s="3" t="str">
        <f t="shared" si="63"/>
        <v>OK</v>
      </c>
    </row>
    <row r="1017" spans="1:14" x14ac:dyDescent="0.3">
      <c r="A1017" s="2">
        <f>DATE(VALUE(RIGHT(TRIM([1]Raw_Data!A1015),4)),VALUE(MID(TRIM([1]Raw_Data!A1015),4,2)),VALUE(LEFT(TRIM([1]Raw_Data!A1015),2)))</f>
        <v>44277</v>
      </c>
      <c r="B1017" s="3" t="str">
        <f>TRIM([1]Raw_Data!B1015)</f>
        <v>BCAA</v>
      </c>
      <c r="C1017" s="3" t="str">
        <f>TRIM([1]Raw_Data!C1015)</f>
        <v>Amino Acid</v>
      </c>
      <c r="D1017" s="3">
        <f>[1]Raw_Data!D1015</f>
        <v>120</v>
      </c>
      <c r="E1017" s="4">
        <f>[1]Raw_Data!E1015</f>
        <v>54.49</v>
      </c>
      <c r="F1017" s="5">
        <f>[1]Raw_Data!F1015</f>
        <v>6538.8</v>
      </c>
      <c r="G1017" s="4">
        <f>[1]Raw_Data!G1015</f>
        <v>0</v>
      </c>
      <c r="H1017" s="3">
        <f>[1]Raw_Data!H1015</f>
        <v>0</v>
      </c>
      <c r="I1017" s="3" t="str">
        <f>TRIM([1]Raw_Data!I1015)</f>
        <v>UK</v>
      </c>
      <c r="J1017" s="3" t="str">
        <f>TRIM([1]Raw_Data!J1015)</f>
        <v>Walmart</v>
      </c>
      <c r="K1017" s="3">
        <f t="shared" si="60"/>
        <v>2021</v>
      </c>
      <c r="L1017" s="6">
        <f t="shared" si="61"/>
        <v>44256</v>
      </c>
      <c r="M1017" s="3" t="str">
        <f t="shared" si="62"/>
        <v>0% to 5%</v>
      </c>
      <c r="N1017" s="3" t="str">
        <f t="shared" si="63"/>
        <v>OK</v>
      </c>
    </row>
    <row r="1018" spans="1:14" x14ac:dyDescent="0.3">
      <c r="A1018" s="2">
        <f>DATE(VALUE(RIGHT(TRIM([1]Raw_Data!A1016),4)),VALUE(MID(TRIM([1]Raw_Data!A1016),4,2)),VALUE(LEFT(TRIM([1]Raw_Data!A1016),2)))</f>
        <v>44277</v>
      </c>
      <c r="B1018" s="3" t="str">
        <f>TRIM([1]Raw_Data!B1016)</f>
        <v>Creatine</v>
      </c>
      <c r="C1018" s="3" t="str">
        <f>TRIM([1]Raw_Data!C1016)</f>
        <v>Performance</v>
      </c>
      <c r="D1018" s="3">
        <f>[1]Raw_Data!D1016</f>
        <v>141</v>
      </c>
      <c r="E1018" s="4">
        <f>[1]Raw_Data!E1016</f>
        <v>11.41</v>
      </c>
      <c r="F1018" s="5">
        <f>[1]Raw_Data!F1016</f>
        <v>1608.81</v>
      </c>
      <c r="G1018" s="4">
        <f>[1]Raw_Data!G1016</f>
        <v>0.06</v>
      </c>
      <c r="H1018" s="3">
        <f>[1]Raw_Data!H1016</f>
        <v>3</v>
      </c>
      <c r="I1018" s="3" t="str">
        <f>TRIM([1]Raw_Data!I1016)</f>
        <v>Canada</v>
      </c>
      <c r="J1018" s="3" t="str">
        <f>TRIM([1]Raw_Data!J1016)</f>
        <v>Walmart</v>
      </c>
      <c r="K1018" s="3">
        <f t="shared" si="60"/>
        <v>2021</v>
      </c>
      <c r="L1018" s="6">
        <f t="shared" si="61"/>
        <v>44256</v>
      </c>
      <c r="M1018" s="3" t="str">
        <f t="shared" si="62"/>
        <v>6% to 10%</v>
      </c>
      <c r="N1018" s="3" t="str">
        <f t="shared" si="63"/>
        <v>OK</v>
      </c>
    </row>
    <row r="1019" spans="1:14" x14ac:dyDescent="0.3">
      <c r="A1019" s="2">
        <f>DATE(VALUE(RIGHT(TRIM([1]Raw_Data!A1017),4)),VALUE(MID(TRIM([1]Raw_Data!A1017),4,2)),VALUE(LEFT(TRIM([1]Raw_Data!A1017),2)))</f>
        <v>44277</v>
      </c>
      <c r="B1019" s="3" t="str">
        <f>TRIM([1]Raw_Data!B1017)</f>
        <v>Zinc</v>
      </c>
      <c r="C1019" s="3" t="str">
        <f>TRIM([1]Raw_Data!C1017)</f>
        <v>Mineral</v>
      </c>
      <c r="D1019" s="3">
        <f>[1]Raw_Data!D1017</f>
        <v>147</v>
      </c>
      <c r="E1019" s="4">
        <f>[1]Raw_Data!E1017</f>
        <v>55.91</v>
      </c>
      <c r="F1019" s="5">
        <f>[1]Raw_Data!F1017</f>
        <v>8218.77</v>
      </c>
      <c r="G1019" s="4">
        <f>[1]Raw_Data!G1017</f>
        <v>0.1</v>
      </c>
      <c r="H1019" s="3">
        <f>[1]Raw_Data!H1017</f>
        <v>0</v>
      </c>
      <c r="I1019" s="3" t="str">
        <f>TRIM([1]Raw_Data!I1017)</f>
        <v>Canada</v>
      </c>
      <c r="J1019" s="3" t="str">
        <f>TRIM([1]Raw_Data!J1017)</f>
        <v>Amazon</v>
      </c>
      <c r="K1019" s="3">
        <f t="shared" si="60"/>
        <v>2021</v>
      </c>
      <c r="L1019" s="6">
        <f t="shared" si="61"/>
        <v>44256</v>
      </c>
      <c r="M1019" s="3" t="str">
        <f t="shared" si="62"/>
        <v>6% to 10%</v>
      </c>
      <c r="N1019" s="3" t="str">
        <f t="shared" si="63"/>
        <v>OK</v>
      </c>
    </row>
    <row r="1020" spans="1:14" x14ac:dyDescent="0.3">
      <c r="A1020" s="2">
        <f>DATE(VALUE(RIGHT(TRIM([1]Raw_Data!A1018),4)),VALUE(MID(TRIM([1]Raw_Data!A1018),4,2)),VALUE(LEFT(TRIM([1]Raw_Data!A1018),2)))</f>
        <v>44277</v>
      </c>
      <c r="B1020" s="3" t="str">
        <f>TRIM([1]Raw_Data!B1018)</f>
        <v>Collagen Peptides</v>
      </c>
      <c r="C1020" s="3" t="str">
        <f>TRIM([1]Raw_Data!C1018)</f>
        <v>Protein</v>
      </c>
      <c r="D1020" s="3">
        <f>[1]Raw_Data!D1018</f>
        <v>151</v>
      </c>
      <c r="E1020" s="4">
        <f>[1]Raw_Data!E1018</f>
        <v>50.22</v>
      </c>
      <c r="F1020" s="5">
        <f>[1]Raw_Data!F1018</f>
        <v>7583.22</v>
      </c>
      <c r="G1020" s="4">
        <f>[1]Raw_Data!G1018</f>
        <v>0.02</v>
      </c>
      <c r="H1020" s="3">
        <f>[1]Raw_Data!H1018</f>
        <v>2</v>
      </c>
      <c r="I1020" s="3" t="str">
        <f>TRIM([1]Raw_Data!I1018)</f>
        <v>USA</v>
      </c>
      <c r="J1020" s="3" t="str">
        <f>TRIM([1]Raw_Data!J1018)</f>
        <v>Amazon</v>
      </c>
      <c r="K1020" s="3">
        <f t="shared" si="60"/>
        <v>2021</v>
      </c>
      <c r="L1020" s="6">
        <f t="shared" si="61"/>
        <v>44256</v>
      </c>
      <c r="M1020" s="3" t="str">
        <f t="shared" si="62"/>
        <v>0% to 5%</v>
      </c>
      <c r="N1020" s="3" t="str">
        <f t="shared" si="63"/>
        <v>OK</v>
      </c>
    </row>
    <row r="1021" spans="1:14" x14ac:dyDescent="0.3">
      <c r="A1021" s="2">
        <f>DATE(VALUE(RIGHT(TRIM([1]Raw_Data!A1019),4)),VALUE(MID(TRIM([1]Raw_Data!A1019),4,2)),VALUE(LEFT(TRIM([1]Raw_Data!A1019),2)))</f>
        <v>44277</v>
      </c>
      <c r="B1021" s="3" t="str">
        <f>TRIM([1]Raw_Data!B1019)</f>
        <v>Magnesium</v>
      </c>
      <c r="C1021" s="3" t="str">
        <f>TRIM([1]Raw_Data!C1019)</f>
        <v>Mineral</v>
      </c>
      <c r="D1021" s="3">
        <f>[1]Raw_Data!D1019</f>
        <v>152</v>
      </c>
      <c r="E1021" s="4">
        <f>[1]Raw_Data!E1019</f>
        <v>16.12</v>
      </c>
      <c r="F1021" s="5">
        <f>[1]Raw_Data!F1019</f>
        <v>2450.2399999999998</v>
      </c>
      <c r="G1021" s="4">
        <f>[1]Raw_Data!G1019</f>
        <v>0.13</v>
      </c>
      <c r="H1021" s="3">
        <f>[1]Raw_Data!H1019</f>
        <v>3</v>
      </c>
      <c r="I1021" s="3" t="str">
        <f>TRIM([1]Raw_Data!I1019)</f>
        <v>UK</v>
      </c>
      <c r="J1021" s="3" t="str">
        <f>TRIM([1]Raw_Data!J1019)</f>
        <v>Walmart</v>
      </c>
      <c r="K1021" s="3">
        <f t="shared" si="60"/>
        <v>2021</v>
      </c>
      <c r="L1021" s="6">
        <f t="shared" si="61"/>
        <v>44256</v>
      </c>
      <c r="M1021" s="3" t="str">
        <f t="shared" si="62"/>
        <v>11% to 15%</v>
      </c>
      <c r="N1021" s="3" t="str">
        <f t="shared" si="63"/>
        <v>OK</v>
      </c>
    </row>
    <row r="1022" spans="1:14" x14ac:dyDescent="0.3">
      <c r="A1022" s="2">
        <f>DATE(VALUE(RIGHT(TRIM([1]Raw_Data!A1020),4)),VALUE(MID(TRIM([1]Raw_Data!A1020),4,2)),VALUE(LEFT(TRIM([1]Raw_Data!A1020),2)))</f>
        <v>44277</v>
      </c>
      <c r="B1022" s="3" t="str">
        <f>TRIM([1]Raw_Data!B1020)</f>
        <v>Ashwagandha</v>
      </c>
      <c r="C1022" s="3" t="str">
        <f>TRIM([1]Raw_Data!C1020)</f>
        <v>Herbal</v>
      </c>
      <c r="D1022" s="3">
        <f>[1]Raw_Data!D1020</f>
        <v>147</v>
      </c>
      <c r="E1022" s="4">
        <f>[1]Raw_Data!E1020</f>
        <v>13.52</v>
      </c>
      <c r="F1022" s="5">
        <f>[1]Raw_Data!F1020</f>
        <v>1987.44</v>
      </c>
      <c r="G1022" s="4">
        <f>[1]Raw_Data!G1020</f>
        <v>7.0000000000000007E-2</v>
      </c>
      <c r="H1022" s="3">
        <f>[1]Raw_Data!H1020</f>
        <v>1</v>
      </c>
      <c r="I1022" s="3" t="str">
        <f>TRIM([1]Raw_Data!I1020)</f>
        <v>UK</v>
      </c>
      <c r="J1022" s="3" t="str">
        <f>TRIM([1]Raw_Data!J1020)</f>
        <v>iHerb</v>
      </c>
      <c r="K1022" s="3">
        <f t="shared" si="60"/>
        <v>2021</v>
      </c>
      <c r="L1022" s="6">
        <f t="shared" si="61"/>
        <v>44256</v>
      </c>
      <c r="M1022" s="3" t="str">
        <f t="shared" si="62"/>
        <v>6% to 10%</v>
      </c>
      <c r="N1022" s="3" t="str">
        <f t="shared" si="63"/>
        <v>OK</v>
      </c>
    </row>
    <row r="1023" spans="1:14" x14ac:dyDescent="0.3">
      <c r="A1023" s="2">
        <f>DATE(VALUE(RIGHT(TRIM([1]Raw_Data!A1021),4)),VALUE(MID(TRIM([1]Raw_Data!A1021),4,2)),VALUE(LEFT(TRIM([1]Raw_Data!A1021),2)))</f>
        <v>44277</v>
      </c>
      <c r="B1023" s="3" t="str">
        <f>TRIM([1]Raw_Data!B1021)</f>
        <v>Melatonin</v>
      </c>
      <c r="C1023" s="3" t="str">
        <f>TRIM([1]Raw_Data!C1021)</f>
        <v>Sleep Aid</v>
      </c>
      <c r="D1023" s="3">
        <f>[1]Raw_Data!D1021</f>
        <v>176</v>
      </c>
      <c r="E1023" s="4">
        <f>[1]Raw_Data!E1021</f>
        <v>33.04</v>
      </c>
      <c r="F1023" s="5">
        <f>[1]Raw_Data!F1021</f>
        <v>5815.04</v>
      </c>
      <c r="G1023" s="4">
        <f>[1]Raw_Data!G1021</f>
        <v>0.17</v>
      </c>
      <c r="H1023" s="3">
        <f>[1]Raw_Data!H1021</f>
        <v>0</v>
      </c>
      <c r="I1023" s="3" t="str">
        <f>TRIM([1]Raw_Data!I1021)</f>
        <v>Canada</v>
      </c>
      <c r="J1023" s="3" t="str">
        <f>TRIM([1]Raw_Data!J1021)</f>
        <v>iHerb</v>
      </c>
      <c r="K1023" s="3">
        <f t="shared" si="60"/>
        <v>2021</v>
      </c>
      <c r="L1023" s="6">
        <f t="shared" si="61"/>
        <v>44256</v>
      </c>
      <c r="M1023" s="3" t="str">
        <f t="shared" si="62"/>
        <v>16% to 20%</v>
      </c>
      <c r="N1023" s="3" t="str">
        <f t="shared" si="63"/>
        <v>OK</v>
      </c>
    </row>
    <row r="1024" spans="1:14" x14ac:dyDescent="0.3">
      <c r="A1024" s="2">
        <f>DATE(VALUE(RIGHT(TRIM([1]Raw_Data!A1022),4)),VALUE(MID(TRIM([1]Raw_Data!A1022),4,2)),VALUE(LEFT(TRIM([1]Raw_Data!A1022),2)))</f>
        <v>44277</v>
      </c>
      <c r="B1024" s="3" t="str">
        <f>TRIM([1]Raw_Data!B1022)</f>
        <v>Biotin</v>
      </c>
      <c r="C1024" s="3" t="str">
        <f>TRIM([1]Raw_Data!C1022)</f>
        <v>Vitamin</v>
      </c>
      <c r="D1024" s="3">
        <f>[1]Raw_Data!D1022</f>
        <v>149</v>
      </c>
      <c r="E1024" s="4">
        <f>[1]Raw_Data!E1022</f>
        <v>53.34</v>
      </c>
      <c r="F1024" s="5">
        <f>[1]Raw_Data!F1022</f>
        <v>7947.66</v>
      </c>
      <c r="G1024" s="4">
        <f>[1]Raw_Data!G1022</f>
        <v>0.16</v>
      </c>
      <c r="H1024" s="3">
        <f>[1]Raw_Data!H1022</f>
        <v>2</v>
      </c>
      <c r="I1024" s="3" t="str">
        <f>TRIM([1]Raw_Data!I1022)</f>
        <v>UK</v>
      </c>
      <c r="J1024" s="3" t="str">
        <f>TRIM([1]Raw_Data!J1022)</f>
        <v>Walmart</v>
      </c>
      <c r="K1024" s="3">
        <f t="shared" si="60"/>
        <v>2021</v>
      </c>
      <c r="L1024" s="6">
        <f t="shared" si="61"/>
        <v>44256</v>
      </c>
      <c r="M1024" s="3" t="str">
        <f t="shared" si="62"/>
        <v>16% to 20%</v>
      </c>
      <c r="N1024" s="3" t="str">
        <f t="shared" si="63"/>
        <v>OK</v>
      </c>
    </row>
    <row r="1025" spans="1:14" x14ac:dyDescent="0.3">
      <c r="A1025" s="2">
        <f>DATE(VALUE(RIGHT(TRIM([1]Raw_Data!A1023),4)),VALUE(MID(TRIM([1]Raw_Data!A1023),4,2)),VALUE(LEFT(TRIM([1]Raw_Data!A1023),2)))</f>
        <v>44277</v>
      </c>
      <c r="B1025" s="3" t="str">
        <f>TRIM([1]Raw_Data!B1023)</f>
        <v>Green Tea Extract</v>
      </c>
      <c r="C1025" s="3" t="str">
        <f>TRIM([1]Raw_Data!C1023)</f>
        <v>Fat Burner</v>
      </c>
      <c r="D1025" s="3">
        <f>[1]Raw_Data!D1023</f>
        <v>134</v>
      </c>
      <c r="E1025" s="4">
        <f>[1]Raw_Data!E1023</f>
        <v>16.63</v>
      </c>
      <c r="F1025" s="5">
        <f>[1]Raw_Data!F1023</f>
        <v>2228.42</v>
      </c>
      <c r="G1025" s="4">
        <f>[1]Raw_Data!G1023</f>
        <v>0.19</v>
      </c>
      <c r="H1025" s="3">
        <f>[1]Raw_Data!H1023</f>
        <v>1</v>
      </c>
      <c r="I1025" s="3" t="str">
        <f>TRIM([1]Raw_Data!I1023)</f>
        <v>Canada</v>
      </c>
      <c r="J1025" s="3" t="str">
        <f>TRIM([1]Raw_Data!J1023)</f>
        <v>Amazon</v>
      </c>
      <c r="K1025" s="3">
        <f t="shared" si="60"/>
        <v>2021</v>
      </c>
      <c r="L1025" s="6">
        <f t="shared" si="61"/>
        <v>44256</v>
      </c>
      <c r="M1025" s="3" t="str">
        <f t="shared" si="62"/>
        <v>16% to 20%</v>
      </c>
      <c r="N1025" s="3" t="str">
        <f t="shared" si="63"/>
        <v>OK</v>
      </c>
    </row>
    <row r="1026" spans="1:14" x14ac:dyDescent="0.3">
      <c r="A1026" s="2">
        <f>DATE(VALUE(RIGHT(TRIM([1]Raw_Data!A1024),4)),VALUE(MID(TRIM([1]Raw_Data!A1024),4,2)),VALUE(LEFT(TRIM([1]Raw_Data!A1024),2)))</f>
        <v>44277</v>
      </c>
      <c r="B1026" s="3" t="str">
        <f>TRIM([1]Raw_Data!B1024)</f>
        <v>Iron Supplement</v>
      </c>
      <c r="C1026" s="3" t="str">
        <f>TRIM([1]Raw_Data!C1024)</f>
        <v>Mineral</v>
      </c>
      <c r="D1026" s="3">
        <f>[1]Raw_Data!D1024</f>
        <v>173</v>
      </c>
      <c r="E1026" s="4">
        <f>[1]Raw_Data!E1024</f>
        <v>47.69</v>
      </c>
      <c r="F1026" s="5">
        <f>[1]Raw_Data!F1024</f>
        <v>8250.3700000000008</v>
      </c>
      <c r="G1026" s="4">
        <f>[1]Raw_Data!G1024</f>
        <v>0.05</v>
      </c>
      <c r="H1026" s="3">
        <f>[1]Raw_Data!H1024</f>
        <v>1</v>
      </c>
      <c r="I1026" s="3" t="str">
        <f>TRIM([1]Raw_Data!I1024)</f>
        <v>UK</v>
      </c>
      <c r="J1026" s="3" t="str">
        <f>TRIM([1]Raw_Data!J1024)</f>
        <v>iHerb</v>
      </c>
      <c r="K1026" s="3">
        <f t="shared" si="60"/>
        <v>2021</v>
      </c>
      <c r="L1026" s="6">
        <f t="shared" si="61"/>
        <v>44256</v>
      </c>
      <c r="M1026" s="3" t="str">
        <f t="shared" si="62"/>
        <v>0% to 5%</v>
      </c>
      <c r="N1026" s="3" t="str">
        <f t="shared" si="63"/>
        <v>OK</v>
      </c>
    </row>
    <row r="1027" spans="1:14" x14ac:dyDescent="0.3">
      <c r="A1027" s="2">
        <f>DATE(VALUE(RIGHT(TRIM([1]Raw_Data!A1025),4)),VALUE(MID(TRIM([1]Raw_Data!A1025),4,2)),VALUE(LEFT(TRIM([1]Raw_Data!A1025),2)))</f>
        <v>44277</v>
      </c>
      <c r="B1027" s="3" t="str">
        <f>TRIM([1]Raw_Data!B1025)</f>
        <v>Electrolyte Powder</v>
      </c>
      <c r="C1027" s="3" t="str">
        <f>TRIM([1]Raw_Data!C1025)</f>
        <v>Hydration</v>
      </c>
      <c r="D1027" s="3">
        <f>[1]Raw_Data!D1025</f>
        <v>154</v>
      </c>
      <c r="E1027" s="4">
        <f>[1]Raw_Data!E1025</f>
        <v>15.2</v>
      </c>
      <c r="F1027" s="5">
        <f>[1]Raw_Data!F1025</f>
        <v>2340.8000000000002</v>
      </c>
      <c r="G1027" s="4">
        <f>[1]Raw_Data!G1025</f>
        <v>0.24</v>
      </c>
      <c r="H1027" s="3">
        <f>[1]Raw_Data!H1025</f>
        <v>3</v>
      </c>
      <c r="I1027" s="3" t="str">
        <f>TRIM([1]Raw_Data!I1025)</f>
        <v>USA</v>
      </c>
      <c r="J1027" s="3" t="str">
        <f>TRIM([1]Raw_Data!J1025)</f>
        <v>Amazon</v>
      </c>
      <c r="K1027" s="3">
        <f t="shared" si="60"/>
        <v>2021</v>
      </c>
      <c r="L1027" s="6">
        <f t="shared" si="61"/>
        <v>44256</v>
      </c>
      <c r="M1027" s="3" t="str">
        <f t="shared" si="62"/>
        <v>21% to 25%</v>
      </c>
      <c r="N1027" s="3" t="str">
        <f t="shared" si="63"/>
        <v>OK</v>
      </c>
    </row>
    <row r="1028" spans="1:14" x14ac:dyDescent="0.3">
      <c r="A1028" s="2">
        <f>DATE(VALUE(RIGHT(TRIM([1]Raw_Data!A1026),4)),VALUE(MID(TRIM([1]Raw_Data!A1026),4,2)),VALUE(LEFT(TRIM([1]Raw_Data!A1026),2)))</f>
        <v>44284</v>
      </c>
      <c r="B1028" s="3" t="str">
        <f>TRIM([1]Raw_Data!B1026)</f>
        <v>Whey Protein</v>
      </c>
      <c r="C1028" s="3" t="str">
        <f>TRIM([1]Raw_Data!C1026)</f>
        <v>Protein</v>
      </c>
      <c r="D1028" s="3">
        <f>[1]Raw_Data!D1026</f>
        <v>141</v>
      </c>
      <c r="E1028" s="4">
        <f>[1]Raw_Data!E1026</f>
        <v>35.92</v>
      </c>
      <c r="F1028" s="5">
        <f>[1]Raw_Data!F1026</f>
        <v>5064.72</v>
      </c>
      <c r="G1028" s="4">
        <f>[1]Raw_Data!G1026</f>
        <v>0.12</v>
      </c>
      <c r="H1028" s="3">
        <f>[1]Raw_Data!H1026</f>
        <v>1</v>
      </c>
      <c r="I1028" s="3" t="str">
        <f>TRIM([1]Raw_Data!I1026)</f>
        <v>Canada</v>
      </c>
      <c r="J1028" s="3" t="str">
        <f>TRIM([1]Raw_Data!J1026)</f>
        <v>Amazon</v>
      </c>
      <c r="K1028" s="3">
        <f t="shared" ref="K1028:K1091" si="64">YEAR(A1028)</f>
        <v>2021</v>
      </c>
      <c r="L1028" s="6">
        <f t="shared" ref="L1028:L1091" si="65">DATE(YEAR(A1028),MONTH(A1028),1)</f>
        <v>44256</v>
      </c>
      <c r="M1028" s="3" t="str">
        <f t="shared" ref="M1028:M1091" si="66">IF(ROUND(G1028*100,0)&lt;=5,"0% to 5%",IF(ROUND(G1028*100,0)&lt;=10,"6% to 10%",IF(ROUND(G1028*100,0)&lt;=15,"11% to 15%",IF(ROUND(G1028*100,0)&lt;=20,"16% to 20%","21% to 25%"))))</f>
        <v>11% to 15%</v>
      </c>
      <c r="N1028" s="3" t="str">
        <f t="shared" ref="N1028:N1091" si="67">IF(ROUND(D1028*E1028,2)=ROUND(F1028,2),"OK","Check")</f>
        <v>OK</v>
      </c>
    </row>
    <row r="1029" spans="1:14" x14ac:dyDescent="0.3">
      <c r="A1029" s="2">
        <f>DATE(VALUE(RIGHT(TRIM([1]Raw_Data!A1027),4)),VALUE(MID(TRIM([1]Raw_Data!A1027),4,2)),VALUE(LEFT(TRIM([1]Raw_Data!A1027),2)))</f>
        <v>44284</v>
      </c>
      <c r="B1029" s="3" t="str">
        <f>TRIM([1]Raw_Data!B1027)</f>
        <v>Vitamin C</v>
      </c>
      <c r="C1029" s="3" t="str">
        <f>TRIM([1]Raw_Data!C1027)</f>
        <v>Vitamin</v>
      </c>
      <c r="D1029" s="3">
        <f>[1]Raw_Data!D1027</f>
        <v>153</v>
      </c>
      <c r="E1029" s="4">
        <f>[1]Raw_Data!E1027</f>
        <v>30.55</v>
      </c>
      <c r="F1029" s="5">
        <f>[1]Raw_Data!F1027</f>
        <v>4674.1499999999996</v>
      </c>
      <c r="G1029" s="4">
        <f>[1]Raw_Data!G1027</f>
        <v>0.16</v>
      </c>
      <c r="H1029" s="3">
        <f>[1]Raw_Data!H1027</f>
        <v>2</v>
      </c>
      <c r="I1029" s="3" t="str">
        <f>TRIM([1]Raw_Data!I1027)</f>
        <v>Canada</v>
      </c>
      <c r="J1029" s="3" t="str">
        <f>TRIM([1]Raw_Data!J1027)</f>
        <v>Walmart</v>
      </c>
      <c r="K1029" s="3">
        <f t="shared" si="64"/>
        <v>2021</v>
      </c>
      <c r="L1029" s="6">
        <f t="shared" si="65"/>
        <v>44256</v>
      </c>
      <c r="M1029" s="3" t="str">
        <f t="shared" si="66"/>
        <v>16% to 20%</v>
      </c>
      <c r="N1029" s="3" t="str">
        <f t="shared" si="67"/>
        <v>OK</v>
      </c>
    </row>
    <row r="1030" spans="1:14" x14ac:dyDescent="0.3">
      <c r="A1030" s="2">
        <f>DATE(VALUE(RIGHT(TRIM([1]Raw_Data!A1028),4)),VALUE(MID(TRIM([1]Raw_Data!A1028),4,2)),VALUE(LEFT(TRIM([1]Raw_Data!A1028),2)))</f>
        <v>44284</v>
      </c>
      <c r="B1030" s="3" t="str">
        <f>TRIM([1]Raw_Data!B1028)</f>
        <v>Fish Oil</v>
      </c>
      <c r="C1030" s="3" t="str">
        <f>TRIM([1]Raw_Data!C1028)</f>
        <v>Omega</v>
      </c>
      <c r="D1030" s="3">
        <f>[1]Raw_Data!D1028</f>
        <v>158</v>
      </c>
      <c r="E1030" s="4">
        <f>[1]Raw_Data!E1028</f>
        <v>52.99</v>
      </c>
      <c r="F1030" s="5">
        <f>[1]Raw_Data!F1028</f>
        <v>8372.42</v>
      </c>
      <c r="G1030" s="4">
        <f>[1]Raw_Data!G1028</f>
        <v>0.11</v>
      </c>
      <c r="H1030" s="3">
        <f>[1]Raw_Data!H1028</f>
        <v>1</v>
      </c>
      <c r="I1030" s="3" t="str">
        <f>TRIM([1]Raw_Data!I1028)</f>
        <v>USA</v>
      </c>
      <c r="J1030" s="3" t="str">
        <f>TRIM([1]Raw_Data!J1028)</f>
        <v>Amazon</v>
      </c>
      <c r="K1030" s="3">
        <f t="shared" si="64"/>
        <v>2021</v>
      </c>
      <c r="L1030" s="6">
        <f t="shared" si="65"/>
        <v>44256</v>
      </c>
      <c r="M1030" s="3" t="str">
        <f t="shared" si="66"/>
        <v>11% to 15%</v>
      </c>
      <c r="N1030" s="3" t="str">
        <f t="shared" si="67"/>
        <v>OK</v>
      </c>
    </row>
    <row r="1031" spans="1:14" x14ac:dyDescent="0.3">
      <c r="A1031" s="2">
        <f>DATE(VALUE(RIGHT(TRIM([1]Raw_Data!A1029),4)),VALUE(MID(TRIM([1]Raw_Data!A1029),4,2)),VALUE(LEFT(TRIM([1]Raw_Data!A1029),2)))</f>
        <v>44284</v>
      </c>
      <c r="B1031" s="3" t="str">
        <f>TRIM([1]Raw_Data!B1029)</f>
        <v>Multivitamin</v>
      </c>
      <c r="C1031" s="3" t="str">
        <f>TRIM([1]Raw_Data!C1029)</f>
        <v>Vitamin</v>
      </c>
      <c r="D1031" s="3">
        <f>[1]Raw_Data!D1029</f>
        <v>140</v>
      </c>
      <c r="E1031" s="4">
        <f>[1]Raw_Data!E1029</f>
        <v>54.34</v>
      </c>
      <c r="F1031" s="5">
        <f>[1]Raw_Data!F1029</f>
        <v>7607.6</v>
      </c>
      <c r="G1031" s="4">
        <f>[1]Raw_Data!G1029</f>
        <v>0.09</v>
      </c>
      <c r="H1031" s="3">
        <f>[1]Raw_Data!H1029</f>
        <v>2</v>
      </c>
      <c r="I1031" s="3" t="str">
        <f>TRIM([1]Raw_Data!I1029)</f>
        <v>UK</v>
      </c>
      <c r="J1031" s="3" t="str">
        <f>TRIM([1]Raw_Data!J1029)</f>
        <v>Walmart</v>
      </c>
      <c r="K1031" s="3">
        <f t="shared" si="64"/>
        <v>2021</v>
      </c>
      <c r="L1031" s="6">
        <f t="shared" si="65"/>
        <v>44256</v>
      </c>
      <c r="M1031" s="3" t="str">
        <f t="shared" si="66"/>
        <v>6% to 10%</v>
      </c>
      <c r="N1031" s="3" t="str">
        <f t="shared" si="67"/>
        <v>OK</v>
      </c>
    </row>
    <row r="1032" spans="1:14" x14ac:dyDescent="0.3">
      <c r="A1032" s="2">
        <f>DATE(VALUE(RIGHT(TRIM([1]Raw_Data!A1030),4)),VALUE(MID(TRIM([1]Raw_Data!A1030),4,2)),VALUE(LEFT(TRIM([1]Raw_Data!A1030),2)))</f>
        <v>44284</v>
      </c>
      <c r="B1032" s="3" t="str">
        <f>TRIM([1]Raw_Data!B1030)</f>
        <v>Pre-Workout</v>
      </c>
      <c r="C1032" s="3" t="str">
        <f>TRIM([1]Raw_Data!C1030)</f>
        <v>Performance</v>
      </c>
      <c r="D1032" s="3">
        <f>[1]Raw_Data!D1030</f>
        <v>131</v>
      </c>
      <c r="E1032" s="4">
        <f>[1]Raw_Data!E1030</f>
        <v>59.58</v>
      </c>
      <c r="F1032" s="5">
        <f>[1]Raw_Data!F1030</f>
        <v>7804.98</v>
      </c>
      <c r="G1032" s="4">
        <f>[1]Raw_Data!G1030</f>
        <v>0.19</v>
      </c>
      <c r="H1032" s="3">
        <f>[1]Raw_Data!H1030</f>
        <v>0</v>
      </c>
      <c r="I1032" s="3" t="str">
        <f>TRIM([1]Raw_Data!I1030)</f>
        <v>UK</v>
      </c>
      <c r="J1032" s="3" t="str">
        <f>TRIM([1]Raw_Data!J1030)</f>
        <v>Walmart</v>
      </c>
      <c r="K1032" s="3">
        <f t="shared" si="64"/>
        <v>2021</v>
      </c>
      <c r="L1032" s="6">
        <f t="shared" si="65"/>
        <v>44256</v>
      </c>
      <c r="M1032" s="3" t="str">
        <f t="shared" si="66"/>
        <v>16% to 20%</v>
      </c>
      <c r="N1032" s="3" t="str">
        <f t="shared" si="67"/>
        <v>OK</v>
      </c>
    </row>
    <row r="1033" spans="1:14" x14ac:dyDescent="0.3">
      <c r="A1033" s="2">
        <f>DATE(VALUE(RIGHT(TRIM([1]Raw_Data!A1031),4)),VALUE(MID(TRIM([1]Raw_Data!A1031),4,2)),VALUE(LEFT(TRIM([1]Raw_Data!A1031),2)))</f>
        <v>44284</v>
      </c>
      <c r="B1033" s="3" t="str">
        <f>TRIM([1]Raw_Data!B1031)</f>
        <v>BCAA</v>
      </c>
      <c r="C1033" s="3" t="str">
        <f>TRIM([1]Raw_Data!C1031)</f>
        <v>Amino Acid</v>
      </c>
      <c r="D1033" s="3">
        <f>[1]Raw_Data!D1031</f>
        <v>150</v>
      </c>
      <c r="E1033" s="4">
        <f>[1]Raw_Data!E1031</f>
        <v>30.48</v>
      </c>
      <c r="F1033" s="5">
        <f>[1]Raw_Data!F1031</f>
        <v>4572</v>
      </c>
      <c r="G1033" s="4">
        <f>[1]Raw_Data!G1031</f>
        <v>0.2</v>
      </c>
      <c r="H1033" s="3">
        <f>[1]Raw_Data!H1031</f>
        <v>2</v>
      </c>
      <c r="I1033" s="3" t="str">
        <f>TRIM([1]Raw_Data!I1031)</f>
        <v>UK</v>
      </c>
      <c r="J1033" s="3" t="str">
        <f>TRIM([1]Raw_Data!J1031)</f>
        <v>iHerb</v>
      </c>
      <c r="K1033" s="3">
        <f t="shared" si="64"/>
        <v>2021</v>
      </c>
      <c r="L1033" s="6">
        <f t="shared" si="65"/>
        <v>44256</v>
      </c>
      <c r="M1033" s="3" t="str">
        <f t="shared" si="66"/>
        <v>16% to 20%</v>
      </c>
      <c r="N1033" s="3" t="str">
        <f t="shared" si="67"/>
        <v>OK</v>
      </c>
    </row>
    <row r="1034" spans="1:14" x14ac:dyDescent="0.3">
      <c r="A1034" s="2">
        <f>DATE(VALUE(RIGHT(TRIM([1]Raw_Data!A1032),4)),VALUE(MID(TRIM([1]Raw_Data!A1032),4,2)),VALUE(LEFT(TRIM([1]Raw_Data!A1032),2)))</f>
        <v>44284</v>
      </c>
      <c r="B1034" s="3" t="str">
        <f>TRIM([1]Raw_Data!B1032)</f>
        <v>Creatine</v>
      </c>
      <c r="C1034" s="3" t="str">
        <f>TRIM([1]Raw_Data!C1032)</f>
        <v>Performance</v>
      </c>
      <c r="D1034" s="3">
        <f>[1]Raw_Data!D1032</f>
        <v>140</v>
      </c>
      <c r="E1034" s="4">
        <f>[1]Raw_Data!E1032</f>
        <v>39.630000000000003</v>
      </c>
      <c r="F1034" s="5">
        <f>[1]Raw_Data!F1032</f>
        <v>5548.2</v>
      </c>
      <c r="G1034" s="4">
        <f>[1]Raw_Data!G1032</f>
        <v>0.09</v>
      </c>
      <c r="H1034" s="3">
        <f>[1]Raw_Data!H1032</f>
        <v>1</v>
      </c>
      <c r="I1034" s="3" t="str">
        <f>TRIM([1]Raw_Data!I1032)</f>
        <v>USA</v>
      </c>
      <c r="J1034" s="3" t="str">
        <f>TRIM([1]Raw_Data!J1032)</f>
        <v>iHerb</v>
      </c>
      <c r="K1034" s="3">
        <f t="shared" si="64"/>
        <v>2021</v>
      </c>
      <c r="L1034" s="6">
        <f t="shared" si="65"/>
        <v>44256</v>
      </c>
      <c r="M1034" s="3" t="str">
        <f t="shared" si="66"/>
        <v>6% to 10%</v>
      </c>
      <c r="N1034" s="3" t="str">
        <f t="shared" si="67"/>
        <v>OK</v>
      </c>
    </row>
    <row r="1035" spans="1:14" x14ac:dyDescent="0.3">
      <c r="A1035" s="2">
        <f>DATE(VALUE(RIGHT(TRIM([1]Raw_Data!A1033),4)),VALUE(MID(TRIM([1]Raw_Data!A1033),4,2)),VALUE(LEFT(TRIM([1]Raw_Data!A1033),2)))</f>
        <v>44284</v>
      </c>
      <c r="B1035" s="3" t="str">
        <f>TRIM([1]Raw_Data!B1033)</f>
        <v>Zinc</v>
      </c>
      <c r="C1035" s="3" t="str">
        <f>TRIM([1]Raw_Data!C1033)</f>
        <v>Mineral</v>
      </c>
      <c r="D1035" s="3">
        <f>[1]Raw_Data!D1033</f>
        <v>154</v>
      </c>
      <c r="E1035" s="4">
        <f>[1]Raw_Data!E1033</f>
        <v>34.32</v>
      </c>
      <c r="F1035" s="5">
        <f>[1]Raw_Data!F1033</f>
        <v>5285.28</v>
      </c>
      <c r="G1035" s="4">
        <f>[1]Raw_Data!G1033</f>
        <v>0.13</v>
      </c>
      <c r="H1035" s="3">
        <f>[1]Raw_Data!H1033</f>
        <v>0</v>
      </c>
      <c r="I1035" s="3" t="str">
        <f>TRIM([1]Raw_Data!I1033)</f>
        <v>UK</v>
      </c>
      <c r="J1035" s="3" t="str">
        <f>TRIM([1]Raw_Data!J1033)</f>
        <v>Amazon</v>
      </c>
      <c r="K1035" s="3">
        <f t="shared" si="64"/>
        <v>2021</v>
      </c>
      <c r="L1035" s="6">
        <f t="shared" si="65"/>
        <v>44256</v>
      </c>
      <c r="M1035" s="3" t="str">
        <f t="shared" si="66"/>
        <v>11% to 15%</v>
      </c>
      <c r="N1035" s="3" t="str">
        <f t="shared" si="67"/>
        <v>OK</v>
      </c>
    </row>
    <row r="1036" spans="1:14" x14ac:dyDescent="0.3">
      <c r="A1036" s="2">
        <f>DATE(VALUE(RIGHT(TRIM([1]Raw_Data!A1034),4)),VALUE(MID(TRIM([1]Raw_Data!A1034),4,2)),VALUE(LEFT(TRIM([1]Raw_Data!A1034),2)))</f>
        <v>44284</v>
      </c>
      <c r="B1036" s="3" t="str">
        <f>TRIM([1]Raw_Data!B1034)</f>
        <v>Collagen Peptides</v>
      </c>
      <c r="C1036" s="3" t="str">
        <f>TRIM([1]Raw_Data!C1034)</f>
        <v>Protein</v>
      </c>
      <c r="D1036" s="3">
        <f>[1]Raw_Data!D1034</f>
        <v>162</v>
      </c>
      <c r="E1036" s="4">
        <f>[1]Raw_Data!E1034</f>
        <v>16.55</v>
      </c>
      <c r="F1036" s="5">
        <f>[1]Raw_Data!F1034</f>
        <v>2681.1</v>
      </c>
      <c r="G1036" s="4">
        <f>[1]Raw_Data!G1034</f>
        <v>0.19</v>
      </c>
      <c r="H1036" s="3">
        <f>[1]Raw_Data!H1034</f>
        <v>4</v>
      </c>
      <c r="I1036" s="3" t="str">
        <f>TRIM([1]Raw_Data!I1034)</f>
        <v>Canada</v>
      </c>
      <c r="J1036" s="3" t="str">
        <f>TRIM([1]Raw_Data!J1034)</f>
        <v>Walmart</v>
      </c>
      <c r="K1036" s="3">
        <f t="shared" si="64"/>
        <v>2021</v>
      </c>
      <c r="L1036" s="6">
        <f t="shared" si="65"/>
        <v>44256</v>
      </c>
      <c r="M1036" s="3" t="str">
        <f t="shared" si="66"/>
        <v>16% to 20%</v>
      </c>
      <c r="N1036" s="3" t="str">
        <f t="shared" si="67"/>
        <v>OK</v>
      </c>
    </row>
    <row r="1037" spans="1:14" x14ac:dyDescent="0.3">
      <c r="A1037" s="2">
        <f>DATE(VALUE(RIGHT(TRIM([1]Raw_Data!A1035),4)),VALUE(MID(TRIM([1]Raw_Data!A1035),4,2)),VALUE(LEFT(TRIM([1]Raw_Data!A1035),2)))</f>
        <v>44284</v>
      </c>
      <c r="B1037" s="3" t="str">
        <f>TRIM([1]Raw_Data!B1035)</f>
        <v>Magnesium</v>
      </c>
      <c r="C1037" s="3" t="str">
        <f>TRIM([1]Raw_Data!C1035)</f>
        <v>Mineral</v>
      </c>
      <c r="D1037" s="3">
        <f>[1]Raw_Data!D1035</f>
        <v>177</v>
      </c>
      <c r="E1037" s="4">
        <f>[1]Raw_Data!E1035</f>
        <v>16.78</v>
      </c>
      <c r="F1037" s="5">
        <f>[1]Raw_Data!F1035</f>
        <v>2970.06</v>
      </c>
      <c r="G1037" s="4">
        <f>[1]Raw_Data!G1035</f>
        <v>0.13</v>
      </c>
      <c r="H1037" s="3">
        <f>[1]Raw_Data!H1035</f>
        <v>0</v>
      </c>
      <c r="I1037" s="3" t="str">
        <f>TRIM([1]Raw_Data!I1035)</f>
        <v>USA</v>
      </c>
      <c r="J1037" s="3" t="str">
        <f>TRIM([1]Raw_Data!J1035)</f>
        <v>iHerb</v>
      </c>
      <c r="K1037" s="3">
        <f t="shared" si="64"/>
        <v>2021</v>
      </c>
      <c r="L1037" s="6">
        <f t="shared" si="65"/>
        <v>44256</v>
      </c>
      <c r="M1037" s="3" t="str">
        <f t="shared" si="66"/>
        <v>11% to 15%</v>
      </c>
      <c r="N1037" s="3" t="str">
        <f t="shared" si="67"/>
        <v>OK</v>
      </c>
    </row>
    <row r="1038" spans="1:14" x14ac:dyDescent="0.3">
      <c r="A1038" s="2">
        <f>DATE(VALUE(RIGHT(TRIM([1]Raw_Data!A1036),4)),VALUE(MID(TRIM([1]Raw_Data!A1036),4,2)),VALUE(LEFT(TRIM([1]Raw_Data!A1036),2)))</f>
        <v>44284</v>
      </c>
      <c r="B1038" s="3" t="str">
        <f>TRIM([1]Raw_Data!B1036)</f>
        <v>Ashwagandha</v>
      </c>
      <c r="C1038" s="3" t="str">
        <f>TRIM([1]Raw_Data!C1036)</f>
        <v>Herbal</v>
      </c>
      <c r="D1038" s="3">
        <f>[1]Raw_Data!D1036</f>
        <v>173</v>
      </c>
      <c r="E1038" s="4">
        <f>[1]Raw_Data!E1036</f>
        <v>22.64</v>
      </c>
      <c r="F1038" s="5">
        <f>[1]Raw_Data!F1036</f>
        <v>3916.72</v>
      </c>
      <c r="G1038" s="4">
        <f>[1]Raw_Data!G1036</f>
        <v>0.1</v>
      </c>
      <c r="H1038" s="3">
        <f>[1]Raw_Data!H1036</f>
        <v>1</v>
      </c>
      <c r="I1038" s="3" t="str">
        <f>TRIM([1]Raw_Data!I1036)</f>
        <v>Canada</v>
      </c>
      <c r="J1038" s="3" t="str">
        <f>TRIM([1]Raw_Data!J1036)</f>
        <v>Walmart</v>
      </c>
      <c r="K1038" s="3">
        <f t="shared" si="64"/>
        <v>2021</v>
      </c>
      <c r="L1038" s="6">
        <f t="shared" si="65"/>
        <v>44256</v>
      </c>
      <c r="M1038" s="3" t="str">
        <f t="shared" si="66"/>
        <v>6% to 10%</v>
      </c>
      <c r="N1038" s="3" t="str">
        <f t="shared" si="67"/>
        <v>OK</v>
      </c>
    </row>
    <row r="1039" spans="1:14" x14ac:dyDescent="0.3">
      <c r="A1039" s="2">
        <f>DATE(VALUE(RIGHT(TRIM([1]Raw_Data!A1037),4)),VALUE(MID(TRIM([1]Raw_Data!A1037),4,2)),VALUE(LEFT(TRIM([1]Raw_Data!A1037),2)))</f>
        <v>44284</v>
      </c>
      <c r="B1039" s="3" t="str">
        <f>TRIM([1]Raw_Data!B1037)</f>
        <v>Melatonin</v>
      </c>
      <c r="C1039" s="3" t="str">
        <f>TRIM([1]Raw_Data!C1037)</f>
        <v>Sleep Aid</v>
      </c>
      <c r="D1039" s="3">
        <f>[1]Raw_Data!D1037</f>
        <v>161</v>
      </c>
      <c r="E1039" s="4">
        <f>[1]Raw_Data!E1037</f>
        <v>18.54</v>
      </c>
      <c r="F1039" s="5">
        <f>[1]Raw_Data!F1037</f>
        <v>2984.94</v>
      </c>
      <c r="G1039" s="4">
        <f>[1]Raw_Data!G1037</f>
        <v>7.0000000000000007E-2</v>
      </c>
      <c r="H1039" s="3">
        <f>[1]Raw_Data!H1037</f>
        <v>1</v>
      </c>
      <c r="I1039" s="3" t="str">
        <f>TRIM([1]Raw_Data!I1037)</f>
        <v>UK</v>
      </c>
      <c r="J1039" s="3" t="str">
        <f>TRIM([1]Raw_Data!J1037)</f>
        <v>iHerb</v>
      </c>
      <c r="K1039" s="3">
        <f t="shared" si="64"/>
        <v>2021</v>
      </c>
      <c r="L1039" s="6">
        <f t="shared" si="65"/>
        <v>44256</v>
      </c>
      <c r="M1039" s="3" t="str">
        <f t="shared" si="66"/>
        <v>6% to 10%</v>
      </c>
      <c r="N1039" s="3" t="str">
        <f t="shared" si="67"/>
        <v>OK</v>
      </c>
    </row>
    <row r="1040" spans="1:14" x14ac:dyDescent="0.3">
      <c r="A1040" s="2">
        <f>DATE(VALUE(RIGHT(TRIM([1]Raw_Data!A1038),4)),VALUE(MID(TRIM([1]Raw_Data!A1038),4,2)),VALUE(LEFT(TRIM([1]Raw_Data!A1038),2)))</f>
        <v>44284</v>
      </c>
      <c r="B1040" s="3" t="str">
        <f>TRIM([1]Raw_Data!B1038)</f>
        <v>Biotin</v>
      </c>
      <c r="C1040" s="3" t="str">
        <f>TRIM([1]Raw_Data!C1038)</f>
        <v>Vitamin</v>
      </c>
      <c r="D1040" s="3">
        <f>[1]Raw_Data!D1038</f>
        <v>135</v>
      </c>
      <c r="E1040" s="4">
        <f>[1]Raw_Data!E1038</f>
        <v>38.29</v>
      </c>
      <c r="F1040" s="5">
        <f>[1]Raw_Data!F1038</f>
        <v>5169.1499999999996</v>
      </c>
      <c r="G1040" s="4">
        <f>[1]Raw_Data!G1038</f>
        <v>0.18</v>
      </c>
      <c r="H1040" s="3">
        <f>[1]Raw_Data!H1038</f>
        <v>3</v>
      </c>
      <c r="I1040" s="3" t="str">
        <f>TRIM([1]Raw_Data!I1038)</f>
        <v>UK</v>
      </c>
      <c r="J1040" s="3" t="str">
        <f>TRIM([1]Raw_Data!J1038)</f>
        <v>iHerb</v>
      </c>
      <c r="K1040" s="3">
        <f t="shared" si="64"/>
        <v>2021</v>
      </c>
      <c r="L1040" s="6">
        <f t="shared" si="65"/>
        <v>44256</v>
      </c>
      <c r="M1040" s="3" t="str">
        <f t="shared" si="66"/>
        <v>16% to 20%</v>
      </c>
      <c r="N1040" s="3" t="str">
        <f t="shared" si="67"/>
        <v>OK</v>
      </c>
    </row>
    <row r="1041" spans="1:14" x14ac:dyDescent="0.3">
      <c r="A1041" s="2">
        <f>DATE(VALUE(RIGHT(TRIM([1]Raw_Data!A1039),4)),VALUE(MID(TRIM([1]Raw_Data!A1039),4,2)),VALUE(LEFT(TRIM([1]Raw_Data!A1039),2)))</f>
        <v>44284</v>
      </c>
      <c r="B1041" s="3" t="str">
        <f>TRIM([1]Raw_Data!B1039)</f>
        <v>Green Tea Extract</v>
      </c>
      <c r="C1041" s="3" t="str">
        <f>TRIM([1]Raw_Data!C1039)</f>
        <v>Fat Burner</v>
      </c>
      <c r="D1041" s="3">
        <f>[1]Raw_Data!D1039</f>
        <v>140</v>
      </c>
      <c r="E1041" s="4">
        <f>[1]Raw_Data!E1039</f>
        <v>25.11</v>
      </c>
      <c r="F1041" s="5">
        <f>[1]Raw_Data!F1039</f>
        <v>3515.4</v>
      </c>
      <c r="G1041" s="4">
        <f>[1]Raw_Data!G1039</f>
        <v>0.22</v>
      </c>
      <c r="H1041" s="3">
        <f>[1]Raw_Data!H1039</f>
        <v>4</v>
      </c>
      <c r="I1041" s="3" t="str">
        <f>TRIM([1]Raw_Data!I1039)</f>
        <v>USA</v>
      </c>
      <c r="J1041" s="3" t="str">
        <f>TRIM([1]Raw_Data!J1039)</f>
        <v>iHerb</v>
      </c>
      <c r="K1041" s="3">
        <f t="shared" si="64"/>
        <v>2021</v>
      </c>
      <c r="L1041" s="6">
        <f t="shared" si="65"/>
        <v>44256</v>
      </c>
      <c r="M1041" s="3" t="str">
        <f t="shared" si="66"/>
        <v>21% to 25%</v>
      </c>
      <c r="N1041" s="3" t="str">
        <f t="shared" si="67"/>
        <v>OK</v>
      </c>
    </row>
    <row r="1042" spans="1:14" x14ac:dyDescent="0.3">
      <c r="A1042" s="2">
        <f>DATE(VALUE(RIGHT(TRIM([1]Raw_Data!A1040),4)),VALUE(MID(TRIM([1]Raw_Data!A1040),4,2)),VALUE(LEFT(TRIM([1]Raw_Data!A1040),2)))</f>
        <v>44284</v>
      </c>
      <c r="B1042" s="3" t="str">
        <f>TRIM([1]Raw_Data!B1040)</f>
        <v>Iron Supplement</v>
      </c>
      <c r="C1042" s="3" t="str">
        <f>TRIM([1]Raw_Data!C1040)</f>
        <v>Mineral</v>
      </c>
      <c r="D1042" s="3">
        <f>[1]Raw_Data!D1040</f>
        <v>165</v>
      </c>
      <c r="E1042" s="4">
        <f>[1]Raw_Data!E1040</f>
        <v>57.37</v>
      </c>
      <c r="F1042" s="5">
        <f>[1]Raw_Data!F1040</f>
        <v>9466.0499999999993</v>
      </c>
      <c r="G1042" s="4">
        <f>[1]Raw_Data!G1040</f>
        <v>0.11</v>
      </c>
      <c r="H1042" s="3">
        <f>[1]Raw_Data!H1040</f>
        <v>0</v>
      </c>
      <c r="I1042" s="3" t="str">
        <f>TRIM([1]Raw_Data!I1040)</f>
        <v>UK</v>
      </c>
      <c r="J1042" s="3" t="str">
        <f>TRIM([1]Raw_Data!J1040)</f>
        <v>iHerb</v>
      </c>
      <c r="K1042" s="3">
        <f t="shared" si="64"/>
        <v>2021</v>
      </c>
      <c r="L1042" s="6">
        <f t="shared" si="65"/>
        <v>44256</v>
      </c>
      <c r="M1042" s="3" t="str">
        <f t="shared" si="66"/>
        <v>11% to 15%</v>
      </c>
      <c r="N1042" s="3" t="str">
        <f t="shared" si="67"/>
        <v>OK</v>
      </c>
    </row>
    <row r="1043" spans="1:14" x14ac:dyDescent="0.3">
      <c r="A1043" s="2">
        <f>DATE(VALUE(RIGHT(TRIM([1]Raw_Data!A1041),4)),VALUE(MID(TRIM([1]Raw_Data!A1041),4,2)),VALUE(LEFT(TRIM([1]Raw_Data!A1041),2)))</f>
        <v>44284</v>
      </c>
      <c r="B1043" s="3" t="str">
        <f>TRIM([1]Raw_Data!B1041)</f>
        <v>Electrolyte Powder</v>
      </c>
      <c r="C1043" s="3" t="str">
        <f>TRIM([1]Raw_Data!C1041)</f>
        <v>Hydration</v>
      </c>
      <c r="D1043" s="3">
        <f>[1]Raw_Data!D1041</f>
        <v>148</v>
      </c>
      <c r="E1043" s="4">
        <f>[1]Raw_Data!E1041</f>
        <v>37.19</v>
      </c>
      <c r="F1043" s="5">
        <f>[1]Raw_Data!F1041</f>
        <v>5504.12</v>
      </c>
      <c r="G1043" s="4">
        <f>[1]Raw_Data!G1041</f>
        <v>0.08</v>
      </c>
      <c r="H1043" s="3">
        <f>[1]Raw_Data!H1041</f>
        <v>1</v>
      </c>
      <c r="I1043" s="3" t="str">
        <f>TRIM([1]Raw_Data!I1041)</f>
        <v>USA</v>
      </c>
      <c r="J1043" s="3" t="str">
        <f>TRIM([1]Raw_Data!J1041)</f>
        <v>Amazon</v>
      </c>
      <c r="K1043" s="3">
        <f t="shared" si="64"/>
        <v>2021</v>
      </c>
      <c r="L1043" s="6">
        <f t="shared" si="65"/>
        <v>44256</v>
      </c>
      <c r="M1043" s="3" t="str">
        <f t="shared" si="66"/>
        <v>6% to 10%</v>
      </c>
      <c r="N1043" s="3" t="str">
        <f t="shared" si="67"/>
        <v>OK</v>
      </c>
    </row>
    <row r="1044" spans="1:14" x14ac:dyDescent="0.3">
      <c r="A1044" s="2">
        <f>DATE(VALUE(RIGHT(TRIM([1]Raw_Data!A1042),4)),VALUE(MID(TRIM([1]Raw_Data!A1042),4,2)),VALUE(LEFT(TRIM([1]Raw_Data!A1042),2)))</f>
        <v>44291</v>
      </c>
      <c r="B1044" s="3" t="str">
        <f>TRIM([1]Raw_Data!B1042)</f>
        <v>Whey Protein</v>
      </c>
      <c r="C1044" s="3" t="str">
        <f>TRIM([1]Raw_Data!C1042)</f>
        <v>Protein</v>
      </c>
      <c r="D1044" s="3">
        <f>[1]Raw_Data!D1042</f>
        <v>154</v>
      </c>
      <c r="E1044" s="4">
        <f>[1]Raw_Data!E1042</f>
        <v>43.1</v>
      </c>
      <c r="F1044" s="5">
        <f>[1]Raw_Data!F1042</f>
        <v>6637.4</v>
      </c>
      <c r="G1044" s="4">
        <f>[1]Raw_Data!G1042</f>
        <v>0.11</v>
      </c>
      <c r="H1044" s="3">
        <f>[1]Raw_Data!H1042</f>
        <v>3</v>
      </c>
      <c r="I1044" s="3" t="str">
        <f>TRIM([1]Raw_Data!I1042)</f>
        <v>UK</v>
      </c>
      <c r="J1044" s="3" t="str">
        <f>TRIM([1]Raw_Data!J1042)</f>
        <v>Amazon</v>
      </c>
      <c r="K1044" s="3">
        <f t="shared" si="64"/>
        <v>2021</v>
      </c>
      <c r="L1044" s="6">
        <f t="shared" si="65"/>
        <v>44287</v>
      </c>
      <c r="M1044" s="3" t="str">
        <f t="shared" si="66"/>
        <v>11% to 15%</v>
      </c>
      <c r="N1044" s="3" t="str">
        <f t="shared" si="67"/>
        <v>OK</v>
      </c>
    </row>
    <row r="1045" spans="1:14" x14ac:dyDescent="0.3">
      <c r="A1045" s="2">
        <f>DATE(VALUE(RIGHT(TRIM([1]Raw_Data!A1043),4)),VALUE(MID(TRIM([1]Raw_Data!A1043),4,2)),VALUE(LEFT(TRIM([1]Raw_Data!A1043),2)))</f>
        <v>44291</v>
      </c>
      <c r="B1045" s="3" t="str">
        <f>TRIM([1]Raw_Data!B1043)</f>
        <v>Vitamin C</v>
      </c>
      <c r="C1045" s="3" t="str">
        <f>TRIM([1]Raw_Data!C1043)</f>
        <v>Vitamin</v>
      </c>
      <c r="D1045" s="3">
        <f>[1]Raw_Data!D1043</f>
        <v>169</v>
      </c>
      <c r="E1045" s="4">
        <f>[1]Raw_Data!E1043</f>
        <v>36.6</v>
      </c>
      <c r="F1045" s="5">
        <f>[1]Raw_Data!F1043</f>
        <v>6185.4</v>
      </c>
      <c r="G1045" s="4">
        <f>[1]Raw_Data!G1043</f>
        <v>7.0000000000000007E-2</v>
      </c>
      <c r="H1045" s="3">
        <f>[1]Raw_Data!H1043</f>
        <v>0</v>
      </c>
      <c r="I1045" s="3" t="str">
        <f>TRIM([1]Raw_Data!I1043)</f>
        <v>Canada</v>
      </c>
      <c r="J1045" s="3" t="str">
        <f>TRIM([1]Raw_Data!J1043)</f>
        <v>iHerb</v>
      </c>
      <c r="K1045" s="3">
        <f t="shared" si="64"/>
        <v>2021</v>
      </c>
      <c r="L1045" s="6">
        <f t="shared" si="65"/>
        <v>44287</v>
      </c>
      <c r="M1045" s="3" t="str">
        <f t="shared" si="66"/>
        <v>6% to 10%</v>
      </c>
      <c r="N1045" s="3" t="str">
        <f t="shared" si="67"/>
        <v>OK</v>
      </c>
    </row>
    <row r="1046" spans="1:14" x14ac:dyDescent="0.3">
      <c r="A1046" s="2">
        <f>DATE(VALUE(RIGHT(TRIM([1]Raw_Data!A1044),4)),VALUE(MID(TRIM([1]Raw_Data!A1044),4,2)),VALUE(LEFT(TRIM([1]Raw_Data!A1044),2)))</f>
        <v>44291</v>
      </c>
      <c r="B1046" s="3" t="str">
        <f>TRIM([1]Raw_Data!B1044)</f>
        <v>Fish Oil</v>
      </c>
      <c r="C1046" s="3" t="str">
        <f>TRIM([1]Raw_Data!C1044)</f>
        <v>Omega</v>
      </c>
      <c r="D1046" s="3">
        <f>[1]Raw_Data!D1044</f>
        <v>156</v>
      </c>
      <c r="E1046" s="4">
        <f>[1]Raw_Data!E1044</f>
        <v>18.149999999999999</v>
      </c>
      <c r="F1046" s="5">
        <f>[1]Raw_Data!F1044</f>
        <v>2831.4</v>
      </c>
      <c r="G1046" s="4">
        <f>[1]Raw_Data!G1044</f>
        <v>0.2</v>
      </c>
      <c r="H1046" s="3">
        <f>[1]Raw_Data!H1044</f>
        <v>3</v>
      </c>
      <c r="I1046" s="3" t="str">
        <f>TRIM([1]Raw_Data!I1044)</f>
        <v>UK</v>
      </c>
      <c r="J1046" s="3" t="str">
        <f>TRIM([1]Raw_Data!J1044)</f>
        <v>Amazon</v>
      </c>
      <c r="K1046" s="3">
        <f t="shared" si="64"/>
        <v>2021</v>
      </c>
      <c r="L1046" s="6">
        <f t="shared" si="65"/>
        <v>44287</v>
      </c>
      <c r="M1046" s="3" t="str">
        <f t="shared" si="66"/>
        <v>16% to 20%</v>
      </c>
      <c r="N1046" s="3" t="str">
        <f t="shared" si="67"/>
        <v>OK</v>
      </c>
    </row>
    <row r="1047" spans="1:14" x14ac:dyDescent="0.3">
      <c r="A1047" s="2">
        <f>DATE(VALUE(RIGHT(TRIM([1]Raw_Data!A1045),4)),VALUE(MID(TRIM([1]Raw_Data!A1045),4,2)),VALUE(LEFT(TRIM([1]Raw_Data!A1045),2)))</f>
        <v>44291</v>
      </c>
      <c r="B1047" s="3" t="str">
        <f>TRIM([1]Raw_Data!B1045)</f>
        <v>Multivitamin</v>
      </c>
      <c r="C1047" s="3" t="str">
        <f>TRIM([1]Raw_Data!C1045)</f>
        <v>Vitamin</v>
      </c>
      <c r="D1047" s="3">
        <f>[1]Raw_Data!D1045</f>
        <v>170</v>
      </c>
      <c r="E1047" s="4">
        <f>[1]Raw_Data!E1045</f>
        <v>55.2</v>
      </c>
      <c r="F1047" s="5">
        <f>[1]Raw_Data!F1045</f>
        <v>9384</v>
      </c>
      <c r="G1047" s="4">
        <f>[1]Raw_Data!G1045</f>
        <v>0.08</v>
      </c>
      <c r="H1047" s="3">
        <f>[1]Raw_Data!H1045</f>
        <v>2</v>
      </c>
      <c r="I1047" s="3" t="str">
        <f>TRIM([1]Raw_Data!I1045)</f>
        <v>Canada</v>
      </c>
      <c r="J1047" s="3" t="str">
        <f>TRIM([1]Raw_Data!J1045)</f>
        <v>Amazon</v>
      </c>
      <c r="K1047" s="3">
        <f t="shared" si="64"/>
        <v>2021</v>
      </c>
      <c r="L1047" s="6">
        <f t="shared" si="65"/>
        <v>44287</v>
      </c>
      <c r="M1047" s="3" t="str">
        <f t="shared" si="66"/>
        <v>6% to 10%</v>
      </c>
      <c r="N1047" s="3" t="str">
        <f t="shared" si="67"/>
        <v>OK</v>
      </c>
    </row>
    <row r="1048" spans="1:14" x14ac:dyDescent="0.3">
      <c r="A1048" s="2">
        <f>DATE(VALUE(RIGHT(TRIM([1]Raw_Data!A1046),4)),VALUE(MID(TRIM([1]Raw_Data!A1046),4,2)),VALUE(LEFT(TRIM([1]Raw_Data!A1046),2)))</f>
        <v>44291</v>
      </c>
      <c r="B1048" s="3" t="str">
        <f>TRIM([1]Raw_Data!B1046)</f>
        <v>Pre-Workout</v>
      </c>
      <c r="C1048" s="3" t="str">
        <f>TRIM([1]Raw_Data!C1046)</f>
        <v>Performance</v>
      </c>
      <c r="D1048" s="3">
        <f>[1]Raw_Data!D1046</f>
        <v>123</v>
      </c>
      <c r="E1048" s="4">
        <f>[1]Raw_Data!E1046</f>
        <v>46.02</v>
      </c>
      <c r="F1048" s="5">
        <f>[1]Raw_Data!F1046</f>
        <v>5660.46</v>
      </c>
      <c r="G1048" s="4">
        <f>[1]Raw_Data!G1046</f>
        <v>0.11</v>
      </c>
      <c r="H1048" s="3">
        <f>[1]Raw_Data!H1046</f>
        <v>0</v>
      </c>
      <c r="I1048" s="3" t="str">
        <f>TRIM([1]Raw_Data!I1046)</f>
        <v>UK</v>
      </c>
      <c r="J1048" s="3" t="str">
        <f>TRIM([1]Raw_Data!J1046)</f>
        <v>Amazon</v>
      </c>
      <c r="K1048" s="3">
        <f t="shared" si="64"/>
        <v>2021</v>
      </c>
      <c r="L1048" s="6">
        <f t="shared" si="65"/>
        <v>44287</v>
      </c>
      <c r="M1048" s="3" t="str">
        <f t="shared" si="66"/>
        <v>11% to 15%</v>
      </c>
      <c r="N1048" s="3" t="str">
        <f t="shared" si="67"/>
        <v>OK</v>
      </c>
    </row>
    <row r="1049" spans="1:14" x14ac:dyDescent="0.3">
      <c r="A1049" s="2">
        <f>DATE(VALUE(RIGHT(TRIM([1]Raw_Data!A1047),4)),VALUE(MID(TRIM([1]Raw_Data!A1047),4,2)),VALUE(LEFT(TRIM([1]Raw_Data!A1047),2)))</f>
        <v>44291</v>
      </c>
      <c r="B1049" s="3" t="str">
        <f>TRIM([1]Raw_Data!B1047)</f>
        <v>BCAA</v>
      </c>
      <c r="C1049" s="3" t="str">
        <f>TRIM([1]Raw_Data!C1047)</f>
        <v>Amino Acid</v>
      </c>
      <c r="D1049" s="3">
        <f>[1]Raw_Data!D1047</f>
        <v>138</v>
      </c>
      <c r="E1049" s="4">
        <f>[1]Raw_Data!E1047</f>
        <v>10.02</v>
      </c>
      <c r="F1049" s="5">
        <f>[1]Raw_Data!F1047</f>
        <v>1382.76</v>
      </c>
      <c r="G1049" s="4">
        <f>[1]Raw_Data!G1047</f>
        <v>0.2</v>
      </c>
      <c r="H1049" s="3">
        <f>[1]Raw_Data!H1047</f>
        <v>0</v>
      </c>
      <c r="I1049" s="3" t="str">
        <f>TRIM([1]Raw_Data!I1047)</f>
        <v>Canada</v>
      </c>
      <c r="J1049" s="3" t="str">
        <f>TRIM([1]Raw_Data!J1047)</f>
        <v>Walmart</v>
      </c>
      <c r="K1049" s="3">
        <f t="shared" si="64"/>
        <v>2021</v>
      </c>
      <c r="L1049" s="6">
        <f t="shared" si="65"/>
        <v>44287</v>
      </c>
      <c r="M1049" s="3" t="str">
        <f t="shared" si="66"/>
        <v>16% to 20%</v>
      </c>
      <c r="N1049" s="3" t="str">
        <f t="shared" si="67"/>
        <v>OK</v>
      </c>
    </row>
    <row r="1050" spans="1:14" x14ac:dyDescent="0.3">
      <c r="A1050" s="2">
        <f>DATE(VALUE(RIGHT(TRIM([1]Raw_Data!A1048),4)),VALUE(MID(TRIM([1]Raw_Data!A1048),4,2)),VALUE(LEFT(TRIM([1]Raw_Data!A1048),2)))</f>
        <v>44291</v>
      </c>
      <c r="B1050" s="3" t="str">
        <f>TRIM([1]Raw_Data!B1048)</f>
        <v>Creatine</v>
      </c>
      <c r="C1050" s="3" t="str">
        <f>TRIM([1]Raw_Data!C1048)</f>
        <v>Performance</v>
      </c>
      <c r="D1050" s="3">
        <f>[1]Raw_Data!D1048</f>
        <v>138</v>
      </c>
      <c r="E1050" s="4">
        <f>[1]Raw_Data!E1048</f>
        <v>34.24</v>
      </c>
      <c r="F1050" s="5">
        <f>[1]Raw_Data!F1048</f>
        <v>4725.12</v>
      </c>
      <c r="G1050" s="4">
        <f>[1]Raw_Data!G1048</f>
        <v>0.09</v>
      </c>
      <c r="H1050" s="3">
        <f>[1]Raw_Data!H1048</f>
        <v>1</v>
      </c>
      <c r="I1050" s="3" t="str">
        <f>TRIM([1]Raw_Data!I1048)</f>
        <v>Canada</v>
      </c>
      <c r="J1050" s="3" t="str">
        <f>TRIM([1]Raw_Data!J1048)</f>
        <v>Walmart</v>
      </c>
      <c r="K1050" s="3">
        <f t="shared" si="64"/>
        <v>2021</v>
      </c>
      <c r="L1050" s="6">
        <f t="shared" si="65"/>
        <v>44287</v>
      </c>
      <c r="M1050" s="3" t="str">
        <f t="shared" si="66"/>
        <v>6% to 10%</v>
      </c>
      <c r="N1050" s="3" t="str">
        <f t="shared" si="67"/>
        <v>OK</v>
      </c>
    </row>
    <row r="1051" spans="1:14" x14ac:dyDescent="0.3">
      <c r="A1051" s="2">
        <f>DATE(VALUE(RIGHT(TRIM([1]Raw_Data!A1049),4)),VALUE(MID(TRIM([1]Raw_Data!A1049),4,2)),VALUE(LEFT(TRIM([1]Raw_Data!A1049),2)))</f>
        <v>44291</v>
      </c>
      <c r="B1051" s="3" t="str">
        <f>TRIM([1]Raw_Data!B1049)</f>
        <v>Zinc</v>
      </c>
      <c r="C1051" s="3" t="str">
        <f>TRIM([1]Raw_Data!C1049)</f>
        <v>Mineral</v>
      </c>
      <c r="D1051" s="3">
        <f>[1]Raw_Data!D1049</f>
        <v>166</v>
      </c>
      <c r="E1051" s="4">
        <f>[1]Raw_Data!E1049</f>
        <v>14.73</v>
      </c>
      <c r="F1051" s="5">
        <f>[1]Raw_Data!F1049</f>
        <v>2445.1799999999998</v>
      </c>
      <c r="G1051" s="4">
        <f>[1]Raw_Data!G1049</f>
        <v>0.19</v>
      </c>
      <c r="H1051" s="3">
        <f>[1]Raw_Data!H1049</f>
        <v>2</v>
      </c>
      <c r="I1051" s="3" t="str">
        <f>TRIM([1]Raw_Data!I1049)</f>
        <v>USA</v>
      </c>
      <c r="J1051" s="3" t="str">
        <f>TRIM([1]Raw_Data!J1049)</f>
        <v>iHerb</v>
      </c>
      <c r="K1051" s="3">
        <f t="shared" si="64"/>
        <v>2021</v>
      </c>
      <c r="L1051" s="6">
        <f t="shared" si="65"/>
        <v>44287</v>
      </c>
      <c r="M1051" s="3" t="str">
        <f t="shared" si="66"/>
        <v>16% to 20%</v>
      </c>
      <c r="N1051" s="3" t="str">
        <f t="shared" si="67"/>
        <v>OK</v>
      </c>
    </row>
    <row r="1052" spans="1:14" x14ac:dyDescent="0.3">
      <c r="A1052" s="2">
        <f>DATE(VALUE(RIGHT(TRIM([1]Raw_Data!A1050),4)),VALUE(MID(TRIM([1]Raw_Data!A1050),4,2)),VALUE(LEFT(TRIM([1]Raw_Data!A1050),2)))</f>
        <v>44291</v>
      </c>
      <c r="B1052" s="3" t="str">
        <f>TRIM([1]Raw_Data!B1050)</f>
        <v>Collagen Peptides</v>
      </c>
      <c r="C1052" s="3" t="str">
        <f>TRIM([1]Raw_Data!C1050)</f>
        <v>Protein</v>
      </c>
      <c r="D1052" s="3">
        <f>[1]Raw_Data!D1050</f>
        <v>152</v>
      </c>
      <c r="E1052" s="4">
        <f>[1]Raw_Data!E1050</f>
        <v>17.02</v>
      </c>
      <c r="F1052" s="5">
        <f>[1]Raw_Data!F1050</f>
        <v>2587.04</v>
      </c>
      <c r="G1052" s="4">
        <f>[1]Raw_Data!G1050</f>
        <v>0.16</v>
      </c>
      <c r="H1052" s="3">
        <f>[1]Raw_Data!H1050</f>
        <v>0</v>
      </c>
      <c r="I1052" s="3" t="str">
        <f>TRIM([1]Raw_Data!I1050)</f>
        <v>Canada</v>
      </c>
      <c r="J1052" s="3" t="str">
        <f>TRIM([1]Raw_Data!J1050)</f>
        <v>iHerb</v>
      </c>
      <c r="K1052" s="3">
        <f t="shared" si="64"/>
        <v>2021</v>
      </c>
      <c r="L1052" s="6">
        <f t="shared" si="65"/>
        <v>44287</v>
      </c>
      <c r="M1052" s="3" t="str">
        <f t="shared" si="66"/>
        <v>16% to 20%</v>
      </c>
      <c r="N1052" s="3" t="str">
        <f t="shared" si="67"/>
        <v>OK</v>
      </c>
    </row>
    <row r="1053" spans="1:14" x14ac:dyDescent="0.3">
      <c r="A1053" s="2">
        <f>DATE(VALUE(RIGHT(TRIM([1]Raw_Data!A1051),4)),VALUE(MID(TRIM([1]Raw_Data!A1051),4,2)),VALUE(LEFT(TRIM([1]Raw_Data!A1051),2)))</f>
        <v>44291</v>
      </c>
      <c r="B1053" s="3" t="str">
        <f>TRIM([1]Raw_Data!B1051)</f>
        <v>Magnesium</v>
      </c>
      <c r="C1053" s="3" t="str">
        <f>TRIM([1]Raw_Data!C1051)</f>
        <v>Mineral</v>
      </c>
      <c r="D1053" s="3">
        <f>[1]Raw_Data!D1051</f>
        <v>150</v>
      </c>
      <c r="E1053" s="4">
        <f>[1]Raw_Data!E1051</f>
        <v>24.18</v>
      </c>
      <c r="F1053" s="5">
        <f>[1]Raw_Data!F1051</f>
        <v>3627</v>
      </c>
      <c r="G1053" s="4">
        <f>[1]Raw_Data!G1051</f>
        <v>0.24</v>
      </c>
      <c r="H1053" s="3">
        <f>[1]Raw_Data!H1051</f>
        <v>3</v>
      </c>
      <c r="I1053" s="3" t="str">
        <f>TRIM([1]Raw_Data!I1051)</f>
        <v>UK</v>
      </c>
      <c r="J1053" s="3" t="str">
        <f>TRIM([1]Raw_Data!J1051)</f>
        <v>iHerb</v>
      </c>
      <c r="K1053" s="3">
        <f t="shared" si="64"/>
        <v>2021</v>
      </c>
      <c r="L1053" s="6">
        <f t="shared" si="65"/>
        <v>44287</v>
      </c>
      <c r="M1053" s="3" t="str">
        <f t="shared" si="66"/>
        <v>21% to 25%</v>
      </c>
      <c r="N1053" s="3" t="str">
        <f t="shared" si="67"/>
        <v>OK</v>
      </c>
    </row>
    <row r="1054" spans="1:14" x14ac:dyDescent="0.3">
      <c r="A1054" s="2">
        <f>DATE(VALUE(RIGHT(TRIM([1]Raw_Data!A1052),4)),VALUE(MID(TRIM([1]Raw_Data!A1052),4,2)),VALUE(LEFT(TRIM([1]Raw_Data!A1052),2)))</f>
        <v>44291</v>
      </c>
      <c r="B1054" s="3" t="str">
        <f>TRIM([1]Raw_Data!B1052)</f>
        <v>Ashwagandha</v>
      </c>
      <c r="C1054" s="3" t="str">
        <f>TRIM([1]Raw_Data!C1052)</f>
        <v>Herbal</v>
      </c>
      <c r="D1054" s="3">
        <f>[1]Raw_Data!D1052</f>
        <v>158</v>
      </c>
      <c r="E1054" s="4">
        <f>[1]Raw_Data!E1052</f>
        <v>15.31</v>
      </c>
      <c r="F1054" s="5">
        <f>[1]Raw_Data!F1052</f>
        <v>2418.98</v>
      </c>
      <c r="G1054" s="4">
        <f>[1]Raw_Data!G1052</f>
        <v>0.12</v>
      </c>
      <c r="H1054" s="3">
        <f>[1]Raw_Data!H1052</f>
        <v>0</v>
      </c>
      <c r="I1054" s="3" t="str">
        <f>TRIM([1]Raw_Data!I1052)</f>
        <v>Canada</v>
      </c>
      <c r="J1054" s="3" t="str">
        <f>TRIM([1]Raw_Data!J1052)</f>
        <v>Amazon</v>
      </c>
      <c r="K1054" s="3">
        <f t="shared" si="64"/>
        <v>2021</v>
      </c>
      <c r="L1054" s="6">
        <f t="shared" si="65"/>
        <v>44287</v>
      </c>
      <c r="M1054" s="3" t="str">
        <f t="shared" si="66"/>
        <v>11% to 15%</v>
      </c>
      <c r="N1054" s="3" t="str">
        <f t="shared" si="67"/>
        <v>OK</v>
      </c>
    </row>
    <row r="1055" spans="1:14" x14ac:dyDescent="0.3">
      <c r="A1055" s="2">
        <f>DATE(VALUE(RIGHT(TRIM([1]Raw_Data!A1053),4)),VALUE(MID(TRIM([1]Raw_Data!A1053),4,2)),VALUE(LEFT(TRIM([1]Raw_Data!A1053),2)))</f>
        <v>44291</v>
      </c>
      <c r="B1055" s="3" t="str">
        <f>TRIM([1]Raw_Data!B1053)</f>
        <v>Melatonin</v>
      </c>
      <c r="C1055" s="3" t="str">
        <f>TRIM([1]Raw_Data!C1053)</f>
        <v>Sleep Aid</v>
      </c>
      <c r="D1055" s="3">
        <f>[1]Raw_Data!D1053</f>
        <v>149</v>
      </c>
      <c r="E1055" s="4">
        <f>[1]Raw_Data!E1053</f>
        <v>41.97</v>
      </c>
      <c r="F1055" s="5">
        <f>[1]Raw_Data!F1053</f>
        <v>6253.53</v>
      </c>
      <c r="G1055" s="4">
        <f>[1]Raw_Data!G1053</f>
        <v>0.03</v>
      </c>
      <c r="H1055" s="3">
        <f>[1]Raw_Data!H1053</f>
        <v>1</v>
      </c>
      <c r="I1055" s="3" t="str">
        <f>TRIM([1]Raw_Data!I1053)</f>
        <v>Canada</v>
      </c>
      <c r="J1055" s="3" t="str">
        <f>TRIM([1]Raw_Data!J1053)</f>
        <v>iHerb</v>
      </c>
      <c r="K1055" s="3">
        <f t="shared" si="64"/>
        <v>2021</v>
      </c>
      <c r="L1055" s="6">
        <f t="shared" si="65"/>
        <v>44287</v>
      </c>
      <c r="M1055" s="3" t="str">
        <f t="shared" si="66"/>
        <v>0% to 5%</v>
      </c>
      <c r="N1055" s="3" t="str">
        <f t="shared" si="67"/>
        <v>OK</v>
      </c>
    </row>
    <row r="1056" spans="1:14" x14ac:dyDescent="0.3">
      <c r="A1056" s="2">
        <f>DATE(VALUE(RIGHT(TRIM([1]Raw_Data!A1054),4)),VALUE(MID(TRIM([1]Raw_Data!A1054),4,2)),VALUE(LEFT(TRIM([1]Raw_Data!A1054),2)))</f>
        <v>44291</v>
      </c>
      <c r="B1056" s="3" t="str">
        <f>TRIM([1]Raw_Data!B1054)</f>
        <v>Biotin</v>
      </c>
      <c r="C1056" s="3" t="str">
        <f>TRIM([1]Raw_Data!C1054)</f>
        <v>Vitamin</v>
      </c>
      <c r="D1056" s="3">
        <f>[1]Raw_Data!D1054</f>
        <v>142</v>
      </c>
      <c r="E1056" s="4">
        <f>[1]Raw_Data!E1054</f>
        <v>12.03</v>
      </c>
      <c r="F1056" s="5">
        <f>[1]Raw_Data!F1054</f>
        <v>1708.26</v>
      </c>
      <c r="G1056" s="4">
        <f>[1]Raw_Data!G1054</f>
        <v>0.23</v>
      </c>
      <c r="H1056" s="3">
        <f>[1]Raw_Data!H1054</f>
        <v>3</v>
      </c>
      <c r="I1056" s="3" t="str">
        <f>TRIM([1]Raw_Data!I1054)</f>
        <v>UK</v>
      </c>
      <c r="J1056" s="3" t="str">
        <f>TRIM([1]Raw_Data!J1054)</f>
        <v>Amazon</v>
      </c>
      <c r="K1056" s="3">
        <f t="shared" si="64"/>
        <v>2021</v>
      </c>
      <c r="L1056" s="6">
        <f t="shared" si="65"/>
        <v>44287</v>
      </c>
      <c r="M1056" s="3" t="str">
        <f t="shared" si="66"/>
        <v>21% to 25%</v>
      </c>
      <c r="N1056" s="3" t="str">
        <f t="shared" si="67"/>
        <v>OK</v>
      </c>
    </row>
    <row r="1057" spans="1:14" x14ac:dyDescent="0.3">
      <c r="A1057" s="2">
        <f>DATE(VALUE(RIGHT(TRIM([1]Raw_Data!A1055),4)),VALUE(MID(TRIM([1]Raw_Data!A1055),4,2)),VALUE(LEFT(TRIM([1]Raw_Data!A1055),2)))</f>
        <v>44291</v>
      </c>
      <c r="B1057" s="3" t="str">
        <f>TRIM([1]Raw_Data!B1055)</f>
        <v>Green Tea Extract</v>
      </c>
      <c r="C1057" s="3" t="str">
        <f>TRIM([1]Raw_Data!C1055)</f>
        <v>Fat Burner</v>
      </c>
      <c r="D1057" s="3">
        <f>[1]Raw_Data!D1055</f>
        <v>142</v>
      </c>
      <c r="E1057" s="4">
        <f>[1]Raw_Data!E1055</f>
        <v>11.56</v>
      </c>
      <c r="F1057" s="5">
        <f>[1]Raw_Data!F1055</f>
        <v>1641.52</v>
      </c>
      <c r="G1057" s="4">
        <f>[1]Raw_Data!G1055</f>
        <v>0.24</v>
      </c>
      <c r="H1057" s="3">
        <f>[1]Raw_Data!H1055</f>
        <v>1</v>
      </c>
      <c r="I1057" s="3" t="str">
        <f>TRIM([1]Raw_Data!I1055)</f>
        <v>UK</v>
      </c>
      <c r="J1057" s="3" t="str">
        <f>TRIM([1]Raw_Data!J1055)</f>
        <v>Amazon</v>
      </c>
      <c r="K1057" s="3">
        <f t="shared" si="64"/>
        <v>2021</v>
      </c>
      <c r="L1057" s="6">
        <f t="shared" si="65"/>
        <v>44287</v>
      </c>
      <c r="M1057" s="3" t="str">
        <f t="shared" si="66"/>
        <v>21% to 25%</v>
      </c>
      <c r="N1057" s="3" t="str">
        <f t="shared" si="67"/>
        <v>OK</v>
      </c>
    </row>
    <row r="1058" spans="1:14" x14ac:dyDescent="0.3">
      <c r="A1058" s="2">
        <f>DATE(VALUE(RIGHT(TRIM([1]Raw_Data!A1056),4)),VALUE(MID(TRIM([1]Raw_Data!A1056),4,2)),VALUE(LEFT(TRIM([1]Raw_Data!A1056),2)))</f>
        <v>44291</v>
      </c>
      <c r="B1058" s="3" t="str">
        <f>TRIM([1]Raw_Data!B1056)</f>
        <v>Iron Supplement</v>
      </c>
      <c r="C1058" s="3" t="str">
        <f>TRIM([1]Raw_Data!C1056)</f>
        <v>Mineral</v>
      </c>
      <c r="D1058" s="3">
        <f>[1]Raw_Data!D1056</f>
        <v>143</v>
      </c>
      <c r="E1058" s="4">
        <f>[1]Raw_Data!E1056</f>
        <v>13.32</v>
      </c>
      <c r="F1058" s="5">
        <f>[1]Raw_Data!F1056</f>
        <v>1904.76</v>
      </c>
      <c r="G1058" s="4">
        <f>[1]Raw_Data!G1056</f>
        <v>0.25</v>
      </c>
      <c r="H1058" s="3">
        <f>[1]Raw_Data!H1056</f>
        <v>0</v>
      </c>
      <c r="I1058" s="3" t="str">
        <f>TRIM([1]Raw_Data!I1056)</f>
        <v>Canada</v>
      </c>
      <c r="J1058" s="3" t="str">
        <f>TRIM([1]Raw_Data!J1056)</f>
        <v>iHerb</v>
      </c>
      <c r="K1058" s="3">
        <f t="shared" si="64"/>
        <v>2021</v>
      </c>
      <c r="L1058" s="6">
        <f t="shared" si="65"/>
        <v>44287</v>
      </c>
      <c r="M1058" s="3" t="str">
        <f t="shared" si="66"/>
        <v>21% to 25%</v>
      </c>
      <c r="N1058" s="3" t="str">
        <f t="shared" si="67"/>
        <v>OK</v>
      </c>
    </row>
    <row r="1059" spans="1:14" x14ac:dyDescent="0.3">
      <c r="A1059" s="2">
        <f>DATE(VALUE(RIGHT(TRIM([1]Raw_Data!A1057),4)),VALUE(MID(TRIM([1]Raw_Data!A1057),4,2)),VALUE(LEFT(TRIM([1]Raw_Data!A1057),2)))</f>
        <v>44291</v>
      </c>
      <c r="B1059" s="3" t="str">
        <f>TRIM([1]Raw_Data!B1057)</f>
        <v>Electrolyte Powder</v>
      </c>
      <c r="C1059" s="3" t="str">
        <f>TRIM([1]Raw_Data!C1057)</f>
        <v>Hydration</v>
      </c>
      <c r="D1059" s="3">
        <f>[1]Raw_Data!D1057</f>
        <v>156</v>
      </c>
      <c r="E1059" s="4">
        <f>[1]Raw_Data!E1057</f>
        <v>57.45</v>
      </c>
      <c r="F1059" s="5">
        <f>[1]Raw_Data!F1057</f>
        <v>8962.2000000000007</v>
      </c>
      <c r="G1059" s="4">
        <f>[1]Raw_Data!G1057</f>
        <v>0.06</v>
      </c>
      <c r="H1059" s="3">
        <f>[1]Raw_Data!H1057</f>
        <v>1</v>
      </c>
      <c r="I1059" s="3" t="str">
        <f>TRIM([1]Raw_Data!I1057)</f>
        <v>Canada</v>
      </c>
      <c r="J1059" s="3" t="str">
        <f>TRIM([1]Raw_Data!J1057)</f>
        <v>Amazon</v>
      </c>
      <c r="K1059" s="3">
        <f t="shared" si="64"/>
        <v>2021</v>
      </c>
      <c r="L1059" s="6">
        <f t="shared" si="65"/>
        <v>44287</v>
      </c>
      <c r="M1059" s="3" t="str">
        <f t="shared" si="66"/>
        <v>6% to 10%</v>
      </c>
      <c r="N1059" s="3" t="str">
        <f t="shared" si="67"/>
        <v>OK</v>
      </c>
    </row>
    <row r="1060" spans="1:14" x14ac:dyDescent="0.3">
      <c r="A1060" s="2">
        <f>DATE(VALUE(RIGHT(TRIM([1]Raw_Data!A1058),4)),VALUE(MID(TRIM([1]Raw_Data!A1058),4,2)),VALUE(LEFT(TRIM([1]Raw_Data!A1058),2)))</f>
        <v>44298</v>
      </c>
      <c r="B1060" s="3" t="str">
        <f>TRIM([1]Raw_Data!B1058)</f>
        <v>Whey Protein</v>
      </c>
      <c r="C1060" s="3" t="str">
        <f>TRIM([1]Raw_Data!C1058)</f>
        <v>Protein</v>
      </c>
      <c r="D1060" s="3">
        <f>[1]Raw_Data!D1058</f>
        <v>149</v>
      </c>
      <c r="E1060" s="4">
        <f>[1]Raw_Data!E1058</f>
        <v>13.4</v>
      </c>
      <c r="F1060" s="5">
        <f>[1]Raw_Data!F1058</f>
        <v>1996.6</v>
      </c>
      <c r="G1060" s="4">
        <f>[1]Raw_Data!G1058</f>
        <v>0.05</v>
      </c>
      <c r="H1060" s="3">
        <f>[1]Raw_Data!H1058</f>
        <v>0</v>
      </c>
      <c r="I1060" s="3" t="str">
        <f>TRIM([1]Raw_Data!I1058)</f>
        <v>USA</v>
      </c>
      <c r="J1060" s="3" t="str">
        <f>TRIM([1]Raw_Data!J1058)</f>
        <v>iHerb</v>
      </c>
      <c r="K1060" s="3">
        <f t="shared" si="64"/>
        <v>2021</v>
      </c>
      <c r="L1060" s="6">
        <f t="shared" si="65"/>
        <v>44287</v>
      </c>
      <c r="M1060" s="3" t="str">
        <f t="shared" si="66"/>
        <v>0% to 5%</v>
      </c>
      <c r="N1060" s="3" t="str">
        <f t="shared" si="67"/>
        <v>OK</v>
      </c>
    </row>
    <row r="1061" spans="1:14" x14ac:dyDescent="0.3">
      <c r="A1061" s="2">
        <f>DATE(VALUE(RIGHT(TRIM([1]Raw_Data!A1059),4)),VALUE(MID(TRIM([1]Raw_Data!A1059),4,2)),VALUE(LEFT(TRIM([1]Raw_Data!A1059),2)))</f>
        <v>44298</v>
      </c>
      <c r="B1061" s="3" t="str">
        <f>TRIM([1]Raw_Data!B1059)</f>
        <v>Vitamin C</v>
      </c>
      <c r="C1061" s="3" t="str">
        <f>TRIM([1]Raw_Data!C1059)</f>
        <v>Vitamin</v>
      </c>
      <c r="D1061" s="3">
        <f>[1]Raw_Data!D1059</f>
        <v>159</v>
      </c>
      <c r="E1061" s="4">
        <f>[1]Raw_Data!E1059</f>
        <v>38.67</v>
      </c>
      <c r="F1061" s="5">
        <f>[1]Raw_Data!F1059</f>
        <v>6148.53</v>
      </c>
      <c r="G1061" s="4">
        <f>[1]Raw_Data!G1059</f>
        <v>0.05</v>
      </c>
      <c r="H1061" s="3">
        <f>[1]Raw_Data!H1059</f>
        <v>3</v>
      </c>
      <c r="I1061" s="3" t="str">
        <f>TRIM([1]Raw_Data!I1059)</f>
        <v>USA</v>
      </c>
      <c r="J1061" s="3" t="str">
        <f>TRIM([1]Raw_Data!J1059)</f>
        <v>iHerb</v>
      </c>
      <c r="K1061" s="3">
        <f t="shared" si="64"/>
        <v>2021</v>
      </c>
      <c r="L1061" s="6">
        <f t="shared" si="65"/>
        <v>44287</v>
      </c>
      <c r="M1061" s="3" t="str">
        <f t="shared" si="66"/>
        <v>0% to 5%</v>
      </c>
      <c r="N1061" s="3" t="str">
        <f t="shared" si="67"/>
        <v>OK</v>
      </c>
    </row>
    <row r="1062" spans="1:14" x14ac:dyDescent="0.3">
      <c r="A1062" s="2">
        <f>DATE(VALUE(RIGHT(TRIM([1]Raw_Data!A1060),4)),VALUE(MID(TRIM([1]Raw_Data!A1060),4,2)),VALUE(LEFT(TRIM([1]Raw_Data!A1060),2)))</f>
        <v>44298</v>
      </c>
      <c r="B1062" s="3" t="str">
        <f>TRIM([1]Raw_Data!B1060)</f>
        <v>Fish Oil</v>
      </c>
      <c r="C1062" s="3" t="str">
        <f>TRIM([1]Raw_Data!C1060)</f>
        <v>Omega</v>
      </c>
      <c r="D1062" s="3">
        <f>[1]Raw_Data!D1060</f>
        <v>175</v>
      </c>
      <c r="E1062" s="4">
        <f>[1]Raw_Data!E1060</f>
        <v>27.62</v>
      </c>
      <c r="F1062" s="5">
        <f>[1]Raw_Data!F1060</f>
        <v>4833.5</v>
      </c>
      <c r="G1062" s="4">
        <f>[1]Raw_Data!G1060</f>
        <v>0.06</v>
      </c>
      <c r="H1062" s="3">
        <f>[1]Raw_Data!H1060</f>
        <v>0</v>
      </c>
      <c r="I1062" s="3" t="str">
        <f>TRIM([1]Raw_Data!I1060)</f>
        <v>Canada</v>
      </c>
      <c r="J1062" s="3" t="str">
        <f>TRIM([1]Raw_Data!J1060)</f>
        <v>iHerb</v>
      </c>
      <c r="K1062" s="3">
        <f t="shared" si="64"/>
        <v>2021</v>
      </c>
      <c r="L1062" s="6">
        <f t="shared" si="65"/>
        <v>44287</v>
      </c>
      <c r="M1062" s="3" t="str">
        <f t="shared" si="66"/>
        <v>6% to 10%</v>
      </c>
      <c r="N1062" s="3" t="str">
        <f t="shared" si="67"/>
        <v>OK</v>
      </c>
    </row>
    <row r="1063" spans="1:14" x14ac:dyDescent="0.3">
      <c r="A1063" s="2">
        <f>DATE(VALUE(RIGHT(TRIM([1]Raw_Data!A1061),4)),VALUE(MID(TRIM([1]Raw_Data!A1061),4,2)),VALUE(LEFT(TRIM([1]Raw_Data!A1061),2)))</f>
        <v>44298</v>
      </c>
      <c r="B1063" s="3" t="str">
        <f>TRIM([1]Raw_Data!B1061)</f>
        <v>Multivitamin</v>
      </c>
      <c r="C1063" s="3" t="str">
        <f>TRIM([1]Raw_Data!C1061)</f>
        <v>Vitamin</v>
      </c>
      <c r="D1063" s="3">
        <f>[1]Raw_Data!D1061</f>
        <v>141</v>
      </c>
      <c r="E1063" s="4">
        <f>[1]Raw_Data!E1061</f>
        <v>36.68</v>
      </c>
      <c r="F1063" s="5">
        <f>[1]Raw_Data!F1061</f>
        <v>5171.88</v>
      </c>
      <c r="G1063" s="4">
        <f>[1]Raw_Data!G1061</f>
        <v>0.24</v>
      </c>
      <c r="H1063" s="3">
        <f>[1]Raw_Data!H1061</f>
        <v>1</v>
      </c>
      <c r="I1063" s="3" t="str">
        <f>TRIM([1]Raw_Data!I1061)</f>
        <v>UK</v>
      </c>
      <c r="J1063" s="3" t="str">
        <f>TRIM([1]Raw_Data!J1061)</f>
        <v>Amazon</v>
      </c>
      <c r="K1063" s="3">
        <f t="shared" si="64"/>
        <v>2021</v>
      </c>
      <c r="L1063" s="6">
        <f t="shared" si="65"/>
        <v>44287</v>
      </c>
      <c r="M1063" s="3" t="str">
        <f t="shared" si="66"/>
        <v>21% to 25%</v>
      </c>
      <c r="N1063" s="3" t="str">
        <f t="shared" si="67"/>
        <v>OK</v>
      </c>
    </row>
    <row r="1064" spans="1:14" x14ac:dyDescent="0.3">
      <c r="A1064" s="2">
        <f>DATE(VALUE(RIGHT(TRIM([1]Raw_Data!A1062),4)),VALUE(MID(TRIM([1]Raw_Data!A1062),4,2)),VALUE(LEFT(TRIM([1]Raw_Data!A1062),2)))</f>
        <v>44298</v>
      </c>
      <c r="B1064" s="3" t="str">
        <f>TRIM([1]Raw_Data!B1062)</f>
        <v>Pre-Workout</v>
      </c>
      <c r="C1064" s="3" t="str">
        <f>TRIM([1]Raw_Data!C1062)</f>
        <v>Performance</v>
      </c>
      <c r="D1064" s="3">
        <f>[1]Raw_Data!D1062</f>
        <v>157</v>
      </c>
      <c r="E1064" s="4">
        <f>[1]Raw_Data!E1062</f>
        <v>35.630000000000003</v>
      </c>
      <c r="F1064" s="5">
        <f>[1]Raw_Data!F1062</f>
        <v>5593.91</v>
      </c>
      <c r="G1064" s="4">
        <f>[1]Raw_Data!G1062</f>
        <v>7.0000000000000007E-2</v>
      </c>
      <c r="H1064" s="3">
        <f>[1]Raw_Data!H1062</f>
        <v>1</v>
      </c>
      <c r="I1064" s="3" t="str">
        <f>TRIM([1]Raw_Data!I1062)</f>
        <v>Canada</v>
      </c>
      <c r="J1064" s="3" t="str">
        <f>TRIM([1]Raw_Data!J1062)</f>
        <v>Walmart</v>
      </c>
      <c r="K1064" s="3">
        <f t="shared" si="64"/>
        <v>2021</v>
      </c>
      <c r="L1064" s="6">
        <f t="shared" si="65"/>
        <v>44287</v>
      </c>
      <c r="M1064" s="3" t="str">
        <f t="shared" si="66"/>
        <v>6% to 10%</v>
      </c>
      <c r="N1064" s="3" t="str">
        <f t="shared" si="67"/>
        <v>OK</v>
      </c>
    </row>
    <row r="1065" spans="1:14" x14ac:dyDescent="0.3">
      <c r="A1065" s="2">
        <f>DATE(VALUE(RIGHT(TRIM([1]Raw_Data!A1063),4)),VALUE(MID(TRIM([1]Raw_Data!A1063),4,2)),VALUE(LEFT(TRIM([1]Raw_Data!A1063),2)))</f>
        <v>44298</v>
      </c>
      <c r="B1065" s="3" t="str">
        <f>TRIM([1]Raw_Data!B1063)</f>
        <v>BCAA</v>
      </c>
      <c r="C1065" s="3" t="str">
        <f>TRIM([1]Raw_Data!C1063)</f>
        <v>Amino Acid</v>
      </c>
      <c r="D1065" s="3">
        <f>[1]Raw_Data!D1063</f>
        <v>149</v>
      </c>
      <c r="E1065" s="4">
        <f>[1]Raw_Data!E1063</f>
        <v>57.03</v>
      </c>
      <c r="F1065" s="5">
        <f>[1]Raw_Data!F1063</f>
        <v>8497.4699999999993</v>
      </c>
      <c r="G1065" s="4">
        <f>[1]Raw_Data!G1063</f>
        <v>0.08</v>
      </c>
      <c r="H1065" s="3">
        <f>[1]Raw_Data!H1063</f>
        <v>0</v>
      </c>
      <c r="I1065" s="3" t="str">
        <f>TRIM([1]Raw_Data!I1063)</f>
        <v>UK</v>
      </c>
      <c r="J1065" s="3" t="str">
        <f>TRIM([1]Raw_Data!J1063)</f>
        <v>Walmart</v>
      </c>
      <c r="K1065" s="3">
        <f t="shared" si="64"/>
        <v>2021</v>
      </c>
      <c r="L1065" s="6">
        <f t="shared" si="65"/>
        <v>44287</v>
      </c>
      <c r="M1065" s="3" t="str">
        <f t="shared" si="66"/>
        <v>6% to 10%</v>
      </c>
      <c r="N1065" s="3" t="str">
        <f t="shared" si="67"/>
        <v>OK</v>
      </c>
    </row>
    <row r="1066" spans="1:14" x14ac:dyDescent="0.3">
      <c r="A1066" s="2">
        <f>DATE(VALUE(RIGHT(TRIM([1]Raw_Data!A1064),4)),VALUE(MID(TRIM([1]Raw_Data!A1064),4,2)),VALUE(LEFT(TRIM([1]Raw_Data!A1064),2)))</f>
        <v>44298</v>
      </c>
      <c r="B1066" s="3" t="str">
        <f>TRIM([1]Raw_Data!B1064)</f>
        <v>Creatine</v>
      </c>
      <c r="C1066" s="3" t="str">
        <f>TRIM([1]Raw_Data!C1064)</f>
        <v>Performance</v>
      </c>
      <c r="D1066" s="3">
        <f>[1]Raw_Data!D1064</f>
        <v>150</v>
      </c>
      <c r="E1066" s="4">
        <f>[1]Raw_Data!E1064</f>
        <v>18.420000000000002</v>
      </c>
      <c r="F1066" s="5">
        <f>[1]Raw_Data!F1064</f>
        <v>2763</v>
      </c>
      <c r="G1066" s="4">
        <f>[1]Raw_Data!G1064</f>
        <v>0.19</v>
      </c>
      <c r="H1066" s="3">
        <f>[1]Raw_Data!H1064</f>
        <v>5</v>
      </c>
      <c r="I1066" s="3" t="str">
        <f>TRIM([1]Raw_Data!I1064)</f>
        <v>Canada</v>
      </c>
      <c r="J1066" s="3" t="str">
        <f>TRIM([1]Raw_Data!J1064)</f>
        <v>iHerb</v>
      </c>
      <c r="K1066" s="3">
        <f t="shared" si="64"/>
        <v>2021</v>
      </c>
      <c r="L1066" s="6">
        <f t="shared" si="65"/>
        <v>44287</v>
      </c>
      <c r="M1066" s="3" t="str">
        <f t="shared" si="66"/>
        <v>16% to 20%</v>
      </c>
      <c r="N1066" s="3" t="str">
        <f t="shared" si="67"/>
        <v>OK</v>
      </c>
    </row>
    <row r="1067" spans="1:14" x14ac:dyDescent="0.3">
      <c r="A1067" s="2">
        <f>DATE(VALUE(RIGHT(TRIM([1]Raw_Data!A1065),4)),VALUE(MID(TRIM([1]Raw_Data!A1065),4,2)),VALUE(LEFT(TRIM([1]Raw_Data!A1065),2)))</f>
        <v>44298</v>
      </c>
      <c r="B1067" s="3" t="str">
        <f>TRIM([1]Raw_Data!B1065)</f>
        <v>Zinc</v>
      </c>
      <c r="C1067" s="3" t="str">
        <f>TRIM([1]Raw_Data!C1065)</f>
        <v>Mineral</v>
      </c>
      <c r="D1067" s="3">
        <f>[1]Raw_Data!D1065</f>
        <v>176</v>
      </c>
      <c r="E1067" s="4">
        <f>[1]Raw_Data!E1065</f>
        <v>53.77</v>
      </c>
      <c r="F1067" s="5">
        <f>[1]Raw_Data!F1065</f>
        <v>9463.52</v>
      </c>
      <c r="G1067" s="4">
        <f>[1]Raw_Data!G1065</f>
        <v>0.18</v>
      </c>
      <c r="H1067" s="3">
        <f>[1]Raw_Data!H1065</f>
        <v>1</v>
      </c>
      <c r="I1067" s="3" t="str">
        <f>TRIM([1]Raw_Data!I1065)</f>
        <v>USA</v>
      </c>
      <c r="J1067" s="3" t="str">
        <f>TRIM([1]Raw_Data!J1065)</f>
        <v>iHerb</v>
      </c>
      <c r="K1067" s="3">
        <f t="shared" si="64"/>
        <v>2021</v>
      </c>
      <c r="L1067" s="6">
        <f t="shared" si="65"/>
        <v>44287</v>
      </c>
      <c r="M1067" s="3" t="str">
        <f t="shared" si="66"/>
        <v>16% to 20%</v>
      </c>
      <c r="N1067" s="3" t="str">
        <f t="shared" si="67"/>
        <v>OK</v>
      </c>
    </row>
    <row r="1068" spans="1:14" x14ac:dyDescent="0.3">
      <c r="A1068" s="2">
        <f>DATE(VALUE(RIGHT(TRIM([1]Raw_Data!A1066),4)),VALUE(MID(TRIM([1]Raw_Data!A1066),4,2)),VALUE(LEFT(TRIM([1]Raw_Data!A1066),2)))</f>
        <v>44298</v>
      </c>
      <c r="B1068" s="3" t="str">
        <f>TRIM([1]Raw_Data!B1066)</f>
        <v>Collagen Peptides</v>
      </c>
      <c r="C1068" s="3" t="str">
        <f>TRIM([1]Raw_Data!C1066)</f>
        <v>Protein</v>
      </c>
      <c r="D1068" s="3">
        <f>[1]Raw_Data!D1066</f>
        <v>151</v>
      </c>
      <c r="E1068" s="4">
        <f>[1]Raw_Data!E1066</f>
        <v>34.01</v>
      </c>
      <c r="F1068" s="5">
        <f>[1]Raw_Data!F1066</f>
        <v>5135.51</v>
      </c>
      <c r="G1068" s="4">
        <f>[1]Raw_Data!G1066</f>
        <v>0.09</v>
      </c>
      <c r="H1068" s="3">
        <f>[1]Raw_Data!H1066</f>
        <v>1</v>
      </c>
      <c r="I1068" s="3" t="str">
        <f>TRIM([1]Raw_Data!I1066)</f>
        <v>Canada</v>
      </c>
      <c r="J1068" s="3" t="str">
        <f>TRIM([1]Raw_Data!J1066)</f>
        <v>Amazon</v>
      </c>
      <c r="K1068" s="3">
        <f t="shared" si="64"/>
        <v>2021</v>
      </c>
      <c r="L1068" s="6">
        <f t="shared" si="65"/>
        <v>44287</v>
      </c>
      <c r="M1068" s="3" t="str">
        <f t="shared" si="66"/>
        <v>6% to 10%</v>
      </c>
      <c r="N1068" s="3" t="str">
        <f t="shared" si="67"/>
        <v>OK</v>
      </c>
    </row>
    <row r="1069" spans="1:14" x14ac:dyDescent="0.3">
      <c r="A1069" s="2">
        <f>DATE(VALUE(RIGHT(TRIM([1]Raw_Data!A1067),4)),VALUE(MID(TRIM([1]Raw_Data!A1067),4,2)),VALUE(LEFT(TRIM([1]Raw_Data!A1067),2)))</f>
        <v>44298</v>
      </c>
      <c r="B1069" s="3" t="str">
        <f>TRIM([1]Raw_Data!B1067)</f>
        <v>Magnesium</v>
      </c>
      <c r="C1069" s="3" t="str">
        <f>TRIM([1]Raw_Data!C1067)</f>
        <v>Mineral</v>
      </c>
      <c r="D1069" s="3">
        <f>[1]Raw_Data!D1067</f>
        <v>153</v>
      </c>
      <c r="E1069" s="4">
        <f>[1]Raw_Data!E1067</f>
        <v>55.05</v>
      </c>
      <c r="F1069" s="5">
        <f>[1]Raw_Data!F1067</f>
        <v>8422.65</v>
      </c>
      <c r="G1069" s="4">
        <f>[1]Raw_Data!G1067</f>
        <v>0.17</v>
      </c>
      <c r="H1069" s="3">
        <f>[1]Raw_Data!H1067</f>
        <v>2</v>
      </c>
      <c r="I1069" s="3" t="str">
        <f>TRIM([1]Raw_Data!I1067)</f>
        <v>USA</v>
      </c>
      <c r="J1069" s="3" t="str">
        <f>TRIM([1]Raw_Data!J1067)</f>
        <v>iHerb</v>
      </c>
      <c r="K1069" s="3">
        <f t="shared" si="64"/>
        <v>2021</v>
      </c>
      <c r="L1069" s="6">
        <f t="shared" si="65"/>
        <v>44287</v>
      </c>
      <c r="M1069" s="3" t="str">
        <f t="shared" si="66"/>
        <v>16% to 20%</v>
      </c>
      <c r="N1069" s="3" t="str">
        <f t="shared" si="67"/>
        <v>OK</v>
      </c>
    </row>
    <row r="1070" spans="1:14" x14ac:dyDescent="0.3">
      <c r="A1070" s="2">
        <f>DATE(VALUE(RIGHT(TRIM([1]Raw_Data!A1068),4)),VALUE(MID(TRIM([1]Raw_Data!A1068),4,2)),VALUE(LEFT(TRIM([1]Raw_Data!A1068),2)))</f>
        <v>44298</v>
      </c>
      <c r="B1070" s="3" t="str">
        <f>TRIM([1]Raw_Data!B1068)</f>
        <v>Ashwagandha</v>
      </c>
      <c r="C1070" s="3" t="str">
        <f>TRIM([1]Raw_Data!C1068)</f>
        <v>Herbal</v>
      </c>
      <c r="D1070" s="3">
        <f>[1]Raw_Data!D1068</f>
        <v>131</v>
      </c>
      <c r="E1070" s="4">
        <f>[1]Raw_Data!E1068</f>
        <v>16.05</v>
      </c>
      <c r="F1070" s="5">
        <f>[1]Raw_Data!F1068</f>
        <v>2102.5500000000002</v>
      </c>
      <c r="G1070" s="4">
        <f>[1]Raw_Data!G1068</f>
        <v>0.02</v>
      </c>
      <c r="H1070" s="3">
        <f>[1]Raw_Data!H1068</f>
        <v>1</v>
      </c>
      <c r="I1070" s="3" t="str">
        <f>TRIM([1]Raw_Data!I1068)</f>
        <v>UK</v>
      </c>
      <c r="J1070" s="3" t="str">
        <f>TRIM([1]Raw_Data!J1068)</f>
        <v>Walmart</v>
      </c>
      <c r="K1070" s="3">
        <f t="shared" si="64"/>
        <v>2021</v>
      </c>
      <c r="L1070" s="6">
        <f t="shared" si="65"/>
        <v>44287</v>
      </c>
      <c r="M1070" s="3" t="str">
        <f t="shared" si="66"/>
        <v>0% to 5%</v>
      </c>
      <c r="N1070" s="3" t="str">
        <f t="shared" si="67"/>
        <v>OK</v>
      </c>
    </row>
    <row r="1071" spans="1:14" x14ac:dyDescent="0.3">
      <c r="A1071" s="2">
        <f>DATE(VALUE(RIGHT(TRIM([1]Raw_Data!A1069),4)),VALUE(MID(TRIM([1]Raw_Data!A1069),4,2)),VALUE(LEFT(TRIM([1]Raw_Data!A1069),2)))</f>
        <v>44298</v>
      </c>
      <c r="B1071" s="3" t="str">
        <f>TRIM([1]Raw_Data!B1069)</f>
        <v>Melatonin</v>
      </c>
      <c r="C1071" s="3" t="str">
        <f>TRIM([1]Raw_Data!C1069)</f>
        <v>Sleep Aid</v>
      </c>
      <c r="D1071" s="3">
        <f>[1]Raw_Data!D1069</f>
        <v>146</v>
      </c>
      <c r="E1071" s="4">
        <f>[1]Raw_Data!E1069</f>
        <v>14.46</v>
      </c>
      <c r="F1071" s="5">
        <f>[1]Raw_Data!F1069</f>
        <v>2111.16</v>
      </c>
      <c r="G1071" s="4">
        <f>[1]Raw_Data!G1069</f>
        <v>0.11</v>
      </c>
      <c r="H1071" s="3">
        <f>[1]Raw_Data!H1069</f>
        <v>0</v>
      </c>
      <c r="I1071" s="3" t="str">
        <f>TRIM([1]Raw_Data!I1069)</f>
        <v>Canada</v>
      </c>
      <c r="J1071" s="3" t="str">
        <f>TRIM([1]Raw_Data!J1069)</f>
        <v>Walmart</v>
      </c>
      <c r="K1071" s="3">
        <f t="shared" si="64"/>
        <v>2021</v>
      </c>
      <c r="L1071" s="6">
        <f t="shared" si="65"/>
        <v>44287</v>
      </c>
      <c r="M1071" s="3" t="str">
        <f t="shared" si="66"/>
        <v>11% to 15%</v>
      </c>
      <c r="N1071" s="3" t="str">
        <f t="shared" si="67"/>
        <v>OK</v>
      </c>
    </row>
    <row r="1072" spans="1:14" x14ac:dyDescent="0.3">
      <c r="A1072" s="2">
        <f>DATE(VALUE(RIGHT(TRIM([1]Raw_Data!A1070),4)),VALUE(MID(TRIM([1]Raw_Data!A1070),4,2)),VALUE(LEFT(TRIM([1]Raw_Data!A1070),2)))</f>
        <v>44298</v>
      </c>
      <c r="B1072" s="3" t="str">
        <f>TRIM([1]Raw_Data!B1070)</f>
        <v>Biotin</v>
      </c>
      <c r="C1072" s="3" t="str">
        <f>TRIM([1]Raw_Data!C1070)</f>
        <v>Vitamin</v>
      </c>
      <c r="D1072" s="3">
        <f>[1]Raw_Data!D1070</f>
        <v>157</v>
      </c>
      <c r="E1072" s="4">
        <f>[1]Raw_Data!E1070</f>
        <v>14.74</v>
      </c>
      <c r="F1072" s="5">
        <f>[1]Raw_Data!F1070</f>
        <v>2314.1799999999998</v>
      </c>
      <c r="G1072" s="4">
        <f>[1]Raw_Data!G1070</f>
        <v>0.24</v>
      </c>
      <c r="H1072" s="3">
        <f>[1]Raw_Data!H1070</f>
        <v>1</v>
      </c>
      <c r="I1072" s="3" t="str">
        <f>TRIM([1]Raw_Data!I1070)</f>
        <v>Canada</v>
      </c>
      <c r="J1072" s="3" t="str">
        <f>TRIM([1]Raw_Data!J1070)</f>
        <v>Walmart</v>
      </c>
      <c r="K1072" s="3">
        <f t="shared" si="64"/>
        <v>2021</v>
      </c>
      <c r="L1072" s="6">
        <f t="shared" si="65"/>
        <v>44287</v>
      </c>
      <c r="M1072" s="3" t="str">
        <f t="shared" si="66"/>
        <v>21% to 25%</v>
      </c>
      <c r="N1072" s="3" t="str">
        <f t="shared" si="67"/>
        <v>OK</v>
      </c>
    </row>
    <row r="1073" spans="1:14" x14ac:dyDescent="0.3">
      <c r="A1073" s="2">
        <f>DATE(VALUE(RIGHT(TRIM([1]Raw_Data!A1071),4)),VALUE(MID(TRIM([1]Raw_Data!A1071),4,2)),VALUE(LEFT(TRIM([1]Raw_Data!A1071),2)))</f>
        <v>44298</v>
      </c>
      <c r="B1073" s="3" t="str">
        <f>TRIM([1]Raw_Data!B1071)</f>
        <v>Green Tea Extract</v>
      </c>
      <c r="C1073" s="3" t="str">
        <f>TRIM([1]Raw_Data!C1071)</f>
        <v>Fat Burner</v>
      </c>
      <c r="D1073" s="3">
        <f>[1]Raw_Data!D1071</f>
        <v>147</v>
      </c>
      <c r="E1073" s="4">
        <f>[1]Raw_Data!E1071</f>
        <v>11.23</v>
      </c>
      <c r="F1073" s="5">
        <f>[1]Raw_Data!F1071</f>
        <v>1650.81</v>
      </c>
      <c r="G1073" s="4">
        <f>[1]Raw_Data!G1071</f>
        <v>0.2</v>
      </c>
      <c r="H1073" s="3">
        <f>[1]Raw_Data!H1071</f>
        <v>1</v>
      </c>
      <c r="I1073" s="3" t="str">
        <f>TRIM([1]Raw_Data!I1071)</f>
        <v>Canada</v>
      </c>
      <c r="J1073" s="3" t="str">
        <f>TRIM([1]Raw_Data!J1071)</f>
        <v>Walmart</v>
      </c>
      <c r="K1073" s="3">
        <f t="shared" si="64"/>
        <v>2021</v>
      </c>
      <c r="L1073" s="6">
        <f t="shared" si="65"/>
        <v>44287</v>
      </c>
      <c r="M1073" s="3" t="str">
        <f t="shared" si="66"/>
        <v>16% to 20%</v>
      </c>
      <c r="N1073" s="3" t="str">
        <f t="shared" si="67"/>
        <v>OK</v>
      </c>
    </row>
    <row r="1074" spans="1:14" x14ac:dyDescent="0.3">
      <c r="A1074" s="2">
        <f>DATE(VALUE(RIGHT(TRIM([1]Raw_Data!A1072),4)),VALUE(MID(TRIM([1]Raw_Data!A1072),4,2)),VALUE(LEFT(TRIM([1]Raw_Data!A1072),2)))</f>
        <v>44298</v>
      </c>
      <c r="B1074" s="3" t="str">
        <f>TRIM([1]Raw_Data!B1072)</f>
        <v>Iron Supplement</v>
      </c>
      <c r="C1074" s="3" t="str">
        <f>TRIM([1]Raw_Data!C1072)</f>
        <v>Mineral</v>
      </c>
      <c r="D1074" s="3">
        <f>[1]Raw_Data!D1072</f>
        <v>142</v>
      </c>
      <c r="E1074" s="4">
        <f>[1]Raw_Data!E1072</f>
        <v>18.12</v>
      </c>
      <c r="F1074" s="5">
        <f>[1]Raw_Data!F1072</f>
        <v>2573.04</v>
      </c>
      <c r="G1074" s="4">
        <f>[1]Raw_Data!G1072</f>
        <v>0.22</v>
      </c>
      <c r="H1074" s="3">
        <f>[1]Raw_Data!H1072</f>
        <v>2</v>
      </c>
      <c r="I1074" s="3" t="str">
        <f>TRIM([1]Raw_Data!I1072)</f>
        <v>UK</v>
      </c>
      <c r="J1074" s="3" t="str">
        <f>TRIM([1]Raw_Data!J1072)</f>
        <v>Walmart</v>
      </c>
      <c r="K1074" s="3">
        <f t="shared" si="64"/>
        <v>2021</v>
      </c>
      <c r="L1074" s="6">
        <f t="shared" si="65"/>
        <v>44287</v>
      </c>
      <c r="M1074" s="3" t="str">
        <f t="shared" si="66"/>
        <v>21% to 25%</v>
      </c>
      <c r="N1074" s="3" t="str">
        <f t="shared" si="67"/>
        <v>OK</v>
      </c>
    </row>
    <row r="1075" spans="1:14" x14ac:dyDescent="0.3">
      <c r="A1075" s="2">
        <f>DATE(VALUE(RIGHT(TRIM([1]Raw_Data!A1073),4)),VALUE(MID(TRIM([1]Raw_Data!A1073),4,2)),VALUE(LEFT(TRIM([1]Raw_Data!A1073),2)))</f>
        <v>44298</v>
      </c>
      <c r="B1075" s="3" t="str">
        <f>TRIM([1]Raw_Data!B1073)</f>
        <v>Electrolyte Powder</v>
      </c>
      <c r="C1075" s="3" t="str">
        <f>TRIM([1]Raw_Data!C1073)</f>
        <v>Hydration</v>
      </c>
      <c r="D1075" s="3">
        <f>[1]Raw_Data!D1073</f>
        <v>140</v>
      </c>
      <c r="E1075" s="4">
        <f>[1]Raw_Data!E1073</f>
        <v>44.53</v>
      </c>
      <c r="F1075" s="5">
        <f>[1]Raw_Data!F1073</f>
        <v>6234.2</v>
      </c>
      <c r="G1075" s="4">
        <f>[1]Raw_Data!G1073</f>
        <v>0.14000000000000001</v>
      </c>
      <c r="H1075" s="3">
        <f>[1]Raw_Data!H1073</f>
        <v>1</v>
      </c>
      <c r="I1075" s="3" t="str">
        <f>TRIM([1]Raw_Data!I1073)</f>
        <v>USA</v>
      </c>
      <c r="J1075" s="3" t="str">
        <f>TRIM([1]Raw_Data!J1073)</f>
        <v>Amazon</v>
      </c>
      <c r="K1075" s="3">
        <f t="shared" si="64"/>
        <v>2021</v>
      </c>
      <c r="L1075" s="6">
        <f t="shared" si="65"/>
        <v>44287</v>
      </c>
      <c r="M1075" s="3" t="str">
        <f t="shared" si="66"/>
        <v>11% to 15%</v>
      </c>
      <c r="N1075" s="3" t="str">
        <f t="shared" si="67"/>
        <v>OK</v>
      </c>
    </row>
    <row r="1076" spans="1:14" x14ac:dyDescent="0.3">
      <c r="A1076" s="2">
        <f>DATE(VALUE(RIGHT(TRIM([1]Raw_Data!A1074),4)),VALUE(MID(TRIM([1]Raw_Data!A1074),4,2)),VALUE(LEFT(TRIM([1]Raw_Data!A1074),2)))</f>
        <v>44305</v>
      </c>
      <c r="B1076" s="3" t="str">
        <f>TRIM([1]Raw_Data!B1074)</f>
        <v>Whey Protein</v>
      </c>
      <c r="C1076" s="3" t="str">
        <f>TRIM([1]Raw_Data!C1074)</f>
        <v>Protein</v>
      </c>
      <c r="D1076" s="3">
        <f>[1]Raw_Data!D1074</f>
        <v>145</v>
      </c>
      <c r="E1076" s="4">
        <f>[1]Raw_Data!E1074</f>
        <v>43.48</v>
      </c>
      <c r="F1076" s="5">
        <f>[1]Raw_Data!F1074</f>
        <v>6304.6</v>
      </c>
      <c r="G1076" s="4">
        <f>[1]Raw_Data!G1074</f>
        <v>0.24</v>
      </c>
      <c r="H1076" s="3">
        <f>[1]Raw_Data!H1074</f>
        <v>0</v>
      </c>
      <c r="I1076" s="3" t="str">
        <f>TRIM([1]Raw_Data!I1074)</f>
        <v>Canada</v>
      </c>
      <c r="J1076" s="3" t="str">
        <f>TRIM([1]Raw_Data!J1074)</f>
        <v>Walmart</v>
      </c>
      <c r="K1076" s="3">
        <f t="shared" si="64"/>
        <v>2021</v>
      </c>
      <c r="L1076" s="6">
        <f t="shared" si="65"/>
        <v>44287</v>
      </c>
      <c r="M1076" s="3" t="str">
        <f t="shared" si="66"/>
        <v>21% to 25%</v>
      </c>
      <c r="N1076" s="3" t="str">
        <f t="shared" si="67"/>
        <v>OK</v>
      </c>
    </row>
    <row r="1077" spans="1:14" x14ac:dyDescent="0.3">
      <c r="A1077" s="2">
        <f>DATE(VALUE(RIGHT(TRIM([1]Raw_Data!A1075),4)),VALUE(MID(TRIM([1]Raw_Data!A1075),4,2)),VALUE(LEFT(TRIM([1]Raw_Data!A1075),2)))</f>
        <v>44305</v>
      </c>
      <c r="B1077" s="3" t="str">
        <f>TRIM([1]Raw_Data!B1075)</f>
        <v>Vitamin C</v>
      </c>
      <c r="C1077" s="3" t="str">
        <f>TRIM([1]Raw_Data!C1075)</f>
        <v>Vitamin</v>
      </c>
      <c r="D1077" s="3">
        <f>[1]Raw_Data!D1075</f>
        <v>153</v>
      </c>
      <c r="E1077" s="4">
        <f>[1]Raw_Data!E1075</f>
        <v>32.33</v>
      </c>
      <c r="F1077" s="5">
        <f>[1]Raw_Data!F1075</f>
        <v>4946.49</v>
      </c>
      <c r="G1077" s="4">
        <f>[1]Raw_Data!G1075</f>
        <v>0.06</v>
      </c>
      <c r="H1077" s="3">
        <f>[1]Raw_Data!H1075</f>
        <v>3</v>
      </c>
      <c r="I1077" s="3" t="str">
        <f>TRIM([1]Raw_Data!I1075)</f>
        <v>USA</v>
      </c>
      <c r="J1077" s="3" t="str">
        <f>TRIM([1]Raw_Data!J1075)</f>
        <v>Amazon</v>
      </c>
      <c r="K1077" s="3">
        <f t="shared" si="64"/>
        <v>2021</v>
      </c>
      <c r="L1077" s="6">
        <f t="shared" si="65"/>
        <v>44287</v>
      </c>
      <c r="M1077" s="3" t="str">
        <f t="shared" si="66"/>
        <v>6% to 10%</v>
      </c>
      <c r="N1077" s="3" t="str">
        <f t="shared" si="67"/>
        <v>OK</v>
      </c>
    </row>
    <row r="1078" spans="1:14" x14ac:dyDescent="0.3">
      <c r="A1078" s="2">
        <f>DATE(VALUE(RIGHT(TRIM([1]Raw_Data!A1076),4)),VALUE(MID(TRIM([1]Raw_Data!A1076),4,2)),VALUE(LEFT(TRIM([1]Raw_Data!A1076),2)))</f>
        <v>44305</v>
      </c>
      <c r="B1078" s="3" t="str">
        <f>TRIM([1]Raw_Data!B1076)</f>
        <v>Fish Oil</v>
      </c>
      <c r="C1078" s="3" t="str">
        <f>TRIM([1]Raw_Data!C1076)</f>
        <v>Omega</v>
      </c>
      <c r="D1078" s="3">
        <f>[1]Raw_Data!D1076</f>
        <v>149</v>
      </c>
      <c r="E1078" s="4">
        <f>[1]Raw_Data!E1076</f>
        <v>25.24</v>
      </c>
      <c r="F1078" s="5">
        <f>[1]Raw_Data!F1076</f>
        <v>3760.76</v>
      </c>
      <c r="G1078" s="4">
        <f>[1]Raw_Data!G1076</f>
        <v>0.05</v>
      </c>
      <c r="H1078" s="3">
        <f>[1]Raw_Data!H1076</f>
        <v>0</v>
      </c>
      <c r="I1078" s="3" t="str">
        <f>TRIM([1]Raw_Data!I1076)</f>
        <v>USA</v>
      </c>
      <c r="J1078" s="3" t="str">
        <f>TRIM([1]Raw_Data!J1076)</f>
        <v>iHerb</v>
      </c>
      <c r="K1078" s="3">
        <f t="shared" si="64"/>
        <v>2021</v>
      </c>
      <c r="L1078" s="6">
        <f t="shared" si="65"/>
        <v>44287</v>
      </c>
      <c r="M1078" s="3" t="str">
        <f t="shared" si="66"/>
        <v>0% to 5%</v>
      </c>
      <c r="N1078" s="3" t="str">
        <f t="shared" si="67"/>
        <v>OK</v>
      </c>
    </row>
    <row r="1079" spans="1:14" x14ac:dyDescent="0.3">
      <c r="A1079" s="2">
        <f>DATE(VALUE(RIGHT(TRIM([1]Raw_Data!A1077),4)),VALUE(MID(TRIM([1]Raw_Data!A1077),4,2)),VALUE(LEFT(TRIM([1]Raw_Data!A1077),2)))</f>
        <v>44305</v>
      </c>
      <c r="B1079" s="3" t="str">
        <f>TRIM([1]Raw_Data!B1077)</f>
        <v>Multivitamin</v>
      </c>
      <c r="C1079" s="3" t="str">
        <f>TRIM([1]Raw_Data!C1077)</f>
        <v>Vitamin</v>
      </c>
      <c r="D1079" s="3">
        <f>[1]Raw_Data!D1077</f>
        <v>158</v>
      </c>
      <c r="E1079" s="4">
        <f>[1]Raw_Data!E1077</f>
        <v>44.5</v>
      </c>
      <c r="F1079" s="5">
        <f>[1]Raw_Data!F1077</f>
        <v>7031</v>
      </c>
      <c r="G1079" s="4">
        <f>[1]Raw_Data!G1077</f>
        <v>0.1</v>
      </c>
      <c r="H1079" s="3">
        <f>[1]Raw_Data!H1077</f>
        <v>1</v>
      </c>
      <c r="I1079" s="3" t="str">
        <f>TRIM([1]Raw_Data!I1077)</f>
        <v>USA</v>
      </c>
      <c r="J1079" s="3" t="str">
        <f>TRIM([1]Raw_Data!J1077)</f>
        <v>Walmart</v>
      </c>
      <c r="K1079" s="3">
        <f t="shared" si="64"/>
        <v>2021</v>
      </c>
      <c r="L1079" s="6">
        <f t="shared" si="65"/>
        <v>44287</v>
      </c>
      <c r="M1079" s="3" t="str">
        <f t="shared" si="66"/>
        <v>6% to 10%</v>
      </c>
      <c r="N1079" s="3" t="str">
        <f t="shared" si="67"/>
        <v>OK</v>
      </c>
    </row>
    <row r="1080" spans="1:14" x14ac:dyDescent="0.3">
      <c r="A1080" s="2">
        <f>DATE(VALUE(RIGHT(TRIM([1]Raw_Data!A1078),4)),VALUE(MID(TRIM([1]Raw_Data!A1078),4,2)),VALUE(LEFT(TRIM([1]Raw_Data!A1078),2)))</f>
        <v>44305</v>
      </c>
      <c r="B1080" s="3" t="str">
        <f>TRIM([1]Raw_Data!B1078)</f>
        <v>Pre-Workout</v>
      </c>
      <c r="C1080" s="3" t="str">
        <f>TRIM([1]Raw_Data!C1078)</f>
        <v>Performance</v>
      </c>
      <c r="D1080" s="3">
        <f>[1]Raw_Data!D1078</f>
        <v>149</v>
      </c>
      <c r="E1080" s="4">
        <f>[1]Raw_Data!E1078</f>
        <v>15.03</v>
      </c>
      <c r="F1080" s="5">
        <f>[1]Raw_Data!F1078</f>
        <v>2239.4699999999998</v>
      </c>
      <c r="G1080" s="4">
        <f>[1]Raw_Data!G1078</f>
        <v>0.08</v>
      </c>
      <c r="H1080" s="3">
        <f>[1]Raw_Data!H1078</f>
        <v>2</v>
      </c>
      <c r="I1080" s="3" t="str">
        <f>TRIM([1]Raw_Data!I1078)</f>
        <v>Canada</v>
      </c>
      <c r="J1080" s="3" t="str">
        <f>TRIM([1]Raw_Data!J1078)</f>
        <v>Amazon</v>
      </c>
      <c r="K1080" s="3">
        <f t="shared" si="64"/>
        <v>2021</v>
      </c>
      <c r="L1080" s="6">
        <f t="shared" si="65"/>
        <v>44287</v>
      </c>
      <c r="M1080" s="3" t="str">
        <f t="shared" si="66"/>
        <v>6% to 10%</v>
      </c>
      <c r="N1080" s="3" t="str">
        <f t="shared" si="67"/>
        <v>OK</v>
      </c>
    </row>
    <row r="1081" spans="1:14" x14ac:dyDescent="0.3">
      <c r="A1081" s="2">
        <f>DATE(VALUE(RIGHT(TRIM([1]Raw_Data!A1079),4)),VALUE(MID(TRIM([1]Raw_Data!A1079),4,2)),VALUE(LEFT(TRIM([1]Raw_Data!A1079),2)))</f>
        <v>44305</v>
      </c>
      <c r="B1081" s="3" t="str">
        <f>TRIM([1]Raw_Data!B1079)</f>
        <v>BCAA</v>
      </c>
      <c r="C1081" s="3" t="str">
        <f>TRIM([1]Raw_Data!C1079)</f>
        <v>Amino Acid</v>
      </c>
      <c r="D1081" s="3">
        <f>[1]Raw_Data!D1079</f>
        <v>156</v>
      </c>
      <c r="E1081" s="4">
        <f>[1]Raw_Data!E1079</f>
        <v>33.01</v>
      </c>
      <c r="F1081" s="5">
        <f>[1]Raw_Data!F1079</f>
        <v>5149.5600000000004</v>
      </c>
      <c r="G1081" s="4">
        <f>[1]Raw_Data!G1079</f>
        <v>0.05</v>
      </c>
      <c r="H1081" s="3">
        <f>[1]Raw_Data!H1079</f>
        <v>1</v>
      </c>
      <c r="I1081" s="3" t="str">
        <f>TRIM([1]Raw_Data!I1079)</f>
        <v>UK</v>
      </c>
      <c r="J1081" s="3" t="str">
        <f>TRIM([1]Raw_Data!J1079)</f>
        <v>Walmart</v>
      </c>
      <c r="K1081" s="3">
        <f t="shared" si="64"/>
        <v>2021</v>
      </c>
      <c r="L1081" s="6">
        <f t="shared" si="65"/>
        <v>44287</v>
      </c>
      <c r="M1081" s="3" t="str">
        <f t="shared" si="66"/>
        <v>0% to 5%</v>
      </c>
      <c r="N1081" s="3" t="str">
        <f t="shared" si="67"/>
        <v>OK</v>
      </c>
    </row>
    <row r="1082" spans="1:14" x14ac:dyDescent="0.3">
      <c r="A1082" s="2">
        <f>DATE(VALUE(RIGHT(TRIM([1]Raw_Data!A1080),4)),VALUE(MID(TRIM([1]Raw_Data!A1080),4,2)),VALUE(LEFT(TRIM([1]Raw_Data!A1080),2)))</f>
        <v>44305</v>
      </c>
      <c r="B1082" s="3" t="str">
        <f>TRIM([1]Raw_Data!B1080)</f>
        <v>Creatine</v>
      </c>
      <c r="C1082" s="3" t="str">
        <f>TRIM([1]Raw_Data!C1080)</f>
        <v>Performance</v>
      </c>
      <c r="D1082" s="3">
        <f>[1]Raw_Data!D1080</f>
        <v>139</v>
      </c>
      <c r="E1082" s="4">
        <f>[1]Raw_Data!E1080</f>
        <v>23.98</v>
      </c>
      <c r="F1082" s="5">
        <f>[1]Raw_Data!F1080</f>
        <v>3333.22</v>
      </c>
      <c r="G1082" s="4">
        <f>[1]Raw_Data!G1080</f>
        <v>0.03</v>
      </c>
      <c r="H1082" s="3">
        <f>[1]Raw_Data!H1080</f>
        <v>2</v>
      </c>
      <c r="I1082" s="3" t="str">
        <f>TRIM([1]Raw_Data!I1080)</f>
        <v>USA</v>
      </c>
      <c r="J1082" s="3" t="str">
        <f>TRIM([1]Raw_Data!J1080)</f>
        <v>iHerb</v>
      </c>
      <c r="K1082" s="3">
        <f t="shared" si="64"/>
        <v>2021</v>
      </c>
      <c r="L1082" s="6">
        <f t="shared" si="65"/>
        <v>44287</v>
      </c>
      <c r="M1082" s="3" t="str">
        <f t="shared" si="66"/>
        <v>0% to 5%</v>
      </c>
      <c r="N1082" s="3" t="str">
        <f t="shared" si="67"/>
        <v>OK</v>
      </c>
    </row>
    <row r="1083" spans="1:14" x14ac:dyDescent="0.3">
      <c r="A1083" s="2">
        <f>DATE(VALUE(RIGHT(TRIM([1]Raw_Data!A1081),4)),VALUE(MID(TRIM([1]Raw_Data!A1081),4,2)),VALUE(LEFT(TRIM([1]Raw_Data!A1081),2)))</f>
        <v>44305</v>
      </c>
      <c r="B1083" s="3" t="str">
        <f>TRIM([1]Raw_Data!B1081)</f>
        <v>Zinc</v>
      </c>
      <c r="C1083" s="3" t="str">
        <f>TRIM([1]Raw_Data!C1081)</f>
        <v>Mineral</v>
      </c>
      <c r="D1083" s="3">
        <f>[1]Raw_Data!D1081</f>
        <v>128</v>
      </c>
      <c r="E1083" s="4">
        <f>[1]Raw_Data!E1081</f>
        <v>42.24</v>
      </c>
      <c r="F1083" s="5">
        <f>[1]Raw_Data!F1081</f>
        <v>5406.72</v>
      </c>
      <c r="G1083" s="4">
        <f>[1]Raw_Data!G1081</f>
        <v>0.08</v>
      </c>
      <c r="H1083" s="3">
        <f>[1]Raw_Data!H1081</f>
        <v>2</v>
      </c>
      <c r="I1083" s="3" t="str">
        <f>TRIM([1]Raw_Data!I1081)</f>
        <v>UK</v>
      </c>
      <c r="J1083" s="3" t="str">
        <f>TRIM([1]Raw_Data!J1081)</f>
        <v>iHerb</v>
      </c>
      <c r="K1083" s="3">
        <f t="shared" si="64"/>
        <v>2021</v>
      </c>
      <c r="L1083" s="6">
        <f t="shared" si="65"/>
        <v>44287</v>
      </c>
      <c r="M1083" s="3" t="str">
        <f t="shared" si="66"/>
        <v>6% to 10%</v>
      </c>
      <c r="N1083" s="3" t="str">
        <f t="shared" si="67"/>
        <v>OK</v>
      </c>
    </row>
    <row r="1084" spans="1:14" x14ac:dyDescent="0.3">
      <c r="A1084" s="2">
        <f>DATE(VALUE(RIGHT(TRIM([1]Raw_Data!A1082),4)),VALUE(MID(TRIM([1]Raw_Data!A1082),4,2)),VALUE(LEFT(TRIM([1]Raw_Data!A1082),2)))</f>
        <v>44305</v>
      </c>
      <c r="B1084" s="3" t="str">
        <f>TRIM([1]Raw_Data!B1082)</f>
        <v>Collagen Peptides</v>
      </c>
      <c r="C1084" s="3" t="str">
        <f>TRIM([1]Raw_Data!C1082)</f>
        <v>Protein</v>
      </c>
      <c r="D1084" s="3">
        <f>[1]Raw_Data!D1082</f>
        <v>152</v>
      </c>
      <c r="E1084" s="4">
        <f>[1]Raw_Data!E1082</f>
        <v>42.54</v>
      </c>
      <c r="F1084" s="5">
        <f>[1]Raw_Data!F1082</f>
        <v>6466.08</v>
      </c>
      <c r="G1084" s="4">
        <f>[1]Raw_Data!G1082</f>
        <v>0.03</v>
      </c>
      <c r="H1084" s="3">
        <f>[1]Raw_Data!H1082</f>
        <v>1</v>
      </c>
      <c r="I1084" s="3" t="str">
        <f>TRIM([1]Raw_Data!I1082)</f>
        <v>USA</v>
      </c>
      <c r="J1084" s="3" t="str">
        <f>TRIM([1]Raw_Data!J1082)</f>
        <v>Walmart</v>
      </c>
      <c r="K1084" s="3">
        <f t="shared" si="64"/>
        <v>2021</v>
      </c>
      <c r="L1084" s="6">
        <f t="shared" si="65"/>
        <v>44287</v>
      </c>
      <c r="M1084" s="3" t="str">
        <f t="shared" si="66"/>
        <v>0% to 5%</v>
      </c>
      <c r="N1084" s="3" t="str">
        <f t="shared" si="67"/>
        <v>OK</v>
      </c>
    </row>
    <row r="1085" spans="1:14" x14ac:dyDescent="0.3">
      <c r="A1085" s="2">
        <f>DATE(VALUE(RIGHT(TRIM([1]Raw_Data!A1083),4)),VALUE(MID(TRIM([1]Raw_Data!A1083),4,2)),VALUE(LEFT(TRIM([1]Raw_Data!A1083),2)))</f>
        <v>44305</v>
      </c>
      <c r="B1085" s="3" t="str">
        <f>TRIM([1]Raw_Data!B1083)</f>
        <v>Magnesium</v>
      </c>
      <c r="C1085" s="3" t="str">
        <f>TRIM([1]Raw_Data!C1083)</f>
        <v>Mineral</v>
      </c>
      <c r="D1085" s="3">
        <f>[1]Raw_Data!D1083</f>
        <v>148</v>
      </c>
      <c r="E1085" s="4">
        <f>[1]Raw_Data!E1083</f>
        <v>40.200000000000003</v>
      </c>
      <c r="F1085" s="5">
        <f>[1]Raw_Data!F1083</f>
        <v>5949.6</v>
      </c>
      <c r="G1085" s="4">
        <f>[1]Raw_Data!G1083</f>
        <v>0.22</v>
      </c>
      <c r="H1085" s="3">
        <f>[1]Raw_Data!H1083</f>
        <v>6</v>
      </c>
      <c r="I1085" s="3" t="str">
        <f>TRIM([1]Raw_Data!I1083)</f>
        <v>UK</v>
      </c>
      <c r="J1085" s="3" t="str">
        <f>TRIM([1]Raw_Data!J1083)</f>
        <v>Amazon</v>
      </c>
      <c r="K1085" s="3">
        <f t="shared" si="64"/>
        <v>2021</v>
      </c>
      <c r="L1085" s="6">
        <f t="shared" si="65"/>
        <v>44287</v>
      </c>
      <c r="M1085" s="3" t="str">
        <f t="shared" si="66"/>
        <v>21% to 25%</v>
      </c>
      <c r="N1085" s="3" t="str">
        <f t="shared" si="67"/>
        <v>OK</v>
      </c>
    </row>
    <row r="1086" spans="1:14" x14ac:dyDescent="0.3">
      <c r="A1086" s="2">
        <f>DATE(VALUE(RIGHT(TRIM([1]Raw_Data!A1084),4)),VALUE(MID(TRIM([1]Raw_Data!A1084),4,2)),VALUE(LEFT(TRIM([1]Raw_Data!A1084),2)))</f>
        <v>44305</v>
      </c>
      <c r="B1086" s="3" t="str">
        <f>TRIM([1]Raw_Data!B1084)</f>
        <v>Ashwagandha</v>
      </c>
      <c r="C1086" s="3" t="str">
        <f>TRIM([1]Raw_Data!C1084)</f>
        <v>Herbal</v>
      </c>
      <c r="D1086" s="3">
        <f>[1]Raw_Data!D1084</f>
        <v>154</v>
      </c>
      <c r="E1086" s="4">
        <f>[1]Raw_Data!E1084</f>
        <v>21.26</v>
      </c>
      <c r="F1086" s="5">
        <f>[1]Raw_Data!F1084</f>
        <v>3274.04</v>
      </c>
      <c r="G1086" s="4">
        <f>[1]Raw_Data!G1084</f>
        <v>0.06</v>
      </c>
      <c r="H1086" s="3">
        <f>[1]Raw_Data!H1084</f>
        <v>1</v>
      </c>
      <c r="I1086" s="3" t="str">
        <f>TRIM([1]Raw_Data!I1084)</f>
        <v>UK</v>
      </c>
      <c r="J1086" s="3" t="str">
        <f>TRIM([1]Raw_Data!J1084)</f>
        <v>Walmart</v>
      </c>
      <c r="K1086" s="3">
        <f t="shared" si="64"/>
        <v>2021</v>
      </c>
      <c r="L1086" s="6">
        <f t="shared" si="65"/>
        <v>44287</v>
      </c>
      <c r="M1086" s="3" t="str">
        <f t="shared" si="66"/>
        <v>6% to 10%</v>
      </c>
      <c r="N1086" s="3" t="str">
        <f t="shared" si="67"/>
        <v>OK</v>
      </c>
    </row>
    <row r="1087" spans="1:14" x14ac:dyDescent="0.3">
      <c r="A1087" s="2">
        <f>DATE(VALUE(RIGHT(TRIM([1]Raw_Data!A1085),4)),VALUE(MID(TRIM([1]Raw_Data!A1085),4,2)),VALUE(LEFT(TRIM([1]Raw_Data!A1085),2)))</f>
        <v>44305</v>
      </c>
      <c r="B1087" s="3" t="str">
        <f>TRIM([1]Raw_Data!B1085)</f>
        <v>Melatonin</v>
      </c>
      <c r="C1087" s="3" t="str">
        <f>TRIM([1]Raw_Data!C1085)</f>
        <v>Sleep Aid</v>
      </c>
      <c r="D1087" s="3">
        <f>[1]Raw_Data!D1085</f>
        <v>145</v>
      </c>
      <c r="E1087" s="4">
        <f>[1]Raw_Data!E1085</f>
        <v>28.41</v>
      </c>
      <c r="F1087" s="5">
        <f>[1]Raw_Data!F1085</f>
        <v>4119.45</v>
      </c>
      <c r="G1087" s="4">
        <f>[1]Raw_Data!G1085</f>
        <v>0.09</v>
      </c>
      <c r="H1087" s="3">
        <f>[1]Raw_Data!H1085</f>
        <v>1</v>
      </c>
      <c r="I1087" s="3" t="str">
        <f>TRIM([1]Raw_Data!I1085)</f>
        <v>Canada</v>
      </c>
      <c r="J1087" s="3" t="str">
        <f>TRIM([1]Raw_Data!J1085)</f>
        <v>iHerb</v>
      </c>
      <c r="K1087" s="3">
        <f t="shared" si="64"/>
        <v>2021</v>
      </c>
      <c r="L1087" s="6">
        <f t="shared" si="65"/>
        <v>44287</v>
      </c>
      <c r="M1087" s="3" t="str">
        <f t="shared" si="66"/>
        <v>6% to 10%</v>
      </c>
      <c r="N1087" s="3" t="str">
        <f t="shared" si="67"/>
        <v>OK</v>
      </c>
    </row>
    <row r="1088" spans="1:14" x14ac:dyDescent="0.3">
      <c r="A1088" s="2">
        <f>DATE(VALUE(RIGHT(TRIM([1]Raw_Data!A1086),4)),VALUE(MID(TRIM([1]Raw_Data!A1086),4,2)),VALUE(LEFT(TRIM([1]Raw_Data!A1086),2)))</f>
        <v>44305</v>
      </c>
      <c r="B1088" s="3" t="str">
        <f>TRIM([1]Raw_Data!B1086)</f>
        <v>Biotin</v>
      </c>
      <c r="C1088" s="3" t="str">
        <f>TRIM([1]Raw_Data!C1086)</f>
        <v>Vitamin</v>
      </c>
      <c r="D1088" s="3">
        <f>[1]Raw_Data!D1086</f>
        <v>164</v>
      </c>
      <c r="E1088" s="4">
        <f>[1]Raw_Data!E1086</f>
        <v>40.71</v>
      </c>
      <c r="F1088" s="5">
        <f>[1]Raw_Data!F1086</f>
        <v>6676.44</v>
      </c>
      <c r="G1088" s="4">
        <f>[1]Raw_Data!G1086</f>
        <v>0.08</v>
      </c>
      <c r="H1088" s="3">
        <f>[1]Raw_Data!H1086</f>
        <v>3</v>
      </c>
      <c r="I1088" s="3" t="str">
        <f>TRIM([1]Raw_Data!I1086)</f>
        <v>USA</v>
      </c>
      <c r="J1088" s="3" t="str">
        <f>TRIM([1]Raw_Data!J1086)</f>
        <v>iHerb</v>
      </c>
      <c r="K1088" s="3">
        <f t="shared" si="64"/>
        <v>2021</v>
      </c>
      <c r="L1088" s="6">
        <f t="shared" si="65"/>
        <v>44287</v>
      </c>
      <c r="M1088" s="3" t="str">
        <f t="shared" si="66"/>
        <v>6% to 10%</v>
      </c>
      <c r="N1088" s="3" t="str">
        <f t="shared" si="67"/>
        <v>OK</v>
      </c>
    </row>
    <row r="1089" spans="1:14" x14ac:dyDescent="0.3">
      <c r="A1089" s="2">
        <f>DATE(VALUE(RIGHT(TRIM([1]Raw_Data!A1087),4)),VALUE(MID(TRIM([1]Raw_Data!A1087),4,2)),VALUE(LEFT(TRIM([1]Raw_Data!A1087),2)))</f>
        <v>44305</v>
      </c>
      <c r="B1089" s="3" t="str">
        <f>TRIM([1]Raw_Data!B1087)</f>
        <v>Green Tea Extract</v>
      </c>
      <c r="C1089" s="3" t="str">
        <f>TRIM([1]Raw_Data!C1087)</f>
        <v>Fat Burner</v>
      </c>
      <c r="D1089" s="3">
        <f>[1]Raw_Data!D1087</f>
        <v>150</v>
      </c>
      <c r="E1089" s="4">
        <f>[1]Raw_Data!E1087</f>
        <v>34.86</v>
      </c>
      <c r="F1089" s="5">
        <f>[1]Raw_Data!F1087</f>
        <v>5229</v>
      </c>
      <c r="G1089" s="4">
        <f>[1]Raw_Data!G1087</f>
        <v>0.17</v>
      </c>
      <c r="H1089" s="3">
        <f>[1]Raw_Data!H1087</f>
        <v>0</v>
      </c>
      <c r="I1089" s="3" t="str">
        <f>TRIM([1]Raw_Data!I1087)</f>
        <v>Canada</v>
      </c>
      <c r="J1089" s="3" t="str">
        <f>TRIM([1]Raw_Data!J1087)</f>
        <v>Walmart</v>
      </c>
      <c r="K1089" s="3">
        <f t="shared" si="64"/>
        <v>2021</v>
      </c>
      <c r="L1089" s="6">
        <f t="shared" si="65"/>
        <v>44287</v>
      </c>
      <c r="M1089" s="3" t="str">
        <f t="shared" si="66"/>
        <v>16% to 20%</v>
      </c>
      <c r="N1089" s="3" t="str">
        <f t="shared" si="67"/>
        <v>OK</v>
      </c>
    </row>
    <row r="1090" spans="1:14" x14ac:dyDescent="0.3">
      <c r="A1090" s="2">
        <f>DATE(VALUE(RIGHT(TRIM([1]Raw_Data!A1088),4)),VALUE(MID(TRIM([1]Raw_Data!A1088),4,2)),VALUE(LEFT(TRIM([1]Raw_Data!A1088),2)))</f>
        <v>44305</v>
      </c>
      <c r="B1090" s="3" t="str">
        <f>TRIM([1]Raw_Data!B1088)</f>
        <v>Iron Supplement</v>
      </c>
      <c r="C1090" s="3" t="str">
        <f>TRIM([1]Raw_Data!C1088)</f>
        <v>Mineral</v>
      </c>
      <c r="D1090" s="3">
        <f>[1]Raw_Data!D1088</f>
        <v>166</v>
      </c>
      <c r="E1090" s="4">
        <f>[1]Raw_Data!E1088</f>
        <v>27.15</v>
      </c>
      <c r="F1090" s="5">
        <f>[1]Raw_Data!F1088</f>
        <v>4506.8999999999996</v>
      </c>
      <c r="G1090" s="4">
        <f>[1]Raw_Data!G1088</f>
        <v>0.03</v>
      </c>
      <c r="H1090" s="3">
        <f>[1]Raw_Data!H1088</f>
        <v>1</v>
      </c>
      <c r="I1090" s="3" t="str">
        <f>TRIM([1]Raw_Data!I1088)</f>
        <v>UK</v>
      </c>
      <c r="J1090" s="3" t="str">
        <f>TRIM([1]Raw_Data!J1088)</f>
        <v>Amazon</v>
      </c>
      <c r="K1090" s="3">
        <f t="shared" si="64"/>
        <v>2021</v>
      </c>
      <c r="L1090" s="6">
        <f t="shared" si="65"/>
        <v>44287</v>
      </c>
      <c r="M1090" s="3" t="str">
        <f t="shared" si="66"/>
        <v>0% to 5%</v>
      </c>
      <c r="N1090" s="3" t="str">
        <f t="shared" si="67"/>
        <v>OK</v>
      </c>
    </row>
    <row r="1091" spans="1:14" x14ac:dyDescent="0.3">
      <c r="A1091" s="2">
        <f>DATE(VALUE(RIGHT(TRIM([1]Raw_Data!A1089),4)),VALUE(MID(TRIM([1]Raw_Data!A1089),4,2)),VALUE(LEFT(TRIM([1]Raw_Data!A1089),2)))</f>
        <v>44305</v>
      </c>
      <c r="B1091" s="3" t="str">
        <f>TRIM([1]Raw_Data!B1089)</f>
        <v>Electrolyte Powder</v>
      </c>
      <c r="C1091" s="3" t="str">
        <f>TRIM([1]Raw_Data!C1089)</f>
        <v>Hydration</v>
      </c>
      <c r="D1091" s="3">
        <f>[1]Raw_Data!D1089</f>
        <v>150</v>
      </c>
      <c r="E1091" s="4">
        <f>[1]Raw_Data!E1089</f>
        <v>43.93</v>
      </c>
      <c r="F1091" s="5">
        <f>[1]Raw_Data!F1089</f>
        <v>6589.5</v>
      </c>
      <c r="G1091" s="4">
        <f>[1]Raw_Data!G1089</f>
        <v>0.11</v>
      </c>
      <c r="H1091" s="3">
        <f>[1]Raw_Data!H1089</f>
        <v>4</v>
      </c>
      <c r="I1091" s="3" t="str">
        <f>TRIM([1]Raw_Data!I1089)</f>
        <v>UK</v>
      </c>
      <c r="J1091" s="3" t="str">
        <f>TRIM([1]Raw_Data!J1089)</f>
        <v>Walmart</v>
      </c>
      <c r="K1091" s="3">
        <f t="shared" si="64"/>
        <v>2021</v>
      </c>
      <c r="L1091" s="6">
        <f t="shared" si="65"/>
        <v>44287</v>
      </c>
      <c r="M1091" s="3" t="str">
        <f t="shared" si="66"/>
        <v>11% to 15%</v>
      </c>
      <c r="N1091" s="3" t="str">
        <f t="shared" si="67"/>
        <v>OK</v>
      </c>
    </row>
    <row r="1092" spans="1:14" x14ac:dyDescent="0.3">
      <c r="A1092" s="2">
        <f>DATE(VALUE(RIGHT(TRIM([1]Raw_Data!A1090),4)),VALUE(MID(TRIM([1]Raw_Data!A1090),4,2)),VALUE(LEFT(TRIM([1]Raw_Data!A1090),2)))</f>
        <v>44312</v>
      </c>
      <c r="B1092" s="3" t="str">
        <f>TRIM([1]Raw_Data!B1090)</f>
        <v>Whey Protein</v>
      </c>
      <c r="C1092" s="3" t="str">
        <f>TRIM([1]Raw_Data!C1090)</f>
        <v>Protein</v>
      </c>
      <c r="D1092" s="3">
        <f>[1]Raw_Data!D1090</f>
        <v>153</v>
      </c>
      <c r="E1092" s="4">
        <f>[1]Raw_Data!E1090</f>
        <v>15.47</v>
      </c>
      <c r="F1092" s="5">
        <f>[1]Raw_Data!F1090</f>
        <v>2366.91</v>
      </c>
      <c r="G1092" s="4">
        <f>[1]Raw_Data!G1090</f>
        <v>0.1</v>
      </c>
      <c r="H1092" s="3">
        <f>[1]Raw_Data!H1090</f>
        <v>1</v>
      </c>
      <c r="I1092" s="3" t="str">
        <f>TRIM([1]Raw_Data!I1090)</f>
        <v>USA</v>
      </c>
      <c r="J1092" s="3" t="str">
        <f>TRIM([1]Raw_Data!J1090)</f>
        <v>Amazon</v>
      </c>
      <c r="K1092" s="3">
        <f t="shared" ref="K1092:K1155" si="68">YEAR(A1092)</f>
        <v>2021</v>
      </c>
      <c r="L1092" s="6">
        <f t="shared" ref="L1092:L1155" si="69">DATE(YEAR(A1092),MONTH(A1092),1)</f>
        <v>44287</v>
      </c>
      <c r="M1092" s="3" t="str">
        <f t="shared" ref="M1092:M1155" si="70">IF(ROUND(G1092*100,0)&lt;=5,"0% to 5%",IF(ROUND(G1092*100,0)&lt;=10,"6% to 10%",IF(ROUND(G1092*100,0)&lt;=15,"11% to 15%",IF(ROUND(G1092*100,0)&lt;=20,"16% to 20%","21% to 25%"))))</f>
        <v>6% to 10%</v>
      </c>
      <c r="N1092" s="3" t="str">
        <f t="shared" ref="N1092:N1155" si="71">IF(ROUND(D1092*E1092,2)=ROUND(F1092,2),"OK","Check")</f>
        <v>OK</v>
      </c>
    </row>
    <row r="1093" spans="1:14" x14ac:dyDescent="0.3">
      <c r="A1093" s="2">
        <f>DATE(VALUE(RIGHT(TRIM([1]Raw_Data!A1091),4)),VALUE(MID(TRIM([1]Raw_Data!A1091),4,2)),VALUE(LEFT(TRIM([1]Raw_Data!A1091),2)))</f>
        <v>44312</v>
      </c>
      <c r="B1093" s="3" t="str">
        <f>TRIM([1]Raw_Data!B1091)</f>
        <v>Vitamin C</v>
      </c>
      <c r="C1093" s="3" t="str">
        <f>TRIM([1]Raw_Data!C1091)</f>
        <v>Vitamin</v>
      </c>
      <c r="D1093" s="3">
        <f>[1]Raw_Data!D1091</f>
        <v>152</v>
      </c>
      <c r="E1093" s="4">
        <f>[1]Raw_Data!E1091</f>
        <v>13.92</v>
      </c>
      <c r="F1093" s="5">
        <f>[1]Raw_Data!F1091</f>
        <v>2115.84</v>
      </c>
      <c r="G1093" s="4">
        <f>[1]Raw_Data!G1091</f>
        <v>0.02</v>
      </c>
      <c r="H1093" s="3">
        <f>[1]Raw_Data!H1091</f>
        <v>3</v>
      </c>
      <c r="I1093" s="3" t="str">
        <f>TRIM([1]Raw_Data!I1091)</f>
        <v>Canada</v>
      </c>
      <c r="J1093" s="3" t="str">
        <f>TRIM([1]Raw_Data!J1091)</f>
        <v>iHerb</v>
      </c>
      <c r="K1093" s="3">
        <f t="shared" si="68"/>
        <v>2021</v>
      </c>
      <c r="L1093" s="6">
        <f t="shared" si="69"/>
        <v>44287</v>
      </c>
      <c r="M1093" s="3" t="str">
        <f t="shared" si="70"/>
        <v>0% to 5%</v>
      </c>
      <c r="N1093" s="3" t="str">
        <f t="shared" si="71"/>
        <v>OK</v>
      </c>
    </row>
    <row r="1094" spans="1:14" x14ac:dyDescent="0.3">
      <c r="A1094" s="2">
        <f>DATE(VALUE(RIGHT(TRIM([1]Raw_Data!A1092),4)),VALUE(MID(TRIM([1]Raw_Data!A1092),4,2)),VALUE(LEFT(TRIM([1]Raw_Data!A1092),2)))</f>
        <v>44312</v>
      </c>
      <c r="B1094" s="3" t="str">
        <f>TRIM([1]Raw_Data!B1092)</f>
        <v>Fish Oil</v>
      </c>
      <c r="C1094" s="3" t="str">
        <f>TRIM([1]Raw_Data!C1092)</f>
        <v>Omega</v>
      </c>
      <c r="D1094" s="3">
        <f>[1]Raw_Data!D1092</f>
        <v>139</v>
      </c>
      <c r="E1094" s="4">
        <f>[1]Raw_Data!E1092</f>
        <v>37.14</v>
      </c>
      <c r="F1094" s="5">
        <f>[1]Raw_Data!F1092</f>
        <v>5162.46</v>
      </c>
      <c r="G1094" s="4">
        <f>[1]Raw_Data!G1092</f>
        <v>0.21</v>
      </c>
      <c r="H1094" s="3">
        <f>[1]Raw_Data!H1092</f>
        <v>0</v>
      </c>
      <c r="I1094" s="3" t="str">
        <f>TRIM([1]Raw_Data!I1092)</f>
        <v>Canada</v>
      </c>
      <c r="J1094" s="3" t="str">
        <f>TRIM([1]Raw_Data!J1092)</f>
        <v>Walmart</v>
      </c>
      <c r="K1094" s="3">
        <f t="shared" si="68"/>
        <v>2021</v>
      </c>
      <c r="L1094" s="6">
        <f t="shared" si="69"/>
        <v>44287</v>
      </c>
      <c r="M1094" s="3" t="str">
        <f t="shared" si="70"/>
        <v>21% to 25%</v>
      </c>
      <c r="N1094" s="3" t="str">
        <f t="shared" si="71"/>
        <v>OK</v>
      </c>
    </row>
    <row r="1095" spans="1:14" x14ac:dyDescent="0.3">
      <c r="A1095" s="2">
        <f>DATE(VALUE(RIGHT(TRIM([1]Raw_Data!A1093),4)),VALUE(MID(TRIM([1]Raw_Data!A1093),4,2)),VALUE(LEFT(TRIM([1]Raw_Data!A1093),2)))</f>
        <v>44312</v>
      </c>
      <c r="B1095" s="3" t="str">
        <f>TRIM([1]Raw_Data!B1093)</f>
        <v>Multivitamin</v>
      </c>
      <c r="C1095" s="3" t="str">
        <f>TRIM([1]Raw_Data!C1093)</f>
        <v>Vitamin</v>
      </c>
      <c r="D1095" s="3">
        <f>[1]Raw_Data!D1093</f>
        <v>134</v>
      </c>
      <c r="E1095" s="4">
        <f>[1]Raw_Data!E1093</f>
        <v>57.32</v>
      </c>
      <c r="F1095" s="5">
        <f>[1]Raw_Data!F1093</f>
        <v>7680.88</v>
      </c>
      <c r="G1095" s="4">
        <f>[1]Raw_Data!G1093</f>
        <v>0.1</v>
      </c>
      <c r="H1095" s="3">
        <f>[1]Raw_Data!H1093</f>
        <v>1</v>
      </c>
      <c r="I1095" s="3" t="str">
        <f>TRIM([1]Raw_Data!I1093)</f>
        <v>UK</v>
      </c>
      <c r="J1095" s="3" t="str">
        <f>TRIM([1]Raw_Data!J1093)</f>
        <v>iHerb</v>
      </c>
      <c r="K1095" s="3">
        <f t="shared" si="68"/>
        <v>2021</v>
      </c>
      <c r="L1095" s="6">
        <f t="shared" si="69"/>
        <v>44287</v>
      </c>
      <c r="M1095" s="3" t="str">
        <f t="shared" si="70"/>
        <v>6% to 10%</v>
      </c>
      <c r="N1095" s="3" t="str">
        <f t="shared" si="71"/>
        <v>OK</v>
      </c>
    </row>
    <row r="1096" spans="1:14" x14ac:dyDescent="0.3">
      <c r="A1096" s="2">
        <f>DATE(VALUE(RIGHT(TRIM([1]Raw_Data!A1094),4)),VALUE(MID(TRIM([1]Raw_Data!A1094),4,2)),VALUE(LEFT(TRIM([1]Raw_Data!A1094),2)))</f>
        <v>44312</v>
      </c>
      <c r="B1096" s="3" t="str">
        <f>TRIM([1]Raw_Data!B1094)</f>
        <v>Pre-Workout</v>
      </c>
      <c r="C1096" s="3" t="str">
        <f>TRIM([1]Raw_Data!C1094)</f>
        <v>Performance</v>
      </c>
      <c r="D1096" s="3">
        <f>[1]Raw_Data!D1094</f>
        <v>154</v>
      </c>
      <c r="E1096" s="4">
        <f>[1]Raw_Data!E1094</f>
        <v>51.85</v>
      </c>
      <c r="F1096" s="5">
        <f>[1]Raw_Data!F1094</f>
        <v>7984.9</v>
      </c>
      <c r="G1096" s="4">
        <f>[1]Raw_Data!G1094</f>
        <v>0.25</v>
      </c>
      <c r="H1096" s="3">
        <f>[1]Raw_Data!H1094</f>
        <v>0</v>
      </c>
      <c r="I1096" s="3" t="str">
        <f>TRIM([1]Raw_Data!I1094)</f>
        <v>UK</v>
      </c>
      <c r="J1096" s="3" t="str">
        <f>TRIM([1]Raw_Data!J1094)</f>
        <v>Amazon</v>
      </c>
      <c r="K1096" s="3">
        <f t="shared" si="68"/>
        <v>2021</v>
      </c>
      <c r="L1096" s="6">
        <f t="shared" si="69"/>
        <v>44287</v>
      </c>
      <c r="M1096" s="3" t="str">
        <f t="shared" si="70"/>
        <v>21% to 25%</v>
      </c>
      <c r="N1096" s="3" t="str">
        <f t="shared" si="71"/>
        <v>OK</v>
      </c>
    </row>
    <row r="1097" spans="1:14" x14ac:dyDescent="0.3">
      <c r="A1097" s="2">
        <f>DATE(VALUE(RIGHT(TRIM([1]Raw_Data!A1095),4)),VALUE(MID(TRIM([1]Raw_Data!A1095),4,2)),VALUE(LEFT(TRIM([1]Raw_Data!A1095),2)))</f>
        <v>44312</v>
      </c>
      <c r="B1097" s="3" t="str">
        <f>TRIM([1]Raw_Data!B1095)</f>
        <v>BCAA</v>
      </c>
      <c r="C1097" s="3" t="str">
        <f>TRIM([1]Raw_Data!C1095)</f>
        <v>Amino Acid</v>
      </c>
      <c r="D1097" s="3">
        <f>[1]Raw_Data!D1095</f>
        <v>133</v>
      </c>
      <c r="E1097" s="4">
        <f>[1]Raw_Data!E1095</f>
        <v>51.03</v>
      </c>
      <c r="F1097" s="5">
        <f>[1]Raw_Data!F1095</f>
        <v>6786.99</v>
      </c>
      <c r="G1097" s="4">
        <f>[1]Raw_Data!G1095</f>
        <v>7.0000000000000007E-2</v>
      </c>
      <c r="H1097" s="3">
        <f>[1]Raw_Data!H1095</f>
        <v>0</v>
      </c>
      <c r="I1097" s="3" t="str">
        <f>TRIM([1]Raw_Data!I1095)</f>
        <v>USA</v>
      </c>
      <c r="J1097" s="3" t="str">
        <f>TRIM([1]Raw_Data!J1095)</f>
        <v>Walmart</v>
      </c>
      <c r="K1097" s="3">
        <f t="shared" si="68"/>
        <v>2021</v>
      </c>
      <c r="L1097" s="6">
        <f t="shared" si="69"/>
        <v>44287</v>
      </c>
      <c r="M1097" s="3" t="str">
        <f t="shared" si="70"/>
        <v>6% to 10%</v>
      </c>
      <c r="N1097" s="3" t="str">
        <f t="shared" si="71"/>
        <v>OK</v>
      </c>
    </row>
    <row r="1098" spans="1:14" x14ac:dyDescent="0.3">
      <c r="A1098" s="2">
        <f>DATE(VALUE(RIGHT(TRIM([1]Raw_Data!A1096),4)),VALUE(MID(TRIM([1]Raw_Data!A1096),4,2)),VALUE(LEFT(TRIM([1]Raw_Data!A1096),2)))</f>
        <v>44312</v>
      </c>
      <c r="B1098" s="3" t="str">
        <f>TRIM([1]Raw_Data!B1096)</f>
        <v>Creatine</v>
      </c>
      <c r="C1098" s="3" t="str">
        <f>TRIM([1]Raw_Data!C1096)</f>
        <v>Performance</v>
      </c>
      <c r="D1098" s="3">
        <f>[1]Raw_Data!D1096</f>
        <v>161</v>
      </c>
      <c r="E1098" s="4">
        <f>[1]Raw_Data!E1096</f>
        <v>28.47</v>
      </c>
      <c r="F1098" s="5">
        <f>[1]Raw_Data!F1096</f>
        <v>4583.67</v>
      </c>
      <c r="G1098" s="4">
        <f>[1]Raw_Data!G1096</f>
        <v>0.13</v>
      </c>
      <c r="H1098" s="3">
        <f>[1]Raw_Data!H1096</f>
        <v>2</v>
      </c>
      <c r="I1098" s="3" t="str">
        <f>TRIM([1]Raw_Data!I1096)</f>
        <v>Canada</v>
      </c>
      <c r="J1098" s="3" t="str">
        <f>TRIM([1]Raw_Data!J1096)</f>
        <v>Walmart</v>
      </c>
      <c r="K1098" s="3">
        <f t="shared" si="68"/>
        <v>2021</v>
      </c>
      <c r="L1098" s="6">
        <f t="shared" si="69"/>
        <v>44287</v>
      </c>
      <c r="M1098" s="3" t="str">
        <f t="shared" si="70"/>
        <v>11% to 15%</v>
      </c>
      <c r="N1098" s="3" t="str">
        <f t="shared" si="71"/>
        <v>OK</v>
      </c>
    </row>
    <row r="1099" spans="1:14" x14ac:dyDescent="0.3">
      <c r="A1099" s="2">
        <f>DATE(VALUE(RIGHT(TRIM([1]Raw_Data!A1097),4)),VALUE(MID(TRIM([1]Raw_Data!A1097),4,2)),VALUE(LEFT(TRIM([1]Raw_Data!A1097),2)))</f>
        <v>44312</v>
      </c>
      <c r="B1099" s="3" t="str">
        <f>TRIM([1]Raw_Data!B1097)</f>
        <v>Zinc</v>
      </c>
      <c r="C1099" s="3" t="str">
        <f>TRIM([1]Raw_Data!C1097)</f>
        <v>Mineral</v>
      </c>
      <c r="D1099" s="3">
        <f>[1]Raw_Data!D1097</f>
        <v>158</v>
      </c>
      <c r="E1099" s="4">
        <f>[1]Raw_Data!E1097</f>
        <v>40.630000000000003</v>
      </c>
      <c r="F1099" s="5">
        <f>[1]Raw_Data!F1097</f>
        <v>6419.54</v>
      </c>
      <c r="G1099" s="4">
        <f>[1]Raw_Data!G1097</f>
        <v>0.15</v>
      </c>
      <c r="H1099" s="3">
        <f>[1]Raw_Data!H1097</f>
        <v>2</v>
      </c>
      <c r="I1099" s="3" t="str">
        <f>TRIM([1]Raw_Data!I1097)</f>
        <v>Canada</v>
      </c>
      <c r="J1099" s="3" t="str">
        <f>TRIM([1]Raw_Data!J1097)</f>
        <v>Amazon</v>
      </c>
      <c r="K1099" s="3">
        <f t="shared" si="68"/>
        <v>2021</v>
      </c>
      <c r="L1099" s="6">
        <f t="shared" si="69"/>
        <v>44287</v>
      </c>
      <c r="M1099" s="3" t="str">
        <f t="shared" si="70"/>
        <v>11% to 15%</v>
      </c>
      <c r="N1099" s="3" t="str">
        <f t="shared" si="71"/>
        <v>OK</v>
      </c>
    </row>
    <row r="1100" spans="1:14" x14ac:dyDescent="0.3">
      <c r="A1100" s="2">
        <f>DATE(VALUE(RIGHT(TRIM([1]Raw_Data!A1098),4)),VALUE(MID(TRIM([1]Raw_Data!A1098),4,2)),VALUE(LEFT(TRIM([1]Raw_Data!A1098),2)))</f>
        <v>44312</v>
      </c>
      <c r="B1100" s="3" t="str">
        <f>TRIM([1]Raw_Data!B1098)</f>
        <v>Collagen Peptides</v>
      </c>
      <c r="C1100" s="3" t="str">
        <f>TRIM([1]Raw_Data!C1098)</f>
        <v>Protein</v>
      </c>
      <c r="D1100" s="3">
        <f>[1]Raw_Data!D1098</f>
        <v>155</v>
      </c>
      <c r="E1100" s="4">
        <f>[1]Raw_Data!E1098</f>
        <v>14.23</v>
      </c>
      <c r="F1100" s="5">
        <f>[1]Raw_Data!F1098</f>
        <v>2205.65</v>
      </c>
      <c r="G1100" s="4">
        <f>[1]Raw_Data!G1098</f>
        <v>0.03</v>
      </c>
      <c r="H1100" s="3">
        <f>[1]Raw_Data!H1098</f>
        <v>1</v>
      </c>
      <c r="I1100" s="3" t="str">
        <f>TRIM([1]Raw_Data!I1098)</f>
        <v>UK</v>
      </c>
      <c r="J1100" s="3" t="str">
        <f>TRIM([1]Raw_Data!J1098)</f>
        <v>Amazon</v>
      </c>
      <c r="K1100" s="3">
        <f t="shared" si="68"/>
        <v>2021</v>
      </c>
      <c r="L1100" s="6">
        <f t="shared" si="69"/>
        <v>44287</v>
      </c>
      <c r="M1100" s="3" t="str">
        <f t="shared" si="70"/>
        <v>0% to 5%</v>
      </c>
      <c r="N1100" s="3" t="str">
        <f t="shared" si="71"/>
        <v>OK</v>
      </c>
    </row>
    <row r="1101" spans="1:14" x14ac:dyDescent="0.3">
      <c r="A1101" s="2">
        <f>DATE(VALUE(RIGHT(TRIM([1]Raw_Data!A1099),4)),VALUE(MID(TRIM([1]Raw_Data!A1099),4,2)),VALUE(LEFT(TRIM([1]Raw_Data!A1099),2)))</f>
        <v>44312</v>
      </c>
      <c r="B1101" s="3" t="str">
        <f>TRIM([1]Raw_Data!B1099)</f>
        <v>Magnesium</v>
      </c>
      <c r="C1101" s="3" t="str">
        <f>TRIM([1]Raw_Data!C1099)</f>
        <v>Mineral</v>
      </c>
      <c r="D1101" s="3">
        <f>[1]Raw_Data!D1099</f>
        <v>150</v>
      </c>
      <c r="E1101" s="4">
        <f>[1]Raw_Data!E1099</f>
        <v>45.06</v>
      </c>
      <c r="F1101" s="5">
        <f>[1]Raw_Data!F1099</f>
        <v>6759</v>
      </c>
      <c r="G1101" s="4">
        <f>[1]Raw_Data!G1099</f>
        <v>0.2</v>
      </c>
      <c r="H1101" s="3">
        <f>[1]Raw_Data!H1099</f>
        <v>1</v>
      </c>
      <c r="I1101" s="3" t="str">
        <f>TRIM([1]Raw_Data!I1099)</f>
        <v>Canada</v>
      </c>
      <c r="J1101" s="3" t="str">
        <f>TRIM([1]Raw_Data!J1099)</f>
        <v>iHerb</v>
      </c>
      <c r="K1101" s="3">
        <f t="shared" si="68"/>
        <v>2021</v>
      </c>
      <c r="L1101" s="6">
        <f t="shared" si="69"/>
        <v>44287</v>
      </c>
      <c r="M1101" s="3" t="str">
        <f t="shared" si="70"/>
        <v>16% to 20%</v>
      </c>
      <c r="N1101" s="3" t="str">
        <f t="shared" si="71"/>
        <v>OK</v>
      </c>
    </row>
    <row r="1102" spans="1:14" x14ac:dyDescent="0.3">
      <c r="A1102" s="2">
        <f>DATE(VALUE(RIGHT(TRIM([1]Raw_Data!A1100),4)),VALUE(MID(TRIM([1]Raw_Data!A1100),4,2)),VALUE(LEFT(TRIM([1]Raw_Data!A1100),2)))</f>
        <v>44312</v>
      </c>
      <c r="B1102" s="3" t="str">
        <f>TRIM([1]Raw_Data!B1100)</f>
        <v>Ashwagandha</v>
      </c>
      <c r="C1102" s="3" t="str">
        <f>TRIM([1]Raw_Data!C1100)</f>
        <v>Herbal</v>
      </c>
      <c r="D1102" s="3">
        <f>[1]Raw_Data!D1100</f>
        <v>147</v>
      </c>
      <c r="E1102" s="4">
        <f>[1]Raw_Data!E1100</f>
        <v>19.59</v>
      </c>
      <c r="F1102" s="5">
        <f>[1]Raw_Data!F1100</f>
        <v>2879.73</v>
      </c>
      <c r="G1102" s="4">
        <f>[1]Raw_Data!G1100</f>
        <v>0.02</v>
      </c>
      <c r="H1102" s="3">
        <f>[1]Raw_Data!H1100</f>
        <v>2</v>
      </c>
      <c r="I1102" s="3" t="str">
        <f>TRIM([1]Raw_Data!I1100)</f>
        <v>UK</v>
      </c>
      <c r="J1102" s="3" t="str">
        <f>TRIM([1]Raw_Data!J1100)</f>
        <v>Walmart</v>
      </c>
      <c r="K1102" s="3">
        <f t="shared" si="68"/>
        <v>2021</v>
      </c>
      <c r="L1102" s="6">
        <f t="shared" si="69"/>
        <v>44287</v>
      </c>
      <c r="M1102" s="3" t="str">
        <f t="shared" si="70"/>
        <v>0% to 5%</v>
      </c>
      <c r="N1102" s="3" t="str">
        <f t="shared" si="71"/>
        <v>OK</v>
      </c>
    </row>
    <row r="1103" spans="1:14" x14ac:dyDescent="0.3">
      <c r="A1103" s="2">
        <f>DATE(VALUE(RIGHT(TRIM([1]Raw_Data!A1101),4)),VALUE(MID(TRIM([1]Raw_Data!A1101),4,2)),VALUE(LEFT(TRIM([1]Raw_Data!A1101),2)))</f>
        <v>44312</v>
      </c>
      <c r="B1103" s="3" t="str">
        <f>TRIM([1]Raw_Data!B1101)</f>
        <v>Melatonin</v>
      </c>
      <c r="C1103" s="3" t="str">
        <f>TRIM([1]Raw_Data!C1101)</f>
        <v>Sleep Aid</v>
      </c>
      <c r="D1103" s="3">
        <f>[1]Raw_Data!D1101</f>
        <v>141</v>
      </c>
      <c r="E1103" s="4">
        <f>[1]Raw_Data!E1101</f>
        <v>45.2</v>
      </c>
      <c r="F1103" s="5">
        <f>[1]Raw_Data!F1101</f>
        <v>6373.2</v>
      </c>
      <c r="G1103" s="4">
        <f>[1]Raw_Data!G1101</f>
        <v>0.24</v>
      </c>
      <c r="H1103" s="3">
        <f>[1]Raw_Data!H1101</f>
        <v>1</v>
      </c>
      <c r="I1103" s="3" t="str">
        <f>TRIM([1]Raw_Data!I1101)</f>
        <v>UK</v>
      </c>
      <c r="J1103" s="3" t="str">
        <f>TRIM([1]Raw_Data!J1101)</f>
        <v>Amazon</v>
      </c>
      <c r="K1103" s="3">
        <f t="shared" si="68"/>
        <v>2021</v>
      </c>
      <c r="L1103" s="6">
        <f t="shared" si="69"/>
        <v>44287</v>
      </c>
      <c r="M1103" s="3" t="str">
        <f t="shared" si="70"/>
        <v>21% to 25%</v>
      </c>
      <c r="N1103" s="3" t="str">
        <f t="shared" si="71"/>
        <v>OK</v>
      </c>
    </row>
    <row r="1104" spans="1:14" x14ac:dyDescent="0.3">
      <c r="A1104" s="2">
        <f>DATE(VALUE(RIGHT(TRIM([1]Raw_Data!A1102),4)),VALUE(MID(TRIM([1]Raw_Data!A1102),4,2)),VALUE(LEFT(TRIM([1]Raw_Data!A1102),2)))</f>
        <v>44312</v>
      </c>
      <c r="B1104" s="3" t="str">
        <f>TRIM([1]Raw_Data!B1102)</f>
        <v>Biotin</v>
      </c>
      <c r="C1104" s="3" t="str">
        <f>TRIM([1]Raw_Data!C1102)</f>
        <v>Vitamin</v>
      </c>
      <c r="D1104" s="3">
        <f>[1]Raw_Data!D1102</f>
        <v>156</v>
      </c>
      <c r="E1104" s="4">
        <f>[1]Raw_Data!E1102</f>
        <v>41.53</v>
      </c>
      <c r="F1104" s="5">
        <f>[1]Raw_Data!F1102</f>
        <v>6478.68</v>
      </c>
      <c r="G1104" s="4">
        <f>[1]Raw_Data!G1102</f>
        <v>0.11</v>
      </c>
      <c r="H1104" s="3">
        <f>[1]Raw_Data!H1102</f>
        <v>0</v>
      </c>
      <c r="I1104" s="3" t="str">
        <f>TRIM([1]Raw_Data!I1102)</f>
        <v>Canada</v>
      </c>
      <c r="J1104" s="3" t="str">
        <f>TRIM([1]Raw_Data!J1102)</f>
        <v>Walmart</v>
      </c>
      <c r="K1104" s="3">
        <f t="shared" si="68"/>
        <v>2021</v>
      </c>
      <c r="L1104" s="6">
        <f t="shared" si="69"/>
        <v>44287</v>
      </c>
      <c r="M1104" s="3" t="str">
        <f t="shared" si="70"/>
        <v>11% to 15%</v>
      </c>
      <c r="N1104" s="3" t="str">
        <f t="shared" si="71"/>
        <v>OK</v>
      </c>
    </row>
    <row r="1105" spans="1:14" x14ac:dyDescent="0.3">
      <c r="A1105" s="2">
        <f>DATE(VALUE(RIGHT(TRIM([1]Raw_Data!A1103),4)),VALUE(MID(TRIM([1]Raw_Data!A1103),4,2)),VALUE(LEFT(TRIM([1]Raw_Data!A1103),2)))</f>
        <v>44312</v>
      </c>
      <c r="B1105" s="3" t="str">
        <f>TRIM([1]Raw_Data!B1103)</f>
        <v>Green Tea Extract</v>
      </c>
      <c r="C1105" s="3" t="str">
        <f>TRIM([1]Raw_Data!C1103)</f>
        <v>Fat Burner</v>
      </c>
      <c r="D1105" s="3">
        <f>[1]Raw_Data!D1103</f>
        <v>150</v>
      </c>
      <c r="E1105" s="4">
        <f>[1]Raw_Data!E1103</f>
        <v>50.53</v>
      </c>
      <c r="F1105" s="5">
        <f>[1]Raw_Data!F1103</f>
        <v>7579.5</v>
      </c>
      <c r="G1105" s="4">
        <f>[1]Raw_Data!G1103</f>
        <v>0.18</v>
      </c>
      <c r="H1105" s="3">
        <f>[1]Raw_Data!H1103</f>
        <v>2</v>
      </c>
      <c r="I1105" s="3" t="str">
        <f>TRIM([1]Raw_Data!I1103)</f>
        <v>Canada</v>
      </c>
      <c r="J1105" s="3" t="str">
        <f>TRIM([1]Raw_Data!J1103)</f>
        <v>Walmart</v>
      </c>
      <c r="K1105" s="3">
        <f t="shared" si="68"/>
        <v>2021</v>
      </c>
      <c r="L1105" s="6">
        <f t="shared" si="69"/>
        <v>44287</v>
      </c>
      <c r="M1105" s="3" t="str">
        <f t="shared" si="70"/>
        <v>16% to 20%</v>
      </c>
      <c r="N1105" s="3" t="str">
        <f t="shared" si="71"/>
        <v>OK</v>
      </c>
    </row>
    <row r="1106" spans="1:14" x14ac:dyDescent="0.3">
      <c r="A1106" s="2">
        <f>DATE(VALUE(RIGHT(TRIM([1]Raw_Data!A1104),4)),VALUE(MID(TRIM([1]Raw_Data!A1104),4,2)),VALUE(LEFT(TRIM([1]Raw_Data!A1104),2)))</f>
        <v>44312</v>
      </c>
      <c r="B1106" s="3" t="str">
        <f>TRIM([1]Raw_Data!B1104)</f>
        <v>Iron Supplement</v>
      </c>
      <c r="C1106" s="3" t="str">
        <f>TRIM([1]Raw_Data!C1104)</f>
        <v>Mineral</v>
      </c>
      <c r="D1106" s="3">
        <f>[1]Raw_Data!D1104</f>
        <v>133</v>
      </c>
      <c r="E1106" s="4">
        <f>[1]Raw_Data!E1104</f>
        <v>35.020000000000003</v>
      </c>
      <c r="F1106" s="5">
        <f>[1]Raw_Data!F1104</f>
        <v>4657.66</v>
      </c>
      <c r="G1106" s="4">
        <f>[1]Raw_Data!G1104</f>
        <v>0.22</v>
      </c>
      <c r="H1106" s="3">
        <f>[1]Raw_Data!H1104</f>
        <v>3</v>
      </c>
      <c r="I1106" s="3" t="str">
        <f>TRIM([1]Raw_Data!I1104)</f>
        <v>UK</v>
      </c>
      <c r="J1106" s="3" t="str">
        <f>TRIM([1]Raw_Data!J1104)</f>
        <v>Walmart</v>
      </c>
      <c r="K1106" s="3">
        <f t="shared" si="68"/>
        <v>2021</v>
      </c>
      <c r="L1106" s="6">
        <f t="shared" si="69"/>
        <v>44287</v>
      </c>
      <c r="M1106" s="3" t="str">
        <f t="shared" si="70"/>
        <v>21% to 25%</v>
      </c>
      <c r="N1106" s="3" t="str">
        <f t="shared" si="71"/>
        <v>OK</v>
      </c>
    </row>
    <row r="1107" spans="1:14" x14ac:dyDescent="0.3">
      <c r="A1107" s="2">
        <f>DATE(VALUE(RIGHT(TRIM([1]Raw_Data!A1105),4)),VALUE(MID(TRIM([1]Raw_Data!A1105),4,2)),VALUE(LEFT(TRIM([1]Raw_Data!A1105),2)))</f>
        <v>44312</v>
      </c>
      <c r="B1107" s="3" t="str">
        <f>TRIM([1]Raw_Data!B1105)</f>
        <v>Electrolyte Powder</v>
      </c>
      <c r="C1107" s="3" t="str">
        <f>TRIM([1]Raw_Data!C1105)</f>
        <v>Hydration</v>
      </c>
      <c r="D1107" s="3">
        <f>[1]Raw_Data!D1105</f>
        <v>151</v>
      </c>
      <c r="E1107" s="4">
        <f>[1]Raw_Data!E1105</f>
        <v>47.32</v>
      </c>
      <c r="F1107" s="5">
        <f>[1]Raw_Data!F1105</f>
        <v>7145.32</v>
      </c>
      <c r="G1107" s="4">
        <f>[1]Raw_Data!G1105</f>
        <v>0</v>
      </c>
      <c r="H1107" s="3">
        <f>[1]Raw_Data!H1105</f>
        <v>0</v>
      </c>
      <c r="I1107" s="3" t="str">
        <f>TRIM([1]Raw_Data!I1105)</f>
        <v>UK</v>
      </c>
      <c r="J1107" s="3" t="str">
        <f>TRIM([1]Raw_Data!J1105)</f>
        <v>iHerb</v>
      </c>
      <c r="K1107" s="3">
        <f t="shared" si="68"/>
        <v>2021</v>
      </c>
      <c r="L1107" s="6">
        <f t="shared" si="69"/>
        <v>44287</v>
      </c>
      <c r="M1107" s="3" t="str">
        <f t="shared" si="70"/>
        <v>0% to 5%</v>
      </c>
      <c r="N1107" s="3" t="str">
        <f t="shared" si="71"/>
        <v>OK</v>
      </c>
    </row>
    <row r="1108" spans="1:14" x14ac:dyDescent="0.3">
      <c r="A1108" s="2">
        <f>DATE(VALUE(RIGHT(TRIM([1]Raw_Data!A1106),4)),VALUE(MID(TRIM([1]Raw_Data!A1106),4,2)),VALUE(LEFT(TRIM([1]Raw_Data!A1106),2)))</f>
        <v>44319</v>
      </c>
      <c r="B1108" s="3" t="str">
        <f>TRIM([1]Raw_Data!B1106)</f>
        <v>Whey Protein</v>
      </c>
      <c r="C1108" s="3" t="str">
        <f>TRIM([1]Raw_Data!C1106)</f>
        <v>Protein</v>
      </c>
      <c r="D1108" s="3">
        <f>[1]Raw_Data!D1106</f>
        <v>153</v>
      </c>
      <c r="E1108" s="4">
        <f>[1]Raw_Data!E1106</f>
        <v>55.83</v>
      </c>
      <c r="F1108" s="5">
        <f>[1]Raw_Data!F1106</f>
        <v>8541.99</v>
      </c>
      <c r="G1108" s="4">
        <f>[1]Raw_Data!G1106</f>
        <v>0.18</v>
      </c>
      <c r="H1108" s="3">
        <f>[1]Raw_Data!H1106</f>
        <v>2</v>
      </c>
      <c r="I1108" s="3" t="str">
        <f>TRIM([1]Raw_Data!I1106)</f>
        <v>UK</v>
      </c>
      <c r="J1108" s="3" t="str">
        <f>TRIM([1]Raw_Data!J1106)</f>
        <v>Amazon</v>
      </c>
      <c r="K1108" s="3">
        <f t="shared" si="68"/>
        <v>2021</v>
      </c>
      <c r="L1108" s="6">
        <f t="shared" si="69"/>
        <v>44317</v>
      </c>
      <c r="M1108" s="3" t="str">
        <f t="shared" si="70"/>
        <v>16% to 20%</v>
      </c>
      <c r="N1108" s="3" t="str">
        <f t="shared" si="71"/>
        <v>OK</v>
      </c>
    </row>
    <row r="1109" spans="1:14" x14ac:dyDescent="0.3">
      <c r="A1109" s="2">
        <f>DATE(VALUE(RIGHT(TRIM([1]Raw_Data!A1107),4)),VALUE(MID(TRIM([1]Raw_Data!A1107),4,2)),VALUE(LEFT(TRIM([1]Raw_Data!A1107),2)))</f>
        <v>44319</v>
      </c>
      <c r="B1109" s="3" t="str">
        <f>TRIM([1]Raw_Data!B1107)</f>
        <v>Vitamin C</v>
      </c>
      <c r="C1109" s="3" t="str">
        <f>TRIM([1]Raw_Data!C1107)</f>
        <v>Vitamin</v>
      </c>
      <c r="D1109" s="3">
        <f>[1]Raw_Data!D1107</f>
        <v>146</v>
      </c>
      <c r="E1109" s="4">
        <f>[1]Raw_Data!E1107</f>
        <v>16.010000000000002</v>
      </c>
      <c r="F1109" s="5">
        <f>[1]Raw_Data!F1107</f>
        <v>2337.46</v>
      </c>
      <c r="G1109" s="4">
        <f>[1]Raw_Data!G1107</f>
        <v>0.13</v>
      </c>
      <c r="H1109" s="3">
        <f>[1]Raw_Data!H1107</f>
        <v>2</v>
      </c>
      <c r="I1109" s="3" t="str">
        <f>TRIM([1]Raw_Data!I1107)</f>
        <v>UK</v>
      </c>
      <c r="J1109" s="3" t="str">
        <f>TRIM([1]Raw_Data!J1107)</f>
        <v>Amazon</v>
      </c>
      <c r="K1109" s="3">
        <f t="shared" si="68"/>
        <v>2021</v>
      </c>
      <c r="L1109" s="6">
        <f t="shared" si="69"/>
        <v>44317</v>
      </c>
      <c r="M1109" s="3" t="str">
        <f t="shared" si="70"/>
        <v>11% to 15%</v>
      </c>
      <c r="N1109" s="3" t="str">
        <f t="shared" si="71"/>
        <v>OK</v>
      </c>
    </row>
    <row r="1110" spans="1:14" x14ac:dyDescent="0.3">
      <c r="A1110" s="2">
        <f>DATE(VALUE(RIGHT(TRIM([1]Raw_Data!A1108),4)),VALUE(MID(TRIM([1]Raw_Data!A1108),4,2)),VALUE(LEFT(TRIM([1]Raw_Data!A1108),2)))</f>
        <v>44319</v>
      </c>
      <c r="B1110" s="3" t="str">
        <f>TRIM([1]Raw_Data!B1108)</f>
        <v>Fish Oil</v>
      </c>
      <c r="C1110" s="3" t="str">
        <f>TRIM([1]Raw_Data!C1108)</f>
        <v>Omega</v>
      </c>
      <c r="D1110" s="3">
        <f>[1]Raw_Data!D1108</f>
        <v>147</v>
      </c>
      <c r="E1110" s="4">
        <f>[1]Raw_Data!E1108</f>
        <v>36.090000000000003</v>
      </c>
      <c r="F1110" s="5">
        <f>[1]Raw_Data!F1108</f>
        <v>5305.23</v>
      </c>
      <c r="G1110" s="4">
        <f>[1]Raw_Data!G1108</f>
        <v>0.02</v>
      </c>
      <c r="H1110" s="3">
        <f>[1]Raw_Data!H1108</f>
        <v>0</v>
      </c>
      <c r="I1110" s="3" t="str">
        <f>TRIM([1]Raw_Data!I1108)</f>
        <v>USA</v>
      </c>
      <c r="J1110" s="3" t="str">
        <f>TRIM([1]Raw_Data!J1108)</f>
        <v>Walmart</v>
      </c>
      <c r="K1110" s="3">
        <f t="shared" si="68"/>
        <v>2021</v>
      </c>
      <c r="L1110" s="6">
        <f t="shared" si="69"/>
        <v>44317</v>
      </c>
      <c r="M1110" s="3" t="str">
        <f t="shared" si="70"/>
        <v>0% to 5%</v>
      </c>
      <c r="N1110" s="3" t="str">
        <f t="shared" si="71"/>
        <v>OK</v>
      </c>
    </row>
    <row r="1111" spans="1:14" x14ac:dyDescent="0.3">
      <c r="A1111" s="2">
        <f>DATE(VALUE(RIGHT(TRIM([1]Raw_Data!A1109),4)),VALUE(MID(TRIM([1]Raw_Data!A1109),4,2)),VALUE(LEFT(TRIM([1]Raw_Data!A1109),2)))</f>
        <v>44319</v>
      </c>
      <c r="B1111" s="3" t="str">
        <f>TRIM([1]Raw_Data!B1109)</f>
        <v>Multivitamin</v>
      </c>
      <c r="C1111" s="3" t="str">
        <f>TRIM([1]Raw_Data!C1109)</f>
        <v>Vitamin</v>
      </c>
      <c r="D1111" s="3">
        <f>[1]Raw_Data!D1109</f>
        <v>164</v>
      </c>
      <c r="E1111" s="4">
        <f>[1]Raw_Data!E1109</f>
        <v>54.74</v>
      </c>
      <c r="F1111" s="5">
        <f>[1]Raw_Data!F1109</f>
        <v>8977.36</v>
      </c>
      <c r="G1111" s="4">
        <f>[1]Raw_Data!G1109</f>
        <v>0.03</v>
      </c>
      <c r="H1111" s="3">
        <f>[1]Raw_Data!H1109</f>
        <v>5</v>
      </c>
      <c r="I1111" s="3" t="str">
        <f>TRIM([1]Raw_Data!I1109)</f>
        <v>Canada</v>
      </c>
      <c r="J1111" s="3" t="str">
        <f>TRIM([1]Raw_Data!J1109)</f>
        <v>Amazon</v>
      </c>
      <c r="K1111" s="3">
        <f t="shared" si="68"/>
        <v>2021</v>
      </c>
      <c r="L1111" s="6">
        <f t="shared" si="69"/>
        <v>44317</v>
      </c>
      <c r="M1111" s="3" t="str">
        <f t="shared" si="70"/>
        <v>0% to 5%</v>
      </c>
      <c r="N1111" s="3" t="str">
        <f t="shared" si="71"/>
        <v>OK</v>
      </c>
    </row>
    <row r="1112" spans="1:14" x14ac:dyDescent="0.3">
      <c r="A1112" s="2">
        <f>DATE(VALUE(RIGHT(TRIM([1]Raw_Data!A1110),4)),VALUE(MID(TRIM([1]Raw_Data!A1110),4,2)),VALUE(LEFT(TRIM([1]Raw_Data!A1110),2)))</f>
        <v>44319</v>
      </c>
      <c r="B1112" s="3" t="str">
        <f>TRIM([1]Raw_Data!B1110)</f>
        <v>Pre-Workout</v>
      </c>
      <c r="C1112" s="3" t="str">
        <f>TRIM([1]Raw_Data!C1110)</f>
        <v>Performance</v>
      </c>
      <c r="D1112" s="3">
        <f>[1]Raw_Data!D1110</f>
        <v>139</v>
      </c>
      <c r="E1112" s="4">
        <f>[1]Raw_Data!E1110</f>
        <v>59.87</v>
      </c>
      <c r="F1112" s="5">
        <f>[1]Raw_Data!F1110</f>
        <v>8321.93</v>
      </c>
      <c r="G1112" s="4">
        <f>[1]Raw_Data!G1110</f>
        <v>7.0000000000000007E-2</v>
      </c>
      <c r="H1112" s="3">
        <f>[1]Raw_Data!H1110</f>
        <v>2</v>
      </c>
      <c r="I1112" s="3" t="str">
        <f>TRIM([1]Raw_Data!I1110)</f>
        <v>USA</v>
      </c>
      <c r="J1112" s="3" t="str">
        <f>TRIM([1]Raw_Data!J1110)</f>
        <v>Walmart</v>
      </c>
      <c r="K1112" s="3">
        <f t="shared" si="68"/>
        <v>2021</v>
      </c>
      <c r="L1112" s="6">
        <f t="shared" si="69"/>
        <v>44317</v>
      </c>
      <c r="M1112" s="3" t="str">
        <f t="shared" si="70"/>
        <v>6% to 10%</v>
      </c>
      <c r="N1112" s="3" t="str">
        <f t="shared" si="71"/>
        <v>OK</v>
      </c>
    </row>
    <row r="1113" spans="1:14" x14ac:dyDescent="0.3">
      <c r="A1113" s="2">
        <f>DATE(VALUE(RIGHT(TRIM([1]Raw_Data!A1111),4)),VALUE(MID(TRIM([1]Raw_Data!A1111),4,2)),VALUE(LEFT(TRIM([1]Raw_Data!A1111),2)))</f>
        <v>44319</v>
      </c>
      <c r="B1113" s="3" t="str">
        <f>TRIM([1]Raw_Data!B1111)</f>
        <v>BCAA</v>
      </c>
      <c r="C1113" s="3" t="str">
        <f>TRIM([1]Raw_Data!C1111)</f>
        <v>Amino Acid</v>
      </c>
      <c r="D1113" s="3">
        <f>[1]Raw_Data!D1111</f>
        <v>137</v>
      </c>
      <c r="E1113" s="4">
        <f>[1]Raw_Data!E1111</f>
        <v>55.2</v>
      </c>
      <c r="F1113" s="5">
        <f>[1]Raw_Data!F1111</f>
        <v>7562.4</v>
      </c>
      <c r="G1113" s="4">
        <f>[1]Raw_Data!G1111</f>
        <v>0.08</v>
      </c>
      <c r="H1113" s="3">
        <f>[1]Raw_Data!H1111</f>
        <v>2</v>
      </c>
      <c r="I1113" s="3" t="str">
        <f>TRIM([1]Raw_Data!I1111)</f>
        <v>UK</v>
      </c>
      <c r="J1113" s="3" t="str">
        <f>TRIM([1]Raw_Data!J1111)</f>
        <v>iHerb</v>
      </c>
      <c r="K1113" s="3">
        <f t="shared" si="68"/>
        <v>2021</v>
      </c>
      <c r="L1113" s="6">
        <f t="shared" si="69"/>
        <v>44317</v>
      </c>
      <c r="M1113" s="3" t="str">
        <f t="shared" si="70"/>
        <v>6% to 10%</v>
      </c>
      <c r="N1113" s="3" t="str">
        <f t="shared" si="71"/>
        <v>OK</v>
      </c>
    </row>
    <row r="1114" spans="1:14" x14ac:dyDescent="0.3">
      <c r="A1114" s="2">
        <f>DATE(VALUE(RIGHT(TRIM([1]Raw_Data!A1112),4)),VALUE(MID(TRIM([1]Raw_Data!A1112),4,2)),VALUE(LEFT(TRIM([1]Raw_Data!A1112),2)))</f>
        <v>44319</v>
      </c>
      <c r="B1114" s="3" t="str">
        <f>TRIM([1]Raw_Data!B1112)</f>
        <v>Creatine</v>
      </c>
      <c r="C1114" s="3" t="str">
        <f>TRIM([1]Raw_Data!C1112)</f>
        <v>Performance</v>
      </c>
      <c r="D1114" s="3">
        <f>[1]Raw_Data!D1112</f>
        <v>138</v>
      </c>
      <c r="E1114" s="4">
        <f>[1]Raw_Data!E1112</f>
        <v>26.82</v>
      </c>
      <c r="F1114" s="5">
        <f>[1]Raw_Data!F1112</f>
        <v>3701.16</v>
      </c>
      <c r="G1114" s="4">
        <f>[1]Raw_Data!G1112</f>
        <v>0.05</v>
      </c>
      <c r="H1114" s="3">
        <f>[1]Raw_Data!H1112</f>
        <v>1</v>
      </c>
      <c r="I1114" s="3" t="str">
        <f>TRIM([1]Raw_Data!I1112)</f>
        <v>Canada</v>
      </c>
      <c r="J1114" s="3" t="str">
        <f>TRIM([1]Raw_Data!J1112)</f>
        <v>Walmart</v>
      </c>
      <c r="K1114" s="3">
        <f t="shared" si="68"/>
        <v>2021</v>
      </c>
      <c r="L1114" s="6">
        <f t="shared" si="69"/>
        <v>44317</v>
      </c>
      <c r="M1114" s="3" t="str">
        <f t="shared" si="70"/>
        <v>0% to 5%</v>
      </c>
      <c r="N1114" s="3" t="str">
        <f t="shared" si="71"/>
        <v>OK</v>
      </c>
    </row>
    <row r="1115" spans="1:14" x14ac:dyDescent="0.3">
      <c r="A1115" s="2">
        <f>DATE(VALUE(RIGHT(TRIM([1]Raw_Data!A1113),4)),VALUE(MID(TRIM([1]Raw_Data!A1113),4,2)),VALUE(LEFT(TRIM([1]Raw_Data!A1113),2)))</f>
        <v>44319</v>
      </c>
      <c r="B1115" s="3" t="str">
        <f>TRIM([1]Raw_Data!B1113)</f>
        <v>Zinc</v>
      </c>
      <c r="C1115" s="3" t="str">
        <f>TRIM([1]Raw_Data!C1113)</f>
        <v>Mineral</v>
      </c>
      <c r="D1115" s="3">
        <f>[1]Raw_Data!D1113</f>
        <v>146</v>
      </c>
      <c r="E1115" s="4">
        <f>[1]Raw_Data!E1113</f>
        <v>32.42</v>
      </c>
      <c r="F1115" s="5">
        <f>[1]Raw_Data!F1113</f>
        <v>4733.32</v>
      </c>
      <c r="G1115" s="4">
        <f>[1]Raw_Data!G1113</f>
        <v>0.08</v>
      </c>
      <c r="H1115" s="3">
        <f>[1]Raw_Data!H1113</f>
        <v>2</v>
      </c>
      <c r="I1115" s="3" t="str">
        <f>TRIM([1]Raw_Data!I1113)</f>
        <v>USA</v>
      </c>
      <c r="J1115" s="3" t="str">
        <f>TRIM([1]Raw_Data!J1113)</f>
        <v>iHerb</v>
      </c>
      <c r="K1115" s="3">
        <f t="shared" si="68"/>
        <v>2021</v>
      </c>
      <c r="L1115" s="6">
        <f t="shared" si="69"/>
        <v>44317</v>
      </c>
      <c r="M1115" s="3" t="str">
        <f t="shared" si="70"/>
        <v>6% to 10%</v>
      </c>
      <c r="N1115" s="3" t="str">
        <f t="shared" si="71"/>
        <v>OK</v>
      </c>
    </row>
    <row r="1116" spans="1:14" x14ac:dyDescent="0.3">
      <c r="A1116" s="2">
        <f>DATE(VALUE(RIGHT(TRIM([1]Raw_Data!A1114),4)),VALUE(MID(TRIM([1]Raw_Data!A1114),4,2)),VALUE(LEFT(TRIM([1]Raw_Data!A1114),2)))</f>
        <v>44319</v>
      </c>
      <c r="B1116" s="3" t="str">
        <f>TRIM([1]Raw_Data!B1114)</f>
        <v>Collagen Peptides</v>
      </c>
      <c r="C1116" s="3" t="str">
        <f>TRIM([1]Raw_Data!C1114)</f>
        <v>Protein</v>
      </c>
      <c r="D1116" s="3">
        <f>[1]Raw_Data!D1114</f>
        <v>165</v>
      </c>
      <c r="E1116" s="4">
        <f>[1]Raw_Data!E1114</f>
        <v>17.86</v>
      </c>
      <c r="F1116" s="5">
        <f>[1]Raw_Data!F1114</f>
        <v>2946.9</v>
      </c>
      <c r="G1116" s="4">
        <f>[1]Raw_Data!G1114</f>
        <v>0.17</v>
      </c>
      <c r="H1116" s="3">
        <f>[1]Raw_Data!H1114</f>
        <v>2</v>
      </c>
      <c r="I1116" s="3" t="str">
        <f>TRIM([1]Raw_Data!I1114)</f>
        <v>UK</v>
      </c>
      <c r="J1116" s="3" t="str">
        <f>TRIM([1]Raw_Data!J1114)</f>
        <v>Amazon</v>
      </c>
      <c r="K1116" s="3">
        <f t="shared" si="68"/>
        <v>2021</v>
      </c>
      <c r="L1116" s="6">
        <f t="shared" si="69"/>
        <v>44317</v>
      </c>
      <c r="M1116" s="3" t="str">
        <f t="shared" si="70"/>
        <v>16% to 20%</v>
      </c>
      <c r="N1116" s="3" t="str">
        <f t="shared" si="71"/>
        <v>OK</v>
      </c>
    </row>
    <row r="1117" spans="1:14" x14ac:dyDescent="0.3">
      <c r="A1117" s="2">
        <f>DATE(VALUE(RIGHT(TRIM([1]Raw_Data!A1115),4)),VALUE(MID(TRIM([1]Raw_Data!A1115),4,2)),VALUE(LEFT(TRIM([1]Raw_Data!A1115),2)))</f>
        <v>44319</v>
      </c>
      <c r="B1117" s="3" t="str">
        <f>TRIM([1]Raw_Data!B1115)</f>
        <v>Magnesium</v>
      </c>
      <c r="C1117" s="3" t="str">
        <f>TRIM([1]Raw_Data!C1115)</f>
        <v>Mineral</v>
      </c>
      <c r="D1117" s="3">
        <f>[1]Raw_Data!D1115</f>
        <v>155</v>
      </c>
      <c r="E1117" s="4">
        <f>[1]Raw_Data!E1115</f>
        <v>32.020000000000003</v>
      </c>
      <c r="F1117" s="5">
        <f>[1]Raw_Data!F1115</f>
        <v>4963.1000000000004</v>
      </c>
      <c r="G1117" s="4">
        <f>[1]Raw_Data!G1115</f>
        <v>0.23</v>
      </c>
      <c r="H1117" s="3">
        <f>[1]Raw_Data!H1115</f>
        <v>2</v>
      </c>
      <c r="I1117" s="3" t="str">
        <f>TRIM([1]Raw_Data!I1115)</f>
        <v>USA</v>
      </c>
      <c r="J1117" s="3" t="str">
        <f>TRIM([1]Raw_Data!J1115)</f>
        <v>Walmart</v>
      </c>
      <c r="K1117" s="3">
        <f t="shared" si="68"/>
        <v>2021</v>
      </c>
      <c r="L1117" s="6">
        <f t="shared" si="69"/>
        <v>44317</v>
      </c>
      <c r="M1117" s="3" t="str">
        <f t="shared" si="70"/>
        <v>21% to 25%</v>
      </c>
      <c r="N1117" s="3" t="str">
        <f t="shared" si="71"/>
        <v>OK</v>
      </c>
    </row>
    <row r="1118" spans="1:14" x14ac:dyDescent="0.3">
      <c r="A1118" s="2">
        <f>DATE(VALUE(RIGHT(TRIM([1]Raw_Data!A1116),4)),VALUE(MID(TRIM([1]Raw_Data!A1116),4,2)),VALUE(LEFT(TRIM([1]Raw_Data!A1116),2)))</f>
        <v>44319</v>
      </c>
      <c r="B1118" s="3" t="str">
        <f>TRIM([1]Raw_Data!B1116)</f>
        <v>Ashwagandha</v>
      </c>
      <c r="C1118" s="3" t="str">
        <f>TRIM([1]Raw_Data!C1116)</f>
        <v>Herbal</v>
      </c>
      <c r="D1118" s="3">
        <f>[1]Raw_Data!D1116</f>
        <v>150</v>
      </c>
      <c r="E1118" s="4">
        <f>[1]Raw_Data!E1116</f>
        <v>26.28</v>
      </c>
      <c r="F1118" s="5">
        <f>[1]Raw_Data!F1116</f>
        <v>3942</v>
      </c>
      <c r="G1118" s="4">
        <f>[1]Raw_Data!G1116</f>
        <v>0.25</v>
      </c>
      <c r="H1118" s="3">
        <f>[1]Raw_Data!H1116</f>
        <v>2</v>
      </c>
      <c r="I1118" s="3" t="str">
        <f>TRIM([1]Raw_Data!I1116)</f>
        <v>UK</v>
      </c>
      <c r="J1118" s="3" t="str">
        <f>TRIM([1]Raw_Data!J1116)</f>
        <v>Walmart</v>
      </c>
      <c r="K1118" s="3">
        <f t="shared" si="68"/>
        <v>2021</v>
      </c>
      <c r="L1118" s="6">
        <f t="shared" si="69"/>
        <v>44317</v>
      </c>
      <c r="M1118" s="3" t="str">
        <f t="shared" si="70"/>
        <v>21% to 25%</v>
      </c>
      <c r="N1118" s="3" t="str">
        <f t="shared" si="71"/>
        <v>OK</v>
      </c>
    </row>
    <row r="1119" spans="1:14" x14ac:dyDescent="0.3">
      <c r="A1119" s="2">
        <f>DATE(VALUE(RIGHT(TRIM([1]Raw_Data!A1117),4)),VALUE(MID(TRIM([1]Raw_Data!A1117),4,2)),VALUE(LEFT(TRIM([1]Raw_Data!A1117),2)))</f>
        <v>44319</v>
      </c>
      <c r="B1119" s="3" t="str">
        <f>TRIM([1]Raw_Data!B1117)</f>
        <v>Melatonin</v>
      </c>
      <c r="C1119" s="3" t="str">
        <f>TRIM([1]Raw_Data!C1117)</f>
        <v>Sleep Aid</v>
      </c>
      <c r="D1119" s="3">
        <f>[1]Raw_Data!D1117</f>
        <v>120</v>
      </c>
      <c r="E1119" s="4">
        <f>[1]Raw_Data!E1117</f>
        <v>41.17</v>
      </c>
      <c r="F1119" s="5">
        <f>[1]Raw_Data!F1117</f>
        <v>4940.3999999999996</v>
      </c>
      <c r="G1119" s="4">
        <f>[1]Raw_Data!G1117</f>
        <v>0.01</v>
      </c>
      <c r="H1119" s="3">
        <f>[1]Raw_Data!H1117</f>
        <v>0</v>
      </c>
      <c r="I1119" s="3" t="str">
        <f>TRIM([1]Raw_Data!I1117)</f>
        <v>Canada</v>
      </c>
      <c r="J1119" s="3" t="str">
        <f>TRIM([1]Raw_Data!J1117)</f>
        <v>Amazon</v>
      </c>
      <c r="K1119" s="3">
        <f t="shared" si="68"/>
        <v>2021</v>
      </c>
      <c r="L1119" s="6">
        <f t="shared" si="69"/>
        <v>44317</v>
      </c>
      <c r="M1119" s="3" t="str">
        <f t="shared" si="70"/>
        <v>0% to 5%</v>
      </c>
      <c r="N1119" s="3" t="str">
        <f t="shared" si="71"/>
        <v>OK</v>
      </c>
    </row>
    <row r="1120" spans="1:14" x14ac:dyDescent="0.3">
      <c r="A1120" s="2">
        <f>DATE(VALUE(RIGHT(TRIM([1]Raw_Data!A1118),4)),VALUE(MID(TRIM([1]Raw_Data!A1118),4,2)),VALUE(LEFT(TRIM([1]Raw_Data!A1118),2)))</f>
        <v>44319</v>
      </c>
      <c r="B1120" s="3" t="str">
        <f>TRIM([1]Raw_Data!B1118)</f>
        <v>Biotin</v>
      </c>
      <c r="C1120" s="3" t="str">
        <f>TRIM([1]Raw_Data!C1118)</f>
        <v>Vitamin</v>
      </c>
      <c r="D1120" s="3">
        <f>[1]Raw_Data!D1118</f>
        <v>148</v>
      </c>
      <c r="E1120" s="4">
        <f>[1]Raw_Data!E1118</f>
        <v>31.91</v>
      </c>
      <c r="F1120" s="5">
        <f>[1]Raw_Data!F1118</f>
        <v>4722.68</v>
      </c>
      <c r="G1120" s="4">
        <f>[1]Raw_Data!G1118</f>
        <v>7.0000000000000007E-2</v>
      </c>
      <c r="H1120" s="3">
        <f>[1]Raw_Data!H1118</f>
        <v>0</v>
      </c>
      <c r="I1120" s="3" t="str">
        <f>TRIM([1]Raw_Data!I1118)</f>
        <v>USA</v>
      </c>
      <c r="J1120" s="3" t="str">
        <f>TRIM([1]Raw_Data!J1118)</f>
        <v>Amazon</v>
      </c>
      <c r="K1120" s="3">
        <f t="shared" si="68"/>
        <v>2021</v>
      </c>
      <c r="L1120" s="6">
        <f t="shared" si="69"/>
        <v>44317</v>
      </c>
      <c r="M1120" s="3" t="str">
        <f t="shared" si="70"/>
        <v>6% to 10%</v>
      </c>
      <c r="N1120" s="3" t="str">
        <f t="shared" si="71"/>
        <v>OK</v>
      </c>
    </row>
    <row r="1121" spans="1:14" x14ac:dyDescent="0.3">
      <c r="A1121" s="2">
        <f>DATE(VALUE(RIGHT(TRIM([1]Raw_Data!A1119),4)),VALUE(MID(TRIM([1]Raw_Data!A1119),4,2)),VALUE(LEFT(TRIM([1]Raw_Data!A1119),2)))</f>
        <v>44319</v>
      </c>
      <c r="B1121" s="3" t="str">
        <f>TRIM([1]Raw_Data!B1119)</f>
        <v>Green Tea Extract</v>
      </c>
      <c r="C1121" s="3" t="str">
        <f>TRIM([1]Raw_Data!C1119)</f>
        <v>Fat Burner</v>
      </c>
      <c r="D1121" s="3">
        <f>[1]Raw_Data!D1119</f>
        <v>157</v>
      </c>
      <c r="E1121" s="4">
        <f>[1]Raw_Data!E1119</f>
        <v>20.010000000000002</v>
      </c>
      <c r="F1121" s="5">
        <f>[1]Raw_Data!F1119</f>
        <v>3141.57</v>
      </c>
      <c r="G1121" s="4">
        <f>[1]Raw_Data!G1119</f>
        <v>0.08</v>
      </c>
      <c r="H1121" s="3">
        <f>[1]Raw_Data!H1119</f>
        <v>2</v>
      </c>
      <c r="I1121" s="3" t="str">
        <f>TRIM([1]Raw_Data!I1119)</f>
        <v>UK</v>
      </c>
      <c r="J1121" s="3" t="str">
        <f>TRIM([1]Raw_Data!J1119)</f>
        <v>Amazon</v>
      </c>
      <c r="K1121" s="3">
        <f t="shared" si="68"/>
        <v>2021</v>
      </c>
      <c r="L1121" s="6">
        <f t="shared" si="69"/>
        <v>44317</v>
      </c>
      <c r="M1121" s="3" t="str">
        <f t="shared" si="70"/>
        <v>6% to 10%</v>
      </c>
      <c r="N1121" s="3" t="str">
        <f t="shared" si="71"/>
        <v>OK</v>
      </c>
    </row>
    <row r="1122" spans="1:14" x14ac:dyDescent="0.3">
      <c r="A1122" s="2">
        <f>DATE(VALUE(RIGHT(TRIM([1]Raw_Data!A1120),4)),VALUE(MID(TRIM([1]Raw_Data!A1120),4,2)),VALUE(LEFT(TRIM([1]Raw_Data!A1120),2)))</f>
        <v>44319</v>
      </c>
      <c r="B1122" s="3" t="str">
        <f>TRIM([1]Raw_Data!B1120)</f>
        <v>Iron Supplement</v>
      </c>
      <c r="C1122" s="3" t="str">
        <f>TRIM([1]Raw_Data!C1120)</f>
        <v>Mineral</v>
      </c>
      <c r="D1122" s="3">
        <f>[1]Raw_Data!D1120</f>
        <v>128</v>
      </c>
      <c r="E1122" s="4">
        <f>[1]Raw_Data!E1120</f>
        <v>13.66</v>
      </c>
      <c r="F1122" s="5">
        <f>[1]Raw_Data!F1120</f>
        <v>1748.48</v>
      </c>
      <c r="G1122" s="4">
        <f>[1]Raw_Data!G1120</f>
        <v>0.2</v>
      </c>
      <c r="H1122" s="3">
        <f>[1]Raw_Data!H1120</f>
        <v>2</v>
      </c>
      <c r="I1122" s="3" t="str">
        <f>TRIM([1]Raw_Data!I1120)</f>
        <v>USA</v>
      </c>
      <c r="J1122" s="3" t="str">
        <f>TRIM([1]Raw_Data!J1120)</f>
        <v>Amazon</v>
      </c>
      <c r="K1122" s="3">
        <f t="shared" si="68"/>
        <v>2021</v>
      </c>
      <c r="L1122" s="6">
        <f t="shared" si="69"/>
        <v>44317</v>
      </c>
      <c r="M1122" s="3" t="str">
        <f t="shared" si="70"/>
        <v>16% to 20%</v>
      </c>
      <c r="N1122" s="3" t="str">
        <f t="shared" si="71"/>
        <v>OK</v>
      </c>
    </row>
    <row r="1123" spans="1:14" x14ac:dyDescent="0.3">
      <c r="A1123" s="2">
        <f>DATE(VALUE(RIGHT(TRIM([1]Raw_Data!A1121),4)),VALUE(MID(TRIM([1]Raw_Data!A1121),4,2)),VALUE(LEFT(TRIM([1]Raw_Data!A1121),2)))</f>
        <v>44319</v>
      </c>
      <c r="B1123" s="3" t="str">
        <f>TRIM([1]Raw_Data!B1121)</f>
        <v>Electrolyte Powder</v>
      </c>
      <c r="C1123" s="3" t="str">
        <f>TRIM([1]Raw_Data!C1121)</f>
        <v>Hydration</v>
      </c>
      <c r="D1123" s="3">
        <f>[1]Raw_Data!D1121</f>
        <v>160</v>
      </c>
      <c r="E1123" s="4">
        <f>[1]Raw_Data!E1121</f>
        <v>43.47</v>
      </c>
      <c r="F1123" s="5">
        <f>[1]Raw_Data!F1121</f>
        <v>6955.2</v>
      </c>
      <c r="G1123" s="4">
        <f>[1]Raw_Data!G1121</f>
        <v>0.12</v>
      </c>
      <c r="H1123" s="3">
        <f>[1]Raw_Data!H1121</f>
        <v>2</v>
      </c>
      <c r="I1123" s="3" t="str">
        <f>TRIM([1]Raw_Data!I1121)</f>
        <v>USA</v>
      </c>
      <c r="J1123" s="3" t="str">
        <f>TRIM([1]Raw_Data!J1121)</f>
        <v>Walmart</v>
      </c>
      <c r="K1123" s="3">
        <f t="shared" si="68"/>
        <v>2021</v>
      </c>
      <c r="L1123" s="6">
        <f t="shared" si="69"/>
        <v>44317</v>
      </c>
      <c r="M1123" s="3" t="str">
        <f t="shared" si="70"/>
        <v>11% to 15%</v>
      </c>
      <c r="N1123" s="3" t="str">
        <f t="shared" si="71"/>
        <v>OK</v>
      </c>
    </row>
    <row r="1124" spans="1:14" x14ac:dyDescent="0.3">
      <c r="A1124" s="2">
        <f>DATE(VALUE(RIGHT(TRIM([1]Raw_Data!A1122),4)),VALUE(MID(TRIM([1]Raw_Data!A1122),4,2)),VALUE(LEFT(TRIM([1]Raw_Data!A1122),2)))</f>
        <v>44326</v>
      </c>
      <c r="B1124" s="3" t="str">
        <f>TRIM([1]Raw_Data!B1122)</f>
        <v>Whey Protein</v>
      </c>
      <c r="C1124" s="3" t="str">
        <f>TRIM([1]Raw_Data!C1122)</f>
        <v>Protein</v>
      </c>
      <c r="D1124" s="3">
        <f>[1]Raw_Data!D1122</f>
        <v>161</v>
      </c>
      <c r="E1124" s="4">
        <f>[1]Raw_Data!E1122</f>
        <v>27.88</v>
      </c>
      <c r="F1124" s="5">
        <f>[1]Raw_Data!F1122</f>
        <v>4488.68</v>
      </c>
      <c r="G1124" s="4">
        <f>[1]Raw_Data!G1122</f>
        <v>7.0000000000000007E-2</v>
      </c>
      <c r="H1124" s="3">
        <f>[1]Raw_Data!H1122</f>
        <v>2</v>
      </c>
      <c r="I1124" s="3" t="str">
        <f>TRIM([1]Raw_Data!I1122)</f>
        <v>USA</v>
      </c>
      <c r="J1124" s="3" t="str">
        <f>TRIM([1]Raw_Data!J1122)</f>
        <v>Walmart</v>
      </c>
      <c r="K1124" s="3">
        <f t="shared" si="68"/>
        <v>2021</v>
      </c>
      <c r="L1124" s="6">
        <f t="shared" si="69"/>
        <v>44317</v>
      </c>
      <c r="M1124" s="3" t="str">
        <f t="shared" si="70"/>
        <v>6% to 10%</v>
      </c>
      <c r="N1124" s="3" t="str">
        <f t="shared" si="71"/>
        <v>OK</v>
      </c>
    </row>
    <row r="1125" spans="1:14" x14ac:dyDescent="0.3">
      <c r="A1125" s="2">
        <f>DATE(VALUE(RIGHT(TRIM([1]Raw_Data!A1123),4)),VALUE(MID(TRIM([1]Raw_Data!A1123),4,2)),VALUE(LEFT(TRIM([1]Raw_Data!A1123),2)))</f>
        <v>44326</v>
      </c>
      <c r="B1125" s="3" t="str">
        <f>TRIM([1]Raw_Data!B1123)</f>
        <v>Vitamin C</v>
      </c>
      <c r="C1125" s="3" t="str">
        <f>TRIM([1]Raw_Data!C1123)</f>
        <v>Vitamin</v>
      </c>
      <c r="D1125" s="3">
        <f>[1]Raw_Data!D1123</f>
        <v>157</v>
      </c>
      <c r="E1125" s="4">
        <f>[1]Raw_Data!E1123</f>
        <v>27.12</v>
      </c>
      <c r="F1125" s="5">
        <f>[1]Raw_Data!F1123</f>
        <v>4257.84</v>
      </c>
      <c r="G1125" s="4">
        <f>[1]Raw_Data!G1123</f>
        <v>0.19</v>
      </c>
      <c r="H1125" s="3">
        <f>[1]Raw_Data!H1123</f>
        <v>2</v>
      </c>
      <c r="I1125" s="3" t="str">
        <f>TRIM([1]Raw_Data!I1123)</f>
        <v>USA</v>
      </c>
      <c r="J1125" s="3" t="str">
        <f>TRIM([1]Raw_Data!J1123)</f>
        <v>iHerb</v>
      </c>
      <c r="K1125" s="3">
        <f t="shared" si="68"/>
        <v>2021</v>
      </c>
      <c r="L1125" s="6">
        <f t="shared" si="69"/>
        <v>44317</v>
      </c>
      <c r="M1125" s="3" t="str">
        <f t="shared" si="70"/>
        <v>16% to 20%</v>
      </c>
      <c r="N1125" s="3" t="str">
        <f t="shared" si="71"/>
        <v>OK</v>
      </c>
    </row>
    <row r="1126" spans="1:14" x14ac:dyDescent="0.3">
      <c r="A1126" s="2">
        <f>DATE(VALUE(RIGHT(TRIM([1]Raw_Data!A1124),4)),VALUE(MID(TRIM([1]Raw_Data!A1124),4,2)),VALUE(LEFT(TRIM([1]Raw_Data!A1124),2)))</f>
        <v>44326</v>
      </c>
      <c r="B1126" s="3" t="str">
        <f>TRIM([1]Raw_Data!B1124)</f>
        <v>Fish Oil</v>
      </c>
      <c r="C1126" s="3" t="str">
        <f>TRIM([1]Raw_Data!C1124)</f>
        <v>Omega</v>
      </c>
      <c r="D1126" s="3">
        <f>[1]Raw_Data!D1124</f>
        <v>167</v>
      </c>
      <c r="E1126" s="4">
        <f>[1]Raw_Data!E1124</f>
        <v>35.880000000000003</v>
      </c>
      <c r="F1126" s="5">
        <f>[1]Raw_Data!F1124</f>
        <v>5991.96</v>
      </c>
      <c r="G1126" s="4">
        <f>[1]Raw_Data!G1124</f>
        <v>0.14000000000000001</v>
      </c>
      <c r="H1126" s="3">
        <f>[1]Raw_Data!H1124</f>
        <v>2</v>
      </c>
      <c r="I1126" s="3" t="str">
        <f>TRIM([1]Raw_Data!I1124)</f>
        <v>UK</v>
      </c>
      <c r="J1126" s="3" t="str">
        <f>TRIM([1]Raw_Data!J1124)</f>
        <v>Amazon</v>
      </c>
      <c r="K1126" s="3">
        <f t="shared" si="68"/>
        <v>2021</v>
      </c>
      <c r="L1126" s="6">
        <f t="shared" si="69"/>
        <v>44317</v>
      </c>
      <c r="M1126" s="3" t="str">
        <f t="shared" si="70"/>
        <v>11% to 15%</v>
      </c>
      <c r="N1126" s="3" t="str">
        <f t="shared" si="71"/>
        <v>OK</v>
      </c>
    </row>
    <row r="1127" spans="1:14" x14ac:dyDescent="0.3">
      <c r="A1127" s="2">
        <f>DATE(VALUE(RIGHT(TRIM([1]Raw_Data!A1125),4)),VALUE(MID(TRIM([1]Raw_Data!A1125),4,2)),VALUE(LEFT(TRIM([1]Raw_Data!A1125),2)))</f>
        <v>44326</v>
      </c>
      <c r="B1127" s="3" t="str">
        <f>TRIM([1]Raw_Data!B1125)</f>
        <v>Multivitamin</v>
      </c>
      <c r="C1127" s="3" t="str">
        <f>TRIM([1]Raw_Data!C1125)</f>
        <v>Vitamin</v>
      </c>
      <c r="D1127" s="3">
        <f>[1]Raw_Data!D1125</f>
        <v>184</v>
      </c>
      <c r="E1127" s="4">
        <f>[1]Raw_Data!E1125</f>
        <v>12.67</v>
      </c>
      <c r="F1127" s="5">
        <f>[1]Raw_Data!F1125</f>
        <v>2331.2800000000002</v>
      </c>
      <c r="G1127" s="4">
        <f>[1]Raw_Data!G1125</f>
        <v>0.23</v>
      </c>
      <c r="H1127" s="3">
        <f>[1]Raw_Data!H1125</f>
        <v>2</v>
      </c>
      <c r="I1127" s="3" t="str">
        <f>TRIM([1]Raw_Data!I1125)</f>
        <v>USA</v>
      </c>
      <c r="J1127" s="3" t="str">
        <f>TRIM([1]Raw_Data!J1125)</f>
        <v>iHerb</v>
      </c>
      <c r="K1127" s="3">
        <f t="shared" si="68"/>
        <v>2021</v>
      </c>
      <c r="L1127" s="6">
        <f t="shared" si="69"/>
        <v>44317</v>
      </c>
      <c r="M1127" s="3" t="str">
        <f t="shared" si="70"/>
        <v>21% to 25%</v>
      </c>
      <c r="N1127" s="3" t="str">
        <f t="shared" si="71"/>
        <v>OK</v>
      </c>
    </row>
    <row r="1128" spans="1:14" x14ac:dyDescent="0.3">
      <c r="A1128" s="2">
        <f>DATE(VALUE(RIGHT(TRIM([1]Raw_Data!A1126),4)),VALUE(MID(TRIM([1]Raw_Data!A1126),4,2)),VALUE(LEFT(TRIM([1]Raw_Data!A1126),2)))</f>
        <v>44326</v>
      </c>
      <c r="B1128" s="3" t="str">
        <f>TRIM([1]Raw_Data!B1126)</f>
        <v>Pre-Workout</v>
      </c>
      <c r="C1128" s="3" t="str">
        <f>TRIM([1]Raw_Data!C1126)</f>
        <v>Performance</v>
      </c>
      <c r="D1128" s="3">
        <f>[1]Raw_Data!D1126</f>
        <v>154</v>
      </c>
      <c r="E1128" s="4">
        <f>[1]Raw_Data!E1126</f>
        <v>14.68</v>
      </c>
      <c r="F1128" s="5">
        <f>[1]Raw_Data!F1126</f>
        <v>2260.7199999999998</v>
      </c>
      <c r="G1128" s="4">
        <f>[1]Raw_Data!G1126</f>
        <v>0.19</v>
      </c>
      <c r="H1128" s="3">
        <f>[1]Raw_Data!H1126</f>
        <v>2</v>
      </c>
      <c r="I1128" s="3" t="str">
        <f>TRIM([1]Raw_Data!I1126)</f>
        <v>UK</v>
      </c>
      <c r="J1128" s="3" t="str">
        <f>TRIM([1]Raw_Data!J1126)</f>
        <v>Walmart</v>
      </c>
      <c r="K1128" s="3">
        <f t="shared" si="68"/>
        <v>2021</v>
      </c>
      <c r="L1128" s="6">
        <f t="shared" si="69"/>
        <v>44317</v>
      </c>
      <c r="M1128" s="3" t="str">
        <f t="shared" si="70"/>
        <v>16% to 20%</v>
      </c>
      <c r="N1128" s="3" t="str">
        <f t="shared" si="71"/>
        <v>OK</v>
      </c>
    </row>
    <row r="1129" spans="1:14" x14ac:dyDescent="0.3">
      <c r="A1129" s="2">
        <f>DATE(VALUE(RIGHT(TRIM([1]Raw_Data!A1127),4)),VALUE(MID(TRIM([1]Raw_Data!A1127),4,2)),VALUE(LEFT(TRIM([1]Raw_Data!A1127),2)))</f>
        <v>44326</v>
      </c>
      <c r="B1129" s="3" t="str">
        <f>TRIM([1]Raw_Data!B1127)</f>
        <v>BCAA</v>
      </c>
      <c r="C1129" s="3" t="str">
        <f>TRIM([1]Raw_Data!C1127)</f>
        <v>Amino Acid</v>
      </c>
      <c r="D1129" s="3">
        <f>[1]Raw_Data!D1127</f>
        <v>143</v>
      </c>
      <c r="E1129" s="4">
        <f>[1]Raw_Data!E1127</f>
        <v>51.89</v>
      </c>
      <c r="F1129" s="5">
        <f>[1]Raw_Data!F1127</f>
        <v>7420.27</v>
      </c>
      <c r="G1129" s="4">
        <f>[1]Raw_Data!G1127</f>
        <v>0.02</v>
      </c>
      <c r="H1129" s="3">
        <f>[1]Raw_Data!H1127</f>
        <v>3</v>
      </c>
      <c r="I1129" s="3" t="str">
        <f>TRIM([1]Raw_Data!I1127)</f>
        <v>USA</v>
      </c>
      <c r="J1129" s="3" t="str">
        <f>TRIM([1]Raw_Data!J1127)</f>
        <v>iHerb</v>
      </c>
      <c r="K1129" s="3">
        <f t="shared" si="68"/>
        <v>2021</v>
      </c>
      <c r="L1129" s="6">
        <f t="shared" si="69"/>
        <v>44317</v>
      </c>
      <c r="M1129" s="3" t="str">
        <f t="shared" si="70"/>
        <v>0% to 5%</v>
      </c>
      <c r="N1129" s="3" t="str">
        <f t="shared" si="71"/>
        <v>OK</v>
      </c>
    </row>
    <row r="1130" spans="1:14" x14ac:dyDescent="0.3">
      <c r="A1130" s="2">
        <f>DATE(VALUE(RIGHT(TRIM([1]Raw_Data!A1128),4)),VALUE(MID(TRIM([1]Raw_Data!A1128),4,2)),VALUE(LEFT(TRIM([1]Raw_Data!A1128),2)))</f>
        <v>44326</v>
      </c>
      <c r="B1130" s="3" t="str">
        <f>TRIM([1]Raw_Data!B1128)</f>
        <v>Creatine</v>
      </c>
      <c r="C1130" s="3" t="str">
        <f>TRIM([1]Raw_Data!C1128)</f>
        <v>Performance</v>
      </c>
      <c r="D1130" s="3">
        <f>[1]Raw_Data!D1128</f>
        <v>141</v>
      </c>
      <c r="E1130" s="4">
        <f>[1]Raw_Data!E1128</f>
        <v>56.8</v>
      </c>
      <c r="F1130" s="5">
        <f>[1]Raw_Data!F1128</f>
        <v>8008.8</v>
      </c>
      <c r="G1130" s="4">
        <f>[1]Raw_Data!G1128</f>
        <v>0.17</v>
      </c>
      <c r="H1130" s="3">
        <f>[1]Raw_Data!H1128</f>
        <v>1</v>
      </c>
      <c r="I1130" s="3" t="str">
        <f>TRIM([1]Raw_Data!I1128)</f>
        <v>UK</v>
      </c>
      <c r="J1130" s="3" t="str">
        <f>TRIM([1]Raw_Data!J1128)</f>
        <v>Amazon</v>
      </c>
      <c r="K1130" s="3">
        <f t="shared" si="68"/>
        <v>2021</v>
      </c>
      <c r="L1130" s="6">
        <f t="shared" si="69"/>
        <v>44317</v>
      </c>
      <c r="M1130" s="3" t="str">
        <f t="shared" si="70"/>
        <v>16% to 20%</v>
      </c>
      <c r="N1130" s="3" t="str">
        <f t="shared" si="71"/>
        <v>OK</v>
      </c>
    </row>
    <row r="1131" spans="1:14" x14ac:dyDescent="0.3">
      <c r="A1131" s="2">
        <f>DATE(VALUE(RIGHT(TRIM([1]Raw_Data!A1129),4)),VALUE(MID(TRIM([1]Raw_Data!A1129),4,2)),VALUE(LEFT(TRIM([1]Raw_Data!A1129),2)))</f>
        <v>44326</v>
      </c>
      <c r="B1131" s="3" t="str">
        <f>TRIM([1]Raw_Data!B1129)</f>
        <v>Zinc</v>
      </c>
      <c r="C1131" s="3" t="str">
        <f>TRIM([1]Raw_Data!C1129)</f>
        <v>Mineral</v>
      </c>
      <c r="D1131" s="3">
        <f>[1]Raw_Data!D1129</f>
        <v>157</v>
      </c>
      <c r="E1131" s="4">
        <f>[1]Raw_Data!E1129</f>
        <v>23.86</v>
      </c>
      <c r="F1131" s="5">
        <f>[1]Raw_Data!F1129</f>
        <v>3746.02</v>
      </c>
      <c r="G1131" s="4">
        <f>[1]Raw_Data!G1129</f>
        <v>0.25</v>
      </c>
      <c r="H1131" s="3">
        <f>[1]Raw_Data!H1129</f>
        <v>2</v>
      </c>
      <c r="I1131" s="3" t="str">
        <f>TRIM([1]Raw_Data!I1129)</f>
        <v>Canada</v>
      </c>
      <c r="J1131" s="3" t="str">
        <f>TRIM([1]Raw_Data!J1129)</f>
        <v>Amazon</v>
      </c>
      <c r="K1131" s="3">
        <f t="shared" si="68"/>
        <v>2021</v>
      </c>
      <c r="L1131" s="6">
        <f t="shared" si="69"/>
        <v>44317</v>
      </c>
      <c r="M1131" s="3" t="str">
        <f t="shared" si="70"/>
        <v>21% to 25%</v>
      </c>
      <c r="N1131" s="3" t="str">
        <f t="shared" si="71"/>
        <v>OK</v>
      </c>
    </row>
    <row r="1132" spans="1:14" x14ac:dyDescent="0.3">
      <c r="A1132" s="2">
        <f>DATE(VALUE(RIGHT(TRIM([1]Raw_Data!A1130),4)),VALUE(MID(TRIM([1]Raw_Data!A1130),4,2)),VALUE(LEFT(TRIM([1]Raw_Data!A1130),2)))</f>
        <v>44326</v>
      </c>
      <c r="B1132" s="3" t="str">
        <f>TRIM([1]Raw_Data!B1130)</f>
        <v>Collagen Peptides</v>
      </c>
      <c r="C1132" s="3" t="str">
        <f>TRIM([1]Raw_Data!C1130)</f>
        <v>Protein</v>
      </c>
      <c r="D1132" s="3">
        <f>[1]Raw_Data!D1130</f>
        <v>155</v>
      </c>
      <c r="E1132" s="4">
        <f>[1]Raw_Data!E1130</f>
        <v>12.46</v>
      </c>
      <c r="F1132" s="5">
        <f>[1]Raw_Data!F1130</f>
        <v>1931.3</v>
      </c>
      <c r="G1132" s="4">
        <f>[1]Raw_Data!G1130</f>
        <v>0.01</v>
      </c>
      <c r="H1132" s="3">
        <f>[1]Raw_Data!H1130</f>
        <v>2</v>
      </c>
      <c r="I1132" s="3" t="str">
        <f>TRIM([1]Raw_Data!I1130)</f>
        <v>Canada</v>
      </c>
      <c r="J1132" s="3" t="str">
        <f>TRIM([1]Raw_Data!J1130)</f>
        <v>Walmart</v>
      </c>
      <c r="K1132" s="3">
        <f t="shared" si="68"/>
        <v>2021</v>
      </c>
      <c r="L1132" s="6">
        <f t="shared" si="69"/>
        <v>44317</v>
      </c>
      <c r="M1132" s="3" t="str">
        <f t="shared" si="70"/>
        <v>0% to 5%</v>
      </c>
      <c r="N1132" s="3" t="str">
        <f t="shared" si="71"/>
        <v>OK</v>
      </c>
    </row>
    <row r="1133" spans="1:14" x14ac:dyDescent="0.3">
      <c r="A1133" s="2">
        <f>DATE(VALUE(RIGHT(TRIM([1]Raw_Data!A1131),4)),VALUE(MID(TRIM([1]Raw_Data!A1131),4,2)),VALUE(LEFT(TRIM([1]Raw_Data!A1131),2)))</f>
        <v>44326</v>
      </c>
      <c r="B1133" s="3" t="str">
        <f>TRIM([1]Raw_Data!B1131)</f>
        <v>Magnesium</v>
      </c>
      <c r="C1133" s="3" t="str">
        <f>TRIM([1]Raw_Data!C1131)</f>
        <v>Mineral</v>
      </c>
      <c r="D1133" s="3">
        <f>[1]Raw_Data!D1131</f>
        <v>160</v>
      </c>
      <c r="E1133" s="4">
        <f>[1]Raw_Data!E1131</f>
        <v>52.04</v>
      </c>
      <c r="F1133" s="5">
        <f>[1]Raw_Data!F1131</f>
        <v>8326.4</v>
      </c>
      <c r="G1133" s="4">
        <f>[1]Raw_Data!G1131</f>
        <v>0.01</v>
      </c>
      <c r="H1133" s="3">
        <f>[1]Raw_Data!H1131</f>
        <v>1</v>
      </c>
      <c r="I1133" s="3" t="str">
        <f>TRIM([1]Raw_Data!I1131)</f>
        <v>Canada</v>
      </c>
      <c r="J1133" s="3" t="str">
        <f>TRIM([1]Raw_Data!J1131)</f>
        <v>Amazon</v>
      </c>
      <c r="K1133" s="3">
        <f t="shared" si="68"/>
        <v>2021</v>
      </c>
      <c r="L1133" s="6">
        <f t="shared" si="69"/>
        <v>44317</v>
      </c>
      <c r="M1133" s="3" t="str">
        <f t="shared" si="70"/>
        <v>0% to 5%</v>
      </c>
      <c r="N1133" s="3" t="str">
        <f t="shared" si="71"/>
        <v>OK</v>
      </c>
    </row>
    <row r="1134" spans="1:14" x14ac:dyDescent="0.3">
      <c r="A1134" s="2">
        <f>DATE(VALUE(RIGHT(TRIM([1]Raw_Data!A1132),4)),VALUE(MID(TRIM([1]Raw_Data!A1132),4,2)),VALUE(LEFT(TRIM([1]Raw_Data!A1132),2)))</f>
        <v>44326</v>
      </c>
      <c r="B1134" s="3" t="str">
        <f>TRIM([1]Raw_Data!B1132)</f>
        <v>Ashwagandha</v>
      </c>
      <c r="C1134" s="3" t="str">
        <f>TRIM([1]Raw_Data!C1132)</f>
        <v>Herbal</v>
      </c>
      <c r="D1134" s="3">
        <f>[1]Raw_Data!D1132</f>
        <v>140</v>
      </c>
      <c r="E1134" s="4">
        <f>[1]Raw_Data!E1132</f>
        <v>13.62</v>
      </c>
      <c r="F1134" s="5">
        <f>[1]Raw_Data!F1132</f>
        <v>1906.8</v>
      </c>
      <c r="G1134" s="4">
        <f>[1]Raw_Data!G1132</f>
        <v>0.24</v>
      </c>
      <c r="H1134" s="3">
        <f>[1]Raw_Data!H1132</f>
        <v>0</v>
      </c>
      <c r="I1134" s="3" t="str">
        <f>TRIM([1]Raw_Data!I1132)</f>
        <v>UK</v>
      </c>
      <c r="J1134" s="3" t="str">
        <f>TRIM([1]Raw_Data!J1132)</f>
        <v>iHerb</v>
      </c>
      <c r="K1134" s="3">
        <f t="shared" si="68"/>
        <v>2021</v>
      </c>
      <c r="L1134" s="6">
        <f t="shared" si="69"/>
        <v>44317</v>
      </c>
      <c r="M1134" s="3" t="str">
        <f t="shared" si="70"/>
        <v>21% to 25%</v>
      </c>
      <c r="N1134" s="3" t="str">
        <f t="shared" si="71"/>
        <v>OK</v>
      </c>
    </row>
    <row r="1135" spans="1:14" x14ac:dyDescent="0.3">
      <c r="A1135" s="2">
        <f>DATE(VALUE(RIGHT(TRIM([1]Raw_Data!A1133),4)),VALUE(MID(TRIM([1]Raw_Data!A1133),4,2)),VALUE(LEFT(TRIM([1]Raw_Data!A1133),2)))</f>
        <v>44326</v>
      </c>
      <c r="B1135" s="3" t="str">
        <f>TRIM([1]Raw_Data!B1133)</f>
        <v>Melatonin</v>
      </c>
      <c r="C1135" s="3" t="str">
        <f>TRIM([1]Raw_Data!C1133)</f>
        <v>Sleep Aid</v>
      </c>
      <c r="D1135" s="3">
        <f>[1]Raw_Data!D1133</f>
        <v>171</v>
      </c>
      <c r="E1135" s="4">
        <f>[1]Raw_Data!E1133</f>
        <v>59.28</v>
      </c>
      <c r="F1135" s="5">
        <f>[1]Raw_Data!F1133</f>
        <v>10136.879999999999</v>
      </c>
      <c r="G1135" s="4">
        <f>[1]Raw_Data!G1133</f>
        <v>0.14000000000000001</v>
      </c>
      <c r="H1135" s="3">
        <f>[1]Raw_Data!H1133</f>
        <v>4</v>
      </c>
      <c r="I1135" s="3" t="str">
        <f>TRIM([1]Raw_Data!I1133)</f>
        <v>Canada</v>
      </c>
      <c r="J1135" s="3" t="str">
        <f>TRIM([1]Raw_Data!J1133)</f>
        <v>iHerb</v>
      </c>
      <c r="K1135" s="3">
        <f t="shared" si="68"/>
        <v>2021</v>
      </c>
      <c r="L1135" s="6">
        <f t="shared" si="69"/>
        <v>44317</v>
      </c>
      <c r="M1135" s="3" t="str">
        <f t="shared" si="70"/>
        <v>11% to 15%</v>
      </c>
      <c r="N1135" s="3" t="str">
        <f t="shared" si="71"/>
        <v>OK</v>
      </c>
    </row>
    <row r="1136" spans="1:14" x14ac:dyDescent="0.3">
      <c r="A1136" s="2">
        <f>DATE(VALUE(RIGHT(TRIM([1]Raw_Data!A1134),4)),VALUE(MID(TRIM([1]Raw_Data!A1134),4,2)),VALUE(LEFT(TRIM([1]Raw_Data!A1134),2)))</f>
        <v>44326</v>
      </c>
      <c r="B1136" s="3" t="str">
        <f>TRIM([1]Raw_Data!B1134)</f>
        <v>Biotin</v>
      </c>
      <c r="C1136" s="3" t="str">
        <f>TRIM([1]Raw_Data!C1134)</f>
        <v>Vitamin</v>
      </c>
      <c r="D1136" s="3">
        <f>[1]Raw_Data!D1134</f>
        <v>169</v>
      </c>
      <c r="E1136" s="4">
        <f>[1]Raw_Data!E1134</f>
        <v>14.81</v>
      </c>
      <c r="F1136" s="5">
        <f>[1]Raw_Data!F1134</f>
        <v>2502.89</v>
      </c>
      <c r="G1136" s="4">
        <f>[1]Raw_Data!G1134</f>
        <v>0.11</v>
      </c>
      <c r="H1136" s="3">
        <f>[1]Raw_Data!H1134</f>
        <v>4</v>
      </c>
      <c r="I1136" s="3" t="str">
        <f>TRIM([1]Raw_Data!I1134)</f>
        <v>USA</v>
      </c>
      <c r="J1136" s="3" t="str">
        <f>TRIM([1]Raw_Data!J1134)</f>
        <v>Walmart</v>
      </c>
      <c r="K1136" s="3">
        <f t="shared" si="68"/>
        <v>2021</v>
      </c>
      <c r="L1136" s="6">
        <f t="shared" si="69"/>
        <v>44317</v>
      </c>
      <c r="M1136" s="3" t="str">
        <f t="shared" si="70"/>
        <v>11% to 15%</v>
      </c>
      <c r="N1136" s="3" t="str">
        <f t="shared" si="71"/>
        <v>OK</v>
      </c>
    </row>
    <row r="1137" spans="1:14" x14ac:dyDescent="0.3">
      <c r="A1137" s="2">
        <f>DATE(VALUE(RIGHT(TRIM([1]Raw_Data!A1135),4)),VALUE(MID(TRIM([1]Raw_Data!A1135),4,2)),VALUE(LEFT(TRIM([1]Raw_Data!A1135),2)))</f>
        <v>44326</v>
      </c>
      <c r="B1137" s="3" t="str">
        <f>TRIM([1]Raw_Data!B1135)</f>
        <v>Green Tea Extract</v>
      </c>
      <c r="C1137" s="3" t="str">
        <f>TRIM([1]Raw_Data!C1135)</f>
        <v>Fat Burner</v>
      </c>
      <c r="D1137" s="3">
        <f>[1]Raw_Data!D1135</f>
        <v>151</v>
      </c>
      <c r="E1137" s="4">
        <f>[1]Raw_Data!E1135</f>
        <v>17.059999999999999</v>
      </c>
      <c r="F1137" s="5">
        <f>[1]Raw_Data!F1135</f>
        <v>2576.06</v>
      </c>
      <c r="G1137" s="4">
        <f>[1]Raw_Data!G1135</f>
        <v>0</v>
      </c>
      <c r="H1137" s="3">
        <f>[1]Raw_Data!H1135</f>
        <v>3</v>
      </c>
      <c r="I1137" s="3" t="str">
        <f>TRIM([1]Raw_Data!I1135)</f>
        <v>Canada</v>
      </c>
      <c r="J1137" s="3" t="str">
        <f>TRIM([1]Raw_Data!J1135)</f>
        <v>iHerb</v>
      </c>
      <c r="K1137" s="3">
        <f t="shared" si="68"/>
        <v>2021</v>
      </c>
      <c r="L1137" s="6">
        <f t="shared" si="69"/>
        <v>44317</v>
      </c>
      <c r="M1137" s="3" t="str">
        <f t="shared" si="70"/>
        <v>0% to 5%</v>
      </c>
      <c r="N1137" s="3" t="str">
        <f t="shared" si="71"/>
        <v>OK</v>
      </c>
    </row>
    <row r="1138" spans="1:14" x14ac:dyDescent="0.3">
      <c r="A1138" s="2">
        <f>DATE(VALUE(RIGHT(TRIM([1]Raw_Data!A1136),4)),VALUE(MID(TRIM([1]Raw_Data!A1136),4,2)),VALUE(LEFT(TRIM([1]Raw_Data!A1136),2)))</f>
        <v>44326</v>
      </c>
      <c r="B1138" s="3" t="str">
        <f>TRIM([1]Raw_Data!B1136)</f>
        <v>Iron Supplement</v>
      </c>
      <c r="C1138" s="3" t="str">
        <f>TRIM([1]Raw_Data!C1136)</f>
        <v>Mineral</v>
      </c>
      <c r="D1138" s="3">
        <f>[1]Raw_Data!D1136</f>
        <v>130</v>
      </c>
      <c r="E1138" s="4">
        <f>[1]Raw_Data!E1136</f>
        <v>55.73</v>
      </c>
      <c r="F1138" s="5">
        <f>[1]Raw_Data!F1136</f>
        <v>7244.9</v>
      </c>
      <c r="G1138" s="4">
        <f>[1]Raw_Data!G1136</f>
        <v>0.05</v>
      </c>
      <c r="H1138" s="3">
        <f>[1]Raw_Data!H1136</f>
        <v>2</v>
      </c>
      <c r="I1138" s="3" t="str">
        <f>TRIM([1]Raw_Data!I1136)</f>
        <v>Canada</v>
      </c>
      <c r="J1138" s="3" t="str">
        <f>TRIM([1]Raw_Data!J1136)</f>
        <v>Walmart</v>
      </c>
      <c r="K1138" s="3">
        <f t="shared" si="68"/>
        <v>2021</v>
      </c>
      <c r="L1138" s="6">
        <f t="shared" si="69"/>
        <v>44317</v>
      </c>
      <c r="M1138" s="3" t="str">
        <f t="shared" si="70"/>
        <v>0% to 5%</v>
      </c>
      <c r="N1138" s="3" t="str">
        <f t="shared" si="71"/>
        <v>OK</v>
      </c>
    </row>
    <row r="1139" spans="1:14" x14ac:dyDescent="0.3">
      <c r="A1139" s="2">
        <f>DATE(VALUE(RIGHT(TRIM([1]Raw_Data!A1137),4)),VALUE(MID(TRIM([1]Raw_Data!A1137),4,2)),VALUE(LEFT(TRIM([1]Raw_Data!A1137),2)))</f>
        <v>44326</v>
      </c>
      <c r="B1139" s="3" t="str">
        <f>TRIM([1]Raw_Data!B1137)</f>
        <v>Electrolyte Powder</v>
      </c>
      <c r="C1139" s="3" t="str">
        <f>TRIM([1]Raw_Data!C1137)</f>
        <v>Hydration</v>
      </c>
      <c r="D1139" s="3">
        <f>[1]Raw_Data!D1137</f>
        <v>129</v>
      </c>
      <c r="E1139" s="4">
        <f>[1]Raw_Data!E1137</f>
        <v>18.2</v>
      </c>
      <c r="F1139" s="5">
        <f>[1]Raw_Data!F1137</f>
        <v>2347.8000000000002</v>
      </c>
      <c r="G1139" s="4">
        <f>[1]Raw_Data!G1137</f>
        <v>0.18</v>
      </c>
      <c r="H1139" s="3">
        <f>[1]Raw_Data!H1137</f>
        <v>1</v>
      </c>
      <c r="I1139" s="3" t="str">
        <f>TRIM([1]Raw_Data!I1137)</f>
        <v>UK</v>
      </c>
      <c r="J1139" s="3" t="str">
        <f>TRIM([1]Raw_Data!J1137)</f>
        <v>Amazon</v>
      </c>
      <c r="K1139" s="3">
        <f t="shared" si="68"/>
        <v>2021</v>
      </c>
      <c r="L1139" s="6">
        <f t="shared" si="69"/>
        <v>44317</v>
      </c>
      <c r="M1139" s="3" t="str">
        <f t="shared" si="70"/>
        <v>16% to 20%</v>
      </c>
      <c r="N1139" s="3" t="str">
        <f t="shared" si="71"/>
        <v>OK</v>
      </c>
    </row>
    <row r="1140" spans="1:14" x14ac:dyDescent="0.3">
      <c r="A1140" s="2">
        <f>DATE(VALUE(RIGHT(TRIM([1]Raw_Data!A1138),4)),VALUE(MID(TRIM([1]Raw_Data!A1138),4,2)),VALUE(LEFT(TRIM([1]Raw_Data!A1138),2)))</f>
        <v>44333</v>
      </c>
      <c r="B1140" s="3" t="str">
        <f>TRIM([1]Raw_Data!B1138)</f>
        <v>Whey Protein</v>
      </c>
      <c r="C1140" s="3" t="str">
        <f>TRIM([1]Raw_Data!C1138)</f>
        <v>Protein</v>
      </c>
      <c r="D1140" s="3">
        <f>[1]Raw_Data!D1138</f>
        <v>149</v>
      </c>
      <c r="E1140" s="4">
        <f>[1]Raw_Data!E1138</f>
        <v>18.559999999999999</v>
      </c>
      <c r="F1140" s="5">
        <f>[1]Raw_Data!F1138</f>
        <v>2765.44</v>
      </c>
      <c r="G1140" s="4">
        <f>[1]Raw_Data!G1138</f>
        <v>0.19</v>
      </c>
      <c r="H1140" s="3">
        <f>[1]Raw_Data!H1138</f>
        <v>1</v>
      </c>
      <c r="I1140" s="3" t="str">
        <f>TRIM([1]Raw_Data!I1138)</f>
        <v>UK</v>
      </c>
      <c r="J1140" s="3" t="str">
        <f>TRIM([1]Raw_Data!J1138)</f>
        <v>Walmart</v>
      </c>
      <c r="K1140" s="3">
        <f t="shared" si="68"/>
        <v>2021</v>
      </c>
      <c r="L1140" s="6">
        <f t="shared" si="69"/>
        <v>44317</v>
      </c>
      <c r="M1140" s="3" t="str">
        <f t="shared" si="70"/>
        <v>16% to 20%</v>
      </c>
      <c r="N1140" s="3" t="str">
        <f t="shared" si="71"/>
        <v>OK</v>
      </c>
    </row>
    <row r="1141" spans="1:14" x14ac:dyDescent="0.3">
      <c r="A1141" s="2">
        <f>DATE(VALUE(RIGHT(TRIM([1]Raw_Data!A1139),4)),VALUE(MID(TRIM([1]Raw_Data!A1139),4,2)),VALUE(LEFT(TRIM([1]Raw_Data!A1139),2)))</f>
        <v>44333</v>
      </c>
      <c r="B1141" s="3" t="str">
        <f>TRIM([1]Raw_Data!B1139)</f>
        <v>Vitamin C</v>
      </c>
      <c r="C1141" s="3" t="str">
        <f>TRIM([1]Raw_Data!C1139)</f>
        <v>Vitamin</v>
      </c>
      <c r="D1141" s="3">
        <f>[1]Raw_Data!D1139</f>
        <v>156</v>
      </c>
      <c r="E1141" s="4">
        <f>[1]Raw_Data!E1139</f>
        <v>44.41</v>
      </c>
      <c r="F1141" s="5">
        <f>[1]Raw_Data!F1139</f>
        <v>6927.96</v>
      </c>
      <c r="G1141" s="4">
        <f>[1]Raw_Data!G1139</f>
        <v>0.03</v>
      </c>
      <c r="H1141" s="3">
        <f>[1]Raw_Data!H1139</f>
        <v>1</v>
      </c>
      <c r="I1141" s="3" t="str">
        <f>TRIM([1]Raw_Data!I1139)</f>
        <v>Canada</v>
      </c>
      <c r="J1141" s="3" t="str">
        <f>TRIM([1]Raw_Data!J1139)</f>
        <v>Walmart</v>
      </c>
      <c r="K1141" s="3">
        <f t="shared" si="68"/>
        <v>2021</v>
      </c>
      <c r="L1141" s="6">
        <f t="shared" si="69"/>
        <v>44317</v>
      </c>
      <c r="M1141" s="3" t="str">
        <f t="shared" si="70"/>
        <v>0% to 5%</v>
      </c>
      <c r="N1141" s="3" t="str">
        <f t="shared" si="71"/>
        <v>OK</v>
      </c>
    </row>
    <row r="1142" spans="1:14" x14ac:dyDescent="0.3">
      <c r="A1142" s="2">
        <f>DATE(VALUE(RIGHT(TRIM([1]Raw_Data!A1140),4)),VALUE(MID(TRIM([1]Raw_Data!A1140),4,2)),VALUE(LEFT(TRIM([1]Raw_Data!A1140),2)))</f>
        <v>44333</v>
      </c>
      <c r="B1142" s="3" t="str">
        <f>TRIM([1]Raw_Data!B1140)</f>
        <v>Fish Oil</v>
      </c>
      <c r="C1142" s="3" t="str">
        <f>TRIM([1]Raw_Data!C1140)</f>
        <v>Omega</v>
      </c>
      <c r="D1142" s="3">
        <f>[1]Raw_Data!D1140</f>
        <v>140</v>
      </c>
      <c r="E1142" s="4">
        <f>[1]Raw_Data!E1140</f>
        <v>23.1</v>
      </c>
      <c r="F1142" s="5">
        <f>[1]Raw_Data!F1140</f>
        <v>3234</v>
      </c>
      <c r="G1142" s="4">
        <f>[1]Raw_Data!G1140</f>
        <v>0.22</v>
      </c>
      <c r="H1142" s="3">
        <f>[1]Raw_Data!H1140</f>
        <v>3</v>
      </c>
      <c r="I1142" s="3" t="str">
        <f>TRIM([1]Raw_Data!I1140)</f>
        <v>UK</v>
      </c>
      <c r="J1142" s="3" t="str">
        <f>TRIM([1]Raw_Data!J1140)</f>
        <v>Walmart</v>
      </c>
      <c r="K1142" s="3">
        <f t="shared" si="68"/>
        <v>2021</v>
      </c>
      <c r="L1142" s="6">
        <f t="shared" si="69"/>
        <v>44317</v>
      </c>
      <c r="M1142" s="3" t="str">
        <f t="shared" si="70"/>
        <v>21% to 25%</v>
      </c>
      <c r="N1142" s="3" t="str">
        <f t="shared" si="71"/>
        <v>OK</v>
      </c>
    </row>
    <row r="1143" spans="1:14" x14ac:dyDescent="0.3">
      <c r="A1143" s="2">
        <f>DATE(VALUE(RIGHT(TRIM([1]Raw_Data!A1141),4)),VALUE(MID(TRIM([1]Raw_Data!A1141),4,2)),VALUE(LEFT(TRIM([1]Raw_Data!A1141),2)))</f>
        <v>44333</v>
      </c>
      <c r="B1143" s="3" t="str">
        <f>TRIM([1]Raw_Data!B1141)</f>
        <v>Multivitamin</v>
      </c>
      <c r="C1143" s="3" t="str">
        <f>TRIM([1]Raw_Data!C1141)</f>
        <v>Vitamin</v>
      </c>
      <c r="D1143" s="3">
        <f>[1]Raw_Data!D1141</f>
        <v>138</v>
      </c>
      <c r="E1143" s="4">
        <f>[1]Raw_Data!E1141</f>
        <v>14.39</v>
      </c>
      <c r="F1143" s="5">
        <f>[1]Raw_Data!F1141</f>
        <v>1985.82</v>
      </c>
      <c r="G1143" s="4">
        <f>[1]Raw_Data!G1141</f>
        <v>0.1</v>
      </c>
      <c r="H1143" s="3">
        <f>[1]Raw_Data!H1141</f>
        <v>2</v>
      </c>
      <c r="I1143" s="3" t="str">
        <f>TRIM([1]Raw_Data!I1141)</f>
        <v>UK</v>
      </c>
      <c r="J1143" s="3" t="str">
        <f>TRIM([1]Raw_Data!J1141)</f>
        <v>Amazon</v>
      </c>
      <c r="K1143" s="3">
        <f t="shared" si="68"/>
        <v>2021</v>
      </c>
      <c r="L1143" s="6">
        <f t="shared" si="69"/>
        <v>44317</v>
      </c>
      <c r="M1143" s="3" t="str">
        <f t="shared" si="70"/>
        <v>6% to 10%</v>
      </c>
      <c r="N1143" s="3" t="str">
        <f t="shared" si="71"/>
        <v>OK</v>
      </c>
    </row>
    <row r="1144" spans="1:14" x14ac:dyDescent="0.3">
      <c r="A1144" s="2">
        <f>DATE(VALUE(RIGHT(TRIM([1]Raw_Data!A1142),4)),VALUE(MID(TRIM([1]Raw_Data!A1142),4,2)),VALUE(LEFT(TRIM([1]Raw_Data!A1142),2)))</f>
        <v>44333</v>
      </c>
      <c r="B1144" s="3" t="str">
        <f>TRIM([1]Raw_Data!B1142)</f>
        <v>Pre-Workout</v>
      </c>
      <c r="C1144" s="3" t="str">
        <f>TRIM([1]Raw_Data!C1142)</f>
        <v>Performance</v>
      </c>
      <c r="D1144" s="3">
        <f>[1]Raw_Data!D1142</f>
        <v>156</v>
      </c>
      <c r="E1144" s="4">
        <f>[1]Raw_Data!E1142</f>
        <v>24.13</v>
      </c>
      <c r="F1144" s="5">
        <f>[1]Raw_Data!F1142</f>
        <v>3764.28</v>
      </c>
      <c r="G1144" s="4">
        <f>[1]Raw_Data!G1142</f>
        <v>0.09</v>
      </c>
      <c r="H1144" s="3">
        <f>[1]Raw_Data!H1142</f>
        <v>0</v>
      </c>
      <c r="I1144" s="3" t="str">
        <f>TRIM([1]Raw_Data!I1142)</f>
        <v>UK</v>
      </c>
      <c r="J1144" s="3" t="str">
        <f>TRIM([1]Raw_Data!J1142)</f>
        <v>iHerb</v>
      </c>
      <c r="K1144" s="3">
        <f t="shared" si="68"/>
        <v>2021</v>
      </c>
      <c r="L1144" s="6">
        <f t="shared" si="69"/>
        <v>44317</v>
      </c>
      <c r="M1144" s="3" t="str">
        <f t="shared" si="70"/>
        <v>6% to 10%</v>
      </c>
      <c r="N1144" s="3" t="str">
        <f t="shared" si="71"/>
        <v>OK</v>
      </c>
    </row>
    <row r="1145" spans="1:14" x14ac:dyDescent="0.3">
      <c r="A1145" s="2">
        <f>DATE(VALUE(RIGHT(TRIM([1]Raw_Data!A1143),4)),VALUE(MID(TRIM([1]Raw_Data!A1143),4,2)),VALUE(LEFT(TRIM([1]Raw_Data!A1143),2)))</f>
        <v>44333</v>
      </c>
      <c r="B1145" s="3" t="str">
        <f>TRIM([1]Raw_Data!B1143)</f>
        <v>BCAA</v>
      </c>
      <c r="C1145" s="3" t="str">
        <f>TRIM([1]Raw_Data!C1143)</f>
        <v>Amino Acid</v>
      </c>
      <c r="D1145" s="3">
        <f>[1]Raw_Data!D1143</f>
        <v>158</v>
      </c>
      <c r="E1145" s="4">
        <f>[1]Raw_Data!E1143</f>
        <v>45.44</v>
      </c>
      <c r="F1145" s="5">
        <f>[1]Raw_Data!F1143</f>
        <v>7179.52</v>
      </c>
      <c r="G1145" s="4">
        <f>[1]Raw_Data!G1143</f>
        <v>0.06</v>
      </c>
      <c r="H1145" s="3">
        <f>[1]Raw_Data!H1143</f>
        <v>1</v>
      </c>
      <c r="I1145" s="3" t="str">
        <f>TRIM([1]Raw_Data!I1143)</f>
        <v>Canada</v>
      </c>
      <c r="J1145" s="3" t="str">
        <f>TRIM([1]Raw_Data!J1143)</f>
        <v>Walmart</v>
      </c>
      <c r="K1145" s="3">
        <f t="shared" si="68"/>
        <v>2021</v>
      </c>
      <c r="L1145" s="6">
        <f t="shared" si="69"/>
        <v>44317</v>
      </c>
      <c r="M1145" s="3" t="str">
        <f t="shared" si="70"/>
        <v>6% to 10%</v>
      </c>
      <c r="N1145" s="3" t="str">
        <f t="shared" si="71"/>
        <v>OK</v>
      </c>
    </row>
    <row r="1146" spans="1:14" x14ac:dyDescent="0.3">
      <c r="A1146" s="2">
        <f>DATE(VALUE(RIGHT(TRIM([1]Raw_Data!A1144),4)),VALUE(MID(TRIM([1]Raw_Data!A1144),4,2)),VALUE(LEFT(TRIM([1]Raw_Data!A1144),2)))</f>
        <v>44333</v>
      </c>
      <c r="B1146" s="3" t="str">
        <f>TRIM([1]Raw_Data!B1144)</f>
        <v>Creatine</v>
      </c>
      <c r="C1146" s="3" t="str">
        <f>TRIM([1]Raw_Data!C1144)</f>
        <v>Performance</v>
      </c>
      <c r="D1146" s="3">
        <f>[1]Raw_Data!D1144</f>
        <v>144</v>
      </c>
      <c r="E1146" s="4">
        <f>[1]Raw_Data!E1144</f>
        <v>27.05</v>
      </c>
      <c r="F1146" s="5">
        <f>[1]Raw_Data!F1144</f>
        <v>3895.2</v>
      </c>
      <c r="G1146" s="4">
        <f>[1]Raw_Data!G1144</f>
        <v>0.2</v>
      </c>
      <c r="H1146" s="3">
        <f>[1]Raw_Data!H1144</f>
        <v>3</v>
      </c>
      <c r="I1146" s="3" t="str">
        <f>TRIM([1]Raw_Data!I1144)</f>
        <v>Canada</v>
      </c>
      <c r="J1146" s="3" t="str">
        <f>TRIM([1]Raw_Data!J1144)</f>
        <v>iHerb</v>
      </c>
      <c r="K1146" s="3">
        <f t="shared" si="68"/>
        <v>2021</v>
      </c>
      <c r="L1146" s="6">
        <f t="shared" si="69"/>
        <v>44317</v>
      </c>
      <c r="M1146" s="3" t="str">
        <f t="shared" si="70"/>
        <v>16% to 20%</v>
      </c>
      <c r="N1146" s="3" t="str">
        <f t="shared" si="71"/>
        <v>OK</v>
      </c>
    </row>
    <row r="1147" spans="1:14" x14ac:dyDescent="0.3">
      <c r="A1147" s="2">
        <f>DATE(VALUE(RIGHT(TRIM([1]Raw_Data!A1145),4)),VALUE(MID(TRIM([1]Raw_Data!A1145),4,2)),VALUE(LEFT(TRIM([1]Raw_Data!A1145),2)))</f>
        <v>44333</v>
      </c>
      <c r="B1147" s="3" t="str">
        <f>TRIM([1]Raw_Data!B1145)</f>
        <v>Zinc</v>
      </c>
      <c r="C1147" s="3" t="str">
        <f>TRIM([1]Raw_Data!C1145)</f>
        <v>Mineral</v>
      </c>
      <c r="D1147" s="3">
        <f>[1]Raw_Data!D1145</f>
        <v>151</v>
      </c>
      <c r="E1147" s="4">
        <f>[1]Raw_Data!E1145</f>
        <v>11.54</v>
      </c>
      <c r="F1147" s="5">
        <f>[1]Raw_Data!F1145</f>
        <v>1742.54</v>
      </c>
      <c r="G1147" s="4">
        <f>[1]Raw_Data!G1145</f>
        <v>0.22</v>
      </c>
      <c r="H1147" s="3">
        <f>[1]Raw_Data!H1145</f>
        <v>0</v>
      </c>
      <c r="I1147" s="3" t="str">
        <f>TRIM([1]Raw_Data!I1145)</f>
        <v>UK</v>
      </c>
      <c r="J1147" s="3" t="str">
        <f>TRIM([1]Raw_Data!J1145)</f>
        <v>iHerb</v>
      </c>
      <c r="K1147" s="3">
        <f t="shared" si="68"/>
        <v>2021</v>
      </c>
      <c r="L1147" s="6">
        <f t="shared" si="69"/>
        <v>44317</v>
      </c>
      <c r="M1147" s="3" t="str">
        <f t="shared" si="70"/>
        <v>21% to 25%</v>
      </c>
      <c r="N1147" s="3" t="str">
        <f t="shared" si="71"/>
        <v>OK</v>
      </c>
    </row>
    <row r="1148" spans="1:14" x14ac:dyDescent="0.3">
      <c r="A1148" s="2">
        <f>DATE(VALUE(RIGHT(TRIM([1]Raw_Data!A1146),4)),VALUE(MID(TRIM([1]Raw_Data!A1146),4,2)),VALUE(LEFT(TRIM([1]Raw_Data!A1146),2)))</f>
        <v>44333</v>
      </c>
      <c r="B1148" s="3" t="str">
        <f>TRIM([1]Raw_Data!B1146)</f>
        <v>Collagen Peptides</v>
      </c>
      <c r="C1148" s="3" t="str">
        <f>TRIM([1]Raw_Data!C1146)</f>
        <v>Protein</v>
      </c>
      <c r="D1148" s="3">
        <f>[1]Raw_Data!D1146</f>
        <v>176</v>
      </c>
      <c r="E1148" s="4">
        <f>[1]Raw_Data!E1146</f>
        <v>27.1</v>
      </c>
      <c r="F1148" s="5">
        <f>[1]Raw_Data!F1146</f>
        <v>4769.6000000000004</v>
      </c>
      <c r="G1148" s="4">
        <f>[1]Raw_Data!G1146</f>
        <v>0.23</v>
      </c>
      <c r="H1148" s="3">
        <f>[1]Raw_Data!H1146</f>
        <v>0</v>
      </c>
      <c r="I1148" s="3" t="str">
        <f>TRIM([1]Raw_Data!I1146)</f>
        <v>UK</v>
      </c>
      <c r="J1148" s="3" t="str">
        <f>TRIM([1]Raw_Data!J1146)</f>
        <v>Walmart</v>
      </c>
      <c r="K1148" s="3">
        <f t="shared" si="68"/>
        <v>2021</v>
      </c>
      <c r="L1148" s="6">
        <f t="shared" si="69"/>
        <v>44317</v>
      </c>
      <c r="M1148" s="3" t="str">
        <f t="shared" si="70"/>
        <v>21% to 25%</v>
      </c>
      <c r="N1148" s="3" t="str">
        <f t="shared" si="71"/>
        <v>OK</v>
      </c>
    </row>
    <row r="1149" spans="1:14" x14ac:dyDescent="0.3">
      <c r="A1149" s="2">
        <f>DATE(VALUE(RIGHT(TRIM([1]Raw_Data!A1147),4)),VALUE(MID(TRIM([1]Raw_Data!A1147),4,2)),VALUE(LEFT(TRIM([1]Raw_Data!A1147),2)))</f>
        <v>44333</v>
      </c>
      <c r="B1149" s="3" t="str">
        <f>TRIM([1]Raw_Data!B1147)</f>
        <v>Magnesium</v>
      </c>
      <c r="C1149" s="3" t="str">
        <f>TRIM([1]Raw_Data!C1147)</f>
        <v>Mineral</v>
      </c>
      <c r="D1149" s="3">
        <f>[1]Raw_Data!D1147</f>
        <v>153</v>
      </c>
      <c r="E1149" s="4">
        <f>[1]Raw_Data!E1147</f>
        <v>20.97</v>
      </c>
      <c r="F1149" s="5">
        <f>[1]Raw_Data!F1147</f>
        <v>3208.41</v>
      </c>
      <c r="G1149" s="4">
        <f>[1]Raw_Data!G1147</f>
        <v>0.11</v>
      </c>
      <c r="H1149" s="3">
        <f>[1]Raw_Data!H1147</f>
        <v>2</v>
      </c>
      <c r="I1149" s="3" t="str">
        <f>TRIM([1]Raw_Data!I1147)</f>
        <v>UK</v>
      </c>
      <c r="J1149" s="3" t="str">
        <f>TRIM([1]Raw_Data!J1147)</f>
        <v>Walmart</v>
      </c>
      <c r="K1149" s="3">
        <f t="shared" si="68"/>
        <v>2021</v>
      </c>
      <c r="L1149" s="6">
        <f t="shared" si="69"/>
        <v>44317</v>
      </c>
      <c r="M1149" s="3" t="str">
        <f t="shared" si="70"/>
        <v>11% to 15%</v>
      </c>
      <c r="N1149" s="3" t="str">
        <f t="shared" si="71"/>
        <v>OK</v>
      </c>
    </row>
    <row r="1150" spans="1:14" x14ac:dyDescent="0.3">
      <c r="A1150" s="2">
        <f>DATE(VALUE(RIGHT(TRIM([1]Raw_Data!A1148),4)),VALUE(MID(TRIM([1]Raw_Data!A1148),4,2)),VALUE(LEFT(TRIM([1]Raw_Data!A1148),2)))</f>
        <v>44333</v>
      </c>
      <c r="B1150" s="3" t="str">
        <f>TRIM([1]Raw_Data!B1148)</f>
        <v>Ashwagandha</v>
      </c>
      <c r="C1150" s="3" t="str">
        <f>TRIM([1]Raw_Data!C1148)</f>
        <v>Herbal</v>
      </c>
      <c r="D1150" s="3">
        <f>[1]Raw_Data!D1148</f>
        <v>158</v>
      </c>
      <c r="E1150" s="4">
        <f>[1]Raw_Data!E1148</f>
        <v>56.84</v>
      </c>
      <c r="F1150" s="5">
        <f>[1]Raw_Data!F1148</f>
        <v>8980.7199999999993</v>
      </c>
      <c r="G1150" s="4">
        <f>[1]Raw_Data!G1148</f>
        <v>0.04</v>
      </c>
      <c r="H1150" s="3">
        <f>[1]Raw_Data!H1148</f>
        <v>1</v>
      </c>
      <c r="I1150" s="3" t="str">
        <f>TRIM([1]Raw_Data!I1148)</f>
        <v>USA</v>
      </c>
      <c r="J1150" s="3" t="str">
        <f>TRIM([1]Raw_Data!J1148)</f>
        <v>Walmart</v>
      </c>
      <c r="K1150" s="3">
        <f t="shared" si="68"/>
        <v>2021</v>
      </c>
      <c r="L1150" s="6">
        <f t="shared" si="69"/>
        <v>44317</v>
      </c>
      <c r="M1150" s="3" t="str">
        <f t="shared" si="70"/>
        <v>0% to 5%</v>
      </c>
      <c r="N1150" s="3" t="str">
        <f t="shared" si="71"/>
        <v>OK</v>
      </c>
    </row>
    <row r="1151" spans="1:14" x14ac:dyDescent="0.3">
      <c r="A1151" s="2">
        <f>DATE(VALUE(RIGHT(TRIM([1]Raw_Data!A1149),4)),VALUE(MID(TRIM([1]Raw_Data!A1149),4,2)),VALUE(LEFT(TRIM([1]Raw_Data!A1149),2)))</f>
        <v>44333</v>
      </c>
      <c r="B1151" s="3" t="str">
        <f>TRIM([1]Raw_Data!B1149)</f>
        <v>Melatonin</v>
      </c>
      <c r="C1151" s="3" t="str">
        <f>TRIM([1]Raw_Data!C1149)</f>
        <v>Sleep Aid</v>
      </c>
      <c r="D1151" s="3">
        <f>[1]Raw_Data!D1149</f>
        <v>141</v>
      </c>
      <c r="E1151" s="4">
        <f>[1]Raw_Data!E1149</f>
        <v>16.149999999999999</v>
      </c>
      <c r="F1151" s="5">
        <f>[1]Raw_Data!F1149</f>
        <v>2277.15</v>
      </c>
      <c r="G1151" s="4">
        <f>[1]Raw_Data!G1149</f>
        <v>0.25</v>
      </c>
      <c r="H1151" s="3">
        <f>[1]Raw_Data!H1149</f>
        <v>1</v>
      </c>
      <c r="I1151" s="3" t="str">
        <f>TRIM([1]Raw_Data!I1149)</f>
        <v>UK</v>
      </c>
      <c r="J1151" s="3" t="str">
        <f>TRIM([1]Raw_Data!J1149)</f>
        <v>iHerb</v>
      </c>
      <c r="K1151" s="3">
        <f t="shared" si="68"/>
        <v>2021</v>
      </c>
      <c r="L1151" s="6">
        <f t="shared" si="69"/>
        <v>44317</v>
      </c>
      <c r="M1151" s="3" t="str">
        <f t="shared" si="70"/>
        <v>21% to 25%</v>
      </c>
      <c r="N1151" s="3" t="str">
        <f t="shared" si="71"/>
        <v>OK</v>
      </c>
    </row>
    <row r="1152" spans="1:14" x14ac:dyDescent="0.3">
      <c r="A1152" s="2">
        <f>DATE(VALUE(RIGHT(TRIM([1]Raw_Data!A1150),4)),VALUE(MID(TRIM([1]Raw_Data!A1150),4,2)),VALUE(LEFT(TRIM([1]Raw_Data!A1150),2)))</f>
        <v>44333</v>
      </c>
      <c r="B1152" s="3" t="str">
        <f>TRIM([1]Raw_Data!B1150)</f>
        <v>Biotin</v>
      </c>
      <c r="C1152" s="3" t="str">
        <f>TRIM([1]Raw_Data!C1150)</f>
        <v>Vitamin</v>
      </c>
      <c r="D1152" s="3">
        <f>[1]Raw_Data!D1150</f>
        <v>133</v>
      </c>
      <c r="E1152" s="4">
        <f>[1]Raw_Data!E1150</f>
        <v>45.97</v>
      </c>
      <c r="F1152" s="5">
        <f>[1]Raw_Data!F1150</f>
        <v>6114.01</v>
      </c>
      <c r="G1152" s="4">
        <f>[1]Raw_Data!G1150</f>
        <v>0.21</v>
      </c>
      <c r="H1152" s="3">
        <f>[1]Raw_Data!H1150</f>
        <v>0</v>
      </c>
      <c r="I1152" s="3" t="str">
        <f>TRIM([1]Raw_Data!I1150)</f>
        <v>Canada</v>
      </c>
      <c r="J1152" s="3" t="str">
        <f>TRIM([1]Raw_Data!J1150)</f>
        <v>Walmart</v>
      </c>
      <c r="K1152" s="3">
        <f t="shared" si="68"/>
        <v>2021</v>
      </c>
      <c r="L1152" s="6">
        <f t="shared" si="69"/>
        <v>44317</v>
      </c>
      <c r="M1152" s="3" t="str">
        <f t="shared" si="70"/>
        <v>21% to 25%</v>
      </c>
      <c r="N1152" s="3" t="str">
        <f t="shared" si="71"/>
        <v>OK</v>
      </c>
    </row>
    <row r="1153" spans="1:14" x14ac:dyDescent="0.3">
      <c r="A1153" s="2">
        <f>DATE(VALUE(RIGHT(TRIM([1]Raw_Data!A1151),4)),VALUE(MID(TRIM([1]Raw_Data!A1151),4,2)),VALUE(LEFT(TRIM([1]Raw_Data!A1151),2)))</f>
        <v>44333</v>
      </c>
      <c r="B1153" s="3" t="str">
        <f>TRIM([1]Raw_Data!B1151)</f>
        <v>Green Tea Extract</v>
      </c>
      <c r="C1153" s="3" t="str">
        <f>TRIM([1]Raw_Data!C1151)</f>
        <v>Fat Burner</v>
      </c>
      <c r="D1153" s="3">
        <f>[1]Raw_Data!D1151</f>
        <v>124</v>
      </c>
      <c r="E1153" s="4">
        <f>[1]Raw_Data!E1151</f>
        <v>31.58</v>
      </c>
      <c r="F1153" s="5">
        <f>[1]Raw_Data!F1151</f>
        <v>3915.92</v>
      </c>
      <c r="G1153" s="4">
        <f>[1]Raw_Data!G1151</f>
        <v>0.06</v>
      </c>
      <c r="H1153" s="3">
        <f>[1]Raw_Data!H1151</f>
        <v>1</v>
      </c>
      <c r="I1153" s="3" t="str">
        <f>TRIM([1]Raw_Data!I1151)</f>
        <v>USA</v>
      </c>
      <c r="J1153" s="3" t="str">
        <f>TRIM([1]Raw_Data!J1151)</f>
        <v>Amazon</v>
      </c>
      <c r="K1153" s="3">
        <f t="shared" si="68"/>
        <v>2021</v>
      </c>
      <c r="L1153" s="6">
        <f t="shared" si="69"/>
        <v>44317</v>
      </c>
      <c r="M1153" s="3" t="str">
        <f t="shared" si="70"/>
        <v>6% to 10%</v>
      </c>
      <c r="N1153" s="3" t="str">
        <f t="shared" si="71"/>
        <v>OK</v>
      </c>
    </row>
    <row r="1154" spans="1:14" x14ac:dyDescent="0.3">
      <c r="A1154" s="2">
        <f>DATE(VALUE(RIGHT(TRIM([1]Raw_Data!A1152),4)),VALUE(MID(TRIM([1]Raw_Data!A1152),4,2)),VALUE(LEFT(TRIM([1]Raw_Data!A1152),2)))</f>
        <v>44333</v>
      </c>
      <c r="B1154" s="3" t="str">
        <f>TRIM([1]Raw_Data!B1152)</f>
        <v>Iron Supplement</v>
      </c>
      <c r="C1154" s="3" t="str">
        <f>TRIM([1]Raw_Data!C1152)</f>
        <v>Mineral</v>
      </c>
      <c r="D1154" s="3">
        <f>[1]Raw_Data!D1152</f>
        <v>141</v>
      </c>
      <c r="E1154" s="4">
        <f>[1]Raw_Data!E1152</f>
        <v>55.3</v>
      </c>
      <c r="F1154" s="5">
        <f>[1]Raw_Data!F1152</f>
        <v>7797.3</v>
      </c>
      <c r="G1154" s="4">
        <f>[1]Raw_Data!G1152</f>
        <v>0.14000000000000001</v>
      </c>
      <c r="H1154" s="3">
        <f>[1]Raw_Data!H1152</f>
        <v>1</v>
      </c>
      <c r="I1154" s="3" t="str">
        <f>TRIM([1]Raw_Data!I1152)</f>
        <v>USA</v>
      </c>
      <c r="J1154" s="3" t="str">
        <f>TRIM([1]Raw_Data!J1152)</f>
        <v>Amazon</v>
      </c>
      <c r="K1154" s="3">
        <f t="shared" si="68"/>
        <v>2021</v>
      </c>
      <c r="L1154" s="6">
        <f t="shared" si="69"/>
        <v>44317</v>
      </c>
      <c r="M1154" s="3" t="str">
        <f t="shared" si="70"/>
        <v>11% to 15%</v>
      </c>
      <c r="N1154" s="3" t="str">
        <f t="shared" si="71"/>
        <v>OK</v>
      </c>
    </row>
    <row r="1155" spans="1:14" x14ac:dyDescent="0.3">
      <c r="A1155" s="2">
        <f>DATE(VALUE(RIGHT(TRIM([1]Raw_Data!A1153),4)),VALUE(MID(TRIM([1]Raw_Data!A1153),4,2)),VALUE(LEFT(TRIM([1]Raw_Data!A1153),2)))</f>
        <v>44333</v>
      </c>
      <c r="B1155" s="3" t="str">
        <f>TRIM([1]Raw_Data!B1153)</f>
        <v>Electrolyte Powder</v>
      </c>
      <c r="C1155" s="3" t="str">
        <f>TRIM([1]Raw_Data!C1153)</f>
        <v>Hydration</v>
      </c>
      <c r="D1155" s="3">
        <f>[1]Raw_Data!D1153</f>
        <v>146</v>
      </c>
      <c r="E1155" s="4">
        <f>[1]Raw_Data!E1153</f>
        <v>46.38</v>
      </c>
      <c r="F1155" s="5">
        <f>[1]Raw_Data!F1153</f>
        <v>6771.48</v>
      </c>
      <c r="G1155" s="4">
        <f>[1]Raw_Data!G1153</f>
        <v>0.11</v>
      </c>
      <c r="H1155" s="3">
        <f>[1]Raw_Data!H1153</f>
        <v>3</v>
      </c>
      <c r="I1155" s="3" t="str">
        <f>TRIM([1]Raw_Data!I1153)</f>
        <v>Canada</v>
      </c>
      <c r="J1155" s="3" t="str">
        <f>TRIM([1]Raw_Data!J1153)</f>
        <v>iHerb</v>
      </c>
      <c r="K1155" s="3">
        <f t="shared" si="68"/>
        <v>2021</v>
      </c>
      <c r="L1155" s="6">
        <f t="shared" si="69"/>
        <v>44317</v>
      </c>
      <c r="M1155" s="3" t="str">
        <f t="shared" si="70"/>
        <v>11% to 15%</v>
      </c>
      <c r="N1155" s="3" t="str">
        <f t="shared" si="71"/>
        <v>OK</v>
      </c>
    </row>
    <row r="1156" spans="1:14" x14ac:dyDescent="0.3">
      <c r="A1156" s="2">
        <f>DATE(VALUE(RIGHT(TRIM([1]Raw_Data!A1154),4)),VALUE(MID(TRIM([1]Raw_Data!A1154),4,2)),VALUE(LEFT(TRIM([1]Raw_Data!A1154),2)))</f>
        <v>44340</v>
      </c>
      <c r="B1156" s="3" t="str">
        <f>TRIM([1]Raw_Data!B1154)</f>
        <v>Whey Protein</v>
      </c>
      <c r="C1156" s="3" t="str">
        <f>TRIM([1]Raw_Data!C1154)</f>
        <v>Protein</v>
      </c>
      <c r="D1156" s="3">
        <f>[1]Raw_Data!D1154</f>
        <v>176</v>
      </c>
      <c r="E1156" s="4">
        <f>[1]Raw_Data!E1154</f>
        <v>38.03</v>
      </c>
      <c r="F1156" s="5">
        <f>[1]Raw_Data!F1154</f>
        <v>6693.28</v>
      </c>
      <c r="G1156" s="4">
        <f>[1]Raw_Data!G1154</f>
        <v>0.02</v>
      </c>
      <c r="H1156" s="3">
        <f>[1]Raw_Data!H1154</f>
        <v>1</v>
      </c>
      <c r="I1156" s="3" t="str">
        <f>TRIM([1]Raw_Data!I1154)</f>
        <v>UK</v>
      </c>
      <c r="J1156" s="3" t="str">
        <f>TRIM([1]Raw_Data!J1154)</f>
        <v>Walmart</v>
      </c>
      <c r="K1156" s="3">
        <f t="shared" ref="K1156:K1219" si="72">YEAR(A1156)</f>
        <v>2021</v>
      </c>
      <c r="L1156" s="6">
        <f t="shared" ref="L1156:L1219" si="73">DATE(YEAR(A1156),MONTH(A1156),1)</f>
        <v>44317</v>
      </c>
      <c r="M1156" s="3" t="str">
        <f t="shared" ref="M1156:M1219" si="74">IF(ROUND(G1156*100,0)&lt;=5,"0% to 5%",IF(ROUND(G1156*100,0)&lt;=10,"6% to 10%",IF(ROUND(G1156*100,0)&lt;=15,"11% to 15%",IF(ROUND(G1156*100,0)&lt;=20,"16% to 20%","21% to 25%"))))</f>
        <v>0% to 5%</v>
      </c>
      <c r="N1156" s="3" t="str">
        <f t="shared" ref="N1156:N1219" si="75">IF(ROUND(D1156*E1156,2)=ROUND(F1156,2),"OK","Check")</f>
        <v>OK</v>
      </c>
    </row>
    <row r="1157" spans="1:14" x14ac:dyDescent="0.3">
      <c r="A1157" s="2">
        <f>DATE(VALUE(RIGHT(TRIM([1]Raw_Data!A1155),4)),VALUE(MID(TRIM([1]Raw_Data!A1155),4,2)),VALUE(LEFT(TRIM([1]Raw_Data!A1155),2)))</f>
        <v>44340</v>
      </c>
      <c r="B1157" s="3" t="str">
        <f>TRIM([1]Raw_Data!B1155)</f>
        <v>Vitamin C</v>
      </c>
      <c r="C1157" s="3" t="str">
        <f>TRIM([1]Raw_Data!C1155)</f>
        <v>Vitamin</v>
      </c>
      <c r="D1157" s="3">
        <f>[1]Raw_Data!D1155</f>
        <v>147</v>
      </c>
      <c r="E1157" s="4">
        <f>[1]Raw_Data!E1155</f>
        <v>53.83</v>
      </c>
      <c r="F1157" s="5">
        <f>[1]Raw_Data!F1155</f>
        <v>7913.01</v>
      </c>
      <c r="G1157" s="4">
        <f>[1]Raw_Data!G1155</f>
        <v>0.04</v>
      </c>
      <c r="H1157" s="3">
        <f>[1]Raw_Data!H1155</f>
        <v>1</v>
      </c>
      <c r="I1157" s="3" t="str">
        <f>TRIM([1]Raw_Data!I1155)</f>
        <v>USA</v>
      </c>
      <c r="J1157" s="3" t="str">
        <f>TRIM([1]Raw_Data!J1155)</f>
        <v>Amazon</v>
      </c>
      <c r="K1157" s="3">
        <f t="shared" si="72"/>
        <v>2021</v>
      </c>
      <c r="L1157" s="6">
        <f t="shared" si="73"/>
        <v>44317</v>
      </c>
      <c r="M1157" s="3" t="str">
        <f t="shared" si="74"/>
        <v>0% to 5%</v>
      </c>
      <c r="N1157" s="3" t="str">
        <f t="shared" si="75"/>
        <v>OK</v>
      </c>
    </row>
    <row r="1158" spans="1:14" x14ac:dyDescent="0.3">
      <c r="A1158" s="2">
        <f>DATE(VALUE(RIGHT(TRIM([1]Raw_Data!A1156),4)),VALUE(MID(TRIM([1]Raw_Data!A1156),4,2)),VALUE(LEFT(TRIM([1]Raw_Data!A1156),2)))</f>
        <v>44340</v>
      </c>
      <c r="B1158" s="3" t="str">
        <f>TRIM([1]Raw_Data!B1156)</f>
        <v>Fish Oil</v>
      </c>
      <c r="C1158" s="3" t="str">
        <f>TRIM([1]Raw_Data!C1156)</f>
        <v>Omega</v>
      </c>
      <c r="D1158" s="3">
        <f>[1]Raw_Data!D1156</f>
        <v>154</v>
      </c>
      <c r="E1158" s="4">
        <f>[1]Raw_Data!E1156</f>
        <v>29.15</v>
      </c>
      <c r="F1158" s="5">
        <f>[1]Raw_Data!F1156</f>
        <v>4489.1000000000004</v>
      </c>
      <c r="G1158" s="4">
        <f>[1]Raw_Data!G1156</f>
        <v>0.22</v>
      </c>
      <c r="H1158" s="3">
        <f>[1]Raw_Data!H1156</f>
        <v>2</v>
      </c>
      <c r="I1158" s="3" t="str">
        <f>TRIM([1]Raw_Data!I1156)</f>
        <v>Canada</v>
      </c>
      <c r="J1158" s="3" t="str">
        <f>TRIM([1]Raw_Data!J1156)</f>
        <v>iHerb</v>
      </c>
      <c r="K1158" s="3">
        <f t="shared" si="72"/>
        <v>2021</v>
      </c>
      <c r="L1158" s="6">
        <f t="shared" si="73"/>
        <v>44317</v>
      </c>
      <c r="M1158" s="3" t="str">
        <f t="shared" si="74"/>
        <v>21% to 25%</v>
      </c>
      <c r="N1158" s="3" t="str">
        <f t="shared" si="75"/>
        <v>OK</v>
      </c>
    </row>
    <row r="1159" spans="1:14" x14ac:dyDescent="0.3">
      <c r="A1159" s="2">
        <f>DATE(VALUE(RIGHT(TRIM([1]Raw_Data!A1157),4)),VALUE(MID(TRIM([1]Raw_Data!A1157),4,2)),VALUE(LEFT(TRIM([1]Raw_Data!A1157),2)))</f>
        <v>44340</v>
      </c>
      <c r="B1159" s="3" t="str">
        <f>TRIM([1]Raw_Data!B1157)</f>
        <v>Multivitamin</v>
      </c>
      <c r="C1159" s="3" t="str">
        <f>TRIM([1]Raw_Data!C1157)</f>
        <v>Vitamin</v>
      </c>
      <c r="D1159" s="3">
        <f>[1]Raw_Data!D1157</f>
        <v>148</v>
      </c>
      <c r="E1159" s="4">
        <f>[1]Raw_Data!E1157</f>
        <v>33.229999999999997</v>
      </c>
      <c r="F1159" s="5">
        <f>[1]Raw_Data!F1157</f>
        <v>4918.04</v>
      </c>
      <c r="G1159" s="4">
        <f>[1]Raw_Data!G1157</f>
        <v>0.21</v>
      </c>
      <c r="H1159" s="3">
        <f>[1]Raw_Data!H1157</f>
        <v>2</v>
      </c>
      <c r="I1159" s="3" t="str">
        <f>TRIM([1]Raw_Data!I1157)</f>
        <v>UK</v>
      </c>
      <c r="J1159" s="3" t="str">
        <f>TRIM([1]Raw_Data!J1157)</f>
        <v>Amazon</v>
      </c>
      <c r="K1159" s="3">
        <f t="shared" si="72"/>
        <v>2021</v>
      </c>
      <c r="L1159" s="6">
        <f t="shared" si="73"/>
        <v>44317</v>
      </c>
      <c r="M1159" s="3" t="str">
        <f t="shared" si="74"/>
        <v>21% to 25%</v>
      </c>
      <c r="N1159" s="3" t="str">
        <f t="shared" si="75"/>
        <v>OK</v>
      </c>
    </row>
    <row r="1160" spans="1:14" x14ac:dyDescent="0.3">
      <c r="A1160" s="2">
        <f>DATE(VALUE(RIGHT(TRIM([1]Raw_Data!A1158),4)),VALUE(MID(TRIM([1]Raw_Data!A1158),4,2)),VALUE(LEFT(TRIM([1]Raw_Data!A1158),2)))</f>
        <v>44340</v>
      </c>
      <c r="B1160" s="3" t="str">
        <f>TRIM([1]Raw_Data!B1158)</f>
        <v>Pre-Workout</v>
      </c>
      <c r="C1160" s="3" t="str">
        <f>TRIM([1]Raw_Data!C1158)</f>
        <v>Performance</v>
      </c>
      <c r="D1160" s="3">
        <f>[1]Raw_Data!D1158</f>
        <v>163</v>
      </c>
      <c r="E1160" s="4">
        <f>[1]Raw_Data!E1158</f>
        <v>15.92</v>
      </c>
      <c r="F1160" s="5">
        <f>[1]Raw_Data!F1158</f>
        <v>2594.96</v>
      </c>
      <c r="G1160" s="4">
        <f>[1]Raw_Data!G1158</f>
        <v>0</v>
      </c>
      <c r="H1160" s="3">
        <f>[1]Raw_Data!H1158</f>
        <v>1</v>
      </c>
      <c r="I1160" s="3" t="str">
        <f>TRIM([1]Raw_Data!I1158)</f>
        <v>Canada</v>
      </c>
      <c r="J1160" s="3" t="str">
        <f>TRIM([1]Raw_Data!J1158)</f>
        <v>Walmart</v>
      </c>
      <c r="K1160" s="3">
        <f t="shared" si="72"/>
        <v>2021</v>
      </c>
      <c r="L1160" s="6">
        <f t="shared" si="73"/>
        <v>44317</v>
      </c>
      <c r="M1160" s="3" t="str">
        <f t="shared" si="74"/>
        <v>0% to 5%</v>
      </c>
      <c r="N1160" s="3" t="str">
        <f t="shared" si="75"/>
        <v>OK</v>
      </c>
    </row>
    <row r="1161" spans="1:14" x14ac:dyDescent="0.3">
      <c r="A1161" s="2">
        <f>DATE(VALUE(RIGHT(TRIM([1]Raw_Data!A1159),4)),VALUE(MID(TRIM([1]Raw_Data!A1159),4,2)),VALUE(LEFT(TRIM([1]Raw_Data!A1159),2)))</f>
        <v>44340</v>
      </c>
      <c r="B1161" s="3" t="str">
        <f>TRIM([1]Raw_Data!B1159)</f>
        <v>BCAA</v>
      </c>
      <c r="C1161" s="3" t="str">
        <f>TRIM([1]Raw_Data!C1159)</f>
        <v>Amino Acid</v>
      </c>
      <c r="D1161" s="3">
        <f>[1]Raw_Data!D1159</f>
        <v>157</v>
      </c>
      <c r="E1161" s="4">
        <f>[1]Raw_Data!E1159</f>
        <v>24.79</v>
      </c>
      <c r="F1161" s="5">
        <f>[1]Raw_Data!F1159</f>
        <v>3892.03</v>
      </c>
      <c r="G1161" s="4">
        <f>[1]Raw_Data!G1159</f>
        <v>0.12</v>
      </c>
      <c r="H1161" s="3">
        <f>[1]Raw_Data!H1159</f>
        <v>1</v>
      </c>
      <c r="I1161" s="3" t="str">
        <f>TRIM([1]Raw_Data!I1159)</f>
        <v>USA</v>
      </c>
      <c r="J1161" s="3" t="str">
        <f>TRIM([1]Raw_Data!J1159)</f>
        <v>Amazon</v>
      </c>
      <c r="K1161" s="3">
        <f t="shared" si="72"/>
        <v>2021</v>
      </c>
      <c r="L1161" s="6">
        <f t="shared" si="73"/>
        <v>44317</v>
      </c>
      <c r="M1161" s="3" t="str">
        <f t="shared" si="74"/>
        <v>11% to 15%</v>
      </c>
      <c r="N1161" s="3" t="str">
        <f t="shared" si="75"/>
        <v>OK</v>
      </c>
    </row>
    <row r="1162" spans="1:14" x14ac:dyDescent="0.3">
      <c r="A1162" s="2">
        <f>DATE(VALUE(RIGHT(TRIM([1]Raw_Data!A1160),4)),VALUE(MID(TRIM([1]Raw_Data!A1160),4,2)),VALUE(LEFT(TRIM([1]Raw_Data!A1160),2)))</f>
        <v>44340</v>
      </c>
      <c r="B1162" s="3" t="str">
        <f>TRIM([1]Raw_Data!B1160)</f>
        <v>Creatine</v>
      </c>
      <c r="C1162" s="3" t="str">
        <f>TRIM([1]Raw_Data!C1160)</f>
        <v>Performance</v>
      </c>
      <c r="D1162" s="3">
        <f>[1]Raw_Data!D1160</f>
        <v>147</v>
      </c>
      <c r="E1162" s="4">
        <f>[1]Raw_Data!E1160</f>
        <v>16.82</v>
      </c>
      <c r="F1162" s="5">
        <f>[1]Raw_Data!F1160</f>
        <v>2472.54</v>
      </c>
      <c r="G1162" s="4">
        <f>[1]Raw_Data!G1160</f>
        <v>0.05</v>
      </c>
      <c r="H1162" s="3">
        <f>[1]Raw_Data!H1160</f>
        <v>0</v>
      </c>
      <c r="I1162" s="3" t="str">
        <f>TRIM([1]Raw_Data!I1160)</f>
        <v>USA</v>
      </c>
      <c r="J1162" s="3" t="str">
        <f>TRIM([1]Raw_Data!J1160)</f>
        <v>Walmart</v>
      </c>
      <c r="K1162" s="3">
        <f t="shared" si="72"/>
        <v>2021</v>
      </c>
      <c r="L1162" s="6">
        <f t="shared" si="73"/>
        <v>44317</v>
      </c>
      <c r="M1162" s="3" t="str">
        <f t="shared" si="74"/>
        <v>0% to 5%</v>
      </c>
      <c r="N1162" s="3" t="str">
        <f t="shared" si="75"/>
        <v>OK</v>
      </c>
    </row>
    <row r="1163" spans="1:14" x14ac:dyDescent="0.3">
      <c r="A1163" s="2">
        <f>DATE(VALUE(RIGHT(TRIM([1]Raw_Data!A1161),4)),VALUE(MID(TRIM([1]Raw_Data!A1161),4,2)),VALUE(LEFT(TRIM([1]Raw_Data!A1161),2)))</f>
        <v>44340</v>
      </c>
      <c r="B1163" s="3" t="str">
        <f>TRIM([1]Raw_Data!B1161)</f>
        <v>Zinc</v>
      </c>
      <c r="C1163" s="3" t="str">
        <f>TRIM([1]Raw_Data!C1161)</f>
        <v>Mineral</v>
      </c>
      <c r="D1163" s="3">
        <f>[1]Raw_Data!D1161</f>
        <v>138</v>
      </c>
      <c r="E1163" s="4">
        <f>[1]Raw_Data!E1161</f>
        <v>41.36</v>
      </c>
      <c r="F1163" s="5">
        <f>[1]Raw_Data!F1161</f>
        <v>5707.68</v>
      </c>
      <c r="G1163" s="4">
        <f>[1]Raw_Data!G1161</f>
        <v>0.08</v>
      </c>
      <c r="H1163" s="3">
        <f>[1]Raw_Data!H1161</f>
        <v>4</v>
      </c>
      <c r="I1163" s="3" t="str">
        <f>TRIM([1]Raw_Data!I1161)</f>
        <v>USA</v>
      </c>
      <c r="J1163" s="3" t="str">
        <f>TRIM([1]Raw_Data!J1161)</f>
        <v>iHerb</v>
      </c>
      <c r="K1163" s="3">
        <f t="shared" si="72"/>
        <v>2021</v>
      </c>
      <c r="L1163" s="6">
        <f t="shared" si="73"/>
        <v>44317</v>
      </c>
      <c r="M1163" s="3" t="str">
        <f t="shared" si="74"/>
        <v>6% to 10%</v>
      </c>
      <c r="N1163" s="3" t="str">
        <f t="shared" si="75"/>
        <v>OK</v>
      </c>
    </row>
    <row r="1164" spans="1:14" x14ac:dyDescent="0.3">
      <c r="A1164" s="2">
        <f>DATE(VALUE(RIGHT(TRIM([1]Raw_Data!A1162),4)),VALUE(MID(TRIM([1]Raw_Data!A1162),4,2)),VALUE(LEFT(TRIM([1]Raw_Data!A1162),2)))</f>
        <v>44340</v>
      </c>
      <c r="B1164" s="3" t="str">
        <f>TRIM([1]Raw_Data!B1162)</f>
        <v>Collagen Peptides</v>
      </c>
      <c r="C1164" s="3" t="str">
        <f>TRIM([1]Raw_Data!C1162)</f>
        <v>Protein</v>
      </c>
      <c r="D1164" s="3">
        <f>[1]Raw_Data!D1162</f>
        <v>138</v>
      </c>
      <c r="E1164" s="4">
        <f>[1]Raw_Data!E1162</f>
        <v>27.89</v>
      </c>
      <c r="F1164" s="5">
        <f>[1]Raw_Data!F1162</f>
        <v>3848.82</v>
      </c>
      <c r="G1164" s="4">
        <f>[1]Raw_Data!G1162</f>
        <v>0</v>
      </c>
      <c r="H1164" s="3">
        <f>[1]Raw_Data!H1162</f>
        <v>3</v>
      </c>
      <c r="I1164" s="3" t="str">
        <f>TRIM([1]Raw_Data!I1162)</f>
        <v>USA</v>
      </c>
      <c r="J1164" s="3" t="str">
        <f>TRIM([1]Raw_Data!J1162)</f>
        <v>Amazon</v>
      </c>
      <c r="K1164" s="3">
        <f t="shared" si="72"/>
        <v>2021</v>
      </c>
      <c r="L1164" s="6">
        <f t="shared" si="73"/>
        <v>44317</v>
      </c>
      <c r="M1164" s="3" t="str">
        <f t="shared" si="74"/>
        <v>0% to 5%</v>
      </c>
      <c r="N1164" s="3" t="str">
        <f t="shared" si="75"/>
        <v>OK</v>
      </c>
    </row>
    <row r="1165" spans="1:14" x14ac:dyDescent="0.3">
      <c r="A1165" s="2">
        <f>DATE(VALUE(RIGHT(TRIM([1]Raw_Data!A1163),4)),VALUE(MID(TRIM([1]Raw_Data!A1163),4,2)),VALUE(LEFT(TRIM([1]Raw_Data!A1163),2)))</f>
        <v>44340</v>
      </c>
      <c r="B1165" s="3" t="str">
        <f>TRIM([1]Raw_Data!B1163)</f>
        <v>Magnesium</v>
      </c>
      <c r="C1165" s="3" t="str">
        <f>TRIM([1]Raw_Data!C1163)</f>
        <v>Mineral</v>
      </c>
      <c r="D1165" s="3">
        <f>[1]Raw_Data!D1163</f>
        <v>168</v>
      </c>
      <c r="E1165" s="4">
        <f>[1]Raw_Data!E1163</f>
        <v>37.18</v>
      </c>
      <c r="F1165" s="5">
        <f>[1]Raw_Data!F1163</f>
        <v>6246.24</v>
      </c>
      <c r="G1165" s="4">
        <f>[1]Raw_Data!G1163</f>
        <v>0.16</v>
      </c>
      <c r="H1165" s="3">
        <f>[1]Raw_Data!H1163</f>
        <v>1</v>
      </c>
      <c r="I1165" s="3" t="str">
        <f>TRIM([1]Raw_Data!I1163)</f>
        <v>Canada</v>
      </c>
      <c r="J1165" s="3" t="str">
        <f>TRIM([1]Raw_Data!J1163)</f>
        <v>Walmart</v>
      </c>
      <c r="K1165" s="3">
        <f t="shared" si="72"/>
        <v>2021</v>
      </c>
      <c r="L1165" s="6">
        <f t="shared" si="73"/>
        <v>44317</v>
      </c>
      <c r="M1165" s="3" t="str">
        <f t="shared" si="74"/>
        <v>16% to 20%</v>
      </c>
      <c r="N1165" s="3" t="str">
        <f t="shared" si="75"/>
        <v>OK</v>
      </c>
    </row>
    <row r="1166" spans="1:14" x14ac:dyDescent="0.3">
      <c r="A1166" s="2">
        <f>DATE(VALUE(RIGHT(TRIM([1]Raw_Data!A1164),4)),VALUE(MID(TRIM([1]Raw_Data!A1164),4,2)),VALUE(LEFT(TRIM([1]Raw_Data!A1164),2)))</f>
        <v>44340</v>
      </c>
      <c r="B1166" s="3" t="str">
        <f>TRIM([1]Raw_Data!B1164)</f>
        <v>Ashwagandha</v>
      </c>
      <c r="C1166" s="3" t="str">
        <f>TRIM([1]Raw_Data!C1164)</f>
        <v>Herbal</v>
      </c>
      <c r="D1166" s="3">
        <f>[1]Raw_Data!D1164</f>
        <v>155</v>
      </c>
      <c r="E1166" s="4">
        <f>[1]Raw_Data!E1164</f>
        <v>12.7</v>
      </c>
      <c r="F1166" s="5">
        <f>[1]Raw_Data!F1164</f>
        <v>1968.5</v>
      </c>
      <c r="G1166" s="4">
        <f>[1]Raw_Data!G1164</f>
        <v>0.11</v>
      </c>
      <c r="H1166" s="3">
        <f>[1]Raw_Data!H1164</f>
        <v>2</v>
      </c>
      <c r="I1166" s="3" t="str">
        <f>TRIM([1]Raw_Data!I1164)</f>
        <v>UK</v>
      </c>
      <c r="J1166" s="3" t="str">
        <f>TRIM([1]Raw_Data!J1164)</f>
        <v>iHerb</v>
      </c>
      <c r="K1166" s="3">
        <f t="shared" si="72"/>
        <v>2021</v>
      </c>
      <c r="L1166" s="6">
        <f t="shared" si="73"/>
        <v>44317</v>
      </c>
      <c r="M1166" s="3" t="str">
        <f t="shared" si="74"/>
        <v>11% to 15%</v>
      </c>
      <c r="N1166" s="3" t="str">
        <f t="shared" si="75"/>
        <v>OK</v>
      </c>
    </row>
    <row r="1167" spans="1:14" x14ac:dyDescent="0.3">
      <c r="A1167" s="2">
        <f>DATE(VALUE(RIGHT(TRIM([1]Raw_Data!A1165),4)),VALUE(MID(TRIM([1]Raw_Data!A1165),4,2)),VALUE(LEFT(TRIM([1]Raw_Data!A1165),2)))</f>
        <v>44340</v>
      </c>
      <c r="B1167" s="3" t="str">
        <f>TRIM([1]Raw_Data!B1165)</f>
        <v>Melatonin</v>
      </c>
      <c r="C1167" s="3" t="str">
        <f>TRIM([1]Raw_Data!C1165)</f>
        <v>Sleep Aid</v>
      </c>
      <c r="D1167" s="3">
        <f>[1]Raw_Data!D1165</f>
        <v>167</v>
      </c>
      <c r="E1167" s="4">
        <f>[1]Raw_Data!E1165</f>
        <v>51.13</v>
      </c>
      <c r="F1167" s="5">
        <f>[1]Raw_Data!F1165</f>
        <v>8538.7099999999991</v>
      </c>
      <c r="G1167" s="4">
        <f>[1]Raw_Data!G1165</f>
        <v>0.05</v>
      </c>
      <c r="H1167" s="3">
        <f>[1]Raw_Data!H1165</f>
        <v>1</v>
      </c>
      <c r="I1167" s="3" t="str">
        <f>TRIM([1]Raw_Data!I1165)</f>
        <v>Canada</v>
      </c>
      <c r="J1167" s="3" t="str">
        <f>TRIM([1]Raw_Data!J1165)</f>
        <v>iHerb</v>
      </c>
      <c r="K1167" s="3">
        <f t="shared" si="72"/>
        <v>2021</v>
      </c>
      <c r="L1167" s="6">
        <f t="shared" si="73"/>
        <v>44317</v>
      </c>
      <c r="M1167" s="3" t="str">
        <f t="shared" si="74"/>
        <v>0% to 5%</v>
      </c>
      <c r="N1167" s="3" t="str">
        <f t="shared" si="75"/>
        <v>OK</v>
      </c>
    </row>
    <row r="1168" spans="1:14" x14ac:dyDescent="0.3">
      <c r="A1168" s="2">
        <f>DATE(VALUE(RIGHT(TRIM([1]Raw_Data!A1166),4)),VALUE(MID(TRIM([1]Raw_Data!A1166),4,2)),VALUE(LEFT(TRIM([1]Raw_Data!A1166),2)))</f>
        <v>44340</v>
      </c>
      <c r="B1168" s="3" t="str">
        <f>TRIM([1]Raw_Data!B1166)</f>
        <v>Biotin</v>
      </c>
      <c r="C1168" s="3" t="str">
        <f>TRIM([1]Raw_Data!C1166)</f>
        <v>Vitamin</v>
      </c>
      <c r="D1168" s="3">
        <f>[1]Raw_Data!D1166</f>
        <v>143</v>
      </c>
      <c r="E1168" s="4">
        <f>[1]Raw_Data!E1166</f>
        <v>17.52</v>
      </c>
      <c r="F1168" s="5">
        <f>[1]Raw_Data!F1166</f>
        <v>2505.36</v>
      </c>
      <c r="G1168" s="4">
        <f>[1]Raw_Data!G1166</f>
        <v>0.13</v>
      </c>
      <c r="H1168" s="3">
        <f>[1]Raw_Data!H1166</f>
        <v>2</v>
      </c>
      <c r="I1168" s="3" t="str">
        <f>TRIM([1]Raw_Data!I1166)</f>
        <v>UK</v>
      </c>
      <c r="J1168" s="3" t="str">
        <f>TRIM([1]Raw_Data!J1166)</f>
        <v>iHerb</v>
      </c>
      <c r="K1168" s="3">
        <f t="shared" si="72"/>
        <v>2021</v>
      </c>
      <c r="L1168" s="6">
        <f t="shared" si="73"/>
        <v>44317</v>
      </c>
      <c r="M1168" s="3" t="str">
        <f t="shared" si="74"/>
        <v>11% to 15%</v>
      </c>
      <c r="N1168" s="3" t="str">
        <f t="shared" si="75"/>
        <v>OK</v>
      </c>
    </row>
    <row r="1169" spans="1:14" x14ac:dyDescent="0.3">
      <c r="A1169" s="2">
        <f>DATE(VALUE(RIGHT(TRIM([1]Raw_Data!A1167),4)),VALUE(MID(TRIM([1]Raw_Data!A1167),4,2)),VALUE(LEFT(TRIM([1]Raw_Data!A1167),2)))</f>
        <v>44340</v>
      </c>
      <c r="B1169" s="3" t="str">
        <f>TRIM([1]Raw_Data!B1167)</f>
        <v>Green Tea Extract</v>
      </c>
      <c r="C1169" s="3" t="str">
        <f>TRIM([1]Raw_Data!C1167)</f>
        <v>Fat Burner</v>
      </c>
      <c r="D1169" s="3">
        <f>[1]Raw_Data!D1167</f>
        <v>148</v>
      </c>
      <c r="E1169" s="4">
        <f>[1]Raw_Data!E1167</f>
        <v>52.44</v>
      </c>
      <c r="F1169" s="5">
        <f>[1]Raw_Data!F1167</f>
        <v>7761.12</v>
      </c>
      <c r="G1169" s="4">
        <f>[1]Raw_Data!G1167</f>
        <v>0.18</v>
      </c>
      <c r="H1169" s="3">
        <f>[1]Raw_Data!H1167</f>
        <v>1</v>
      </c>
      <c r="I1169" s="3" t="str">
        <f>TRIM([1]Raw_Data!I1167)</f>
        <v>USA</v>
      </c>
      <c r="J1169" s="3" t="str">
        <f>TRIM([1]Raw_Data!J1167)</f>
        <v>iHerb</v>
      </c>
      <c r="K1169" s="3">
        <f t="shared" si="72"/>
        <v>2021</v>
      </c>
      <c r="L1169" s="6">
        <f t="shared" si="73"/>
        <v>44317</v>
      </c>
      <c r="M1169" s="3" t="str">
        <f t="shared" si="74"/>
        <v>16% to 20%</v>
      </c>
      <c r="N1169" s="3" t="str">
        <f t="shared" si="75"/>
        <v>OK</v>
      </c>
    </row>
    <row r="1170" spans="1:14" x14ac:dyDescent="0.3">
      <c r="A1170" s="2">
        <f>DATE(VALUE(RIGHT(TRIM([1]Raw_Data!A1168),4)),VALUE(MID(TRIM([1]Raw_Data!A1168),4,2)),VALUE(LEFT(TRIM([1]Raw_Data!A1168),2)))</f>
        <v>44340</v>
      </c>
      <c r="B1170" s="3" t="str">
        <f>TRIM([1]Raw_Data!B1168)</f>
        <v>Iron Supplement</v>
      </c>
      <c r="C1170" s="3" t="str">
        <f>TRIM([1]Raw_Data!C1168)</f>
        <v>Mineral</v>
      </c>
      <c r="D1170" s="3">
        <f>[1]Raw_Data!D1168</f>
        <v>141</v>
      </c>
      <c r="E1170" s="4">
        <f>[1]Raw_Data!E1168</f>
        <v>38.85</v>
      </c>
      <c r="F1170" s="5">
        <f>[1]Raw_Data!F1168</f>
        <v>5477.85</v>
      </c>
      <c r="G1170" s="4">
        <f>[1]Raw_Data!G1168</f>
        <v>0.06</v>
      </c>
      <c r="H1170" s="3">
        <f>[1]Raw_Data!H1168</f>
        <v>1</v>
      </c>
      <c r="I1170" s="3" t="str">
        <f>TRIM([1]Raw_Data!I1168)</f>
        <v>Canada</v>
      </c>
      <c r="J1170" s="3" t="str">
        <f>TRIM([1]Raw_Data!J1168)</f>
        <v>Amazon</v>
      </c>
      <c r="K1170" s="3">
        <f t="shared" si="72"/>
        <v>2021</v>
      </c>
      <c r="L1170" s="6">
        <f t="shared" si="73"/>
        <v>44317</v>
      </c>
      <c r="M1170" s="3" t="str">
        <f t="shared" si="74"/>
        <v>6% to 10%</v>
      </c>
      <c r="N1170" s="3" t="str">
        <f t="shared" si="75"/>
        <v>OK</v>
      </c>
    </row>
    <row r="1171" spans="1:14" x14ac:dyDescent="0.3">
      <c r="A1171" s="2">
        <f>DATE(VALUE(RIGHT(TRIM([1]Raw_Data!A1169),4)),VALUE(MID(TRIM([1]Raw_Data!A1169),4,2)),VALUE(LEFT(TRIM([1]Raw_Data!A1169),2)))</f>
        <v>44340</v>
      </c>
      <c r="B1171" s="3" t="str">
        <f>TRIM([1]Raw_Data!B1169)</f>
        <v>Electrolyte Powder</v>
      </c>
      <c r="C1171" s="3" t="str">
        <f>TRIM([1]Raw_Data!C1169)</f>
        <v>Hydration</v>
      </c>
      <c r="D1171" s="3">
        <f>[1]Raw_Data!D1169</f>
        <v>162</v>
      </c>
      <c r="E1171" s="4">
        <f>[1]Raw_Data!E1169</f>
        <v>59.6</v>
      </c>
      <c r="F1171" s="5">
        <f>[1]Raw_Data!F1169</f>
        <v>9655.2000000000007</v>
      </c>
      <c r="G1171" s="4">
        <f>[1]Raw_Data!G1169</f>
        <v>0.03</v>
      </c>
      <c r="H1171" s="3">
        <f>[1]Raw_Data!H1169</f>
        <v>3</v>
      </c>
      <c r="I1171" s="3" t="str">
        <f>TRIM([1]Raw_Data!I1169)</f>
        <v>UK</v>
      </c>
      <c r="J1171" s="3" t="str">
        <f>TRIM([1]Raw_Data!J1169)</f>
        <v>iHerb</v>
      </c>
      <c r="K1171" s="3">
        <f t="shared" si="72"/>
        <v>2021</v>
      </c>
      <c r="L1171" s="6">
        <f t="shared" si="73"/>
        <v>44317</v>
      </c>
      <c r="M1171" s="3" t="str">
        <f t="shared" si="74"/>
        <v>0% to 5%</v>
      </c>
      <c r="N1171" s="3" t="str">
        <f t="shared" si="75"/>
        <v>OK</v>
      </c>
    </row>
    <row r="1172" spans="1:14" x14ac:dyDescent="0.3">
      <c r="A1172" s="2">
        <f>DATE(VALUE(RIGHT(TRIM([1]Raw_Data!A1170),4)),VALUE(MID(TRIM([1]Raw_Data!A1170),4,2)),VALUE(LEFT(TRIM([1]Raw_Data!A1170),2)))</f>
        <v>44347</v>
      </c>
      <c r="B1172" s="3" t="str">
        <f>TRIM([1]Raw_Data!B1170)</f>
        <v>Whey Protein</v>
      </c>
      <c r="C1172" s="3" t="str">
        <f>TRIM([1]Raw_Data!C1170)</f>
        <v>Protein</v>
      </c>
      <c r="D1172" s="3">
        <f>[1]Raw_Data!D1170</f>
        <v>146</v>
      </c>
      <c r="E1172" s="4">
        <f>[1]Raw_Data!E1170</f>
        <v>54.03</v>
      </c>
      <c r="F1172" s="5">
        <f>[1]Raw_Data!F1170</f>
        <v>7888.38</v>
      </c>
      <c r="G1172" s="4">
        <f>[1]Raw_Data!G1170</f>
        <v>0.1</v>
      </c>
      <c r="H1172" s="3">
        <f>[1]Raw_Data!H1170</f>
        <v>1</v>
      </c>
      <c r="I1172" s="3" t="str">
        <f>TRIM([1]Raw_Data!I1170)</f>
        <v>UK</v>
      </c>
      <c r="J1172" s="3" t="str">
        <f>TRIM([1]Raw_Data!J1170)</f>
        <v>iHerb</v>
      </c>
      <c r="K1172" s="3">
        <f t="shared" si="72"/>
        <v>2021</v>
      </c>
      <c r="L1172" s="6">
        <f t="shared" si="73"/>
        <v>44317</v>
      </c>
      <c r="M1172" s="3" t="str">
        <f t="shared" si="74"/>
        <v>6% to 10%</v>
      </c>
      <c r="N1172" s="3" t="str">
        <f t="shared" si="75"/>
        <v>OK</v>
      </c>
    </row>
    <row r="1173" spans="1:14" x14ac:dyDescent="0.3">
      <c r="A1173" s="2">
        <f>DATE(VALUE(RIGHT(TRIM([1]Raw_Data!A1171),4)),VALUE(MID(TRIM([1]Raw_Data!A1171),4,2)),VALUE(LEFT(TRIM([1]Raw_Data!A1171),2)))</f>
        <v>44347</v>
      </c>
      <c r="B1173" s="3" t="str">
        <f>TRIM([1]Raw_Data!B1171)</f>
        <v>Vitamin C</v>
      </c>
      <c r="C1173" s="3" t="str">
        <f>TRIM([1]Raw_Data!C1171)</f>
        <v>Vitamin</v>
      </c>
      <c r="D1173" s="3">
        <f>[1]Raw_Data!D1171</f>
        <v>122</v>
      </c>
      <c r="E1173" s="4">
        <f>[1]Raw_Data!E1171</f>
        <v>22.24</v>
      </c>
      <c r="F1173" s="5">
        <f>[1]Raw_Data!F1171</f>
        <v>2713.28</v>
      </c>
      <c r="G1173" s="4">
        <f>[1]Raw_Data!G1171</f>
        <v>0.17</v>
      </c>
      <c r="H1173" s="3">
        <f>[1]Raw_Data!H1171</f>
        <v>0</v>
      </c>
      <c r="I1173" s="3" t="str">
        <f>TRIM([1]Raw_Data!I1171)</f>
        <v>Canada</v>
      </c>
      <c r="J1173" s="3" t="str">
        <f>TRIM([1]Raw_Data!J1171)</f>
        <v>iHerb</v>
      </c>
      <c r="K1173" s="3">
        <f t="shared" si="72"/>
        <v>2021</v>
      </c>
      <c r="L1173" s="6">
        <f t="shared" si="73"/>
        <v>44317</v>
      </c>
      <c r="M1173" s="3" t="str">
        <f t="shared" si="74"/>
        <v>16% to 20%</v>
      </c>
      <c r="N1173" s="3" t="str">
        <f t="shared" si="75"/>
        <v>OK</v>
      </c>
    </row>
    <row r="1174" spans="1:14" x14ac:dyDescent="0.3">
      <c r="A1174" s="2">
        <f>DATE(VALUE(RIGHT(TRIM([1]Raw_Data!A1172),4)),VALUE(MID(TRIM([1]Raw_Data!A1172),4,2)),VALUE(LEFT(TRIM([1]Raw_Data!A1172),2)))</f>
        <v>44347</v>
      </c>
      <c r="B1174" s="3" t="str">
        <f>TRIM([1]Raw_Data!B1172)</f>
        <v>Fish Oil</v>
      </c>
      <c r="C1174" s="3" t="str">
        <f>TRIM([1]Raw_Data!C1172)</f>
        <v>Omega</v>
      </c>
      <c r="D1174" s="3">
        <f>[1]Raw_Data!D1172</f>
        <v>133</v>
      </c>
      <c r="E1174" s="4">
        <f>[1]Raw_Data!E1172</f>
        <v>42.39</v>
      </c>
      <c r="F1174" s="5">
        <f>[1]Raw_Data!F1172</f>
        <v>5637.87</v>
      </c>
      <c r="G1174" s="4">
        <f>[1]Raw_Data!G1172</f>
        <v>0.18</v>
      </c>
      <c r="H1174" s="3">
        <f>[1]Raw_Data!H1172</f>
        <v>0</v>
      </c>
      <c r="I1174" s="3" t="str">
        <f>TRIM([1]Raw_Data!I1172)</f>
        <v>USA</v>
      </c>
      <c r="J1174" s="3" t="str">
        <f>TRIM([1]Raw_Data!J1172)</f>
        <v>Walmart</v>
      </c>
      <c r="K1174" s="3">
        <f t="shared" si="72"/>
        <v>2021</v>
      </c>
      <c r="L1174" s="6">
        <f t="shared" si="73"/>
        <v>44317</v>
      </c>
      <c r="M1174" s="3" t="str">
        <f t="shared" si="74"/>
        <v>16% to 20%</v>
      </c>
      <c r="N1174" s="3" t="str">
        <f t="shared" si="75"/>
        <v>OK</v>
      </c>
    </row>
    <row r="1175" spans="1:14" x14ac:dyDescent="0.3">
      <c r="A1175" s="2">
        <f>DATE(VALUE(RIGHT(TRIM([1]Raw_Data!A1173),4)),VALUE(MID(TRIM([1]Raw_Data!A1173),4,2)),VALUE(LEFT(TRIM([1]Raw_Data!A1173),2)))</f>
        <v>44347</v>
      </c>
      <c r="B1175" s="3" t="str">
        <f>TRIM([1]Raw_Data!B1173)</f>
        <v>Multivitamin</v>
      </c>
      <c r="C1175" s="3" t="str">
        <f>TRIM([1]Raw_Data!C1173)</f>
        <v>Vitamin</v>
      </c>
      <c r="D1175" s="3">
        <f>[1]Raw_Data!D1173</f>
        <v>129</v>
      </c>
      <c r="E1175" s="4">
        <f>[1]Raw_Data!E1173</f>
        <v>23.03</v>
      </c>
      <c r="F1175" s="5">
        <f>[1]Raw_Data!F1173</f>
        <v>2970.87</v>
      </c>
      <c r="G1175" s="4">
        <f>[1]Raw_Data!G1173</f>
        <v>0.21</v>
      </c>
      <c r="H1175" s="3">
        <f>[1]Raw_Data!H1173</f>
        <v>3</v>
      </c>
      <c r="I1175" s="3" t="str">
        <f>TRIM([1]Raw_Data!I1173)</f>
        <v>USA</v>
      </c>
      <c r="J1175" s="3" t="str">
        <f>TRIM([1]Raw_Data!J1173)</f>
        <v>Walmart</v>
      </c>
      <c r="K1175" s="3">
        <f t="shared" si="72"/>
        <v>2021</v>
      </c>
      <c r="L1175" s="6">
        <f t="shared" si="73"/>
        <v>44317</v>
      </c>
      <c r="M1175" s="3" t="str">
        <f t="shared" si="74"/>
        <v>21% to 25%</v>
      </c>
      <c r="N1175" s="3" t="str">
        <f t="shared" si="75"/>
        <v>OK</v>
      </c>
    </row>
    <row r="1176" spans="1:14" x14ac:dyDescent="0.3">
      <c r="A1176" s="2">
        <f>DATE(VALUE(RIGHT(TRIM([1]Raw_Data!A1174),4)),VALUE(MID(TRIM([1]Raw_Data!A1174),4,2)),VALUE(LEFT(TRIM([1]Raw_Data!A1174),2)))</f>
        <v>44347</v>
      </c>
      <c r="B1176" s="3" t="str">
        <f>TRIM([1]Raw_Data!B1174)</f>
        <v>Pre-Workout</v>
      </c>
      <c r="C1176" s="3" t="str">
        <f>TRIM([1]Raw_Data!C1174)</f>
        <v>Performance</v>
      </c>
      <c r="D1176" s="3">
        <f>[1]Raw_Data!D1174</f>
        <v>160</v>
      </c>
      <c r="E1176" s="4">
        <f>[1]Raw_Data!E1174</f>
        <v>51.09</v>
      </c>
      <c r="F1176" s="5">
        <f>[1]Raw_Data!F1174</f>
        <v>8174.4</v>
      </c>
      <c r="G1176" s="4">
        <f>[1]Raw_Data!G1174</f>
        <v>0.19</v>
      </c>
      <c r="H1176" s="3">
        <f>[1]Raw_Data!H1174</f>
        <v>2</v>
      </c>
      <c r="I1176" s="3" t="str">
        <f>TRIM([1]Raw_Data!I1174)</f>
        <v>USA</v>
      </c>
      <c r="J1176" s="3" t="str">
        <f>TRIM([1]Raw_Data!J1174)</f>
        <v>Amazon</v>
      </c>
      <c r="K1176" s="3">
        <f t="shared" si="72"/>
        <v>2021</v>
      </c>
      <c r="L1176" s="6">
        <f t="shared" si="73"/>
        <v>44317</v>
      </c>
      <c r="M1176" s="3" t="str">
        <f t="shared" si="74"/>
        <v>16% to 20%</v>
      </c>
      <c r="N1176" s="3" t="str">
        <f t="shared" si="75"/>
        <v>OK</v>
      </c>
    </row>
    <row r="1177" spans="1:14" x14ac:dyDescent="0.3">
      <c r="A1177" s="2">
        <f>DATE(VALUE(RIGHT(TRIM([1]Raw_Data!A1175),4)),VALUE(MID(TRIM([1]Raw_Data!A1175),4,2)),VALUE(LEFT(TRIM([1]Raw_Data!A1175),2)))</f>
        <v>44347</v>
      </c>
      <c r="B1177" s="3" t="str">
        <f>TRIM([1]Raw_Data!B1175)</f>
        <v>BCAA</v>
      </c>
      <c r="C1177" s="3" t="str">
        <f>TRIM([1]Raw_Data!C1175)</f>
        <v>Amino Acid</v>
      </c>
      <c r="D1177" s="3">
        <f>[1]Raw_Data!D1175</f>
        <v>144</v>
      </c>
      <c r="E1177" s="4">
        <f>[1]Raw_Data!E1175</f>
        <v>16.09</v>
      </c>
      <c r="F1177" s="5">
        <f>[1]Raw_Data!F1175</f>
        <v>2316.96</v>
      </c>
      <c r="G1177" s="4">
        <f>[1]Raw_Data!G1175</f>
        <v>0.13</v>
      </c>
      <c r="H1177" s="3">
        <f>[1]Raw_Data!H1175</f>
        <v>2</v>
      </c>
      <c r="I1177" s="3" t="str">
        <f>TRIM([1]Raw_Data!I1175)</f>
        <v>USA</v>
      </c>
      <c r="J1177" s="3" t="str">
        <f>TRIM([1]Raw_Data!J1175)</f>
        <v>iHerb</v>
      </c>
      <c r="K1177" s="3">
        <f t="shared" si="72"/>
        <v>2021</v>
      </c>
      <c r="L1177" s="6">
        <f t="shared" si="73"/>
        <v>44317</v>
      </c>
      <c r="M1177" s="3" t="str">
        <f t="shared" si="74"/>
        <v>11% to 15%</v>
      </c>
      <c r="N1177" s="3" t="str">
        <f t="shared" si="75"/>
        <v>OK</v>
      </c>
    </row>
    <row r="1178" spans="1:14" x14ac:dyDescent="0.3">
      <c r="A1178" s="2">
        <f>DATE(VALUE(RIGHT(TRIM([1]Raw_Data!A1176),4)),VALUE(MID(TRIM([1]Raw_Data!A1176),4,2)),VALUE(LEFT(TRIM([1]Raw_Data!A1176),2)))</f>
        <v>44347</v>
      </c>
      <c r="B1178" s="3" t="str">
        <f>TRIM([1]Raw_Data!B1176)</f>
        <v>Creatine</v>
      </c>
      <c r="C1178" s="3" t="str">
        <f>TRIM([1]Raw_Data!C1176)</f>
        <v>Performance</v>
      </c>
      <c r="D1178" s="3">
        <f>[1]Raw_Data!D1176</f>
        <v>145</v>
      </c>
      <c r="E1178" s="4">
        <f>[1]Raw_Data!E1176</f>
        <v>28.18</v>
      </c>
      <c r="F1178" s="5">
        <f>[1]Raw_Data!F1176</f>
        <v>4086.1</v>
      </c>
      <c r="G1178" s="4">
        <f>[1]Raw_Data!G1176</f>
        <v>0.16</v>
      </c>
      <c r="H1178" s="3">
        <f>[1]Raw_Data!H1176</f>
        <v>3</v>
      </c>
      <c r="I1178" s="3" t="str">
        <f>TRIM([1]Raw_Data!I1176)</f>
        <v>USA</v>
      </c>
      <c r="J1178" s="3" t="str">
        <f>TRIM([1]Raw_Data!J1176)</f>
        <v>Amazon</v>
      </c>
      <c r="K1178" s="3">
        <f t="shared" si="72"/>
        <v>2021</v>
      </c>
      <c r="L1178" s="6">
        <f t="shared" si="73"/>
        <v>44317</v>
      </c>
      <c r="M1178" s="3" t="str">
        <f t="shared" si="74"/>
        <v>16% to 20%</v>
      </c>
      <c r="N1178" s="3" t="str">
        <f t="shared" si="75"/>
        <v>OK</v>
      </c>
    </row>
    <row r="1179" spans="1:14" x14ac:dyDescent="0.3">
      <c r="A1179" s="2">
        <f>DATE(VALUE(RIGHT(TRIM([1]Raw_Data!A1177),4)),VALUE(MID(TRIM([1]Raw_Data!A1177),4,2)),VALUE(LEFT(TRIM([1]Raw_Data!A1177),2)))</f>
        <v>44347</v>
      </c>
      <c r="B1179" s="3" t="str">
        <f>TRIM([1]Raw_Data!B1177)</f>
        <v>Zinc</v>
      </c>
      <c r="C1179" s="3" t="str">
        <f>TRIM([1]Raw_Data!C1177)</f>
        <v>Mineral</v>
      </c>
      <c r="D1179" s="3">
        <f>[1]Raw_Data!D1177</f>
        <v>136</v>
      </c>
      <c r="E1179" s="4">
        <f>[1]Raw_Data!E1177</f>
        <v>17.04</v>
      </c>
      <c r="F1179" s="5">
        <f>[1]Raw_Data!F1177</f>
        <v>2317.44</v>
      </c>
      <c r="G1179" s="4">
        <f>[1]Raw_Data!G1177</f>
        <v>0.16</v>
      </c>
      <c r="H1179" s="3">
        <f>[1]Raw_Data!H1177</f>
        <v>2</v>
      </c>
      <c r="I1179" s="3" t="str">
        <f>TRIM([1]Raw_Data!I1177)</f>
        <v>UK</v>
      </c>
      <c r="J1179" s="3" t="str">
        <f>TRIM([1]Raw_Data!J1177)</f>
        <v>Walmart</v>
      </c>
      <c r="K1179" s="3">
        <f t="shared" si="72"/>
        <v>2021</v>
      </c>
      <c r="L1179" s="6">
        <f t="shared" si="73"/>
        <v>44317</v>
      </c>
      <c r="M1179" s="3" t="str">
        <f t="shared" si="74"/>
        <v>16% to 20%</v>
      </c>
      <c r="N1179" s="3" t="str">
        <f t="shared" si="75"/>
        <v>OK</v>
      </c>
    </row>
    <row r="1180" spans="1:14" x14ac:dyDescent="0.3">
      <c r="A1180" s="2">
        <f>DATE(VALUE(RIGHT(TRIM([1]Raw_Data!A1178),4)),VALUE(MID(TRIM([1]Raw_Data!A1178),4,2)),VALUE(LEFT(TRIM([1]Raw_Data!A1178),2)))</f>
        <v>44347</v>
      </c>
      <c r="B1180" s="3" t="str">
        <f>TRIM([1]Raw_Data!B1178)</f>
        <v>Collagen Peptides</v>
      </c>
      <c r="C1180" s="3" t="str">
        <f>TRIM([1]Raw_Data!C1178)</f>
        <v>Protein</v>
      </c>
      <c r="D1180" s="3">
        <f>[1]Raw_Data!D1178</f>
        <v>173</v>
      </c>
      <c r="E1180" s="4">
        <f>[1]Raw_Data!E1178</f>
        <v>57.51</v>
      </c>
      <c r="F1180" s="5">
        <f>[1]Raw_Data!F1178</f>
        <v>9949.23</v>
      </c>
      <c r="G1180" s="4">
        <f>[1]Raw_Data!G1178</f>
        <v>0.02</v>
      </c>
      <c r="H1180" s="3">
        <f>[1]Raw_Data!H1178</f>
        <v>2</v>
      </c>
      <c r="I1180" s="3" t="str">
        <f>TRIM([1]Raw_Data!I1178)</f>
        <v>Canada</v>
      </c>
      <c r="J1180" s="3" t="str">
        <f>TRIM([1]Raw_Data!J1178)</f>
        <v>Amazon</v>
      </c>
      <c r="K1180" s="3">
        <f t="shared" si="72"/>
        <v>2021</v>
      </c>
      <c r="L1180" s="6">
        <f t="shared" si="73"/>
        <v>44317</v>
      </c>
      <c r="M1180" s="3" t="str">
        <f t="shared" si="74"/>
        <v>0% to 5%</v>
      </c>
      <c r="N1180" s="3" t="str">
        <f t="shared" si="75"/>
        <v>OK</v>
      </c>
    </row>
    <row r="1181" spans="1:14" x14ac:dyDescent="0.3">
      <c r="A1181" s="2">
        <f>DATE(VALUE(RIGHT(TRIM([1]Raw_Data!A1179),4)),VALUE(MID(TRIM([1]Raw_Data!A1179),4,2)),VALUE(LEFT(TRIM([1]Raw_Data!A1179),2)))</f>
        <v>44347</v>
      </c>
      <c r="B1181" s="3" t="str">
        <f>TRIM([1]Raw_Data!B1179)</f>
        <v>Magnesium</v>
      </c>
      <c r="C1181" s="3" t="str">
        <f>TRIM([1]Raw_Data!C1179)</f>
        <v>Mineral</v>
      </c>
      <c r="D1181" s="3">
        <f>[1]Raw_Data!D1179</f>
        <v>151</v>
      </c>
      <c r="E1181" s="4">
        <f>[1]Raw_Data!E1179</f>
        <v>51.58</v>
      </c>
      <c r="F1181" s="5">
        <f>[1]Raw_Data!F1179</f>
        <v>7788.58</v>
      </c>
      <c r="G1181" s="4">
        <f>[1]Raw_Data!G1179</f>
        <v>0.04</v>
      </c>
      <c r="H1181" s="3">
        <f>[1]Raw_Data!H1179</f>
        <v>0</v>
      </c>
      <c r="I1181" s="3" t="str">
        <f>TRIM([1]Raw_Data!I1179)</f>
        <v>UK</v>
      </c>
      <c r="J1181" s="3" t="str">
        <f>TRIM([1]Raw_Data!J1179)</f>
        <v>Walmart</v>
      </c>
      <c r="K1181" s="3">
        <f t="shared" si="72"/>
        <v>2021</v>
      </c>
      <c r="L1181" s="6">
        <f t="shared" si="73"/>
        <v>44317</v>
      </c>
      <c r="M1181" s="3" t="str">
        <f t="shared" si="74"/>
        <v>0% to 5%</v>
      </c>
      <c r="N1181" s="3" t="str">
        <f t="shared" si="75"/>
        <v>OK</v>
      </c>
    </row>
    <row r="1182" spans="1:14" x14ac:dyDescent="0.3">
      <c r="A1182" s="2">
        <f>DATE(VALUE(RIGHT(TRIM([1]Raw_Data!A1180),4)),VALUE(MID(TRIM([1]Raw_Data!A1180),4,2)),VALUE(LEFT(TRIM([1]Raw_Data!A1180),2)))</f>
        <v>44347</v>
      </c>
      <c r="B1182" s="3" t="str">
        <f>TRIM([1]Raw_Data!B1180)</f>
        <v>Ashwagandha</v>
      </c>
      <c r="C1182" s="3" t="str">
        <f>TRIM([1]Raw_Data!C1180)</f>
        <v>Herbal</v>
      </c>
      <c r="D1182" s="3">
        <f>[1]Raw_Data!D1180</f>
        <v>167</v>
      </c>
      <c r="E1182" s="4">
        <f>[1]Raw_Data!E1180</f>
        <v>16.45</v>
      </c>
      <c r="F1182" s="5">
        <f>[1]Raw_Data!F1180</f>
        <v>2747.15</v>
      </c>
      <c r="G1182" s="4">
        <f>[1]Raw_Data!G1180</f>
        <v>0.12</v>
      </c>
      <c r="H1182" s="3">
        <f>[1]Raw_Data!H1180</f>
        <v>2</v>
      </c>
      <c r="I1182" s="3" t="str">
        <f>TRIM([1]Raw_Data!I1180)</f>
        <v>UK</v>
      </c>
      <c r="J1182" s="3" t="str">
        <f>TRIM([1]Raw_Data!J1180)</f>
        <v>iHerb</v>
      </c>
      <c r="K1182" s="3">
        <f t="shared" si="72"/>
        <v>2021</v>
      </c>
      <c r="L1182" s="6">
        <f t="shared" si="73"/>
        <v>44317</v>
      </c>
      <c r="M1182" s="3" t="str">
        <f t="shared" si="74"/>
        <v>11% to 15%</v>
      </c>
      <c r="N1182" s="3" t="str">
        <f t="shared" si="75"/>
        <v>OK</v>
      </c>
    </row>
    <row r="1183" spans="1:14" x14ac:dyDescent="0.3">
      <c r="A1183" s="2">
        <f>DATE(VALUE(RIGHT(TRIM([1]Raw_Data!A1181),4)),VALUE(MID(TRIM([1]Raw_Data!A1181),4,2)),VALUE(LEFT(TRIM([1]Raw_Data!A1181),2)))</f>
        <v>44347</v>
      </c>
      <c r="B1183" s="3" t="str">
        <f>TRIM([1]Raw_Data!B1181)</f>
        <v>Melatonin</v>
      </c>
      <c r="C1183" s="3" t="str">
        <f>TRIM([1]Raw_Data!C1181)</f>
        <v>Sleep Aid</v>
      </c>
      <c r="D1183" s="3">
        <f>[1]Raw_Data!D1181</f>
        <v>155</v>
      </c>
      <c r="E1183" s="4">
        <f>[1]Raw_Data!E1181</f>
        <v>55.29</v>
      </c>
      <c r="F1183" s="5">
        <f>[1]Raw_Data!F1181</f>
        <v>8569.9500000000007</v>
      </c>
      <c r="G1183" s="4">
        <f>[1]Raw_Data!G1181</f>
        <v>0.13</v>
      </c>
      <c r="H1183" s="3">
        <f>[1]Raw_Data!H1181</f>
        <v>0</v>
      </c>
      <c r="I1183" s="3" t="str">
        <f>TRIM([1]Raw_Data!I1181)</f>
        <v>UK</v>
      </c>
      <c r="J1183" s="3" t="str">
        <f>TRIM([1]Raw_Data!J1181)</f>
        <v>Amazon</v>
      </c>
      <c r="K1183" s="3">
        <f t="shared" si="72"/>
        <v>2021</v>
      </c>
      <c r="L1183" s="6">
        <f t="shared" si="73"/>
        <v>44317</v>
      </c>
      <c r="M1183" s="3" t="str">
        <f t="shared" si="74"/>
        <v>11% to 15%</v>
      </c>
      <c r="N1183" s="3" t="str">
        <f t="shared" si="75"/>
        <v>OK</v>
      </c>
    </row>
    <row r="1184" spans="1:14" x14ac:dyDescent="0.3">
      <c r="A1184" s="2">
        <f>DATE(VALUE(RIGHT(TRIM([1]Raw_Data!A1182),4)),VALUE(MID(TRIM([1]Raw_Data!A1182),4,2)),VALUE(LEFT(TRIM([1]Raw_Data!A1182),2)))</f>
        <v>44347</v>
      </c>
      <c r="B1184" s="3" t="str">
        <f>TRIM([1]Raw_Data!B1182)</f>
        <v>Biotin</v>
      </c>
      <c r="C1184" s="3" t="str">
        <f>TRIM([1]Raw_Data!C1182)</f>
        <v>Vitamin</v>
      </c>
      <c r="D1184" s="3">
        <f>[1]Raw_Data!D1182</f>
        <v>171</v>
      </c>
      <c r="E1184" s="4">
        <f>[1]Raw_Data!E1182</f>
        <v>46.59</v>
      </c>
      <c r="F1184" s="5">
        <f>[1]Raw_Data!F1182</f>
        <v>7966.89</v>
      </c>
      <c r="G1184" s="4">
        <f>[1]Raw_Data!G1182</f>
        <v>0.18</v>
      </c>
      <c r="H1184" s="3">
        <f>[1]Raw_Data!H1182</f>
        <v>1</v>
      </c>
      <c r="I1184" s="3" t="str">
        <f>TRIM([1]Raw_Data!I1182)</f>
        <v>USA</v>
      </c>
      <c r="J1184" s="3" t="str">
        <f>TRIM([1]Raw_Data!J1182)</f>
        <v>Amazon</v>
      </c>
      <c r="K1184" s="3">
        <f t="shared" si="72"/>
        <v>2021</v>
      </c>
      <c r="L1184" s="6">
        <f t="shared" si="73"/>
        <v>44317</v>
      </c>
      <c r="M1184" s="3" t="str">
        <f t="shared" si="74"/>
        <v>16% to 20%</v>
      </c>
      <c r="N1184" s="3" t="str">
        <f t="shared" si="75"/>
        <v>OK</v>
      </c>
    </row>
    <row r="1185" spans="1:14" x14ac:dyDescent="0.3">
      <c r="A1185" s="2">
        <f>DATE(VALUE(RIGHT(TRIM([1]Raw_Data!A1183),4)),VALUE(MID(TRIM([1]Raw_Data!A1183),4,2)),VALUE(LEFT(TRIM([1]Raw_Data!A1183),2)))</f>
        <v>44347</v>
      </c>
      <c r="B1185" s="3" t="str">
        <f>TRIM([1]Raw_Data!B1183)</f>
        <v>Green Tea Extract</v>
      </c>
      <c r="C1185" s="3" t="str">
        <f>TRIM([1]Raw_Data!C1183)</f>
        <v>Fat Burner</v>
      </c>
      <c r="D1185" s="3">
        <f>[1]Raw_Data!D1183</f>
        <v>139</v>
      </c>
      <c r="E1185" s="4">
        <f>[1]Raw_Data!E1183</f>
        <v>20.99</v>
      </c>
      <c r="F1185" s="5">
        <f>[1]Raw_Data!F1183</f>
        <v>2917.61</v>
      </c>
      <c r="G1185" s="4">
        <f>[1]Raw_Data!G1183</f>
        <v>0.11</v>
      </c>
      <c r="H1185" s="3">
        <f>[1]Raw_Data!H1183</f>
        <v>2</v>
      </c>
      <c r="I1185" s="3" t="str">
        <f>TRIM([1]Raw_Data!I1183)</f>
        <v>UK</v>
      </c>
      <c r="J1185" s="3" t="str">
        <f>TRIM([1]Raw_Data!J1183)</f>
        <v>iHerb</v>
      </c>
      <c r="K1185" s="3">
        <f t="shared" si="72"/>
        <v>2021</v>
      </c>
      <c r="L1185" s="6">
        <f t="shared" si="73"/>
        <v>44317</v>
      </c>
      <c r="M1185" s="3" t="str">
        <f t="shared" si="74"/>
        <v>11% to 15%</v>
      </c>
      <c r="N1185" s="3" t="str">
        <f t="shared" si="75"/>
        <v>OK</v>
      </c>
    </row>
    <row r="1186" spans="1:14" x14ac:dyDescent="0.3">
      <c r="A1186" s="2">
        <f>DATE(VALUE(RIGHT(TRIM([1]Raw_Data!A1184),4)),VALUE(MID(TRIM([1]Raw_Data!A1184),4,2)),VALUE(LEFT(TRIM([1]Raw_Data!A1184),2)))</f>
        <v>44347</v>
      </c>
      <c r="B1186" s="3" t="str">
        <f>TRIM([1]Raw_Data!B1184)</f>
        <v>Iron Supplement</v>
      </c>
      <c r="C1186" s="3" t="str">
        <f>TRIM([1]Raw_Data!C1184)</f>
        <v>Mineral</v>
      </c>
      <c r="D1186" s="3">
        <f>[1]Raw_Data!D1184</f>
        <v>161</v>
      </c>
      <c r="E1186" s="4">
        <f>[1]Raw_Data!E1184</f>
        <v>49.61</v>
      </c>
      <c r="F1186" s="5">
        <f>[1]Raw_Data!F1184</f>
        <v>7987.21</v>
      </c>
      <c r="G1186" s="4">
        <f>[1]Raw_Data!G1184</f>
        <v>0.21</v>
      </c>
      <c r="H1186" s="3">
        <f>[1]Raw_Data!H1184</f>
        <v>2</v>
      </c>
      <c r="I1186" s="3" t="str">
        <f>TRIM([1]Raw_Data!I1184)</f>
        <v>Canada</v>
      </c>
      <c r="J1186" s="3" t="str">
        <f>TRIM([1]Raw_Data!J1184)</f>
        <v>iHerb</v>
      </c>
      <c r="K1186" s="3">
        <f t="shared" si="72"/>
        <v>2021</v>
      </c>
      <c r="L1186" s="6">
        <f t="shared" si="73"/>
        <v>44317</v>
      </c>
      <c r="M1186" s="3" t="str">
        <f t="shared" si="74"/>
        <v>21% to 25%</v>
      </c>
      <c r="N1186" s="3" t="str">
        <f t="shared" si="75"/>
        <v>OK</v>
      </c>
    </row>
    <row r="1187" spans="1:14" x14ac:dyDescent="0.3">
      <c r="A1187" s="2">
        <f>DATE(VALUE(RIGHT(TRIM([1]Raw_Data!A1185),4)),VALUE(MID(TRIM([1]Raw_Data!A1185),4,2)),VALUE(LEFT(TRIM([1]Raw_Data!A1185),2)))</f>
        <v>44347</v>
      </c>
      <c r="B1187" s="3" t="str">
        <f>TRIM([1]Raw_Data!B1185)</f>
        <v>Electrolyte Powder</v>
      </c>
      <c r="C1187" s="3" t="str">
        <f>TRIM([1]Raw_Data!C1185)</f>
        <v>Hydration</v>
      </c>
      <c r="D1187" s="3">
        <f>[1]Raw_Data!D1185</f>
        <v>140</v>
      </c>
      <c r="E1187" s="4">
        <f>[1]Raw_Data!E1185</f>
        <v>25.74</v>
      </c>
      <c r="F1187" s="5">
        <f>[1]Raw_Data!F1185</f>
        <v>3603.6</v>
      </c>
      <c r="G1187" s="4">
        <f>[1]Raw_Data!G1185</f>
        <v>0.03</v>
      </c>
      <c r="H1187" s="3">
        <f>[1]Raw_Data!H1185</f>
        <v>1</v>
      </c>
      <c r="I1187" s="3" t="str">
        <f>TRIM([1]Raw_Data!I1185)</f>
        <v>USA</v>
      </c>
      <c r="J1187" s="3" t="str">
        <f>TRIM([1]Raw_Data!J1185)</f>
        <v>Amazon</v>
      </c>
      <c r="K1187" s="3">
        <f t="shared" si="72"/>
        <v>2021</v>
      </c>
      <c r="L1187" s="6">
        <f t="shared" si="73"/>
        <v>44317</v>
      </c>
      <c r="M1187" s="3" t="str">
        <f t="shared" si="74"/>
        <v>0% to 5%</v>
      </c>
      <c r="N1187" s="3" t="str">
        <f t="shared" si="75"/>
        <v>OK</v>
      </c>
    </row>
    <row r="1188" spans="1:14" x14ac:dyDescent="0.3">
      <c r="A1188" s="2">
        <f>DATE(VALUE(RIGHT(TRIM([1]Raw_Data!A1186),4)),VALUE(MID(TRIM([1]Raw_Data!A1186),4,2)),VALUE(LEFT(TRIM([1]Raw_Data!A1186),2)))</f>
        <v>44354</v>
      </c>
      <c r="B1188" s="3" t="str">
        <f>TRIM([1]Raw_Data!B1186)</f>
        <v>Whey Protein</v>
      </c>
      <c r="C1188" s="3" t="str">
        <f>TRIM([1]Raw_Data!C1186)</f>
        <v>Protein</v>
      </c>
      <c r="D1188" s="3">
        <f>[1]Raw_Data!D1186</f>
        <v>139</v>
      </c>
      <c r="E1188" s="4">
        <f>[1]Raw_Data!E1186</f>
        <v>55.42</v>
      </c>
      <c r="F1188" s="5">
        <f>[1]Raw_Data!F1186</f>
        <v>7703.38</v>
      </c>
      <c r="G1188" s="4">
        <f>[1]Raw_Data!G1186</f>
        <v>0.03</v>
      </c>
      <c r="H1188" s="3">
        <f>[1]Raw_Data!H1186</f>
        <v>2</v>
      </c>
      <c r="I1188" s="3" t="str">
        <f>TRIM([1]Raw_Data!I1186)</f>
        <v>UK</v>
      </c>
      <c r="J1188" s="3" t="str">
        <f>TRIM([1]Raw_Data!J1186)</f>
        <v>iHerb</v>
      </c>
      <c r="K1188" s="3">
        <f t="shared" si="72"/>
        <v>2021</v>
      </c>
      <c r="L1188" s="6">
        <f t="shared" si="73"/>
        <v>44348</v>
      </c>
      <c r="M1188" s="3" t="str">
        <f t="shared" si="74"/>
        <v>0% to 5%</v>
      </c>
      <c r="N1188" s="3" t="str">
        <f t="shared" si="75"/>
        <v>OK</v>
      </c>
    </row>
    <row r="1189" spans="1:14" x14ac:dyDescent="0.3">
      <c r="A1189" s="2">
        <f>DATE(VALUE(RIGHT(TRIM([1]Raw_Data!A1187),4)),VALUE(MID(TRIM([1]Raw_Data!A1187),4,2)),VALUE(LEFT(TRIM([1]Raw_Data!A1187),2)))</f>
        <v>44354</v>
      </c>
      <c r="B1189" s="3" t="str">
        <f>TRIM([1]Raw_Data!B1187)</f>
        <v>Vitamin C</v>
      </c>
      <c r="C1189" s="3" t="str">
        <f>TRIM([1]Raw_Data!C1187)</f>
        <v>Vitamin</v>
      </c>
      <c r="D1189" s="3">
        <f>[1]Raw_Data!D1187</f>
        <v>157</v>
      </c>
      <c r="E1189" s="4">
        <f>[1]Raw_Data!E1187</f>
        <v>56.13</v>
      </c>
      <c r="F1189" s="5">
        <f>[1]Raw_Data!F1187</f>
        <v>8812.41</v>
      </c>
      <c r="G1189" s="4">
        <f>[1]Raw_Data!G1187</f>
        <v>0.14000000000000001</v>
      </c>
      <c r="H1189" s="3">
        <f>[1]Raw_Data!H1187</f>
        <v>1</v>
      </c>
      <c r="I1189" s="3" t="str">
        <f>TRIM([1]Raw_Data!I1187)</f>
        <v>UK</v>
      </c>
      <c r="J1189" s="3" t="str">
        <f>TRIM([1]Raw_Data!J1187)</f>
        <v>Walmart</v>
      </c>
      <c r="K1189" s="3">
        <f t="shared" si="72"/>
        <v>2021</v>
      </c>
      <c r="L1189" s="6">
        <f t="shared" si="73"/>
        <v>44348</v>
      </c>
      <c r="M1189" s="3" t="str">
        <f t="shared" si="74"/>
        <v>11% to 15%</v>
      </c>
      <c r="N1189" s="3" t="str">
        <f t="shared" si="75"/>
        <v>OK</v>
      </c>
    </row>
    <row r="1190" spans="1:14" x14ac:dyDescent="0.3">
      <c r="A1190" s="2">
        <f>DATE(VALUE(RIGHT(TRIM([1]Raw_Data!A1188),4)),VALUE(MID(TRIM([1]Raw_Data!A1188),4,2)),VALUE(LEFT(TRIM([1]Raw_Data!A1188),2)))</f>
        <v>44354</v>
      </c>
      <c r="B1190" s="3" t="str">
        <f>TRIM([1]Raw_Data!B1188)</f>
        <v>Fish Oil</v>
      </c>
      <c r="C1190" s="3" t="str">
        <f>TRIM([1]Raw_Data!C1188)</f>
        <v>Omega</v>
      </c>
      <c r="D1190" s="3">
        <f>[1]Raw_Data!D1188</f>
        <v>160</v>
      </c>
      <c r="E1190" s="4">
        <f>[1]Raw_Data!E1188</f>
        <v>44.68</v>
      </c>
      <c r="F1190" s="5">
        <f>[1]Raw_Data!F1188</f>
        <v>7148.8</v>
      </c>
      <c r="G1190" s="4">
        <f>[1]Raw_Data!G1188</f>
        <v>0.01</v>
      </c>
      <c r="H1190" s="3">
        <f>[1]Raw_Data!H1188</f>
        <v>3</v>
      </c>
      <c r="I1190" s="3" t="str">
        <f>TRIM([1]Raw_Data!I1188)</f>
        <v>UK</v>
      </c>
      <c r="J1190" s="3" t="str">
        <f>TRIM([1]Raw_Data!J1188)</f>
        <v>iHerb</v>
      </c>
      <c r="K1190" s="3">
        <f t="shared" si="72"/>
        <v>2021</v>
      </c>
      <c r="L1190" s="6">
        <f t="shared" si="73"/>
        <v>44348</v>
      </c>
      <c r="M1190" s="3" t="str">
        <f t="shared" si="74"/>
        <v>0% to 5%</v>
      </c>
      <c r="N1190" s="3" t="str">
        <f t="shared" si="75"/>
        <v>OK</v>
      </c>
    </row>
    <row r="1191" spans="1:14" x14ac:dyDescent="0.3">
      <c r="A1191" s="2">
        <f>DATE(VALUE(RIGHT(TRIM([1]Raw_Data!A1189),4)),VALUE(MID(TRIM([1]Raw_Data!A1189),4,2)),VALUE(LEFT(TRIM([1]Raw_Data!A1189),2)))</f>
        <v>44354</v>
      </c>
      <c r="B1191" s="3" t="str">
        <f>TRIM([1]Raw_Data!B1189)</f>
        <v>Multivitamin</v>
      </c>
      <c r="C1191" s="3" t="str">
        <f>TRIM([1]Raw_Data!C1189)</f>
        <v>Vitamin</v>
      </c>
      <c r="D1191" s="3">
        <f>[1]Raw_Data!D1189</f>
        <v>148</v>
      </c>
      <c r="E1191" s="4">
        <f>[1]Raw_Data!E1189</f>
        <v>21.06</v>
      </c>
      <c r="F1191" s="5">
        <f>[1]Raw_Data!F1189</f>
        <v>3116.88</v>
      </c>
      <c r="G1191" s="4">
        <f>[1]Raw_Data!G1189</f>
        <v>0.17</v>
      </c>
      <c r="H1191" s="3">
        <f>[1]Raw_Data!H1189</f>
        <v>2</v>
      </c>
      <c r="I1191" s="3" t="str">
        <f>TRIM([1]Raw_Data!I1189)</f>
        <v>UK</v>
      </c>
      <c r="J1191" s="3" t="str">
        <f>TRIM([1]Raw_Data!J1189)</f>
        <v>Walmart</v>
      </c>
      <c r="K1191" s="3">
        <f t="shared" si="72"/>
        <v>2021</v>
      </c>
      <c r="L1191" s="6">
        <f t="shared" si="73"/>
        <v>44348</v>
      </c>
      <c r="M1191" s="3" t="str">
        <f t="shared" si="74"/>
        <v>16% to 20%</v>
      </c>
      <c r="N1191" s="3" t="str">
        <f t="shared" si="75"/>
        <v>OK</v>
      </c>
    </row>
    <row r="1192" spans="1:14" x14ac:dyDescent="0.3">
      <c r="A1192" s="2">
        <f>DATE(VALUE(RIGHT(TRIM([1]Raw_Data!A1190),4)),VALUE(MID(TRIM([1]Raw_Data!A1190),4,2)),VALUE(LEFT(TRIM([1]Raw_Data!A1190),2)))</f>
        <v>44354</v>
      </c>
      <c r="B1192" s="3" t="str">
        <f>TRIM([1]Raw_Data!B1190)</f>
        <v>Pre-Workout</v>
      </c>
      <c r="C1192" s="3" t="str">
        <f>TRIM([1]Raw_Data!C1190)</f>
        <v>Performance</v>
      </c>
      <c r="D1192" s="3">
        <f>[1]Raw_Data!D1190</f>
        <v>149</v>
      </c>
      <c r="E1192" s="4">
        <f>[1]Raw_Data!E1190</f>
        <v>32.82</v>
      </c>
      <c r="F1192" s="5">
        <f>[1]Raw_Data!F1190</f>
        <v>4890.18</v>
      </c>
      <c r="G1192" s="4">
        <f>[1]Raw_Data!G1190</f>
        <v>0.22</v>
      </c>
      <c r="H1192" s="3">
        <f>[1]Raw_Data!H1190</f>
        <v>1</v>
      </c>
      <c r="I1192" s="3" t="str">
        <f>TRIM([1]Raw_Data!I1190)</f>
        <v>Canada</v>
      </c>
      <c r="J1192" s="3" t="str">
        <f>TRIM([1]Raw_Data!J1190)</f>
        <v>Amazon</v>
      </c>
      <c r="K1192" s="3">
        <f t="shared" si="72"/>
        <v>2021</v>
      </c>
      <c r="L1192" s="6">
        <f t="shared" si="73"/>
        <v>44348</v>
      </c>
      <c r="M1192" s="3" t="str">
        <f t="shared" si="74"/>
        <v>21% to 25%</v>
      </c>
      <c r="N1192" s="3" t="str">
        <f t="shared" si="75"/>
        <v>OK</v>
      </c>
    </row>
    <row r="1193" spans="1:14" x14ac:dyDescent="0.3">
      <c r="A1193" s="2">
        <f>DATE(VALUE(RIGHT(TRIM([1]Raw_Data!A1191),4)),VALUE(MID(TRIM([1]Raw_Data!A1191),4,2)),VALUE(LEFT(TRIM([1]Raw_Data!A1191),2)))</f>
        <v>44354</v>
      </c>
      <c r="B1193" s="3" t="str">
        <f>TRIM([1]Raw_Data!B1191)</f>
        <v>BCAA</v>
      </c>
      <c r="C1193" s="3" t="str">
        <f>TRIM([1]Raw_Data!C1191)</f>
        <v>Amino Acid</v>
      </c>
      <c r="D1193" s="3">
        <f>[1]Raw_Data!D1191</f>
        <v>164</v>
      </c>
      <c r="E1193" s="4">
        <f>[1]Raw_Data!E1191</f>
        <v>30.53</v>
      </c>
      <c r="F1193" s="5">
        <f>[1]Raw_Data!F1191</f>
        <v>5006.92</v>
      </c>
      <c r="G1193" s="4">
        <f>[1]Raw_Data!G1191</f>
        <v>0.06</v>
      </c>
      <c r="H1193" s="3">
        <f>[1]Raw_Data!H1191</f>
        <v>1</v>
      </c>
      <c r="I1193" s="3" t="str">
        <f>TRIM([1]Raw_Data!I1191)</f>
        <v>UK</v>
      </c>
      <c r="J1193" s="3" t="str">
        <f>TRIM([1]Raw_Data!J1191)</f>
        <v>Walmart</v>
      </c>
      <c r="K1193" s="3">
        <f t="shared" si="72"/>
        <v>2021</v>
      </c>
      <c r="L1193" s="6">
        <f t="shared" si="73"/>
        <v>44348</v>
      </c>
      <c r="M1193" s="3" t="str">
        <f t="shared" si="74"/>
        <v>6% to 10%</v>
      </c>
      <c r="N1193" s="3" t="str">
        <f t="shared" si="75"/>
        <v>OK</v>
      </c>
    </row>
    <row r="1194" spans="1:14" x14ac:dyDescent="0.3">
      <c r="A1194" s="2">
        <f>DATE(VALUE(RIGHT(TRIM([1]Raw_Data!A1192),4)),VALUE(MID(TRIM([1]Raw_Data!A1192),4,2)),VALUE(LEFT(TRIM([1]Raw_Data!A1192),2)))</f>
        <v>44354</v>
      </c>
      <c r="B1194" s="3" t="str">
        <f>TRIM([1]Raw_Data!B1192)</f>
        <v>Creatine</v>
      </c>
      <c r="C1194" s="3" t="str">
        <f>TRIM([1]Raw_Data!C1192)</f>
        <v>Performance</v>
      </c>
      <c r="D1194" s="3">
        <f>[1]Raw_Data!D1192</f>
        <v>163</v>
      </c>
      <c r="E1194" s="4">
        <f>[1]Raw_Data!E1192</f>
        <v>36.22</v>
      </c>
      <c r="F1194" s="5">
        <f>[1]Raw_Data!F1192</f>
        <v>5903.86</v>
      </c>
      <c r="G1194" s="4">
        <f>[1]Raw_Data!G1192</f>
        <v>0.2</v>
      </c>
      <c r="H1194" s="3">
        <f>[1]Raw_Data!H1192</f>
        <v>1</v>
      </c>
      <c r="I1194" s="3" t="str">
        <f>TRIM([1]Raw_Data!I1192)</f>
        <v>USA</v>
      </c>
      <c r="J1194" s="3" t="str">
        <f>TRIM([1]Raw_Data!J1192)</f>
        <v>iHerb</v>
      </c>
      <c r="K1194" s="3">
        <f t="shared" si="72"/>
        <v>2021</v>
      </c>
      <c r="L1194" s="6">
        <f t="shared" si="73"/>
        <v>44348</v>
      </c>
      <c r="M1194" s="3" t="str">
        <f t="shared" si="74"/>
        <v>16% to 20%</v>
      </c>
      <c r="N1194" s="3" t="str">
        <f t="shared" si="75"/>
        <v>OK</v>
      </c>
    </row>
    <row r="1195" spans="1:14" x14ac:dyDescent="0.3">
      <c r="A1195" s="2">
        <f>DATE(VALUE(RIGHT(TRIM([1]Raw_Data!A1193),4)),VALUE(MID(TRIM([1]Raw_Data!A1193),4,2)),VALUE(LEFT(TRIM([1]Raw_Data!A1193),2)))</f>
        <v>44354</v>
      </c>
      <c r="B1195" s="3" t="str">
        <f>TRIM([1]Raw_Data!B1193)</f>
        <v>Zinc</v>
      </c>
      <c r="C1195" s="3" t="str">
        <f>TRIM([1]Raw_Data!C1193)</f>
        <v>Mineral</v>
      </c>
      <c r="D1195" s="3">
        <f>[1]Raw_Data!D1193</f>
        <v>155</v>
      </c>
      <c r="E1195" s="4">
        <f>[1]Raw_Data!E1193</f>
        <v>15.46</v>
      </c>
      <c r="F1195" s="5">
        <f>[1]Raw_Data!F1193</f>
        <v>2396.3000000000002</v>
      </c>
      <c r="G1195" s="4">
        <f>[1]Raw_Data!G1193</f>
        <v>0.2</v>
      </c>
      <c r="H1195" s="3">
        <f>[1]Raw_Data!H1193</f>
        <v>0</v>
      </c>
      <c r="I1195" s="3" t="str">
        <f>TRIM([1]Raw_Data!I1193)</f>
        <v>UK</v>
      </c>
      <c r="J1195" s="3" t="str">
        <f>TRIM([1]Raw_Data!J1193)</f>
        <v>Amazon</v>
      </c>
      <c r="K1195" s="3">
        <f t="shared" si="72"/>
        <v>2021</v>
      </c>
      <c r="L1195" s="6">
        <f t="shared" si="73"/>
        <v>44348</v>
      </c>
      <c r="M1195" s="3" t="str">
        <f t="shared" si="74"/>
        <v>16% to 20%</v>
      </c>
      <c r="N1195" s="3" t="str">
        <f t="shared" si="75"/>
        <v>OK</v>
      </c>
    </row>
    <row r="1196" spans="1:14" x14ac:dyDescent="0.3">
      <c r="A1196" s="2">
        <f>DATE(VALUE(RIGHT(TRIM([1]Raw_Data!A1194),4)),VALUE(MID(TRIM([1]Raw_Data!A1194),4,2)),VALUE(LEFT(TRIM([1]Raw_Data!A1194),2)))</f>
        <v>44354</v>
      </c>
      <c r="B1196" s="3" t="str">
        <f>TRIM([1]Raw_Data!B1194)</f>
        <v>Collagen Peptides</v>
      </c>
      <c r="C1196" s="3" t="str">
        <f>TRIM([1]Raw_Data!C1194)</f>
        <v>Protein</v>
      </c>
      <c r="D1196" s="3">
        <f>[1]Raw_Data!D1194</f>
        <v>141</v>
      </c>
      <c r="E1196" s="4">
        <f>[1]Raw_Data!E1194</f>
        <v>27.32</v>
      </c>
      <c r="F1196" s="5">
        <f>[1]Raw_Data!F1194</f>
        <v>3852.12</v>
      </c>
      <c r="G1196" s="4">
        <f>[1]Raw_Data!G1194</f>
        <v>0.24</v>
      </c>
      <c r="H1196" s="3">
        <f>[1]Raw_Data!H1194</f>
        <v>4</v>
      </c>
      <c r="I1196" s="3" t="str">
        <f>TRIM([1]Raw_Data!I1194)</f>
        <v>UK</v>
      </c>
      <c r="J1196" s="3" t="str">
        <f>TRIM([1]Raw_Data!J1194)</f>
        <v>Walmart</v>
      </c>
      <c r="K1196" s="3">
        <f t="shared" si="72"/>
        <v>2021</v>
      </c>
      <c r="L1196" s="6">
        <f t="shared" si="73"/>
        <v>44348</v>
      </c>
      <c r="M1196" s="3" t="str">
        <f t="shared" si="74"/>
        <v>21% to 25%</v>
      </c>
      <c r="N1196" s="3" t="str">
        <f t="shared" si="75"/>
        <v>OK</v>
      </c>
    </row>
    <row r="1197" spans="1:14" x14ac:dyDescent="0.3">
      <c r="A1197" s="2">
        <f>DATE(VALUE(RIGHT(TRIM([1]Raw_Data!A1195),4)),VALUE(MID(TRIM([1]Raw_Data!A1195),4,2)),VALUE(LEFT(TRIM([1]Raw_Data!A1195),2)))</f>
        <v>44354</v>
      </c>
      <c r="B1197" s="3" t="str">
        <f>TRIM([1]Raw_Data!B1195)</f>
        <v>Magnesium</v>
      </c>
      <c r="C1197" s="3" t="str">
        <f>TRIM([1]Raw_Data!C1195)</f>
        <v>Mineral</v>
      </c>
      <c r="D1197" s="3">
        <f>[1]Raw_Data!D1195</f>
        <v>141</v>
      </c>
      <c r="E1197" s="4">
        <f>[1]Raw_Data!E1195</f>
        <v>45.25</v>
      </c>
      <c r="F1197" s="5">
        <f>[1]Raw_Data!F1195</f>
        <v>6380.25</v>
      </c>
      <c r="G1197" s="4">
        <f>[1]Raw_Data!G1195</f>
        <v>0.11</v>
      </c>
      <c r="H1197" s="3">
        <f>[1]Raw_Data!H1195</f>
        <v>0</v>
      </c>
      <c r="I1197" s="3" t="str">
        <f>TRIM([1]Raw_Data!I1195)</f>
        <v>UK</v>
      </c>
      <c r="J1197" s="3" t="str">
        <f>TRIM([1]Raw_Data!J1195)</f>
        <v>Walmart</v>
      </c>
      <c r="K1197" s="3">
        <f t="shared" si="72"/>
        <v>2021</v>
      </c>
      <c r="L1197" s="6">
        <f t="shared" si="73"/>
        <v>44348</v>
      </c>
      <c r="M1197" s="3" t="str">
        <f t="shared" si="74"/>
        <v>11% to 15%</v>
      </c>
      <c r="N1197" s="3" t="str">
        <f t="shared" si="75"/>
        <v>OK</v>
      </c>
    </row>
    <row r="1198" spans="1:14" x14ac:dyDescent="0.3">
      <c r="A1198" s="2">
        <f>DATE(VALUE(RIGHT(TRIM([1]Raw_Data!A1196),4)),VALUE(MID(TRIM([1]Raw_Data!A1196),4,2)),VALUE(LEFT(TRIM([1]Raw_Data!A1196),2)))</f>
        <v>44354</v>
      </c>
      <c r="B1198" s="3" t="str">
        <f>TRIM([1]Raw_Data!B1196)</f>
        <v>Ashwagandha</v>
      </c>
      <c r="C1198" s="3" t="str">
        <f>TRIM([1]Raw_Data!C1196)</f>
        <v>Herbal</v>
      </c>
      <c r="D1198" s="3">
        <f>[1]Raw_Data!D1196</f>
        <v>158</v>
      </c>
      <c r="E1198" s="4">
        <f>[1]Raw_Data!E1196</f>
        <v>53.51</v>
      </c>
      <c r="F1198" s="5">
        <f>[1]Raw_Data!F1196</f>
        <v>8454.58</v>
      </c>
      <c r="G1198" s="4">
        <f>[1]Raw_Data!G1196</f>
        <v>0.03</v>
      </c>
      <c r="H1198" s="3">
        <f>[1]Raw_Data!H1196</f>
        <v>0</v>
      </c>
      <c r="I1198" s="3" t="str">
        <f>TRIM([1]Raw_Data!I1196)</f>
        <v>USA</v>
      </c>
      <c r="J1198" s="3" t="str">
        <f>TRIM([1]Raw_Data!J1196)</f>
        <v>iHerb</v>
      </c>
      <c r="K1198" s="3">
        <f t="shared" si="72"/>
        <v>2021</v>
      </c>
      <c r="L1198" s="6">
        <f t="shared" si="73"/>
        <v>44348</v>
      </c>
      <c r="M1198" s="3" t="str">
        <f t="shared" si="74"/>
        <v>0% to 5%</v>
      </c>
      <c r="N1198" s="3" t="str">
        <f t="shared" si="75"/>
        <v>OK</v>
      </c>
    </row>
    <row r="1199" spans="1:14" x14ac:dyDescent="0.3">
      <c r="A1199" s="2">
        <f>DATE(VALUE(RIGHT(TRIM([1]Raw_Data!A1197),4)),VALUE(MID(TRIM([1]Raw_Data!A1197),4,2)),VALUE(LEFT(TRIM([1]Raw_Data!A1197),2)))</f>
        <v>44354</v>
      </c>
      <c r="B1199" s="3" t="str">
        <f>TRIM([1]Raw_Data!B1197)</f>
        <v>Melatonin</v>
      </c>
      <c r="C1199" s="3" t="str">
        <f>TRIM([1]Raw_Data!C1197)</f>
        <v>Sleep Aid</v>
      </c>
      <c r="D1199" s="3">
        <f>[1]Raw_Data!D1197</f>
        <v>157</v>
      </c>
      <c r="E1199" s="4">
        <f>[1]Raw_Data!E1197</f>
        <v>29.88</v>
      </c>
      <c r="F1199" s="5">
        <f>[1]Raw_Data!F1197</f>
        <v>4691.16</v>
      </c>
      <c r="G1199" s="4">
        <f>[1]Raw_Data!G1197</f>
        <v>0.08</v>
      </c>
      <c r="H1199" s="3">
        <f>[1]Raw_Data!H1197</f>
        <v>1</v>
      </c>
      <c r="I1199" s="3" t="str">
        <f>TRIM([1]Raw_Data!I1197)</f>
        <v>Canada</v>
      </c>
      <c r="J1199" s="3" t="str">
        <f>TRIM([1]Raw_Data!J1197)</f>
        <v>iHerb</v>
      </c>
      <c r="K1199" s="3">
        <f t="shared" si="72"/>
        <v>2021</v>
      </c>
      <c r="L1199" s="6">
        <f t="shared" si="73"/>
        <v>44348</v>
      </c>
      <c r="M1199" s="3" t="str">
        <f t="shared" si="74"/>
        <v>6% to 10%</v>
      </c>
      <c r="N1199" s="3" t="str">
        <f t="shared" si="75"/>
        <v>OK</v>
      </c>
    </row>
    <row r="1200" spans="1:14" x14ac:dyDescent="0.3">
      <c r="A1200" s="2">
        <f>DATE(VALUE(RIGHT(TRIM([1]Raw_Data!A1198),4)),VALUE(MID(TRIM([1]Raw_Data!A1198),4,2)),VALUE(LEFT(TRIM([1]Raw_Data!A1198),2)))</f>
        <v>44354</v>
      </c>
      <c r="B1200" s="3" t="str">
        <f>TRIM([1]Raw_Data!B1198)</f>
        <v>Biotin</v>
      </c>
      <c r="C1200" s="3" t="str">
        <f>TRIM([1]Raw_Data!C1198)</f>
        <v>Vitamin</v>
      </c>
      <c r="D1200" s="3">
        <f>[1]Raw_Data!D1198</f>
        <v>149</v>
      </c>
      <c r="E1200" s="4">
        <f>[1]Raw_Data!E1198</f>
        <v>41.59</v>
      </c>
      <c r="F1200" s="5">
        <f>[1]Raw_Data!F1198</f>
        <v>6196.91</v>
      </c>
      <c r="G1200" s="4">
        <f>[1]Raw_Data!G1198</f>
        <v>0.06</v>
      </c>
      <c r="H1200" s="3">
        <f>[1]Raw_Data!H1198</f>
        <v>4</v>
      </c>
      <c r="I1200" s="3" t="str">
        <f>TRIM([1]Raw_Data!I1198)</f>
        <v>Canada</v>
      </c>
      <c r="J1200" s="3" t="str">
        <f>TRIM([1]Raw_Data!J1198)</f>
        <v>Walmart</v>
      </c>
      <c r="K1200" s="3">
        <f t="shared" si="72"/>
        <v>2021</v>
      </c>
      <c r="L1200" s="6">
        <f t="shared" si="73"/>
        <v>44348</v>
      </c>
      <c r="M1200" s="3" t="str">
        <f t="shared" si="74"/>
        <v>6% to 10%</v>
      </c>
      <c r="N1200" s="3" t="str">
        <f t="shared" si="75"/>
        <v>OK</v>
      </c>
    </row>
    <row r="1201" spans="1:14" x14ac:dyDescent="0.3">
      <c r="A1201" s="2">
        <f>DATE(VALUE(RIGHT(TRIM([1]Raw_Data!A1199),4)),VALUE(MID(TRIM([1]Raw_Data!A1199),4,2)),VALUE(LEFT(TRIM([1]Raw_Data!A1199),2)))</f>
        <v>44354</v>
      </c>
      <c r="B1201" s="3" t="str">
        <f>TRIM([1]Raw_Data!B1199)</f>
        <v>Green Tea Extract</v>
      </c>
      <c r="C1201" s="3" t="str">
        <f>TRIM([1]Raw_Data!C1199)</f>
        <v>Fat Burner</v>
      </c>
      <c r="D1201" s="3">
        <f>[1]Raw_Data!D1199</f>
        <v>144</v>
      </c>
      <c r="E1201" s="4">
        <f>[1]Raw_Data!E1199</f>
        <v>38.53</v>
      </c>
      <c r="F1201" s="5">
        <f>[1]Raw_Data!F1199</f>
        <v>5548.32</v>
      </c>
      <c r="G1201" s="4">
        <f>[1]Raw_Data!G1199</f>
        <v>0.11</v>
      </c>
      <c r="H1201" s="3">
        <f>[1]Raw_Data!H1199</f>
        <v>1</v>
      </c>
      <c r="I1201" s="3" t="str">
        <f>TRIM([1]Raw_Data!I1199)</f>
        <v>UK</v>
      </c>
      <c r="J1201" s="3" t="str">
        <f>TRIM([1]Raw_Data!J1199)</f>
        <v>Walmart</v>
      </c>
      <c r="K1201" s="3">
        <f t="shared" si="72"/>
        <v>2021</v>
      </c>
      <c r="L1201" s="6">
        <f t="shared" si="73"/>
        <v>44348</v>
      </c>
      <c r="M1201" s="3" t="str">
        <f t="shared" si="74"/>
        <v>11% to 15%</v>
      </c>
      <c r="N1201" s="3" t="str">
        <f t="shared" si="75"/>
        <v>OK</v>
      </c>
    </row>
    <row r="1202" spans="1:14" x14ac:dyDescent="0.3">
      <c r="A1202" s="2">
        <f>DATE(VALUE(RIGHT(TRIM([1]Raw_Data!A1200),4)),VALUE(MID(TRIM([1]Raw_Data!A1200),4,2)),VALUE(LEFT(TRIM([1]Raw_Data!A1200),2)))</f>
        <v>44354</v>
      </c>
      <c r="B1202" s="3" t="str">
        <f>TRIM([1]Raw_Data!B1200)</f>
        <v>Iron Supplement</v>
      </c>
      <c r="C1202" s="3" t="str">
        <f>TRIM([1]Raw_Data!C1200)</f>
        <v>Mineral</v>
      </c>
      <c r="D1202" s="3">
        <f>[1]Raw_Data!D1200</f>
        <v>159</v>
      </c>
      <c r="E1202" s="4">
        <f>[1]Raw_Data!E1200</f>
        <v>51.66</v>
      </c>
      <c r="F1202" s="5">
        <f>[1]Raw_Data!F1200</f>
        <v>8213.94</v>
      </c>
      <c r="G1202" s="4">
        <f>[1]Raw_Data!G1200</f>
        <v>0.06</v>
      </c>
      <c r="H1202" s="3">
        <f>[1]Raw_Data!H1200</f>
        <v>2</v>
      </c>
      <c r="I1202" s="3" t="str">
        <f>TRIM([1]Raw_Data!I1200)</f>
        <v>UK</v>
      </c>
      <c r="J1202" s="3" t="str">
        <f>TRIM([1]Raw_Data!J1200)</f>
        <v>iHerb</v>
      </c>
      <c r="K1202" s="3">
        <f t="shared" si="72"/>
        <v>2021</v>
      </c>
      <c r="L1202" s="6">
        <f t="shared" si="73"/>
        <v>44348</v>
      </c>
      <c r="M1202" s="3" t="str">
        <f t="shared" si="74"/>
        <v>6% to 10%</v>
      </c>
      <c r="N1202" s="3" t="str">
        <f t="shared" si="75"/>
        <v>OK</v>
      </c>
    </row>
    <row r="1203" spans="1:14" x14ac:dyDescent="0.3">
      <c r="A1203" s="2">
        <f>DATE(VALUE(RIGHT(TRIM([1]Raw_Data!A1201),4)),VALUE(MID(TRIM([1]Raw_Data!A1201),4,2)),VALUE(LEFT(TRIM([1]Raw_Data!A1201),2)))</f>
        <v>44354</v>
      </c>
      <c r="B1203" s="3" t="str">
        <f>TRIM([1]Raw_Data!B1201)</f>
        <v>Electrolyte Powder</v>
      </c>
      <c r="C1203" s="3" t="str">
        <f>TRIM([1]Raw_Data!C1201)</f>
        <v>Hydration</v>
      </c>
      <c r="D1203" s="3">
        <f>[1]Raw_Data!D1201</f>
        <v>153</v>
      </c>
      <c r="E1203" s="4">
        <f>[1]Raw_Data!E1201</f>
        <v>34.299999999999997</v>
      </c>
      <c r="F1203" s="5">
        <f>[1]Raw_Data!F1201</f>
        <v>5247.9</v>
      </c>
      <c r="G1203" s="4">
        <f>[1]Raw_Data!G1201</f>
        <v>0.08</v>
      </c>
      <c r="H1203" s="3">
        <f>[1]Raw_Data!H1201</f>
        <v>0</v>
      </c>
      <c r="I1203" s="3" t="str">
        <f>TRIM([1]Raw_Data!I1201)</f>
        <v>UK</v>
      </c>
      <c r="J1203" s="3" t="str">
        <f>TRIM([1]Raw_Data!J1201)</f>
        <v>iHerb</v>
      </c>
      <c r="K1203" s="3">
        <f t="shared" si="72"/>
        <v>2021</v>
      </c>
      <c r="L1203" s="6">
        <f t="shared" si="73"/>
        <v>44348</v>
      </c>
      <c r="M1203" s="3" t="str">
        <f t="shared" si="74"/>
        <v>6% to 10%</v>
      </c>
      <c r="N1203" s="3" t="str">
        <f t="shared" si="75"/>
        <v>OK</v>
      </c>
    </row>
    <row r="1204" spans="1:14" x14ac:dyDescent="0.3">
      <c r="A1204" s="2">
        <f>DATE(VALUE(RIGHT(TRIM([1]Raw_Data!A1202),4)),VALUE(MID(TRIM([1]Raw_Data!A1202),4,2)),VALUE(LEFT(TRIM([1]Raw_Data!A1202),2)))</f>
        <v>44361</v>
      </c>
      <c r="B1204" s="3" t="str">
        <f>TRIM([1]Raw_Data!B1202)</f>
        <v>Whey Protein</v>
      </c>
      <c r="C1204" s="3" t="str">
        <f>TRIM([1]Raw_Data!C1202)</f>
        <v>Protein</v>
      </c>
      <c r="D1204" s="3">
        <f>[1]Raw_Data!D1202</f>
        <v>139</v>
      </c>
      <c r="E1204" s="4">
        <f>[1]Raw_Data!E1202</f>
        <v>44.15</v>
      </c>
      <c r="F1204" s="5">
        <f>[1]Raw_Data!F1202</f>
        <v>6136.85</v>
      </c>
      <c r="G1204" s="4">
        <f>[1]Raw_Data!G1202</f>
        <v>0.17</v>
      </c>
      <c r="H1204" s="3">
        <f>[1]Raw_Data!H1202</f>
        <v>4</v>
      </c>
      <c r="I1204" s="3" t="str">
        <f>TRIM([1]Raw_Data!I1202)</f>
        <v>USA</v>
      </c>
      <c r="J1204" s="3" t="str">
        <f>TRIM([1]Raw_Data!J1202)</f>
        <v>Amazon</v>
      </c>
      <c r="K1204" s="3">
        <f t="shared" si="72"/>
        <v>2021</v>
      </c>
      <c r="L1204" s="6">
        <f t="shared" si="73"/>
        <v>44348</v>
      </c>
      <c r="M1204" s="3" t="str">
        <f t="shared" si="74"/>
        <v>16% to 20%</v>
      </c>
      <c r="N1204" s="3" t="str">
        <f t="shared" si="75"/>
        <v>OK</v>
      </c>
    </row>
    <row r="1205" spans="1:14" x14ac:dyDescent="0.3">
      <c r="A1205" s="2">
        <f>DATE(VALUE(RIGHT(TRIM([1]Raw_Data!A1203),4)),VALUE(MID(TRIM([1]Raw_Data!A1203),4,2)),VALUE(LEFT(TRIM([1]Raw_Data!A1203),2)))</f>
        <v>44361</v>
      </c>
      <c r="B1205" s="3" t="str">
        <f>TRIM([1]Raw_Data!B1203)</f>
        <v>Vitamin C</v>
      </c>
      <c r="C1205" s="3" t="str">
        <f>TRIM([1]Raw_Data!C1203)</f>
        <v>Vitamin</v>
      </c>
      <c r="D1205" s="3">
        <f>[1]Raw_Data!D1203</f>
        <v>159</v>
      </c>
      <c r="E1205" s="4">
        <f>[1]Raw_Data!E1203</f>
        <v>54.21</v>
      </c>
      <c r="F1205" s="5">
        <f>[1]Raw_Data!F1203</f>
        <v>8619.39</v>
      </c>
      <c r="G1205" s="4">
        <f>[1]Raw_Data!G1203</f>
        <v>0.22</v>
      </c>
      <c r="H1205" s="3">
        <f>[1]Raw_Data!H1203</f>
        <v>1</v>
      </c>
      <c r="I1205" s="3" t="str">
        <f>TRIM([1]Raw_Data!I1203)</f>
        <v>Canada</v>
      </c>
      <c r="J1205" s="3" t="str">
        <f>TRIM([1]Raw_Data!J1203)</f>
        <v>iHerb</v>
      </c>
      <c r="K1205" s="3">
        <f t="shared" si="72"/>
        <v>2021</v>
      </c>
      <c r="L1205" s="6">
        <f t="shared" si="73"/>
        <v>44348</v>
      </c>
      <c r="M1205" s="3" t="str">
        <f t="shared" si="74"/>
        <v>21% to 25%</v>
      </c>
      <c r="N1205" s="3" t="str">
        <f t="shared" si="75"/>
        <v>OK</v>
      </c>
    </row>
    <row r="1206" spans="1:14" x14ac:dyDescent="0.3">
      <c r="A1206" s="2">
        <f>DATE(VALUE(RIGHT(TRIM([1]Raw_Data!A1204),4)),VALUE(MID(TRIM([1]Raw_Data!A1204),4,2)),VALUE(LEFT(TRIM([1]Raw_Data!A1204),2)))</f>
        <v>44361</v>
      </c>
      <c r="B1206" s="3" t="str">
        <f>TRIM([1]Raw_Data!B1204)</f>
        <v>Fish Oil</v>
      </c>
      <c r="C1206" s="3" t="str">
        <f>TRIM([1]Raw_Data!C1204)</f>
        <v>Omega</v>
      </c>
      <c r="D1206" s="3">
        <f>[1]Raw_Data!D1204</f>
        <v>151</v>
      </c>
      <c r="E1206" s="4">
        <f>[1]Raw_Data!E1204</f>
        <v>14.15</v>
      </c>
      <c r="F1206" s="5">
        <f>[1]Raw_Data!F1204</f>
        <v>2136.65</v>
      </c>
      <c r="G1206" s="4">
        <f>[1]Raw_Data!G1204</f>
        <v>0.05</v>
      </c>
      <c r="H1206" s="3">
        <f>[1]Raw_Data!H1204</f>
        <v>1</v>
      </c>
      <c r="I1206" s="3" t="str">
        <f>TRIM([1]Raw_Data!I1204)</f>
        <v>Canada</v>
      </c>
      <c r="J1206" s="3" t="str">
        <f>TRIM([1]Raw_Data!J1204)</f>
        <v>iHerb</v>
      </c>
      <c r="K1206" s="3">
        <f t="shared" si="72"/>
        <v>2021</v>
      </c>
      <c r="L1206" s="6">
        <f t="shared" si="73"/>
        <v>44348</v>
      </c>
      <c r="M1206" s="3" t="str">
        <f t="shared" si="74"/>
        <v>0% to 5%</v>
      </c>
      <c r="N1206" s="3" t="str">
        <f t="shared" si="75"/>
        <v>OK</v>
      </c>
    </row>
    <row r="1207" spans="1:14" x14ac:dyDescent="0.3">
      <c r="A1207" s="2">
        <f>DATE(VALUE(RIGHT(TRIM([1]Raw_Data!A1205),4)),VALUE(MID(TRIM([1]Raw_Data!A1205),4,2)),VALUE(LEFT(TRIM([1]Raw_Data!A1205),2)))</f>
        <v>44361</v>
      </c>
      <c r="B1207" s="3" t="str">
        <f>TRIM([1]Raw_Data!B1205)</f>
        <v>Multivitamin</v>
      </c>
      <c r="C1207" s="3" t="str">
        <f>TRIM([1]Raw_Data!C1205)</f>
        <v>Vitamin</v>
      </c>
      <c r="D1207" s="3">
        <f>[1]Raw_Data!D1205</f>
        <v>153</v>
      </c>
      <c r="E1207" s="4">
        <f>[1]Raw_Data!E1205</f>
        <v>59.41</v>
      </c>
      <c r="F1207" s="5">
        <f>[1]Raw_Data!F1205</f>
        <v>9089.73</v>
      </c>
      <c r="G1207" s="4">
        <f>[1]Raw_Data!G1205</f>
        <v>0.1</v>
      </c>
      <c r="H1207" s="3">
        <f>[1]Raw_Data!H1205</f>
        <v>0</v>
      </c>
      <c r="I1207" s="3" t="str">
        <f>TRIM([1]Raw_Data!I1205)</f>
        <v>USA</v>
      </c>
      <c r="J1207" s="3" t="str">
        <f>TRIM([1]Raw_Data!J1205)</f>
        <v>Amazon</v>
      </c>
      <c r="K1207" s="3">
        <f t="shared" si="72"/>
        <v>2021</v>
      </c>
      <c r="L1207" s="6">
        <f t="shared" si="73"/>
        <v>44348</v>
      </c>
      <c r="M1207" s="3" t="str">
        <f t="shared" si="74"/>
        <v>6% to 10%</v>
      </c>
      <c r="N1207" s="3" t="str">
        <f t="shared" si="75"/>
        <v>OK</v>
      </c>
    </row>
    <row r="1208" spans="1:14" x14ac:dyDescent="0.3">
      <c r="A1208" s="2">
        <f>DATE(VALUE(RIGHT(TRIM([1]Raw_Data!A1206),4)),VALUE(MID(TRIM([1]Raw_Data!A1206),4,2)),VALUE(LEFT(TRIM([1]Raw_Data!A1206),2)))</f>
        <v>44361</v>
      </c>
      <c r="B1208" s="3" t="str">
        <f>TRIM([1]Raw_Data!B1206)</f>
        <v>Pre-Workout</v>
      </c>
      <c r="C1208" s="3" t="str">
        <f>TRIM([1]Raw_Data!C1206)</f>
        <v>Performance</v>
      </c>
      <c r="D1208" s="3">
        <f>[1]Raw_Data!D1206</f>
        <v>162</v>
      </c>
      <c r="E1208" s="4">
        <f>[1]Raw_Data!E1206</f>
        <v>19.93</v>
      </c>
      <c r="F1208" s="5">
        <f>[1]Raw_Data!F1206</f>
        <v>3228.66</v>
      </c>
      <c r="G1208" s="4">
        <f>[1]Raw_Data!G1206</f>
        <v>0.12</v>
      </c>
      <c r="H1208" s="3">
        <f>[1]Raw_Data!H1206</f>
        <v>2</v>
      </c>
      <c r="I1208" s="3" t="str">
        <f>TRIM([1]Raw_Data!I1206)</f>
        <v>UK</v>
      </c>
      <c r="J1208" s="3" t="str">
        <f>TRIM([1]Raw_Data!J1206)</f>
        <v>Walmart</v>
      </c>
      <c r="K1208" s="3">
        <f t="shared" si="72"/>
        <v>2021</v>
      </c>
      <c r="L1208" s="6">
        <f t="shared" si="73"/>
        <v>44348</v>
      </c>
      <c r="M1208" s="3" t="str">
        <f t="shared" si="74"/>
        <v>11% to 15%</v>
      </c>
      <c r="N1208" s="3" t="str">
        <f t="shared" si="75"/>
        <v>OK</v>
      </c>
    </row>
    <row r="1209" spans="1:14" x14ac:dyDescent="0.3">
      <c r="A1209" s="2">
        <f>DATE(VALUE(RIGHT(TRIM([1]Raw_Data!A1207),4)),VALUE(MID(TRIM([1]Raw_Data!A1207),4,2)),VALUE(LEFT(TRIM([1]Raw_Data!A1207),2)))</f>
        <v>44361</v>
      </c>
      <c r="B1209" s="3" t="str">
        <f>TRIM([1]Raw_Data!B1207)</f>
        <v>BCAA</v>
      </c>
      <c r="C1209" s="3" t="str">
        <f>TRIM([1]Raw_Data!C1207)</f>
        <v>Amino Acid</v>
      </c>
      <c r="D1209" s="3">
        <f>[1]Raw_Data!D1207</f>
        <v>160</v>
      </c>
      <c r="E1209" s="4">
        <f>[1]Raw_Data!E1207</f>
        <v>25.26</v>
      </c>
      <c r="F1209" s="5">
        <f>[1]Raw_Data!F1207</f>
        <v>4041.6</v>
      </c>
      <c r="G1209" s="4">
        <f>[1]Raw_Data!G1207</f>
        <v>0.24</v>
      </c>
      <c r="H1209" s="3">
        <f>[1]Raw_Data!H1207</f>
        <v>2</v>
      </c>
      <c r="I1209" s="3" t="str">
        <f>TRIM([1]Raw_Data!I1207)</f>
        <v>UK</v>
      </c>
      <c r="J1209" s="3" t="str">
        <f>TRIM([1]Raw_Data!J1207)</f>
        <v>Walmart</v>
      </c>
      <c r="K1209" s="3">
        <f t="shared" si="72"/>
        <v>2021</v>
      </c>
      <c r="L1209" s="6">
        <f t="shared" si="73"/>
        <v>44348</v>
      </c>
      <c r="M1209" s="3" t="str">
        <f t="shared" si="74"/>
        <v>21% to 25%</v>
      </c>
      <c r="N1209" s="3" t="str">
        <f t="shared" si="75"/>
        <v>OK</v>
      </c>
    </row>
    <row r="1210" spans="1:14" x14ac:dyDescent="0.3">
      <c r="A1210" s="2">
        <f>DATE(VALUE(RIGHT(TRIM([1]Raw_Data!A1208),4)),VALUE(MID(TRIM([1]Raw_Data!A1208),4,2)),VALUE(LEFT(TRIM([1]Raw_Data!A1208),2)))</f>
        <v>44361</v>
      </c>
      <c r="B1210" s="3" t="str">
        <f>TRIM([1]Raw_Data!B1208)</f>
        <v>Creatine</v>
      </c>
      <c r="C1210" s="3" t="str">
        <f>TRIM([1]Raw_Data!C1208)</f>
        <v>Performance</v>
      </c>
      <c r="D1210" s="3">
        <f>[1]Raw_Data!D1208</f>
        <v>147</v>
      </c>
      <c r="E1210" s="4">
        <f>[1]Raw_Data!E1208</f>
        <v>46.56</v>
      </c>
      <c r="F1210" s="5">
        <f>[1]Raw_Data!F1208</f>
        <v>6844.32</v>
      </c>
      <c r="G1210" s="4">
        <f>[1]Raw_Data!G1208</f>
        <v>0.06</v>
      </c>
      <c r="H1210" s="3">
        <f>[1]Raw_Data!H1208</f>
        <v>0</v>
      </c>
      <c r="I1210" s="3" t="str">
        <f>TRIM([1]Raw_Data!I1208)</f>
        <v>Canada</v>
      </c>
      <c r="J1210" s="3" t="str">
        <f>TRIM([1]Raw_Data!J1208)</f>
        <v>iHerb</v>
      </c>
      <c r="K1210" s="3">
        <f t="shared" si="72"/>
        <v>2021</v>
      </c>
      <c r="L1210" s="6">
        <f t="shared" si="73"/>
        <v>44348</v>
      </c>
      <c r="M1210" s="3" t="str">
        <f t="shared" si="74"/>
        <v>6% to 10%</v>
      </c>
      <c r="N1210" s="3" t="str">
        <f t="shared" si="75"/>
        <v>OK</v>
      </c>
    </row>
    <row r="1211" spans="1:14" x14ac:dyDescent="0.3">
      <c r="A1211" s="2">
        <f>DATE(VALUE(RIGHT(TRIM([1]Raw_Data!A1209),4)),VALUE(MID(TRIM([1]Raw_Data!A1209),4,2)),VALUE(LEFT(TRIM([1]Raw_Data!A1209),2)))</f>
        <v>44361</v>
      </c>
      <c r="B1211" s="3" t="str">
        <f>TRIM([1]Raw_Data!B1209)</f>
        <v>Zinc</v>
      </c>
      <c r="C1211" s="3" t="str">
        <f>TRIM([1]Raw_Data!C1209)</f>
        <v>Mineral</v>
      </c>
      <c r="D1211" s="3">
        <f>[1]Raw_Data!D1209</f>
        <v>151</v>
      </c>
      <c r="E1211" s="4">
        <f>[1]Raw_Data!E1209</f>
        <v>41.45</v>
      </c>
      <c r="F1211" s="5">
        <f>[1]Raw_Data!F1209</f>
        <v>6258.95</v>
      </c>
      <c r="G1211" s="4">
        <f>[1]Raw_Data!G1209</f>
        <v>0.03</v>
      </c>
      <c r="H1211" s="3">
        <f>[1]Raw_Data!H1209</f>
        <v>2</v>
      </c>
      <c r="I1211" s="3" t="str">
        <f>TRIM([1]Raw_Data!I1209)</f>
        <v>USA</v>
      </c>
      <c r="J1211" s="3" t="str">
        <f>TRIM([1]Raw_Data!J1209)</f>
        <v>iHerb</v>
      </c>
      <c r="K1211" s="3">
        <f t="shared" si="72"/>
        <v>2021</v>
      </c>
      <c r="L1211" s="6">
        <f t="shared" si="73"/>
        <v>44348</v>
      </c>
      <c r="M1211" s="3" t="str">
        <f t="shared" si="74"/>
        <v>0% to 5%</v>
      </c>
      <c r="N1211" s="3" t="str">
        <f t="shared" si="75"/>
        <v>OK</v>
      </c>
    </row>
    <row r="1212" spans="1:14" x14ac:dyDescent="0.3">
      <c r="A1212" s="2">
        <f>DATE(VALUE(RIGHT(TRIM([1]Raw_Data!A1210),4)),VALUE(MID(TRIM([1]Raw_Data!A1210),4,2)),VALUE(LEFT(TRIM([1]Raw_Data!A1210),2)))</f>
        <v>44361</v>
      </c>
      <c r="B1212" s="3" t="str">
        <f>TRIM([1]Raw_Data!B1210)</f>
        <v>Collagen Peptides</v>
      </c>
      <c r="C1212" s="3" t="str">
        <f>TRIM([1]Raw_Data!C1210)</f>
        <v>Protein</v>
      </c>
      <c r="D1212" s="3">
        <f>[1]Raw_Data!D1210</f>
        <v>142</v>
      </c>
      <c r="E1212" s="4">
        <f>[1]Raw_Data!E1210</f>
        <v>16.350000000000001</v>
      </c>
      <c r="F1212" s="5">
        <f>[1]Raw_Data!F1210</f>
        <v>2321.6999999999998</v>
      </c>
      <c r="G1212" s="4">
        <f>[1]Raw_Data!G1210</f>
        <v>0.23</v>
      </c>
      <c r="H1212" s="3">
        <f>[1]Raw_Data!H1210</f>
        <v>3</v>
      </c>
      <c r="I1212" s="3" t="str">
        <f>TRIM([1]Raw_Data!I1210)</f>
        <v>USA</v>
      </c>
      <c r="J1212" s="3" t="str">
        <f>TRIM([1]Raw_Data!J1210)</f>
        <v>Walmart</v>
      </c>
      <c r="K1212" s="3">
        <f t="shared" si="72"/>
        <v>2021</v>
      </c>
      <c r="L1212" s="6">
        <f t="shared" si="73"/>
        <v>44348</v>
      </c>
      <c r="M1212" s="3" t="str">
        <f t="shared" si="74"/>
        <v>21% to 25%</v>
      </c>
      <c r="N1212" s="3" t="str">
        <f t="shared" si="75"/>
        <v>OK</v>
      </c>
    </row>
    <row r="1213" spans="1:14" x14ac:dyDescent="0.3">
      <c r="A1213" s="2">
        <f>DATE(VALUE(RIGHT(TRIM([1]Raw_Data!A1211),4)),VALUE(MID(TRIM([1]Raw_Data!A1211),4,2)),VALUE(LEFT(TRIM([1]Raw_Data!A1211),2)))</f>
        <v>44361</v>
      </c>
      <c r="B1213" s="3" t="str">
        <f>TRIM([1]Raw_Data!B1211)</f>
        <v>Magnesium</v>
      </c>
      <c r="C1213" s="3" t="str">
        <f>TRIM([1]Raw_Data!C1211)</f>
        <v>Mineral</v>
      </c>
      <c r="D1213" s="3">
        <f>[1]Raw_Data!D1211</f>
        <v>140</v>
      </c>
      <c r="E1213" s="4">
        <f>[1]Raw_Data!E1211</f>
        <v>40.43</v>
      </c>
      <c r="F1213" s="5">
        <f>[1]Raw_Data!F1211</f>
        <v>5660.2</v>
      </c>
      <c r="G1213" s="4">
        <f>[1]Raw_Data!G1211</f>
        <v>0.24</v>
      </c>
      <c r="H1213" s="3">
        <f>[1]Raw_Data!H1211</f>
        <v>1</v>
      </c>
      <c r="I1213" s="3" t="str">
        <f>TRIM([1]Raw_Data!I1211)</f>
        <v>UK</v>
      </c>
      <c r="J1213" s="3" t="str">
        <f>TRIM([1]Raw_Data!J1211)</f>
        <v>Walmart</v>
      </c>
      <c r="K1213" s="3">
        <f t="shared" si="72"/>
        <v>2021</v>
      </c>
      <c r="L1213" s="6">
        <f t="shared" si="73"/>
        <v>44348</v>
      </c>
      <c r="M1213" s="3" t="str">
        <f t="shared" si="74"/>
        <v>21% to 25%</v>
      </c>
      <c r="N1213" s="3" t="str">
        <f t="shared" si="75"/>
        <v>OK</v>
      </c>
    </row>
    <row r="1214" spans="1:14" x14ac:dyDescent="0.3">
      <c r="A1214" s="2">
        <f>DATE(VALUE(RIGHT(TRIM([1]Raw_Data!A1212),4)),VALUE(MID(TRIM([1]Raw_Data!A1212),4,2)),VALUE(LEFT(TRIM([1]Raw_Data!A1212),2)))</f>
        <v>44361</v>
      </c>
      <c r="B1214" s="3" t="str">
        <f>TRIM([1]Raw_Data!B1212)</f>
        <v>Ashwagandha</v>
      </c>
      <c r="C1214" s="3" t="str">
        <f>TRIM([1]Raw_Data!C1212)</f>
        <v>Herbal</v>
      </c>
      <c r="D1214" s="3">
        <f>[1]Raw_Data!D1212</f>
        <v>157</v>
      </c>
      <c r="E1214" s="4">
        <f>[1]Raw_Data!E1212</f>
        <v>29.81</v>
      </c>
      <c r="F1214" s="5">
        <f>[1]Raw_Data!F1212</f>
        <v>4680.17</v>
      </c>
      <c r="G1214" s="4">
        <f>[1]Raw_Data!G1212</f>
        <v>0.24</v>
      </c>
      <c r="H1214" s="3">
        <f>[1]Raw_Data!H1212</f>
        <v>2</v>
      </c>
      <c r="I1214" s="3" t="str">
        <f>TRIM([1]Raw_Data!I1212)</f>
        <v>Canada</v>
      </c>
      <c r="J1214" s="3" t="str">
        <f>TRIM([1]Raw_Data!J1212)</f>
        <v>Walmart</v>
      </c>
      <c r="K1214" s="3">
        <f t="shared" si="72"/>
        <v>2021</v>
      </c>
      <c r="L1214" s="6">
        <f t="shared" si="73"/>
        <v>44348</v>
      </c>
      <c r="M1214" s="3" t="str">
        <f t="shared" si="74"/>
        <v>21% to 25%</v>
      </c>
      <c r="N1214" s="3" t="str">
        <f t="shared" si="75"/>
        <v>OK</v>
      </c>
    </row>
    <row r="1215" spans="1:14" x14ac:dyDescent="0.3">
      <c r="A1215" s="2">
        <f>DATE(VALUE(RIGHT(TRIM([1]Raw_Data!A1213),4)),VALUE(MID(TRIM([1]Raw_Data!A1213),4,2)),VALUE(LEFT(TRIM([1]Raw_Data!A1213),2)))</f>
        <v>44361</v>
      </c>
      <c r="B1215" s="3" t="str">
        <f>TRIM([1]Raw_Data!B1213)</f>
        <v>Melatonin</v>
      </c>
      <c r="C1215" s="3" t="str">
        <f>TRIM([1]Raw_Data!C1213)</f>
        <v>Sleep Aid</v>
      </c>
      <c r="D1215" s="3">
        <f>[1]Raw_Data!D1213</f>
        <v>142</v>
      </c>
      <c r="E1215" s="4">
        <f>[1]Raw_Data!E1213</f>
        <v>45.18</v>
      </c>
      <c r="F1215" s="5">
        <f>[1]Raw_Data!F1213</f>
        <v>6415.56</v>
      </c>
      <c r="G1215" s="4">
        <f>[1]Raw_Data!G1213</f>
        <v>0.16</v>
      </c>
      <c r="H1215" s="3">
        <f>[1]Raw_Data!H1213</f>
        <v>1</v>
      </c>
      <c r="I1215" s="3" t="str">
        <f>TRIM([1]Raw_Data!I1213)</f>
        <v>UK</v>
      </c>
      <c r="J1215" s="3" t="str">
        <f>TRIM([1]Raw_Data!J1213)</f>
        <v>Walmart</v>
      </c>
      <c r="K1215" s="3">
        <f t="shared" si="72"/>
        <v>2021</v>
      </c>
      <c r="L1215" s="6">
        <f t="shared" si="73"/>
        <v>44348</v>
      </c>
      <c r="M1215" s="3" t="str">
        <f t="shared" si="74"/>
        <v>16% to 20%</v>
      </c>
      <c r="N1215" s="3" t="str">
        <f t="shared" si="75"/>
        <v>OK</v>
      </c>
    </row>
    <row r="1216" spans="1:14" x14ac:dyDescent="0.3">
      <c r="A1216" s="2">
        <f>DATE(VALUE(RIGHT(TRIM([1]Raw_Data!A1214),4)),VALUE(MID(TRIM([1]Raw_Data!A1214),4,2)),VALUE(LEFT(TRIM([1]Raw_Data!A1214),2)))</f>
        <v>44361</v>
      </c>
      <c r="B1216" s="3" t="str">
        <f>TRIM([1]Raw_Data!B1214)</f>
        <v>Biotin</v>
      </c>
      <c r="C1216" s="3" t="str">
        <f>TRIM([1]Raw_Data!C1214)</f>
        <v>Vitamin</v>
      </c>
      <c r="D1216" s="3">
        <f>[1]Raw_Data!D1214</f>
        <v>178</v>
      </c>
      <c r="E1216" s="4">
        <f>[1]Raw_Data!E1214</f>
        <v>25.19</v>
      </c>
      <c r="F1216" s="5">
        <f>[1]Raw_Data!F1214</f>
        <v>4483.82</v>
      </c>
      <c r="G1216" s="4">
        <f>[1]Raw_Data!G1214</f>
        <v>0.23</v>
      </c>
      <c r="H1216" s="3">
        <f>[1]Raw_Data!H1214</f>
        <v>1</v>
      </c>
      <c r="I1216" s="3" t="str">
        <f>TRIM([1]Raw_Data!I1214)</f>
        <v>USA</v>
      </c>
      <c r="J1216" s="3" t="str">
        <f>TRIM([1]Raw_Data!J1214)</f>
        <v>iHerb</v>
      </c>
      <c r="K1216" s="3">
        <f t="shared" si="72"/>
        <v>2021</v>
      </c>
      <c r="L1216" s="6">
        <f t="shared" si="73"/>
        <v>44348</v>
      </c>
      <c r="M1216" s="3" t="str">
        <f t="shared" si="74"/>
        <v>21% to 25%</v>
      </c>
      <c r="N1216" s="3" t="str">
        <f t="shared" si="75"/>
        <v>OK</v>
      </c>
    </row>
    <row r="1217" spans="1:14" x14ac:dyDescent="0.3">
      <c r="A1217" s="2">
        <f>DATE(VALUE(RIGHT(TRIM([1]Raw_Data!A1215),4)),VALUE(MID(TRIM([1]Raw_Data!A1215),4,2)),VALUE(LEFT(TRIM([1]Raw_Data!A1215),2)))</f>
        <v>44361</v>
      </c>
      <c r="B1217" s="3" t="str">
        <f>TRIM([1]Raw_Data!B1215)</f>
        <v>Green Tea Extract</v>
      </c>
      <c r="C1217" s="3" t="str">
        <f>TRIM([1]Raw_Data!C1215)</f>
        <v>Fat Burner</v>
      </c>
      <c r="D1217" s="3">
        <f>[1]Raw_Data!D1215</f>
        <v>141</v>
      </c>
      <c r="E1217" s="4">
        <f>[1]Raw_Data!E1215</f>
        <v>51.19</v>
      </c>
      <c r="F1217" s="5">
        <f>[1]Raw_Data!F1215</f>
        <v>7217.79</v>
      </c>
      <c r="G1217" s="4">
        <f>[1]Raw_Data!G1215</f>
        <v>0.03</v>
      </c>
      <c r="H1217" s="3">
        <f>[1]Raw_Data!H1215</f>
        <v>3</v>
      </c>
      <c r="I1217" s="3" t="str">
        <f>TRIM([1]Raw_Data!I1215)</f>
        <v>UK</v>
      </c>
      <c r="J1217" s="3" t="str">
        <f>TRIM([1]Raw_Data!J1215)</f>
        <v>Amazon</v>
      </c>
      <c r="K1217" s="3">
        <f t="shared" si="72"/>
        <v>2021</v>
      </c>
      <c r="L1217" s="6">
        <f t="shared" si="73"/>
        <v>44348</v>
      </c>
      <c r="M1217" s="3" t="str">
        <f t="shared" si="74"/>
        <v>0% to 5%</v>
      </c>
      <c r="N1217" s="3" t="str">
        <f t="shared" si="75"/>
        <v>OK</v>
      </c>
    </row>
    <row r="1218" spans="1:14" x14ac:dyDescent="0.3">
      <c r="A1218" s="2">
        <f>DATE(VALUE(RIGHT(TRIM([1]Raw_Data!A1216),4)),VALUE(MID(TRIM([1]Raw_Data!A1216),4,2)),VALUE(LEFT(TRIM([1]Raw_Data!A1216),2)))</f>
        <v>44361</v>
      </c>
      <c r="B1218" s="3" t="str">
        <f>TRIM([1]Raw_Data!B1216)</f>
        <v>Iron Supplement</v>
      </c>
      <c r="C1218" s="3" t="str">
        <f>TRIM([1]Raw_Data!C1216)</f>
        <v>Mineral</v>
      </c>
      <c r="D1218" s="3">
        <f>[1]Raw_Data!D1216</f>
        <v>161</v>
      </c>
      <c r="E1218" s="4">
        <f>[1]Raw_Data!E1216</f>
        <v>45.6</v>
      </c>
      <c r="F1218" s="5">
        <f>[1]Raw_Data!F1216</f>
        <v>7341.6</v>
      </c>
      <c r="G1218" s="4">
        <f>[1]Raw_Data!G1216</f>
        <v>0.1</v>
      </c>
      <c r="H1218" s="3">
        <f>[1]Raw_Data!H1216</f>
        <v>1</v>
      </c>
      <c r="I1218" s="3" t="str">
        <f>TRIM([1]Raw_Data!I1216)</f>
        <v>Canada</v>
      </c>
      <c r="J1218" s="3" t="str">
        <f>TRIM([1]Raw_Data!J1216)</f>
        <v>iHerb</v>
      </c>
      <c r="K1218" s="3">
        <f t="shared" si="72"/>
        <v>2021</v>
      </c>
      <c r="L1218" s="6">
        <f t="shared" si="73"/>
        <v>44348</v>
      </c>
      <c r="M1218" s="3" t="str">
        <f t="shared" si="74"/>
        <v>6% to 10%</v>
      </c>
      <c r="N1218" s="3" t="str">
        <f t="shared" si="75"/>
        <v>OK</v>
      </c>
    </row>
    <row r="1219" spans="1:14" x14ac:dyDescent="0.3">
      <c r="A1219" s="2">
        <f>DATE(VALUE(RIGHT(TRIM([1]Raw_Data!A1217),4)),VALUE(MID(TRIM([1]Raw_Data!A1217),4,2)),VALUE(LEFT(TRIM([1]Raw_Data!A1217),2)))</f>
        <v>44361</v>
      </c>
      <c r="B1219" s="3" t="str">
        <f>TRIM([1]Raw_Data!B1217)</f>
        <v>Electrolyte Powder</v>
      </c>
      <c r="C1219" s="3" t="str">
        <f>TRIM([1]Raw_Data!C1217)</f>
        <v>Hydration</v>
      </c>
      <c r="D1219" s="3">
        <f>[1]Raw_Data!D1217</f>
        <v>134</v>
      </c>
      <c r="E1219" s="4">
        <f>[1]Raw_Data!E1217</f>
        <v>34.049999999999997</v>
      </c>
      <c r="F1219" s="5">
        <f>[1]Raw_Data!F1217</f>
        <v>4562.7</v>
      </c>
      <c r="G1219" s="4">
        <f>[1]Raw_Data!G1217</f>
        <v>0.09</v>
      </c>
      <c r="H1219" s="3">
        <f>[1]Raw_Data!H1217</f>
        <v>1</v>
      </c>
      <c r="I1219" s="3" t="str">
        <f>TRIM([1]Raw_Data!I1217)</f>
        <v>USA</v>
      </c>
      <c r="J1219" s="3" t="str">
        <f>TRIM([1]Raw_Data!J1217)</f>
        <v>Amazon</v>
      </c>
      <c r="K1219" s="3">
        <f t="shared" si="72"/>
        <v>2021</v>
      </c>
      <c r="L1219" s="6">
        <f t="shared" si="73"/>
        <v>44348</v>
      </c>
      <c r="M1219" s="3" t="str">
        <f t="shared" si="74"/>
        <v>6% to 10%</v>
      </c>
      <c r="N1219" s="3" t="str">
        <f t="shared" si="75"/>
        <v>OK</v>
      </c>
    </row>
    <row r="1220" spans="1:14" x14ac:dyDescent="0.3">
      <c r="A1220" s="2">
        <f>DATE(VALUE(RIGHT(TRIM([1]Raw_Data!A1218),4)),VALUE(MID(TRIM([1]Raw_Data!A1218),4,2)),VALUE(LEFT(TRIM([1]Raw_Data!A1218),2)))</f>
        <v>44368</v>
      </c>
      <c r="B1220" s="3" t="str">
        <f>TRIM([1]Raw_Data!B1218)</f>
        <v>Whey Protein</v>
      </c>
      <c r="C1220" s="3" t="str">
        <f>TRIM([1]Raw_Data!C1218)</f>
        <v>Protein</v>
      </c>
      <c r="D1220" s="3">
        <f>[1]Raw_Data!D1218</f>
        <v>123</v>
      </c>
      <c r="E1220" s="4">
        <f>[1]Raw_Data!E1218</f>
        <v>31.81</v>
      </c>
      <c r="F1220" s="5">
        <f>[1]Raw_Data!F1218</f>
        <v>3912.63</v>
      </c>
      <c r="G1220" s="4">
        <f>[1]Raw_Data!G1218</f>
        <v>0.05</v>
      </c>
      <c r="H1220" s="3">
        <f>[1]Raw_Data!H1218</f>
        <v>2</v>
      </c>
      <c r="I1220" s="3" t="str">
        <f>TRIM([1]Raw_Data!I1218)</f>
        <v>Canada</v>
      </c>
      <c r="J1220" s="3" t="str">
        <f>TRIM([1]Raw_Data!J1218)</f>
        <v>Walmart</v>
      </c>
      <c r="K1220" s="3">
        <f t="shared" ref="K1220:K1283" si="76">YEAR(A1220)</f>
        <v>2021</v>
      </c>
      <c r="L1220" s="6">
        <f t="shared" ref="L1220:L1283" si="77">DATE(YEAR(A1220),MONTH(A1220),1)</f>
        <v>44348</v>
      </c>
      <c r="M1220" s="3" t="str">
        <f t="shared" ref="M1220:M1283" si="78">IF(ROUND(G1220*100,0)&lt;=5,"0% to 5%",IF(ROUND(G1220*100,0)&lt;=10,"6% to 10%",IF(ROUND(G1220*100,0)&lt;=15,"11% to 15%",IF(ROUND(G1220*100,0)&lt;=20,"16% to 20%","21% to 25%"))))</f>
        <v>0% to 5%</v>
      </c>
      <c r="N1220" s="3" t="str">
        <f t="shared" ref="N1220:N1283" si="79">IF(ROUND(D1220*E1220,2)=ROUND(F1220,2),"OK","Check")</f>
        <v>OK</v>
      </c>
    </row>
    <row r="1221" spans="1:14" x14ac:dyDescent="0.3">
      <c r="A1221" s="2">
        <f>DATE(VALUE(RIGHT(TRIM([1]Raw_Data!A1219),4)),VALUE(MID(TRIM([1]Raw_Data!A1219),4,2)),VALUE(LEFT(TRIM([1]Raw_Data!A1219),2)))</f>
        <v>44368</v>
      </c>
      <c r="B1221" s="3" t="str">
        <f>TRIM([1]Raw_Data!B1219)</f>
        <v>Vitamin C</v>
      </c>
      <c r="C1221" s="3" t="str">
        <f>TRIM([1]Raw_Data!C1219)</f>
        <v>Vitamin</v>
      </c>
      <c r="D1221" s="3">
        <f>[1]Raw_Data!D1219</f>
        <v>162</v>
      </c>
      <c r="E1221" s="4">
        <f>[1]Raw_Data!E1219</f>
        <v>24.92</v>
      </c>
      <c r="F1221" s="5">
        <f>[1]Raw_Data!F1219</f>
        <v>4037.04</v>
      </c>
      <c r="G1221" s="4">
        <f>[1]Raw_Data!G1219</f>
        <v>0.16</v>
      </c>
      <c r="H1221" s="3">
        <f>[1]Raw_Data!H1219</f>
        <v>1</v>
      </c>
      <c r="I1221" s="3" t="str">
        <f>TRIM([1]Raw_Data!I1219)</f>
        <v>UK</v>
      </c>
      <c r="J1221" s="3" t="str">
        <f>TRIM([1]Raw_Data!J1219)</f>
        <v>Walmart</v>
      </c>
      <c r="K1221" s="3">
        <f t="shared" si="76"/>
        <v>2021</v>
      </c>
      <c r="L1221" s="6">
        <f t="shared" si="77"/>
        <v>44348</v>
      </c>
      <c r="M1221" s="3" t="str">
        <f t="shared" si="78"/>
        <v>16% to 20%</v>
      </c>
      <c r="N1221" s="3" t="str">
        <f t="shared" si="79"/>
        <v>OK</v>
      </c>
    </row>
    <row r="1222" spans="1:14" x14ac:dyDescent="0.3">
      <c r="A1222" s="2">
        <f>DATE(VALUE(RIGHT(TRIM([1]Raw_Data!A1220),4)),VALUE(MID(TRIM([1]Raw_Data!A1220),4,2)),VALUE(LEFT(TRIM([1]Raw_Data!A1220),2)))</f>
        <v>44368</v>
      </c>
      <c r="B1222" s="3" t="str">
        <f>TRIM([1]Raw_Data!B1220)</f>
        <v>Fish Oil</v>
      </c>
      <c r="C1222" s="3" t="str">
        <f>TRIM([1]Raw_Data!C1220)</f>
        <v>Omega</v>
      </c>
      <c r="D1222" s="3">
        <f>[1]Raw_Data!D1220</f>
        <v>140</v>
      </c>
      <c r="E1222" s="4">
        <f>[1]Raw_Data!E1220</f>
        <v>12.02</v>
      </c>
      <c r="F1222" s="5">
        <f>[1]Raw_Data!F1220</f>
        <v>1682.8</v>
      </c>
      <c r="G1222" s="4">
        <f>[1]Raw_Data!G1220</f>
        <v>0.02</v>
      </c>
      <c r="H1222" s="3">
        <f>[1]Raw_Data!H1220</f>
        <v>0</v>
      </c>
      <c r="I1222" s="3" t="str">
        <f>TRIM([1]Raw_Data!I1220)</f>
        <v>Canada</v>
      </c>
      <c r="J1222" s="3" t="str">
        <f>TRIM([1]Raw_Data!J1220)</f>
        <v>Amazon</v>
      </c>
      <c r="K1222" s="3">
        <f t="shared" si="76"/>
        <v>2021</v>
      </c>
      <c r="L1222" s="6">
        <f t="shared" si="77"/>
        <v>44348</v>
      </c>
      <c r="M1222" s="3" t="str">
        <f t="shared" si="78"/>
        <v>0% to 5%</v>
      </c>
      <c r="N1222" s="3" t="str">
        <f t="shared" si="79"/>
        <v>OK</v>
      </c>
    </row>
    <row r="1223" spans="1:14" x14ac:dyDescent="0.3">
      <c r="A1223" s="2">
        <f>DATE(VALUE(RIGHT(TRIM([1]Raw_Data!A1221),4)),VALUE(MID(TRIM([1]Raw_Data!A1221),4,2)),VALUE(LEFT(TRIM([1]Raw_Data!A1221),2)))</f>
        <v>44368</v>
      </c>
      <c r="B1223" s="3" t="str">
        <f>TRIM([1]Raw_Data!B1221)</f>
        <v>Multivitamin</v>
      </c>
      <c r="C1223" s="3" t="str">
        <f>TRIM([1]Raw_Data!C1221)</f>
        <v>Vitamin</v>
      </c>
      <c r="D1223" s="3">
        <f>[1]Raw_Data!D1221</f>
        <v>136</v>
      </c>
      <c r="E1223" s="4">
        <f>[1]Raw_Data!E1221</f>
        <v>59.79</v>
      </c>
      <c r="F1223" s="5">
        <f>[1]Raw_Data!F1221</f>
        <v>8131.44</v>
      </c>
      <c r="G1223" s="4">
        <f>[1]Raw_Data!G1221</f>
        <v>7.0000000000000007E-2</v>
      </c>
      <c r="H1223" s="3">
        <f>[1]Raw_Data!H1221</f>
        <v>0</v>
      </c>
      <c r="I1223" s="3" t="str">
        <f>TRIM([1]Raw_Data!I1221)</f>
        <v>USA</v>
      </c>
      <c r="J1223" s="3" t="str">
        <f>TRIM([1]Raw_Data!J1221)</f>
        <v>Walmart</v>
      </c>
      <c r="K1223" s="3">
        <f t="shared" si="76"/>
        <v>2021</v>
      </c>
      <c r="L1223" s="6">
        <f t="shared" si="77"/>
        <v>44348</v>
      </c>
      <c r="M1223" s="3" t="str">
        <f t="shared" si="78"/>
        <v>6% to 10%</v>
      </c>
      <c r="N1223" s="3" t="str">
        <f t="shared" si="79"/>
        <v>OK</v>
      </c>
    </row>
    <row r="1224" spans="1:14" x14ac:dyDescent="0.3">
      <c r="A1224" s="2">
        <f>DATE(VALUE(RIGHT(TRIM([1]Raw_Data!A1222),4)),VALUE(MID(TRIM([1]Raw_Data!A1222),4,2)),VALUE(LEFT(TRIM([1]Raw_Data!A1222),2)))</f>
        <v>44368</v>
      </c>
      <c r="B1224" s="3" t="str">
        <f>TRIM([1]Raw_Data!B1222)</f>
        <v>Pre-Workout</v>
      </c>
      <c r="C1224" s="3" t="str">
        <f>TRIM([1]Raw_Data!C1222)</f>
        <v>Performance</v>
      </c>
      <c r="D1224" s="3">
        <f>[1]Raw_Data!D1222</f>
        <v>151</v>
      </c>
      <c r="E1224" s="4">
        <f>[1]Raw_Data!E1222</f>
        <v>53.67</v>
      </c>
      <c r="F1224" s="5">
        <f>[1]Raw_Data!F1222</f>
        <v>8104.17</v>
      </c>
      <c r="G1224" s="4">
        <f>[1]Raw_Data!G1222</f>
        <v>0.1</v>
      </c>
      <c r="H1224" s="3">
        <f>[1]Raw_Data!H1222</f>
        <v>1</v>
      </c>
      <c r="I1224" s="3" t="str">
        <f>TRIM([1]Raw_Data!I1222)</f>
        <v>UK</v>
      </c>
      <c r="J1224" s="3" t="str">
        <f>TRIM([1]Raw_Data!J1222)</f>
        <v>Amazon</v>
      </c>
      <c r="K1224" s="3">
        <f t="shared" si="76"/>
        <v>2021</v>
      </c>
      <c r="L1224" s="6">
        <f t="shared" si="77"/>
        <v>44348</v>
      </c>
      <c r="M1224" s="3" t="str">
        <f t="shared" si="78"/>
        <v>6% to 10%</v>
      </c>
      <c r="N1224" s="3" t="str">
        <f t="shared" si="79"/>
        <v>OK</v>
      </c>
    </row>
    <row r="1225" spans="1:14" x14ac:dyDescent="0.3">
      <c r="A1225" s="2">
        <f>DATE(VALUE(RIGHT(TRIM([1]Raw_Data!A1223),4)),VALUE(MID(TRIM([1]Raw_Data!A1223),4,2)),VALUE(LEFT(TRIM([1]Raw_Data!A1223),2)))</f>
        <v>44368</v>
      </c>
      <c r="B1225" s="3" t="str">
        <f>TRIM([1]Raw_Data!B1223)</f>
        <v>BCAA</v>
      </c>
      <c r="C1225" s="3" t="str">
        <f>TRIM([1]Raw_Data!C1223)</f>
        <v>Amino Acid</v>
      </c>
      <c r="D1225" s="3">
        <f>[1]Raw_Data!D1223</f>
        <v>139</v>
      </c>
      <c r="E1225" s="4">
        <f>[1]Raw_Data!E1223</f>
        <v>25.83</v>
      </c>
      <c r="F1225" s="5">
        <f>[1]Raw_Data!F1223</f>
        <v>3590.37</v>
      </c>
      <c r="G1225" s="4">
        <f>[1]Raw_Data!G1223</f>
        <v>0.17</v>
      </c>
      <c r="H1225" s="3">
        <f>[1]Raw_Data!H1223</f>
        <v>1</v>
      </c>
      <c r="I1225" s="3" t="str">
        <f>TRIM([1]Raw_Data!I1223)</f>
        <v>UK</v>
      </c>
      <c r="J1225" s="3" t="str">
        <f>TRIM([1]Raw_Data!J1223)</f>
        <v>Walmart</v>
      </c>
      <c r="K1225" s="3">
        <f t="shared" si="76"/>
        <v>2021</v>
      </c>
      <c r="L1225" s="6">
        <f t="shared" si="77"/>
        <v>44348</v>
      </c>
      <c r="M1225" s="3" t="str">
        <f t="shared" si="78"/>
        <v>16% to 20%</v>
      </c>
      <c r="N1225" s="3" t="str">
        <f t="shared" si="79"/>
        <v>OK</v>
      </c>
    </row>
    <row r="1226" spans="1:14" x14ac:dyDescent="0.3">
      <c r="A1226" s="2">
        <f>DATE(VALUE(RIGHT(TRIM([1]Raw_Data!A1224),4)),VALUE(MID(TRIM([1]Raw_Data!A1224),4,2)),VALUE(LEFT(TRIM([1]Raw_Data!A1224),2)))</f>
        <v>44368</v>
      </c>
      <c r="B1226" s="3" t="str">
        <f>TRIM([1]Raw_Data!B1224)</f>
        <v>Creatine</v>
      </c>
      <c r="C1226" s="3" t="str">
        <f>TRIM([1]Raw_Data!C1224)</f>
        <v>Performance</v>
      </c>
      <c r="D1226" s="3">
        <f>[1]Raw_Data!D1224</f>
        <v>153</v>
      </c>
      <c r="E1226" s="4">
        <f>[1]Raw_Data!E1224</f>
        <v>19.559999999999999</v>
      </c>
      <c r="F1226" s="5">
        <f>[1]Raw_Data!F1224</f>
        <v>2992.68</v>
      </c>
      <c r="G1226" s="4">
        <f>[1]Raw_Data!G1224</f>
        <v>0.1</v>
      </c>
      <c r="H1226" s="3">
        <f>[1]Raw_Data!H1224</f>
        <v>4</v>
      </c>
      <c r="I1226" s="3" t="str">
        <f>TRIM([1]Raw_Data!I1224)</f>
        <v>USA</v>
      </c>
      <c r="J1226" s="3" t="str">
        <f>TRIM([1]Raw_Data!J1224)</f>
        <v>iHerb</v>
      </c>
      <c r="K1226" s="3">
        <f t="shared" si="76"/>
        <v>2021</v>
      </c>
      <c r="L1226" s="6">
        <f t="shared" si="77"/>
        <v>44348</v>
      </c>
      <c r="M1226" s="3" t="str">
        <f t="shared" si="78"/>
        <v>6% to 10%</v>
      </c>
      <c r="N1226" s="3" t="str">
        <f t="shared" si="79"/>
        <v>OK</v>
      </c>
    </row>
    <row r="1227" spans="1:14" x14ac:dyDescent="0.3">
      <c r="A1227" s="2">
        <f>DATE(VALUE(RIGHT(TRIM([1]Raw_Data!A1225),4)),VALUE(MID(TRIM([1]Raw_Data!A1225),4,2)),VALUE(LEFT(TRIM([1]Raw_Data!A1225),2)))</f>
        <v>44368</v>
      </c>
      <c r="B1227" s="3" t="str">
        <f>TRIM([1]Raw_Data!B1225)</f>
        <v>Zinc</v>
      </c>
      <c r="C1227" s="3" t="str">
        <f>TRIM([1]Raw_Data!C1225)</f>
        <v>Mineral</v>
      </c>
      <c r="D1227" s="3">
        <f>[1]Raw_Data!D1225</f>
        <v>146</v>
      </c>
      <c r="E1227" s="4">
        <f>[1]Raw_Data!E1225</f>
        <v>22.75</v>
      </c>
      <c r="F1227" s="5">
        <f>[1]Raw_Data!F1225</f>
        <v>3321.5</v>
      </c>
      <c r="G1227" s="4">
        <f>[1]Raw_Data!G1225</f>
        <v>0.03</v>
      </c>
      <c r="H1227" s="3">
        <f>[1]Raw_Data!H1225</f>
        <v>0</v>
      </c>
      <c r="I1227" s="3" t="str">
        <f>TRIM([1]Raw_Data!I1225)</f>
        <v>Canada</v>
      </c>
      <c r="J1227" s="3" t="str">
        <f>TRIM([1]Raw_Data!J1225)</f>
        <v>Amazon</v>
      </c>
      <c r="K1227" s="3">
        <f t="shared" si="76"/>
        <v>2021</v>
      </c>
      <c r="L1227" s="6">
        <f t="shared" si="77"/>
        <v>44348</v>
      </c>
      <c r="M1227" s="3" t="str">
        <f t="shared" si="78"/>
        <v>0% to 5%</v>
      </c>
      <c r="N1227" s="3" t="str">
        <f t="shared" si="79"/>
        <v>OK</v>
      </c>
    </row>
    <row r="1228" spans="1:14" x14ac:dyDescent="0.3">
      <c r="A1228" s="2">
        <f>DATE(VALUE(RIGHT(TRIM([1]Raw_Data!A1226),4)),VALUE(MID(TRIM([1]Raw_Data!A1226),4,2)),VALUE(LEFT(TRIM([1]Raw_Data!A1226),2)))</f>
        <v>44368</v>
      </c>
      <c r="B1228" s="3" t="str">
        <f>TRIM([1]Raw_Data!B1226)</f>
        <v>Collagen Peptides</v>
      </c>
      <c r="C1228" s="3" t="str">
        <f>TRIM([1]Raw_Data!C1226)</f>
        <v>Protein</v>
      </c>
      <c r="D1228" s="3">
        <f>[1]Raw_Data!D1226</f>
        <v>143</v>
      </c>
      <c r="E1228" s="4">
        <f>[1]Raw_Data!E1226</f>
        <v>18.7</v>
      </c>
      <c r="F1228" s="5">
        <f>[1]Raw_Data!F1226</f>
        <v>2674.1</v>
      </c>
      <c r="G1228" s="4">
        <f>[1]Raw_Data!G1226</f>
        <v>0.19</v>
      </c>
      <c r="H1228" s="3">
        <f>[1]Raw_Data!H1226</f>
        <v>0</v>
      </c>
      <c r="I1228" s="3" t="str">
        <f>TRIM([1]Raw_Data!I1226)</f>
        <v>Canada</v>
      </c>
      <c r="J1228" s="3" t="str">
        <f>TRIM([1]Raw_Data!J1226)</f>
        <v>Amazon</v>
      </c>
      <c r="K1228" s="3">
        <f t="shared" si="76"/>
        <v>2021</v>
      </c>
      <c r="L1228" s="6">
        <f t="shared" si="77"/>
        <v>44348</v>
      </c>
      <c r="M1228" s="3" t="str">
        <f t="shared" si="78"/>
        <v>16% to 20%</v>
      </c>
      <c r="N1228" s="3" t="str">
        <f t="shared" si="79"/>
        <v>OK</v>
      </c>
    </row>
    <row r="1229" spans="1:14" x14ac:dyDescent="0.3">
      <c r="A1229" s="2">
        <f>DATE(VALUE(RIGHT(TRIM([1]Raw_Data!A1227),4)),VALUE(MID(TRIM([1]Raw_Data!A1227),4,2)),VALUE(LEFT(TRIM([1]Raw_Data!A1227),2)))</f>
        <v>44368</v>
      </c>
      <c r="B1229" s="3" t="str">
        <f>TRIM([1]Raw_Data!B1227)</f>
        <v>Magnesium</v>
      </c>
      <c r="C1229" s="3" t="str">
        <f>TRIM([1]Raw_Data!C1227)</f>
        <v>Mineral</v>
      </c>
      <c r="D1229" s="3">
        <f>[1]Raw_Data!D1227</f>
        <v>152</v>
      </c>
      <c r="E1229" s="4">
        <f>[1]Raw_Data!E1227</f>
        <v>35.33</v>
      </c>
      <c r="F1229" s="5">
        <f>[1]Raw_Data!F1227</f>
        <v>5370.16</v>
      </c>
      <c r="G1229" s="4">
        <f>[1]Raw_Data!G1227</f>
        <v>0.14000000000000001</v>
      </c>
      <c r="H1229" s="3">
        <f>[1]Raw_Data!H1227</f>
        <v>1</v>
      </c>
      <c r="I1229" s="3" t="str">
        <f>TRIM([1]Raw_Data!I1227)</f>
        <v>Canada</v>
      </c>
      <c r="J1229" s="3" t="str">
        <f>TRIM([1]Raw_Data!J1227)</f>
        <v>Walmart</v>
      </c>
      <c r="K1229" s="3">
        <f t="shared" si="76"/>
        <v>2021</v>
      </c>
      <c r="L1229" s="6">
        <f t="shared" si="77"/>
        <v>44348</v>
      </c>
      <c r="M1229" s="3" t="str">
        <f t="shared" si="78"/>
        <v>11% to 15%</v>
      </c>
      <c r="N1229" s="3" t="str">
        <f t="shared" si="79"/>
        <v>OK</v>
      </c>
    </row>
    <row r="1230" spans="1:14" x14ac:dyDescent="0.3">
      <c r="A1230" s="2">
        <f>DATE(VALUE(RIGHT(TRIM([1]Raw_Data!A1228),4)),VALUE(MID(TRIM([1]Raw_Data!A1228),4,2)),VALUE(LEFT(TRIM([1]Raw_Data!A1228),2)))</f>
        <v>44368</v>
      </c>
      <c r="B1230" s="3" t="str">
        <f>TRIM([1]Raw_Data!B1228)</f>
        <v>Ashwagandha</v>
      </c>
      <c r="C1230" s="3" t="str">
        <f>TRIM([1]Raw_Data!C1228)</f>
        <v>Herbal</v>
      </c>
      <c r="D1230" s="3">
        <f>[1]Raw_Data!D1228</f>
        <v>142</v>
      </c>
      <c r="E1230" s="4">
        <f>[1]Raw_Data!E1228</f>
        <v>53.56</v>
      </c>
      <c r="F1230" s="5">
        <f>[1]Raw_Data!F1228</f>
        <v>7605.52</v>
      </c>
      <c r="G1230" s="4">
        <f>[1]Raw_Data!G1228</f>
        <v>0.05</v>
      </c>
      <c r="H1230" s="3">
        <f>[1]Raw_Data!H1228</f>
        <v>0</v>
      </c>
      <c r="I1230" s="3" t="str">
        <f>TRIM([1]Raw_Data!I1228)</f>
        <v>UK</v>
      </c>
      <c r="J1230" s="3" t="str">
        <f>TRIM([1]Raw_Data!J1228)</f>
        <v>Amazon</v>
      </c>
      <c r="K1230" s="3">
        <f t="shared" si="76"/>
        <v>2021</v>
      </c>
      <c r="L1230" s="6">
        <f t="shared" si="77"/>
        <v>44348</v>
      </c>
      <c r="M1230" s="3" t="str">
        <f t="shared" si="78"/>
        <v>0% to 5%</v>
      </c>
      <c r="N1230" s="3" t="str">
        <f t="shared" si="79"/>
        <v>OK</v>
      </c>
    </row>
    <row r="1231" spans="1:14" x14ac:dyDescent="0.3">
      <c r="A1231" s="2">
        <f>DATE(VALUE(RIGHT(TRIM([1]Raw_Data!A1229),4)),VALUE(MID(TRIM([1]Raw_Data!A1229),4,2)),VALUE(LEFT(TRIM([1]Raw_Data!A1229),2)))</f>
        <v>44368</v>
      </c>
      <c r="B1231" s="3" t="str">
        <f>TRIM([1]Raw_Data!B1229)</f>
        <v>Melatonin</v>
      </c>
      <c r="C1231" s="3" t="str">
        <f>TRIM([1]Raw_Data!C1229)</f>
        <v>Sleep Aid</v>
      </c>
      <c r="D1231" s="3">
        <f>[1]Raw_Data!D1229</f>
        <v>168</v>
      </c>
      <c r="E1231" s="4">
        <f>[1]Raw_Data!E1229</f>
        <v>37.57</v>
      </c>
      <c r="F1231" s="5">
        <f>[1]Raw_Data!F1229</f>
        <v>6311.76</v>
      </c>
      <c r="G1231" s="4">
        <f>[1]Raw_Data!G1229</f>
        <v>0.09</v>
      </c>
      <c r="H1231" s="3">
        <f>[1]Raw_Data!H1229</f>
        <v>0</v>
      </c>
      <c r="I1231" s="3" t="str">
        <f>TRIM([1]Raw_Data!I1229)</f>
        <v>USA</v>
      </c>
      <c r="J1231" s="3" t="str">
        <f>TRIM([1]Raw_Data!J1229)</f>
        <v>iHerb</v>
      </c>
      <c r="K1231" s="3">
        <f t="shared" si="76"/>
        <v>2021</v>
      </c>
      <c r="L1231" s="6">
        <f t="shared" si="77"/>
        <v>44348</v>
      </c>
      <c r="M1231" s="3" t="str">
        <f t="shared" si="78"/>
        <v>6% to 10%</v>
      </c>
      <c r="N1231" s="3" t="str">
        <f t="shared" si="79"/>
        <v>OK</v>
      </c>
    </row>
    <row r="1232" spans="1:14" x14ac:dyDescent="0.3">
      <c r="A1232" s="2">
        <f>DATE(VALUE(RIGHT(TRIM([1]Raw_Data!A1230),4)),VALUE(MID(TRIM([1]Raw_Data!A1230),4,2)),VALUE(LEFT(TRIM([1]Raw_Data!A1230),2)))</f>
        <v>44368</v>
      </c>
      <c r="B1232" s="3" t="str">
        <f>TRIM([1]Raw_Data!B1230)</f>
        <v>Biotin</v>
      </c>
      <c r="C1232" s="3" t="str">
        <f>TRIM([1]Raw_Data!C1230)</f>
        <v>Vitamin</v>
      </c>
      <c r="D1232" s="3">
        <f>[1]Raw_Data!D1230</f>
        <v>153</v>
      </c>
      <c r="E1232" s="4">
        <f>[1]Raw_Data!E1230</f>
        <v>20.149999999999999</v>
      </c>
      <c r="F1232" s="5">
        <f>[1]Raw_Data!F1230</f>
        <v>3082.95</v>
      </c>
      <c r="G1232" s="4">
        <f>[1]Raw_Data!G1230</f>
        <v>0.11</v>
      </c>
      <c r="H1232" s="3">
        <f>[1]Raw_Data!H1230</f>
        <v>2</v>
      </c>
      <c r="I1232" s="3" t="str">
        <f>TRIM([1]Raw_Data!I1230)</f>
        <v>USA</v>
      </c>
      <c r="J1232" s="3" t="str">
        <f>TRIM([1]Raw_Data!J1230)</f>
        <v>Amazon</v>
      </c>
      <c r="K1232" s="3">
        <f t="shared" si="76"/>
        <v>2021</v>
      </c>
      <c r="L1232" s="6">
        <f t="shared" si="77"/>
        <v>44348</v>
      </c>
      <c r="M1232" s="3" t="str">
        <f t="shared" si="78"/>
        <v>11% to 15%</v>
      </c>
      <c r="N1232" s="3" t="str">
        <f t="shared" si="79"/>
        <v>OK</v>
      </c>
    </row>
    <row r="1233" spans="1:14" x14ac:dyDescent="0.3">
      <c r="A1233" s="2">
        <f>DATE(VALUE(RIGHT(TRIM([1]Raw_Data!A1231),4)),VALUE(MID(TRIM([1]Raw_Data!A1231),4,2)),VALUE(LEFT(TRIM([1]Raw_Data!A1231),2)))</f>
        <v>44368</v>
      </c>
      <c r="B1233" s="3" t="str">
        <f>TRIM([1]Raw_Data!B1231)</f>
        <v>Green Tea Extract</v>
      </c>
      <c r="C1233" s="3" t="str">
        <f>TRIM([1]Raw_Data!C1231)</f>
        <v>Fat Burner</v>
      </c>
      <c r="D1233" s="3">
        <f>[1]Raw_Data!D1231</f>
        <v>153</v>
      </c>
      <c r="E1233" s="4">
        <f>[1]Raw_Data!E1231</f>
        <v>37.4</v>
      </c>
      <c r="F1233" s="5">
        <f>[1]Raw_Data!F1231</f>
        <v>5722.2</v>
      </c>
      <c r="G1233" s="4">
        <f>[1]Raw_Data!G1231</f>
        <v>0.18</v>
      </c>
      <c r="H1233" s="3">
        <f>[1]Raw_Data!H1231</f>
        <v>2</v>
      </c>
      <c r="I1233" s="3" t="str">
        <f>TRIM([1]Raw_Data!I1231)</f>
        <v>UK</v>
      </c>
      <c r="J1233" s="3" t="str">
        <f>TRIM([1]Raw_Data!J1231)</f>
        <v>iHerb</v>
      </c>
      <c r="K1233" s="3">
        <f t="shared" si="76"/>
        <v>2021</v>
      </c>
      <c r="L1233" s="6">
        <f t="shared" si="77"/>
        <v>44348</v>
      </c>
      <c r="M1233" s="3" t="str">
        <f t="shared" si="78"/>
        <v>16% to 20%</v>
      </c>
      <c r="N1233" s="3" t="str">
        <f t="shared" si="79"/>
        <v>OK</v>
      </c>
    </row>
    <row r="1234" spans="1:14" x14ac:dyDescent="0.3">
      <c r="A1234" s="2">
        <f>DATE(VALUE(RIGHT(TRIM([1]Raw_Data!A1232),4)),VALUE(MID(TRIM([1]Raw_Data!A1232),4,2)),VALUE(LEFT(TRIM([1]Raw_Data!A1232),2)))</f>
        <v>44368</v>
      </c>
      <c r="B1234" s="3" t="str">
        <f>TRIM([1]Raw_Data!B1232)</f>
        <v>Iron Supplement</v>
      </c>
      <c r="C1234" s="3" t="str">
        <f>TRIM([1]Raw_Data!C1232)</f>
        <v>Mineral</v>
      </c>
      <c r="D1234" s="3">
        <f>[1]Raw_Data!D1232</f>
        <v>155</v>
      </c>
      <c r="E1234" s="4">
        <f>[1]Raw_Data!E1232</f>
        <v>45.51</v>
      </c>
      <c r="F1234" s="5">
        <f>[1]Raw_Data!F1232</f>
        <v>7054.05</v>
      </c>
      <c r="G1234" s="4">
        <f>[1]Raw_Data!G1232</f>
        <v>0.17</v>
      </c>
      <c r="H1234" s="3">
        <f>[1]Raw_Data!H1232</f>
        <v>0</v>
      </c>
      <c r="I1234" s="3" t="str">
        <f>TRIM([1]Raw_Data!I1232)</f>
        <v>UK</v>
      </c>
      <c r="J1234" s="3" t="str">
        <f>TRIM([1]Raw_Data!J1232)</f>
        <v>Walmart</v>
      </c>
      <c r="K1234" s="3">
        <f t="shared" si="76"/>
        <v>2021</v>
      </c>
      <c r="L1234" s="6">
        <f t="shared" si="77"/>
        <v>44348</v>
      </c>
      <c r="M1234" s="3" t="str">
        <f t="shared" si="78"/>
        <v>16% to 20%</v>
      </c>
      <c r="N1234" s="3" t="str">
        <f t="shared" si="79"/>
        <v>OK</v>
      </c>
    </row>
    <row r="1235" spans="1:14" x14ac:dyDescent="0.3">
      <c r="A1235" s="2">
        <f>DATE(VALUE(RIGHT(TRIM([1]Raw_Data!A1233),4)),VALUE(MID(TRIM([1]Raw_Data!A1233),4,2)),VALUE(LEFT(TRIM([1]Raw_Data!A1233),2)))</f>
        <v>44368</v>
      </c>
      <c r="B1235" s="3" t="str">
        <f>TRIM([1]Raw_Data!B1233)</f>
        <v>Electrolyte Powder</v>
      </c>
      <c r="C1235" s="3" t="str">
        <f>TRIM([1]Raw_Data!C1233)</f>
        <v>Hydration</v>
      </c>
      <c r="D1235" s="3">
        <f>[1]Raw_Data!D1233</f>
        <v>147</v>
      </c>
      <c r="E1235" s="4">
        <f>[1]Raw_Data!E1233</f>
        <v>43.47</v>
      </c>
      <c r="F1235" s="5">
        <f>[1]Raw_Data!F1233</f>
        <v>6390.09</v>
      </c>
      <c r="G1235" s="4">
        <f>[1]Raw_Data!G1233</f>
        <v>0.05</v>
      </c>
      <c r="H1235" s="3">
        <f>[1]Raw_Data!H1233</f>
        <v>2</v>
      </c>
      <c r="I1235" s="3" t="str">
        <f>TRIM([1]Raw_Data!I1233)</f>
        <v>USA</v>
      </c>
      <c r="J1235" s="3" t="str">
        <f>TRIM([1]Raw_Data!J1233)</f>
        <v>iHerb</v>
      </c>
      <c r="K1235" s="3">
        <f t="shared" si="76"/>
        <v>2021</v>
      </c>
      <c r="L1235" s="6">
        <f t="shared" si="77"/>
        <v>44348</v>
      </c>
      <c r="M1235" s="3" t="str">
        <f t="shared" si="78"/>
        <v>0% to 5%</v>
      </c>
      <c r="N1235" s="3" t="str">
        <f t="shared" si="79"/>
        <v>OK</v>
      </c>
    </row>
    <row r="1236" spans="1:14" x14ac:dyDescent="0.3">
      <c r="A1236" s="2">
        <f>DATE(VALUE(RIGHT(TRIM([1]Raw_Data!A1234),4)),VALUE(MID(TRIM([1]Raw_Data!A1234),4,2)),VALUE(LEFT(TRIM([1]Raw_Data!A1234),2)))</f>
        <v>44375</v>
      </c>
      <c r="B1236" s="3" t="str">
        <f>TRIM([1]Raw_Data!B1234)</f>
        <v>Whey Protein</v>
      </c>
      <c r="C1236" s="3" t="str">
        <f>TRIM([1]Raw_Data!C1234)</f>
        <v>Protein</v>
      </c>
      <c r="D1236" s="3">
        <f>[1]Raw_Data!D1234</f>
        <v>170</v>
      </c>
      <c r="E1236" s="4">
        <f>[1]Raw_Data!E1234</f>
        <v>56.07</v>
      </c>
      <c r="F1236" s="5">
        <f>[1]Raw_Data!F1234</f>
        <v>9531.9</v>
      </c>
      <c r="G1236" s="4">
        <f>[1]Raw_Data!G1234</f>
        <v>0.24</v>
      </c>
      <c r="H1236" s="3">
        <f>[1]Raw_Data!H1234</f>
        <v>0</v>
      </c>
      <c r="I1236" s="3" t="str">
        <f>TRIM([1]Raw_Data!I1234)</f>
        <v>UK</v>
      </c>
      <c r="J1236" s="3" t="str">
        <f>TRIM([1]Raw_Data!J1234)</f>
        <v>Walmart</v>
      </c>
      <c r="K1236" s="3">
        <f t="shared" si="76"/>
        <v>2021</v>
      </c>
      <c r="L1236" s="6">
        <f t="shared" si="77"/>
        <v>44348</v>
      </c>
      <c r="M1236" s="3" t="str">
        <f t="shared" si="78"/>
        <v>21% to 25%</v>
      </c>
      <c r="N1236" s="3" t="str">
        <f t="shared" si="79"/>
        <v>OK</v>
      </c>
    </row>
    <row r="1237" spans="1:14" x14ac:dyDescent="0.3">
      <c r="A1237" s="2">
        <f>DATE(VALUE(RIGHT(TRIM([1]Raw_Data!A1235),4)),VALUE(MID(TRIM([1]Raw_Data!A1235),4,2)),VALUE(LEFT(TRIM([1]Raw_Data!A1235),2)))</f>
        <v>44375</v>
      </c>
      <c r="B1237" s="3" t="str">
        <f>TRIM([1]Raw_Data!B1235)</f>
        <v>Vitamin C</v>
      </c>
      <c r="C1237" s="3" t="str">
        <f>TRIM([1]Raw_Data!C1235)</f>
        <v>Vitamin</v>
      </c>
      <c r="D1237" s="3">
        <f>[1]Raw_Data!D1235</f>
        <v>154</v>
      </c>
      <c r="E1237" s="4">
        <f>[1]Raw_Data!E1235</f>
        <v>52.99</v>
      </c>
      <c r="F1237" s="5">
        <f>[1]Raw_Data!F1235</f>
        <v>8160.46</v>
      </c>
      <c r="G1237" s="4">
        <f>[1]Raw_Data!G1235</f>
        <v>0.06</v>
      </c>
      <c r="H1237" s="3">
        <f>[1]Raw_Data!H1235</f>
        <v>5</v>
      </c>
      <c r="I1237" s="3" t="str">
        <f>TRIM([1]Raw_Data!I1235)</f>
        <v>UK</v>
      </c>
      <c r="J1237" s="3" t="str">
        <f>TRIM([1]Raw_Data!J1235)</f>
        <v>Amazon</v>
      </c>
      <c r="K1237" s="3">
        <f t="shared" si="76"/>
        <v>2021</v>
      </c>
      <c r="L1237" s="6">
        <f t="shared" si="77"/>
        <v>44348</v>
      </c>
      <c r="M1237" s="3" t="str">
        <f t="shared" si="78"/>
        <v>6% to 10%</v>
      </c>
      <c r="N1237" s="3" t="str">
        <f t="shared" si="79"/>
        <v>OK</v>
      </c>
    </row>
    <row r="1238" spans="1:14" x14ac:dyDescent="0.3">
      <c r="A1238" s="2">
        <f>DATE(VALUE(RIGHT(TRIM([1]Raw_Data!A1236),4)),VALUE(MID(TRIM([1]Raw_Data!A1236),4,2)),VALUE(LEFT(TRIM([1]Raw_Data!A1236),2)))</f>
        <v>44375</v>
      </c>
      <c r="B1238" s="3" t="str">
        <f>TRIM([1]Raw_Data!B1236)</f>
        <v>Fish Oil</v>
      </c>
      <c r="C1238" s="3" t="str">
        <f>TRIM([1]Raw_Data!C1236)</f>
        <v>Omega</v>
      </c>
      <c r="D1238" s="3">
        <f>[1]Raw_Data!D1236</f>
        <v>154</v>
      </c>
      <c r="E1238" s="4">
        <f>[1]Raw_Data!E1236</f>
        <v>14.28</v>
      </c>
      <c r="F1238" s="5">
        <f>[1]Raw_Data!F1236</f>
        <v>2199.12</v>
      </c>
      <c r="G1238" s="4">
        <f>[1]Raw_Data!G1236</f>
        <v>0.05</v>
      </c>
      <c r="H1238" s="3">
        <f>[1]Raw_Data!H1236</f>
        <v>2</v>
      </c>
      <c r="I1238" s="3" t="str">
        <f>TRIM([1]Raw_Data!I1236)</f>
        <v>USA</v>
      </c>
      <c r="J1238" s="3" t="str">
        <f>TRIM([1]Raw_Data!J1236)</f>
        <v>Walmart</v>
      </c>
      <c r="K1238" s="3">
        <f t="shared" si="76"/>
        <v>2021</v>
      </c>
      <c r="L1238" s="6">
        <f t="shared" si="77"/>
        <v>44348</v>
      </c>
      <c r="M1238" s="3" t="str">
        <f t="shared" si="78"/>
        <v>0% to 5%</v>
      </c>
      <c r="N1238" s="3" t="str">
        <f t="shared" si="79"/>
        <v>OK</v>
      </c>
    </row>
    <row r="1239" spans="1:14" x14ac:dyDescent="0.3">
      <c r="A1239" s="2">
        <f>DATE(VALUE(RIGHT(TRIM([1]Raw_Data!A1237),4)),VALUE(MID(TRIM([1]Raw_Data!A1237),4,2)),VALUE(LEFT(TRIM([1]Raw_Data!A1237),2)))</f>
        <v>44375</v>
      </c>
      <c r="B1239" s="3" t="str">
        <f>TRIM([1]Raw_Data!B1237)</f>
        <v>Multivitamin</v>
      </c>
      <c r="C1239" s="3" t="str">
        <f>TRIM([1]Raw_Data!C1237)</f>
        <v>Vitamin</v>
      </c>
      <c r="D1239" s="3">
        <f>[1]Raw_Data!D1237</f>
        <v>145</v>
      </c>
      <c r="E1239" s="4">
        <f>[1]Raw_Data!E1237</f>
        <v>44.8</v>
      </c>
      <c r="F1239" s="5">
        <f>[1]Raw_Data!F1237</f>
        <v>6496</v>
      </c>
      <c r="G1239" s="4">
        <f>[1]Raw_Data!G1237</f>
        <v>0.09</v>
      </c>
      <c r="H1239" s="3">
        <f>[1]Raw_Data!H1237</f>
        <v>0</v>
      </c>
      <c r="I1239" s="3" t="str">
        <f>TRIM([1]Raw_Data!I1237)</f>
        <v>UK</v>
      </c>
      <c r="J1239" s="3" t="str">
        <f>TRIM([1]Raw_Data!J1237)</f>
        <v>Walmart</v>
      </c>
      <c r="K1239" s="3">
        <f t="shared" si="76"/>
        <v>2021</v>
      </c>
      <c r="L1239" s="6">
        <f t="shared" si="77"/>
        <v>44348</v>
      </c>
      <c r="M1239" s="3" t="str">
        <f t="shared" si="78"/>
        <v>6% to 10%</v>
      </c>
      <c r="N1239" s="3" t="str">
        <f t="shared" si="79"/>
        <v>OK</v>
      </c>
    </row>
    <row r="1240" spans="1:14" x14ac:dyDescent="0.3">
      <c r="A1240" s="2">
        <f>DATE(VALUE(RIGHT(TRIM([1]Raw_Data!A1238),4)),VALUE(MID(TRIM([1]Raw_Data!A1238),4,2)),VALUE(LEFT(TRIM([1]Raw_Data!A1238),2)))</f>
        <v>44375</v>
      </c>
      <c r="B1240" s="3" t="str">
        <f>TRIM([1]Raw_Data!B1238)</f>
        <v>Pre-Workout</v>
      </c>
      <c r="C1240" s="3" t="str">
        <f>TRIM([1]Raw_Data!C1238)</f>
        <v>Performance</v>
      </c>
      <c r="D1240" s="3">
        <f>[1]Raw_Data!D1238</f>
        <v>127</v>
      </c>
      <c r="E1240" s="4">
        <f>[1]Raw_Data!E1238</f>
        <v>36.03</v>
      </c>
      <c r="F1240" s="5">
        <f>[1]Raw_Data!F1238</f>
        <v>4575.8100000000004</v>
      </c>
      <c r="G1240" s="4">
        <f>[1]Raw_Data!G1238</f>
        <v>0.19</v>
      </c>
      <c r="H1240" s="3">
        <f>[1]Raw_Data!H1238</f>
        <v>1</v>
      </c>
      <c r="I1240" s="3" t="str">
        <f>TRIM([1]Raw_Data!I1238)</f>
        <v>USA</v>
      </c>
      <c r="J1240" s="3" t="str">
        <f>TRIM([1]Raw_Data!J1238)</f>
        <v>Amazon</v>
      </c>
      <c r="K1240" s="3">
        <f t="shared" si="76"/>
        <v>2021</v>
      </c>
      <c r="L1240" s="6">
        <f t="shared" si="77"/>
        <v>44348</v>
      </c>
      <c r="M1240" s="3" t="str">
        <f t="shared" si="78"/>
        <v>16% to 20%</v>
      </c>
      <c r="N1240" s="3" t="str">
        <f t="shared" si="79"/>
        <v>OK</v>
      </c>
    </row>
    <row r="1241" spans="1:14" x14ac:dyDescent="0.3">
      <c r="A1241" s="2">
        <f>DATE(VALUE(RIGHT(TRIM([1]Raw_Data!A1239),4)),VALUE(MID(TRIM([1]Raw_Data!A1239),4,2)),VALUE(LEFT(TRIM([1]Raw_Data!A1239),2)))</f>
        <v>44375</v>
      </c>
      <c r="B1241" s="3" t="str">
        <f>TRIM([1]Raw_Data!B1239)</f>
        <v>BCAA</v>
      </c>
      <c r="C1241" s="3" t="str">
        <f>TRIM([1]Raw_Data!C1239)</f>
        <v>Amino Acid</v>
      </c>
      <c r="D1241" s="3">
        <f>[1]Raw_Data!D1239</f>
        <v>147</v>
      </c>
      <c r="E1241" s="4">
        <f>[1]Raw_Data!E1239</f>
        <v>11.32</v>
      </c>
      <c r="F1241" s="5">
        <f>[1]Raw_Data!F1239</f>
        <v>1664.04</v>
      </c>
      <c r="G1241" s="4">
        <f>[1]Raw_Data!G1239</f>
        <v>0.08</v>
      </c>
      <c r="H1241" s="3">
        <f>[1]Raw_Data!H1239</f>
        <v>4</v>
      </c>
      <c r="I1241" s="3" t="str">
        <f>TRIM([1]Raw_Data!I1239)</f>
        <v>UK</v>
      </c>
      <c r="J1241" s="3" t="str">
        <f>TRIM([1]Raw_Data!J1239)</f>
        <v>iHerb</v>
      </c>
      <c r="K1241" s="3">
        <f t="shared" si="76"/>
        <v>2021</v>
      </c>
      <c r="L1241" s="6">
        <f t="shared" si="77"/>
        <v>44348</v>
      </c>
      <c r="M1241" s="3" t="str">
        <f t="shared" si="78"/>
        <v>6% to 10%</v>
      </c>
      <c r="N1241" s="3" t="str">
        <f t="shared" si="79"/>
        <v>OK</v>
      </c>
    </row>
    <row r="1242" spans="1:14" x14ac:dyDescent="0.3">
      <c r="A1242" s="2">
        <f>DATE(VALUE(RIGHT(TRIM([1]Raw_Data!A1240),4)),VALUE(MID(TRIM([1]Raw_Data!A1240),4,2)),VALUE(LEFT(TRIM([1]Raw_Data!A1240),2)))</f>
        <v>44375</v>
      </c>
      <c r="B1242" s="3" t="str">
        <f>TRIM([1]Raw_Data!B1240)</f>
        <v>Creatine</v>
      </c>
      <c r="C1242" s="3" t="str">
        <f>TRIM([1]Raw_Data!C1240)</f>
        <v>Performance</v>
      </c>
      <c r="D1242" s="3">
        <f>[1]Raw_Data!D1240</f>
        <v>166</v>
      </c>
      <c r="E1242" s="4">
        <f>[1]Raw_Data!E1240</f>
        <v>39.39</v>
      </c>
      <c r="F1242" s="5">
        <f>[1]Raw_Data!F1240</f>
        <v>6538.74</v>
      </c>
      <c r="G1242" s="4">
        <f>[1]Raw_Data!G1240</f>
        <v>0.21</v>
      </c>
      <c r="H1242" s="3">
        <f>[1]Raw_Data!H1240</f>
        <v>1</v>
      </c>
      <c r="I1242" s="3" t="str">
        <f>TRIM([1]Raw_Data!I1240)</f>
        <v>USA</v>
      </c>
      <c r="J1242" s="3" t="str">
        <f>TRIM([1]Raw_Data!J1240)</f>
        <v>Walmart</v>
      </c>
      <c r="K1242" s="3">
        <f t="shared" si="76"/>
        <v>2021</v>
      </c>
      <c r="L1242" s="6">
        <f t="shared" si="77"/>
        <v>44348</v>
      </c>
      <c r="M1242" s="3" t="str">
        <f t="shared" si="78"/>
        <v>21% to 25%</v>
      </c>
      <c r="N1242" s="3" t="str">
        <f t="shared" si="79"/>
        <v>OK</v>
      </c>
    </row>
    <row r="1243" spans="1:14" x14ac:dyDescent="0.3">
      <c r="A1243" s="2">
        <f>DATE(VALUE(RIGHT(TRIM([1]Raw_Data!A1241),4)),VALUE(MID(TRIM([1]Raw_Data!A1241),4,2)),VALUE(LEFT(TRIM([1]Raw_Data!A1241),2)))</f>
        <v>44375</v>
      </c>
      <c r="B1243" s="3" t="str">
        <f>TRIM([1]Raw_Data!B1241)</f>
        <v>Zinc</v>
      </c>
      <c r="C1243" s="3" t="str">
        <f>TRIM([1]Raw_Data!C1241)</f>
        <v>Mineral</v>
      </c>
      <c r="D1243" s="3">
        <f>[1]Raw_Data!D1241</f>
        <v>150</v>
      </c>
      <c r="E1243" s="4">
        <f>[1]Raw_Data!E1241</f>
        <v>44.66</v>
      </c>
      <c r="F1243" s="5">
        <f>[1]Raw_Data!F1241</f>
        <v>6699</v>
      </c>
      <c r="G1243" s="4">
        <f>[1]Raw_Data!G1241</f>
        <v>0.02</v>
      </c>
      <c r="H1243" s="3">
        <f>[1]Raw_Data!H1241</f>
        <v>0</v>
      </c>
      <c r="I1243" s="3" t="str">
        <f>TRIM([1]Raw_Data!I1241)</f>
        <v>Canada</v>
      </c>
      <c r="J1243" s="3" t="str">
        <f>TRIM([1]Raw_Data!J1241)</f>
        <v>iHerb</v>
      </c>
      <c r="K1243" s="3">
        <f t="shared" si="76"/>
        <v>2021</v>
      </c>
      <c r="L1243" s="6">
        <f t="shared" si="77"/>
        <v>44348</v>
      </c>
      <c r="M1243" s="3" t="str">
        <f t="shared" si="78"/>
        <v>0% to 5%</v>
      </c>
      <c r="N1243" s="3" t="str">
        <f t="shared" si="79"/>
        <v>OK</v>
      </c>
    </row>
    <row r="1244" spans="1:14" x14ac:dyDescent="0.3">
      <c r="A1244" s="2">
        <f>DATE(VALUE(RIGHT(TRIM([1]Raw_Data!A1242),4)),VALUE(MID(TRIM([1]Raw_Data!A1242),4,2)),VALUE(LEFT(TRIM([1]Raw_Data!A1242),2)))</f>
        <v>44375</v>
      </c>
      <c r="B1244" s="3" t="str">
        <f>TRIM([1]Raw_Data!B1242)</f>
        <v>Collagen Peptides</v>
      </c>
      <c r="C1244" s="3" t="str">
        <f>TRIM([1]Raw_Data!C1242)</f>
        <v>Protein</v>
      </c>
      <c r="D1244" s="3">
        <f>[1]Raw_Data!D1242</f>
        <v>160</v>
      </c>
      <c r="E1244" s="4">
        <f>[1]Raw_Data!E1242</f>
        <v>40.880000000000003</v>
      </c>
      <c r="F1244" s="5">
        <f>[1]Raw_Data!F1242</f>
        <v>6540.8</v>
      </c>
      <c r="G1244" s="4">
        <f>[1]Raw_Data!G1242</f>
        <v>0.16</v>
      </c>
      <c r="H1244" s="3">
        <f>[1]Raw_Data!H1242</f>
        <v>0</v>
      </c>
      <c r="I1244" s="3" t="str">
        <f>TRIM([1]Raw_Data!I1242)</f>
        <v>USA</v>
      </c>
      <c r="J1244" s="3" t="str">
        <f>TRIM([1]Raw_Data!J1242)</f>
        <v>Walmart</v>
      </c>
      <c r="K1244" s="3">
        <f t="shared" si="76"/>
        <v>2021</v>
      </c>
      <c r="L1244" s="6">
        <f t="shared" si="77"/>
        <v>44348</v>
      </c>
      <c r="M1244" s="3" t="str">
        <f t="shared" si="78"/>
        <v>16% to 20%</v>
      </c>
      <c r="N1244" s="3" t="str">
        <f t="shared" si="79"/>
        <v>OK</v>
      </c>
    </row>
    <row r="1245" spans="1:14" x14ac:dyDescent="0.3">
      <c r="A1245" s="2">
        <f>DATE(VALUE(RIGHT(TRIM([1]Raw_Data!A1243),4)),VALUE(MID(TRIM([1]Raw_Data!A1243),4,2)),VALUE(LEFT(TRIM([1]Raw_Data!A1243),2)))</f>
        <v>44375</v>
      </c>
      <c r="B1245" s="3" t="str">
        <f>TRIM([1]Raw_Data!B1243)</f>
        <v>Magnesium</v>
      </c>
      <c r="C1245" s="3" t="str">
        <f>TRIM([1]Raw_Data!C1243)</f>
        <v>Mineral</v>
      </c>
      <c r="D1245" s="3">
        <f>[1]Raw_Data!D1243</f>
        <v>163</v>
      </c>
      <c r="E1245" s="4">
        <f>[1]Raw_Data!E1243</f>
        <v>22.95</v>
      </c>
      <c r="F1245" s="5">
        <f>[1]Raw_Data!F1243</f>
        <v>3740.85</v>
      </c>
      <c r="G1245" s="4">
        <f>[1]Raw_Data!G1243</f>
        <v>0.18</v>
      </c>
      <c r="H1245" s="3">
        <f>[1]Raw_Data!H1243</f>
        <v>1</v>
      </c>
      <c r="I1245" s="3" t="str">
        <f>TRIM([1]Raw_Data!I1243)</f>
        <v>Canada</v>
      </c>
      <c r="J1245" s="3" t="str">
        <f>TRIM([1]Raw_Data!J1243)</f>
        <v>iHerb</v>
      </c>
      <c r="K1245" s="3">
        <f t="shared" si="76"/>
        <v>2021</v>
      </c>
      <c r="L1245" s="6">
        <f t="shared" si="77"/>
        <v>44348</v>
      </c>
      <c r="M1245" s="3" t="str">
        <f t="shared" si="78"/>
        <v>16% to 20%</v>
      </c>
      <c r="N1245" s="3" t="str">
        <f t="shared" si="79"/>
        <v>OK</v>
      </c>
    </row>
    <row r="1246" spans="1:14" x14ac:dyDescent="0.3">
      <c r="A1246" s="2">
        <f>DATE(VALUE(RIGHT(TRIM([1]Raw_Data!A1244),4)),VALUE(MID(TRIM([1]Raw_Data!A1244),4,2)),VALUE(LEFT(TRIM([1]Raw_Data!A1244),2)))</f>
        <v>44375</v>
      </c>
      <c r="B1246" s="3" t="str">
        <f>TRIM([1]Raw_Data!B1244)</f>
        <v>Ashwagandha</v>
      </c>
      <c r="C1246" s="3" t="str">
        <f>TRIM([1]Raw_Data!C1244)</f>
        <v>Herbal</v>
      </c>
      <c r="D1246" s="3">
        <f>[1]Raw_Data!D1244</f>
        <v>119</v>
      </c>
      <c r="E1246" s="4">
        <f>[1]Raw_Data!E1244</f>
        <v>18.93</v>
      </c>
      <c r="F1246" s="5">
        <f>[1]Raw_Data!F1244</f>
        <v>2252.67</v>
      </c>
      <c r="G1246" s="4">
        <f>[1]Raw_Data!G1244</f>
        <v>0.08</v>
      </c>
      <c r="H1246" s="3">
        <f>[1]Raw_Data!H1244</f>
        <v>1</v>
      </c>
      <c r="I1246" s="3" t="str">
        <f>TRIM([1]Raw_Data!I1244)</f>
        <v>USA</v>
      </c>
      <c r="J1246" s="3" t="str">
        <f>TRIM([1]Raw_Data!J1244)</f>
        <v>Walmart</v>
      </c>
      <c r="K1246" s="3">
        <f t="shared" si="76"/>
        <v>2021</v>
      </c>
      <c r="L1246" s="6">
        <f t="shared" si="77"/>
        <v>44348</v>
      </c>
      <c r="M1246" s="3" t="str">
        <f t="shared" si="78"/>
        <v>6% to 10%</v>
      </c>
      <c r="N1246" s="3" t="str">
        <f t="shared" si="79"/>
        <v>OK</v>
      </c>
    </row>
    <row r="1247" spans="1:14" x14ac:dyDescent="0.3">
      <c r="A1247" s="2">
        <f>DATE(VALUE(RIGHT(TRIM([1]Raw_Data!A1245),4)),VALUE(MID(TRIM([1]Raw_Data!A1245),4,2)),VALUE(LEFT(TRIM([1]Raw_Data!A1245),2)))</f>
        <v>44375</v>
      </c>
      <c r="B1247" s="3" t="str">
        <f>TRIM([1]Raw_Data!B1245)</f>
        <v>Melatonin</v>
      </c>
      <c r="C1247" s="3" t="str">
        <f>TRIM([1]Raw_Data!C1245)</f>
        <v>Sleep Aid</v>
      </c>
      <c r="D1247" s="3">
        <f>[1]Raw_Data!D1245</f>
        <v>150</v>
      </c>
      <c r="E1247" s="4">
        <f>[1]Raw_Data!E1245</f>
        <v>23.53</v>
      </c>
      <c r="F1247" s="5">
        <f>[1]Raw_Data!F1245</f>
        <v>3529.5</v>
      </c>
      <c r="G1247" s="4">
        <f>[1]Raw_Data!G1245</f>
        <v>0.01</v>
      </c>
      <c r="H1247" s="3">
        <f>[1]Raw_Data!H1245</f>
        <v>2</v>
      </c>
      <c r="I1247" s="3" t="str">
        <f>TRIM([1]Raw_Data!I1245)</f>
        <v>USA</v>
      </c>
      <c r="J1247" s="3" t="str">
        <f>TRIM([1]Raw_Data!J1245)</f>
        <v>Walmart</v>
      </c>
      <c r="K1247" s="3">
        <f t="shared" si="76"/>
        <v>2021</v>
      </c>
      <c r="L1247" s="6">
        <f t="shared" si="77"/>
        <v>44348</v>
      </c>
      <c r="M1247" s="3" t="str">
        <f t="shared" si="78"/>
        <v>0% to 5%</v>
      </c>
      <c r="N1247" s="3" t="str">
        <f t="shared" si="79"/>
        <v>OK</v>
      </c>
    </row>
    <row r="1248" spans="1:14" x14ac:dyDescent="0.3">
      <c r="A1248" s="2">
        <f>DATE(VALUE(RIGHT(TRIM([1]Raw_Data!A1246),4)),VALUE(MID(TRIM([1]Raw_Data!A1246),4,2)),VALUE(LEFT(TRIM([1]Raw_Data!A1246),2)))</f>
        <v>44375</v>
      </c>
      <c r="B1248" s="3" t="str">
        <f>TRIM([1]Raw_Data!B1246)</f>
        <v>Biotin</v>
      </c>
      <c r="C1248" s="3" t="str">
        <f>TRIM([1]Raw_Data!C1246)</f>
        <v>Vitamin</v>
      </c>
      <c r="D1248" s="3">
        <f>[1]Raw_Data!D1246</f>
        <v>146</v>
      </c>
      <c r="E1248" s="4">
        <f>[1]Raw_Data!E1246</f>
        <v>53.35</v>
      </c>
      <c r="F1248" s="5">
        <f>[1]Raw_Data!F1246</f>
        <v>7789.1</v>
      </c>
      <c r="G1248" s="4">
        <f>[1]Raw_Data!G1246</f>
        <v>0.19</v>
      </c>
      <c r="H1248" s="3">
        <f>[1]Raw_Data!H1246</f>
        <v>3</v>
      </c>
      <c r="I1248" s="3" t="str">
        <f>TRIM([1]Raw_Data!I1246)</f>
        <v>USA</v>
      </c>
      <c r="J1248" s="3" t="str">
        <f>TRIM([1]Raw_Data!J1246)</f>
        <v>Amazon</v>
      </c>
      <c r="K1248" s="3">
        <f t="shared" si="76"/>
        <v>2021</v>
      </c>
      <c r="L1248" s="6">
        <f t="shared" si="77"/>
        <v>44348</v>
      </c>
      <c r="M1248" s="3" t="str">
        <f t="shared" si="78"/>
        <v>16% to 20%</v>
      </c>
      <c r="N1248" s="3" t="str">
        <f t="shared" si="79"/>
        <v>OK</v>
      </c>
    </row>
    <row r="1249" spans="1:14" x14ac:dyDescent="0.3">
      <c r="A1249" s="2">
        <f>DATE(VALUE(RIGHT(TRIM([1]Raw_Data!A1247),4)),VALUE(MID(TRIM([1]Raw_Data!A1247),4,2)),VALUE(LEFT(TRIM([1]Raw_Data!A1247),2)))</f>
        <v>44375</v>
      </c>
      <c r="B1249" s="3" t="str">
        <f>TRIM([1]Raw_Data!B1247)</f>
        <v>Green Tea Extract</v>
      </c>
      <c r="C1249" s="3" t="str">
        <f>TRIM([1]Raw_Data!C1247)</f>
        <v>Fat Burner</v>
      </c>
      <c r="D1249" s="3">
        <f>[1]Raw_Data!D1247</f>
        <v>150</v>
      </c>
      <c r="E1249" s="4">
        <f>[1]Raw_Data!E1247</f>
        <v>44.81</v>
      </c>
      <c r="F1249" s="5">
        <f>[1]Raw_Data!F1247</f>
        <v>6721.5</v>
      </c>
      <c r="G1249" s="4">
        <f>[1]Raw_Data!G1247</f>
        <v>0.05</v>
      </c>
      <c r="H1249" s="3">
        <f>[1]Raw_Data!H1247</f>
        <v>1</v>
      </c>
      <c r="I1249" s="3" t="str">
        <f>TRIM([1]Raw_Data!I1247)</f>
        <v>Canada</v>
      </c>
      <c r="J1249" s="3" t="str">
        <f>TRIM([1]Raw_Data!J1247)</f>
        <v>iHerb</v>
      </c>
      <c r="K1249" s="3">
        <f t="shared" si="76"/>
        <v>2021</v>
      </c>
      <c r="L1249" s="6">
        <f t="shared" si="77"/>
        <v>44348</v>
      </c>
      <c r="M1249" s="3" t="str">
        <f t="shared" si="78"/>
        <v>0% to 5%</v>
      </c>
      <c r="N1249" s="3" t="str">
        <f t="shared" si="79"/>
        <v>OK</v>
      </c>
    </row>
    <row r="1250" spans="1:14" x14ac:dyDescent="0.3">
      <c r="A1250" s="2">
        <f>DATE(VALUE(RIGHT(TRIM([1]Raw_Data!A1248),4)),VALUE(MID(TRIM([1]Raw_Data!A1248),4,2)),VALUE(LEFT(TRIM([1]Raw_Data!A1248),2)))</f>
        <v>44375</v>
      </c>
      <c r="B1250" s="3" t="str">
        <f>TRIM([1]Raw_Data!B1248)</f>
        <v>Iron Supplement</v>
      </c>
      <c r="C1250" s="3" t="str">
        <f>TRIM([1]Raw_Data!C1248)</f>
        <v>Mineral</v>
      </c>
      <c r="D1250" s="3">
        <f>[1]Raw_Data!D1248</f>
        <v>134</v>
      </c>
      <c r="E1250" s="4">
        <f>[1]Raw_Data!E1248</f>
        <v>53.21</v>
      </c>
      <c r="F1250" s="5">
        <f>[1]Raw_Data!F1248</f>
        <v>7130.14</v>
      </c>
      <c r="G1250" s="4">
        <f>[1]Raw_Data!G1248</f>
        <v>0.12</v>
      </c>
      <c r="H1250" s="3">
        <f>[1]Raw_Data!H1248</f>
        <v>2</v>
      </c>
      <c r="I1250" s="3" t="str">
        <f>TRIM([1]Raw_Data!I1248)</f>
        <v>Canada</v>
      </c>
      <c r="J1250" s="3" t="str">
        <f>TRIM([1]Raw_Data!J1248)</f>
        <v>iHerb</v>
      </c>
      <c r="K1250" s="3">
        <f t="shared" si="76"/>
        <v>2021</v>
      </c>
      <c r="L1250" s="6">
        <f t="shared" si="77"/>
        <v>44348</v>
      </c>
      <c r="M1250" s="3" t="str">
        <f t="shared" si="78"/>
        <v>11% to 15%</v>
      </c>
      <c r="N1250" s="3" t="str">
        <f t="shared" si="79"/>
        <v>OK</v>
      </c>
    </row>
    <row r="1251" spans="1:14" x14ac:dyDescent="0.3">
      <c r="A1251" s="2">
        <f>DATE(VALUE(RIGHT(TRIM([1]Raw_Data!A1249),4)),VALUE(MID(TRIM([1]Raw_Data!A1249),4,2)),VALUE(LEFT(TRIM([1]Raw_Data!A1249),2)))</f>
        <v>44375</v>
      </c>
      <c r="B1251" s="3" t="str">
        <f>TRIM([1]Raw_Data!B1249)</f>
        <v>Electrolyte Powder</v>
      </c>
      <c r="C1251" s="3" t="str">
        <f>TRIM([1]Raw_Data!C1249)</f>
        <v>Hydration</v>
      </c>
      <c r="D1251" s="3">
        <f>[1]Raw_Data!D1249</f>
        <v>154</v>
      </c>
      <c r="E1251" s="4">
        <f>[1]Raw_Data!E1249</f>
        <v>31.59</v>
      </c>
      <c r="F1251" s="5">
        <f>[1]Raw_Data!F1249</f>
        <v>4864.8599999999997</v>
      </c>
      <c r="G1251" s="4">
        <f>[1]Raw_Data!G1249</f>
        <v>0.2</v>
      </c>
      <c r="H1251" s="3">
        <f>[1]Raw_Data!H1249</f>
        <v>1</v>
      </c>
      <c r="I1251" s="3" t="str">
        <f>TRIM([1]Raw_Data!I1249)</f>
        <v>Canada</v>
      </c>
      <c r="J1251" s="3" t="str">
        <f>TRIM([1]Raw_Data!J1249)</f>
        <v>Walmart</v>
      </c>
      <c r="K1251" s="3">
        <f t="shared" si="76"/>
        <v>2021</v>
      </c>
      <c r="L1251" s="6">
        <f t="shared" si="77"/>
        <v>44348</v>
      </c>
      <c r="M1251" s="3" t="str">
        <f t="shared" si="78"/>
        <v>16% to 20%</v>
      </c>
      <c r="N1251" s="3" t="str">
        <f t="shared" si="79"/>
        <v>OK</v>
      </c>
    </row>
    <row r="1252" spans="1:14" x14ac:dyDescent="0.3">
      <c r="A1252" s="2">
        <f>DATE(VALUE(RIGHT(TRIM([1]Raw_Data!A1250),4)),VALUE(MID(TRIM([1]Raw_Data!A1250),4,2)),VALUE(LEFT(TRIM([1]Raw_Data!A1250),2)))</f>
        <v>44382</v>
      </c>
      <c r="B1252" s="3" t="str">
        <f>TRIM([1]Raw_Data!B1250)</f>
        <v>Whey Protein</v>
      </c>
      <c r="C1252" s="3" t="str">
        <f>TRIM([1]Raw_Data!C1250)</f>
        <v>Protein</v>
      </c>
      <c r="D1252" s="3">
        <f>[1]Raw_Data!D1250</f>
        <v>175</v>
      </c>
      <c r="E1252" s="4">
        <f>[1]Raw_Data!E1250</f>
        <v>33.130000000000003</v>
      </c>
      <c r="F1252" s="5">
        <f>[1]Raw_Data!F1250</f>
        <v>5797.75</v>
      </c>
      <c r="G1252" s="4">
        <f>[1]Raw_Data!G1250</f>
        <v>0.2</v>
      </c>
      <c r="H1252" s="3">
        <f>[1]Raw_Data!H1250</f>
        <v>3</v>
      </c>
      <c r="I1252" s="3" t="str">
        <f>TRIM([1]Raw_Data!I1250)</f>
        <v>UK</v>
      </c>
      <c r="J1252" s="3" t="str">
        <f>TRIM([1]Raw_Data!J1250)</f>
        <v>iHerb</v>
      </c>
      <c r="K1252" s="3">
        <f t="shared" si="76"/>
        <v>2021</v>
      </c>
      <c r="L1252" s="6">
        <f t="shared" si="77"/>
        <v>44378</v>
      </c>
      <c r="M1252" s="3" t="str">
        <f t="shared" si="78"/>
        <v>16% to 20%</v>
      </c>
      <c r="N1252" s="3" t="str">
        <f t="shared" si="79"/>
        <v>OK</v>
      </c>
    </row>
    <row r="1253" spans="1:14" x14ac:dyDescent="0.3">
      <c r="A1253" s="2">
        <f>DATE(VALUE(RIGHT(TRIM([1]Raw_Data!A1251),4)),VALUE(MID(TRIM([1]Raw_Data!A1251),4,2)),VALUE(LEFT(TRIM([1]Raw_Data!A1251),2)))</f>
        <v>44382</v>
      </c>
      <c r="B1253" s="3" t="str">
        <f>TRIM([1]Raw_Data!B1251)</f>
        <v>Vitamin C</v>
      </c>
      <c r="C1253" s="3" t="str">
        <f>TRIM([1]Raw_Data!C1251)</f>
        <v>Vitamin</v>
      </c>
      <c r="D1253" s="3">
        <f>[1]Raw_Data!D1251</f>
        <v>152</v>
      </c>
      <c r="E1253" s="4">
        <f>[1]Raw_Data!E1251</f>
        <v>33.39</v>
      </c>
      <c r="F1253" s="5">
        <f>[1]Raw_Data!F1251</f>
        <v>5075.28</v>
      </c>
      <c r="G1253" s="4">
        <f>[1]Raw_Data!G1251</f>
        <v>0.24</v>
      </c>
      <c r="H1253" s="3">
        <f>[1]Raw_Data!H1251</f>
        <v>2</v>
      </c>
      <c r="I1253" s="3" t="str">
        <f>TRIM([1]Raw_Data!I1251)</f>
        <v>Canada</v>
      </c>
      <c r="J1253" s="3" t="str">
        <f>TRIM([1]Raw_Data!J1251)</f>
        <v>Walmart</v>
      </c>
      <c r="K1253" s="3">
        <f t="shared" si="76"/>
        <v>2021</v>
      </c>
      <c r="L1253" s="6">
        <f t="shared" si="77"/>
        <v>44378</v>
      </c>
      <c r="M1253" s="3" t="str">
        <f t="shared" si="78"/>
        <v>21% to 25%</v>
      </c>
      <c r="N1253" s="3" t="str">
        <f t="shared" si="79"/>
        <v>OK</v>
      </c>
    </row>
    <row r="1254" spans="1:14" x14ac:dyDescent="0.3">
      <c r="A1254" s="2">
        <f>DATE(VALUE(RIGHT(TRIM([1]Raw_Data!A1252),4)),VALUE(MID(TRIM([1]Raw_Data!A1252),4,2)),VALUE(LEFT(TRIM([1]Raw_Data!A1252),2)))</f>
        <v>44382</v>
      </c>
      <c r="B1254" s="3" t="str">
        <f>TRIM([1]Raw_Data!B1252)</f>
        <v>Fish Oil</v>
      </c>
      <c r="C1254" s="3" t="str">
        <f>TRIM([1]Raw_Data!C1252)</f>
        <v>Omega</v>
      </c>
      <c r="D1254" s="3">
        <f>[1]Raw_Data!D1252</f>
        <v>162</v>
      </c>
      <c r="E1254" s="4">
        <f>[1]Raw_Data!E1252</f>
        <v>33.39</v>
      </c>
      <c r="F1254" s="5">
        <f>[1]Raw_Data!F1252</f>
        <v>5409.18</v>
      </c>
      <c r="G1254" s="4">
        <f>[1]Raw_Data!G1252</f>
        <v>0.16</v>
      </c>
      <c r="H1254" s="3">
        <f>[1]Raw_Data!H1252</f>
        <v>3</v>
      </c>
      <c r="I1254" s="3" t="str">
        <f>TRIM([1]Raw_Data!I1252)</f>
        <v>UK</v>
      </c>
      <c r="J1254" s="3" t="str">
        <f>TRIM([1]Raw_Data!J1252)</f>
        <v>Amazon</v>
      </c>
      <c r="K1254" s="3">
        <f t="shared" si="76"/>
        <v>2021</v>
      </c>
      <c r="L1254" s="6">
        <f t="shared" si="77"/>
        <v>44378</v>
      </c>
      <c r="M1254" s="3" t="str">
        <f t="shared" si="78"/>
        <v>16% to 20%</v>
      </c>
      <c r="N1254" s="3" t="str">
        <f t="shared" si="79"/>
        <v>OK</v>
      </c>
    </row>
    <row r="1255" spans="1:14" x14ac:dyDescent="0.3">
      <c r="A1255" s="2">
        <f>DATE(VALUE(RIGHT(TRIM([1]Raw_Data!A1253),4)),VALUE(MID(TRIM([1]Raw_Data!A1253),4,2)),VALUE(LEFT(TRIM([1]Raw_Data!A1253),2)))</f>
        <v>44382</v>
      </c>
      <c r="B1255" s="3" t="str">
        <f>TRIM([1]Raw_Data!B1253)</f>
        <v>Multivitamin</v>
      </c>
      <c r="C1255" s="3" t="str">
        <f>TRIM([1]Raw_Data!C1253)</f>
        <v>Vitamin</v>
      </c>
      <c r="D1255" s="3">
        <f>[1]Raw_Data!D1253</f>
        <v>152</v>
      </c>
      <c r="E1255" s="4">
        <f>[1]Raw_Data!E1253</f>
        <v>25.86</v>
      </c>
      <c r="F1255" s="5">
        <f>[1]Raw_Data!F1253</f>
        <v>3930.72</v>
      </c>
      <c r="G1255" s="4">
        <f>[1]Raw_Data!G1253</f>
        <v>7.0000000000000007E-2</v>
      </c>
      <c r="H1255" s="3">
        <f>[1]Raw_Data!H1253</f>
        <v>1</v>
      </c>
      <c r="I1255" s="3" t="str">
        <f>TRIM([1]Raw_Data!I1253)</f>
        <v>USA</v>
      </c>
      <c r="J1255" s="3" t="str">
        <f>TRIM([1]Raw_Data!J1253)</f>
        <v>Amazon</v>
      </c>
      <c r="K1255" s="3">
        <f t="shared" si="76"/>
        <v>2021</v>
      </c>
      <c r="L1255" s="6">
        <f t="shared" si="77"/>
        <v>44378</v>
      </c>
      <c r="M1255" s="3" t="str">
        <f t="shared" si="78"/>
        <v>6% to 10%</v>
      </c>
      <c r="N1255" s="3" t="str">
        <f t="shared" si="79"/>
        <v>OK</v>
      </c>
    </row>
    <row r="1256" spans="1:14" x14ac:dyDescent="0.3">
      <c r="A1256" s="2">
        <f>DATE(VALUE(RIGHT(TRIM([1]Raw_Data!A1254),4)),VALUE(MID(TRIM([1]Raw_Data!A1254),4,2)),VALUE(LEFT(TRIM([1]Raw_Data!A1254),2)))</f>
        <v>44382</v>
      </c>
      <c r="B1256" s="3" t="str">
        <f>TRIM([1]Raw_Data!B1254)</f>
        <v>Pre-Workout</v>
      </c>
      <c r="C1256" s="3" t="str">
        <f>TRIM([1]Raw_Data!C1254)</f>
        <v>Performance</v>
      </c>
      <c r="D1256" s="3">
        <f>[1]Raw_Data!D1254</f>
        <v>123</v>
      </c>
      <c r="E1256" s="4">
        <f>[1]Raw_Data!E1254</f>
        <v>50.63</v>
      </c>
      <c r="F1256" s="5">
        <f>[1]Raw_Data!F1254</f>
        <v>6227.49</v>
      </c>
      <c r="G1256" s="4">
        <f>[1]Raw_Data!G1254</f>
        <v>0.03</v>
      </c>
      <c r="H1256" s="3">
        <f>[1]Raw_Data!H1254</f>
        <v>0</v>
      </c>
      <c r="I1256" s="3" t="str">
        <f>TRIM([1]Raw_Data!I1254)</f>
        <v>UK</v>
      </c>
      <c r="J1256" s="3" t="str">
        <f>TRIM([1]Raw_Data!J1254)</f>
        <v>Amazon</v>
      </c>
      <c r="K1256" s="3">
        <f t="shared" si="76"/>
        <v>2021</v>
      </c>
      <c r="L1256" s="6">
        <f t="shared" si="77"/>
        <v>44378</v>
      </c>
      <c r="M1256" s="3" t="str">
        <f t="shared" si="78"/>
        <v>0% to 5%</v>
      </c>
      <c r="N1256" s="3" t="str">
        <f t="shared" si="79"/>
        <v>OK</v>
      </c>
    </row>
    <row r="1257" spans="1:14" x14ac:dyDescent="0.3">
      <c r="A1257" s="2">
        <f>DATE(VALUE(RIGHT(TRIM([1]Raw_Data!A1255),4)),VALUE(MID(TRIM([1]Raw_Data!A1255),4,2)),VALUE(LEFT(TRIM([1]Raw_Data!A1255),2)))</f>
        <v>44382</v>
      </c>
      <c r="B1257" s="3" t="str">
        <f>TRIM([1]Raw_Data!B1255)</f>
        <v>BCAA</v>
      </c>
      <c r="C1257" s="3" t="str">
        <f>TRIM([1]Raw_Data!C1255)</f>
        <v>Amino Acid</v>
      </c>
      <c r="D1257" s="3">
        <f>[1]Raw_Data!D1255</f>
        <v>148</v>
      </c>
      <c r="E1257" s="4">
        <f>[1]Raw_Data!E1255</f>
        <v>48.18</v>
      </c>
      <c r="F1257" s="5">
        <f>[1]Raw_Data!F1255</f>
        <v>7130.64</v>
      </c>
      <c r="G1257" s="4">
        <f>[1]Raw_Data!G1255</f>
        <v>0.11</v>
      </c>
      <c r="H1257" s="3">
        <f>[1]Raw_Data!H1255</f>
        <v>2</v>
      </c>
      <c r="I1257" s="3" t="str">
        <f>TRIM([1]Raw_Data!I1255)</f>
        <v>USA</v>
      </c>
      <c r="J1257" s="3" t="str">
        <f>TRIM([1]Raw_Data!J1255)</f>
        <v>Amazon</v>
      </c>
      <c r="K1257" s="3">
        <f t="shared" si="76"/>
        <v>2021</v>
      </c>
      <c r="L1257" s="6">
        <f t="shared" si="77"/>
        <v>44378</v>
      </c>
      <c r="M1257" s="3" t="str">
        <f t="shared" si="78"/>
        <v>11% to 15%</v>
      </c>
      <c r="N1257" s="3" t="str">
        <f t="shared" si="79"/>
        <v>OK</v>
      </c>
    </row>
    <row r="1258" spans="1:14" x14ac:dyDescent="0.3">
      <c r="A1258" s="2">
        <f>DATE(VALUE(RIGHT(TRIM([1]Raw_Data!A1256),4)),VALUE(MID(TRIM([1]Raw_Data!A1256),4,2)),VALUE(LEFT(TRIM([1]Raw_Data!A1256),2)))</f>
        <v>44382</v>
      </c>
      <c r="B1258" s="3" t="str">
        <f>TRIM([1]Raw_Data!B1256)</f>
        <v>Creatine</v>
      </c>
      <c r="C1258" s="3" t="str">
        <f>TRIM([1]Raw_Data!C1256)</f>
        <v>Performance</v>
      </c>
      <c r="D1258" s="3">
        <f>[1]Raw_Data!D1256</f>
        <v>154</v>
      </c>
      <c r="E1258" s="4">
        <f>[1]Raw_Data!E1256</f>
        <v>17.82</v>
      </c>
      <c r="F1258" s="5">
        <f>[1]Raw_Data!F1256</f>
        <v>2744.28</v>
      </c>
      <c r="G1258" s="4">
        <f>[1]Raw_Data!G1256</f>
        <v>0.11</v>
      </c>
      <c r="H1258" s="3">
        <f>[1]Raw_Data!H1256</f>
        <v>1</v>
      </c>
      <c r="I1258" s="3" t="str">
        <f>TRIM([1]Raw_Data!I1256)</f>
        <v>Canada</v>
      </c>
      <c r="J1258" s="3" t="str">
        <f>TRIM([1]Raw_Data!J1256)</f>
        <v>iHerb</v>
      </c>
      <c r="K1258" s="3">
        <f t="shared" si="76"/>
        <v>2021</v>
      </c>
      <c r="L1258" s="6">
        <f t="shared" si="77"/>
        <v>44378</v>
      </c>
      <c r="M1258" s="3" t="str">
        <f t="shared" si="78"/>
        <v>11% to 15%</v>
      </c>
      <c r="N1258" s="3" t="str">
        <f t="shared" si="79"/>
        <v>OK</v>
      </c>
    </row>
    <row r="1259" spans="1:14" x14ac:dyDescent="0.3">
      <c r="A1259" s="2">
        <f>DATE(VALUE(RIGHT(TRIM([1]Raw_Data!A1257),4)),VALUE(MID(TRIM([1]Raw_Data!A1257),4,2)),VALUE(LEFT(TRIM([1]Raw_Data!A1257),2)))</f>
        <v>44382</v>
      </c>
      <c r="B1259" s="3" t="str">
        <f>TRIM([1]Raw_Data!B1257)</f>
        <v>Zinc</v>
      </c>
      <c r="C1259" s="3" t="str">
        <f>TRIM([1]Raw_Data!C1257)</f>
        <v>Mineral</v>
      </c>
      <c r="D1259" s="3">
        <f>[1]Raw_Data!D1257</f>
        <v>159</v>
      </c>
      <c r="E1259" s="4">
        <f>[1]Raw_Data!E1257</f>
        <v>29.41</v>
      </c>
      <c r="F1259" s="5">
        <f>[1]Raw_Data!F1257</f>
        <v>4676.1899999999996</v>
      </c>
      <c r="G1259" s="4">
        <f>[1]Raw_Data!G1257</f>
        <v>0.04</v>
      </c>
      <c r="H1259" s="3">
        <f>[1]Raw_Data!H1257</f>
        <v>1</v>
      </c>
      <c r="I1259" s="3" t="str">
        <f>TRIM([1]Raw_Data!I1257)</f>
        <v>UK</v>
      </c>
      <c r="J1259" s="3" t="str">
        <f>TRIM([1]Raw_Data!J1257)</f>
        <v>iHerb</v>
      </c>
      <c r="K1259" s="3">
        <f t="shared" si="76"/>
        <v>2021</v>
      </c>
      <c r="L1259" s="6">
        <f t="shared" si="77"/>
        <v>44378</v>
      </c>
      <c r="M1259" s="3" t="str">
        <f t="shared" si="78"/>
        <v>0% to 5%</v>
      </c>
      <c r="N1259" s="3" t="str">
        <f t="shared" si="79"/>
        <v>OK</v>
      </c>
    </row>
    <row r="1260" spans="1:14" x14ac:dyDescent="0.3">
      <c r="A1260" s="2">
        <f>DATE(VALUE(RIGHT(TRIM([1]Raw_Data!A1258),4)),VALUE(MID(TRIM([1]Raw_Data!A1258),4,2)),VALUE(LEFT(TRIM([1]Raw_Data!A1258),2)))</f>
        <v>44382</v>
      </c>
      <c r="B1260" s="3" t="str">
        <f>TRIM([1]Raw_Data!B1258)</f>
        <v>Collagen Peptides</v>
      </c>
      <c r="C1260" s="3" t="str">
        <f>TRIM([1]Raw_Data!C1258)</f>
        <v>Protein</v>
      </c>
      <c r="D1260" s="3">
        <f>[1]Raw_Data!D1258</f>
        <v>153</v>
      </c>
      <c r="E1260" s="4">
        <f>[1]Raw_Data!E1258</f>
        <v>35.75</v>
      </c>
      <c r="F1260" s="5">
        <f>[1]Raw_Data!F1258</f>
        <v>5469.75</v>
      </c>
      <c r="G1260" s="4">
        <f>[1]Raw_Data!G1258</f>
        <v>0.04</v>
      </c>
      <c r="H1260" s="3">
        <f>[1]Raw_Data!H1258</f>
        <v>2</v>
      </c>
      <c r="I1260" s="3" t="str">
        <f>TRIM([1]Raw_Data!I1258)</f>
        <v>Canada</v>
      </c>
      <c r="J1260" s="3" t="str">
        <f>TRIM([1]Raw_Data!J1258)</f>
        <v>Amazon</v>
      </c>
      <c r="K1260" s="3">
        <f t="shared" si="76"/>
        <v>2021</v>
      </c>
      <c r="L1260" s="6">
        <f t="shared" si="77"/>
        <v>44378</v>
      </c>
      <c r="M1260" s="3" t="str">
        <f t="shared" si="78"/>
        <v>0% to 5%</v>
      </c>
      <c r="N1260" s="3" t="str">
        <f t="shared" si="79"/>
        <v>OK</v>
      </c>
    </row>
    <row r="1261" spans="1:14" x14ac:dyDescent="0.3">
      <c r="A1261" s="2">
        <f>DATE(VALUE(RIGHT(TRIM([1]Raw_Data!A1259),4)),VALUE(MID(TRIM([1]Raw_Data!A1259),4,2)),VALUE(LEFT(TRIM([1]Raw_Data!A1259),2)))</f>
        <v>44382</v>
      </c>
      <c r="B1261" s="3" t="str">
        <f>TRIM([1]Raw_Data!B1259)</f>
        <v>Magnesium</v>
      </c>
      <c r="C1261" s="3" t="str">
        <f>TRIM([1]Raw_Data!C1259)</f>
        <v>Mineral</v>
      </c>
      <c r="D1261" s="3">
        <f>[1]Raw_Data!D1259</f>
        <v>165</v>
      </c>
      <c r="E1261" s="4">
        <f>[1]Raw_Data!E1259</f>
        <v>34.58</v>
      </c>
      <c r="F1261" s="5">
        <f>[1]Raw_Data!F1259</f>
        <v>5705.7</v>
      </c>
      <c r="G1261" s="4">
        <f>[1]Raw_Data!G1259</f>
        <v>0.24</v>
      </c>
      <c r="H1261" s="3">
        <f>[1]Raw_Data!H1259</f>
        <v>1</v>
      </c>
      <c r="I1261" s="3" t="str">
        <f>TRIM([1]Raw_Data!I1259)</f>
        <v>USA</v>
      </c>
      <c r="J1261" s="3" t="str">
        <f>TRIM([1]Raw_Data!J1259)</f>
        <v>Amazon</v>
      </c>
      <c r="K1261" s="3">
        <f t="shared" si="76"/>
        <v>2021</v>
      </c>
      <c r="L1261" s="6">
        <f t="shared" si="77"/>
        <v>44378</v>
      </c>
      <c r="M1261" s="3" t="str">
        <f t="shared" si="78"/>
        <v>21% to 25%</v>
      </c>
      <c r="N1261" s="3" t="str">
        <f t="shared" si="79"/>
        <v>OK</v>
      </c>
    </row>
    <row r="1262" spans="1:14" x14ac:dyDescent="0.3">
      <c r="A1262" s="2">
        <f>DATE(VALUE(RIGHT(TRIM([1]Raw_Data!A1260),4)),VALUE(MID(TRIM([1]Raw_Data!A1260),4,2)),VALUE(LEFT(TRIM([1]Raw_Data!A1260),2)))</f>
        <v>44382</v>
      </c>
      <c r="B1262" s="3" t="str">
        <f>TRIM([1]Raw_Data!B1260)</f>
        <v>Ashwagandha</v>
      </c>
      <c r="C1262" s="3" t="str">
        <f>TRIM([1]Raw_Data!C1260)</f>
        <v>Herbal</v>
      </c>
      <c r="D1262" s="3">
        <f>[1]Raw_Data!D1260</f>
        <v>153</v>
      </c>
      <c r="E1262" s="4">
        <f>[1]Raw_Data!E1260</f>
        <v>40.299999999999997</v>
      </c>
      <c r="F1262" s="5">
        <f>[1]Raw_Data!F1260</f>
        <v>6165.9</v>
      </c>
      <c r="G1262" s="4">
        <f>[1]Raw_Data!G1260</f>
        <v>0.02</v>
      </c>
      <c r="H1262" s="3">
        <f>[1]Raw_Data!H1260</f>
        <v>4</v>
      </c>
      <c r="I1262" s="3" t="str">
        <f>TRIM([1]Raw_Data!I1260)</f>
        <v>Canada</v>
      </c>
      <c r="J1262" s="3" t="str">
        <f>TRIM([1]Raw_Data!J1260)</f>
        <v>Walmart</v>
      </c>
      <c r="K1262" s="3">
        <f t="shared" si="76"/>
        <v>2021</v>
      </c>
      <c r="L1262" s="6">
        <f t="shared" si="77"/>
        <v>44378</v>
      </c>
      <c r="M1262" s="3" t="str">
        <f t="shared" si="78"/>
        <v>0% to 5%</v>
      </c>
      <c r="N1262" s="3" t="str">
        <f t="shared" si="79"/>
        <v>OK</v>
      </c>
    </row>
    <row r="1263" spans="1:14" x14ac:dyDescent="0.3">
      <c r="A1263" s="2">
        <f>DATE(VALUE(RIGHT(TRIM([1]Raw_Data!A1261),4)),VALUE(MID(TRIM([1]Raw_Data!A1261),4,2)),VALUE(LEFT(TRIM([1]Raw_Data!A1261),2)))</f>
        <v>44382</v>
      </c>
      <c r="B1263" s="3" t="str">
        <f>TRIM([1]Raw_Data!B1261)</f>
        <v>Melatonin</v>
      </c>
      <c r="C1263" s="3" t="str">
        <f>TRIM([1]Raw_Data!C1261)</f>
        <v>Sleep Aid</v>
      </c>
      <c r="D1263" s="3">
        <f>[1]Raw_Data!D1261</f>
        <v>158</v>
      </c>
      <c r="E1263" s="4">
        <f>[1]Raw_Data!E1261</f>
        <v>45.21</v>
      </c>
      <c r="F1263" s="5">
        <f>[1]Raw_Data!F1261</f>
        <v>7143.18</v>
      </c>
      <c r="G1263" s="4">
        <f>[1]Raw_Data!G1261</f>
        <v>0.15</v>
      </c>
      <c r="H1263" s="3">
        <f>[1]Raw_Data!H1261</f>
        <v>1</v>
      </c>
      <c r="I1263" s="3" t="str">
        <f>TRIM([1]Raw_Data!I1261)</f>
        <v>USA</v>
      </c>
      <c r="J1263" s="3" t="str">
        <f>TRIM([1]Raw_Data!J1261)</f>
        <v>Walmart</v>
      </c>
      <c r="K1263" s="3">
        <f t="shared" si="76"/>
        <v>2021</v>
      </c>
      <c r="L1263" s="6">
        <f t="shared" si="77"/>
        <v>44378</v>
      </c>
      <c r="M1263" s="3" t="str">
        <f t="shared" si="78"/>
        <v>11% to 15%</v>
      </c>
      <c r="N1263" s="3" t="str">
        <f t="shared" si="79"/>
        <v>OK</v>
      </c>
    </row>
    <row r="1264" spans="1:14" x14ac:dyDescent="0.3">
      <c r="A1264" s="2">
        <f>DATE(VALUE(RIGHT(TRIM([1]Raw_Data!A1262),4)),VALUE(MID(TRIM([1]Raw_Data!A1262),4,2)),VALUE(LEFT(TRIM([1]Raw_Data!A1262),2)))</f>
        <v>44382</v>
      </c>
      <c r="B1264" s="3" t="str">
        <f>TRIM([1]Raw_Data!B1262)</f>
        <v>Biotin</v>
      </c>
      <c r="C1264" s="3" t="str">
        <f>TRIM([1]Raw_Data!C1262)</f>
        <v>Vitamin</v>
      </c>
      <c r="D1264" s="3">
        <f>[1]Raw_Data!D1262</f>
        <v>150</v>
      </c>
      <c r="E1264" s="4">
        <f>[1]Raw_Data!E1262</f>
        <v>39.17</v>
      </c>
      <c r="F1264" s="5">
        <f>[1]Raw_Data!F1262</f>
        <v>5875.5</v>
      </c>
      <c r="G1264" s="4">
        <f>[1]Raw_Data!G1262</f>
        <v>0.13</v>
      </c>
      <c r="H1264" s="3">
        <f>[1]Raw_Data!H1262</f>
        <v>1</v>
      </c>
      <c r="I1264" s="3" t="str">
        <f>TRIM([1]Raw_Data!I1262)</f>
        <v>Canada</v>
      </c>
      <c r="J1264" s="3" t="str">
        <f>TRIM([1]Raw_Data!J1262)</f>
        <v>Amazon</v>
      </c>
      <c r="K1264" s="3">
        <f t="shared" si="76"/>
        <v>2021</v>
      </c>
      <c r="L1264" s="6">
        <f t="shared" si="77"/>
        <v>44378</v>
      </c>
      <c r="M1264" s="3" t="str">
        <f t="shared" si="78"/>
        <v>11% to 15%</v>
      </c>
      <c r="N1264" s="3" t="str">
        <f t="shared" si="79"/>
        <v>OK</v>
      </c>
    </row>
    <row r="1265" spans="1:14" x14ac:dyDescent="0.3">
      <c r="A1265" s="2">
        <f>DATE(VALUE(RIGHT(TRIM([1]Raw_Data!A1263),4)),VALUE(MID(TRIM([1]Raw_Data!A1263),4,2)),VALUE(LEFT(TRIM([1]Raw_Data!A1263),2)))</f>
        <v>44382</v>
      </c>
      <c r="B1265" s="3" t="str">
        <f>TRIM([1]Raw_Data!B1263)</f>
        <v>Green Tea Extract</v>
      </c>
      <c r="C1265" s="3" t="str">
        <f>TRIM([1]Raw_Data!C1263)</f>
        <v>Fat Burner</v>
      </c>
      <c r="D1265" s="3">
        <f>[1]Raw_Data!D1263</f>
        <v>139</v>
      </c>
      <c r="E1265" s="4">
        <f>[1]Raw_Data!E1263</f>
        <v>22.08</v>
      </c>
      <c r="F1265" s="5">
        <f>[1]Raw_Data!F1263</f>
        <v>3069.12</v>
      </c>
      <c r="G1265" s="4">
        <f>[1]Raw_Data!G1263</f>
        <v>0.13</v>
      </c>
      <c r="H1265" s="3">
        <f>[1]Raw_Data!H1263</f>
        <v>1</v>
      </c>
      <c r="I1265" s="3" t="str">
        <f>TRIM([1]Raw_Data!I1263)</f>
        <v>USA</v>
      </c>
      <c r="J1265" s="3" t="str">
        <f>TRIM([1]Raw_Data!J1263)</f>
        <v>Walmart</v>
      </c>
      <c r="K1265" s="3">
        <f t="shared" si="76"/>
        <v>2021</v>
      </c>
      <c r="L1265" s="6">
        <f t="shared" si="77"/>
        <v>44378</v>
      </c>
      <c r="M1265" s="3" t="str">
        <f t="shared" si="78"/>
        <v>11% to 15%</v>
      </c>
      <c r="N1265" s="3" t="str">
        <f t="shared" si="79"/>
        <v>OK</v>
      </c>
    </row>
    <row r="1266" spans="1:14" x14ac:dyDescent="0.3">
      <c r="A1266" s="2">
        <f>DATE(VALUE(RIGHT(TRIM([1]Raw_Data!A1264),4)),VALUE(MID(TRIM([1]Raw_Data!A1264),4,2)),VALUE(LEFT(TRIM([1]Raw_Data!A1264),2)))</f>
        <v>44382</v>
      </c>
      <c r="B1266" s="3" t="str">
        <f>TRIM([1]Raw_Data!B1264)</f>
        <v>Iron Supplement</v>
      </c>
      <c r="C1266" s="3" t="str">
        <f>TRIM([1]Raw_Data!C1264)</f>
        <v>Mineral</v>
      </c>
      <c r="D1266" s="3">
        <f>[1]Raw_Data!D1264</f>
        <v>148</v>
      </c>
      <c r="E1266" s="4">
        <f>[1]Raw_Data!E1264</f>
        <v>27.51</v>
      </c>
      <c r="F1266" s="5">
        <f>[1]Raw_Data!F1264</f>
        <v>4071.48</v>
      </c>
      <c r="G1266" s="4">
        <f>[1]Raw_Data!G1264</f>
        <v>0.11</v>
      </c>
      <c r="H1266" s="3">
        <f>[1]Raw_Data!H1264</f>
        <v>0</v>
      </c>
      <c r="I1266" s="3" t="str">
        <f>TRIM([1]Raw_Data!I1264)</f>
        <v>Canada</v>
      </c>
      <c r="J1266" s="3" t="str">
        <f>TRIM([1]Raw_Data!J1264)</f>
        <v>Amazon</v>
      </c>
      <c r="K1266" s="3">
        <f t="shared" si="76"/>
        <v>2021</v>
      </c>
      <c r="L1266" s="6">
        <f t="shared" si="77"/>
        <v>44378</v>
      </c>
      <c r="M1266" s="3" t="str">
        <f t="shared" si="78"/>
        <v>11% to 15%</v>
      </c>
      <c r="N1266" s="3" t="str">
        <f t="shared" si="79"/>
        <v>OK</v>
      </c>
    </row>
    <row r="1267" spans="1:14" x14ac:dyDescent="0.3">
      <c r="A1267" s="2">
        <f>DATE(VALUE(RIGHT(TRIM([1]Raw_Data!A1265),4)),VALUE(MID(TRIM([1]Raw_Data!A1265),4,2)),VALUE(LEFT(TRIM([1]Raw_Data!A1265),2)))</f>
        <v>44382</v>
      </c>
      <c r="B1267" s="3" t="str">
        <f>TRIM([1]Raw_Data!B1265)</f>
        <v>Electrolyte Powder</v>
      </c>
      <c r="C1267" s="3" t="str">
        <f>TRIM([1]Raw_Data!C1265)</f>
        <v>Hydration</v>
      </c>
      <c r="D1267" s="3">
        <f>[1]Raw_Data!D1265</f>
        <v>152</v>
      </c>
      <c r="E1267" s="4">
        <f>[1]Raw_Data!E1265</f>
        <v>17.489999999999998</v>
      </c>
      <c r="F1267" s="5">
        <f>[1]Raw_Data!F1265</f>
        <v>2658.48</v>
      </c>
      <c r="G1267" s="4">
        <f>[1]Raw_Data!G1265</f>
        <v>0.14000000000000001</v>
      </c>
      <c r="H1267" s="3">
        <f>[1]Raw_Data!H1265</f>
        <v>1</v>
      </c>
      <c r="I1267" s="3" t="str">
        <f>TRIM([1]Raw_Data!I1265)</f>
        <v>USA</v>
      </c>
      <c r="J1267" s="3" t="str">
        <f>TRIM([1]Raw_Data!J1265)</f>
        <v>iHerb</v>
      </c>
      <c r="K1267" s="3">
        <f t="shared" si="76"/>
        <v>2021</v>
      </c>
      <c r="L1267" s="6">
        <f t="shared" si="77"/>
        <v>44378</v>
      </c>
      <c r="M1267" s="3" t="str">
        <f t="shared" si="78"/>
        <v>11% to 15%</v>
      </c>
      <c r="N1267" s="3" t="str">
        <f t="shared" si="79"/>
        <v>OK</v>
      </c>
    </row>
    <row r="1268" spans="1:14" x14ac:dyDescent="0.3">
      <c r="A1268" s="2">
        <f>DATE(VALUE(RIGHT(TRIM([1]Raw_Data!A1266),4)),VALUE(MID(TRIM([1]Raw_Data!A1266),4,2)),VALUE(LEFT(TRIM([1]Raw_Data!A1266),2)))</f>
        <v>44389</v>
      </c>
      <c r="B1268" s="3" t="str">
        <f>TRIM([1]Raw_Data!B1266)</f>
        <v>Whey Protein</v>
      </c>
      <c r="C1268" s="3" t="str">
        <f>TRIM([1]Raw_Data!C1266)</f>
        <v>Protein</v>
      </c>
      <c r="D1268" s="3">
        <f>[1]Raw_Data!D1266</f>
        <v>140</v>
      </c>
      <c r="E1268" s="4">
        <f>[1]Raw_Data!E1266</f>
        <v>16.52</v>
      </c>
      <c r="F1268" s="5">
        <f>[1]Raw_Data!F1266</f>
        <v>2312.8000000000002</v>
      </c>
      <c r="G1268" s="4">
        <f>[1]Raw_Data!G1266</f>
        <v>0.08</v>
      </c>
      <c r="H1268" s="3">
        <f>[1]Raw_Data!H1266</f>
        <v>0</v>
      </c>
      <c r="I1268" s="3" t="str">
        <f>TRIM([1]Raw_Data!I1266)</f>
        <v>Canada</v>
      </c>
      <c r="J1268" s="3" t="str">
        <f>TRIM([1]Raw_Data!J1266)</f>
        <v>iHerb</v>
      </c>
      <c r="K1268" s="3">
        <f t="shared" si="76"/>
        <v>2021</v>
      </c>
      <c r="L1268" s="6">
        <f t="shared" si="77"/>
        <v>44378</v>
      </c>
      <c r="M1268" s="3" t="str">
        <f t="shared" si="78"/>
        <v>6% to 10%</v>
      </c>
      <c r="N1268" s="3" t="str">
        <f t="shared" si="79"/>
        <v>OK</v>
      </c>
    </row>
    <row r="1269" spans="1:14" x14ac:dyDescent="0.3">
      <c r="A1269" s="2">
        <f>DATE(VALUE(RIGHT(TRIM([1]Raw_Data!A1267),4)),VALUE(MID(TRIM([1]Raw_Data!A1267),4,2)),VALUE(LEFT(TRIM([1]Raw_Data!A1267),2)))</f>
        <v>44389</v>
      </c>
      <c r="B1269" s="3" t="str">
        <f>TRIM([1]Raw_Data!B1267)</f>
        <v>Vitamin C</v>
      </c>
      <c r="C1269" s="3" t="str">
        <f>TRIM([1]Raw_Data!C1267)</f>
        <v>Vitamin</v>
      </c>
      <c r="D1269" s="3">
        <f>[1]Raw_Data!D1267</f>
        <v>134</v>
      </c>
      <c r="E1269" s="4">
        <f>[1]Raw_Data!E1267</f>
        <v>39.39</v>
      </c>
      <c r="F1269" s="5">
        <f>[1]Raw_Data!F1267</f>
        <v>5278.26</v>
      </c>
      <c r="G1269" s="4">
        <f>[1]Raw_Data!G1267</f>
        <v>0.02</v>
      </c>
      <c r="H1269" s="3">
        <f>[1]Raw_Data!H1267</f>
        <v>3</v>
      </c>
      <c r="I1269" s="3" t="str">
        <f>TRIM([1]Raw_Data!I1267)</f>
        <v>UK</v>
      </c>
      <c r="J1269" s="3" t="str">
        <f>TRIM([1]Raw_Data!J1267)</f>
        <v>Walmart</v>
      </c>
      <c r="K1269" s="3">
        <f t="shared" si="76"/>
        <v>2021</v>
      </c>
      <c r="L1269" s="6">
        <f t="shared" si="77"/>
        <v>44378</v>
      </c>
      <c r="M1269" s="3" t="str">
        <f t="shared" si="78"/>
        <v>0% to 5%</v>
      </c>
      <c r="N1269" s="3" t="str">
        <f t="shared" si="79"/>
        <v>OK</v>
      </c>
    </row>
    <row r="1270" spans="1:14" x14ac:dyDescent="0.3">
      <c r="A1270" s="2">
        <f>DATE(VALUE(RIGHT(TRIM([1]Raw_Data!A1268),4)),VALUE(MID(TRIM([1]Raw_Data!A1268),4,2)),VALUE(LEFT(TRIM([1]Raw_Data!A1268),2)))</f>
        <v>44389</v>
      </c>
      <c r="B1270" s="3" t="str">
        <f>TRIM([1]Raw_Data!B1268)</f>
        <v>Fish Oil</v>
      </c>
      <c r="C1270" s="3" t="str">
        <f>TRIM([1]Raw_Data!C1268)</f>
        <v>Omega</v>
      </c>
      <c r="D1270" s="3">
        <f>[1]Raw_Data!D1268</f>
        <v>182</v>
      </c>
      <c r="E1270" s="4">
        <f>[1]Raw_Data!E1268</f>
        <v>32.5</v>
      </c>
      <c r="F1270" s="5">
        <f>[1]Raw_Data!F1268</f>
        <v>5915</v>
      </c>
      <c r="G1270" s="4">
        <f>[1]Raw_Data!G1268</f>
        <v>0.01</v>
      </c>
      <c r="H1270" s="3">
        <f>[1]Raw_Data!H1268</f>
        <v>2</v>
      </c>
      <c r="I1270" s="3" t="str">
        <f>TRIM([1]Raw_Data!I1268)</f>
        <v>Canada</v>
      </c>
      <c r="J1270" s="3" t="str">
        <f>TRIM([1]Raw_Data!J1268)</f>
        <v>Amazon</v>
      </c>
      <c r="K1270" s="3">
        <f t="shared" si="76"/>
        <v>2021</v>
      </c>
      <c r="L1270" s="6">
        <f t="shared" si="77"/>
        <v>44378</v>
      </c>
      <c r="M1270" s="3" t="str">
        <f t="shared" si="78"/>
        <v>0% to 5%</v>
      </c>
      <c r="N1270" s="3" t="str">
        <f t="shared" si="79"/>
        <v>OK</v>
      </c>
    </row>
    <row r="1271" spans="1:14" x14ac:dyDescent="0.3">
      <c r="A1271" s="2">
        <f>DATE(VALUE(RIGHT(TRIM([1]Raw_Data!A1269),4)),VALUE(MID(TRIM([1]Raw_Data!A1269),4,2)),VALUE(LEFT(TRIM([1]Raw_Data!A1269),2)))</f>
        <v>44389</v>
      </c>
      <c r="B1271" s="3" t="str">
        <f>TRIM([1]Raw_Data!B1269)</f>
        <v>Multivitamin</v>
      </c>
      <c r="C1271" s="3" t="str">
        <f>TRIM([1]Raw_Data!C1269)</f>
        <v>Vitamin</v>
      </c>
      <c r="D1271" s="3">
        <f>[1]Raw_Data!D1269</f>
        <v>147</v>
      </c>
      <c r="E1271" s="4">
        <f>[1]Raw_Data!E1269</f>
        <v>20.34</v>
      </c>
      <c r="F1271" s="5">
        <f>[1]Raw_Data!F1269</f>
        <v>2989.98</v>
      </c>
      <c r="G1271" s="4">
        <f>[1]Raw_Data!G1269</f>
        <v>0.16</v>
      </c>
      <c r="H1271" s="3">
        <f>[1]Raw_Data!H1269</f>
        <v>1</v>
      </c>
      <c r="I1271" s="3" t="str">
        <f>TRIM([1]Raw_Data!I1269)</f>
        <v>Canada</v>
      </c>
      <c r="J1271" s="3" t="str">
        <f>TRIM([1]Raw_Data!J1269)</f>
        <v>Walmart</v>
      </c>
      <c r="K1271" s="3">
        <f t="shared" si="76"/>
        <v>2021</v>
      </c>
      <c r="L1271" s="6">
        <f t="shared" si="77"/>
        <v>44378</v>
      </c>
      <c r="M1271" s="3" t="str">
        <f t="shared" si="78"/>
        <v>16% to 20%</v>
      </c>
      <c r="N1271" s="3" t="str">
        <f t="shared" si="79"/>
        <v>OK</v>
      </c>
    </row>
    <row r="1272" spans="1:14" x14ac:dyDescent="0.3">
      <c r="A1272" s="2">
        <f>DATE(VALUE(RIGHT(TRIM([1]Raw_Data!A1270),4)),VALUE(MID(TRIM([1]Raw_Data!A1270),4,2)),VALUE(LEFT(TRIM([1]Raw_Data!A1270),2)))</f>
        <v>44389</v>
      </c>
      <c r="B1272" s="3" t="str">
        <f>TRIM([1]Raw_Data!B1270)</f>
        <v>Pre-Workout</v>
      </c>
      <c r="C1272" s="3" t="str">
        <f>TRIM([1]Raw_Data!C1270)</f>
        <v>Performance</v>
      </c>
      <c r="D1272" s="3">
        <f>[1]Raw_Data!D1270</f>
        <v>137</v>
      </c>
      <c r="E1272" s="4">
        <f>[1]Raw_Data!E1270</f>
        <v>38.25</v>
      </c>
      <c r="F1272" s="5">
        <f>[1]Raw_Data!F1270</f>
        <v>5240.25</v>
      </c>
      <c r="G1272" s="4">
        <f>[1]Raw_Data!G1270</f>
        <v>0.21</v>
      </c>
      <c r="H1272" s="3">
        <f>[1]Raw_Data!H1270</f>
        <v>0</v>
      </c>
      <c r="I1272" s="3" t="str">
        <f>TRIM([1]Raw_Data!I1270)</f>
        <v>USA</v>
      </c>
      <c r="J1272" s="3" t="str">
        <f>TRIM([1]Raw_Data!J1270)</f>
        <v>iHerb</v>
      </c>
      <c r="K1272" s="3">
        <f t="shared" si="76"/>
        <v>2021</v>
      </c>
      <c r="L1272" s="6">
        <f t="shared" si="77"/>
        <v>44378</v>
      </c>
      <c r="M1272" s="3" t="str">
        <f t="shared" si="78"/>
        <v>21% to 25%</v>
      </c>
      <c r="N1272" s="3" t="str">
        <f t="shared" si="79"/>
        <v>OK</v>
      </c>
    </row>
    <row r="1273" spans="1:14" x14ac:dyDescent="0.3">
      <c r="A1273" s="2">
        <f>DATE(VALUE(RIGHT(TRIM([1]Raw_Data!A1271),4)),VALUE(MID(TRIM([1]Raw_Data!A1271),4,2)),VALUE(LEFT(TRIM([1]Raw_Data!A1271),2)))</f>
        <v>44389</v>
      </c>
      <c r="B1273" s="3" t="str">
        <f>TRIM([1]Raw_Data!B1271)</f>
        <v>BCAA</v>
      </c>
      <c r="C1273" s="3" t="str">
        <f>TRIM([1]Raw_Data!C1271)</f>
        <v>Amino Acid</v>
      </c>
      <c r="D1273" s="3">
        <f>[1]Raw_Data!D1271</f>
        <v>161</v>
      </c>
      <c r="E1273" s="4">
        <f>[1]Raw_Data!E1271</f>
        <v>15.75</v>
      </c>
      <c r="F1273" s="5">
        <f>[1]Raw_Data!F1271</f>
        <v>2535.75</v>
      </c>
      <c r="G1273" s="4">
        <f>[1]Raw_Data!G1271</f>
        <v>0.17</v>
      </c>
      <c r="H1273" s="3">
        <f>[1]Raw_Data!H1271</f>
        <v>1</v>
      </c>
      <c r="I1273" s="3" t="str">
        <f>TRIM([1]Raw_Data!I1271)</f>
        <v>USA</v>
      </c>
      <c r="J1273" s="3" t="str">
        <f>TRIM([1]Raw_Data!J1271)</f>
        <v>Amazon</v>
      </c>
      <c r="K1273" s="3">
        <f t="shared" si="76"/>
        <v>2021</v>
      </c>
      <c r="L1273" s="6">
        <f t="shared" si="77"/>
        <v>44378</v>
      </c>
      <c r="M1273" s="3" t="str">
        <f t="shared" si="78"/>
        <v>16% to 20%</v>
      </c>
      <c r="N1273" s="3" t="str">
        <f t="shared" si="79"/>
        <v>OK</v>
      </c>
    </row>
    <row r="1274" spans="1:14" x14ac:dyDescent="0.3">
      <c r="A1274" s="2">
        <f>DATE(VALUE(RIGHT(TRIM([1]Raw_Data!A1272),4)),VALUE(MID(TRIM([1]Raw_Data!A1272),4,2)),VALUE(LEFT(TRIM([1]Raw_Data!A1272),2)))</f>
        <v>44389</v>
      </c>
      <c r="B1274" s="3" t="str">
        <f>TRIM([1]Raw_Data!B1272)</f>
        <v>Creatine</v>
      </c>
      <c r="C1274" s="3" t="str">
        <f>TRIM([1]Raw_Data!C1272)</f>
        <v>Performance</v>
      </c>
      <c r="D1274" s="3">
        <f>[1]Raw_Data!D1272</f>
        <v>176</v>
      </c>
      <c r="E1274" s="4">
        <f>[1]Raw_Data!E1272</f>
        <v>42.14</v>
      </c>
      <c r="F1274" s="5">
        <f>[1]Raw_Data!F1272</f>
        <v>7416.64</v>
      </c>
      <c r="G1274" s="4">
        <f>[1]Raw_Data!G1272</f>
        <v>0.1</v>
      </c>
      <c r="H1274" s="3">
        <f>[1]Raw_Data!H1272</f>
        <v>4</v>
      </c>
      <c r="I1274" s="3" t="str">
        <f>TRIM([1]Raw_Data!I1272)</f>
        <v>UK</v>
      </c>
      <c r="J1274" s="3" t="str">
        <f>TRIM([1]Raw_Data!J1272)</f>
        <v>Walmart</v>
      </c>
      <c r="K1274" s="3">
        <f t="shared" si="76"/>
        <v>2021</v>
      </c>
      <c r="L1274" s="6">
        <f t="shared" si="77"/>
        <v>44378</v>
      </c>
      <c r="M1274" s="3" t="str">
        <f t="shared" si="78"/>
        <v>6% to 10%</v>
      </c>
      <c r="N1274" s="3" t="str">
        <f t="shared" si="79"/>
        <v>OK</v>
      </c>
    </row>
    <row r="1275" spans="1:14" x14ac:dyDescent="0.3">
      <c r="A1275" s="2">
        <f>DATE(VALUE(RIGHT(TRIM([1]Raw_Data!A1273),4)),VALUE(MID(TRIM([1]Raw_Data!A1273),4,2)),VALUE(LEFT(TRIM([1]Raw_Data!A1273),2)))</f>
        <v>44389</v>
      </c>
      <c r="B1275" s="3" t="str">
        <f>TRIM([1]Raw_Data!B1273)</f>
        <v>Zinc</v>
      </c>
      <c r="C1275" s="3" t="str">
        <f>TRIM([1]Raw_Data!C1273)</f>
        <v>Mineral</v>
      </c>
      <c r="D1275" s="3">
        <f>[1]Raw_Data!D1273</f>
        <v>144</v>
      </c>
      <c r="E1275" s="4">
        <f>[1]Raw_Data!E1273</f>
        <v>55.07</v>
      </c>
      <c r="F1275" s="5">
        <f>[1]Raw_Data!F1273</f>
        <v>7930.08</v>
      </c>
      <c r="G1275" s="4">
        <f>[1]Raw_Data!G1273</f>
        <v>7.0000000000000007E-2</v>
      </c>
      <c r="H1275" s="3">
        <f>[1]Raw_Data!H1273</f>
        <v>2</v>
      </c>
      <c r="I1275" s="3" t="str">
        <f>TRIM([1]Raw_Data!I1273)</f>
        <v>USA</v>
      </c>
      <c r="J1275" s="3" t="str">
        <f>TRIM([1]Raw_Data!J1273)</f>
        <v>iHerb</v>
      </c>
      <c r="K1275" s="3">
        <f t="shared" si="76"/>
        <v>2021</v>
      </c>
      <c r="L1275" s="6">
        <f t="shared" si="77"/>
        <v>44378</v>
      </c>
      <c r="M1275" s="3" t="str">
        <f t="shared" si="78"/>
        <v>6% to 10%</v>
      </c>
      <c r="N1275" s="3" t="str">
        <f t="shared" si="79"/>
        <v>OK</v>
      </c>
    </row>
    <row r="1276" spans="1:14" x14ac:dyDescent="0.3">
      <c r="A1276" s="2">
        <f>DATE(VALUE(RIGHT(TRIM([1]Raw_Data!A1274),4)),VALUE(MID(TRIM([1]Raw_Data!A1274),4,2)),VALUE(LEFT(TRIM([1]Raw_Data!A1274),2)))</f>
        <v>44389</v>
      </c>
      <c r="B1276" s="3" t="str">
        <f>TRIM([1]Raw_Data!B1274)</f>
        <v>Collagen Peptides</v>
      </c>
      <c r="C1276" s="3" t="str">
        <f>TRIM([1]Raw_Data!C1274)</f>
        <v>Protein</v>
      </c>
      <c r="D1276" s="3">
        <f>[1]Raw_Data!D1274</f>
        <v>148</v>
      </c>
      <c r="E1276" s="4">
        <f>[1]Raw_Data!E1274</f>
        <v>24.75</v>
      </c>
      <c r="F1276" s="5">
        <f>[1]Raw_Data!F1274</f>
        <v>3663</v>
      </c>
      <c r="G1276" s="4">
        <f>[1]Raw_Data!G1274</f>
        <v>0</v>
      </c>
      <c r="H1276" s="3">
        <f>[1]Raw_Data!H1274</f>
        <v>0</v>
      </c>
      <c r="I1276" s="3" t="str">
        <f>TRIM([1]Raw_Data!I1274)</f>
        <v>UK</v>
      </c>
      <c r="J1276" s="3" t="str">
        <f>TRIM([1]Raw_Data!J1274)</f>
        <v>Walmart</v>
      </c>
      <c r="K1276" s="3">
        <f t="shared" si="76"/>
        <v>2021</v>
      </c>
      <c r="L1276" s="6">
        <f t="shared" si="77"/>
        <v>44378</v>
      </c>
      <c r="M1276" s="3" t="str">
        <f t="shared" si="78"/>
        <v>0% to 5%</v>
      </c>
      <c r="N1276" s="3" t="str">
        <f t="shared" si="79"/>
        <v>OK</v>
      </c>
    </row>
    <row r="1277" spans="1:14" x14ac:dyDescent="0.3">
      <c r="A1277" s="2">
        <f>DATE(VALUE(RIGHT(TRIM([1]Raw_Data!A1275),4)),VALUE(MID(TRIM([1]Raw_Data!A1275),4,2)),VALUE(LEFT(TRIM([1]Raw_Data!A1275),2)))</f>
        <v>44389</v>
      </c>
      <c r="B1277" s="3" t="str">
        <f>TRIM([1]Raw_Data!B1275)</f>
        <v>Magnesium</v>
      </c>
      <c r="C1277" s="3" t="str">
        <f>TRIM([1]Raw_Data!C1275)</f>
        <v>Mineral</v>
      </c>
      <c r="D1277" s="3">
        <f>[1]Raw_Data!D1275</f>
        <v>142</v>
      </c>
      <c r="E1277" s="4">
        <f>[1]Raw_Data!E1275</f>
        <v>18.559999999999999</v>
      </c>
      <c r="F1277" s="5">
        <f>[1]Raw_Data!F1275</f>
        <v>2635.52</v>
      </c>
      <c r="G1277" s="4">
        <f>[1]Raw_Data!G1275</f>
        <v>0.22</v>
      </c>
      <c r="H1277" s="3">
        <f>[1]Raw_Data!H1275</f>
        <v>2</v>
      </c>
      <c r="I1277" s="3" t="str">
        <f>TRIM([1]Raw_Data!I1275)</f>
        <v>Canada</v>
      </c>
      <c r="J1277" s="3" t="str">
        <f>TRIM([1]Raw_Data!J1275)</f>
        <v>iHerb</v>
      </c>
      <c r="K1277" s="3">
        <f t="shared" si="76"/>
        <v>2021</v>
      </c>
      <c r="L1277" s="6">
        <f t="shared" si="77"/>
        <v>44378</v>
      </c>
      <c r="M1277" s="3" t="str">
        <f t="shared" si="78"/>
        <v>21% to 25%</v>
      </c>
      <c r="N1277" s="3" t="str">
        <f t="shared" si="79"/>
        <v>OK</v>
      </c>
    </row>
    <row r="1278" spans="1:14" x14ac:dyDescent="0.3">
      <c r="A1278" s="2">
        <f>DATE(VALUE(RIGHT(TRIM([1]Raw_Data!A1276),4)),VALUE(MID(TRIM([1]Raw_Data!A1276),4,2)),VALUE(LEFT(TRIM([1]Raw_Data!A1276),2)))</f>
        <v>44389</v>
      </c>
      <c r="B1278" s="3" t="str">
        <f>TRIM([1]Raw_Data!B1276)</f>
        <v>Ashwagandha</v>
      </c>
      <c r="C1278" s="3" t="str">
        <f>TRIM([1]Raw_Data!C1276)</f>
        <v>Herbal</v>
      </c>
      <c r="D1278" s="3">
        <f>[1]Raw_Data!D1276</f>
        <v>130</v>
      </c>
      <c r="E1278" s="4">
        <f>[1]Raw_Data!E1276</f>
        <v>42.68</v>
      </c>
      <c r="F1278" s="5">
        <f>[1]Raw_Data!F1276</f>
        <v>5548.4</v>
      </c>
      <c r="G1278" s="4">
        <f>[1]Raw_Data!G1276</f>
        <v>0.24</v>
      </c>
      <c r="H1278" s="3">
        <f>[1]Raw_Data!H1276</f>
        <v>0</v>
      </c>
      <c r="I1278" s="3" t="str">
        <f>TRIM([1]Raw_Data!I1276)</f>
        <v>Canada</v>
      </c>
      <c r="J1278" s="3" t="str">
        <f>TRIM([1]Raw_Data!J1276)</f>
        <v>Walmart</v>
      </c>
      <c r="K1278" s="3">
        <f t="shared" si="76"/>
        <v>2021</v>
      </c>
      <c r="L1278" s="6">
        <f t="shared" si="77"/>
        <v>44378</v>
      </c>
      <c r="M1278" s="3" t="str">
        <f t="shared" si="78"/>
        <v>21% to 25%</v>
      </c>
      <c r="N1278" s="3" t="str">
        <f t="shared" si="79"/>
        <v>OK</v>
      </c>
    </row>
    <row r="1279" spans="1:14" x14ac:dyDescent="0.3">
      <c r="A1279" s="2">
        <f>DATE(VALUE(RIGHT(TRIM([1]Raw_Data!A1277),4)),VALUE(MID(TRIM([1]Raw_Data!A1277),4,2)),VALUE(LEFT(TRIM([1]Raw_Data!A1277),2)))</f>
        <v>44389</v>
      </c>
      <c r="B1279" s="3" t="str">
        <f>TRIM([1]Raw_Data!B1277)</f>
        <v>Melatonin</v>
      </c>
      <c r="C1279" s="3" t="str">
        <f>TRIM([1]Raw_Data!C1277)</f>
        <v>Sleep Aid</v>
      </c>
      <c r="D1279" s="3">
        <f>[1]Raw_Data!D1277</f>
        <v>173</v>
      </c>
      <c r="E1279" s="4">
        <f>[1]Raw_Data!E1277</f>
        <v>48.29</v>
      </c>
      <c r="F1279" s="5">
        <f>[1]Raw_Data!F1277</f>
        <v>8354.17</v>
      </c>
      <c r="G1279" s="4">
        <f>[1]Raw_Data!G1277</f>
        <v>0.02</v>
      </c>
      <c r="H1279" s="3">
        <f>[1]Raw_Data!H1277</f>
        <v>2</v>
      </c>
      <c r="I1279" s="3" t="str">
        <f>TRIM([1]Raw_Data!I1277)</f>
        <v>UK</v>
      </c>
      <c r="J1279" s="3" t="str">
        <f>TRIM([1]Raw_Data!J1277)</f>
        <v>Walmart</v>
      </c>
      <c r="K1279" s="3">
        <f t="shared" si="76"/>
        <v>2021</v>
      </c>
      <c r="L1279" s="6">
        <f t="shared" si="77"/>
        <v>44378</v>
      </c>
      <c r="M1279" s="3" t="str">
        <f t="shared" si="78"/>
        <v>0% to 5%</v>
      </c>
      <c r="N1279" s="3" t="str">
        <f t="shared" si="79"/>
        <v>OK</v>
      </c>
    </row>
    <row r="1280" spans="1:14" x14ac:dyDescent="0.3">
      <c r="A1280" s="2">
        <f>DATE(VALUE(RIGHT(TRIM([1]Raw_Data!A1278),4)),VALUE(MID(TRIM([1]Raw_Data!A1278),4,2)),VALUE(LEFT(TRIM([1]Raw_Data!A1278),2)))</f>
        <v>44389</v>
      </c>
      <c r="B1280" s="3" t="str">
        <f>TRIM([1]Raw_Data!B1278)</f>
        <v>Biotin</v>
      </c>
      <c r="C1280" s="3" t="str">
        <f>TRIM([1]Raw_Data!C1278)</f>
        <v>Vitamin</v>
      </c>
      <c r="D1280" s="3">
        <f>[1]Raw_Data!D1278</f>
        <v>140</v>
      </c>
      <c r="E1280" s="4">
        <f>[1]Raw_Data!E1278</f>
        <v>50.52</v>
      </c>
      <c r="F1280" s="5">
        <f>[1]Raw_Data!F1278</f>
        <v>7072.8</v>
      </c>
      <c r="G1280" s="4">
        <f>[1]Raw_Data!G1278</f>
        <v>0.03</v>
      </c>
      <c r="H1280" s="3">
        <f>[1]Raw_Data!H1278</f>
        <v>1</v>
      </c>
      <c r="I1280" s="3" t="str">
        <f>TRIM([1]Raw_Data!I1278)</f>
        <v>USA</v>
      </c>
      <c r="J1280" s="3" t="str">
        <f>TRIM([1]Raw_Data!J1278)</f>
        <v>iHerb</v>
      </c>
      <c r="K1280" s="3">
        <f t="shared" si="76"/>
        <v>2021</v>
      </c>
      <c r="L1280" s="6">
        <f t="shared" si="77"/>
        <v>44378</v>
      </c>
      <c r="M1280" s="3" t="str">
        <f t="shared" si="78"/>
        <v>0% to 5%</v>
      </c>
      <c r="N1280" s="3" t="str">
        <f t="shared" si="79"/>
        <v>OK</v>
      </c>
    </row>
    <row r="1281" spans="1:14" x14ac:dyDescent="0.3">
      <c r="A1281" s="2">
        <f>DATE(VALUE(RIGHT(TRIM([1]Raw_Data!A1279),4)),VALUE(MID(TRIM([1]Raw_Data!A1279),4,2)),VALUE(LEFT(TRIM([1]Raw_Data!A1279),2)))</f>
        <v>44389</v>
      </c>
      <c r="B1281" s="3" t="str">
        <f>TRIM([1]Raw_Data!B1279)</f>
        <v>Green Tea Extract</v>
      </c>
      <c r="C1281" s="3" t="str">
        <f>TRIM([1]Raw_Data!C1279)</f>
        <v>Fat Burner</v>
      </c>
      <c r="D1281" s="3">
        <f>[1]Raw_Data!D1279</f>
        <v>174</v>
      </c>
      <c r="E1281" s="4">
        <f>[1]Raw_Data!E1279</f>
        <v>58.9</v>
      </c>
      <c r="F1281" s="5">
        <f>[1]Raw_Data!F1279</f>
        <v>10248.6</v>
      </c>
      <c r="G1281" s="4">
        <f>[1]Raw_Data!G1279</f>
        <v>0.25</v>
      </c>
      <c r="H1281" s="3">
        <f>[1]Raw_Data!H1279</f>
        <v>2</v>
      </c>
      <c r="I1281" s="3" t="str">
        <f>TRIM([1]Raw_Data!I1279)</f>
        <v>Canada</v>
      </c>
      <c r="J1281" s="3" t="str">
        <f>TRIM([1]Raw_Data!J1279)</f>
        <v>Walmart</v>
      </c>
      <c r="K1281" s="3">
        <f t="shared" si="76"/>
        <v>2021</v>
      </c>
      <c r="L1281" s="6">
        <f t="shared" si="77"/>
        <v>44378</v>
      </c>
      <c r="M1281" s="3" t="str">
        <f t="shared" si="78"/>
        <v>21% to 25%</v>
      </c>
      <c r="N1281" s="3" t="str">
        <f t="shared" si="79"/>
        <v>OK</v>
      </c>
    </row>
    <row r="1282" spans="1:14" x14ac:dyDescent="0.3">
      <c r="A1282" s="2">
        <f>DATE(VALUE(RIGHT(TRIM([1]Raw_Data!A1280),4)),VALUE(MID(TRIM([1]Raw_Data!A1280),4,2)),VALUE(LEFT(TRIM([1]Raw_Data!A1280),2)))</f>
        <v>44389</v>
      </c>
      <c r="B1282" s="3" t="str">
        <f>TRIM([1]Raw_Data!B1280)</f>
        <v>Iron Supplement</v>
      </c>
      <c r="C1282" s="3" t="str">
        <f>TRIM([1]Raw_Data!C1280)</f>
        <v>Mineral</v>
      </c>
      <c r="D1282" s="3">
        <f>[1]Raw_Data!D1280</f>
        <v>137</v>
      </c>
      <c r="E1282" s="4">
        <f>[1]Raw_Data!E1280</f>
        <v>31.22</v>
      </c>
      <c r="F1282" s="5">
        <f>[1]Raw_Data!F1280</f>
        <v>4277.1400000000003</v>
      </c>
      <c r="G1282" s="4">
        <f>[1]Raw_Data!G1280</f>
        <v>0.08</v>
      </c>
      <c r="H1282" s="3">
        <f>[1]Raw_Data!H1280</f>
        <v>1</v>
      </c>
      <c r="I1282" s="3" t="str">
        <f>TRIM([1]Raw_Data!I1280)</f>
        <v>Canada</v>
      </c>
      <c r="J1282" s="3" t="str">
        <f>TRIM([1]Raw_Data!J1280)</f>
        <v>iHerb</v>
      </c>
      <c r="K1282" s="3">
        <f t="shared" si="76"/>
        <v>2021</v>
      </c>
      <c r="L1282" s="6">
        <f t="shared" si="77"/>
        <v>44378</v>
      </c>
      <c r="M1282" s="3" t="str">
        <f t="shared" si="78"/>
        <v>6% to 10%</v>
      </c>
      <c r="N1282" s="3" t="str">
        <f t="shared" si="79"/>
        <v>OK</v>
      </c>
    </row>
    <row r="1283" spans="1:14" x14ac:dyDescent="0.3">
      <c r="A1283" s="2">
        <f>DATE(VALUE(RIGHT(TRIM([1]Raw_Data!A1281),4)),VALUE(MID(TRIM([1]Raw_Data!A1281),4,2)),VALUE(LEFT(TRIM([1]Raw_Data!A1281),2)))</f>
        <v>44389</v>
      </c>
      <c r="B1283" s="3" t="str">
        <f>TRIM([1]Raw_Data!B1281)</f>
        <v>Electrolyte Powder</v>
      </c>
      <c r="C1283" s="3" t="str">
        <f>TRIM([1]Raw_Data!C1281)</f>
        <v>Hydration</v>
      </c>
      <c r="D1283" s="3">
        <f>[1]Raw_Data!D1281</f>
        <v>190</v>
      </c>
      <c r="E1283" s="4">
        <f>[1]Raw_Data!E1281</f>
        <v>46.67</v>
      </c>
      <c r="F1283" s="5">
        <f>[1]Raw_Data!F1281</f>
        <v>8867.2999999999993</v>
      </c>
      <c r="G1283" s="4">
        <f>[1]Raw_Data!G1281</f>
        <v>0</v>
      </c>
      <c r="H1283" s="3">
        <f>[1]Raw_Data!H1281</f>
        <v>2</v>
      </c>
      <c r="I1283" s="3" t="str">
        <f>TRIM([1]Raw_Data!I1281)</f>
        <v>UK</v>
      </c>
      <c r="J1283" s="3" t="str">
        <f>TRIM([1]Raw_Data!J1281)</f>
        <v>Walmart</v>
      </c>
      <c r="K1283" s="3">
        <f t="shared" si="76"/>
        <v>2021</v>
      </c>
      <c r="L1283" s="6">
        <f t="shared" si="77"/>
        <v>44378</v>
      </c>
      <c r="M1283" s="3" t="str">
        <f t="shared" si="78"/>
        <v>0% to 5%</v>
      </c>
      <c r="N1283" s="3" t="str">
        <f t="shared" si="79"/>
        <v>OK</v>
      </c>
    </row>
    <row r="1284" spans="1:14" x14ac:dyDescent="0.3">
      <c r="A1284" s="2">
        <f>DATE(VALUE(RIGHT(TRIM([1]Raw_Data!A1282),4)),VALUE(MID(TRIM([1]Raw_Data!A1282),4,2)),VALUE(LEFT(TRIM([1]Raw_Data!A1282),2)))</f>
        <v>44396</v>
      </c>
      <c r="B1284" s="3" t="str">
        <f>TRIM([1]Raw_Data!B1282)</f>
        <v>Whey Protein</v>
      </c>
      <c r="C1284" s="3" t="str">
        <f>TRIM([1]Raw_Data!C1282)</f>
        <v>Protein</v>
      </c>
      <c r="D1284" s="3">
        <f>[1]Raw_Data!D1282</f>
        <v>170</v>
      </c>
      <c r="E1284" s="4">
        <f>[1]Raw_Data!E1282</f>
        <v>19.28</v>
      </c>
      <c r="F1284" s="5">
        <f>[1]Raw_Data!F1282</f>
        <v>3277.6</v>
      </c>
      <c r="G1284" s="4">
        <f>[1]Raw_Data!G1282</f>
        <v>0.16</v>
      </c>
      <c r="H1284" s="3">
        <f>[1]Raw_Data!H1282</f>
        <v>2</v>
      </c>
      <c r="I1284" s="3" t="str">
        <f>TRIM([1]Raw_Data!I1282)</f>
        <v>UK</v>
      </c>
      <c r="J1284" s="3" t="str">
        <f>TRIM([1]Raw_Data!J1282)</f>
        <v>Walmart</v>
      </c>
      <c r="K1284" s="3">
        <f t="shared" ref="K1284:K1347" si="80">YEAR(A1284)</f>
        <v>2021</v>
      </c>
      <c r="L1284" s="6">
        <f t="shared" ref="L1284:L1347" si="81">DATE(YEAR(A1284),MONTH(A1284),1)</f>
        <v>44378</v>
      </c>
      <c r="M1284" s="3" t="str">
        <f t="shared" ref="M1284:M1347" si="82">IF(ROUND(G1284*100,0)&lt;=5,"0% to 5%",IF(ROUND(G1284*100,0)&lt;=10,"6% to 10%",IF(ROUND(G1284*100,0)&lt;=15,"11% to 15%",IF(ROUND(G1284*100,0)&lt;=20,"16% to 20%","21% to 25%"))))</f>
        <v>16% to 20%</v>
      </c>
      <c r="N1284" s="3" t="str">
        <f t="shared" ref="N1284:N1347" si="83">IF(ROUND(D1284*E1284,2)=ROUND(F1284,2),"OK","Check")</f>
        <v>OK</v>
      </c>
    </row>
    <row r="1285" spans="1:14" x14ac:dyDescent="0.3">
      <c r="A1285" s="2">
        <f>DATE(VALUE(RIGHT(TRIM([1]Raw_Data!A1283),4)),VALUE(MID(TRIM([1]Raw_Data!A1283),4,2)),VALUE(LEFT(TRIM([1]Raw_Data!A1283),2)))</f>
        <v>44396</v>
      </c>
      <c r="B1285" s="3" t="str">
        <f>TRIM([1]Raw_Data!B1283)</f>
        <v>Vitamin C</v>
      </c>
      <c r="C1285" s="3" t="str">
        <f>TRIM([1]Raw_Data!C1283)</f>
        <v>Vitamin</v>
      </c>
      <c r="D1285" s="3">
        <f>[1]Raw_Data!D1283</f>
        <v>157</v>
      </c>
      <c r="E1285" s="4">
        <f>[1]Raw_Data!E1283</f>
        <v>22.61</v>
      </c>
      <c r="F1285" s="5">
        <f>[1]Raw_Data!F1283</f>
        <v>3549.77</v>
      </c>
      <c r="G1285" s="4">
        <f>[1]Raw_Data!G1283</f>
        <v>0.24</v>
      </c>
      <c r="H1285" s="3">
        <f>[1]Raw_Data!H1283</f>
        <v>3</v>
      </c>
      <c r="I1285" s="3" t="str">
        <f>TRIM([1]Raw_Data!I1283)</f>
        <v>UK</v>
      </c>
      <c r="J1285" s="3" t="str">
        <f>TRIM([1]Raw_Data!J1283)</f>
        <v>iHerb</v>
      </c>
      <c r="K1285" s="3">
        <f t="shared" si="80"/>
        <v>2021</v>
      </c>
      <c r="L1285" s="6">
        <f t="shared" si="81"/>
        <v>44378</v>
      </c>
      <c r="M1285" s="3" t="str">
        <f t="shared" si="82"/>
        <v>21% to 25%</v>
      </c>
      <c r="N1285" s="3" t="str">
        <f t="shared" si="83"/>
        <v>OK</v>
      </c>
    </row>
    <row r="1286" spans="1:14" x14ac:dyDescent="0.3">
      <c r="A1286" s="2">
        <f>DATE(VALUE(RIGHT(TRIM([1]Raw_Data!A1284),4)),VALUE(MID(TRIM([1]Raw_Data!A1284),4,2)),VALUE(LEFT(TRIM([1]Raw_Data!A1284),2)))</f>
        <v>44396</v>
      </c>
      <c r="B1286" s="3" t="str">
        <f>TRIM([1]Raw_Data!B1284)</f>
        <v>Fish Oil</v>
      </c>
      <c r="C1286" s="3" t="str">
        <f>TRIM([1]Raw_Data!C1284)</f>
        <v>Omega</v>
      </c>
      <c r="D1286" s="3">
        <f>[1]Raw_Data!D1284</f>
        <v>148</v>
      </c>
      <c r="E1286" s="4">
        <f>[1]Raw_Data!E1284</f>
        <v>32.619999999999997</v>
      </c>
      <c r="F1286" s="5">
        <f>[1]Raw_Data!F1284</f>
        <v>4827.76</v>
      </c>
      <c r="G1286" s="4">
        <f>[1]Raw_Data!G1284</f>
        <v>0.11</v>
      </c>
      <c r="H1286" s="3">
        <f>[1]Raw_Data!H1284</f>
        <v>0</v>
      </c>
      <c r="I1286" s="3" t="str">
        <f>TRIM([1]Raw_Data!I1284)</f>
        <v>Canada</v>
      </c>
      <c r="J1286" s="3" t="str">
        <f>TRIM([1]Raw_Data!J1284)</f>
        <v>Amazon</v>
      </c>
      <c r="K1286" s="3">
        <f t="shared" si="80"/>
        <v>2021</v>
      </c>
      <c r="L1286" s="6">
        <f t="shared" si="81"/>
        <v>44378</v>
      </c>
      <c r="M1286" s="3" t="str">
        <f t="shared" si="82"/>
        <v>11% to 15%</v>
      </c>
      <c r="N1286" s="3" t="str">
        <f t="shared" si="83"/>
        <v>OK</v>
      </c>
    </row>
    <row r="1287" spans="1:14" x14ac:dyDescent="0.3">
      <c r="A1287" s="2">
        <f>DATE(VALUE(RIGHT(TRIM([1]Raw_Data!A1285),4)),VALUE(MID(TRIM([1]Raw_Data!A1285),4,2)),VALUE(LEFT(TRIM([1]Raw_Data!A1285),2)))</f>
        <v>44396</v>
      </c>
      <c r="B1287" s="3" t="str">
        <f>TRIM([1]Raw_Data!B1285)</f>
        <v>Multivitamin</v>
      </c>
      <c r="C1287" s="3" t="str">
        <f>TRIM([1]Raw_Data!C1285)</f>
        <v>Vitamin</v>
      </c>
      <c r="D1287" s="3">
        <f>[1]Raw_Data!D1285</f>
        <v>147</v>
      </c>
      <c r="E1287" s="4">
        <f>[1]Raw_Data!E1285</f>
        <v>11.13</v>
      </c>
      <c r="F1287" s="5">
        <f>[1]Raw_Data!F1285</f>
        <v>1636.11</v>
      </c>
      <c r="G1287" s="4">
        <f>[1]Raw_Data!G1285</f>
        <v>0.11</v>
      </c>
      <c r="H1287" s="3">
        <f>[1]Raw_Data!H1285</f>
        <v>2</v>
      </c>
      <c r="I1287" s="3" t="str">
        <f>TRIM([1]Raw_Data!I1285)</f>
        <v>USA</v>
      </c>
      <c r="J1287" s="3" t="str">
        <f>TRIM([1]Raw_Data!J1285)</f>
        <v>Walmart</v>
      </c>
      <c r="K1287" s="3">
        <f t="shared" si="80"/>
        <v>2021</v>
      </c>
      <c r="L1287" s="6">
        <f t="shared" si="81"/>
        <v>44378</v>
      </c>
      <c r="M1287" s="3" t="str">
        <f t="shared" si="82"/>
        <v>11% to 15%</v>
      </c>
      <c r="N1287" s="3" t="str">
        <f t="shared" si="83"/>
        <v>OK</v>
      </c>
    </row>
    <row r="1288" spans="1:14" x14ac:dyDescent="0.3">
      <c r="A1288" s="2">
        <f>DATE(VALUE(RIGHT(TRIM([1]Raw_Data!A1286),4)),VALUE(MID(TRIM([1]Raw_Data!A1286),4,2)),VALUE(LEFT(TRIM([1]Raw_Data!A1286),2)))</f>
        <v>44396</v>
      </c>
      <c r="B1288" s="3" t="str">
        <f>TRIM([1]Raw_Data!B1286)</f>
        <v>Pre-Workout</v>
      </c>
      <c r="C1288" s="3" t="str">
        <f>TRIM([1]Raw_Data!C1286)</f>
        <v>Performance</v>
      </c>
      <c r="D1288" s="3">
        <f>[1]Raw_Data!D1286</f>
        <v>157</v>
      </c>
      <c r="E1288" s="4">
        <f>[1]Raw_Data!E1286</f>
        <v>55.48</v>
      </c>
      <c r="F1288" s="5">
        <f>[1]Raw_Data!F1286</f>
        <v>8710.36</v>
      </c>
      <c r="G1288" s="4">
        <f>[1]Raw_Data!G1286</f>
        <v>0</v>
      </c>
      <c r="H1288" s="3">
        <f>[1]Raw_Data!H1286</f>
        <v>2</v>
      </c>
      <c r="I1288" s="3" t="str">
        <f>TRIM([1]Raw_Data!I1286)</f>
        <v>USA</v>
      </c>
      <c r="J1288" s="3" t="str">
        <f>TRIM([1]Raw_Data!J1286)</f>
        <v>iHerb</v>
      </c>
      <c r="K1288" s="3">
        <f t="shared" si="80"/>
        <v>2021</v>
      </c>
      <c r="L1288" s="6">
        <f t="shared" si="81"/>
        <v>44378</v>
      </c>
      <c r="M1288" s="3" t="str">
        <f t="shared" si="82"/>
        <v>0% to 5%</v>
      </c>
      <c r="N1288" s="3" t="str">
        <f t="shared" si="83"/>
        <v>OK</v>
      </c>
    </row>
    <row r="1289" spans="1:14" x14ac:dyDescent="0.3">
      <c r="A1289" s="2">
        <f>DATE(VALUE(RIGHT(TRIM([1]Raw_Data!A1287),4)),VALUE(MID(TRIM([1]Raw_Data!A1287),4,2)),VALUE(LEFT(TRIM([1]Raw_Data!A1287),2)))</f>
        <v>44396</v>
      </c>
      <c r="B1289" s="3" t="str">
        <f>TRIM([1]Raw_Data!B1287)</f>
        <v>BCAA</v>
      </c>
      <c r="C1289" s="3" t="str">
        <f>TRIM([1]Raw_Data!C1287)</f>
        <v>Amino Acid</v>
      </c>
      <c r="D1289" s="3">
        <f>[1]Raw_Data!D1287</f>
        <v>161</v>
      </c>
      <c r="E1289" s="4">
        <f>[1]Raw_Data!E1287</f>
        <v>26.19</v>
      </c>
      <c r="F1289" s="5">
        <f>[1]Raw_Data!F1287</f>
        <v>4216.59</v>
      </c>
      <c r="G1289" s="4">
        <f>[1]Raw_Data!G1287</f>
        <v>0.03</v>
      </c>
      <c r="H1289" s="3">
        <f>[1]Raw_Data!H1287</f>
        <v>3</v>
      </c>
      <c r="I1289" s="3" t="str">
        <f>TRIM([1]Raw_Data!I1287)</f>
        <v>UK</v>
      </c>
      <c r="J1289" s="3" t="str">
        <f>TRIM([1]Raw_Data!J1287)</f>
        <v>Walmart</v>
      </c>
      <c r="K1289" s="3">
        <f t="shared" si="80"/>
        <v>2021</v>
      </c>
      <c r="L1289" s="6">
        <f t="shared" si="81"/>
        <v>44378</v>
      </c>
      <c r="M1289" s="3" t="str">
        <f t="shared" si="82"/>
        <v>0% to 5%</v>
      </c>
      <c r="N1289" s="3" t="str">
        <f t="shared" si="83"/>
        <v>OK</v>
      </c>
    </row>
    <row r="1290" spans="1:14" x14ac:dyDescent="0.3">
      <c r="A1290" s="2">
        <f>DATE(VALUE(RIGHT(TRIM([1]Raw_Data!A1288),4)),VALUE(MID(TRIM([1]Raw_Data!A1288),4,2)),VALUE(LEFT(TRIM([1]Raw_Data!A1288),2)))</f>
        <v>44396</v>
      </c>
      <c r="B1290" s="3" t="str">
        <f>TRIM([1]Raw_Data!B1288)</f>
        <v>Creatine</v>
      </c>
      <c r="C1290" s="3" t="str">
        <f>TRIM([1]Raw_Data!C1288)</f>
        <v>Performance</v>
      </c>
      <c r="D1290" s="3">
        <f>[1]Raw_Data!D1288</f>
        <v>149</v>
      </c>
      <c r="E1290" s="4">
        <f>[1]Raw_Data!E1288</f>
        <v>39.29</v>
      </c>
      <c r="F1290" s="5">
        <f>[1]Raw_Data!F1288</f>
        <v>5854.21</v>
      </c>
      <c r="G1290" s="4">
        <f>[1]Raw_Data!G1288</f>
        <v>0.17</v>
      </c>
      <c r="H1290" s="3">
        <f>[1]Raw_Data!H1288</f>
        <v>2</v>
      </c>
      <c r="I1290" s="3" t="str">
        <f>TRIM([1]Raw_Data!I1288)</f>
        <v>UK</v>
      </c>
      <c r="J1290" s="3" t="str">
        <f>TRIM([1]Raw_Data!J1288)</f>
        <v>Amazon</v>
      </c>
      <c r="K1290" s="3">
        <f t="shared" si="80"/>
        <v>2021</v>
      </c>
      <c r="L1290" s="6">
        <f t="shared" si="81"/>
        <v>44378</v>
      </c>
      <c r="M1290" s="3" t="str">
        <f t="shared" si="82"/>
        <v>16% to 20%</v>
      </c>
      <c r="N1290" s="3" t="str">
        <f t="shared" si="83"/>
        <v>OK</v>
      </c>
    </row>
    <row r="1291" spans="1:14" x14ac:dyDescent="0.3">
      <c r="A1291" s="2">
        <f>DATE(VALUE(RIGHT(TRIM([1]Raw_Data!A1289),4)),VALUE(MID(TRIM([1]Raw_Data!A1289),4,2)),VALUE(LEFT(TRIM([1]Raw_Data!A1289),2)))</f>
        <v>44396</v>
      </c>
      <c r="B1291" s="3" t="str">
        <f>TRIM([1]Raw_Data!B1289)</f>
        <v>Zinc</v>
      </c>
      <c r="C1291" s="3" t="str">
        <f>TRIM([1]Raw_Data!C1289)</f>
        <v>Mineral</v>
      </c>
      <c r="D1291" s="3">
        <f>[1]Raw_Data!D1289</f>
        <v>156</v>
      </c>
      <c r="E1291" s="4">
        <f>[1]Raw_Data!E1289</f>
        <v>35.68</v>
      </c>
      <c r="F1291" s="5">
        <f>[1]Raw_Data!F1289</f>
        <v>5566.08</v>
      </c>
      <c r="G1291" s="4">
        <f>[1]Raw_Data!G1289</f>
        <v>0.2</v>
      </c>
      <c r="H1291" s="3">
        <f>[1]Raw_Data!H1289</f>
        <v>1</v>
      </c>
      <c r="I1291" s="3" t="str">
        <f>TRIM([1]Raw_Data!I1289)</f>
        <v>Canada</v>
      </c>
      <c r="J1291" s="3" t="str">
        <f>TRIM([1]Raw_Data!J1289)</f>
        <v>Walmart</v>
      </c>
      <c r="K1291" s="3">
        <f t="shared" si="80"/>
        <v>2021</v>
      </c>
      <c r="L1291" s="6">
        <f t="shared" si="81"/>
        <v>44378</v>
      </c>
      <c r="M1291" s="3" t="str">
        <f t="shared" si="82"/>
        <v>16% to 20%</v>
      </c>
      <c r="N1291" s="3" t="str">
        <f t="shared" si="83"/>
        <v>OK</v>
      </c>
    </row>
    <row r="1292" spans="1:14" x14ac:dyDescent="0.3">
      <c r="A1292" s="2">
        <f>DATE(VALUE(RIGHT(TRIM([1]Raw_Data!A1290),4)),VALUE(MID(TRIM([1]Raw_Data!A1290),4,2)),VALUE(LEFT(TRIM([1]Raw_Data!A1290),2)))</f>
        <v>44396</v>
      </c>
      <c r="B1292" s="3" t="str">
        <f>TRIM([1]Raw_Data!B1290)</f>
        <v>Collagen Peptides</v>
      </c>
      <c r="C1292" s="3" t="str">
        <f>TRIM([1]Raw_Data!C1290)</f>
        <v>Protein</v>
      </c>
      <c r="D1292" s="3">
        <f>[1]Raw_Data!D1290</f>
        <v>146</v>
      </c>
      <c r="E1292" s="4">
        <f>[1]Raw_Data!E1290</f>
        <v>55.73</v>
      </c>
      <c r="F1292" s="5">
        <f>[1]Raw_Data!F1290</f>
        <v>8136.58</v>
      </c>
      <c r="G1292" s="4">
        <f>[1]Raw_Data!G1290</f>
        <v>0.02</v>
      </c>
      <c r="H1292" s="3">
        <f>[1]Raw_Data!H1290</f>
        <v>2</v>
      </c>
      <c r="I1292" s="3" t="str">
        <f>TRIM([1]Raw_Data!I1290)</f>
        <v>USA</v>
      </c>
      <c r="J1292" s="3" t="str">
        <f>TRIM([1]Raw_Data!J1290)</f>
        <v>iHerb</v>
      </c>
      <c r="K1292" s="3">
        <f t="shared" si="80"/>
        <v>2021</v>
      </c>
      <c r="L1292" s="6">
        <f t="shared" si="81"/>
        <v>44378</v>
      </c>
      <c r="M1292" s="3" t="str">
        <f t="shared" si="82"/>
        <v>0% to 5%</v>
      </c>
      <c r="N1292" s="3" t="str">
        <f t="shared" si="83"/>
        <v>OK</v>
      </c>
    </row>
    <row r="1293" spans="1:14" x14ac:dyDescent="0.3">
      <c r="A1293" s="2">
        <f>DATE(VALUE(RIGHT(TRIM([1]Raw_Data!A1291),4)),VALUE(MID(TRIM([1]Raw_Data!A1291),4,2)),VALUE(LEFT(TRIM([1]Raw_Data!A1291),2)))</f>
        <v>44396</v>
      </c>
      <c r="B1293" s="3" t="str">
        <f>TRIM([1]Raw_Data!B1291)</f>
        <v>Magnesium</v>
      </c>
      <c r="C1293" s="3" t="str">
        <f>TRIM([1]Raw_Data!C1291)</f>
        <v>Mineral</v>
      </c>
      <c r="D1293" s="3">
        <f>[1]Raw_Data!D1291</f>
        <v>147</v>
      </c>
      <c r="E1293" s="4">
        <f>[1]Raw_Data!E1291</f>
        <v>43.98</v>
      </c>
      <c r="F1293" s="5">
        <f>[1]Raw_Data!F1291</f>
        <v>6465.06</v>
      </c>
      <c r="G1293" s="4">
        <f>[1]Raw_Data!G1291</f>
        <v>0.02</v>
      </c>
      <c r="H1293" s="3">
        <f>[1]Raw_Data!H1291</f>
        <v>2</v>
      </c>
      <c r="I1293" s="3" t="str">
        <f>TRIM([1]Raw_Data!I1291)</f>
        <v>USA</v>
      </c>
      <c r="J1293" s="3" t="str">
        <f>TRIM([1]Raw_Data!J1291)</f>
        <v>Walmart</v>
      </c>
      <c r="K1293" s="3">
        <f t="shared" si="80"/>
        <v>2021</v>
      </c>
      <c r="L1293" s="6">
        <f t="shared" si="81"/>
        <v>44378</v>
      </c>
      <c r="M1293" s="3" t="str">
        <f t="shared" si="82"/>
        <v>0% to 5%</v>
      </c>
      <c r="N1293" s="3" t="str">
        <f t="shared" si="83"/>
        <v>OK</v>
      </c>
    </row>
    <row r="1294" spans="1:14" x14ac:dyDescent="0.3">
      <c r="A1294" s="2">
        <f>DATE(VALUE(RIGHT(TRIM([1]Raw_Data!A1292),4)),VALUE(MID(TRIM([1]Raw_Data!A1292),4,2)),VALUE(LEFT(TRIM([1]Raw_Data!A1292),2)))</f>
        <v>44396</v>
      </c>
      <c r="B1294" s="3" t="str">
        <f>TRIM([1]Raw_Data!B1292)</f>
        <v>Ashwagandha</v>
      </c>
      <c r="C1294" s="3" t="str">
        <f>TRIM([1]Raw_Data!C1292)</f>
        <v>Herbal</v>
      </c>
      <c r="D1294" s="3">
        <f>[1]Raw_Data!D1292</f>
        <v>160</v>
      </c>
      <c r="E1294" s="4">
        <f>[1]Raw_Data!E1292</f>
        <v>18.53</v>
      </c>
      <c r="F1294" s="5">
        <f>[1]Raw_Data!F1292</f>
        <v>2964.8</v>
      </c>
      <c r="G1294" s="4">
        <f>[1]Raw_Data!G1292</f>
        <v>0.22</v>
      </c>
      <c r="H1294" s="3">
        <f>[1]Raw_Data!H1292</f>
        <v>2</v>
      </c>
      <c r="I1294" s="3" t="str">
        <f>TRIM([1]Raw_Data!I1292)</f>
        <v>Canada</v>
      </c>
      <c r="J1294" s="3" t="str">
        <f>TRIM([1]Raw_Data!J1292)</f>
        <v>Amazon</v>
      </c>
      <c r="K1294" s="3">
        <f t="shared" si="80"/>
        <v>2021</v>
      </c>
      <c r="L1294" s="6">
        <f t="shared" si="81"/>
        <v>44378</v>
      </c>
      <c r="M1294" s="3" t="str">
        <f t="shared" si="82"/>
        <v>21% to 25%</v>
      </c>
      <c r="N1294" s="3" t="str">
        <f t="shared" si="83"/>
        <v>OK</v>
      </c>
    </row>
    <row r="1295" spans="1:14" x14ac:dyDescent="0.3">
      <c r="A1295" s="2">
        <f>DATE(VALUE(RIGHT(TRIM([1]Raw_Data!A1293),4)),VALUE(MID(TRIM([1]Raw_Data!A1293),4,2)),VALUE(LEFT(TRIM([1]Raw_Data!A1293),2)))</f>
        <v>44396</v>
      </c>
      <c r="B1295" s="3" t="str">
        <f>TRIM([1]Raw_Data!B1293)</f>
        <v>Melatonin</v>
      </c>
      <c r="C1295" s="3" t="str">
        <f>TRIM([1]Raw_Data!C1293)</f>
        <v>Sleep Aid</v>
      </c>
      <c r="D1295" s="3">
        <f>[1]Raw_Data!D1293</f>
        <v>167</v>
      </c>
      <c r="E1295" s="4">
        <f>[1]Raw_Data!E1293</f>
        <v>37.1</v>
      </c>
      <c r="F1295" s="5">
        <f>[1]Raw_Data!F1293</f>
        <v>6195.7</v>
      </c>
      <c r="G1295" s="4">
        <f>[1]Raw_Data!G1293</f>
        <v>0.23</v>
      </c>
      <c r="H1295" s="3">
        <f>[1]Raw_Data!H1293</f>
        <v>3</v>
      </c>
      <c r="I1295" s="3" t="str">
        <f>TRIM([1]Raw_Data!I1293)</f>
        <v>Canada</v>
      </c>
      <c r="J1295" s="3" t="str">
        <f>TRIM([1]Raw_Data!J1293)</f>
        <v>iHerb</v>
      </c>
      <c r="K1295" s="3">
        <f t="shared" si="80"/>
        <v>2021</v>
      </c>
      <c r="L1295" s="6">
        <f t="shared" si="81"/>
        <v>44378</v>
      </c>
      <c r="M1295" s="3" t="str">
        <f t="shared" si="82"/>
        <v>21% to 25%</v>
      </c>
      <c r="N1295" s="3" t="str">
        <f t="shared" si="83"/>
        <v>OK</v>
      </c>
    </row>
    <row r="1296" spans="1:14" x14ac:dyDescent="0.3">
      <c r="A1296" s="2">
        <f>DATE(VALUE(RIGHT(TRIM([1]Raw_Data!A1294),4)),VALUE(MID(TRIM([1]Raw_Data!A1294),4,2)),VALUE(LEFT(TRIM([1]Raw_Data!A1294),2)))</f>
        <v>44396</v>
      </c>
      <c r="B1296" s="3" t="str">
        <f>TRIM([1]Raw_Data!B1294)</f>
        <v>Biotin</v>
      </c>
      <c r="C1296" s="3" t="str">
        <f>TRIM([1]Raw_Data!C1294)</f>
        <v>Vitamin</v>
      </c>
      <c r="D1296" s="3">
        <f>[1]Raw_Data!D1294</f>
        <v>148</v>
      </c>
      <c r="E1296" s="4">
        <f>[1]Raw_Data!E1294</f>
        <v>29.66</v>
      </c>
      <c r="F1296" s="5">
        <f>[1]Raw_Data!F1294</f>
        <v>4389.68</v>
      </c>
      <c r="G1296" s="4">
        <f>[1]Raw_Data!G1294</f>
        <v>0.1</v>
      </c>
      <c r="H1296" s="3">
        <f>[1]Raw_Data!H1294</f>
        <v>1</v>
      </c>
      <c r="I1296" s="3" t="str">
        <f>TRIM([1]Raw_Data!I1294)</f>
        <v>UK</v>
      </c>
      <c r="J1296" s="3" t="str">
        <f>TRIM([1]Raw_Data!J1294)</f>
        <v>iHerb</v>
      </c>
      <c r="K1296" s="3">
        <f t="shared" si="80"/>
        <v>2021</v>
      </c>
      <c r="L1296" s="6">
        <f t="shared" si="81"/>
        <v>44378</v>
      </c>
      <c r="M1296" s="3" t="str">
        <f t="shared" si="82"/>
        <v>6% to 10%</v>
      </c>
      <c r="N1296" s="3" t="str">
        <f t="shared" si="83"/>
        <v>OK</v>
      </c>
    </row>
    <row r="1297" spans="1:14" x14ac:dyDescent="0.3">
      <c r="A1297" s="2">
        <f>DATE(VALUE(RIGHT(TRIM([1]Raw_Data!A1295),4)),VALUE(MID(TRIM([1]Raw_Data!A1295),4,2)),VALUE(LEFT(TRIM([1]Raw_Data!A1295),2)))</f>
        <v>44396</v>
      </c>
      <c r="B1297" s="3" t="str">
        <f>TRIM([1]Raw_Data!B1295)</f>
        <v>Green Tea Extract</v>
      </c>
      <c r="C1297" s="3" t="str">
        <f>TRIM([1]Raw_Data!C1295)</f>
        <v>Fat Burner</v>
      </c>
      <c r="D1297" s="3">
        <f>[1]Raw_Data!D1295</f>
        <v>141</v>
      </c>
      <c r="E1297" s="4">
        <f>[1]Raw_Data!E1295</f>
        <v>13.49</v>
      </c>
      <c r="F1297" s="5">
        <f>[1]Raw_Data!F1295</f>
        <v>1902.09</v>
      </c>
      <c r="G1297" s="4">
        <f>[1]Raw_Data!G1295</f>
        <v>0.17</v>
      </c>
      <c r="H1297" s="3">
        <f>[1]Raw_Data!H1295</f>
        <v>0</v>
      </c>
      <c r="I1297" s="3" t="str">
        <f>TRIM([1]Raw_Data!I1295)</f>
        <v>USA</v>
      </c>
      <c r="J1297" s="3" t="str">
        <f>TRIM([1]Raw_Data!J1295)</f>
        <v>Walmart</v>
      </c>
      <c r="K1297" s="3">
        <f t="shared" si="80"/>
        <v>2021</v>
      </c>
      <c r="L1297" s="6">
        <f t="shared" si="81"/>
        <v>44378</v>
      </c>
      <c r="M1297" s="3" t="str">
        <f t="shared" si="82"/>
        <v>16% to 20%</v>
      </c>
      <c r="N1297" s="3" t="str">
        <f t="shared" si="83"/>
        <v>OK</v>
      </c>
    </row>
    <row r="1298" spans="1:14" x14ac:dyDescent="0.3">
      <c r="A1298" s="2">
        <f>DATE(VALUE(RIGHT(TRIM([1]Raw_Data!A1296),4)),VALUE(MID(TRIM([1]Raw_Data!A1296),4,2)),VALUE(LEFT(TRIM([1]Raw_Data!A1296),2)))</f>
        <v>44396</v>
      </c>
      <c r="B1298" s="3" t="str">
        <f>TRIM([1]Raw_Data!B1296)</f>
        <v>Iron Supplement</v>
      </c>
      <c r="C1298" s="3" t="str">
        <f>TRIM([1]Raw_Data!C1296)</f>
        <v>Mineral</v>
      </c>
      <c r="D1298" s="3">
        <f>[1]Raw_Data!D1296</f>
        <v>144</v>
      </c>
      <c r="E1298" s="4">
        <f>[1]Raw_Data!E1296</f>
        <v>23.5</v>
      </c>
      <c r="F1298" s="5">
        <f>[1]Raw_Data!F1296</f>
        <v>3384</v>
      </c>
      <c r="G1298" s="4">
        <f>[1]Raw_Data!G1296</f>
        <v>0.19</v>
      </c>
      <c r="H1298" s="3">
        <f>[1]Raw_Data!H1296</f>
        <v>3</v>
      </c>
      <c r="I1298" s="3" t="str">
        <f>TRIM([1]Raw_Data!I1296)</f>
        <v>USA</v>
      </c>
      <c r="J1298" s="3" t="str">
        <f>TRIM([1]Raw_Data!J1296)</f>
        <v>iHerb</v>
      </c>
      <c r="K1298" s="3">
        <f t="shared" si="80"/>
        <v>2021</v>
      </c>
      <c r="L1298" s="6">
        <f t="shared" si="81"/>
        <v>44378</v>
      </c>
      <c r="M1298" s="3" t="str">
        <f t="shared" si="82"/>
        <v>16% to 20%</v>
      </c>
      <c r="N1298" s="3" t="str">
        <f t="shared" si="83"/>
        <v>OK</v>
      </c>
    </row>
    <row r="1299" spans="1:14" x14ac:dyDescent="0.3">
      <c r="A1299" s="2">
        <f>DATE(VALUE(RIGHT(TRIM([1]Raw_Data!A1297),4)),VALUE(MID(TRIM([1]Raw_Data!A1297),4,2)),VALUE(LEFT(TRIM([1]Raw_Data!A1297),2)))</f>
        <v>44396</v>
      </c>
      <c r="B1299" s="3" t="str">
        <f>TRIM([1]Raw_Data!B1297)</f>
        <v>Electrolyte Powder</v>
      </c>
      <c r="C1299" s="3" t="str">
        <f>TRIM([1]Raw_Data!C1297)</f>
        <v>Hydration</v>
      </c>
      <c r="D1299" s="3">
        <f>[1]Raw_Data!D1297</f>
        <v>139</v>
      </c>
      <c r="E1299" s="4">
        <f>[1]Raw_Data!E1297</f>
        <v>33.520000000000003</v>
      </c>
      <c r="F1299" s="5">
        <f>[1]Raw_Data!F1297</f>
        <v>4659.28</v>
      </c>
      <c r="G1299" s="4">
        <f>[1]Raw_Data!G1297</f>
        <v>0.22</v>
      </c>
      <c r="H1299" s="3">
        <f>[1]Raw_Data!H1297</f>
        <v>2</v>
      </c>
      <c r="I1299" s="3" t="str">
        <f>TRIM([1]Raw_Data!I1297)</f>
        <v>USA</v>
      </c>
      <c r="J1299" s="3" t="str">
        <f>TRIM([1]Raw_Data!J1297)</f>
        <v>iHerb</v>
      </c>
      <c r="K1299" s="3">
        <f t="shared" si="80"/>
        <v>2021</v>
      </c>
      <c r="L1299" s="6">
        <f t="shared" si="81"/>
        <v>44378</v>
      </c>
      <c r="M1299" s="3" t="str">
        <f t="shared" si="82"/>
        <v>21% to 25%</v>
      </c>
      <c r="N1299" s="3" t="str">
        <f t="shared" si="83"/>
        <v>OK</v>
      </c>
    </row>
    <row r="1300" spans="1:14" x14ac:dyDescent="0.3">
      <c r="A1300" s="2">
        <f>DATE(VALUE(RIGHT(TRIM([1]Raw_Data!A1298),4)),VALUE(MID(TRIM([1]Raw_Data!A1298),4,2)),VALUE(LEFT(TRIM([1]Raw_Data!A1298),2)))</f>
        <v>44403</v>
      </c>
      <c r="B1300" s="3" t="str">
        <f>TRIM([1]Raw_Data!B1298)</f>
        <v>Whey Protein</v>
      </c>
      <c r="C1300" s="3" t="str">
        <f>TRIM([1]Raw_Data!C1298)</f>
        <v>Protein</v>
      </c>
      <c r="D1300" s="3">
        <f>[1]Raw_Data!D1298</f>
        <v>150</v>
      </c>
      <c r="E1300" s="4">
        <f>[1]Raw_Data!E1298</f>
        <v>52.37</v>
      </c>
      <c r="F1300" s="5">
        <f>[1]Raw_Data!F1298</f>
        <v>7855.5</v>
      </c>
      <c r="G1300" s="4">
        <f>[1]Raw_Data!G1298</f>
        <v>0</v>
      </c>
      <c r="H1300" s="3">
        <f>[1]Raw_Data!H1298</f>
        <v>1</v>
      </c>
      <c r="I1300" s="3" t="str">
        <f>TRIM([1]Raw_Data!I1298)</f>
        <v>UK</v>
      </c>
      <c r="J1300" s="3" t="str">
        <f>TRIM([1]Raw_Data!J1298)</f>
        <v>Amazon</v>
      </c>
      <c r="K1300" s="3">
        <f t="shared" si="80"/>
        <v>2021</v>
      </c>
      <c r="L1300" s="6">
        <f t="shared" si="81"/>
        <v>44378</v>
      </c>
      <c r="M1300" s="3" t="str">
        <f t="shared" si="82"/>
        <v>0% to 5%</v>
      </c>
      <c r="N1300" s="3" t="str">
        <f t="shared" si="83"/>
        <v>OK</v>
      </c>
    </row>
    <row r="1301" spans="1:14" x14ac:dyDescent="0.3">
      <c r="A1301" s="2">
        <f>DATE(VALUE(RIGHT(TRIM([1]Raw_Data!A1299),4)),VALUE(MID(TRIM([1]Raw_Data!A1299),4,2)),VALUE(LEFT(TRIM([1]Raw_Data!A1299),2)))</f>
        <v>44403</v>
      </c>
      <c r="B1301" s="3" t="str">
        <f>TRIM([1]Raw_Data!B1299)</f>
        <v>Vitamin C</v>
      </c>
      <c r="C1301" s="3" t="str">
        <f>TRIM([1]Raw_Data!C1299)</f>
        <v>Vitamin</v>
      </c>
      <c r="D1301" s="3">
        <f>[1]Raw_Data!D1299</f>
        <v>169</v>
      </c>
      <c r="E1301" s="4">
        <f>[1]Raw_Data!E1299</f>
        <v>37.14</v>
      </c>
      <c r="F1301" s="5">
        <f>[1]Raw_Data!F1299</f>
        <v>6276.66</v>
      </c>
      <c r="G1301" s="4">
        <f>[1]Raw_Data!G1299</f>
        <v>0.13</v>
      </c>
      <c r="H1301" s="3">
        <f>[1]Raw_Data!H1299</f>
        <v>1</v>
      </c>
      <c r="I1301" s="3" t="str">
        <f>TRIM([1]Raw_Data!I1299)</f>
        <v>Canada</v>
      </c>
      <c r="J1301" s="3" t="str">
        <f>TRIM([1]Raw_Data!J1299)</f>
        <v>iHerb</v>
      </c>
      <c r="K1301" s="3">
        <f t="shared" si="80"/>
        <v>2021</v>
      </c>
      <c r="L1301" s="6">
        <f t="shared" si="81"/>
        <v>44378</v>
      </c>
      <c r="M1301" s="3" t="str">
        <f t="shared" si="82"/>
        <v>11% to 15%</v>
      </c>
      <c r="N1301" s="3" t="str">
        <f t="shared" si="83"/>
        <v>OK</v>
      </c>
    </row>
    <row r="1302" spans="1:14" x14ac:dyDescent="0.3">
      <c r="A1302" s="2">
        <f>DATE(VALUE(RIGHT(TRIM([1]Raw_Data!A1300),4)),VALUE(MID(TRIM([1]Raw_Data!A1300),4,2)),VALUE(LEFT(TRIM([1]Raw_Data!A1300),2)))</f>
        <v>44403</v>
      </c>
      <c r="B1302" s="3" t="str">
        <f>TRIM([1]Raw_Data!B1300)</f>
        <v>Fish Oil</v>
      </c>
      <c r="C1302" s="3" t="str">
        <f>TRIM([1]Raw_Data!C1300)</f>
        <v>Omega</v>
      </c>
      <c r="D1302" s="3">
        <f>[1]Raw_Data!D1300</f>
        <v>151</v>
      </c>
      <c r="E1302" s="4">
        <f>[1]Raw_Data!E1300</f>
        <v>30.92</v>
      </c>
      <c r="F1302" s="5">
        <f>[1]Raw_Data!F1300</f>
        <v>4668.92</v>
      </c>
      <c r="G1302" s="4">
        <f>[1]Raw_Data!G1300</f>
        <v>0.18</v>
      </c>
      <c r="H1302" s="3">
        <f>[1]Raw_Data!H1300</f>
        <v>3</v>
      </c>
      <c r="I1302" s="3" t="str">
        <f>TRIM([1]Raw_Data!I1300)</f>
        <v>Canada</v>
      </c>
      <c r="J1302" s="3" t="str">
        <f>TRIM([1]Raw_Data!J1300)</f>
        <v>Amazon</v>
      </c>
      <c r="K1302" s="3">
        <f t="shared" si="80"/>
        <v>2021</v>
      </c>
      <c r="L1302" s="6">
        <f t="shared" si="81"/>
        <v>44378</v>
      </c>
      <c r="M1302" s="3" t="str">
        <f t="shared" si="82"/>
        <v>16% to 20%</v>
      </c>
      <c r="N1302" s="3" t="str">
        <f t="shared" si="83"/>
        <v>OK</v>
      </c>
    </row>
    <row r="1303" spans="1:14" x14ac:dyDescent="0.3">
      <c r="A1303" s="2">
        <f>DATE(VALUE(RIGHT(TRIM([1]Raw_Data!A1301),4)),VALUE(MID(TRIM([1]Raw_Data!A1301),4,2)),VALUE(LEFT(TRIM([1]Raw_Data!A1301),2)))</f>
        <v>44403</v>
      </c>
      <c r="B1303" s="3" t="str">
        <f>TRIM([1]Raw_Data!B1301)</f>
        <v>Multivitamin</v>
      </c>
      <c r="C1303" s="3" t="str">
        <f>TRIM([1]Raw_Data!C1301)</f>
        <v>Vitamin</v>
      </c>
      <c r="D1303" s="3">
        <f>[1]Raw_Data!D1301</f>
        <v>136</v>
      </c>
      <c r="E1303" s="4">
        <f>[1]Raw_Data!E1301</f>
        <v>30.4</v>
      </c>
      <c r="F1303" s="5">
        <f>[1]Raw_Data!F1301</f>
        <v>4134.3999999999996</v>
      </c>
      <c r="G1303" s="4">
        <f>[1]Raw_Data!G1301</f>
        <v>0.17</v>
      </c>
      <c r="H1303" s="3">
        <f>[1]Raw_Data!H1301</f>
        <v>0</v>
      </c>
      <c r="I1303" s="3" t="str">
        <f>TRIM([1]Raw_Data!I1301)</f>
        <v>USA</v>
      </c>
      <c r="J1303" s="3" t="str">
        <f>TRIM([1]Raw_Data!J1301)</f>
        <v>iHerb</v>
      </c>
      <c r="K1303" s="3">
        <f t="shared" si="80"/>
        <v>2021</v>
      </c>
      <c r="L1303" s="6">
        <f t="shared" si="81"/>
        <v>44378</v>
      </c>
      <c r="M1303" s="3" t="str">
        <f t="shared" si="82"/>
        <v>16% to 20%</v>
      </c>
      <c r="N1303" s="3" t="str">
        <f t="shared" si="83"/>
        <v>OK</v>
      </c>
    </row>
    <row r="1304" spans="1:14" x14ac:dyDescent="0.3">
      <c r="A1304" s="2">
        <f>DATE(VALUE(RIGHT(TRIM([1]Raw_Data!A1302),4)),VALUE(MID(TRIM([1]Raw_Data!A1302),4,2)),VALUE(LEFT(TRIM([1]Raw_Data!A1302),2)))</f>
        <v>44403</v>
      </c>
      <c r="B1304" s="3" t="str">
        <f>TRIM([1]Raw_Data!B1302)</f>
        <v>Pre-Workout</v>
      </c>
      <c r="C1304" s="3" t="str">
        <f>TRIM([1]Raw_Data!C1302)</f>
        <v>Performance</v>
      </c>
      <c r="D1304" s="3">
        <f>[1]Raw_Data!D1302</f>
        <v>155</v>
      </c>
      <c r="E1304" s="4">
        <f>[1]Raw_Data!E1302</f>
        <v>30.91</v>
      </c>
      <c r="F1304" s="5">
        <f>[1]Raw_Data!F1302</f>
        <v>4791.05</v>
      </c>
      <c r="G1304" s="4">
        <f>[1]Raw_Data!G1302</f>
        <v>0.23</v>
      </c>
      <c r="H1304" s="3">
        <f>[1]Raw_Data!H1302</f>
        <v>5</v>
      </c>
      <c r="I1304" s="3" t="str">
        <f>TRIM([1]Raw_Data!I1302)</f>
        <v>UK</v>
      </c>
      <c r="J1304" s="3" t="str">
        <f>TRIM([1]Raw_Data!J1302)</f>
        <v>Amazon</v>
      </c>
      <c r="K1304" s="3">
        <f t="shared" si="80"/>
        <v>2021</v>
      </c>
      <c r="L1304" s="6">
        <f t="shared" si="81"/>
        <v>44378</v>
      </c>
      <c r="M1304" s="3" t="str">
        <f t="shared" si="82"/>
        <v>21% to 25%</v>
      </c>
      <c r="N1304" s="3" t="str">
        <f t="shared" si="83"/>
        <v>OK</v>
      </c>
    </row>
    <row r="1305" spans="1:14" x14ac:dyDescent="0.3">
      <c r="A1305" s="2">
        <f>DATE(VALUE(RIGHT(TRIM([1]Raw_Data!A1303),4)),VALUE(MID(TRIM([1]Raw_Data!A1303),4,2)),VALUE(LEFT(TRIM([1]Raw_Data!A1303),2)))</f>
        <v>44403</v>
      </c>
      <c r="B1305" s="3" t="str">
        <f>TRIM([1]Raw_Data!B1303)</f>
        <v>BCAA</v>
      </c>
      <c r="C1305" s="3" t="str">
        <f>TRIM([1]Raw_Data!C1303)</f>
        <v>Amino Acid</v>
      </c>
      <c r="D1305" s="3">
        <f>[1]Raw_Data!D1303</f>
        <v>132</v>
      </c>
      <c r="E1305" s="4">
        <f>[1]Raw_Data!E1303</f>
        <v>57.52</v>
      </c>
      <c r="F1305" s="5">
        <f>[1]Raw_Data!F1303</f>
        <v>7592.64</v>
      </c>
      <c r="G1305" s="4">
        <f>[1]Raw_Data!G1303</f>
        <v>0.24</v>
      </c>
      <c r="H1305" s="3">
        <f>[1]Raw_Data!H1303</f>
        <v>0</v>
      </c>
      <c r="I1305" s="3" t="str">
        <f>TRIM([1]Raw_Data!I1303)</f>
        <v>USA</v>
      </c>
      <c r="J1305" s="3" t="str">
        <f>TRIM([1]Raw_Data!J1303)</f>
        <v>Walmart</v>
      </c>
      <c r="K1305" s="3">
        <f t="shared" si="80"/>
        <v>2021</v>
      </c>
      <c r="L1305" s="6">
        <f t="shared" si="81"/>
        <v>44378</v>
      </c>
      <c r="M1305" s="3" t="str">
        <f t="shared" si="82"/>
        <v>21% to 25%</v>
      </c>
      <c r="N1305" s="3" t="str">
        <f t="shared" si="83"/>
        <v>OK</v>
      </c>
    </row>
    <row r="1306" spans="1:14" x14ac:dyDescent="0.3">
      <c r="A1306" s="2">
        <f>DATE(VALUE(RIGHT(TRIM([1]Raw_Data!A1304),4)),VALUE(MID(TRIM([1]Raw_Data!A1304),4,2)),VALUE(LEFT(TRIM([1]Raw_Data!A1304),2)))</f>
        <v>44403</v>
      </c>
      <c r="B1306" s="3" t="str">
        <f>TRIM([1]Raw_Data!B1304)</f>
        <v>Creatine</v>
      </c>
      <c r="C1306" s="3" t="str">
        <f>TRIM([1]Raw_Data!C1304)</f>
        <v>Performance</v>
      </c>
      <c r="D1306" s="3">
        <f>[1]Raw_Data!D1304</f>
        <v>150</v>
      </c>
      <c r="E1306" s="4">
        <f>[1]Raw_Data!E1304</f>
        <v>11.02</v>
      </c>
      <c r="F1306" s="5">
        <f>[1]Raw_Data!F1304</f>
        <v>1653</v>
      </c>
      <c r="G1306" s="4">
        <f>[1]Raw_Data!G1304</f>
        <v>0.15</v>
      </c>
      <c r="H1306" s="3">
        <f>[1]Raw_Data!H1304</f>
        <v>1</v>
      </c>
      <c r="I1306" s="3" t="str">
        <f>TRIM([1]Raw_Data!I1304)</f>
        <v>USA</v>
      </c>
      <c r="J1306" s="3" t="str">
        <f>TRIM([1]Raw_Data!J1304)</f>
        <v>iHerb</v>
      </c>
      <c r="K1306" s="3">
        <f t="shared" si="80"/>
        <v>2021</v>
      </c>
      <c r="L1306" s="6">
        <f t="shared" si="81"/>
        <v>44378</v>
      </c>
      <c r="M1306" s="3" t="str">
        <f t="shared" si="82"/>
        <v>11% to 15%</v>
      </c>
      <c r="N1306" s="3" t="str">
        <f t="shared" si="83"/>
        <v>OK</v>
      </c>
    </row>
    <row r="1307" spans="1:14" x14ac:dyDescent="0.3">
      <c r="A1307" s="2">
        <f>DATE(VALUE(RIGHT(TRIM([1]Raw_Data!A1305),4)),VALUE(MID(TRIM([1]Raw_Data!A1305),4,2)),VALUE(LEFT(TRIM([1]Raw_Data!A1305),2)))</f>
        <v>44403</v>
      </c>
      <c r="B1307" s="3" t="str">
        <f>TRIM([1]Raw_Data!B1305)</f>
        <v>Zinc</v>
      </c>
      <c r="C1307" s="3" t="str">
        <f>TRIM([1]Raw_Data!C1305)</f>
        <v>Mineral</v>
      </c>
      <c r="D1307" s="3">
        <f>[1]Raw_Data!D1305</f>
        <v>165</v>
      </c>
      <c r="E1307" s="4">
        <f>[1]Raw_Data!E1305</f>
        <v>44.34</v>
      </c>
      <c r="F1307" s="5">
        <f>[1]Raw_Data!F1305</f>
        <v>7316.1</v>
      </c>
      <c r="G1307" s="4">
        <f>[1]Raw_Data!G1305</f>
        <v>0.17</v>
      </c>
      <c r="H1307" s="3">
        <f>[1]Raw_Data!H1305</f>
        <v>1</v>
      </c>
      <c r="I1307" s="3" t="str">
        <f>TRIM([1]Raw_Data!I1305)</f>
        <v>UK</v>
      </c>
      <c r="J1307" s="3" t="str">
        <f>TRIM([1]Raw_Data!J1305)</f>
        <v>Walmart</v>
      </c>
      <c r="K1307" s="3">
        <f t="shared" si="80"/>
        <v>2021</v>
      </c>
      <c r="L1307" s="6">
        <f t="shared" si="81"/>
        <v>44378</v>
      </c>
      <c r="M1307" s="3" t="str">
        <f t="shared" si="82"/>
        <v>16% to 20%</v>
      </c>
      <c r="N1307" s="3" t="str">
        <f t="shared" si="83"/>
        <v>OK</v>
      </c>
    </row>
    <row r="1308" spans="1:14" x14ac:dyDescent="0.3">
      <c r="A1308" s="2">
        <f>DATE(VALUE(RIGHT(TRIM([1]Raw_Data!A1306),4)),VALUE(MID(TRIM([1]Raw_Data!A1306),4,2)),VALUE(LEFT(TRIM([1]Raw_Data!A1306),2)))</f>
        <v>44403</v>
      </c>
      <c r="B1308" s="3" t="str">
        <f>TRIM([1]Raw_Data!B1306)</f>
        <v>Collagen Peptides</v>
      </c>
      <c r="C1308" s="3" t="str">
        <f>TRIM([1]Raw_Data!C1306)</f>
        <v>Protein</v>
      </c>
      <c r="D1308" s="3">
        <f>[1]Raw_Data!D1306</f>
        <v>142</v>
      </c>
      <c r="E1308" s="4">
        <f>[1]Raw_Data!E1306</f>
        <v>50.02</v>
      </c>
      <c r="F1308" s="5">
        <f>[1]Raw_Data!F1306</f>
        <v>7102.84</v>
      </c>
      <c r="G1308" s="4">
        <f>[1]Raw_Data!G1306</f>
        <v>0.11</v>
      </c>
      <c r="H1308" s="3">
        <f>[1]Raw_Data!H1306</f>
        <v>2</v>
      </c>
      <c r="I1308" s="3" t="str">
        <f>TRIM([1]Raw_Data!I1306)</f>
        <v>Canada</v>
      </c>
      <c r="J1308" s="3" t="str">
        <f>TRIM([1]Raw_Data!J1306)</f>
        <v>iHerb</v>
      </c>
      <c r="K1308" s="3">
        <f t="shared" si="80"/>
        <v>2021</v>
      </c>
      <c r="L1308" s="6">
        <f t="shared" si="81"/>
        <v>44378</v>
      </c>
      <c r="M1308" s="3" t="str">
        <f t="shared" si="82"/>
        <v>11% to 15%</v>
      </c>
      <c r="N1308" s="3" t="str">
        <f t="shared" si="83"/>
        <v>OK</v>
      </c>
    </row>
    <row r="1309" spans="1:14" x14ac:dyDescent="0.3">
      <c r="A1309" s="2">
        <f>DATE(VALUE(RIGHT(TRIM([1]Raw_Data!A1307),4)),VALUE(MID(TRIM([1]Raw_Data!A1307),4,2)),VALUE(LEFT(TRIM([1]Raw_Data!A1307),2)))</f>
        <v>44403</v>
      </c>
      <c r="B1309" s="3" t="str">
        <f>TRIM([1]Raw_Data!B1307)</f>
        <v>Magnesium</v>
      </c>
      <c r="C1309" s="3" t="str">
        <f>TRIM([1]Raw_Data!C1307)</f>
        <v>Mineral</v>
      </c>
      <c r="D1309" s="3">
        <f>[1]Raw_Data!D1307</f>
        <v>154</v>
      </c>
      <c r="E1309" s="4">
        <f>[1]Raw_Data!E1307</f>
        <v>31.25</v>
      </c>
      <c r="F1309" s="5">
        <f>[1]Raw_Data!F1307</f>
        <v>4812.5</v>
      </c>
      <c r="G1309" s="4">
        <f>[1]Raw_Data!G1307</f>
        <v>7.0000000000000007E-2</v>
      </c>
      <c r="H1309" s="3">
        <f>[1]Raw_Data!H1307</f>
        <v>1</v>
      </c>
      <c r="I1309" s="3" t="str">
        <f>TRIM([1]Raw_Data!I1307)</f>
        <v>Canada</v>
      </c>
      <c r="J1309" s="3" t="str">
        <f>TRIM([1]Raw_Data!J1307)</f>
        <v>Amazon</v>
      </c>
      <c r="K1309" s="3">
        <f t="shared" si="80"/>
        <v>2021</v>
      </c>
      <c r="L1309" s="6">
        <f t="shared" si="81"/>
        <v>44378</v>
      </c>
      <c r="M1309" s="3" t="str">
        <f t="shared" si="82"/>
        <v>6% to 10%</v>
      </c>
      <c r="N1309" s="3" t="str">
        <f t="shared" si="83"/>
        <v>OK</v>
      </c>
    </row>
    <row r="1310" spans="1:14" x14ac:dyDescent="0.3">
      <c r="A1310" s="2">
        <f>DATE(VALUE(RIGHT(TRIM([1]Raw_Data!A1308),4)),VALUE(MID(TRIM([1]Raw_Data!A1308),4,2)),VALUE(LEFT(TRIM([1]Raw_Data!A1308),2)))</f>
        <v>44403</v>
      </c>
      <c r="B1310" s="3" t="str">
        <f>TRIM([1]Raw_Data!B1308)</f>
        <v>Ashwagandha</v>
      </c>
      <c r="C1310" s="3" t="str">
        <f>TRIM([1]Raw_Data!C1308)</f>
        <v>Herbal</v>
      </c>
      <c r="D1310" s="3">
        <f>[1]Raw_Data!D1308</f>
        <v>151</v>
      </c>
      <c r="E1310" s="4">
        <f>[1]Raw_Data!E1308</f>
        <v>32.01</v>
      </c>
      <c r="F1310" s="5">
        <f>[1]Raw_Data!F1308</f>
        <v>4833.51</v>
      </c>
      <c r="G1310" s="4">
        <f>[1]Raw_Data!G1308</f>
        <v>0.02</v>
      </c>
      <c r="H1310" s="3">
        <f>[1]Raw_Data!H1308</f>
        <v>2</v>
      </c>
      <c r="I1310" s="3" t="str">
        <f>TRIM([1]Raw_Data!I1308)</f>
        <v>UK</v>
      </c>
      <c r="J1310" s="3" t="str">
        <f>TRIM([1]Raw_Data!J1308)</f>
        <v>Walmart</v>
      </c>
      <c r="K1310" s="3">
        <f t="shared" si="80"/>
        <v>2021</v>
      </c>
      <c r="L1310" s="6">
        <f t="shared" si="81"/>
        <v>44378</v>
      </c>
      <c r="M1310" s="3" t="str">
        <f t="shared" si="82"/>
        <v>0% to 5%</v>
      </c>
      <c r="N1310" s="3" t="str">
        <f t="shared" si="83"/>
        <v>OK</v>
      </c>
    </row>
    <row r="1311" spans="1:14" x14ac:dyDescent="0.3">
      <c r="A1311" s="2">
        <f>DATE(VALUE(RIGHT(TRIM([1]Raw_Data!A1309),4)),VALUE(MID(TRIM([1]Raw_Data!A1309),4,2)),VALUE(LEFT(TRIM([1]Raw_Data!A1309),2)))</f>
        <v>44403</v>
      </c>
      <c r="B1311" s="3" t="str">
        <f>TRIM([1]Raw_Data!B1309)</f>
        <v>Melatonin</v>
      </c>
      <c r="C1311" s="3" t="str">
        <f>TRIM([1]Raw_Data!C1309)</f>
        <v>Sleep Aid</v>
      </c>
      <c r="D1311" s="3">
        <f>[1]Raw_Data!D1309</f>
        <v>139</v>
      </c>
      <c r="E1311" s="4">
        <f>[1]Raw_Data!E1309</f>
        <v>30.64</v>
      </c>
      <c r="F1311" s="5">
        <f>[1]Raw_Data!F1309</f>
        <v>4258.96</v>
      </c>
      <c r="G1311" s="4">
        <f>[1]Raw_Data!G1309</f>
        <v>0.06</v>
      </c>
      <c r="H1311" s="3">
        <f>[1]Raw_Data!H1309</f>
        <v>1</v>
      </c>
      <c r="I1311" s="3" t="str">
        <f>TRIM([1]Raw_Data!I1309)</f>
        <v>UK</v>
      </c>
      <c r="J1311" s="3" t="str">
        <f>TRIM([1]Raw_Data!J1309)</f>
        <v>Walmart</v>
      </c>
      <c r="K1311" s="3">
        <f t="shared" si="80"/>
        <v>2021</v>
      </c>
      <c r="L1311" s="6">
        <f t="shared" si="81"/>
        <v>44378</v>
      </c>
      <c r="M1311" s="3" t="str">
        <f t="shared" si="82"/>
        <v>6% to 10%</v>
      </c>
      <c r="N1311" s="3" t="str">
        <f t="shared" si="83"/>
        <v>OK</v>
      </c>
    </row>
    <row r="1312" spans="1:14" x14ac:dyDescent="0.3">
      <c r="A1312" s="2">
        <f>DATE(VALUE(RIGHT(TRIM([1]Raw_Data!A1310),4)),VALUE(MID(TRIM([1]Raw_Data!A1310),4,2)),VALUE(LEFT(TRIM([1]Raw_Data!A1310),2)))</f>
        <v>44403</v>
      </c>
      <c r="B1312" s="3" t="str">
        <f>TRIM([1]Raw_Data!B1310)</f>
        <v>Biotin</v>
      </c>
      <c r="C1312" s="3" t="str">
        <f>TRIM([1]Raw_Data!C1310)</f>
        <v>Vitamin</v>
      </c>
      <c r="D1312" s="3">
        <f>[1]Raw_Data!D1310</f>
        <v>145</v>
      </c>
      <c r="E1312" s="4">
        <f>[1]Raw_Data!E1310</f>
        <v>36.86</v>
      </c>
      <c r="F1312" s="5">
        <f>[1]Raw_Data!F1310</f>
        <v>5344.7</v>
      </c>
      <c r="G1312" s="4">
        <f>[1]Raw_Data!G1310</f>
        <v>0.05</v>
      </c>
      <c r="H1312" s="3">
        <f>[1]Raw_Data!H1310</f>
        <v>0</v>
      </c>
      <c r="I1312" s="3" t="str">
        <f>TRIM([1]Raw_Data!I1310)</f>
        <v>UK</v>
      </c>
      <c r="J1312" s="3" t="str">
        <f>TRIM([1]Raw_Data!J1310)</f>
        <v>Walmart</v>
      </c>
      <c r="K1312" s="3">
        <f t="shared" si="80"/>
        <v>2021</v>
      </c>
      <c r="L1312" s="6">
        <f t="shared" si="81"/>
        <v>44378</v>
      </c>
      <c r="M1312" s="3" t="str">
        <f t="shared" si="82"/>
        <v>0% to 5%</v>
      </c>
      <c r="N1312" s="3" t="str">
        <f t="shared" si="83"/>
        <v>OK</v>
      </c>
    </row>
    <row r="1313" spans="1:14" x14ac:dyDescent="0.3">
      <c r="A1313" s="2">
        <f>DATE(VALUE(RIGHT(TRIM([1]Raw_Data!A1311),4)),VALUE(MID(TRIM([1]Raw_Data!A1311),4,2)),VALUE(LEFT(TRIM([1]Raw_Data!A1311),2)))</f>
        <v>44403</v>
      </c>
      <c r="B1313" s="3" t="str">
        <f>TRIM([1]Raw_Data!B1311)</f>
        <v>Green Tea Extract</v>
      </c>
      <c r="C1313" s="3" t="str">
        <f>TRIM([1]Raw_Data!C1311)</f>
        <v>Fat Burner</v>
      </c>
      <c r="D1313" s="3">
        <f>[1]Raw_Data!D1311</f>
        <v>167</v>
      </c>
      <c r="E1313" s="4">
        <f>[1]Raw_Data!E1311</f>
        <v>30.6</v>
      </c>
      <c r="F1313" s="5">
        <f>[1]Raw_Data!F1311</f>
        <v>5110.2</v>
      </c>
      <c r="G1313" s="4">
        <f>[1]Raw_Data!G1311</f>
        <v>0.01</v>
      </c>
      <c r="H1313" s="3">
        <f>[1]Raw_Data!H1311</f>
        <v>1</v>
      </c>
      <c r="I1313" s="3" t="str">
        <f>TRIM([1]Raw_Data!I1311)</f>
        <v>UK</v>
      </c>
      <c r="J1313" s="3" t="str">
        <f>TRIM([1]Raw_Data!J1311)</f>
        <v>Amazon</v>
      </c>
      <c r="K1313" s="3">
        <f t="shared" si="80"/>
        <v>2021</v>
      </c>
      <c r="L1313" s="6">
        <f t="shared" si="81"/>
        <v>44378</v>
      </c>
      <c r="M1313" s="3" t="str">
        <f t="shared" si="82"/>
        <v>0% to 5%</v>
      </c>
      <c r="N1313" s="3" t="str">
        <f t="shared" si="83"/>
        <v>OK</v>
      </c>
    </row>
    <row r="1314" spans="1:14" x14ac:dyDescent="0.3">
      <c r="A1314" s="2">
        <f>DATE(VALUE(RIGHT(TRIM([1]Raw_Data!A1312),4)),VALUE(MID(TRIM([1]Raw_Data!A1312),4,2)),VALUE(LEFT(TRIM([1]Raw_Data!A1312),2)))</f>
        <v>44403</v>
      </c>
      <c r="B1314" s="3" t="str">
        <f>TRIM([1]Raw_Data!B1312)</f>
        <v>Iron Supplement</v>
      </c>
      <c r="C1314" s="3" t="str">
        <f>TRIM([1]Raw_Data!C1312)</f>
        <v>Mineral</v>
      </c>
      <c r="D1314" s="3">
        <f>[1]Raw_Data!D1312</f>
        <v>152</v>
      </c>
      <c r="E1314" s="4">
        <f>[1]Raw_Data!E1312</f>
        <v>45.35</v>
      </c>
      <c r="F1314" s="5">
        <f>[1]Raw_Data!F1312</f>
        <v>6893.2</v>
      </c>
      <c r="G1314" s="4">
        <f>[1]Raw_Data!G1312</f>
        <v>0.04</v>
      </c>
      <c r="H1314" s="3">
        <f>[1]Raw_Data!H1312</f>
        <v>1</v>
      </c>
      <c r="I1314" s="3" t="str">
        <f>TRIM([1]Raw_Data!I1312)</f>
        <v>Canada</v>
      </c>
      <c r="J1314" s="3" t="str">
        <f>TRIM([1]Raw_Data!J1312)</f>
        <v>iHerb</v>
      </c>
      <c r="K1314" s="3">
        <f t="shared" si="80"/>
        <v>2021</v>
      </c>
      <c r="L1314" s="6">
        <f t="shared" si="81"/>
        <v>44378</v>
      </c>
      <c r="M1314" s="3" t="str">
        <f t="shared" si="82"/>
        <v>0% to 5%</v>
      </c>
      <c r="N1314" s="3" t="str">
        <f t="shared" si="83"/>
        <v>OK</v>
      </c>
    </row>
    <row r="1315" spans="1:14" x14ac:dyDescent="0.3">
      <c r="A1315" s="2">
        <f>DATE(VALUE(RIGHT(TRIM([1]Raw_Data!A1313),4)),VALUE(MID(TRIM([1]Raw_Data!A1313),4,2)),VALUE(LEFT(TRIM([1]Raw_Data!A1313),2)))</f>
        <v>44403</v>
      </c>
      <c r="B1315" s="3" t="str">
        <f>TRIM([1]Raw_Data!B1313)</f>
        <v>Electrolyte Powder</v>
      </c>
      <c r="C1315" s="3" t="str">
        <f>TRIM([1]Raw_Data!C1313)</f>
        <v>Hydration</v>
      </c>
      <c r="D1315" s="3">
        <f>[1]Raw_Data!D1313</f>
        <v>134</v>
      </c>
      <c r="E1315" s="4">
        <f>[1]Raw_Data!E1313</f>
        <v>20.71</v>
      </c>
      <c r="F1315" s="5">
        <f>[1]Raw_Data!F1313</f>
        <v>2775.14</v>
      </c>
      <c r="G1315" s="4">
        <f>[1]Raw_Data!G1313</f>
        <v>0.02</v>
      </c>
      <c r="H1315" s="3">
        <f>[1]Raw_Data!H1313</f>
        <v>1</v>
      </c>
      <c r="I1315" s="3" t="str">
        <f>TRIM([1]Raw_Data!I1313)</f>
        <v>UK</v>
      </c>
      <c r="J1315" s="3" t="str">
        <f>TRIM([1]Raw_Data!J1313)</f>
        <v>iHerb</v>
      </c>
      <c r="K1315" s="3">
        <f t="shared" si="80"/>
        <v>2021</v>
      </c>
      <c r="L1315" s="6">
        <f t="shared" si="81"/>
        <v>44378</v>
      </c>
      <c r="M1315" s="3" t="str">
        <f t="shared" si="82"/>
        <v>0% to 5%</v>
      </c>
      <c r="N1315" s="3" t="str">
        <f t="shared" si="83"/>
        <v>OK</v>
      </c>
    </row>
    <row r="1316" spans="1:14" x14ac:dyDescent="0.3">
      <c r="A1316" s="2">
        <f>DATE(VALUE(RIGHT(TRIM([1]Raw_Data!A1314),4)),VALUE(MID(TRIM([1]Raw_Data!A1314),4,2)),VALUE(LEFT(TRIM([1]Raw_Data!A1314),2)))</f>
        <v>44410</v>
      </c>
      <c r="B1316" s="3" t="str">
        <f>TRIM([1]Raw_Data!B1314)</f>
        <v>Whey Protein</v>
      </c>
      <c r="C1316" s="3" t="str">
        <f>TRIM([1]Raw_Data!C1314)</f>
        <v>Protein</v>
      </c>
      <c r="D1316" s="3">
        <f>[1]Raw_Data!D1314</f>
        <v>135</v>
      </c>
      <c r="E1316" s="4">
        <f>[1]Raw_Data!E1314</f>
        <v>36.69</v>
      </c>
      <c r="F1316" s="5">
        <f>[1]Raw_Data!F1314</f>
        <v>4953.1499999999996</v>
      </c>
      <c r="G1316" s="4">
        <f>[1]Raw_Data!G1314</f>
        <v>0.04</v>
      </c>
      <c r="H1316" s="3">
        <f>[1]Raw_Data!H1314</f>
        <v>0</v>
      </c>
      <c r="I1316" s="3" t="str">
        <f>TRIM([1]Raw_Data!I1314)</f>
        <v>Canada</v>
      </c>
      <c r="J1316" s="3" t="str">
        <f>TRIM([1]Raw_Data!J1314)</f>
        <v>iHerb</v>
      </c>
      <c r="K1316" s="3">
        <f t="shared" si="80"/>
        <v>2021</v>
      </c>
      <c r="L1316" s="6">
        <f t="shared" si="81"/>
        <v>44409</v>
      </c>
      <c r="M1316" s="3" t="str">
        <f t="shared" si="82"/>
        <v>0% to 5%</v>
      </c>
      <c r="N1316" s="3" t="str">
        <f t="shared" si="83"/>
        <v>OK</v>
      </c>
    </row>
    <row r="1317" spans="1:14" x14ac:dyDescent="0.3">
      <c r="A1317" s="2">
        <f>DATE(VALUE(RIGHT(TRIM([1]Raw_Data!A1315),4)),VALUE(MID(TRIM([1]Raw_Data!A1315),4,2)),VALUE(LEFT(TRIM([1]Raw_Data!A1315),2)))</f>
        <v>44410</v>
      </c>
      <c r="B1317" s="3" t="str">
        <f>TRIM([1]Raw_Data!B1315)</f>
        <v>Vitamin C</v>
      </c>
      <c r="C1317" s="3" t="str">
        <f>TRIM([1]Raw_Data!C1315)</f>
        <v>Vitamin</v>
      </c>
      <c r="D1317" s="3">
        <f>[1]Raw_Data!D1315</f>
        <v>162</v>
      </c>
      <c r="E1317" s="4">
        <f>[1]Raw_Data!E1315</f>
        <v>40.31</v>
      </c>
      <c r="F1317" s="5">
        <f>[1]Raw_Data!F1315</f>
        <v>6530.22</v>
      </c>
      <c r="G1317" s="4">
        <f>[1]Raw_Data!G1315</f>
        <v>0.08</v>
      </c>
      <c r="H1317" s="3">
        <f>[1]Raw_Data!H1315</f>
        <v>2</v>
      </c>
      <c r="I1317" s="3" t="str">
        <f>TRIM([1]Raw_Data!I1315)</f>
        <v>USA</v>
      </c>
      <c r="J1317" s="3" t="str">
        <f>TRIM([1]Raw_Data!J1315)</f>
        <v>Amazon</v>
      </c>
      <c r="K1317" s="3">
        <f t="shared" si="80"/>
        <v>2021</v>
      </c>
      <c r="L1317" s="6">
        <f t="shared" si="81"/>
        <v>44409</v>
      </c>
      <c r="M1317" s="3" t="str">
        <f t="shared" si="82"/>
        <v>6% to 10%</v>
      </c>
      <c r="N1317" s="3" t="str">
        <f t="shared" si="83"/>
        <v>OK</v>
      </c>
    </row>
    <row r="1318" spans="1:14" x14ac:dyDescent="0.3">
      <c r="A1318" s="2">
        <f>DATE(VALUE(RIGHT(TRIM([1]Raw_Data!A1316),4)),VALUE(MID(TRIM([1]Raw_Data!A1316),4,2)),VALUE(LEFT(TRIM([1]Raw_Data!A1316),2)))</f>
        <v>44410</v>
      </c>
      <c r="B1318" s="3" t="str">
        <f>TRIM([1]Raw_Data!B1316)</f>
        <v>Fish Oil</v>
      </c>
      <c r="C1318" s="3" t="str">
        <f>TRIM([1]Raw_Data!C1316)</f>
        <v>Omega</v>
      </c>
      <c r="D1318" s="3">
        <f>[1]Raw_Data!D1316</f>
        <v>143</v>
      </c>
      <c r="E1318" s="4">
        <f>[1]Raw_Data!E1316</f>
        <v>21.15</v>
      </c>
      <c r="F1318" s="5">
        <f>[1]Raw_Data!F1316</f>
        <v>3024.45</v>
      </c>
      <c r="G1318" s="4">
        <f>[1]Raw_Data!G1316</f>
        <v>0.05</v>
      </c>
      <c r="H1318" s="3">
        <f>[1]Raw_Data!H1316</f>
        <v>1</v>
      </c>
      <c r="I1318" s="3" t="str">
        <f>TRIM([1]Raw_Data!I1316)</f>
        <v>USA</v>
      </c>
      <c r="J1318" s="3" t="str">
        <f>TRIM([1]Raw_Data!J1316)</f>
        <v>iHerb</v>
      </c>
      <c r="K1318" s="3">
        <f t="shared" si="80"/>
        <v>2021</v>
      </c>
      <c r="L1318" s="6">
        <f t="shared" si="81"/>
        <v>44409</v>
      </c>
      <c r="M1318" s="3" t="str">
        <f t="shared" si="82"/>
        <v>0% to 5%</v>
      </c>
      <c r="N1318" s="3" t="str">
        <f t="shared" si="83"/>
        <v>OK</v>
      </c>
    </row>
    <row r="1319" spans="1:14" x14ac:dyDescent="0.3">
      <c r="A1319" s="2">
        <f>DATE(VALUE(RIGHT(TRIM([1]Raw_Data!A1317),4)),VALUE(MID(TRIM([1]Raw_Data!A1317),4,2)),VALUE(LEFT(TRIM([1]Raw_Data!A1317),2)))</f>
        <v>44410</v>
      </c>
      <c r="B1319" s="3" t="str">
        <f>TRIM([1]Raw_Data!B1317)</f>
        <v>Multivitamin</v>
      </c>
      <c r="C1319" s="3" t="str">
        <f>TRIM([1]Raw_Data!C1317)</f>
        <v>Vitamin</v>
      </c>
      <c r="D1319" s="3">
        <f>[1]Raw_Data!D1317</f>
        <v>156</v>
      </c>
      <c r="E1319" s="4">
        <f>[1]Raw_Data!E1317</f>
        <v>10.6</v>
      </c>
      <c r="F1319" s="5">
        <f>[1]Raw_Data!F1317</f>
        <v>1653.6</v>
      </c>
      <c r="G1319" s="4">
        <f>[1]Raw_Data!G1317</f>
        <v>0.13</v>
      </c>
      <c r="H1319" s="3">
        <f>[1]Raw_Data!H1317</f>
        <v>2</v>
      </c>
      <c r="I1319" s="3" t="str">
        <f>TRIM([1]Raw_Data!I1317)</f>
        <v>USA</v>
      </c>
      <c r="J1319" s="3" t="str">
        <f>TRIM([1]Raw_Data!J1317)</f>
        <v>Amazon</v>
      </c>
      <c r="K1319" s="3">
        <f t="shared" si="80"/>
        <v>2021</v>
      </c>
      <c r="L1319" s="6">
        <f t="shared" si="81"/>
        <v>44409</v>
      </c>
      <c r="M1319" s="3" t="str">
        <f t="shared" si="82"/>
        <v>11% to 15%</v>
      </c>
      <c r="N1319" s="3" t="str">
        <f t="shared" si="83"/>
        <v>OK</v>
      </c>
    </row>
    <row r="1320" spans="1:14" x14ac:dyDescent="0.3">
      <c r="A1320" s="2">
        <f>DATE(VALUE(RIGHT(TRIM([1]Raw_Data!A1318),4)),VALUE(MID(TRIM([1]Raw_Data!A1318),4,2)),VALUE(LEFT(TRIM([1]Raw_Data!A1318),2)))</f>
        <v>44410</v>
      </c>
      <c r="B1320" s="3" t="str">
        <f>TRIM([1]Raw_Data!B1318)</f>
        <v>Pre-Workout</v>
      </c>
      <c r="C1320" s="3" t="str">
        <f>TRIM([1]Raw_Data!C1318)</f>
        <v>Performance</v>
      </c>
      <c r="D1320" s="3">
        <f>[1]Raw_Data!D1318</f>
        <v>149</v>
      </c>
      <c r="E1320" s="4">
        <f>[1]Raw_Data!E1318</f>
        <v>56.4</v>
      </c>
      <c r="F1320" s="5">
        <f>[1]Raw_Data!F1318</f>
        <v>8403.6</v>
      </c>
      <c r="G1320" s="4">
        <f>[1]Raw_Data!G1318</f>
        <v>0.21</v>
      </c>
      <c r="H1320" s="3">
        <f>[1]Raw_Data!H1318</f>
        <v>1</v>
      </c>
      <c r="I1320" s="3" t="str">
        <f>TRIM([1]Raw_Data!I1318)</f>
        <v>UK</v>
      </c>
      <c r="J1320" s="3" t="str">
        <f>TRIM([1]Raw_Data!J1318)</f>
        <v>iHerb</v>
      </c>
      <c r="K1320" s="3">
        <f t="shared" si="80"/>
        <v>2021</v>
      </c>
      <c r="L1320" s="6">
        <f t="shared" si="81"/>
        <v>44409</v>
      </c>
      <c r="M1320" s="3" t="str">
        <f t="shared" si="82"/>
        <v>21% to 25%</v>
      </c>
      <c r="N1320" s="3" t="str">
        <f t="shared" si="83"/>
        <v>OK</v>
      </c>
    </row>
    <row r="1321" spans="1:14" x14ac:dyDescent="0.3">
      <c r="A1321" s="2">
        <f>DATE(VALUE(RIGHT(TRIM([1]Raw_Data!A1319),4)),VALUE(MID(TRIM([1]Raw_Data!A1319),4,2)),VALUE(LEFT(TRIM([1]Raw_Data!A1319),2)))</f>
        <v>44410</v>
      </c>
      <c r="B1321" s="3" t="str">
        <f>TRIM([1]Raw_Data!B1319)</f>
        <v>BCAA</v>
      </c>
      <c r="C1321" s="3" t="str">
        <f>TRIM([1]Raw_Data!C1319)</f>
        <v>Amino Acid</v>
      </c>
      <c r="D1321" s="3">
        <f>[1]Raw_Data!D1319</f>
        <v>140</v>
      </c>
      <c r="E1321" s="4">
        <f>[1]Raw_Data!E1319</f>
        <v>35.22</v>
      </c>
      <c r="F1321" s="5">
        <f>[1]Raw_Data!F1319</f>
        <v>4930.8</v>
      </c>
      <c r="G1321" s="4">
        <f>[1]Raw_Data!G1319</f>
        <v>0.19</v>
      </c>
      <c r="H1321" s="3">
        <f>[1]Raw_Data!H1319</f>
        <v>1</v>
      </c>
      <c r="I1321" s="3" t="str">
        <f>TRIM([1]Raw_Data!I1319)</f>
        <v>UK</v>
      </c>
      <c r="J1321" s="3" t="str">
        <f>TRIM([1]Raw_Data!J1319)</f>
        <v>iHerb</v>
      </c>
      <c r="K1321" s="3">
        <f t="shared" si="80"/>
        <v>2021</v>
      </c>
      <c r="L1321" s="6">
        <f t="shared" si="81"/>
        <v>44409</v>
      </c>
      <c r="M1321" s="3" t="str">
        <f t="shared" si="82"/>
        <v>16% to 20%</v>
      </c>
      <c r="N1321" s="3" t="str">
        <f t="shared" si="83"/>
        <v>OK</v>
      </c>
    </row>
    <row r="1322" spans="1:14" x14ac:dyDescent="0.3">
      <c r="A1322" s="2">
        <f>DATE(VALUE(RIGHT(TRIM([1]Raw_Data!A1320),4)),VALUE(MID(TRIM([1]Raw_Data!A1320),4,2)),VALUE(LEFT(TRIM([1]Raw_Data!A1320),2)))</f>
        <v>44410</v>
      </c>
      <c r="B1322" s="3" t="str">
        <f>TRIM([1]Raw_Data!B1320)</f>
        <v>Creatine</v>
      </c>
      <c r="C1322" s="3" t="str">
        <f>TRIM([1]Raw_Data!C1320)</f>
        <v>Performance</v>
      </c>
      <c r="D1322" s="3">
        <f>[1]Raw_Data!D1320</f>
        <v>127</v>
      </c>
      <c r="E1322" s="4">
        <f>[1]Raw_Data!E1320</f>
        <v>50.3</v>
      </c>
      <c r="F1322" s="5">
        <f>[1]Raw_Data!F1320</f>
        <v>6388.1</v>
      </c>
      <c r="G1322" s="4">
        <f>[1]Raw_Data!G1320</f>
        <v>7.0000000000000007E-2</v>
      </c>
      <c r="H1322" s="3">
        <f>[1]Raw_Data!H1320</f>
        <v>2</v>
      </c>
      <c r="I1322" s="3" t="str">
        <f>TRIM([1]Raw_Data!I1320)</f>
        <v>Canada</v>
      </c>
      <c r="J1322" s="3" t="str">
        <f>TRIM([1]Raw_Data!J1320)</f>
        <v>Amazon</v>
      </c>
      <c r="K1322" s="3">
        <f t="shared" si="80"/>
        <v>2021</v>
      </c>
      <c r="L1322" s="6">
        <f t="shared" si="81"/>
        <v>44409</v>
      </c>
      <c r="M1322" s="3" t="str">
        <f t="shared" si="82"/>
        <v>6% to 10%</v>
      </c>
      <c r="N1322" s="3" t="str">
        <f t="shared" si="83"/>
        <v>OK</v>
      </c>
    </row>
    <row r="1323" spans="1:14" x14ac:dyDescent="0.3">
      <c r="A1323" s="2">
        <f>DATE(VALUE(RIGHT(TRIM([1]Raw_Data!A1321),4)),VALUE(MID(TRIM([1]Raw_Data!A1321),4,2)),VALUE(LEFT(TRIM([1]Raw_Data!A1321),2)))</f>
        <v>44410</v>
      </c>
      <c r="B1323" s="3" t="str">
        <f>TRIM([1]Raw_Data!B1321)</f>
        <v>Zinc</v>
      </c>
      <c r="C1323" s="3" t="str">
        <f>TRIM([1]Raw_Data!C1321)</f>
        <v>Mineral</v>
      </c>
      <c r="D1323" s="3">
        <f>[1]Raw_Data!D1321</f>
        <v>147</v>
      </c>
      <c r="E1323" s="4">
        <f>[1]Raw_Data!E1321</f>
        <v>52.26</v>
      </c>
      <c r="F1323" s="5">
        <f>[1]Raw_Data!F1321</f>
        <v>7682.22</v>
      </c>
      <c r="G1323" s="4">
        <f>[1]Raw_Data!G1321</f>
        <v>0.13</v>
      </c>
      <c r="H1323" s="3">
        <f>[1]Raw_Data!H1321</f>
        <v>2</v>
      </c>
      <c r="I1323" s="3" t="str">
        <f>TRIM([1]Raw_Data!I1321)</f>
        <v>UK</v>
      </c>
      <c r="J1323" s="3" t="str">
        <f>TRIM([1]Raw_Data!J1321)</f>
        <v>iHerb</v>
      </c>
      <c r="K1323" s="3">
        <f t="shared" si="80"/>
        <v>2021</v>
      </c>
      <c r="L1323" s="6">
        <f t="shared" si="81"/>
        <v>44409</v>
      </c>
      <c r="M1323" s="3" t="str">
        <f t="shared" si="82"/>
        <v>11% to 15%</v>
      </c>
      <c r="N1323" s="3" t="str">
        <f t="shared" si="83"/>
        <v>OK</v>
      </c>
    </row>
    <row r="1324" spans="1:14" x14ac:dyDescent="0.3">
      <c r="A1324" s="2">
        <f>DATE(VALUE(RIGHT(TRIM([1]Raw_Data!A1322),4)),VALUE(MID(TRIM([1]Raw_Data!A1322),4,2)),VALUE(LEFT(TRIM([1]Raw_Data!A1322),2)))</f>
        <v>44410</v>
      </c>
      <c r="B1324" s="3" t="str">
        <f>TRIM([1]Raw_Data!B1322)</f>
        <v>Collagen Peptides</v>
      </c>
      <c r="C1324" s="3" t="str">
        <f>TRIM([1]Raw_Data!C1322)</f>
        <v>Protein</v>
      </c>
      <c r="D1324" s="3">
        <f>[1]Raw_Data!D1322</f>
        <v>167</v>
      </c>
      <c r="E1324" s="4">
        <f>[1]Raw_Data!E1322</f>
        <v>25.66</v>
      </c>
      <c r="F1324" s="5">
        <f>[1]Raw_Data!F1322</f>
        <v>4285.22</v>
      </c>
      <c r="G1324" s="4">
        <f>[1]Raw_Data!G1322</f>
        <v>0.19</v>
      </c>
      <c r="H1324" s="3">
        <f>[1]Raw_Data!H1322</f>
        <v>1</v>
      </c>
      <c r="I1324" s="3" t="str">
        <f>TRIM([1]Raw_Data!I1322)</f>
        <v>Canada</v>
      </c>
      <c r="J1324" s="3" t="str">
        <f>TRIM([1]Raw_Data!J1322)</f>
        <v>iHerb</v>
      </c>
      <c r="K1324" s="3">
        <f t="shared" si="80"/>
        <v>2021</v>
      </c>
      <c r="L1324" s="6">
        <f t="shared" si="81"/>
        <v>44409</v>
      </c>
      <c r="M1324" s="3" t="str">
        <f t="shared" si="82"/>
        <v>16% to 20%</v>
      </c>
      <c r="N1324" s="3" t="str">
        <f t="shared" si="83"/>
        <v>OK</v>
      </c>
    </row>
    <row r="1325" spans="1:14" x14ac:dyDescent="0.3">
      <c r="A1325" s="2">
        <f>DATE(VALUE(RIGHT(TRIM([1]Raw_Data!A1323),4)),VALUE(MID(TRIM([1]Raw_Data!A1323),4,2)),VALUE(LEFT(TRIM([1]Raw_Data!A1323),2)))</f>
        <v>44410</v>
      </c>
      <c r="B1325" s="3" t="str">
        <f>TRIM([1]Raw_Data!B1323)</f>
        <v>Magnesium</v>
      </c>
      <c r="C1325" s="3" t="str">
        <f>TRIM([1]Raw_Data!C1323)</f>
        <v>Mineral</v>
      </c>
      <c r="D1325" s="3">
        <f>[1]Raw_Data!D1323</f>
        <v>146</v>
      </c>
      <c r="E1325" s="4">
        <f>[1]Raw_Data!E1323</f>
        <v>46.22</v>
      </c>
      <c r="F1325" s="5">
        <f>[1]Raw_Data!F1323</f>
        <v>6748.12</v>
      </c>
      <c r="G1325" s="4">
        <f>[1]Raw_Data!G1323</f>
        <v>0.1</v>
      </c>
      <c r="H1325" s="3">
        <f>[1]Raw_Data!H1323</f>
        <v>0</v>
      </c>
      <c r="I1325" s="3" t="str">
        <f>TRIM([1]Raw_Data!I1323)</f>
        <v>UK</v>
      </c>
      <c r="J1325" s="3" t="str">
        <f>TRIM([1]Raw_Data!J1323)</f>
        <v>iHerb</v>
      </c>
      <c r="K1325" s="3">
        <f t="shared" si="80"/>
        <v>2021</v>
      </c>
      <c r="L1325" s="6">
        <f t="shared" si="81"/>
        <v>44409</v>
      </c>
      <c r="M1325" s="3" t="str">
        <f t="shared" si="82"/>
        <v>6% to 10%</v>
      </c>
      <c r="N1325" s="3" t="str">
        <f t="shared" si="83"/>
        <v>OK</v>
      </c>
    </row>
    <row r="1326" spans="1:14" x14ac:dyDescent="0.3">
      <c r="A1326" s="2">
        <f>DATE(VALUE(RIGHT(TRIM([1]Raw_Data!A1324),4)),VALUE(MID(TRIM([1]Raw_Data!A1324),4,2)),VALUE(LEFT(TRIM([1]Raw_Data!A1324),2)))</f>
        <v>44410</v>
      </c>
      <c r="B1326" s="3" t="str">
        <f>TRIM([1]Raw_Data!B1324)</f>
        <v>Ashwagandha</v>
      </c>
      <c r="C1326" s="3" t="str">
        <f>TRIM([1]Raw_Data!C1324)</f>
        <v>Herbal</v>
      </c>
      <c r="D1326" s="3">
        <f>[1]Raw_Data!D1324</f>
        <v>145</v>
      </c>
      <c r="E1326" s="4">
        <f>[1]Raw_Data!E1324</f>
        <v>18.8</v>
      </c>
      <c r="F1326" s="5">
        <f>[1]Raw_Data!F1324</f>
        <v>2726</v>
      </c>
      <c r="G1326" s="4">
        <f>[1]Raw_Data!G1324</f>
        <v>0.19</v>
      </c>
      <c r="H1326" s="3">
        <f>[1]Raw_Data!H1324</f>
        <v>1</v>
      </c>
      <c r="I1326" s="3" t="str">
        <f>TRIM([1]Raw_Data!I1324)</f>
        <v>USA</v>
      </c>
      <c r="J1326" s="3" t="str">
        <f>TRIM([1]Raw_Data!J1324)</f>
        <v>iHerb</v>
      </c>
      <c r="K1326" s="3">
        <f t="shared" si="80"/>
        <v>2021</v>
      </c>
      <c r="L1326" s="6">
        <f t="shared" si="81"/>
        <v>44409</v>
      </c>
      <c r="M1326" s="3" t="str">
        <f t="shared" si="82"/>
        <v>16% to 20%</v>
      </c>
      <c r="N1326" s="3" t="str">
        <f t="shared" si="83"/>
        <v>OK</v>
      </c>
    </row>
    <row r="1327" spans="1:14" x14ac:dyDescent="0.3">
      <c r="A1327" s="2">
        <f>DATE(VALUE(RIGHT(TRIM([1]Raw_Data!A1325),4)),VALUE(MID(TRIM([1]Raw_Data!A1325),4,2)),VALUE(LEFT(TRIM([1]Raw_Data!A1325),2)))</f>
        <v>44410</v>
      </c>
      <c r="B1327" s="3" t="str">
        <f>TRIM([1]Raw_Data!B1325)</f>
        <v>Melatonin</v>
      </c>
      <c r="C1327" s="3" t="str">
        <f>TRIM([1]Raw_Data!C1325)</f>
        <v>Sleep Aid</v>
      </c>
      <c r="D1327" s="3">
        <f>[1]Raw_Data!D1325</f>
        <v>148</v>
      </c>
      <c r="E1327" s="4">
        <f>[1]Raw_Data!E1325</f>
        <v>59.1</v>
      </c>
      <c r="F1327" s="5">
        <f>[1]Raw_Data!F1325</f>
        <v>8746.7999999999993</v>
      </c>
      <c r="G1327" s="4">
        <f>[1]Raw_Data!G1325</f>
        <v>0.1</v>
      </c>
      <c r="H1327" s="3">
        <f>[1]Raw_Data!H1325</f>
        <v>0</v>
      </c>
      <c r="I1327" s="3" t="str">
        <f>TRIM([1]Raw_Data!I1325)</f>
        <v>USA</v>
      </c>
      <c r="J1327" s="3" t="str">
        <f>TRIM([1]Raw_Data!J1325)</f>
        <v>Walmart</v>
      </c>
      <c r="K1327" s="3">
        <f t="shared" si="80"/>
        <v>2021</v>
      </c>
      <c r="L1327" s="6">
        <f t="shared" si="81"/>
        <v>44409</v>
      </c>
      <c r="M1327" s="3" t="str">
        <f t="shared" si="82"/>
        <v>6% to 10%</v>
      </c>
      <c r="N1327" s="3" t="str">
        <f t="shared" si="83"/>
        <v>OK</v>
      </c>
    </row>
    <row r="1328" spans="1:14" x14ac:dyDescent="0.3">
      <c r="A1328" s="2">
        <f>DATE(VALUE(RIGHT(TRIM([1]Raw_Data!A1326),4)),VALUE(MID(TRIM([1]Raw_Data!A1326),4,2)),VALUE(LEFT(TRIM([1]Raw_Data!A1326),2)))</f>
        <v>44410</v>
      </c>
      <c r="B1328" s="3" t="str">
        <f>TRIM([1]Raw_Data!B1326)</f>
        <v>Biotin</v>
      </c>
      <c r="C1328" s="3" t="str">
        <f>TRIM([1]Raw_Data!C1326)</f>
        <v>Vitamin</v>
      </c>
      <c r="D1328" s="3">
        <f>[1]Raw_Data!D1326</f>
        <v>130</v>
      </c>
      <c r="E1328" s="4">
        <f>[1]Raw_Data!E1326</f>
        <v>39.97</v>
      </c>
      <c r="F1328" s="5">
        <f>[1]Raw_Data!F1326</f>
        <v>5196.1000000000004</v>
      </c>
      <c r="G1328" s="4">
        <f>[1]Raw_Data!G1326</f>
        <v>0.1</v>
      </c>
      <c r="H1328" s="3">
        <f>[1]Raw_Data!H1326</f>
        <v>1</v>
      </c>
      <c r="I1328" s="3" t="str">
        <f>TRIM([1]Raw_Data!I1326)</f>
        <v>UK</v>
      </c>
      <c r="J1328" s="3" t="str">
        <f>TRIM([1]Raw_Data!J1326)</f>
        <v>Walmart</v>
      </c>
      <c r="K1328" s="3">
        <f t="shared" si="80"/>
        <v>2021</v>
      </c>
      <c r="L1328" s="6">
        <f t="shared" si="81"/>
        <v>44409</v>
      </c>
      <c r="M1328" s="3" t="str">
        <f t="shared" si="82"/>
        <v>6% to 10%</v>
      </c>
      <c r="N1328" s="3" t="str">
        <f t="shared" si="83"/>
        <v>OK</v>
      </c>
    </row>
    <row r="1329" spans="1:14" x14ac:dyDescent="0.3">
      <c r="A1329" s="2">
        <f>DATE(VALUE(RIGHT(TRIM([1]Raw_Data!A1327),4)),VALUE(MID(TRIM([1]Raw_Data!A1327),4,2)),VALUE(LEFT(TRIM([1]Raw_Data!A1327),2)))</f>
        <v>44410</v>
      </c>
      <c r="B1329" s="3" t="str">
        <f>TRIM([1]Raw_Data!B1327)</f>
        <v>Green Tea Extract</v>
      </c>
      <c r="C1329" s="3" t="str">
        <f>TRIM([1]Raw_Data!C1327)</f>
        <v>Fat Burner</v>
      </c>
      <c r="D1329" s="3">
        <f>[1]Raw_Data!D1327</f>
        <v>124</v>
      </c>
      <c r="E1329" s="4">
        <f>[1]Raw_Data!E1327</f>
        <v>35.24</v>
      </c>
      <c r="F1329" s="5">
        <f>[1]Raw_Data!F1327</f>
        <v>4369.76</v>
      </c>
      <c r="G1329" s="4">
        <f>[1]Raw_Data!G1327</f>
        <v>0.04</v>
      </c>
      <c r="H1329" s="3">
        <f>[1]Raw_Data!H1327</f>
        <v>0</v>
      </c>
      <c r="I1329" s="3" t="str">
        <f>TRIM([1]Raw_Data!I1327)</f>
        <v>UK</v>
      </c>
      <c r="J1329" s="3" t="str">
        <f>TRIM([1]Raw_Data!J1327)</f>
        <v>iHerb</v>
      </c>
      <c r="K1329" s="3">
        <f t="shared" si="80"/>
        <v>2021</v>
      </c>
      <c r="L1329" s="6">
        <f t="shared" si="81"/>
        <v>44409</v>
      </c>
      <c r="M1329" s="3" t="str">
        <f t="shared" si="82"/>
        <v>0% to 5%</v>
      </c>
      <c r="N1329" s="3" t="str">
        <f t="shared" si="83"/>
        <v>OK</v>
      </c>
    </row>
    <row r="1330" spans="1:14" x14ac:dyDescent="0.3">
      <c r="A1330" s="2">
        <f>DATE(VALUE(RIGHT(TRIM([1]Raw_Data!A1328),4)),VALUE(MID(TRIM([1]Raw_Data!A1328),4,2)),VALUE(LEFT(TRIM([1]Raw_Data!A1328),2)))</f>
        <v>44410</v>
      </c>
      <c r="B1330" s="3" t="str">
        <f>TRIM([1]Raw_Data!B1328)</f>
        <v>Iron Supplement</v>
      </c>
      <c r="C1330" s="3" t="str">
        <f>TRIM([1]Raw_Data!C1328)</f>
        <v>Mineral</v>
      </c>
      <c r="D1330" s="3">
        <f>[1]Raw_Data!D1328</f>
        <v>133</v>
      </c>
      <c r="E1330" s="4">
        <f>[1]Raw_Data!E1328</f>
        <v>40.49</v>
      </c>
      <c r="F1330" s="5">
        <f>[1]Raw_Data!F1328</f>
        <v>5385.17</v>
      </c>
      <c r="G1330" s="4">
        <f>[1]Raw_Data!G1328</f>
        <v>0.05</v>
      </c>
      <c r="H1330" s="3">
        <f>[1]Raw_Data!H1328</f>
        <v>0</v>
      </c>
      <c r="I1330" s="3" t="str">
        <f>TRIM([1]Raw_Data!I1328)</f>
        <v>UK</v>
      </c>
      <c r="J1330" s="3" t="str">
        <f>TRIM([1]Raw_Data!J1328)</f>
        <v>Amazon</v>
      </c>
      <c r="K1330" s="3">
        <f t="shared" si="80"/>
        <v>2021</v>
      </c>
      <c r="L1330" s="6">
        <f t="shared" si="81"/>
        <v>44409</v>
      </c>
      <c r="M1330" s="3" t="str">
        <f t="shared" si="82"/>
        <v>0% to 5%</v>
      </c>
      <c r="N1330" s="3" t="str">
        <f t="shared" si="83"/>
        <v>OK</v>
      </c>
    </row>
    <row r="1331" spans="1:14" x14ac:dyDescent="0.3">
      <c r="A1331" s="2">
        <f>DATE(VALUE(RIGHT(TRIM([1]Raw_Data!A1329),4)),VALUE(MID(TRIM([1]Raw_Data!A1329),4,2)),VALUE(LEFT(TRIM([1]Raw_Data!A1329),2)))</f>
        <v>44410</v>
      </c>
      <c r="B1331" s="3" t="str">
        <f>TRIM([1]Raw_Data!B1329)</f>
        <v>Electrolyte Powder</v>
      </c>
      <c r="C1331" s="3" t="str">
        <f>TRIM([1]Raw_Data!C1329)</f>
        <v>Hydration</v>
      </c>
      <c r="D1331" s="3">
        <f>[1]Raw_Data!D1329</f>
        <v>165</v>
      </c>
      <c r="E1331" s="4">
        <f>[1]Raw_Data!E1329</f>
        <v>26.38</v>
      </c>
      <c r="F1331" s="5">
        <f>[1]Raw_Data!F1329</f>
        <v>4352.7</v>
      </c>
      <c r="G1331" s="4">
        <f>[1]Raw_Data!G1329</f>
        <v>0.05</v>
      </c>
      <c r="H1331" s="3">
        <f>[1]Raw_Data!H1329</f>
        <v>1</v>
      </c>
      <c r="I1331" s="3" t="str">
        <f>TRIM([1]Raw_Data!I1329)</f>
        <v>UK</v>
      </c>
      <c r="J1331" s="3" t="str">
        <f>TRIM([1]Raw_Data!J1329)</f>
        <v>Amazon</v>
      </c>
      <c r="K1331" s="3">
        <f t="shared" si="80"/>
        <v>2021</v>
      </c>
      <c r="L1331" s="6">
        <f t="shared" si="81"/>
        <v>44409</v>
      </c>
      <c r="M1331" s="3" t="str">
        <f t="shared" si="82"/>
        <v>0% to 5%</v>
      </c>
      <c r="N1331" s="3" t="str">
        <f t="shared" si="83"/>
        <v>OK</v>
      </c>
    </row>
    <row r="1332" spans="1:14" x14ac:dyDescent="0.3">
      <c r="A1332" s="2">
        <f>DATE(VALUE(RIGHT(TRIM([1]Raw_Data!A1330),4)),VALUE(MID(TRIM([1]Raw_Data!A1330),4,2)),VALUE(LEFT(TRIM([1]Raw_Data!A1330),2)))</f>
        <v>44417</v>
      </c>
      <c r="B1332" s="3" t="str">
        <f>TRIM([1]Raw_Data!B1330)</f>
        <v>Whey Protein</v>
      </c>
      <c r="C1332" s="3" t="str">
        <f>TRIM([1]Raw_Data!C1330)</f>
        <v>Protein</v>
      </c>
      <c r="D1332" s="3">
        <f>[1]Raw_Data!D1330</f>
        <v>151</v>
      </c>
      <c r="E1332" s="4">
        <f>[1]Raw_Data!E1330</f>
        <v>18.22</v>
      </c>
      <c r="F1332" s="5">
        <f>[1]Raw_Data!F1330</f>
        <v>2751.22</v>
      </c>
      <c r="G1332" s="4">
        <f>[1]Raw_Data!G1330</f>
        <v>0.2</v>
      </c>
      <c r="H1332" s="3">
        <f>[1]Raw_Data!H1330</f>
        <v>2</v>
      </c>
      <c r="I1332" s="3" t="str">
        <f>TRIM([1]Raw_Data!I1330)</f>
        <v>UK</v>
      </c>
      <c r="J1332" s="3" t="str">
        <f>TRIM([1]Raw_Data!J1330)</f>
        <v>Walmart</v>
      </c>
      <c r="K1332" s="3">
        <f t="shared" si="80"/>
        <v>2021</v>
      </c>
      <c r="L1332" s="6">
        <f t="shared" si="81"/>
        <v>44409</v>
      </c>
      <c r="M1332" s="3" t="str">
        <f t="shared" si="82"/>
        <v>16% to 20%</v>
      </c>
      <c r="N1332" s="3" t="str">
        <f t="shared" si="83"/>
        <v>OK</v>
      </c>
    </row>
    <row r="1333" spans="1:14" x14ac:dyDescent="0.3">
      <c r="A1333" s="2">
        <f>DATE(VALUE(RIGHT(TRIM([1]Raw_Data!A1331),4)),VALUE(MID(TRIM([1]Raw_Data!A1331),4,2)),VALUE(LEFT(TRIM([1]Raw_Data!A1331),2)))</f>
        <v>44417</v>
      </c>
      <c r="B1333" s="3" t="str">
        <f>TRIM([1]Raw_Data!B1331)</f>
        <v>Vitamin C</v>
      </c>
      <c r="C1333" s="3" t="str">
        <f>TRIM([1]Raw_Data!C1331)</f>
        <v>Vitamin</v>
      </c>
      <c r="D1333" s="3">
        <f>[1]Raw_Data!D1331</f>
        <v>134</v>
      </c>
      <c r="E1333" s="4">
        <f>[1]Raw_Data!E1331</f>
        <v>18.510000000000002</v>
      </c>
      <c r="F1333" s="5">
        <f>[1]Raw_Data!F1331</f>
        <v>2480.34</v>
      </c>
      <c r="G1333" s="4">
        <f>[1]Raw_Data!G1331</f>
        <v>0.06</v>
      </c>
      <c r="H1333" s="3">
        <f>[1]Raw_Data!H1331</f>
        <v>1</v>
      </c>
      <c r="I1333" s="3" t="str">
        <f>TRIM([1]Raw_Data!I1331)</f>
        <v>Canada</v>
      </c>
      <c r="J1333" s="3" t="str">
        <f>TRIM([1]Raw_Data!J1331)</f>
        <v>iHerb</v>
      </c>
      <c r="K1333" s="3">
        <f t="shared" si="80"/>
        <v>2021</v>
      </c>
      <c r="L1333" s="6">
        <f t="shared" si="81"/>
        <v>44409</v>
      </c>
      <c r="M1333" s="3" t="str">
        <f t="shared" si="82"/>
        <v>6% to 10%</v>
      </c>
      <c r="N1333" s="3" t="str">
        <f t="shared" si="83"/>
        <v>OK</v>
      </c>
    </row>
    <row r="1334" spans="1:14" x14ac:dyDescent="0.3">
      <c r="A1334" s="2">
        <f>DATE(VALUE(RIGHT(TRIM([1]Raw_Data!A1332),4)),VALUE(MID(TRIM([1]Raw_Data!A1332),4,2)),VALUE(LEFT(TRIM([1]Raw_Data!A1332),2)))</f>
        <v>44417</v>
      </c>
      <c r="B1334" s="3" t="str">
        <f>TRIM([1]Raw_Data!B1332)</f>
        <v>Fish Oil</v>
      </c>
      <c r="C1334" s="3" t="str">
        <f>TRIM([1]Raw_Data!C1332)</f>
        <v>Omega</v>
      </c>
      <c r="D1334" s="3">
        <f>[1]Raw_Data!D1332</f>
        <v>152</v>
      </c>
      <c r="E1334" s="4">
        <f>[1]Raw_Data!E1332</f>
        <v>57.39</v>
      </c>
      <c r="F1334" s="5">
        <f>[1]Raw_Data!F1332</f>
        <v>8723.2800000000007</v>
      </c>
      <c r="G1334" s="4">
        <f>[1]Raw_Data!G1332</f>
        <v>0.03</v>
      </c>
      <c r="H1334" s="3">
        <f>[1]Raw_Data!H1332</f>
        <v>4</v>
      </c>
      <c r="I1334" s="3" t="str">
        <f>TRIM([1]Raw_Data!I1332)</f>
        <v>Canada</v>
      </c>
      <c r="J1334" s="3" t="str">
        <f>TRIM([1]Raw_Data!J1332)</f>
        <v>iHerb</v>
      </c>
      <c r="K1334" s="3">
        <f t="shared" si="80"/>
        <v>2021</v>
      </c>
      <c r="L1334" s="6">
        <f t="shared" si="81"/>
        <v>44409</v>
      </c>
      <c r="M1334" s="3" t="str">
        <f t="shared" si="82"/>
        <v>0% to 5%</v>
      </c>
      <c r="N1334" s="3" t="str">
        <f t="shared" si="83"/>
        <v>OK</v>
      </c>
    </row>
    <row r="1335" spans="1:14" x14ac:dyDescent="0.3">
      <c r="A1335" s="2">
        <f>DATE(VALUE(RIGHT(TRIM([1]Raw_Data!A1333),4)),VALUE(MID(TRIM([1]Raw_Data!A1333),4,2)),VALUE(LEFT(TRIM([1]Raw_Data!A1333),2)))</f>
        <v>44417</v>
      </c>
      <c r="B1335" s="3" t="str">
        <f>TRIM([1]Raw_Data!B1333)</f>
        <v>Multivitamin</v>
      </c>
      <c r="C1335" s="3" t="str">
        <f>TRIM([1]Raw_Data!C1333)</f>
        <v>Vitamin</v>
      </c>
      <c r="D1335" s="3">
        <f>[1]Raw_Data!D1333</f>
        <v>140</v>
      </c>
      <c r="E1335" s="4">
        <f>[1]Raw_Data!E1333</f>
        <v>26.95</v>
      </c>
      <c r="F1335" s="5">
        <f>[1]Raw_Data!F1333</f>
        <v>3773</v>
      </c>
      <c r="G1335" s="4">
        <f>[1]Raw_Data!G1333</f>
        <v>0.04</v>
      </c>
      <c r="H1335" s="3">
        <f>[1]Raw_Data!H1333</f>
        <v>3</v>
      </c>
      <c r="I1335" s="3" t="str">
        <f>TRIM([1]Raw_Data!I1333)</f>
        <v>UK</v>
      </c>
      <c r="J1335" s="3" t="str">
        <f>TRIM([1]Raw_Data!J1333)</f>
        <v>iHerb</v>
      </c>
      <c r="K1335" s="3">
        <f t="shared" si="80"/>
        <v>2021</v>
      </c>
      <c r="L1335" s="6">
        <f t="shared" si="81"/>
        <v>44409</v>
      </c>
      <c r="M1335" s="3" t="str">
        <f t="shared" si="82"/>
        <v>0% to 5%</v>
      </c>
      <c r="N1335" s="3" t="str">
        <f t="shared" si="83"/>
        <v>OK</v>
      </c>
    </row>
    <row r="1336" spans="1:14" x14ac:dyDescent="0.3">
      <c r="A1336" s="2">
        <f>DATE(VALUE(RIGHT(TRIM([1]Raw_Data!A1334),4)),VALUE(MID(TRIM([1]Raw_Data!A1334),4,2)),VALUE(LEFT(TRIM([1]Raw_Data!A1334),2)))</f>
        <v>44417</v>
      </c>
      <c r="B1336" s="3" t="str">
        <f>TRIM([1]Raw_Data!B1334)</f>
        <v>Pre-Workout</v>
      </c>
      <c r="C1336" s="3" t="str">
        <f>TRIM([1]Raw_Data!C1334)</f>
        <v>Performance</v>
      </c>
      <c r="D1336" s="3">
        <f>[1]Raw_Data!D1334</f>
        <v>143</v>
      </c>
      <c r="E1336" s="4">
        <f>[1]Raw_Data!E1334</f>
        <v>38.32</v>
      </c>
      <c r="F1336" s="5">
        <f>[1]Raw_Data!F1334</f>
        <v>5479.76</v>
      </c>
      <c r="G1336" s="4">
        <f>[1]Raw_Data!G1334</f>
        <v>0.12</v>
      </c>
      <c r="H1336" s="3">
        <f>[1]Raw_Data!H1334</f>
        <v>1</v>
      </c>
      <c r="I1336" s="3" t="str">
        <f>TRIM([1]Raw_Data!I1334)</f>
        <v>Canada</v>
      </c>
      <c r="J1336" s="3" t="str">
        <f>TRIM([1]Raw_Data!J1334)</f>
        <v>Walmart</v>
      </c>
      <c r="K1336" s="3">
        <f t="shared" si="80"/>
        <v>2021</v>
      </c>
      <c r="L1336" s="6">
        <f t="shared" si="81"/>
        <v>44409</v>
      </c>
      <c r="M1336" s="3" t="str">
        <f t="shared" si="82"/>
        <v>11% to 15%</v>
      </c>
      <c r="N1336" s="3" t="str">
        <f t="shared" si="83"/>
        <v>OK</v>
      </c>
    </row>
    <row r="1337" spans="1:14" x14ac:dyDescent="0.3">
      <c r="A1337" s="2">
        <f>DATE(VALUE(RIGHT(TRIM([1]Raw_Data!A1335),4)),VALUE(MID(TRIM([1]Raw_Data!A1335),4,2)),VALUE(LEFT(TRIM([1]Raw_Data!A1335),2)))</f>
        <v>44417</v>
      </c>
      <c r="B1337" s="3" t="str">
        <f>TRIM([1]Raw_Data!B1335)</f>
        <v>BCAA</v>
      </c>
      <c r="C1337" s="3" t="str">
        <f>TRIM([1]Raw_Data!C1335)</f>
        <v>Amino Acid</v>
      </c>
      <c r="D1337" s="3">
        <f>[1]Raw_Data!D1335</f>
        <v>159</v>
      </c>
      <c r="E1337" s="4">
        <f>[1]Raw_Data!E1335</f>
        <v>43.41</v>
      </c>
      <c r="F1337" s="5">
        <f>[1]Raw_Data!F1335</f>
        <v>6902.19</v>
      </c>
      <c r="G1337" s="4">
        <f>[1]Raw_Data!G1335</f>
        <v>0.22</v>
      </c>
      <c r="H1337" s="3">
        <f>[1]Raw_Data!H1335</f>
        <v>0</v>
      </c>
      <c r="I1337" s="3" t="str">
        <f>TRIM([1]Raw_Data!I1335)</f>
        <v>USA</v>
      </c>
      <c r="J1337" s="3" t="str">
        <f>TRIM([1]Raw_Data!J1335)</f>
        <v>iHerb</v>
      </c>
      <c r="K1337" s="3">
        <f t="shared" si="80"/>
        <v>2021</v>
      </c>
      <c r="L1337" s="6">
        <f t="shared" si="81"/>
        <v>44409</v>
      </c>
      <c r="M1337" s="3" t="str">
        <f t="shared" si="82"/>
        <v>21% to 25%</v>
      </c>
      <c r="N1337" s="3" t="str">
        <f t="shared" si="83"/>
        <v>OK</v>
      </c>
    </row>
    <row r="1338" spans="1:14" x14ac:dyDescent="0.3">
      <c r="A1338" s="2">
        <f>DATE(VALUE(RIGHT(TRIM([1]Raw_Data!A1336),4)),VALUE(MID(TRIM([1]Raw_Data!A1336),4,2)),VALUE(LEFT(TRIM([1]Raw_Data!A1336),2)))</f>
        <v>44417</v>
      </c>
      <c r="B1338" s="3" t="str">
        <f>TRIM([1]Raw_Data!B1336)</f>
        <v>Creatine</v>
      </c>
      <c r="C1338" s="3" t="str">
        <f>TRIM([1]Raw_Data!C1336)</f>
        <v>Performance</v>
      </c>
      <c r="D1338" s="3">
        <f>[1]Raw_Data!D1336</f>
        <v>135</v>
      </c>
      <c r="E1338" s="4">
        <f>[1]Raw_Data!E1336</f>
        <v>31.86</v>
      </c>
      <c r="F1338" s="5">
        <f>[1]Raw_Data!F1336</f>
        <v>4301.1000000000004</v>
      </c>
      <c r="G1338" s="4">
        <f>[1]Raw_Data!G1336</f>
        <v>0.1</v>
      </c>
      <c r="H1338" s="3">
        <f>[1]Raw_Data!H1336</f>
        <v>0</v>
      </c>
      <c r="I1338" s="3" t="str">
        <f>TRIM([1]Raw_Data!I1336)</f>
        <v>Canada</v>
      </c>
      <c r="J1338" s="3" t="str">
        <f>TRIM([1]Raw_Data!J1336)</f>
        <v>Walmart</v>
      </c>
      <c r="K1338" s="3">
        <f t="shared" si="80"/>
        <v>2021</v>
      </c>
      <c r="L1338" s="6">
        <f t="shared" si="81"/>
        <v>44409</v>
      </c>
      <c r="M1338" s="3" t="str">
        <f t="shared" si="82"/>
        <v>6% to 10%</v>
      </c>
      <c r="N1338" s="3" t="str">
        <f t="shared" si="83"/>
        <v>OK</v>
      </c>
    </row>
    <row r="1339" spans="1:14" x14ac:dyDescent="0.3">
      <c r="A1339" s="2">
        <f>DATE(VALUE(RIGHT(TRIM([1]Raw_Data!A1337),4)),VALUE(MID(TRIM([1]Raw_Data!A1337),4,2)),VALUE(LEFT(TRIM([1]Raw_Data!A1337),2)))</f>
        <v>44417</v>
      </c>
      <c r="B1339" s="3" t="str">
        <f>TRIM([1]Raw_Data!B1337)</f>
        <v>Zinc</v>
      </c>
      <c r="C1339" s="3" t="str">
        <f>TRIM([1]Raw_Data!C1337)</f>
        <v>Mineral</v>
      </c>
      <c r="D1339" s="3">
        <f>[1]Raw_Data!D1337</f>
        <v>150</v>
      </c>
      <c r="E1339" s="4">
        <f>[1]Raw_Data!E1337</f>
        <v>33.83</v>
      </c>
      <c r="F1339" s="5">
        <f>[1]Raw_Data!F1337</f>
        <v>5074.5</v>
      </c>
      <c r="G1339" s="4">
        <f>[1]Raw_Data!G1337</f>
        <v>0.19</v>
      </c>
      <c r="H1339" s="3">
        <f>[1]Raw_Data!H1337</f>
        <v>1</v>
      </c>
      <c r="I1339" s="3" t="str">
        <f>TRIM([1]Raw_Data!I1337)</f>
        <v>USA</v>
      </c>
      <c r="J1339" s="3" t="str">
        <f>TRIM([1]Raw_Data!J1337)</f>
        <v>Walmart</v>
      </c>
      <c r="K1339" s="3">
        <f t="shared" si="80"/>
        <v>2021</v>
      </c>
      <c r="L1339" s="6">
        <f t="shared" si="81"/>
        <v>44409</v>
      </c>
      <c r="M1339" s="3" t="str">
        <f t="shared" si="82"/>
        <v>16% to 20%</v>
      </c>
      <c r="N1339" s="3" t="str">
        <f t="shared" si="83"/>
        <v>OK</v>
      </c>
    </row>
    <row r="1340" spans="1:14" x14ac:dyDescent="0.3">
      <c r="A1340" s="2">
        <f>DATE(VALUE(RIGHT(TRIM([1]Raw_Data!A1338),4)),VALUE(MID(TRIM([1]Raw_Data!A1338),4,2)),VALUE(LEFT(TRIM([1]Raw_Data!A1338),2)))</f>
        <v>44417</v>
      </c>
      <c r="B1340" s="3" t="str">
        <f>TRIM([1]Raw_Data!B1338)</f>
        <v>Collagen Peptides</v>
      </c>
      <c r="C1340" s="3" t="str">
        <f>TRIM([1]Raw_Data!C1338)</f>
        <v>Protein</v>
      </c>
      <c r="D1340" s="3">
        <f>[1]Raw_Data!D1338</f>
        <v>157</v>
      </c>
      <c r="E1340" s="4">
        <f>[1]Raw_Data!E1338</f>
        <v>30.74</v>
      </c>
      <c r="F1340" s="5">
        <f>[1]Raw_Data!F1338</f>
        <v>4826.18</v>
      </c>
      <c r="G1340" s="4">
        <f>[1]Raw_Data!G1338</f>
        <v>0.19</v>
      </c>
      <c r="H1340" s="3">
        <f>[1]Raw_Data!H1338</f>
        <v>0</v>
      </c>
      <c r="I1340" s="3" t="str">
        <f>TRIM([1]Raw_Data!I1338)</f>
        <v>Canada</v>
      </c>
      <c r="J1340" s="3" t="str">
        <f>TRIM([1]Raw_Data!J1338)</f>
        <v>Walmart</v>
      </c>
      <c r="K1340" s="3">
        <f t="shared" si="80"/>
        <v>2021</v>
      </c>
      <c r="L1340" s="6">
        <f t="shared" si="81"/>
        <v>44409</v>
      </c>
      <c r="M1340" s="3" t="str">
        <f t="shared" si="82"/>
        <v>16% to 20%</v>
      </c>
      <c r="N1340" s="3" t="str">
        <f t="shared" si="83"/>
        <v>OK</v>
      </c>
    </row>
    <row r="1341" spans="1:14" x14ac:dyDescent="0.3">
      <c r="A1341" s="2">
        <f>DATE(VALUE(RIGHT(TRIM([1]Raw_Data!A1339),4)),VALUE(MID(TRIM([1]Raw_Data!A1339),4,2)),VALUE(LEFT(TRIM([1]Raw_Data!A1339),2)))</f>
        <v>44417</v>
      </c>
      <c r="B1341" s="3" t="str">
        <f>TRIM([1]Raw_Data!B1339)</f>
        <v>Magnesium</v>
      </c>
      <c r="C1341" s="3" t="str">
        <f>TRIM([1]Raw_Data!C1339)</f>
        <v>Mineral</v>
      </c>
      <c r="D1341" s="3">
        <f>[1]Raw_Data!D1339</f>
        <v>133</v>
      </c>
      <c r="E1341" s="4">
        <f>[1]Raw_Data!E1339</f>
        <v>30.1</v>
      </c>
      <c r="F1341" s="5">
        <f>[1]Raw_Data!F1339</f>
        <v>4003.3</v>
      </c>
      <c r="G1341" s="4">
        <f>[1]Raw_Data!G1339</f>
        <v>0.21</v>
      </c>
      <c r="H1341" s="3">
        <f>[1]Raw_Data!H1339</f>
        <v>1</v>
      </c>
      <c r="I1341" s="3" t="str">
        <f>TRIM([1]Raw_Data!I1339)</f>
        <v>USA</v>
      </c>
      <c r="J1341" s="3" t="str">
        <f>TRIM([1]Raw_Data!J1339)</f>
        <v>iHerb</v>
      </c>
      <c r="K1341" s="3">
        <f t="shared" si="80"/>
        <v>2021</v>
      </c>
      <c r="L1341" s="6">
        <f t="shared" si="81"/>
        <v>44409</v>
      </c>
      <c r="M1341" s="3" t="str">
        <f t="shared" si="82"/>
        <v>21% to 25%</v>
      </c>
      <c r="N1341" s="3" t="str">
        <f t="shared" si="83"/>
        <v>OK</v>
      </c>
    </row>
    <row r="1342" spans="1:14" x14ac:dyDescent="0.3">
      <c r="A1342" s="2">
        <f>DATE(VALUE(RIGHT(TRIM([1]Raw_Data!A1340),4)),VALUE(MID(TRIM([1]Raw_Data!A1340),4,2)),VALUE(LEFT(TRIM([1]Raw_Data!A1340),2)))</f>
        <v>44417</v>
      </c>
      <c r="B1342" s="3" t="str">
        <f>TRIM([1]Raw_Data!B1340)</f>
        <v>Ashwagandha</v>
      </c>
      <c r="C1342" s="3" t="str">
        <f>TRIM([1]Raw_Data!C1340)</f>
        <v>Herbal</v>
      </c>
      <c r="D1342" s="3">
        <f>[1]Raw_Data!D1340</f>
        <v>156</v>
      </c>
      <c r="E1342" s="4">
        <f>[1]Raw_Data!E1340</f>
        <v>39.31</v>
      </c>
      <c r="F1342" s="5">
        <f>[1]Raw_Data!F1340</f>
        <v>6132.36</v>
      </c>
      <c r="G1342" s="4">
        <f>[1]Raw_Data!G1340</f>
        <v>0.09</v>
      </c>
      <c r="H1342" s="3">
        <f>[1]Raw_Data!H1340</f>
        <v>2</v>
      </c>
      <c r="I1342" s="3" t="str">
        <f>TRIM([1]Raw_Data!I1340)</f>
        <v>Canada</v>
      </c>
      <c r="J1342" s="3" t="str">
        <f>TRIM([1]Raw_Data!J1340)</f>
        <v>Amazon</v>
      </c>
      <c r="K1342" s="3">
        <f t="shared" si="80"/>
        <v>2021</v>
      </c>
      <c r="L1342" s="6">
        <f t="shared" si="81"/>
        <v>44409</v>
      </c>
      <c r="M1342" s="3" t="str">
        <f t="shared" si="82"/>
        <v>6% to 10%</v>
      </c>
      <c r="N1342" s="3" t="str">
        <f t="shared" si="83"/>
        <v>OK</v>
      </c>
    </row>
    <row r="1343" spans="1:14" x14ac:dyDescent="0.3">
      <c r="A1343" s="2">
        <f>DATE(VALUE(RIGHT(TRIM([1]Raw_Data!A1341),4)),VALUE(MID(TRIM([1]Raw_Data!A1341),4,2)),VALUE(LEFT(TRIM([1]Raw_Data!A1341),2)))</f>
        <v>44417</v>
      </c>
      <c r="B1343" s="3" t="str">
        <f>TRIM([1]Raw_Data!B1341)</f>
        <v>Melatonin</v>
      </c>
      <c r="C1343" s="3" t="str">
        <f>TRIM([1]Raw_Data!C1341)</f>
        <v>Sleep Aid</v>
      </c>
      <c r="D1343" s="3">
        <f>[1]Raw_Data!D1341</f>
        <v>144</v>
      </c>
      <c r="E1343" s="4">
        <f>[1]Raw_Data!E1341</f>
        <v>59.64</v>
      </c>
      <c r="F1343" s="5">
        <f>[1]Raw_Data!F1341</f>
        <v>8588.16</v>
      </c>
      <c r="G1343" s="4">
        <f>[1]Raw_Data!G1341</f>
        <v>0.03</v>
      </c>
      <c r="H1343" s="3">
        <f>[1]Raw_Data!H1341</f>
        <v>0</v>
      </c>
      <c r="I1343" s="3" t="str">
        <f>TRIM([1]Raw_Data!I1341)</f>
        <v>UK</v>
      </c>
      <c r="J1343" s="3" t="str">
        <f>TRIM([1]Raw_Data!J1341)</f>
        <v>Walmart</v>
      </c>
      <c r="K1343" s="3">
        <f t="shared" si="80"/>
        <v>2021</v>
      </c>
      <c r="L1343" s="6">
        <f t="shared" si="81"/>
        <v>44409</v>
      </c>
      <c r="M1343" s="3" t="str">
        <f t="shared" si="82"/>
        <v>0% to 5%</v>
      </c>
      <c r="N1343" s="3" t="str">
        <f t="shared" si="83"/>
        <v>OK</v>
      </c>
    </row>
    <row r="1344" spans="1:14" x14ac:dyDescent="0.3">
      <c r="A1344" s="2">
        <f>DATE(VALUE(RIGHT(TRIM([1]Raw_Data!A1342),4)),VALUE(MID(TRIM([1]Raw_Data!A1342),4,2)),VALUE(LEFT(TRIM([1]Raw_Data!A1342),2)))</f>
        <v>44417</v>
      </c>
      <c r="B1344" s="3" t="str">
        <f>TRIM([1]Raw_Data!B1342)</f>
        <v>Biotin</v>
      </c>
      <c r="C1344" s="3" t="str">
        <f>TRIM([1]Raw_Data!C1342)</f>
        <v>Vitamin</v>
      </c>
      <c r="D1344" s="3">
        <f>[1]Raw_Data!D1342</f>
        <v>167</v>
      </c>
      <c r="E1344" s="4">
        <f>[1]Raw_Data!E1342</f>
        <v>42.51</v>
      </c>
      <c r="F1344" s="5">
        <f>[1]Raw_Data!F1342</f>
        <v>7099.17</v>
      </c>
      <c r="G1344" s="4">
        <f>[1]Raw_Data!G1342</f>
        <v>0.08</v>
      </c>
      <c r="H1344" s="3">
        <f>[1]Raw_Data!H1342</f>
        <v>1</v>
      </c>
      <c r="I1344" s="3" t="str">
        <f>TRIM([1]Raw_Data!I1342)</f>
        <v>USA</v>
      </c>
      <c r="J1344" s="3" t="str">
        <f>TRIM([1]Raw_Data!J1342)</f>
        <v>iHerb</v>
      </c>
      <c r="K1344" s="3">
        <f t="shared" si="80"/>
        <v>2021</v>
      </c>
      <c r="L1344" s="6">
        <f t="shared" si="81"/>
        <v>44409</v>
      </c>
      <c r="M1344" s="3" t="str">
        <f t="shared" si="82"/>
        <v>6% to 10%</v>
      </c>
      <c r="N1344" s="3" t="str">
        <f t="shared" si="83"/>
        <v>OK</v>
      </c>
    </row>
    <row r="1345" spans="1:14" x14ac:dyDescent="0.3">
      <c r="A1345" s="2">
        <f>DATE(VALUE(RIGHT(TRIM([1]Raw_Data!A1343),4)),VALUE(MID(TRIM([1]Raw_Data!A1343),4,2)),VALUE(LEFT(TRIM([1]Raw_Data!A1343),2)))</f>
        <v>44417</v>
      </c>
      <c r="B1345" s="3" t="str">
        <f>TRIM([1]Raw_Data!B1343)</f>
        <v>Green Tea Extract</v>
      </c>
      <c r="C1345" s="3" t="str">
        <f>TRIM([1]Raw_Data!C1343)</f>
        <v>Fat Burner</v>
      </c>
      <c r="D1345" s="3">
        <f>[1]Raw_Data!D1343</f>
        <v>141</v>
      </c>
      <c r="E1345" s="4">
        <f>[1]Raw_Data!E1343</f>
        <v>30.54</v>
      </c>
      <c r="F1345" s="5">
        <f>[1]Raw_Data!F1343</f>
        <v>4306.1400000000003</v>
      </c>
      <c r="G1345" s="4">
        <f>[1]Raw_Data!G1343</f>
        <v>0.18</v>
      </c>
      <c r="H1345" s="3">
        <f>[1]Raw_Data!H1343</f>
        <v>1</v>
      </c>
      <c r="I1345" s="3" t="str">
        <f>TRIM([1]Raw_Data!I1343)</f>
        <v>UK</v>
      </c>
      <c r="J1345" s="3" t="str">
        <f>TRIM([1]Raw_Data!J1343)</f>
        <v>iHerb</v>
      </c>
      <c r="K1345" s="3">
        <f t="shared" si="80"/>
        <v>2021</v>
      </c>
      <c r="L1345" s="6">
        <f t="shared" si="81"/>
        <v>44409</v>
      </c>
      <c r="M1345" s="3" t="str">
        <f t="shared" si="82"/>
        <v>16% to 20%</v>
      </c>
      <c r="N1345" s="3" t="str">
        <f t="shared" si="83"/>
        <v>OK</v>
      </c>
    </row>
    <row r="1346" spans="1:14" x14ac:dyDescent="0.3">
      <c r="A1346" s="2">
        <f>DATE(VALUE(RIGHT(TRIM([1]Raw_Data!A1344),4)),VALUE(MID(TRIM([1]Raw_Data!A1344),4,2)),VALUE(LEFT(TRIM([1]Raw_Data!A1344),2)))</f>
        <v>44417</v>
      </c>
      <c r="B1346" s="3" t="str">
        <f>TRIM([1]Raw_Data!B1344)</f>
        <v>Iron Supplement</v>
      </c>
      <c r="C1346" s="3" t="str">
        <f>TRIM([1]Raw_Data!C1344)</f>
        <v>Mineral</v>
      </c>
      <c r="D1346" s="3">
        <f>[1]Raw_Data!D1344</f>
        <v>176</v>
      </c>
      <c r="E1346" s="4">
        <f>[1]Raw_Data!E1344</f>
        <v>35.15</v>
      </c>
      <c r="F1346" s="5">
        <f>[1]Raw_Data!F1344</f>
        <v>6186.4</v>
      </c>
      <c r="G1346" s="4">
        <f>[1]Raw_Data!G1344</f>
        <v>0.15</v>
      </c>
      <c r="H1346" s="3">
        <f>[1]Raw_Data!H1344</f>
        <v>4</v>
      </c>
      <c r="I1346" s="3" t="str">
        <f>TRIM([1]Raw_Data!I1344)</f>
        <v>Canada</v>
      </c>
      <c r="J1346" s="3" t="str">
        <f>TRIM([1]Raw_Data!J1344)</f>
        <v>iHerb</v>
      </c>
      <c r="K1346" s="3">
        <f t="shared" si="80"/>
        <v>2021</v>
      </c>
      <c r="L1346" s="6">
        <f t="shared" si="81"/>
        <v>44409</v>
      </c>
      <c r="M1346" s="3" t="str">
        <f t="shared" si="82"/>
        <v>11% to 15%</v>
      </c>
      <c r="N1346" s="3" t="str">
        <f t="shared" si="83"/>
        <v>OK</v>
      </c>
    </row>
    <row r="1347" spans="1:14" x14ac:dyDescent="0.3">
      <c r="A1347" s="2">
        <f>DATE(VALUE(RIGHT(TRIM([1]Raw_Data!A1345),4)),VALUE(MID(TRIM([1]Raw_Data!A1345),4,2)),VALUE(LEFT(TRIM([1]Raw_Data!A1345),2)))</f>
        <v>44417</v>
      </c>
      <c r="B1347" s="3" t="str">
        <f>TRIM([1]Raw_Data!B1345)</f>
        <v>Electrolyte Powder</v>
      </c>
      <c r="C1347" s="3" t="str">
        <f>TRIM([1]Raw_Data!C1345)</f>
        <v>Hydration</v>
      </c>
      <c r="D1347" s="3">
        <f>[1]Raw_Data!D1345</f>
        <v>122</v>
      </c>
      <c r="E1347" s="4">
        <f>[1]Raw_Data!E1345</f>
        <v>52.68</v>
      </c>
      <c r="F1347" s="5">
        <f>[1]Raw_Data!F1345</f>
        <v>6426.96</v>
      </c>
      <c r="G1347" s="4">
        <f>[1]Raw_Data!G1345</f>
        <v>0.06</v>
      </c>
      <c r="H1347" s="3">
        <f>[1]Raw_Data!H1345</f>
        <v>3</v>
      </c>
      <c r="I1347" s="3" t="str">
        <f>TRIM([1]Raw_Data!I1345)</f>
        <v>Canada</v>
      </c>
      <c r="J1347" s="3" t="str">
        <f>TRIM([1]Raw_Data!J1345)</f>
        <v>Amazon</v>
      </c>
      <c r="K1347" s="3">
        <f t="shared" si="80"/>
        <v>2021</v>
      </c>
      <c r="L1347" s="6">
        <f t="shared" si="81"/>
        <v>44409</v>
      </c>
      <c r="M1347" s="3" t="str">
        <f t="shared" si="82"/>
        <v>6% to 10%</v>
      </c>
      <c r="N1347" s="3" t="str">
        <f t="shared" si="83"/>
        <v>OK</v>
      </c>
    </row>
    <row r="1348" spans="1:14" x14ac:dyDescent="0.3">
      <c r="A1348" s="2">
        <f>DATE(VALUE(RIGHT(TRIM([1]Raw_Data!A1346),4)),VALUE(MID(TRIM([1]Raw_Data!A1346),4,2)),VALUE(LEFT(TRIM([1]Raw_Data!A1346),2)))</f>
        <v>44424</v>
      </c>
      <c r="B1348" s="3" t="str">
        <f>TRIM([1]Raw_Data!B1346)</f>
        <v>Whey Protein</v>
      </c>
      <c r="C1348" s="3" t="str">
        <f>TRIM([1]Raw_Data!C1346)</f>
        <v>Protein</v>
      </c>
      <c r="D1348" s="3">
        <f>[1]Raw_Data!D1346</f>
        <v>173</v>
      </c>
      <c r="E1348" s="4">
        <f>[1]Raw_Data!E1346</f>
        <v>31.95</v>
      </c>
      <c r="F1348" s="5">
        <f>[1]Raw_Data!F1346</f>
        <v>5527.35</v>
      </c>
      <c r="G1348" s="4">
        <f>[1]Raw_Data!G1346</f>
        <v>0.01</v>
      </c>
      <c r="H1348" s="3">
        <f>[1]Raw_Data!H1346</f>
        <v>4</v>
      </c>
      <c r="I1348" s="3" t="str">
        <f>TRIM([1]Raw_Data!I1346)</f>
        <v>UK</v>
      </c>
      <c r="J1348" s="3" t="str">
        <f>TRIM([1]Raw_Data!J1346)</f>
        <v>Walmart</v>
      </c>
      <c r="K1348" s="3">
        <f t="shared" ref="K1348:K1411" si="84">YEAR(A1348)</f>
        <v>2021</v>
      </c>
      <c r="L1348" s="6">
        <f t="shared" ref="L1348:L1411" si="85">DATE(YEAR(A1348),MONTH(A1348),1)</f>
        <v>44409</v>
      </c>
      <c r="M1348" s="3" t="str">
        <f t="shared" ref="M1348:M1411" si="86">IF(ROUND(G1348*100,0)&lt;=5,"0% to 5%",IF(ROUND(G1348*100,0)&lt;=10,"6% to 10%",IF(ROUND(G1348*100,0)&lt;=15,"11% to 15%",IF(ROUND(G1348*100,0)&lt;=20,"16% to 20%","21% to 25%"))))</f>
        <v>0% to 5%</v>
      </c>
      <c r="N1348" s="3" t="str">
        <f t="shared" ref="N1348:N1411" si="87">IF(ROUND(D1348*E1348,2)=ROUND(F1348,2),"OK","Check")</f>
        <v>OK</v>
      </c>
    </row>
    <row r="1349" spans="1:14" x14ac:dyDescent="0.3">
      <c r="A1349" s="2">
        <f>DATE(VALUE(RIGHT(TRIM([1]Raw_Data!A1347),4)),VALUE(MID(TRIM([1]Raw_Data!A1347),4,2)),VALUE(LEFT(TRIM([1]Raw_Data!A1347),2)))</f>
        <v>44424</v>
      </c>
      <c r="B1349" s="3" t="str">
        <f>TRIM([1]Raw_Data!B1347)</f>
        <v>Vitamin C</v>
      </c>
      <c r="C1349" s="3" t="str">
        <f>TRIM([1]Raw_Data!C1347)</f>
        <v>Vitamin</v>
      </c>
      <c r="D1349" s="3">
        <f>[1]Raw_Data!D1347</f>
        <v>149</v>
      </c>
      <c r="E1349" s="4">
        <f>[1]Raw_Data!E1347</f>
        <v>44.49</v>
      </c>
      <c r="F1349" s="5">
        <f>[1]Raw_Data!F1347</f>
        <v>6629.01</v>
      </c>
      <c r="G1349" s="4">
        <f>[1]Raw_Data!G1347</f>
        <v>0.12</v>
      </c>
      <c r="H1349" s="3">
        <f>[1]Raw_Data!H1347</f>
        <v>0</v>
      </c>
      <c r="I1349" s="3" t="str">
        <f>TRIM([1]Raw_Data!I1347)</f>
        <v>Canada</v>
      </c>
      <c r="J1349" s="3" t="str">
        <f>TRIM([1]Raw_Data!J1347)</f>
        <v>iHerb</v>
      </c>
      <c r="K1349" s="3">
        <f t="shared" si="84"/>
        <v>2021</v>
      </c>
      <c r="L1349" s="6">
        <f t="shared" si="85"/>
        <v>44409</v>
      </c>
      <c r="M1349" s="3" t="str">
        <f t="shared" si="86"/>
        <v>11% to 15%</v>
      </c>
      <c r="N1349" s="3" t="str">
        <f t="shared" si="87"/>
        <v>OK</v>
      </c>
    </row>
    <row r="1350" spans="1:14" x14ac:dyDescent="0.3">
      <c r="A1350" s="2">
        <f>DATE(VALUE(RIGHT(TRIM([1]Raw_Data!A1348),4)),VALUE(MID(TRIM([1]Raw_Data!A1348),4,2)),VALUE(LEFT(TRIM([1]Raw_Data!A1348),2)))</f>
        <v>44424</v>
      </c>
      <c r="B1350" s="3" t="str">
        <f>TRIM([1]Raw_Data!B1348)</f>
        <v>Fish Oil</v>
      </c>
      <c r="C1350" s="3" t="str">
        <f>TRIM([1]Raw_Data!C1348)</f>
        <v>Omega</v>
      </c>
      <c r="D1350" s="3">
        <f>[1]Raw_Data!D1348</f>
        <v>139</v>
      </c>
      <c r="E1350" s="4">
        <f>[1]Raw_Data!E1348</f>
        <v>38.71</v>
      </c>
      <c r="F1350" s="5">
        <f>[1]Raw_Data!F1348</f>
        <v>5380.69</v>
      </c>
      <c r="G1350" s="4">
        <f>[1]Raw_Data!G1348</f>
        <v>0.16</v>
      </c>
      <c r="H1350" s="3">
        <f>[1]Raw_Data!H1348</f>
        <v>1</v>
      </c>
      <c r="I1350" s="3" t="str">
        <f>TRIM([1]Raw_Data!I1348)</f>
        <v>Canada</v>
      </c>
      <c r="J1350" s="3" t="str">
        <f>TRIM([1]Raw_Data!J1348)</f>
        <v>iHerb</v>
      </c>
      <c r="K1350" s="3">
        <f t="shared" si="84"/>
        <v>2021</v>
      </c>
      <c r="L1350" s="6">
        <f t="shared" si="85"/>
        <v>44409</v>
      </c>
      <c r="M1350" s="3" t="str">
        <f t="shared" si="86"/>
        <v>16% to 20%</v>
      </c>
      <c r="N1350" s="3" t="str">
        <f t="shared" si="87"/>
        <v>OK</v>
      </c>
    </row>
    <row r="1351" spans="1:14" x14ac:dyDescent="0.3">
      <c r="A1351" s="2">
        <f>DATE(VALUE(RIGHT(TRIM([1]Raw_Data!A1349),4)),VALUE(MID(TRIM([1]Raw_Data!A1349),4,2)),VALUE(LEFT(TRIM([1]Raw_Data!A1349),2)))</f>
        <v>44424</v>
      </c>
      <c r="B1351" s="3" t="str">
        <f>TRIM([1]Raw_Data!B1349)</f>
        <v>Multivitamin</v>
      </c>
      <c r="C1351" s="3" t="str">
        <f>TRIM([1]Raw_Data!C1349)</f>
        <v>Vitamin</v>
      </c>
      <c r="D1351" s="3">
        <f>[1]Raw_Data!D1349</f>
        <v>154</v>
      </c>
      <c r="E1351" s="4">
        <f>[1]Raw_Data!E1349</f>
        <v>44.76</v>
      </c>
      <c r="F1351" s="5">
        <f>[1]Raw_Data!F1349</f>
        <v>6893.04</v>
      </c>
      <c r="G1351" s="4">
        <f>[1]Raw_Data!G1349</f>
        <v>0.1</v>
      </c>
      <c r="H1351" s="3">
        <f>[1]Raw_Data!H1349</f>
        <v>2</v>
      </c>
      <c r="I1351" s="3" t="str">
        <f>TRIM([1]Raw_Data!I1349)</f>
        <v>Canada</v>
      </c>
      <c r="J1351" s="3" t="str">
        <f>TRIM([1]Raw_Data!J1349)</f>
        <v>Walmart</v>
      </c>
      <c r="K1351" s="3">
        <f t="shared" si="84"/>
        <v>2021</v>
      </c>
      <c r="L1351" s="6">
        <f t="shared" si="85"/>
        <v>44409</v>
      </c>
      <c r="M1351" s="3" t="str">
        <f t="shared" si="86"/>
        <v>6% to 10%</v>
      </c>
      <c r="N1351" s="3" t="str">
        <f t="shared" si="87"/>
        <v>OK</v>
      </c>
    </row>
    <row r="1352" spans="1:14" x14ac:dyDescent="0.3">
      <c r="A1352" s="2">
        <f>DATE(VALUE(RIGHT(TRIM([1]Raw_Data!A1350),4)),VALUE(MID(TRIM([1]Raw_Data!A1350),4,2)),VALUE(LEFT(TRIM([1]Raw_Data!A1350),2)))</f>
        <v>44424</v>
      </c>
      <c r="B1352" s="3" t="str">
        <f>TRIM([1]Raw_Data!B1350)</f>
        <v>Pre-Workout</v>
      </c>
      <c r="C1352" s="3" t="str">
        <f>TRIM([1]Raw_Data!C1350)</f>
        <v>Performance</v>
      </c>
      <c r="D1352" s="3">
        <f>[1]Raw_Data!D1350</f>
        <v>155</v>
      </c>
      <c r="E1352" s="4">
        <f>[1]Raw_Data!E1350</f>
        <v>55.85</v>
      </c>
      <c r="F1352" s="5">
        <f>[1]Raw_Data!F1350</f>
        <v>8656.75</v>
      </c>
      <c r="G1352" s="4">
        <f>[1]Raw_Data!G1350</f>
        <v>0.03</v>
      </c>
      <c r="H1352" s="3">
        <f>[1]Raw_Data!H1350</f>
        <v>2</v>
      </c>
      <c r="I1352" s="3" t="str">
        <f>TRIM([1]Raw_Data!I1350)</f>
        <v>USA</v>
      </c>
      <c r="J1352" s="3" t="str">
        <f>TRIM([1]Raw_Data!J1350)</f>
        <v>iHerb</v>
      </c>
      <c r="K1352" s="3">
        <f t="shared" si="84"/>
        <v>2021</v>
      </c>
      <c r="L1352" s="6">
        <f t="shared" si="85"/>
        <v>44409</v>
      </c>
      <c r="M1352" s="3" t="str">
        <f t="shared" si="86"/>
        <v>0% to 5%</v>
      </c>
      <c r="N1352" s="3" t="str">
        <f t="shared" si="87"/>
        <v>OK</v>
      </c>
    </row>
    <row r="1353" spans="1:14" x14ac:dyDescent="0.3">
      <c r="A1353" s="2">
        <f>DATE(VALUE(RIGHT(TRIM([1]Raw_Data!A1351),4)),VALUE(MID(TRIM([1]Raw_Data!A1351),4,2)),VALUE(LEFT(TRIM([1]Raw_Data!A1351),2)))</f>
        <v>44424</v>
      </c>
      <c r="B1353" s="3" t="str">
        <f>TRIM([1]Raw_Data!B1351)</f>
        <v>BCAA</v>
      </c>
      <c r="C1353" s="3" t="str">
        <f>TRIM([1]Raw_Data!C1351)</f>
        <v>Amino Acid</v>
      </c>
      <c r="D1353" s="3">
        <f>[1]Raw_Data!D1351</f>
        <v>133</v>
      </c>
      <c r="E1353" s="4">
        <f>[1]Raw_Data!E1351</f>
        <v>26.65</v>
      </c>
      <c r="F1353" s="5">
        <f>[1]Raw_Data!F1351</f>
        <v>3544.45</v>
      </c>
      <c r="G1353" s="4">
        <f>[1]Raw_Data!G1351</f>
        <v>0.09</v>
      </c>
      <c r="H1353" s="3">
        <f>[1]Raw_Data!H1351</f>
        <v>0</v>
      </c>
      <c r="I1353" s="3" t="str">
        <f>TRIM([1]Raw_Data!I1351)</f>
        <v>Canada</v>
      </c>
      <c r="J1353" s="3" t="str">
        <f>TRIM([1]Raw_Data!J1351)</f>
        <v>iHerb</v>
      </c>
      <c r="K1353" s="3">
        <f t="shared" si="84"/>
        <v>2021</v>
      </c>
      <c r="L1353" s="6">
        <f t="shared" si="85"/>
        <v>44409</v>
      </c>
      <c r="M1353" s="3" t="str">
        <f t="shared" si="86"/>
        <v>6% to 10%</v>
      </c>
      <c r="N1353" s="3" t="str">
        <f t="shared" si="87"/>
        <v>OK</v>
      </c>
    </row>
    <row r="1354" spans="1:14" x14ac:dyDescent="0.3">
      <c r="A1354" s="2">
        <f>DATE(VALUE(RIGHT(TRIM([1]Raw_Data!A1352),4)),VALUE(MID(TRIM([1]Raw_Data!A1352),4,2)),VALUE(LEFT(TRIM([1]Raw_Data!A1352),2)))</f>
        <v>44424</v>
      </c>
      <c r="B1354" s="3" t="str">
        <f>TRIM([1]Raw_Data!B1352)</f>
        <v>Creatine</v>
      </c>
      <c r="C1354" s="3" t="str">
        <f>TRIM([1]Raw_Data!C1352)</f>
        <v>Performance</v>
      </c>
      <c r="D1354" s="3">
        <f>[1]Raw_Data!D1352</f>
        <v>153</v>
      </c>
      <c r="E1354" s="4">
        <f>[1]Raw_Data!E1352</f>
        <v>11.71</v>
      </c>
      <c r="F1354" s="5">
        <f>[1]Raw_Data!F1352</f>
        <v>1791.63</v>
      </c>
      <c r="G1354" s="4">
        <f>[1]Raw_Data!G1352</f>
        <v>0.08</v>
      </c>
      <c r="H1354" s="3">
        <f>[1]Raw_Data!H1352</f>
        <v>3</v>
      </c>
      <c r="I1354" s="3" t="str">
        <f>TRIM([1]Raw_Data!I1352)</f>
        <v>UK</v>
      </c>
      <c r="J1354" s="3" t="str">
        <f>TRIM([1]Raw_Data!J1352)</f>
        <v>Walmart</v>
      </c>
      <c r="K1354" s="3">
        <f t="shared" si="84"/>
        <v>2021</v>
      </c>
      <c r="L1354" s="6">
        <f t="shared" si="85"/>
        <v>44409</v>
      </c>
      <c r="M1354" s="3" t="str">
        <f t="shared" si="86"/>
        <v>6% to 10%</v>
      </c>
      <c r="N1354" s="3" t="str">
        <f t="shared" si="87"/>
        <v>OK</v>
      </c>
    </row>
    <row r="1355" spans="1:14" x14ac:dyDescent="0.3">
      <c r="A1355" s="2">
        <f>DATE(VALUE(RIGHT(TRIM([1]Raw_Data!A1353),4)),VALUE(MID(TRIM([1]Raw_Data!A1353),4,2)),VALUE(LEFT(TRIM([1]Raw_Data!A1353),2)))</f>
        <v>44424</v>
      </c>
      <c r="B1355" s="3" t="str">
        <f>TRIM([1]Raw_Data!B1353)</f>
        <v>Zinc</v>
      </c>
      <c r="C1355" s="3" t="str">
        <f>TRIM([1]Raw_Data!C1353)</f>
        <v>Mineral</v>
      </c>
      <c r="D1355" s="3">
        <f>[1]Raw_Data!D1353</f>
        <v>157</v>
      </c>
      <c r="E1355" s="4">
        <f>[1]Raw_Data!E1353</f>
        <v>44.91</v>
      </c>
      <c r="F1355" s="5">
        <f>[1]Raw_Data!F1353</f>
        <v>7050.87</v>
      </c>
      <c r="G1355" s="4">
        <f>[1]Raw_Data!G1353</f>
        <v>0.08</v>
      </c>
      <c r="H1355" s="3">
        <f>[1]Raw_Data!H1353</f>
        <v>0</v>
      </c>
      <c r="I1355" s="3" t="str">
        <f>TRIM([1]Raw_Data!I1353)</f>
        <v>UK</v>
      </c>
      <c r="J1355" s="3" t="str">
        <f>TRIM([1]Raw_Data!J1353)</f>
        <v>Amazon</v>
      </c>
      <c r="K1355" s="3">
        <f t="shared" si="84"/>
        <v>2021</v>
      </c>
      <c r="L1355" s="6">
        <f t="shared" si="85"/>
        <v>44409</v>
      </c>
      <c r="M1355" s="3" t="str">
        <f t="shared" si="86"/>
        <v>6% to 10%</v>
      </c>
      <c r="N1355" s="3" t="str">
        <f t="shared" si="87"/>
        <v>OK</v>
      </c>
    </row>
    <row r="1356" spans="1:14" x14ac:dyDescent="0.3">
      <c r="A1356" s="2">
        <f>DATE(VALUE(RIGHT(TRIM([1]Raw_Data!A1354),4)),VALUE(MID(TRIM([1]Raw_Data!A1354),4,2)),VALUE(LEFT(TRIM([1]Raw_Data!A1354),2)))</f>
        <v>44424</v>
      </c>
      <c r="B1356" s="3" t="str">
        <f>TRIM([1]Raw_Data!B1354)</f>
        <v>Collagen Peptides</v>
      </c>
      <c r="C1356" s="3" t="str">
        <f>TRIM([1]Raw_Data!C1354)</f>
        <v>Protein</v>
      </c>
      <c r="D1356" s="3">
        <f>[1]Raw_Data!D1354</f>
        <v>141</v>
      </c>
      <c r="E1356" s="4">
        <f>[1]Raw_Data!E1354</f>
        <v>59.02</v>
      </c>
      <c r="F1356" s="5">
        <f>[1]Raw_Data!F1354</f>
        <v>8321.82</v>
      </c>
      <c r="G1356" s="4">
        <f>[1]Raw_Data!G1354</f>
        <v>0.12</v>
      </c>
      <c r="H1356" s="3">
        <f>[1]Raw_Data!H1354</f>
        <v>0</v>
      </c>
      <c r="I1356" s="3" t="str">
        <f>TRIM([1]Raw_Data!I1354)</f>
        <v>UK</v>
      </c>
      <c r="J1356" s="3" t="str">
        <f>TRIM([1]Raw_Data!J1354)</f>
        <v>Walmart</v>
      </c>
      <c r="K1356" s="3">
        <f t="shared" si="84"/>
        <v>2021</v>
      </c>
      <c r="L1356" s="6">
        <f t="shared" si="85"/>
        <v>44409</v>
      </c>
      <c r="M1356" s="3" t="str">
        <f t="shared" si="86"/>
        <v>11% to 15%</v>
      </c>
      <c r="N1356" s="3" t="str">
        <f t="shared" si="87"/>
        <v>OK</v>
      </c>
    </row>
    <row r="1357" spans="1:14" x14ac:dyDescent="0.3">
      <c r="A1357" s="2">
        <f>DATE(VALUE(RIGHT(TRIM([1]Raw_Data!A1355),4)),VALUE(MID(TRIM([1]Raw_Data!A1355),4,2)),VALUE(LEFT(TRIM([1]Raw_Data!A1355),2)))</f>
        <v>44424</v>
      </c>
      <c r="B1357" s="3" t="str">
        <f>TRIM([1]Raw_Data!B1355)</f>
        <v>Magnesium</v>
      </c>
      <c r="C1357" s="3" t="str">
        <f>TRIM([1]Raw_Data!C1355)</f>
        <v>Mineral</v>
      </c>
      <c r="D1357" s="3">
        <f>[1]Raw_Data!D1355</f>
        <v>135</v>
      </c>
      <c r="E1357" s="4">
        <f>[1]Raw_Data!E1355</f>
        <v>38.93</v>
      </c>
      <c r="F1357" s="5">
        <f>[1]Raw_Data!F1355</f>
        <v>5255.55</v>
      </c>
      <c r="G1357" s="4">
        <f>[1]Raw_Data!G1355</f>
        <v>0.02</v>
      </c>
      <c r="H1357" s="3">
        <f>[1]Raw_Data!H1355</f>
        <v>3</v>
      </c>
      <c r="I1357" s="3" t="str">
        <f>TRIM([1]Raw_Data!I1355)</f>
        <v>UK</v>
      </c>
      <c r="J1357" s="3" t="str">
        <f>TRIM([1]Raw_Data!J1355)</f>
        <v>Amazon</v>
      </c>
      <c r="K1357" s="3">
        <f t="shared" si="84"/>
        <v>2021</v>
      </c>
      <c r="L1357" s="6">
        <f t="shared" si="85"/>
        <v>44409</v>
      </c>
      <c r="M1357" s="3" t="str">
        <f t="shared" si="86"/>
        <v>0% to 5%</v>
      </c>
      <c r="N1357" s="3" t="str">
        <f t="shared" si="87"/>
        <v>OK</v>
      </c>
    </row>
    <row r="1358" spans="1:14" x14ac:dyDescent="0.3">
      <c r="A1358" s="2">
        <f>DATE(VALUE(RIGHT(TRIM([1]Raw_Data!A1356),4)),VALUE(MID(TRIM([1]Raw_Data!A1356),4,2)),VALUE(LEFT(TRIM([1]Raw_Data!A1356),2)))</f>
        <v>44424</v>
      </c>
      <c r="B1358" s="3" t="str">
        <f>TRIM([1]Raw_Data!B1356)</f>
        <v>Ashwagandha</v>
      </c>
      <c r="C1358" s="3" t="str">
        <f>TRIM([1]Raw_Data!C1356)</f>
        <v>Herbal</v>
      </c>
      <c r="D1358" s="3">
        <f>[1]Raw_Data!D1356</f>
        <v>145</v>
      </c>
      <c r="E1358" s="4">
        <f>[1]Raw_Data!E1356</f>
        <v>49.03</v>
      </c>
      <c r="F1358" s="5">
        <f>[1]Raw_Data!F1356</f>
        <v>7109.35</v>
      </c>
      <c r="G1358" s="4">
        <f>[1]Raw_Data!G1356</f>
        <v>0.19</v>
      </c>
      <c r="H1358" s="3">
        <f>[1]Raw_Data!H1356</f>
        <v>2</v>
      </c>
      <c r="I1358" s="3" t="str">
        <f>TRIM([1]Raw_Data!I1356)</f>
        <v>USA</v>
      </c>
      <c r="J1358" s="3" t="str">
        <f>TRIM([1]Raw_Data!J1356)</f>
        <v>iHerb</v>
      </c>
      <c r="K1358" s="3">
        <f t="shared" si="84"/>
        <v>2021</v>
      </c>
      <c r="L1358" s="6">
        <f t="shared" si="85"/>
        <v>44409</v>
      </c>
      <c r="M1358" s="3" t="str">
        <f t="shared" si="86"/>
        <v>16% to 20%</v>
      </c>
      <c r="N1358" s="3" t="str">
        <f t="shared" si="87"/>
        <v>OK</v>
      </c>
    </row>
    <row r="1359" spans="1:14" x14ac:dyDescent="0.3">
      <c r="A1359" s="2">
        <f>DATE(VALUE(RIGHT(TRIM([1]Raw_Data!A1357),4)),VALUE(MID(TRIM([1]Raw_Data!A1357),4,2)),VALUE(LEFT(TRIM([1]Raw_Data!A1357),2)))</f>
        <v>44424</v>
      </c>
      <c r="B1359" s="3" t="str">
        <f>TRIM([1]Raw_Data!B1357)</f>
        <v>Melatonin</v>
      </c>
      <c r="C1359" s="3" t="str">
        <f>TRIM([1]Raw_Data!C1357)</f>
        <v>Sleep Aid</v>
      </c>
      <c r="D1359" s="3">
        <f>[1]Raw_Data!D1357</f>
        <v>154</v>
      </c>
      <c r="E1359" s="4">
        <f>[1]Raw_Data!E1357</f>
        <v>41.44</v>
      </c>
      <c r="F1359" s="5">
        <f>[1]Raw_Data!F1357</f>
        <v>6381.76</v>
      </c>
      <c r="G1359" s="4">
        <f>[1]Raw_Data!G1357</f>
        <v>0.14000000000000001</v>
      </c>
      <c r="H1359" s="3">
        <f>[1]Raw_Data!H1357</f>
        <v>5</v>
      </c>
      <c r="I1359" s="3" t="str">
        <f>TRIM([1]Raw_Data!I1357)</f>
        <v>USA</v>
      </c>
      <c r="J1359" s="3" t="str">
        <f>TRIM([1]Raw_Data!J1357)</f>
        <v>Walmart</v>
      </c>
      <c r="K1359" s="3">
        <f t="shared" si="84"/>
        <v>2021</v>
      </c>
      <c r="L1359" s="6">
        <f t="shared" si="85"/>
        <v>44409</v>
      </c>
      <c r="M1359" s="3" t="str">
        <f t="shared" si="86"/>
        <v>11% to 15%</v>
      </c>
      <c r="N1359" s="3" t="str">
        <f t="shared" si="87"/>
        <v>OK</v>
      </c>
    </row>
    <row r="1360" spans="1:14" x14ac:dyDescent="0.3">
      <c r="A1360" s="2">
        <f>DATE(VALUE(RIGHT(TRIM([1]Raw_Data!A1358),4)),VALUE(MID(TRIM([1]Raw_Data!A1358),4,2)),VALUE(LEFT(TRIM([1]Raw_Data!A1358),2)))</f>
        <v>44424</v>
      </c>
      <c r="B1360" s="3" t="str">
        <f>TRIM([1]Raw_Data!B1358)</f>
        <v>Biotin</v>
      </c>
      <c r="C1360" s="3" t="str">
        <f>TRIM([1]Raw_Data!C1358)</f>
        <v>Vitamin</v>
      </c>
      <c r="D1360" s="3">
        <f>[1]Raw_Data!D1358</f>
        <v>159</v>
      </c>
      <c r="E1360" s="4">
        <f>[1]Raw_Data!E1358</f>
        <v>53.62</v>
      </c>
      <c r="F1360" s="5">
        <f>[1]Raw_Data!F1358</f>
        <v>8525.58</v>
      </c>
      <c r="G1360" s="4">
        <f>[1]Raw_Data!G1358</f>
        <v>0.05</v>
      </c>
      <c r="H1360" s="3">
        <f>[1]Raw_Data!H1358</f>
        <v>0</v>
      </c>
      <c r="I1360" s="3" t="str">
        <f>TRIM([1]Raw_Data!I1358)</f>
        <v>USA</v>
      </c>
      <c r="J1360" s="3" t="str">
        <f>TRIM([1]Raw_Data!J1358)</f>
        <v>iHerb</v>
      </c>
      <c r="K1360" s="3">
        <f t="shared" si="84"/>
        <v>2021</v>
      </c>
      <c r="L1360" s="6">
        <f t="shared" si="85"/>
        <v>44409</v>
      </c>
      <c r="M1360" s="3" t="str">
        <f t="shared" si="86"/>
        <v>0% to 5%</v>
      </c>
      <c r="N1360" s="3" t="str">
        <f t="shared" si="87"/>
        <v>OK</v>
      </c>
    </row>
    <row r="1361" spans="1:14" x14ac:dyDescent="0.3">
      <c r="A1361" s="2">
        <f>DATE(VALUE(RIGHT(TRIM([1]Raw_Data!A1359),4)),VALUE(MID(TRIM([1]Raw_Data!A1359),4,2)),VALUE(LEFT(TRIM([1]Raw_Data!A1359),2)))</f>
        <v>44424</v>
      </c>
      <c r="B1361" s="3" t="str">
        <f>TRIM([1]Raw_Data!B1359)</f>
        <v>Green Tea Extract</v>
      </c>
      <c r="C1361" s="3" t="str">
        <f>TRIM([1]Raw_Data!C1359)</f>
        <v>Fat Burner</v>
      </c>
      <c r="D1361" s="3">
        <f>[1]Raw_Data!D1359</f>
        <v>149</v>
      </c>
      <c r="E1361" s="4">
        <f>[1]Raw_Data!E1359</f>
        <v>51.46</v>
      </c>
      <c r="F1361" s="5">
        <f>[1]Raw_Data!F1359</f>
        <v>7667.54</v>
      </c>
      <c r="G1361" s="4">
        <f>[1]Raw_Data!G1359</f>
        <v>0.11</v>
      </c>
      <c r="H1361" s="3">
        <f>[1]Raw_Data!H1359</f>
        <v>2</v>
      </c>
      <c r="I1361" s="3" t="str">
        <f>TRIM([1]Raw_Data!I1359)</f>
        <v>Canada</v>
      </c>
      <c r="J1361" s="3" t="str">
        <f>TRIM([1]Raw_Data!J1359)</f>
        <v>Amazon</v>
      </c>
      <c r="K1361" s="3">
        <f t="shared" si="84"/>
        <v>2021</v>
      </c>
      <c r="L1361" s="6">
        <f t="shared" si="85"/>
        <v>44409</v>
      </c>
      <c r="M1361" s="3" t="str">
        <f t="shared" si="86"/>
        <v>11% to 15%</v>
      </c>
      <c r="N1361" s="3" t="str">
        <f t="shared" si="87"/>
        <v>OK</v>
      </c>
    </row>
    <row r="1362" spans="1:14" x14ac:dyDescent="0.3">
      <c r="A1362" s="2">
        <f>DATE(VALUE(RIGHT(TRIM([1]Raw_Data!A1360),4)),VALUE(MID(TRIM([1]Raw_Data!A1360),4,2)),VALUE(LEFT(TRIM([1]Raw_Data!A1360),2)))</f>
        <v>44424</v>
      </c>
      <c r="B1362" s="3" t="str">
        <f>TRIM([1]Raw_Data!B1360)</f>
        <v>Iron Supplement</v>
      </c>
      <c r="C1362" s="3" t="str">
        <f>TRIM([1]Raw_Data!C1360)</f>
        <v>Mineral</v>
      </c>
      <c r="D1362" s="3">
        <f>[1]Raw_Data!D1360</f>
        <v>151</v>
      </c>
      <c r="E1362" s="4">
        <f>[1]Raw_Data!E1360</f>
        <v>40.76</v>
      </c>
      <c r="F1362" s="5">
        <f>[1]Raw_Data!F1360</f>
        <v>6154.76</v>
      </c>
      <c r="G1362" s="4">
        <f>[1]Raw_Data!G1360</f>
        <v>0.21</v>
      </c>
      <c r="H1362" s="3">
        <f>[1]Raw_Data!H1360</f>
        <v>0</v>
      </c>
      <c r="I1362" s="3" t="str">
        <f>TRIM([1]Raw_Data!I1360)</f>
        <v>USA</v>
      </c>
      <c r="J1362" s="3" t="str">
        <f>TRIM([1]Raw_Data!J1360)</f>
        <v>Walmart</v>
      </c>
      <c r="K1362" s="3">
        <f t="shared" si="84"/>
        <v>2021</v>
      </c>
      <c r="L1362" s="6">
        <f t="shared" si="85"/>
        <v>44409</v>
      </c>
      <c r="M1362" s="3" t="str">
        <f t="shared" si="86"/>
        <v>21% to 25%</v>
      </c>
      <c r="N1362" s="3" t="str">
        <f t="shared" si="87"/>
        <v>OK</v>
      </c>
    </row>
    <row r="1363" spans="1:14" x14ac:dyDescent="0.3">
      <c r="A1363" s="2">
        <f>DATE(VALUE(RIGHT(TRIM([1]Raw_Data!A1361),4)),VALUE(MID(TRIM([1]Raw_Data!A1361),4,2)),VALUE(LEFT(TRIM([1]Raw_Data!A1361),2)))</f>
        <v>44424</v>
      </c>
      <c r="B1363" s="3" t="str">
        <f>TRIM([1]Raw_Data!B1361)</f>
        <v>Electrolyte Powder</v>
      </c>
      <c r="C1363" s="3" t="str">
        <f>TRIM([1]Raw_Data!C1361)</f>
        <v>Hydration</v>
      </c>
      <c r="D1363" s="3">
        <f>[1]Raw_Data!D1361</f>
        <v>153</v>
      </c>
      <c r="E1363" s="4">
        <f>[1]Raw_Data!E1361</f>
        <v>18.21</v>
      </c>
      <c r="F1363" s="5">
        <f>[1]Raw_Data!F1361</f>
        <v>2786.13</v>
      </c>
      <c r="G1363" s="4">
        <f>[1]Raw_Data!G1361</f>
        <v>0.03</v>
      </c>
      <c r="H1363" s="3">
        <f>[1]Raw_Data!H1361</f>
        <v>4</v>
      </c>
      <c r="I1363" s="3" t="str">
        <f>TRIM([1]Raw_Data!I1361)</f>
        <v>USA</v>
      </c>
      <c r="J1363" s="3" t="str">
        <f>TRIM([1]Raw_Data!J1361)</f>
        <v>Amazon</v>
      </c>
      <c r="K1363" s="3">
        <f t="shared" si="84"/>
        <v>2021</v>
      </c>
      <c r="L1363" s="6">
        <f t="shared" si="85"/>
        <v>44409</v>
      </c>
      <c r="M1363" s="3" t="str">
        <f t="shared" si="86"/>
        <v>0% to 5%</v>
      </c>
      <c r="N1363" s="3" t="str">
        <f t="shared" si="87"/>
        <v>OK</v>
      </c>
    </row>
    <row r="1364" spans="1:14" x14ac:dyDescent="0.3">
      <c r="A1364" s="2">
        <f>DATE(VALUE(RIGHT(TRIM([1]Raw_Data!A1362),4)),VALUE(MID(TRIM([1]Raw_Data!A1362),4,2)),VALUE(LEFT(TRIM([1]Raw_Data!A1362),2)))</f>
        <v>44431</v>
      </c>
      <c r="B1364" s="3" t="str">
        <f>TRIM([1]Raw_Data!B1362)</f>
        <v>Whey Protein</v>
      </c>
      <c r="C1364" s="3" t="str">
        <f>TRIM([1]Raw_Data!C1362)</f>
        <v>Protein</v>
      </c>
      <c r="D1364" s="3">
        <f>[1]Raw_Data!D1362</f>
        <v>146</v>
      </c>
      <c r="E1364" s="4">
        <f>[1]Raw_Data!E1362</f>
        <v>18.57</v>
      </c>
      <c r="F1364" s="5">
        <f>[1]Raw_Data!F1362</f>
        <v>2711.22</v>
      </c>
      <c r="G1364" s="4">
        <f>[1]Raw_Data!G1362</f>
        <v>0.17</v>
      </c>
      <c r="H1364" s="3">
        <f>[1]Raw_Data!H1362</f>
        <v>2</v>
      </c>
      <c r="I1364" s="3" t="str">
        <f>TRIM([1]Raw_Data!I1362)</f>
        <v>UK</v>
      </c>
      <c r="J1364" s="3" t="str">
        <f>TRIM([1]Raw_Data!J1362)</f>
        <v>Walmart</v>
      </c>
      <c r="K1364" s="3">
        <f t="shared" si="84"/>
        <v>2021</v>
      </c>
      <c r="L1364" s="6">
        <f t="shared" si="85"/>
        <v>44409</v>
      </c>
      <c r="M1364" s="3" t="str">
        <f t="shared" si="86"/>
        <v>16% to 20%</v>
      </c>
      <c r="N1364" s="3" t="str">
        <f t="shared" si="87"/>
        <v>OK</v>
      </c>
    </row>
    <row r="1365" spans="1:14" x14ac:dyDescent="0.3">
      <c r="A1365" s="2">
        <f>DATE(VALUE(RIGHT(TRIM([1]Raw_Data!A1363),4)),VALUE(MID(TRIM([1]Raw_Data!A1363),4,2)),VALUE(LEFT(TRIM([1]Raw_Data!A1363),2)))</f>
        <v>44431</v>
      </c>
      <c r="B1365" s="3" t="str">
        <f>TRIM([1]Raw_Data!B1363)</f>
        <v>Vitamin C</v>
      </c>
      <c r="C1365" s="3" t="str">
        <f>TRIM([1]Raw_Data!C1363)</f>
        <v>Vitamin</v>
      </c>
      <c r="D1365" s="3">
        <f>[1]Raw_Data!D1363</f>
        <v>155</v>
      </c>
      <c r="E1365" s="4">
        <f>[1]Raw_Data!E1363</f>
        <v>54.68</v>
      </c>
      <c r="F1365" s="5">
        <f>[1]Raw_Data!F1363</f>
        <v>8475.4</v>
      </c>
      <c r="G1365" s="4">
        <f>[1]Raw_Data!G1363</f>
        <v>0.1</v>
      </c>
      <c r="H1365" s="3">
        <f>[1]Raw_Data!H1363</f>
        <v>1</v>
      </c>
      <c r="I1365" s="3" t="str">
        <f>TRIM([1]Raw_Data!I1363)</f>
        <v>Canada</v>
      </c>
      <c r="J1365" s="3" t="str">
        <f>TRIM([1]Raw_Data!J1363)</f>
        <v>Amazon</v>
      </c>
      <c r="K1365" s="3">
        <f t="shared" si="84"/>
        <v>2021</v>
      </c>
      <c r="L1365" s="6">
        <f t="shared" si="85"/>
        <v>44409</v>
      </c>
      <c r="M1365" s="3" t="str">
        <f t="shared" si="86"/>
        <v>6% to 10%</v>
      </c>
      <c r="N1365" s="3" t="str">
        <f t="shared" si="87"/>
        <v>OK</v>
      </c>
    </row>
    <row r="1366" spans="1:14" x14ac:dyDescent="0.3">
      <c r="A1366" s="2">
        <f>DATE(VALUE(RIGHT(TRIM([1]Raw_Data!A1364),4)),VALUE(MID(TRIM([1]Raw_Data!A1364),4,2)),VALUE(LEFT(TRIM([1]Raw_Data!A1364),2)))</f>
        <v>44431</v>
      </c>
      <c r="B1366" s="3" t="str">
        <f>TRIM([1]Raw_Data!B1364)</f>
        <v>Fish Oil</v>
      </c>
      <c r="C1366" s="3" t="str">
        <f>TRIM([1]Raw_Data!C1364)</f>
        <v>Omega</v>
      </c>
      <c r="D1366" s="3">
        <f>[1]Raw_Data!D1364</f>
        <v>149</v>
      </c>
      <c r="E1366" s="4">
        <f>[1]Raw_Data!E1364</f>
        <v>53.18</v>
      </c>
      <c r="F1366" s="5">
        <f>[1]Raw_Data!F1364</f>
        <v>7923.82</v>
      </c>
      <c r="G1366" s="4">
        <f>[1]Raw_Data!G1364</f>
        <v>0.23</v>
      </c>
      <c r="H1366" s="3">
        <f>[1]Raw_Data!H1364</f>
        <v>1</v>
      </c>
      <c r="I1366" s="3" t="str">
        <f>TRIM([1]Raw_Data!I1364)</f>
        <v>USA</v>
      </c>
      <c r="J1366" s="3" t="str">
        <f>TRIM([1]Raw_Data!J1364)</f>
        <v>Walmart</v>
      </c>
      <c r="K1366" s="3">
        <f t="shared" si="84"/>
        <v>2021</v>
      </c>
      <c r="L1366" s="6">
        <f t="shared" si="85"/>
        <v>44409</v>
      </c>
      <c r="M1366" s="3" t="str">
        <f t="shared" si="86"/>
        <v>21% to 25%</v>
      </c>
      <c r="N1366" s="3" t="str">
        <f t="shared" si="87"/>
        <v>OK</v>
      </c>
    </row>
    <row r="1367" spans="1:14" x14ac:dyDescent="0.3">
      <c r="A1367" s="2">
        <f>DATE(VALUE(RIGHT(TRIM([1]Raw_Data!A1365),4)),VALUE(MID(TRIM([1]Raw_Data!A1365),4,2)),VALUE(LEFT(TRIM([1]Raw_Data!A1365),2)))</f>
        <v>44431</v>
      </c>
      <c r="B1367" s="3" t="str">
        <f>TRIM([1]Raw_Data!B1365)</f>
        <v>Multivitamin</v>
      </c>
      <c r="C1367" s="3" t="str">
        <f>TRIM([1]Raw_Data!C1365)</f>
        <v>Vitamin</v>
      </c>
      <c r="D1367" s="3">
        <f>[1]Raw_Data!D1365</f>
        <v>165</v>
      </c>
      <c r="E1367" s="4">
        <f>[1]Raw_Data!E1365</f>
        <v>56.54</v>
      </c>
      <c r="F1367" s="5">
        <f>[1]Raw_Data!F1365</f>
        <v>9329.1</v>
      </c>
      <c r="G1367" s="4">
        <f>[1]Raw_Data!G1365</f>
        <v>0.06</v>
      </c>
      <c r="H1367" s="3">
        <f>[1]Raw_Data!H1365</f>
        <v>2</v>
      </c>
      <c r="I1367" s="3" t="str">
        <f>TRIM([1]Raw_Data!I1365)</f>
        <v>USA</v>
      </c>
      <c r="J1367" s="3" t="str">
        <f>TRIM([1]Raw_Data!J1365)</f>
        <v>iHerb</v>
      </c>
      <c r="K1367" s="3">
        <f t="shared" si="84"/>
        <v>2021</v>
      </c>
      <c r="L1367" s="6">
        <f t="shared" si="85"/>
        <v>44409</v>
      </c>
      <c r="M1367" s="3" t="str">
        <f t="shared" si="86"/>
        <v>6% to 10%</v>
      </c>
      <c r="N1367" s="3" t="str">
        <f t="shared" si="87"/>
        <v>OK</v>
      </c>
    </row>
    <row r="1368" spans="1:14" x14ac:dyDescent="0.3">
      <c r="A1368" s="2">
        <f>DATE(VALUE(RIGHT(TRIM([1]Raw_Data!A1366),4)),VALUE(MID(TRIM([1]Raw_Data!A1366),4,2)),VALUE(LEFT(TRIM([1]Raw_Data!A1366),2)))</f>
        <v>44431</v>
      </c>
      <c r="B1368" s="3" t="str">
        <f>TRIM([1]Raw_Data!B1366)</f>
        <v>Pre-Workout</v>
      </c>
      <c r="C1368" s="3" t="str">
        <f>TRIM([1]Raw_Data!C1366)</f>
        <v>Performance</v>
      </c>
      <c r="D1368" s="3">
        <f>[1]Raw_Data!D1366</f>
        <v>142</v>
      </c>
      <c r="E1368" s="4">
        <f>[1]Raw_Data!E1366</f>
        <v>10.27</v>
      </c>
      <c r="F1368" s="5">
        <f>[1]Raw_Data!F1366</f>
        <v>1458.34</v>
      </c>
      <c r="G1368" s="4">
        <f>[1]Raw_Data!G1366</f>
        <v>0.14000000000000001</v>
      </c>
      <c r="H1368" s="3">
        <f>[1]Raw_Data!H1366</f>
        <v>1</v>
      </c>
      <c r="I1368" s="3" t="str">
        <f>TRIM([1]Raw_Data!I1366)</f>
        <v>UK</v>
      </c>
      <c r="J1368" s="3" t="str">
        <f>TRIM([1]Raw_Data!J1366)</f>
        <v>Amazon</v>
      </c>
      <c r="K1368" s="3">
        <f t="shared" si="84"/>
        <v>2021</v>
      </c>
      <c r="L1368" s="6">
        <f t="shared" si="85"/>
        <v>44409</v>
      </c>
      <c r="M1368" s="3" t="str">
        <f t="shared" si="86"/>
        <v>11% to 15%</v>
      </c>
      <c r="N1368" s="3" t="str">
        <f t="shared" si="87"/>
        <v>OK</v>
      </c>
    </row>
    <row r="1369" spans="1:14" x14ac:dyDescent="0.3">
      <c r="A1369" s="2">
        <f>DATE(VALUE(RIGHT(TRIM([1]Raw_Data!A1367),4)),VALUE(MID(TRIM([1]Raw_Data!A1367),4,2)),VALUE(LEFT(TRIM([1]Raw_Data!A1367),2)))</f>
        <v>44431</v>
      </c>
      <c r="B1369" s="3" t="str">
        <f>TRIM([1]Raw_Data!B1367)</f>
        <v>BCAA</v>
      </c>
      <c r="C1369" s="3" t="str">
        <f>TRIM([1]Raw_Data!C1367)</f>
        <v>Amino Acid</v>
      </c>
      <c r="D1369" s="3">
        <f>[1]Raw_Data!D1367</f>
        <v>143</v>
      </c>
      <c r="E1369" s="4">
        <f>[1]Raw_Data!E1367</f>
        <v>52.57</v>
      </c>
      <c r="F1369" s="5">
        <f>[1]Raw_Data!F1367</f>
        <v>7517.51</v>
      </c>
      <c r="G1369" s="4">
        <f>[1]Raw_Data!G1367</f>
        <v>0.15</v>
      </c>
      <c r="H1369" s="3">
        <f>[1]Raw_Data!H1367</f>
        <v>3</v>
      </c>
      <c r="I1369" s="3" t="str">
        <f>TRIM([1]Raw_Data!I1367)</f>
        <v>USA</v>
      </c>
      <c r="J1369" s="3" t="str">
        <f>TRIM([1]Raw_Data!J1367)</f>
        <v>Walmart</v>
      </c>
      <c r="K1369" s="3">
        <f t="shared" si="84"/>
        <v>2021</v>
      </c>
      <c r="L1369" s="6">
        <f t="shared" si="85"/>
        <v>44409</v>
      </c>
      <c r="M1369" s="3" t="str">
        <f t="shared" si="86"/>
        <v>11% to 15%</v>
      </c>
      <c r="N1369" s="3" t="str">
        <f t="shared" si="87"/>
        <v>OK</v>
      </c>
    </row>
    <row r="1370" spans="1:14" x14ac:dyDescent="0.3">
      <c r="A1370" s="2">
        <f>DATE(VALUE(RIGHT(TRIM([1]Raw_Data!A1368),4)),VALUE(MID(TRIM([1]Raw_Data!A1368),4,2)),VALUE(LEFT(TRIM([1]Raw_Data!A1368),2)))</f>
        <v>44431</v>
      </c>
      <c r="B1370" s="3" t="str">
        <f>TRIM([1]Raw_Data!B1368)</f>
        <v>Creatine</v>
      </c>
      <c r="C1370" s="3" t="str">
        <f>TRIM([1]Raw_Data!C1368)</f>
        <v>Performance</v>
      </c>
      <c r="D1370" s="3">
        <f>[1]Raw_Data!D1368</f>
        <v>141</v>
      </c>
      <c r="E1370" s="4">
        <f>[1]Raw_Data!E1368</f>
        <v>32.53</v>
      </c>
      <c r="F1370" s="5">
        <f>[1]Raw_Data!F1368</f>
        <v>4586.7299999999996</v>
      </c>
      <c r="G1370" s="4">
        <f>[1]Raw_Data!G1368</f>
        <v>0</v>
      </c>
      <c r="H1370" s="3">
        <f>[1]Raw_Data!H1368</f>
        <v>1</v>
      </c>
      <c r="I1370" s="3" t="str">
        <f>TRIM([1]Raw_Data!I1368)</f>
        <v>Canada</v>
      </c>
      <c r="J1370" s="3" t="str">
        <f>TRIM([1]Raw_Data!J1368)</f>
        <v>Walmart</v>
      </c>
      <c r="K1370" s="3">
        <f t="shared" si="84"/>
        <v>2021</v>
      </c>
      <c r="L1370" s="6">
        <f t="shared" si="85"/>
        <v>44409</v>
      </c>
      <c r="M1370" s="3" t="str">
        <f t="shared" si="86"/>
        <v>0% to 5%</v>
      </c>
      <c r="N1370" s="3" t="str">
        <f t="shared" si="87"/>
        <v>OK</v>
      </c>
    </row>
    <row r="1371" spans="1:14" x14ac:dyDescent="0.3">
      <c r="A1371" s="2">
        <f>DATE(VALUE(RIGHT(TRIM([1]Raw_Data!A1369),4)),VALUE(MID(TRIM([1]Raw_Data!A1369),4,2)),VALUE(LEFT(TRIM([1]Raw_Data!A1369),2)))</f>
        <v>44431</v>
      </c>
      <c r="B1371" s="3" t="str">
        <f>TRIM([1]Raw_Data!B1369)</f>
        <v>Zinc</v>
      </c>
      <c r="C1371" s="3" t="str">
        <f>TRIM([1]Raw_Data!C1369)</f>
        <v>Mineral</v>
      </c>
      <c r="D1371" s="3">
        <f>[1]Raw_Data!D1369</f>
        <v>156</v>
      </c>
      <c r="E1371" s="4">
        <f>[1]Raw_Data!E1369</f>
        <v>46.81</v>
      </c>
      <c r="F1371" s="5">
        <f>[1]Raw_Data!F1369</f>
        <v>7302.36</v>
      </c>
      <c r="G1371" s="4">
        <f>[1]Raw_Data!G1369</f>
        <v>0.14000000000000001</v>
      </c>
      <c r="H1371" s="3">
        <f>[1]Raw_Data!H1369</f>
        <v>0</v>
      </c>
      <c r="I1371" s="3" t="str">
        <f>TRIM([1]Raw_Data!I1369)</f>
        <v>USA</v>
      </c>
      <c r="J1371" s="3" t="str">
        <f>TRIM([1]Raw_Data!J1369)</f>
        <v>Walmart</v>
      </c>
      <c r="K1371" s="3">
        <f t="shared" si="84"/>
        <v>2021</v>
      </c>
      <c r="L1371" s="6">
        <f t="shared" si="85"/>
        <v>44409</v>
      </c>
      <c r="M1371" s="3" t="str">
        <f t="shared" si="86"/>
        <v>11% to 15%</v>
      </c>
      <c r="N1371" s="3" t="str">
        <f t="shared" si="87"/>
        <v>OK</v>
      </c>
    </row>
    <row r="1372" spans="1:14" x14ac:dyDescent="0.3">
      <c r="A1372" s="2">
        <f>DATE(VALUE(RIGHT(TRIM([1]Raw_Data!A1370),4)),VALUE(MID(TRIM([1]Raw_Data!A1370),4,2)),VALUE(LEFT(TRIM([1]Raw_Data!A1370),2)))</f>
        <v>44431</v>
      </c>
      <c r="B1372" s="3" t="str">
        <f>TRIM([1]Raw_Data!B1370)</f>
        <v>Collagen Peptides</v>
      </c>
      <c r="C1372" s="3" t="str">
        <f>TRIM([1]Raw_Data!C1370)</f>
        <v>Protein</v>
      </c>
      <c r="D1372" s="3">
        <f>[1]Raw_Data!D1370</f>
        <v>133</v>
      </c>
      <c r="E1372" s="4">
        <f>[1]Raw_Data!E1370</f>
        <v>23.75</v>
      </c>
      <c r="F1372" s="5">
        <f>[1]Raw_Data!F1370</f>
        <v>3158.75</v>
      </c>
      <c r="G1372" s="4">
        <f>[1]Raw_Data!G1370</f>
        <v>0.02</v>
      </c>
      <c r="H1372" s="3">
        <f>[1]Raw_Data!H1370</f>
        <v>1</v>
      </c>
      <c r="I1372" s="3" t="str">
        <f>TRIM([1]Raw_Data!I1370)</f>
        <v>Canada</v>
      </c>
      <c r="J1372" s="3" t="str">
        <f>TRIM([1]Raw_Data!J1370)</f>
        <v>Amazon</v>
      </c>
      <c r="K1372" s="3">
        <f t="shared" si="84"/>
        <v>2021</v>
      </c>
      <c r="L1372" s="6">
        <f t="shared" si="85"/>
        <v>44409</v>
      </c>
      <c r="M1372" s="3" t="str">
        <f t="shared" si="86"/>
        <v>0% to 5%</v>
      </c>
      <c r="N1372" s="3" t="str">
        <f t="shared" si="87"/>
        <v>OK</v>
      </c>
    </row>
    <row r="1373" spans="1:14" x14ac:dyDescent="0.3">
      <c r="A1373" s="2">
        <f>DATE(VALUE(RIGHT(TRIM([1]Raw_Data!A1371),4)),VALUE(MID(TRIM([1]Raw_Data!A1371),4,2)),VALUE(LEFT(TRIM([1]Raw_Data!A1371),2)))</f>
        <v>44431</v>
      </c>
      <c r="B1373" s="3" t="str">
        <f>TRIM([1]Raw_Data!B1371)</f>
        <v>Magnesium</v>
      </c>
      <c r="C1373" s="3" t="str">
        <f>TRIM([1]Raw_Data!C1371)</f>
        <v>Mineral</v>
      </c>
      <c r="D1373" s="3">
        <f>[1]Raw_Data!D1371</f>
        <v>152</v>
      </c>
      <c r="E1373" s="4">
        <f>[1]Raw_Data!E1371</f>
        <v>46.02</v>
      </c>
      <c r="F1373" s="5">
        <f>[1]Raw_Data!F1371</f>
        <v>6995.04</v>
      </c>
      <c r="G1373" s="4">
        <f>[1]Raw_Data!G1371</f>
        <v>0.16</v>
      </c>
      <c r="H1373" s="3">
        <f>[1]Raw_Data!H1371</f>
        <v>1</v>
      </c>
      <c r="I1373" s="3" t="str">
        <f>TRIM([1]Raw_Data!I1371)</f>
        <v>USA</v>
      </c>
      <c r="J1373" s="3" t="str">
        <f>TRIM([1]Raw_Data!J1371)</f>
        <v>iHerb</v>
      </c>
      <c r="K1373" s="3">
        <f t="shared" si="84"/>
        <v>2021</v>
      </c>
      <c r="L1373" s="6">
        <f t="shared" si="85"/>
        <v>44409</v>
      </c>
      <c r="M1373" s="3" t="str">
        <f t="shared" si="86"/>
        <v>16% to 20%</v>
      </c>
      <c r="N1373" s="3" t="str">
        <f t="shared" si="87"/>
        <v>OK</v>
      </c>
    </row>
    <row r="1374" spans="1:14" x14ac:dyDescent="0.3">
      <c r="A1374" s="2">
        <f>DATE(VALUE(RIGHT(TRIM([1]Raw_Data!A1372),4)),VALUE(MID(TRIM([1]Raw_Data!A1372),4,2)),VALUE(LEFT(TRIM([1]Raw_Data!A1372),2)))</f>
        <v>44431</v>
      </c>
      <c r="B1374" s="3" t="str">
        <f>TRIM([1]Raw_Data!B1372)</f>
        <v>Ashwagandha</v>
      </c>
      <c r="C1374" s="3" t="str">
        <f>TRIM([1]Raw_Data!C1372)</f>
        <v>Herbal</v>
      </c>
      <c r="D1374" s="3">
        <f>[1]Raw_Data!D1372</f>
        <v>160</v>
      </c>
      <c r="E1374" s="4">
        <f>[1]Raw_Data!E1372</f>
        <v>41.87</v>
      </c>
      <c r="F1374" s="5">
        <f>[1]Raw_Data!F1372</f>
        <v>6699.2</v>
      </c>
      <c r="G1374" s="4">
        <f>[1]Raw_Data!G1372</f>
        <v>0.14000000000000001</v>
      </c>
      <c r="H1374" s="3">
        <f>[1]Raw_Data!H1372</f>
        <v>0</v>
      </c>
      <c r="I1374" s="3" t="str">
        <f>TRIM([1]Raw_Data!I1372)</f>
        <v>Canada</v>
      </c>
      <c r="J1374" s="3" t="str">
        <f>TRIM([1]Raw_Data!J1372)</f>
        <v>Walmart</v>
      </c>
      <c r="K1374" s="3">
        <f t="shared" si="84"/>
        <v>2021</v>
      </c>
      <c r="L1374" s="6">
        <f t="shared" si="85"/>
        <v>44409</v>
      </c>
      <c r="M1374" s="3" t="str">
        <f t="shared" si="86"/>
        <v>11% to 15%</v>
      </c>
      <c r="N1374" s="3" t="str">
        <f t="shared" si="87"/>
        <v>OK</v>
      </c>
    </row>
    <row r="1375" spans="1:14" x14ac:dyDescent="0.3">
      <c r="A1375" s="2">
        <f>DATE(VALUE(RIGHT(TRIM([1]Raw_Data!A1373),4)),VALUE(MID(TRIM([1]Raw_Data!A1373),4,2)),VALUE(LEFT(TRIM([1]Raw_Data!A1373),2)))</f>
        <v>44431</v>
      </c>
      <c r="B1375" s="3" t="str">
        <f>TRIM([1]Raw_Data!B1373)</f>
        <v>Melatonin</v>
      </c>
      <c r="C1375" s="3" t="str">
        <f>TRIM([1]Raw_Data!C1373)</f>
        <v>Sleep Aid</v>
      </c>
      <c r="D1375" s="3">
        <f>[1]Raw_Data!D1373</f>
        <v>157</v>
      </c>
      <c r="E1375" s="4">
        <f>[1]Raw_Data!E1373</f>
        <v>57.13</v>
      </c>
      <c r="F1375" s="5">
        <f>[1]Raw_Data!F1373</f>
        <v>8969.41</v>
      </c>
      <c r="G1375" s="4">
        <f>[1]Raw_Data!G1373</f>
        <v>0.2</v>
      </c>
      <c r="H1375" s="3">
        <f>[1]Raw_Data!H1373</f>
        <v>2</v>
      </c>
      <c r="I1375" s="3" t="str">
        <f>TRIM([1]Raw_Data!I1373)</f>
        <v>USA</v>
      </c>
      <c r="J1375" s="3" t="str">
        <f>TRIM([1]Raw_Data!J1373)</f>
        <v>Amazon</v>
      </c>
      <c r="K1375" s="3">
        <f t="shared" si="84"/>
        <v>2021</v>
      </c>
      <c r="L1375" s="6">
        <f t="shared" si="85"/>
        <v>44409</v>
      </c>
      <c r="M1375" s="3" t="str">
        <f t="shared" si="86"/>
        <v>16% to 20%</v>
      </c>
      <c r="N1375" s="3" t="str">
        <f t="shared" si="87"/>
        <v>OK</v>
      </c>
    </row>
    <row r="1376" spans="1:14" x14ac:dyDescent="0.3">
      <c r="A1376" s="2">
        <f>DATE(VALUE(RIGHT(TRIM([1]Raw_Data!A1374),4)),VALUE(MID(TRIM([1]Raw_Data!A1374),4,2)),VALUE(LEFT(TRIM([1]Raw_Data!A1374),2)))</f>
        <v>44431</v>
      </c>
      <c r="B1376" s="3" t="str">
        <f>TRIM([1]Raw_Data!B1374)</f>
        <v>Biotin</v>
      </c>
      <c r="C1376" s="3" t="str">
        <f>TRIM([1]Raw_Data!C1374)</f>
        <v>Vitamin</v>
      </c>
      <c r="D1376" s="3">
        <f>[1]Raw_Data!D1374</f>
        <v>141</v>
      </c>
      <c r="E1376" s="4">
        <f>[1]Raw_Data!E1374</f>
        <v>27.02</v>
      </c>
      <c r="F1376" s="5">
        <f>[1]Raw_Data!F1374</f>
        <v>3809.82</v>
      </c>
      <c r="G1376" s="4">
        <f>[1]Raw_Data!G1374</f>
        <v>0.12</v>
      </c>
      <c r="H1376" s="3">
        <f>[1]Raw_Data!H1374</f>
        <v>1</v>
      </c>
      <c r="I1376" s="3" t="str">
        <f>TRIM([1]Raw_Data!I1374)</f>
        <v>UK</v>
      </c>
      <c r="J1376" s="3" t="str">
        <f>TRIM([1]Raw_Data!J1374)</f>
        <v>Amazon</v>
      </c>
      <c r="K1376" s="3">
        <f t="shared" si="84"/>
        <v>2021</v>
      </c>
      <c r="L1376" s="6">
        <f t="shared" si="85"/>
        <v>44409</v>
      </c>
      <c r="M1376" s="3" t="str">
        <f t="shared" si="86"/>
        <v>11% to 15%</v>
      </c>
      <c r="N1376" s="3" t="str">
        <f t="shared" si="87"/>
        <v>OK</v>
      </c>
    </row>
    <row r="1377" spans="1:14" x14ac:dyDescent="0.3">
      <c r="A1377" s="2">
        <f>DATE(VALUE(RIGHT(TRIM([1]Raw_Data!A1375),4)),VALUE(MID(TRIM([1]Raw_Data!A1375),4,2)),VALUE(LEFT(TRIM([1]Raw_Data!A1375),2)))</f>
        <v>44431</v>
      </c>
      <c r="B1377" s="3" t="str">
        <f>TRIM([1]Raw_Data!B1375)</f>
        <v>Green Tea Extract</v>
      </c>
      <c r="C1377" s="3" t="str">
        <f>TRIM([1]Raw_Data!C1375)</f>
        <v>Fat Burner</v>
      </c>
      <c r="D1377" s="3">
        <f>[1]Raw_Data!D1375</f>
        <v>150</v>
      </c>
      <c r="E1377" s="4">
        <f>[1]Raw_Data!E1375</f>
        <v>58.89</v>
      </c>
      <c r="F1377" s="5">
        <f>[1]Raw_Data!F1375</f>
        <v>8833.5</v>
      </c>
      <c r="G1377" s="4">
        <f>[1]Raw_Data!G1375</f>
        <v>0.03</v>
      </c>
      <c r="H1377" s="3">
        <f>[1]Raw_Data!H1375</f>
        <v>3</v>
      </c>
      <c r="I1377" s="3" t="str">
        <f>TRIM([1]Raw_Data!I1375)</f>
        <v>Canada</v>
      </c>
      <c r="J1377" s="3" t="str">
        <f>TRIM([1]Raw_Data!J1375)</f>
        <v>iHerb</v>
      </c>
      <c r="K1377" s="3">
        <f t="shared" si="84"/>
        <v>2021</v>
      </c>
      <c r="L1377" s="6">
        <f t="shared" si="85"/>
        <v>44409</v>
      </c>
      <c r="M1377" s="3" t="str">
        <f t="shared" si="86"/>
        <v>0% to 5%</v>
      </c>
      <c r="N1377" s="3" t="str">
        <f t="shared" si="87"/>
        <v>OK</v>
      </c>
    </row>
    <row r="1378" spans="1:14" x14ac:dyDescent="0.3">
      <c r="A1378" s="2">
        <f>DATE(VALUE(RIGHT(TRIM([1]Raw_Data!A1376),4)),VALUE(MID(TRIM([1]Raw_Data!A1376),4,2)),VALUE(LEFT(TRIM([1]Raw_Data!A1376),2)))</f>
        <v>44431</v>
      </c>
      <c r="B1378" s="3" t="str">
        <f>TRIM([1]Raw_Data!B1376)</f>
        <v>Iron Supplement</v>
      </c>
      <c r="C1378" s="3" t="str">
        <f>TRIM([1]Raw_Data!C1376)</f>
        <v>Mineral</v>
      </c>
      <c r="D1378" s="3">
        <f>[1]Raw_Data!D1376</f>
        <v>170</v>
      </c>
      <c r="E1378" s="4">
        <f>[1]Raw_Data!E1376</f>
        <v>46.25</v>
      </c>
      <c r="F1378" s="5">
        <f>[1]Raw_Data!F1376</f>
        <v>7862.5</v>
      </c>
      <c r="G1378" s="4">
        <f>[1]Raw_Data!G1376</f>
        <v>0.11</v>
      </c>
      <c r="H1378" s="3">
        <f>[1]Raw_Data!H1376</f>
        <v>2</v>
      </c>
      <c r="I1378" s="3" t="str">
        <f>TRIM([1]Raw_Data!I1376)</f>
        <v>USA</v>
      </c>
      <c r="J1378" s="3" t="str">
        <f>TRIM([1]Raw_Data!J1376)</f>
        <v>Amazon</v>
      </c>
      <c r="K1378" s="3">
        <f t="shared" si="84"/>
        <v>2021</v>
      </c>
      <c r="L1378" s="6">
        <f t="shared" si="85"/>
        <v>44409</v>
      </c>
      <c r="M1378" s="3" t="str">
        <f t="shared" si="86"/>
        <v>11% to 15%</v>
      </c>
      <c r="N1378" s="3" t="str">
        <f t="shared" si="87"/>
        <v>OK</v>
      </c>
    </row>
    <row r="1379" spans="1:14" x14ac:dyDescent="0.3">
      <c r="A1379" s="2">
        <f>DATE(VALUE(RIGHT(TRIM([1]Raw_Data!A1377),4)),VALUE(MID(TRIM([1]Raw_Data!A1377),4,2)),VALUE(LEFT(TRIM([1]Raw_Data!A1377),2)))</f>
        <v>44431</v>
      </c>
      <c r="B1379" s="3" t="str">
        <f>TRIM([1]Raw_Data!B1377)</f>
        <v>Electrolyte Powder</v>
      </c>
      <c r="C1379" s="3" t="str">
        <f>TRIM([1]Raw_Data!C1377)</f>
        <v>Hydration</v>
      </c>
      <c r="D1379" s="3">
        <f>[1]Raw_Data!D1377</f>
        <v>144</v>
      </c>
      <c r="E1379" s="4">
        <f>[1]Raw_Data!E1377</f>
        <v>38.909999999999997</v>
      </c>
      <c r="F1379" s="5">
        <f>[1]Raw_Data!F1377</f>
        <v>5603.04</v>
      </c>
      <c r="G1379" s="4">
        <f>[1]Raw_Data!G1377</f>
        <v>0.12</v>
      </c>
      <c r="H1379" s="3">
        <f>[1]Raw_Data!H1377</f>
        <v>2</v>
      </c>
      <c r="I1379" s="3" t="str">
        <f>TRIM([1]Raw_Data!I1377)</f>
        <v>Canada</v>
      </c>
      <c r="J1379" s="3" t="str">
        <f>TRIM([1]Raw_Data!J1377)</f>
        <v>Amazon</v>
      </c>
      <c r="K1379" s="3">
        <f t="shared" si="84"/>
        <v>2021</v>
      </c>
      <c r="L1379" s="6">
        <f t="shared" si="85"/>
        <v>44409</v>
      </c>
      <c r="M1379" s="3" t="str">
        <f t="shared" si="86"/>
        <v>11% to 15%</v>
      </c>
      <c r="N1379" s="3" t="str">
        <f t="shared" si="87"/>
        <v>OK</v>
      </c>
    </row>
    <row r="1380" spans="1:14" x14ac:dyDescent="0.3">
      <c r="A1380" s="2">
        <f>DATE(VALUE(RIGHT(TRIM([1]Raw_Data!A1378),4)),VALUE(MID(TRIM([1]Raw_Data!A1378),4,2)),VALUE(LEFT(TRIM([1]Raw_Data!A1378),2)))</f>
        <v>44438</v>
      </c>
      <c r="B1380" s="3" t="str">
        <f>TRIM([1]Raw_Data!B1378)</f>
        <v>Whey Protein</v>
      </c>
      <c r="C1380" s="3" t="str">
        <f>TRIM([1]Raw_Data!C1378)</f>
        <v>Protein</v>
      </c>
      <c r="D1380" s="3">
        <f>[1]Raw_Data!D1378</f>
        <v>142</v>
      </c>
      <c r="E1380" s="4">
        <f>[1]Raw_Data!E1378</f>
        <v>14.19</v>
      </c>
      <c r="F1380" s="5">
        <f>[1]Raw_Data!F1378</f>
        <v>2014.98</v>
      </c>
      <c r="G1380" s="4">
        <f>[1]Raw_Data!G1378</f>
        <v>0.01</v>
      </c>
      <c r="H1380" s="3">
        <f>[1]Raw_Data!H1378</f>
        <v>1</v>
      </c>
      <c r="I1380" s="3" t="str">
        <f>TRIM([1]Raw_Data!I1378)</f>
        <v>USA</v>
      </c>
      <c r="J1380" s="3" t="str">
        <f>TRIM([1]Raw_Data!J1378)</f>
        <v>Walmart</v>
      </c>
      <c r="K1380" s="3">
        <f t="shared" si="84"/>
        <v>2021</v>
      </c>
      <c r="L1380" s="6">
        <f t="shared" si="85"/>
        <v>44409</v>
      </c>
      <c r="M1380" s="3" t="str">
        <f t="shared" si="86"/>
        <v>0% to 5%</v>
      </c>
      <c r="N1380" s="3" t="str">
        <f t="shared" si="87"/>
        <v>OK</v>
      </c>
    </row>
    <row r="1381" spans="1:14" x14ac:dyDescent="0.3">
      <c r="A1381" s="2">
        <f>DATE(VALUE(RIGHT(TRIM([1]Raw_Data!A1379),4)),VALUE(MID(TRIM([1]Raw_Data!A1379),4,2)),VALUE(LEFT(TRIM([1]Raw_Data!A1379),2)))</f>
        <v>44438</v>
      </c>
      <c r="B1381" s="3" t="str">
        <f>TRIM([1]Raw_Data!B1379)</f>
        <v>Vitamin C</v>
      </c>
      <c r="C1381" s="3" t="str">
        <f>TRIM([1]Raw_Data!C1379)</f>
        <v>Vitamin</v>
      </c>
      <c r="D1381" s="3">
        <f>[1]Raw_Data!D1379</f>
        <v>128</v>
      </c>
      <c r="E1381" s="4">
        <f>[1]Raw_Data!E1379</f>
        <v>50.65</v>
      </c>
      <c r="F1381" s="5">
        <f>[1]Raw_Data!F1379</f>
        <v>6483.2</v>
      </c>
      <c r="G1381" s="4">
        <f>[1]Raw_Data!G1379</f>
        <v>0.01</v>
      </c>
      <c r="H1381" s="3">
        <f>[1]Raw_Data!H1379</f>
        <v>2</v>
      </c>
      <c r="I1381" s="3" t="str">
        <f>TRIM([1]Raw_Data!I1379)</f>
        <v>UK</v>
      </c>
      <c r="J1381" s="3" t="str">
        <f>TRIM([1]Raw_Data!J1379)</f>
        <v>Amazon</v>
      </c>
      <c r="K1381" s="3">
        <f t="shared" si="84"/>
        <v>2021</v>
      </c>
      <c r="L1381" s="6">
        <f t="shared" si="85"/>
        <v>44409</v>
      </c>
      <c r="M1381" s="3" t="str">
        <f t="shared" si="86"/>
        <v>0% to 5%</v>
      </c>
      <c r="N1381" s="3" t="str">
        <f t="shared" si="87"/>
        <v>OK</v>
      </c>
    </row>
    <row r="1382" spans="1:14" x14ac:dyDescent="0.3">
      <c r="A1382" s="2">
        <f>DATE(VALUE(RIGHT(TRIM([1]Raw_Data!A1380),4)),VALUE(MID(TRIM([1]Raw_Data!A1380),4,2)),VALUE(LEFT(TRIM([1]Raw_Data!A1380),2)))</f>
        <v>44438</v>
      </c>
      <c r="B1382" s="3" t="str">
        <f>TRIM([1]Raw_Data!B1380)</f>
        <v>Fish Oil</v>
      </c>
      <c r="C1382" s="3" t="str">
        <f>TRIM([1]Raw_Data!C1380)</f>
        <v>Omega</v>
      </c>
      <c r="D1382" s="3">
        <f>[1]Raw_Data!D1380</f>
        <v>141</v>
      </c>
      <c r="E1382" s="4">
        <f>[1]Raw_Data!E1380</f>
        <v>34.25</v>
      </c>
      <c r="F1382" s="5">
        <f>[1]Raw_Data!F1380</f>
        <v>4829.25</v>
      </c>
      <c r="G1382" s="4">
        <f>[1]Raw_Data!G1380</f>
        <v>0.08</v>
      </c>
      <c r="H1382" s="3">
        <f>[1]Raw_Data!H1380</f>
        <v>1</v>
      </c>
      <c r="I1382" s="3" t="str">
        <f>TRIM([1]Raw_Data!I1380)</f>
        <v>Canada</v>
      </c>
      <c r="J1382" s="3" t="str">
        <f>TRIM([1]Raw_Data!J1380)</f>
        <v>Walmart</v>
      </c>
      <c r="K1382" s="3">
        <f t="shared" si="84"/>
        <v>2021</v>
      </c>
      <c r="L1382" s="6">
        <f t="shared" si="85"/>
        <v>44409</v>
      </c>
      <c r="M1382" s="3" t="str">
        <f t="shared" si="86"/>
        <v>6% to 10%</v>
      </c>
      <c r="N1382" s="3" t="str">
        <f t="shared" si="87"/>
        <v>OK</v>
      </c>
    </row>
    <row r="1383" spans="1:14" x14ac:dyDescent="0.3">
      <c r="A1383" s="2">
        <f>DATE(VALUE(RIGHT(TRIM([1]Raw_Data!A1381),4)),VALUE(MID(TRIM([1]Raw_Data!A1381),4,2)),VALUE(LEFT(TRIM([1]Raw_Data!A1381),2)))</f>
        <v>44438</v>
      </c>
      <c r="B1383" s="3" t="str">
        <f>TRIM([1]Raw_Data!B1381)</f>
        <v>Multivitamin</v>
      </c>
      <c r="C1383" s="3" t="str">
        <f>TRIM([1]Raw_Data!C1381)</f>
        <v>Vitamin</v>
      </c>
      <c r="D1383" s="3">
        <f>[1]Raw_Data!D1381</f>
        <v>146</v>
      </c>
      <c r="E1383" s="4">
        <f>[1]Raw_Data!E1381</f>
        <v>15.73</v>
      </c>
      <c r="F1383" s="5">
        <f>[1]Raw_Data!F1381</f>
        <v>2296.58</v>
      </c>
      <c r="G1383" s="4">
        <f>[1]Raw_Data!G1381</f>
        <v>0.25</v>
      </c>
      <c r="H1383" s="3">
        <f>[1]Raw_Data!H1381</f>
        <v>1</v>
      </c>
      <c r="I1383" s="3" t="str">
        <f>TRIM([1]Raw_Data!I1381)</f>
        <v>Canada</v>
      </c>
      <c r="J1383" s="3" t="str">
        <f>TRIM([1]Raw_Data!J1381)</f>
        <v>Amazon</v>
      </c>
      <c r="K1383" s="3">
        <f t="shared" si="84"/>
        <v>2021</v>
      </c>
      <c r="L1383" s="6">
        <f t="shared" si="85"/>
        <v>44409</v>
      </c>
      <c r="M1383" s="3" t="str">
        <f t="shared" si="86"/>
        <v>21% to 25%</v>
      </c>
      <c r="N1383" s="3" t="str">
        <f t="shared" si="87"/>
        <v>OK</v>
      </c>
    </row>
    <row r="1384" spans="1:14" x14ac:dyDescent="0.3">
      <c r="A1384" s="2">
        <f>DATE(VALUE(RIGHT(TRIM([1]Raw_Data!A1382),4)),VALUE(MID(TRIM([1]Raw_Data!A1382),4,2)),VALUE(LEFT(TRIM([1]Raw_Data!A1382),2)))</f>
        <v>44438</v>
      </c>
      <c r="B1384" s="3" t="str">
        <f>TRIM([1]Raw_Data!B1382)</f>
        <v>Pre-Workout</v>
      </c>
      <c r="C1384" s="3" t="str">
        <f>TRIM([1]Raw_Data!C1382)</f>
        <v>Performance</v>
      </c>
      <c r="D1384" s="3">
        <f>[1]Raw_Data!D1382</f>
        <v>144</v>
      </c>
      <c r="E1384" s="4">
        <f>[1]Raw_Data!E1382</f>
        <v>28.19</v>
      </c>
      <c r="F1384" s="5">
        <f>[1]Raw_Data!F1382</f>
        <v>4059.36</v>
      </c>
      <c r="G1384" s="4">
        <f>[1]Raw_Data!G1382</f>
        <v>0.21</v>
      </c>
      <c r="H1384" s="3">
        <f>[1]Raw_Data!H1382</f>
        <v>1</v>
      </c>
      <c r="I1384" s="3" t="str">
        <f>TRIM([1]Raw_Data!I1382)</f>
        <v>USA</v>
      </c>
      <c r="J1384" s="3" t="str">
        <f>TRIM([1]Raw_Data!J1382)</f>
        <v>iHerb</v>
      </c>
      <c r="K1384" s="3">
        <f t="shared" si="84"/>
        <v>2021</v>
      </c>
      <c r="L1384" s="6">
        <f t="shared" si="85"/>
        <v>44409</v>
      </c>
      <c r="M1384" s="3" t="str">
        <f t="shared" si="86"/>
        <v>21% to 25%</v>
      </c>
      <c r="N1384" s="3" t="str">
        <f t="shared" si="87"/>
        <v>OK</v>
      </c>
    </row>
    <row r="1385" spans="1:14" x14ac:dyDescent="0.3">
      <c r="A1385" s="2">
        <f>DATE(VALUE(RIGHT(TRIM([1]Raw_Data!A1383),4)),VALUE(MID(TRIM([1]Raw_Data!A1383),4,2)),VALUE(LEFT(TRIM([1]Raw_Data!A1383),2)))</f>
        <v>44438</v>
      </c>
      <c r="B1385" s="3" t="str">
        <f>TRIM([1]Raw_Data!B1383)</f>
        <v>BCAA</v>
      </c>
      <c r="C1385" s="3" t="str">
        <f>TRIM([1]Raw_Data!C1383)</f>
        <v>Amino Acid</v>
      </c>
      <c r="D1385" s="3">
        <f>[1]Raw_Data!D1383</f>
        <v>158</v>
      </c>
      <c r="E1385" s="4">
        <f>[1]Raw_Data!E1383</f>
        <v>52.31</v>
      </c>
      <c r="F1385" s="5">
        <f>[1]Raw_Data!F1383</f>
        <v>8264.98</v>
      </c>
      <c r="G1385" s="4">
        <f>[1]Raw_Data!G1383</f>
        <v>0.18</v>
      </c>
      <c r="H1385" s="3">
        <f>[1]Raw_Data!H1383</f>
        <v>1</v>
      </c>
      <c r="I1385" s="3" t="str">
        <f>TRIM([1]Raw_Data!I1383)</f>
        <v>UK</v>
      </c>
      <c r="J1385" s="3" t="str">
        <f>TRIM([1]Raw_Data!J1383)</f>
        <v>Walmart</v>
      </c>
      <c r="K1385" s="3">
        <f t="shared" si="84"/>
        <v>2021</v>
      </c>
      <c r="L1385" s="6">
        <f t="shared" si="85"/>
        <v>44409</v>
      </c>
      <c r="M1385" s="3" t="str">
        <f t="shared" si="86"/>
        <v>16% to 20%</v>
      </c>
      <c r="N1385" s="3" t="str">
        <f t="shared" si="87"/>
        <v>OK</v>
      </c>
    </row>
    <row r="1386" spans="1:14" x14ac:dyDescent="0.3">
      <c r="A1386" s="2">
        <f>DATE(VALUE(RIGHT(TRIM([1]Raw_Data!A1384),4)),VALUE(MID(TRIM([1]Raw_Data!A1384),4,2)),VALUE(LEFT(TRIM([1]Raw_Data!A1384),2)))</f>
        <v>44438</v>
      </c>
      <c r="B1386" s="3" t="str">
        <f>TRIM([1]Raw_Data!B1384)</f>
        <v>Creatine</v>
      </c>
      <c r="C1386" s="3" t="str">
        <f>TRIM([1]Raw_Data!C1384)</f>
        <v>Performance</v>
      </c>
      <c r="D1386" s="3">
        <f>[1]Raw_Data!D1384</f>
        <v>135</v>
      </c>
      <c r="E1386" s="4">
        <f>[1]Raw_Data!E1384</f>
        <v>58.8</v>
      </c>
      <c r="F1386" s="5">
        <f>[1]Raw_Data!F1384</f>
        <v>7938</v>
      </c>
      <c r="G1386" s="4">
        <f>[1]Raw_Data!G1384</f>
        <v>0.06</v>
      </c>
      <c r="H1386" s="3">
        <f>[1]Raw_Data!H1384</f>
        <v>1</v>
      </c>
      <c r="I1386" s="3" t="str">
        <f>TRIM([1]Raw_Data!I1384)</f>
        <v>Canada</v>
      </c>
      <c r="J1386" s="3" t="str">
        <f>TRIM([1]Raw_Data!J1384)</f>
        <v>iHerb</v>
      </c>
      <c r="K1386" s="3">
        <f t="shared" si="84"/>
        <v>2021</v>
      </c>
      <c r="L1386" s="6">
        <f t="shared" si="85"/>
        <v>44409</v>
      </c>
      <c r="M1386" s="3" t="str">
        <f t="shared" si="86"/>
        <v>6% to 10%</v>
      </c>
      <c r="N1386" s="3" t="str">
        <f t="shared" si="87"/>
        <v>OK</v>
      </c>
    </row>
    <row r="1387" spans="1:14" x14ac:dyDescent="0.3">
      <c r="A1387" s="2">
        <f>DATE(VALUE(RIGHT(TRIM([1]Raw_Data!A1385),4)),VALUE(MID(TRIM([1]Raw_Data!A1385),4,2)),VALUE(LEFT(TRIM([1]Raw_Data!A1385),2)))</f>
        <v>44438</v>
      </c>
      <c r="B1387" s="3" t="str">
        <f>TRIM([1]Raw_Data!B1385)</f>
        <v>Zinc</v>
      </c>
      <c r="C1387" s="3" t="str">
        <f>TRIM([1]Raw_Data!C1385)</f>
        <v>Mineral</v>
      </c>
      <c r="D1387" s="3">
        <f>[1]Raw_Data!D1385</f>
        <v>152</v>
      </c>
      <c r="E1387" s="4">
        <f>[1]Raw_Data!E1385</f>
        <v>35.840000000000003</v>
      </c>
      <c r="F1387" s="5">
        <f>[1]Raw_Data!F1385</f>
        <v>5447.68</v>
      </c>
      <c r="G1387" s="4">
        <f>[1]Raw_Data!G1385</f>
        <v>0.2</v>
      </c>
      <c r="H1387" s="3">
        <f>[1]Raw_Data!H1385</f>
        <v>1</v>
      </c>
      <c r="I1387" s="3" t="str">
        <f>TRIM([1]Raw_Data!I1385)</f>
        <v>USA</v>
      </c>
      <c r="J1387" s="3" t="str">
        <f>TRIM([1]Raw_Data!J1385)</f>
        <v>Walmart</v>
      </c>
      <c r="K1387" s="3">
        <f t="shared" si="84"/>
        <v>2021</v>
      </c>
      <c r="L1387" s="6">
        <f t="shared" si="85"/>
        <v>44409</v>
      </c>
      <c r="M1387" s="3" t="str">
        <f t="shared" si="86"/>
        <v>16% to 20%</v>
      </c>
      <c r="N1387" s="3" t="str">
        <f t="shared" si="87"/>
        <v>OK</v>
      </c>
    </row>
    <row r="1388" spans="1:14" x14ac:dyDescent="0.3">
      <c r="A1388" s="2">
        <f>DATE(VALUE(RIGHT(TRIM([1]Raw_Data!A1386),4)),VALUE(MID(TRIM([1]Raw_Data!A1386),4,2)),VALUE(LEFT(TRIM([1]Raw_Data!A1386),2)))</f>
        <v>44438</v>
      </c>
      <c r="B1388" s="3" t="str">
        <f>TRIM([1]Raw_Data!B1386)</f>
        <v>Collagen Peptides</v>
      </c>
      <c r="C1388" s="3" t="str">
        <f>TRIM([1]Raw_Data!C1386)</f>
        <v>Protein</v>
      </c>
      <c r="D1388" s="3">
        <f>[1]Raw_Data!D1386</f>
        <v>119</v>
      </c>
      <c r="E1388" s="4">
        <f>[1]Raw_Data!E1386</f>
        <v>38.78</v>
      </c>
      <c r="F1388" s="5">
        <f>[1]Raw_Data!F1386</f>
        <v>4614.82</v>
      </c>
      <c r="G1388" s="4">
        <f>[1]Raw_Data!G1386</f>
        <v>0.24</v>
      </c>
      <c r="H1388" s="3">
        <f>[1]Raw_Data!H1386</f>
        <v>2</v>
      </c>
      <c r="I1388" s="3" t="str">
        <f>TRIM([1]Raw_Data!I1386)</f>
        <v>Canada</v>
      </c>
      <c r="J1388" s="3" t="str">
        <f>TRIM([1]Raw_Data!J1386)</f>
        <v>Walmart</v>
      </c>
      <c r="K1388" s="3">
        <f t="shared" si="84"/>
        <v>2021</v>
      </c>
      <c r="L1388" s="6">
        <f t="shared" si="85"/>
        <v>44409</v>
      </c>
      <c r="M1388" s="3" t="str">
        <f t="shared" si="86"/>
        <v>21% to 25%</v>
      </c>
      <c r="N1388" s="3" t="str">
        <f t="shared" si="87"/>
        <v>OK</v>
      </c>
    </row>
    <row r="1389" spans="1:14" x14ac:dyDescent="0.3">
      <c r="A1389" s="2">
        <f>DATE(VALUE(RIGHT(TRIM([1]Raw_Data!A1387),4)),VALUE(MID(TRIM([1]Raw_Data!A1387),4,2)),VALUE(LEFT(TRIM([1]Raw_Data!A1387),2)))</f>
        <v>44438</v>
      </c>
      <c r="B1389" s="3" t="str">
        <f>TRIM([1]Raw_Data!B1387)</f>
        <v>Magnesium</v>
      </c>
      <c r="C1389" s="3" t="str">
        <f>TRIM([1]Raw_Data!C1387)</f>
        <v>Mineral</v>
      </c>
      <c r="D1389" s="3">
        <f>[1]Raw_Data!D1387</f>
        <v>140</v>
      </c>
      <c r="E1389" s="4">
        <f>[1]Raw_Data!E1387</f>
        <v>20.059999999999999</v>
      </c>
      <c r="F1389" s="5">
        <f>[1]Raw_Data!F1387</f>
        <v>2808.4</v>
      </c>
      <c r="G1389" s="4">
        <f>[1]Raw_Data!G1387</f>
        <v>0.23</v>
      </c>
      <c r="H1389" s="3">
        <f>[1]Raw_Data!H1387</f>
        <v>3</v>
      </c>
      <c r="I1389" s="3" t="str">
        <f>TRIM([1]Raw_Data!I1387)</f>
        <v>UK</v>
      </c>
      <c r="J1389" s="3" t="str">
        <f>TRIM([1]Raw_Data!J1387)</f>
        <v>Walmart</v>
      </c>
      <c r="K1389" s="3">
        <f t="shared" si="84"/>
        <v>2021</v>
      </c>
      <c r="L1389" s="6">
        <f t="shared" si="85"/>
        <v>44409</v>
      </c>
      <c r="M1389" s="3" t="str">
        <f t="shared" si="86"/>
        <v>21% to 25%</v>
      </c>
      <c r="N1389" s="3" t="str">
        <f t="shared" si="87"/>
        <v>OK</v>
      </c>
    </row>
    <row r="1390" spans="1:14" x14ac:dyDescent="0.3">
      <c r="A1390" s="2">
        <f>DATE(VALUE(RIGHT(TRIM([1]Raw_Data!A1388),4)),VALUE(MID(TRIM([1]Raw_Data!A1388),4,2)),VALUE(LEFT(TRIM([1]Raw_Data!A1388),2)))</f>
        <v>44438</v>
      </c>
      <c r="B1390" s="3" t="str">
        <f>TRIM([1]Raw_Data!B1388)</f>
        <v>Ashwagandha</v>
      </c>
      <c r="C1390" s="3" t="str">
        <f>TRIM([1]Raw_Data!C1388)</f>
        <v>Herbal</v>
      </c>
      <c r="D1390" s="3">
        <f>[1]Raw_Data!D1388</f>
        <v>160</v>
      </c>
      <c r="E1390" s="4">
        <f>[1]Raw_Data!E1388</f>
        <v>35.22</v>
      </c>
      <c r="F1390" s="5">
        <f>[1]Raw_Data!F1388</f>
        <v>5635.2</v>
      </c>
      <c r="G1390" s="4">
        <f>[1]Raw_Data!G1388</f>
        <v>0.12</v>
      </c>
      <c r="H1390" s="3">
        <f>[1]Raw_Data!H1388</f>
        <v>1</v>
      </c>
      <c r="I1390" s="3" t="str">
        <f>TRIM([1]Raw_Data!I1388)</f>
        <v>Canada</v>
      </c>
      <c r="J1390" s="3" t="str">
        <f>TRIM([1]Raw_Data!J1388)</f>
        <v>iHerb</v>
      </c>
      <c r="K1390" s="3">
        <f t="shared" si="84"/>
        <v>2021</v>
      </c>
      <c r="L1390" s="6">
        <f t="shared" si="85"/>
        <v>44409</v>
      </c>
      <c r="M1390" s="3" t="str">
        <f t="shared" si="86"/>
        <v>11% to 15%</v>
      </c>
      <c r="N1390" s="3" t="str">
        <f t="shared" si="87"/>
        <v>OK</v>
      </c>
    </row>
    <row r="1391" spans="1:14" x14ac:dyDescent="0.3">
      <c r="A1391" s="2">
        <f>DATE(VALUE(RIGHT(TRIM([1]Raw_Data!A1389),4)),VALUE(MID(TRIM([1]Raw_Data!A1389),4,2)),VALUE(LEFT(TRIM([1]Raw_Data!A1389),2)))</f>
        <v>44438</v>
      </c>
      <c r="B1391" s="3" t="str">
        <f>TRIM([1]Raw_Data!B1389)</f>
        <v>Melatonin</v>
      </c>
      <c r="C1391" s="3" t="str">
        <f>TRIM([1]Raw_Data!C1389)</f>
        <v>Sleep Aid</v>
      </c>
      <c r="D1391" s="3">
        <f>[1]Raw_Data!D1389</f>
        <v>150</v>
      </c>
      <c r="E1391" s="4">
        <f>[1]Raw_Data!E1389</f>
        <v>16.59</v>
      </c>
      <c r="F1391" s="5">
        <f>[1]Raw_Data!F1389</f>
        <v>2488.5</v>
      </c>
      <c r="G1391" s="4">
        <f>[1]Raw_Data!G1389</f>
        <v>0.22</v>
      </c>
      <c r="H1391" s="3">
        <f>[1]Raw_Data!H1389</f>
        <v>2</v>
      </c>
      <c r="I1391" s="3" t="str">
        <f>TRIM([1]Raw_Data!I1389)</f>
        <v>UK</v>
      </c>
      <c r="J1391" s="3" t="str">
        <f>TRIM([1]Raw_Data!J1389)</f>
        <v>iHerb</v>
      </c>
      <c r="K1391" s="3">
        <f t="shared" si="84"/>
        <v>2021</v>
      </c>
      <c r="L1391" s="6">
        <f t="shared" si="85"/>
        <v>44409</v>
      </c>
      <c r="M1391" s="3" t="str">
        <f t="shared" si="86"/>
        <v>21% to 25%</v>
      </c>
      <c r="N1391" s="3" t="str">
        <f t="shared" si="87"/>
        <v>OK</v>
      </c>
    </row>
    <row r="1392" spans="1:14" x14ac:dyDescent="0.3">
      <c r="A1392" s="2">
        <f>DATE(VALUE(RIGHT(TRIM([1]Raw_Data!A1390),4)),VALUE(MID(TRIM([1]Raw_Data!A1390),4,2)),VALUE(LEFT(TRIM([1]Raw_Data!A1390),2)))</f>
        <v>44438</v>
      </c>
      <c r="B1392" s="3" t="str">
        <f>TRIM([1]Raw_Data!B1390)</f>
        <v>Biotin</v>
      </c>
      <c r="C1392" s="3" t="str">
        <f>TRIM([1]Raw_Data!C1390)</f>
        <v>Vitamin</v>
      </c>
      <c r="D1392" s="3">
        <f>[1]Raw_Data!D1390</f>
        <v>147</v>
      </c>
      <c r="E1392" s="4">
        <f>[1]Raw_Data!E1390</f>
        <v>28.5</v>
      </c>
      <c r="F1392" s="5">
        <f>[1]Raw_Data!F1390</f>
        <v>4189.5</v>
      </c>
      <c r="G1392" s="4">
        <f>[1]Raw_Data!G1390</f>
        <v>0.19</v>
      </c>
      <c r="H1392" s="3">
        <f>[1]Raw_Data!H1390</f>
        <v>2</v>
      </c>
      <c r="I1392" s="3" t="str">
        <f>TRIM([1]Raw_Data!I1390)</f>
        <v>UK</v>
      </c>
      <c r="J1392" s="3" t="str">
        <f>TRIM([1]Raw_Data!J1390)</f>
        <v>Walmart</v>
      </c>
      <c r="K1392" s="3">
        <f t="shared" si="84"/>
        <v>2021</v>
      </c>
      <c r="L1392" s="6">
        <f t="shared" si="85"/>
        <v>44409</v>
      </c>
      <c r="M1392" s="3" t="str">
        <f t="shared" si="86"/>
        <v>16% to 20%</v>
      </c>
      <c r="N1392" s="3" t="str">
        <f t="shared" si="87"/>
        <v>OK</v>
      </c>
    </row>
    <row r="1393" spans="1:14" x14ac:dyDescent="0.3">
      <c r="A1393" s="2">
        <f>DATE(VALUE(RIGHT(TRIM([1]Raw_Data!A1391),4)),VALUE(MID(TRIM([1]Raw_Data!A1391),4,2)),VALUE(LEFT(TRIM([1]Raw_Data!A1391),2)))</f>
        <v>44438</v>
      </c>
      <c r="B1393" s="3" t="str">
        <f>TRIM([1]Raw_Data!B1391)</f>
        <v>Green Tea Extract</v>
      </c>
      <c r="C1393" s="3" t="str">
        <f>TRIM([1]Raw_Data!C1391)</f>
        <v>Fat Burner</v>
      </c>
      <c r="D1393" s="3">
        <f>[1]Raw_Data!D1391</f>
        <v>160</v>
      </c>
      <c r="E1393" s="4">
        <f>[1]Raw_Data!E1391</f>
        <v>20.23</v>
      </c>
      <c r="F1393" s="5">
        <f>[1]Raw_Data!F1391</f>
        <v>3236.8</v>
      </c>
      <c r="G1393" s="4">
        <f>[1]Raw_Data!G1391</f>
        <v>0.08</v>
      </c>
      <c r="H1393" s="3">
        <f>[1]Raw_Data!H1391</f>
        <v>1</v>
      </c>
      <c r="I1393" s="3" t="str">
        <f>TRIM([1]Raw_Data!I1391)</f>
        <v>UK</v>
      </c>
      <c r="J1393" s="3" t="str">
        <f>TRIM([1]Raw_Data!J1391)</f>
        <v>iHerb</v>
      </c>
      <c r="K1393" s="3">
        <f t="shared" si="84"/>
        <v>2021</v>
      </c>
      <c r="L1393" s="6">
        <f t="shared" si="85"/>
        <v>44409</v>
      </c>
      <c r="M1393" s="3" t="str">
        <f t="shared" si="86"/>
        <v>6% to 10%</v>
      </c>
      <c r="N1393" s="3" t="str">
        <f t="shared" si="87"/>
        <v>OK</v>
      </c>
    </row>
    <row r="1394" spans="1:14" x14ac:dyDescent="0.3">
      <c r="A1394" s="2">
        <f>DATE(VALUE(RIGHT(TRIM([1]Raw_Data!A1392),4)),VALUE(MID(TRIM([1]Raw_Data!A1392),4,2)),VALUE(LEFT(TRIM([1]Raw_Data!A1392),2)))</f>
        <v>44438</v>
      </c>
      <c r="B1394" s="3" t="str">
        <f>TRIM([1]Raw_Data!B1392)</f>
        <v>Iron Supplement</v>
      </c>
      <c r="C1394" s="3" t="str">
        <f>TRIM([1]Raw_Data!C1392)</f>
        <v>Mineral</v>
      </c>
      <c r="D1394" s="3">
        <f>[1]Raw_Data!D1392</f>
        <v>144</v>
      </c>
      <c r="E1394" s="4">
        <f>[1]Raw_Data!E1392</f>
        <v>26.47</v>
      </c>
      <c r="F1394" s="5">
        <f>[1]Raw_Data!F1392</f>
        <v>3811.68</v>
      </c>
      <c r="G1394" s="4">
        <f>[1]Raw_Data!G1392</f>
        <v>0.03</v>
      </c>
      <c r="H1394" s="3">
        <f>[1]Raw_Data!H1392</f>
        <v>1</v>
      </c>
      <c r="I1394" s="3" t="str">
        <f>TRIM([1]Raw_Data!I1392)</f>
        <v>Canada</v>
      </c>
      <c r="J1394" s="3" t="str">
        <f>TRIM([1]Raw_Data!J1392)</f>
        <v>iHerb</v>
      </c>
      <c r="K1394" s="3">
        <f t="shared" si="84"/>
        <v>2021</v>
      </c>
      <c r="L1394" s="6">
        <f t="shared" si="85"/>
        <v>44409</v>
      </c>
      <c r="M1394" s="3" t="str">
        <f t="shared" si="86"/>
        <v>0% to 5%</v>
      </c>
      <c r="N1394" s="3" t="str">
        <f t="shared" si="87"/>
        <v>OK</v>
      </c>
    </row>
    <row r="1395" spans="1:14" x14ac:dyDescent="0.3">
      <c r="A1395" s="2">
        <f>DATE(VALUE(RIGHT(TRIM([1]Raw_Data!A1393),4)),VALUE(MID(TRIM([1]Raw_Data!A1393),4,2)),VALUE(LEFT(TRIM([1]Raw_Data!A1393),2)))</f>
        <v>44438</v>
      </c>
      <c r="B1395" s="3" t="str">
        <f>TRIM([1]Raw_Data!B1393)</f>
        <v>Electrolyte Powder</v>
      </c>
      <c r="C1395" s="3" t="str">
        <f>TRIM([1]Raw_Data!C1393)</f>
        <v>Hydration</v>
      </c>
      <c r="D1395" s="3">
        <f>[1]Raw_Data!D1393</f>
        <v>154</v>
      </c>
      <c r="E1395" s="4">
        <f>[1]Raw_Data!E1393</f>
        <v>13.55</v>
      </c>
      <c r="F1395" s="5">
        <f>[1]Raw_Data!F1393</f>
        <v>2086.6999999999998</v>
      </c>
      <c r="G1395" s="4">
        <f>[1]Raw_Data!G1393</f>
        <v>0.12</v>
      </c>
      <c r="H1395" s="3">
        <f>[1]Raw_Data!H1393</f>
        <v>2</v>
      </c>
      <c r="I1395" s="3" t="str">
        <f>TRIM([1]Raw_Data!I1393)</f>
        <v>USA</v>
      </c>
      <c r="J1395" s="3" t="str">
        <f>TRIM([1]Raw_Data!J1393)</f>
        <v>Walmart</v>
      </c>
      <c r="K1395" s="3">
        <f t="shared" si="84"/>
        <v>2021</v>
      </c>
      <c r="L1395" s="6">
        <f t="shared" si="85"/>
        <v>44409</v>
      </c>
      <c r="M1395" s="3" t="str">
        <f t="shared" si="86"/>
        <v>11% to 15%</v>
      </c>
      <c r="N1395" s="3" t="str">
        <f t="shared" si="87"/>
        <v>OK</v>
      </c>
    </row>
    <row r="1396" spans="1:14" x14ac:dyDescent="0.3">
      <c r="A1396" s="2">
        <f>DATE(VALUE(RIGHT(TRIM([1]Raw_Data!A1394),4)),VALUE(MID(TRIM([1]Raw_Data!A1394),4,2)),VALUE(LEFT(TRIM([1]Raw_Data!A1394),2)))</f>
        <v>44445</v>
      </c>
      <c r="B1396" s="3" t="str">
        <f>TRIM([1]Raw_Data!B1394)</f>
        <v>Whey Protein</v>
      </c>
      <c r="C1396" s="3" t="str">
        <f>TRIM([1]Raw_Data!C1394)</f>
        <v>Protein</v>
      </c>
      <c r="D1396" s="3">
        <f>[1]Raw_Data!D1394</f>
        <v>150</v>
      </c>
      <c r="E1396" s="4">
        <f>[1]Raw_Data!E1394</f>
        <v>24.45</v>
      </c>
      <c r="F1396" s="5">
        <f>[1]Raw_Data!F1394</f>
        <v>3667.5</v>
      </c>
      <c r="G1396" s="4">
        <f>[1]Raw_Data!G1394</f>
        <v>0.02</v>
      </c>
      <c r="H1396" s="3">
        <f>[1]Raw_Data!H1394</f>
        <v>4</v>
      </c>
      <c r="I1396" s="3" t="str">
        <f>TRIM([1]Raw_Data!I1394)</f>
        <v>Canada</v>
      </c>
      <c r="J1396" s="3" t="str">
        <f>TRIM([1]Raw_Data!J1394)</f>
        <v>iHerb</v>
      </c>
      <c r="K1396" s="3">
        <f t="shared" si="84"/>
        <v>2021</v>
      </c>
      <c r="L1396" s="6">
        <f t="shared" si="85"/>
        <v>44440</v>
      </c>
      <c r="M1396" s="3" t="str">
        <f t="shared" si="86"/>
        <v>0% to 5%</v>
      </c>
      <c r="N1396" s="3" t="str">
        <f t="shared" si="87"/>
        <v>OK</v>
      </c>
    </row>
    <row r="1397" spans="1:14" x14ac:dyDescent="0.3">
      <c r="A1397" s="2">
        <f>DATE(VALUE(RIGHT(TRIM([1]Raw_Data!A1395),4)),VALUE(MID(TRIM([1]Raw_Data!A1395),4,2)),VALUE(LEFT(TRIM([1]Raw_Data!A1395),2)))</f>
        <v>44445</v>
      </c>
      <c r="B1397" s="3" t="str">
        <f>TRIM([1]Raw_Data!B1395)</f>
        <v>Vitamin C</v>
      </c>
      <c r="C1397" s="3" t="str">
        <f>TRIM([1]Raw_Data!C1395)</f>
        <v>Vitamin</v>
      </c>
      <c r="D1397" s="3">
        <f>[1]Raw_Data!D1395</f>
        <v>146</v>
      </c>
      <c r="E1397" s="4">
        <f>[1]Raw_Data!E1395</f>
        <v>49.6</v>
      </c>
      <c r="F1397" s="5">
        <f>[1]Raw_Data!F1395</f>
        <v>7241.6</v>
      </c>
      <c r="G1397" s="4">
        <f>[1]Raw_Data!G1395</f>
        <v>0.08</v>
      </c>
      <c r="H1397" s="3">
        <f>[1]Raw_Data!H1395</f>
        <v>2</v>
      </c>
      <c r="I1397" s="3" t="str">
        <f>TRIM([1]Raw_Data!I1395)</f>
        <v>USA</v>
      </c>
      <c r="J1397" s="3" t="str">
        <f>TRIM([1]Raw_Data!J1395)</f>
        <v>iHerb</v>
      </c>
      <c r="K1397" s="3">
        <f t="shared" si="84"/>
        <v>2021</v>
      </c>
      <c r="L1397" s="6">
        <f t="shared" si="85"/>
        <v>44440</v>
      </c>
      <c r="M1397" s="3" t="str">
        <f t="shared" si="86"/>
        <v>6% to 10%</v>
      </c>
      <c r="N1397" s="3" t="str">
        <f t="shared" si="87"/>
        <v>OK</v>
      </c>
    </row>
    <row r="1398" spans="1:14" x14ac:dyDescent="0.3">
      <c r="A1398" s="2">
        <f>DATE(VALUE(RIGHT(TRIM([1]Raw_Data!A1396),4)),VALUE(MID(TRIM([1]Raw_Data!A1396),4,2)),VALUE(LEFT(TRIM([1]Raw_Data!A1396),2)))</f>
        <v>44445</v>
      </c>
      <c r="B1398" s="3" t="str">
        <f>TRIM([1]Raw_Data!B1396)</f>
        <v>Fish Oil</v>
      </c>
      <c r="C1398" s="3" t="str">
        <f>TRIM([1]Raw_Data!C1396)</f>
        <v>Omega</v>
      </c>
      <c r="D1398" s="3">
        <f>[1]Raw_Data!D1396</f>
        <v>134</v>
      </c>
      <c r="E1398" s="4">
        <f>[1]Raw_Data!E1396</f>
        <v>17.239999999999998</v>
      </c>
      <c r="F1398" s="5">
        <f>[1]Raw_Data!F1396</f>
        <v>2310.16</v>
      </c>
      <c r="G1398" s="4">
        <f>[1]Raw_Data!G1396</f>
        <v>0.2</v>
      </c>
      <c r="H1398" s="3">
        <f>[1]Raw_Data!H1396</f>
        <v>0</v>
      </c>
      <c r="I1398" s="3" t="str">
        <f>TRIM([1]Raw_Data!I1396)</f>
        <v>Canada</v>
      </c>
      <c r="J1398" s="3" t="str">
        <f>TRIM([1]Raw_Data!J1396)</f>
        <v>iHerb</v>
      </c>
      <c r="K1398" s="3">
        <f t="shared" si="84"/>
        <v>2021</v>
      </c>
      <c r="L1398" s="6">
        <f t="shared" si="85"/>
        <v>44440</v>
      </c>
      <c r="M1398" s="3" t="str">
        <f t="shared" si="86"/>
        <v>16% to 20%</v>
      </c>
      <c r="N1398" s="3" t="str">
        <f t="shared" si="87"/>
        <v>OK</v>
      </c>
    </row>
    <row r="1399" spans="1:14" x14ac:dyDescent="0.3">
      <c r="A1399" s="2">
        <f>DATE(VALUE(RIGHT(TRIM([1]Raw_Data!A1397),4)),VALUE(MID(TRIM([1]Raw_Data!A1397),4,2)),VALUE(LEFT(TRIM([1]Raw_Data!A1397),2)))</f>
        <v>44445</v>
      </c>
      <c r="B1399" s="3" t="str">
        <f>TRIM([1]Raw_Data!B1397)</f>
        <v>Multivitamin</v>
      </c>
      <c r="C1399" s="3" t="str">
        <f>TRIM([1]Raw_Data!C1397)</f>
        <v>Vitamin</v>
      </c>
      <c r="D1399" s="3">
        <f>[1]Raw_Data!D1397</f>
        <v>151</v>
      </c>
      <c r="E1399" s="4">
        <f>[1]Raw_Data!E1397</f>
        <v>33.049999999999997</v>
      </c>
      <c r="F1399" s="5">
        <f>[1]Raw_Data!F1397</f>
        <v>4990.55</v>
      </c>
      <c r="G1399" s="4">
        <f>[1]Raw_Data!G1397</f>
        <v>0.08</v>
      </c>
      <c r="H1399" s="3">
        <f>[1]Raw_Data!H1397</f>
        <v>1</v>
      </c>
      <c r="I1399" s="3" t="str">
        <f>TRIM([1]Raw_Data!I1397)</f>
        <v>USA</v>
      </c>
      <c r="J1399" s="3" t="str">
        <f>TRIM([1]Raw_Data!J1397)</f>
        <v>Amazon</v>
      </c>
      <c r="K1399" s="3">
        <f t="shared" si="84"/>
        <v>2021</v>
      </c>
      <c r="L1399" s="6">
        <f t="shared" si="85"/>
        <v>44440</v>
      </c>
      <c r="M1399" s="3" t="str">
        <f t="shared" si="86"/>
        <v>6% to 10%</v>
      </c>
      <c r="N1399" s="3" t="str">
        <f t="shared" si="87"/>
        <v>OK</v>
      </c>
    </row>
    <row r="1400" spans="1:14" x14ac:dyDescent="0.3">
      <c r="A1400" s="2">
        <f>DATE(VALUE(RIGHT(TRIM([1]Raw_Data!A1398),4)),VALUE(MID(TRIM([1]Raw_Data!A1398),4,2)),VALUE(LEFT(TRIM([1]Raw_Data!A1398),2)))</f>
        <v>44445</v>
      </c>
      <c r="B1400" s="3" t="str">
        <f>TRIM([1]Raw_Data!B1398)</f>
        <v>Pre-Workout</v>
      </c>
      <c r="C1400" s="3" t="str">
        <f>TRIM([1]Raw_Data!C1398)</f>
        <v>Performance</v>
      </c>
      <c r="D1400" s="3">
        <f>[1]Raw_Data!D1398</f>
        <v>174</v>
      </c>
      <c r="E1400" s="4">
        <f>[1]Raw_Data!E1398</f>
        <v>54.46</v>
      </c>
      <c r="F1400" s="5">
        <f>[1]Raw_Data!F1398</f>
        <v>9476.0400000000009</v>
      </c>
      <c r="G1400" s="4">
        <f>[1]Raw_Data!G1398</f>
        <v>0.12</v>
      </c>
      <c r="H1400" s="3">
        <f>[1]Raw_Data!H1398</f>
        <v>2</v>
      </c>
      <c r="I1400" s="3" t="str">
        <f>TRIM([1]Raw_Data!I1398)</f>
        <v>Canada</v>
      </c>
      <c r="J1400" s="3" t="str">
        <f>TRIM([1]Raw_Data!J1398)</f>
        <v>Amazon</v>
      </c>
      <c r="K1400" s="3">
        <f t="shared" si="84"/>
        <v>2021</v>
      </c>
      <c r="L1400" s="6">
        <f t="shared" si="85"/>
        <v>44440</v>
      </c>
      <c r="M1400" s="3" t="str">
        <f t="shared" si="86"/>
        <v>11% to 15%</v>
      </c>
      <c r="N1400" s="3" t="str">
        <f t="shared" si="87"/>
        <v>OK</v>
      </c>
    </row>
    <row r="1401" spans="1:14" x14ac:dyDescent="0.3">
      <c r="A1401" s="2">
        <f>DATE(VALUE(RIGHT(TRIM([1]Raw_Data!A1399),4)),VALUE(MID(TRIM([1]Raw_Data!A1399),4,2)),VALUE(LEFT(TRIM([1]Raw_Data!A1399),2)))</f>
        <v>44445</v>
      </c>
      <c r="B1401" s="3" t="str">
        <f>TRIM([1]Raw_Data!B1399)</f>
        <v>BCAA</v>
      </c>
      <c r="C1401" s="3" t="str">
        <f>TRIM([1]Raw_Data!C1399)</f>
        <v>Amino Acid</v>
      </c>
      <c r="D1401" s="3">
        <f>[1]Raw_Data!D1399</f>
        <v>168</v>
      </c>
      <c r="E1401" s="4">
        <f>[1]Raw_Data!E1399</f>
        <v>58.09</v>
      </c>
      <c r="F1401" s="5">
        <f>[1]Raw_Data!F1399</f>
        <v>9759.1200000000008</v>
      </c>
      <c r="G1401" s="4">
        <f>[1]Raw_Data!G1399</f>
        <v>0.1</v>
      </c>
      <c r="H1401" s="3">
        <f>[1]Raw_Data!H1399</f>
        <v>2</v>
      </c>
      <c r="I1401" s="3" t="str">
        <f>TRIM([1]Raw_Data!I1399)</f>
        <v>USA</v>
      </c>
      <c r="J1401" s="3" t="str">
        <f>TRIM([1]Raw_Data!J1399)</f>
        <v>Amazon</v>
      </c>
      <c r="K1401" s="3">
        <f t="shared" si="84"/>
        <v>2021</v>
      </c>
      <c r="L1401" s="6">
        <f t="shared" si="85"/>
        <v>44440</v>
      </c>
      <c r="M1401" s="3" t="str">
        <f t="shared" si="86"/>
        <v>6% to 10%</v>
      </c>
      <c r="N1401" s="3" t="str">
        <f t="shared" si="87"/>
        <v>OK</v>
      </c>
    </row>
    <row r="1402" spans="1:14" x14ac:dyDescent="0.3">
      <c r="A1402" s="2">
        <f>DATE(VALUE(RIGHT(TRIM([1]Raw_Data!A1400),4)),VALUE(MID(TRIM([1]Raw_Data!A1400),4,2)),VALUE(LEFT(TRIM([1]Raw_Data!A1400),2)))</f>
        <v>44445</v>
      </c>
      <c r="B1402" s="3" t="str">
        <f>TRIM([1]Raw_Data!B1400)</f>
        <v>Creatine</v>
      </c>
      <c r="C1402" s="3" t="str">
        <f>TRIM([1]Raw_Data!C1400)</f>
        <v>Performance</v>
      </c>
      <c r="D1402" s="3">
        <f>[1]Raw_Data!D1400</f>
        <v>140</v>
      </c>
      <c r="E1402" s="4">
        <f>[1]Raw_Data!E1400</f>
        <v>36.04</v>
      </c>
      <c r="F1402" s="5">
        <f>[1]Raw_Data!F1400</f>
        <v>5045.6000000000004</v>
      </c>
      <c r="G1402" s="4">
        <f>[1]Raw_Data!G1400</f>
        <v>7.0000000000000007E-2</v>
      </c>
      <c r="H1402" s="3">
        <f>[1]Raw_Data!H1400</f>
        <v>2</v>
      </c>
      <c r="I1402" s="3" t="str">
        <f>TRIM([1]Raw_Data!I1400)</f>
        <v>UK</v>
      </c>
      <c r="J1402" s="3" t="str">
        <f>TRIM([1]Raw_Data!J1400)</f>
        <v>Amazon</v>
      </c>
      <c r="K1402" s="3">
        <f t="shared" si="84"/>
        <v>2021</v>
      </c>
      <c r="L1402" s="6">
        <f t="shared" si="85"/>
        <v>44440</v>
      </c>
      <c r="M1402" s="3" t="str">
        <f t="shared" si="86"/>
        <v>6% to 10%</v>
      </c>
      <c r="N1402" s="3" t="str">
        <f t="shared" si="87"/>
        <v>OK</v>
      </c>
    </row>
    <row r="1403" spans="1:14" x14ac:dyDescent="0.3">
      <c r="A1403" s="2">
        <f>DATE(VALUE(RIGHT(TRIM([1]Raw_Data!A1401),4)),VALUE(MID(TRIM([1]Raw_Data!A1401),4,2)),VALUE(LEFT(TRIM([1]Raw_Data!A1401),2)))</f>
        <v>44445</v>
      </c>
      <c r="B1403" s="3" t="str">
        <f>TRIM([1]Raw_Data!B1401)</f>
        <v>Zinc</v>
      </c>
      <c r="C1403" s="3" t="str">
        <f>TRIM([1]Raw_Data!C1401)</f>
        <v>Mineral</v>
      </c>
      <c r="D1403" s="3">
        <f>[1]Raw_Data!D1401</f>
        <v>152</v>
      </c>
      <c r="E1403" s="4">
        <f>[1]Raw_Data!E1401</f>
        <v>26.15</v>
      </c>
      <c r="F1403" s="5">
        <f>[1]Raw_Data!F1401</f>
        <v>3974.8</v>
      </c>
      <c r="G1403" s="4">
        <f>[1]Raw_Data!G1401</f>
        <v>0.12</v>
      </c>
      <c r="H1403" s="3">
        <f>[1]Raw_Data!H1401</f>
        <v>2</v>
      </c>
      <c r="I1403" s="3" t="str">
        <f>TRIM([1]Raw_Data!I1401)</f>
        <v>Canada</v>
      </c>
      <c r="J1403" s="3" t="str">
        <f>TRIM([1]Raw_Data!J1401)</f>
        <v>iHerb</v>
      </c>
      <c r="K1403" s="3">
        <f t="shared" si="84"/>
        <v>2021</v>
      </c>
      <c r="L1403" s="6">
        <f t="shared" si="85"/>
        <v>44440</v>
      </c>
      <c r="M1403" s="3" t="str">
        <f t="shared" si="86"/>
        <v>11% to 15%</v>
      </c>
      <c r="N1403" s="3" t="str">
        <f t="shared" si="87"/>
        <v>OK</v>
      </c>
    </row>
    <row r="1404" spans="1:14" x14ac:dyDescent="0.3">
      <c r="A1404" s="2">
        <f>DATE(VALUE(RIGHT(TRIM([1]Raw_Data!A1402),4)),VALUE(MID(TRIM([1]Raw_Data!A1402),4,2)),VALUE(LEFT(TRIM([1]Raw_Data!A1402),2)))</f>
        <v>44445</v>
      </c>
      <c r="B1404" s="3" t="str">
        <f>TRIM([1]Raw_Data!B1402)</f>
        <v>Collagen Peptides</v>
      </c>
      <c r="C1404" s="3" t="str">
        <f>TRIM([1]Raw_Data!C1402)</f>
        <v>Protein</v>
      </c>
      <c r="D1404" s="3">
        <f>[1]Raw_Data!D1402</f>
        <v>147</v>
      </c>
      <c r="E1404" s="4">
        <f>[1]Raw_Data!E1402</f>
        <v>58.08</v>
      </c>
      <c r="F1404" s="5">
        <f>[1]Raw_Data!F1402</f>
        <v>8537.76</v>
      </c>
      <c r="G1404" s="4">
        <f>[1]Raw_Data!G1402</f>
        <v>0.13</v>
      </c>
      <c r="H1404" s="3">
        <f>[1]Raw_Data!H1402</f>
        <v>2</v>
      </c>
      <c r="I1404" s="3" t="str">
        <f>TRIM([1]Raw_Data!I1402)</f>
        <v>Canada</v>
      </c>
      <c r="J1404" s="3" t="str">
        <f>TRIM([1]Raw_Data!J1402)</f>
        <v>Amazon</v>
      </c>
      <c r="K1404" s="3">
        <f t="shared" si="84"/>
        <v>2021</v>
      </c>
      <c r="L1404" s="6">
        <f t="shared" si="85"/>
        <v>44440</v>
      </c>
      <c r="M1404" s="3" t="str">
        <f t="shared" si="86"/>
        <v>11% to 15%</v>
      </c>
      <c r="N1404" s="3" t="str">
        <f t="shared" si="87"/>
        <v>OK</v>
      </c>
    </row>
    <row r="1405" spans="1:14" x14ac:dyDescent="0.3">
      <c r="A1405" s="2">
        <f>DATE(VALUE(RIGHT(TRIM([1]Raw_Data!A1403),4)),VALUE(MID(TRIM([1]Raw_Data!A1403),4,2)),VALUE(LEFT(TRIM([1]Raw_Data!A1403),2)))</f>
        <v>44445</v>
      </c>
      <c r="B1405" s="3" t="str">
        <f>TRIM([1]Raw_Data!B1403)</f>
        <v>Magnesium</v>
      </c>
      <c r="C1405" s="3" t="str">
        <f>TRIM([1]Raw_Data!C1403)</f>
        <v>Mineral</v>
      </c>
      <c r="D1405" s="3">
        <f>[1]Raw_Data!D1403</f>
        <v>147</v>
      </c>
      <c r="E1405" s="4">
        <f>[1]Raw_Data!E1403</f>
        <v>30.36</v>
      </c>
      <c r="F1405" s="5">
        <f>[1]Raw_Data!F1403</f>
        <v>4462.92</v>
      </c>
      <c r="G1405" s="4">
        <f>[1]Raw_Data!G1403</f>
        <v>0.1</v>
      </c>
      <c r="H1405" s="3">
        <f>[1]Raw_Data!H1403</f>
        <v>1</v>
      </c>
      <c r="I1405" s="3" t="str">
        <f>TRIM([1]Raw_Data!I1403)</f>
        <v>Canada</v>
      </c>
      <c r="J1405" s="3" t="str">
        <f>TRIM([1]Raw_Data!J1403)</f>
        <v>Walmart</v>
      </c>
      <c r="K1405" s="3">
        <f t="shared" si="84"/>
        <v>2021</v>
      </c>
      <c r="L1405" s="6">
        <f t="shared" si="85"/>
        <v>44440</v>
      </c>
      <c r="M1405" s="3" t="str">
        <f t="shared" si="86"/>
        <v>6% to 10%</v>
      </c>
      <c r="N1405" s="3" t="str">
        <f t="shared" si="87"/>
        <v>OK</v>
      </c>
    </row>
    <row r="1406" spans="1:14" x14ac:dyDescent="0.3">
      <c r="A1406" s="2">
        <f>DATE(VALUE(RIGHT(TRIM([1]Raw_Data!A1404),4)),VALUE(MID(TRIM([1]Raw_Data!A1404),4,2)),VALUE(LEFT(TRIM([1]Raw_Data!A1404),2)))</f>
        <v>44445</v>
      </c>
      <c r="B1406" s="3" t="str">
        <f>TRIM([1]Raw_Data!B1404)</f>
        <v>Ashwagandha</v>
      </c>
      <c r="C1406" s="3" t="str">
        <f>TRIM([1]Raw_Data!C1404)</f>
        <v>Herbal</v>
      </c>
      <c r="D1406" s="3">
        <f>[1]Raw_Data!D1404</f>
        <v>151</v>
      </c>
      <c r="E1406" s="4">
        <f>[1]Raw_Data!E1404</f>
        <v>16.739999999999998</v>
      </c>
      <c r="F1406" s="5">
        <f>[1]Raw_Data!F1404</f>
        <v>2527.7399999999998</v>
      </c>
      <c r="G1406" s="4">
        <f>[1]Raw_Data!G1404</f>
        <v>0.12</v>
      </c>
      <c r="H1406" s="3">
        <f>[1]Raw_Data!H1404</f>
        <v>0</v>
      </c>
      <c r="I1406" s="3" t="str">
        <f>TRIM([1]Raw_Data!I1404)</f>
        <v>USA</v>
      </c>
      <c r="J1406" s="3" t="str">
        <f>TRIM([1]Raw_Data!J1404)</f>
        <v>Amazon</v>
      </c>
      <c r="K1406" s="3">
        <f t="shared" si="84"/>
        <v>2021</v>
      </c>
      <c r="L1406" s="6">
        <f t="shared" si="85"/>
        <v>44440</v>
      </c>
      <c r="M1406" s="3" t="str">
        <f t="shared" si="86"/>
        <v>11% to 15%</v>
      </c>
      <c r="N1406" s="3" t="str">
        <f t="shared" si="87"/>
        <v>OK</v>
      </c>
    </row>
    <row r="1407" spans="1:14" x14ac:dyDescent="0.3">
      <c r="A1407" s="2">
        <f>DATE(VALUE(RIGHT(TRIM([1]Raw_Data!A1405),4)),VALUE(MID(TRIM([1]Raw_Data!A1405),4,2)),VALUE(LEFT(TRIM([1]Raw_Data!A1405),2)))</f>
        <v>44445</v>
      </c>
      <c r="B1407" s="3" t="str">
        <f>TRIM([1]Raw_Data!B1405)</f>
        <v>Melatonin</v>
      </c>
      <c r="C1407" s="3" t="str">
        <f>TRIM([1]Raw_Data!C1405)</f>
        <v>Sleep Aid</v>
      </c>
      <c r="D1407" s="3">
        <f>[1]Raw_Data!D1405</f>
        <v>134</v>
      </c>
      <c r="E1407" s="4">
        <f>[1]Raw_Data!E1405</f>
        <v>40.25</v>
      </c>
      <c r="F1407" s="5">
        <f>[1]Raw_Data!F1405</f>
        <v>5393.5</v>
      </c>
      <c r="G1407" s="4">
        <f>[1]Raw_Data!G1405</f>
        <v>0.16</v>
      </c>
      <c r="H1407" s="3">
        <f>[1]Raw_Data!H1405</f>
        <v>1</v>
      </c>
      <c r="I1407" s="3" t="str">
        <f>TRIM([1]Raw_Data!I1405)</f>
        <v>UK</v>
      </c>
      <c r="J1407" s="3" t="str">
        <f>TRIM([1]Raw_Data!J1405)</f>
        <v>Amazon</v>
      </c>
      <c r="K1407" s="3">
        <f t="shared" si="84"/>
        <v>2021</v>
      </c>
      <c r="L1407" s="6">
        <f t="shared" si="85"/>
        <v>44440</v>
      </c>
      <c r="M1407" s="3" t="str">
        <f t="shared" si="86"/>
        <v>16% to 20%</v>
      </c>
      <c r="N1407" s="3" t="str">
        <f t="shared" si="87"/>
        <v>OK</v>
      </c>
    </row>
    <row r="1408" spans="1:14" x14ac:dyDescent="0.3">
      <c r="A1408" s="2">
        <f>DATE(VALUE(RIGHT(TRIM([1]Raw_Data!A1406),4)),VALUE(MID(TRIM([1]Raw_Data!A1406),4,2)),VALUE(LEFT(TRIM([1]Raw_Data!A1406),2)))</f>
        <v>44445</v>
      </c>
      <c r="B1408" s="3" t="str">
        <f>TRIM([1]Raw_Data!B1406)</f>
        <v>Biotin</v>
      </c>
      <c r="C1408" s="3" t="str">
        <f>TRIM([1]Raw_Data!C1406)</f>
        <v>Vitamin</v>
      </c>
      <c r="D1408" s="3">
        <f>[1]Raw_Data!D1406</f>
        <v>170</v>
      </c>
      <c r="E1408" s="4">
        <f>[1]Raw_Data!E1406</f>
        <v>48.46</v>
      </c>
      <c r="F1408" s="5">
        <f>[1]Raw_Data!F1406</f>
        <v>8238.2000000000007</v>
      </c>
      <c r="G1408" s="4">
        <f>[1]Raw_Data!G1406</f>
        <v>0.09</v>
      </c>
      <c r="H1408" s="3">
        <f>[1]Raw_Data!H1406</f>
        <v>4</v>
      </c>
      <c r="I1408" s="3" t="str">
        <f>TRIM([1]Raw_Data!I1406)</f>
        <v>Canada</v>
      </c>
      <c r="J1408" s="3" t="str">
        <f>TRIM([1]Raw_Data!J1406)</f>
        <v>iHerb</v>
      </c>
      <c r="K1408" s="3">
        <f t="shared" si="84"/>
        <v>2021</v>
      </c>
      <c r="L1408" s="6">
        <f t="shared" si="85"/>
        <v>44440</v>
      </c>
      <c r="M1408" s="3" t="str">
        <f t="shared" si="86"/>
        <v>6% to 10%</v>
      </c>
      <c r="N1408" s="3" t="str">
        <f t="shared" si="87"/>
        <v>OK</v>
      </c>
    </row>
    <row r="1409" spans="1:14" x14ac:dyDescent="0.3">
      <c r="A1409" s="2">
        <f>DATE(VALUE(RIGHT(TRIM([1]Raw_Data!A1407),4)),VALUE(MID(TRIM([1]Raw_Data!A1407),4,2)),VALUE(LEFT(TRIM([1]Raw_Data!A1407),2)))</f>
        <v>44445</v>
      </c>
      <c r="B1409" s="3" t="str">
        <f>TRIM([1]Raw_Data!B1407)</f>
        <v>Green Tea Extract</v>
      </c>
      <c r="C1409" s="3" t="str">
        <f>TRIM([1]Raw_Data!C1407)</f>
        <v>Fat Burner</v>
      </c>
      <c r="D1409" s="3">
        <f>[1]Raw_Data!D1407</f>
        <v>137</v>
      </c>
      <c r="E1409" s="4">
        <f>[1]Raw_Data!E1407</f>
        <v>24.28</v>
      </c>
      <c r="F1409" s="5">
        <f>[1]Raw_Data!F1407</f>
        <v>3326.36</v>
      </c>
      <c r="G1409" s="4">
        <f>[1]Raw_Data!G1407</f>
        <v>7.0000000000000007E-2</v>
      </c>
      <c r="H1409" s="3">
        <f>[1]Raw_Data!H1407</f>
        <v>3</v>
      </c>
      <c r="I1409" s="3" t="str">
        <f>TRIM([1]Raw_Data!I1407)</f>
        <v>UK</v>
      </c>
      <c r="J1409" s="3" t="str">
        <f>TRIM([1]Raw_Data!J1407)</f>
        <v>Walmart</v>
      </c>
      <c r="K1409" s="3">
        <f t="shared" si="84"/>
        <v>2021</v>
      </c>
      <c r="L1409" s="6">
        <f t="shared" si="85"/>
        <v>44440</v>
      </c>
      <c r="M1409" s="3" t="str">
        <f t="shared" si="86"/>
        <v>6% to 10%</v>
      </c>
      <c r="N1409" s="3" t="str">
        <f t="shared" si="87"/>
        <v>OK</v>
      </c>
    </row>
    <row r="1410" spans="1:14" x14ac:dyDescent="0.3">
      <c r="A1410" s="2">
        <f>DATE(VALUE(RIGHT(TRIM([1]Raw_Data!A1408),4)),VALUE(MID(TRIM([1]Raw_Data!A1408),4,2)),VALUE(LEFT(TRIM([1]Raw_Data!A1408),2)))</f>
        <v>44445</v>
      </c>
      <c r="B1410" s="3" t="str">
        <f>TRIM([1]Raw_Data!B1408)</f>
        <v>Iron Supplement</v>
      </c>
      <c r="C1410" s="3" t="str">
        <f>TRIM([1]Raw_Data!C1408)</f>
        <v>Mineral</v>
      </c>
      <c r="D1410" s="3">
        <f>[1]Raw_Data!D1408</f>
        <v>113</v>
      </c>
      <c r="E1410" s="4">
        <f>[1]Raw_Data!E1408</f>
        <v>23.7</v>
      </c>
      <c r="F1410" s="5">
        <f>[1]Raw_Data!F1408</f>
        <v>2678.1</v>
      </c>
      <c r="G1410" s="4">
        <f>[1]Raw_Data!G1408</f>
        <v>0.05</v>
      </c>
      <c r="H1410" s="3">
        <f>[1]Raw_Data!H1408</f>
        <v>0</v>
      </c>
      <c r="I1410" s="3" t="str">
        <f>TRIM([1]Raw_Data!I1408)</f>
        <v>Canada</v>
      </c>
      <c r="J1410" s="3" t="str">
        <f>TRIM([1]Raw_Data!J1408)</f>
        <v>iHerb</v>
      </c>
      <c r="K1410" s="3">
        <f t="shared" si="84"/>
        <v>2021</v>
      </c>
      <c r="L1410" s="6">
        <f t="shared" si="85"/>
        <v>44440</v>
      </c>
      <c r="M1410" s="3" t="str">
        <f t="shared" si="86"/>
        <v>0% to 5%</v>
      </c>
      <c r="N1410" s="3" t="str">
        <f t="shared" si="87"/>
        <v>OK</v>
      </c>
    </row>
    <row r="1411" spans="1:14" x14ac:dyDescent="0.3">
      <c r="A1411" s="2">
        <f>DATE(VALUE(RIGHT(TRIM([1]Raw_Data!A1409),4)),VALUE(MID(TRIM([1]Raw_Data!A1409),4,2)),VALUE(LEFT(TRIM([1]Raw_Data!A1409),2)))</f>
        <v>44445</v>
      </c>
      <c r="B1411" s="3" t="str">
        <f>TRIM([1]Raw_Data!B1409)</f>
        <v>Electrolyte Powder</v>
      </c>
      <c r="C1411" s="3" t="str">
        <f>TRIM([1]Raw_Data!C1409)</f>
        <v>Hydration</v>
      </c>
      <c r="D1411" s="3">
        <f>[1]Raw_Data!D1409</f>
        <v>162</v>
      </c>
      <c r="E1411" s="4">
        <f>[1]Raw_Data!E1409</f>
        <v>10.29</v>
      </c>
      <c r="F1411" s="5">
        <f>[1]Raw_Data!F1409</f>
        <v>1666.98</v>
      </c>
      <c r="G1411" s="4">
        <f>[1]Raw_Data!G1409</f>
        <v>0.11</v>
      </c>
      <c r="H1411" s="3">
        <f>[1]Raw_Data!H1409</f>
        <v>1</v>
      </c>
      <c r="I1411" s="3" t="str">
        <f>TRIM([1]Raw_Data!I1409)</f>
        <v>Canada</v>
      </c>
      <c r="J1411" s="3" t="str">
        <f>TRIM([1]Raw_Data!J1409)</f>
        <v>Walmart</v>
      </c>
      <c r="K1411" s="3">
        <f t="shared" si="84"/>
        <v>2021</v>
      </c>
      <c r="L1411" s="6">
        <f t="shared" si="85"/>
        <v>44440</v>
      </c>
      <c r="M1411" s="3" t="str">
        <f t="shared" si="86"/>
        <v>11% to 15%</v>
      </c>
      <c r="N1411" s="3" t="str">
        <f t="shared" si="87"/>
        <v>OK</v>
      </c>
    </row>
    <row r="1412" spans="1:14" x14ac:dyDescent="0.3">
      <c r="A1412" s="2">
        <f>DATE(VALUE(RIGHT(TRIM([1]Raw_Data!A1410),4)),VALUE(MID(TRIM([1]Raw_Data!A1410),4,2)),VALUE(LEFT(TRIM([1]Raw_Data!A1410),2)))</f>
        <v>44452</v>
      </c>
      <c r="B1412" s="3" t="str">
        <f>TRIM([1]Raw_Data!B1410)</f>
        <v>Whey Protein</v>
      </c>
      <c r="C1412" s="3" t="str">
        <f>TRIM([1]Raw_Data!C1410)</f>
        <v>Protein</v>
      </c>
      <c r="D1412" s="3">
        <f>[1]Raw_Data!D1410</f>
        <v>133</v>
      </c>
      <c r="E1412" s="4">
        <f>[1]Raw_Data!E1410</f>
        <v>45.1</v>
      </c>
      <c r="F1412" s="5">
        <f>[1]Raw_Data!F1410</f>
        <v>5998.3</v>
      </c>
      <c r="G1412" s="4">
        <f>[1]Raw_Data!G1410</f>
        <v>0.18</v>
      </c>
      <c r="H1412" s="3">
        <f>[1]Raw_Data!H1410</f>
        <v>2</v>
      </c>
      <c r="I1412" s="3" t="str">
        <f>TRIM([1]Raw_Data!I1410)</f>
        <v>Canada</v>
      </c>
      <c r="J1412" s="3" t="str">
        <f>TRIM([1]Raw_Data!J1410)</f>
        <v>iHerb</v>
      </c>
      <c r="K1412" s="3">
        <f t="shared" ref="K1412:K1475" si="88">YEAR(A1412)</f>
        <v>2021</v>
      </c>
      <c r="L1412" s="6">
        <f t="shared" ref="L1412:L1475" si="89">DATE(YEAR(A1412),MONTH(A1412),1)</f>
        <v>44440</v>
      </c>
      <c r="M1412" s="3" t="str">
        <f t="shared" ref="M1412:M1475" si="90">IF(ROUND(G1412*100,0)&lt;=5,"0% to 5%",IF(ROUND(G1412*100,0)&lt;=10,"6% to 10%",IF(ROUND(G1412*100,0)&lt;=15,"11% to 15%",IF(ROUND(G1412*100,0)&lt;=20,"16% to 20%","21% to 25%"))))</f>
        <v>16% to 20%</v>
      </c>
      <c r="N1412" s="3" t="str">
        <f t="shared" ref="N1412:N1475" si="91">IF(ROUND(D1412*E1412,2)=ROUND(F1412,2),"OK","Check")</f>
        <v>OK</v>
      </c>
    </row>
    <row r="1413" spans="1:14" x14ac:dyDescent="0.3">
      <c r="A1413" s="2">
        <f>DATE(VALUE(RIGHT(TRIM([1]Raw_Data!A1411),4)),VALUE(MID(TRIM([1]Raw_Data!A1411),4,2)),VALUE(LEFT(TRIM([1]Raw_Data!A1411),2)))</f>
        <v>44452</v>
      </c>
      <c r="B1413" s="3" t="str">
        <f>TRIM([1]Raw_Data!B1411)</f>
        <v>Vitamin C</v>
      </c>
      <c r="C1413" s="3" t="str">
        <f>TRIM([1]Raw_Data!C1411)</f>
        <v>Vitamin</v>
      </c>
      <c r="D1413" s="3">
        <f>[1]Raw_Data!D1411</f>
        <v>162</v>
      </c>
      <c r="E1413" s="4">
        <f>[1]Raw_Data!E1411</f>
        <v>14.66</v>
      </c>
      <c r="F1413" s="5">
        <f>[1]Raw_Data!F1411</f>
        <v>2374.92</v>
      </c>
      <c r="G1413" s="4">
        <f>[1]Raw_Data!G1411</f>
        <v>0.18</v>
      </c>
      <c r="H1413" s="3">
        <f>[1]Raw_Data!H1411</f>
        <v>4</v>
      </c>
      <c r="I1413" s="3" t="str">
        <f>TRIM([1]Raw_Data!I1411)</f>
        <v>Canada</v>
      </c>
      <c r="J1413" s="3" t="str">
        <f>TRIM([1]Raw_Data!J1411)</f>
        <v>Amazon</v>
      </c>
      <c r="K1413" s="3">
        <f t="shared" si="88"/>
        <v>2021</v>
      </c>
      <c r="L1413" s="6">
        <f t="shared" si="89"/>
        <v>44440</v>
      </c>
      <c r="M1413" s="3" t="str">
        <f t="shared" si="90"/>
        <v>16% to 20%</v>
      </c>
      <c r="N1413" s="3" t="str">
        <f t="shared" si="91"/>
        <v>OK</v>
      </c>
    </row>
    <row r="1414" spans="1:14" x14ac:dyDescent="0.3">
      <c r="A1414" s="2">
        <f>DATE(VALUE(RIGHT(TRIM([1]Raw_Data!A1412),4)),VALUE(MID(TRIM([1]Raw_Data!A1412),4,2)),VALUE(LEFT(TRIM([1]Raw_Data!A1412),2)))</f>
        <v>44452</v>
      </c>
      <c r="B1414" s="3" t="str">
        <f>TRIM([1]Raw_Data!B1412)</f>
        <v>Fish Oil</v>
      </c>
      <c r="C1414" s="3" t="str">
        <f>TRIM([1]Raw_Data!C1412)</f>
        <v>Omega</v>
      </c>
      <c r="D1414" s="3">
        <f>[1]Raw_Data!D1412</f>
        <v>156</v>
      </c>
      <c r="E1414" s="4">
        <f>[1]Raw_Data!E1412</f>
        <v>57.28</v>
      </c>
      <c r="F1414" s="5">
        <f>[1]Raw_Data!F1412</f>
        <v>8935.68</v>
      </c>
      <c r="G1414" s="4">
        <f>[1]Raw_Data!G1412</f>
        <v>0.11</v>
      </c>
      <c r="H1414" s="3">
        <f>[1]Raw_Data!H1412</f>
        <v>2</v>
      </c>
      <c r="I1414" s="3" t="str">
        <f>TRIM([1]Raw_Data!I1412)</f>
        <v>Canada</v>
      </c>
      <c r="J1414" s="3" t="str">
        <f>TRIM([1]Raw_Data!J1412)</f>
        <v>Amazon</v>
      </c>
      <c r="K1414" s="3">
        <f t="shared" si="88"/>
        <v>2021</v>
      </c>
      <c r="L1414" s="6">
        <f t="shared" si="89"/>
        <v>44440</v>
      </c>
      <c r="M1414" s="3" t="str">
        <f t="shared" si="90"/>
        <v>11% to 15%</v>
      </c>
      <c r="N1414" s="3" t="str">
        <f t="shared" si="91"/>
        <v>OK</v>
      </c>
    </row>
    <row r="1415" spans="1:14" x14ac:dyDescent="0.3">
      <c r="A1415" s="2">
        <f>DATE(VALUE(RIGHT(TRIM([1]Raw_Data!A1413),4)),VALUE(MID(TRIM([1]Raw_Data!A1413),4,2)),VALUE(LEFT(TRIM([1]Raw_Data!A1413),2)))</f>
        <v>44452</v>
      </c>
      <c r="B1415" s="3" t="str">
        <f>TRIM([1]Raw_Data!B1413)</f>
        <v>Multivitamin</v>
      </c>
      <c r="C1415" s="3" t="str">
        <f>TRIM([1]Raw_Data!C1413)</f>
        <v>Vitamin</v>
      </c>
      <c r="D1415" s="3">
        <f>[1]Raw_Data!D1413</f>
        <v>149</v>
      </c>
      <c r="E1415" s="4">
        <f>[1]Raw_Data!E1413</f>
        <v>13.8</v>
      </c>
      <c r="F1415" s="5">
        <f>[1]Raw_Data!F1413</f>
        <v>2056.1999999999998</v>
      </c>
      <c r="G1415" s="4">
        <f>[1]Raw_Data!G1413</f>
        <v>0.13</v>
      </c>
      <c r="H1415" s="3">
        <f>[1]Raw_Data!H1413</f>
        <v>2</v>
      </c>
      <c r="I1415" s="3" t="str">
        <f>TRIM([1]Raw_Data!I1413)</f>
        <v>UK</v>
      </c>
      <c r="J1415" s="3" t="str">
        <f>TRIM([1]Raw_Data!J1413)</f>
        <v>Walmart</v>
      </c>
      <c r="K1415" s="3">
        <f t="shared" si="88"/>
        <v>2021</v>
      </c>
      <c r="L1415" s="6">
        <f t="shared" si="89"/>
        <v>44440</v>
      </c>
      <c r="M1415" s="3" t="str">
        <f t="shared" si="90"/>
        <v>11% to 15%</v>
      </c>
      <c r="N1415" s="3" t="str">
        <f t="shared" si="91"/>
        <v>OK</v>
      </c>
    </row>
    <row r="1416" spans="1:14" x14ac:dyDescent="0.3">
      <c r="A1416" s="2">
        <f>DATE(VALUE(RIGHT(TRIM([1]Raw_Data!A1414),4)),VALUE(MID(TRIM([1]Raw_Data!A1414),4,2)),VALUE(LEFT(TRIM([1]Raw_Data!A1414),2)))</f>
        <v>44452</v>
      </c>
      <c r="B1416" s="3" t="str">
        <f>TRIM([1]Raw_Data!B1414)</f>
        <v>Pre-Workout</v>
      </c>
      <c r="C1416" s="3" t="str">
        <f>TRIM([1]Raw_Data!C1414)</f>
        <v>Performance</v>
      </c>
      <c r="D1416" s="3">
        <f>[1]Raw_Data!D1414</f>
        <v>161</v>
      </c>
      <c r="E1416" s="4">
        <f>[1]Raw_Data!E1414</f>
        <v>55.45</v>
      </c>
      <c r="F1416" s="5">
        <f>[1]Raw_Data!F1414</f>
        <v>8927.4500000000007</v>
      </c>
      <c r="G1416" s="4">
        <f>[1]Raw_Data!G1414</f>
        <v>0.24</v>
      </c>
      <c r="H1416" s="3">
        <f>[1]Raw_Data!H1414</f>
        <v>0</v>
      </c>
      <c r="I1416" s="3" t="str">
        <f>TRIM([1]Raw_Data!I1414)</f>
        <v>Canada</v>
      </c>
      <c r="J1416" s="3" t="str">
        <f>TRIM([1]Raw_Data!J1414)</f>
        <v>Walmart</v>
      </c>
      <c r="K1416" s="3">
        <f t="shared" si="88"/>
        <v>2021</v>
      </c>
      <c r="L1416" s="6">
        <f t="shared" si="89"/>
        <v>44440</v>
      </c>
      <c r="M1416" s="3" t="str">
        <f t="shared" si="90"/>
        <v>21% to 25%</v>
      </c>
      <c r="N1416" s="3" t="str">
        <f t="shared" si="91"/>
        <v>OK</v>
      </c>
    </row>
    <row r="1417" spans="1:14" x14ac:dyDescent="0.3">
      <c r="A1417" s="2">
        <f>DATE(VALUE(RIGHT(TRIM([1]Raw_Data!A1415),4)),VALUE(MID(TRIM([1]Raw_Data!A1415),4,2)),VALUE(LEFT(TRIM([1]Raw_Data!A1415),2)))</f>
        <v>44452</v>
      </c>
      <c r="B1417" s="3" t="str">
        <f>TRIM([1]Raw_Data!B1415)</f>
        <v>BCAA</v>
      </c>
      <c r="C1417" s="3" t="str">
        <f>TRIM([1]Raw_Data!C1415)</f>
        <v>Amino Acid</v>
      </c>
      <c r="D1417" s="3">
        <f>[1]Raw_Data!D1415</f>
        <v>146</v>
      </c>
      <c r="E1417" s="4">
        <f>[1]Raw_Data!E1415</f>
        <v>26.47</v>
      </c>
      <c r="F1417" s="5">
        <f>[1]Raw_Data!F1415</f>
        <v>3864.62</v>
      </c>
      <c r="G1417" s="4">
        <f>[1]Raw_Data!G1415</f>
        <v>0.13</v>
      </c>
      <c r="H1417" s="3">
        <f>[1]Raw_Data!H1415</f>
        <v>3</v>
      </c>
      <c r="I1417" s="3" t="str">
        <f>TRIM([1]Raw_Data!I1415)</f>
        <v>Canada</v>
      </c>
      <c r="J1417" s="3" t="str">
        <f>TRIM([1]Raw_Data!J1415)</f>
        <v>Amazon</v>
      </c>
      <c r="K1417" s="3">
        <f t="shared" si="88"/>
        <v>2021</v>
      </c>
      <c r="L1417" s="6">
        <f t="shared" si="89"/>
        <v>44440</v>
      </c>
      <c r="M1417" s="3" t="str">
        <f t="shared" si="90"/>
        <v>11% to 15%</v>
      </c>
      <c r="N1417" s="3" t="str">
        <f t="shared" si="91"/>
        <v>OK</v>
      </c>
    </row>
    <row r="1418" spans="1:14" x14ac:dyDescent="0.3">
      <c r="A1418" s="2">
        <f>DATE(VALUE(RIGHT(TRIM([1]Raw_Data!A1416),4)),VALUE(MID(TRIM([1]Raw_Data!A1416),4,2)),VALUE(LEFT(TRIM([1]Raw_Data!A1416),2)))</f>
        <v>44452</v>
      </c>
      <c r="B1418" s="3" t="str">
        <f>TRIM([1]Raw_Data!B1416)</f>
        <v>Creatine</v>
      </c>
      <c r="C1418" s="3" t="str">
        <f>TRIM([1]Raw_Data!C1416)</f>
        <v>Performance</v>
      </c>
      <c r="D1418" s="3">
        <f>[1]Raw_Data!D1416</f>
        <v>164</v>
      </c>
      <c r="E1418" s="4">
        <f>[1]Raw_Data!E1416</f>
        <v>14.65</v>
      </c>
      <c r="F1418" s="5">
        <f>[1]Raw_Data!F1416</f>
        <v>2402.6</v>
      </c>
      <c r="G1418" s="4">
        <f>[1]Raw_Data!G1416</f>
        <v>0.15</v>
      </c>
      <c r="H1418" s="3">
        <f>[1]Raw_Data!H1416</f>
        <v>2</v>
      </c>
      <c r="I1418" s="3" t="str">
        <f>TRIM([1]Raw_Data!I1416)</f>
        <v>USA</v>
      </c>
      <c r="J1418" s="3" t="str">
        <f>TRIM([1]Raw_Data!J1416)</f>
        <v>Amazon</v>
      </c>
      <c r="K1418" s="3">
        <f t="shared" si="88"/>
        <v>2021</v>
      </c>
      <c r="L1418" s="6">
        <f t="shared" si="89"/>
        <v>44440</v>
      </c>
      <c r="M1418" s="3" t="str">
        <f t="shared" si="90"/>
        <v>11% to 15%</v>
      </c>
      <c r="N1418" s="3" t="str">
        <f t="shared" si="91"/>
        <v>OK</v>
      </c>
    </row>
    <row r="1419" spans="1:14" x14ac:dyDescent="0.3">
      <c r="A1419" s="2">
        <f>DATE(VALUE(RIGHT(TRIM([1]Raw_Data!A1417),4)),VALUE(MID(TRIM([1]Raw_Data!A1417),4,2)),VALUE(LEFT(TRIM([1]Raw_Data!A1417),2)))</f>
        <v>44452</v>
      </c>
      <c r="B1419" s="3" t="str">
        <f>TRIM([1]Raw_Data!B1417)</f>
        <v>Zinc</v>
      </c>
      <c r="C1419" s="3" t="str">
        <f>TRIM([1]Raw_Data!C1417)</f>
        <v>Mineral</v>
      </c>
      <c r="D1419" s="3">
        <f>[1]Raw_Data!D1417</f>
        <v>141</v>
      </c>
      <c r="E1419" s="4">
        <f>[1]Raw_Data!E1417</f>
        <v>56.37</v>
      </c>
      <c r="F1419" s="5">
        <f>[1]Raw_Data!F1417</f>
        <v>7948.17</v>
      </c>
      <c r="G1419" s="4">
        <f>[1]Raw_Data!G1417</f>
        <v>0.1</v>
      </c>
      <c r="H1419" s="3">
        <f>[1]Raw_Data!H1417</f>
        <v>3</v>
      </c>
      <c r="I1419" s="3" t="str">
        <f>TRIM([1]Raw_Data!I1417)</f>
        <v>UK</v>
      </c>
      <c r="J1419" s="3" t="str">
        <f>TRIM([1]Raw_Data!J1417)</f>
        <v>Walmart</v>
      </c>
      <c r="K1419" s="3">
        <f t="shared" si="88"/>
        <v>2021</v>
      </c>
      <c r="L1419" s="6">
        <f t="shared" si="89"/>
        <v>44440</v>
      </c>
      <c r="M1419" s="3" t="str">
        <f t="shared" si="90"/>
        <v>6% to 10%</v>
      </c>
      <c r="N1419" s="3" t="str">
        <f t="shared" si="91"/>
        <v>OK</v>
      </c>
    </row>
    <row r="1420" spans="1:14" x14ac:dyDescent="0.3">
      <c r="A1420" s="2">
        <f>DATE(VALUE(RIGHT(TRIM([1]Raw_Data!A1418),4)),VALUE(MID(TRIM([1]Raw_Data!A1418),4,2)),VALUE(LEFT(TRIM([1]Raw_Data!A1418),2)))</f>
        <v>44452</v>
      </c>
      <c r="B1420" s="3" t="str">
        <f>TRIM([1]Raw_Data!B1418)</f>
        <v>Collagen Peptides</v>
      </c>
      <c r="C1420" s="3" t="str">
        <f>TRIM([1]Raw_Data!C1418)</f>
        <v>Protein</v>
      </c>
      <c r="D1420" s="3">
        <f>[1]Raw_Data!D1418</f>
        <v>146</v>
      </c>
      <c r="E1420" s="4">
        <f>[1]Raw_Data!E1418</f>
        <v>33.799999999999997</v>
      </c>
      <c r="F1420" s="5">
        <f>[1]Raw_Data!F1418</f>
        <v>4934.8</v>
      </c>
      <c r="G1420" s="4">
        <f>[1]Raw_Data!G1418</f>
        <v>0.03</v>
      </c>
      <c r="H1420" s="3">
        <f>[1]Raw_Data!H1418</f>
        <v>3</v>
      </c>
      <c r="I1420" s="3" t="str">
        <f>TRIM([1]Raw_Data!I1418)</f>
        <v>Canada</v>
      </c>
      <c r="J1420" s="3" t="str">
        <f>TRIM([1]Raw_Data!J1418)</f>
        <v>Amazon</v>
      </c>
      <c r="K1420" s="3">
        <f t="shared" si="88"/>
        <v>2021</v>
      </c>
      <c r="L1420" s="6">
        <f t="shared" si="89"/>
        <v>44440</v>
      </c>
      <c r="M1420" s="3" t="str">
        <f t="shared" si="90"/>
        <v>0% to 5%</v>
      </c>
      <c r="N1420" s="3" t="str">
        <f t="shared" si="91"/>
        <v>OK</v>
      </c>
    </row>
    <row r="1421" spans="1:14" x14ac:dyDescent="0.3">
      <c r="A1421" s="2">
        <f>DATE(VALUE(RIGHT(TRIM([1]Raw_Data!A1419),4)),VALUE(MID(TRIM([1]Raw_Data!A1419),4,2)),VALUE(LEFT(TRIM([1]Raw_Data!A1419),2)))</f>
        <v>44452</v>
      </c>
      <c r="B1421" s="3" t="str">
        <f>TRIM([1]Raw_Data!B1419)</f>
        <v>Magnesium</v>
      </c>
      <c r="C1421" s="3" t="str">
        <f>TRIM([1]Raw_Data!C1419)</f>
        <v>Mineral</v>
      </c>
      <c r="D1421" s="3">
        <f>[1]Raw_Data!D1419</f>
        <v>148</v>
      </c>
      <c r="E1421" s="4">
        <f>[1]Raw_Data!E1419</f>
        <v>28.36</v>
      </c>
      <c r="F1421" s="5">
        <f>[1]Raw_Data!F1419</f>
        <v>4197.28</v>
      </c>
      <c r="G1421" s="4">
        <f>[1]Raw_Data!G1419</f>
        <v>0</v>
      </c>
      <c r="H1421" s="3">
        <f>[1]Raw_Data!H1419</f>
        <v>0</v>
      </c>
      <c r="I1421" s="3" t="str">
        <f>TRIM([1]Raw_Data!I1419)</f>
        <v>Canada</v>
      </c>
      <c r="J1421" s="3" t="str">
        <f>TRIM([1]Raw_Data!J1419)</f>
        <v>iHerb</v>
      </c>
      <c r="K1421" s="3">
        <f t="shared" si="88"/>
        <v>2021</v>
      </c>
      <c r="L1421" s="6">
        <f t="shared" si="89"/>
        <v>44440</v>
      </c>
      <c r="M1421" s="3" t="str">
        <f t="shared" si="90"/>
        <v>0% to 5%</v>
      </c>
      <c r="N1421" s="3" t="str">
        <f t="shared" si="91"/>
        <v>OK</v>
      </c>
    </row>
    <row r="1422" spans="1:14" x14ac:dyDescent="0.3">
      <c r="A1422" s="2">
        <f>DATE(VALUE(RIGHT(TRIM([1]Raw_Data!A1420),4)),VALUE(MID(TRIM([1]Raw_Data!A1420),4,2)),VALUE(LEFT(TRIM([1]Raw_Data!A1420),2)))</f>
        <v>44452</v>
      </c>
      <c r="B1422" s="3" t="str">
        <f>TRIM([1]Raw_Data!B1420)</f>
        <v>Ashwagandha</v>
      </c>
      <c r="C1422" s="3" t="str">
        <f>TRIM([1]Raw_Data!C1420)</f>
        <v>Herbal</v>
      </c>
      <c r="D1422" s="3">
        <f>[1]Raw_Data!D1420</f>
        <v>150</v>
      </c>
      <c r="E1422" s="4">
        <f>[1]Raw_Data!E1420</f>
        <v>26.74</v>
      </c>
      <c r="F1422" s="5">
        <f>[1]Raw_Data!F1420</f>
        <v>4011</v>
      </c>
      <c r="G1422" s="4">
        <f>[1]Raw_Data!G1420</f>
        <v>0.17</v>
      </c>
      <c r="H1422" s="3">
        <f>[1]Raw_Data!H1420</f>
        <v>2</v>
      </c>
      <c r="I1422" s="3" t="str">
        <f>TRIM([1]Raw_Data!I1420)</f>
        <v>Canada</v>
      </c>
      <c r="J1422" s="3" t="str">
        <f>TRIM([1]Raw_Data!J1420)</f>
        <v>Amazon</v>
      </c>
      <c r="K1422" s="3">
        <f t="shared" si="88"/>
        <v>2021</v>
      </c>
      <c r="L1422" s="6">
        <f t="shared" si="89"/>
        <v>44440</v>
      </c>
      <c r="M1422" s="3" t="str">
        <f t="shared" si="90"/>
        <v>16% to 20%</v>
      </c>
      <c r="N1422" s="3" t="str">
        <f t="shared" si="91"/>
        <v>OK</v>
      </c>
    </row>
    <row r="1423" spans="1:14" x14ac:dyDescent="0.3">
      <c r="A1423" s="2">
        <f>DATE(VALUE(RIGHT(TRIM([1]Raw_Data!A1421),4)),VALUE(MID(TRIM([1]Raw_Data!A1421),4,2)),VALUE(LEFT(TRIM([1]Raw_Data!A1421),2)))</f>
        <v>44452</v>
      </c>
      <c r="B1423" s="3" t="str">
        <f>TRIM([1]Raw_Data!B1421)</f>
        <v>Melatonin</v>
      </c>
      <c r="C1423" s="3" t="str">
        <f>TRIM([1]Raw_Data!C1421)</f>
        <v>Sleep Aid</v>
      </c>
      <c r="D1423" s="3">
        <f>[1]Raw_Data!D1421</f>
        <v>157</v>
      </c>
      <c r="E1423" s="4">
        <f>[1]Raw_Data!E1421</f>
        <v>55.74</v>
      </c>
      <c r="F1423" s="5">
        <f>[1]Raw_Data!F1421</f>
        <v>8751.18</v>
      </c>
      <c r="G1423" s="4">
        <f>[1]Raw_Data!G1421</f>
        <v>0.12</v>
      </c>
      <c r="H1423" s="3">
        <f>[1]Raw_Data!H1421</f>
        <v>1</v>
      </c>
      <c r="I1423" s="3" t="str">
        <f>TRIM([1]Raw_Data!I1421)</f>
        <v>Canada</v>
      </c>
      <c r="J1423" s="3" t="str">
        <f>TRIM([1]Raw_Data!J1421)</f>
        <v>Walmart</v>
      </c>
      <c r="K1423" s="3">
        <f t="shared" si="88"/>
        <v>2021</v>
      </c>
      <c r="L1423" s="6">
        <f t="shared" si="89"/>
        <v>44440</v>
      </c>
      <c r="M1423" s="3" t="str">
        <f t="shared" si="90"/>
        <v>11% to 15%</v>
      </c>
      <c r="N1423" s="3" t="str">
        <f t="shared" si="91"/>
        <v>OK</v>
      </c>
    </row>
    <row r="1424" spans="1:14" x14ac:dyDescent="0.3">
      <c r="A1424" s="2">
        <f>DATE(VALUE(RIGHT(TRIM([1]Raw_Data!A1422),4)),VALUE(MID(TRIM([1]Raw_Data!A1422),4,2)),VALUE(LEFT(TRIM([1]Raw_Data!A1422),2)))</f>
        <v>44452</v>
      </c>
      <c r="B1424" s="3" t="str">
        <f>TRIM([1]Raw_Data!B1422)</f>
        <v>Biotin</v>
      </c>
      <c r="C1424" s="3" t="str">
        <f>TRIM([1]Raw_Data!C1422)</f>
        <v>Vitamin</v>
      </c>
      <c r="D1424" s="3">
        <f>[1]Raw_Data!D1422</f>
        <v>138</v>
      </c>
      <c r="E1424" s="4">
        <f>[1]Raw_Data!E1422</f>
        <v>12.12</v>
      </c>
      <c r="F1424" s="5">
        <f>[1]Raw_Data!F1422</f>
        <v>1672.56</v>
      </c>
      <c r="G1424" s="4">
        <f>[1]Raw_Data!G1422</f>
        <v>0.16</v>
      </c>
      <c r="H1424" s="3">
        <f>[1]Raw_Data!H1422</f>
        <v>0</v>
      </c>
      <c r="I1424" s="3" t="str">
        <f>TRIM([1]Raw_Data!I1422)</f>
        <v>USA</v>
      </c>
      <c r="J1424" s="3" t="str">
        <f>TRIM([1]Raw_Data!J1422)</f>
        <v>Amazon</v>
      </c>
      <c r="K1424" s="3">
        <f t="shared" si="88"/>
        <v>2021</v>
      </c>
      <c r="L1424" s="6">
        <f t="shared" si="89"/>
        <v>44440</v>
      </c>
      <c r="M1424" s="3" t="str">
        <f t="shared" si="90"/>
        <v>16% to 20%</v>
      </c>
      <c r="N1424" s="3" t="str">
        <f t="shared" si="91"/>
        <v>OK</v>
      </c>
    </row>
    <row r="1425" spans="1:14" x14ac:dyDescent="0.3">
      <c r="A1425" s="2">
        <f>DATE(VALUE(RIGHT(TRIM([1]Raw_Data!A1423),4)),VALUE(MID(TRIM([1]Raw_Data!A1423),4,2)),VALUE(LEFT(TRIM([1]Raw_Data!A1423),2)))</f>
        <v>44452</v>
      </c>
      <c r="B1425" s="3" t="str">
        <f>TRIM([1]Raw_Data!B1423)</f>
        <v>Green Tea Extract</v>
      </c>
      <c r="C1425" s="3" t="str">
        <f>TRIM([1]Raw_Data!C1423)</f>
        <v>Fat Burner</v>
      </c>
      <c r="D1425" s="3">
        <f>[1]Raw_Data!D1423</f>
        <v>143</v>
      </c>
      <c r="E1425" s="4">
        <f>[1]Raw_Data!E1423</f>
        <v>26.36</v>
      </c>
      <c r="F1425" s="5">
        <f>[1]Raw_Data!F1423</f>
        <v>3769.48</v>
      </c>
      <c r="G1425" s="4">
        <f>[1]Raw_Data!G1423</f>
        <v>0.06</v>
      </c>
      <c r="H1425" s="3">
        <f>[1]Raw_Data!H1423</f>
        <v>0</v>
      </c>
      <c r="I1425" s="3" t="str">
        <f>TRIM([1]Raw_Data!I1423)</f>
        <v>USA</v>
      </c>
      <c r="J1425" s="3" t="str">
        <f>TRIM([1]Raw_Data!J1423)</f>
        <v>Walmart</v>
      </c>
      <c r="K1425" s="3">
        <f t="shared" si="88"/>
        <v>2021</v>
      </c>
      <c r="L1425" s="6">
        <f t="shared" si="89"/>
        <v>44440</v>
      </c>
      <c r="M1425" s="3" t="str">
        <f t="shared" si="90"/>
        <v>6% to 10%</v>
      </c>
      <c r="N1425" s="3" t="str">
        <f t="shared" si="91"/>
        <v>OK</v>
      </c>
    </row>
    <row r="1426" spans="1:14" x14ac:dyDescent="0.3">
      <c r="A1426" s="2">
        <f>DATE(VALUE(RIGHT(TRIM([1]Raw_Data!A1424),4)),VALUE(MID(TRIM([1]Raw_Data!A1424),4,2)),VALUE(LEFT(TRIM([1]Raw_Data!A1424),2)))</f>
        <v>44452</v>
      </c>
      <c r="B1426" s="3" t="str">
        <f>TRIM([1]Raw_Data!B1424)</f>
        <v>Iron Supplement</v>
      </c>
      <c r="C1426" s="3" t="str">
        <f>TRIM([1]Raw_Data!C1424)</f>
        <v>Mineral</v>
      </c>
      <c r="D1426" s="3">
        <f>[1]Raw_Data!D1424</f>
        <v>160</v>
      </c>
      <c r="E1426" s="4">
        <f>[1]Raw_Data!E1424</f>
        <v>32.69</v>
      </c>
      <c r="F1426" s="5">
        <f>[1]Raw_Data!F1424</f>
        <v>5230.3999999999996</v>
      </c>
      <c r="G1426" s="4">
        <f>[1]Raw_Data!G1424</f>
        <v>0.13</v>
      </c>
      <c r="H1426" s="3">
        <f>[1]Raw_Data!H1424</f>
        <v>2</v>
      </c>
      <c r="I1426" s="3" t="str">
        <f>TRIM([1]Raw_Data!I1424)</f>
        <v>USA</v>
      </c>
      <c r="J1426" s="3" t="str">
        <f>TRIM([1]Raw_Data!J1424)</f>
        <v>iHerb</v>
      </c>
      <c r="K1426" s="3">
        <f t="shared" si="88"/>
        <v>2021</v>
      </c>
      <c r="L1426" s="6">
        <f t="shared" si="89"/>
        <v>44440</v>
      </c>
      <c r="M1426" s="3" t="str">
        <f t="shared" si="90"/>
        <v>11% to 15%</v>
      </c>
      <c r="N1426" s="3" t="str">
        <f t="shared" si="91"/>
        <v>OK</v>
      </c>
    </row>
    <row r="1427" spans="1:14" x14ac:dyDescent="0.3">
      <c r="A1427" s="2">
        <f>DATE(VALUE(RIGHT(TRIM([1]Raw_Data!A1425),4)),VALUE(MID(TRIM([1]Raw_Data!A1425),4,2)),VALUE(LEFT(TRIM([1]Raw_Data!A1425),2)))</f>
        <v>44452</v>
      </c>
      <c r="B1427" s="3" t="str">
        <f>TRIM([1]Raw_Data!B1425)</f>
        <v>Electrolyte Powder</v>
      </c>
      <c r="C1427" s="3" t="str">
        <f>TRIM([1]Raw_Data!C1425)</f>
        <v>Hydration</v>
      </c>
      <c r="D1427" s="3">
        <f>[1]Raw_Data!D1425</f>
        <v>155</v>
      </c>
      <c r="E1427" s="4">
        <f>[1]Raw_Data!E1425</f>
        <v>12.24</v>
      </c>
      <c r="F1427" s="5">
        <f>[1]Raw_Data!F1425</f>
        <v>1897.2</v>
      </c>
      <c r="G1427" s="4">
        <f>[1]Raw_Data!G1425</f>
        <v>7.0000000000000007E-2</v>
      </c>
      <c r="H1427" s="3">
        <f>[1]Raw_Data!H1425</f>
        <v>1</v>
      </c>
      <c r="I1427" s="3" t="str">
        <f>TRIM([1]Raw_Data!I1425)</f>
        <v>Canada</v>
      </c>
      <c r="J1427" s="3" t="str">
        <f>TRIM([1]Raw_Data!J1425)</f>
        <v>Amazon</v>
      </c>
      <c r="K1427" s="3">
        <f t="shared" si="88"/>
        <v>2021</v>
      </c>
      <c r="L1427" s="6">
        <f t="shared" si="89"/>
        <v>44440</v>
      </c>
      <c r="M1427" s="3" t="str">
        <f t="shared" si="90"/>
        <v>6% to 10%</v>
      </c>
      <c r="N1427" s="3" t="str">
        <f t="shared" si="91"/>
        <v>OK</v>
      </c>
    </row>
    <row r="1428" spans="1:14" x14ac:dyDescent="0.3">
      <c r="A1428" s="2">
        <f>DATE(VALUE(RIGHT(TRIM([1]Raw_Data!A1426),4)),VALUE(MID(TRIM([1]Raw_Data!A1426),4,2)),VALUE(LEFT(TRIM([1]Raw_Data!A1426),2)))</f>
        <v>44459</v>
      </c>
      <c r="B1428" s="3" t="str">
        <f>TRIM([1]Raw_Data!B1426)</f>
        <v>Whey Protein</v>
      </c>
      <c r="C1428" s="3" t="str">
        <f>TRIM([1]Raw_Data!C1426)</f>
        <v>Protein</v>
      </c>
      <c r="D1428" s="3">
        <f>[1]Raw_Data!D1426</f>
        <v>135</v>
      </c>
      <c r="E1428" s="4">
        <f>[1]Raw_Data!E1426</f>
        <v>25.49</v>
      </c>
      <c r="F1428" s="5">
        <f>[1]Raw_Data!F1426</f>
        <v>3441.15</v>
      </c>
      <c r="G1428" s="4">
        <f>[1]Raw_Data!G1426</f>
        <v>0.13</v>
      </c>
      <c r="H1428" s="3">
        <f>[1]Raw_Data!H1426</f>
        <v>2</v>
      </c>
      <c r="I1428" s="3" t="str">
        <f>TRIM([1]Raw_Data!I1426)</f>
        <v>UK</v>
      </c>
      <c r="J1428" s="3" t="str">
        <f>TRIM([1]Raw_Data!J1426)</f>
        <v>iHerb</v>
      </c>
      <c r="K1428" s="3">
        <f t="shared" si="88"/>
        <v>2021</v>
      </c>
      <c r="L1428" s="6">
        <f t="shared" si="89"/>
        <v>44440</v>
      </c>
      <c r="M1428" s="3" t="str">
        <f t="shared" si="90"/>
        <v>11% to 15%</v>
      </c>
      <c r="N1428" s="3" t="str">
        <f t="shared" si="91"/>
        <v>OK</v>
      </c>
    </row>
    <row r="1429" spans="1:14" x14ac:dyDescent="0.3">
      <c r="A1429" s="2">
        <f>DATE(VALUE(RIGHT(TRIM([1]Raw_Data!A1427),4)),VALUE(MID(TRIM([1]Raw_Data!A1427),4,2)),VALUE(LEFT(TRIM([1]Raw_Data!A1427),2)))</f>
        <v>44459</v>
      </c>
      <c r="B1429" s="3" t="str">
        <f>TRIM([1]Raw_Data!B1427)</f>
        <v>Vitamin C</v>
      </c>
      <c r="C1429" s="3" t="str">
        <f>TRIM([1]Raw_Data!C1427)</f>
        <v>Vitamin</v>
      </c>
      <c r="D1429" s="3">
        <f>[1]Raw_Data!D1427</f>
        <v>146</v>
      </c>
      <c r="E1429" s="4">
        <f>[1]Raw_Data!E1427</f>
        <v>26.81</v>
      </c>
      <c r="F1429" s="5">
        <f>[1]Raw_Data!F1427</f>
        <v>3914.26</v>
      </c>
      <c r="G1429" s="4">
        <f>[1]Raw_Data!G1427</f>
        <v>7.0000000000000007E-2</v>
      </c>
      <c r="H1429" s="3">
        <f>[1]Raw_Data!H1427</f>
        <v>1</v>
      </c>
      <c r="I1429" s="3" t="str">
        <f>TRIM([1]Raw_Data!I1427)</f>
        <v>Canada</v>
      </c>
      <c r="J1429" s="3" t="str">
        <f>TRIM([1]Raw_Data!J1427)</f>
        <v>Amazon</v>
      </c>
      <c r="K1429" s="3">
        <f t="shared" si="88"/>
        <v>2021</v>
      </c>
      <c r="L1429" s="6">
        <f t="shared" si="89"/>
        <v>44440</v>
      </c>
      <c r="M1429" s="3" t="str">
        <f t="shared" si="90"/>
        <v>6% to 10%</v>
      </c>
      <c r="N1429" s="3" t="str">
        <f t="shared" si="91"/>
        <v>OK</v>
      </c>
    </row>
    <row r="1430" spans="1:14" x14ac:dyDescent="0.3">
      <c r="A1430" s="2">
        <f>DATE(VALUE(RIGHT(TRIM([1]Raw_Data!A1428),4)),VALUE(MID(TRIM([1]Raw_Data!A1428),4,2)),VALUE(LEFT(TRIM([1]Raw_Data!A1428),2)))</f>
        <v>44459</v>
      </c>
      <c r="B1430" s="3" t="str">
        <f>TRIM([1]Raw_Data!B1428)</f>
        <v>Fish Oil</v>
      </c>
      <c r="C1430" s="3" t="str">
        <f>TRIM([1]Raw_Data!C1428)</f>
        <v>Omega</v>
      </c>
      <c r="D1430" s="3">
        <f>[1]Raw_Data!D1428</f>
        <v>147</v>
      </c>
      <c r="E1430" s="4">
        <f>[1]Raw_Data!E1428</f>
        <v>46.08</v>
      </c>
      <c r="F1430" s="5">
        <f>[1]Raw_Data!F1428</f>
        <v>6773.76</v>
      </c>
      <c r="G1430" s="4">
        <f>[1]Raw_Data!G1428</f>
        <v>0.02</v>
      </c>
      <c r="H1430" s="3">
        <f>[1]Raw_Data!H1428</f>
        <v>3</v>
      </c>
      <c r="I1430" s="3" t="str">
        <f>TRIM([1]Raw_Data!I1428)</f>
        <v>USA</v>
      </c>
      <c r="J1430" s="3" t="str">
        <f>TRIM([1]Raw_Data!J1428)</f>
        <v>iHerb</v>
      </c>
      <c r="K1430" s="3">
        <f t="shared" si="88"/>
        <v>2021</v>
      </c>
      <c r="L1430" s="6">
        <f t="shared" si="89"/>
        <v>44440</v>
      </c>
      <c r="M1430" s="3" t="str">
        <f t="shared" si="90"/>
        <v>0% to 5%</v>
      </c>
      <c r="N1430" s="3" t="str">
        <f t="shared" si="91"/>
        <v>OK</v>
      </c>
    </row>
    <row r="1431" spans="1:14" x14ac:dyDescent="0.3">
      <c r="A1431" s="2">
        <f>DATE(VALUE(RIGHT(TRIM([1]Raw_Data!A1429),4)),VALUE(MID(TRIM([1]Raw_Data!A1429),4,2)),VALUE(LEFT(TRIM([1]Raw_Data!A1429),2)))</f>
        <v>44459</v>
      </c>
      <c r="B1431" s="3" t="str">
        <f>TRIM([1]Raw_Data!B1429)</f>
        <v>Multivitamin</v>
      </c>
      <c r="C1431" s="3" t="str">
        <f>TRIM([1]Raw_Data!C1429)</f>
        <v>Vitamin</v>
      </c>
      <c r="D1431" s="3">
        <f>[1]Raw_Data!D1429</f>
        <v>159</v>
      </c>
      <c r="E1431" s="4">
        <f>[1]Raw_Data!E1429</f>
        <v>51.01</v>
      </c>
      <c r="F1431" s="5">
        <f>[1]Raw_Data!F1429</f>
        <v>8110.59</v>
      </c>
      <c r="G1431" s="4">
        <f>[1]Raw_Data!G1429</f>
        <v>0.1</v>
      </c>
      <c r="H1431" s="3">
        <f>[1]Raw_Data!H1429</f>
        <v>1</v>
      </c>
      <c r="I1431" s="3" t="str">
        <f>TRIM([1]Raw_Data!I1429)</f>
        <v>USA</v>
      </c>
      <c r="J1431" s="3" t="str">
        <f>TRIM([1]Raw_Data!J1429)</f>
        <v>iHerb</v>
      </c>
      <c r="K1431" s="3">
        <f t="shared" si="88"/>
        <v>2021</v>
      </c>
      <c r="L1431" s="6">
        <f t="shared" si="89"/>
        <v>44440</v>
      </c>
      <c r="M1431" s="3" t="str">
        <f t="shared" si="90"/>
        <v>6% to 10%</v>
      </c>
      <c r="N1431" s="3" t="str">
        <f t="shared" si="91"/>
        <v>OK</v>
      </c>
    </row>
    <row r="1432" spans="1:14" x14ac:dyDescent="0.3">
      <c r="A1432" s="2">
        <f>DATE(VALUE(RIGHT(TRIM([1]Raw_Data!A1430),4)),VALUE(MID(TRIM([1]Raw_Data!A1430),4,2)),VALUE(LEFT(TRIM([1]Raw_Data!A1430),2)))</f>
        <v>44459</v>
      </c>
      <c r="B1432" s="3" t="str">
        <f>TRIM([1]Raw_Data!B1430)</f>
        <v>Pre-Workout</v>
      </c>
      <c r="C1432" s="3" t="str">
        <f>TRIM([1]Raw_Data!C1430)</f>
        <v>Performance</v>
      </c>
      <c r="D1432" s="3">
        <f>[1]Raw_Data!D1430</f>
        <v>150</v>
      </c>
      <c r="E1432" s="4">
        <f>[1]Raw_Data!E1430</f>
        <v>36.92</v>
      </c>
      <c r="F1432" s="5">
        <f>[1]Raw_Data!F1430</f>
        <v>5538</v>
      </c>
      <c r="G1432" s="4">
        <f>[1]Raw_Data!G1430</f>
        <v>0.14000000000000001</v>
      </c>
      <c r="H1432" s="3">
        <f>[1]Raw_Data!H1430</f>
        <v>4</v>
      </c>
      <c r="I1432" s="3" t="str">
        <f>TRIM([1]Raw_Data!I1430)</f>
        <v>UK</v>
      </c>
      <c r="J1432" s="3" t="str">
        <f>TRIM([1]Raw_Data!J1430)</f>
        <v>Walmart</v>
      </c>
      <c r="K1432" s="3">
        <f t="shared" si="88"/>
        <v>2021</v>
      </c>
      <c r="L1432" s="6">
        <f t="shared" si="89"/>
        <v>44440</v>
      </c>
      <c r="M1432" s="3" t="str">
        <f t="shared" si="90"/>
        <v>11% to 15%</v>
      </c>
      <c r="N1432" s="3" t="str">
        <f t="shared" si="91"/>
        <v>OK</v>
      </c>
    </row>
    <row r="1433" spans="1:14" x14ac:dyDescent="0.3">
      <c r="A1433" s="2">
        <f>DATE(VALUE(RIGHT(TRIM([1]Raw_Data!A1431),4)),VALUE(MID(TRIM([1]Raw_Data!A1431),4,2)),VALUE(LEFT(TRIM([1]Raw_Data!A1431),2)))</f>
        <v>44459</v>
      </c>
      <c r="B1433" s="3" t="str">
        <f>TRIM([1]Raw_Data!B1431)</f>
        <v>BCAA</v>
      </c>
      <c r="C1433" s="3" t="str">
        <f>TRIM([1]Raw_Data!C1431)</f>
        <v>Amino Acid</v>
      </c>
      <c r="D1433" s="3">
        <f>[1]Raw_Data!D1431</f>
        <v>169</v>
      </c>
      <c r="E1433" s="4">
        <f>[1]Raw_Data!E1431</f>
        <v>50.07</v>
      </c>
      <c r="F1433" s="5">
        <f>[1]Raw_Data!F1431</f>
        <v>8461.83</v>
      </c>
      <c r="G1433" s="4">
        <f>[1]Raw_Data!G1431</f>
        <v>0.24</v>
      </c>
      <c r="H1433" s="3">
        <f>[1]Raw_Data!H1431</f>
        <v>0</v>
      </c>
      <c r="I1433" s="3" t="str">
        <f>TRIM([1]Raw_Data!I1431)</f>
        <v>USA</v>
      </c>
      <c r="J1433" s="3" t="str">
        <f>TRIM([1]Raw_Data!J1431)</f>
        <v>iHerb</v>
      </c>
      <c r="K1433" s="3">
        <f t="shared" si="88"/>
        <v>2021</v>
      </c>
      <c r="L1433" s="6">
        <f t="shared" si="89"/>
        <v>44440</v>
      </c>
      <c r="M1433" s="3" t="str">
        <f t="shared" si="90"/>
        <v>21% to 25%</v>
      </c>
      <c r="N1433" s="3" t="str">
        <f t="shared" si="91"/>
        <v>OK</v>
      </c>
    </row>
    <row r="1434" spans="1:14" x14ac:dyDescent="0.3">
      <c r="A1434" s="2">
        <f>DATE(VALUE(RIGHT(TRIM([1]Raw_Data!A1432),4)),VALUE(MID(TRIM([1]Raw_Data!A1432),4,2)),VALUE(LEFT(TRIM([1]Raw_Data!A1432),2)))</f>
        <v>44459</v>
      </c>
      <c r="B1434" s="3" t="str">
        <f>TRIM([1]Raw_Data!B1432)</f>
        <v>Creatine</v>
      </c>
      <c r="C1434" s="3" t="str">
        <f>TRIM([1]Raw_Data!C1432)</f>
        <v>Performance</v>
      </c>
      <c r="D1434" s="3">
        <f>[1]Raw_Data!D1432</f>
        <v>141</v>
      </c>
      <c r="E1434" s="4">
        <f>[1]Raw_Data!E1432</f>
        <v>52.33</v>
      </c>
      <c r="F1434" s="5">
        <f>[1]Raw_Data!F1432</f>
        <v>7378.53</v>
      </c>
      <c r="G1434" s="4">
        <f>[1]Raw_Data!G1432</f>
        <v>0.13</v>
      </c>
      <c r="H1434" s="3">
        <f>[1]Raw_Data!H1432</f>
        <v>2</v>
      </c>
      <c r="I1434" s="3" t="str">
        <f>TRIM([1]Raw_Data!I1432)</f>
        <v>USA</v>
      </c>
      <c r="J1434" s="3" t="str">
        <f>TRIM([1]Raw_Data!J1432)</f>
        <v>Amazon</v>
      </c>
      <c r="K1434" s="3">
        <f t="shared" si="88"/>
        <v>2021</v>
      </c>
      <c r="L1434" s="6">
        <f t="shared" si="89"/>
        <v>44440</v>
      </c>
      <c r="M1434" s="3" t="str">
        <f t="shared" si="90"/>
        <v>11% to 15%</v>
      </c>
      <c r="N1434" s="3" t="str">
        <f t="shared" si="91"/>
        <v>OK</v>
      </c>
    </row>
    <row r="1435" spans="1:14" x14ac:dyDescent="0.3">
      <c r="A1435" s="2">
        <f>DATE(VALUE(RIGHT(TRIM([1]Raw_Data!A1433),4)),VALUE(MID(TRIM([1]Raw_Data!A1433),4,2)),VALUE(LEFT(TRIM([1]Raw_Data!A1433),2)))</f>
        <v>44459</v>
      </c>
      <c r="B1435" s="3" t="str">
        <f>TRIM([1]Raw_Data!B1433)</f>
        <v>Zinc</v>
      </c>
      <c r="C1435" s="3" t="str">
        <f>TRIM([1]Raw_Data!C1433)</f>
        <v>Mineral</v>
      </c>
      <c r="D1435" s="3">
        <f>[1]Raw_Data!D1433</f>
        <v>135</v>
      </c>
      <c r="E1435" s="4">
        <f>[1]Raw_Data!E1433</f>
        <v>46.59</v>
      </c>
      <c r="F1435" s="5">
        <f>[1]Raw_Data!F1433</f>
        <v>6289.65</v>
      </c>
      <c r="G1435" s="4">
        <f>[1]Raw_Data!G1433</f>
        <v>0.04</v>
      </c>
      <c r="H1435" s="3">
        <f>[1]Raw_Data!H1433</f>
        <v>1</v>
      </c>
      <c r="I1435" s="3" t="str">
        <f>TRIM([1]Raw_Data!I1433)</f>
        <v>Canada</v>
      </c>
      <c r="J1435" s="3" t="str">
        <f>TRIM([1]Raw_Data!J1433)</f>
        <v>iHerb</v>
      </c>
      <c r="K1435" s="3">
        <f t="shared" si="88"/>
        <v>2021</v>
      </c>
      <c r="L1435" s="6">
        <f t="shared" si="89"/>
        <v>44440</v>
      </c>
      <c r="M1435" s="3" t="str">
        <f t="shared" si="90"/>
        <v>0% to 5%</v>
      </c>
      <c r="N1435" s="3" t="str">
        <f t="shared" si="91"/>
        <v>OK</v>
      </c>
    </row>
    <row r="1436" spans="1:14" x14ac:dyDescent="0.3">
      <c r="A1436" s="2">
        <f>DATE(VALUE(RIGHT(TRIM([1]Raw_Data!A1434),4)),VALUE(MID(TRIM([1]Raw_Data!A1434),4,2)),VALUE(LEFT(TRIM([1]Raw_Data!A1434),2)))</f>
        <v>44459</v>
      </c>
      <c r="B1436" s="3" t="str">
        <f>TRIM([1]Raw_Data!B1434)</f>
        <v>Collagen Peptides</v>
      </c>
      <c r="C1436" s="3" t="str">
        <f>TRIM([1]Raw_Data!C1434)</f>
        <v>Protein</v>
      </c>
      <c r="D1436" s="3">
        <f>[1]Raw_Data!D1434</f>
        <v>141</v>
      </c>
      <c r="E1436" s="4">
        <f>[1]Raw_Data!E1434</f>
        <v>45.42</v>
      </c>
      <c r="F1436" s="5">
        <f>[1]Raw_Data!F1434</f>
        <v>6404.22</v>
      </c>
      <c r="G1436" s="4">
        <f>[1]Raw_Data!G1434</f>
        <v>0.09</v>
      </c>
      <c r="H1436" s="3">
        <f>[1]Raw_Data!H1434</f>
        <v>1</v>
      </c>
      <c r="I1436" s="3" t="str">
        <f>TRIM([1]Raw_Data!I1434)</f>
        <v>Canada</v>
      </c>
      <c r="J1436" s="3" t="str">
        <f>TRIM([1]Raw_Data!J1434)</f>
        <v>iHerb</v>
      </c>
      <c r="K1436" s="3">
        <f t="shared" si="88"/>
        <v>2021</v>
      </c>
      <c r="L1436" s="6">
        <f t="shared" si="89"/>
        <v>44440</v>
      </c>
      <c r="M1436" s="3" t="str">
        <f t="shared" si="90"/>
        <v>6% to 10%</v>
      </c>
      <c r="N1436" s="3" t="str">
        <f t="shared" si="91"/>
        <v>OK</v>
      </c>
    </row>
    <row r="1437" spans="1:14" x14ac:dyDescent="0.3">
      <c r="A1437" s="2">
        <f>DATE(VALUE(RIGHT(TRIM([1]Raw_Data!A1435),4)),VALUE(MID(TRIM([1]Raw_Data!A1435),4,2)),VALUE(LEFT(TRIM([1]Raw_Data!A1435),2)))</f>
        <v>44459</v>
      </c>
      <c r="B1437" s="3" t="str">
        <f>TRIM([1]Raw_Data!B1435)</f>
        <v>Magnesium</v>
      </c>
      <c r="C1437" s="3" t="str">
        <f>TRIM([1]Raw_Data!C1435)</f>
        <v>Mineral</v>
      </c>
      <c r="D1437" s="3">
        <f>[1]Raw_Data!D1435</f>
        <v>131</v>
      </c>
      <c r="E1437" s="4">
        <f>[1]Raw_Data!E1435</f>
        <v>28.49</v>
      </c>
      <c r="F1437" s="5">
        <f>[1]Raw_Data!F1435</f>
        <v>3732.19</v>
      </c>
      <c r="G1437" s="4">
        <f>[1]Raw_Data!G1435</f>
        <v>0.16</v>
      </c>
      <c r="H1437" s="3">
        <f>[1]Raw_Data!H1435</f>
        <v>2</v>
      </c>
      <c r="I1437" s="3" t="str">
        <f>TRIM([1]Raw_Data!I1435)</f>
        <v>UK</v>
      </c>
      <c r="J1437" s="3" t="str">
        <f>TRIM([1]Raw_Data!J1435)</f>
        <v>iHerb</v>
      </c>
      <c r="K1437" s="3">
        <f t="shared" si="88"/>
        <v>2021</v>
      </c>
      <c r="L1437" s="6">
        <f t="shared" si="89"/>
        <v>44440</v>
      </c>
      <c r="M1437" s="3" t="str">
        <f t="shared" si="90"/>
        <v>16% to 20%</v>
      </c>
      <c r="N1437" s="3" t="str">
        <f t="shared" si="91"/>
        <v>OK</v>
      </c>
    </row>
    <row r="1438" spans="1:14" x14ac:dyDescent="0.3">
      <c r="A1438" s="2">
        <f>DATE(VALUE(RIGHT(TRIM([1]Raw_Data!A1436),4)),VALUE(MID(TRIM([1]Raw_Data!A1436),4,2)),VALUE(LEFT(TRIM([1]Raw_Data!A1436),2)))</f>
        <v>44459</v>
      </c>
      <c r="B1438" s="3" t="str">
        <f>TRIM([1]Raw_Data!B1436)</f>
        <v>Ashwagandha</v>
      </c>
      <c r="C1438" s="3" t="str">
        <f>TRIM([1]Raw_Data!C1436)</f>
        <v>Herbal</v>
      </c>
      <c r="D1438" s="3">
        <f>[1]Raw_Data!D1436</f>
        <v>139</v>
      </c>
      <c r="E1438" s="4">
        <f>[1]Raw_Data!E1436</f>
        <v>40.81</v>
      </c>
      <c r="F1438" s="5">
        <f>[1]Raw_Data!F1436</f>
        <v>5672.59</v>
      </c>
      <c r="G1438" s="4">
        <f>[1]Raw_Data!G1436</f>
        <v>0.11</v>
      </c>
      <c r="H1438" s="3">
        <f>[1]Raw_Data!H1436</f>
        <v>0</v>
      </c>
      <c r="I1438" s="3" t="str">
        <f>TRIM([1]Raw_Data!I1436)</f>
        <v>Canada</v>
      </c>
      <c r="J1438" s="3" t="str">
        <f>TRIM([1]Raw_Data!J1436)</f>
        <v>Amazon</v>
      </c>
      <c r="K1438" s="3">
        <f t="shared" si="88"/>
        <v>2021</v>
      </c>
      <c r="L1438" s="6">
        <f t="shared" si="89"/>
        <v>44440</v>
      </c>
      <c r="M1438" s="3" t="str">
        <f t="shared" si="90"/>
        <v>11% to 15%</v>
      </c>
      <c r="N1438" s="3" t="str">
        <f t="shared" si="91"/>
        <v>OK</v>
      </c>
    </row>
    <row r="1439" spans="1:14" x14ac:dyDescent="0.3">
      <c r="A1439" s="2">
        <f>DATE(VALUE(RIGHT(TRIM([1]Raw_Data!A1437),4)),VALUE(MID(TRIM([1]Raw_Data!A1437),4,2)),VALUE(LEFT(TRIM([1]Raw_Data!A1437),2)))</f>
        <v>44459</v>
      </c>
      <c r="B1439" s="3" t="str">
        <f>TRIM([1]Raw_Data!B1437)</f>
        <v>Melatonin</v>
      </c>
      <c r="C1439" s="3" t="str">
        <f>TRIM([1]Raw_Data!C1437)</f>
        <v>Sleep Aid</v>
      </c>
      <c r="D1439" s="3">
        <f>[1]Raw_Data!D1437</f>
        <v>175</v>
      </c>
      <c r="E1439" s="4">
        <f>[1]Raw_Data!E1437</f>
        <v>20.399999999999999</v>
      </c>
      <c r="F1439" s="5">
        <f>[1]Raw_Data!F1437</f>
        <v>3570</v>
      </c>
      <c r="G1439" s="4">
        <f>[1]Raw_Data!G1437</f>
        <v>0.08</v>
      </c>
      <c r="H1439" s="3">
        <f>[1]Raw_Data!H1437</f>
        <v>3</v>
      </c>
      <c r="I1439" s="3" t="str">
        <f>TRIM([1]Raw_Data!I1437)</f>
        <v>UK</v>
      </c>
      <c r="J1439" s="3" t="str">
        <f>TRIM([1]Raw_Data!J1437)</f>
        <v>Walmart</v>
      </c>
      <c r="K1439" s="3">
        <f t="shared" si="88"/>
        <v>2021</v>
      </c>
      <c r="L1439" s="6">
        <f t="shared" si="89"/>
        <v>44440</v>
      </c>
      <c r="M1439" s="3" t="str">
        <f t="shared" si="90"/>
        <v>6% to 10%</v>
      </c>
      <c r="N1439" s="3" t="str">
        <f t="shared" si="91"/>
        <v>OK</v>
      </c>
    </row>
    <row r="1440" spans="1:14" x14ac:dyDescent="0.3">
      <c r="A1440" s="2">
        <f>DATE(VALUE(RIGHT(TRIM([1]Raw_Data!A1438),4)),VALUE(MID(TRIM([1]Raw_Data!A1438),4,2)),VALUE(LEFT(TRIM([1]Raw_Data!A1438),2)))</f>
        <v>44459</v>
      </c>
      <c r="B1440" s="3" t="str">
        <f>TRIM([1]Raw_Data!B1438)</f>
        <v>Biotin</v>
      </c>
      <c r="C1440" s="3" t="str">
        <f>TRIM([1]Raw_Data!C1438)</f>
        <v>Vitamin</v>
      </c>
      <c r="D1440" s="3">
        <f>[1]Raw_Data!D1438</f>
        <v>157</v>
      </c>
      <c r="E1440" s="4">
        <f>[1]Raw_Data!E1438</f>
        <v>32.06</v>
      </c>
      <c r="F1440" s="5">
        <f>[1]Raw_Data!F1438</f>
        <v>5033.42</v>
      </c>
      <c r="G1440" s="4">
        <f>[1]Raw_Data!G1438</f>
        <v>0.18</v>
      </c>
      <c r="H1440" s="3">
        <f>[1]Raw_Data!H1438</f>
        <v>1</v>
      </c>
      <c r="I1440" s="3" t="str">
        <f>TRIM([1]Raw_Data!I1438)</f>
        <v>UK</v>
      </c>
      <c r="J1440" s="3" t="str">
        <f>TRIM([1]Raw_Data!J1438)</f>
        <v>Walmart</v>
      </c>
      <c r="K1440" s="3">
        <f t="shared" si="88"/>
        <v>2021</v>
      </c>
      <c r="L1440" s="6">
        <f t="shared" si="89"/>
        <v>44440</v>
      </c>
      <c r="M1440" s="3" t="str">
        <f t="shared" si="90"/>
        <v>16% to 20%</v>
      </c>
      <c r="N1440" s="3" t="str">
        <f t="shared" si="91"/>
        <v>OK</v>
      </c>
    </row>
    <row r="1441" spans="1:14" x14ac:dyDescent="0.3">
      <c r="A1441" s="2">
        <f>DATE(VALUE(RIGHT(TRIM([1]Raw_Data!A1439),4)),VALUE(MID(TRIM([1]Raw_Data!A1439),4,2)),VALUE(LEFT(TRIM([1]Raw_Data!A1439),2)))</f>
        <v>44459</v>
      </c>
      <c r="B1441" s="3" t="str">
        <f>TRIM([1]Raw_Data!B1439)</f>
        <v>Green Tea Extract</v>
      </c>
      <c r="C1441" s="3" t="str">
        <f>TRIM([1]Raw_Data!C1439)</f>
        <v>Fat Burner</v>
      </c>
      <c r="D1441" s="3">
        <f>[1]Raw_Data!D1439</f>
        <v>139</v>
      </c>
      <c r="E1441" s="4">
        <f>[1]Raw_Data!E1439</f>
        <v>58.8</v>
      </c>
      <c r="F1441" s="5">
        <f>[1]Raw_Data!F1439</f>
        <v>8173.2</v>
      </c>
      <c r="G1441" s="4">
        <f>[1]Raw_Data!G1439</f>
        <v>0.08</v>
      </c>
      <c r="H1441" s="3">
        <f>[1]Raw_Data!H1439</f>
        <v>1</v>
      </c>
      <c r="I1441" s="3" t="str">
        <f>TRIM([1]Raw_Data!I1439)</f>
        <v>Canada</v>
      </c>
      <c r="J1441" s="3" t="str">
        <f>TRIM([1]Raw_Data!J1439)</f>
        <v>Walmart</v>
      </c>
      <c r="K1441" s="3">
        <f t="shared" si="88"/>
        <v>2021</v>
      </c>
      <c r="L1441" s="6">
        <f t="shared" si="89"/>
        <v>44440</v>
      </c>
      <c r="M1441" s="3" t="str">
        <f t="shared" si="90"/>
        <v>6% to 10%</v>
      </c>
      <c r="N1441" s="3" t="str">
        <f t="shared" si="91"/>
        <v>OK</v>
      </c>
    </row>
    <row r="1442" spans="1:14" x14ac:dyDescent="0.3">
      <c r="A1442" s="2">
        <f>DATE(VALUE(RIGHT(TRIM([1]Raw_Data!A1440),4)),VALUE(MID(TRIM([1]Raw_Data!A1440),4,2)),VALUE(LEFT(TRIM([1]Raw_Data!A1440),2)))</f>
        <v>44459</v>
      </c>
      <c r="B1442" s="3" t="str">
        <f>TRIM([1]Raw_Data!B1440)</f>
        <v>Iron Supplement</v>
      </c>
      <c r="C1442" s="3" t="str">
        <f>TRIM([1]Raw_Data!C1440)</f>
        <v>Mineral</v>
      </c>
      <c r="D1442" s="3">
        <f>[1]Raw_Data!D1440</f>
        <v>156</v>
      </c>
      <c r="E1442" s="4">
        <f>[1]Raw_Data!E1440</f>
        <v>52.17</v>
      </c>
      <c r="F1442" s="5">
        <f>[1]Raw_Data!F1440</f>
        <v>8138.52</v>
      </c>
      <c r="G1442" s="4">
        <f>[1]Raw_Data!G1440</f>
        <v>0.19</v>
      </c>
      <c r="H1442" s="3">
        <f>[1]Raw_Data!H1440</f>
        <v>0</v>
      </c>
      <c r="I1442" s="3" t="str">
        <f>TRIM([1]Raw_Data!I1440)</f>
        <v>Canada</v>
      </c>
      <c r="J1442" s="3" t="str">
        <f>TRIM([1]Raw_Data!J1440)</f>
        <v>iHerb</v>
      </c>
      <c r="K1442" s="3">
        <f t="shared" si="88"/>
        <v>2021</v>
      </c>
      <c r="L1442" s="6">
        <f t="shared" si="89"/>
        <v>44440</v>
      </c>
      <c r="M1442" s="3" t="str">
        <f t="shared" si="90"/>
        <v>16% to 20%</v>
      </c>
      <c r="N1442" s="3" t="str">
        <f t="shared" si="91"/>
        <v>OK</v>
      </c>
    </row>
    <row r="1443" spans="1:14" x14ac:dyDescent="0.3">
      <c r="A1443" s="2">
        <f>DATE(VALUE(RIGHT(TRIM([1]Raw_Data!A1441),4)),VALUE(MID(TRIM([1]Raw_Data!A1441),4,2)),VALUE(LEFT(TRIM([1]Raw_Data!A1441),2)))</f>
        <v>44459</v>
      </c>
      <c r="B1443" s="3" t="str">
        <f>TRIM([1]Raw_Data!B1441)</f>
        <v>Electrolyte Powder</v>
      </c>
      <c r="C1443" s="3" t="str">
        <f>TRIM([1]Raw_Data!C1441)</f>
        <v>Hydration</v>
      </c>
      <c r="D1443" s="3">
        <f>[1]Raw_Data!D1441</f>
        <v>165</v>
      </c>
      <c r="E1443" s="4">
        <f>[1]Raw_Data!E1441</f>
        <v>52.81</v>
      </c>
      <c r="F1443" s="5">
        <f>[1]Raw_Data!F1441</f>
        <v>8713.65</v>
      </c>
      <c r="G1443" s="4">
        <f>[1]Raw_Data!G1441</f>
        <v>0.03</v>
      </c>
      <c r="H1443" s="3">
        <f>[1]Raw_Data!H1441</f>
        <v>1</v>
      </c>
      <c r="I1443" s="3" t="str">
        <f>TRIM([1]Raw_Data!I1441)</f>
        <v>Canada</v>
      </c>
      <c r="J1443" s="3" t="str">
        <f>TRIM([1]Raw_Data!J1441)</f>
        <v>Walmart</v>
      </c>
      <c r="K1443" s="3">
        <f t="shared" si="88"/>
        <v>2021</v>
      </c>
      <c r="L1443" s="6">
        <f t="shared" si="89"/>
        <v>44440</v>
      </c>
      <c r="M1443" s="3" t="str">
        <f t="shared" si="90"/>
        <v>0% to 5%</v>
      </c>
      <c r="N1443" s="3" t="str">
        <f t="shared" si="91"/>
        <v>OK</v>
      </c>
    </row>
    <row r="1444" spans="1:14" x14ac:dyDescent="0.3">
      <c r="A1444" s="2">
        <f>DATE(VALUE(RIGHT(TRIM([1]Raw_Data!A1442),4)),VALUE(MID(TRIM([1]Raw_Data!A1442),4,2)),VALUE(LEFT(TRIM([1]Raw_Data!A1442),2)))</f>
        <v>44466</v>
      </c>
      <c r="B1444" s="3" t="str">
        <f>TRIM([1]Raw_Data!B1442)</f>
        <v>Whey Protein</v>
      </c>
      <c r="C1444" s="3" t="str">
        <f>TRIM([1]Raw_Data!C1442)</f>
        <v>Protein</v>
      </c>
      <c r="D1444" s="3">
        <f>[1]Raw_Data!D1442</f>
        <v>166</v>
      </c>
      <c r="E1444" s="4">
        <f>[1]Raw_Data!E1442</f>
        <v>13.91</v>
      </c>
      <c r="F1444" s="5">
        <f>[1]Raw_Data!F1442</f>
        <v>2309.06</v>
      </c>
      <c r="G1444" s="4">
        <f>[1]Raw_Data!G1442</f>
        <v>0.2</v>
      </c>
      <c r="H1444" s="3">
        <f>[1]Raw_Data!H1442</f>
        <v>3</v>
      </c>
      <c r="I1444" s="3" t="str">
        <f>TRIM([1]Raw_Data!I1442)</f>
        <v>Canada</v>
      </c>
      <c r="J1444" s="3" t="str">
        <f>TRIM([1]Raw_Data!J1442)</f>
        <v>Amazon</v>
      </c>
      <c r="K1444" s="3">
        <f t="shared" si="88"/>
        <v>2021</v>
      </c>
      <c r="L1444" s="6">
        <f t="shared" si="89"/>
        <v>44440</v>
      </c>
      <c r="M1444" s="3" t="str">
        <f t="shared" si="90"/>
        <v>16% to 20%</v>
      </c>
      <c r="N1444" s="3" t="str">
        <f t="shared" si="91"/>
        <v>OK</v>
      </c>
    </row>
    <row r="1445" spans="1:14" x14ac:dyDescent="0.3">
      <c r="A1445" s="2">
        <f>DATE(VALUE(RIGHT(TRIM([1]Raw_Data!A1443),4)),VALUE(MID(TRIM([1]Raw_Data!A1443),4,2)),VALUE(LEFT(TRIM([1]Raw_Data!A1443),2)))</f>
        <v>44466</v>
      </c>
      <c r="B1445" s="3" t="str">
        <f>TRIM([1]Raw_Data!B1443)</f>
        <v>Vitamin C</v>
      </c>
      <c r="C1445" s="3" t="str">
        <f>TRIM([1]Raw_Data!C1443)</f>
        <v>Vitamin</v>
      </c>
      <c r="D1445" s="3">
        <f>[1]Raw_Data!D1443</f>
        <v>136</v>
      </c>
      <c r="E1445" s="4">
        <f>[1]Raw_Data!E1443</f>
        <v>44.34</v>
      </c>
      <c r="F1445" s="5">
        <f>[1]Raw_Data!F1443</f>
        <v>6030.24</v>
      </c>
      <c r="G1445" s="4">
        <f>[1]Raw_Data!G1443</f>
        <v>0.13</v>
      </c>
      <c r="H1445" s="3">
        <f>[1]Raw_Data!H1443</f>
        <v>2</v>
      </c>
      <c r="I1445" s="3" t="str">
        <f>TRIM([1]Raw_Data!I1443)</f>
        <v>UK</v>
      </c>
      <c r="J1445" s="3" t="str">
        <f>TRIM([1]Raw_Data!J1443)</f>
        <v>Walmart</v>
      </c>
      <c r="K1445" s="3">
        <f t="shared" si="88"/>
        <v>2021</v>
      </c>
      <c r="L1445" s="6">
        <f t="shared" si="89"/>
        <v>44440</v>
      </c>
      <c r="M1445" s="3" t="str">
        <f t="shared" si="90"/>
        <v>11% to 15%</v>
      </c>
      <c r="N1445" s="3" t="str">
        <f t="shared" si="91"/>
        <v>OK</v>
      </c>
    </row>
    <row r="1446" spans="1:14" x14ac:dyDescent="0.3">
      <c r="A1446" s="2">
        <f>DATE(VALUE(RIGHT(TRIM([1]Raw_Data!A1444),4)),VALUE(MID(TRIM([1]Raw_Data!A1444),4,2)),VALUE(LEFT(TRIM([1]Raw_Data!A1444),2)))</f>
        <v>44466</v>
      </c>
      <c r="B1446" s="3" t="str">
        <f>TRIM([1]Raw_Data!B1444)</f>
        <v>Fish Oil</v>
      </c>
      <c r="C1446" s="3" t="str">
        <f>TRIM([1]Raw_Data!C1444)</f>
        <v>Omega</v>
      </c>
      <c r="D1446" s="3">
        <f>[1]Raw_Data!D1444</f>
        <v>147</v>
      </c>
      <c r="E1446" s="4">
        <f>[1]Raw_Data!E1444</f>
        <v>24.24</v>
      </c>
      <c r="F1446" s="5">
        <f>[1]Raw_Data!F1444</f>
        <v>3563.28</v>
      </c>
      <c r="G1446" s="4">
        <f>[1]Raw_Data!G1444</f>
        <v>0.13</v>
      </c>
      <c r="H1446" s="3">
        <f>[1]Raw_Data!H1444</f>
        <v>1</v>
      </c>
      <c r="I1446" s="3" t="str">
        <f>TRIM([1]Raw_Data!I1444)</f>
        <v>UK</v>
      </c>
      <c r="J1446" s="3" t="str">
        <f>TRIM([1]Raw_Data!J1444)</f>
        <v>Amazon</v>
      </c>
      <c r="K1446" s="3">
        <f t="shared" si="88"/>
        <v>2021</v>
      </c>
      <c r="L1446" s="6">
        <f t="shared" si="89"/>
        <v>44440</v>
      </c>
      <c r="M1446" s="3" t="str">
        <f t="shared" si="90"/>
        <v>11% to 15%</v>
      </c>
      <c r="N1446" s="3" t="str">
        <f t="shared" si="91"/>
        <v>OK</v>
      </c>
    </row>
    <row r="1447" spans="1:14" x14ac:dyDescent="0.3">
      <c r="A1447" s="2">
        <f>DATE(VALUE(RIGHT(TRIM([1]Raw_Data!A1445),4)),VALUE(MID(TRIM([1]Raw_Data!A1445),4,2)),VALUE(LEFT(TRIM([1]Raw_Data!A1445),2)))</f>
        <v>44466</v>
      </c>
      <c r="B1447" s="3" t="str">
        <f>TRIM([1]Raw_Data!B1445)</f>
        <v>Multivitamin</v>
      </c>
      <c r="C1447" s="3" t="str">
        <f>TRIM([1]Raw_Data!C1445)</f>
        <v>Vitamin</v>
      </c>
      <c r="D1447" s="3">
        <f>[1]Raw_Data!D1445</f>
        <v>162</v>
      </c>
      <c r="E1447" s="4">
        <f>[1]Raw_Data!E1445</f>
        <v>39.07</v>
      </c>
      <c r="F1447" s="5">
        <f>[1]Raw_Data!F1445</f>
        <v>6329.34</v>
      </c>
      <c r="G1447" s="4">
        <f>[1]Raw_Data!G1445</f>
        <v>0.2</v>
      </c>
      <c r="H1447" s="3">
        <f>[1]Raw_Data!H1445</f>
        <v>0</v>
      </c>
      <c r="I1447" s="3" t="str">
        <f>TRIM([1]Raw_Data!I1445)</f>
        <v>UK</v>
      </c>
      <c r="J1447" s="3" t="str">
        <f>TRIM([1]Raw_Data!J1445)</f>
        <v>iHerb</v>
      </c>
      <c r="K1447" s="3">
        <f t="shared" si="88"/>
        <v>2021</v>
      </c>
      <c r="L1447" s="6">
        <f t="shared" si="89"/>
        <v>44440</v>
      </c>
      <c r="M1447" s="3" t="str">
        <f t="shared" si="90"/>
        <v>16% to 20%</v>
      </c>
      <c r="N1447" s="3" t="str">
        <f t="shared" si="91"/>
        <v>OK</v>
      </c>
    </row>
    <row r="1448" spans="1:14" x14ac:dyDescent="0.3">
      <c r="A1448" s="2">
        <f>DATE(VALUE(RIGHT(TRIM([1]Raw_Data!A1446),4)),VALUE(MID(TRIM([1]Raw_Data!A1446),4,2)),VALUE(LEFT(TRIM([1]Raw_Data!A1446),2)))</f>
        <v>44466</v>
      </c>
      <c r="B1448" s="3" t="str">
        <f>TRIM([1]Raw_Data!B1446)</f>
        <v>Pre-Workout</v>
      </c>
      <c r="C1448" s="3" t="str">
        <f>TRIM([1]Raw_Data!C1446)</f>
        <v>Performance</v>
      </c>
      <c r="D1448" s="3">
        <f>[1]Raw_Data!D1446</f>
        <v>128</v>
      </c>
      <c r="E1448" s="4">
        <f>[1]Raw_Data!E1446</f>
        <v>44.77</v>
      </c>
      <c r="F1448" s="5">
        <f>[1]Raw_Data!F1446</f>
        <v>5730.56</v>
      </c>
      <c r="G1448" s="4">
        <f>[1]Raw_Data!G1446</f>
        <v>0.1</v>
      </c>
      <c r="H1448" s="3">
        <f>[1]Raw_Data!H1446</f>
        <v>3</v>
      </c>
      <c r="I1448" s="3" t="str">
        <f>TRIM([1]Raw_Data!I1446)</f>
        <v>USA</v>
      </c>
      <c r="J1448" s="3" t="str">
        <f>TRIM([1]Raw_Data!J1446)</f>
        <v>Walmart</v>
      </c>
      <c r="K1448" s="3">
        <f t="shared" si="88"/>
        <v>2021</v>
      </c>
      <c r="L1448" s="6">
        <f t="shared" si="89"/>
        <v>44440</v>
      </c>
      <c r="M1448" s="3" t="str">
        <f t="shared" si="90"/>
        <v>6% to 10%</v>
      </c>
      <c r="N1448" s="3" t="str">
        <f t="shared" si="91"/>
        <v>OK</v>
      </c>
    </row>
    <row r="1449" spans="1:14" x14ac:dyDescent="0.3">
      <c r="A1449" s="2">
        <f>DATE(VALUE(RIGHT(TRIM([1]Raw_Data!A1447),4)),VALUE(MID(TRIM([1]Raw_Data!A1447),4,2)),VALUE(LEFT(TRIM([1]Raw_Data!A1447),2)))</f>
        <v>44466</v>
      </c>
      <c r="B1449" s="3" t="str">
        <f>TRIM([1]Raw_Data!B1447)</f>
        <v>BCAA</v>
      </c>
      <c r="C1449" s="3" t="str">
        <f>TRIM([1]Raw_Data!C1447)</f>
        <v>Amino Acid</v>
      </c>
      <c r="D1449" s="3">
        <f>[1]Raw_Data!D1447</f>
        <v>142</v>
      </c>
      <c r="E1449" s="4">
        <f>[1]Raw_Data!E1447</f>
        <v>25.03</v>
      </c>
      <c r="F1449" s="5">
        <f>[1]Raw_Data!F1447</f>
        <v>3554.26</v>
      </c>
      <c r="G1449" s="4">
        <f>[1]Raw_Data!G1447</f>
        <v>0.14000000000000001</v>
      </c>
      <c r="H1449" s="3">
        <f>[1]Raw_Data!H1447</f>
        <v>1</v>
      </c>
      <c r="I1449" s="3" t="str">
        <f>TRIM([1]Raw_Data!I1447)</f>
        <v>Canada</v>
      </c>
      <c r="J1449" s="3" t="str">
        <f>TRIM([1]Raw_Data!J1447)</f>
        <v>iHerb</v>
      </c>
      <c r="K1449" s="3">
        <f t="shared" si="88"/>
        <v>2021</v>
      </c>
      <c r="L1449" s="6">
        <f t="shared" si="89"/>
        <v>44440</v>
      </c>
      <c r="M1449" s="3" t="str">
        <f t="shared" si="90"/>
        <v>11% to 15%</v>
      </c>
      <c r="N1449" s="3" t="str">
        <f t="shared" si="91"/>
        <v>OK</v>
      </c>
    </row>
    <row r="1450" spans="1:14" x14ac:dyDescent="0.3">
      <c r="A1450" s="2">
        <f>DATE(VALUE(RIGHT(TRIM([1]Raw_Data!A1448),4)),VALUE(MID(TRIM([1]Raw_Data!A1448),4,2)),VALUE(LEFT(TRIM([1]Raw_Data!A1448),2)))</f>
        <v>44466</v>
      </c>
      <c r="B1450" s="3" t="str">
        <f>TRIM([1]Raw_Data!B1448)</f>
        <v>Creatine</v>
      </c>
      <c r="C1450" s="3" t="str">
        <f>TRIM([1]Raw_Data!C1448)</f>
        <v>Performance</v>
      </c>
      <c r="D1450" s="3">
        <f>[1]Raw_Data!D1448</f>
        <v>151</v>
      </c>
      <c r="E1450" s="4">
        <f>[1]Raw_Data!E1448</f>
        <v>55.62</v>
      </c>
      <c r="F1450" s="5">
        <f>[1]Raw_Data!F1448</f>
        <v>8398.6200000000008</v>
      </c>
      <c r="G1450" s="4">
        <f>[1]Raw_Data!G1448</f>
        <v>7.0000000000000007E-2</v>
      </c>
      <c r="H1450" s="3">
        <f>[1]Raw_Data!H1448</f>
        <v>1</v>
      </c>
      <c r="I1450" s="3" t="str">
        <f>TRIM([1]Raw_Data!I1448)</f>
        <v>USA</v>
      </c>
      <c r="J1450" s="3" t="str">
        <f>TRIM([1]Raw_Data!J1448)</f>
        <v>iHerb</v>
      </c>
      <c r="K1450" s="3">
        <f t="shared" si="88"/>
        <v>2021</v>
      </c>
      <c r="L1450" s="6">
        <f t="shared" si="89"/>
        <v>44440</v>
      </c>
      <c r="M1450" s="3" t="str">
        <f t="shared" si="90"/>
        <v>6% to 10%</v>
      </c>
      <c r="N1450" s="3" t="str">
        <f t="shared" si="91"/>
        <v>OK</v>
      </c>
    </row>
    <row r="1451" spans="1:14" x14ac:dyDescent="0.3">
      <c r="A1451" s="2">
        <f>DATE(VALUE(RIGHT(TRIM([1]Raw_Data!A1449),4)),VALUE(MID(TRIM([1]Raw_Data!A1449),4,2)),VALUE(LEFT(TRIM([1]Raw_Data!A1449),2)))</f>
        <v>44466</v>
      </c>
      <c r="B1451" s="3" t="str">
        <f>TRIM([1]Raw_Data!B1449)</f>
        <v>Zinc</v>
      </c>
      <c r="C1451" s="3" t="str">
        <f>TRIM([1]Raw_Data!C1449)</f>
        <v>Mineral</v>
      </c>
      <c r="D1451" s="3">
        <f>[1]Raw_Data!D1449</f>
        <v>152</v>
      </c>
      <c r="E1451" s="4">
        <f>[1]Raw_Data!E1449</f>
        <v>59.93</v>
      </c>
      <c r="F1451" s="5">
        <f>[1]Raw_Data!F1449</f>
        <v>9109.36</v>
      </c>
      <c r="G1451" s="4">
        <f>[1]Raw_Data!G1449</f>
        <v>0.06</v>
      </c>
      <c r="H1451" s="3">
        <f>[1]Raw_Data!H1449</f>
        <v>2</v>
      </c>
      <c r="I1451" s="3" t="str">
        <f>TRIM([1]Raw_Data!I1449)</f>
        <v>UK</v>
      </c>
      <c r="J1451" s="3" t="str">
        <f>TRIM([1]Raw_Data!J1449)</f>
        <v>Amazon</v>
      </c>
      <c r="K1451" s="3">
        <f t="shared" si="88"/>
        <v>2021</v>
      </c>
      <c r="L1451" s="6">
        <f t="shared" si="89"/>
        <v>44440</v>
      </c>
      <c r="M1451" s="3" t="str">
        <f t="shared" si="90"/>
        <v>6% to 10%</v>
      </c>
      <c r="N1451" s="3" t="str">
        <f t="shared" si="91"/>
        <v>OK</v>
      </c>
    </row>
    <row r="1452" spans="1:14" x14ac:dyDescent="0.3">
      <c r="A1452" s="2">
        <f>DATE(VALUE(RIGHT(TRIM([1]Raw_Data!A1450),4)),VALUE(MID(TRIM([1]Raw_Data!A1450),4,2)),VALUE(LEFT(TRIM([1]Raw_Data!A1450),2)))</f>
        <v>44466</v>
      </c>
      <c r="B1452" s="3" t="str">
        <f>TRIM([1]Raw_Data!B1450)</f>
        <v>Collagen Peptides</v>
      </c>
      <c r="C1452" s="3" t="str">
        <f>TRIM([1]Raw_Data!C1450)</f>
        <v>Protein</v>
      </c>
      <c r="D1452" s="3">
        <f>[1]Raw_Data!D1450</f>
        <v>146</v>
      </c>
      <c r="E1452" s="4">
        <f>[1]Raw_Data!E1450</f>
        <v>10.46</v>
      </c>
      <c r="F1452" s="5">
        <f>[1]Raw_Data!F1450</f>
        <v>1527.16</v>
      </c>
      <c r="G1452" s="4">
        <f>[1]Raw_Data!G1450</f>
        <v>0.12</v>
      </c>
      <c r="H1452" s="3">
        <f>[1]Raw_Data!H1450</f>
        <v>1</v>
      </c>
      <c r="I1452" s="3" t="str">
        <f>TRIM([1]Raw_Data!I1450)</f>
        <v>Canada</v>
      </c>
      <c r="J1452" s="3" t="str">
        <f>TRIM([1]Raw_Data!J1450)</f>
        <v>iHerb</v>
      </c>
      <c r="K1452" s="3">
        <f t="shared" si="88"/>
        <v>2021</v>
      </c>
      <c r="L1452" s="6">
        <f t="shared" si="89"/>
        <v>44440</v>
      </c>
      <c r="M1452" s="3" t="str">
        <f t="shared" si="90"/>
        <v>11% to 15%</v>
      </c>
      <c r="N1452" s="3" t="str">
        <f t="shared" si="91"/>
        <v>OK</v>
      </c>
    </row>
    <row r="1453" spans="1:14" x14ac:dyDescent="0.3">
      <c r="A1453" s="2">
        <f>DATE(VALUE(RIGHT(TRIM([1]Raw_Data!A1451),4)),VALUE(MID(TRIM([1]Raw_Data!A1451),4,2)),VALUE(LEFT(TRIM([1]Raw_Data!A1451),2)))</f>
        <v>44466</v>
      </c>
      <c r="B1453" s="3" t="str">
        <f>TRIM([1]Raw_Data!B1451)</f>
        <v>Magnesium</v>
      </c>
      <c r="C1453" s="3" t="str">
        <f>TRIM([1]Raw_Data!C1451)</f>
        <v>Mineral</v>
      </c>
      <c r="D1453" s="3">
        <f>[1]Raw_Data!D1451</f>
        <v>142</v>
      </c>
      <c r="E1453" s="4">
        <f>[1]Raw_Data!E1451</f>
        <v>25.05</v>
      </c>
      <c r="F1453" s="5">
        <f>[1]Raw_Data!F1451</f>
        <v>3557.1</v>
      </c>
      <c r="G1453" s="4">
        <f>[1]Raw_Data!G1451</f>
        <v>0.04</v>
      </c>
      <c r="H1453" s="3">
        <f>[1]Raw_Data!H1451</f>
        <v>1</v>
      </c>
      <c r="I1453" s="3" t="str">
        <f>TRIM([1]Raw_Data!I1451)</f>
        <v>USA</v>
      </c>
      <c r="J1453" s="3" t="str">
        <f>TRIM([1]Raw_Data!J1451)</f>
        <v>Walmart</v>
      </c>
      <c r="K1453" s="3">
        <f t="shared" si="88"/>
        <v>2021</v>
      </c>
      <c r="L1453" s="6">
        <f t="shared" si="89"/>
        <v>44440</v>
      </c>
      <c r="M1453" s="3" t="str">
        <f t="shared" si="90"/>
        <v>0% to 5%</v>
      </c>
      <c r="N1453" s="3" t="str">
        <f t="shared" si="91"/>
        <v>OK</v>
      </c>
    </row>
    <row r="1454" spans="1:14" x14ac:dyDescent="0.3">
      <c r="A1454" s="2">
        <f>DATE(VALUE(RIGHT(TRIM([1]Raw_Data!A1452),4)),VALUE(MID(TRIM([1]Raw_Data!A1452),4,2)),VALUE(LEFT(TRIM([1]Raw_Data!A1452),2)))</f>
        <v>44466</v>
      </c>
      <c r="B1454" s="3" t="str">
        <f>TRIM([1]Raw_Data!B1452)</f>
        <v>Ashwagandha</v>
      </c>
      <c r="C1454" s="3" t="str">
        <f>TRIM([1]Raw_Data!C1452)</f>
        <v>Herbal</v>
      </c>
      <c r="D1454" s="3">
        <f>[1]Raw_Data!D1452</f>
        <v>140</v>
      </c>
      <c r="E1454" s="4">
        <f>[1]Raw_Data!E1452</f>
        <v>19.940000000000001</v>
      </c>
      <c r="F1454" s="5">
        <f>[1]Raw_Data!F1452</f>
        <v>2791.6</v>
      </c>
      <c r="G1454" s="4">
        <f>[1]Raw_Data!G1452</f>
        <v>0.13</v>
      </c>
      <c r="H1454" s="3">
        <f>[1]Raw_Data!H1452</f>
        <v>0</v>
      </c>
      <c r="I1454" s="3" t="str">
        <f>TRIM([1]Raw_Data!I1452)</f>
        <v>UK</v>
      </c>
      <c r="J1454" s="3" t="str">
        <f>TRIM([1]Raw_Data!J1452)</f>
        <v>Amazon</v>
      </c>
      <c r="K1454" s="3">
        <f t="shared" si="88"/>
        <v>2021</v>
      </c>
      <c r="L1454" s="6">
        <f t="shared" si="89"/>
        <v>44440</v>
      </c>
      <c r="M1454" s="3" t="str">
        <f t="shared" si="90"/>
        <v>11% to 15%</v>
      </c>
      <c r="N1454" s="3" t="str">
        <f t="shared" si="91"/>
        <v>OK</v>
      </c>
    </row>
    <row r="1455" spans="1:14" x14ac:dyDescent="0.3">
      <c r="A1455" s="2">
        <f>DATE(VALUE(RIGHT(TRIM([1]Raw_Data!A1453),4)),VALUE(MID(TRIM([1]Raw_Data!A1453),4,2)),VALUE(LEFT(TRIM([1]Raw_Data!A1453),2)))</f>
        <v>44466</v>
      </c>
      <c r="B1455" s="3" t="str">
        <f>TRIM([1]Raw_Data!B1453)</f>
        <v>Melatonin</v>
      </c>
      <c r="C1455" s="3" t="str">
        <f>TRIM([1]Raw_Data!C1453)</f>
        <v>Sleep Aid</v>
      </c>
      <c r="D1455" s="3">
        <f>[1]Raw_Data!D1453</f>
        <v>156</v>
      </c>
      <c r="E1455" s="4">
        <f>[1]Raw_Data!E1453</f>
        <v>15.52</v>
      </c>
      <c r="F1455" s="5">
        <f>[1]Raw_Data!F1453</f>
        <v>2421.12</v>
      </c>
      <c r="G1455" s="4">
        <f>[1]Raw_Data!G1453</f>
        <v>0.12</v>
      </c>
      <c r="H1455" s="3">
        <f>[1]Raw_Data!H1453</f>
        <v>0</v>
      </c>
      <c r="I1455" s="3" t="str">
        <f>TRIM([1]Raw_Data!I1453)</f>
        <v>Canada</v>
      </c>
      <c r="J1455" s="3" t="str">
        <f>TRIM([1]Raw_Data!J1453)</f>
        <v>iHerb</v>
      </c>
      <c r="K1455" s="3">
        <f t="shared" si="88"/>
        <v>2021</v>
      </c>
      <c r="L1455" s="6">
        <f t="shared" si="89"/>
        <v>44440</v>
      </c>
      <c r="M1455" s="3" t="str">
        <f t="shared" si="90"/>
        <v>11% to 15%</v>
      </c>
      <c r="N1455" s="3" t="str">
        <f t="shared" si="91"/>
        <v>OK</v>
      </c>
    </row>
    <row r="1456" spans="1:14" x14ac:dyDescent="0.3">
      <c r="A1456" s="2">
        <f>DATE(VALUE(RIGHT(TRIM([1]Raw_Data!A1454),4)),VALUE(MID(TRIM([1]Raw_Data!A1454),4,2)),VALUE(LEFT(TRIM([1]Raw_Data!A1454),2)))</f>
        <v>44466</v>
      </c>
      <c r="B1456" s="3" t="str">
        <f>TRIM([1]Raw_Data!B1454)</f>
        <v>Biotin</v>
      </c>
      <c r="C1456" s="3" t="str">
        <f>TRIM([1]Raw_Data!C1454)</f>
        <v>Vitamin</v>
      </c>
      <c r="D1456" s="3">
        <f>[1]Raw_Data!D1454</f>
        <v>153</v>
      </c>
      <c r="E1456" s="4">
        <f>[1]Raw_Data!E1454</f>
        <v>36.380000000000003</v>
      </c>
      <c r="F1456" s="5">
        <f>[1]Raw_Data!F1454</f>
        <v>5566.14</v>
      </c>
      <c r="G1456" s="4">
        <f>[1]Raw_Data!G1454</f>
        <v>0.13</v>
      </c>
      <c r="H1456" s="3">
        <f>[1]Raw_Data!H1454</f>
        <v>3</v>
      </c>
      <c r="I1456" s="3" t="str">
        <f>TRIM([1]Raw_Data!I1454)</f>
        <v>UK</v>
      </c>
      <c r="J1456" s="3" t="str">
        <f>TRIM([1]Raw_Data!J1454)</f>
        <v>Walmart</v>
      </c>
      <c r="K1456" s="3">
        <f t="shared" si="88"/>
        <v>2021</v>
      </c>
      <c r="L1456" s="6">
        <f t="shared" si="89"/>
        <v>44440</v>
      </c>
      <c r="M1456" s="3" t="str">
        <f t="shared" si="90"/>
        <v>11% to 15%</v>
      </c>
      <c r="N1456" s="3" t="str">
        <f t="shared" si="91"/>
        <v>OK</v>
      </c>
    </row>
    <row r="1457" spans="1:14" x14ac:dyDescent="0.3">
      <c r="A1457" s="2">
        <f>DATE(VALUE(RIGHT(TRIM([1]Raw_Data!A1455),4)),VALUE(MID(TRIM([1]Raw_Data!A1455),4,2)),VALUE(LEFT(TRIM([1]Raw_Data!A1455),2)))</f>
        <v>44466</v>
      </c>
      <c r="B1457" s="3" t="str">
        <f>TRIM([1]Raw_Data!B1455)</f>
        <v>Green Tea Extract</v>
      </c>
      <c r="C1457" s="3" t="str">
        <f>TRIM([1]Raw_Data!C1455)</f>
        <v>Fat Burner</v>
      </c>
      <c r="D1457" s="3">
        <f>[1]Raw_Data!D1455</f>
        <v>152</v>
      </c>
      <c r="E1457" s="4">
        <f>[1]Raw_Data!E1455</f>
        <v>30.08</v>
      </c>
      <c r="F1457" s="5">
        <f>[1]Raw_Data!F1455</f>
        <v>4572.16</v>
      </c>
      <c r="G1457" s="4">
        <f>[1]Raw_Data!G1455</f>
        <v>0.24</v>
      </c>
      <c r="H1457" s="3">
        <f>[1]Raw_Data!H1455</f>
        <v>2</v>
      </c>
      <c r="I1457" s="3" t="str">
        <f>TRIM([1]Raw_Data!I1455)</f>
        <v>UK</v>
      </c>
      <c r="J1457" s="3" t="str">
        <f>TRIM([1]Raw_Data!J1455)</f>
        <v>Amazon</v>
      </c>
      <c r="K1457" s="3">
        <f t="shared" si="88"/>
        <v>2021</v>
      </c>
      <c r="L1457" s="6">
        <f t="shared" si="89"/>
        <v>44440</v>
      </c>
      <c r="M1457" s="3" t="str">
        <f t="shared" si="90"/>
        <v>21% to 25%</v>
      </c>
      <c r="N1457" s="3" t="str">
        <f t="shared" si="91"/>
        <v>OK</v>
      </c>
    </row>
    <row r="1458" spans="1:14" x14ac:dyDescent="0.3">
      <c r="A1458" s="2">
        <f>DATE(VALUE(RIGHT(TRIM([1]Raw_Data!A1456),4)),VALUE(MID(TRIM([1]Raw_Data!A1456),4,2)),VALUE(LEFT(TRIM([1]Raw_Data!A1456),2)))</f>
        <v>44466</v>
      </c>
      <c r="B1458" s="3" t="str">
        <f>TRIM([1]Raw_Data!B1456)</f>
        <v>Iron Supplement</v>
      </c>
      <c r="C1458" s="3" t="str">
        <f>TRIM([1]Raw_Data!C1456)</f>
        <v>Mineral</v>
      </c>
      <c r="D1458" s="3">
        <f>[1]Raw_Data!D1456</f>
        <v>142</v>
      </c>
      <c r="E1458" s="4">
        <f>[1]Raw_Data!E1456</f>
        <v>31.62</v>
      </c>
      <c r="F1458" s="5">
        <f>[1]Raw_Data!F1456</f>
        <v>4490.04</v>
      </c>
      <c r="G1458" s="4">
        <f>[1]Raw_Data!G1456</f>
        <v>0.21</v>
      </c>
      <c r="H1458" s="3">
        <f>[1]Raw_Data!H1456</f>
        <v>2</v>
      </c>
      <c r="I1458" s="3" t="str">
        <f>TRIM([1]Raw_Data!I1456)</f>
        <v>USA</v>
      </c>
      <c r="J1458" s="3" t="str">
        <f>TRIM([1]Raw_Data!J1456)</f>
        <v>Walmart</v>
      </c>
      <c r="K1458" s="3">
        <f t="shared" si="88"/>
        <v>2021</v>
      </c>
      <c r="L1458" s="6">
        <f t="shared" si="89"/>
        <v>44440</v>
      </c>
      <c r="M1458" s="3" t="str">
        <f t="shared" si="90"/>
        <v>21% to 25%</v>
      </c>
      <c r="N1458" s="3" t="str">
        <f t="shared" si="91"/>
        <v>OK</v>
      </c>
    </row>
    <row r="1459" spans="1:14" x14ac:dyDescent="0.3">
      <c r="A1459" s="2">
        <f>DATE(VALUE(RIGHT(TRIM([1]Raw_Data!A1457),4)),VALUE(MID(TRIM([1]Raw_Data!A1457),4,2)),VALUE(LEFT(TRIM([1]Raw_Data!A1457),2)))</f>
        <v>44466</v>
      </c>
      <c r="B1459" s="3" t="str">
        <f>TRIM([1]Raw_Data!B1457)</f>
        <v>Electrolyte Powder</v>
      </c>
      <c r="C1459" s="3" t="str">
        <f>TRIM([1]Raw_Data!C1457)</f>
        <v>Hydration</v>
      </c>
      <c r="D1459" s="3">
        <f>[1]Raw_Data!D1457</f>
        <v>138</v>
      </c>
      <c r="E1459" s="4">
        <f>[1]Raw_Data!E1457</f>
        <v>24.53</v>
      </c>
      <c r="F1459" s="5">
        <f>[1]Raw_Data!F1457</f>
        <v>3385.14</v>
      </c>
      <c r="G1459" s="4">
        <f>[1]Raw_Data!G1457</f>
        <v>7.0000000000000007E-2</v>
      </c>
      <c r="H1459" s="3">
        <f>[1]Raw_Data!H1457</f>
        <v>1</v>
      </c>
      <c r="I1459" s="3" t="str">
        <f>TRIM([1]Raw_Data!I1457)</f>
        <v>USA</v>
      </c>
      <c r="J1459" s="3" t="str">
        <f>TRIM([1]Raw_Data!J1457)</f>
        <v>iHerb</v>
      </c>
      <c r="K1459" s="3">
        <f t="shared" si="88"/>
        <v>2021</v>
      </c>
      <c r="L1459" s="6">
        <f t="shared" si="89"/>
        <v>44440</v>
      </c>
      <c r="M1459" s="3" t="str">
        <f t="shared" si="90"/>
        <v>6% to 10%</v>
      </c>
      <c r="N1459" s="3" t="str">
        <f t="shared" si="91"/>
        <v>OK</v>
      </c>
    </row>
    <row r="1460" spans="1:14" x14ac:dyDescent="0.3">
      <c r="A1460" s="2">
        <f>DATE(VALUE(RIGHT(TRIM([1]Raw_Data!A1458),4)),VALUE(MID(TRIM([1]Raw_Data!A1458),4,2)),VALUE(LEFT(TRIM([1]Raw_Data!A1458),2)))</f>
        <v>44473</v>
      </c>
      <c r="B1460" s="3" t="str">
        <f>TRIM([1]Raw_Data!B1458)</f>
        <v>Whey Protein</v>
      </c>
      <c r="C1460" s="3" t="str">
        <f>TRIM([1]Raw_Data!C1458)</f>
        <v>Protein</v>
      </c>
      <c r="D1460" s="3">
        <f>[1]Raw_Data!D1458</f>
        <v>158</v>
      </c>
      <c r="E1460" s="4">
        <f>[1]Raw_Data!E1458</f>
        <v>10.050000000000001</v>
      </c>
      <c r="F1460" s="5">
        <f>[1]Raw_Data!F1458</f>
        <v>1587.9</v>
      </c>
      <c r="G1460" s="4">
        <f>[1]Raw_Data!G1458</f>
        <v>0.18</v>
      </c>
      <c r="H1460" s="3">
        <f>[1]Raw_Data!H1458</f>
        <v>0</v>
      </c>
      <c r="I1460" s="3" t="str">
        <f>TRIM([1]Raw_Data!I1458)</f>
        <v>USA</v>
      </c>
      <c r="J1460" s="3" t="str">
        <f>TRIM([1]Raw_Data!J1458)</f>
        <v>iHerb</v>
      </c>
      <c r="K1460" s="3">
        <f t="shared" si="88"/>
        <v>2021</v>
      </c>
      <c r="L1460" s="6">
        <f t="shared" si="89"/>
        <v>44470</v>
      </c>
      <c r="M1460" s="3" t="str">
        <f t="shared" si="90"/>
        <v>16% to 20%</v>
      </c>
      <c r="N1460" s="3" t="str">
        <f t="shared" si="91"/>
        <v>OK</v>
      </c>
    </row>
    <row r="1461" spans="1:14" x14ac:dyDescent="0.3">
      <c r="A1461" s="2">
        <f>DATE(VALUE(RIGHT(TRIM([1]Raw_Data!A1459),4)),VALUE(MID(TRIM([1]Raw_Data!A1459),4,2)),VALUE(LEFT(TRIM([1]Raw_Data!A1459),2)))</f>
        <v>44473</v>
      </c>
      <c r="B1461" s="3" t="str">
        <f>TRIM([1]Raw_Data!B1459)</f>
        <v>Vitamin C</v>
      </c>
      <c r="C1461" s="3" t="str">
        <f>TRIM([1]Raw_Data!C1459)</f>
        <v>Vitamin</v>
      </c>
      <c r="D1461" s="3">
        <f>[1]Raw_Data!D1459</f>
        <v>132</v>
      </c>
      <c r="E1461" s="4">
        <f>[1]Raw_Data!E1459</f>
        <v>29</v>
      </c>
      <c r="F1461" s="5">
        <f>[1]Raw_Data!F1459</f>
        <v>3828</v>
      </c>
      <c r="G1461" s="4">
        <f>[1]Raw_Data!G1459</f>
        <v>0.12</v>
      </c>
      <c r="H1461" s="3">
        <f>[1]Raw_Data!H1459</f>
        <v>0</v>
      </c>
      <c r="I1461" s="3" t="str">
        <f>TRIM([1]Raw_Data!I1459)</f>
        <v>UK</v>
      </c>
      <c r="J1461" s="3" t="str">
        <f>TRIM([1]Raw_Data!J1459)</f>
        <v>Amazon</v>
      </c>
      <c r="K1461" s="3">
        <f t="shared" si="88"/>
        <v>2021</v>
      </c>
      <c r="L1461" s="6">
        <f t="shared" si="89"/>
        <v>44470</v>
      </c>
      <c r="M1461" s="3" t="str">
        <f t="shared" si="90"/>
        <v>11% to 15%</v>
      </c>
      <c r="N1461" s="3" t="str">
        <f t="shared" si="91"/>
        <v>OK</v>
      </c>
    </row>
    <row r="1462" spans="1:14" x14ac:dyDescent="0.3">
      <c r="A1462" s="2">
        <f>DATE(VALUE(RIGHT(TRIM([1]Raw_Data!A1460),4)),VALUE(MID(TRIM([1]Raw_Data!A1460),4,2)),VALUE(LEFT(TRIM([1]Raw_Data!A1460),2)))</f>
        <v>44473</v>
      </c>
      <c r="B1462" s="3" t="str">
        <f>TRIM([1]Raw_Data!B1460)</f>
        <v>Fish Oil</v>
      </c>
      <c r="C1462" s="3" t="str">
        <f>TRIM([1]Raw_Data!C1460)</f>
        <v>Omega</v>
      </c>
      <c r="D1462" s="3">
        <f>[1]Raw_Data!D1460</f>
        <v>143</v>
      </c>
      <c r="E1462" s="4">
        <f>[1]Raw_Data!E1460</f>
        <v>32.43</v>
      </c>
      <c r="F1462" s="5">
        <f>[1]Raw_Data!F1460</f>
        <v>4637.49</v>
      </c>
      <c r="G1462" s="4">
        <f>[1]Raw_Data!G1460</f>
        <v>0.16</v>
      </c>
      <c r="H1462" s="3">
        <f>[1]Raw_Data!H1460</f>
        <v>0</v>
      </c>
      <c r="I1462" s="3" t="str">
        <f>TRIM([1]Raw_Data!I1460)</f>
        <v>Canada</v>
      </c>
      <c r="J1462" s="3" t="str">
        <f>TRIM([1]Raw_Data!J1460)</f>
        <v>Amazon</v>
      </c>
      <c r="K1462" s="3">
        <f t="shared" si="88"/>
        <v>2021</v>
      </c>
      <c r="L1462" s="6">
        <f t="shared" si="89"/>
        <v>44470</v>
      </c>
      <c r="M1462" s="3" t="str">
        <f t="shared" si="90"/>
        <v>16% to 20%</v>
      </c>
      <c r="N1462" s="3" t="str">
        <f t="shared" si="91"/>
        <v>OK</v>
      </c>
    </row>
    <row r="1463" spans="1:14" x14ac:dyDescent="0.3">
      <c r="A1463" s="2">
        <f>DATE(VALUE(RIGHT(TRIM([1]Raw_Data!A1461),4)),VALUE(MID(TRIM([1]Raw_Data!A1461),4,2)),VALUE(LEFT(TRIM([1]Raw_Data!A1461),2)))</f>
        <v>44473</v>
      </c>
      <c r="B1463" s="3" t="str">
        <f>TRIM([1]Raw_Data!B1461)</f>
        <v>Multivitamin</v>
      </c>
      <c r="C1463" s="3" t="str">
        <f>TRIM([1]Raw_Data!C1461)</f>
        <v>Vitamin</v>
      </c>
      <c r="D1463" s="3">
        <f>[1]Raw_Data!D1461</f>
        <v>138</v>
      </c>
      <c r="E1463" s="4">
        <f>[1]Raw_Data!E1461</f>
        <v>22.81</v>
      </c>
      <c r="F1463" s="5">
        <f>[1]Raw_Data!F1461</f>
        <v>3147.78</v>
      </c>
      <c r="G1463" s="4">
        <f>[1]Raw_Data!G1461</f>
        <v>0.1</v>
      </c>
      <c r="H1463" s="3">
        <f>[1]Raw_Data!H1461</f>
        <v>3</v>
      </c>
      <c r="I1463" s="3" t="str">
        <f>TRIM([1]Raw_Data!I1461)</f>
        <v>UK</v>
      </c>
      <c r="J1463" s="3" t="str">
        <f>TRIM([1]Raw_Data!J1461)</f>
        <v>iHerb</v>
      </c>
      <c r="K1463" s="3">
        <f t="shared" si="88"/>
        <v>2021</v>
      </c>
      <c r="L1463" s="6">
        <f t="shared" si="89"/>
        <v>44470</v>
      </c>
      <c r="M1463" s="3" t="str">
        <f t="shared" si="90"/>
        <v>6% to 10%</v>
      </c>
      <c r="N1463" s="3" t="str">
        <f t="shared" si="91"/>
        <v>OK</v>
      </c>
    </row>
    <row r="1464" spans="1:14" x14ac:dyDescent="0.3">
      <c r="A1464" s="2">
        <f>DATE(VALUE(RIGHT(TRIM([1]Raw_Data!A1462),4)),VALUE(MID(TRIM([1]Raw_Data!A1462),4,2)),VALUE(LEFT(TRIM([1]Raw_Data!A1462),2)))</f>
        <v>44473</v>
      </c>
      <c r="B1464" s="3" t="str">
        <f>TRIM([1]Raw_Data!B1462)</f>
        <v>Pre-Workout</v>
      </c>
      <c r="C1464" s="3" t="str">
        <f>TRIM([1]Raw_Data!C1462)</f>
        <v>Performance</v>
      </c>
      <c r="D1464" s="3">
        <f>[1]Raw_Data!D1462</f>
        <v>156</v>
      </c>
      <c r="E1464" s="4">
        <f>[1]Raw_Data!E1462</f>
        <v>44.18</v>
      </c>
      <c r="F1464" s="5">
        <f>[1]Raw_Data!F1462</f>
        <v>6892.08</v>
      </c>
      <c r="G1464" s="4">
        <f>[1]Raw_Data!G1462</f>
        <v>0</v>
      </c>
      <c r="H1464" s="3">
        <f>[1]Raw_Data!H1462</f>
        <v>2</v>
      </c>
      <c r="I1464" s="3" t="str">
        <f>TRIM([1]Raw_Data!I1462)</f>
        <v>USA</v>
      </c>
      <c r="J1464" s="3" t="str">
        <f>TRIM([1]Raw_Data!J1462)</f>
        <v>Amazon</v>
      </c>
      <c r="K1464" s="3">
        <f t="shared" si="88"/>
        <v>2021</v>
      </c>
      <c r="L1464" s="6">
        <f t="shared" si="89"/>
        <v>44470</v>
      </c>
      <c r="M1464" s="3" t="str">
        <f t="shared" si="90"/>
        <v>0% to 5%</v>
      </c>
      <c r="N1464" s="3" t="str">
        <f t="shared" si="91"/>
        <v>OK</v>
      </c>
    </row>
    <row r="1465" spans="1:14" x14ac:dyDescent="0.3">
      <c r="A1465" s="2">
        <f>DATE(VALUE(RIGHT(TRIM([1]Raw_Data!A1463),4)),VALUE(MID(TRIM([1]Raw_Data!A1463),4,2)),VALUE(LEFT(TRIM([1]Raw_Data!A1463),2)))</f>
        <v>44473</v>
      </c>
      <c r="B1465" s="3" t="str">
        <f>TRIM([1]Raw_Data!B1463)</f>
        <v>BCAA</v>
      </c>
      <c r="C1465" s="3" t="str">
        <f>TRIM([1]Raw_Data!C1463)</f>
        <v>Amino Acid</v>
      </c>
      <c r="D1465" s="3">
        <f>[1]Raw_Data!D1463</f>
        <v>149</v>
      </c>
      <c r="E1465" s="4">
        <f>[1]Raw_Data!E1463</f>
        <v>57.73</v>
      </c>
      <c r="F1465" s="5">
        <f>[1]Raw_Data!F1463</f>
        <v>8601.77</v>
      </c>
      <c r="G1465" s="4">
        <f>[1]Raw_Data!G1463</f>
        <v>0.23</v>
      </c>
      <c r="H1465" s="3">
        <f>[1]Raw_Data!H1463</f>
        <v>3</v>
      </c>
      <c r="I1465" s="3" t="str">
        <f>TRIM([1]Raw_Data!I1463)</f>
        <v>USA</v>
      </c>
      <c r="J1465" s="3" t="str">
        <f>TRIM([1]Raw_Data!J1463)</f>
        <v>Amazon</v>
      </c>
      <c r="K1465" s="3">
        <f t="shared" si="88"/>
        <v>2021</v>
      </c>
      <c r="L1465" s="6">
        <f t="shared" si="89"/>
        <v>44470</v>
      </c>
      <c r="M1465" s="3" t="str">
        <f t="shared" si="90"/>
        <v>21% to 25%</v>
      </c>
      <c r="N1465" s="3" t="str">
        <f t="shared" si="91"/>
        <v>OK</v>
      </c>
    </row>
    <row r="1466" spans="1:14" x14ac:dyDescent="0.3">
      <c r="A1466" s="2">
        <f>DATE(VALUE(RIGHT(TRIM([1]Raw_Data!A1464),4)),VALUE(MID(TRIM([1]Raw_Data!A1464),4,2)),VALUE(LEFT(TRIM([1]Raw_Data!A1464),2)))</f>
        <v>44473</v>
      </c>
      <c r="B1466" s="3" t="str">
        <f>TRIM([1]Raw_Data!B1464)</f>
        <v>Creatine</v>
      </c>
      <c r="C1466" s="3" t="str">
        <f>TRIM([1]Raw_Data!C1464)</f>
        <v>Performance</v>
      </c>
      <c r="D1466" s="3">
        <f>[1]Raw_Data!D1464</f>
        <v>150</v>
      </c>
      <c r="E1466" s="4">
        <f>[1]Raw_Data!E1464</f>
        <v>33.25</v>
      </c>
      <c r="F1466" s="5">
        <f>[1]Raw_Data!F1464</f>
        <v>4987.5</v>
      </c>
      <c r="G1466" s="4">
        <f>[1]Raw_Data!G1464</f>
        <v>0.17</v>
      </c>
      <c r="H1466" s="3">
        <f>[1]Raw_Data!H1464</f>
        <v>3</v>
      </c>
      <c r="I1466" s="3" t="str">
        <f>TRIM([1]Raw_Data!I1464)</f>
        <v>Canada</v>
      </c>
      <c r="J1466" s="3" t="str">
        <f>TRIM([1]Raw_Data!J1464)</f>
        <v>Amazon</v>
      </c>
      <c r="K1466" s="3">
        <f t="shared" si="88"/>
        <v>2021</v>
      </c>
      <c r="L1466" s="6">
        <f t="shared" si="89"/>
        <v>44470</v>
      </c>
      <c r="M1466" s="3" t="str">
        <f t="shared" si="90"/>
        <v>16% to 20%</v>
      </c>
      <c r="N1466" s="3" t="str">
        <f t="shared" si="91"/>
        <v>OK</v>
      </c>
    </row>
    <row r="1467" spans="1:14" x14ac:dyDescent="0.3">
      <c r="A1467" s="2">
        <f>DATE(VALUE(RIGHT(TRIM([1]Raw_Data!A1465),4)),VALUE(MID(TRIM([1]Raw_Data!A1465),4,2)),VALUE(LEFT(TRIM([1]Raw_Data!A1465),2)))</f>
        <v>44473</v>
      </c>
      <c r="B1467" s="3" t="str">
        <f>TRIM([1]Raw_Data!B1465)</f>
        <v>Zinc</v>
      </c>
      <c r="C1467" s="3" t="str">
        <f>TRIM([1]Raw_Data!C1465)</f>
        <v>Mineral</v>
      </c>
      <c r="D1467" s="3">
        <f>[1]Raw_Data!D1465</f>
        <v>139</v>
      </c>
      <c r="E1467" s="4">
        <f>[1]Raw_Data!E1465</f>
        <v>50.76</v>
      </c>
      <c r="F1467" s="5">
        <f>[1]Raw_Data!F1465</f>
        <v>7055.64</v>
      </c>
      <c r="G1467" s="4">
        <f>[1]Raw_Data!G1465</f>
        <v>0.24</v>
      </c>
      <c r="H1467" s="3">
        <f>[1]Raw_Data!H1465</f>
        <v>3</v>
      </c>
      <c r="I1467" s="3" t="str">
        <f>TRIM([1]Raw_Data!I1465)</f>
        <v>UK</v>
      </c>
      <c r="J1467" s="3" t="str">
        <f>TRIM([1]Raw_Data!J1465)</f>
        <v>iHerb</v>
      </c>
      <c r="K1467" s="3">
        <f t="shared" si="88"/>
        <v>2021</v>
      </c>
      <c r="L1467" s="6">
        <f t="shared" si="89"/>
        <v>44470</v>
      </c>
      <c r="M1467" s="3" t="str">
        <f t="shared" si="90"/>
        <v>21% to 25%</v>
      </c>
      <c r="N1467" s="3" t="str">
        <f t="shared" si="91"/>
        <v>OK</v>
      </c>
    </row>
    <row r="1468" spans="1:14" x14ac:dyDescent="0.3">
      <c r="A1468" s="2">
        <f>DATE(VALUE(RIGHT(TRIM([1]Raw_Data!A1466),4)),VALUE(MID(TRIM([1]Raw_Data!A1466),4,2)),VALUE(LEFT(TRIM([1]Raw_Data!A1466),2)))</f>
        <v>44473</v>
      </c>
      <c r="B1468" s="3" t="str">
        <f>TRIM([1]Raw_Data!B1466)</f>
        <v>Collagen Peptides</v>
      </c>
      <c r="C1468" s="3" t="str">
        <f>TRIM([1]Raw_Data!C1466)</f>
        <v>Protein</v>
      </c>
      <c r="D1468" s="3">
        <f>[1]Raw_Data!D1466</f>
        <v>142</v>
      </c>
      <c r="E1468" s="4">
        <f>[1]Raw_Data!E1466</f>
        <v>15.61</v>
      </c>
      <c r="F1468" s="5">
        <f>[1]Raw_Data!F1466</f>
        <v>2216.62</v>
      </c>
      <c r="G1468" s="4">
        <f>[1]Raw_Data!G1466</f>
        <v>7.0000000000000007E-2</v>
      </c>
      <c r="H1468" s="3">
        <f>[1]Raw_Data!H1466</f>
        <v>2</v>
      </c>
      <c r="I1468" s="3" t="str">
        <f>TRIM([1]Raw_Data!I1466)</f>
        <v>USA</v>
      </c>
      <c r="J1468" s="3" t="str">
        <f>TRIM([1]Raw_Data!J1466)</f>
        <v>Amazon</v>
      </c>
      <c r="K1468" s="3">
        <f t="shared" si="88"/>
        <v>2021</v>
      </c>
      <c r="L1468" s="6">
        <f t="shared" si="89"/>
        <v>44470</v>
      </c>
      <c r="M1468" s="3" t="str">
        <f t="shared" si="90"/>
        <v>6% to 10%</v>
      </c>
      <c r="N1468" s="3" t="str">
        <f t="shared" si="91"/>
        <v>OK</v>
      </c>
    </row>
    <row r="1469" spans="1:14" x14ac:dyDescent="0.3">
      <c r="A1469" s="2">
        <f>DATE(VALUE(RIGHT(TRIM([1]Raw_Data!A1467),4)),VALUE(MID(TRIM([1]Raw_Data!A1467),4,2)),VALUE(LEFT(TRIM([1]Raw_Data!A1467),2)))</f>
        <v>44473</v>
      </c>
      <c r="B1469" s="3" t="str">
        <f>TRIM([1]Raw_Data!B1467)</f>
        <v>Magnesium</v>
      </c>
      <c r="C1469" s="3" t="str">
        <f>TRIM([1]Raw_Data!C1467)</f>
        <v>Mineral</v>
      </c>
      <c r="D1469" s="3">
        <f>[1]Raw_Data!D1467</f>
        <v>154</v>
      </c>
      <c r="E1469" s="4">
        <f>[1]Raw_Data!E1467</f>
        <v>19.32</v>
      </c>
      <c r="F1469" s="5">
        <f>[1]Raw_Data!F1467</f>
        <v>2975.28</v>
      </c>
      <c r="G1469" s="4">
        <f>[1]Raw_Data!G1467</f>
        <v>0.02</v>
      </c>
      <c r="H1469" s="3">
        <f>[1]Raw_Data!H1467</f>
        <v>1</v>
      </c>
      <c r="I1469" s="3" t="str">
        <f>TRIM([1]Raw_Data!I1467)</f>
        <v>UK</v>
      </c>
      <c r="J1469" s="3" t="str">
        <f>TRIM([1]Raw_Data!J1467)</f>
        <v>Amazon</v>
      </c>
      <c r="K1469" s="3">
        <f t="shared" si="88"/>
        <v>2021</v>
      </c>
      <c r="L1469" s="6">
        <f t="shared" si="89"/>
        <v>44470</v>
      </c>
      <c r="M1469" s="3" t="str">
        <f t="shared" si="90"/>
        <v>0% to 5%</v>
      </c>
      <c r="N1469" s="3" t="str">
        <f t="shared" si="91"/>
        <v>OK</v>
      </c>
    </row>
    <row r="1470" spans="1:14" x14ac:dyDescent="0.3">
      <c r="A1470" s="2">
        <f>DATE(VALUE(RIGHT(TRIM([1]Raw_Data!A1468),4)),VALUE(MID(TRIM([1]Raw_Data!A1468),4,2)),VALUE(LEFT(TRIM([1]Raw_Data!A1468),2)))</f>
        <v>44473</v>
      </c>
      <c r="B1470" s="3" t="str">
        <f>TRIM([1]Raw_Data!B1468)</f>
        <v>Ashwagandha</v>
      </c>
      <c r="C1470" s="3" t="str">
        <f>TRIM([1]Raw_Data!C1468)</f>
        <v>Herbal</v>
      </c>
      <c r="D1470" s="3">
        <f>[1]Raw_Data!D1468</f>
        <v>150</v>
      </c>
      <c r="E1470" s="4">
        <f>[1]Raw_Data!E1468</f>
        <v>27.42</v>
      </c>
      <c r="F1470" s="5">
        <f>[1]Raw_Data!F1468</f>
        <v>4113</v>
      </c>
      <c r="G1470" s="4">
        <f>[1]Raw_Data!G1468</f>
        <v>0.04</v>
      </c>
      <c r="H1470" s="3">
        <f>[1]Raw_Data!H1468</f>
        <v>2</v>
      </c>
      <c r="I1470" s="3" t="str">
        <f>TRIM([1]Raw_Data!I1468)</f>
        <v>USA</v>
      </c>
      <c r="J1470" s="3" t="str">
        <f>TRIM([1]Raw_Data!J1468)</f>
        <v>Walmart</v>
      </c>
      <c r="K1470" s="3">
        <f t="shared" si="88"/>
        <v>2021</v>
      </c>
      <c r="L1470" s="6">
        <f t="shared" si="89"/>
        <v>44470</v>
      </c>
      <c r="M1470" s="3" t="str">
        <f t="shared" si="90"/>
        <v>0% to 5%</v>
      </c>
      <c r="N1470" s="3" t="str">
        <f t="shared" si="91"/>
        <v>OK</v>
      </c>
    </row>
    <row r="1471" spans="1:14" x14ac:dyDescent="0.3">
      <c r="A1471" s="2">
        <f>DATE(VALUE(RIGHT(TRIM([1]Raw_Data!A1469),4)),VALUE(MID(TRIM([1]Raw_Data!A1469),4,2)),VALUE(LEFT(TRIM([1]Raw_Data!A1469),2)))</f>
        <v>44473</v>
      </c>
      <c r="B1471" s="3" t="str">
        <f>TRIM([1]Raw_Data!B1469)</f>
        <v>Melatonin</v>
      </c>
      <c r="C1471" s="3" t="str">
        <f>TRIM([1]Raw_Data!C1469)</f>
        <v>Sleep Aid</v>
      </c>
      <c r="D1471" s="3">
        <f>[1]Raw_Data!D1469</f>
        <v>149</v>
      </c>
      <c r="E1471" s="4">
        <f>[1]Raw_Data!E1469</f>
        <v>31.38</v>
      </c>
      <c r="F1471" s="5">
        <f>[1]Raw_Data!F1469</f>
        <v>4675.62</v>
      </c>
      <c r="G1471" s="4">
        <f>[1]Raw_Data!G1469</f>
        <v>0.24</v>
      </c>
      <c r="H1471" s="3">
        <f>[1]Raw_Data!H1469</f>
        <v>0</v>
      </c>
      <c r="I1471" s="3" t="str">
        <f>TRIM([1]Raw_Data!I1469)</f>
        <v>Canada</v>
      </c>
      <c r="J1471" s="3" t="str">
        <f>TRIM([1]Raw_Data!J1469)</f>
        <v>iHerb</v>
      </c>
      <c r="K1471" s="3">
        <f t="shared" si="88"/>
        <v>2021</v>
      </c>
      <c r="L1471" s="6">
        <f t="shared" si="89"/>
        <v>44470</v>
      </c>
      <c r="M1471" s="3" t="str">
        <f t="shared" si="90"/>
        <v>21% to 25%</v>
      </c>
      <c r="N1471" s="3" t="str">
        <f t="shared" si="91"/>
        <v>OK</v>
      </c>
    </row>
    <row r="1472" spans="1:14" x14ac:dyDescent="0.3">
      <c r="A1472" s="2">
        <f>DATE(VALUE(RIGHT(TRIM([1]Raw_Data!A1470),4)),VALUE(MID(TRIM([1]Raw_Data!A1470),4,2)),VALUE(LEFT(TRIM([1]Raw_Data!A1470),2)))</f>
        <v>44473</v>
      </c>
      <c r="B1472" s="3" t="str">
        <f>TRIM([1]Raw_Data!B1470)</f>
        <v>Biotin</v>
      </c>
      <c r="C1472" s="3" t="str">
        <f>TRIM([1]Raw_Data!C1470)</f>
        <v>Vitamin</v>
      </c>
      <c r="D1472" s="3">
        <f>[1]Raw_Data!D1470</f>
        <v>151</v>
      </c>
      <c r="E1472" s="4">
        <f>[1]Raw_Data!E1470</f>
        <v>37.840000000000003</v>
      </c>
      <c r="F1472" s="5">
        <f>[1]Raw_Data!F1470</f>
        <v>5713.84</v>
      </c>
      <c r="G1472" s="4">
        <f>[1]Raw_Data!G1470</f>
        <v>0.23</v>
      </c>
      <c r="H1472" s="3">
        <f>[1]Raw_Data!H1470</f>
        <v>1</v>
      </c>
      <c r="I1472" s="3" t="str">
        <f>TRIM([1]Raw_Data!I1470)</f>
        <v>UK</v>
      </c>
      <c r="J1472" s="3" t="str">
        <f>TRIM([1]Raw_Data!J1470)</f>
        <v>Walmart</v>
      </c>
      <c r="K1472" s="3">
        <f t="shared" si="88"/>
        <v>2021</v>
      </c>
      <c r="L1472" s="6">
        <f t="shared" si="89"/>
        <v>44470</v>
      </c>
      <c r="M1472" s="3" t="str">
        <f t="shared" si="90"/>
        <v>21% to 25%</v>
      </c>
      <c r="N1472" s="3" t="str">
        <f t="shared" si="91"/>
        <v>OK</v>
      </c>
    </row>
    <row r="1473" spans="1:14" x14ac:dyDescent="0.3">
      <c r="A1473" s="2">
        <f>DATE(VALUE(RIGHT(TRIM([1]Raw_Data!A1471),4)),VALUE(MID(TRIM([1]Raw_Data!A1471),4,2)),VALUE(LEFT(TRIM([1]Raw_Data!A1471),2)))</f>
        <v>44473</v>
      </c>
      <c r="B1473" s="3" t="str">
        <f>TRIM([1]Raw_Data!B1471)</f>
        <v>Green Tea Extract</v>
      </c>
      <c r="C1473" s="3" t="str">
        <f>TRIM([1]Raw_Data!C1471)</f>
        <v>Fat Burner</v>
      </c>
      <c r="D1473" s="3">
        <f>[1]Raw_Data!D1471</f>
        <v>149</v>
      </c>
      <c r="E1473" s="4">
        <f>[1]Raw_Data!E1471</f>
        <v>40.450000000000003</v>
      </c>
      <c r="F1473" s="5">
        <f>[1]Raw_Data!F1471</f>
        <v>6027.05</v>
      </c>
      <c r="G1473" s="4">
        <f>[1]Raw_Data!G1471</f>
        <v>7.0000000000000007E-2</v>
      </c>
      <c r="H1473" s="3">
        <f>[1]Raw_Data!H1471</f>
        <v>0</v>
      </c>
      <c r="I1473" s="3" t="str">
        <f>TRIM([1]Raw_Data!I1471)</f>
        <v>USA</v>
      </c>
      <c r="J1473" s="3" t="str">
        <f>TRIM([1]Raw_Data!J1471)</f>
        <v>Amazon</v>
      </c>
      <c r="K1473" s="3">
        <f t="shared" si="88"/>
        <v>2021</v>
      </c>
      <c r="L1473" s="6">
        <f t="shared" si="89"/>
        <v>44470</v>
      </c>
      <c r="M1473" s="3" t="str">
        <f t="shared" si="90"/>
        <v>6% to 10%</v>
      </c>
      <c r="N1473" s="3" t="str">
        <f t="shared" si="91"/>
        <v>OK</v>
      </c>
    </row>
    <row r="1474" spans="1:14" x14ac:dyDescent="0.3">
      <c r="A1474" s="2">
        <f>DATE(VALUE(RIGHT(TRIM([1]Raw_Data!A1472),4)),VALUE(MID(TRIM([1]Raw_Data!A1472),4,2)),VALUE(LEFT(TRIM([1]Raw_Data!A1472),2)))</f>
        <v>44473</v>
      </c>
      <c r="B1474" s="3" t="str">
        <f>TRIM([1]Raw_Data!B1472)</f>
        <v>Iron Supplement</v>
      </c>
      <c r="C1474" s="3" t="str">
        <f>TRIM([1]Raw_Data!C1472)</f>
        <v>Mineral</v>
      </c>
      <c r="D1474" s="3">
        <f>[1]Raw_Data!D1472</f>
        <v>151</v>
      </c>
      <c r="E1474" s="4">
        <f>[1]Raw_Data!E1472</f>
        <v>13.79</v>
      </c>
      <c r="F1474" s="5">
        <f>[1]Raw_Data!F1472</f>
        <v>2082.29</v>
      </c>
      <c r="G1474" s="4">
        <f>[1]Raw_Data!G1472</f>
        <v>0.17</v>
      </c>
      <c r="H1474" s="3">
        <f>[1]Raw_Data!H1472</f>
        <v>2</v>
      </c>
      <c r="I1474" s="3" t="str">
        <f>TRIM([1]Raw_Data!I1472)</f>
        <v>USA</v>
      </c>
      <c r="J1474" s="3" t="str">
        <f>TRIM([1]Raw_Data!J1472)</f>
        <v>Amazon</v>
      </c>
      <c r="K1474" s="3">
        <f t="shared" si="88"/>
        <v>2021</v>
      </c>
      <c r="L1474" s="6">
        <f t="shared" si="89"/>
        <v>44470</v>
      </c>
      <c r="M1474" s="3" t="str">
        <f t="shared" si="90"/>
        <v>16% to 20%</v>
      </c>
      <c r="N1474" s="3" t="str">
        <f t="shared" si="91"/>
        <v>OK</v>
      </c>
    </row>
    <row r="1475" spans="1:14" x14ac:dyDescent="0.3">
      <c r="A1475" s="2">
        <f>DATE(VALUE(RIGHT(TRIM([1]Raw_Data!A1473),4)),VALUE(MID(TRIM([1]Raw_Data!A1473),4,2)),VALUE(LEFT(TRIM([1]Raw_Data!A1473),2)))</f>
        <v>44473</v>
      </c>
      <c r="B1475" s="3" t="str">
        <f>TRIM([1]Raw_Data!B1473)</f>
        <v>Electrolyte Powder</v>
      </c>
      <c r="C1475" s="3" t="str">
        <f>TRIM([1]Raw_Data!C1473)</f>
        <v>Hydration</v>
      </c>
      <c r="D1475" s="3">
        <f>[1]Raw_Data!D1473</f>
        <v>138</v>
      </c>
      <c r="E1475" s="4">
        <f>[1]Raw_Data!E1473</f>
        <v>46.02</v>
      </c>
      <c r="F1475" s="5">
        <f>[1]Raw_Data!F1473</f>
        <v>6350.76</v>
      </c>
      <c r="G1475" s="4">
        <f>[1]Raw_Data!G1473</f>
        <v>0.13</v>
      </c>
      <c r="H1475" s="3">
        <f>[1]Raw_Data!H1473</f>
        <v>1</v>
      </c>
      <c r="I1475" s="3" t="str">
        <f>TRIM([1]Raw_Data!I1473)</f>
        <v>Canada</v>
      </c>
      <c r="J1475" s="3" t="str">
        <f>TRIM([1]Raw_Data!J1473)</f>
        <v>Walmart</v>
      </c>
      <c r="K1475" s="3">
        <f t="shared" si="88"/>
        <v>2021</v>
      </c>
      <c r="L1475" s="6">
        <f t="shared" si="89"/>
        <v>44470</v>
      </c>
      <c r="M1475" s="3" t="str">
        <f t="shared" si="90"/>
        <v>11% to 15%</v>
      </c>
      <c r="N1475" s="3" t="str">
        <f t="shared" si="91"/>
        <v>OK</v>
      </c>
    </row>
    <row r="1476" spans="1:14" x14ac:dyDescent="0.3">
      <c r="A1476" s="2">
        <f>DATE(VALUE(RIGHT(TRIM([1]Raw_Data!A1474),4)),VALUE(MID(TRIM([1]Raw_Data!A1474),4,2)),VALUE(LEFT(TRIM([1]Raw_Data!A1474),2)))</f>
        <v>44480</v>
      </c>
      <c r="B1476" s="3" t="str">
        <f>TRIM([1]Raw_Data!B1474)</f>
        <v>Whey Protein</v>
      </c>
      <c r="C1476" s="3" t="str">
        <f>TRIM([1]Raw_Data!C1474)</f>
        <v>Protein</v>
      </c>
      <c r="D1476" s="3">
        <f>[1]Raw_Data!D1474</f>
        <v>143</v>
      </c>
      <c r="E1476" s="4">
        <f>[1]Raw_Data!E1474</f>
        <v>56.96</v>
      </c>
      <c r="F1476" s="5">
        <f>[1]Raw_Data!F1474</f>
        <v>8145.28</v>
      </c>
      <c r="G1476" s="4">
        <f>[1]Raw_Data!G1474</f>
        <v>0.17</v>
      </c>
      <c r="H1476" s="3">
        <f>[1]Raw_Data!H1474</f>
        <v>0</v>
      </c>
      <c r="I1476" s="3" t="str">
        <f>TRIM([1]Raw_Data!I1474)</f>
        <v>Canada</v>
      </c>
      <c r="J1476" s="3" t="str">
        <f>TRIM([1]Raw_Data!J1474)</f>
        <v>Amazon</v>
      </c>
      <c r="K1476" s="3">
        <f t="shared" ref="K1476:K1539" si="92">YEAR(A1476)</f>
        <v>2021</v>
      </c>
      <c r="L1476" s="6">
        <f t="shared" ref="L1476:L1539" si="93">DATE(YEAR(A1476),MONTH(A1476),1)</f>
        <v>44470</v>
      </c>
      <c r="M1476" s="3" t="str">
        <f t="shared" ref="M1476:M1539" si="94">IF(ROUND(G1476*100,0)&lt;=5,"0% to 5%",IF(ROUND(G1476*100,0)&lt;=10,"6% to 10%",IF(ROUND(G1476*100,0)&lt;=15,"11% to 15%",IF(ROUND(G1476*100,0)&lt;=20,"16% to 20%","21% to 25%"))))</f>
        <v>16% to 20%</v>
      </c>
      <c r="N1476" s="3" t="str">
        <f t="shared" ref="N1476:N1539" si="95">IF(ROUND(D1476*E1476,2)=ROUND(F1476,2),"OK","Check")</f>
        <v>OK</v>
      </c>
    </row>
    <row r="1477" spans="1:14" x14ac:dyDescent="0.3">
      <c r="A1477" s="2">
        <f>DATE(VALUE(RIGHT(TRIM([1]Raw_Data!A1475),4)),VALUE(MID(TRIM([1]Raw_Data!A1475),4,2)),VALUE(LEFT(TRIM([1]Raw_Data!A1475),2)))</f>
        <v>44480</v>
      </c>
      <c r="B1477" s="3" t="str">
        <f>TRIM([1]Raw_Data!B1475)</f>
        <v>Vitamin C</v>
      </c>
      <c r="C1477" s="3" t="str">
        <f>TRIM([1]Raw_Data!C1475)</f>
        <v>Vitamin</v>
      </c>
      <c r="D1477" s="3">
        <f>[1]Raw_Data!D1475</f>
        <v>149</v>
      </c>
      <c r="E1477" s="4">
        <f>[1]Raw_Data!E1475</f>
        <v>14.72</v>
      </c>
      <c r="F1477" s="5">
        <f>[1]Raw_Data!F1475</f>
        <v>2193.2800000000002</v>
      </c>
      <c r="G1477" s="4">
        <f>[1]Raw_Data!G1475</f>
        <v>0.25</v>
      </c>
      <c r="H1477" s="3">
        <f>[1]Raw_Data!H1475</f>
        <v>4</v>
      </c>
      <c r="I1477" s="3" t="str">
        <f>TRIM([1]Raw_Data!I1475)</f>
        <v>UK</v>
      </c>
      <c r="J1477" s="3" t="str">
        <f>TRIM([1]Raw_Data!J1475)</f>
        <v>Walmart</v>
      </c>
      <c r="K1477" s="3">
        <f t="shared" si="92"/>
        <v>2021</v>
      </c>
      <c r="L1477" s="6">
        <f t="shared" si="93"/>
        <v>44470</v>
      </c>
      <c r="M1477" s="3" t="str">
        <f t="shared" si="94"/>
        <v>21% to 25%</v>
      </c>
      <c r="N1477" s="3" t="str">
        <f t="shared" si="95"/>
        <v>OK</v>
      </c>
    </row>
    <row r="1478" spans="1:14" x14ac:dyDescent="0.3">
      <c r="A1478" s="2">
        <f>DATE(VALUE(RIGHT(TRIM([1]Raw_Data!A1476),4)),VALUE(MID(TRIM([1]Raw_Data!A1476),4,2)),VALUE(LEFT(TRIM([1]Raw_Data!A1476),2)))</f>
        <v>44480</v>
      </c>
      <c r="B1478" s="3" t="str">
        <f>TRIM([1]Raw_Data!B1476)</f>
        <v>Fish Oil</v>
      </c>
      <c r="C1478" s="3" t="str">
        <f>TRIM([1]Raw_Data!C1476)</f>
        <v>Omega</v>
      </c>
      <c r="D1478" s="3">
        <f>[1]Raw_Data!D1476</f>
        <v>129</v>
      </c>
      <c r="E1478" s="4">
        <f>[1]Raw_Data!E1476</f>
        <v>28.16</v>
      </c>
      <c r="F1478" s="5">
        <f>[1]Raw_Data!F1476</f>
        <v>3632.64</v>
      </c>
      <c r="G1478" s="4">
        <f>[1]Raw_Data!G1476</f>
        <v>0.21</v>
      </c>
      <c r="H1478" s="3">
        <f>[1]Raw_Data!H1476</f>
        <v>1</v>
      </c>
      <c r="I1478" s="3" t="str">
        <f>TRIM([1]Raw_Data!I1476)</f>
        <v>UK</v>
      </c>
      <c r="J1478" s="3" t="str">
        <f>TRIM([1]Raw_Data!J1476)</f>
        <v>Amazon</v>
      </c>
      <c r="K1478" s="3">
        <f t="shared" si="92"/>
        <v>2021</v>
      </c>
      <c r="L1478" s="6">
        <f t="shared" si="93"/>
        <v>44470</v>
      </c>
      <c r="M1478" s="3" t="str">
        <f t="shared" si="94"/>
        <v>21% to 25%</v>
      </c>
      <c r="N1478" s="3" t="str">
        <f t="shared" si="95"/>
        <v>OK</v>
      </c>
    </row>
    <row r="1479" spans="1:14" x14ac:dyDescent="0.3">
      <c r="A1479" s="2">
        <f>DATE(VALUE(RIGHT(TRIM([1]Raw_Data!A1477),4)),VALUE(MID(TRIM([1]Raw_Data!A1477),4,2)),VALUE(LEFT(TRIM([1]Raw_Data!A1477),2)))</f>
        <v>44480</v>
      </c>
      <c r="B1479" s="3" t="str">
        <f>TRIM([1]Raw_Data!B1477)</f>
        <v>Multivitamin</v>
      </c>
      <c r="C1479" s="3" t="str">
        <f>TRIM([1]Raw_Data!C1477)</f>
        <v>Vitamin</v>
      </c>
      <c r="D1479" s="3">
        <f>[1]Raw_Data!D1477</f>
        <v>148</v>
      </c>
      <c r="E1479" s="4">
        <f>[1]Raw_Data!E1477</f>
        <v>48.72</v>
      </c>
      <c r="F1479" s="5">
        <f>[1]Raw_Data!F1477</f>
        <v>7210.56</v>
      </c>
      <c r="G1479" s="4">
        <f>[1]Raw_Data!G1477</f>
        <v>0.01</v>
      </c>
      <c r="H1479" s="3">
        <f>[1]Raw_Data!H1477</f>
        <v>2</v>
      </c>
      <c r="I1479" s="3" t="str">
        <f>TRIM([1]Raw_Data!I1477)</f>
        <v>Canada</v>
      </c>
      <c r="J1479" s="3" t="str">
        <f>TRIM([1]Raw_Data!J1477)</f>
        <v>Amazon</v>
      </c>
      <c r="K1479" s="3">
        <f t="shared" si="92"/>
        <v>2021</v>
      </c>
      <c r="L1479" s="6">
        <f t="shared" si="93"/>
        <v>44470</v>
      </c>
      <c r="M1479" s="3" t="str">
        <f t="shared" si="94"/>
        <v>0% to 5%</v>
      </c>
      <c r="N1479" s="3" t="str">
        <f t="shared" si="95"/>
        <v>OK</v>
      </c>
    </row>
    <row r="1480" spans="1:14" x14ac:dyDescent="0.3">
      <c r="A1480" s="2">
        <f>DATE(VALUE(RIGHT(TRIM([1]Raw_Data!A1478),4)),VALUE(MID(TRIM([1]Raw_Data!A1478),4,2)),VALUE(LEFT(TRIM([1]Raw_Data!A1478),2)))</f>
        <v>44480</v>
      </c>
      <c r="B1480" s="3" t="str">
        <f>TRIM([1]Raw_Data!B1478)</f>
        <v>Pre-Workout</v>
      </c>
      <c r="C1480" s="3" t="str">
        <f>TRIM([1]Raw_Data!C1478)</f>
        <v>Performance</v>
      </c>
      <c r="D1480" s="3">
        <f>[1]Raw_Data!D1478</f>
        <v>137</v>
      </c>
      <c r="E1480" s="4">
        <f>[1]Raw_Data!E1478</f>
        <v>27.4</v>
      </c>
      <c r="F1480" s="5">
        <f>[1]Raw_Data!F1478</f>
        <v>3753.8</v>
      </c>
      <c r="G1480" s="4">
        <f>[1]Raw_Data!G1478</f>
        <v>0.12</v>
      </c>
      <c r="H1480" s="3">
        <f>[1]Raw_Data!H1478</f>
        <v>1</v>
      </c>
      <c r="I1480" s="3" t="str">
        <f>TRIM([1]Raw_Data!I1478)</f>
        <v>USA</v>
      </c>
      <c r="J1480" s="3" t="str">
        <f>TRIM([1]Raw_Data!J1478)</f>
        <v>Amazon</v>
      </c>
      <c r="K1480" s="3">
        <f t="shared" si="92"/>
        <v>2021</v>
      </c>
      <c r="L1480" s="6">
        <f t="shared" si="93"/>
        <v>44470</v>
      </c>
      <c r="M1480" s="3" t="str">
        <f t="shared" si="94"/>
        <v>11% to 15%</v>
      </c>
      <c r="N1480" s="3" t="str">
        <f t="shared" si="95"/>
        <v>OK</v>
      </c>
    </row>
    <row r="1481" spans="1:14" x14ac:dyDescent="0.3">
      <c r="A1481" s="2">
        <f>DATE(VALUE(RIGHT(TRIM([1]Raw_Data!A1479),4)),VALUE(MID(TRIM([1]Raw_Data!A1479),4,2)),VALUE(LEFT(TRIM([1]Raw_Data!A1479),2)))</f>
        <v>44480</v>
      </c>
      <c r="B1481" s="3" t="str">
        <f>TRIM([1]Raw_Data!B1479)</f>
        <v>BCAA</v>
      </c>
      <c r="C1481" s="3" t="str">
        <f>TRIM([1]Raw_Data!C1479)</f>
        <v>Amino Acid</v>
      </c>
      <c r="D1481" s="3">
        <f>[1]Raw_Data!D1479</f>
        <v>132</v>
      </c>
      <c r="E1481" s="4">
        <f>[1]Raw_Data!E1479</f>
        <v>11.67</v>
      </c>
      <c r="F1481" s="5">
        <f>[1]Raw_Data!F1479</f>
        <v>1540.44</v>
      </c>
      <c r="G1481" s="4">
        <f>[1]Raw_Data!G1479</f>
        <v>0.12</v>
      </c>
      <c r="H1481" s="3">
        <f>[1]Raw_Data!H1479</f>
        <v>3</v>
      </c>
      <c r="I1481" s="3" t="str">
        <f>TRIM([1]Raw_Data!I1479)</f>
        <v>UK</v>
      </c>
      <c r="J1481" s="3" t="str">
        <f>TRIM([1]Raw_Data!J1479)</f>
        <v>iHerb</v>
      </c>
      <c r="K1481" s="3">
        <f t="shared" si="92"/>
        <v>2021</v>
      </c>
      <c r="L1481" s="6">
        <f t="shared" si="93"/>
        <v>44470</v>
      </c>
      <c r="M1481" s="3" t="str">
        <f t="shared" si="94"/>
        <v>11% to 15%</v>
      </c>
      <c r="N1481" s="3" t="str">
        <f t="shared" si="95"/>
        <v>OK</v>
      </c>
    </row>
    <row r="1482" spans="1:14" x14ac:dyDescent="0.3">
      <c r="A1482" s="2">
        <f>DATE(VALUE(RIGHT(TRIM([1]Raw_Data!A1480),4)),VALUE(MID(TRIM([1]Raw_Data!A1480),4,2)),VALUE(LEFT(TRIM([1]Raw_Data!A1480),2)))</f>
        <v>44480</v>
      </c>
      <c r="B1482" s="3" t="str">
        <f>TRIM([1]Raw_Data!B1480)</f>
        <v>Creatine</v>
      </c>
      <c r="C1482" s="3" t="str">
        <f>TRIM([1]Raw_Data!C1480)</f>
        <v>Performance</v>
      </c>
      <c r="D1482" s="3">
        <f>[1]Raw_Data!D1480</f>
        <v>159</v>
      </c>
      <c r="E1482" s="4">
        <f>[1]Raw_Data!E1480</f>
        <v>42.26</v>
      </c>
      <c r="F1482" s="5">
        <f>[1]Raw_Data!F1480</f>
        <v>6719.34</v>
      </c>
      <c r="G1482" s="4">
        <f>[1]Raw_Data!G1480</f>
        <v>0.21</v>
      </c>
      <c r="H1482" s="3">
        <f>[1]Raw_Data!H1480</f>
        <v>0</v>
      </c>
      <c r="I1482" s="3" t="str">
        <f>TRIM([1]Raw_Data!I1480)</f>
        <v>USA</v>
      </c>
      <c r="J1482" s="3" t="str">
        <f>TRIM([1]Raw_Data!J1480)</f>
        <v>Amazon</v>
      </c>
      <c r="K1482" s="3">
        <f t="shared" si="92"/>
        <v>2021</v>
      </c>
      <c r="L1482" s="6">
        <f t="shared" si="93"/>
        <v>44470</v>
      </c>
      <c r="M1482" s="3" t="str">
        <f t="shared" si="94"/>
        <v>21% to 25%</v>
      </c>
      <c r="N1482" s="3" t="str">
        <f t="shared" si="95"/>
        <v>OK</v>
      </c>
    </row>
    <row r="1483" spans="1:14" x14ac:dyDescent="0.3">
      <c r="A1483" s="2">
        <f>DATE(VALUE(RIGHT(TRIM([1]Raw_Data!A1481),4)),VALUE(MID(TRIM([1]Raw_Data!A1481),4,2)),VALUE(LEFT(TRIM([1]Raw_Data!A1481),2)))</f>
        <v>44480</v>
      </c>
      <c r="B1483" s="3" t="str">
        <f>TRIM([1]Raw_Data!B1481)</f>
        <v>Zinc</v>
      </c>
      <c r="C1483" s="3" t="str">
        <f>TRIM([1]Raw_Data!C1481)</f>
        <v>Mineral</v>
      </c>
      <c r="D1483" s="3">
        <f>[1]Raw_Data!D1481</f>
        <v>150</v>
      </c>
      <c r="E1483" s="4">
        <f>[1]Raw_Data!E1481</f>
        <v>39.340000000000003</v>
      </c>
      <c r="F1483" s="5">
        <f>[1]Raw_Data!F1481</f>
        <v>5901</v>
      </c>
      <c r="G1483" s="4">
        <f>[1]Raw_Data!G1481</f>
        <v>0.21</v>
      </c>
      <c r="H1483" s="3">
        <f>[1]Raw_Data!H1481</f>
        <v>0</v>
      </c>
      <c r="I1483" s="3" t="str">
        <f>TRIM([1]Raw_Data!I1481)</f>
        <v>Canada</v>
      </c>
      <c r="J1483" s="3" t="str">
        <f>TRIM([1]Raw_Data!J1481)</f>
        <v>Amazon</v>
      </c>
      <c r="K1483" s="3">
        <f t="shared" si="92"/>
        <v>2021</v>
      </c>
      <c r="L1483" s="6">
        <f t="shared" si="93"/>
        <v>44470</v>
      </c>
      <c r="M1483" s="3" t="str">
        <f t="shared" si="94"/>
        <v>21% to 25%</v>
      </c>
      <c r="N1483" s="3" t="str">
        <f t="shared" si="95"/>
        <v>OK</v>
      </c>
    </row>
    <row r="1484" spans="1:14" x14ac:dyDescent="0.3">
      <c r="A1484" s="2">
        <f>DATE(VALUE(RIGHT(TRIM([1]Raw_Data!A1482),4)),VALUE(MID(TRIM([1]Raw_Data!A1482),4,2)),VALUE(LEFT(TRIM([1]Raw_Data!A1482),2)))</f>
        <v>44480</v>
      </c>
      <c r="B1484" s="3" t="str">
        <f>TRIM([1]Raw_Data!B1482)</f>
        <v>Collagen Peptides</v>
      </c>
      <c r="C1484" s="3" t="str">
        <f>TRIM([1]Raw_Data!C1482)</f>
        <v>Protein</v>
      </c>
      <c r="D1484" s="3">
        <f>[1]Raw_Data!D1482</f>
        <v>157</v>
      </c>
      <c r="E1484" s="4">
        <f>[1]Raw_Data!E1482</f>
        <v>28.96</v>
      </c>
      <c r="F1484" s="5">
        <f>[1]Raw_Data!F1482</f>
        <v>4546.72</v>
      </c>
      <c r="G1484" s="4">
        <f>[1]Raw_Data!G1482</f>
        <v>0.09</v>
      </c>
      <c r="H1484" s="3">
        <f>[1]Raw_Data!H1482</f>
        <v>2</v>
      </c>
      <c r="I1484" s="3" t="str">
        <f>TRIM([1]Raw_Data!I1482)</f>
        <v>UK</v>
      </c>
      <c r="J1484" s="3" t="str">
        <f>TRIM([1]Raw_Data!J1482)</f>
        <v>Walmart</v>
      </c>
      <c r="K1484" s="3">
        <f t="shared" si="92"/>
        <v>2021</v>
      </c>
      <c r="L1484" s="6">
        <f t="shared" si="93"/>
        <v>44470</v>
      </c>
      <c r="M1484" s="3" t="str">
        <f t="shared" si="94"/>
        <v>6% to 10%</v>
      </c>
      <c r="N1484" s="3" t="str">
        <f t="shared" si="95"/>
        <v>OK</v>
      </c>
    </row>
    <row r="1485" spans="1:14" x14ac:dyDescent="0.3">
      <c r="A1485" s="2">
        <f>DATE(VALUE(RIGHT(TRIM([1]Raw_Data!A1483),4)),VALUE(MID(TRIM([1]Raw_Data!A1483),4,2)),VALUE(LEFT(TRIM([1]Raw_Data!A1483),2)))</f>
        <v>44480</v>
      </c>
      <c r="B1485" s="3" t="str">
        <f>TRIM([1]Raw_Data!B1483)</f>
        <v>Magnesium</v>
      </c>
      <c r="C1485" s="3" t="str">
        <f>TRIM([1]Raw_Data!C1483)</f>
        <v>Mineral</v>
      </c>
      <c r="D1485" s="3">
        <f>[1]Raw_Data!D1483</f>
        <v>168</v>
      </c>
      <c r="E1485" s="4">
        <f>[1]Raw_Data!E1483</f>
        <v>51.24</v>
      </c>
      <c r="F1485" s="5">
        <f>[1]Raw_Data!F1483</f>
        <v>8608.32</v>
      </c>
      <c r="G1485" s="4">
        <f>[1]Raw_Data!G1483</f>
        <v>0.1</v>
      </c>
      <c r="H1485" s="3">
        <f>[1]Raw_Data!H1483</f>
        <v>0</v>
      </c>
      <c r="I1485" s="3" t="str">
        <f>TRIM([1]Raw_Data!I1483)</f>
        <v>USA</v>
      </c>
      <c r="J1485" s="3" t="str">
        <f>TRIM([1]Raw_Data!J1483)</f>
        <v>Walmart</v>
      </c>
      <c r="K1485" s="3">
        <f t="shared" si="92"/>
        <v>2021</v>
      </c>
      <c r="L1485" s="6">
        <f t="shared" si="93"/>
        <v>44470</v>
      </c>
      <c r="M1485" s="3" t="str">
        <f t="shared" si="94"/>
        <v>6% to 10%</v>
      </c>
      <c r="N1485" s="3" t="str">
        <f t="shared" si="95"/>
        <v>OK</v>
      </c>
    </row>
    <row r="1486" spans="1:14" x14ac:dyDescent="0.3">
      <c r="A1486" s="2">
        <f>DATE(VALUE(RIGHT(TRIM([1]Raw_Data!A1484),4)),VALUE(MID(TRIM([1]Raw_Data!A1484),4,2)),VALUE(LEFT(TRIM([1]Raw_Data!A1484),2)))</f>
        <v>44480</v>
      </c>
      <c r="B1486" s="3" t="str">
        <f>TRIM([1]Raw_Data!B1484)</f>
        <v>Ashwagandha</v>
      </c>
      <c r="C1486" s="3" t="str">
        <f>TRIM([1]Raw_Data!C1484)</f>
        <v>Herbal</v>
      </c>
      <c r="D1486" s="3">
        <f>[1]Raw_Data!D1484</f>
        <v>125</v>
      </c>
      <c r="E1486" s="4">
        <f>[1]Raw_Data!E1484</f>
        <v>29.01</v>
      </c>
      <c r="F1486" s="5">
        <f>[1]Raw_Data!F1484</f>
        <v>3626.25</v>
      </c>
      <c r="G1486" s="4">
        <f>[1]Raw_Data!G1484</f>
        <v>0.08</v>
      </c>
      <c r="H1486" s="3">
        <f>[1]Raw_Data!H1484</f>
        <v>2</v>
      </c>
      <c r="I1486" s="3" t="str">
        <f>TRIM([1]Raw_Data!I1484)</f>
        <v>USA</v>
      </c>
      <c r="J1486" s="3" t="str">
        <f>TRIM([1]Raw_Data!J1484)</f>
        <v>Walmart</v>
      </c>
      <c r="K1486" s="3">
        <f t="shared" si="92"/>
        <v>2021</v>
      </c>
      <c r="L1486" s="6">
        <f t="shared" si="93"/>
        <v>44470</v>
      </c>
      <c r="M1486" s="3" t="str">
        <f t="shared" si="94"/>
        <v>6% to 10%</v>
      </c>
      <c r="N1486" s="3" t="str">
        <f t="shared" si="95"/>
        <v>OK</v>
      </c>
    </row>
    <row r="1487" spans="1:14" x14ac:dyDescent="0.3">
      <c r="A1487" s="2">
        <f>DATE(VALUE(RIGHT(TRIM([1]Raw_Data!A1485),4)),VALUE(MID(TRIM([1]Raw_Data!A1485),4,2)),VALUE(LEFT(TRIM([1]Raw_Data!A1485),2)))</f>
        <v>44480</v>
      </c>
      <c r="B1487" s="3" t="str">
        <f>TRIM([1]Raw_Data!B1485)</f>
        <v>Melatonin</v>
      </c>
      <c r="C1487" s="3" t="str">
        <f>TRIM([1]Raw_Data!C1485)</f>
        <v>Sleep Aid</v>
      </c>
      <c r="D1487" s="3">
        <f>[1]Raw_Data!D1485</f>
        <v>159</v>
      </c>
      <c r="E1487" s="4">
        <f>[1]Raw_Data!E1485</f>
        <v>21.06</v>
      </c>
      <c r="F1487" s="5">
        <f>[1]Raw_Data!F1485</f>
        <v>3348.54</v>
      </c>
      <c r="G1487" s="4">
        <f>[1]Raw_Data!G1485</f>
        <v>7.0000000000000007E-2</v>
      </c>
      <c r="H1487" s="3">
        <f>[1]Raw_Data!H1485</f>
        <v>2</v>
      </c>
      <c r="I1487" s="3" t="str">
        <f>TRIM([1]Raw_Data!I1485)</f>
        <v>USA</v>
      </c>
      <c r="J1487" s="3" t="str">
        <f>TRIM([1]Raw_Data!J1485)</f>
        <v>Walmart</v>
      </c>
      <c r="K1487" s="3">
        <f t="shared" si="92"/>
        <v>2021</v>
      </c>
      <c r="L1487" s="6">
        <f t="shared" si="93"/>
        <v>44470</v>
      </c>
      <c r="M1487" s="3" t="str">
        <f t="shared" si="94"/>
        <v>6% to 10%</v>
      </c>
      <c r="N1487" s="3" t="str">
        <f t="shared" si="95"/>
        <v>OK</v>
      </c>
    </row>
    <row r="1488" spans="1:14" x14ac:dyDescent="0.3">
      <c r="A1488" s="2">
        <f>DATE(VALUE(RIGHT(TRIM([1]Raw_Data!A1486),4)),VALUE(MID(TRIM([1]Raw_Data!A1486),4,2)),VALUE(LEFT(TRIM([1]Raw_Data!A1486),2)))</f>
        <v>44480</v>
      </c>
      <c r="B1488" s="3" t="str">
        <f>TRIM([1]Raw_Data!B1486)</f>
        <v>Biotin</v>
      </c>
      <c r="C1488" s="3" t="str">
        <f>TRIM([1]Raw_Data!C1486)</f>
        <v>Vitamin</v>
      </c>
      <c r="D1488" s="3">
        <f>[1]Raw_Data!D1486</f>
        <v>135</v>
      </c>
      <c r="E1488" s="4">
        <f>[1]Raw_Data!E1486</f>
        <v>57.19</v>
      </c>
      <c r="F1488" s="5">
        <f>[1]Raw_Data!F1486</f>
        <v>7720.65</v>
      </c>
      <c r="G1488" s="4">
        <f>[1]Raw_Data!G1486</f>
        <v>0.2</v>
      </c>
      <c r="H1488" s="3">
        <f>[1]Raw_Data!H1486</f>
        <v>0</v>
      </c>
      <c r="I1488" s="3" t="str">
        <f>TRIM([1]Raw_Data!I1486)</f>
        <v>Canada</v>
      </c>
      <c r="J1488" s="3" t="str">
        <f>TRIM([1]Raw_Data!J1486)</f>
        <v>iHerb</v>
      </c>
      <c r="K1488" s="3">
        <f t="shared" si="92"/>
        <v>2021</v>
      </c>
      <c r="L1488" s="6">
        <f t="shared" si="93"/>
        <v>44470</v>
      </c>
      <c r="M1488" s="3" t="str">
        <f t="shared" si="94"/>
        <v>16% to 20%</v>
      </c>
      <c r="N1488" s="3" t="str">
        <f t="shared" si="95"/>
        <v>OK</v>
      </c>
    </row>
    <row r="1489" spans="1:14" x14ac:dyDescent="0.3">
      <c r="A1489" s="2">
        <f>DATE(VALUE(RIGHT(TRIM([1]Raw_Data!A1487),4)),VALUE(MID(TRIM([1]Raw_Data!A1487),4,2)),VALUE(LEFT(TRIM([1]Raw_Data!A1487),2)))</f>
        <v>44480</v>
      </c>
      <c r="B1489" s="3" t="str">
        <f>TRIM([1]Raw_Data!B1487)</f>
        <v>Green Tea Extract</v>
      </c>
      <c r="C1489" s="3" t="str">
        <f>TRIM([1]Raw_Data!C1487)</f>
        <v>Fat Burner</v>
      </c>
      <c r="D1489" s="3">
        <f>[1]Raw_Data!D1487</f>
        <v>147</v>
      </c>
      <c r="E1489" s="4">
        <f>[1]Raw_Data!E1487</f>
        <v>49.55</v>
      </c>
      <c r="F1489" s="5">
        <f>[1]Raw_Data!F1487</f>
        <v>7283.85</v>
      </c>
      <c r="G1489" s="4">
        <f>[1]Raw_Data!G1487</f>
        <v>0.13</v>
      </c>
      <c r="H1489" s="3">
        <f>[1]Raw_Data!H1487</f>
        <v>0</v>
      </c>
      <c r="I1489" s="3" t="str">
        <f>TRIM([1]Raw_Data!I1487)</f>
        <v>USA</v>
      </c>
      <c r="J1489" s="3" t="str">
        <f>TRIM([1]Raw_Data!J1487)</f>
        <v>iHerb</v>
      </c>
      <c r="K1489" s="3">
        <f t="shared" si="92"/>
        <v>2021</v>
      </c>
      <c r="L1489" s="6">
        <f t="shared" si="93"/>
        <v>44470</v>
      </c>
      <c r="M1489" s="3" t="str">
        <f t="shared" si="94"/>
        <v>11% to 15%</v>
      </c>
      <c r="N1489" s="3" t="str">
        <f t="shared" si="95"/>
        <v>OK</v>
      </c>
    </row>
    <row r="1490" spans="1:14" x14ac:dyDescent="0.3">
      <c r="A1490" s="2">
        <f>DATE(VALUE(RIGHT(TRIM([1]Raw_Data!A1488),4)),VALUE(MID(TRIM([1]Raw_Data!A1488),4,2)),VALUE(LEFT(TRIM([1]Raw_Data!A1488),2)))</f>
        <v>44480</v>
      </c>
      <c r="B1490" s="3" t="str">
        <f>TRIM([1]Raw_Data!B1488)</f>
        <v>Iron Supplement</v>
      </c>
      <c r="C1490" s="3" t="str">
        <f>TRIM([1]Raw_Data!C1488)</f>
        <v>Mineral</v>
      </c>
      <c r="D1490" s="3">
        <f>[1]Raw_Data!D1488</f>
        <v>159</v>
      </c>
      <c r="E1490" s="4">
        <f>[1]Raw_Data!E1488</f>
        <v>23.15</v>
      </c>
      <c r="F1490" s="5">
        <f>[1]Raw_Data!F1488</f>
        <v>3680.85</v>
      </c>
      <c r="G1490" s="4">
        <f>[1]Raw_Data!G1488</f>
        <v>0.09</v>
      </c>
      <c r="H1490" s="3">
        <f>[1]Raw_Data!H1488</f>
        <v>1</v>
      </c>
      <c r="I1490" s="3" t="str">
        <f>TRIM([1]Raw_Data!I1488)</f>
        <v>USA</v>
      </c>
      <c r="J1490" s="3" t="str">
        <f>TRIM([1]Raw_Data!J1488)</f>
        <v>Walmart</v>
      </c>
      <c r="K1490" s="3">
        <f t="shared" si="92"/>
        <v>2021</v>
      </c>
      <c r="L1490" s="6">
        <f t="shared" si="93"/>
        <v>44470</v>
      </c>
      <c r="M1490" s="3" t="str">
        <f t="shared" si="94"/>
        <v>6% to 10%</v>
      </c>
      <c r="N1490" s="3" t="str">
        <f t="shared" si="95"/>
        <v>OK</v>
      </c>
    </row>
    <row r="1491" spans="1:14" x14ac:dyDescent="0.3">
      <c r="A1491" s="2">
        <f>DATE(VALUE(RIGHT(TRIM([1]Raw_Data!A1489),4)),VALUE(MID(TRIM([1]Raw_Data!A1489),4,2)),VALUE(LEFT(TRIM([1]Raw_Data!A1489),2)))</f>
        <v>44480</v>
      </c>
      <c r="B1491" s="3" t="str">
        <f>TRIM([1]Raw_Data!B1489)</f>
        <v>Electrolyte Powder</v>
      </c>
      <c r="C1491" s="3" t="str">
        <f>TRIM([1]Raw_Data!C1489)</f>
        <v>Hydration</v>
      </c>
      <c r="D1491" s="3">
        <f>[1]Raw_Data!D1489</f>
        <v>144</v>
      </c>
      <c r="E1491" s="4">
        <f>[1]Raw_Data!E1489</f>
        <v>29.93</v>
      </c>
      <c r="F1491" s="5">
        <f>[1]Raw_Data!F1489</f>
        <v>4309.92</v>
      </c>
      <c r="G1491" s="4">
        <f>[1]Raw_Data!G1489</f>
        <v>0</v>
      </c>
      <c r="H1491" s="3">
        <f>[1]Raw_Data!H1489</f>
        <v>2</v>
      </c>
      <c r="I1491" s="3" t="str">
        <f>TRIM([1]Raw_Data!I1489)</f>
        <v>Canada</v>
      </c>
      <c r="J1491" s="3" t="str">
        <f>TRIM([1]Raw_Data!J1489)</f>
        <v>Amazon</v>
      </c>
      <c r="K1491" s="3">
        <f t="shared" si="92"/>
        <v>2021</v>
      </c>
      <c r="L1491" s="6">
        <f t="shared" si="93"/>
        <v>44470</v>
      </c>
      <c r="M1491" s="3" t="str">
        <f t="shared" si="94"/>
        <v>0% to 5%</v>
      </c>
      <c r="N1491" s="3" t="str">
        <f t="shared" si="95"/>
        <v>OK</v>
      </c>
    </row>
    <row r="1492" spans="1:14" x14ac:dyDescent="0.3">
      <c r="A1492" s="2">
        <f>DATE(VALUE(RIGHT(TRIM([1]Raw_Data!A1490),4)),VALUE(MID(TRIM([1]Raw_Data!A1490),4,2)),VALUE(LEFT(TRIM([1]Raw_Data!A1490),2)))</f>
        <v>44487</v>
      </c>
      <c r="B1492" s="3" t="str">
        <f>TRIM([1]Raw_Data!B1490)</f>
        <v>Whey Protein</v>
      </c>
      <c r="C1492" s="3" t="str">
        <f>TRIM([1]Raw_Data!C1490)</f>
        <v>Protein</v>
      </c>
      <c r="D1492" s="3">
        <f>[1]Raw_Data!D1490</f>
        <v>137</v>
      </c>
      <c r="E1492" s="4">
        <f>[1]Raw_Data!E1490</f>
        <v>42.68</v>
      </c>
      <c r="F1492" s="5">
        <f>[1]Raw_Data!F1490</f>
        <v>5847.16</v>
      </c>
      <c r="G1492" s="4">
        <f>[1]Raw_Data!G1490</f>
        <v>0.19</v>
      </c>
      <c r="H1492" s="3">
        <f>[1]Raw_Data!H1490</f>
        <v>2</v>
      </c>
      <c r="I1492" s="3" t="str">
        <f>TRIM([1]Raw_Data!I1490)</f>
        <v>USA</v>
      </c>
      <c r="J1492" s="3" t="str">
        <f>TRIM([1]Raw_Data!J1490)</f>
        <v>Walmart</v>
      </c>
      <c r="K1492" s="3">
        <f t="shared" si="92"/>
        <v>2021</v>
      </c>
      <c r="L1492" s="6">
        <f t="shared" si="93"/>
        <v>44470</v>
      </c>
      <c r="M1492" s="3" t="str">
        <f t="shared" si="94"/>
        <v>16% to 20%</v>
      </c>
      <c r="N1492" s="3" t="str">
        <f t="shared" si="95"/>
        <v>OK</v>
      </c>
    </row>
    <row r="1493" spans="1:14" x14ac:dyDescent="0.3">
      <c r="A1493" s="2">
        <f>DATE(VALUE(RIGHT(TRIM([1]Raw_Data!A1491),4)),VALUE(MID(TRIM([1]Raw_Data!A1491),4,2)),VALUE(LEFT(TRIM([1]Raw_Data!A1491),2)))</f>
        <v>44487</v>
      </c>
      <c r="B1493" s="3" t="str">
        <f>TRIM([1]Raw_Data!B1491)</f>
        <v>Vitamin C</v>
      </c>
      <c r="C1493" s="3" t="str">
        <f>TRIM([1]Raw_Data!C1491)</f>
        <v>Vitamin</v>
      </c>
      <c r="D1493" s="3">
        <f>[1]Raw_Data!D1491</f>
        <v>150</v>
      </c>
      <c r="E1493" s="4">
        <f>[1]Raw_Data!E1491</f>
        <v>46.86</v>
      </c>
      <c r="F1493" s="5">
        <f>[1]Raw_Data!F1491</f>
        <v>7029</v>
      </c>
      <c r="G1493" s="4">
        <f>[1]Raw_Data!G1491</f>
        <v>0.17</v>
      </c>
      <c r="H1493" s="3">
        <f>[1]Raw_Data!H1491</f>
        <v>1</v>
      </c>
      <c r="I1493" s="3" t="str">
        <f>TRIM([1]Raw_Data!I1491)</f>
        <v>UK</v>
      </c>
      <c r="J1493" s="3" t="str">
        <f>TRIM([1]Raw_Data!J1491)</f>
        <v>iHerb</v>
      </c>
      <c r="K1493" s="3">
        <f t="shared" si="92"/>
        <v>2021</v>
      </c>
      <c r="L1493" s="6">
        <f t="shared" si="93"/>
        <v>44470</v>
      </c>
      <c r="M1493" s="3" t="str">
        <f t="shared" si="94"/>
        <v>16% to 20%</v>
      </c>
      <c r="N1493" s="3" t="str">
        <f t="shared" si="95"/>
        <v>OK</v>
      </c>
    </row>
    <row r="1494" spans="1:14" x14ac:dyDescent="0.3">
      <c r="A1494" s="2">
        <f>DATE(VALUE(RIGHT(TRIM([1]Raw_Data!A1492),4)),VALUE(MID(TRIM([1]Raw_Data!A1492),4,2)),VALUE(LEFT(TRIM([1]Raw_Data!A1492),2)))</f>
        <v>44487</v>
      </c>
      <c r="B1494" s="3" t="str">
        <f>TRIM([1]Raw_Data!B1492)</f>
        <v>Fish Oil</v>
      </c>
      <c r="C1494" s="3" t="str">
        <f>TRIM([1]Raw_Data!C1492)</f>
        <v>Omega</v>
      </c>
      <c r="D1494" s="3">
        <f>[1]Raw_Data!D1492</f>
        <v>169</v>
      </c>
      <c r="E1494" s="4">
        <f>[1]Raw_Data!E1492</f>
        <v>59.13</v>
      </c>
      <c r="F1494" s="5">
        <f>[1]Raw_Data!F1492</f>
        <v>9992.9699999999993</v>
      </c>
      <c r="G1494" s="4">
        <f>[1]Raw_Data!G1492</f>
        <v>0.22</v>
      </c>
      <c r="H1494" s="3">
        <f>[1]Raw_Data!H1492</f>
        <v>2</v>
      </c>
      <c r="I1494" s="3" t="str">
        <f>TRIM([1]Raw_Data!I1492)</f>
        <v>UK</v>
      </c>
      <c r="J1494" s="3" t="str">
        <f>TRIM([1]Raw_Data!J1492)</f>
        <v>iHerb</v>
      </c>
      <c r="K1494" s="3">
        <f t="shared" si="92"/>
        <v>2021</v>
      </c>
      <c r="L1494" s="6">
        <f t="shared" si="93"/>
        <v>44470</v>
      </c>
      <c r="M1494" s="3" t="str">
        <f t="shared" si="94"/>
        <v>21% to 25%</v>
      </c>
      <c r="N1494" s="3" t="str">
        <f t="shared" si="95"/>
        <v>OK</v>
      </c>
    </row>
    <row r="1495" spans="1:14" x14ac:dyDescent="0.3">
      <c r="A1495" s="2">
        <f>DATE(VALUE(RIGHT(TRIM([1]Raw_Data!A1493),4)),VALUE(MID(TRIM([1]Raw_Data!A1493),4,2)),VALUE(LEFT(TRIM([1]Raw_Data!A1493),2)))</f>
        <v>44487</v>
      </c>
      <c r="B1495" s="3" t="str">
        <f>TRIM([1]Raw_Data!B1493)</f>
        <v>Multivitamin</v>
      </c>
      <c r="C1495" s="3" t="str">
        <f>TRIM([1]Raw_Data!C1493)</f>
        <v>Vitamin</v>
      </c>
      <c r="D1495" s="3">
        <f>[1]Raw_Data!D1493</f>
        <v>174</v>
      </c>
      <c r="E1495" s="4">
        <f>[1]Raw_Data!E1493</f>
        <v>19.52</v>
      </c>
      <c r="F1495" s="5">
        <f>[1]Raw_Data!F1493</f>
        <v>3396.48</v>
      </c>
      <c r="G1495" s="4">
        <f>[1]Raw_Data!G1493</f>
        <v>0.11</v>
      </c>
      <c r="H1495" s="3">
        <f>[1]Raw_Data!H1493</f>
        <v>0</v>
      </c>
      <c r="I1495" s="3" t="str">
        <f>TRIM([1]Raw_Data!I1493)</f>
        <v>USA</v>
      </c>
      <c r="J1495" s="3" t="str">
        <f>TRIM([1]Raw_Data!J1493)</f>
        <v>Walmart</v>
      </c>
      <c r="K1495" s="3">
        <f t="shared" si="92"/>
        <v>2021</v>
      </c>
      <c r="L1495" s="6">
        <f t="shared" si="93"/>
        <v>44470</v>
      </c>
      <c r="M1495" s="3" t="str">
        <f t="shared" si="94"/>
        <v>11% to 15%</v>
      </c>
      <c r="N1495" s="3" t="str">
        <f t="shared" si="95"/>
        <v>OK</v>
      </c>
    </row>
    <row r="1496" spans="1:14" x14ac:dyDescent="0.3">
      <c r="A1496" s="2">
        <f>DATE(VALUE(RIGHT(TRIM([1]Raw_Data!A1494),4)),VALUE(MID(TRIM([1]Raw_Data!A1494),4,2)),VALUE(LEFT(TRIM([1]Raw_Data!A1494),2)))</f>
        <v>44487</v>
      </c>
      <c r="B1496" s="3" t="str">
        <f>TRIM([1]Raw_Data!B1494)</f>
        <v>Pre-Workout</v>
      </c>
      <c r="C1496" s="3" t="str">
        <f>TRIM([1]Raw_Data!C1494)</f>
        <v>Performance</v>
      </c>
      <c r="D1496" s="3">
        <f>[1]Raw_Data!D1494</f>
        <v>146</v>
      </c>
      <c r="E1496" s="4">
        <f>[1]Raw_Data!E1494</f>
        <v>29.32</v>
      </c>
      <c r="F1496" s="5">
        <f>[1]Raw_Data!F1494</f>
        <v>4280.72</v>
      </c>
      <c r="G1496" s="4">
        <f>[1]Raw_Data!G1494</f>
        <v>0.08</v>
      </c>
      <c r="H1496" s="3">
        <f>[1]Raw_Data!H1494</f>
        <v>2</v>
      </c>
      <c r="I1496" s="3" t="str">
        <f>TRIM([1]Raw_Data!I1494)</f>
        <v>USA</v>
      </c>
      <c r="J1496" s="3" t="str">
        <f>TRIM([1]Raw_Data!J1494)</f>
        <v>iHerb</v>
      </c>
      <c r="K1496" s="3">
        <f t="shared" si="92"/>
        <v>2021</v>
      </c>
      <c r="L1496" s="6">
        <f t="shared" si="93"/>
        <v>44470</v>
      </c>
      <c r="M1496" s="3" t="str">
        <f t="shared" si="94"/>
        <v>6% to 10%</v>
      </c>
      <c r="N1496" s="3" t="str">
        <f t="shared" si="95"/>
        <v>OK</v>
      </c>
    </row>
    <row r="1497" spans="1:14" x14ac:dyDescent="0.3">
      <c r="A1497" s="2">
        <f>DATE(VALUE(RIGHT(TRIM([1]Raw_Data!A1495),4)),VALUE(MID(TRIM([1]Raw_Data!A1495),4,2)),VALUE(LEFT(TRIM([1]Raw_Data!A1495),2)))</f>
        <v>44487</v>
      </c>
      <c r="B1497" s="3" t="str">
        <f>TRIM([1]Raw_Data!B1495)</f>
        <v>BCAA</v>
      </c>
      <c r="C1497" s="3" t="str">
        <f>TRIM([1]Raw_Data!C1495)</f>
        <v>Amino Acid</v>
      </c>
      <c r="D1497" s="3">
        <f>[1]Raw_Data!D1495</f>
        <v>166</v>
      </c>
      <c r="E1497" s="4">
        <f>[1]Raw_Data!E1495</f>
        <v>29.27</v>
      </c>
      <c r="F1497" s="5">
        <f>[1]Raw_Data!F1495</f>
        <v>4858.82</v>
      </c>
      <c r="G1497" s="4">
        <f>[1]Raw_Data!G1495</f>
        <v>0.04</v>
      </c>
      <c r="H1497" s="3">
        <f>[1]Raw_Data!H1495</f>
        <v>2</v>
      </c>
      <c r="I1497" s="3" t="str">
        <f>TRIM([1]Raw_Data!I1495)</f>
        <v>UK</v>
      </c>
      <c r="J1497" s="3" t="str">
        <f>TRIM([1]Raw_Data!J1495)</f>
        <v>iHerb</v>
      </c>
      <c r="K1497" s="3">
        <f t="shared" si="92"/>
        <v>2021</v>
      </c>
      <c r="L1497" s="6">
        <f t="shared" si="93"/>
        <v>44470</v>
      </c>
      <c r="M1497" s="3" t="str">
        <f t="shared" si="94"/>
        <v>0% to 5%</v>
      </c>
      <c r="N1497" s="3" t="str">
        <f t="shared" si="95"/>
        <v>OK</v>
      </c>
    </row>
    <row r="1498" spans="1:14" x14ac:dyDescent="0.3">
      <c r="A1498" s="2">
        <f>DATE(VALUE(RIGHT(TRIM([1]Raw_Data!A1496),4)),VALUE(MID(TRIM([1]Raw_Data!A1496),4,2)),VALUE(LEFT(TRIM([1]Raw_Data!A1496),2)))</f>
        <v>44487</v>
      </c>
      <c r="B1498" s="3" t="str">
        <f>TRIM([1]Raw_Data!B1496)</f>
        <v>Creatine</v>
      </c>
      <c r="C1498" s="3" t="str">
        <f>TRIM([1]Raw_Data!C1496)</f>
        <v>Performance</v>
      </c>
      <c r="D1498" s="3">
        <f>[1]Raw_Data!D1496</f>
        <v>132</v>
      </c>
      <c r="E1498" s="4">
        <f>[1]Raw_Data!E1496</f>
        <v>24.31</v>
      </c>
      <c r="F1498" s="5">
        <f>[1]Raw_Data!F1496</f>
        <v>3208.92</v>
      </c>
      <c r="G1498" s="4">
        <f>[1]Raw_Data!G1496</f>
        <v>0.05</v>
      </c>
      <c r="H1498" s="3">
        <f>[1]Raw_Data!H1496</f>
        <v>3</v>
      </c>
      <c r="I1498" s="3" t="str">
        <f>TRIM([1]Raw_Data!I1496)</f>
        <v>Canada</v>
      </c>
      <c r="J1498" s="3" t="str">
        <f>TRIM([1]Raw_Data!J1496)</f>
        <v>Amazon</v>
      </c>
      <c r="K1498" s="3">
        <f t="shared" si="92"/>
        <v>2021</v>
      </c>
      <c r="L1498" s="6">
        <f t="shared" si="93"/>
        <v>44470</v>
      </c>
      <c r="M1498" s="3" t="str">
        <f t="shared" si="94"/>
        <v>0% to 5%</v>
      </c>
      <c r="N1498" s="3" t="str">
        <f t="shared" si="95"/>
        <v>OK</v>
      </c>
    </row>
    <row r="1499" spans="1:14" x14ac:dyDescent="0.3">
      <c r="A1499" s="2">
        <f>DATE(VALUE(RIGHT(TRIM([1]Raw_Data!A1497),4)),VALUE(MID(TRIM([1]Raw_Data!A1497),4,2)),VALUE(LEFT(TRIM([1]Raw_Data!A1497),2)))</f>
        <v>44487</v>
      </c>
      <c r="B1499" s="3" t="str">
        <f>TRIM([1]Raw_Data!B1497)</f>
        <v>Zinc</v>
      </c>
      <c r="C1499" s="3" t="str">
        <f>TRIM([1]Raw_Data!C1497)</f>
        <v>Mineral</v>
      </c>
      <c r="D1499" s="3">
        <f>[1]Raw_Data!D1497</f>
        <v>150</v>
      </c>
      <c r="E1499" s="4">
        <f>[1]Raw_Data!E1497</f>
        <v>16.61</v>
      </c>
      <c r="F1499" s="5">
        <f>[1]Raw_Data!F1497</f>
        <v>2491.5</v>
      </c>
      <c r="G1499" s="4">
        <f>[1]Raw_Data!G1497</f>
        <v>0.09</v>
      </c>
      <c r="H1499" s="3">
        <f>[1]Raw_Data!H1497</f>
        <v>2</v>
      </c>
      <c r="I1499" s="3" t="str">
        <f>TRIM([1]Raw_Data!I1497)</f>
        <v>USA</v>
      </c>
      <c r="J1499" s="3" t="str">
        <f>TRIM([1]Raw_Data!J1497)</f>
        <v>iHerb</v>
      </c>
      <c r="K1499" s="3">
        <f t="shared" si="92"/>
        <v>2021</v>
      </c>
      <c r="L1499" s="6">
        <f t="shared" si="93"/>
        <v>44470</v>
      </c>
      <c r="M1499" s="3" t="str">
        <f t="shared" si="94"/>
        <v>6% to 10%</v>
      </c>
      <c r="N1499" s="3" t="str">
        <f t="shared" si="95"/>
        <v>OK</v>
      </c>
    </row>
    <row r="1500" spans="1:14" x14ac:dyDescent="0.3">
      <c r="A1500" s="2">
        <f>DATE(VALUE(RIGHT(TRIM([1]Raw_Data!A1498),4)),VALUE(MID(TRIM([1]Raw_Data!A1498),4,2)),VALUE(LEFT(TRIM([1]Raw_Data!A1498),2)))</f>
        <v>44487</v>
      </c>
      <c r="B1500" s="3" t="str">
        <f>TRIM([1]Raw_Data!B1498)</f>
        <v>Collagen Peptides</v>
      </c>
      <c r="C1500" s="3" t="str">
        <f>TRIM([1]Raw_Data!C1498)</f>
        <v>Protein</v>
      </c>
      <c r="D1500" s="3">
        <f>[1]Raw_Data!D1498</f>
        <v>161</v>
      </c>
      <c r="E1500" s="4">
        <f>[1]Raw_Data!E1498</f>
        <v>39.49</v>
      </c>
      <c r="F1500" s="5">
        <f>[1]Raw_Data!F1498</f>
        <v>6357.89</v>
      </c>
      <c r="G1500" s="4">
        <f>[1]Raw_Data!G1498</f>
        <v>0.05</v>
      </c>
      <c r="H1500" s="3">
        <f>[1]Raw_Data!H1498</f>
        <v>1</v>
      </c>
      <c r="I1500" s="3" t="str">
        <f>TRIM([1]Raw_Data!I1498)</f>
        <v>USA</v>
      </c>
      <c r="J1500" s="3" t="str">
        <f>TRIM([1]Raw_Data!J1498)</f>
        <v>Amazon</v>
      </c>
      <c r="K1500" s="3">
        <f t="shared" si="92"/>
        <v>2021</v>
      </c>
      <c r="L1500" s="6">
        <f t="shared" si="93"/>
        <v>44470</v>
      </c>
      <c r="M1500" s="3" t="str">
        <f t="shared" si="94"/>
        <v>0% to 5%</v>
      </c>
      <c r="N1500" s="3" t="str">
        <f t="shared" si="95"/>
        <v>OK</v>
      </c>
    </row>
    <row r="1501" spans="1:14" x14ac:dyDescent="0.3">
      <c r="A1501" s="2">
        <f>DATE(VALUE(RIGHT(TRIM([1]Raw_Data!A1499),4)),VALUE(MID(TRIM([1]Raw_Data!A1499),4,2)),VALUE(LEFT(TRIM([1]Raw_Data!A1499),2)))</f>
        <v>44487</v>
      </c>
      <c r="B1501" s="3" t="str">
        <f>TRIM([1]Raw_Data!B1499)</f>
        <v>Magnesium</v>
      </c>
      <c r="C1501" s="3" t="str">
        <f>TRIM([1]Raw_Data!C1499)</f>
        <v>Mineral</v>
      </c>
      <c r="D1501" s="3">
        <f>[1]Raw_Data!D1499</f>
        <v>136</v>
      </c>
      <c r="E1501" s="4">
        <f>[1]Raw_Data!E1499</f>
        <v>21.24</v>
      </c>
      <c r="F1501" s="5">
        <f>[1]Raw_Data!F1499</f>
        <v>2888.64</v>
      </c>
      <c r="G1501" s="4">
        <f>[1]Raw_Data!G1499</f>
        <v>0.13</v>
      </c>
      <c r="H1501" s="3">
        <f>[1]Raw_Data!H1499</f>
        <v>1</v>
      </c>
      <c r="I1501" s="3" t="str">
        <f>TRIM([1]Raw_Data!I1499)</f>
        <v>USA</v>
      </c>
      <c r="J1501" s="3" t="str">
        <f>TRIM([1]Raw_Data!J1499)</f>
        <v>iHerb</v>
      </c>
      <c r="K1501" s="3">
        <f t="shared" si="92"/>
        <v>2021</v>
      </c>
      <c r="L1501" s="6">
        <f t="shared" si="93"/>
        <v>44470</v>
      </c>
      <c r="M1501" s="3" t="str">
        <f t="shared" si="94"/>
        <v>11% to 15%</v>
      </c>
      <c r="N1501" s="3" t="str">
        <f t="shared" si="95"/>
        <v>OK</v>
      </c>
    </row>
    <row r="1502" spans="1:14" x14ac:dyDescent="0.3">
      <c r="A1502" s="2">
        <f>DATE(VALUE(RIGHT(TRIM([1]Raw_Data!A1500),4)),VALUE(MID(TRIM([1]Raw_Data!A1500),4,2)),VALUE(LEFT(TRIM([1]Raw_Data!A1500),2)))</f>
        <v>44487</v>
      </c>
      <c r="B1502" s="3" t="str">
        <f>TRIM([1]Raw_Data!B1500)</f>
        <v>Ashwagandha</v>
      </c>
      <c r="C1502" s="3" t="str">
        <f>TRIM([1]Raw_Data!C1500)</f>
        <v>Herbal</v>
      </c>
      <c r="D1502" s="3">
        <f>[1]Raw_Data!D1500</f>
        <v>176</v>
      </c>
      <c r="E1502" s="4">
        <f>[1]Raw_Data!E1500</f>
        <v>42.08</v>
      </c>
      <c r="F1502" s="5">
        <f>[1]Raw_Data!F1500</f>
        <v>7406.08</v>
      </c>
      <c r="G1502" s="4">
        <f>[1]Raw_Data!G1500</f>
        <v>0.2</v>
      </c>
      <c r="H1502" s="3">
        <f>[1]Raw_Data!H1500</f>
        <v>2</v>
      </c>
      <c r="I1502" s="3" t="str">
        <f>TRIM([1]Raw_Data!I1500)</f>
        <v>Canada</v>
      </c>
      <c r="J1502" s="3" t="str">
        <f>TRIM([1]Raw_Data!J1500)</f>
        <v>iHerb</v>
      </c>
      <c r="K1502" s="3">
        <f t="shared" si="92"/>
        <v>2021</v>
      </c>
      <c r="L1502" s="6">
        <f t="shared" si="93"/>
        <v>44470</v>
      </c>
      <c r="M1502" s="3" t="str">
        <f t="shared" si="94"/>
        <v>16% to 20%</v>
      </c>
      <c r="N1502" s="3" t="str">
        <f t="shared" si="95"/>
        <v>OK</v>
      </c>
    </row>
    <row r="1503" spans="1:14" x14ac:dyDescent="0.3">
      <c r="A1503" s="2">
        <f>DATE(VALUE(RIGHT(TRIM([1]Raw_Data!A1501),4)),VALUE(MID(TRIM([1]Raw_Data!A1501),4,2)),VALUE(LEFT(TRIM([1]Raw_Data!A1501),2)))</f>
        <v>44487</v>
      </c>
      <c r="B1503" s="3" t="str">
        <f>TRIM([1]Raw_Data!B1501)</f>
        <v>Melatonin</v>
      </c>
      <c r="C1503" s="3" t="str">
        <f>TRIM([1]Raw_Data!C1501)</f>
        <v>Sleep Aid</v>
      </c>
      <c r="D1503" s="3">
        <f>[1]Raw_Data!D1501</f>
        <v>141</v>
      </c>
      <c r="E1503" s="4">
        <f>[1]Raw_Data!E1501</f>
        <v>11.96</v>
      </c>
      <c r="F1503" s="5">
        <f>[1]Raw_Data!F1501</f>
        <v>1686.36</v>
      </c>
      <c r="G1503" s="4">
        <f>[1]Raw_Data!G1501</f>
        <v>0.08</v>
      </c>
      <c r="H1503" s="3">
        <f>[1]Raw_Data!H1501</f>
        <v>2</v>
      </c>
      <c r="I1503" s="3" t="str">
        <f>TRIM([1]Raw_Data!I1501)</f>
        <v>Canada</v>
      </c>
      <c r="J1503" s="3" t="str">
        <f>TRIM([1]Raw_Data!J1501)</f>
        <v>Walmart</v>
      </c>
      <c r="K1503" s="3">
        <f t="shared" si="92"/>
        <v>2021</v>
      </c>
      <c r="L1503" s="6">
        <f t="shared" si="93"/>
        <v>44470</v>
      </c>
      <c r="M1503" s="3" t="str">
        <f t="shared" si="94"/>
        <v>6% to 10%</v>
      </c>
      <c r="N1503" s="3" t="str">
        <f t="shared" si="95"/>
        <v>OK</v>
      </c>
    </row>
    <row r="1504" spans="1:14" x14ac:dyDescent="0.3">
      <c r="A1504" s="2">
        <f>DATE(VALUE(RIGHT(TRIM([1]Raw_Data!A1502),4)),VALUE(MID(TRIM([1]Raw_Data!A1502),4,2)),VALUE(LEFT(TRIM([1]Raw_Data!A1502),2)))</f>
        <v>44487</v>
      </c>
      <c r="B1504" s="3" t="str">
        <f>TRIM([1]Raw_Data!B1502)</f>
        <v>Biotin</v>
      </c>
      <c r="C1504" s="3" t="str">
        <f>TRIM([1]Raw_Data!C1502)</f>
        <v>Vitamin</v>
      </c>
      <c r="D1504" s="3">
        <f>[1]Raw_Data!D1502</f>
        <v>122</v>
      </c>
      <c r="E1504" s="4">
        <f>[1]Raw_Data!E1502</f>
        <v>45.31</v>
      </c>
      <c r="F1504" s="5">
        <f>[1]Raw_Data!F1502</f>
        <v>5527.82</v>
      </c>
      <c r="G1504" s="4">
        <f>[1]Raw_Data!G1502</f>
        <v>0.2</v>
      </c>
      <c r="H1504" s="3">
        <f>[1]Raw_Data!H1502</f>
        <v>1</v>
      </c>
      <c r="I1504" s="3" t="str">
        <f>TRIM([1]Raw_Data!I1502)</f>
        <v>UK</v>
      </c>
      <c r="J1504" s="3" t="str">
        <f>TRIM([1]Raw_Data!J1502)</f>
        <v>Amazon</v>
      </c>
      <c r="K1504" s="3">
        <f t="shared" si="92"/>
        <v>2021</v>
      </c>
      <c r="L1504" s="6">
        <f t="shared" si="93"/>
        <v>44470</v>
      </c>
      <c r="M1504" s="3" t="str">
        <f t="shared" si="94"/>
        <v>16% to 20%</v>
      </c>
      <c r="N1504" s="3" t="str">
        <f t="shared" si="95"/>
        <v>OK</v>
      </c>
    </row>
    <row r="1505" spans="1:14" x14ac:dyDescent="0.3">
      <c r="A1505" s="2">
        <f>DATE(VALUE(RIGHT(TRIM([1]Raw_Data!A1503),4)),VALUE(MID(TRIM([1]Raw_Data!A1503),4,2)),VALUE(LEFT(TRIM([1]Raw_Data!A1503),2)))</f>
        <v>44487</v>
      </c>
      <c r="B1505" s="3" t="str">
        <f>TRIM([1]Raw_Data!B1503)</f>
        <v>Green Tea Extract</v>
      </c>
      <c r="C1505" s="3" t="str">
        <f>TRIM([1]Raw_Data!C1503)</f>
        <v>Fat Burner</v>
      </c>
      <c r="D1505" s="3">
        <f>[1]Raw_Data!D1503</f>
        <v>157</v>
      </c>
      <c r="E1505" s="4">
        <f>[1]Raw_Data!E1503</f>
        <v>18</v>
      </c>
      <c r="F1505" s="5">
        <f>[1]Raw_Data!F1503</f>
        <v>2826</v>
      </c>
      <c r="G1505" s="4">
        <f>[1]Raw_Data!G1503</f>
        <v>0.1</v>
      </c>
      <c r="H1505" s="3">
        <f>[1]Raw_Data!H1503</f>
        <v>2</v>
      </c>
      <c r="I1505" s="3" t="str">
        <f>TRIM([1]Raw_Data!I1503)</f>
        <v>USA</v>
      </c>
      <c r="J1505" s="3" t="str">
        <f>TRIM([1]Raw_Data!J1503)</f>
        <v>Amazon</v>
      </c>
      <c r="K1505" s="3">
        <f t="shared" si="92"/>
        <v>2021</v>
      </c>
      <c r="L1505" s="6">
        <f t="shared" si="93"/>
        <v>44470</v>
      </c>
      <c r="M1505" s="3" t="str">
        <f t="shared" si="94"/>
        <v>6% to 10%</v>
      </c>
      <c r="N1505" s="3" t="str">
        <f t="shared" si="95"/>
        <v>OK</v>
      </c>
    </row>
    <row r="1506" spans="1:14" x14ac:dyDescent="0.3">
      <c r="A1506" s="2">
        <f>DATE(VALUE(RIGHT(TRIM([1]Raw_Data!A1504),4)),VALUE(MID(TRIM([1]Raw_Data!A1504),4,2)),VALUE(LEFT(TRIM([1]Raw_Data!A1504),2)))</f>
        <v>44487</v>
      </c>
      <c r="B1506" s="3" t="str">
        <f>TRIM([1]Raw_Data!B1504)</f>
        <v>Iron Supplement</v>
      </c>
      <c r="C1506" s="3" t="str">
        <f>TRIM([1]Raw_Data!C1504)</f>
        <v>Mineral</v>
      </c>
      <c r="D1506" s="3">
        <f>[1]Raw_Data!D1504</f>
        <v>177</v>
      </c>
      <c r="E1506" s="4">
        <f>[1]Raw_Data!E1504</f>
        <v>35.369999999999997</v>
      </c>
      <c r="F1506" s="5">
        <f>[1]Raw_Data!F1504</f>
        <v>6260.49</v>
      </c>
      <c r="G1506" s="4">
        <f>[1]Raw_Data!G1504</f>
        <v>0.08</v>
      </c>
      <c r="H1506" s="3">
        <f>[1]Raw_Data!H1504</f>
        <v>2</v>
      </c>
      <c r="I1506" s="3" t="str">
        <f>TRIM([1]Raw_Data!I1504)</f>
        <v>USA</v>
      </c>
      <c r="J1506" s="3" t="str">
        <f>TRIM([1]Raw_Data!J1504)</f>
        <v>iHerb</v>
      </c>
      <c r="K1506" s="3">
        <f t="shared" si="92"/>
        <v>2021</v>
      </c>
      <c r="L1506" s="6">
        <f t="shared" si="93"/>
        <v>44470</v>
      </c>
      <c r="M1506" s="3" t="str">
        <f t="shared" si="94"/>
        <v>6% to 10%</v>
      </c>
      <c r="N1506" s="3" t="str">
        <f t="shared" si="95"/>
        <v>OK</v>
      </c>
    </row>
    <row r="1507" spans="1:14" x14ac:dyDescent="0.3">
      <c r="A1507" s="2">
        <f>DATE(VALUE(RIGHT(TRIM([1]Raw_Data!A1505),4)),VALUE(MID(TRIM([1]Raw_Data!A1505),4,2)),VALUE(LEFT(TRIM([1]Raw_Data!A1505),2)))</f>
        <v>44487</v>
      </c>
      <c r="B1507" s="3" t="str">
        <f>TRIM([1]Raw_Data!B1505)</f>
        <v>Electrolyte Powder</v>
      </c>
      <c r="C1507" s="3" t="str">
        <f>TRIM([1]Raw_Data!C1505)</f>
        <v>Hydration</v>
      </c>
      <c r="D1507" s="3">
        <f>[1]Raw_Data!D1505</f>
        <v>163</v>
      </c>
      <c r="E1507" s="4">
        <f>[1]Raw_Data!E1505</f>
        <v>32.53</v>
      </c>
      <c r="F1507" s="5">
        <f>[1]Raw_Data!F1505</f>
        <v>5302.39</v>
      </c>
      <c r="G1507" s="4">
        <f>[1]Raw_Data!G1505</f>
        <v>7.0000000000000007E-2</v>
      </c>
      <c r="H1507" s="3">
        <f>[1]Raw_Data!H1505</f>
        <v>1</v>
      </c>
      <c r="I1507" s="3" t="str">
        <f>TRIM([1]Raw_Data!I1505)</f>
        <v>Canada</v>
      </c>
      <c r="J1507" s="3" t="str">
        <f>TRIM([1]Raw_Data!J1505)</f>
        <v>Walmart</v>
      </c>
      <c r="K1507" s="3">
        <f t="shared" si="92"/>
        <v>2021</v>
      </c>
      <c r="L1507" s="6">
        <f t="shared" si="93"/>
        <v>44470</v>
      </c>
      <c r="M1507" s="3" t="str">
        <f t="shared" si="94"/>
        <v>6% to 10%</v>
      </c>
      <c r="N1507" s="3" t="str">
        <f t="shared" si="95"/>
        <v>OK</v>
      </c>
    </row>
    <row r="1508" spans="1:14" x14ac:dyDescent="0.3">
      <c r="A1508" s="2">
        <f>DATE(VALUE(RIGHT(TRIM([1]Raw_Data!A1506),4)),VALUE(MID(TRIM([1]Raw_Data!A1506),4,2)),VALUE(LEFT(TRIM([1]Raw_Data!A1506),2)))</f>
        <v>44494</v>
      </c>
      <c r="B1508" s="3" t="str">
        <f>TRIM([1]Raw_Data!B1506)</f>
        <v>Whey Protein</v>
      </c>
      <c r="C1508" s="3" t="str">
        <f>TRIM([1]Raw_Data!C1506)</f>
        <v>Protein</v>
      </c>
      <c r="D1508" s="3">
        <f>[1]Raw_Data!D1506</f>
        <v>146</v>
      </c>
      <c r="E1508" s="4">
        <f>[1]Raw_Data!E1506</f>
        <v>58.36</v>
      </c>
      <c r="F1508" s="5">
        <f>[1]Raw_Data!F1506</f>
        <v>8520.56</v>
      </c>
      <c r="G1508" s="4">
        <f>[1]Raw_Data!G1506</f>
        <v>0.11</v>
      </c>
      <c r="H1508" s="3">
        <f>[1]Raw_Data!H1506</f>
        <v>1</v>
      </c>
      <c r="I1508" s="3" t="str">
        <f>TRIM([1]Raw_Data!I1506)</f>
        <v>USA</v>
      </c>
      <c r="J1508" s="3" t="str">
        <f>TRIM([1]Raw_Data!J1506)</f>
        <v>Walmart</v>
      </c>
      <c r="K1508" s="3">
        <f t="shared" si="92"/>
        <v>2021</v>
      </c>
      <c r="L1508" s="6">
        <f t="shared" si="93"/>
        <v>44470</v>
      </c>
      <c r="M1508" s="3" t="str">
        <f t="shared" si="94"/>
        <v>11% to 15%</v>
      </c>
      <c r="N1508" s="3" t="str">
        <f t="shared" si="95"/>
        <v>OK</v>
      </c>
    </row>
    <row r="1509" spans="1:14" x14ac:dyDescent="0.3">
      <c r="A1509" s="2">
        <f>DATE(VALUE(RIGHT(TRIM([1]Raw_Data!A1507),4)),VALUE(MID(TRIM([1]Raw_Data!A1507),4,2)),VALUE(LEFT(TRIM([1]Raw_Data!A1507),2)))</f>
        <v>44494</v>
      </c>
      <c r="B1509" s="3" t="str">
        <f>TRIM([1]Raw_Data!B1507)</f>
        <v>Vitamin C</v>
      </c>
      <c r="C1509" s="3" t="str">
        <f>TRIM([1]Raw_Data!C1507)</f>
        <v>Vitamin</v>
      </c>
      <c r="D1509" s="3">
        <f>[1]Raw_Data!D1507</f>
        <v>164</v>
      </c>
      <c r="E1509" s="4">
        <f>[1]Raw_Data!E1507</f>
        <v>37.6</v>
      </c>
      <c r="F1509" s="5">
        <f>[1]Raw_Data!F1507</f>
        <v>6166.4</v>
      </c>
      <c r="G1509" s="4">
        <f>[1]Raw_Data!G1507</f>
        <v>0.06</v>
      </c>
      <c r="H1509" s="3">
        <f>[1]Raw_Data!H1507</f>
        <v>2</v>
      </c>
      <c r="I1509" s="3" t="str">
        <f>TRIM([1]Raw_Data!I1507)</f>
        <v>USA</v>
      </c>
      <c r="J1509" s="3" t="str">
        <f>TRIM([1]Raw_Data!J1507)</f>
        <v>Amazon</v>
      </c>
      <c r="K1509" s="3">
        <f t="shared" si="92"/>
        <v>2021</v>
      </c>
      <c r="L1509" s="6">
        <f t="shared" si="93"/>
        <v>44470</v>
      </c>
      <c r="M1509" s="3" t="str">
        <f t="shared" si="94"/>
        <v>6% to 10%</v>
      </c>
      <c r="N1509" s="3" t="str">
        <f t="shared" si="95"/>
        <v>OK</v>
      </c>
    </row>
    <row r="1510" spans="1:14" x14ac:dyDescent="0.3">
      <c r="A1510" s="2">
        <f>DATE(VALUE(RIGHT(TRIM([1]Raw_Data!A1508),4)),VALUE(MID(TRIM([1]Raw_Data!A1508),4,2)),VALUE(LEFT(TRIM([1]Raw_Data!A1508),2)))</f>
        <v>44494</v>
      </c>
      <c r="B1510" s="3" t="str">
        <f>TRIM([1]Raw_Data!B1508)</f>
        <v>Fish Oil</v>
      </c>
      <c r="C1510" s="3" t="str">
        <f>TRIM([1]Raw_Data!C1508)</f>
        <v>Omega</v>
      </c>
      <c r="D1510" s="3">
        <f>[1]Raw_Data!D1508</f>
        <v>151</v>
      </c>
      <c r="E1510" s="4">
        <f>[1]Raw_Data!E1508</f>
        <v>49.04</v>
      </c>
      <c r="F1510" s="5">
        <f>[1]Raw_Data!F1508</f>
        <v>7405.04</v>
      </c>
      <c r="G1510" s="4">
        <f>[1]Raw_Data!G1508</f>
        <v>0.05</v>
      </c>
      <c r="H1510" s="3">
        <f>[1]Raw_Data!H1508</f>
        <v>2</v>
      </c>
      <c r="I1510" s="3" t="str">
        <f>TRIM([1]Raw_Data!I1508)</f>
        <v>USA</v>
      </c>
      <c r="J1510" s="3" t="str">
        <f>TRIM([1]Raw_Data!J1508)</f>
        <v>iHerb</v>
      </c>
      <c r="K1510" s="3">
        <f t="shared" si="92"/>
        <v>2021</v>
      </c>
      <c r="L1510" s="6">
        <f t="shared" si="93"/>
        <v>44470</v>
      </c>
      <c r="M1510" s="3" t="str">
        <f t="shared" si="94"/>
        <v>0% to 5%</v>
      </c>
      <c r="N1510" s="3" t="str">
        <f t="shared" si="95"/>
        <v>OK</v>
      </c>
    </row>
    <row r="1511" spans="1:14" x14ac:dyDescent="0.3">
      <c r="A1511" s="2">
        <f>DATE(VALUE(RIGHT(TRIM([1]Raw_Data!A1509),4)),VALUE(MID(TRIM([1]Raw_Data!A1509),4,2)),VALUE(LEFT(TRIM([1]Raw_Data!A1509),2)))</f>
        <v>44494</v>
      </c>
      <c r="B1511" s="3" t="str">
        <f>TRIM([1]Raw_Data!B1509)</f>
        <v>Multivitamin</v>
      </c>
      <c r="C1511" s="3" t="str">
        <f>TRIM([1]Raw_Data!C1509)</f>
        <v>Vitamin</v>
      </c>
      <c r="D1511" s="3">
        <f>[1]Raw_Data!D1509</f>
        <v>162</v>
      </c>
      <c r="E1511" s="4">
        <f>[1]Raw_Data!E1509</f>
        <v>18.63</v>
      </c>
      <c r="F1511" s="5">
        <f>[1]Raw_Data!F1509</f>
        <v>3018.06</v>
      </c>
      <c r="G1511" s="4">
        <f>[1]Raw_Data!G1509</f>
        <v>0</v>
      </c>
      <c r="H1511" s="3">
        <f>[1]Raw_Data!H1509</f>
        <v>1</v>
      </c>
      <c r="I1511" s="3" t="str">
        <f>TRIM([1]Raw_Data!I1509)</f>
        <v>Canada</v>
      </c>
      <c r="J1511" s="3" t="str">
        <f>TRIM([1]Raw_Data!J1509)</f>
        <v>iHerb</v>
      </c>
      <c r="K1511" s="3">
        <f t="shared" si="92"/>
        <v>2021</v>
      </c>
      <c r="L1511" s="6">
        <f t="shared" si="93"/>
        <v>44470</v>
      </c>
      <c r="M1511" s="3" t="str">
        <f t="shared" si="94"/>
        <v>0% to 5%</v>
      </c>
      <c r="N1511" s="3" t="str">
        <f t="shared" si="95"/>
        <v>OK</v>
      </c>
    </row>
    <row r="1512" spans="1:14" x14ac:dyDescent="0.3">
      <c r="A1512" s="2">
        <f>DATE(VALUE(RIGHT(TRIM([1]Raw_Data!A1510),4)),VALUE(MID(TRIM([1]Raw_Data!A1510),4,2)),VALUE(LEFT(TRIM([1]Raw_Data!A1510),2)))</f>
        <v>44494</v>
      </c>
      <c r="B1512" s="3" t="str">
        <f>TRIM([1]Raw_Data!B1510)</f>
        <v>Pre-Workout</v>
      </c>
      <c r="C1512" s="3" t="str">
        <f>TRIM([1]Raw_Data!C1510)</f>
        <v>Performance</v>
      </c>
      <c r="D1512" s="3">
        <f>[1]Raw_Data!D1510</f>
        <v>145</v>
      </c>
      <c r="E1512" s="4">
        <f>[1]Raw_Data!E1510</f>
        <v>19.399999999999999</v>
      </c>
      <c r="F1512" s="5">
        <f>[1]Raw_Data!F1510</f>
        <v>2813</v>
      </c>
      <c r="G1512" s="4">
        <f>[1]Raw_Data!G1510</f>
        <v>0.21</v>
      </c>
      <c r="H1512" s="3">
        <f>[1]Raw_Data!H1510</f>
        <v>1</v>
      </c>
      <c r="I1512" s="3" t="str">
        <f>TRIM([1]Raw_Data!I1510)</f>
        <v>UK</v>
      </c>
      <c r="J1512" s="3" t="str">
        <f>TRIM([1]Raw_Data!J1510)</f>
        <v>Walmart</v>
      </c>
      <c r="K1512" s="3">
        <f t="shared" si="92"/>
        <v>2021</v>
      </c>
      <c r="L1512" s="6">
        <f t="shared" si="93"/>
        <v>44470</v>
      </c>
      <c r="M1512" s="3" t="str">
        <f t="shared" si="94"/>
        <v>21% to 25%</v>
      </c>
      <c r="N1512" s="3" t="str">
        <f t="shared" si="95"/>
        <v>OK</v>
      </c>
    </row>
    <row r="1513" spans="1:14" x14ac:dyDescent="0.3">
      <c r="A1513" s="2">
        <f>DATE(VALUE(RIGHT(TRIM([1]Raw_Data!A1511),4)),VALUE(MID(TRIM([1]Raw_Data!A1511),4,2)),VALUE(LEFT(TRIM([1]Raw_Data!A1511),2)))</f>
        <v>44494</v>
      </c>
      <c r="B1513" s="3" t="str">
        <f>TRIM([1]Raw_Data!B1511)</f>
        <v>BCAA</v>
      </c>
      <c r="C1513" s="3" t="str">
        <f>TRIM([1]Raw_Data!C1511)</f>
        <v>Amino Acid</v>
      </c>
      <c r="D1513" s="3">
        <f>[1]Raw_Data!D1511</f>
        <v>139</v>
      </c>
      <c r="E1513" s="4">
        <f>[1]Raw_Data!E1511</f>
        <v>34.94</v>
      </c>
      <c r="F1513" s="5">
        <f>[1]Raw_Data!F1511</f>
        <v>4856.66</v>
      </c>
      <c r="G1513" s="4">
        <f>[1]Raw_Data!G1511</f>
        <v>0.05</v>
      </c>
      <c r="H1513" s="3">
        <f>[1]Raw_Data!H1511</f>
        <v>1</v>
      </c>
      <c r="I1513" s="3" t="str">
        <f>TRIM([1]Raw_Data!I1511)</f>
        <v>Canada</v>
      </c>
      <c r="J1513" s="3" t="str">
        <f>TRIM([1]Raw_Data!J1511)</f>
        <v>iHerb</v>
      </c>
      <c r="K1513" s="3">
        <f t="shared" si="92"/>
        <v>2021</v>
      </c>
      <c r="L1513" s="6">
        <f t="shared" si="93"/>
        <v>44470</v>
      </c>
      <c r="M1513" s="3" t="str">
        <f t="shared" si="94"/>
        <v>0% to 5%</v>
      </c>
      <c r="N1513" s="3" t="str">
        <f t="shared" si="95"/>
        <v>OK</v>
      </c>
    </row>
    <row r="1514" spans="1:14" x14ac:dyDescent="0.3">
      <c r="A1514" s="2">
        <f>DATE(VALUE(RIGHT(TRIM([1]Raw_Data!A1512),4)),VALUE(MID(TRIM([1]Raw_Data!A1512),4,2)),VALUE(LEFT(TRIM([1]Raw_Data!A1512),2)))</f>
        <v>44494</v>
      </c>
      <c r="B1514" s="3" t="str">
        <f>TRIM([1]Raw_Data!B1512)</f>
        <v>Creatine</v>
      </c>
      <c r="C1514" s="3" t="str">
        <f>TRIM([1]Raw_Data!C1512)</f>
        <v>Performance</v>
      </c>
      <c r="D1514" s="3">
        <f>[1]Raw_Data!D1512</f>
        <v>137</v>
      </c>
      <c r="E1514" s="4">
        <f>[1]Raw_Data!E1512</f>
        <v>48.5</v>
      </c>
      <c r="F1514" s="5">
        <f>[1]Raw_Data!F1512</f>
        <v>6644.5</v>
      </c>
      <c r="G1514" s="4">
        <f>[1]Raw_Data!G1512</f>
        <v>0.12</v>
      </c>
      <c r="H1514" s="3">
        <f>[1]Raw_Data!H1512</f>
        <v>2</v>
      </c>
      <c r="I1514" s="3" t="str">
        <f>TRIM([1]Raw_Data!I1512)</f>
        <v>USA</v>
      </c>
      <c r="J1514" s="3" t="str">
        <f>TRIM([1]Raw_Data!J1512)</f>
        <v>iHerb</v>
      </c>
      <c r="K1514" s="3">
        <f t="shared" si="92"/>
        <v>2021</v>
      </c>
      <c r="L1514" s="6">
        <f t="shared" si="93"/>
        <v>44470</v>
      </c>
      <c r="M1514" s="3" t="str">
        <f t="shared" si="94"/>
        <v>11% to 15%</v>
      </c>
      <c r="N1514" s="3" t="str">
        <f t="shared" si="95"/>
        <v>OK</v>
      </c>
    </row>
    <row r="1515" spans="1:14" x14ac:dyDescent="0.3">
      <c r="A1515" s="2">
        <f>DATE(VALUE(RIGHT(TRIM([1]Raw_Data!A1513),4)),VALUE(MID(TRIM([1]Raw_Data!A1513),4,2)),VALUE(LEFT(TRIM([1]Raw_Data!A1513),2)))</f>
        <v>44494</v>
      </c>
      <c r="B1515" s="3" t="str">
        <f>TRIM([1]Raw_Data!B1513)</f>
        <v>Zinc</v>
      </c>
      <c r="C1515" s="3" t="str">
        <f>TRIM([1]Raw_Data!C1513)</f>
        <v>Mineral</v>
      </c>
      <c r="D1515" s="3">
        <f>[1]Raw_Data!D1513</f>
        <v>159</v>
      </c>
      <c r="E1515" s="4">
        <f>[1]Raw_Data!E1513</f>
        <v>58.31</v>
      </c>
      <c r="F1515" s="5">
        <f>[1]Raw_Data!F1513</f>
        <v>9271.2900000000009</v>
      </c>
      <c r="G1515" s="4">
        <f>[1]Raw_Data!G1513</f>
        <v>0.21</v>
      </c>
      <c r="H1515" s="3">
        <f>[1]Raw_Data!H1513</f>
        <v>1</v>
      </c>
      <c r="I1515" s="3" t="str">
        <f>TRIM([1]Raw_Data!I1513)</f>
        <v>USA</v>
      </c>
      <c r="J1515" s="3" t="str">
        <f>TRIM([1]Raw_Data!J1513)</f>
        <v>Amazon</v>
      </c>
      <c r="K1515" s="3">
        <f t="shared" si="92"/>
        <v>2021</v>
      </c>
      <c r="L1515" s="6">
        <f t="shared" si="93"/>
        <v>44470</v>
      </c>
      <c r="M1515" s="3" t="str">
        <f t="shared" si="94"/>
        <v>21% to 25%</v>
      </c>
      <c r="N1515" s="3" t="str">
        <f t="shared" si="95"/>
        <v>OK</v>
      </c>
    </row>
    <row r="1516" spans="1:14" x14ac:dyDescent="0.3">
      <c r="A1516" s="2">
        <f>DATE(VALUE(RIGHT(TRIM([1]Raw_Data!A1514),4)),VALUE(MID(TRIM([1]Raw_Data!A1514),4,2)),VALUE(LEFT(TRIM([1]Raw_Data!A1514),2)))</f>
        <v>44494</v>
      </c>
      <c r="B1516" s="3" t="str">
        <f>TRIM([1]Raw_Data!B1514)</f>
        <v>Collagen Peptides</v>
      </c>
      <c r="C1516" s="3" t="str">
        <f>TRIM([1]Raw_Data!C1514)</f>
        <v>Protein</v>
      </c>
      <c r="D1516" s="3">
        <f>[1]Raw_Data!D1514</f>
        <v>137</v>
      </c>
      <c r="E1516" s="4">
        <f>[1]Raw_Data!E1514</f>
        <v>16.920000000000002</v>
      </c>
      <c r="F1516" s="5">
        <f>[1]Raw_Data!F1514</f>
        <v>2318.04</v>
      </c>
      <c r="G1516" s="4">
        <f>[1]Raw_Data!G1514</f>
        <v>0.19</v>
      </c>
      <c r="H1516" s="3">
        <f>[1]Raw_Data!H1514</f>
        <v>1</v>
      </c>
      <c r="I1516" s="3" t="str">
        <f>TRIM([1]Raw_Data!I1514)</f>
        <v>USA</v>
      </c>
      <c r="J1516" s="3" t="str">
        <f>TRIM([1]Raw_Data!J1514)</f>
        <v>Amazon</v>
      </c>
      <c r="K1516" s="3">
        <f t="shared" si="92"/>
        <v>2021</v>
      </c>
      <c r="L1516" s="6">
        <f t="shared" si="93"/>
        <v>44470</v>
      </c>
      <c r="M1516" s="3" t="str">
        <f t="shared" si="94"/>
        <v>16% to 20%</v>
      </c>
      <c r="N1516" s="3" t="str">
        <f t="shared" si="95"/>
        <v>OK</v>
      </c>
    </row>
    <row r="1517" spans="1:14" x14ac:dyDescent="0.3">
      <c r="A1517" s="2">
        <f>DATE(VALUE(RIGHT(TRIM([1]Raw_Data!A1515),4)),VALUE(MID(TRIM([1]Raw_Data!A1515),4,2)),VALUE(LEFT(TRIM([1]Raw_Data!A1515),2)))</f>
        <v>44494</v>
      </c>
      <c r="B1517" s="3" t="str">
        <f>TRIM([1]Raw_Data!B1515)</f>
        <v>Magnesium</v>
      </c>
      <c r="C1517" s="3" t="str">
        <f>TRIM([1]Raw_Data!C1515)</f>
        <v>Mineral</v>
      </c>
      <c r="D1517" s="3">
        <f>[1]Raw_Data!D1515</f>
        <v>161</v>
      </c>
      <c r="E1517" s="4">
        <f>[1]Raw_Data!E1515</f>
        <v>40.229999999999997</v>
      </c>
      <c r="F1517" s="5">
        <f>[1]Raw_Data!F1515</f>
        <v>6477.03</v>
      </c>
      <c r="G1517" s="4">
        <f>[1]Raw_Data!G1515</f>
        <v>0.17</v>
      </c>
      <c r="H1517" s="3">
        <f>[1]Raw_Data!H1515</f>
        <v>0</v>
      </c>
      <c r="I1517" s="3" t="str">
        <f>TRIM([1]Raw_Data!I1515)</f>
        <v>UK</v>
      </c>
      <c r="J1517" s="3" t="str">
        <f>TRIM([1]Raw_Data!J1515)</f>
        <v>Amazon</v>
      </c>
      <c r="K1517" s="3">
        <f t="shared" si="92"/>
        <v>2021</v>
      </c>
      <c r="L1517" s="6">
        <f t="shared" si="93"/>
        <v>44470</v>
      </c>
      <c r="M1517" s="3" t="str">
        <f t="shared" si="94"/>
        <v>16% to 20%</v>
      </c>
      <c r="N1517" s="3" t="str">
        <f t="shared" si="95"/>
        <v>OK</v>
      </c>
    </row>
    <row r="1518" spans="1:14" x14ac:dyDescent="0.3">
      <c r="A1518" s="2">
        <f>DATE(VALUE(RIGHT(TRIM([1]Raw_Data!A1516),4)),VALUE(MID(TRIM([1]Raw_Data!A1516),4,2)),VALUE(LEFT(TRIM([1]Raw_Data!A1516),2)))</f>
        <v>44494</v>
      </c>
      <c r="B1518" s="3" t="str">
        <f>TRIM([1]Raw_Data!B1516)</f>
        <v>Ashwagandha</v>
      </c>
      <c r="C1518" s="3" t="str">
        <f>TRIM([1]Raw_Data!C1516)</f>
        <v>Herbal</v>
      </c>
      <c r="D1518" s="3">
        <f>[1]Raw_Data!D1516</f>
        <v>143</v>
      </c>
      <c r="E1518" s="4">
        <f>[1]Raw_Data!E1516</f>
        <v>10.47</v>
      </c>
      <c r="F1518" s="5">
        <f>[1]Raw_Data!F1516</f>
        <v>1497.21</v>
      </c>
      <c r="G1518" s="4">
        <f>[1]Raw_Data!G1516</f>
        <v>0.01</v>
      </c>
      <c r="H1518" s="3">
        <f>[1]Raw_Data!H1516</f>
        <v>3</v>
      </c>
      <c r="I1518" s="3" t="str">
        <f>TRIM([1]Raw_Data!I1516)</f>
        <v>USA</v>
      </c>
      <c r="J1518" s="3" t="str">
        <f>TRIM([1]Raw_Data!J1516)</f>
        <v>Amazon</v>
      </c>
      <c r="K1518" s="3">
        <f t="shared" si="92"/>
        <v>2021</v>
      </c>
      <c r="L1518" s="6">
        <f t="shared" si="93"/>
        <v>44470</v>
      </c>
      <c r="M1518" s="3" t="str">
        <f t="shared" si="94"/>
        <v>0% to 5%</v>
      </c>
      <c r="N1518" s="3" t="str">
        <f t="shared" si="95"/>
        <v>OK</v>
      </c>
    </row>
    <row r="1519" spans="1:14" x14ac:dyDescent="0.3">
      <c r="A1519" s="2">
        <f>DATE(VALUE(RIGHT(TRIM([1]Raw_Data!A1517),4)),VALUE(MID(TRIM([1]Raw_Data!A1517),4,2)),VALUE(LEFT(TRIM([1]Raw_Data!A1517),2)))</f>
        <v>44494</v>
      </c>
      <c r="B1519" s="3" t="str">
        <f>TRIM([1]Raw_Data!B1517)</f>
        <v>Melatonin</v>
      </c>
      <c r="C1519" s="3" t="str">
        <f>TRIM([1]Raw_Data!C1517)</f>
        <v>Sleep Aid</v>
      </c>
      <c r="D1519" s="3">
        <f>[1]Raw_Data!D1517</f>
        <v>157</v>
      </c>
      <c r="E1519" s="4">
        <f>[1]Raw_Data!E1517</f>
        <v>44.4</v>
      </c>
      <c r="F1519" s="5">
        <f>[1]Raw_Data!F1517</f>
        <v>6970.8</v>
      </c>
      <c r="G1519" s="4">
        <f>[1]Raw_Data!G1517</f>
        <v>0.2</v>
      </c>
      <c r="H1519" s="3">
        <f>[1]Raw_Data!H1517</f>
        <v>1</v>
      </c>
      <c r="I1519" s="3" t="str">
        <f>TRIM([1]Raw_Data!I1517)</f>
        <v>Canada</v>
      </c>
      <c r="J1519" s="3" t="str">
        <f>TRIM([1]Raw_Data!J1517)</f>
        <v>Amazon</v>
      </c>
      <c r="K1519" s="3">
        <f t="shared" si="92"/>
        <v>2021</v>
      </c>
      <c r="L1519" s="6">
        <f t="shared" si="93"/>
        <v>44470</v>
      </c>
      <c r="M1519" s="3" t="str">
        <f t="shared" si="94"/>
        <v>16% to 20%</v>
      </c>
      <c r="N1519" s="3" t="str">
        <f t="shared" si="95"/>
        <v>OK</v>
      </c>
    </row>
    <row r="1520" spans="1:14" x14ac:dyDescent="0.3">
      <c r="A1520" s="2">
        <f>DATE(VALUE(RIGHT(TRIM([1]Raw_Data!A1518),4)),VALUE(MID(TRIM([1]Raw_Data!A1518),4,2)),VALUE(LEFT(TRIM([1]Raw_Data!A1518),2)))</f>
        <v>44494</v>
      </c>
      <c r="B1520" s="3" t="str">
        <f>TRIM([1]Raw_Data!B1518)</f>
        <v>Biotin</v>
      </c>
      <c r="C1520" s="3" t="str">
        <f>TRIM([1]Raw_Data!C1518)</f>
        <v>Vitamin</v>
      </c>
      <c r="D1520" s="3">
        <f>[1]Raw_Data!D1518</f>
        <v>144</v>
      </c>
      <c r="E1520" s="4">
        <f>[1]Raw_Data!E1518</f>
        <v>34.590000000000003</v>
      </c>
      <c r="F1520" s="5">
        <f>[1]Raw_Data!F1518</f>
        <v>4980.96</v>
      </c>
      <c r="G1520" s="4">
        <f>[1]Raw_Data!G1518</f>
        <v>0.19</v>
      </c>
      <c r="H1520" s="3">
        <f>[1]Raw_Data!H1518</f>
        <v>0</v>
      </c>
      <c r="I1520" s="3" t="str">
        <f>TRIM([1]Raw_Data!I1518)</f>
        <v>UK</v>
      </c>
      <c r="J1520" s="3" t="str">
        <f>TRIM([1]Raw_Data!J1518)</f>
        <v>iHerb</v>
      </c>
      <c r="K1520" s="3">
        <f t="shared" si="92"/>
        <v>2021</v>
      </c>
      <c r="L1520" s="6">
        <f t="shared" si="93"/>
        <v>44470</v>
      </c>
      <c r="M1520" s="3" t="str">
        <f t="shared" si="94"/>
        <v>16% to 20%</v>
      </c>
      <c r="N1520" s="3" t="str">
        <f t="shared" si="95"/>
        <v>OK</v>
      </c>
    </row>
    <row r="1521" spans="1:14" x14ac:dyDescent="0.3">
      <c r="A1521" s="2">
        <f>DATE(VALUE(RIGHT(TRIM([1]Raw_Data!A1519),4)),VALUE(MID(TRIM([1]Raw_Data!A1519),4,2)),VALUE(LEFT(TRIM([1]Raw_Data!A1519),2)))</f>
        <v>44494</v>
      </c>
      <c r="B1521" s="3" t="str">
        <f>TRIM([1]Raw_Data!B1519)</f>
        <v>Green Tea Extract</v>
      </c>
      <c r="C1521" s="3" t="str">
        <f>TRIM([1]Raw_Data!C1519)</f>
        <v>Fat Burner</v>
      </c>
      <c r="D1521" s="3">
        <f>[1]Raw_Data!D1519</f>
        <v>141</v>
      </c>
      <c r="E1521" s="4">
        <f>[1]Raw_Data!E1519</f>
        <v>59.58</v>
      </c>
      <c r="F1521" s="5">
        <f>[1]Raw_Data!F1519</f>
        <v>8400.7800000000007</v>
      </c>
      <c r="G1521" s="4">
        <f>[1]Raw_Data!G1519</f>
        <v>0.05</v>
      </c>
      <c r="H1521" s="3">
        <f>[1]Raw_Data!H1519</f>
        <v>1</v>
      </c>
      <c r="I1521" s="3" t="str">
        <f>TRIM([1]Raw_Data!I1519)</f>
        <v>Canada</v>
      </c>
      <c r="J1521" s="3" t="str">
        <f>TRIM([1]Raw_Data!J1519)</f>
        <v>Walmart</v>
      </c>
      <c r="K1521" s="3">
        <f t="shared" si="92"/>
        <v>2021</v>
      </c>
      <c r="L1521" s="6">
        <f t="shared" si="93"/>
        <v>44470</v>
      </c>
      <c r="M1521" s="3" t="str">
        <f t="shared" si="94"/>
        <v>0% to 5%</v>
      </c>
      <c r="N1521" s="3" t="str">
        <f t="shared" si="95"/>
        <v>OK</v>
      </c>
    </row>
    <row r="1522" spans="1:14" x14ac:dyDescent="0.3">
      <c r="A1522" s="2">
        <f>DATE(VALUE(RIGHT(TRIM([1]Raw_Data!A1520),4)),VALUE(MID(TRIM([1]Raw_Data!A1520),4,2)),VALUE(LEFT(TRIM([1]Raw_Data!A1520),2)))</f>
        <v>44494</v>
      </c>
      <c r="B1522" s="3" t="str">
        <f>TRIM([1]Raw_Data!B1520)</f>
        <v>Iron Supplement</v>
      </c>
      <c r="C1522" s="3" t="str">
        <f>TRIM([1]Raw_Data!C1520)</f>
        <v>Mineral</v>
      </c>
      <c r="D1522" s="3">
        <f>[1]Raw_Data!D1520</f>
        <v>172</v>
      </c>
      <c r="E1522" s="4">
        <f>[1]Raw_Data!E1520</f>
        <v>58.54</v>
      </c>
      <c r="F1522" s="5">
        <f>[1]Raw_Data!F1520</f>
        <v>10068.879999999999</v>
      </c>
      <c r="G1522" s="4">
        <f>[1]Raw_Data!G1520</f>
        <v>0.24</v>
      </c>
      <c r="H1522" s="3">
        <f>[1]Raw_Data!H1520</f>
        <v>3</v>
      </c>
      <c r="I1522" s="3" t="str">
        <f>TRIM([1]Raw_Data!I1520)</f>
        <v>Canada</v>
      </c>
      <c r="J1522" s="3" t="str">
        <f>TRIM([1]Raw_Data!J1520)</f>
        <v>Walmart</v>
      </c>
      <c r="K1522" s="3">
        <f t="shared" si="92"/>
        <v>2021</v>
      </c>
      <c r="L1522" s="6">
        <f t="shared" si="93"/>
        <v>44470</v>
      </c>
      <c r="M1522" s="3" t="str">
        <f t="shared" si="94"/>
        <v>21% to 25%</v>
      </c>
      <c r="N1522" s="3" t="str">
        <f t="shared" si="95"/>
        <v>OK</v>
      </c>
    </row>
    <row r="1523" spans="1:14" x14ac:dyDescent="0.3">
      <c r="A1523" s="2">
        <f>DATE(VALUE(RIGHT(TRIM([1]Raw_Data!A1521),4)),VALUE(MID(TRIM([1]Raw_Data!A1521),4,2)),VALUE(LEFT(TRIM([1]Raw_Data!A1521),2)))</f>
        <v>44494</v>
      </c>
      <c r="B1523" s="3" t="str">
        <f>TRIM([1]Raw_Data!B1521)</f>
        <v>Electrolyte Powder</v>
      </c>
      <c r="C1523" s="3" t="str">
        <f>TRIM([1]Raw_Data!C1521)</f>
        <v>Hydration</v>
      </c>
      <c r="D1523" s="3">
        <f>[1]Raw_Data!D1521</f>
        <v>139</v>
      </c>
      <c r="E1523" s="4">
        <f>[1]Raw_Data!E1521</f>
        <v>48.04</v>
      </c>
      <c r="F1523" s="5">
        <f>[1]Raw_Data!F1521</f>
        <v>6677.56</v>
      </c>
      <c r="G1523" s="4">
        <f>[1]Raw_Data!G1521</f>
        <v>0.25</v>
      </c>
      <c r="H1523" s="3">
        <f>[1]Raw_Data!H1521</f>
        <v>0</v>
      </c>
      <c r="I1523" s="3" t="str">
        <f>TRIM([1]Raw_Data!I1521)</f>
        <v>UK</v>
      </c>
      <c r="J1523" s="3" t="str">
        <f>TRIM([1]Raw_Data!J1521)</f>
        <v>Walmart</v>
      </c>
      <c r="K1523" s="3">
        <f t="shared" si="92"/>
        <v>2021</v>
      </c>
      <c r="L1523" s="6">
        <f t="shared" si="93"/>
        <v>44470</v>
      </c>
      <c r="M1523" s="3" t="str">
        <f t="shared" si="94"/>
        <v>21% to 25%</v>
      </c>
      <c r="N1523" s="3" t="str">
        <f t="shared" si="95"/>
        <v>OK</v>
      </c>
    </row>
    <row r="1524" spans="1:14" x14ac:dyDescent="0.3">
      <c r="A1524" s="2">
        <f>DATE(VALUE(RIGHT(TRIM([1]Raw_Data!A1522),4)),VALUE(MID(TRIM([1]Raw_Data!A1522),4,2)),VALUE(LEFT(TRIM([1]Raw_Data!A1522),2)))</f>
        <v>44501</v>
      </c>
      <c r="B1524" s="3" t="str">
        <f>TRIM([1]Raw_Data!B1522)</f>
        <v>Whey Protein</v>
      </c>
      <c r="C1524" s="3" t="str">
        <f>TRIM([1]Raw_Data!C1522)</f>
        <v>Protein</v>
      </c>
      <c r="D1524" s="3">
        <f>[1]Raw_Data!D1522</f>
        <v>160</v>
      </c>
      <c r="E1524" s="4">
        <f>[1]Raw_Data!E1522</f>
        <v>18.78</v>
      </c>
      <c r="F1524" s="5">
        <f>[1]Raw_Data!F1522</f>
        <v>3004.8</v>
      </c>
      <c r="G1524" s="4">
        <f>[1]Raw_Data!G1522</f>
        <v>0.11</v>
      </c>
      <c r="H1524" s="3">
        <f>[1]Raw_Data!H1522</f>
        <v>3</v>
      </c>
      <c r="I1524" s="3" t="str">
        <f>TRIM([1]Raw_Data!I1522)</f>
        <v>USA</v>
      </c>
      <c r="J1524" s="3" t="str">
        <f>TRIM([1]Raw_Data!J1522)</f>
        <v>Walmart</v>
      </c>
      <c r="K1524" s="3">
        <f t="shared" si="92"/>
        <v>2021</v>
      </c>
      <c r="L1524" s="6">
        <f t="shared" si="93"/>
        <v>44501</v>
      </c>
      <c r="M1524" s="3" t="str">
        <f t="shared" si="94"/>
        <v>11% to 15%</v>
      </c>
      <c r="N1524" s="3" t="str">
        <f t="shared" si="95"/>
        <v>OK</v>
      </c>
    </row>
    <row r="1525" spans="1:14" x14ac:dyDescent="0.3">
      <c r="A1525" s="2">
        <f>DATE(VALUE(RIGHT(TRIM([1]Raw_Data!A1523),4)),VALUE(MID(TRIM([1]Raw_Data!A1523),4,2)),VALUE(LEFT(TRIM([1]Raw_Data!A1523),2)))</f>
        <v>44501</v>
      </c>
      <c r="B1525" s="3" t="str">
        <f>TRIM([1]Raw_Data!B1523)</f>
        <v>Vitamin C</v>
      </c>
      <c r="C1525" s="3" t="str">
        <f>TRIM([1]Raw_Data!C1523)</f>
        <v>Vitamin</v>
      </c>
      <c r="D1525" s="3">
        <f>[1]Raw_Data!D1523</f>
        <v>149</v>
      </c>
      <c r="E1525" s="4">
        <f>[1]Raw_Data!E1523</f>
        <v>59.76</v>
      </c>
      <c r="F1525" s="5">
        <f>[1]Raw_Data!F1523</f>
        <v>8904.24</v>
      </c>
      <c r="G1525" s="4">
        <f>[1]Raw_Data!G1523</f>
        <v>0.1</v>
      </c>
      <c r="H1525" s="3">
        <f>[1]Raw_Data!H1523</f>
        <v>2</v>
      </c>
      <c r="I1525" s="3" t="str">
        <f>TRIM([1]Raw_Data!I1523)</f>
        <v>USA</v>
      </c>
      <c r="J1525" s="3" t="str">
        <f>TRIM([1]Raw_Data!J1523)</f>
        <v>iHerb</v>
      </c>
      <c r="K1525" s="3">
        <f t="shared" si="92"/>
        <v>2021</v>
      </c>
      <c r="L1525" s="6">
        <f t="shared" si="93"/>
        <v>44501</v>
      </c>
      <c r="M1525" s="3" t="str">
        <f t="shared" si="94"/>
        <v>6% to 10%</v>
      </c>
      <c r="N1525" s="3" t="str">
        <f t="shared" si="95"/>
        <v>OK</v>
      </c>
    </row>
    <row r="1526" spans="1:14" x14ac:dyDescent="0.3">
      <c r="A1526" s="2">
        <f>DATE(VALUE(RIGHT(TRIM([1]Raw_Data!A1524),4)),VALUE(MID(TRIM([1]Raw_Data!A1524),4,2)),VALUE(LEFT(TRIM([1]Raw_Data!A1524),2)))</f>
        <v>44501</v>
      </c>
      <c r="B1526" s="3" t="str">
        <f>TRIM([1]Raw_Data!B1524)</f>
        <v>Fish Oil</v>
      </c>
      <c r="C1526" s="3" t="str">
        <f>TRIM([1]Raw_Data!C1524)</f>
        <v>Omega</v>
      </c>
      <c r="D1526" s="3">
        <f>[1]Raw_Data!D1524</f>
        <v>145</v>
      </c>
      <c r="E1526" s="4">
        <f>[1]Raw_Data!E1524</f>
        <v>44.78</v>
      </c>
      <c r="F1526" s="5">
        <f>[1]Raw_Data!F1524</f>
        <v>6493.1</v>
      </c>
      <c r="G1526" s="4">
        <f>[1]Raw_Data!G1524</f>
        <v>0.23</v>
      </c>
      <c r="H1526" s="3">
        <f>[1]Raw_Data!H1524</f>
        <v>1</v>
      </c>
      <c r="I1526" s="3" t="str">
        <f>TRIM([1]Raw_Data!I1524)</f>
        <v>UK</v>
      </c>
      <c r="J1526" s="3" t="str">
        <f>TRIM([1]Raw_Data!J1524)</f>
        <v>Amazon</v>
      </c>
      <c r="K1526" s="3">
        <f t="shared" si="92"/>
        <v>2021</v>
      </c>
      <c r="L1526" s="6">
        <f t="shared" si="93"/>
        <v>44501</v>
      </c>
      <c r="M1526" s="3" t="str">
        <f t="shared" si="94"/>
        <v>21% to 25%</v>
      </c>
      <c r="N1526" s="3" t="str">
        <f t="shared" si="95"/>
        <v>OK</v>
      </c>
    </row>
    <row r="1527" spans="1:14" x14ac:dyDescent="0.3">
      <c r="A1527" s="2">
        <f>DATE(VALUE(RIGHT(TRIM([1]Raw_Data!A1525),4)),VALUE(MID(TRIM([1]Raw_Data!A1525),4,2)),VALUE(LEFT(TRIM([1]Raw_Data!A1525),2)))</f>
        <v>44501</v>
      </c>
      <c r="B1527" s="3" t="str">
        <f>TRIM([1]Raw_Data!B1525)</f>
        <v>Multivitamin</v>
      </c>
      <c r="C1527" s="3" t="str">
        <f>TRIM([1]Raw_Data!C1525)</f>
        <v>Vitamin</v>
      </c>
      <c r="D1527" s="3">
        <f>[1]Raw_Data!D1525</f>
        <v>160</v>
      </c>
      <c r="E1527" s="4">
        <f>[1]Raw_Data!E1525</f>
        <v>20.56</v>
      </c>
      <c r="F1527" s="5">
        <f>[1]Raw_Data!F1525</f>
        <v>3289.6</v>
      </c>
      <c r="G1527" s="4">
        <f>[1]Raw_Data!G1525</f>
        <v>0.13</v>
      </c>
      <c r="H1527" s="3">
        <f>[1]Raw_Data!H1525</f>
        <v>0</v>
      </c>
      <c r="I1527" s="3" t="str">
        <f>TRIM([1]Raw_Data!I1525)</f>
        <v>Canada</v>
      </c>
      <c r="J1527" s="3" t="str">
        <f>TRIM([1]Raw_Data!J1525)</f>
        <v>Amazon</v>
      </c>
      <c r="K1527" s="3">
        <f t="shared" si="92"/>
        <v>2021</v>
      </c>
      <c r="L1527" s="6">
        <f t="shared" si="93"/>
        <v>44501</v>
      </c>
      <c r="M1527" s="3" t="str">
        <f t="shared" si="94"/>
        <v>11% to 15%</v>
      </c>
      <c r="N1527" s="3" t="str">
        <f t="shared" si="95"/>
        <v>OK</v>
      </c>
    </row>
    <row r="1528" spans="1:14" x14ac:dyDescent="0.3">
      <c r="A1528" s="2">
        <f>DATE(VALUE(RIGHT(TRIM([1]Raw_Data!A1526),4)),VALUE(MID(TRIM([1]Raw_Data!A1526),4,2)),VALUE(LEFT(TRIM([1]Raw_Data!A1526),2)))</f>
        <v>44501</v>
      </c>
      <c r="B1528" s="3" t="str">
        <f>TRIM([1]Raw_Data!B1526)</f>
        <v>Pre-Workout</v>
      </c>
      <c r="C1528" s="3" t="str">
        <f>TRIM([1]Raw_Data!C1526)</f>
        <v>Performance</v>
      </c>
      <c r="D1528" s="3">
        <f>[1]Raw_Data!D1526</f>
        <v>141</v>
      </c>
      <c r="E1528" s="4">
        <f>[1]Raw_Data!E1526</f>
        <v>10.75</v>
      </c>
      <c r="F1528" s="5">
        <f>[1]Raw_Data!F1526</f>
        <v>1515.75</v>
      </c>
      <c r="G1528" s="4">
        <f>[1]Raw_Data!G1526</f>
        <v>7.0000000000000007E-2</v>
      </c>
      <c r="H1528" s="3">
        <f>[1]Raw_Data!H1526</f>
        <v>1</v>
      </c>
      <c r="I1528" s="3" t="str">
        <f>TRIM([1]Raw_Data!I1526)</f>
        <v>Canada</v>
      </c>
      <c r="J1528" s="3" t="str">
        <f>TRIM([1]Raw_Data!J1526)</f>
        <v>Walmart</v>
      </c>
      <c r="K1528" s="3">
        <f t="shared" si="92"/>
        <v>2021</v>
      </c>
      <c r="L1528" s="6">
        <f t="shared" si="93"/>
        <v>44501</v>
      </c>
      <c r="M1528" s="3" t="str">
        <f t="shared" si="94"/>
        <v>6% to 10%</v>
      </c>
      <c r="N1528" s="3" t="str">
        <f t="shared" si="95"/>
        <v>OK</v>
      </c>
    </row>
    <row r="1529" spans="1:14" x14ac:dyDescent="0.3">
      <c r="A1529" s="2">
        <f>DATE(VALUE(RIGHT(TRIM([1]Raw_Data!A1527),4)),VALUE(MID(TRIM([1]Raw_Data!A1527),4,2)),VALUE(LEFT(TRIM([1]Raw_Data!A1527),2)))</f>
        <v>44501</v>
      </c>
      <c r="B1529" s="3" t="str">
        <f>TRIM([1]Raw_Data!B1527)</f>
        <v>BCAA</v>
      </c>
      <c r="C1529" s="3" t="str">
        <f>TRIM([1]Raw_Data!C1527)</f>
        <v>Amino Acid</v>
      </c>
      <c r="D1529" s="3">
        <f>[1]Raw_Data!D1527</f>
        <v>153</v>
      </c>
      <c r="E1529" s="4">
        <f>[1]Raw_Data!E1527</f>
        <v>42.27</v>
      </c>
      <c r="F1529" s="5">
        <f>[1]Raw_Data!F1527</f>
        <v>6467.31</v>
      </c>
      <c r="G1529" s="4">
        <f>[1]Raw_Data!G1527</f>
        <v>0.1</v>
      </c>
      <c r="H1529" s="3">
        <f>[1]Raw_Data!H1527</f>
        <v>3</v>
      </c>
      <c r="I1529" s="3" t="str">
        <f>TRIM([1]Raw_Data!I1527)</f>
        <v>UK</v>
      </c>
      <c r="J1529" s="3" t="str">
        <f>TRIM([1]Raw_Data!J1527)</f>
        <v>Walmart</v>
      </c>
      <c r="K1529" s="3">
        <f t="shared" si="92"/>
        <v>2021</v>
      </c>
      <c r="L1529" s="6">
        <f t="shared" si="93"/>
        <v>44501</v>
      </c>
      <c r="M1529" s="3" t="str">
        <f t="shared" si="94"/>
        <v>6% to 10%</v>
      </c>
      <c r="N1529" s="3" t="str">
        <f t="shared" si="95"/>
        <v>OK</v>
      </c>
    </row>
    <row r="1530" spans="1:14" x14ac:dyDescent="0.3">
      <c r="A1530" s="2">
        <f>DATE(VALUE(RIGHT(TRIM([1]Raw_Data!A1528),4)),VALUE(MID(TRIM([1]Raw_Data!A1528),4,2)),VALUE(LEFT(TRIM([1]Raw_Data!A1528),2)))</f>
        <v>44501</v>
      </c>
      <c r="B1530" s="3" t="str">
        <f>TRIM([1]Raw_Data!B1528)</f>
        <v>Creatine</v>
      </c>
      <c r="C1530" s="3" t="str">
        <f>TRIM([1]Raw_Data!C1528)</f>
        <v>Performance</v>
      </c>
      <c r="D1530" s="3">
        <f>[1]Raw_Data!D1528</f>
        <v>161</v>
      </c>
      <c r="E1530" s="4">
        <f>[1]Raw_Data!E1528</f>
        <v>16.54</v>
      </c>
      <c r="F1530" s="5">
        <f>[1]Raw_Data!F1528</f>
        <v>2662.94</v>
      </c>
      <c r="G1530" s="4">
        <f>[1]Raw_Data!G1528</f>
        <v>0.17</v>
      </c>
      <c r="H1530" s="3">
        <f>[1]Raw_Data!H1528</f>
        <v>2</v>
      </c>
      <c r="I1530" s="3" t="str">
        <f>TRIM([1]Raw_Data!I1528)</f>
        <v>Canada</v>
      </c>
      <c r="J1530" s="3" t="str">
        <f>TRIM([1]Raw_Data!J1528)</f>
        <v>Walmart</v>
      </c>
      <c r="K1530" s="3">
        <f t="shared" si="92"/>
        <v>2021</v>
      </c>
      <c r="L1530" s="6">
        <f t="shared" si="93"/>
        <v>44501</v>
      </c>
      <c r="M1530" s="3" t="str">
        <f t="shared" si="94"/>
        <v>16% to 20%</v>
      </c>
      <c r="N1530" s="3" t="str">
        <f t="shared" si="95"/>
        <v>OK</v>
      </c>
    </row>
    <row r="1531" spans="1:14" x14ac:dyDescent="0.3">
      <c r="A1531" s="2">
        <f>DATE(VALUE(RIGHT(TRIM([1]Raw_Data!A1529),4)),VALUE(MID(TRIM([1]Raw_Data!A1529),4,2)),VALUE(LEFT(TRIM([1]Raw_Data!A1529),2)))</f>
        <v>44501</v>
      </c>
      <c r="B1531" s="3" t="str">
        <f>TRIM([1]Raw_Data!B1529)</f>
        <v>Zinc</v>
      </c>
      <c r="C1531" s="3" t="str">
        <f>TRIM([1]Raw_Data!C1529)</f>
        <v>Mineral</v>
      </c>
      <c r="D1531" s="3">
        <f>[1]Raw_Data!D1529</f>
        <v>161</v>
      </c>
      <c r="E1531" s="4">
        <f>[1]Raw_Data!E1529</f>
        <v>41.26</v>
      </c>
      <c r="F1531" s="5">
        <f>[1]Raw_Data!F1529</f>
        <v>6642.86</v>
      </c>
      <c r="G1531" s="4">
        <f>[1]Raw_Data!G1529</f>
        <v>0.25</v>
      </c>
      <c r="H1531" s="3">
        <f>[1]Raw_Data!H1529</f>
        <v>2</v>
      </c>
      <c r="I1531" s="3" t="str">
        <f>TRIM([1]Raw_Data!I1529)</f>
        <v>UK</v>
      </c>
      <c r="J1531" s="3" t="str">
        <f>TRIM([1]Raw_Data!J1529)</f>
        <v>Walmart</v>
      </c>
      <c r="K1531" s="3">
        <f t="shared" si="92"/>
        <v>2021</v>
      </c>
      <c r="L1531" s="6">
        <f t="shared" si="93"/>
        <v>44501</v>
      </c>
      <c r="M1531" s="3" t="str">
        <f t="shared" si="94"/>
        <v>21% to 25%</v>
      </c>
      <c r="N1531" s="3" t="str">
        <f t="shared" si="95"/>
        <v>OK</v>
      </c>
    </row>
    <row r="1532" spans="1:14" x14ac:dyDescent="0.3">
      <c r="A1532" s="2">
        <f>DATE(VALUE(RIGHT(TRIM([1]Raw_Data!A1530),4)),VALUE(MID(TRIM([1]Raw_Data!A1530),4,2)),VALUE(LEFT(TRIM([1]Raw_Data!A1530),2)))</f>
        <v>44501</v>
      </c>
      <c r="B1532" s="3" t="str">
        <f>TRIM([1]Raw_Data!B1530)</f>
        <v>Collagen Peptides</v>
      </c>
      <c r="C1532" s="3" t="str">
        <f>TRIM([1]Raw_Data!C1530)</f>
        <v>Protein</v>
      </c>
      <c r="D1532" s="3">
        <f>[1]Raw_Data!D1530</f>
        <v>133</v>
      </c>
      <c r="E1532" s="4">
        <f>[1]Raw_Data!E1530</f>
        <v>22.59</v>
      </c>
      <c r="F1532" s="5">
        <f>[1]Raw_Data!F1530</f>
        <v>3004.47</v>
      </c>
      <c r="G1532" s="4">
        <f>[1]Raw_Data!G1530</f>
        <v>0.19</v>
      </c>
      <c r="H1532" s="3">
        <f>[1]Raw_Data!H1530</f>
        <v>4</v>
      </c>
      <c r="I1532" s="3" t="str">
        <f>TRIM([1]Raw_Data!I1530)</f>
        <v>Canada</v>
      </c>
      <c r="J1532" s="3" t="str">
        <f>TRIM([1]Raw_Data!J1530)</f>
        <v>Walmart</v>
      </c>
      <c r="K1532" s="3">
        <f t="shared" si="92"/>
        <v>2021</v>
      </c>
      <c r="L1532" s="6">
        <f t="shared" si="93"/>
        <v>44501</v>
      </c>
      <c r="M1532" s="3" t="str">
        <f t="shared" si="94"/>
        <v>16% to 20%</v>
      </c>
      <c r="N1532" s="3" t="str">
        <f t="shared" si="95"/>
        <v>OK</v>
      </c>
    </row>
    <row r="1533" spans="1:14" x14ac:dyDescent="0.3">
      <c r="A1533" s="2">
        <f>DATE(VALUE(RIGHT(TRIM([1]Raw_Data!A1531),4)),VALUE(MID(TRIM([1]Raw_Data!A1531),4,2)),VALUE(LEFT(TRIM([1]Raw_Data!A1531),2)))</f>
        <v>44501</v>
      </c>
      <c r="B1533" s="3" t="str">
        <f>TRIM([1]Raw_Data!B1531)</f>
        <v>Magnesium</v>
      </c>
      <c r="C1533" s="3" t="str">
        <f>TRIM([1]Raw_Data!C1531)</f>
        <v>Mineral</v>
      </c>
      <c r="D1533" s="3">
        <f>[1]Raw_Data!D1531</f>
        <v>157</v>
      </c>
      <c r="E1533" s="4">
        <f>[1]Raw_Data!E1531</f>
        <v>33.020000000000003</v>
      </c>
      <c r="F1533" s="5">
        <f>[1]Raw_Data!F1531</f>
        <v>5184.1400000000003</v>
      </c>
      <c r="G1533" s="4">
        <f>[1]Raw_Data!G1531</f>
        <v>0.09</v>
      </c>
      <c r="H1533" s="3">
        <f>[1]Raw_Data!H1531</f>
        <v>1</v>
      </c>
      <c r="I1533" s="3" t="str">
        <f>TRIM([1]Raw_Data!I1531)</f>
        <v>Canada</v>
      </c>
      <c r="J1533" s="3" t="str">
        <f>TRIM([1]Raw_Data!J1531)</f>
        <v>Amazon</v>
      </c>
      <c r="K1533" s="3">
        <f t="shared" si="92"/>
        <v>2021</v>
      </c>
      <c r="L1533" s="6">
        <f t="shared" si="93"/>
        <v>44501</v>
      </c>
      <c r="M1533" s="3" t="str">
        <f t="shared" si="94"/>
        <v>6% to 10%</v>
      </c>
      <c r="N1533" s="3" t="str">
        <f t="shared" si="95"/>
        <v>OK</v>
      </c>
    </row>
    <row r="1534" spans="1:14" x14ac:dyDescent="0.3">
      <c r="A1534" s="2">
        <f>DATE(VALUE(RIGHT(TRIM([1]Raw_Data!A1532),4)),VALUE(MID(TRIM([1]Raw_Data!A1532),4,2)),VALUE(LEFT(TRIM([1]Raw_Data!A1532),2)))</f>
        <v>44501</v>
      </c>
      <c r="B1534" s="3" t="str">
        <f>TRIM([1]Raw_Data!B1532)</f>
        <v>Ashwagandha</v>
      </c>
      <c r="C1534" s="3" t="str">
        <f>TRIM([1]Raw_Data!C1532)</f>
        <v>Herbal</v>
      </c>
      <c r="D1534" s="3">
        <f>[1]Raw_Data!D1532</f>
        <v>155</v>
      </c>
      <c r="E1534" s="4">
        <f>[1]Raw_Data!E1532</f>
        <v>43.93</v>
      </c>
      <c r="F1534" s="5">
        <f>[1]Raw_Data!F1532</f>
        <v>6809.15</v>
      </c>
      <c r="G1534" s="4">
        <f>[1]Raw_Data!G1532</f>
        <v>0.05</v>
      </c>
      <c r="H1534" s="3">
        <f>[1]Raw_Data!H1532</f>
        <v>1</v>
      </c>
      <c r="I1534" s="3" t="str">
        <f>TRIM([1]Raw_Data!I1532)</f>
        <v>UK</v>
      </c>
      <c r="J1534" s="3" t="str">
        <f>TRIM([1]Raw_Data!J1532)</f>
        <v>Walmart</v>
      </c>
      <c r="K1534" s="3">
        <f t="shared" si="92"/>
        <v>2021</v>
      </c>
      <c r="L1534" s="6">
        <f t="shared" si="93"/>
        <v>44501</v>
      </c>
      <c r="M1534" s="3" t="str">
        <f t="shared" si="94"/>
        <v>0% to 5%</v>
      </c>
      <c r="N1534" s="3" t="str">
        <f t="shared" si="95"/>
        <v>OK</v>
      </c>
    </row>
    <row r="1535" spans="1:14" x14ac:dyDescent="0.3">
      <c r="A1535" s="2">
        <f>DATE(VALUE(RIGHT(TRIM([1]Raw_Data!A1533),4)),VALUE(MID(TRIM([1]Raw_Data!A1533),4,2)),VALUE(LEFT(TRIM([1]Raw_Data!A1533),2)))</f>
        <v>44501</v>
      </c>
      <c r="B1535" s="3" t="str">
        <f>TRIM([1]Raw_Data!B1533)</f>
        <v>Melatonin</v>
      </c>
      <c r="C1535" s="3" t="str">
        <f>TRIM([1]Raw_Data!C1533)</f>
        <v>Sleep Aid</v>
      </c>
      <c r="D1535" s="3">
        <f>[1]Raw_Data!D1533</f>
        <v>161</v>
      </c>
      <c r="E1535" s="4">
        <f>[1]Raw_Data!E1533</f>
        <v>36.83</v>
      </c>
      <c r="F1535" s="5">
        <f>[1]Raw_Data!F1533</f>
        <v>5929.63</v>
      </c>
      <c r="G1535" s="4">
        <f>[1]Raw_Data!G1533</f>
        <v>0.19</v>
      </c>
      <c r="H1535" s="3">
        <f>[1]Raw_Data!H1533</f>
        <v>2</v>
      </c>
      <c r="I1535" s="3" t="str">
        <f>TRIM([1]Raw_Data!I1533)</f>
        <v>Canada</v>
      </c>
      <c r="J1535" s="3" t="str">
        <f>TRIM([1]Raw_Data!J1533)</f>
        <v>Walmart</v>
      </c>
      <c r="K1535" s="3">
        <f t="shared" si="92"/>
        <v>2021</v>
      </c>
      <c r="L1535" s="6">
        <f t="shared" si="93"/>
        <v>44501</v>
      </c>
      <c r="M1535" s="3" t="str">
        <f t="shared" si="94"/>
        <v>16% to 20%</v>
      </c>
      <c r="N1535" s="3" t="str">
        <f t="shared" si="95"/>
        <v>OK</v>
      </c>
    </row>
    <row r="1536" spans="1:14" x14ac:dyDescent="0.3">
      <c r="A1536" s="2">
        <f>DATE(VALUE(RIGHT(TRIM([1]Raw_Data!A1534),4)),VALUE(MID(TRIM([1]Raw_Data!A1534),4,2)),VALUE(LEFT(TRIM([1]Raw_Data!A1534),2)))</f>
        <v>44501</v>
      </c>
      <c r="B1536" s="3" t="str">
        <f>TRIM([1]Raw_Data!B1534)</f>
        <v>Biotin</v>
      </c>
      <c r="C1536" s="3" t="str">
        <f>TRIM([1]Raw_Data!C1534)</f>
        <v>Vitamin</v>
      </c>
      <c r="D1536" s="3">
        <f>[1]Raw_Data!D1534</f>
        <v>147</v>
      </c>
      <c r="E1536" s="4">
        <f>[1]Raw_Data!E1534</f>
        <v>18.13</v>
      </c>
      <c r="F1536" s="5">
        <f>[1]Raw_Data!F1534</f>
        <v>2665.11</v>
      </c>
      <c r="G1536" s="4">
        <f>[1]Raw_Data!G1534</f>
        <v>0.25</v>
      </c>
      <c r="H1536" s="3">
        <f>[1]Raw_Data!H1534</f>
        <v>0</v>
      </c>
      <c r="I1536" s="3" t="str">
        <f>TRIM([1]Raw_Data!I1534)</f>
        <v>Canada</v>
      </c>
      <c r="J1536" s="3" t="str">
        <f>TRIM([1]Raw_Data!J1534)</f>
        <v>iHerb</v>
      </c>
      <c r="K1536" s="3">
        <f t="shared" si="92"/>
        <v>2021</v>
      </c>
      <c r="L1536" s="6">
        <f t="shared" si="93"/>
        <v>44501</v>
      </c>
      <c r="M1536" s="3" t="str">
        <f t="shared" si="94"/>
        <v>21% to 25%</v>
      </c>
      <c r="N1536" s="3" t="str">
        <f t="shared" si="95"/>
        <v>OK</v>
      </c>
    </row>
    <row r="1537" spans="1:14" x14ac:dyDescent="0.3">
      <c r="A1537" s="2">
        <f>DATE(VALUE(RIGHT(TRIM([1]Raw_Data!A1535),4)),VALUE(MID(TRIM([1]Raw_Data!A1535),4,2)),VALUE(LEFT(TRIM([1]Raw_Data!A1535),2)))</f>
        <v>44501</v>
      </c>
      <c r="B1537" s="3" t="str">
        <f>TRIM([1]Raw_Data!B1535)</f>
        <v>Green Tea Extract</v>
      </c>
      <c r="C1537" s="3" t="str">
        <f>TRIM([1]Raw_Data!C1535)</f>
        <v>Fat Burner</v>
      </c>
      <c r="D1537" s="3">
        <f>[1]Raw_Data!D1535</f>
        <v>140</v>
      </c>
      <c r="E1537" s="4">
        <f>[1]Raw_Data!E1535</f>
        <v>50.55</v>
      </c>
      <c r="F1537" s="5">
        <f>[1]Raw_Data!F1535</f>
        <v>7077</v>
      </c>
      <c r="G1537" s="4">
        <f>[1]Raw_Data!G1535</f>
        <v>0.21</v>
      </c>
      <c r="H1537" s="3">
        <f>[1]Raw_Data!H1535</f>
        <v>5</v>
      </c>
      <c r="I1537" s="3" t="str">
        <f>TRIM([1]Raw_Data!I1535)</f>
        <v>Canada</v>
      </c>
      <c r="J1537" s="3" t="str">
        <f>TRIM([1]Raw_Data!J1535)</f>
        <v>iHerb</v>
      </c>
      <c r="K1537" s="3">
        <f t="shared" si="92"/>
        <v>2021</v>
      </c>
      <c r="L1537" s="6">
        <f t="shared" si="93"/>
        <v>44501</v>
      </c>
      <c r="M1537" s="3" t="str">
        <f t="shared" si="94"/>
        <v>21% to 25%</v>
      </c>
      <c r="N1537" s="3" t="str">
        <f t="shared" si="95"/>
        <v>OK</v>
      </c>
    </row>
    <row r="1538" spans="1:14" x14ac:dyDescent="0.3">
      <c r="A1538" s="2">
        <f>DATE(VALUE(RIGHT(TRIM([1]Raw_Data!A1536),4)),VALUE(MID(TRIM([1]Raw_Data!A1536),4,2)),VALUE(LEFT(TRIM([1]Raw_Data!A1536),2)))</f>
        <v>44501</v>
      </c>
      <c r="B1538" s="3" t="str">
        <f>TRIM([1]Raw_Data!B1536)</f>
        <v>Iron Supplement</v>
      </c>
      <c r="C1538" s="3" t="str">
        <f>TRIM([1]Raw_Data!C1536)</f>
        <v>Mineral</v>
      </c>
      <c r="D1538" s="3">
        <f>[1]Raw_Data!D1536</f>
        <v>142</v>
      </c>
      <c r="E1538" s="4">
        <f>[1]Raw_Data!E1536</f>
        <v>15.77</v>
      </c>
      <c r="F1538" s="5">
        <f>[1]Raw_Data!F1536</f>
        <v>2239.34</v>
      </c>
      <c r="G1538" s="4">
        <f>[1]Raw_Data!G1536</f>
        <v>0.1</v>
      </c>
      <c r="H1538" s="3">
        <f>[1]Raw_Data!H1536</f>
        <v>3</v>
      </c>
      <c r="I1538" s="3" t="str">
        <f>TRIM([1]Raw_Data!I1536)</f>
        <v>UK</v>
      </c>
      <c r="J1538" s="3" t="str">
        <f>TRIM([1]Raw_Data!J1536)</f>
        <v>Amazon</v>
      </c>
      <c r="K1538" s="3">
        <f t="shared" si="92"/>
        <v>2021</v>
      </c>
      <c r="L1538" s="6">
        <f t="shared" si="93"/>
        <v>44501</v>
      </c>
      <c r="M1538" s="3" t="str">
        <f t="shared" si="94"/>
        <v>6% to 10%</v>
      </c>
      <c r="N1538" s="3" t="str">
        <f t="shared" si="95"/>
        <v>OK</v>
      </c>
    </row>
    <row r="1539" spans="1:14" x14ac:dyDescent="0.3">
      <c r="A1539" s="2">
        <f>DATE(VALUE(RIGHT(TRIM([1]Raw_Data!A1537),4)),VALUE(MID(TRIM([1]Raw_Data!A1537),4,2)),VALUE(LEFT(TRIM([1]Raw_Data!A1537),2)))</f>
        <v>44501</v>
      </c>
      <c r="B1539" s="3" t="str">
        <f>TRIM([1]Raw_Data!B1537)</f>
        <v>Electrolyte Powder</v>
      </c>
      <c r="C1539" s="3" t="str">
        <f>TRIM([1]Raw_Data!C1537)</f>
        <v>Hydration</v>
      </c>
      <c r="D1539" s="3">
        <f>[1]Raw_Data!D1537</f>
        <v>145</v>
      </c>
      <c r="E1539" s="4">
        <f>[1]Raw_Data!E1537</f>
        <v>35.19</v>
      </c>
      <c r="F1539" s="5">
        <f>[1]Raw_Data!F1537</f>
        <v>5102.55</v>
      </c>
      <c r="G1539" s="4">
        <f>[1]Raw_Data!G1537</f>
        <v>0.16</v>
      </c>
      <c r="H1539" s="3">
        <f>[1]Raw_Data!H1537</f>
        <v>4</v>
      </c>
      <c r="I1539" s="3" t="str">
        <f>TRIM([1]Raw_Data!I1537)</f>
        <v>USA</v>
      </c>
      <c r="J1539" s="3" t="str">
        <f>TRIM([1]Raw_Data!J1537)</f>
        <v>Amazon</v>
      </c>
      <c r="K1539" s="3">
        <f t="shared" si="92"/>
        <v>2021</v>
      </c>
      <c r="L1539" s="6">
        <f t="shared" si="93"/>
        <v>44501</v>
      </c>
      <c r="M1539" s="3" t="str">
        <f t="shared" si="94"/>
        <v>16% to 20%</v>
      </c>
      <c r="N1539" s="3" t="str">
        <f t="shared" si="95"/>
        <v>OK</v>
      </c>
    </row>
    <row r="1540" spans="1:14" x14ac:dyDescent="0.3">
      <c r="A1540" s="2">
        <f>DATE(VALUE(RIGHT(TRIM([1]Raw_Data!A1538),4)),VALUE(MID(TRIM([1]Raw_Data!A1538),4,2)),VALUE(LEFT(TRIM([1]Raw_Data!A1538),2)))</f>
        <v>44508</v>
      </c>
      <c r="B1540" s="3" t="str">
        <f>TRIM([1]Raw_Data!B1538)</f>
        <v>Whey Protein</v>
      </c>
      <c r="C1540" s="3" t="str">
        <f>TRIM([1]Raw_Data!C1538)</f>
        <v>Protein</v>
      </c>
      <c r="D1540" s="3">
        <f>[1]Raw_Data!D1538</f>
        <v>124</v>
      </c>
      <c r="E1540" s="4">
        <f>[1]Raw_Data!E1538</f>
        <v>53.15</v>
      </c>
      <c r="F1540" s="5">
        <f>[1]Raw_Data!F1538</f>
        <v>6590.6</v>
      </c>
      <c r="G1540" s="4">
        <f>[1]Raw_Data!G1538</f>
        <v>0.12</v>
      </c>
      <c r="H1540" s="3">
        <f>[1]Raw_Data!H1538</f>
        <v>0</v>
      </c>
      <c r="I1540" s="3" t="str">
        <f>TRIM([1]Raw_Data!I1538)</f>
        <v>USA</v>
      </c>
      <c r="J1540" s="3" t="str">
        <f>TRIM([1]Raw_Data!J1538)</f>
        <v>Walmart</v>
      </c>
      <c r="K1540" s="3">
        <f t="shared" ref="K1540:K1603" si="96">YEAR(A1540)</f>
        <v>2021</v>
      </c>
      <c r="L1540" s="6">
        <f t="shared" ref="L1540:L1603" si="97">DATE(YEAR(A1540),MONTH(A1540),1)</f>
        <v>44501</v>
      </c>
      <c r="M1540" s="3" t="str">
        <f t="shared" ref="M1540:M1603" si="98">IF(ROUND(G1540*100,0)&lt;=5,"0% to 5%",IF(ROUND(G1540*100,0)&lt;=10,"6% to 10%",IF(ROUND(G1540*100,0)&lt;=15,"11% to 15%",IF(ROUND(G1540*100,0)&lt;=20,"16% to 20%","21% to 25%"))))</f>
        <v>11% to 15%</v>
      </c>
      <c r="N1540" s="3" t="str">
        <f t="shared" ref="N1540:N1603" si="99">IF(ROUND(D1540*E1540,2)=ROUND(F1540,2),"OK","Check")</f>
        <v>OK</v>
      </c>
    </row>
    <row r="1541" spans="1:14" x14ac:dyDescent="0.3">
      <c r="A1541" s="2">
        <f>DATE(VALUE(RIGHT(TRIM([1]Raw_Data!A1539),4)),VALUE(MID(TRIM([1]Raw_Data!A1539),4,2)),VALUE(LEFT(TRIM([1]Raw_Data!A1539),2)))</f>
        <v>44508</v>
      </c>
      <c r="B1541" s="3" t="str">
        <f>TRIM([1]Raw_Data!B1539)</f>
        <v>Vitamin C</v>
      </c>
      <c r="C1541" s="3" t="str">
        <f>TRIM([1]Raw_Data!C1539)</f>
        <v>Vitamin</v>
      </c>
      <c r="D1541" s="3">
        <f>[1]Raw_Data!D1539</f>
        <v>152</v>
      </c>
      <c r="E1541" s="4">
        <f>[1]Raw_Data!E1539</f>
        <v>17.75</v>
      </c>
      <c r="F1541" s="5">
        <f>[1]Raw_Data!F1539</f>
        <v>2698</v>
      </c>
      <c r="G1541" s="4">
        <f>[1]Raw_Data!G1539</f>
        <v>0.21</v>
      </c>
      <c r="H1541" s="3">
        <f>[1]Raw_Data!H1539</f>
        <v>1</v>
      </c>
      <c r="I1541" s="3" t="str">
        <f>TRIM([1]Raw_Data!I1539)</f>
        <v>Canada</v>
      </c>
      <c r="J1541" s="3" t="str">
        <f>TRIM([1]Raw_Data!J1539)</f>
        <v>iHerb</v>
      </c>
      <c r="K1541" s="3">
        <f t="shared" si="96"/>
        <v>2021</v>
      </c>
      <c r="L1541" s="6">
        <f t="shared" si="97"/>
        <v>44501</v>
      </c>
      <c r="M1541" s="3" t="str">
        <f t="shared" si="98"/>
        <v>21% to 25%</v>
      </c>
      <c r="N1541" s="3" t="str">
        <f t="shared" si="99"/>
        <v>OK</v>
      </c>
    </row>
    <row r="1542" spans="1:14" x14ac:dyDescent="0.3">
      <c r="A1542" s="2">
        <f>DATE(VALUE(RIGHT(TRIM([1]Raw_Data!A1540),4)),VALUE(MID(TRIM([1]Raw_Data!A1540),4,2)),VALUE(LEFT(TRIM([1]Raw_Data!A1540),2)))</f>
        <v>44508</v>
      </c>
      <c r="B1542" s="3" t="str">
        <f>TRIM([1]Raw_Data!B1540)</f>
        <v>Fish Oil</v>
      </c>
      <c r="C1542" s="3" t="str">
        <f>TRIM([1]Raw_Data!C1540)</f>
        <v>Omega</v>
      </c>
      <c r="D1542" s="3">
        <f>[1]Raw_Data!D1540</f>
        <v>173</v>
      </c>
      <c r="E1542" s="4">
        <f>[1]Raw_Data!E1540</f>
        <v>44.65</v>
      </c>
      <c r="F1542" s="5">
        <f>[1]Raw_Data!F1540</f>
        <v>7724.45</v>
      </c>
      <c r="G1542" s="4">
        <f>[1]Raw_Data!G1540</f>
        <v>0</v>
      </c>
      <c r="H1542" s="3">
        <f>[1]Raw_Data!H1540</f>
        <v>1</v>
      </c>
      <c r="I1542" s="3" t="str">
        <f>TRIM([1]Raw_Data!I1540)</f>
        <v>USA</v>
      </c>
      <c r="J1542" s="3" t="str">
        <f>TRIM([1]Raw_Data!J1540)</f>
        <v>iHerb</v>
      </c>
      <c r="K1542" s="3">
        <f t="shared" si="96"/>
        <v>2021</v>
      </c>
      <c r="L1542" s="6">
        <f t="shared" si="97"/>
        <v>44501</v>
      </c>
      <c r="M1542" s="3" t="str">
        <f t="shared" si="98"/>
        <v>0% to 5%</v>
      </c>
      <c r="N1542" s="3" t="str">
        <f t="shared" si="99"/>
        <v>OK</v>
      </c>
    </row>
    <row r="1543" spans="1:14" x14ac:dyDescent="0.3">
      <c r="A1543" s="2">
        <f>DATE(VALUE(RIGHT(TRIM([1]Raw_Data!A1541),4)),VALUE(MID(TRIM([1]Raw_Data!A1541),4,2)),VALUE(LEFT(TRIM([1]Raw_Data!A1541),2)))</f>
        <v>44508</v>
      </c>
      <c r="B1543" s="3" t="str">
        <f>TRIM([1]Raw_Data!B1541)</f>
        <v>Multivitamin</v>
      </c>
      <c r="C1543" s="3" t="str">
        <f>TRIM([1]Raw_Data!C1541)</f>
        <v>Vitamin</v>
      </c>
      <c r="D1543" s="3">
        <f>[1]Raw_Data!D1541</f>
        <v>137</v>
      </c>
      <c r="E1543" s="4">
        <f>[1]Raw_Data!E1541</f>
        <v>35.840000000000003</v>
      </c>
      <c r="F1543" s="5">
        <f>[1]Raw_Data!F1541</f>
        <v>4910.08</v>
      </c>
      <c r="G1543" s="4">
        <f>[1]Raw_Data!G1541</f>
        <v>7.0000000000000007E-2</v>
      </c>
      <c r="H1543" s="3">
        <f>[1]Raw_Data!H1541</f>
        <v>0</v>
      </c>
      <c r="I1543" s="3" t="str">
        <f>TRIM([1]Raw_Data!I1541)</f>
        <v>USA</v>
      </c>
      <c r="J1543" s="3" t="str">
        <f>TRIM([1]Raw_Data!J1541)</f>
        <v>Walmart</v>
      </c>
      <c r="K1543" s="3">
        <f t="shared" si="96"/>
        <v>2021</v>
      </c>
      <c r="L1543" s="6">
        <f t="shared" si="97"/>
        <v>44501</v>
      </c>
      <c r="M1543" s="3" t="str">
        <f t="shared" si="98"/>
        <v>6% to 10%</v>
      </c>
      <c r="N1543" s="3" t="str">
        <f t="shared" si="99"/>
        <v>OK</v>
      </c>
    </row>
    <row r="1544" spans="1:14" x14ac:dyDescent="0.3">
      <c r="A1544" s="2">
        <f>DATE(VALUE(RIGHT(TRIM([1]Raw_Data!A1542),4)),VALUE(MID(TRIM([1]Raw_Data!A1542),4,2)),VALUE(LEFT(TRIM([1]Raw_Data!A1542),2)))</f>
        <v>44508</v>
      </c>
      <c r="B1544" s="3" t="str">
        <f>TRIM([1]Raw_Data!B1542)</f>
        <v>Pre-Workout</v>
      </c>
      <c r="C1544" s="3" t="str">
        <f>TRIM([1]Raw_Data!C1542)</f>
        <v>Performance</v>
      </c>
      <c r="D1544" s="3">
        <f>[1]Raw_Data!D1542</f>
        <v>153</v>
      </c>
      <c r="E1544" s="4">
        <f>[1]Raw_Data!E1542</f>
        <v>12.91</v>
      </c>
      <c r="F1544" s="5">
        <f>[1]Raw_Data!F1542</f>
        <v>1975.23</v>
      </c>
      <c r="G1544" s="4">
        <f>[1]Raw_Data!G1542</f>
        <v>0.09</v>
      </c>
      <c r="H1544" s="3">
        <f>[1]Raw_Data!H1542</f>
        <v>2</v>
      </c>
      <c r="I1544" s="3" t="str">
        <f>TRIM([1]Raw_Data!I1542)</f>
        <v>UK</v>
      </c>
      <c r="J1544" s="3" t="str">
        <f>TRIM([1]Raw_Data!J1542)</f>
        <v>Amazon</v>
      </c>
      <c r="K1544" s="3">
        <f t="shared" si="96"/>
        <v>2021</v>
      </c>
      <c r="L1544" s="6">
        <f t="shared" si="97"/>
        <v>44501</v>
      </c>
      <c r="M1544" s="3" t="str">
        <f t="shared" si="98"/>
        <v>6% to 10%</v>
      </c>
      <c r="N1544" s="3" t="str">
        <f t="shared" si="99"/>
        <v>OK</v>
      </c>
    </row>
    <row r="1545" spans="1:14" x14ac:dyDescent="0.3">
      <c r="A1545" s="2">
        <f>DATE(VALUE(RIGHT(TRIM([1]Raw_Data!A1543),4)),VALUE(MID(TRIM([1]Raw_Data!A1543),4,2)),VALUE(LEFT(TRIM([1]Raw_Data!A1543),2)))</f>
        <v>44508</v>
      </c>
      <c r="B1545" s="3" t="str">
        <f>TRIM([1]Raw_Data!B1543)</f>
        <v>BCAA</v>
      </c>
      <c r="C1545" s="3" t="str">
        <f>TRIM([1]Raw_Data!C1543)</f>
        <v>Amino Acid</v>
      </c>
      <c r="D1545" s="3">
        <f>[1]Raw_Data!D1543</f>
        <v>152</v>
      </c>
      <c r="E1545" s="4">
        <f>[1]Raw_Data!E1543</f>
        <v>38.29</v>
      </c>
      <c r="F1545" s="5">
        <f>[1]Raw_Data!F1543</f>
        <v>5820.08</v>
      </c>
      <c r="G1545" s="4">
        <f>[1]Raw_Data!G1543</f>
        <v>0.09</v>
      </c>
      <c r="H1545" s="3">
        <f>[1]Raw_Data!H1543</f>
        <v>4</v>
      </c>
      <c r="I1545" s="3" t="str">
        <f>TRIM([1]Raw_Data!I1543)</f>
        <v>USA</v>
      </c>
      <c r="J1545" s="3" t="str">
        <f>TRIM([1]Raw_Data!J1543)</f>
        <v>Amazon</v>
      </c>
      <c r="K1545" s="3">
        <f t="shared" si="96"/>
        <v>2021</v>
      </c>
      <c r="L1545" s="6">
        <f t="shared" si="97"/>
        <v>44501</v>
      </c>
      <c r="M1545" s="3" t="str">
        <f t="shared" si="98"/>
        <v>6% to 10%</v>
      </c>
      <c r="N1545" s="3" t="str">
        <f t="shared" si="99"/>
        <v>OK</v>
      </c>
    </row>
    <row r="1546" spans="1:14" x14ac:dyDescent="0.3">
      <c r="A1546" s="2">
        <f>DATE(VALUE(RIGHT(TRIM([1]Raw_Data!A1544),4)),VALUE(MID(TRIM([1]Raw_Data!A1544),4,2)),VALUE(LEFT(TRIM([1]Raw_Data!A1544),2)))</f>
        <v>44508</v>
      </c>
      <c r="B1546" s="3" t="str">
        <f>TRIM([1]Raw_Data!B1544)</f>
        <v>Creatine</v>
      </c>
      <c r="C1546" s="3" t="str">
        <f>TRIM([1]Raw_Data!C1544)</f>
        <v>Performance</v>
      </c>
      <c r="D1546" s="3">
        <f>[1]Raw_Data!D1544</f>
        <v>124</v>
      </c>
      <c r="E1546" s="4">
        <f>[1]Raw_Data!E1544</f>
        <v>54.56</v>
      </c>
      <c r="F1546" s="5">
        <f>[1]Raw_Data!F1544</f>
        <v>6765.44</v>
      </c>
      <c r="G1546" s="4">
        <f>[1]Raw_Data!G1544</f>
        <v>0.2</v>
      </c>
      <c r="H1546" s="3">
        <f>[1]Raw_Data!H1544</f>
        <v>0</v>
      </c>
      <c r="I1546" s="3" t="str">
        <f>TRIM([1]Raw_Data!I1544)</f>
        <v>USA</v>
      </c>
      <c r="J1546" s="3" t="str">
        <f>TRIM([1]Raw_Data!J1544)</f>
        <v>Walmart</v>
      </c>
      <c r="K1546" s="3">
        <f t="shared" si="96"/>
        <v>2021</v>
      </c>
      <c r="L1546" s="6">
        <f t="shared" si="97"/>
        <v>44501</v>
      </c>
      <c r="M1546" s="3" t="str">
        <f t="shared" si="98"/>
        <v>16% to 20%</v>
      </c>
      <c r="N1546" s="3" t="str">
        <f t="shared" si="99"/>
        <v>OK</v>
      </c>
    </row>
    <row r="1547" spans="1:14" x14ac:dyDescent="0.3">
      <c r="A1547" s="2">
        <f>DATE(VALUE(RIGHT(TRIM([1]Raw_Data!A1545),4)),VALUE(MID(TRIM([1]Raw_Data!A1545),4,2)),VALUE(LEFT(TRIM([1]Raw_Data!A1545),2)))</f>
        <v>44508</v>
      </c>
      <c r="B1547" s="3" t="str">
        <f>TRIM([1]Raw_Data!B1545)</f>
        <v>Zinc</v>
      </c>
      <c r="C1547" s="3" t="str">
        <f>TRIM([1]Raw_Data!C1545)</f>
        <v>Mineral</v>
      </c>
      <c r="D1547" s="3">
        <f>[1]Raw_Data!D1545</f>
        <v>142</v>
      </c>
      <c r="E1547" s="4">
        <f>[1]Raw_Data!E1545</f>
        <v>14.21</v>
      </c>
      <c r="F1547" s="5">
        <f>[1]Raw_Data!F1545</f>
        <v>2017.82</v>
      </c>
      <c r="G1547" s="4">
        <f>[1]Raw_Data!G1545</f>
        <v>0.2</v>
      </c>
      <c r="H1547" s="3">
        <f>[1]Raw_Data!H1545</f>
        <v>2</v>
      </c>
      <c r="I1547" s="3" t="str">
        <f>TRIM([1]Raw_Data!I1545)</f>
        <v>USA</v>
      </c>
      <c r="J1547" s="3" t="str">
        <f>TRIM([1]Raw_Data!J1545)</f>
        <v>Amazon</v>
      </c>
      <c r="K1547" s="3">
        <f t="shared" si="96"/>
        <v>2021</v>
      </c>
      <c r="L1547" s="6">
        <f t="shared" si="97"/>
        <v>44501</v>
      </c>
      <c r="M1547" s="3" t="str">
        <f t="shared" si="98"/>
        <v>16% to 20%</v>
      </c>
      <c r="N1547" s="3" t="str">
        <f t="shared" si="99"/>
        <v>OK</v>
      </c>
    </row>
    <row r="1548" spans="1:14" x14ac:dyDescent="0.3">
      <c r="A1548" s="2">
        <f>DATE(VALUE(RIGHT(TRIM([1]Raw_Data!A1546),4)),VALUE(MID(TRIM([1]Raw_Data!A1546),4,2)),VALUE(LEFT(TRIM([1]Raw_Data!A1546),2)))</f>
        <v>44508</v>
      </c>
      <c r="B1548" s="3" t="str">
        <f>TRIM([1]Raw_Data!B1546)</f>
        <v>Collagen Peptides</v>
      </c>
      <c r="C1548" s="3" t="str">
        <f>TRIM([1]Raw_Data!C1546)</f>
        <v>Protein</v>
      </c>
      <c r="D1548" s="3">
        <f>[1]Raw_Data!D1546</f>
        <v>159</v>
      </c>
      <c r="E1548" s="4">
        <f>[1]Raw_Data!E1546</f>
        <v>45.89</v>
      </c>
      <c r="F1548" s="5">
        <f>[1]Raw_Data!F1546</f>
        <v>7296.51</v>
      </c>
      <c r="G1548" s="4">
        <f>[1]Raw_Data!G1546</f>
        <v>0.17</v>
      </c>
      <c r="H1548" s="3">
        <f>[1]Raw_Data!H1546</f>
        <v>3</v>
      </c>
      <c r="I1548" s="3" t="str">
        <f>TRIM([1]Raw_Data!I1546)</f>
        <v>Canada</v>
      </c>
      <c r="J1548" s="3" t="str">
        <f>TRIM([1]Raw_Data!J1546)</f>
        <v>iHerb</v>
      </c>
      <c r="K1548" s="3">
        <f t="shared" si="96"/>
        <v>2021</v>
      </c>
      <c r="L1548" s="6">
        <f t="shared" si="97"/>
        <v>44501</v>
      </c>
      <c r="M1548" s="3" t="str">
        <f t="shared" si="98"/>
        <v>16% to 20%</v>
      </c>
      <c r="N1548" s="3" t="str">
        <f t="shared" si="99"/>
        <v>OK</v>
      </c>
    </row>
    <row r="1549" spans="1:14" x14ac:dyDescent="0.3">
      <c r="A1549" s="2">
        <f>DATE(VALUE(RIGHT(TRIM([1]Raw_Data!A1547),4)),VALUE(MID(TRIM([1]Raw_Data!A1547),4,2)),VALUE(LEFT(TRIM([1]Raw_Data!A1547),2)))</f>
        <v>44508</v>
      </c>
      <c r="B1549" s="3" t="str">
        <f>TRIM([1]Raw_Data!B1547)</f>
        <v>Magnesium</v>
      </c>
      <c r="C1549" s="3" t="str">
        <f>TRIM([1]Raw_Data!C1547)</f>
        <v>Mineral</v>
      </c>
      <c r="D1549" s="3">
        <f>[1]Raw_Data!D1547</f>
        <v>119</v>
      </c>
      <c r="E1549" s="4">
        <f>[1]Raw_Data!E1547</f>
        <v>28.65</v>
      </c>
      <c r="F1549" s="5">
        <f>[1]Raw_Data!F1547</f>
        <v>3409.35</v>
      </c>
      <c r="G1549" s="4">
        <f>[1]Raw_Data!G1547</f>
        <v>0.04</v>
      </c>
      <c r="H1549" s="3">
        <f>[1]Raw_Data!H1547</f>
        <v>1</v>
      </c>
      <c r="I1549" s="3" t="str">
        <f>TRIM([1]Raw_Data!I1547)</f>
        <v>Canada</v>
      </c>
      <c r="J1549" s="3" t="str">
        <f>TRIM([1]Raw_Data!J1547)</f>
        <v>iHerb</v>
      </c>
      <c r="K1549" s="3">
        <f t="shared" si="96"/>
        <v>2021</v>
      </c>
      <c r="L1549" s="6">
        <f t="shared" si="97"/>
        <v>44501</v>
      </c>
      <c r="M1549" s="3" t="str">
        <f t="shared" si="98"/>
        <v>0% to 5%</v>
      </c>
      <c r="N1549" s="3" t="str">
        <f t="shared" si="99"/>
        <v>OK</v>
      </c>
    </row>
    <row r="1550" spans="1:14" x14ac:dyDescent="0.3">
      <c r="A1550" s="2">
        <f>DATE(VALUE(RIGHT(TRIM([1]Raw_Data!A1548),4)),VALUE(MID(TRIM([1]Raw_Data!A1548),4,2)),VALUE(LEFT(TRIM([1]Raw_Data!A1548),2)))</f>
        <v>44508</v>
      </c>
      <c r="B1550" s="3" t="str">
        <f>TRIM([1]Raw_Data!B1548)</f>
        <v>Ashwagandha</v>
      </c>
      <c r="C1550" s="3" t="str">
        <f>TRIM([1]Raw_Data!C1548)</f>
        <v>Herbal</v>
      </c>
      <c r="D1550" s="3">
        <f>[1]Raw_Data!D1548</f>
        <v>171</v>
      </c>
      <c r="E1550" s="4">
        <f>[1]Raw_Data!E1548</f>
        <v>52.25</v>
      </c>
      <c r="F1550" s="5">
        <f>[1]Raw_Data!F1548</f>
        <v>8934.75</v>
      </c>
      <c r="G1550" s="4">
        <f>[1]Raw_Data!G1548</f>
        <v>0</v>
      </c>
      <c r="H1550" s="3">
        <f>[1]Raw_Data!H1548</f>
        <v>0</v>
      </c>
      <c r="I1550" s="3" t="str">
        <f>TRIM([1]Raw_Data!I1548)</f>
        <v>UK</v>
      </c>
      <c r="J1550" s="3" t="str">
        <f>TRIM([1]Raw_Data!J1548)</f>
        <v>Walmart</v>
      </c>
      <c r="K1550" s="3">
        <f t="shared" si="96"/>
        <v>2021</v>
      </c>
      <c r="L1550" s="6">
        <f t="shared" si="97"/>
        <v>44501</v>
      </c>
      <c r="M1550" s="3" t="str">
        <f t="shared" si="98"/>
        <v>0% to 5%</v>
      </c>
      <c r="N1550" s="3" t="str">
        <f t="shared" si="99"/>
        <v>OK</v>
      </c>
    </row>
    <row r="1551" spans="1:14" x14ac:dyDescent="0.3">
      <c r="A1551" s="2">
        <f>DATE(VALUE(RIGHT(TRIM([1]Raw_Data!A1549),4)),VALUE(MID(TRIM([1]Raw_Data!A1549),4,2)),VALUE(LEFT(TRIM([1]Raw_Data!A1549),2)))</f>
        <v>44508</v>
      </c>
      <c r="B1551" s="3" t="str">
        <f>TRIM([1]Raw_Data!B1549)</f>
        <v>Melatonin</v>
      </c>
      <c r="C1551" s="3" t="str">
        <f>TRIM([1]Raw_Data!C1549)</f>
        <v>Sleep Aid</v>
      </c>
      <c r="D1551" s="3">
        <f>[1]Raw_Data!D1549</f>
        <v>169</v>
      </c>
      <c r="E1551" s="4">
        <f>[1]Raw_Data!E1549</f>
        <v>40.32</v>
      </c>
      <c r="F1551" s="5">
        <f>[1]Raw_Data!F1549</f>
        <v>6814.08</v>
      </c>
      <c r="G1551" s="4">
        <f>[1]Raw_Data!G1549</f>
        <v>0.11</v>
      </c>
      <c r="H1551" s="3">
        <f>[1]Raw_Data!H1549</f>
        <v>4</v>
      </c>
      <c r="I1551" s="3" t="str">
        <f>TRIM([1]Raw_Data!I1549)</f>
        <v>UK</v>
      </c>
      <c r="J1551" s="3" t="str">
        <f>TRIM([1]Raw_Data!J1549)</f>
        <v>Walmart</v>
      </c>
      <c r="K1551" s="3">
        <f t="shared" si="96"/>
        <v>2021</v>
      </c>
      <c r="L1551" s="6">
        <f t="shared" si="97"/>
        <v>44501</v>
      </c>
      <c r="M1551" s="3" t="str">
        <f t="shared" si="98"/>
        <v>11% to 15%</v>
      </c>
      <c r="N1551" s="3" t="str">
        <f t="shared" si="99"/>
        <v>OK</v>
      </c>
    </row>
    <row r="1552" spans="1:14" x14ac:dyDescent="0.3">
      <c r="A1552" s="2">
        <f>DATE(VALUE(RIGHT(TRIM([1]Raw_Data!A1550),4)),VALUE(MID(TRIM([1]Raw_Data!A1550),4,2)),VALUE(LEFT(TRIM([1]Raw_Data!A1550),2)))</f>
        <v>44508</v>
      </c>
      <c r="B1552" s="3" t="str">
        <f>TRIM([1]Raw_Data!B1550)</f>
        <v>Biotin</v>
      </c>
      <c r="C1552" s="3" t="str">
        <f>TRIM([1]Raw_Data!C1550)</f>
        <v>Vitamin</v>
      </c>
      <c r="D1552" s="3">
        <f>[1]Raw_Data!D1550</f>
        <v>133</v>
      </c>
      <c r="E1552" s="4">
        <f>[1]Raw_Data!E1550</f>
        <v>11.48</v>
      </c>
      <c r="F1552" s="5">
        <f>[1]Raw_Data!F1550</f>
        <v>1526.84</v>
      </c>
      <c r="G1552" s="4">
        <f>[1]Raw_Data!G1550</f>
        <v>0.11</v>
      </c>
      <c r="H1552" s="3">
        <f>[1]Raw_Data!H1550</f>
        <v>1</v>
      </c>
      <c r="I1552" s="3" t="str">
        <f>TRIM([1]Raw_Data!I1550)</f>
        <v>Canada</v>
      </c>
      <c r="J1552" s="3" t="str">
        <f>TRIM([1]Raw_Data!J1550)</f>
        <v>Walmart</v>
      </c>
      <c r="K1552" s="3">
        <f t="shared" si="96"/>
        <v>2021</v>
      </c>
      <c r="L1552" s="6">
        <f t="shared" si="97"/>
        <v>44501</v>
      </c>
      <c r="M1552" s="3" t="str">
        <f t="shared" si="98"/>
        <v>11% to 15%</v>
      </c>
      <c r="N1552" s="3" t="str">
        <f t="shared" si="99"/>
        <v>OK</v>
      </c>
    </row>
    <row r="1553" spans="1:14" x14ac:dyDescent="0.3">
      <c r="A1553" s="2">
        <f>DATE(VALUE(RIGHT(TRIM([1]Raw_Data!A1551),4)),VALUE(MID(TRIM([1]Raw_Data!A1551),4,2)),VALUE(LEFT(TRIM([1]Raw_Data!A1551),2)))</f>
        <v>44508</v>
      </c>
      <c r="B1553" s="3" t="str">
        <f>TRIM([1]Raw_Data!B1551)</f>
        <v>Green Tea Extract</v>
      </c>
      <c r="C1553" s="3" t="str">
        <f>TRIM([1]Raw_Data!C1551)</f>
        <v>Fat Burner</v>
      </c>
      <c r="D1553" s="3">
        <f>[1]Raw_Data!D1551</f>
        <v>166</v>
      </c>
      <c r="E1553" s="4">
        <f>[1]Raw_Data!E1551</f>
        <v>40.700000000000003</v>
      </c>
      <c r="F1553" s="5">
        <f>[1]Raw_Data!F1551</f>
        <v>6756.2</v>
      </c>
      <c r="G1553" s="4">
        <f>[1]Raw_Data!G1551</f>
        <v>0.13</v>
      </c>
      <c r="H1553" s="3">
        <f>[1]Raw_Data!H1551</f>
        <v>0</v>
      </c>
      <c r="I1553" s="3" t="str">
        <f>TRIM([1]Raw_Data!I1551)</f>
        <v>UK</v>
      </c>
      <c r="J1553" s="3" t="str">
        <f>TRIM([1]Raw_Data!J1551)</f>
        <v>Walmart</v>
      </c>
      <c r="K1553" s="3">
        <f t="shared" si="96"/>
        <v>2021</v>
      </c>
      <c r="L1553" s="6">
        <f t="shared" si="97"/>
        <v>44501</v>
      </c>
      <c r="M1553" s="3" t="str">
        <f t="shared" si="98"/>
        <v>11% to 15%</v>
      </c>
      <c r="N1553" s="3" t="str">
        <f t="shared" si="99"/>
        <v>OK</v>
      </c>
    </row>
    <row r="1554" spans="1:14" x14ac:dyDescent="0.3">
      <c r="A1554" s="2">
        <f>DATE(VALUE(RIGHT(TRIM([1]Raw_Data!A1552),4)),VALUE(MID(TRIM([1]Raw_Data!A1552),4,2)),VALUE(LEFT(TRIM([1]Raw_Data!A1552),2)))</f>
        <v>44508</v>
      </c>
      <c r="B1554" s="3" t="str">
        <f>TRIM([1]Raw_Data!B1552)</f>
        <v>Iron Supplement</v>
      </c>
      <c r="C1554" s="3" t="str">
        <f>TRIM([1]Raw_Data!C1552)</f>
        <v>Mineral</v>
      </c>
      <c r="D1554" s="3">
        <f>[1]Raw_Data!D1552</f>
        <v>163</v>
      </c>
      <c r="E1554" s="4">
        <f>[1]Raw_Data!E1552</f>
        <v>21.37</v>
      </c>
      <c r="F1554" s="5">
        <f>[1]Raw_Data!F1552</f>
        <v>3483.31</v>
      </c>
      <c r="G1554" s="4">
        <f>[1]Raw_Data!G1552</f>
        <v>0</v>
      </c>
      <c r="H1554" s="3">
        <f>[1]Raw_Data!H1552</f>
        <v>1</v>
      </c>
      <c r="I1554" s="3" t="str">
        <f>TRIM([1]Raw_Data!I1552)</f>
        <v>Canada</v>
      </c>
      <c r="J1554" s="3" t="str">
        <f>TRIM([1]Raw_Data!J1552)</f>
        <v>Amazon</v>
      </c>
      <c r="K1554" s="3">
        <f t="shared" si="96"/>
        <v>2021</v>
      </c>
      <c r="L1554" s="6">
        <f t="shared" si="97"/>
        <v>44501</v>
      </c>
      <c r="M1554" s="3" t="str">
        <f t="shared" si="98"/>
        <v>0% to 5%</v>
      </c>
      <c r="N1554" s="3" t="str">
        <f t="shared" si="99"/>
        <v>OK</v>
      </c>
    </row>
    <row r="1555" spans="1:14" x14ac:dyDescent="0.3">
      <c r="A1555" s="2">
        <f>DATE(VALUE(RIGHT(TRIM([1]Raw_Data!A1553),4)),VALUE(MID(TRIM([1]Raw_Data!A1553),4,2)),VALUE(LEFT(TRIM([1]Raw_Data!A1553),2)))</f>
        <v>44508</v>
      </c>
      <c r="B1555" s="3" t="str">
        <f>TRIM([1]Raw_Data!B1553)</f>
        <v>Electrolyte Powder</v>
      </c>
      <c r="C1555" s="3" t="str">
        <f>TRIM([1]Raw_Data!C1553)</f>
        <v>Hydration</v>
      </c>
      <c r="D1555" s="3">
        <f>[1]Raw_Data!D1553</f>
        <v>132</v>
      </c>
      <c r="E1555" s="4">
        <f>[1]Raw_Data!E1553</f>
        <v>43.86</v>
      </c>
      <c r="F1555" s="5">
        <f>[1]Raw_Data!F1553</f>
        <v>5789.52</v>
      </c>
      <c r="G1555" s="4">
        <f>[1]Raw_Data!G1553</f>
        <v>0.22</v>
      </c>
      <c r="H1555" s="3">
        <f>[1]Raw_Data!H1553</f>
        <v>2</v>
      </c>
      <c r="I1555" s="3" t="str">
        <f>TRIM([1]Raw_Data!I1553)</f>
        <v>Canada</v>
      </c>
      <c r="J1555" s="3" t="str">
        <f>TRIM([1]Raw_Data!J1553)</f>
        <v>iHerb</v>
      </c>
      <c r="K1555" s="3">
        <f t="shared" si="96"/>
        <v>2021</v>
      </c>
      <c r="L1555" s="6">
        <f t="shared" si="97"/>
        <v>44501</v>
      </c>
      <c r="M1555" s="3" t="str">
        <f t="shared" si="98"/>
        <v>21% to 25%</v>
      </c>
      <c r="N1555" s="3" t="str">
        <f t="shared" si="99"/>
        <v>OK</v>
      </c>
    </row>
    <row r="1556" spans="1:14" x14ac:dyDescent="0.3">
      <c r="A1556" s="2">
        <f>DATE(VALUE(RIGHT(TRIM([1]Raw_Data!A1554),4)),VALUE(MID(TRIM([1]Raw_Data!A1554),4,2)),VALUE(LEFT(TRIM([1]Raw_Data!A1554),2)))</f>
        <v>44515</v>
      </c>
      <c r="B1556" s="3" t="str">
        <f>TRIM([1]Raw_Data!B1554)</f>
        <v>Whey Protein</v>
      </c>
      <c r="C1556" s="3" t="str">
        <f>TRIM([1]Raw_Data!C1554)</f>
        <v>Protein</v>
      </c>
      <c r="D1556" s="3">
        <f>[1]Raw_Data!D1554</f>
        <v>174</v>
      </c>
      <c r="E1556" s="4">
        <f>[1]Raw_Data!E1554</f>
        <v>10.61</v>
      </c>
      <c r="F1556" s="5">
        <f>[1]Raw_Data!F1554</f>
        <v>1846.14</v>
      </c>
      <c r="G1556" s="4">
        <f>[1]Raw_Data!G1554</f>
        <v>0.17</v>
      </c>
      <c r="H1556" s="3">
        <f>[1]Raw_Data!H1554</f>
        <v>1</v>
      </c>
      <c r="I1556" s="3" t="str">
        <f>TRIM([1]Raw_Data!I1554)</f>
        <v>UK</v>
      </c>
      <c r="J1556" s="3" t="str">
        <f>TRIM([1]Raw_Data!J1554)</f>
        <v>Walmart</v>
      </c>
      <c r="K1556" s="3">
        <f t="shared" si="96"/>
        <v>2021</v>
      </c>
      <c r="L1556" s="6">
        <f t="shared" si="97"/>
        <v>44501</v>
      </c>
      <c r="M1556" s="3" t="str">
        <f t="shared" si="98"/>
        <v>16% to 20%</v>
      </c>
      <c r="N1556" s="3" t="str">
        <f t="shared" si="99"/>
        <v>OK</v>
      </c>
    </row>
    <row r="1557" spans="1:14" x14ac:dyDescent="0.3">
      <c r="A1557" s="2">
        <f>DATE(VALUE(RIGHT(TRIM([1]Raw_Data!A1555),4)),VALUE(MID(TRIM([1]Raw_Data!A1555),4,2)),VALUE(LEFT(TRIM([1]Raw_Data!A1555),2)))</f>
        <v>44515</v>
      </c>
      <c r="B1557" s="3" t="str">
        <f>TRIM([1]Raw_Data!B1555)</f>
        <v>Vitamin C</v>
      </c>
      <c r="C1557" s="3" t="str">
        <f>TRIM([1]Raw_Data!C1555)</f>
        <v>Vitamin</v>
      </c>
      <c r="D1557" s="3">
        <f>[1]Raw_Data!D1555</f>
        <v>141</v>
      </c>
      <c r="E1557" s="4">
        <f>[1]Raw_Data!E1555</f>
        <v>23.49</v>
      </c>
      <c r="F1557" s="5">
        <f>[1]Raw_Data!F1555</f>
        <v>3312.09</v>
      </c>
      <c r="G1557" s="4">
        <f>[1]Raw_Data!G1555</f>
        <v>0.13</v>
      </c>
      <c r="H1557" s="3">
        <f>[1]Raw_Data!H1555</f>
        <v>1</v>
      </c>
      <c r="I1557" s="3" t="str">
        <f>TRIM([1]Raw_Data!I1555)</f>
        <v>UK</v>
      </c>
      <c r="J1557" s="3" t="str">
        <f>TRIM([1]Raw_Data!J1555)</f>
        <v>Walmart</v>
      </c>
      <c r="K1557" s="3">
        <f t="shared" si="96"/>
        <v>2021</v>
      </c>
      <c r="L1557" s="6">
        <f t="shared" si="97"/>
        <v>44501</v>
      </c>
      <c r="M1557" s="3" t="str">
        <f t="shared" si="98"/>
        <v>11% to 15%</v>
      </c>
      <c r="N1557" s="3" t="str">
        <f t="shared" si="99"/>
        <v>OK</v>
      </c>
    </row>
    <row r="1558" spans="1:14" x14ac:dyDescent="0.3">
      <c r="A1558" s="2">
        <f>DATE(VALUE(RIGHT(TRIM([1]Raw_Data!A1556),4)),VALUE(MID(TRIM([1]Raw_Data!A1556),4,2)),VALUE(LEFT(TRIM([1]Raw_Data!A1556),2)))</f>
        <v>44515</v>
      </c>
      <c r="B1558" s="3" t="str">
        <f>TRIM([1]Raw_Data!B1556)</f>
        <v>Fish Oil</v>
      </c>
      <c r="C1558" s="3" t="str">
        <f>TRIM([1]Raw_Data!C1556)</f>
        <v>Omega</v>
      </c>
      <c r="D1558" s="3">
        <f>[1]Raw_Data!D1556</f>
        <v>150</v>
      </c>
      <c r="E1558" s="4">
        <f>[1]Raw_Data!E1556</f>
        <v>29.36</v>
      </c>
      <c r="F1558" s="5">
        <f>[1]Raw_Data!F1556</f>
        <v>4404</v>
      </c>
      <c r="G1558" s="4">
        <f>[1]Raw_Data!G1556</f>
        <v>0.06</v>
      </c>
      <c r="H1558" s="3">
        <f>[1]Raw_Data!H1556</f>
        <v>0</v>
      </c>
      <c r="I1558" s="3" t="str">
        <f>TRIM([1]Raw_Data!I1556)</f>
        <v>Canada</v>
      </c>
      <c r="J1558" s="3" t="str">
        <f>TRIM([1]Raw_Data!J1556)</f>
        <v>Walmart</v>
      </c>
      <c r="K1558" s="3">
        <f t="shared" si="96"/>
        <v>2021</v>
      </c>
      <c r="L1558" s="6">
        <f t="shared" si="97"/>
        <v>44501</v>
      </c>
      <c r="M1558" s="3" t="str">
        <f t="shared" si="98"/>
        <v>6% to 10%</v>
      </c>
      <c r="N1558" s="3" t="str">
        <f t="shared" si="99"/>
        <v>OK</v>
      </c>
    </row>
    <row r="1559" spans="1:14" x14ac:dyDescent="0.3">
      <c r="A1559" s="2">
        <f>DATE(VALUE(RIGHT(TRIM([1]Raw_Data!A1557),4)),VALUE(MID(TRIM([1]Raw_Data!A1557),4,2)),VALUE(LEFT(TRIM([1]Raw_Data!A1557),2)))</f>
        <v>44515</v>
      </c>
      <c r="B1559" s="3" t="str">
        <f>TRIM([1]Raw_Data!B1557)</f>
        <v>Multivitamin</v>
      </c>
      <c r="C1559" s="3" t="str">
        <f>TRIM([1]Raw_Data!C1557)</f>
        <v>Vitamin</v>
      </c>
      <c r="D1559" s="3">
        <f>[1]Raw_Data!D1557</f>
        <v>144</v>
      </c>
      <c r="E1559" s="4">
        <f>[1]Raw_Data!E1557</f>
        <v>47.84</v>
      </c>
      <c r="F1559" s="5">
        <f>[1]Raw_Data!F1557</f>
        <v>6888.96</v>
      </c>
      <c r="G1559" s="4">
        <f>[1]Raw_Data!G1557</f>
        <v>0.17</v>
      </c>
      <c r="H1559" s="3">
        <f>[1]Raw_Data!H1557</f>
        <v>0</v>
      </c>
      <c r="I1559" s="3" t="str">
        <f>TRIM([1]Raw_Data!I1557)</f>
        <v>USA</v>
      </c>
      <c r="J1559" s="3" t="str">
        <f>TRIM([1]Raw_Data!J1557)</f>
        <v>iHerb</v>
      </c>
      <c r="K1559" s="3">
        <f t="shared" si="96"/>
        <v>2021</v>
      </c>
      <c r="L1559" s="6">
        <f t="shared" si="97"/>
        <v>44501</v>
      </c>
      <c r="M1559" s="3" t="str">
        <f t="shared" si="98"/>
        <v>16% to 20%</v>
      </c>
      <c r="N1559" s="3" t="str">
        <f t="shared" si="99"/>
        <v>OK</v>
      </c>
    </row>
    <row r="1560" spans="1:14" x14ac:dyDescent="0.3">
      <c r="A1560" s="2">
        <f>DATE(VALUE(RIGHT(TRIM([1]Raw_Data!A1558),4)),VALUE(MID(TRIM([1]Raw_Data!A1558),4,2)),VALUE(LEFT(TRIM([1]Raw_Data!A1558),2)))</f>
        <v>44515</v>
      </c>
      <c r="B1560" s="3" t="str">
        <f>TRIM([1]Raw_Data!B1558)</f>
        <v>Pre-Workout</v>
      </c>
      <c r="C1560" s="3" t="str">
        <f>TRIM([1]Raw_Data!C1558)</f>
        <v>Performance</v>
      </c>
      <c r="D1560" s="3">
        <f>[1]Raw_Data!D1558</f>
        <v>153</v>
      </c>
      <c r="E1560" s="4">
        <f>[1]Raw_Data!E1558</f>
        <v>34.21</v>
      </c>
      <c r="F1560" s="5">
        <f>[1]Raw_Data!F1558</f>
        <v>5234.13</v>
      </c>
      <c r="G1560" s="4">
        <f>[1]Raw_Data!G1558</f>
        <v>0.14000000000000001</v>
      </c>
      <c r="H1560" s="3">
        <f>[1]Raw_Data!H1558</f>
        <v>1</v>
      </c>
      <c r="I1560" s="3" t="str">
        <f>TRIM([1]Raw_Data!I1558)</f>
        <v>USA</v>
      </c>
      <c r="J1560" s="3" t="str">
        <f>TRIM([1]Raw_Data!J1558)</f>
        <v>Walmart</v>
      </c>
      <c r="K1560" s="3">
        <f t="shared" si="96"/>
        <v>2021</v>
      </c>
      <c r="L1560" s="6">
        <f t="shared" si="97"/>
        <v>44501</v>
      </c>
      <c r="M1560" s="3" t="str">
        <f t="shared" si="98"/>
        <v>11% to 15%</v>
      </c>
      <c r="N1560" s="3" t="str">
        <f t="shared" si="99"/>
        <v>OK</v>
      </c>
    </row>
    <row r="1561" spans="1:14" x14ac:dyDescent="0.3">
      <c r="A1561" s="2">
        <f>DATE(VALUE(RIGHT(TRIM([1]Raw_Data!A1559),4)),VALUE(MID(TRIM([1]Raw_Data!A1559),4,2)),VALUE(LEFT(TRIM([1]Raw_Data!A1559),2)))</f>
        <v>44515</v>
      </c>
      <c r="B1561" s="3" t="str">
        <f>TRIM([1]Raw_Data!B1559)</f>
        <v>BCAA</v>
      </c>
      <c r="C1561" s="3" t="str">
        <f>TRIM([1]Raw_Data!C1559)</f>
        <v>Amino Acid</v>
      </c>
      <c r="D1561" s="3">
        <f>[1]Raw_Data!D1559</f>
        <v>152</v>
      </c>
      <c r="E1561" s="4">
        <f>[1]Raw_Data!E1559</f>
        <v>15.48</v>
      </c>
      <c r="F1561" s="5">
        <f>[1]Raw_Data!F1559</f>
        <v>2352.96</v>
      </c>
      <c r="G1561" s="4">
        <f>[1]Raw_Data!G1559</f>
        <v>0.19</v>
      </c>
      <c r="H1561" s="3">
        <f>[1]Raw_Data!H1559</f>
        <v>0</v>
      </c>
      <c r="I1561" s="3" t="str">
        <f>TRIM([1]Raw_Data!I1559)</f>
        <v>USA</v>
      </c>
      <c r="J1561" s="3" t="str">
        <f>TRIM([1]Raw_Data!J1559)</f>
        <v>iHerb</v>
      </c>
      <c r="K1561" s="3">
        <f t="shared" si="96"/>
        <v>2021</v>
      </c>
      <c r="L1561" s="6">
        <f t="shared" si="97"/>
        <v>44501</v>
      </c>
      <c r="M1561" s="3" t="str">
        <f t="shared" si="98"/>
        <v>16% to 20%</v>
      </c>
      <c r="N1561" s="3" t="str">
        <f t="shared" si="99"/>
        <v>OK</v>
      </c>
    </row>
    <row r="1562" spans="1:14" x14ac:dyDescent="0.3">
      <c r="A1562" s="2">
        <f>DATE(VALUE(RIGHT(TRIM([1]Raw_Data!A1560),4)),VALUE(MID(TRIM([1]Raw_Data!A1560),4,2)),VALUE(LEFT(TRIM([1]Raw_Data!A1560),2)))</f>
        <v>44515</v>
      </c>
      <c r="B1562" s="3" t="str">
        <f>TRIM([1]Raw_Data!B1560)</f>
        <v>Creatine</v>
      </c>
      <c r="C1562" s="3" t="str">
        <f>TRIM([1]Raw_Data!C1560)</f>
        <v>Performance</v>
      </c>
      <c r="D1562" s="3">
        <f>[1]Raw_Data!D1560</f>
        <v>180</v>
      </c>
      <c r="E1562" s="4">
        <f>[1]Raw_Data!E1560</f>
        <v>32.159999999999997</v>
      </c>
      <c r="F1562" s="5">
        <f>[1]Raw_Data!F1560</f>
        <v>5788.8</v>
      </c>
      <c r="G1562" s="4">
        <f>[1]Raw_Data!G1560</f>
        <v>0.05</v>
      </c>
      <c r="H1562" s="3">
        <f>[1]Raw_Data!H1560</f>
        <v>2</v>
      </c>
      <c r="I1562" s="3" t="str">
        <f>TRIM([1]Raw_Data!I1560)</f>
        <v>UK</v>
      </c>
      <c r="J1562" s="3" t="str">
        <f>TRIM([1]Raw_Data!J1560)</f>
        <v>Walmart</v>
      </c>
      <c r="K1562" s="3">
        <f t="shared" si="96"/>
        <v>2021</v>
      </c>
      <c r="L1562" s="6">
        <f t="shared" si="97"/>
        <v>44501</v>
      </c>
      <c r="M1562" s="3" t="str">
        <f t="shared" si="98"/>
        <v>0% to 5%</v>
      </c>
      <c r="N1562" s="3" t="str">
        <f t="shared" si="99"/>
        <v>OK</v>
      </c>
    </row>
    <row r="1563" spans="1:14" x14ac:dyDescent="0.3">
      <c r="A1563" s="2">
        <f>DATE(VALUE(RIGHT(TRIM([1]Raw_Data!A1561),4)),VALUE(MID(TRIM([1]Raw_Data!A1561),4,2)),VALUE(LEFT(TRIM([1]Raw_Data!A1561),2)))</f>
        <v>44515</v>
      </c>
      <c r="B1563" s="3" t="str">
        <f>TRIM([1]Raw_Data!B1561)</f>
        <v>Zinc</v>
      </c>
      <c r="C1563" s="3" t="str">
        <f>TRIM([1]Raw_Data!C1561)</f>
        <v>Mineral</v>
      </c>
      <c r="D1563" s="3">
        <f>[1]Raw_Data!D1561</f>
        <v>155</v>
      </c>
      <c r="E1563" s="4">
        <f>[1]Raw_Data!E1561</f>
        <v>40.17</v>
      </c>
      <c r="F1563" s="5">
        <f>[1]Raw_Data!F1561</f>
        <v>6226.35</v>
      </c>
      <c r="G1563" s="4">
        <f>[1]Raw_Data!G1561</f>
        <v>0.08</v>
      </c>
      <c r="H1563" s="3">
        <f>[1]Raw_Data!H1561</f>
        <v>3</v>
      </c>
      <c r="I1563" s="3" t="str">
        <f>TRIM([1]Raw_Data!I1561)</f>
        <v>USA</v>
      </c>
      <c r="J1563" s="3" t="str">
        <f>TRIM([1]Raw_Data!J1561)</f>
        <v>Amazon</v>
      </c>
      <c r="K1563" s="3">
        <f t="shared" si="96"/>
        <v>2021</v>
      </c>
      <c r="L1563" s="6">
        <f t="shared" si="97"/>
        <v>44501</v>
      </c>
      <c r="M1563" s="3" t="str">
        <f t="shared" si="98"/>
        <v>6% to 10%</v>
      </c>
      <c r="N1563" s="3" t="str">
        <f t="shared" si="99"/>
        <v>OK</v>
      </c>
    </row>
    <row r="1564" spans="1:14" x14ac:dyDescent="0.3">
      <c r="A1564" s="2">
        <f>DATE(VALUE(RIGHT(TRIM([1]Raw_Data!A1562),4)),VALUE(MID(TRIM([1]Raw_Data!A1562),4,2)),VALUE(LEFT(TRIM([1]Raw_Data!A1562),2)))</f>
        <v>44515</v>
      </c>
      <c r="B1564" s="3" t="str">
        <f>TRIM([1]Raw_Data!B1562)</f>
        <v>Collagen Peptides</v>
      </c>
      <c r="C1564" s="3" t="str">
        <f>TRIM([1]Raw_Data!C1562)</f>
        <v>Protein</v>
      </c>
      <c r="D1564" s="3">
        <f>[1]Raw_Data!D1562</f>
        <v>166</v>
      </c>
      <c r="E1564" s="4">
        <f>[1]Raw_Data!E1562</f>
        <v>26.24</v>
      </c>
      <c r="F1564" s="5">
        <f>[1]Raw_Data!F1562</f>
        <v>4355.84</v>
      </c>
      <c r="G1564" s="4">
        <f>[1]Raw_Data!G1562</f>
        <v>7.0000000000000007E-2</v>
      </c>
      <c r="H1564" s="3">
        <f>[1]Raw_Data!H1562</f>
        <v>0</v>
      </c>
      <c r="I1564" s="3" t="str">
        <f>TRIM([1]Raw_Data!I1562)</f>
        <v>UK</v>
      </c>
      <c r="J1564" s="3" t="str">
        <f>TRIM([1]Raw_Data!J1562)</f>
        <v>Amazon</v>
      </c>
      <c r="K1564" s="3">
        <f t="shared" si="96"/>
        <v>2021</v>
      </c>
      <c r="L1564" s="6">
        <f t="shared" si="97"/>
        <v>44501</v>
      </c>
      <c r="M1564" s="3" t="str">
        <f t="shared" si="98"/>
        <v>6% to 10%</v>
      </c>
      <c r="N1564" s="3" t="str">
        <f t="shared" si="99"/>
        <v>OK</v>
      </c>
    </row>
    <row r="1565" spans="1:14" x14ac:dyDescent="0.3">
      <c r="A1565" s="2">
        <f>DATE(VALUE(RIGHT(TRIM([1]Raw_Data!A1563),4)),VALUE(MID(TRIM([1]Raw_Data!A1563),4,2)),VALUE(LEFT(TRIM([1]Raw_Data!A1563),2)))</f>
        <v>44515</v>
      </c>
      <c r="B1565" s="3" t="str">
        <f>TRIM([1]Raw_Data!B1563)</f>
        <v>Magnesium</v>
      </c>
      <c r="C1565" s="3" t="str">
        <f>TRIM([1]Raw_Data!C1563)</f>
        <v>Mineral</v>
      </c>
      <c r="D1565" s="3">
        <f>[1]Raw_Data!D1563</f>
        <v>163</v>
      </c>
      <c r="E1565" s="4">
        <f>[1]Raw_Data!E1563</f>
        <v>26.26</v>
      </c>
      <c r="F1565" s="5">
        <f>[1]Raw_Data!F1563</f>
        <v>4280.38</v>
      </c>
      <c r="G1565" s="4">
        <f>[1]Raw_Data!G1563</f>
        <v>0.12</v>
      </c>
      <c r="H1565" s="3">
        <f>[1]Raw_Data!H1563</f>
        <v>3</v>
      </c>
      <c r="I1565" s="3" t="str">
        <f>TRIM([1]Raw_Data!I1563)</f>
        <v>USA</v>
      </c>
      <c r="J1565" s="3" t="str">
        <f>TRIM([1]Raw_Data!J1563)</f>
        <v>iHerb</v>
      </c>
      <c r="K1565" s="3">
        <f t="shared" si="96"/>
        <v>2021</v>
      </c>
      <c r="L1565" s="6">
        <f t="shared" si="97"/>
        <v>44501</v>
      </c>
      <c r="M1565" s="3" t="str">
        <f t="shared" si="98"/>
        <v>11% to 15%</v>
      </c>
      <c r="N1565" s="3" t="str">
        <f t="shared" si="99"/>
        <v>OK</v>
      </c>
    </row>
    <row r="1566" spans="1:14" x14ac:dyDescent="0.3">
      <c r="A1566" s="2">
        <f>DATE(VALUE(RIGHT(TRIM([1]Raw_Data!A1564),4)),VALUE(MID(TRIM([1]Raw_Data!A1564),4,2)),VALUE(LEFT(TRIM([1]Raw_Data!A1564),2)))</f>
        <v>44515</v>
      </c>
      <c r="B1566" s="3" t="str">
        <f>TRIM([1]Raw_Data!B1564)</f>
        <v>Ashwagandha</v>
      </c>
      <c r="C1566" s="3" t="str">
        <f>TRIM([1]Raw_Data!C1564)</f>
        <v>Herbal</v>
      </c>
      <c r="D1566" s="3">
        <f>[1]Raw_Data!D1564</f>
        <v>134</v>
      </c>
      <c r="E1566" s="4">
        <f>[1]Raw_Data!E1564</f>
        <v>54.88</v>
      </c>
      <c r="F1566" s="5">
        <f>[1]Raw_Data!F1564</f>
        <v>7353.92</v>
      </c>
      <c r="G1566" s="4">
        <f>[1]Raw_Data!G1564</f>
        <v>0.24</v>
      </c>
      <c r="H1566" s="3">
        <f>[1]Raw_Data!H1564</f>
        <v>1</v>
      </c>
      <c r="I1566" s="3" t="str">
        <f>TRIM([1]Raw_Data!I1564)</f>
        <v>USA</v>
      </c>
      <c r="J1566" s="3" t="str">
        <f>TRIM([1]Raw_Data!J1564)</f>
        <v>Amazon</v>
      </c>
      <c r="K1566" s="3">
        <f t="shared" si="96"/>
        <v>2021</v>
      </c>
      <c r="L1566" s="6">
        <f t="shared" si="97"/>
        <v>44501</v>
      </c>
      <c r="M1566" s="3" t="str">
        <f t="shared" si="98"/>
        <v>21% to 25%</v>
      </c>
      <c r="N1566" s="3" t="str">
        <f t="shared" si="99"/>
        <v>OK</v>
      </c>
    </row>
    <row r="1567" spans="1:14" x14ac:dyDescent="0.3">
      <c r="A1567" s="2">
        <f>DATE(VALUE(RIGHT(TRIM([1]Raw_Data!A1565),4)),VALUE(MID(TRIM([1]Raw_Data!A1565),4,2)),VALUE(LEFT(TRIM([1]Raw_Data!A1565),2)))</f>
        <v>44515</v>
      </c>
      <c r="B1567" s="3" t="str">
        <f>TRIM([1]Raw_Data!B1565)</f>
        <v>Melatonin</v>
      </c>
      <c r="C1567" s="3" t="str">
        <f>TRIM([1]Raw_Data!C1565)</f>
        <v>Sleep Aid</v>
      </c>
      <c r="D1567" s="3">
        <f>[1]Raw_Data!D1565</f>
        <v>139</v>
      </c>
      <c r="E1567" s="4">
        <f>[1]Raw_Data!E1565</f>
        <v>26.65</v>
      </c>
      <c r="F1567" s="5">
        <f>[1]Raw_Data!F1565</f>
        <v>3704.35</v>
      </c>
      <c r="G1567" s="4">
        <f>[1]Raw_Data!G1565</f>
        <v>0.04</v>
      </c>
      <c r="H1567" s="3">
        <f>[1]Raw_Data!H1565</f>
        <v>2</v>
      </c>
      <c r="I1567" s="3" t="str">
        <f>TRIM([1]Raw_Data!I1565)</f>
        <v>UK</v>
      </c>
      <c r="J1567" s="3" t="str">
        <f>TRIM([1]Raw_Data!J1565)</f>
        <v>Walmart</v>
      </c>
      <c r="K1567" s="3">
        <f t="shared" si="96"/>
        <v>2021</v>
      </c>
      <c r="L1567" s="6">
        <f t="shared" si="97"/>
        <v>44501</v>
      </c>
      <c r="M1567" s="3" t="str">
        <f t="shared" si="98"/>
        <v>0% to 5%</v>
      </c>
      <c r="N1567" s="3" t="str">
        <f t="shared" si="99"/>
        <v>OK</v>
      </c>
    </row>
    <row r="1568" spans="1:14" x14ac:dyDescent="0.3">
      <c r="A1568" s="2">
        <f>DATE(VALUE(RIGHT(TRIM([1]Raw_Data!A1566),4)),VALUE(MID(TRIM([1]Raw_Data!A1566),4,2)),VALUE(LEFT(TRIM([1]Raw_Data!A1566),2)))</f>
        <v>44515</v>
      </c>
      <c r="B1568" s="3" t="str">
        <f>TRIM([1]Raw_Data!B1566)</f>
        <v>Biotin</v>
      </c>
      <c r="C1568" s="3" t="str">
        <f>TRIM([1]Raw_Data!C1566)</f>
        <v>Vitamin</v>
      </c>
      <c r="D1568" s="3">
        <f>[1]Raw_Data!D1566</f>
        <v>149</v>
      </c>
      <c r="E1568" s="4">
        <f>[1]Raw_Data!E1566</f>
        <v>11.61</v>
      </c>
      <c r="F1568" s="5">
        <f>[1]Raw_Data!F1566</f>
        <v>1729.89</v>
      </c>
      <c r="G1568" s="4">
        <f>[1]Raw_Data!G1566</f>
        <v>0.16</v>
      </c>
      <c r="H1568" s="3">
        <f>[1]Raw_Data!H1566</f>
        <v>2</v>
      </c>
      <c r="I1568" s="3" t="str">
        <f>TRIM([1]Raw_Data!I1566)</f>
        <v>Canada</v>
      </c>
      <c r="J1568" s="3" t="str">
        <f>TRIM([1]Raw_Data!J1566)</f>
        <v>Amazon</v>
      </c>
      <c r="K1568" s="3">
        <f t="shared" si="96"/>
        <v>2021</v>
      </c>
      <c r="L1568" s="6">
        <f t="shared" si="97"/>
        <v>44501</v>
      </c>
      <c r="M1568" s="3" t="str">
        <f t="shared" si="98"/>
        <v>16% to 20%</v>
      </c>
      <c r="N1568" s="3" t="str">
        <f t="shared" si="99"/>
        <v>OK</v>
      </c>
    </row>
    <row r="1569" spans="1:14" x14ac:dyDescent="0.3">
      <c r="A1569" s="2">
        <f>DATE(VALUE(RIGHT(TRIM([1]Raw_Data!A1567),4)),VALUE(MID(TRIM([1]Raw_Data!A1567),4,2)),VALUE(LEFT(TRIM([1]Raw_Data!A1567),2)))</f>
        <v>44515</v>
      </c>
      <c r="B1569" s="3" t="str">
        <f>TRIM([1]Raw_Data!B1567)</f>
        <v>Green Tea Extract</v>
      </c>
      <c r="C1569" s="3" t="str">
        <f>TRIM([1]Raw_Data!C1567)</f>
        <v>Fat Burner</v>
      </c>
      <c r="D1569" s="3">
        <f>[1]Raw_Data!D1567</f>
        <v>144</v>
      </c>
      <c r="E1569" s="4">
        <f>[1]Raw_Data!E1567</f>
        <v>10.7</v>
      </c>
      <c r="F1569" s="5">
        <f>[1]Raw_Data!F1567</f>
        <v>1540.8</v>
      </c>
      <c r="G1569" s="4">
        <f>[1]Raw_Data!G1567</f>
        <v>0</v>
      </c>
      <c r="H1569" s="3">
        <f>[1]Raw_Data!H1567</f>
        <v>1</v>
      </c>
      <c r="I1569" s="3" t="str">
        <f>TRIM([1]Raw_Data!I1567)</f>
        <v>UK</v>
      </c>
      <c r="J1569" s="3" t="str">
        <f>TRIM([1]Raw_Data!J1567)</f>
        <v>iHerb</v>
      </c>
      <c r="K1569" s="3">
        <f t="shared" si="96"/>
        <v>2021</v>
      </c>
      <c r="L1569" s="6">
        <f t="shared" si="97"/>
        <v>44501</v>
      </c>
      <c r="M1569" s="3" t="str">
        <f t="shared" si="98"/>
        <v>0% to 5%</v>
      </c>
      <c r="N1569" s="3" t="str">
        <f t="shared" si="99"/>
        <v>OK</v>
      </c>
    </row>
    <row r="1570" spans="1:14" x14ac:dyDescent="0.3">
      <c r="A1570" s="2">
        <f>DATE(VALUE(RIGHT(TRIM([1]Raw_Data!A1568),4)),VALUE(MID(TRIM([1]Raw_Data!A1568),4,2)),VALUE(LEFT(TRIM([1]Raw_Data!A1568),2)))</f>
        <v>44515</v>
      </c>
      <c r="B1570" s="3" t="str">
        <f>TRIM([1]Raw_Data!B1568)</f>
        <v>Iron Supplement</v>
      </c>
      <c r="C1570" s="3" t="str">
        <f>TRIM([1]Raw_Data!C1568)</f>
        <v>Mineral</v>
      </c>
      <c r="D1570" s="3">
        <f>[1]Raw_Data!D1568</f>
        <v>131</v>
      </c>
      <c r="E1570" s="4">
        <f>[1]Raw_Data!E1568</f>
        <v>18.850000000000001</v>
      </c>
      <c r="F1570" s="5">
        <f>[1]Raw_Data!F1568</f>
        <v>2469.35</v>
      </c>
      <c r="G1570" s="4">
        <f>[1]Raw_Data!G1568</f>
        <v>0.01</v>
      </c>
      <c r="H1570" s="3">
        <f>[1]Raw_Data!H1568</f>
        <v>3</v>
      </c>
      <c r="I1570" s="3" t="str">
        <f>TRIM([1]Raw_Data!I1568)</f>
        <v>Canada</v>
      </c>
      <c r="J1570" s="3" t="str">
        <f>TRIM([1]Raw_Data!J1568)</f>
        <v>Amazon</v>
      </c>
      <c r="K1570" s="3">
        <f t="shared" si="96"/>
        <v>2021</v>
      </c>
      <c r="L1570" s="6">
        <f t="shared" si="97"/>
        <v>44501</v>
      </c>
      <c r="M1570" s="3" t="str">
        <f t="shared" si="98"/>
        <v>0% to 5%</v>
      </c>
      <c r="N1570" s="3" t="str">
        <f t="shared" si="99"/>
        <v>OK</v>
      </c>
    </row>
    <row r="1571" spans="1:14" x14ac:dyDescent="0.3">
      <c r="A1571" s="2">
        <f>DATE(VALUE(RIGHT(TRIM([1]Raw_Data!A1569),4)),VALUE(MID(TRIM([1]Raw_Data!A1569),4,2)),VALUE(LEFT(TRIM([1]Raw_Data!A1569),2)))</f>
        <v>44515</v>
      </c>
      <c r="B1571" s="3" t="str">
        <f>TRIM([1]Raw_Data!B1569)</f>
        <v>Electrolyte Powder</v>
      </c>
      <c r="C1571" s="3" t="str">
        <f>TRIM([1]Raw_Data!C1569)</f>
        <v>Hydration</v>
      </c>
      <c r="D1571" s="3">
        <f>[1]Raw_Data!D1569</f>
        <v>168</v>
      </c>
      <c r="E1571" s="4">
        <f>[1]Raw_Data!E1569</f>
        <v>43.61</v>
      </c>
      <c r="F1571" s="5">
        <f>[1]Raw_Data!F1569</f>
        <v>7326.48</v>
      </c>
      <c r="G1571" s="4">
        <f>[1]Raw_Data!G1569</f>
        <v>0</v>
      </c>
      <c r="H1571" s="3">
        <f>[1]Raw_Data!H1569</f>
        <v>5</v>
      </c>
      <c r="I1571" s="3" t="str">
        <f>TRIM([1]Raw_Data!I1569)</f>
        <v>USA</v>
      </c>
      <c r="J1571" s="3" t="str">
        <f>TRIM([1]Raw_Data!J1569)</f>
        <v>iHerb</v>
      </c>
      <c r="K1571" s="3">
        <f t="shared" si="96"/>
        <v>2021</v>
      </c>
      <c r="L1571" s="6">
        <f t="shared" si="97"/>
        <v>44501</v>
      </c>
      <c r="M1571" s="3" t="str">
        <f t="shared" si="98"/>
        <v>0% to 5%</v>
      </c>
      <c r="N1571" s="3" t="str">
        <f t="shared" si="99"/>
        <v>OK</v>
      </c>
    </row>
    <row r="1572" spans="1:14" x14ac:dyDescent="0.3">
      <c r="A1572" s="2">
        <f>DATE(VALUE(RIGHT(TRIM([1]Raw_Data!A1570),4)),VALUE(MID(TRIM([1]Raw_Data!A1570),4,2)),VALUE(LEFT(TRIM([1]Raw_Data!A1570),2)))</f>
        <v>44522</v>
      </c>
      <c r="B1572" s="3" t="str">
        <f>TRIM([1]Raw_Data!B1570)</f>
        <v>Whey Protein</v>
      </c>
      <c r="C1572" s="3" t="str">
        <f>TRIM([1]Raw_Data!C1570)</f>
        <v>Protein</v>
      </c>
      <c r="D1572" s="3">
        <f>[1]Raw_Data!D1570</f>
        <v>156</v>
      </c>
      <c r="E1572" s="4">
        <f>[1]Raw_Data!E1570</f>
        <v>54.68</v>
      </c>
      <c r="F1572" s="5">
        <f>[1]Raw_Data!F1570</f>
        <v>8530.08</v>
      </c>
      <c r="G1572" s="4">
        <f>[1]Raw_Data!G1570</f>
        <v>7.0000000000000007E-2</v>
      </c>
      <c r="H1572" s="3">
        <f>[1]Raw_Data!H1570</f>
        <v>2</v>
      </c>
      <c r="I1572" s="3" t="str">
        <f>TRIM([1]Raw_Data!I1570)</f>
        <v>Canada</v>
      </c>
      <c r="J1572" s="3" t="str">
        <f>TRIM([1]Raw_Data!J1570)</f>
        <v>iHerb</v>
      </c>
      <c r="K1572" s="3">
        <f t="shared" si="96"/>
        <v>2021</v>
      </c>
      <c r="L1572" s="6">
        <f t="shared" si="97"/>
        <v>44501</v>
      </c>
      <c r="M1572" s="3" t="str">
        <f t="shared" si="98"/>
        <v>6% to 10%</v>
      </c>
      <c r="N1572" s="3" t="str">
        <f t="shared" si="99"/>
        <v>OK</v>
      </c>
    </row>
    <row r="1573" spans="1:14" x14ac:dyDescent="0.3">
      <c r="A1573" s="2">
        <f>DATE(VALUE(RIGHT(TRIM([1]Raw_Data!A1571),4)),VALUE(MID(TRIM([1]Raw_Data!A1571),4,2)),VALUE(LEFT(TRIM([1]Raw_Data!A1571),2)))</f>
        <v>44522</v>
      </c>
      <c r="B1573" s="3" t="str">
        <f>TRIM([1]Raw_Data!B1571)</f>
        <v>Vitamin C</v>
      </c>
      <c r="C1573" s="3" t="str">
        <f>TRIM([1]Raw_Data!C1571)</f>
        <v>Vitamin</v>
      </c>
      <c r="D1573" s="3">
        <f>[1]Raw_Data!D1571</f>
        <v>135</v>
      </c>
      <c r="E1573" s="4">
        <f>[1]Raw_Data!E1571</f>
        <v>37.909999999999997</v>
      </c>
      <c r="F1573" s="5">
        <f>[1]Raw_Data!F1571</f>
        <v>5117.8500000000004</v>
      </c>
      <c r="G1573" s="4">
        <f>[1]Raw_Data!G1571</f>
        <v>0.19</v>
      </c>
      <c r="H1573" s="3">
        <f>[1]Raw_Data!H1571</f>
        <v>2</v>
      </c>
      <c r="I1573" s="3" t="str">
        <f>TRIM([1]Raw_Data!I1571)</f>
        <v>UK</v>
      </c>
      <c r="J1573" s="3" t="str">
        <f>TRIM([1]Raw_Data!J1571)</f>
        <v>Amazon</v>
      </c>
      <c r="K1573" s="3">
        <f t="shared" si="96"/>
        <v>2021</v>
      </c>
      <c r="L1573" s="6">
        <f t="shared" si="97"/>
        <v>44501</v>
      </c>
      <c r="M1573" s="3" t="str">
        <f t="shared" si="98"/>
        <v>16% to 20%</v>
      </c>
      <c r="N1573" s="3" t="str">
        <f t="shared" si="99"/>
        <v>OK</v>
      </c>
    </row>
    <row r="1574" spans="1:14" x14ac:dyDescent="0.3">
      <c r="A1574" s="2">
        <f>DATE(VALUE(RIGHT(TRIM([1]Raw_Data!A1572),4)),VALUE(MID(TRIM([1]Raw_Data!A1572),4,2)),VALUE(LEFT(TRIM([1]Raw_Data!A1572),2)))</f>
        <v>44522</v>
      </c>
      <c r="B1574" s="3" t="str">
        <f>TRIM([1]Raw_Data!B1572)</f>
        <v>Fish Oil</v>
      </c>
      <c r="C1574" s="3" t="str">
        <f>TRIM([1]Raw_Data!C1572)</f>
        <v>Omega</v>
      </c>
      <c r="D1574" s="3">
        <f>[1]Raw_Data!D1572</f>
        <v>140</v>
      </c>
      <c r="E1574" s="4">
        <f>[1]Raw_Data!E1572</f>
        <v>47.86</v>
      </c>
      <c r="F1574" s="5">
        <f>[1]Raw_Data!F1572</f>
        <v>6700.4</v>
      </c>
      <c r="G1574" s="4">
        <f>[1]Raw_Data!G1572</f>
        <v>0.25</v>
      </c>
      <c r="H1574" s="3">
        <f>[1]Raw_Data!H1572</f>
        <v>2</v>
      </c>
      <c r="I1574" s="3" t="str">
        <f>TRIM([1]Raw_Data!I1572)</f>
        <v>USA</v>
      </c>
      <c r="J1574" s="3" t="str">
        <f>TRIM([1]Raw_Data!J1572)</f>
        <v>Amazon</v>
      </c>
      <c r="K1574" s="3">
        <f t="shared" si="96"/>
        <v>2021</v>
      </c>
      <c r="L1574" s="6">
        <f t="shared" si="97"/>
        <v>44501</v>
      </c>
      <c r="M1574" s="3" t="str">
        <f t="shared" si="98"/>
        <v>21% to 25%</v>
      </c>
      <c r="N1574" s="3" t="str">
        <f t="shared" si="99"/>
        <v>OK</v>
      </c>
    </row>
    <row r="1575" spans="1:14" x14ac:dyDescent="0.3">
      <c r="A1575" s="2">
        <f>DATE(VALUE(RIGHT(TRIM([1]Raw_Data!A1573),4)),VALUE(MID(TRIM([1]Raw_Data!A1573),4,2)),VALUE(LEFT(TRIM([1]Raw_Data!A1573),2)))</f>
        <v>44522</v>
      </c>
      <c r="B1575" s="3" t="str">
        <f>TRIM([1]Raw_Data!B1573)</f>
        <v>Multivitamin</v>
      </c>
      <c r="C1575" s="3" t="str">
        <f>TRIM([1]Raw_Data!C1573)</f>
        <v>Vitamin</v>
      </c>
      <c r="D1575" s="3">
        <f>[1]Raw_Data!D1573</f>
        <v>149</v>
      </c>
      <c r="E1575" s="4">
        <f>[1]Raw_Data!E1573</f>
        <v>30.49</v>
      </c>
      <c r="F1575" s="5">
        <f>[1]Raw_Data!F1573</f>
        <v>4543.01</v>
      </c>
      <c r="G1575" s="4">
        <f>[1]Raw_Data!G1573</f>
        <v>0.13</v>
      </c>
      <c r="H1575" s="3">
        <f>[1]Raw_Data!H1573</f>
        <v>1</v>
      </c>
      <c r="I1575" s="3" t="str">
        <f>TRIM([1]Raw_Data!I1573)</f>
        <v>USA</v>
      </c>
      <c r="J1575" s="3" t="str">
        <f>TRIM([1]Raw_Data!J1573)</f>
        <v>iHerb</v>
      </c>
      <c r="K1575" s="3">
        <f t="shared" si="96"/>
        <v>2021</v>
      </c>
      <c r="L1575" s="6">
        <f t="shared" si="97"/>
        <v>44501</v>
      </c>
      <c r="M1575" s="3" t="str">
        <f t="shared" si="98"/>
        <v>11% to 15%</v>
      </c>
      <c r="N1575" s="3" t="str">
        <f t="shared" si="99"/>
        <v>OK</v>
      </c>
    </row>
    <row r="1576" spans="1:14" x14ac:dyDescent="0.3">
      <c r="A1576" s="2">
        <f>DATE(VALUE(RIGHT(TRIM([1]Raw_Data!A1574),4)),VALUE(MID(TRIM([1]Raw_Data!A1574),4,2)),VALUE(LEFT(TRIM([1]Raw_Data!A1574),2)))</f>
        <v>44522</v>
      </c>
      <c r="B1576" s="3" t="str">
        <f>TRIM([1]Raw_Data!B1574)</f>
        <v>Pre-Workout</v>
      </c>
      <c r="C1576" s="3" t="str">
        <f>TRIM([1]Raw_Data!C1574)</f>
        <v>Performance</v>
      </c>
      <c r="D1576" s="3">
        <f>[1]Raw_Data!D1574</f>
        <v>148</v>
      </c>
      <c r="E1576" s="4">
        <f>[1]Raw_Data!E1574</f>
        <v>36.340000000000003</v>
      </c>
      <c r="F1576" s="5">
        <f>[1]Raw_Data!F1574</f>
        <v>5378.32</v>
      </c>
      <c r="G1576" s="4">
        <f>[1]Raw_Data!G1574</f>
        <v>0.08</v>
      </c>
      <c r="H1576" s="3">
        <f>[1]Raw_Data!H1574</f>
        <v>1</v>
      </c>
      <c r="I1576" s="3" t="str">
        <f>TRIM([1]Raw_Data!I1574)</f>
        <v>Canada</v>
      </c>
      <c r="J1576" s="3" t="str">
        <f>TRIM([1]Raw_Data!J1574)</f>
        <v>Amazon</v>
      </c>
      <c r="K1576" s="3">
        <f t="shared" si="96"/>
        <v>2021</v>
      </c>
      <c r="L1576" s="6">
        <f t="shared" si="97"/>
        <v>44501</v>
      </c>
      <c r="M1576" s="3" t="str">
        <f t="shared" si="98"/>
        <v>6% to 10%</v>
      </c>
      <c r="N1576" s="3" t="str">
        <f t="shared" si="99"/>
        <v>OK</v>
      </c>
    </row>
    <row r="1577" spans="1:14" x14ac:dyDescent="0.3">
      <c r="A1577" s="2">
        <f>DATE(VALUE(RIGHT(TRIM([1]Raw_Data!A1575),4)),VALUE(MID(TRIM([1]Raw_Data!A1575),4,2)),VALUE(LEFT(TRIM([1]Raw_Data!A1575),2)))</f>
        <v>44522</v>
      </c>
      <c r="B1577" s="3" t="str">
        <f>TRIM([1]Raw_Data!B1575)</f>
        <v>BCAA</v>
      </c>
      <c r="C1577" s="3" t="str">
        <f>TRIM([1]Raw_Data!C1575)</f>
        <v>Amino Acid</v>
      </c>
      <c r="D1577" s="3">
        <f>[1]Raw_Data!D1575</f>
        <v>140</v>
      </c>
      <c r="E1577" s="4">
        <f>[1]Raw_Data!E1575</f>
        <v>42.69</v>
      </c>
      <c r="F1577" s="5">
        <f>[1]Raw_Data!F1575</f>
        <v>5976.6</v>
      </c>
      <c r="G1577" s="4">
        <f>[1]Raw_Data!G1575</f>
        <v>0.17</v>
      </c>
      <c r="H1577" s="3">
        <f>[1]Raw_Data!H1575</f>
        <v>2</v>
      </c>
      <c r="I1577" s="3" t="str">
        <f>TRIM([1]Raw_Data!I1575)</f>
        <v>Canada</v>
      </c>
      <c r="J1577" s="3" t="str">
        <f>TRIM([1]Raw_Data!J1575)</f>
        <v>Walmart</v>
      </c>
      <c r="K1577" s="3">
        <f t="shared" si="96"/>
        <v>2021</v>
      </c>
      <c r="L1577" s="6">
        <f t="shared" si="97"/>
        <v>44501</v>
      </c>
      <c r="M1577" s="3" t="str">
        <f t="shared" si="98"/>
        <v>16% to 20%</v>
      </c>
      <c r="N1577" s="3" t="str">
        <f t="shared" si="99"/>
        <v>OK</v>
      </c>
    </row>
    <row r="1578" spans="1:14" x14ac:dyDescent="0.3">
      <c r="A1578" s="2">
        <f>DATE(VALUE(RIGHT(TRIM([1]Raw_Data!A1576),4)),VALUE(MID(TRIM([1]Raw_Data!A1576),4,2)),VALUE(LEFT(TRIM([1]Raw_Data!A1576),2)))</f>
        <v>44522</v>
      </c>
      <c r="B1578" s="3" t="str">
        <f>TRIM([1]Raw_Data!B1576)</f>
        <v>Creatine</v>
      </c>
      <c r="C1578" s="3" t="str">
        <f>TRIM([1]Raw_Data!C1576)</f>
        <v>Performance</v>
      </c>
      <c r="D1578" s="3">
        <f>[1]Raw_Data!D1576</f>
        <v>150</v>
      </c>
      <c r="E1578" s="4">
        <f>[1]Raw_Data!E1576</f>
        <v>56.82</v>
      </c>
      <c r="F1578" s="5">
        <f>[1]Raw_Data!F1576</f>
        <v>8523</v>
      </c>
      <c r="G1578" s="4">
        <f>[1]Raw_Data!G1576</f>
        <v>0.2</v>
      </c>
      <c r="H1578" s="3">
        <f>[1]Raw_Data!H1576</f>
        <v>2</v>
      </c>
      <c r="I1578" s="3" t="str">
        <f>TRIM([1]Raw_Data!I1576)</f>
        <v>USA</v>
      </c>
      <c r="J1578" s="3" t="str">
        <f>TRIM([1]Raw_Data!J1576)</f>
        <v>Walmart</v>
      </c>
      <c r="K1578" s="3">
        <f t="shared" si="96"/>
        <v>2021</v>
      </c>
      <c r="L1578" s="6">
        <f t="shared" si="97"/>
        <v>44501</v>
      </c>
      <c r="M1578" s="3" t="str">
        <f t="shared" si="98"/>
        <v>16% to 20%</v>
      </c>
      <c r="N1578" s="3" t="str">
        <f t="shared" si="99"/>
        <v>OK</v>
      </c>
    </row>
    <row r="1579" spans="1:14" x14ac:dyDescent="0.3">
      <c r="A1579" s="2">
        <f>DATE(VALUE(RIGHT(TRIM([1]Raw_Data!A1577),4)),VALUE(MID(TRIM([1]Raw_Data!A1577),4,2)),VALUE(LEFT(TRIM([1]Raw_Data!A1577),2)))</f>
        <v>44522</v>
      </c>
      <c r="B1579" s="3" t="str">
        <f>TRIM([1]Raw_Data!B1577)</f>
        <v>Zinc</v>
      </c>
      <c r="C1579" s="3" t="str">
        <f>TRIM([1]Raw_Data!C1577)</f>
        <v>Mineral</v>
      </c>
      <c r="D1579" s="3">
        <f>[1]Raw_Data!D1577</f>
        <v>142</v>
      </c>
      <c r="E1579" s="4">
        <f>[1]Raw_Data!E1577</f>
        <v>32.11</v>
      </c>
      <c r="F1579" s="5">
        <f>[1]Raw_Data!F1577</f>
        <v>4559.62</v>
      </c>
      <c r="G1579" s="4">
        <f>[1]Raw_Data!G1577</f>
        <v>0.01</v>
      </c>
      <c r="H1579" s="3">
        <f>[1]Raw_Data!H1577</f>
        <v>4</v>
      </c>
      <c r="I1579" s="3" t="str">
        <f>TRIM([1]Raw_Data!I1577)</f>
        <v>USA</v>
      </c>
      <c r="J1579" s="3" t="str">
        <f>TRIM([1]Raw_Data!J1577)</f>
        <v>iHerb</v>
      </c>
      <c r="K1579" s="3">
        <f t="shared" si="96"/>
        <v>2021</v>
      </c>
      <c r="L1579" s="6">
        <f t="shared" si="97"/>
        <v>44501</v>
      </c>
      <c r="M1579" s="3" t="str">
        <f t="shared" si="98"/>
        <v>0% to 5%</v>
      </c>
      <c r="N1579" s="3" t="str">
        <f t="shared" si="99"/>
        <v>OK</v>
      </c>
    </row>
    <row r="1580" spans="1:14" x14ac:dyDescent="0.3">
      <c r="A1580" s="2">
        <f>DATE(VALUE(RIGHT(TRIM([1]Raw_Data!A1578),4)),VALUE(MID(TRIM([1]Raw_Data!A1578),4,2)),VALUE(LEFT(TRIM([1]Raw_Data!A1578),2)))</f>
        <v>44522</v>
      </c>
      <c r="B1580" s="3" t="str">
        <f>TRIM([1]Raw_Data!B1578)</f>
        <v>Collagen Peptides</v>
      </c>
      <c r="C1580" s="3" t="str">
        <f>TRIM([1]Raw_Data!C1578)</f>
        <v>Protein</v>
      </c>
      <c r="D1580" s="3">
        <f>[1]Raw_Data!D1578</f>
        <v>153</v>
      </c>
      <c r="E1580" s="4">
        <f>[1]Raw_Data!E1578</f>
        <v>42.79</v>
      </c>
      <c r="F1580" s="5">
        <f>[1]Raw_Data!F1578</f>
        <v>6546.87</v>
      </c>
      <c r="G1580" s="4">
        <f>[1]Raw_Data!G1578</f>
        <v>0.12</v>
      </c>
      <c r="H1580" s="3">
        <f>[1]Raw_Data!H1578</f>
        <v>0</v>
      </c>
      <c r="I1580" s="3" t="str">
        <f>TRIM([1]Raw_Data!I1578)</f>
        <v>USA</v>
      </c>
      <c r="J1580" s="3" t="str">
        <f>TRIM([1]Raw_Data!J1578)</f>
        <v>Walmart</v>
      </c>
      <c r="K1580" s="3">
        <f t="shared" si="96"/>
        <v>2021</v>
      </c>
      <c r="L1580" s="6">
        <f t="shared" si="97"/>
        <v>44501</v>
      </c>
      <c r="M1580" s="3" t="str">
        <f t="shared" si="98"/>
        <v>11% to 15%</v>
      </c>
      <c r="N1580" s="3" t="str">
        <f t="shared" si="99"/>
        <v>OK</v>
      </c>
    </row>
    <row r="1581" spans="1:14" x14ac:dyDescent="0.3">
      <c r="A1581" s="2">
        <f>DATE(VALUE(RIGHT(TRIM([1]Raw_Data!A1579),4)),VALUE(MID(TRIM([1]Raw_Data!A1579),4,2)),VALUE(LEFT(TRIM([1]Raw_Data!A1579),2)))</f>
        <v>44522</v>
      </c>
      <c r="B1581" s="3" t="str">
        <f>TRIM([1]Raw_Data!B1579)</f>
        <v>Magnesium</v>
      </c>
      <c r="C1581" s="3" t="str">
        <f>TRIM([1]Raw_Data!C1579)</f>
        <v>Mineral</v>
      </c>
      <c r="D1581" s="3">
        <f>[1]Raw_Data!D1579</f>
        <v>154</v>
      </c>
      <c r="E1581" s="4">
        <f>[1]Raw_Data!E1579</f>
        <v>30.84</v>
      </c>
      <c r="F1581" s="5">
        <f>[1]Raw_Data!F1579</f>
        <v>4749.3599999999997</v>
      </c>
      <c r="G1581" s="4">
        <f>[1]Raw_Data!G1579</f>
        <v>0.19</v>
      </c>
      <c r="H1581" s="3">
        <f>[1]Raw_Data!H1579</f>
        <v>1</v>
      </c>
      <c r="I1581" s="3" t="str">
        <f>TRIM([1]Raw_Data!I1579)</f>
        <v>USA</v>
      </c>
      <c r="J1581" s="3" t="str">
        <f>TRIM([1]Raw_Data!J1579)</f>
        <v>iHerb</v>
      </c>
      <c r="K1581" s="3">
        <f t="shared" si="96"/>
        <v>2021</v>
      </c>
      <c r="L1581" s="6">
        <f t="shared" si="97"/>
        <v>44501</v>
      </c>
      <c r="M1581" s="3" t="str">
        <f t="shared" si="98"/>
        <v>16% to 20%</v>
      </c>
      <c r="N1581" s="3" t="str">
        <f t="shared" si="99"/>
        <v>OK</v>
      </c>
    </row>
    <row r="1582" spans="1:14" x14ac:dyDescent="0.3">
      <c r="A1582" s="2">
        <f>DATE(VALUE(RIGHT(TRIM([1]Raw_Data!A1580),4)),VALUE(MID(TRIM([1]Raw_Data!A1580),4,2)),VALUE(LEFT(TRIM([1]Raw_Data!A1580),2)))</f>
        <v>44522</v>
      </c>
      <c r="B1582" s="3" t="str">
        <f>TRIM([1]Raw_Data!B1580)</f>
        <v>Ashwagandha</v>
      </c>
      <c r="C1582" s="3" t="str">
        <f>TRIM([1]Raw_Data!C1580)</f>
        <v>Herbal</v>
      </c>
      <c r="D1582" s="3">
        <f>[1]Raw_Data!D1580</f>
        <v>139</v>
      </c>
      <c r="E1582" s="4">
        <f>[1]Raw_Data!E1580</f>
        <v>28.6</v>
      </c>
      <c r="F1582" s="5">
        <f>[1]Raw_Data!F1580</f>
        <v>3975.4</v>
      </c>
      <c r="G1582" s="4">
        <f>[1]Raw_Data!G1580</f>
        <v>0.21</v>
      </c>
      <c r="H1582" s="3">
        <f>[1]Raw_Data!H1580</f>
        <v>2</v>
      </c>
      <c r="I1582" s="3" t="str">
        <f>TRIM([1]Raw_Data!I1580)</f>
        <v>USA</v>
      </c>
      <c r="J1582" s="3" t="str">
        <f>TRIM([1]Raw_Data!J1580)</f>
        <v>iHerb</v>
      </c>
      <c r="K1582" s="3">
        <f t="shared" si="96"/>
        <v>2021</v>
      </c>
      <c r="L1582" s="6">
        <f t="shared" si="97"/>
        <v>44501</v>
      </c>
      <c r="M1582" s="3" t="str">
        <f t="shared" si="98"/>
        <v>21% to 25%</v>
      </c>
      <c r="N1582" s="3" t="str">
        <f t="shared" si="99"/>
        <v>OK</v>
      </c>
    </row>
    <row r="1583" spans="1:14" x14ac:dyDescent="0.3">
      <c r="A1583" s="2">
        <f>DATE(VALUE(RIGHT(TRIM([1]Raw_Data!A1581),4)),VALUE(MID(TRIM([1]Raw_Data!A1581),4,2)),VALUE(LEFT(TRIM([1]Raw_Data!A1581),2)))</f>
        <v>44522</v>
      </c>
      <c r="B1583" s="3" t="str">
        <f>TRIM([1]Raw_Data!B1581)</f>
        <v>Melatonin</v>
      </c>
      <c r="C1583" s="3" t="str">
        <f>TRIM([1]Raw_Data!C1581)</f>
        <v>Sleep Aid</v>
      </c>
      <c r="D1583" s="3">
        <f>[1]Raw_Data!D1581</f>
        <v>146</v>
      </c>
      <c r="E1583" s="4">
        <f>[1]Raw_Data!E1581</f>
        <v>46.04</v>
      </c>
      <c r="F1583" s="5">
        <f>[1]Raw_Data!F1581</f>
        <v>6721.84</v>
      </c>
      <c r="G1583" s="4">
        <f>[1]Raw_Data!G1581</f>
        <v>0.06</v>
      </c>
      <c r="H1583" s="3">
        <f>[1]Raw_Data!H1581</f>
        <v>0</v>
      </c>
      <c r="I1583" s="3" t="str">
        <f>TRIM([1]Raw_Data!I1581)</f>
        <v>Canada</v>
      </c>
      <c r="J1583" s="3" t="str">
        <f>TRIM([1]Raw_Data!J1581)</f>
        <v>iHerb</v>
      </c>
      <c r="K1583" s="3">
        <f t="shared" si="96"/>
        <v>2021</v>
      </c>
      <c r="L1583" s="6">
        <f t="shared" si="97"/>
        <v>44501</v>
      </c>
      <c r="M1583" s="3" t="str">
        <f t="shared" si="98"/>
        <v>6% to 10%</v>
      </c>
      <c r="N1583" s="3" t="str">
        <f t="shared" si="99"/>
        <v>OK</v>
      </c>
    </row>
    <row r="1584" spans="1:14" x14ac:dyDescent="0.3">
      <c r="A1584" s="2">
        <f>DATE(VALUE(RIGHT(TRIM([1]Raw_Data!A1582),4)),VALUE(MID(TRIM([1]Raw_Data!A1582),4,2)),VALUE(LEFT(TRIM([1]Raw_Data!A1582),2)))</f>
        <v>44522</v>
      </c>
      <c r="B1584" s="3" t="str">
        <f>TRIM([1]Raw_Data!B1582)</f>
        <v>Biotin</v>
      </c>
      <c r="C1584" s="3" t="str">
        <f>TRIM([1]Raw_Data!C1582)</f>
        <v>Vitamin</v>
      </c>
      <c r="D1584" s="3">
        <f>[1]Raw_Data!D1582</f>
        <v>157</v>
      </c>
      <c r="E1584" s="4">
        <f>[1]Raw_Data!E1582</f>
        <v>23.06</v>
      </c>
      <c r="F1584" s="5">
        <f>[1]Raw_Data!F1582</f>
        <v>3620.42</v>
      </c>
      <c r="G1584" s="4">
        <f>[1]Raw_Data!G1582</f>
        <v>0.13</v>
      </c>
      <c r="H1584" s="3">
        <f>[1]Raw_Data!H1582</f>
        <v>1</v>
      </c>
      <c r="I1584" s="3" t="str">
        <f>TRIM([1]Raw_Data!I1582)</f>
        <v>Canada</v>
      </c>
      <c r="J1584" s="3" t="str">
        <f>TRIM([1]Raw_Data!J1582)</f>
        <v>Walmart</v>
      </c>
      <c r="K1584" s="3">
        <f t="shared" si="96"/>
        <v>2021</v>
      </c>
      <c r="L1584" s="6">
        <f t="shared" si="97"/>
        <v>44501</v>
      </c>
      <c r="M1584" s="3" t="str">
        <f t="shared" si="98"/>
        <v>11% to 15%</v>
      </c>
      <c r="N1584" s="3" t="str">
        <f t="shared" si="99"/>
        <v>OK</v>
      </c>
    </row>
    <row r="1585" spans="1:14" x14ac:dyDescent="0.3">
      <c r="A1585" s="2">
        <f>DATE(VALUE(RIGHT(TRIM([1]Raw_Data!A1583),4)),VALUE(MID(TRIM([1]Raw_Data!A1583),4,2)),VALUE(LEFT(TRIM([1]Raw_Data!A1583),2)))</f>
        <v>44522</v>
      </c>
      <c r="B1585" s="3" t="str">
        <f>TRIM([1]Raw_Data!B1583)</f>
        <v>Green Tea Extract</v>
      </c>
      <c r="C1585" s="3" t="str">
        <f>TRIM([1]Raw_Data!C1583)</f>
        <v>Fat Burner</v>
      </c>
      <c r="D1585" s="3">
        <f>[1]Raw_Data!D1583</f>
        <v>136</v>
      </c>
      <c r="E1585" s="4">
        <f>[1]Raw_Data!E1583</f>
        <v>11.79</v>
      </c>
      <c r="F1585" s="5">
        <f>[1]Raw_Data!F1583</f>
        <v>1603.44</v>
      </c>
      <c r="G1585" s="4">
        <f>[1]Raw_Data!G1583</f>
        <v>0.18</v>
      </c>
      <c r="H1585" s="3">
        <f>[1]Raw_Data!H1583</f>
        <v>1</v>
      </c>
      <c r="I1585" s="3" t="str">
        <f>TRIM([1]Raw_Data!I1583)</f>
        <v>Canada</v>
      </c>
      <c r="J1585" s="3" t="str">
        <f>TRIM([1]Raw_Data!J1583)</f>
        <v>iHerb</v>
      </c>
      <c r="K1585" s="3">
        <f t="shared" si="96"/>
        <v>2021</v>
      </c>
      <c r="L1585" s="6">
        <f t="shared" si="97"/>
        <v>44501</v>
      </c>
      <c r="M1585" s="3" t="str">
        <f t="shared" si="98"/>
        <v>16% to 20%</v>
      </c>
      <c r="N1585" s="3" t="str">
        <f t="shared" si="99"/>
        <v>OK</v>
      </c>
    </row>
    <row r="1586" spans="1:14" x14ac:dyDescent="0.3">
      <c r="A1586" s="2">
        <f>DATE(VALUE(RIGHT(TRIM([1]Raw_Data!A1584),4)),VALUE(MID(TRIM([1]Raw_Data!A1584),4,2)),VALUE(LEFT(TRIM([1]Raw_Data!A1584),2)))</f>
        <v>44522</v>
      </c>
      <c r="B1586" s="3" t="str">
        <f>TRIM([1]Raw_Data!B1584)</f>
        <v>Iron Supplement</v>
      </c>
      <c r="C1586" s="3" t="str">
        <f>TRIM([1]Raw_Data!C1584)</f>
        <v>Mineral</v>
      </c>
      <c r="D1586" s="3">
        <f>[1]Raw_Data!D1584</f>
        <v>131</v>
      </c>
      <c r="E1586" s="4">
        <f>[1]Raw_Data!E1584</f>
        <v>15.13</v>
      </c>
      <c r="F1586" s="5">
        <f>[1]Raw_Data!F1584</f>
        <v>1982.03</v>
      </c>
      <c r="G1586" s="4">
        <f>[1]Raw_Data!G1584</f>
        <v>0.15</v>
      </c>
      <c r="H1586" s="3">
        <f>[1]Raw_Data!H1584</f>
        <v>0</v>
      </c>
      <c r="I1586" s="3" t="str">
        <f>TRIM([1]Raw_Data!I1584)</f>
        <v>USA</v>
      </c>
      <c r="J1586" s="3" t="str">
        <f>TRIM([1]Raw_Data!J1584)</f>
        <v>iHerb</v>
      </c>
      <c r="K1586" s="3">
        <f t="shared" si="96"/>
        <v>2021</v>
      </c>
      <c r="L1586" s="6">
        <f t="shared" si="97"/>
        <v>44501</v>
      </c>
      <c r="M1586" s="3" t="str">
        <f t="shared" si="98"/>
        <v>11% to 15%</v>
      </c>
      <c r="N1586" s="3" t="str">
        <f t="shared" si="99"/>
        <v>OK</v>
      </c>
    </row>
    <row r="1587" spans="1:14" x14ac:dyDescent="0.3">
      <c r="A1587" s="2">
        <f>DATE(VALUE(RIGHT(TRIM([1]Raw_Data!A1585),4)),VALUE(MID(TRIM([1]Raw_Data!A1585),4,2)),VALUE(LEFT(TRIM([1]Raw_Data!A1585),2)))</f>
        <v>44522</v>
      </c>
      <c r="B1587" s="3" t="str">
        <f>TRIM([1]Raw_Data!B1585)</f>
        <v>Electrolyte Powder</v>
      </c>
      <c r="C1587" s="3" t="str">
        <f>TRIM([1]Raw_Data!C1585)</f>
        <v>Hydration</v>
      </c>
      <c r="D1587" s="3">
        <f>[1]Raw_Data!D1585</f>
        <v>160</v>
      </c>
      <c r="E1587" s="4">
        <f>[1]Raw_Data!E1585</f>
        <v>22.47</v>
      </c>
      <c r="F1587" s="5">
        <f>[1]Raw_Data!F1585</f>
        <v>3595.2</v>
      </c>
      <c r="G1587" s="4">
        <f>[1]Raw_Data!G1585</f>
        <v>0.22</v>
      </c>
      <c r="H1587" s="3">
        <f>[1]Raw_Data!H1585</f>
        <v>2</v>
      </c>
      <c r="I1587" s="3" t="str">
        <f>TRIM([1]Raw_Data!I1585)</f>
        <v>Canada</v>
      </c>
      <c r="J1587" s="3" t="str">
        <f>TRIM([1]Raw_Data!J1585)</f>
        <v>Walmart</v>
      </c>
      <c r="K1587" s="3">
        <f t="shared" si="96"/>
        <v>2021</v>
      </c>
      <c r="L1587" s="6">
        <f t="shared" si="97"/>
        <v>44501</v>
      </c>
      <c r="M1587" s="3" t="str">
        <f t="shared" si="98"/>
        <v>21% to 25%</v>
      </c>
      <c r="N1587" s="3" t="str">
        <f t="shared" si="99"/>
        <v>OK</v>
      </c>
    </row>
    <row r="1588" spans="1:14" x14ac:dyDescent="0.3">
      <c r="A1588" s="2">
        <f>DATE(VALUE(RIGHT(TRIM([1]Raw_Data!A1586),4)),VALUE(MID(TRIM([1]Raw_Data!A1586),4,2)),VALUE(LEFT(TRIM([1]Raw_Data!A1586),2)))</f>
        <v>44529</v>
      </c>
      <c r="B1588" s="3" t="str">
        <f>TRIM([1]Raw_Data!B1586)</f>
        <v>Whey Protein</v>
      </c>
      <c r="C1588" s="3" t="str">
        <f>TRIM([1]Raw_Data!C1586)</f>
        <v>Protein</v>
      </c>
      <c r="D1588" s="3">
        <f>[1]Raw_Data!D1586</f>
        <v>128</v>
      </c>
      <c r="E1588" s="4">
        <f>[1]Raw_Data!E1586</f>
        <v>34.65</v>
      </c>
      <c r="F1588" s="5">
        <f>[1]Raw_Data!F1586</f>
        <v>4435.2</v>
      </c>
      <c r="G1588" s="4">
        <f>[1]Raw_Data!G1586</f>
        <v>0.21</v>
      </c>
      <c r="H1588" s="3">
        <f>[1]Raw_Data!H1586</f>
        <v>1</v>
      </c>
      <c r="I1588" s="3" t="str">
        <f>TRIM([1]Raw_Data!I1586)</f>
        <v>USA</v>
      </c>
      <c r="J1588" s="3" t="str">
        <f>TRIM([1]Raw_Data!J1586)</f>
        <v>iHerb</v>
      </c>
      <c r="K1588" s="3">
        <f t="shared" si="96"/>
        <v>2021</v>
      </c>
      <c r="L1588" s="6">
        <f t="shared" si="97"/>
        <v>44501</v>
      </c>
      <c r="M1588" s="3" t="str">
        <f t="shared" si="98"/>
        <v>21% to 25%</v>
      </c>
      <c r="N1588" s="3" t="str">
        <f t="shared" si="99"/>
        <v>OK</v>
      </c>
    </row>
    <row r="1589" spans="1:14" x14ac:dyDescent="0.3">
      <c r="A1589" s="2">
        <f>DATE(VALUE(RIGHT(TRIM([1]Raw_Data!A1587),4)),VALUE(MID(TRIM([1]Raw_Data!A1587),4,2)),VALUE(LEFT(TRIM([1]Raw_Data!A1587),2)))</f>
        <v>44529</v>
      </c>
      <c r="B1589" s="3" t="str">
        <f>TRIM([1]Raw_Data!B1587)</f>
        <v>Vitamin C</v>
      </c>
      <c r="C1589" s="3" t="str">
        <f>TRIM([1]Raw_Data!C1587)</f>
        <v>Vitamin</v>
      </c>
      <c r="D1589" s="3">
        <f>[1]Raw_Data!D1587</f>
        <v>140</v>
      </c>
      <c r="E1589" s="4">
        <f>[1]Raw_Data!E1587</f>
        <v>33.020000000000003</v>
      </c>
      <c r="F1589" s="5">
        <f>[1]Raw_Data!F1587</f>
        <v>4622.8</v>
      </c>
      <c r="G1589" s="4">
        <f>[1]Raw_Data!G1587</f>
        <v>0.01</v>
      </c>
      <c r="H1589" s="3">
        <f>[1]Raw_Data!H1587</f>
        <v>0</v>
      </c>
      <c r="I1589" s="3" t="str">
        <f>TRIM([1]Raw_Data!I1587)</f>
        <v>Canada</v>
      </c>
      <c r="J1589" s="3" t="str">
        <f>TRIM([1]Raw_Data!J1587)</f>
        <v>iHerb</v>
      </c>
      <c r="K1589" s="3">
        <f t="shared" si="96"/>
        <v>2021</v>
      </c>
      <c r="L1589" s="6">
        <f t="shared" si="97"/>
        <v>44501</v>
      </c>
      <c r="M1589" s="3" t="str">
        <f t="shared" si="98"/>
        <v>0% to 5%</v>
      </c>
      <c r="N1589" s="3" t="str">
        <f t="shared" si="99"/>
        <v>OK</v>
      </c>
    </row>
    <row r="1590" spans="1:14" x14ac:dyDescent="0.3">
      <c r="A1590" s="2">
        <f>DATE(VALUE(RIGHT(TRIM([1]Raw_Data!A1588),4)),VALUE(MID(TRIM([1]Raw_Data!A1588),4,2)),VALUE(LEFT(TRIM([1]Raw_Data!A1588),2)))</f>
        <v>44529</v>
      </c>
      <c r="B1590" s="3" t="str">
        <f>TRIM([1]Raw_Data!B1588)</f>
        <v>Fish Oil</v>
      </c>
      <c r="C1590" s="3" t="str">
        <f>TRIM([1]Raw_Data!C1588)</f>
        <v>Omega</v>
      </c>
      <c r="D1590" s="3">
        <f>[1]Raw_Data!D1588</f>
        <v>133</v>
      </c>
      <c r="E1590" s="4">
        <f>[1]Raw_Data!E1588</f>
        <v>38.36</v>
      </c>
      <c r="F1590" s="5">
        <f>[1]Raw_Data!F1588</f>
        <v>5101.88</v>
      </c>
      <c r="G1590" s="4">
        <f>[1]Raw_Data!G1588</f>
        <v>0.14000000000000001</v>
      </c>
      <c r="H1590" s="3">
        <f>[1]Raw_Data!H1588</f>
        <v>0</v>
      </c>
      <c r="I1590" s="3" t="str">
        <f>TRIM([1]Raw_Data!I1588)</f>
        <v>Canada</v>
      </c>
      <c r="J1590" s="3" t="str">
        <f>TRIM([1]Raw_Data!J1588)</f>
        <v>Amazon</v>
      </c>
      <c r="K1590" s="3">
        <f t="shared" si="96"/>
        <v>2021</v>
      </c>
      <c r="L1590" s="6">
        <f t="shared" si="97"/>
        <v>44501</v>
      </c>
      <c r="M1590" s="3" t="str">
        <f t="shared" si="98"/>
        <v>11% to 15%</v>
      </c>
      <c r="N1590" s="3" t="str">
        <f t="shared" si="99"/>
        <v>OK</v>
      </c>
    </row>
    <row r="1591" spans="1:14" x14ac:dyDescent="0.3">
      <c r="A1591" s="2">
        <f>DATE(VALUE(RIGHT(TRIM([1]Raw_Data!A1589),4)),VALUE(MID(TRIM([1]Raw_Data!A1589),4,2)),VALUE(LEFT(TRIM([1]Raw_Data!A1589),2)))</f>
        <v>44529</v>
      </c>
      <c r="B1591" s="3" t="str">
        <f>TRIM([1]Raw_Data!B1589)</f>
        <v>Multivitamin</v>
      </c>
      <c r="C1591" s="3" t="str">
        <f>TRIM([1]Raw_Data!C1589)</f>
        <v>Vitamin</v>
      </c>
      <c r="D1591" s="3">
        <f>[1]Raw_Data!D1589</f>
        <v>149</v>
      </c>
      <c r="E1591" s="4">
        <f>[1]Raw_Data!E1589</f>
        <v>29.88</v>
      </c>
      <c r="F1591" s="5">
        <f>[1]Raw_Data!F1589</f>
        <v>4452.12</v>
      </c>
      <c r="G1591" s="4">
        <f>[1]Raw_Data!G1589</f>
        <v>0.16</v>
      </c>
      <c r="H1591" s="3">
        <f>[1]Raw_Data!H1589</f>
        <v>2</v>
      </c>
      <c r="I1591" s="3" t="str">
        <f>TRIM([1]Raw_Data!I1589)</f>
        <v>UK</v>
      </c>
      <c r="J1591" s="3" t="str">
        <f>TRIM([1]Raw_Data!J1589)</f>
        <v>Walmart</v>
      </c>
      <c r="K1591" s="3">
        <f t="shared" si="96"/>
        <v>2021</v>
      </c>
      <c r="L1591" s="6">
        <f t="shared" si="97"/>
        <v>44501</v>
      </c>
      <c r="M1591" s="3" t="str">
        <f t="shared" si="98"/>
        <v>16% to 20%</v>
      </c>
      <c r="N1591" s="3" t="str">
        <f t="shared" si="99"/>
        <v>OK</v>
      </c>
    </row>
    <row r="1592" spans="1:14" x14ac:dyDescent="0.3">
      <c r="A1592" s="2">
        <f>DATE(VALUE(RIGHT(TRIM([1]Raw_Data!A1590),4)),VALUE(MID(TRIM([1]Raw_Data!A1590),4,2)),VALUE(LEFT(TRIM([1]Raw_Data!A1590),2)))</f>
        <v>44529</v>
      </c>
      <c r="B1592" s="3" t="str">
        <f>TRIM([1]Raw_Data!B1590)</f>
        <v>Pre-Workout</v>
      </c>
      <c r="C1592" s="3" t="str">
        <f>TRIM([1]Raw_Data!C1590)</f>
        <v>Performance</v>
      </c>
      <c r="D1592" s="3">
        <f>[1]Raw_Data!D1590</f>
        <v>161</v>
      </c>
      <c r="E1592" s="4">
        <f>[1]Raw_Data!E1590</f>
        <v>52.9</v>
      </c>
      <c r="F1592" s="5">
        <f>[1]Raw_Data!F1590</f>
        <v>8516.9</v>
      </c>
      <c r="G1592" s="4">
        <f>[1]Raw_Data!G1590</f>
        <v>0.1</v>
      </c>
      <c r="H1592" s="3">
        <f>[1]Raw_Data!H1590</f>
        <v>3</v>
      </c>
      <c r="I1592" s="3" t="str">
        <f>TRIM([1]Raw_Data!I1590)</f>
        <v>Canada</v>
      </c>
      <c r="J1592" s="3" t="str">
        <f>TRIM([1]Raw_Data!J1590)</f>
        <v>Amazon</v>
      </c>
      <c r="K1592" s="3">
        <f t="shared" si="96"/>
        <v>2021</v>
      </c>
      <c r="L1592" s="6">
        <f t="shared" si="97"/>
        <v>44501</v>
      </c>
      <c r="M1592" s="3" t="str">
        <f t="shared" si="98"/>
        <v>6% to 10%</v>
      </c>
      <c r="N1592" s="3" t="str">
        <f t="shared" si="99"/>
        <v>OK</v>
      </c>
    </row>
    <row r="1593" spans="1:14" x14ac:dyDescent="0.3">
      <c r="A1593" s="2">
        <f>DATE(VALUE(RIGHT(TRIM([1]Raw_Data!A1591),4)),VALUE(MID(TRIM([1]Raw_Data!A1591),4,2)),VALUE(LEFT(TRIM([1]Raw_Data!A1591),2)))</f>
        <v>44529</v>
      </c>
      <c r="B1593" s="3" t="str">
        <f>TRIM([1]Raw_Data!B1591)</f>
        <v>BCAA</v>
      </c>
      <c r="C1593" s="3" t="str">
        <f>TRIM([1]Raw_Data!C1591)</f>
        <v>Amino Acid</v>
      </c>
      <c r="D1593" s="3">
        <f>[1]Raw_Data!D1591</f>
        <v>140</v>
      </c>
      <c r="E1593" s="4">
        <f>[1]Raw_Data!E1591</f>
        <v>12.66</v>
      </c>
      <c r="F1593" s="5">
        <f>[1]Raw_Data!F1591</f>
        <v>1772.4</v>
      </c>
      <c r="G1593" s="4">
        <f>[1]Raw_Data!G1591</f>
        <v>0.2</v>
      </c>
      <c r="H1593" s="3">
        <f>[1]Raw_Data!H1591</f>
        <v>1</v>
      </c>
      <c r="I1593" s="3" t="str">
        <f>TRIM([1]Raw_Data!I1591)</f>
        <v>USA</v>
      </c>
      <c r="J1593" s="3" t="str">
        <f>TRIM([1]Raw_Data!J1591)</f>
        <v>Walmart</v>
      </c>
      <c r="K1593" s="3">
        <f t="shared" si="96"/>
        <v>2021</v>
      </c>
      <c r="L1593" s="6">
        <f t="shared" si="97"/>
        <v>44501</v>
      </c>
      <c r="M1593" s="3" t="str">
        <f t="shared" si="98"/>
        <v>16% to 20%</v>
      </c>
      <c r="N1593" s="3" t="str">
        <f t="shared" si="99"/>
        <v>OK</v>
      </c>
    </row>
    <row r="1594" spans="1:14" x14ac:dyDescent="0.3">
      <c r="A1594" s="2">
        <f>DATE(VALUE(RIGHT(TRIM([1]Raw_Data!A1592),4)),VALUE(MID(TRIM([1]Raw_Data!A1592),4,2)),VALUE(LEFT(TRIM([1]Raw_Data!A1592),2)))</f>
        <v>44529</v>
      </c>
      <c r="B1594" s="3" t="str">
        <f>TRIM([1]Raw_Data!B1592)</f>
        <v>Creatine</v>
      </c>
      <c r="C1594" s="3" t="str">
        <f>TRIM([1]Raw_Data!C1592)</f>
        <v>Performance</v>
      </c>
      <c r="D1594" s="3">
        <f>[1]Raw_Data!D1592</f>
        <v>140</v>
      </c>
      <c r="E1594" s="4">
        <f>[1]Raw_Data!E1592</f>
        <v>55.07</v>
      </c>
      <c r="F1594" s="5">
        <f>[1]Raw_Data!F1592</f>
        <v>7709.8</v>
      </c>
      <c r="G1594" s="4">
        <f>[1]Raw_Data!G1592</f>
        <v>0.21</v>
      </c>
      <c r="H1594" s="3">
        <f>[1]Raw_Data!H1592</f>
        <v>1</v>
      </c>
      <c r="I1594" s="3" t="str">
        <f>TRIM([1]Raw_Data!I1592)</f>
        <v>USA</v>
      </c>
      <c r="J1594" s="3" t="str">
        <f>TRIM([1]Raw_Data!J1592)</f>
        <v>Walmart</v>
      </c>
      <c r="K1594" s="3">
        <f t="shared" si="96"/>
        <v>2021</v>
      </c>
      <c r="L1594" s="6">
        <f t="shared" si="97"/>
        <v>44501</v>
      </c>
      <c r="M1594" s="3" t="str">
        <f t="shared" si="98"/>
        <v>21% to 25%</v>
      </c>
      <c r="N1594" s="3" t="str">
        <f t="shared" si="99"/>
        <v>OK</v>
      </c>
    </row>
    <row r="1595" spans="1:14" x14ac:dyDescent="0.3">
      <c r="A1595" s="2">
        <f>DATE(VALUE(RIGHT(TRIM([1]Raw_Data!A1593),4)),VALUE(MID(TRIM([1]Raw_Data!A1593),4,2)),VALUE(LEFT(TRIM([1]Raw_Data!A1593),2)))</f>
        <v>44529</v>
      </c>
      <c r="B1595" s="3" t="str">
        <f>TRIM([1]Raw_Data!B1593)</f>
        <v>Zinc</v>
      </c>
      <c r="C1595" s="3" t="str">
        <f>TRIM([1]Raw_Data!C1593)</f>
        <v>Mineral</v>
      </c>
      <c r="D1595" s="3">
        <f>[1]Raw_Data!D1593</f>
        <v>154</v>
      </c>
      <c r="E1595" s="4">
        <f>[1]Raw_Data!E1593</f>
        <v>29.58</v>
      </c>
      <c r="F1595" s="5">
        <f>[1]Raw_Data!F1593</f>
        <v>4555.32</v>
      </c>
      <c r="G1595" s="4">
        <f>[1]Raw_Data!G1593</f>
        <v>0.23</v>
      </c>
      <c r="H1595" s="3">
        <f>[1]Raw_Data!H1593</f>
        <v>0</v>
      </c>
      <c r="I1595" s="3" t="str">
        <f>TRIM([1]Raw_Data!I1593)</f>
        <v>UK</v>
      </c>
      <c r="J1595" s="3" t="str">
        <f>TRIM([1]Raw_Data!J1593)</f>
        <v>Walmart</v>
      </c>
      <c r="K1595" s="3">
        <f t="shared" si="96"/>
        <v>2021</v>
      </c>
      <c r="L1595" s="6">
        <f t="shared" si="97"/>
        <v>44501</v>
      </c>
      <c r="M1595" s="3" t="str">
        <f t="shared" si="98"/>
        <v>21% to 25%</v>
      </c>
      <c r="N1595" s="3" t="str">
        <f t="shared" si="99"/>
        <v>OK</v>
      </c>
    </row>
    <row r="1596" spans="1:14" x14ac:dyDescent="0.3">
      <c r="A1596" s="2">
        <f>DATE(VALUE(RIGHT(TRIM([1]Raw_Data!A1594),4)),VALUE(MID(TRIM([1]Raw_Data!A1594),4,2)),VALUE(LEFT(TRIM([1]Raw_Data!A1594),2)))</f>
        <v>44529</v>
      </c>
      <c r="B1596" s="3" t="str">
        <f>TRIM([1]Raw_Data!B1594)</f>
        <v>Collagen Peptides</v>
      </c>
      <c r="C1596" s="3" t="str">
        <f>TRIM([1]Raw_Data!C1594)</f>
        <v>Protein</v>
      </c>
      <c r="D1596" s="3">
        <f>[1]Raw_Data!D1594</f>
        <v>147</v>
      </c>
      <c r="E1596" s="4">
        <f>[1]Raw_Data!E1594</f>
        <v>34.909999999999997</v>
      </c>
      <c r="F1596" s="5">
        <f>[1]Raw_Data!F1594</f>
        <v>5131.7700000000004</v>
      </c>
      <c r="G1596" s="4">
        <f>[1]Raw_Data!G1594</f>
        <v>0.11</v>
      </c>
      <c r="H1596" s="3">
        <f>[1]Raw_Data!H1594</f>
        <v>1</v>
      </c>
      <c r="I1596" s="3" t="str">
        <f>TRIM([1]Raw_Data!I1594)</f>
        <v>UK</v>
      </c>
      <c r="J1596" s="3" t="str">
        <f>TRIM([1]Raw_Data!J1594)</f>
        <v>iHerb</v>
      </c>
      <c r="K1596" s="3">
        <f t="shared" si="96"/>
        <v>2021</v>
      </c>
      <c r="L1596" s="6">
        <f t="shared" si="97"/>
        <v>44501</v>
      </c>
      <c r="M1596" s="3" t="str">
        <f t="shared" si="98"/>
        <v>11% to 15%</v>
      </c>
      <c r="N1596" s="3" t="str">
        <f t="shared" si="99"/>
        <v>OK</v>
      </c>
    </row>
    <row r="1597" spans="1:14" x14ac:dyDescent="0.3">
      <c r="A1597" s="2">
        <f>DATE(VALUE(RIGHT(TRIM([1]Raw_Data!A1595),4)),VALUE(MID(TRIM([1]Raw_Data!A1595),4,2)),VALUE(LEFT(TRIM([1]Raw_Data!A1595),2)))</f>
        <v>44529</v>
      </c>
      <c r="B1597" s="3" t="str">
        <f>TRIM([1]Raw_Data!B1595)</f>
        <v>Magnesium</v>
      </c>
      <c r="C1597" s="3" t="str">
        <f>TRIM([1]Raw_Data!C1595)</f>
        <v>Mineral</v>
      </c>
      <c r="D1597" s="3">
        <f>[1]Raw_Data!D1595</f>
        <v>135</v>
      </c>
      <c r="E1597" s="4">
        <f>[1]Raw_Data!E1595</f>
        <v>22.12</v>
      </c>
      <c r="F1597" s="5">
        <f>[1]Raw_Data!F1595</f>
        <v>2986.2</v>
      </c>
      <c r="G1597" s="4">
        <f>[1]Raw_Data!G1595</f>
        <v>0.05</v>
      </c>
      <c r="H1597" s="3">
        <f>[1]Raw_Data!H1595</f>
        <v>0</v>
      </c>
      <c r="I1597" s="3" t="str">
        <f>TRIM([1]Raw_Data!I1595)</f>
        <v>Canada</v>
      </c>
      <c r="J1597" s="3" t="str">
        <f>TRIM([1]Raw_Data!J1595)</f>
        <v>Amazon</v>
      </c>
      <c r="K1597" s="3">
        <f t="shared" si="96"/>
        <v>2021</v>
      </c>
      <c r="L1597" s="6">
        <f t="shared" si="97"/>
        <v>44501</v>
      </c>
      <c r="M1597" s="3" t="str">
        <f t="shared" si="98"/>
        <v>0% to 5%</v>
      </c>
      <c r="N1597" s="3" t="str">
        <f t="shared" si="99"/>
        <v>OK</v>
      </c>
    </row>
    <row r="1598" spans="1:14" x14ac:dyDescent="0.3">
      <c r="A1598" s="2">
        <f>DATE(VALUE(RIGHT(TRIM([1]Raw_Data!A1596),4)),VALUE(MID(TRIM([1]Raw_Data!A1596),4,2)),VALUE(LEFT(TRIM([1]Raw_Data!A1596),2)))</f>
        <v>44529</v>
      </c>
      <c r="B1598" s="3" t="str">
        <f>TRIM([1]Raw_Data!B1596)</f>
        <v>Ashwagandha</v>
      </c>
      <c r="C1598" s="3" t="str">
        <f>TRIM([1]Raw_Data!C1596)</f>
        <v>Herbal</v>
      </c>
      <c r="D1598" s="3">
        <f>[1]Raw_Data!D1596</f>
        <v>160</v>
      </c>
      <c r="E1598" s="4">
        <f>[1]Raw_Data!E1596</f>
        <v>41.33</v>
      </c>
      <c r="F1598" s="5">
        <f>[1]Raw_Data!F1596</f>
        <v>6612.8</v>
      </c>
      <c r="G1598" s="4">
        <f>[1]Raw_Data!G1596</f>
        <v>0.18</v>
      </c>
      <c r="H1598" s="3">
        <f>[1]Raw_Data!H1596</f>
        <v>2</v>
      </c>
      <c r="I1598" s="3" t="str">
        <f>TRIM([1]Raw_Data!I1596)</f>
        <v>USA</v>
      </c>
      <c r="J1598" s="3" t="str">
        <f>TRIM([1]Raw_Data!J1596)</f>
        <v>Walmart</v>
      </c>
      <c r="K1598" s="3">
        <f t="shared" si="96"/>
        <v>2021</v>
      </c>
      <c r="L1598" s="6">
        <f t="shared" si="97"/>
        <v>44501</v>
      </c>
      <c r="M1598" s="3" t="str">
        <f t="shared" si="98"/>
        <v>16% to 20%</v>
      </c>
      <c r="N1598" s="3" t="str">
        <f t="shared" si="99"/>
        <v>OK</v>
      </c>
    </row>
    <row r="1599" spans="1:14" x14ac:dyDescent="0.3">
      <c r="A1599" s="2">
        <f>DATE(VALUE(RIGHT(TRIM([1]Raw_Data!A1597),4)),VALUE(MID(TRIM([1]Raw_Data!A1597),4,2)),VALUE(LEFT(TRIM([1]Raw_Data!A1597),2)))</f>
        <v>44529</v>
      </c>
      <c r="B1599" s="3" t="str">
        <f>TRIM([1]Raw_Data!B1597)</f>
        <v>Melatonin</v>
      </c>
      <c r="C1599" s="3" t="str">
        <f>TRIM([1]Raw_Data!C1597)</f>
        <v>Sleep Aid</v>
      </c>
      <c r="D1599" s="3">
        <f>[1]Raw_Data!D1597</f>
        <v>149</v>
      </c>
      <c r="E1599" s="4">
        <f>[1]Raw_Data!E1597</f>
        <v>28.8</v>
      </c>
      <c r="F1599" s="5">
        <f>[1]Raw_Data!F1597</f>
        <v>4291.2</v>
      </c>
      <c r="G1599" s="4">
        <f>[1]Raw_Data!G1597</f>
        <v>0.16</v>
      </c>
      <c r="H1599" s="3">
        <f>[1]Raw_Data!H1597</f>
        <v>1</v>
      </c>
      <c r="I1599" s="3" t="str">
        <f>TRIM([1]Raw_Data!I1597)</f>
        <v>UK</v>
      </c>
      <c r="J1599" s="3" t="str">
        <f>TRIM([1]Raw_Data!J1597)</f>
        <v>Amazon</v>
      </c>
      <c r="K1599" s="3">
        <f t="shared" si="96"/>
        <v>2021</v>
      </c>
      <c r="L1599" s="6">
        <f t="shared" si="97"/>
        <v>44501</v>
      </c>
      <c r="M1599" s="3" t="str">
        <f t="shared" si="98"/>
        <v>16% to 20%</v>
      </c>
      <c r="N1599" s="3" t="str">
        <f t="shared" si="99"/>
        <v>OK</v>
      </c>
    </row>
    <row r="1600" spans="1:14" x14ac:dyDescent="0.3">
      <c r="A1600" s="2">
        <f>DATE(VALUE(RIGHT(TRIM([1]Raw_Data!A1598),4)),VALUE(MID(TRIM([1]Raw_Data!A1598),4,2)),VALUE(LEFT(TRIM([1]Raw_Data!A1598),2)))</f>
        <v>44529</v>
      </c>
      <c r="B1600" s="3" t="str">
        <f>TRIM([1]Raw_Data!B1598)</f>
        <v>Biotin</v>
      </c>
      <c r="C1600" s="3" t="str">
        <f>TRIM([1]Raw_Data!C1598)</f>
        <v>Vitamin</v>
      </c>
      <c r="D1600" s="3">
        <f>[1]Raw_Data!D1598</f>
        <v>164</v>
      </c>
      <c r="E1600" s="4">
        <f>[1]Raw_Data!E1598</f>
        <v>18.53</v>
      </c>
      <c r="F1600" s="5">
        <f>[1]Raw_Data!F1598</f>
        <v>3038.92</v>
      </c>
      <c r="G1600" s="4">
        <f>[1]Raw_Data!G1598</f>
        <v>0.03</v>
      </c>
      <c r="H1600" s="3">
        <f>[1]Raw_Data!H1598</f>
        <v>2</v>
      </c>
      <c r="I1600" s="3" t="str">
        <f>TRIM([1]Raw_Data!I1598)</f>
        <v>USA</v>
      </c>
      <c r="J1600" s="3" t="str">
        <f>TRIM([1]Raw_Data!J1598)</f>
        <v>Walmart</v>
      </c>
      <c r="K1600" s="3">
        <f t="shared" si="96"/>
        <v>2021</v>
      </c>
      <c r="L1600" s="6">
        <f t="shared" si="97"/>
        <v>44501</v>
      </c>
      <c r="M1600" s="3" t="str">
        <f t="shared" si="98"/>
        <v>0% to 5%</v>
      </c>
      <c r="N1600" s="3" t="str">
        <f t="shared" si="99"/>
        <v>OK</v>
      </c>
    </row>
    <row r="1601" spans="1:14" x14ac:dyDescent="0.3">
      <c r="A1601" s="2">
        <f>DATE(VALUE(RIGHT(TRIM([1]Raw_Data!A1599),4)),VALUE(MID(TRIM([1]Raw_Data!A1599),4,2)),VALUE(LEFT(TRIM([1]Raw_Data!A1599),2)))</f>
        <v>44529</v>
      </c>
      <c r="B1601" s="3" t="str">
        <f>TRIM([1]Raw_Data!B1599)</f>
        <v>Green Tea Extract</v>
      </c>
      <c r="C1601" s="3" t="str">
        <f>TRIM([1]Raw_Data!C1599)</f>
        <v>Fat Burner</v>
      </c>
      <c r="D1601" s="3">
        <f>[1]Raw_Data!D1599</f>
        <v>143</v>
      </c>
      <c r="E1601" s="4">
        <f>[1]Raw_Data!E1599</f>
        <v>54.43</v>
      </c>
      <c r="F1601" s="5">
        <f>[1]Raw_Data!F1599</f>
        <v>7783.49</v>
      </c>
      <c r="G1601" s="4">
        <f>[1]Raw_Data!G1599</f>
        <v>0.06</v>
      </c>
      <c r="H1601" s="3">
        <f>[1]Raw_Data!H1599</f>
        <v>3</v>
      </c>
      <c r="I1601" s="3" t="str">
        <f>TRIM([1]Raw_Data!I1599)</f>
        <v>Canada</v>
      </c>
      <c r="J1601" s="3" t="str">
        <f>TRIM([1]Raw_Data!J1599)</f>
        <v>iHerb</v>
      </c>
      <c r="K1601" s="3">
        <f t="shared" si="96"/>
        <v>2021</v>
      </c>
      <c r="L1601" s="6">
        <f t="shared" si="97"/>
        <v>44501</v>
      </c>
      <c r="M1601" s="3" t="str">
        <f t="shared" si="98"/>
        <v>6% to 10%</v>
      </c>
      <c r="N1601" s="3" t="str">
        <f t="shared" si="99"/>
        <v>OK</v>
      </c>
    </row>
    <row r="1602" spans="1:14" x14ac:dyDescent="0.3">
      <c r="A1602" s="2">
        <f>DATE(VALUE(RIGHT(TRIM([1]Raw_Data!A1600),4)),VALUE(MID(TRIM([1]Raw_Data!A1600),4,2)),VALUE(LEFT(TRIM([1]Raw_Data!A1600),2)))</f>
        <v>44529</v>
      </c>
      <c r="B1602" s="3" t="str">
        <f>TRIM([1]Raw_Data!B1600)</f>
        <v>Iron Supplement</v>
      </c>
      <c r="C1602" s="3" t="str">
        <f>TRIM([1]Raw_Data!C1600)</f>
        <v>Mineral</v>
      </c>
      <c r="D1602" s="3">
        <f>[1]Raw_Data!D1600</f>
        <v>158</v>
      </c>
      <c r="E1602" s="4">
        <f>[1]Raw_Data!E1600</f>
        <v>20.07</v>
      </c>
      <c r="F1602" s="5">
        <f>[1]Raw_Data!F1600</f>
        <v>3171.06</v>
      </c>
      <c r="G1602" s="4">
        <f>[1]Raw_Data!G1600</f>
        <v>0.06</v>
      </c>
      <c r="H1602" s="3">
        <f>[1]Raw_Data!H1600</f>
        <v>1</v>
      </c>
      <c r="I1602" s="3" t="str">
        <f>TRIM([1]Raw_Data!I1600)</f>
        <v>UK</v>
      </c>
      <c r="J1602" s="3" t="str">
        <f>TRIM([1]Raw_Data!J1600)</f>
        <v>Amazon</v>
      </c>
      <c r="K1602" s="3">
        <f t="shared" si="96"/>
        <v>2021</v>
      </c>
      <c r="L1602" s="6">
        <f t="shared" si="97"/>
        <v>44501</v>
      </c>
      <c r="M1602" s="3" t="str">
        <f t="shared" si="98"/>
        <v>6% to 10%</v>
      </c>
      <c r="N1602" s="3" t="str">
        <f t="shared" si="99"/>
        <v>OK</v>
      </c>
    </row>
    <row r="1603" spans="1:14" x14ac:dyDescent="0.3">
      <c r="A1603" s="2">
        <f>DATE(VALUE(RIGHT(TRIM([1]Raw_Data!A1601),4)),VALUE(MID(TRIM([1]Raw_Data!A1601),4,2)),VALUE(LEFT(TRIM([1]Raw_Data!A1601),2)))</f>
        <v>44529</v>
      </c>
      <c r="B1603" s="3" t="str">
        <f>TRIM([1]Raw_Data!B1601)</f>
        <v>Electrolyte Powder</v>
      </c>
      <c r="C1603" s="3" t="str">
        <f>TRIM([1]Raw_Data!C1601)</f>
        <v>Hydration</v>
      </c>
      <c r="D1603" s="3">
        <f>[1]Raw_Data!D1601</f>
        <v>137</v>
      </c>
      <c r="E1603" s="4">
        <f>[1]Raw_Data!E1601</f>
        <v>26.07</v>
      </c>
      <c r="F1603" s="5">
        <f>[1]Raw_Data!F1601</f>
        <v>3571.59</v>
      </c>
      <c r="G1603" s="4">
        <f>[1]Raw_Data!G1601</f>
        <v>0.04</v>
      </c>
      <c r="H1603" s="3">
        <f>[1]Raw_Data!H1601</f>
        <v>0</v>
      </c>
      <c r="I1603" s="3" t="str">
        <f>TRIM([1]Raw_Data!I1601)</f>
        <v>Canada</v>
      </c>
      <c r="J1603" s="3" t="str">
        <f>TRIM([1]Raw_Data!J1601)</f>
        <v>Walmart</v>
      </c>
      <c r="K1603" s="3">
        <f t="shared" si="96"/>
        <v>2021</v>
      </c>
      <c r="L1603" s="6">
        <f t="shared" si="97"/>
        <v>44501</v>
      </c>
      <c r="M1603" s="3" t="str">
        <f t="shared" si="98"/>
        <v>0% to 5%</v>
      </c>
      <c r="N1603" s="3" t="str">
        <f t="shared" si="99"/>
        <v>OK</v>
      </c>
    </row>
    <row r="1604" spans="1:14" x14ac:dyDescent="0.3">
      <c r="A1604" s="2">
        <f>DATE(VALUE(RIGHT(TRIM([1]Raw_Data!A1602),4)),VALUE(MID(TRIM([1]Raw_Data!A1602),4,2)),VALUE(LEFT(TRIM([1]Raw_Data!A1602),2)))</f>
        <v>44536</v>
      </c>
      <c r="B1604" s="3" t="str">
        <f>TRIM([1]Raw_Data!B1602)</f>
        <v>Whey Protein</v>
      </c>
      <c r="C1604" s="3" t="str">
        <f>TRIM([1]Raw_Data!C1602)</f>
        <v>Protein</v>
      </c>
      <c r="D1604" s="3">
        <f>[1]Raw_Data!D1602</f>
        <v>161</v>
      </c>
      <c r="E1604" s="4">
        <f>[1]Raw_Data!E1602</f>
        <v>11.42</v>
      </c>
      <c r="F1604" s="5">
        <f>[1]Raw_Data!F1602</f>
        <v>1838.62</v>
      </c>
      <c r="G1604" s="4">
        <f>[1]Raw_Data!G1602</f>
        <v>0.16</v>
      </c>
      <c r="H1604" s="3">
        <f>[1]Raw_Data!H1602</f>
        <v>4</v>
      </c>
      <c r="I1604" s="3" t="str">
        <f>TRIM([1]Raw_Data!I1602)</f>
        <v>Canada</v>
      </c>
      <c r="J1604" s="3" t="str">
        <f>TRIM([1]Raw_Data!J1602)</f>
        <v>Amazon</v>
      </c>
      <c r="K1604" s="3">
        <f t="shared" ref="K1604:K1667" si="100">YEAR(A1604)</f>
        <v>2021</v>
      </c>
      <c r="L1604" s="6">
        <f t="shared" ref="L1604:L1667" si="101">DATE(YEAR(A1604),MONTH(A1604),1)</f>
        <v>44531</v>
      </c>
      <c r="M1604" s="3" t="str">
        <f t="shared" ref="M1604:M1667" si="102">IF(ROUND(G1604*100,0)&lt;=5,"0% to 5%",IF(ROUND(G1604*100,0)&lt;=10,"6% to 10%",IF(ROUND(G1604*100,0)&lt;=15,"11% to 15%",IF(ROUND(G1604*100,0)&lt;=20,"16% to 20%","21% to 25%"))))</f>
        <v>16% to 20%</v>
      </c>
      <c r="N1604" s="3" t="str">
        <f t="shared" ref="N1604:N1667" si="103">IF(ROUND(D1604*E1604,2)=ROUND(F1604,2),"OK","Check")</f>
        <v>OK</v>
      </c>
    </row>
    <row r="1605" spans="1:14" x14ac:dyDescent="0.3">
      <c r="A1605" s="2">
        <f>DATE(VALUE(RIGHT(TRIM([1]Raw_Data!A1603),4)),VALUE(MID(TRIM([1]Raw_Data!A1603),4,2)),VALUE(LEFT(TRIM([1]Raw_Data!A1603),2)))</f>
        <v>44536</v>
      </c>
      <c r="B1605" s="3" t="str">
        <f>TRIM([1]Raw_Data!B1603)</f>
        <v>Vitamin C</v>
      </c>
      <c r="C1605" s="3" t="str">
        <f>TRIM([1]Raw_Data!C1603)</f>
        <v>Vitamin</v>
      </c>
      <c r="D1605" s="3">
        <f>[1]Raw_Data!D1603</f>
        <v>144</v>
      </c>
      <c r="E1605" s="4">
        <f>[1]Raw_Data!E1603</f>
        <v>38.520000000000003</v>
      </c>
      <c r="F1605" s="5">
        <f>[1]Raw_Data!F1603</f>
        <v>5546.88</v>
      </c>
      <c r="G1605" s="4">
        <f>[1]Raw_Data!G1603</f>
        <v>0.23</v>
      </c>
      <c r="H1605" s="3">
        <f>[1]Raw_Data!H1603</f>
        <v>2</v>
      </c>
      <c r="I1605" s="3" t="str">
        <f>TRIM([1]Raw_Data!I1603)</f>
        <v>UK</v>
      </c>
      <c r="J1605" s="3" t="str">
        <f>TRIM([1]Raw_Data!J1603)</f>
        <v>iHerb</v>
      </c>
      <c r="K1605" s="3">
        <f t="shared" si="100"/>
        <v>2021</v>
      </c>
      <c r="L1605" s="6">
        <f t="shared" si="101"/>
        <v>44531</v>
      </c>
      <c r="M1605" s="3" t="str">
        <f t="shared" si="102"/>
        <v>21% to 25%</v>
      </c>
      <c r="N1605" s="3" t="str">
        <f t="shared" si="103"/>
        <v>OK</v>
      </c>
    </row>
    <row r="1606" spans="1:14" x14ac:dyDescent="0.3">
      <c r="A1606" s="2">
        <f>DATE(VALUE(RIGHT(TRIM([1]Raw_Data!A1604),4)),VALUE(MID(TRIM([1]Raw_Data!A1604),4,2)),VALUE(LEFT(TRIM([1]Raw_Data!A1604),2)))</f>
        <v>44536</v>
      </c>
      <c r="B1606" s="3" t="str">
        <f>TRIM([1]Raw_Data!B1604)</f>
        <v>Fish Oil</v>
      </c>
      <c r="C1606" s="3" t="str">
        <f>TRIM([1]Raw_Data!C1604)</f>
        <v>Omega</v>
      </c>
      <c r="D1606" s="3">
        <f>[1]Raw_Data!D1604</f>
        <v>154</v>
      </c>
      <c r="E1606" s="4">
        <f>[1]Raw_Data!E1604</f>
        <v>37.090000000000003</v>
      </c>
      <c r="F1606" s="5">
        <f>[1]Raw_Data!F1604</f>
        <v>5711.86</v>
      </c>
      <c r="G1606" s="4">
        <f>[1]Raw_Data!G1604</f>
        <v>0.02</v>
      </c>
      <c r="H1606" s="3">
        <f>[1]Raw_Data!H1604</f>
        <v>2</v>
      </c>
      <c r="I1606" s="3" t="str">
        <f>TRIM([1]Raw_Data!I1604)</f>
        <v>Canada</v>
      </c>
      <c r="J1606" s="3" t="str">
        <f>TRIM([1]Raw_Data!J1604)</f>
        <v>Amazon</v>
      </c>
      <c r="K1606" s="3">
        <f t="shared" si="100"/>
        <v>2021</v>
      </c>
      <c r="L1606" s="6">
        <f t="shared" si="101"/>
        <v>44531</v>
      </c>
      <c r="M1606" s="3" t="str">
        <f t="shared" si="102"/>
        <v>0% to 5%</v>
      </c>
      <c r="N1606" s="3" t="str">
        <f t="shared" si="103"/>
        <v>OK</v>
      </c>
    </row>
    <row r="1607" spans="1:14" x14ac:dyDescent="0.3">
      <c r="A1607" s="2">
        <f>DATE(VALUE(RIGHT(TRIM([1]Raw_Data!A1605),4)),VALUE(MID(TRIM([1]Raw_Data!A1605),4,2)),VALUE(LEFT(TRIM([1]Raw_Data!A1605),2)))</f>
        <v>44536</v>
      </c>
      <c r="B1607" s="3" t="str">
        <f>TRIM([1]Raw_Data!B1605)</f>
        <v>Multivitamin</v>
      </c>
      <c r="C1607" s="3" t="str">
        <f>TRIM([1]Raw_Data!C1605)</f>
        <v>Vitamin</v>
      </c>
      <c r="D1607" s="3">
        <f>[1]Raw_Data!D1605</f>
        <v>141</v>
      </c>
      <c r="E1607" s="4">
        <f>[1]Raw_Data!E1605</f>
        <v>37.28</v>
      </c>
      <c r="F1607" s="5">
        <f>[1]Raw_Data!F1605</f>
        <v>5256.48</v>
      </c>
      <c r="G1607" s="4">
        <f>[1]Raw_Data!G1605</f>
        <v>0.18</v>
      </c>
      <c r="H1607" s="3">
        <f>[1]Raw_Data!H1605</f>
        <v>2</v>
      </c>
      <c r="I1607" s="3" t="str">
        <f>TRIM([1]Raw_Data!I1605)</f>
        <v>UK</v>
      </c>
      <c r="J1607" s="3" t="str">
        <f>TRIM([1]Raw_Data!J1605)</f>
        <v>Amazon</v>
      </c>
      <c r="K1607" s="3">
        <f t="shared" si="100"/>
        <v>2021</v>
      </c>
      <c r="L1607" s="6">
        <f t="shared" si="101"/>
        <v>44531</v>
      </c>
      <c r="M1607" s="3" t="str">
        <f t="shared" si="102"/>
        <v>16% to 20%</v>
      </c>
      <c r="N1607" s="3" t="str">
        <f t="shared" si="103"/>
        <v>OK</v>
      </c>
    </row>
    <row r="1608" spans="1:14" x14ac:dyDescent="0.3">
      <c r="A1608" s="2">
        <f>DATE(VALUE(RIGHT(TRIM([1]Raw_Data!A1606),4)),VALUE(MID(TRIM([1]Raw_Data!A1606),4,2)),VALUE(LEFT(TRIM([1]Raw_Data!A1606),2)))</f>
        <v>44536</v>
      </c>
      <c r="B1608" s="3" t="str">
        <f>TRIM([1]Raw_Data!B1606)</f>
        <v>Pre-Workout</v>
      </c>
      <c r="C1608" s="3" t="str">
        <f>TRIM([1]Raw_Data!C1606)</f>
        <v>Performance</v>
      </c>
      <c r="D1608" s="3">
        <f>[1]Raw_Data!D1606</f>
        <v>138</v>
      </c>
      <c r="E1608" s="4">
        <f>[1]Raw_Data!E1606</f>
        <v>35.630000000000003</v>
      </c>
      <c r="F1608" s="5">
        <f>[1]Raw_Data!F1606</f>
        <v>4916.9399999999996</v>
      </c>
      <c r="G1608" s="4">
        <f>[1]Raw_Data!G1606</f>
        <v>0.08</v>
      </c>
      <c r="H1608" s="3">
        <f>[1]Raw_Data!H1606</f>
        <v>3</v>
      </c>
      <c r="I1608" s="3" t="str">
        <f>TRIM([1]Raw_Data!I1606)</f>
        <v>UK</v>
      </c>
      <c r="J1608" s="3" t="str">
        <f>TRIM([1]Raw_Data!J1606)</f>
        <v>Walmart</v>
      </c>
      <c r="K1608" s="3">
        <f t="shared" si="100"/>
        <v>2021</v>
      </c>
      <c r="L1608" s="6">
        <f t="shared" si="101"/>
        <v>44531</v>
      </c>
      <c r="M1608" s="3" t="str">
        <f t="shared" si="102"/>
        <v>6% to 10%</v>
      </c>
      <c r="N1608" s="3" t="str">
        <f t="shared" si="103"/>
        <v>OK</v>
      </c>
    </row>
    <row r="1609" spans="1:14" x14ac:dyDescent="0.3">
      <c r="A1609" s="2">
        <f>DATE(VALUE(RIGHT(TRIM([1]Raw_Data!A1607),4)),VALUE(MID(TRIM([1]Raw_Data!A1607),4,2)),VALUE(LEFT(TRIM([1]Raw_Data!A1607),2)))</f>
        <v>44536</v>
      </c>
      <c r="B1609" s="3" t="str">
        <f>TRIM([1]Raw_Data!B1607)</f>
        <v>BCAA</v>
      </c>
      <c r="C1609" s="3" t="str">
        <f>TRIM([1]Raw_Data!C1607)</f>
        <v>Amino Acid</v>
      </c>
      <c r="D1609" s="3">
        <f>[1]Raw_Data!D1607</f>
        <v>149</v>
      </c>
      <c r="E1609" s="4">
        <f>[1]Raw_Data!E1607</f>
        <v>39.03</v>
      </c>
      <c r="F1609" s="5">
        <f>[1]Raw_Data!F1607</f>
        <v>5815.47</v>
      </c>
      <c r="G1609" s="4">
        <f>[1]Raw_Data!G1607</f>
        <v>0.19</v>
      </c>
      <c r="H1609" s="3">
        <f>[1]Raw_Data!H1607</f>
        <v>1</v>
      </c>
      <c r="I1609" s="3" t="str">
        <f>TRIM([1]Raw_Data!I1607)</f>
        <v>UK</v>
      </c>
      <c r="J1609" s="3" t="str">
        <f>TRIM([1]Raw_Data!J1607)</f>
        <v>iHerb</v>
      </c>
      <c r="K1609" s="3">
        <f t="shared" si="100"/>
        <v>2021</v>
      </c>
      <c r="L1609" s="6">
        <f t="shared" si="101"/>
        <v>44531</v>
      </c>
      <c r="M1609" s="3" t="str">
        <f t="shared" si="102"/>
        <v>16% to 20%</v>
      </c>
      <c r="N1609" s="3" t="str">
        <f t="shared" si="103"/>
        <v>OK</v>
      </c>
    </row>
    <row r="1610" spans="1:14" x14ac:dyDescent="0.3">
      <c r="A1610" s="2">
        <f>DATE(VALUE(RIGHT(TRIM([1]Raw_Data!A1608),4)),VALUE(MID(TRIM([1]Raw_Data!A1608),4,2)),VALUE(LEFT(TRIM([1]Raw_Data!A1608),2)))</f>
        <v>44536</v>
      </c>
      <c r="B1610" s="3" t="str">
        <f>TRIM([1]Raw_Data!B1608)</f>
        <v>Creatine</v>
      </c>
      <c r="C1610" s="3" t="str">
        <f>TRIM([1]Raw_Data!C1608)</f>
        <v>Performance</v>
      </c>
      <c r="D1610" s="3">
        <f>[1]Raw_Data!D1608</f>
        <v>163</v>
      </c>
      <c r="E1610" s="4">
        <f>[1]Raw_Data!E1608</f>
        <v>37.299999999999997</v>
      </c>
      <c r="F1610" s="5">
        <f>[1]Raw_Data!F1608</f>
        <v>6079.9</v>
      </c>
      <c r="G1610" s="4">
        <f>[1]Raw_Data!G1608</f>
        <v>0.05</v>
      </c>
      <c r="H1610" s="3">
        <f>[1]Raw_Data!H1608</f>
        <v>1</v>
      </c>
      <c r="I1610" s="3" t="str">
        <f>TRIM([1]Raw_Data!I1608)</f>
        <v>USA</v>
      </c>
      <c r="J1610" s="3" t="str">
        <f>TRIM([1]Raw_Data!J1608)</f>
        <v>Amazon</v>
      </c>
      <c r="K1610" s="3">
        <f t="shared" si="100"/>
        <v>2021</v>
      </c>
      <c r="L1610" s="6">
        <f t="shared" si="101"/>
        <v>44531</v>
      </c>
      <c r="M1610" s="3" t="str">
        <f t="shared" si="102"/>
        <v>0% to 5%</v>
      </c>
      <c r="N1610" s="3" t="str">
        <f t="shared" si="103"/>
        <v>OK</v>
      </c>
    </row>
    <row r="1611" spans="1:14" x14ac:dyDescent="0.3">
      <c r="A1611" s="2">
        <f>DATE(VALUE(RIGHT(TRIM([1]Raw_Data!A1609),4)),VALUE(MID(TRIM([1]Raw_Data!A1609),4,2)),VALUE(LEFT(TRIM([1]Raw_Data!A1609),2)))</f>
        <v>44536</v>
      </c>
      <c r="B1611" s="3" t="str">
        <f>TRIM([1]Raw_Data!B1609)</f>
        <v>Zinc</v>
      </c>
      <c r="C1611" s="3" t="str">
        <f>TRIM([1]Raw_Data!C1609)</f>
        <v>Mineral</v>
      </c>
      <c r="D1611" s="3">
        <f>[1]Raw_Data!D1609</f>
        <v>143</v>
      </c>
      <c r="E1611" s="4">
        <f>[1]Raw_Data!E1609</f>
        <v>58.35</v>
      </c>
      <c r="F1611" s="5">
        <f>[1]Raw_Data!F1609</f>
        <v>8344.0499999999993</v>
      </c>
      <c r="G1611" s="4">
        <f>[1]Raw_Data!G1609</f>
        <v>0.04</v>
      </c>
      <c r="H1611" s="3">
        <f>[1]Raw_Data!H1609</f>
        <v>2</v>
      </c>
      <c r="I1611" s="3" t="str">
        <f>TRIM([1]Raw_Data!I1609)</f>
        <v>UK</v>
      </c>
      <c r="J1611" s="3" t="str">
        <f>TRIM([1]Raw_Data!J1609)</f>
        <v>Amazon</v>
      </c>
      <c r="K1611" s="3">
        <f t="shared" si="100"/>
        <v>2021</v>
      </c>
      <c r="L1611" s="6">
        <f t="shared" si="101"/>
        <v>44531</v>
      </c>
      <c r="M1611" s="3" t="str">
        <f t="shared" si="102"/>
        <v>0% to 5%</v>
      </c>
      <c r="N1611" s="3" t="str">
        <f t="shared" si="103"/>
        <v>OK</v>
      </c>
    </row>
    <row r="1612" spans="1:14" x14ac:dyDescent="0.3">
      <c r="A1612" s="2">
        <f>DATE(VALUE(RIGHT(TRIM([1]Raw_Data!A1610),4)),VALUE(MID(TRIM([1]Raw_Data!A1610),4,2)),VALUE(LEFT(TRIM([1]Raw_Data!A1610),2)))</f>
        <v>44536</v>
      </c>
      <c r="B1612" s="3" t="str">
        <f>TRIM([1]Raw_Data!B1610)</f>
        <v>Collagen Peptides</v>
      </c>
      <c r="C1612" s="3" t="str">
        <f>TRIM([1]Raw_Data!C1610)</f>
        <v>Protein</v>
      </c>
      <c r="D1612" s="3">
        <f>[1]Raw_Data!D1610</f>
        <v>157</v>
      </c>
      <c r="E1612" s="4">
        <f>[1]Raw_Data!E1610</f>
        <v>12.02</v>
      </c>
      <c r="F1612" s="5">
        <f>[1]Raw_Data!F1610</f>
        <v>1887.14</v>
      </c>
      <c r="G1612" s="4">
        <f>[1]Raw_Data!G1610</f>
        <v>0.1</v>
      </c>
      <c r="H1612" s="3">
        <f>[1]Raw_Data!H1610</f>
        <v>4</v>
      </c>
      <c r="I1612" s="3" t="str">
        <f>TRIM([1]Raw_Data!I1610)</f>
        <v>UK</v>
      </c>
      <c r="J1612" s="3" t="str">
        <f>TRIM([1]Raw_Data!J1610)</f>
        <v>Amazon</v>
      </c>
      <c r="K1612" s="3">
        <f t="shared" si="100"/>
        <v>2021</v>
      </c>
      <c r="L1612" s="6">
        <f t="shared" si="101"/>
        <v>44531</v>
      </c>
      <c r="M1612" s="3" t="str">
        <f t="shared" si="102"/>
        <v>6% to 10%</v>
      </c>
      <c r="N1612" s="3" t="str">
        <f t="shared" si="103"/>
        <v>OK</v>
      </c>
    </row>
    <row r="1613" spans="1:14" x14ac:dyDescent="0.3">
      <c r="A1613" s="2">
        <f>DATE(VALUE(RIGHT(TRIM([1]Raw_Data!A1611),4)),VALUE(MID(TRIM([1]Raw_Data!A1611),4,2)),VALUE(LEFT(TRIM([1]Raw_Data!A1611),2)))</f>
        <v>44536</v>
      </c>
      <c r="B1613" s="3" t="str">
        <f>TRIM([1]Raw_Data!B1611)</f>
        <v>Magnesium</v>
      </c>
      <c r="C1613" s="3" t="str">
        <f>TRIM([1]Raw_Data!C1611)</f>
        <v>Mineral</v>
      </c>
      <c r="D1613" s="3">
        <f>[1]Raw_Data!D1611</f>
        <v>150</v>
      </c>
      <c r="E1613" s="4">
        <f>[1]Raw_Data!E1611</f>
        <v>14.2</v>
      </c>
      <c r="F1613" s="5">
        <f>[1]Raw_Data!F1611</f>
        <v>2130</v>
      </c>
      <c r="G1613" s="4">
        <f>[1]Raw_Data!G1611</f>
        <v>0.17</v>
      </c>
      <c r="H1613" s="3">
        <f>[1]Raw_Data!H1611</f>
        <v>2</v>
      </c>
      <c r="I1613" s="3" t="str">
        <f>TRIM([1]Raw_Data!I1611)</f>
        <v>Canada</v>
      </c>
      <c r="J1613" s="3" t="str">
        <f>TRIM([1]Raw_Data!J1611)</f>
        <v>Amazon</v>
      </c>
      <c r="K1613" s="3">
        <f t="shared" si="100"/>
        <v>2021</v>
      </c>
      <c r="L1613" s="6">
        <f t="shared" si="101"/>
        <v>44531</v>
      </c>
      <c r="M1613" s="3" t="str">
        <f t="shared" si="102"/>
        <v>16% to 20%</v>
      </c>
      <c r="N1613" s="3" t="str">
        <f t="shared" si="103"/>
        <v>OK</v>
      </c>
    </row>
    <row r="1614" spans="1:14" x14ac:dyDescent="0.3">
      <c r="A1614" s="2">
        <f>DATE(VALUE(RIGHT(TRIM([1]Raw_Data!A1612),4)),VALUE(MID(TRIM([1]Raw_Data!A1612),4,2)),VALUE(LEFT(TRIM([1]Raw_Data!A1612),2)))</f>
        <v>44536</v>
      </c>
      <c r="B1614" s="3" t="str">
        <f>TRIM([1]Raw_Data!B1612)</f>
        <v>Ashwagandha</v>
      </c>
      <c r="C1614" s="3" t="str">
        <f>TRIM([1]Raw_Data!C1612)</f>
        <v>Herbal</v>
      </c>
      <c r="D1614" s="3">
        <f>[1]Raw_Data!D1612</f>
        <v>163</v>
      </c>
      <c r="E1614" s="4">
        <f>[1]Raw_Data!E1612</f>
        <v>33.549999999999997</v>
      </c>
      <c r="F1614" s="5">
        <f>[1]Raw_Data!F1612</f>
        <v>5468.65</v>
      </c>
      <c r="G1614" s="4">
        <f>[1]Raw_Data!G1612</f>
        <v>0.1</v>
      </c>
      <c r="H1614" s="3">
        <f>[1]Raw_Data!H1612</f>
        <v>1</v>
      </c>
      <c r="I1614" s="3" t="str">
        <f>TRIM([1]Raw_Data!I1612)</f>
        <v>USA</v>
      </c>
      <c r="J1614" s="3" t="str">
        <f>TRIM([1]Raw_Data!J1612)</f>
        <v>Walmart</v>
      </c>
      <c r="K1614" s="3">
        <f t="shared" si="100"/>
        <v>2021</v>
      </c>
      <c r="L1614" s="6">
        <f t="shared" si="101"/>
        <v>44531</v>
      </c>
      <c r="M1614" s="3" t="str">
        <f t="shared" si="102"/>
        <v>6% to 10%</v>
      </c>
      <c r="N1614" s="3" t="str">
        <f t="shared" si="103"/>
        <v>OK</v>
      </c>
    </row>
    <row r="1615" spans="1:14" x14ac:dyDescent="0.3">
      <c r="A1615" s="2">
        <f>DATE(VALUE(RIGHT(TRIM([1]Raw_Data!A1613),4)),VALUE(MID(TRIM([1]Raw_Data!A1613),4,2)),VALUE(LEFT(TRIM([1]Raw_Data!A1613),2)))</f>
        <v>44536</v>
      </c>
      <c r="B1615" s="3" t="str">
        <f>TRIM([1]Raw_Data!B1613)</f>
        <v>Melatonin</v>
      </c>
      <c r="C1615" s="3" t="str">
        <f>TRIM([1]Raw_Data!C1613)</f>
        <v>Sleep Aid</v>
      </c>
      <c r="D1615" s="3">
        <f>[1]Raw_Data!D1613</f>
        <v>148</v>
      </c>
      <c r="E1615" s="4">
        <f>[1]Raw_Data!E1613</f>
        <v>31.62</v>
      </c>
      <c r="F1615" s="5">
        <f>[1]Raw_Data!F1613</f>
        <v>4679.76</v>
      </c>
      <c r="G1615" s="4">
        <f>[1]Raw_Data!G1613</f>
        <v>0.24</v>
      </c>
      <c r="H1615" s="3">
        <f>[1]Raw_Data!H1613</f>
        <v>0</v>
      </c>
      <c r="I1615" s="3" t="str">
        <f>TRIM([1]Raw_Data!I1613)</f>
        <v>UK</v>
      </c>
      <c r="J1615" s="3" t="str">
        <f>TRIM([1]Raw_Data!J1613)</f>
        <v>iHerb</v>
      </c>
      <c r="K1615" s="3">
        <f t="shared" si="100"/>
        <v>2021</v>
      </c>
      <c r="L1615" s="6">
        <f t="shared" si="101"/>
        <v>44531</v>
      </c>
      <c r="M1615" s="3" t="str">
        <f t="shared" si="102"/>
        <v>21% to 25%</v>
      </c>
      <c r="N1615" s="3" t="str">
        <f t="shared" si="103"/>
        <v>OK</v>
      </c>
    </row>
    <row r="1616" spans="1:14" x14ac:dyDescent="0.3">
      <c r="A1616" s="2">
        <f>DATE(VALUE(RIGHT(TRIM([1]Raw_Data!A1614),4)),VALUE(MID(TRIM([1]Raw_Data!A1614),4,2)),VALUE(LEFT(TRIM([1]Raw_Data!A1614),2)))</f>
        <v>44536</v>
      </c>
      <c r="B1616" s="3" t="str">
        <f>TRIM([1]Raw_Data!B1614)</f>
        <v>Biotin</v>
      </c>
      <c r="C1616" s="3" t="str">
        <f>TRIM([1]Raw_Data!C1614)</f>
        <v>Vitamin</v>
      </c>
      <c r="D1616" s="3">
        <f>[1]Raw_Data!D1614</f>
        <v>171</v>
      </c>
      <c r="E1616" s="4">
        <f>[1]Raw_Data!E1614</f>
        <v>41.19</v>
      </c>
      <c r="F1616" s="5">
        <f>[1]Raw_Data!F1614</f>
        <v>7043.49</v>
      </c>
      <c r="G1616" s="4">
        <f>[1]Raw_Data!G1614</f>
        <v>0.21</v>
      </c>
      <c r="H1616" s="3">
        <f>[1]Raw_Data!H1614</f>
        <v>1</v>
      </c>
      <c r="I1616" s="3" t="str">
        <f>TRIM([1]Raw_Data!I1614)</f>
        <v>UK</v>
      </c>
      <c r="J1616" s="3" t="str">
        <f>TRIM([1]Raw_Data!J1614)</f>
        <v>iHerb</v>
      </c>
      <c r="K1616" s="3">
        <f t="shared" si="100"/>
        <v>2021</v>
      </c>
      <c r="L1616" s="6">
        <f t="shared" si="101"/>
        <v>44531</v>
      </c>
      <c r="M1616" s="3" t="str">
        <f t="shared" si="102"/>
        <v>21% to 25%</v>
      </c>
      <c r="N1616" s="3" t="str">
        <f t="shared" si="103"/>
        <v>OK</v>
      </c>
    </row>
    <row r="1617" spans="1:14" x14ac:dyDescent="0.3">
      <c r="A1617" s="2">
        <f>DATE(VALUE(RIGHT(TRIM([1]Raw_Data!A1615),4)),VALUE(MID(TRIM([1]Raw_Data!A1615),4,2)),VALUE(LEFT(TRIM([1]Raw_Data!A1615),2)))</f>
        <v>44536</v>
      </c>
      <c r="B1617" s="3" t="str">
        <f>TRIM([1]Raw_Data!B1615)</f>
        <v>Green Tea Extract</v>
      </c>
      <c r="C1617" s="3" t="str">
        <f>TRIM([1]Raw_Data!C1615)</f>
        <v>Fat Burner</v>
      </c>
      <c r="D1617" s="3">
        <f>[1]Raw_Data!D1615</f>
        <v>147</v>
      </c>
      <c r="E1617" s="4">
        <f>[1]Raw_Data!E1615</f>
        <v>28.74</v>
      </c>
      <c r="F1617" s="5">
        <f>[1]Raw_Data!F1615</f>
        <v>4224.78</v>
      </c>
      <c r="G1617" s="4">
        <f>[1]Raw_Data!G1615</f>
        <v>0.23</v>
      </c>
      <c r="H1617" s="3">
        <f>[1]Raw_Data!H1615</f>
        <v>3</v>
      </c>
      <c r="I1617" s="3" t="str">
        <f>TRIM([1]Raw_Data!I1615)</f>
        <v>UK</v>
      </c>
      <c r="J1617" s="3" t="str">
        <f>TRIM([1]Raw_Data!J1615)</f>
        <v>Walmart</v>
      </c>
      <c r="K1617" s="3">
        <f t="shared" si="100"/>
        <v>2021</v>
      </c>
      <c r="L1617" s="6">
        <f t="shared" si="101"/>
        <v>44531</v>
      </c>
      <c r="M1617" s="3" t="str">
        <f t="shared" si="102"/>
        <v>21% to 25%</v>
      </c>
      <c r="N1617" s="3" t="str">
        <f t="shared" si="103"/>
        <v>OK</v>
      </c>
    </row>
    <row r="1618" spans="1:14" x14ac:dyDescent="0.3">
      <c r="A1618" s="2">
        <f>DATE(VALUE(RIGHT(TRIM([1]Raw_Data!A1616),4)),VALUE(MID(TRIM([1]Raw_Data!A1616),4,2)),VALUE(LEFT(TRIM([1]Raw_Data!A1616),2)))</f>
        <v>44536</v>
      </c>
      <c r="B1618" s="3" t="str">
        <f>TRIM([1]Raw_Data!B1616)</f>
        <v>Iron Supplement</v>
      </c>
      <c r="C1618" s="3" t="str">
        <f>TRIM([1]Raw_Data!C1616)</f>
        <v>Mineral</v>
      </c>
      <c r="D1618" s="3">
        <f>[1]Raw_Data!D1616</f>
        <v>132</v>
      </c>
      <c r="E1618" s="4">
        <f>[1]Raw_Data!E1616</f>
        <v>31.39</v>
      </c>
      <c r="F1618" s="5">
        <f>[1]Raw_Data!F1616</f>
        <v>4143.4799999999996</v>
      </c>
      <c r="G1618" s="4">
        <f>[1]Raw_Data!G1616</f>
        <v>0.02</v>
      </c>
      <c r="H1618" s="3">
        <f>[1]Raw_Data!H1616</f>
        <v>1</v>
      </c>
      <c r="I1618" s="3" t="str">
        <f>TRIM([1]Raw_Data!I1616)</f>
        <v>USA</v>
      </c>
      <c r="J1618" s="3" t="str">
        <f>TRIM([1]Raw_Data!J1616)</f>
        <v>iHerb</v>
      </c>
      <c r="K1618" s="3">
        <f t="shared" si="100"/>
        <v>2021</v>
      </c>
      <c r="L1618" s="6">
        <f t="shared" si="101"/>
        <v>44531</v>
      </c>
      <c r="M1618" s="3" t="str">
        <f t="shared" si="102"/>
        <v>0% to 5%</v>
      </c>
      <c r="N1618" s="3" t="str">
        <f t="shared" si="103"/>
        <v>OK</v>
      </c>
    </row>
    <row r="1619" spans="1:14" x14ac:dyDescent="0.3">
      <c r="A1619" s="2">
        <f>DATE(VALUE(RIGHT(TRIM([1]Raw_Data!A1617),4)),VALUE(MID(TRIM([1]Raw_Data!A1617),4,2)),VALUE(LEFT(TRIM([1]Raw_Data!A1617),2)))</f>
        <v>44536</v>
      </c>
      <c r="B1619" s="3" t="str">
        <f>TRIM([1]Raw_Data!B1617)</f>
        <v>Electrolyte Powder</v>
      </c>
      <c r="C1619" s="3" t="str">
        <f>TRIM([1]Raw_Data!C1617)</f>
        <v>Hydration</v>
      </c>
      <c r="D1619" s="3">
        <f>[1]Raw_Data!D1617</f>
        <v>135</v>
      </c>
      <c r="E1619" s="4">
        <f>[1]Raw_Data!E1617</f>
        <v>10.36</v>
      </c>
      <c r="F1619" s="5">
        <f>[1]Raw_Data!F1617</f>
        <v>1398.6</v>
      </c>
      <c r="G1619" s="4">
        <f>[1]Raw_Data!G1617</f>
        <v>0.08</v>
      </c>
      <c r="H1619" s="3">
        <f>[1]Raw_Data!H1617</f>
        <v>2</v>
      </c>
      <c r="I1619" s="3" t="str">
        <f>TRIM([1]Raw_Data!I1617)</f>
        <v>Canada</v>
      </c>
      <c r="J1619" s="3" t="str">
        <f>TRIM([1]Raw_Data!J1617)</f>
        <v>iHerb</v>
      </c>
      <c r="K1619" s="3">
        <f t="shared" si="100"/>
        <v>2021</v>
      </c>
      <c r="L1619" s="6">
        <f t="shared" si="101"/>
        <v>44531</v>
      </c>
      <c r="M1619" s="3" t="str">
        <f t="shared" si="102"/>
        <v>6% to 10%</v>
      </c>
      <c r="N1619" s="3" t="str">
        <f t="shared" si="103"/>
        <v>OK</v>
      </c>
    </row>
    <row r="1620" spans="1:14" x14ac:dyDescent="0.3">
      <c r="A1620" s="2">
        <f>DATE(VALUE(RIGHT(TRIM([1]Raw_Data!A1618),4)),VALUE(MID(TRIM([1]Raw_Data!A1618),4,2)),VALUE(LEFT(TRIM([1]Raw_Data!A1618),2)))</f>
        <v>44543</v>
      </c>
      <c r="B1620" s="3" t="str">
        <f>TRIM([1]Raw_Data!B1618)</f>
        <v>Whey Protein</v>
      </c>
      <c r="C1620" s="3" t="str">
        <f>TRIM([1]Raw_Data!C1618)</f>
        <v>Protein</v>
      </c>
      <c r="D1620" s="3">
        <f>[1]Raw_Data!D1618</f>
        <v>149</v>
      </c>
      <c r="E1620" s="4">
        <f>[1]Raw_Data!E1618</f>
        <v>53.71</v>
      </c>
      <c r="F1620" s="5">
        <f>[1]Raw_Data!F1618</f>
        <v>8002.79</v>
      </c>
      <c r="G1620" s="4">
        <f>[1]Raw_Data!G1618</f>
        <v>0.09</v>
      </c>
      <c r="H1620" s="3">
        <f>[1]Raw_Data!H1618</f>
        <v>0</v>
      </c>
      <c r="I1620" s="3" t="str">
        <f>TRIM([1]Raw_Data!I1618)</f>
        <v>Canada</v>
      </c>
      <c r="J1620" s="3" t="str">
        <f>TRIM([1]Raw_Data!J1618)</f>
        <v>Amazon</v>
      </c>
      <c r="K1620" s="3">
        <f t="shared" si="100"/>
        <v>2021</v>
      </c>
      <c r="L1620" s="6">
        <f t="shared" si="101"/>
        <v>44531</v>
      </c>
      <c r="M1620" s="3" t="str">
        <f t="shared" si="102"/>
        <v>6% to 10%</v>
      </c>
      <c r="N1620" s="3" t="str">
        <f t="shared" si="103"/>
        <v>OK</v>
      </c>
    </row>
    <row r="1621" spans="1:14" x14ac:dyDescent="0.3">
      <c r="A1621" s="2">
        <f>DATE(VALUE(RIGHT(TRIM([1]Raw_Data!A1619),4)),VALUE(MID(TRIM([1]Raw_Data!A1619),4,2)),VALUE(LEFT(TRIM([1]Raw_Data!A1619),2)))</f>
        <v>44543</v>
      </c>
      <c r="B1621" s="3" t="str">
        <f>TRIM([1]Raw_Data!B1619)</f>
        <v>Vitamin C</v>
      </c>
      <c r="C1621" s="3" t="str">
        <f>TRIM([1]Raw_Data!C1619)</f>
        <v>Vitamin</v>
      </c>
      <c r="D1621" s="3">
        <f>[1]Raw_Data!D1619</f>
        <v>163</v>
      </c>
      <c r="E1621" s="4">
        <f>[1]Raw_Data!E1619</f>
        <v>59.9</v>
      </c>
      <c r="F1621" s="5">
        <f>[1]Raw_Data!F1619</f>
        <v>9763.7000000000007</v>
      </c>
      <c r="G1621" s="4">
        <f>[1]Raw_Data!G1619</f>
        <v>0.06</v>
      </c>
      <c r="H1621" s="3">
        <f>[1]Raw_Data!H1619</f>
        <v>2</v>
      </c>
      <c r="I1621" s="3" t="str">
        <f>TRIM([1]Raw_Data!I1619)</f>
        <v>Canada</v>
      </c>
      <c r="J1621" s="3" t="str">
        <f>TRIM([1]Raw_Data!J1619)</f>
        <v>Walmart</v>
      </c>
      <c r="K1621" s="3">
        <f t="shared" si="100"/>
        <v>2021</v>
      </c>
      <c r="L1621" s="6">
        <f t="shared" si="101"/>
        <v>44531</v>
      </c>
      <c r="M1621" s="3" t="str">
        <f t="shared" si="102"/>
        <v>6% to 10%</v>
      </c>
      <c r="N1621" s="3" t="str">
        <f t="shared" si="103"/>
        <v>OK</v>
      </c>
    </row>
    <row r="1622" spans="1:14" x14ac:dyDescent="0.3">
      <c r="A1622" s="2">
        <f>DATE(VALUE(RIGHT(TRIM([1]Raw_Data!A1620),4)),VALUE(MID(TRIM([1]Raw_Data!A1620),4,2)),VALUE(LEFT(TRIM([1]Raw_Data!A1620),2)))</f>
        <v>44543</v>
      </c>
      <c r="B1622" s="3" t="str">
        <f>TRIM([1]Raw_Data!B1620)</f>
        <v>Fish Oil</v>
      </c>
      <c r="C1622" s="3" t="str">
        <f>TRIM([1]Raw_Data!C1620)</f>
        <v>Omega</v>
      </c>
      <c r="D1622" s="3">
        <f>[1]Raw_Data!D1620</f>
        <v>169</v>
      </c>
      <c r="E1622" s="4">
        <f>[1]Raw_Data!E1620</f>
        <v>55.41</v>
      </c>
      <c r="F1622" s="5">
        <f>[1]Raw_Data!F1620</f>
        <v>9364.2900000000009</v>
      </c>
      <c r="G1622" s="4">
        <f>[1]Raw_Data!G1620</f>
        <v>0.08</v>
      </c>
      <c r="H1622" s="3">
        <f>[1]Raw_Data!H1620</f>
        <v>5</v>
      </c>
      <c r="I1622" s="3" t="str">
        <f>TRIM([1]Raw_Data!I1620)</f>
        <v>UK</v>
      </c>
      <c r="J1622" s="3" t="str">
        <f>TRIM([1]Raw_Data!J1620)</f>
        <v>Amazon</v>
      </c>
      <c r="K1622" s="3">
        <f t="shared" si="100"/>
        <v>2021</v>
      </c>
      <c r="L1622" s="6">
        <f t="shared" si="101"/>
        <v>44531</v>
      </c>
      <c r="M1622" s="3" t="str">
        <f t="shared" si="102"/>
        <v>6% to 10%</v>
      </c>
      <c r="N1622" s="3" t="str">
        <f t="shared" si="103"/>
        <v>OK</v>
      </c>
    </row>
    <row r="1623" spans="1:14" x14ac:dyDescent="0.3">
      <c r="A1623" s="2">
        <f>DATE(VALUE(RIGHT(TRIM([1]Raw_Data!A1621),4)),VALUE(MID(TRIM([1]Raw_Data!A1621),4,2)),VALUE(LEFT(TRIM([1]Raw_Data!A1621),2)))</f>
        <v>44543</v>
      </c>
      <c r="B1623" s="3" t="str">
        <f>TRIM([1]Raw_Data!B1621)</f>
        <v>Multivitamin</v>
      </c>
      <c r="C1623" s="3" t="str">
        <f>TRIM([1]Raw_Data!C1621)</f>
        <v>Vitamin</v>
      </c>
      <c r="D1623" s="3">
        <f>[1]Raw_Data!D1621</f>
        <v>151</v>
      </c>
      <c r="E1623" s="4">
        <f>[1]Raw_Data!E1621</f>
        <v>21.17</v>
      </c>
      <c r="F1623" s="5">
        <f>[1]Raw_Data!F1621</f>
        <v>3196.67</v>
      </c>
      <c r="G1623" s="4">
        <f>[1]Raw_Data!G1621</f>
        <v>0.18</v>
      </c>
      <c r="H1623" s="3">
        <f>[1]Raw_Data!H1621</f>
        <v>0</v>
      </c>
      <c r="I1623" s="3" t="str">
        <f>TRIM([1]Raw_Data!I1621)</f>
        <v>Canada</v>
      </c>
      <c r="J1623" s="3" t="str">
        <f>TRIM([1]Raw_Data!J1621)</f>
        <v>Amazon</v>
      </c>
      <c r="K1623" s="3">
        <f t="shared" si="100"/>
        <v>2021</v>
      </c>
      <c r="L1623" s="6">
        <f t="shared" si="101"/>
        <v>44531</v>
      </c>
      <c r="M1623" s="3" t="str">
        <f t="shared" si="102"/>
        <v>16% to 20%</v>
      </c>
      <c r="N1623" s="3" t="str">
        <f t="shared" si="103"/>
        <v>OK</v>
      </c>
    </row>
    <row r="1624" spans="1:14" x14ac:dyDescent="0.3">
      <c r="A1624" s="2">
        <f>DATE(VALUE(RIGHT(TRIM([1]Raw_Data!A1622),4)),VALUE(MID(TRIM([1]Raw_Data!A1622),4,2)),VALUE(LEFT(TRIM([1]Raw_Data!A1622),2)))</f>
        <v>44543</v>
      </c>
      <c r="B1624" s="3" t="str">
        <f>TRIM([1]Raw_Data!B1622)</f>
        <v>Pre-Workout</v>
      </c>
      <c r="C1624" s="3" t="str">
        <f>TRIM([1]Raw_Data!C1622)</f>
        <v>Performance</v>
      </c>
      <c r="D1624" s="3">
        <f>[1]Raw_Data!D1622</f>
        <v>152</v>
      </c>
      <c r="E1624" s="4">
        <f>[1]Raw_Data!E1622</f>
        <v>57.78</v>
      </c>
      <c r="F1624" s="5">
        <f>[1]Raw_Data!F1622</f>
        <v>8782.56</v>
      </c>
      <c r="G1624" s="4">
        <f>[1]Raw_Data!G1622</f>
        <v>0.01</v>
      </c>
      <c r="H1624" s="3">
        <f>[1]Raw_Data!H1622</f>
        <v>0</v>
      </c>
      <c r="I1624" s="3" t="str">
        <f>TRIM([1]Raw_Data!I1622)</f>
        <v>UK</v>
      </c>
      <c r="J1624" s="3" t="str">
        <f>TRIM([1]Raw_Data!J1622)</f>
        <v>iHerb</v>
      </c>
      <c r="K1624" s="3">
        <f t="shared" si="100"/>
        <v>2021</v>
      </c>
      <c r="L1624" s="6">
        <f t="shared" si="101"/>
        <v>44531</v>
      </c>
      <c r="M1624" s="3" t="str">
        <f t="shared" si="102"/>
        <v>0% to 5%</v>
      </c>
      <c r="N1624" s="3" t="str">
        <f t="shared" si="103"/>
        <v>OK</v>
      </c>
    </row>
    <row r="1625" spans="1:14" x14ac:dyDescent="0.3">
      <c r="A1625" s="2">
        <f>DATE(VALUE(RIGHT(TRIM([1]Raw_Data!A1623),4)),VALUE(MID(TRIM([1]Raw_Data!A1623),4,2)),VALUE(LEFT(TRIM([1]Raw_Data!A1623),2)))</f>
        <v>44543</v>
      </c>
      <c r="B1625" s="3" t="str">
        <f>TRIM([1]Raw_Data!B1623)</f>
        <v>BCAA</v>
      </c>
      <c r="C1625" s="3" t="str">
        <f>TRIM([1]Raw_Data!C1623)</f>
        <v>Amino Acid</v>
      </c>
      <c r="D1625" s="3">
        <f>[1]Raw_Data!D1623</f>
        <v>140</v>
      </c>
      <c r="E1625" s="4">
        <f>[1]Raw_Data!E1623</f>
        <v>21.64</v>
      </c>
      <c r="F1625" s="5">
        <f>[1]Raw_Data!F1623</f>
        <v>3029.6</v>
      </c>
      <c r="G1625" s="4">
        <f>[1]Raw_Data!G1623</f>
        <v>0.12</v>
      </c>
      <c r="H1625" s="3">
        <f>[1]Raw_Data!H1623</f>
        <v>3</v>
      </c>
      <c r="I1625" s="3" t="str">
        <f>TRIM([1]Raw_Data!I1623)</f>
        <v>USA</v>
      </c>
      <c r="J1625" s="3" t="str">
        <f>TRIM([1]Raw_Data!J1623)</f>
        <v>iHerb</v>
      </c>
      <c r="K1625" s="3">
        <f t="shared" si="100"/>
        <v>2021</v>
      </c>
      <c r="L1625" s="6">
        <f t="shared" si="101"/>
        <v>44531</v>
      </c>
      <c r="M1625" s="3" t="str">
        <f t="shared" si="102"/>
        <v>11% to 15%</v>
      </c>
      <c r="N1625" s="3" t="str">
        <f t="shared" si="103"/>
        <v>OK</v>
      </c>
    </row>
    <row r="1626" spans="1:14" x14ac:dyDescent="0.3">
      <c r="A1626" s="2">
        <f>DATE(VALUE(RIGHT(TRIM([1]Raw_Data!A1624),4)),VALUE(MID(TRIM([1]Raw_Data!A1624),4,2)),VALUE(LEFT(TRIM([1]Raw_Data!A1624),2)))</f>
        <v>44543</v>
      </c>
      <c r="B1626" s="3" t="str">
        <f>TRIM([1]Raw_Data!B1624)</f>
        <v>Creatine</v>
      </c>
      <c r="C1626" s="3" t="str">
        <f>TRIM([1]Raw_Data!C1624)</f>
        <v>Performance</v>
      </c>
      <c r="D1626" s="3">
        <f>[1]Raw_Data!D1624</f>
        <v>158</v>
      </c>
      <c r="E1626" s="4">
        <f>[1]Raw_Data!E1624</f>
        <v>14.45</v>
      </c>
      <c r="F1626" s="5">
        <f>[1]Raw_Data!F1624</f>
        <v>2283.1</v>
      </c>
      <c r="G1626" s="4">
        <f>[1]Raw_Data!G1624</f>
        <v>0.17</v>
      </c>
      <c r="H1626" s="3">
        <f>[1]Raw_Data!H1624</f>
        <v>0</v>
      </c>
      <c r="I1626" s="3" t="str">
        <f>TRIM([1]Raw_Data!I1624)</f>
        <v>USA</v>
      </c>
      <c r="J1626" s="3" t="str">
        <f>TRIM([1]Raw_Data!J1624)</f>
        <v>Amazon</v>
      </c>
      <c r="K1626" s="3">
        <f t="shared" si="100"/>
        <v>2021</v>
      </c>
      <c r="L1626" s="6">
        <f t="shared" si="101"/>
        <v>44531</v>
      </c>
      <c r="M1626" s="3" t="str">
        <f t="shared" si="102"/>
        <v>16% to 20%</v>
      </c>
      <c r="N1626" s="3" t="str">
        <f t="shared" si="103"/>
        <v>OK</v>
      </c>
    </row>
    <row r="1627" spans="1:14" x14ac:dyDescent="0.3">
      <c r="A1627" s="2">
        <f>DATE(VALUE(RIGHT(TRIM([1]Raw_Data!A1625),4)),VALUE(MID(TRIM([1]Raw_Data!A1625),4,2)),VALUE(LEFT(TRIM([1]Raw_Data!A1625),2)))</f>
        <v>44543</v>
      </c>
      <c r="B1627" s="3" t="str">
        <f>TRIM([1]Raw_Data!B1625)</f>
        <v>Zinc</v>
      </c>
      <c r="C1627" s="3" t="str">
        <f>TRIM([1]Raw_Data!C1625)</f>
        <v>Mineral</v>
      </c>
      <c r="D1627" s="3">
        <f>[1]Raw_Data!D1625</f>
        <v>161</v>
      </c>
      <c r="E1627" s="4">
        <f>[1]Raw_Data!E1625</f>
        <v>30.85</v>
      </c>
      <c r="F1627" s="5">
        <f>[1]Raw_Data!F1625</f>
        <v>4966.8500000000004</v>
      </c>
      <c r="G1627" s="4">
        <f>[1]Raw_Data!G1625</f>
        <v>0.09</v>
      </c>
      <c r="H1627" s="3">
        <f>[1]Raw_Data!H1625</f>
        <v>3</v>
      </c>
      <c r="I1627" s="3" t="str">
        <f>TRIM([1]Raw_Data!I1625)</f>
        <v>Canada</v>
      </c>
      <c r="J1627" s="3" t="str">
        <f>TRIM([1]Raw_Data!J1625)</f>
        <v>Amazon</v>
      </c>
      <c r="K1627" s="3">
        <f t="shared" si="100"/>
        <v>2021</v>
      </c>
      <c r="L1627" s="6">
        <f t="shared" si="101"/>
        <v>44531</v>
      </c>
      <c r="M1627" s="3" t="str">
        <f t="shared" si="102"/>
        <v>6% to 10%</v>
      </c>
      <c r="N1627" s="3" t="str">
        <f t="shared" si="103"/>
        <v>OK</v>
      </c>
    </row>
    <row r="1628" spans="1:14" x14ac:dyDescent="0.3">
      <c r="A1628" s="2">
        <f>DATE(VALUE(RIGHT(TRIM([1]Raw_Data!A1626),4)),VALUE(MID(TRIM([1]Raw_Data!A1626),4,2)),VALUE(LEFT(TRIM([1]Raw_Data!A1626),2)))</f>
        <v>44543</v>
      </c>
      <c r="B1628" s="3" t="str">
        <f>TRIM([1]Raw_Data!B1626)</f>
        <v>Collagen Peptides</v>
      </c>
      <c r="C1628" s="3" t="str">
        <f>TRIM([1]Raw_Data!C1626)</f>
        <v>Protein</v>
      </c>
      <c r="D1628" s="3">
        <f>[1]Raw_Data!D1626</f>
        <v>134</v>
      </c>
      <c r="E1628" s="4">
        <f>[1]Raw_Data!E1626</f>
        <v>17.100000000000001</v>
      </c>
      <c r="F1628" s="5">
        <f>[1]Raw_Data!F1626</f>
        <v>2291.4</v>
      </c>
      <c r="G1628" s="4">
        <f>[1]Raw_Data!G1626</f>
        <v>0.18</v>
      </c>
      <c r="H1628" s="3">
        <f>[1]Raw_Data!H1626</f>
        <v>3</v>
      </c>
      <c r="I1628" s="3" t="str">
        <f>TRIM([1]Raw_Data!I1626)</f>
        <v>UK</v>
      </c>
      <c r="J1628" s="3" t="str">
        <f>TRIM([1]Raw_Data!J1626)</f>
        <v>Walmart</v>
      </c>
      <c r="K1628" s="3">
        <f t="shared" si="100"/>
        <v>2021</v>
      </c>
      <c r="L1628" s="6">
        <f t="shared" si="101"/>
        <v>44531</v>
      </c>
      <c r="M1628" s="3" t="str">
        <f t="shared" si="102"/>
        <v>16% to 20%</v>
      </c>
      <c r="N1628" s="3" t="str">
        <f t="shared" si="103"/>
        <v>OK</v>
      </c>
    </row>
    <row r="1629" spans="1:14" x14ac:dyDescent="0.3">
      <c r="A1629" s="2">
        <f>DATE(VALUE(RIGHT(TRIM([1]Raw_Data!A1627),4)),VALUE(MID(TRIM([1]Raw_Data!A1627),4,2)),VALUE(LEFT(TRIM([1]Raw_Data!A1627),2)))</f>
        <v>44543</v>
      </c>
      <c r="B1629" s="3" t="str">
        <f>TRIM([1]Raw_Data!B1627)</f>
        <v>Magnesium</v>
      </c>
      <c r="C1629" s="3" t="str">
        <f>TRIM([1]Raw_Data!C1627)</f>
        <v>Mineral</v>
      </c>
      <c r="D1629" s="3">
        <f>[1]Raw_Data!D1627</f>
        <v>148</v>
      </c>
      <c r="E1629" s="4">
        <f>[1]Raw_Data!E1627</f>
        <v>56.37</v>
      </c>
      <c r="F1629" s="5">
        <f>[1]Raw_Data!F1627</f>
        <v>8342.76</v>
      </c>
      <c r="G1629" s="4">
        <f>[1]Raw_Data!G1627</f>
        <v>0.13</v>
      </c>
      <c r="H1629" s="3">
        <f>[1]Raw_Data!H1627</f>
        <v>1</v>
      </c>
      <c r="I1629" s="3" t="str">
        <f>TRIM([1]Raw_Data!I1627)</f>
        <v>UK</v>
      </c>
      <c r="J1629" s="3" t="str">
        <f>TRIM([1]Raw_Data!J1627)</f>
        <v>iHerb</v>
      </c>
      <c r="K1629" s="3">
        <f t="shared" si="100"/>
        <v>2021</v>
      </c>
      <c r="L1629" s="6">
        <f t="shared" si="101"/>
        <v>44531</v>
      </c>
      <c r="M1629" s="3" t="str">
        <f t="shared" si="102"/>
        <v>11% to 15%</v>
      </c>
      <c r="N1629" s="3" t="str">
        <f t="shared" si="103"/>
        <v>OK</v>
      </c>
    </row>
    <row r="1630" spans="1:14" x14ac:dyDescent="0.3">
      <c r="A1630" s="2">
        <f>DATE(VALUE(RIGHT(TRIM([1]Raw_Data!A1628),4)),VALUE(MID(TRIM([1]Raw_Data!A1628),4,2)),VALUE(LEFT(TRIM([1]Raw_Data!A1628),2)))</f>
        <v>44543</v>
      </c>
      <c r="B1630" s="3" t="str">
        <f>TRIM([1]Raw_Data!B1628)</f>
        <v>Ashwagandha</v>
      </c>
      <c r="C1630" s="3" t="str">
        <f>TRIM([1]Raw_Data!C1628)</f>
        <v>Herbal</v>
      </c>
      <c r="D1630" s="3">
        <f>[1]Raw_Data!D1628</f>
        <v>153</v>
      </c>
      <c r="E1630" s="4">
        <f>[1]Raw_Data!E1628</f>
        <v>15.34</v>
      </c>
      <c r="F1630" s="5">
        <f>[1]Raw_Data!F1628</f>
        <v>2347.02</v>
      </c>
      <c r="G1630" s="4">
        <f>[1]Raw_Data!G1628</f>
        <v>0.21</v>
      </c>
      <c r="H1630" s="3">
        <f>[1]Raw_Data!H1628</f>
        <v>1</v>
      </c>
      <c r="I1630" s="3" t="str">
        <f>TRIM([1]Raw_Data!I1628)</f>
        <v>UK</v>
      </c>
      <c r="J1630" s="3" t="str">
        <f>TRIM([1]Raw_Data!J1628)</f>
        <v>Walmart</v>
      </c>
      <c r="K1630" s="3">
        <f t="shared" si="100"/>
        <v>2021</v>
      </c>
      <c r="L1630" s="6">
        <f t="shared" si="101"/>
        <v>44531</v>
      </c>
      <c r="M1630" s="3" t="str">
        <f t="shared" si="102"/>
        <v>21% to 25%</v>
      </c>
      <c r="N1630" s="3" t="str">
        <f t="shared" si="103"/>
        <v>OK</v>
      </c>
    </row>
    <row r="1631" spans="1:14" x14ac:dyDescent="0.3">
      <c r="A1631" s="2">
        <f>DATE(VALUE(RIGHT(TRIM([1]Raw_Data!A1629),4)),VALUE(MID(TRIM([1]Raw_Data!A1629),4,2)),VALUE(LEFT(TRIM([1]Raw_Data!A1629),2)))</f>
        <v>44543</v>
      </c>
      <c r="B1631" s="3" t="str">
        <f>TRIM([1]Raw_Data!B1629)</f>
        <v>Melatonin</v>
      </c>
      <c r="C1631" s="3" t="str">
        <f>TRIM([1]Raw_Data!C1629)</f>
        <v>Sleep Aid</v>
      </c>
      <c r="D1631" s="3">
        <f>[1]Raw_Data!D1629</f>
        <v>128</v>
      </c>
      <c r="E1631" s="4">
        <f>[1]Raw_Data!E1629</f>
        <v>28.85</v>
      </c>
      <c r="F1631" s="5">
        <f>[1]Raw_Data!F1629</f>
        <v>3692.8</v>
      </c>
      <c r="G1631" s="4">
        <f>[1]Raw_Data!G1629</f>
        <v>0.03</v>
      </c>
      <c r="H1631" s="3">
        <f>[1]Raw_Data!H1629</f>
        <v>2</v>
      </c>
      <c r="I1631" s="3" t="str">
        <f>TRIM([1]Raw_Data!I1629)</f>
        <v>USA</v>
      </c>
      <c r="J1631" s="3" t="str">
        <f>TRIM([1]Raw_Data!J1629)</f>
        <v>iHerb</v>
      </c>
      <c r="K1631" s="3">
        <f t="shared" si="100"/>
        <v>2021</v>
      </c>
      <c r="L1631" s="6">
        <f t="shared" si="101"/>
        <v>44531</v>
      </c>
      <c r="M1631" s="3" t="str">
        <f t="shared" si="102"/>
        <v>0% to 5%</v>
      </c>
      <c r="N1631" s="3" t="str">
        <f t="shared" si="103"/>
        <v>OK</v>
      </c>
    </row>
    <row r="1632" spans="1:14" x14ac:dyDescent="0.3">
      <c r="A1632" s="2">
        <f>DATE(VALUE(RIGHT(TRIM([1]Raw_Data!A1630),4)),VALUE(MID(TRIM([1]Raw_Data!A1630),4,2)),VALUE(LEFT(TRIM([1]Raw_Data!A1630),2)))</f>
        <v>44543</v>
      </c>
      <c r="B1632" s="3" t="str">
        <f>TRIM([1]Raw_Data!B1630)</f>
        <v>Biotin</v>
      </c>
      <c r="C1632" s="3" t="str">
        <f>TRIM([1]Raw_Data!C1630)</f>
        <v>Vitamin</v>
      </c>
      <c r="D1632" s="3">
        <f>[1]Raw_Data!D1630</f>
        <v>163</v>
      </c>
      <c r="E1632" s="4">
        <f>[1]Raw_Data!E1630</f>
        <v>40.08</v>
      </c>
      <c r="F1632" s="5">
        <f>[1]Raw_Data!F1630</f>
        <v>6533.04</v>
      </c>
      <c r="G1632" s="4">
        <f>[1]Raw_Data!G1630</f>
        <v>0.15</v>
      </c>
      <c r="H1632" s="3">
        <f>[1]Raw_Data!H1630</f>
        <v>1</v>
      </c>
      <c r="I1632" s="3" t="str">
        <f>TRIM([1]Raw_Data!I1630)</f>
        <v>USA</v>
      </c>
      <c r="J1632" s="3" t="str">
        <f>TRIM([1]Raw_Data!J1630)</f>
        <v>Amazon</v>
      </c>
      <c r="K1632" s="3">
        <f t="shared" si="100"/>
        <v>2021</v>
      </c>
      <c r="L1632" s="6">
        <f t="shared" si="101"/>
        <v>44531</v>
      </c>
      <c r="M1632" s="3" t="str">
        <f t="shared" si="102"/>
        <v>11% to 15%</v>
      </c>
      <c r="N1632" s="3" t="str">
        <f t="shared" si="103"/>
        <v>OK</v>
      </c>
    </row>
    <row r="1633" spans="1:14" x14ac:dyDescent="0.3">
      <c r="A1633" s="2">
        <f>DATE(VALUE(RIGHT(TRIM([1]Raw_Data!A1631),4)),VALUE(MID(TRIM([1]Raw_Data!A1631),4,2)),VALUE(LEFT(TRIM([1]Raw_Data!A1631),2)))</f>
        <v>44543</v>
      </c>
      <c r="B1633" s="3" t="str">
        <f>TRIM([1]Raw_Data!B1631)</f>
        <v>Green Tea Extract</v>
      </c>
      <c r="C1633" s="3" t="str">
        <f>TRIM([1]Raw_Data!C1631)</f>
        <v>Fat Burner</v>
      </c>
      <c r="D1633" s="3">
        <f>[1]Raw_Data!D1631</f>
        <v>169</v>
      </c>
      <c r="E1633" s="4">
        <f>[1]Raw_Data!E1631</f>
        <v>33.24</v>
      </c>
      <c r="F1633" s="5">
        <f>[1]Raw_Data!F1631</f>
        <v>5617.56</v>
      </c>
      <c r="G1633" s="4">
        <f>[1]Raw_Data!G1631</f>
        <v>0.25</v>
      </c>
      <c r="H1633" s="3">
        <f>[1]Raw_Data!H1631</f>
        <v>1</v>
      </c>
      <c r="I1633" s="3" t="str">
        <f>TRIM([1]Raw_Data!I1631)</f>
        <v>Canada</v>
      </c>
      <c r="J1633" s="3" t="str">
        <f>TRIM([1]Raw_Data!J1631)</f>
        <v>Amazon</v>
      </c>
      <c r="K1633" s="3">
        <f t="shared" si="100"/>
        <v>2021</v>
      </c>
      <c r="L1633" s="6">
        <f t="shared" si="101"/>
        <v>44531</v>
      </c>
      <c r="M1633" s="3" t="str">
        <f t="shared" si="102"/>
        <v>21% to 25%</v>
      </c>
      <c r="N1633" s="3" t="str">
        <f t="shared" si="103"/>
        <v>OK</v>
      </c>
    </row>
    <row r="1634" spans="1:14" x14ac:dyDescent="0.3">
      <c r="A1634" s="2">
        <f>DATE(VALUE(RIGHT(TRIM([1]Raw_Data!A1632),4)),VALUE(MID(TRIM([1]Raw_Data!A1632),4,2)),VALUE(LEFT(TRIM([1]Raw_Data!A1632),2)))</f>
        <v>44543</v>
      </c>
      <c r="B1634" s="3" t="str">
        <f>TRIM([1]Raw_Data!B1632)</f>
        <v>Iron Supplement</v>
      </c>
      <c r="C1634" s="3" t="str">
        <f>TRIM([1]Raw_Data!C1632)</f>
        <v>Mineral</v>
      </c>
      <c r="D1634" s="3">
        <f>[1]Raw_Data!D1632</f>
        <v>137</v>
      </c>
      <c r="E1634" s="4">
        <f>[1]Raw_Data!E1632</f>
        <v>50.7</v>
      </c>
      <c r="F1634" s="5">
        <f>[1]Raw_Data!F1632</f>
        <v>6945.9</v>
      </c>
      <c r="G1634" s="4">
        <f>[1]Raw_Data!G1632</f>
        <v>0.19</v>
      </c>
      <c r="H1634" s="3">
        <f>[1]Raw_Data!H1632</f>
        <v>2</v>
      </c>
      <c r="I1634" s="3" t="str">
        <f>TRIM([1]Raw_Data!I1632)</f>
        <v>Canada</v>
      </c>
      <c r="J1634" s="3" t="str">
        <f>TRIM([1]Raw_Data!J1632)</f>
        <v>Walmart</v>
      </c>
      <c r="K1634" s="3">
        <f t="shared" si="100"/>
        <v>2021</v>
      </c>
      <c r="L1634" s="6">
        <f t="shared" si="101"/>
        <v>44531</v>
      </c>
      <c r="M1634" s="3" t="str">
        <f t="shared" si="102"/>
        <v>16% to 20%</v>
      </c>
      <c r="N1634" s="3" t="str">
        <f t="shared" si="103"/>
        <v>OK</v>
      </c>
    </row>
    <row r="1635" spans="1:14" x14ac:dyDescent="0.3">
      <c r="A1635" s="2">
        <f>DATE(VALUE(RIGHT(TRIM([1]Raw_Data!A1633),4)),VALUE(MID(TRIM([1]Raw_Data!A1633),4,2)),VALUE(LEFT(TRIM([1]Raw_Data!A1633),2)))</f>
        <v>44543</v>
      </c>
      <c r="B1635" s="3" t="str">
        <f>TRIM([1]Raw_Data!B1633)</f>
        <v>Electrolyte Powder</v>
      </c>
      <c r="C1635" s="3" t="str">
        <f>TRIM([1]Raw_Data!C1633)</f>
        <v>Hydration</v>
      </c>
      <c r="D1635" s="3">
        <f>[1]Raw_Data!D1633</f>
        <v>158</v>
      </c>
      <c r="E1635" s="4">
        <f>[1]Raw_Data!E1633</f>
        <v>53.1</v>
      </c>
      <c r="F1635" s="5">
        <f>[1]Raw_Data!F1633</f>
        <v>8389.7999999999993</v>
      </c>
      <c r="G1635" s="4">
        <f>[1]Raw_Data!G1633</f>
        <v>0.22</v>
      </c>
      <c r="H1635" s="3">
        <f>[1]Raw_Data!H1633</f>
        <v>0</v>
      </c>
      <c r="I1635" s="3" t="str">
        <f>TRIM([1]Raw_Data!I1633)</f>
        <v>UK</v>
      </c>
      <c r="J1635" s="3" t="str">
        <f>TRIM([1]Raw_Data!J1633)</f>
        <v>Walmart</v>
      </c>
      <c r="K1635" s="3">
        <f t="shared" si="100"/>
        <v>2021</v>
      </c>
      <c r="L1635" s="6">
        <f t="shared" si="101"/>
        <v>44531</v>
      </c>
      <c r="M1635" s="3" t="str">
        <f t="shared" si="102"/>
        <v>21% to 25%</v>
      </c>
      <c r="N1635" s="3" t="str">
        <f t="shared" si="103"/>
        <v>OK</v>
      </c>
    </row>
    <row r="1636" spans="1:14" x14ac:dyDescent="0.3">
      <c r="A1636" s="2">
        <f>DATE(VALUE(RIGHT(TRIM([1]Raw_Data!A1634),4)),VALUE(MID(TRIM([1]Raw_Data!A1634),4,2)),VALUE(LEFT(TRIM([1]Raw_Data!A1634),2)))</f>
        <v>44550</v>
      </c>
      <c r="B1636" s="3" t="str">
        <f>TRIM([1]Raw_Data!B1634)</f>
        <v>Whey Protein</v>
      </c>
      <c r="C1636" s="3" t="str">
        <f>TRIM([1]Raw_Data!C1634)</f>
        <v>Protein</v>
      </c>
      <c r="D1636" s="3">
        <f>[1]Raw_Data!D1634</f>
        <v>167</v>
      </c>
      <c r="E1636" s="4">
        <f>[1]Raw_Data!E1634</f>
        <v>42.32</v>
      </c>
      <c r="F1636" s="5">
        <f>[1]Raw_Data!F1634</f>
        <v>7067.44</v>
      </c>
      <c r="G1636" s="4">
        <f>[1]Raw_Data!G1634</f>
        <v>0.14000000000000001</v>
      </c>
      <c r="H1636" s="3">
        <f>[1]Raw_Data!H1634</f>
        <v>0</v>
      </c>
      <c r="I1636" s="3" t="str">
        <f>TRIM([1]Raw_Data!I1634)</f>
        <v>Canada</v>
      </c>
      <c r="J1636" s="3" t="str">
        <f>TRIM([1]Raw_Data!J1634)</f>
        <v>Walmart</v>
      </c>
      <c r="K1636" s="3">
        <f t="shared" si="100"/>
        <v>2021</v>
      </c>
      <c r="L1636" s="6">
        <f t="shared" si="101"/>
        <v>44531</v>
      </c>
      <c r="M1636" s="3" t="str">
        <f t="shared" si="102"/>
        <v>11% to 15%</v>
      </c>
      <c r="N1636" s="3" t="str">
        <f t="shared" si="103"/>
        <v>OK</v>
      </c>
    </row>
    <row r="1637" spans="1:14" x14ac:dyDescent="0.3">
      <c r="A1637" s="2">
        <f>DATE(VALUE(RIGHT(TRIM([1]Raw_Data!A1635),4)),VALUE(MID(TRIM([1]Raw_Data!A1635),4,2)),VALUE(LEFT(TRIM([1]Raw_Data!A1635),2)))</f>
        <v>44550</v>
      </c>
      <c r="B1637" s="3" t="str">
        <f>TRIM([1]Raw_Data!B1635)</f>
        <v>Vitamin C</v>
      </c>
      <c r="C1637" s="3" t="str">
        <f>TRIM([1]Raw_Data!C1635)</f>
        <v>Vitamin</v>
      </c>
      <c r="D1637" s="3">
        <f>[1]Raw_Data!D1635</f>
        <v>159</v>
      </c>
      <c r="E1637" s="4">
        <f>[1]Raw_Data!E1635</f>
        <v>42.39</v>
      </c>
      <c r="F1637" s="5">
        <f>[1]Raw_Data!F1635</f>
        <v>6740.01</v>
      </c>
      <c r="G1637" s="4">
        <f>[1]Raw_Data!G1635</f>
        <v>0.13</v>
      </c>
      <c r="H1637" s="3">
        <f>[1]Raw_Data!H1635</f>
        <v>1</v>
      </c>
      <c r="I1637" s="3" t="str">
        <f>TRIM([1]Raw_Data!I1635)</f>
        <v>Canada</v>
      </c>
      <c r="J1637" s="3" t="str">
        <f>TRIM([1]Raw_Data!J1635)</f>
        <v>iHerb</v>
      </c>
      <c r="K1637" s="3">
        <f t="shared" si="100"/>
        <v>2021</v>
      </c>
      <c r="L1637" s="6">
        <f t="shared" si="101"/>
        <v>44531</v>
      </c>
      <c r="M1637" s="3" t="str">
        <f t="shared" si="102"/>
        <v>11% to 15%</v>
      </c>
      <c r="N1637" s="3" t="str">
        <f t="shared" si="103"/>
        <v>OK</v>
      </c>
    </row>
    <row r="1638" spans="1:14" x14ac:dyDescent="0.3">
      <c r="A1638" s="2">
        <f>DATE(VALUE(RIGHT(TRIM([1]Raw_Data!A1636),4)),VALUE(MID(TRIM([1]Raw_Data!A1636),4,2)),VALUE(LEFT(TRIM([1]Raw_Data!A1636),2)))</f>
        <v>44550</v>
      </c>
      <c r="B1638" s="3" t="str">
        <f>TRIM([1]Raw_Data!B1636)</f>
        <v>Fish Oil</v>
      </c>
      <c r="C1638" s="3" t="str">
        <f>TRIM([1]Raw_Data!C1636)</f>
        <v>Omega</v>
      </c>
      <c r="D1638" s="3">
        <f>[1]Raw_Data!D1636</f>
        <v>137</v>
      </c>
      <c r="E1638" s="4">
        <f>[1]Raw_Data!E1636</f>
        <v>17.940000000000001</v>
      </c>
      <c r="F1638" s="5">
        <f>[1]Raw_Data!F1636</f>
        <v>2457.7800000000002</v>
      </c>
      <c r="G1638" s="4">
        <f>[1]Raw_Data!G1636</f>
        <v>0.05</v>
      </c>
      <c r="H1638" s="3">
        <f>[1]Raw_Data!H1636</f>
        <v>4</v>
      </c>
      <c r="I1638" s="3" t="str">
        <f>TRIM([1]Raw_Data!I1636)</f>
        <v>UK</v>
      </c>
      <c r="J1638" s="3" t="str">
        <f>TRIM([1]Raw_Data!J1636)</f>
        <v>Amazon</v>
      </c>
      <c r="K1638" s="3">
        <f t="shared" si="100"/>
        <v>2021</v>
      </c>
      <c r="L1638" s="6">
        <f t="shared" si="101"/>
        <v>44531</v>
      </c>
      <c r="M1638" s="3" t="str">
        <f t="shared" si="102"/>
        <v>0% to 5%</v>
      </c>
      <c r="N1638" s="3" t="str">
        <f t="shared" si="103"/>
        <v>OK</v>
      </c>
    </row>
    <row r="1639" spans="1:14" x14ac:dyDescent="0.3">
      <c r="A1639" s="2">
        <f>DATE(VALUE(RIGHT(TRIM([1]Raw_Data!A1637),4)),VALUE(MID(TRIM([1]Raw_Data!A1637),4,2)),VALUE(LEFT(TRIM([1]Raw_Data!A1637),2)))</f>
        <v>44550</v>
      </c>
      <c r="B1639" s="3" t="str">
        <f>TRIM([1]Raw_Data!B1637)</f>
        <v>Multivitamin</v>
      </c>
      <c r="C1639" s="3" t="str">
        <f>TRIM([1]Raw_Data!C1637)</f>
        <v>Vitamin</v>
      </c>
      <c r="D1639" s="3">
        <f>[1]Raw_Data!D1637</f>
        <v>136</v>
      </c>
      <c r="E1639" s="4">
        <f>[1]Raw_Data!E1637</f>
        <v>39.53</v>
      </c>
      <c r="F1639" s="5">
        <f>[1]Raw_Data!F1637</f>
        <v>5376.08</v>
      </c>
      <c r="G1639" s="4">
        <f>[1]Raw_Data!G1637</f>
        <v>0.15</v>
      </c>
      <c r="H1639" s="3">
        <f>[1]Raw_Data!H1637</f>
        <v>0</v>
      </c>
      <c r="I1639" s="3" t="str">
        <f>TRIM([1]Raw_Data!I1637)</f>
        <v>USA</v>
      </c>
      <c r="J1639" s="3" t="str">
        <f>TRIM([1]Raw_Data!J1637)</f>
        <v>Walmart</v>
      </c>
      <c r="K1639" s="3">
        <f t="shared" si="100"/>
        <v>2021</v>
      </c>
      <c r="L1639" s="6">
        <f t="shared" si="101"/>
        <v>44531</v>
      </c>
      <c r="M1639" s="3" t="str">
        <f t="shared" si="102"/>
        <v>11% to 15%</v>
      </c>
      <c r="N1639" s="3" t="str">
        <f t="shared" si="103"/>
        <v>OK</v>
      </c>
    </row>
    <row r="1640" spans="1:14" x14ac:dyDescent="0.3">
      <c r="A1640" s="2">
        <f>DATE(VALUE(RIGHT(TRIM([1]Raw_Data!A1638),4)),VALUE(MID(TRIM([1]Raw_Data!A1638),4,2)),VALUE(LEFT(TRIM([1]Raw_Data!A1638),2)))</f>
        <v>44550</v>
      </c>
      <c r="B1640" s="3" t="str">
        <f>TRIM([1]Raw_Data!B1638)</f>
        <v>Pre-Workout</v>
      </c>
      <c r="C1640" s="3" t="str">
        <f>TRIM([1]Raw_Data!C1638)</f>
        <v>Performance</v>
      </c>
      <c r="D1640" s="3">
        <f>[1]Raw_Data!D1638</f>
        <v>161</v>
      </c>
      <c r="E1640" s="4">
        <f>[1]Raw_Data!E1638</f>
        <v>21.87</v>
      </c>
      <c r="F1640" s="5">
        <f>[1]Raw_Data!F1638</f>
        <v>3521.07</v>
      </c>
      <c r="G1640" s="4">
        <f>[1]Raw_Data!G1638</f>
        <v>7.0000000000000007E-2</v>
      </c>
      <c r="H1640" s="3">
        <f>[1]Raw_Data!H1638</f>
        <v>4</v>
      </c>
      <c r="I1640" s="3" t="str">
        <f>TRIM([1]Raw_Data!I1638)</f>
        <v>USA</v>
      </c>
      <c r="J1640" s="3" t="str">
        <f>TRIM([1]Raw_Data!J1638)</f>
        <v>Amazon</v>
      </c>
      <c r="K1640" s="3">
        <f t="shared" si="100"/>
        <v>2021</v>
      </c>
      <c r="L1640" s="6">
        <f t="shared" si="101"/>
        <v>44531</v>
      </c>
      <c r="M1640" s="3" t="str">
        <f t="shared" si="102"/>
        <v>6% to 10%</v>
      </c>
      <c r="N1640" s="3" t="str">
        <f t="shared" si="103"/>
        <v>OK</v>
      </c>
    </row>
    <row r="1641" spans="1:14" x14ac:dyDescent="0.3">
      <c r="A1641" s="2">
        <f>DATE(VALUE(RIGHT(TRIM([1]Raw_Data!A1639),4)),VALUE(MID(TRIM([1]Raw_Data!A1639),4,2)),VALUE(LEFT(TRIM([1]Raw_Data!A1639),2)))</f>
        <v>44550</v>
      </c>
      <c r="B1641" s="3" t="str">
        <f>TRIM([1]Raw_Data!B1639)</f>
        <v>BCAA</v>
      </c>
      <c r="C1641" s="3" t="str">
        <f>TRIM([1]Raw_Data!C1639)</f>
        <v>Amino Acid</v>
      </c>
      <c r="D1641" s="3">
        <f>[1]Raw_Data!D1639</f>
        <v>163</v>
      </c>
      <c r="E1641" s="4">
        <f>[1]Raw_Data!E1639</f>
        <v>14.11</v>
      </c>
      <c r="F1641" s="5">
        <f>[1]Raw_Data!F1639</f>
        <v>2299.9299999999998</v>
      </c>
      <c r="G1641" s="4">
        <f>[1]Raw_Data!G1639</f>
        <v>0.1</v>
      </c>
      <c r="H1641" s="3">
        <f>[1]Raw_Data!H1639</f>
        <v>2</v>
      </c>
      <c r="I1641" s="3" t="str">
        <f>TRIM([1]Raw_Data!I1639)</f>
        <v>USA</v>
      </c>
      <c r="J1641" s="3" t="str">
        <f>TRIM([1]Raw_Data!J1639)</f>
        <v>Walmart</v>
      </c>
      <c r="K1641" s="3">
        <f t="shared" si="100"/>
        <v>2021</v>
      </c>
      <c r="L1641" s="6">
        <f t="shared" si="101"/>
        <v>44531</v>
      </c>
      <c r="M1641" s="3" t="str">
        <f t="shared" si="102"/>
        <v>6% to 10%</v>
      </c>
      <c r="N1641" s="3" t="str">
        <f t="shared" si="103"/>
        <v>OK</v>
      </c>
    </row>
    <row r="1642" spans="1:14" x14ac:dyDescent="0.3">
      <c r="A1642" s="2">
        <f>DATE(VALUE(RIGHT(TRIM([1]Raw_Data!A1640),4)),VALUE(MID(TRIM([1]Raw_Data!A1640),4,2)),VALUE(LEFT(TRIM([1]Raw_Data!A1640),2)))</f>
        <v>44550</v>
      </c>
      <c r="B1642" s="3" t="str">
        <f>TRIM([1]Raw_Data!B1640)</f>
        <v>Creatine</v>
      </c>
      <c r="C1642" s="3" t="str">
        <f>TRIM([1]Raw_Data!C1640)</f>
        <v>Performance</v>
      </c>
      <c r="D1642" s="3">
        <f>[1]Raw_Data!D1640</f>
        <v>138</v>
      </c>
      <c r="E1642" s="4">
        <f>[1]Raw_Data!E1640</f>
        <v>40.049999999999997</v>
      </c>
      <c r="F1642" s="5">
        <f>[1]Raw_Data!F1640</f>
        <v>5526.9</v>
      </c>
      <c r="G1642" s="4">
        <f>[1]Raw_Data!G1640</f>
        <v>0.08</v>
      </c>
      <c r="H1642" s="3">
        <f>[1]Raw_Data!H1640</f>
        <v>2</v>
      </c>
      <c r="I1642" s="3" t="str">
        <f>TRIM([1]Raw_Data!I1640)</f>
        <v>USA</v>
      </c>
      <c r="J1642" s="3" t="str">
        <f>TRIM([1]Raw_Data!J1640)</f>
        <v>Amazon</v>
      </c>
      <c r="K1642" s="3">
        <f t="shared" si="100"/>
        <v>2021</v>
      </c>
      <c r="L1642" s="6">
        <f t="shared" si="101"/>
        <v>44531</v>
      </c>
      <c r="M1642" s="3" t="str">
        <f t="shared" si="102"/>
        <v>6% to 10%</v>
      </c>
      <c r="N1642" s="3" t="str">
        <f t="shared" si="103"/>
        <v>OK</v>
      </c>
    </row>
    <row r="1643" spans="1:14" x14ac:dyDescent="0.3">
      <c r="A1643" s="2">
        <f>DATE(VALUE(RIGHT(TRIM([1]Raw_Data!A1641),4)),VALUE(MID(TRIM([1]Raw_Data!A1641),4,2)),VALUE(LEFT(TRIM([1]Raw_Data!A1641),2)))</f>
        <v>44550</v>
      </c>
      <c r="B1643" s="3" t="str">
        <f>TRIM([1]Raw_Data!B1641)</f>
        <v>Zinc</v>
      </c>
      <c r="C1643" s="3" t="str">
        <f>TRIM([1]Raw_Data!C1641)</f>
        <v>Mineral</v>
      </c>
      <c r="D1643" s="3">
        <f>[1]Raw_Data!D1641</f>
        <v>164</v>
      </c>
      <c r="E1643" s="4">
        <f>[1]Raw_Data!E1641</f>
        <v>51.93</v>
      </c>
      <c r="F1643" s="5">
        <f>[1]Raw_Data!F1641</f>
        <v>8516.52</v>
      </c>
      <c r="G1643" s="4">
        <f>[1]Raw_Data!G1641</f>
        <v>0.03</v>
      </c>
      <c r="H1643" s="3">
        <f>[1]Raw_Data!H1641</f>
        <v>3</v>
      </c>
      <c r="I1643" s="3" t="str">
        <f>TRIM([1]Raw_Data!I1641)</f>
        <v>Canada</v>
      </c>
      <c r="J1643" s="3" t="str">
        <f>TRIM([1]Raw_Data!J1641)</f>
        <v>Walmart</v>
      </c>
      <c r="K1643" s="3">
        <f t="shared" si="100"/>
        <v>2021</v>
      </c>
      <c r="L1643" s="6">
        <f t="shared" si="101"/>
        <v>44531</v>
      </c>
      <c r="M1643" s="3" t="str">
        <f t="shared" si="102"/>
        <v>0% to 5%</v>
      </c>
      <c r="N1643" s="3" t="str">
        <f t="shared" si="103"/>
        <v>OK</v>
      </c>
    </row>
    <row r="1644" spans="1:14" x14ac:dyDescent="0.3">
      <c r="A1644" s="2">
        <f>DATE(VALUE(RIGHT(TRIM([1]Raw_Data!A1642),4)),VALUE(MID(TRIM([1]Raw_Data!A1642),4,2)),VALUE(LEFT(TRIM([1]Raw_Data!A1642),2)))</f>
        <v>44550</v>
      </c>
      <c r="B1644" s="3" t="str">
        <f>TRIM([1]Raw_Data!B1642)</f>
        <v>Collagen Peptides</v>
      </c>
      <c r="C1644" s="3" t="str">
        <f>TRIM([1]Raw_Data!C1642)</f>
        <v>Protein</v>
      </c>
      <c r="D1644" s="3">
        <f>[1]Raw_Data!D1642</f>
        <v>136</v>
      </c>
      <c r="E1644" s="4">
        <f>[1]Raw_Data!E1642</f>
        <v>42.09</v>
      </c>
      <c r="F1644" s="5">
        <f>[1]Raw_Data!F1642</f>
        <v>5724.24</v>
      </c>
      <c r="G1644" s="4">
        <f>[1]Raw_Data!G1642</f>
        <v>0.12</v>
      </c>
      <c r="H1644" s="3">
        <f>[1]Raw_Data!H1642</f>
        <v>3</v>
      </c>
      <c r="I1644" s="3" t="str">
        <f>TRIM([1]Raw_Data!I1642)</f>
        <v>USA</v>
      </c>
      <c r="J1644" s="3" t="str">
        <f>TRIM([1]Raw_Data!J1642)</f>
        <v>Walmart</v>
      </c>
      <c r="K1644" s="3">
        <f t="shared" si="100"/>
        <v>2021</v>
      </c>
      <c r="L1644" s="6">
        <f t="shared" si="101"/>
        <v>44531</v>
      </c>
      <c r="M1644" s="3" t="str">
        <f t="shared" si="102"/>
        <v>11% to 15%</v>
      </c>
      <c r="N1644" s="3" t="str">
        <f t="shared" si="103"/>
        <v>OK</v>
      </c>
    </row>
    <row r="1645" spans="1:14" x14ac:dyDescent="0.3">
      <c r="A1645" s="2">
        <f>DATE(VALUE(RIGHT(TRIM([1]Raw_Data!A1643),4)),VALUE(MID(TRIM([1]Raw_Data!A1643),4,2)),VALUE(LEFT(TRIM([1]Raw_Data!A1643),2)))</f>
        <v>44550</v>
      </c>
      <c r="B1645" s="3" t="str">
        <f>TRIM([1]Raw_Data!B1643)</f>
        <v>Magnesium</v>
      </c>
      <c r="C1645" s="3" t="str">
        <f>TRIM([1]Raw_Data!C1643)</f>
        <v>Mineral</v>
      </c>
      <c r="D1645" s="3">
        <f>[1]Raw_Data!D1643</f>
        <v>145</v>
      </c>
      <c r="E1645" s="4">
        <f>[1]Raw_Data!E1643</f>
        <v>35.04</v>
      </c>
      <c r="F1645" s="5">
        <f>[1]Raw_Data!F1643</f>
        <v>5080.8</v>
      </c>
      <c r="G1645" s="4">
        <f>[1]Raw_Data!G1643</f>
        <v>0.11</v>
      </c>
      <c r="H1645" s="3">
        <f>[1]Raw_Data!H1643</f>
        <v>1</v>
      </c>
      <c r="I1645" s="3" t="str">
        <f>TRIM([1]Raw_Data!I1643)</f>
        <v>UK</v>
      </c>
      <c r="J1645" s="3" t="str">
        <f>TRIM([1]Raw_Data!J1643)</f>
        <v>Walmart</v>
      </c>
      <c r="K1645" s="3">
        <f t="shared" si="100"/>
        <v>2021</v>
      </c>
      <c r="L1645" s="6">
        <f t="shared" si="101"/>
        <v>44531</v>
      </c>
      <c r="M1645" s="3" t="str">
        <f t="shared" si="102"/>
        <v>11% to 15%</v>
      </c>
      <c r="N1645" s="3" t="str">
        <f t="shared" si="103"/>
        <v>OK</v>
      </c>
    </row>
    <row r="1646" spans="1:14" x14ac:dyDescent="0.3">
      <c r="A1646" s="2">
        <f>DATE(VALUE(RIGHT(TRIM([1]Raw_Data!A1644),4)),VALUE(MID(TRIM([1]Raw_Data!A1644),4,2)),VALUE(LEFT(TRIM([1]Raw_Data!A1644),2)))</f>
        <v>44550</v>
      </c>
      <c r="B1646" s="3" t="str">
        <f>TRIM([1]Raw_Data!B1644)</f>
        <v>Ashwagandha</v>
      </c>
      <c r="C1646" s="3" t="str">
        <f>TRIM([1]Raw_Data!C1644)</f>
        <v>Herbal</v>
      </c>
      <c r="D1646" s="3">
        <f>[1]Raw_Data!D1644</f>
        <v>157</v>
      </c>
      <c r="E1646" s="4">
        <f>[1]Raw_Data!E1644</f>
        <v>52.65</v>
      </c>
      <c r="F1646" s="5">
        <f>[1]Raw_Data!F1644</f>
        <v>8266.0499999999993</v>
      </c>
      <c r="G1646" s="4">
        <f>[1]Raw_Data!G1644</f>
        <v>0.24</v>
      </c>
      <c r="H1646" s="3">
        <f>[1]Raw_Data!H1644</f>
        <v>1</v>
      </c>
      <c r="I1646" s="3" t="str">
        <f>TRIM([1]Raw_Data!I1644)</f>
        <v>Canada</v>
      </c>
      <c r="J1646" s="3" t="str">
        <f>TRIM([1]Raw_Data!J1644)</f>
        <v>iHerb</v>
      </c>
      <c r="K1646" s="3">
        <f t="shared" si="100"/>
        <v>2021</v>
      </c>
      <c r="L1646" s="6">
        <f t="shared" si="101"/>
        <v>44531</v>
      </c>
      <c r="M1646" s="3" t="str">
        <f t="shared" si="102"/>
        <v>21% to 25%</v>
      </c>
      <c r="N1646" s="3" t="str">
        <f t="shared" si="103"/>
        <v>OK</v>
      </c>
    </row>
    <row r="1647" spans="1:14" x14ac:dyDescent="0.3">
      <c r="A1647" s="2">
        <f>DATE(VALUE(RIGHT(TRIM([1]Raw_Data!A1645),4)),VALUE(MID(TRIM([1]Raw_Data!A1645),4,2)),VALUE(LEFT(TRIM([1]Raw_Data!A1645),2)))</f>
        <v>44550</v>
      </c>
      <c r="B1647" s="3" t="str">
        <f>TRIM([1]Raw_Data!B1645)</f>
        <v>Melatonin</v>
      </c>
      <c r="C1647" s="3" t="str">
        <f>TRIM([1]Raw_Data!C1645)</f>
        <v>Sleep Aid</v>
      </c>
      <c r="D1647" s="3">
        <f>[1]Raw_Data!D1645</f>
        <v>158</v>
      </c>
      <c r="E1647" s="4">
        <f>[1]Raw_Data!E1645</f>
        <v>43.85</v>
      </c>
      <c r="F1647" s="5">
        <f>[1]Raw_Data!F1645</f>
        <v>6928.3</v>
      </c>
      <c r="G1647" s="4">
        <f>[1]Raw_Data!G1645</f>
        <v>0.12</v>
      </c>
      <c r="H1647" s="3">
        <f>[1]Raw_Data!H1645</f>
        <v>5</v>
      </c>
      <c r="I1647" s="3" t="str">
        <f>TRIM([1]Raw_Data!I1645)</f>
        <v>Canada</v>
      </c>
      <c r="J1647" s="3" t="str">
        <f>TRIM([1]Raw_Data!J1645)</f>
        <v>Walmart</v>
      </c>
      <c r="K1647" s="3">
        <f t="shared" si="100"/>
        <v>2021</v>
      </c>
      <c r="L1647" s="6">
        <f t="shared" si="101"/>
        <v>44531</v>
      </c>
      <c r="M1647" s="3" t="str">
        <f t="shared" si="102"/>
        <v>11% to 15%</v>
      </c>
      <c r="N1647" s="3" t="str">
        <f t="shared" si="103"/>
        <v>OK</v>
      </c>
    </row>
    <row r="1648" spans="1:14" x14ac:dyDescent="0.3">
      <c r="A1648" s="2">
        <f>DATE(VALUE(RIGHT(TRIM([1]Raw_Data!A1646),4)),VALUE(MID(TRIM([1]Raw_Data!A1646),4,2)),VALUE(LEFT(TRIM([1]Raw_Data!A1646),2)))</f>
        <v>44550</v>
      </c>
      <c r="B1648" s="3" t="str">
        <f>TRIM([1]Raw_Data!B1646)</f>
        <v>Biotin</v>
      </c>
      <c r="C1648" s="3" t="str">
        <f>TRIM([1]Raw_Data!C1646)</f>
        <v>Vitamin</v>
      </c>
      <c r="D1648" s="3">
        <f>[1]Raw_Data!D1646</f>
        <v>162</v>
      </c>
      <c r="E1648" s="4">
        <f>[1]Raw_Data!E1646</f>
        <v>22.59</v>
      </c>
      <c r="F1648" s="5">
        <f>[1]Raw_Data!F1646</f>
        <v>3659.58</v>
      </c>
      <c r="G1648" s="4">
        <f>[1]Raw_Data!G1646</f>
        <v>0.09</v>
      </c>
      <c r="H1648" s="3">
        <f>[1]Raw_Data!H1646</f>
        <v>0</v>
      </c>
      <c r="I1648" s="3" t="str">
        <f>TRIM([1]Raw_Data!I1646)</f>
        <v>UK</v>
      </c>
      <c r="J1648" s="3" t="str">
        <f>TRIM([1]Raw_Data!J1646)</f>
        <v>Amazon</v>
      </c>
      <c r="K1648" s="3">
        <f t="shared" si="100"/>
        <v>2021</v>
      </c>
      <c r="L1648" s="6">
        <f t="shared" si="101"/>
        <v>44531</v>
      </c>
      <c r="M1648" s="3" t="str">
        <f t="shared" si="102"/>
        <v>6% to 10%</v>
      </c>
      <c r="N1648" s="3" t="str">
        <f t="shared" si="103"/>
        <v>OK</v>
      </c>
    </row>
    <row r="1649" spans="1:14" x14ac:dyDescent="0.3">
      <c r="A1649" s="2">
        <f>DATE(VALUE(RIGHT(TRIM([1]Raw_Data!A1647),4)),VALUE(MID(TRIM([1]Raw_Data!A1647),4,2)),VALUE(LEFT(TRIM([1]Raw_Data!A1647),2)))</f>
        <v>44550</v>
      </c>
      <c r="B1649" s="3" t="str">
        <f>TRIM([1]Raw_Data!B1647)</f>
        <v>Green Tea Extract</v>
      </c>
      <c r="C1649" s="3" t="str">
        <f>TRIM([1]Raw_Data!C1647)</f>
        <v>Fat Burner</v>
      </c>
      <c r="D1649" s="3">
        <f>[1]Raw_Data!D1647</f>
        <v>151</v>
      </c>
      <c r="E1649" s="4">
        <f>[1]Raw_Data!E1647</f>
        <v>36.26</v>
      </c>
      <c r="F1649" s="5">
        <f>[1]Raw_Data!F1647</f>
        <v>5475.26</v>
      </c>
      <c r="G1649" s="4">
        <f>[1]Raw_Data!G1647</f>
        <v>0.24</v>
      </c>
      <c r="H1649" s="3">
        <f>[1]Raw_Data!H1647</f>
        <v>3</v>
      </c>
      <c r="I1649" s="3" t="str">
        <f>TRIM([1]Raw_Data!I1647)</f>
        <v>Canada</v>
      </c>
      <c r="J1649" s="3" t="str">
        <f>TRIM([1]Raw_Data!J1647)</f>
        <v>Amazon</v>
      </c>
      <c r="K1649" s="3">
        <f t="shared" si="100"/>
        <v>2021</v>
      </c>
      <c r="L1649" s="6">
        <f t="shared" si="101"/>
        <v>44531</v>
      </c>
      <c r="M1649" s="3" t="str">
        <f t="shared" si="102"/>
        <v>21% to 25%</v>
      </c>
      <c r="N1649" s="3" t="str">
        <f t="shared" si="103"/>
        <v>OK</v>
      </c>
    </row>
    <row r="1650" spans="1:14" x14ac:dyDescent="0.3">
      <c r="A1650" s="2">
        <f>DATE(VALUE(RIGHT(TRIM([1]Raw_Data!A1648),4)),VALUE(MID(TRIM([1]Raw_Data!A1648),4,2)),VALUE(LEFT(TRIM([1]Raw_Data!A1648),2)))</f>
        <v>44550</v>
      </c>
      <c r="B1650" s="3" t="str">
        <f>TRIM([1]Raw_Data!B1648)</f>
        <v>Iron Supplement</v>
      </c>
      <c r="C1650" s="3" t="str">
        <f>TRIM([1]Raw_Data!C1648)</f>
        <v>Mineral</v>
      </c>
      <c r="D1650" s="3">
        <f>[1]Raw_Data!D1648</f>
        <v>136</v>
      </c>
      <c r="E1650" s="4">
        <f>[1]Raw_Data!E1648</f>
        <v>31.2</v>
      </c>
      <c r="F1650" s="5">
        <f>[1]Raw_Data!F1648</f>
        <v>4243.2</v>
      </c>
      <c r="G1650" s="4">
        <f>[1]Raw_Data!G1648</f>
        <v>0.09</v>
      </c>
      <c r="H1650" s="3">
        <f>[1]Raw_Data!H1648</f>
        <v>2</v>
      </c>
      <c r="I1650" s="3" t="str">
        <f>TRIM([1]Raw_Data!I1648)</f>
        <v>UK</v>
      </c>
      <c r="J1650" s="3" t="str">
        <f>TRIM([1]Raw_Data!J1648)</f>
        <v>iHerb</v>
      </c>
      <c r="K1650" s="3">
        <f t="shared" si="100"/>
        <v>2021</v>
      </c>
      <c r="L1650" s="6">
        <f t="shared" si="101"/>
        <v>44531</v>
      </c>
      <c r="M1650" s="3" t="str">
        <f t="shared" si="102"/>
        <v>6% to 10%</v>
      </c>
      <c r="N1650" s="3" t="str">
        <f t="shared" si="103"/>
        <v>OK</v>
      </c>
    </row>
    <row r="1651" spans="1:14" x14ac:dyDescent="0.3">
      <c r="A1651" s="2">
        <f>DATE(VALUE(RIGHT(TRIM([1]Raw_Data!A1649),4)),VALUE(MID(TRIM([1]Raw_Data!A1649),4,2)),VALUE(LEFT(TRIM([1]Raw_Data!A1649),2)))</f>
        <v>44550</v>
      </c>
      <c r="B1651" s="3" t="str">
        <f>TRIM([1]Raw_Data!B1649)</f>
        <v>Electrolyte Powder</v>
      </c>
      <c r="C1651" s="3" t="str">
        <f>TRIM([1]Raw_Data!C1649)</f>
        <v>Hydration</v>
      </c>
      <c r="D1651" s="3">
        <f>[1]Raw_Data!D1649</f>
        <v>151</v>
      </c>
      <c r="E1651" s="4">
        <f>[1]Raw_Data!E1649</f>
        <v>52.65</v>
      </c>
      <c r="F1651" s="5">
        <f>[1]Raw_Data!F1649</f>
        <v>7950.15</v>
      </c>
      <c r="G1651" s="4">
        <f>[1]Raw_Data!G1649</f>
        <v>0.2</v>
      </c>
      <c r="H1651" s="3">
        <f>[1]Raw_Data!H1649</f>
        <v>0</v>
      </c>
      <c r="I1651" s="3" t="str">
        <f>TRIM([1]Raw_Data!I1649)</f>
        <v>USA</v>
      </c>
      <c r="J1651" s="3" t="str">
        <f>TRIM([1]Raw_Data!J1649)</f>
        <v>iHerb</v>
      </c>
      <c r="K1651" s="3">
        <f t="shared" si="100"/>
        <v>2021</v>
      </c>
      <c r="L1651" s="6">
        <f t="shared" si="101"/>
        <v>44531</v>
      </c>
      <c r="M1651" s="3" t="str">
        <f t="shared" si="102"/>
        <v>16% to 20%</v>
      </c>
      <c r="N1651" s="3" t="str">
        <f t="shared" si="103"/>
        <v>OK</v>
      </c>
    </row>
    <row r="1652" spans="1:14" x14ac:dyDescent="0.3">
      <c r="A1652" s="2">
        <f>DATE(VALUE(RIGHT(TRIM([1]Raw_Data!A1650),4)),VALUE(MID(TRIM([1]Raw_Data!A1650),4,2)),VALUE(LEFT(TRIM([1]Raw_Data!A1650),2)))</f>
        <v>44557</v>
      </c>
      <c r="B1652" s="3" t="str">
        <f>TRIM([1]Raw_Data!B1650)</f>
        <v>Whey Protein</v>
      </c>
      <c r="C1652" s="3" t="str">
        <f>TRIM([1]Raw_Data!C1650)</f>
        <v>Protein</v>
      </c>
      <c r="D1652" s="3">
        <f>[1]Raw_Data!D1650</f>
        <v>158</v>
      </c>
      <c r="E1652" s="4">
        <f>[1]Raw_Data!E1650</f>
        <v>24.73</v>
      </c>
      <c r="F1652" s="5">
        <f>[1]Raw_Data!F1650</f>
        <v>3907.34</v>
      </c>
      <c r="G1652" s="4">
        <f>[1]Raw_Data!G1650</f>
        <v>0.01</v>
      </c>
      <c r="H1652" s="3">
        <f>[1]Raw_Data!H1650</f>
        <v>1</v>
      </c>
      <c r="I1652" s="3" t="str">
        <f>TRIM([1]Raw_Data!I1650)</f>
        <v>UK</v>
      </c>
      <c r="J1652" s="3" t="str">
        <f>TRIM([1]Raw_Data!J1650)</f>
        <v>iHerb</v>
      </c>
      <c r="K1652" s="3">
        <f t="shared" si="100"/>
        <v>2021</v>
      </c>
      <c r="L1652" s="6">
        <f t="shared" si="101"/>
        <v>44531</v>
      </c>
      <c r="M1652" s="3" t="str">
        <f t="shared" si="102"/>
        <v>0% to 5%</v>
      </c>
      <c r="N1652" s="3" t="str">
        <f t="shared" si="103"/>
        <v>OK</v>
      </c>
    </row>
    <row r="1653" spans="1:14" x14ac:dyDescent="0.3">
      <c r="A1653" s="2">
        <f>DATE(VALUE(RIGHT(TRIM([1]Raw_Data!A1651),4)),VALUE(MID(TRIM([1]Raw_Data!A1651),4,2)),VALUE(LEFT(TRIM([1]Raw_Data!A1651),2)))</f>
        <v>44557</v>
      </c>
      <c r="B1653" s="3" t="str">
        <f>TRIM([1]Raw_Data!B1651)</f>
        <v>Vitamin C</v>
      </c>
      <c r="C1653" s="3" t="str">
        <f>TRIM([1]Raw_Data!C1651)</f>
        <v>Vitamin</v>
      </c>
      <c r="D1653" s="3">
        <f>[1]Raw_Data!D1651</f>
        <v>145</v>
      </c>
      <c r="E1653" s="4">
        <f>[1]Raw_Data!E1651</f>
        <v>44.73</v>
      </c>
      <c r="F1653" s="5">
        <f>[1]Raw_Data!F1651</f>
        <v>6485.85</v>
      </c>
      <c r="G1653" s="4">
        <f>[1]Raw_Data!G1651</f>
        <v>0.19</v>
      </c>
      <c r="H1653" s="3">
        <f>[1]Raw_Data!H1651</f>
        <v>1</v>
      </c>
      <c r="I1653" s="3" t="str">
        <f>TRIM([1]Raw_Data!I1651)</f>
        <v>USA</v>
      </c>
      <c r="J1653" s="3" t="str">
        <f>TRIM([1]Raw_Data!J1651)</f>
        <v>Amazon</v>
      </c>
      <c r="K1653" s="3">
        <f t="shared" si="100"/>
        <v>2021</v>
      </c>
      <c r="L1653" s="6">
        <f t="shared" si="101"/>
        <v>44531</v>
      </c>
      <c r="M1653" s="3" t="str">
        <f t="shared" si="102"/>
        <v>16% to 20%</v>
      </c>
      <c r="N1653" s="3" t="str">
        <f t="shared" si="103"/>
        <v>OK</v>
      </c>
    </row>
    <row r="1654" spans="1:14" x14ac:dyDescent="0.3">
      <c r="A1654" s="2">
        <f>DATE(VALUE(RIGHT(TRIM([1]Raw_Data!A1652),4)),VALUE(MID(TRIM([1]Raw_Data!A1652),4,2)),VALUE(LEFT(TRIM([1]Raw_Data!A1652),2)))</f>
        <v>44557</v>
      </c>
      <c r="B1654" s="3" t="str">
        <f>TRIM([1]Raw_Data!B1652)</f>
        <v>Fish Oil</v>
      </c>
      <c r="C1654" s="3" t="str">
        <f>TRIM([1]Raw_Data!C1652)</f>
        <v>Omega</v>
      </c>
      <c r="D1654" s="3">
        <f>[1]Raw_Data!D1652</f>
        <v>155</v>
      </c>
      <c r="E1654" s="4">
        <f>[1]Raw_Data!E1652</f>
        <v>22.32</v>
      </c>
      <c r="F1654" s="5">
        <f>[1]Raw_Data!F1652</f>
        <v>3459.6</v>
      </c>
      <c r="G1654" s="4">
        <f>[1]Raw_Data!G1652</f>
        <v>0</v>
      </c>
      <c r="H1654" s="3">
        <f>[1]Raw_Data!H1652</f>
        <v>1</v>
      </c>
      <c r="I1654" s="3" t="str">
        <f>TRIM([1]Raw_Data!I1652)</f>
        <v>Canada</v>
      </c>
      <c r="J1654" s="3" t="str">
        <f>TRIM([1]Raw_Data!J1652)</f>
        <v>Walmart</v>
      </c>
      <c r="K1654" s="3">
        <f t="shared" si="100"/>
        <v>2021</v>
      </c>
      <c r="L1654" s="6">
        <f t="shared" si="101"/>
        <v>44531</v>
      </c>
      <c r="M1654" s="3" t="str">
        <f t="shared" si="102"/>
        <v>0% to 5%</v>
      </c>
      <c r="N1654" s="3" t="str">
        <f t="shared" si="103"/>
        <v>OK</v>
      </c>
    </row>
    <row r="1655" spans="1:14" x14ac:dyDescent="0.3">
      <c r="A1655" s="2">
        <f>DATE(VALUE(RIGHT(TRIM([1]Raw_Data!A1653),4)),VALUE(MID(TRIM([1]Raw_Data!A1653),4,2)),VALUE(LEFT(TRIM([1]Raw_Data!A1653),2)))</f>
        <v>44557</v>
      </c>
      <c r="B1655" s="3" t="str">
        <f>TRIM([1]Raw_Data!B1653)</f>
        <v>Multivitamin</v>
      </c>
      <c r="C1655" s="3" t="str">
        <f>TRIM([1]Raw_Data!C1653)</f>
        <v>Vitamin</v>
      </c>
      <c r="D1655" s="3">
        <f>[1]Raw_Data!D1653</f>
        <v>135</v>
      </c>
      <c r="E1655" s="4">
        <f>[1]Raw_Data!E1653</f>
        <v>18.329999999999998</v>
      </c>
      <c r="F1655" s="5">
        <f>[1]Raw_Data!F1653</f>
        <v>2474.5500000000002</v>
      </c>
      <c r="G1655" s="4">
        <f>[1]Raw_Data!G1653</f>
        <v>0.13</v>
      </c>
      <c r="H1655" s="3">
        <f>[1]Raw_Data!H1653</f>
        <v>1</v>
      </c>
      <c r="I1655" s="3" t="str">
        <f>TRIM([1]Raw_Data!I1653)</f>
        <v>USA</v>
      </c>
      <c r="J1655" s="3" t="str">
        <f>TRIM([1]Raw_Data!J1653)</f>
        <v>iHerb</v>
      </c>
      <c r="K1655" s="3">
        <f t="shared" si="100"/>
        <v>2021</v>
      </c>
      <c r="L1655" s="6">
        <f t="shared" si="101"/>
        <v>44531</v>
      </c>
      <c r="M1655" s="3" t="str">
        <f t="shared" si="102"/>
        <v>11% to 15%</v>
      </c>
      <c r="N1655" s="3" t="str">
        <f t="shared" si="103"/>
        <v>OK</v>
      </c>
    </row>
    <row r="1656" spans="1:14" x14ac:dyDescent="0.3">
      <c r="A1656" s="2">
        <f>DATE(VALUE(RIGHT(TRIM([1]Raw_Data!A1654),4)),VALUE(MID(TRIM([1]Raw_Data!A1654),4,2)),VALUE(LEFT(TRIM([1]Raw_Data!A1654),2)))</f>
        <v>44557</v>
      </c>
      <c r="B1656" s="3" t="str">
        <f>TRIM([1]Raw_Data!B1654)</f>
        <v>Pre-Workout</v>
      </c>
      <c r="C1656" s="3" t="str">
        <f>TRIM([1]Raw_Data!C1654)</f>
        <v>Performance</v>
      </c>
      <c r="D1656" s="3">
        <f>[1]Raw_Data!D1654</f>
        <v>142</v>
      </c>
      <c r="E1656" s="4">
        <f>[1]Raw_Data!E1654</f>
        <v>11.86</v>
      </c>
      <c r="F1656" s="5">
        <f>[1]Raw_Data!F1654</f>
        <v>1684.12</v>
      </c>
      <c r="G1656" s="4">
        <f>[1]Raw_Data!G1654</f>
        <v>0.01</v>
      </c>
      <c r="H1656" s="3">
        <f>[1]Raw_Data!H1654</f>
        <v>2</v>
      </c>
      <c r="I1656" s="3" t="str">
        <f>TRIM([1]Raw_Data!I1654)</f>
        <v>Canada</v>
      </c>
      <c r="J1656" s="3" t="str">
        <f>TRIM([1]Raw_Data!J1654)</f>
        <v>Amazon</v>
      </c>
      <c r="K1656" s="3">
        <f t="shared" si="100"/>
        <v>2021</v>
      </c>
      <c r="L1656" s="6">
        <f t="shared" si="101"/>
        <v>44531</v>
      </c>
      <c r="M1656" s="3" t="str">
        <f t="shared" si="102"/>
        <v>0% to 5%</v>
      </c>
      <c r="N1656" s="3" t="str">
        <f t="shared" si="103"/>
        <v>OK</v>
      </c>
    </row>
    <row r="1657" spans="1:14" x14ac:dyDescent="0.3">
      <c r="A1657" s="2">
        <f>DATE(VALUE(RIGHT(TRIM([1]Raw_Data!A1655),4)),VALUE(MID(TRIM([1]Raw_Data!A1655),4,2)),VALUE(LEFT(TRIM([1]Raw_Data!A1655),2)))</f>
        <v>44557</v>
      </c>
      <c r="B1657" s="3" t="str">
        <f>TRIM([1]Raw_Data!B1655)</f>
        <v>BCAA</v>
      </c>
      <c r="C1657" s="3" t="str">
        <f>TRIM([1]Raw_Data!C1655)</f>
        <v>Amino Acid</v>
      </c>
      <c r="D1657" s="3">
        <f>[1]Raw_Data!D1655</f>
        <v>143</v>
      </c>
      <c r="E1657" s="4">
        <f>[1]Raw_Data!E1655</f>
        <v>31.59</v>
      </c>
      <c r="F1657" s="5">
        <f>[1]Raw_Data!F1655</f>
        <v>4517.37</v>
      </c>
      <c r="G1657" s="4">
        <f>[1]Raw_Data!G1655</f>
        <v>0.11</v>
      </c>
      <c r="H1657" s="3">
        <f>[1]Raw_Data!H1655</f>
        <v>1</v>
      </c>
      <c r="I1657" s="3" t="str">
        <f>TRIM([1]Raw_Data!I1655)</f>
        <v>Canada</v>
      </c>
      <c r="J1657" s="3" t="str">
        <f>TRIM([1]Raw_Data!J1655)</f>
        <v>iHerb</v>
      </c>
      <c r="K1657" s="3">
        <f t="shared" si="100"/>
        <v>2021</v>
      </c>
      <c r="L1657" s="6">
        <f t="shared" si="101"/>
        <v>44531</v>
      </c>
      <c r="M1657" s="3" t="str">
        <f t="shared" si="102"/>
        <v>11% to 15%</v>
      </c>
      <c r="N1657" s="3" t="str">
        <f t="shared" si="103"/>
        <v>OK</v>
      </c>
    </row>
    <row r="1658" spans="1:14" x14ac:dyDescent="0.3">
      <c r="A1658" s="2">
        <f>DATE(VALUE(RIGHT(TRIM([1]Raw_Data!A1656),4)),VALUE(MID(TRIM([1]Raw_Data!A1656),4,2)),VALUE(LEFT(TRIM([1]Raw_Data!A1656),2)))</f>
        <v>44557</v>
      </c>
      <c r="B1658" s="3" t="str">
        <f>TRIM([1]Raw_Data!B1656)</f>
        <v>Creatine</v>
      </c>
      <c r="C1658" s="3" t="str">
        <f>TRIM([1]Raw_Data!C1656)</f>
        <v>Performance</v>
      </c>
      <c r="D1658" s="3">
        <f>[1]Raw_Data!D1656</f>
        <v>158</v>
      </c>
      <c r="E1658" s="4">
        <f>[1]Raw_Data!E1656</f>
        <v>16.079999999999998</v>
      </c>
      <c r="F1658" s="5">
        <f>[1]Raw_Data!F1656</f>
        <v>2540.64</v>
      </c>
      <c r="G1658" s="4">
        <f>[1]Raw_Data!G1656</f>
        <v>0.14000000000000001</v>
      </c>
      <c r="H1658" s="3">
        <f>[1]Raw_Data!H1656</f>
        <v>1</v>
      </c>
      <c r="I1658" s="3" t="str">
        <f>TRIM([1]Raw_Data!I1656)</f>
        <v>Canada</v>
      </c>
      <c r="J1658" s="3" t="str">
        <f>TRIM([1]Raw_Data!J1656)</f>
        <v>Walmart</v>
      </c>
      <c r="K1658" s="3">
        <f t="shared" si="100"/>
        <v>2021</v>
      </c>
      <c r="L1658" s="6">
        <f t="shared" si="101"/>
        <v>44531</v>
      </c>
      <c r="M1658" s="3" t="str">
        <f t="shared" si="102"/>
        <v>11% to 15%</v>
      </c>
      <c r="N1658" s="3" t="str">
        <f t="shared" si="103"/>
        <v>OK</v>
      </c>
    </row>
    <row r="1659" spans="1:14" x14ac:dyDescent="0.3">
      <c r="A1659" s="2">
        <f>DATE(VALUE(RIGHT(TRIM([1]Raw_Data!A1657),4)),VALUE(MID(TRIM([1]Raw_Data!A1657),4,2)),VALUE(LEFT(TRIM([1]Raw_Data!A1657),2)))</f>
        <v>44557</v>
      </c>
      <c r="B1659" s="3" t="str">
        <f>TRIM([1]Raw_Data!B1657)</f>
        <v>Zinc</v>
      </c>
      <c r="C1659" s="3" t="str">
        <f>TRIM([1]Raw_Data!C1657)</f>
        <v>Mineral</v>
      </c>
      <c r="D1659" s="3">
        <f>[1]Raw_Data!D1657</f>
        <v>148</v>
      </c>
      <c r="E1659" s="4">
        <f>[1]Raw_Data!E1657</f>
        <v>34.71</v>
      </c>
      <c r="F1659" s="5">
        <f>[1]Raw_Data!F1657</f>
        <v>5137.08</v>
      </c>
      <c r="G1659" s="4">
        <f>[1]Raw_Data!G1657</f>
        <v>0.16</v>
      </c>
      <c r="H1659" s="3">
        <f>[1]Raw_Data!H1657</f>
        <v>1</v>
      </c>
      <c r="I1659" s="3" t="str">
        <f>TRIM([1]Raw_Data!I1657)</f>
        <v>USA</v>
      </c>
      <c r="J1659" s="3" t="str">
        <f>TRIM([1]Raw_Data!J1657)</f>
        <v>Walmart</v>
      </c>
      <c r="K1659" s="3">
        <f t="shared" si="100"/>
        <v>2021</v>
      </c>
      <c r="L1659" s="6">
        <f t="shared" si="101"/>
        <v>44531</v>
      </c>
      <c r="M1659" s="3" t="str">
        <f t="shared" si="102"/>
        <v>16% to 20%</v>
      </c>
      <c r="N1659" s="3" t="str">
        <f t="shared" si="103"/>
        <v>OK</v>
      </c>
    </row>
    <row r="1660" spans="1:14" x14ac:dyDescent="0.3">
      <c r="A1660" s="2">
        <f>DATE(VALUE(RIGHT(TRIM([1]Raw_Data!A1658),4)),VALUE(MID(TRIM([1]Raw_Data!A1658),4,2)),VALUE(LEFT(TRIM([1]Raw_Data!A1658),2)))</f>
        <v>44557</v>
      </c>
      <c r="B1660" s="3" t="str">
        <f>TRIM([1]Raw_Data!B1658)</f>
        <v>Collagen Peptides</v>
      </c>
      <c r="C1660" s="3" t="str">
        <f>TRIM([1]Raw_Data!C1658)</f>
        <v>Protein</v>
      </c>
      <c r="D1660" s="3">
        <f>[1]Raw_Data!D1658</f>
        <v>159</v>
      </c>
      <c r="E1660" s="4">
        <f>[1]Raw_Data!E1658</f>
        <v>36.71</v>
      </c>
      <c r="F1660" s="5">
        <f>[1]Raw_Data!F1658</f>
        <v>5836.89</v>
      </c>
      <c r="G1660" s="4">
        <f>[1]Raw_Data!G1658</f>
        <v>0.17</v>
      </c>
      <c r="H1660" s="3">
        <f>[1]Raw_Data!H1658</f>
        <v>3</v>
      </c>
      <c r="I1660" s="3" t="str">
        <f>TRIM([1]Raw_Data!I1658)</f>
        <v>UK</v>
      </c>
      <c r="J1660" s="3" t="str">
        <f>TRIM([1]Raw_Data!J1658)</f>
        <v>iHerb</v>
      </c>
      <c r="K1660" s="3">
        <f t="shared" si="100"/>
        <v>2021</v>
      </c>
      <c r="L1660" s="6">
        <f t="shared" si="101"/>
        <v>44531</v>
      </c>
      <c r="M1660" s="3" t="str">
        <f t="shared" si="102"/>
        <v>16% to 20%</v>
      </c>
      <c r="N1660" s="3" t="str">
        <f t="shared" si="103"/>
        <v>OK</v>
      </c>
    </row>
    <row r="1661" spans="1:14" x14ac:dyDescent="0.3">
      <c r="A1661" s="2">
        <f>DATE(VALUE(RIGHT(TRIM([1]Raw_Data!A1659),4)),VALUE(MID(TRIM([1]Raw_Data!A1659),4,2)),VALUE(LEFT(TRIM([1]Raw_Data!A1659),2)))</f>
        <v>44557</v>
      </c>
      <c r="B1661" s="3" t="str">
        <f>TRIM([1]Raw_Data!B1659)</f>
        <v>Magnesium</v>
      </c>
      <c r="C1661" s="3" t="str">
        <f>TRIM([1]Raw_Data!C1659)</f>
        <v>Mineral</v>
      </c>
      <c r="D1661" s="3">
        <f>[1]Raw_Data!D1659</f>
        <v>148</v>
      </c>
      <c r="E1661" s="4">
        <f>[1]Raw_Data!E1659</f>
        <v>48.21</v>
      </c>
      <c r="F1661" s="5">
        <f>[1]Raw_Data!F1659</f>
        <v>7135.08</v>
      </c>
      <c r="G1661" s="4">
        <f>[1]Raw_Data!G1659</f>
        <v>0.15</v>
      </c>
      <c r="H1661" s="3">
        <f>[1]Raw_Data!H1659</f>
        <v>0</v>
      </c>
      <c r="I1661" s="3" t="str">
        <f>TRIM([1]Raw_Data!I1659)</f>
        <v>USA</v>
      </c>
      <c r="J1661" s="3" t="str">
        <f>TRIM([1]Raw_Data!J1659)</f>
        <v>iHerb</v>
      </c>
      <c r="K1661" s="3">
        <f t="shared" si="100"/>
        <v>2021</v>
      </c>
      <c r="L1661" s="6">
        <f t="shared" si="101"/>
        <v>44531</v>
      </c>
      <c r="M1661" s="3" t="str">
        <f t="shared" si="102"/>
        <v>11% to 15%</v>
      </c>
      <c r="N1661" s="3" t="str">
        <f t="shared" si="103"/>
        <v>OK</v>
      </c>
    </row>
    <row r="1662" spans="1:14" x14ac:dyDescent="0.3">
      <c r="A1662" s="2">
        <f>DATE(VALUE(RIGHT(TRIM([1]Raw_Data!A1660),4)),VALUE(MID(TRIM([1]Raw_Data!A1660),4,2)),VALUE(LEFT(TRIM([1]Raw_Data!A1660),2)))</f>
        <v>44557</v>
      </c>
      <c r="B1662" s="3" t="str">
        <f>TRIM([1]Raw_Data!B1660)</f>
        <v>Ashwagandha</v>
      </c>
      <c r="C1662" s="3" t="str">
        <f>TRIM([1]Raw_Data!C1660)</f>
        <v>Herbal</v>
      </c>
      <c r="D1662" s="3">
        <f>[1]Raw_Data!D1660</f>
        <v>168</v>
      </c>
      <c r="E1662" s="4">
        <f>[1]Raw_Data!E1660</f>
        <v>47.42</v>
      </c>
      <c r="F1662" s="5">
        <f>[1]Raw_Data!F1660</f>
        <v>7966.56</v>
      </c>
      <c r="G1662" s="4">
        <f>[1]Raw_Data!G1660</f>
        <v>0.19</v>
      </c>
      <c r="H1662" s="3">
        <f>[1]Raw_Data!H1660</f>
        <v>4</v>
      </c>
      <c r="I1662" s="3" t="str">
        <f>TRIM([1]Raw_Data!I1660)</f>
        <v>Canada</v>
      </c>
      <c r="J1662" s="3" t="str">
        <f>TRIM([1]Raw_Data!J1660)</f>
        <v>iHerb</v>
      </c>
      <c r="K1662" s="3">
        <f t="shared" si="100"/>
        <v>2021</v>
      </c>
      <c r="L1662" s="6">
        <f t="shared" si="101"/>
        <v>44531</v>
      </c>
      <c r="M1662" s="3" t="str">
        <f t="shared" si="102"/>
        <v>16% to 20%</v>
      </c>
      <c r="N1662" s="3" t="str">
        <f t="shared" si="103"/>
        <v>OK</v>
      </c>
    </row>
    <row r="1663" spans="1:14" x14ac:dyDescent="0.3">
      <c r="A1663" s="2">
        <f>DATE(VALUE(RIGHT(TRIM([1]Raw_Data!A1661),4)),VALUE(MID(TRIM([1]Raw_Data!A1661),4,2)),VALUE(LEFT(TRIM([1]Raw_Data!A1661),2)))</f>
        <v>44557</v>
      </c>
      <c r="B1663" s="3" t="str">
        <f>TRIM([1]Raw_Data!B1661)</f>
        <v>Melatonin</v>
      </c>
      <c r="C1663" s="3" t="str">
        <f>TRIM([1]Raw_Data!C1661)</f>
        <v>Sleep Aid</v>
      </c>
      <c r="D1663" s="3">
        <f>[1]Raw_Data!D1661</f>
        <v>124</v>
      </c>
      <c r="E1663" s="4">
        <f>[1]Raw_Data!E1661</f>
        <v>31.39</v>
      </c>
      <c r="F1663" s="5">
        <f>[1]Raw_Data!F1661</f>
        <v>3892.36</v>
      </c>
      <c r="G1663" s="4">
        <f>[1]Raw_Data!G1661</f>
        <v>0.08</v>
      </c>
      <c r="H1663" s="3">
        <f>[1]Raw_Data!H1661</f>
        <v>0</v>
      </c>
      <c r="I1663" s="3" t="str">
        <f>TRIM([1]Raw_Data!I1661)</f>
        <v>USA</v>
      </c>
      <c r="J1663" s="3" t="str">
        <f>TRIM([1]Raw_Data!J1661)</f>
        <v>Walmart</v>
      </c>
      <c r="K1663" s="3">
        <f t="shared" si="100"/>
        <v>2021</v>
      </c>
      <c r="L1663" s="6">
        <f t="shared" si="101"/>
        <v>44531</v>
      </c>
      <c r="M1663" s="3" t="str">
        <f t="shared" si="102"/>
        <v>6% to 10%</v>
      </c>
      <c r="N1663" s="3" t="str">
        <f t="shared" si="103"/>
        <v>OK</v>
      </c>
    </row>
    <row r="1664" spans="1:14" x14ac:dyDescent="0.3">
      <c r="A1664" s="2">
        <f>DATE(VALUE(RIGHT(TRIM([1]Raw_Data!A1662),4)),VALUE(MID(TRIM([1]Raw_Data!A1662),4,2)),VALUE(LEFT(TRIM([1]Raw_Data!A1662),2)))</f>
        <v>44557</v>
      </c>
      <c r="B1664" s="3" t="str">
        <f>TRIM([1]Raw_Data!B1662)</f>
        <v>Biotin</v>
      </c>
      <c r="C1664" s="3" t="str">
        <f>TRIM([1]Raw_Data!C1662)</f>
        <v>Vitamin</v>
      </c>
      <c r="D1664" s="3">
        <f>[1]Raw_Data!D1662</f>
        <v>152</v>
      </c>
      <c r="E1664" s="4">
        <f>[1]Raw_Data!E1662</f>
        <v>15.23</v>
      </c>
      <c r="F1664" s="5">
        <f>[1]Raw_Data!F1662</f>
        <v>2314.96</v>
      </c>
      <c r="G1664" s="4">
        <f>[1]Raw_Data!G1662</f>
        <v>0.15</v>
      </c>
      <c r="H1664" s="3">
        <f>[1]Raw_Data!H1662</f>
        <v>2</v>
      </c>
      <c r="I1664" s="3" t="str">
        <f>TRIM([1]Raw_Data!I1662)</f>
        <v>UK</v>
      </c>
      <c r="J1664" s="3" t="str">
        <f>TRIM([1]Raw_Data!J1662)</f>
        <v>Amazon</v>
      </c>
      <c r="K1664" s="3">
        <f t="shared" si="100"/>
        <v>2021</v>
      </c>
      <c r="L1664" s="6">
        <f t="shared" si="101"/>
        <v>44531</v>
      </c>
      <c r="M1664" s="3" t="str">
        <f t="shared" si="102"/>
        <v>11% to 15%</v>
      </c>
      <c r="N1664" s="3" t="str">
        <f t="shared" si="103"/>
        <v>OK</v>
      </c>
    </row>
    <row r="1665" spans="1:14" x14ac:dyDescent="0.3">
      <c r="A1665" s="2">
        <f>DATE(VALUE(RIGHT(TRIM([1]Raw_Data!A1663),4)),VALUE(MID(TRIM([1]Raw_Data!A1663),4,2)),VALUE(LEFT(TRIM([1]Raw_Data!A1663),2)))</f>
        <v>44557</v>
      </c>
      <c r="B1665" s="3" t="str">
        <f>TRIM([1]Raw_Data!B1663)</f>
        <v>Green Tea Extract</v>
      </c>
      <c r="C1665" s="3" t="str">
        <f>TRIM([1]Raw_Data!C1663)</f>
        <v>Fat Burner</v>
      </c>
      <c r="D1665" s="3">
        <f>[1]Raw_Data!D1663</f>
        <v>147</v>
      </c>
      <c r="E1665" s="4">
        <f>[1]Raw_Data!E1663</f>
        <v>53.27</v>
      </c>
      <c r="F1665" s="5">
        <f>[1]Raw_Data!F1663</f>
        <v>7830.69</v>
      </c>
      <c r="G1665" s="4">
        <f>[1]Raw_Data!G1663</f>
        <v>7.0000000000000007E-2</v>
      </c>
      <c r="H1665" s="3">
        <f>[1]Raw_Data!H1663</f>
        <v>0</v>
      </c>
      <c r="I1665" s="3" t="str">
        <f>TRIM([1]Raw_Data!I1663)</f>
        <v>USA</v>
      </c>
      <c r="J1665" s="3" t="str">
        <f>TRIM([1]Raw_Data!J1663)</f>
        <v>Amazon</v>
      </c>
      <c r="K1665" s="3">
        <f t="shared" si="100"/>
        <v>2021</v>
      </c>
      <c r="L1665" s="6">
        <f t="shared" si="101"/>
        <v>44531</v>
      </c>
      <c r="M1665" s="3" t="str">
        <f t="shared" si="102"/>
        <v>6% to 10%</v>
      </c>
      <c r="N1665" s="3" t="str">
        <f t="shared" si="103"/>
        <v>OK</v>
      </c>
    </row>
    <row r="1666" spans="1:14" x14ac:dyDescent="0.3">
      <c r="A1666" s="2">
        <f>DATE(VALUE(RIGHT(TRIM([1]Raw_Data!A1664),4)),VALUE(MID(TRIM([1]Raw_Data!A1664),4,2)),VALUE(LEFT(TRIM([1]Raw_Data!A1664),2)))</f>
        <v>44557</v>
      </c>
      <c r="B1666" s="3" t="str">
        <f>TRIM([1]Raw_Data!B1664)</f>
        <v>Iron Supplement</v>
      </c>
      <c r="C1666" s="3" t="str">
        <f>TRIM([1]Raw_Data!C1664)</f>
        <v>Mineral</v>
      </c>
      <c r="D1666" s="3">
        <f>[1]Raw_Data!D1664</f>
        <v>148</v>
      </c>
      <c r="E1666" s="4">
        <f>[1]Raw_Data!E1664</f>
        <v>38.79</v>
      </c>
      <c r="F1666" s="5">
        <f>[1]Raw_Data!F1664</f>
        <v>5740.92</v>
      </c>
      <c r="G1666" s="4">
        <f>[1]Raw_Data!G1664</f>
        <v>0.15</v>
      </c>
      <c r="H1666" s="3">
        <f>[1]Raw_Data!H1664</f>
        <v>2</v>
      </c>
      <c r="I1666" s="3" t="str">
        <f>TRIM([1]Raw_Data!I1664)</f>
        <v>Canada</v>
      </c>
      <c r="J1666" s="3" t="str">
        <f>TRIM([1]Raw_Data!J1664)</f>
        <v>iHerb</v>
      </c>
      <c r="K1666" s="3">
        <f t="shared" si="100"/>
        <v>2021</v>
      </c>
      <c r="L1666" s="6">
        <f t="shared" si="101"/>
        <v>44531</v>
      </c>
      <c r="M1666" s="3" t="str">
        <f t="shared" si="102"/>
        <v>11% to 15%</v>
      </c>
      <c r="N1666" s="3" t="str">
        <f t="shared" si="103"/>
        <v>OK</v>
      </c>
    </row>
    <row r="1667" spans="1:14" x14ac:dyDescent="0.3">
      <c r="A1667" s="2">
        <f>DATE(VALUE(RIGHT(TRIM([1]Raw_Data!A1665),4)),VALUE(MID(TRIM([1]Raw_Data!A1665),4,2)),VALUE(LEFT(TRIM([1]Raw_Data!A1665),2)))</f>
        <v>44557</v>
      </c>
      <c r="B1667" s="3" t="str">
        <f>TRIM([1]Raw_Data!B1665)</f>
        <v>Electrolyte Powder</v>
      </c>
      <c r="C1667" s="3" t="str">
        <f>TRIM([1]Raw_Data!C1665)</f>
        <v>Hydration</v>
      </c>
      <c r="D1667" s="3">
        <f>[1]Raw_Data!D1665</f>
        <v>150</v>
      </c>
      <c r="E1667" s="4">
        <f>[1]Raw_Data!E1665</f>
        <v>52.91</v>
      </c>
      <c r="F1667" s="5">
        <f>[1]Raw_Data!F1665</f>
        <v>7936.5</v>
      </c>
      <c r="G1667" s="4">
        <f>[1]Raw_Data!G1665</f>
        <v>0.08</v>
      </c>
      <c r="H1667" s="3">
        <f>[1]Raw_Data!H1665</f>
        <v>4</v>
      </c>
      <c r="I1667" s="3" t="str">
        <f>TRIM([1]Raw_Data!I1665)</f>
        <v>USA</v>
      </c>
      <c r="J1667" s="3" t="str">
        <f>TRIM([1]Raw_Data!J1665)</f>
        <v>iHerb</v>
      </c>
      <c r="K1667" s="3">
        <f t="shared" si="100"/>
        <v>2021</v>
      </c>
      <c r="L1667" s="6">
        <f t="shared" si="101"/>
        <v>44531</v>
      </c>
      <c r="M1667" s="3" t="str">
        <f t="shared" si="102"/>
        <v>6% to 10%</v>
      </c>
      <c r="N1667" s="3" t="str">
        <f t="shared" si="103"/>
        <v>OK</v>
      </c>
    </row>
    <row r="1668" spans="1:14" x14ac:dyDescent="0.3">
      <c r="A1668" s="2">
        <f>DATE(VALUE(RIGHT(TRIM([1]Raw_Data!A1666),4)),VALUE(MID(TRIM([1]Raw_Data!A1666),4,2)),VALUE(LEFT(TRIM([1]Raw_Data!A1666),2)))</f>
        <v>44564</v>
      </c>
      <c r="B1668" s="3" t="str">
        <f>TRIM([1]Raw_Data!B1666)</f>
        <v>Whey Protein</v>
      </c>
      <c r="C1668" s="3" t="str">
        <f>TRIM([1]Raw_Data!C1666)</f>
        <v>Protein</v>
      </c>
      <c r="D1668" s="3">
        <f>[1]Raw_Data!D1666</f>
        <v>130</v>
      </c>
      <c r="E1668" s="4">
        <f>[1]Raw_Data!E1666</f>
        <v>12.33</v>
      </c>
      <c r="F1668" s="5">
        <f>[1]Raw_Data!F1666</f>
        <v>1602.9</v>
      </c>
      <c r="G1668" s="4">
        <f>[1]Raw_Data!G1666</f>
        <v>0.18</v>
      </c>
      <c r="H1668" s="3">
        <f>[1]Raw_Data!H1666</f>
        <v>2</v>
      </c>
      <c r="I1668" s="3" t="str">
        <f>TRIM([1]Raw_Data!I1666)</f>
        <v>Canada</v>
      </c>
      <c r="J1668" s="3" t="str">
        <f>TRIM([1]Raw_Data!J1666)</f>
        <v>iHerb</v>
      </c>
      <c r="K1668" s="3">
        <f t="shared" ref="K1668:K1731" si="104">YEAR(A1668)</f>
        <v>2022</v>
      </c>
      <c r="L1668" s="6">
        <f t="shared" ref="L1668:L1731" si="105">DATE(YEAR(A1668),MONTH(A1668),1)</f>
        <v>44562</v>
      </c>
      <c r="M1668" s="3" t="str">
        <f t="shared" ref="M1668:M1731" si="106">IF(ROUND(G1668*100,0)&lt;=5,"0% to 5%",IF(ROUND(G1668*100,0)&lt;=10,"6% to 10%",IF(ROUND(G1668*100,0)&lt;=15,"11% to 15%",IF(ROUND(G1668*100,0)&lt;=20,"16% to 20%","21% to 25%"))))</f>
        <v>16% to 20%</v>
      </c>
      <c r="N1668" s="3" t="str">
        <f t="shared" ref="N1668:N1731" si="107">IF(ROUND(D1668*E1668,2)=ROUND(F1668,2),"OK","Check")</f>
        <v>OK</v>
      </c>
    </row>
    <row r="1669" spans="1:14" x14ac:dyDescent="0.3">
      <c r="A1669" s="2">
        <f>DATE(VALUE(RIGHT(TRIM([1]Raw_Data!A1667),4)),VALUE(MID(TRIM([1]Raw_Data!A1667),4,2)),VALUE(LEFT(TRIM([1]Raw_Data!A1667),2)))</f>
        <v>44564</v>
      </c>
      <c r="B1669" s="3" t="str">
        <f>TRIM([1]Raw_Data!B1667)</f>
        <v>Vitamin C</v>
      </c>
      <c r="C1669" s="3" t="str">
        <f>TRIM([1]Raw_Data!C1667)</f>
        <v>Vitamin</v>
      </c>
      <c r="D1669" s="3">
        <f>[1]Raw_Data!D1667</f>
        <v>148</v>
      </c>
      <c r="E1669" s="4">
        <f>[1]Raw_Data!E1667</f>
        <v>39.51</v>
      </c>
      <c r="F1669" s="5">
        <f>[1]Raw_Data!F1667</f>
        <v>5847.48</v>
      </c>
      <c r="G1669" s="4">
        <f>[1]Raw_Data!G1667</f>
        <v>0.16</v>
      </c>
      <c r="H1669" s="3">
        <f>[1]Raw_Data!H1667</f>
        <v>3</v>
      </c>
      <c r="I1669" s="3" t="str">
        <f>TRIM([1]Raw_Data!I1667)</f>
        <v>USA</v>
      </c>
      <c r="J1669" s="3" t="str">
        <f>TRIM([1]Raw_Data!J1667)</f>
        <v>Walmart</v>
      </c>
      <c r="K1669" s="3">
        <f t="shared" si="104"/>
        <v>2022</v>
      </c>
      <c r="L1669" s="6">
        <f t="shared" si="105"/>
        <v>44562</v>
      </c>
      <c r="M1669" s="3" t="str">
        <f t="shared" si="106"/>
        <v>16% to 20%</v>
      </c>
      <c r="N1669" s="3" t="str">
        <f t="shared" si="107"/>
        <v>OK</v>
      </c>
    </row>
    <row r="1670" spans="1:14" x14ac:dyDescent="0.3">
      <c r="A1670" s="2">
        <f>DATE(VALUE(RIGHT(TRIM([1]Raw_Data!A1668),4)),VALUE(MID(TRIM([1]Raw_Data!A1668),4,2)),VALUE(LEFT(TRIM([1]Raw_Data!A1668),2)))</f>
        <v>44564</v>
      </c>
      <c r="B1670" s="3" t="str">
        <f>TRIM([1]Raw_Data!B1668)</f>
        <v>Fish Oil</v>
      </c>
      <c r="C1670" s="3" t="str">
        <f>TRIM([1]Raw_Data!C1668)</f>
        <v>Omega</v>
      </c>
      <c r="D1670" s="3">
        <f>[1]Raw_Data!D1668</f>
        <v>142</v>
      </c>
      <c r="E1670" s="4">
        <f>[1]Raw_Data!E1668</f>
        <v>55.3</v>
      </c>
      <c r="F1670" s="5">
        <f>[1]Raw_Data!F1668</f>
        <v>7852.6</v>
      </c>
      <c r="G1670" s="4">
        <f>[1]Raw_Data!G1668</f>
        <v>0.23</v>
      </c>
      <c r="H1670" s="3">
        <f>[1]Raw_Data!H1668</f>
        <v>4</v>
      </c>
      <c r="I1670" s="3" t="str">
        <f>TRIM([1]Raw_Data!I1668)</f>
        <v>USA</v>
      </c>
      <c r="J1670" s="3" t="str">
        <f>TRIM([1]Raw_Data!J1668)</f>
        <v>Amazon</v>
      </c>
      <c r="K1670" s="3">
        <f t="shared" si="104"/>
        <v>2022</v>
      </c>
      <c r="L1670" s="6">
        <f t="shared" si="105"/>
        <v>44562</v>
      </c>
      <c r="M1670" s="3" t="str">
        <f t="shared" si="106"/>
        <v>21% to 25%</v>
      </c>
      <c r="N1670" s="3" t="str">
        <f t="shared" si="107"/>
        <v>OK</v>
      </c>
    </row>
    <row r="1671" spans="1:14" x14ac:dyDescent="0.3">
      <c r="A1671" s="2">
        <f>DATE(VALUE(RIGHT(TRIM([1]Raw_Data!A1669),4)),VALUE(MID(TRIM([1]Raw_Data!A1669),4,2)),VALUE(LEFT(TRIM([1]Raw_Data!A1669),2)))</f>
        <v>44564</v>
      </c>
      <c r="B1671" s="3" t="str">
        <f>TRIM([1]Raw_Data!B1669)</f>
        <v>Multivitamin</v>
      </c>
      <c r="C1671" s="3" t="str">
        <f>TRIM([1]Raw_Data!C1669)</f>
        <v>Vitamin</v>
      </c>
      <c r="D1671" s="3">
        <f>[1]Raw_Data!D1669</f>
        <v>169</v>
      </c>
      <c r="E1671" s="4">
        <f>[1]Raw_Data!E1669</f>
        <v>51.19</v>
      </c>
      <c r="F1671" s="5">
        <f>[1]Raw_Data!F1669</f>
        <v>8651.11</v>
      </c>
      <c r="G1671" s="4">
        <f>[1]Raw_Data!G1669</f>
        <v>0.1</v>
      </c>
      <c r="H1671" s="3">
        <f>[1]Raw_Data!H1669</f>
        <v>5</v>
      </c>
      <c r="I1671" s="3" t="str">
        <f>TRIM([1]Raw_Data!I1669)</f>
        <v>UK</v>
      </c>
      <c r="J1671" s="3" t="str">
        <f>TRIM([1]Raw_Data!J1669)</f>
        <v>Walmart</v>
      </c>
      <c r="K1671" s="3">
        <f t="shared" si="104"/>
        <v>2022</v>
      </c>
      <c r="L1671" s="6">
        <f t="shared" si="105"/>
        <v>44562</v>
      </c>
      <c r="M1671" s="3" t="str">
        <f t="shared" si="106"/>
        <v>6% to 10%</v>
      </c>
      <c r="N1671" s="3" t="str">
        <f t="shared" si="107"/>
        <v>OK</v>
      </c>
    </row>
    <row r="1672" spans="1:14" x14ac:dyDescent="0.3">
      <c r="A1672" s="2">
        <f>DATE(VALUE(RIGHT(TRIM([1]Raw_Data!A1670),4)),VALUE(MID(TRIM([1]Raw_Data!A1670),4,2)),VALUE(LEFT(TRIM([1]Raw_Data!A1670),2)))</f>
        <v>44564</v>
      </c>
      <c r="B1672" s="3" t="str">
        <f>TRIM([1]Raw_Data!B1670)</f>
        <v>Pre-Workout</v>
      </c>
      <c r="C1672" s="3" t="str">
        <f>TRIM([1]Raw_Data!C1670)</f>
        <v>Performance</v>
      </c>
      <c r="D1672" s="3">
        <f>[1]Raw_Data!D1670</f>
        <v>149</v>
      </c>
      <c r="E1672" s="4">
        <f>[1]Raw_Data!E1670</f>
        <v>36.49</v>
      </c>
      <c r="F1672" s="5">
        <f>[1]Raw_Data!F1670</f>
        <v>5437.01</v>
      </c>
      <c r="G1672" s="4">
        <f>[1]Raw_Data!G1670</f>
        <v>0.08</v>
      </c>
      <c r="H1672" s="3">
        <f>[1]Raw_Data!H1670</f>
        <v>0</v>
      </c>
      <c r="I1672" s="3" t="str">
        <f>TRIM([1]Raw_Data!I1670)</f>
        <v>USA</v>
      </c>
      <c r="J1672" s="3" t="str">
        <f>TRIM([1]Raw_Data!J1670)</f>
        <v>Walmart</v>
      </c>
      <c r="K1672" s="3">
        <f t="shared" si="104"/>
        <v>2022</v>
      </c>
      <c r="L1672" s="6">
        <f t="shared" si="105"/>
        <v>44562</v>
      </c>
      <c r="M1672" s="3" t="str">
        <f t="shared" si="106"/>
        <v>6% to 10%</v>
      </c>
      <c r="N1672" s="3" t="str">
        <f t="shared" si="107"/>
        <v>OK</v>
      </c>
    </row>
    <row r="1673" spans="1:14" x14ac:dyDescent="0.3">
      <c r="A1673" s="2">
        <f>DATE(VALUE(RIGHT(TRIM([1]Raw_Data!A1671),4)),VALUE(MID(TRIM([1]Raw_Data!A1671),4,2)),VALUE(LEFT(TRIM([1]Raw_Data!A1671),2)))</f>
        <v>44564</v>
      </c>
      <c r="B1673" s="3" t="str">
        <f>TRIM([1]Raw_Data!B1671)</f>
        <v>BCAA</v>
      </c>
      <c r="C1673" s="3" t="str">
        <f>TRIM([1]Raw_Data!C1671)</f>
        <v>Amino Acid</v>
      </c>
      <c r="D1673" s="3">
        <f>[1]Raw_Data!D1671</f>
        <v>168</v>
      </c>
      <c r="E1673" s="4">
        <f>[1]Raw_Data!E1671</f>
        <v>16.98</v>
      </c>
      <c r="F1673" s="5">
        <f>[1]Raw_Data!F1671</f>
        <v>2852.64</v>
      </c>
      <c r="G1673" s="4">
        <f>[1]Raw_Data!G1671</f>
        <v>0.19</v>
      </c>
      <c r="H1673" s="3">
        <f>[1]Raw_Data!H1671</f>
        <v>2</v>
      </c>
      <c r="I1673" s="3" t="str">
        <f>TRIM([1]Raw_Data!I1671)</f>
        <v>UK</v>
      </c>
      <c r="J1673" s="3" t="str">
        <f>TRIM([1]Raw_Data!J1671)</f>
        <v>Walmart</v>
      </c>
      <c r="K1673" s="3">
        <f t="shared" si="104"/>
        <v>2022</v>
      </c>
      <c r="L1673" s="6">
        <f t="shared" si="105"/>
        <v>44562</v>
      </c>
      <c r="M1673" s="3" t="str">
        <f t="shared" si="106"/>
        <v>16% to 20%</v>
      </c>
      <c r="N1673" s="3" t="str">
        <f t="shared" si="107"/>
        <v>OK</v>
      </c>
    </row>
    <row r="1674" spans="1:14" x14ac:dyDescent="0.3">
      <c r="A1674" s="2">
        <f>DATE(VALUE(RIGHT(TRIM([1]Raw_Data!A1672),4)),VALUE(MID(TRIM([1]Raw_Data!A1672),4,2)),VALUE(LEFT(TRIM([1]Raw_Data!A1672),2)))</f>
        <v>44564</v>
      </c>
      <c r="B1674" s="3" t="str">
        <f>TRIM([1]Raw_Data!B1672)</f>
        <v>Creatine</v>
      </c>
      <c r="C1674" s="3" t="str">
        <f>TRIM([1]Raw_Data!C1672)</f>
        <v>Performance</v>
      </c>
      <c r="D1674" s="3">
        <f>[1]Raw_Data!D1672</f>
        <v>147</v>
      </c>
      <c r="E1674" s="4">
        <f>[1]Raw_Data!E1672</f>
        <v>52.99</v>
      </c>
      <c r="F1674" s="5">
        <f>[1]Raw_Data!F1672</f>
        <v>7789.53</v>
      </c>
      <c r="G1674" s="4">
        <f>[1]Raw_Data!G1672</f>
        <v>0.18</v>
      </c>
      <c r="H1674" s="3">
        <f>[1]Raw_Data!H1672</f>
        <v>1</v>
      </c>
      <c r="I1674" s="3" t="str">
        <f>TRIM([1]Raw_Data!I1672)</f>
        <v>Canada</v>
      </c>
      <c r="J1674" s="3" t="str">
        <f>TRIM([1]Raw_Data!J1672)</f>
        <v>iHerb</v>
      </c>
      <c r="K1674" s="3">
        <f t="shared" si="104"/>
        <v>2022</v>
      </c>
      <c r="L1674" s="6">
        <f t="shared" si="105"/>
        <v>44562</v>
      </c>
      <c r="M1674" s="3" t="str">
        <f t="shared" si="106"/>
        <v>16% to 20%</v>
      </c>
      <c r="N1674" s="3" t="str">
        <f t="shared" si="107"/>
        <v>OK</v>
      </c>
    </row>
    <row r="1675" spans="1:14" x14ac:dyDescent="0.3">
      <c r="A1675" s="2">
        <f>DATE(VALUE(RIGHT(TRIM([1]Raw_Data!A1673),4)),VALUE(MID(TRIM([1]Raw_Data!A1673),4,2)),VALUE(LEFT(TRIM([1]Raw_Data!A1673),2)))</f>
        <v>44564</v>
      </c>
      <c r="B1675" s="3" t="str">
        <f>TRIM([1]Raw_Data!B1673)</f>
        <v>Zinc</v>
      </c>
      <c r="C1675" s="3" t="str">
        <f>TRIM([1]Raw_Data!C1673)</f>
        <v>Mineral</v>
      </c>
      <c r="D1675" s="3">
        <f>[1]Raw_Data!D1673</f>
        <v>154</v>
      </c>
      <c r="E1675" s="4">
        <f>[1]Raw_Data!E1673</f>
        <v>33.700000000000003</v>
      </c>
      <c r="F1675" s="5">
        <f>[1]Raw_Data!F1673</f>
        <v>5189.8</v>
      </c>
      <c r="G1675" s="4">
        <f>[1]Raw_Data!G1673</f>
        <v>0.05</v>
      </c>
      <c r="H1675" s="3">
        <f>[1]Raw_Data!H1673</f>
        <v>0</v>
      </c>
      <c r="I1675" s="3" t="str">
        <f>TRIM([1]Raw_Data!I1673)</f>
        <v>Canada</v>
      </c>
      <c r="J1675" s="3" t="str">
        <f>TRIM([1]Raw_Data!J1673)</f>
        <v>Amazon</v>
      </c>
      <c r="K1675" s="3">
        <f t="shared" si="104"/>
        <v>2022</v>
      </c>
      <c r="L1675" s="6">
        <f t="shared" si="105"/>
        <v>44562</v>
      </c>
      <c r="M1675" s="3" t="str">
        <f t="shared" si="106"/>
        <v>0% to 5%</v>
      </c>
      <c r="N1675" s="3" t="str">
        <f t="shared" si="107"/>
        <v>OK</v>
      </c>
    </row>
    <row r="1676" spans="1:14" x14ac:dyDescent="0.3">
      <c r="A1676" s="2">
        <f>DATE(VALUE(RIGHT(TRIM([1]Raw_Data!A1674),4)),VALUE(MID(TRIM([1]Raw_Data!A1674),4,2)),VALUE(LEFT(TRIM([1]Raw_Data!A1674),2)))</f>
        <v>44564</v>
      </c>
      <c r="B1676" s="3" t="str">
        <f>TRIM([1]Raw_Data!B1674)</f>
        <v>Collagen Peptides</v>
      </c>
      <c r="C1676" s="3" t="str">
        <f>TRIM([1]Raw_Data!C1674)</f>
        <v>Protein</v>
      </c>
      <c r="D1676" s="3">
        <f>[1]Raw_Data!D1674</f>
        <v>156</v>
      </c>
      <c r="E1676" s="4">
        <f>[1]Raw_Data!E1674</f>
        <v>30.19</v>
      </c>
      <c r="F1676" s="5">
        <f>[1]Raw_Data!F1674</f>
        <v>4709.6400000000003</v>
      </c>
      <c r="G1676" s="4">
        <f>[1]Raw_Data!G1674</f>
        <v>0.05</v>
      </c>
      <c r="H1676" s="3">
        <f>[1]Raw_Data!H1674</f>
        <v>2</v>
      </c>
      <c r="I1676" s="3" t="str">
        <f>TRIM([1]Raw_Data!I1674)</f>
        <v>Canada</v>
      </c>
      <c r="J1676" s="3" t="str">
        <f>TRIM([1]Raw_Data!J1674)</f>
        <v>Walmart</v>
      </c>
      <c r="K1676" s="3">
        <f t="shared" si="104"/>
        <v>2022</v>
      </c>
      <c r="L1676" s="6">
        <f t="shared" si="105"/>
        <v>44562</v>
      </c>
      <c r="M1676" s="3" t="str">
        <f t="shared" si="106"/>
        <v>0% to 5%</v>
      </c>
      <c r="N1676" s="3" t="str">
        <f t="shared" si="107"/>
        <v>OK</v>
      </c>
    </row>
    <row r="1677" spans="1:14" x14ac:dyDescent="0.3">
      <c r="A1677" s="2">
        <f>DATE(VALUE(RIGHT(TRIM([1]Raw_Data!A1675),4)),VALUE(MID(TRIM([1]Raw_Data!A1675),4,2)),VALUE(LEFT(TRIM([1]Raw_Data!A1675),2)))</f>
        <v>44564</v>
      </c>
      <c r="B1677" s="3" t="str">
        <f>TRIM([1]Raw_Data!B1675)</f>
        <v>Magnesium</v>
      </c>
      <c r="C1677" s="3" t="str">
        <f>TRIM([1]Raw_Data!C1675)</f>
        <v>Mineral</v>
      </c>
      <c r="D1677" s="3">
        <f>[1]Raw_Data!D1675</f>
        <v>166</v>
      </c>
      <c r="E1677" s="4">
        <f>[1]Raw_Data!E1675</f>
        <v>53.44</v>
      </c>
      <c r="F1677" s="5">
        <f>[1]Raw_Data!F1675</f>
        <v>8871.0400000000009</v>
      </c>
      <c r="G1677" s="4">
        <f>[1]Raw_Data!G1675</f>
        <v>0.13</v>
      </c>
      <c r="H1677" s="3">
        <f>[1]Raw_Data!H1675</f>
        <v>2</v>
      </c>
      <c r="I1677" s="3" t="str">
        <f>TRIM([1]Raw_Data!I1675)</f>
        <v>USA</v>
      </c>
      <c r="J1677" s="3" t="str">
        <f>TRIM([1]Raw_Data!J1675)</f>
        <v>Amazon</v>
      </c>
      <c r="K1677" s="3">
        <f t="shared" si="104"/>
        <v>2022</v>
      </c>
      <c r="L1677" s="6">
        <f t="shared" si="105"/>
        <v>44562</v>
      </c>
      <c r="M1677" s="3" t="str">
        <f t="shared" si="106"/>
        <v>11% to 15%</v>
      </c>
      <c r="N1677" s="3" t="str">
        <f t="shared" si="107"/>
        <v>OK</v>
      </c>
    </row>
    <row r="1678" spans="1:14" x14ac:dyDescent="0.3">
      <c r="A1678" s="2">
        <f>DATE(VALUE(RIGHT(TRIM([1]Raw_Data!A1676),4)),VALUE(MID(TRIM([1]Raw_Data!A1676),4,2)),VALUE(LEFT(TRIM([1]Raw_Data!A1676),2)))</f>
        <v>44564</v>
      </c>
      <c r="B1678" s="3" t="str">
        <f>TRIM([1]Raw_Data!B1676)</f>
        <v>Ashwagandha</v>
      </c>
      <c r="C1678" s="3" t="str">
        <f>TRIM([1]Raw_Data!C1676)</f>
        <v>Herbal</v>
      </c>
      <c r="D1678" s="3">
        <f>[1]Raw_Data!D1676</f>
        <v>135</v>
      </c>
      <c r="E1678" s="4">
        <f>[1]Raw_Data!E1676</f>
        <v>29.48</v>
      </c>
      <c r="F1678" s="5">
        <f>[1]Raw_Data!F1676</f>
        <v>3979.8</v>
      </c>
      <c r="G1678" s="4">
        <f>[1]Raw_Data!G1676</f>
        <v>0.13</v>
      </c>
      <c r="H1678" s="3">
        <f>[1]Raw_Data!H1676</f>
        <v>3</v>
      </c>
      <c r="I1678" s="3" t="str">
        <f>TRIM([1]Raw_Data!I1676)</f>
        <v>UK</v>
      </c>
      <c r="J1678" s="3" t="str">
        <f>TRIM([1]Raw_Data!J1676)</f>
        <v>iHerb</v>
      </c>
      <c r="K1678" s="3">
        <f t="shared" si="104"/>
        <v>2022</v>
      </c>
      <c r="L1678" s="6">
        <f t="shared" si="105"/>
        <v>44562</v>
      </c>
      <c r="M1678" s="3" t="str">
        <f t="shared" si="106"/>
        <v>11% to 15%</v>
      </c>
      <c r="N1678" s="3" t="str">
        <f t="shared" si="107"/>
        <v>OK</v>
      </c>
    </row>
    <row r="1679" spans="1:14" x14ac:dyDescent="0.3">
      <c r="A1679" s="2">
        <f>DATE(VALUE(RIGHT(TRIM([1]Raw_Data!A1677),4)),VALUE(MID(TRIM([1]Raw_Data!A1677),4,2)),VALUE(LEFT(TRIM([1]Raw_Data!A1677),2)))</f>
        <v>44564</v>
      </c>
      <c r="B1679" s="3" t="str">
        <f>TRIM([1]Raw_Data!B1677)</f>
        <v>Melatonin</v>
      </c>
      <c r="C1679" s="3" t="str">
        <f>TRIM([1]Raw_Data!C1677)</f>
        <v>Sleep Aid</v>
      </c>
      <c r="D1679" s="3">
        <f>[1]Raw_Data!D1677</f>
        <v>166</v>
      </c>
      <c r="E1679" s="4">
        <f>[1]Raw_Data!E1677</f>
        <v>18.64</v>
      </c>
      <c r="F1679" s="5">
        <f>[1]Raw_Data!F1677</f>
        <v>3094.24</v>
      </c>
      <c r="G1679" s="4">
        <f>[1]Raw_Data!G1677</f>
        <v>0.09</v>
      </c>
      <c r="H1679" s="3">
        <f>[1]Raw_Data!H1677</f>
        <v>1</v>
      </c>
      <c r="I1679" s="3" t="str">
        <f>TRIM([1]Raw_Data!I1677)</f>
        <v>USA</v>
      </c>
      <c r="J1679" s="3" t="str">
        <f>TRIM([1]Raw_Data!J1677)</f>
        <v>Walmart</v>
      </c>
      <c r="K1679" s="3">
        <f t="shared" si="104"/>
        <v>2022</v>
      </c>
      <c r="L1679" s="6">
        <f t="shared" si="105"/>
        <v>44562</v>
      </c>
      <c r="M1679" s="3" t="str">
        <f t="shared" si="106"/>
        <v>6% to 10%</v>
      </c>
      <c r="N1679" s="3" t="str">
        <f t="shared" si="107"/>
        <v>OK</v>
      </c>
    </row>
    <row r="1680" spans="1:14" x14ac:dyDescent="0.3">
      <c r="A1680" s="2">
        <f>DATE(VALUE(RIGHT(TRIM([1]Raw_Data!A1678),4)),VALUE(MID(TRIM([1]Raw_Data!A1678),4,2)),VALUE(LEFT(TRIM([1]Raw_Data!A1678),2)))</f>
        <v>44564</v>
      </c>
      <c r="B1680" s="3" t="str">
        <f>TRIM([1]Raw_Data!B1678)</f>
        <v>Biotin</v>
      </c>
      <c r="C1680" s="3" t="str">
        <f>TRIM([1]Raw_Data!C1678)</f>
        <v>Vitamin</v>
      </c>
      <c r="D1680" s="3">
        <f>[1]Raw_Data!D1678</f>
        <v>154</v>
      </c>
      <c r="E1680" s="4">
        <f>[1]Raw_Data!E1678</f>
        <v>58.11</v>
      </c>
      <c r="F1680" s="5">
        <f>[1]Raw_Data!F1678</f>
        <v>8948.94</v>
      </c>
      <c r="G1680" s="4">
        <f>[1]Raw_Data!G1678</f>
        <v>0.16</v>
      </c>
      <c r="H1680" s="3">
        <f>[1]Raw_Data!H1678</f>
        <v>3</v>
      </c>
      <c r="I1680" s="3" t="str">
        <f>TRIM([1]Raw_Data!I1678)</f>
        <v>UK</v>
      </c>
      <c r="J1680" s="3" t="str">
        <f>TRIM([1]Raw_Data!J1678)</f>
        <v>Amazon</v>
      </c>
      <c r="K1680" s="3">
        <f t="shared" si="104"/>
        <v>2022</v>
      </c>
      <c r="L1680" s="6">
        <f t="shared" si="105"/>
        <v>44562</v>
      </c>
      <c r="M1680" s="3" t="str">
        <f t="shared" si="106"/>
        <v>16% to 20%</v>
      </c>
      <c r="N1680" s="3" t="str">
        <f t="shared" si="107"/>
        <v>OK</v>
      </c>
    </row>
    <row r="1681" spans="1:14" x14ac:dyDescent="0.3">
      <c r="A1681" s="2">
        <f>DATE(VALUE(RIGHT(TRIM([1]Raw_Data!A1679),4)),VALUE(MID(TRIM([1]Raw_Data!A1679),4,2)),VALUE(LEFT(TRIM([1]Raw_Data!A1679),2)))</f>
        <v>44564</v>
      </c>
      <c r="B1681" s="3" t="str">
        <f>TRIM([1]Raw_Data!B1679)</f>
        <v>Green Tea Extract</v>
      </c>
      <c r="C1681" s="3" t="str">
        <f>TRIM([1]Raw_Data!C1679)</f>
        <v>Fat Burner</v>
      </c>
      <c r="D1681" s="3">
        <f>[1]Raw_Data!D1679</f>
        <v>151</v>
      </c>
      <c r="E1681" s="4">
        <f>[1]Raw_Data!E1679</f>
        <v>36.229999999999997</v>
      </c>
      <c r="F1681" s="5">
        <f>[1]Raw_Data!F1679</f>
        <v>5470.73</v>
      </c>
      <c r="G1681" s="4">
        <f>[1]Raw_Data!G1679</f>
        <v>0.14000000000000001</v>
      </c>
      <c r="H1681" s="3">
        <f>[1]Raw_Data!H1679</f>
        <v>2</v>
      </c>
      <c r="I1681" s="3" t="str">
        <f>TRIM([1]Raw_Data!I1679)</f>
        <v>UK</v>
      </c>
      <c r="J1681" s="3" t="str">
        <f>TRIM([1]Raw_Data!J1679)</f>
        <v>Amazon</v>
      </c>
      <c r="K1681" s="3">
        <f t="shared" si="104"/>
        <v>2022</v>
      </c>
      <c r="L1681" s="6">
        <f t="shared" si="105"/>
        <v>44562</v>
      </c>
      <c r="M1681" s="3" t="str">
        <f t="shared" si="106"/>
        <v>11% to 15%</v>
      </c>
      <c r="N1681" s="3" t="str">
        <f t="shared" si="107"/>
        <v>OK</v>
      </c>
    </row>
    <row r="1682" spans="1:14" x14ac:dyDescent="0.3">
      <c r="A1682" s="2">
        <f>DATE(VALUE(RIGHT(TRIM([1]Raw_Data!A1680),4)),VALUE(MID(TRIM([1]Raw_Data!A1680),4,2)),VALUE(LEFT(TRIM([1]Raw_Data!A1680),2)))</f>
        <v>44564</v>
      </c>
      <c r="B1682" s="3" t="str">
        <f>TRIM([1]Raw_Data!B1680)</f>
        <v>Iron Supplement</v>
      </c>
      <c r="C1682" s="3" t="str">
        <f>TRIM([1]Raw_Data!C1680)</f>
        <v>Mineral</v>
      </c>
      <c r="D1682" s="3">
        <f>[1]Raw_Data!D1680</f>
        <v>139</v>
      </c>
      <c r="E1682" s="4">
        <f>[1]Raw_Data!E1680</f>
        <v>28.2</v>
      </c>
      <c r="F1682" s="5">
        <f>[1]Raw_Data!F1680</f>
        <v>3919.8</v>
      </c>
      <c r="G1682" s="4">
        <f>[1]Raw_Data!G1680</f>
        <v>0.24</v>
      </c>
      <c r="H1682" s="3">
        <f>[1]Raw_Data!H1680</f>
        <v>1</v>
      </c>
      <c r="I1682" s="3" t="str">
        <f>TRIM([1]Raw_Data!I1680)</f>
        <v>Canada</v>
      </c>
      <c r="J1682" s="3" t="str">
        <f>TRIM([1]Raw_Data!J1680)</f>
        <v>iHerb</v>
      </c>
      <c r="K1682" s="3">
        <f t="shared" si="104"/>
        <v>2022</v>
      </c>
      <c r="L1682" s="6">
        <f t="shared" si="105"/>
        <v>44562</v>
      </c>
      <c r="M1682" s="3" t="str">
        <f t="shared" si="106"/>
        <v>21% to 25%</v>
      </c>
      <c r="N1682" s="3" t="str">
        <f t="shared" si="107"/>
        <v>OK</v>
      </c>
    </row>
    <row r="1683" spans="1:14" x14ac:dyDescent="0.3">
      <c r="A1683" s="2">
        <f>DATE(VALUE(RIGHT(TRIM([1]Raw_Data!A1681),4)),VALUE(MID(TRIM([1]Raw_Data!A1681),4,2)),VALUE(LEFT(TRIM([1]Raw_Data!A1681),2)))</f>
        <v>44564</v>
      </c>
      <c r="B1683" s="3" t="str">
        <f>TRIM([1]Raw_Data!B1681)</f>
        <v>Electrolyte Powder</v>
      </c>
      <c r="C1683" s="3" t="str">
        <f>TRIM([1]Raw_Data!C1681)</f>
        <v>Hydration</v>
      </c>
      <c r="D1683" s="3">
        <f>[1]Raw_Data!D1681</f>
        <v>160</v>
      </c>
      <c r="E1683" s="4">
        <f>[1]Raw_Data!E1681</f>
        <v>23.28</v>
      </c>
      <c r="F1683" s="5">
        <f>[1]Raw_Data!F1681</f>
        <v>3724.8</v>
      </c>
      <c r="G1683" s="4">
        <f>[1]Raw_Data!G1681</f>
        <v>0.14000000000000001</v>
      </c>
      <c r="H1683" s="3">
        <f>[1]Raw_Data!H1681</f>
        <v>3</v>
      </c>
      <c r="I1683" s="3" t="str">
        <f>TRIM([1]Raw_Data!I1681)</f>
        <v>USA</v>
      </c>
      <c r="J1683" s="3" t="str">
        <f>TRIM([1]Raw_Data!J1681)</f>
        <v>iHerb</v>
      </c>
      <c r="K1683" s="3">
        <f t="shared" si="104"/>
        <v>2022</v>
      </c>
      <c r="L1683" s="6">
        <f t="shared" si="105"/>
        <v>44562</v>
      </c>
      <c r="M1683" s="3" t="str">
        <f t="shared" si="106"/>
        <v>11% to 15%</v>
      </c>
      <c r="N1683" s="3" t="str">
        <f t="shared" si="107"/>
        <v>OK</v>
      </c>
    </row>
    <row r="1684" spans="1:14" x14ac:dyDescent="0.3">
      <c r="A1684" s="2">
        <f>DATE(VALUE(RIGHT(TRIM([1]Raw_Data!A1682),4)),VALUE(MID(TRIM([1]Raw_Data!A1682),4,2)),VALUE(LEFT(TRIM([1]Raw_Data!A1682),2)))</f>
        <v>44571</v>
      </c>
      <c r="B1684" s="3" t="str">
        <f>TRIM([1]Raw_Data!B1682)</f>
        <v>Whey Protein</v>
      </c>
      <c r="C1684" s="3" t="str">
        <f>TRIM([1]Raw_Data!C1682)</f>
        <v>Protein</v>
      </c>
      <c r="D1684" s="3">
        <f>[1]Raw_Data!D1682</f>
        <v>149</v>
      </c>
      <c r="E1684" s="4">
        <f>[1]Raw_Data!E1682</f>
        <v>20.72</v>
      </c>
      <c r="F1684" s="5">
        <f>[1]Raw_Data!F1682</f>
        <v>3087.28</v>
      </c>
      <c r="G1684" s="4">
        <f>[1]Raw_Data!G1682</f>
        <v>0.02</v>
      </c>
      <c r="H1684" s="3">
        <f>[1]Raw_Data!H1682</f>
        <v>3</v>
      </c>
      <c r="I1684" s="3" t="str">
        <f>TRIM([1]Raw_Data!I1682)</f>
        <v>Canada</v>
      </c>
      <c r="J1684" s="3" t="str">
        <f>TRIM([1]Raw_Data!J1682)</f>
        <v>Amazon</v>
      </c>
      <c r="K1684" s="3">
        <f t="shared" si="104"/>
        <v>2022</v>
      </c>
      <c r="L1684" s="6">
        <f t="shared" si="105"/>
        <v>44562</v>
      </c>
      <c r="M1684" s="3" t="str">
        <f t="shared" si="106"/>
        <v>0% to 5%</v>
      </c>
      <c r="N1684" s="3" t="str">
        <f t="shared" si="107"/>
        <v>OK</v>
      </c>
    </row>
    <row r="1685" spans="1:14" x14ac:dyDescent="0.3">
      <c r="A1685" s="2">
        <f>DATE(VALUE(RIGHT(TRIM([1]Raw_Data!A1683),4)),VALUE(MID(TRIM([1]Raw_Data!A1683),4,2)),VALUE(LEFT(TRIM([1]Raw_Data!A1683),2)))</f>
        <v>44571</v>
      </c>
      <c r="B1685" s="3" t="str">
        <f>TRIM([1]Raw_Data!B1683)</f>
        <v>Vitamin C</v>
      </c>
      <c r="C1685" s="3" t="str">
        <f>TRIM([1]Raw_Data!C1683)</f>
        <v>Vitamin</v>
      </c>
      <c r="D1685" s="3">
        <f>[1]Raw_Data!D1683</f>
        <v>156</v>
      </c>
      <c r="E1685" s="4">
        <f>[1]Raw_Data!E1683</f>
        <v>51.35</v>
      </c>
      <c r="F1685" s="5">
        <f>[1]Raw_Data!F1683</f>
        <v>8010.6</v>
      </c>
      <c r="G1685" s="4">
        <f>[1]Raw_Data!G1683</f>
        <v>0.21</v>
      </c>
      <c r="H1685" s="3">
        <f>[1]Raw_Data!H1683</f>
        <v>2</v>
      </c>
      <c r="I1685" s="3" t="str">
        <f>TRIM([1]Raw_Data!I1683)</f>
        <v>USA</v>
      </c>
      <c r="J1685" s="3" t="str">
        <f>TRIM([1]Raw_Data!J1683)</f>
        <v>Amazon</v>
      </c>
      <c r="K1685" s="3">
        <f t="shared" si="104"/>
        <v>2022</v>
      </c>
      <c r="L1685" s="6">
        <f t="shared" si="105"/>
        <v>44562</v>
      </c>
      <c r="M1685" s="3" t="str">
        <f t="shared" si="106"/>
        <v>21% to 25%</v>
      </c>
      <c r="N1685" s="3" t="str">
        <f t="shared" si="107"/>
        <v>OK</v>
      </c>
    </row>
    <row r="1686" spans="1:14" x14ac:dyDescent="0.3">
      <c r="A1686" s="2">
        <f>DATE(VALUE(RIGHT(TRIM([1]Raw_Data!A1684),4)),VALUE(MID(TRIM([1]Raw_Data!A1684),4,2)),VALUE(LEFT(TRIM([1]Raw_Data!A1684),2)))</f>
        <v>44571</v>
      </c>
      <c r="B1686" s="3" t="str">
        <f>TRIM([1]Raw_Data!B1684)</f>
        <v>Fish Oil</v>
      </c>
      <c r="C1686" s="3" t="str">
        <f>TRIM([1]Raw_Data!C1684)</f>
        <v>Omega</v>
      </c>
      <c r="D1686" s="3">
        <f>[1]Raw_Data!D1684</f>
        <v>146</v>
      </c>
      <c r="E1686" s="4">
        <f>[1]Raw_Data!E1684</f>
        <v>31.61</v>
      </c>
      <c r="F1686" s="5">
        <f>[1]Raw_Data!F1684</f>
        <v>4615.0600000000004</v>
      </c>
      <c r="G1686" s="4">
        <f>[1]Raw_Data!G1684</f>
        <v>0.13</v>
      </c>
      <c r="H1686" s="3">
        <f>[1]Raw_Data!H1684</f>
        <v>1</v>
      </c>
      <c r="I1686" s="3" t="str">
        <f>TRIM([1]Raw_Data!I1684)</f>
        <v>UK</v>
      </c>
      <c r="J1686" s="3" t="str">
        <f>TRIM([1]Raw_Data!J1684)</f>
        <v>Amazon</v>
      </c>
      <c r="K1686" s="3">
        <f t="shared" si="104"/>
        <v>2022</v>
      </c>
      <c r="L1686" s="6">
        <f t="shared" si="105"/>
        <v>44562</v>
      </c>
      <c r="M1686" s="3" t="str">
        <f t="shared" si="106"/>
        <v>11% to 15%</v>
      </c>
      <c r="N1686" s="3" t="str">
        <f t="shared" si="107"/>
        <v>OK</v>
      </c>
    </row>
    <row r="1687" spans="1:14" x14ac:dyDescent="0.3">
      <c r="A1687" s="2">
        <f>DATE(VALUE(RIGHT(TRIM([1]Raw_Data!A1685),4)),VALUE(MID(TRIM([1]Raw_Data!A1685),4,2)),VALUE(LEFT(TRIM([1]Raw_Data!A1685),2)))</f>
        <v>44571</v>
      </c>
      <c r="B1687" s="3" t="str">
        <f>TRIM([1]Raw_Data!B1685)</f>
        <v>Multivitamin</v>
      </c>
      <c r="C1687" s="3" t="str">
        <f>TRIM([1]Raw_Data!C1685)</f>
        <v>Vitamin</v>
      </c>
      <c r="D1687" s="3">
        <f>[1]Raw_Data!D1685</f>
        <v>152</v>
      </c>
      <c r="E1687" s="4">
        <f>[1]Raw_Data!E1685</f>
        <v>12.4</v>
      </c>
      <c r="F1687" s="5">
        <f>[1]Raw_Data!F1685</f>
        <v>1884.8</v>
      </c>
      <c r="G1687" s="4">
        <f>[1]Raw_Data!G1685</f>
        <v>0.22</v>
      </c>
      <c r="H1687" s="3">
        <f>[1]Raw_Data!H1685</f>
        <v>1</v>
      </c>
      <c r="I1687" s="3" t="str">
        <f>TRIM([1]Raw_Data!I1685)</f>
        <v>Canada</v>
      </c>
      <c r="J1687" s="3" t="str">
        <f>TRIM([1]Raw_Data!J1685)</f>
        <v>Walmart</v>
      </c>
      <c r="K1687" s="3">
        <f t="shared" si="104"/>
        <v>2022</v>
      </c>
      <c r="L1687" s="6">
        <f t="shared" si="105"/>
        <v>44562</v>
      </c>
      <c r="M1687" s="3" t="str">
        <f t="shared" si="106"/>
        <v>21% to 25%</v>
      </c>
      <c r="N1687" s="3" t="str">
        <f t="shared" si="107"/>
        <v>OK</v>
      </c>
    </row>
    <row r="1688" spans="1:14" x14ac:dyDescent="0.3">
      <c r="A1688" s="2">
        <f>DATE(VALUE(RIGHT(TRIM([1]Raw_Data!A1686),4)),VALUE(MID(TRIM([1]Raw_Data!A1686),4,2)),VALUE(LEFT(TRIM([1]Raw_Data!A1686),2)))</f>
        <v>44571</v>
      </c>
      <c r="B1688" s="3" t="str">
        <f>TRIM([1]Raw_Data!B1686)</f>
        <v>Pre-Workout</v>
      </c>
      <c r="C1688" s="3" t="str">
        <f>TRIM([1]Raw_Data!C1686)</f>
        <v>Performance</v>
      </c>
      <c r="D1688" s="3">
        <f>[1]Raw_Data!D1686</f>
        <v>153</v>
      </c>
      <c r="E1688" s="4">
        <f>[1]Raw_Data!E1686</f>
        <v>10.17</v>
      </c>
      <c r="F1688" s="5">
        <f>[1]Raw_Data!F1686</f>
        <v>1556.01</v>
      </c>
      <c r="G1688" s="4">
        <f>[1]Raw_Data!G1686</f>
        <v>0.06</v>
      </c>
      <c r="H1688" s="3">
        <f>[1]Raw_Data!H1686</f>
        <v>2</v>
      </c>
      <c r="I1688" s="3" t="str">
        <f>TRIM([1]Raw_Data!I1686)</f>
        <v>UK</v>
      </c>
      <c r="J1688" s="3" t="str">
        <f>TRIM([1]Raw_Data!J1686)</f>
        <v>Amazon</v>
      </c>
      <c r="K1688" s="3">
        <f t="shared" si="104"/>
        <v>2022</v>
      </c>
      <c r="L1688" s="6">
        <f t="shared" si="105"/>
        <v>44562</v>
      </c>
      <c r="M1688" s="3" t="str">
        <f t="shared" si="106"/>
        <v>6% to 10%</v>
      </c>
      <c r="N1688" s="3" t="str">
        <f t="shared" si="107"/>
        <v>OK</v>
      </c>
    </row>
    <row r="1689" spans="1:14" x14ac:dyDescent="0.3">
      <c r="A1689" s="2">
        <f>DATE(VALUE(RIGHT(TRIM([1]Raw_Data!A1687),4)),VALUE(MID(TRIM([1]Raw_Data!A1687),4,2)),VALUE(LEFT(TRIM([1]Raw_Data!A1687),2)))</f>
        <v>44571</v>
      </c>
      <c r="B1689" s="3" t="str">
        <f>TRIM([1]Raw_Data!B1687)</f>
        <v>BCAA</v>
      </c>
      <c r="C1689" s="3" t="str">
        <f>TRIM([1]Raw_Data!C1687)</f>
        <v>Amino Acid</v>
      </c>
      <c r="D1689" s="3">
        <f>[1]Raw_Data!D1687</f>
        <v>139</v>
      </c>
      <c r="E1689" s="4">
        <f>[1]Raw_Data!E1687</f>
        <v>19.079999999999998</v>
      </c>
      <c r="F1689" s="5">
        <f>[1]Raw_Data!F1687</f>
        <v>2652.12</v>
      </c>
      <c r="G1689" s="4">
        <f>[1]Raw_Data!G1687</f>
        <v>0</v>
      </c>
      <c r="H1689" s="3">
        <f>[1]Raw_Data!H1687</f>
        <v>2</v>
      </c>
      <c r="I1689" s="3" t="str">
        <f>TRIM([1]Raw_Data!I1687)</f>
        <v>USA</v>
      </c>
      <c r="J1689" s="3" t="str">
        <f>TRIM([1]Raw_Data!J1687)</f>
        <v>Walmart</v>
      </c>
      <c r="K1689" s="3">
        <f t="shared" si="104"/>
        <v>2022</v>
      </c>
      <c r="L1689" s="6">
        <f t="shared" si="105"/>
        <v>44562</v>
      </c>
      <c r="M1689" s="3" t="str">
        <f t="shared" si="106"/>
        <v>0% to 5%</v>
      </c>
      <c r="N1689" s="3" t="str">
        <f t="shared" si="107"/>
        <v>OK</v>
      </c>
    </row>
    <row r="1690" spans="1:14" x14ac:dyDescent="0.3">
      <c r="A1690" s="2">
        <f>DATE(VALUE(RIGHT(TRIM([1]Raw_Data!A1688),4)),VALUE(MID(TRIM([1]Raw_Data!A1688),4,2)),VALUE(LEFT(TRIM([1]Raw_Data!A1688),2)))</f>
        <v>44571</v>
      </c>
      <c r="B1690" s="3" t="str">
        <f>TRIM([1]Raw_Data!B1688)</f>
        <v>Creatine</v>
      </c>
      <c r="C1690" s="3" t="str">
        <f>TRIM([1]Raw_Data!C1688)</f>
        <v>Performance</v>
      </c>
      <c r="D1690" s="3">
        <f>[1]Raw_Data!D1688</f>
        <v>166</v>
      </c>
      <c r="E1690" s="4">
        <f>[1]Raw_Data!E1688</f>
        <v>19.41</v>
      </c>
      <c r="F1690" s="5">
        <f>[1]Raw_Data!F1688</f>
        <v>3222.06</v>
      </c>
      <c r="G1690" s="4">
        <f>[1]Raw_Data!G1688</f>
        <v>7.0000000000000007E-2</v>
      </c>
      <c r="H1690" s="3">
        <f>[1]Raw_Data!H1688</f>
        <v>1</v>
      </c>
      <c r="I1690" s="3" t="str">
        <f>TRIM([1]Raw_Data!I1688)</f>
        <v>UK</v>
      </c>
      <c r="J1690" s="3" t="str">
        <f>TRIM([1]Raw_Data!J1688)</f>
        <v>Walmart</v>
      </c>
      <c r="K1690" s="3">
        <f t="shared" si="104"/>
        <v>2022</v>
      </c>
      <c r="L1690" s="6">
        <f t="shared" si="105"/>
        <v>44562</v>
      </c>
      <c r="M1690" s="3" t="str">
        <f t="shared" si="106"/>
        <v>6% to 10%</v>
      </c>
      <c r="N1690" s="3" t="str">
        <f t="shared" si="107"/>
        <v>OK</v>
      </c>
    </row>
    <row r="1691" spans="1:14" x14ac:dyDescent="0.3">
      <c r="A1691" s="2">
        <f>DATE(VALUE(RIGHT(TRIM([1]Raw_Data!A1689),4)),VALUE(MID(TRIM([1]Raw_Data!A1689),4,2)),VALUE(LEFT(TRIM([1]Raw_Data!A1689),2)))</f>
        <v>44571</v>
      </c>
      <c r="B1691" s="3" t="str">
        <f>TRIM([1]Raw_Data!B1689)</f>
        <v>Zinc</v>
      </c>
      <c r="C1691" s="3" t="str">
        <f>TRIM([1]Raw_Data!C1689)</f>
        <v>Mineral</v>
      </c>
      <c r="D1691" s="3">
        <f>[1]Raw_Data!D1689</f>
        <v>179</v>
      </c>
      <c r="E1691" s="4">
        <f>[1]Raw_Data!E1689</f>
        <v>46.58</v>
      </c>
      <c r="F1691" s="5">
        <f>[1]Raw_Data!F1689</f>
        <v>8337.82</v>
      </c>
      <c r="G1691" s="4">
        <f>[1]Raw_Data!G1689</f>
        <v>0.11</v>
      </c>
      <c r="H1691" s="3">
        <f>[1]Raw_Data!H1689</f>
        <v>1</v>
      </c>
      <c r="I1691" s="3" t="str">
        <f>TRIM([1]Raw_Data!I1689)</f>
        <v>Canada</v>
      </c>
      <c r="J1691" s="3" t="str">
        <f>TRIM([1]Raw_Data!J1689)</f>
        <v>Amazon</v>
      </c>
      <c r="K1691" s="3">
        <f t="shared" si="104"/>
        <v>2022</v>
      </c>
      <c r="L1691" s="6">
        <f t="shared" si="105"/>
        <v>44562</v>
      </c>
      <c r="M1691" s="3" t="str">
        <f t="shared" si="106"/>
        <v>11% to 15%</v>
      </c>
      <c r="N1691" s="3" t="str">
        <f t="shared" si="107"/>
        <v>OK</v>
      </c>
    </row>
    <row r="1692" spans="1:14" x14ac:dyDescent="0.3">
      <c r="A1692" s="2">
        <f>DATE(VALUE(RIGHT(TRIM([1]Raw_Data!A1690),4)),VALUE(MID(TRIM([1]Raw_Data!A1690),4,2)),VALUE(LEFT(TRIM([1]Raw_Data!A1690),2)))</f>
        <v>44571</v>
      </c>
      <c r="B1692" s="3" t="str">
        <f>TRIM([1]Raw_Data!B1690)</f>
        <v>Collagen Peptides</v>
      </c>
      <c r="C1692" s="3" t="str">
        <f>TRIM([1]Raw_Data!C1690)</f>
        <v>Protein</v>
      </c>
      <c r="D1692" s="3">
        <f>[1]Raw_Data!D1690</f>
        <v>148</v>
      </c>
      <c r="E1692" s="4">
        <f>[1]Raw_Data!E1690</f>
        <v>49.93</v>
      </c>
      <c r="F1692" s="5">
        <f>[1]Raw_Data!F1690</f>
        <v>7389.64</v>
      </c>
      <c r="G1692" s="4">
        <f>[1]Raw_Data!G1690</f>
        <v>0.06</v>
      </c>
      <c r="H1692" s="3">
        <f>[1]Raw_Data!H1690</f>
        <v>2</v>
      </c>
      <c r="I1692" s="3" t="str">
        <f>TRIM([1]Raw_Data!I1690)</f>
        <v>UK</v>
      </c>
      <c r="J1692" s="3" t="str">
        <f>TRIM([1]Raw_Data!J1690)</f>
        <v>Amazon</v>
      </c>
      <c r="K1692" s="3">
        <f t="shared" si="104"/>
        <v>2022</v>
      </c>
      <c r="L1692" s="6">
        <f t="shared" si="105"/>
        <v>44562</v>
      </c>
      <c r="M1692" s="3" t="str">
        <f t="shared" si="106"/>
        <v>6% to 10%</v>
      </c>
      <c r="N1692" s="3" t="str">
        <f t="shared" si="107"/>
        <v>OK</v>
      </c>
    </row>
    <row r="1693" spans="1:14" x14ac:dyDescent="0.3">
      <c r="A1693" s="2">
        <f>DATE(VALUE(RIGHT(TRIM([1]Raw_Data!A1691),4)),VALUE(MID(TRIM([1]Raw_Data!A1691),4,2)),VALUE(LEFT(TRIM([1]Raw_Data!A1691),2)))</f>
        <v>44571</v>
      </c>
      <c r="B1693" s="3" t="str">
        <f>TRIM([1]Raw_Data!B1691)</f>
        <v>Magnesium</v>
      </c>
      <c r="C1693" s="3" t="str">
        <f>TRIM([1]Raw_Data!C1691)</f>
        <v>Mineral</v>
      </c>
      <c r="D1693" s="3">
        <f>[1]Raw_Data!D1691</f>
        <v>138</v>
      </c>
      <c r="E1693" s="4">
        <f>[1]Raw_Data!E1691</f>
        <v>50.47</v>
      </c>
      <c r="F1693" s="5">
        <f>[1]Raw_Data!F1691</f>
        <v>6964.86</v>
      </c>
      <c r="G1693" s="4">
        <f>[1]Raw_Data!G1691</f>
        <v>0.24</v>
      </c>
      <c r="H1693" s="3">
        <f>[1]Raw_Data!H1691</f>
        <v>1</v>
      </c>
      <c r="I1693" s="3" t="str">
        <f>TRIM([1]Raw_Data!I1691)</f>
        <v>USA</v>
      </c>
      <c r="J1693" s="3" t="str">
        <f>TRIM([1]Raw_Data!J1691)</f>
        <v>Amazon</v>
      </c>
      <c r="K1693" s="3">
        <f t="shared" si="104"/>
        <v>2022</v>
      </c>
      <c r="L1693" s="6">
        <f t="shared" si="105"/>
        <v>44562</v>
      </c>
      <c r="M1693" s="3" t="str">
        <f t="shared" si="106"/>
        <v>21% to 25%</v>
      </c>
      <c r="N1693" s="3" t="str">
        <f t="shared" si="107"/>
        <v>OK</v>
      </c>
    </row>
    <row r="1694" spans="1:14" x14ac:dyDescent="0.3">
      <c r="A1694" s="2">
        <f>DATE(VALUE(RIGHT(TRIM([1]Raw_Data!A1692),4)),VALUE(MID(TRIM([1]Raw_Data!A1692),4,2)),VALUE(LEFT(TRIM([1]Raw_Data!A1692),2)))</f>
        <v>44571</v>
      </c>
      <c r="B1694" s="3" t="str">
        <f>TRIM([1]Raw_Data!B1692)</f>
        <v>Ashwagandha</v>
      </c>
      <c r="C1694" s="3" t="str">
        <f>TRIM([1]Raw_Data!C1692)</f>
        <v>Herbal</v>
      </c>
      <c r="D1694" s="3">
        <f>[1]Raw_Data!D1692</f>
        <v>158</v>
      </c>
      <c r="E1694" s="4">
        <f>[1]Raw_Data!E1692</f>
        <v>19.22</v>
      </c>
      <c r="F1694" s="5">
        <f>[1]Raw_Data!F1692</f>
        <v>3036.76</v>
      </c>
      <c r="G1694" s="4">
        <f>[1]Raw_Data!G1692</f>
        <v>0.11</v>
      </c>
      <c r="H1694" s="3">
        <f>[1]Raw_Data!H1692</f>
        <v>0</v>
      </c>
      <c r="I1694" s="3" t="str">
        <f>TRIM([1]Raw_Data!I1692)</f>
        <v>Canada</v>
      </c>
      <c r="J1694" s="3" t="str">
        <f>TRIM([1]Raw_Data!J1692)</f>
        <v>iHerb</v>
      </c>
      <c r="K1694" s="3">
        <f t="shared" si="104"/>
        <v>2022</v>
      </c>
      <c r="L1694" s="6">
        <f t="shared" si="105"/>
        <v>44562</v>
      </c>
      <c r="M1694" s="3" t="str">
        <f t="shared" si="106"/>
        <v>11% to 15%</v>
      </c>
      <c r="N1694" s="3" t="str">
        <f t="shared" si="107"/>
        <v>OK</v>
      </c>
    </row>
    <row r="1695" spans="1:14" x14ac:dyDescent="0.3">
      <c r="A1695" s="2">
        <f>DATE(VALUE(RIGHT(TRIM([1]Raw_Data!A1693),4)),VALUE(MID(TRIM([1]Raw_Data!A1693),4,2)),VALUE(LEFT(TRIM([1]Raw_Data!A1693),2)))</f>
        <v>44571</v>
      </c>
      <c r="B1695" s="3" t="str">
        <f>TRIM([1]Raw_Data!B1693)</f>
        <v>Melatonin</v>
      </c>
      <c r="C1695" s="3" t="str">
        <f>TRIM([1]Raw_Data!C1693)</f>
        <v>Sleep Aid</v>
      </c>
      <c r="D1695" s="3">
        <f>[1]Raw_Data!D1693</f>
        <v>153</v>
      </c>
      <c r="E1695" s="4">
        <f>[1]Raw_Data!E1693</f>
        <v>36.9</v>
      </c>
      <c r="F1695" s="5">
        <f>[1]Raw_Data!F1693</f>
        <v>5645.7</v>
      </c>
      <c r="G1695" s="4">
        <f>[1]Raw_Data!G1693</f>
        <v>0.17</v>
      </c>
      <c r="H1695" s="3">
        <f>[1]Raw_Data!H1693</f>
        <v>0</v>
      </c>
      <c r="I1695" s="3" t="str">
        <f>TRIM([1]Raw_Data!I1693)</f>
        <v>USA</v>
      </c>
      <c r="J1695" s="3" t="str">
        <f>TRIM([1]Raw_Data!J1693)</f>
        <v>Amazon</v>
      </c>
      <c r="K1695" s="3">
        <f t="shared" si="104"/>
        <v>2022</v>
      </c>
      <c r="L1695" s="6">
        <f t="shared" si="105"/>
        <v>44562</v>
      </c>
      <c r="M1695" s="3" t="str">
        <f t="shared" si="106"/>
        <v>16% to 20%</v>
      </c>
      <c r="N1695" s="3" t="str">
        <f t="shared" si="107"/>
        <v>OK</v>
      </c>
    </row>
    <row r="1696" spans="1:14" x14ac:dyDescent="0.3">
      <c r="A1696" s="2">
        <f>DATE(VALUE(RIGHT(TRIM([1]Raw_Data!A1694),4)),VALUE(MID(TRIM([1]Raw_Data!A1694),4,2)),VALUE(LEFT(TRIM([1]Raw_Data!A1694),2)))</f>
        <v>44571</v>
      </c>
      <c r="B1696" s="3" t="str">
        <f>TRIM([1]Raw_Data!B1694)</f>
        <v>Biotin</v>
      </c>
      <c r="C1696" s="3" t="str">
        <f>TRIM([1]Raw_Data!C1694)</f>
        <v>Vitamin</v>
      </c>
      <c r="D1696" s="3">
        <f>[1]Raw_Data!D1694</f>
        <v>152</v>
      </c>
      <c r="E1696" s="4">
        <f>[1]Raw_Data!E1694</f>
        <v>57.01</v>
      </c>
      <c r="F1696" s="5">
        <f>[1]Raw_Data!F1694</f>
        <v>8665.52</v>
      </c>
      <c r="G1696" s="4">
        <f>[1]Raw_Data!G1694</f>
        <v>0.19</v>
      </c>
      <c r="H1696" s="3">
        <f>[1]Raw_Data!H1694</f>
        <v>4</v>
      </c>
      <c r="I1696" s="3" t="str">
        <f>TRIM([1]Raw_Data!I1694)</f>
        <v>USA</v>
      </c>
      <c r="J1696" s="3" t="str">
        <f>TRIM([1]Raw_Data!J1694)</f>
        <v>Walmart</v>
      </c>
      <c r="K1696" s="3">
        <f t="shared" si="104"/>
        <v>2022</v>
      </c>
      <c r="L1696" s="6">
        <f t="shared" si="105"/>
        <v>44562</v>
      </c>
      <c r="M1696" s="3" t="str">
        <f t="shared" si="106"/>
        <v>16% to 20%</v>
      </c>
      <c r="N1696" s="3" t="str">
        <f t="shared" si="107"/>
        <v>OK</v>
      </c>
    </row>
    <row r="1697" spans="1:14" x14ac:dyDescent="0.3">
      <c r="A1697" s="2">
        <f>DATE(VALUE(RIGHT(TRIM([1]Raw_Data!A1695),4)),VALUE(MID(TRIM([1]Raw_Data!A1695),4,2)),VALUE(LEFT(TRIM([1]Raw_Data!A1695),2)))</f>
        <v>44571</v>
      </c>
      <c r="B1697" s="3" t="str">
        <f>TRIM([1]Raw_Data!B1695)</f>
        <v>Green Tea Extract</v>
      </c>
      <c r="C1697" s="3" t="str">
        <f>TRIM([1]Raw_Data!C1695)</f>
        <v>Fat Burner</v>
      </c>
      <c r="D1697" s="3">
        <f>[1]Raw_Data!D1695</f>
        <v>117</v>
      </c>
      <c r="E1697" s="4">
        <f>[1]Raw_Data!E1695</f>
        <v>19.77</v>
      </c>
      <c r="F1697" s="5">
        <f>[1]Raw_Data!F1695</f>
        <v>2313.09</v>
      </c>
      <c r="G1697" s="4">
        <f>[1]Raw_Data!G1695</f>
        <v>0</v>
      </c>
      <c r="H1697" s="3">
        <f>[1]Raw_Data!H1695</f>
        <v>0</v>
      </c>
      <c r="I1697" s="3" t="str">
        <f>TRIM([1]Raw_Data!I1695)</f>
        <v>UK</v>
      </c>
      <c r="J1697" s="3" t="str">
        <f>TRIM([1]Raw_Data!J1695)</f>
        <v>Amazon</v>
      </c>
      <c r="K1697" s="3">
        <f t="shared" si="104"/>
        <v>2022</v>
      </c>
      <c r="L1697" s="6">
        <f t="shared" si="105"/>
        <v>44562</v>
      </c>
      <c r="M1697" s="3" t="str">
        <f t="shared" si="106"/>
        <v>0% to 5%</v>
      </c>
      <c r="N1697" s="3" t="str">
        <f t="shared" si="107"/>
        <v>OK</v>
      </c>
    </row>
    <row r="1698" spans="1:14" x14ac:dyDescent="0.3">
      <c r="A1698" s="2">
        <f>DATE(VALUE(RIGHT(TRIM([1]Raw_Data!A1696),4)),VALUE(MID(TRIM([1]Raw_Data!A1696),4,2)),VALUE(LEFT(TRIM([1]Raw_Data!A1696),2)))</f>
        <v>44571</v>
      </c>
      <c r="B1698" s="3" t="str">
        <f>TRIM([1]Raw_Data!B1696)</f>
        <v>Iron Supplement</v>
      </c>
      <c r="C1698" s="3" t="str">
        <f>TRIM([1]Raw_Data!C1696)</f>
        <v>Mineral</v>
      </c>
      <c r="D1698" s="3">
        <f>[1]Raw_Data!D1696</f>
        <v>156</v>
      </c>
      <c r="E1698" s="4">
        <f>[1]Raw_Data!E1696</f>
        <v>35.450000000000003</v>
      </c>
      <c r="F1698" s="5">
        <f>[1]Raw_Data!F1696</f>
        <v>5530.2</v>
      </c>
      <c r="G1698" s="4">
        <f>[1]Raw_Data!G1696</f>
        <v>0.22</v>
      </c>
      <c r="H1698" s="3">
        <f>[1]Raw_Data!H1696</f>
        <v>2</v>
      </c>
      <c r="I1698" s="3" t="str">
        <f>TRIM([1]Raw_Data!I1696)</f>
        <v>USA</v>
      </c>
      <c r="J1698" s="3" t="str">
        <f>TRIM([1]Raw_Data!J1696)</f>
        <v>iHerb</v>
      </c>
      <c r="K1698" s="3">
        <f t="shared" si="104"/>
        <v>2022</v>
      </c>
      <c r="L1698" s="6">
        <f t="shared" si="105"/>
        <v>44562</v>
      </c>
      <c r="M1698" s="3" t="str">
        <f t="shared" si="106"/>
        <v>21% to 25%</v>
      </c>
      <c r="N1698" s="3" t="str">
        <f t="shared" si="107"/>
        <v>OK</v>
      </c>
    </row>
    <row r="1699" spans="1:14" x14ac:dyDescent="0.3">
      <c r="A1699" s="2">
        <f>DATE(VALUE(RIGHT(TRIM([1]Raw_Data!A1697),4)),VALUE(MID(TRIM([1]Raw_Data!A1697),4,2)),VALUE(LEFT(TRIM([1]Raw_Data!A1697),2)))</f>
        <v>44571</v>
      </c>
      <c r="B1699" s="3" t="str">
        <f>TRIM([1]Raw_Data!B1697)</f>
        <v>Electrolyte Powder</v>
      </c>
      <c r="C1699" s="3" t="str">
        <f>TRIM([1]Raw_Data!C1697)</f>
        <v>Hydration</v>
      </c>
      <c r="D1699" s="3">
        <f>[1]Raw_Data!D1697</f>
        <v>146</v>
      </c>
      <c r="E1699" s="4">
        <f>[1]Raw_Data!E1697</f>
        <v>32.79</v>
      </c>
      <c r="F1699" s="5">
        <f>[1]Raw_Data!F1697</f>
        <v>4787.34</v>
      </c>
      <c r="G1699" s="4">
        <f>[1]Raw_Data!G1697</f>
        <v>0.04</v>
      </c>
      <c r="H1699" s="3">
        <f>[1]Raw_Data!H1697</f>
        <v>2</v>
      </c>
      <c r="I1699" s="3" t="str">
        <f>TRIM([1]Raw_Data!I1697)</f>
        <v>UK</v>
      </c>
      <c r="J1699" s="3" t="str">
        <f>TRIM([1]Raw_Data!J1697)</f>
        <v>Walmart</v>
      </c>
      <c r="K1699" s="3">
        <f t="shared" si="104"/>
        <v>2022</v>
      </c>
      <c r="L1699" s="6">
        <f t="shared" si="105"/>
        <v>44562</v>
      </c>
      <c r="M1699" s="3" t="str">
        <f t="shared" si="106"/>
        <v>0% to 5%</v>
      </c>
      <c r="N1699" s="3" t="str">
        <f t="shared" si="107"/>
        <v>OK</v>
      </c>
    </row>
    <row r="1700" spans="1:14" x14ac:dyDescent="0.3">
      <c r="A1700" s="2">
        <f>DATE(VALUE(RIGHT(TRIM([1]Raw_Data!A1698),4)),VALUE(MID(TRIM([1]Raw_Data!A1698),4,2)),VALUE(LEFT(TRIM([1]Raw_Data!A1698),2)))</f>
        <v>44578</v>
      </c>
      <c r="B1700" s="3" t="str">
        <f>TRIM([1]Raw_Data!B1698)</f>
        <v>Whey Protein</v>
      </c>
      <c r="C1700" s="3" t="str">
        <f>TRIM([1]Raw_Data!C1698)</f>
        <v>Protein</v>
      </c>
      <c r="D1700" s="3">
        <f>[1]Raw_Data!D1698</f>
        <v>145</v>
      </c>
      <c r="E1700" s="4">
        <f>[1]Raw_Data!E1698</f>
        <v>47.83</v>
      </c>
      <c r="F1700" s="5">
        <f>[1]Raw_Data!F1698</f>
        <v>6935.35</v>
      </c>
      <c r="G1700" s="4">
        <f>[1]Raw_Data!G1698</f>
        <v>0.15</v>
      </c>
      <c r="H1700" s="3">
        <f>[1]Raw_Data!H1698</f>
        <v>1</v>
      </c>
      <c r="I1700" s="3" t="str">
        <f>TRIM([1]Raw_Data!I1698)</f>
        <v>USA</v>
      </c>
      <c r="J1700" s="3" t="str">
        <f>TRIM([1]Raw_Data!J1698)</f>
        <v>Amazon</v>
      </c>
      <c r="K1700" s="3">
        <f t="shared" si="104"/>
        <v>2022</v>
      </c>
      <c r="L1700" s="6">
        <f t="shared" si="105"/>
        <v>44562</v>
      </c>
      <c r="M1700" s="3" t="str">
        <f t="shared" si="106"/>
        <v>11% to 15%</v>
      </c>
      <c r="N1700" s="3" t="str">
        <f t="shared" si="107"/>
        <v>OK</v>
      </c>
    </row>
    <row r="1701" spans="1:14" x14ac:dyDescent="0.3">
      <c r="A1701" s="2">
        <f>DATE(VALUE(RIGHT(TRIM([1]Raw_Data!A1699),4)),VALUE(MID(TRIM([1]Raw_Data!A1699),4,2)),VALUE(LEFT(TRIM([1]Raw_Data!A1699),2)))</f>
        <v>44578</v>
      </c>
      <c r="B1701" s="3" t="str">
        <f>TRIM([1]Raw_Data!B1699)</f>
        <v>Vitamin C</v>
      </c>
      <c r="C1701" s="3" t="str">
        <f>TRIM([1]Raw_Data!C1699)</f>
        <v>Vitamin</v>
      </c>
      <c r="D1701" s="3">
        <f>[1]Raw_Data!D1699</f>
        <v>139</v>
      </c>
      <c r="E1701" s="4">
        <f>[1]Raw_Data!E1699</f>
        <v>34.32</v>
      </c>
      <c r="F1701" s="5">
        <f>[1]Raw_Data!F1699</f>
        <v>4770.4799999999996</v>
      </c>
      <c r="G1701" s="4">
        <f>[1]Raw_Data!G1699</f>
        <v>0.06</v>
      </c>
      <c r="H1701" s="3">
        <f>[1]Raw_Data!H1699</f>
        <v>0</v>
      </c>
      <c r="I1701" s="3" t="str">
        <f>TRIM([1]Raw_Data!I1699)</f>
        <v>Canada</v>
      </c>
      <c r="J1701" s="3" t="str">
        <f>TRIM([1]Raw_Data!J1699)</f>
        <v>iHerb</v>
      </c>
      <c r="K1701" s="3">
        <f t="shared" si="104"/>
        <v>2022</v>
      </c>
      <c r="L1701" s="6">
        <f t="shared" si="105"/>
        <v>44562</v>
      </c>
      <c r="M1701" s="3" t="str">
        <f t="shared" si="106"/>
        <v>6% to 10%</v>
      </c>
      <c r="N1701" s="3" t="str">
        <f t="shared" si="107"/>
        <v>OK</v>
      </c>
    </row>
    <row r="1702" spans="1:14" x14ac:dyDescent="0.3">
      <c r="A1702" s="2">
        <f>DATE(VALUE(RIGHT(TRIM([1]Raw_Data!A1700),4)),VALUE(MID(TRIM([1]Raw_Data!A1700),4,2)),VALUE(LEFT(TRIM([1]Raw_Data!A1700),2)))</f>
        <v>44578</v>
      </c>
      <c r="B1702" s="3" t="str">
        <f>TRIM([1]Raw_Data!B1700)</f>
        <v>Fish Oil</v>
      </c>
      <c r="C1702" s="3" t="str">
        <f>TRIM([1]Raw_Data!C1700)</f>
        <v>Omega</v>
      </c>
      <c r="D1702" s="3">
        <f>[1]Raw_Data!D1700</f>
        <v>136</v>
      </c>
      <c r="E1702" s="4">
        <f>[1]Raw_Data!E1700</f>
        <v>21.45</v>
      </c>
      <c r="F1702" s="5">
        <f>[1]Raw_Data!F1700</f>
        <v>2917.2</v>
      </c>
      <c r="G1702" s="4">
        <f>[1]Raw_Data!G1700</f>
        <v>0.13</v>
      </c>
      <c r="H1702" s="3">
        <f>[1]Raw_Data!H1700</f>
        <v>1</v>
      </c>
      <c r="I1702" s="3" t="str">
        <f>TRIM([1]Raw_Data!I1700)</f>
        <v>Canada</v>
      </c>
      <c r="J1702" s="3" t="str">
        <f>TRIM([1]Raw_Data!J1700)</f>
        <v>Amazon</v>
      </c>
      <c r="K1702" s="3">
        <f t="shared" si="104"/>
        <v>2022</v>
      </c>
      <c r="L1702" s="6">
        <f t="shared" si="105"/>
        <v>44562</v>
      </c>
      <c r="M1702" s="3" t="str">
        <f t="shared" si="106"/>
        <v>11% to 15%</v>
      </c>
      <c r="N1702" s="3" t="str">
        <f t="shared" si="107"/>
        <v>OK</v>
      </c>
    </row>
    <row r="1703" spans="1:14" x14ac:dyDescent="0.3">
      <c r="A1703" s="2">
        <f>DATE(VALUE(RIGHT(TRIM([1]Raw_Data!A1701),4)),VALUE(MID(TRIM([1]Raw_Data!A1701),4,2)),VALUE(LEFT(TRIM([1]Raw_Data!A1701),2)))</f>
        <v>44578</v>
      </c>
      <c r="B1703" s="3" t="str">
        <f>TRIM([1]Raw_Data!B1701)</f>
        <v>Multivitamin</v>
      </c>
      <c r="C1703" s="3" t="str">
        <f>TRIM([1]Raw_Data!C1701)</f>
        <v>Vitamin</v>
      </c>
      <c r="D1703" s="3">
        <f>[1]Raw_Data!D1701</f>
        <v>153</v>
      </c>
      <c r="E1703" s="4">
        <f>[1]Raw_Data!E1701</f>
        <v>53.39</v>
      </c>
      <c r="F1703" s="5">
        <f>[1]Raw_Data!F1701</f>
        <v>8168.67</v>
      </c>
      <c r="G1703" s="4">
        <f>[1]Raw_Data!G1701</f>
        <v>0.11</v>
      </c>
      <c r="H1703" s="3">
        <f>[1]Raw_Data!H1701</f>
        <v>0</v>
      </c>
      <c r="I1703" s="3" t="str">
        <f>TRIM([1]Raw_Data!I1701)</f>
        <v>Canada</v>
      </c>
      <c r="J1703" s="3" t="str">
        <f>TRIM([1]Raw_Data!J1701)</f>
        <v>Walmart</v>
      </c>
      <c r="K1703" s="3">
        <f t="shared" si="104"/>
        <v>2022</v>
      </c>
      <c r="L1703" s="6">
        <f t="shared" si="105"/>
        <v>44562</v>
      </c>
      <c r="M1703" s="3" t="str">
        <f t="shared" si="106"/>
        <v>11% to 15%</v>
      </c>
      <c r="N1703" s="3" t="str">
        <f t="shared" si="107"/>
        <v>OK</v>
      </c>
    </row>
    <row r="1704" spans="1:14" x14ac:dyDescent="0.3">
      <c r="A1704" s="2">
        <f>DATE(VALUE(RIGHT(TRIM([1]Raw_Data!A1702),4)),VALUE(MID(TRIM([1]Raw_Data!A1702),4,2)),VALUE(LEFT(TRIM([1]Raw_Data!A1702),2)))</f>
        <v>44578</v>
      </c>
      <c r="B1704" s="3" t="str">
        <f>TRIM([1]Raw_Data!B1702)</f>
        <v>Pre-Workout</v>
      </c>
      <c r="C1704" s="3" t="str">
        <f>TRIM([1]Raw_Data!C1702)</f>
        <v>Performance</v>
      </c>
      <c r="D1704" s="3">
        <f>[1]Raw_Data!D1702</f>
        <v>147</v>
      </c>
      <c r="E1704" s="4">
        <f>[1]Raw_Data!E1702</f>
        <v>37.89</v>
      </c>
      <c r="F1704" s="5">
        <f>[1]Raw_Data!F1702</f>
        <v>5569.83</v>
      </c>
      <c r="G1704" s="4">
        <f>[1]Raw_Data!G1702</f>
        <v>0.16</v>
      </c>
      <c r="H1704" s="3">
        <f>[1]Raw_Data!H1702</f>
        <v>0</v>
      </c>
      <c r="I1704" s="3" t="str">
        <f>TRIM([1]Raw_Data!I1702)</f>
        <v>UK</v>
      </c>
      <c r="J1704" s="3" t="str">
        <f>TRIM([1]Raw_Data!J1702)</f>
        <v>Walmart</v>
      </c>
      <c r="K1704" s="3">
        <f t="shared" si="104"/>
        <v>2022</v>
      </c>
      <c r="L1704" s="6">
        <f t="shared" si="105"/>
        <v>44562</v>
      </c>
      <c r="M1704" s="3" t="str">
        <f t="shared" si="106"/>
        <v>16% to 20%</v>
      </c>
      <c r="N1704" s="3" t="str">
        <f t="shared" si="107"/>
        <v>OK</v>
      </c>
    </row>
    <row r="1705" spans="1:14" x14ac:dyDescent="0.3">
      <c r="A1705" s="2">
        <f>DATE(VALUE(RIGHT(TRIM([1]Raw_Data!A1703),4)),VALUE(MID(TRIM([1]Raw_Data!A1703),4,2)),VALUE(LEFT(TRIM([1]Raw_Data!A1703),2)))</f>
        <v>44578</v>
      </c>
      <c r="B1705" s="3" t="str">
        <f>TRIM([1]Raw_Data!B1703)</f>
        <v>BCAA</v>
      </c>
      <c r="C1705" s="3" t="str">
        <f>TRIM([1]Raw_Data!C1703)</f>
        <v>Amino Acid</v>
      </c>
      <c r="D1705" s="3">
        <f>[1]Raw_Data!D1703</f>
        <v>155</v>
      </c>
      <c r="E1705" s="4">
        <f>[1]Raw_Data!E1703</f>
        <v>47.53</v>
      </c>
      <c r="F1705" s="5">
        <f>[1]Raw_Data!F1703</f>
        <v>7367.15</v>
      </c>
      <c r="G1705" s="4">
        <f>[1]Raw_Data!G1703</f>
        <v>0.08</v>
      </c>
      <c r="H1705" s="3">
        <f>[1]Raw_Data!H1703</f>
        <v>2</v>
      </c>
      <c r="I1705" s="3" t="str">
        <f>TRIM([1]Raw_Data!I1703)</f>
        <v>USA</v>
      </c>
      <c r="J1705" s="3" t="str">
        <f>TRIM([1]Raw_Data!J1703)</f>
        <v>iHerb</v>
      </c>
      <c r="K1705" s="3">
        <f t="shared" si="104"/>
        <v>2022</v>
      </c>
      <c r="L1705" s="6">
        <f t="shared" si="105"/>
        <v>44562</v>
      </c>
      <c r="M1705" s="3" t="str">
        <f t="shared" si="106"/>
        <v>6% to 10%</v>
      </c>
      <c r="N1705" s="3" t="str">
        <f t="shared" si="107"/>
        <v>OK</v>
      </c>
    </row>
    <row r="1706" spans="1:14" x14ac:dyDescent="0.3">
      <c r="A1706" s="2">
        <f>DATE(VALUE(RIGHT(TRIM([1]Raw_Data!A1704),4)),VALUE(MID(TRIM([1]Raw_Data!A1704),4,2)),VALUE(LEFT(TRIM([1]Raw_Data!A1704),2)))</f>
        <v>44578</v>
      </c>
      <c r="B1706" s="3" t="str">
        <f>TRIM([1]Raw_Data!B1704)</f>
        <v>Creatine</v>
      </c>
      <c r="C1706" s="3" t="str">
        <f>TRIM([1]Raw_Data!C1704)</f>
        <v>Performance</v>
      </c>
      <c r="D1706" s="3">
        <f>[1]Raw_Data!D1704</f>
        <v>122</v>
      </c>
      <c r="E1706" s="4">
        <f>[1]Raw_Data!E1704</f>
        <v>45.25</v>
      </c>
      <c r="F1706" s="5">
        <f>[1]Raw_Data!F1704</f>
        <v>5520.5</v>
      </c>
      <c r="G1706" s="4">
        <f>[1]Raw_Data!G1704</f>
        <v>0.06</v>
      </c>
      <c r="H1706" s="3">
        <f>[1]Raw_Data!H1704</f>
        <v>2</v>
      </c>
      <c r="I1706" s="3" t="str">
        <f>TRIM([1]Raw_Data!I1704)</f>
        <v>USA</v>
      </c>
      <c r="J1706" s="3" t="str">
        <f>TRIM([1]Raw_Data!J1704)</f>
        <v>Amazon</v>
      </c>
      <c r="K1706" s="3">
        <f t="shared" si="104"/>
        <v>2022</v>
      </c>
      <c r="L1706" s="6">
        <f t="shared" si="105"/>
        <v>44562</v>
      </c>
      <c r="M1706" s="3" t="str">
        <f t="shared" si="106"/>
        <v>6% to 10%</v>
      </c>
      <c r="N1706" s="3" t="str">
        <f t="shared" si="107"/>
        <v>OK</v>
      </c>
    </row>
    <row r="1707" spans="1:14" x14ac:dyDescent="0.3">
      <c r="A1707" s="2">
        <f>DATE(VALUE(RIGHT(TRIM([1]Raw_Data!A1705),4)),VALUE(MID(TRIM([1]Raw_Data!A1705),4,2)),VALUE(LEFT(TRIM([1]Raw_Data!A1705),2)))</f>
        <v>44578</v>
      </c>
      <c r="B1707" s="3" t="str">
        <f>TRIM([1]Raw_Data!B1705)</f>
        <v>Zinc</v>
      </c>
      <c r="C1707" s="3" t="str">
        <f>TRIM([1]Raw_Data!C1705)</f>
        <v>Mineral</v>
      </c>
      <c r="D1707" s="3">
        <f>[1]Raw_Data!D1705</f>
        <v>155</v>
      </c>
      <c r="E1707" s="4">
        <f>[1]Raw_Data!E1705</f>
        <v>27.68</v>
      </c>
      <c r="F1707" s="5">
        <f>[1]Raw_Data!F1705</f>
        <v>4290.3999999999996</v>
      </c>
      <c r="G1707" s="4">
        <f>[1]Raw_Data!G1705</f>
        <v>0.12</v>
      </c>
      <c r="H1707" s="3">
        <f>[1]Raw_Data!H1705</f>
        <v>2</v>
      </c>
      <c r="I1707" s="3" t="str">
        <f>TRIM([1]Raw_Data!I1705)</f>
        <v>UK</v>
      </c>
      <c r="J1707" s="3" t="str">
        <f>TRIM([1]Raw_Data!J1705)</f>
        <v>Walmart</v>
      </c>
      <c r="K1707" s="3">
        <f t="shared" si="104"/>
        <v>2022</v>
      </c>
      <c r="L1707" s="6">
        <f t="shared" si="105"/>
        <v>44562</v>
      </c>
      <c r="M1707" s="3" t="str">
        <f t="shared" si="106"/>
        <v>11% to 15%</v>
      </c>
      <c r="N1707" s="3" t="str">
        <f t="shared" si="107"/>
        <v>OK</v>
      </c>
    </row>
    <row r="1708" spans="1:14" x14ac:dyDescent="0.3">
      <c r="A1708" s="2">
        <f>DATE(VALUE(RIGHT(TRIM([1]Raw_Data!A1706),4)),VALUE(MID(TRIM([1]Raw_Data!A1706),4,2)),VALUE(LEFT(TRIM([1]Raw_Data!A1706),2)))</f>
        <v>44578</v>
      </c>
      <c r="B1708" s="3" t="str">
        <f>TRIM([1]Raw_Data!B1706)</f>
        <v>Collagen Peptides</v>
      </c>
      <c r="C1708" s="3" t="str">
        <f>TRIM([1]Raw_Data!C1706)</f>
        <v>Protein</v>
      </c>
      <c r="D1708" s="3">
        <f>[1]Raw_Data!D1706</f>
        <v>149</v>
      </c>
      <c r="E1708" s="4">
        <f>[1]Raw_Data!E1706</f>
        <v>31.68</v>
      </c>
      <c r="F1708" s="5">
        <f>[1]Raw_Data!F1706</f>
        <v>4720.32</v>
      </c>
      <c r="G1708" s="4">
        <f>[1]Raw_Data!G1706</f>
        <v>0.05</v>
      </c>
      <c r="H1708" s="3">
        <f>[1]Raw_Data!H1706</f>
        <v>0</v>
      </c>
      <c r="I1708" s="3" t="str">
        <f>TRIM([1]Raw_Data!I1706)</f>
        <v>USA</v>
      </c>
      <c r="J1708" s="3" t="str">
        <f>TRIM([1]Raw_Data!J1706)</f>
        <v>Walmart</v>
      </c>
      <c r="K1708" s="3">
        <f t="shared" si="104"/>
        <v>2022</v>
      </c>
      <c r="L1708" s="6">
        <f t="shared" si="105"/>
        <v>44562</v>
      </c>
      <c r="M1708" s="3" t="str">
        <f t="shared" si="106"/>
        <v>0% to 5%</v>
      </c>
      <c r="N1708" s="3" t="str">
        <f t="shared" si="107"/>
        <v>OK</v>
      </c>
    </row>
    <row r="1709" spans="1:14" x14ac:dyDescent="0.3">
      <c r="A1709" s="2">
        <f>DATE(VALUE(RIGHT(TRIM([1]Raw_Data!A1707),4)),VALUE(MID(TRIM([1]Raw_Data!A1707),4,2)),VALUE(LEFT(TRIM([1]Raw_Data!A1707),2)))</f>
        <v>44578</v>
      </c>
      <c r="B1709" s="3" t="str">
        <f>TRIM([1]Raw_Data!B1707)</f>
        <v>Magnesium</v>
      </c>
      <c r="C1709" s="3" t="str">
        <f>TRIM([1]Raw_Data!C1707)</f>
        <v>Mineral</v>
      </c>
      <c r="D1709" s="3">
        <f>[1]Raw_Data!D1707</f>
        <v>159</v>
      </c>
      <c r="E1709" s="4">
        <f>[1]Raw_Data!E1707</f>
        <v>20.12</v>
      </c>
      <c r="F1709" s="5">
        <f>[1]Raw_Data!F1707</f>
        <v>3199.08</v>
      </c>
      <c r="G1709" s="4">
        <f>[1]Raw_Data!G1707</f>
        <v>0.24</v>
      </c>
      <c r="H1709" s="3">
        <f>[1]Raw_Data!H1707</f>
        <v>1</v>
      </c>
      <c r="I1709" s="3" t="str">
        <f>TRIM([1]Raw_Data!I1707)</f>
        <v>Canada</v>
      </c>
      <c r="J1709" s="3" t="str">
        <f>TRIM([1]Raw_Data!J1707)</f>
        <v>Walmart</v>
      </c>
      <c r="K1709" s="3">
        <f t="shared" si="104"/>
        <v>2022</v>
      </c>
      <c r="L1709" s="6">
        <f t="shared" si="105"/>
        <v>44562</v>
      </c>
      <c r="M1709" s="3" t="str">
        <f t="shared" si="106"/>
        <v>21% to 25%</v>
      </c>
      <c r="N1709" s="3" t="str">
        <f t="shared" si="107"/>
        <v>OK</v>
      </c>
    </row>
    <row r="1710" spans="1:14" x14ac:dyDescent="0.3">
      <c r="A1710" s="2">
        <f>DATE(VALUE(RIGHT(TRIM([1]Raw_Data!A1708),4)),VALUE(MID(TRIM([1]Raw_Data!A1708),4,2)),VALUE(LEFT(TRIM([1]Raw_Data!A1708),2)))</f>
        <v>44578</v>
      </c>
      <c r="B1710" s="3" t="str">
        <f>TRIM([1]Raw_Data!B1708)</f>
        <v>Ashwagandha</v>
      </c>
      <c r="C1710" s="3" t="str">
        <f>TRIM([1]Raw_Data!C1708)</f>
        <v>Herbal</v>
      </c>
      <c r="D1710" s="3">
        <f>[1]Raw_Data!D1708</f>
        <v>171</v>
      </c>
      <c r="E1710" s="4">
        <f>[1]Raw_Data!E1708</f>
        <v>46.12</v>
      </c>
      <c r="F1710" s="5">
        <f>[1]Raw_Data!F1708</f>
        <v>7886.52</v>
      </c>
      <c r="G1710" s="4">
        <f>[1]Raw_Data!G1708</f>
        <v>0.02</v>
      </c>
      <c r="H1710" s="3">
        <f>[1]Raw_Data!H1708</f>
        <v>1</v>
      </c>
      <c r="I1710" s="3" t="str">
        <f>TRIM([1]Raw_Data!I1708)</f>
        <v>Canada</v>
      </c>
      <c r="J1710" s="3" t="str">
        <f>TRIM([1]Raw_Data!J1708)</f>
        <v>Walmart</v>
      </c>
      <c r="K1710" s="3">
        <f t="shared" si="104"/>
        <v>2022</v>
      </c>
      <c r="L1710" s="6">
        <f t="shared" si="105"/>
        <v>44562</v>
      </c>
      <c r="M1710" s="3" t="str">
        <f t="shared" si="106"/>
        <v>0% to 5%</v>
      </c>
      <c r="N1710" s="3" t="str">
        <f t="shared" si="107"/>
        <v>OK</v>
      </c>
    </row>
    <row r="1711" spans="1:14" x14ac:dyDescent="0.3">
      <c r="A1711" s="2">
        <f>DATE(VALUE(RIGHT(TRIM([1]Raw_Data!A1709),4)),VALUE(MID(TRIM([1]Raw_Data!A1709),4,2)),VALUE(LEFT(TRIM([1]Raw_Data!A1709),2)))</f>
        <v>44578</v>
      </c>
      <c r="B1711" s="3" t="str">
        <f>TRIM([1]Raw_Data!B1709)</f>
        <v>Melatonin</v>
      </c>
      <c r="C1711" s="3" t="str">
        <f>TRIM([1]Raw_Data!C1709)</f>
        <v>Sleep Aid</v>
      </c>
      <c r="D1711" s="3">
        <f>[1]Raw_Data!D1709</f>
        <v>144</v>
      </c>
      <c r="E1711" s="4">
        <f>[1]Raw_Data!E1709</f>
        <v>26.95</v>
      </c>
      <c r="F1711" s="5">
        <f>[1]Raw_Data!F1709</f>
        <v>3880.8</v>
      </c>
      <c r="G1711" s="4">
        <f>[1]Raw_Data!G1709</f>
        <v>0.2</v>
      </c>
      <c r="H1711" s="3">
        <f>[1]Raw_Data!H1709</f>
        <v>0</v>
      </c>
      <c r="I1711" s="3" t="str">
        <f>TRIM([1]Raw_Data!I1709)</f>
        <v>Canada</v>
      </c>
      <c r="J1711" s="3" t="str">
        <f>TRIM([1]Raw_Data!J1709)</f>
        <v>Walmart</v>
      </c>
      <c r="K1711" s="3">
        <f t="shared" si="104"/>
        <v>2022</v>
      </c>
      <c r="L1711" s="6">
        <f t="shared" si="105"/>
        <v>44562</v>
      </c>
      <c r="M1711" s="3" t="str">
        <f t="shared" si="106"/>
        <v>16% to 20%</v>
      </c>
      <c r="N1711" s="3" t="str">
        <f t="shared" si="107"/>
        <v>OK</v>
      </c>
    </row>
    <row r="1712" spans="1:14" x14ac:dyDescent="0.3">
      <c r="A1712" s="2">
        <f>DATE(VALUE(RIGHT(TRIM([1]Raw_Data!A1710),4)),VALUE(MID(TRIM([1]Raw_Data!A1710),4,2)),VALUE(LEFT(TRIM([1]Raw_Data!A1710),2)))</f>
        <v>44578</v>
      </c>
      <c r="B1712" s="3" t="str">
        <f>TRIM([1]Raw_Data!B1710)</f>
        <v>Biotin</v>
      </c>
      <c r="C1712" s="3" t="str">
        <f>TRIM([1]Raw_Data!C1710)</f>
        <v>Vitamin</v>
      </c>
      <c r="D1712" s="3">
        <f>[1]Raw_Data!D1710</f>
        <v>137</v>
      </c>
      <c r="E1712" s="4">
        <f>[1]Raw_Data!E1710</f>
        <v>30.42</v>
      </c>
      <c r="F1712" s="5">
        <f>[1]Raw_Data!F1710</f>
        <v>4167.54</v>
      </c>
      <c r="G1712" s="4">
        <f>[1]Raw_Data!G1710</f>
        <v>0.09</v>
      </c>
      <c r="H1712" s="3">
        <f>[1]Raw_Data!H1710</f>
        <v>2</v>
      </c>
      <c r="I1712" s="3" t="str">
        <f>TRIM([1]Raw_Data!I1710)</f>
        <v>USA</v>
      </c>
      <c r="J1712" s="3" t="str">
        <f>TRIM([1]Raw_Data!J1710)</f>
        <v>iHerb</v>
      </c>
      <c r="K1712" s="3">
        <f t="shared" si="104"/>
        <v>2022</v>
      </c>
      <c r="L1712" s="6">
        <f t="shared" si="105"/>
        <v>44562</v>
      </c>
      <c r="M1712" s="3" t="str">
        <f t="shared" si="106"/>
        <v>6% to 10%</v>
      </c>
      <c r="N1712" s="3" t="str">
        <f t="shared" si="107"/>
        <v>OK</v>
      </c>
    </row>
    <row r="1713" spans="1:14" x14ac:dyDescent="0.3">
      <c r="A1713" s="2">
        <f>DATE(VALUE(RIGHT(TRIM([1]Raw_Data!A1711),4)),VALUE(MID(TRIM([1]Raw_Data!A1711),4,2)),VALUE(LEFT(TRIM([1]Raw_Data!A1711),2)))</f>
        <v>44578</v>
      </c>
      <c r="B1713" s="3" t="str">
        <f>TRIM([1]Raw_Data!B1711)</f>
        <v>Green Tea Extract</v>
      </c>
      <c r="C1713" s="3" t="str">
        <f>TRIM([1]Raw_Data!C1711)</f>
        <v>Fat Burner</v>
      </c>
      <c r="D1713" s="3">
        <f>[1]Raw_Data!D1711</f>
        <v>131</v>
      </c>
      <c r="E1713" s="4">
        <f>[1]Raw_Data!E1711</f>
        <v>51.86</v>
      </c>
      <c r="F1713" s="5">
        <f>[1]Raw_Data!F1711</f>
        <v>6793.66</v>
      </c>
      <c r="G1713" s="4">
        <f>[1]Raw_Data!G1711</f>
        <v>0.02</v>
      </c>
      <c r="H1713" s="3">
        <f>[1]Raw_Data!H1711</f>
        <v>3</v>
      </c>
      <c r="I1713" s="3" t="str">
        <f>TRIM([1]Raw_Data!I1711)</f>
        <v>Canada</v>
      </c>
      <c r="J1713" s="3" t="str">
        <f>TRIM([1]Raw_Data!J1711)</f>
        <v>Amazon</v>
      </c>
      <c r="K1713" s="3">
        <f t="shared" si="104"/>
        <v>2022</v>
      </c>
      <c r="L1713" s="6">
        <f t="shared" si="105"/>
        <v>44562</v>
      </c>
      <c r="M1713" s="3" t="str">
        <f t="shared" si="106"/>
        <v>0% to 5%</v>
      </c>
      <c r="N1713" s="3" t="str">
        <f t="shared" si="107"/>
        <v>OK</v>
      </c>
    </row>
    <row r="1714" spans="1:14" x14ac:dyDescent="0.3">
      <c r="A1714" s="2">
        <f>DATE(VALUE(RIGHT(TRIM([1]Raw_Data!A1712),4)),VALUE(MID(TRIM([1]Raw_Data!A1712),4,2)),VALUE(LEFT(TRIM([1]Raw_Data!A1712),2)))</f>
        <v>44578</v>
      </c>
      <c r="B1714" s="3" t="str">
        <f>TRIM([1]Raw_Data!B1712)</f>
        <v>Iron Supplement</v>
      </c>
      <c r="C1714" s="3" t="str">
        <f>TRIM([1]Raw_Data!C1712)</f>
        <v>Mineral</v>
      </c>
      <c r="D1714" s="3">
        <f>[1]Raw_Data!D1712</f>
        <v>142</v>
      </c>
      <c r="E1714" s="4">
        <f>[1]Raw_Data!E1712</f>
        <v>48.82</v>
      </c>
      <c r="F1714" s="5">
        <f>[1]Raw_Data!F1712</f>
        <v>6932.44</v>
      </c>
      <c r="G1714" s="4">
        <f>[1]Raw_Data!G1712</f>
        <v>0.15</v>
      </c>
      <c r="H1714" s="3">
        <f>[1]Raw_Data!H1712</f>
        <v>2</v>
      </c>
      <c r="I1714" s="3" t="str">
        <f>TRIM([1]Raw_Data!I1712)</f>
        <v>USA</v>
      </c>
      <c r="J1714" s="3" t="str">
        <f>TRIM([1]Raw_Data!J1712)</f>
        <v>Amazon</v>
      </c>
      <c r="K1714" s="3">
        <f t="shared" si="104"/>
        <v>2022</v>
      </c>
      <c r="L1714" s="6">
        <f t="shared" si="105"/>
        <v>44562</v>
      </c>
      <c r="M1714" s="3" t="str">
        <f t="shared" si="106"/>
        <v>11% to 15%</v>
      </c>
      <c r="N1714" s="3" t="str">
        <f t="shared" si="107"/>
        <v>OK</v>
      </c>
    </row>
    <row r="1715" spans="1:14" x14ac:dyDescent="0.3">
      <c r="A1715" s="2">
        <f>DATE(VALUE(RIGHT(TRIM([1]Raw_Data!A1713),4)),VALUE(MID(TRIM([1]Raw_Data!A1713),4,2)),VALUE(LEFT(TRIM([1]Raw_Data!A1713),2)))</f>
        <v>44578</v>
      </c>
      <c r="B1715" s="3" t="str">
        <f>TRIM([1]Raw_Data!B1713)</f>
        <v>Electrolyte Powder</v>
      </c>
      <c r="C1715" s="3" t="str">
        <f>TRIM([1]Raw_Data!C1713)</f>
        <v>Hydration</v>
      </c>
      <c r="D1715" s="3">
        <f>[1]Raw_Data!D1713</f>
        <v>160</v>
      </c>
      <c r="E1715" s="4">
        <f>[1]Raw_Data!E1713</f>
        <v>51.66</v>
      </c>
      <c r="F1715" s="5">
        <f>[1]Raw_Data!F1713</f>
        <v>8265.6</v>
      </c>
      <c r="G1715" s="4">
        <f>[1]Raw_Data!G1713</f>
        <v>0.18</v>
      </c>
      <c r="H1715" s="3">
        <f>[1]Raw_Data!H1713</f>
        <v>2</v>
      </c>
      <c r="I1715" s="3" t="str">
        <f>TRIM([1]Raw_Data!I1713)</f>
        <v>USA</v>
      </c>
      <c r="J1715" s="3" t="str">
        <f>TRIM([1]Raw_Data!J1713)</f>
        <v>iHerb</v>
      </c>
      <c r="K1715" s="3">
        <f t="shared" si="104"/>
        <v>2022</v>
      </c>
      <c r="L1715" s="6">
        <f t="shared" si="105"/>
        <v>44562</v>
      </c>
      <c r="M1715" s="3" t="str">
        <f t="shared" si="106"/>
        <v>16% to 20%</v>
      </c>
      <c r="N1715" s="3" t="str">
        <f t="shared" si="107"/>
        <v>OK</v>
      </c>
    </row>
    <row r="1716" spans="1:14" x14ac:dyDescent="0.3">
      <c r="A1716" s="2">
        <f>DATE(VALUE(RIGHT(TRIM([1]Raw_Data!A1714),4)),VALUE(MID(TRIM([1]Raw_Data!A1714),4,2)),VALUE(LEFT(TRIM([1]Raw_Data!A1714),2)))</f>
        <v>44585</v>
      </c>
      <c r="B1716" s="3" t="str">
        <f>TRIM([1]Raw_Data!B1714)</f>
        <v>Whey Protein</v>
      </c>
      <c r="C1716" s="3" t="str">
        <f>TRIM([1]Raw_Data!C1714)</f>
        <v>Protein</v>
      </c>
      <c r="D1716" s="3">
        <f>[1]Raw_Data!D1714</f>
        <v>168</v>
      </c>
      <c r="E1716" s="4">
        <f>[1]Raw_Data!E1714</f>
        <v>20.079999999999998</v>
      </c>
      <c r="F1716" s="5">
        <f>[1]Raw_Data!F1714</f>
        <v>3373.44</v>
      </c>
      <c r="G1716" s="4">
        <f>[1]Raw_Data!G1714</f>
        <v>0.11</v>
      </c>
      <c r="H1716" s="3">
        <f>[1]Raw_Data!H1714</f>
        <v>1</v>
      </c>
      <c r="I1716" s="3" t="str">
        <f>TRIM([1]Raw_Data!I1714)</f>
        <v>Canada</v>
      </c>
      <c r="J1716" s="3" t="str">
        <f>TRIM([1]Raw_Data!J1714)</f>
        <v>Amazon</v>
      </c>
      <c r="K1716" s="3">
        <f t="shared" si="104"/>
        <v>2022</v>
      </c>
      <c r="L1716" s="6">
        <f t="shared" si="105"/>
        <v>44562</v>
      </c>
      <c r="M1716" s="3" t="str">
        <f t="shared" si="106"/>
        <v>11% to 15%</v>
      </c>
      <c r="N1716" s="3" t="str">
        <f t="shared" si="107"/>
        <v>OK</v>
      </c>
    </row>
    <row r="1717" spans="1:14" x14ac:dyDescent="0.3">
      <c r="A1717" s="2">
        <f>DATE(VALUE(RIGHT(TRIM([1]Raw_Data!A1715),4)),VALUE(MID(TRIM([1]Raw_Data!A1715),4,2)),VALUE(LEFT(TRIM([1]Raw_Data!A1715),2)))</f>
        <v>44585</v>
      </c>
      <c r="B1717" s="3" t="str">
        <f>TRIM([1]Raw_Data!B1715)</f>
        <v>Vitamin C</v>
      </c>
      <c r="C1717" s="3" t="str">
        <f>TRIM([1]Raw_Data!C1715)</f>
        <v>Vitamin</v>
      </c>
      <c r="D1717" s="3">
        <f>[1]Raw_Data!D1715</f>
        <v>134</v>
      </c>
      <c r="E1717" s="4">
        <f>[1]Raw_Data!E1715</f>
        <v>35.31</v>
      </c>
      <c r="F1717" s="5">
        <f>[1]Raw_Data!F1715</f>
        <v>4731.54</v>
      </c>
      <c r="G1717" s="4">
        <f>[1]Raw_Data!G1715</f>
        <v>0.01</v>
      </c>
      <c r="H1717" s="3">
        <f>[1]Raw_Data!H1715</f>
        <v>3</v>
      </c>
      <c r="I1717" s="3" t="str">
        <f>TRIM([1]Raw_Data!I1715)</f>
        <v>UK</v>
      </c>
      <c r="J1717" s="3" t="str">
        <f>TRIM([1]Raw_Data!J1715)</f>
        <v>Walmart</v>
      </c>
      <c r="K1717" s="3">
        <f t="shared" si="104"/>
        <v>2022</v>
      </c>
      <c r="L1717" s="6">
        <f t="shared" si="105"/>
        <v>44562</v>
      </c>
      <c r="M1717" s="3" t="str">
        <f t="shared" si="106"/>
        <v>0% to 5%</v>
      </c>
      <c r="N1717" s="3" t="str">
        <f t="shared" si="107"/>
        <v>OK</v>
      </c>
    </row>
    <row r="1718" spans="1:14" x14ac:dyDescent="0.3">
      <c r="A1718" s="2">
        <f>DATE(VALUE(RIGHT(TRIM([1]Raw_Data!A1716),4)),VALUE(MID(TRIM([1]Raw_Data!A1716),4,2)),VALUE(LEFT(TRIM([1]Raw_Data!A1716),2)))</f>
        <v>44585</v>
      </c>
      <c r="B1718" s="3" t="str">
        <f>TRIM([1]Raw_Data!B1716)</f>
        <v>Fish Oil</v>
      </c>
      <c r="C1718" s="3" t="str">
        <f>TRIM([1]Raw_Data!C1716)</f>
        <v>Omega</v>
      </c>
      <c r="D1718" s="3">
        <f>[1]Raw_Data!D1716</f>
        <v>165</v>
      </c>
      <c r="E1718" s="4">
        <f>[1]Raw_Data!E1716</f>
        <v>21.45</v>
      </c>
      <c r="F1718" s="5">
        <f>[1]Raw_Data!F1716</f>
        <v>3539.25</v>
      </c>
      <c r="G1718" s="4">
        <f>[1]Raw_Data!G1716</f>
        <v>0.03</v>
      </c>
      <c r="H1718" s="3">
        <f>[1]Raw_Data!H1716</f>
        <v>1</v>
      </c>
      <c r="I1718" s="3" t="str">
        <f>TRIM([1]Raw_Data!I1716)</f>
        <v>UK</v>
      </c>
      <c r="J1718" s="3" t="str">
        <f>TRIM([1]Raw_Data!J1716)</f>
        <v>iHerb</v>
      </c>
      <c r="K1718" s="3">
        <f t="shared" si="104"/>
        <v>2022</v>
      </c>
      <c r="L1718" s="6">
        <f t="shared" si="105"/>
        <v>44562</v>
      </c>
      <c r="M1718" s="3" t="str">
        <f t="shared" si="106"/>
        <v>0% to 5%</v>
      </c>
      <c r="N1718" s="3" t="str">
        <f t="shared" si="107"/>
        <v>OK</v>
      </c>
    </row>
    <row r="1719" spans="1:14" x14ac:dyDescent="0.3">
      <c r="A1719" s="2">
        <f>DATE(VALUE(RIGHT(TRIM([1]Raw_Data!A1717),4)),VALUE(MID(TRIM([1]Raw_Data!A1717),4,2)),VALUE(LEFT(TRIM([1]Raw_Data!A1717),2)))</f>
        <v>44585</v>
      </c>
      <c r="B1719" s="3" t="str">
        <f>TRIM([1]Raw_Data!B1717)</f>
        <v>Multivitamin</v>
      </c>
      <c r="C1719" s="3" t="str">
        <f>TRIM([1]Raw_Data!C1717)</f>
        <v>Vitamin</v>
      </c>
      <c r="D1719" s="3">
        <f>[1]Raw_Data!D1717</f>
        <v>141</v>
      </c>
      <c r="E1719" s="4">
        <f>[1]Raw_Data!E1717</f>
        <v>58.32</v>
      </c>
      <c r="F1719" s="5">
        <f>[1]Raw_Data!F1717</f>
        <v>8223.1200000000008</v>
      </c>
      <c r="G1719" s="4">
        <f>[1]Raw_Data!G1717</f>
        <v>0.14000000000000001</v>
      </c>
      <c r="H1719" s="3">
        <f>[1]Raw_Data!H1717</f>
        <v>3</v>
      </c>
      <c r="I1719" s="3" t="str">
        <f>TRIM([1]Raw_Data!I1717)</f>
        <v>UK</v>
      </c>
      <c r="J1719" s="3" t="str">
        <f>TRIM([1]Raw_Data!J1717)</f>
        <v>Walmart</v>
      </c>
      <c r="K1719" s="3">
        <f t="shared" si="104"/>
        <v>2022</v>
      </c>
      <c r="L1719" s="6">
        <f t="shared" si="105"/>
        <v>44562</v>
      </c>
      <c r="M1719" s="3" t="str">
        <f t="shared" si="106"/>
        <v>11% to 15%</v>
      </c>
      <c r="N1719" s="3" t="str">
        <f t="shared" si="107"/>
        <v>OK</v>
      </c>
    </row>
    <row r="1720" spans="1:14" x14ac:dyDescent="0.3">
      <c r="A1720" s="2">
        <f>DATE(VALUE(RIGHT(TRIM([1]Raw_Data!A1718),4)),VALUE(MID(TRIM([1]Raw_Data!A1718),4,2)),VALUE(LEFT(TRIM([1]Raw_Data!A1718),2)))</f>
        <v>44585</v>
      </c>
      <c r="B1720" s="3" t="str">
        <f>TRIM([1]Raw_Data!B1718)</f>
        <v>Pre-Workout</v>
      </c>
      <c r="C1720" s="3" t="str">
        <f>TRIM([1]Raw_Data!C1718)</f>
        <v>Performance</v>
      </c>
      <c r="D1720" s="3">
        <f>[1]Raw_Data!D1718</f>
        <v>155</v>
      </c>
      <c r="E1720" s="4">
        <f>[1]Raw_Data!E1718</f>
        <v>52.73</v>
      </c>
      <c r="F1720" s="5">
        <f>[1]Raw_Data!F1718</f>
        <v>8173.15</v>
      </c>
      <c r="G1720" s="4">
        <f>[1]Raw_Data!G1718</f>
        <v>0.12</v>
      </c>
      <c r="H1720" s="3">
        <f>[1]Raw_Data!H1718</f>
        <v>3</v>
      </c>
      <c r="I1720" s="3" t="str">
        <f>TRIM([1]Raw_Data!I1718)</f>
        <v>Canada</v>
      </c>
      <c r="J1720" s="3" t="str">
        <f>TRIM([1]Raw_Data!J1718)</f>
        <v>Amazon</v>
      </c>
      <c r="K1720" s="3">
        <f t="shared" si="104"/>
        <v>2022</v>
      </c>
      <c r="L1720" s="6">
        <f t="shared" si="105"/>
        <v>44562</v>
      </c>
      <c r="M1720" s="3" t="str">
        <f t="shared" si="106"/>
        <v>11% to 15%</v>
      </c>
      <c r="N1720" s="3" t="str">
        <f t="shared" si="107"/>
        <v>OK</v>
      </c>
    </row>
    <row r="1721" spans="1:14" x14ac:dyDescent="0.3">
      <c r="A1721" s="2">
        <f>DATE(VALUE(RIGHT(TRIM([1]Raw_Data!A1719),4)),VALUE(MID(TRIM([1]Raw_Data!A1719),4,2)),VALUE(LEFT(TRIM([1]Raw_Data!A1719),2)))</f>
        <v>44585</v>
      </c>
      <c r="B1721" s="3" t="str">
        <f>TRIM([1]Raw_Data!B1719)</f>
        <v>BCAA</v>
      </c>
      <c r="C1721" s="3" t="str">
        <f>TRIM([1]Raw_Data!C1719)</f>
        <v>Amino Acid</v>
      </c>
      <c r="D1721" s="3">
        <f>[1]Raw_Data!D1719</f>
        <v>142</v>
      </c>
      <c r="E1721" s="4">
        <f>[1]Raw_Data!E1719</f>
        <v>52.77</v>
      </c>
      <c r="F1721" s="5">
        <f>[1]Raw_Data!F1719</f>
        <v>7493.34</v>
      </c>
      <c r="G1721" s="4">
        <f>[1]Raw_Data!G1719</f>
        <v>0.15</v>
      </c>
      <c r="H1721" s="3">
        <f>[1]Raw_Data!H1719</f>
        <v>3</v>
      </c>
      <c r="I1721" s="3" t="str">
        <f>TRIM([1]Raw_Data!I1719)</f>
        <v>UK</v>
      </c>
      <c r="J1721" s="3" t="str">
        <f>TRIM([1]Raw_Data!J1719)</f>
        <v>Amazon</v>
      </c>
      <c r="K1721" s="3">
        <f t="shared" si="104"/>
        <v>2022</v>
      </c>
      <c r="L1721" s="6">
        <f t="shared" si="105"/>
        <v>44562</v>
      </c>
      <c r="M1721" s="3" t="str">
        <f t="shared" si="106"/>
        <v>11% to 15%</v>
      </c>
      <c r="N1721" s="3" t="str">
        <f t="shared" si="107"/>
        <v>OK</v>
      </c>
    </row>
    <row r="1722" spans="1:14" x14ac:dyDescent="0.3">
      <c r="A1722" s="2">
        <f>DATE(VALUE(RIGHT(TRIM([1]Raw_Data!A1720),4)),VALUE(MID(TRIM([1]Raw_Data!A1720),4,2)),VALUE(LEFT(TRIM([1]Raw_Data!A1720),2)))</f>
        <v>44585</v>
      </c>
      <c r="B1722" s="3" t="str">
        <f>TRIM([1]Raw_Data!B1720)</f>
        <v>Creatine</v>
      </c>
      <c r="C1722" s="3" t="str">
        <f>TRIM([1]Raw_Data!C1720)</f>
        <v>Performance</v>
      </c>
      <c r="D1722" s="3">
        <f>[1]Raw_Data!D1720</f>
        <v>174</v>
      </c>
      <c r="E1722" s="4">
        <f>[1]Raw_Data!E1720</f>
        <v>35.049999999999997</v>
      </c>
      <c r="F1722" s="5">
        <f>[1]Raw_Data!F1720</f>
        <v>6098.7</v>
      </c>
      <c r="G1722" s="4">
        <f>[1]Raw_Data!G1720</f>
        <v>0.09</v>
      </c>
      <c r="H1722" s="3">
        <f>[1]Raw_Data!H1720</f>
        <v>2</v>
      </c>
      <c r="I1722" s="3" t="str">
        <f>TRIM([1]Raw_Data!I1720)</f>
        <v>Canada</v>
      </c>
      <c r="J1722" s="3" t="str">
        <f>TRIM([1]Raw_Data!J1720)</f>
        <v>Amazon</v>
      </c>
      <c r="K1722" s="3">
        <f t="shared" si="104"/>
        <v>2022</v>
      </c>
      <c r="L1722" s="6">
        <f t="shared" si="105"/>
        <v>44562</v>
      </c>
      <c r="M1722" s="3" t="str">
        <f t="shared" si="106"/>
        <v>6% to 10%</v>
      </c>
      <c r="N1722" s="3" t="str">
        <f t="shared" si="107"/>
        <v>OK</v>
      </c>
    </row>
    <row r="1723" spans="1:14" x14ac:dyDescent="0.3">
      <c r="A1723" s="2">
        <f>DATE(VALUE(RIGHT(TRIM([1]Raw_Data!A1721),4)),VALUE(MID(TRIM([1]Raw_Data!A1721),4,2)),VALUE(LEFT(TRIM([1]Raw_Data!A1721),2)))</f>
        <v>44585</v>
      </c>
      <c r="B1723" s="3" t="str">
        <f>TRIM([1]Raw_Data!B1721)</f>
        <v>Zinc</v>
      </c>
      <c r="C1723" s="3" t="str">
        <f>TRIM([1]Raw_Data!C1721)</f>
        <v>Mineral</v>
      </c>
      <c r="D1723" s="3">
        <f>[1]Raw_Data!D1721</f>
        <v>161</v>
      </c>
      <c r="E1723" s="4">
        <f>[1]Raw_Data!E1721</f>
        <v>37.840000000000003</v>
      </c>
      <c r="F1723" s="5">
        <f>[1]Raw_Data!F1721</f>
        <v>6092.24</v>
      </c>
      <c r="G1723" s="4">
        <f>[1]Raw_Data!G1721</f>
        <v>0.18</v>
      </c>
      <c r="H1723" s="3">
        <f>[1]Raw_Data!H1721</f>
        <v>0</v>
      </c>
      <c r="I1723" s="3" t="str">
        <f>TRIM([1]Raw_Data!I1721)</f>
        <v>Canada</v>
      </c>
      <c r="J1723" s="3" t="str">
        <f>TRIM([1]Raw_Data!J1721)</f>
        <v>iHerb</v>
      </c>
      <c r="K1723" s="3">
        <f t="shared" si="104"/>
        <v>2022</v>
      </c>
      <c r="L1723" s="6">
        <f t="shared" si="105"/>
        <v>44562</v>
      </c>
      <c r="M1723" s="3" t="str">
        <f t="shared" si="106"/>
        <v>16% to 20%</v>
      </c>
      <c r="N1723" s="3" t="str">
        <f t="shared" si="107"/>
        <v>OK</v>
      </c>
    </row>
    <row r="1724" spans="1:14" x14ac:dyDescent="0.3">
      <c r="A1724" s="2">
        <f>DATE(VALUE(RIGHT(TRIM([1]Raw_Data!A1722),4)),VALUE(MID(TRIM([1]Raw_Data!A1722),4,2)),VALUE(LEFT(TRIM([1]Raw_Data!A1722),2)))</f>
        <v>44585</v>
      </c>
      <c r="B1724" s="3" t="str">
        <f>TRIM([1]Raw_Data!B1722)</f>
        <v>Collagen Peptides</v>
      </c>
      <c r="C1724" s="3" t="str">
        <f>TRIM([1]Raw_Data!C1722)</f>
        <v>Protein</v>
      </c>
      <c r="D1724" s="3">
        <f>[1]Raw_Data!D1722</f>
        <v>162</v>
      </c>
      <c r="E1724" s="4">
        <f>[1]Raw_Data!E1722</f>
        <v>57.48</v>
      </c>
      <c r="F1724" s="5">
        <f>[1]Raw_Data!F1722</f>
        <v>9311.76</v>
      </c>
      <c r="G1724" s="4">
        <f>[1]Raw_Data!G1722</f>
        <v>0.08</v>
      </c>
      <c r="H1724" s="3">
        <f>[1]Raw_Data!H1722</f>
        <v>0</v>
      </c>
      <c r="I1724" s="3" t="str">
        <f>TRIM([1]Raw_Data!I1722)</f>
        <v>Canada</v>
      </c>
      <c r="J1724" s="3" t="str">
        <f>TRIM([1]Raw_Data!J1722)</f>
        <v>iHerb</v>
      </c>
      <c r="K1724" s="3">
        <f t="shared" si="104"/>
        <v>2022</v>
      </c>
      <c r="L1724" s="6">
        <f t="shared" si="105"/>
        <v>44562</v>
      </c>
      <c r="M1724" s="3" t="str">
        <f t="shared" si="106"/>
        <v>6% to 10%</v>
      </c>
      <c r="N1724" s="3" t="str">
        <f t="shared" si="107"/>
        <v>OK</v>
      </c>
    </row>
    <row r="1725" spans="1:14" x14ac:dyDescent="0.3">
      <c r="A1725" s="2">
        <f>DATE(VALUE(RIGHT(TRIM([1]Raw_Data!A1723),4)),VALUE(MID(TRIM([1]Raw_Data!A1723),4,2)),VALUE(LEFT(TRIM([1]Raw_Data!A1723),2)))</f>
        <v>44585</v>
      </c>
      <c r="B1725" s="3" t="str">
        <f>TRIM([1]Raw_Data!B1723)</f>
        <v>Magnesium</v>
      </c>
      <c r="C1725" s="3" t="str">
        <f>TRIM([1]Raw_Data!C1723)</f>
        <v>Mineral</v>
      </c>
      <c r="D1725" s="3">
        <f>[1]Raw_Data!D1723</f>
        <v>150</v>
      </c>
      <c r="E1725" s="4">
        <f>[1]Raw_Data!E1723</f>
        <v>58.48</v>
      </c>
      <c r="F1725" s="5">
        <f>[1]Raw_Data!F1723</f>
        <v>8772</v>
      </c>
      <c r="G1725" s="4">
        <f>[1]Raw_Data!G1723</f>
        <v>0.01</v>
      </c>
      <c r="H1725" s="3">
        <f>[1]Raw_Data!H1723</f>
        <v>2</v>
      </c>
      <c r="I1725" s="3" t="str">
        <f>TRIM([1]Raw_Data!I1723)</f>
        <v>UK</v>
      </c>
      <c r="J1725" s="3" t="str">
        <f>TRIM([1]Raw_Data!J1723)</f>
        <v>Amazon</v>
      </c>
      <c r="K1725" s="3">
        <f t="shared" si="104"/>
        <v>2022</v>
      </c>
      <c r="L1725" s="6">
        <f t="shared" si="105"/>
        <v>44562</v>
      </c>
      <c r="M1725" s="3" t="str">
        <f t="shared" si="106"/>
        <v>0% to 5%</v>
      </c>
      <c r="N1725" s="3" t="str">
        <f t="shared" si="107"/>
        <v>OK</v>
      </c>
    </row>
    <row r="1726" spans="1:14" x14ac:dyDescent="0.3">
      <c r="A1726" s="2">
        <f>DATE(VALUE(RIGHT(TRIM([1]Raw_Data!A1724),4)),VALUE(MID(TRIM([1]Raw_Data!A1724),4,2)),VALUE(LEFT(TRIM([1]Raw_Data!A1724),2)))</f>
        <v>44585</v>
      </c>
      <c r="B1726" s="3" t="str">
        <f>TRIM([1]Raw_Data!B1724)</f>
        <v>Ashwagandha</v>
      </c>
      <c r="C1726" s="3" t="str">
        <f>TRIM([1]Raw_Data!C1724)</f>
        <v>Herbal</v>
      </c>
      <c r="D1726" s="3">
        <f>[1]Raw_Data!D1724</f>
        <v>151</v>
      </c>
      <c r="E1726" s="4">
        <f>[1]Raw_Data!E1724</f>
        <v>13.29</v>
      </c>
      <c r="F1726" s="5">
        <f>[1]Raw_Data!F1724</f>
        <v>2006.79</v>
      </c>
      <c r="G1726" s="4">
        <f>[1]Raw_Data!G1724</f>
        <v>0.16</v>
      </c>
      <c r="H1726" s="3">
        <f>[1]Raw_Data!H1724</f>
        <v>2</v>
      </c>
      <c r="I1726" s="3" t="str">
        <f>TRIM([1]Raw_Data!I1724)</f>
        <v>UK</v>
      </c>
      <c r="J1726" s="3" t="str">
        <f>TRIM([1]Raw_Data!J1724)</f>
        <v>Amazon</v>
      </c>
      <c r="K1726" s="3">
        <f t="shared" si="104"/>
        <v>2022</v>
      </c>
      <c r="L1726" s="6">
        <f t="shared" si="105"/>
        <v>44562</v>
      </c>
      <c r="M1726" s="3" t="str">
        <f t="shared" si="106"/>
        <v>16% to 20%</v>
      </c>
      <c r="N1726" s="3" t="str">
        <f t="shared" si="107"/>
        <v>OK</v>
      </c>
    </row>
    <row r="1727" spans="1:14" x14ac:dyDescent="0.3">
      <c r="A1727" s="2">
        <f>DATE(VALUE(RIGHT(TRIM([1]Raw_Data!A1725),4)),VALUE(MID(TRIM([1]Raw_Data!A1725),4,2)),VALUE(LEFT(TRIM([1]Raw_Data!A1725),2)))</f>
        <v>44585</v>
      </c>
      <c r="B1727" s="3" t="str">
        <f>TRIM([1]Raw_Data!B1725)</f>
        <v>Melatonin</v>
      </c>
      <c r="C1727" s="3" t="str">
        <f>TRIM([1]Raw_Data!C1725)</f>
        <v>Sleep Aid</v>
      </c>
      <c r="D1727" s="3">
        <f>[1]Raw_Data!D1725</f>
        <v>142</v>
      </c>
      <c r="E1727" s="4">
        <f>[1]Raw_Data!E1725</f>
        <v>25.21</v>
      </c>
      <c r="F1727" s="5">
        <f>[1]Raw_Data!F1725</f>
        <v>3579.82</v>
      </c>
      <c r="G1727" s="4">
        <f>[1]Raw_Data!G1725</f>
        <v>0.11</v>
      </c>
      <c r="H1727" s="3">
        <f>[1]Raw_Data!H1725</f>
        <v>1</v>
      </c>
      <c r="I1727" s="3" t="str">
        <f>TRIM([1]Raw_Data!I1725)</f>
        <v>UK</v>
      </c>
      <c r="J1727" s="3" t="str">
        <f>TRIM([1]Raw_Data!J1725)</f>
        <v>Amazon</v>
      </c>
      <c r="K1727" s="3">
        <f t="shared" si="104"/>
        <v>2022</v>
      </c>
      <c r="L1727" s="6">
        <f t="shared" si="105"/>
        <v>44562</v>
      </c>
      <c r="M1727" s="3" t="str">
        <f t="shared" si="106"/>
        <v>11% to 15%</v>
      </c>
      <c r="N1727" s="3" t="str">
        <f t="shared" si="107"/>
        <v>OK</v>
      </c>
    </row>
    <row r="1728" spans="1:14" x14ac:dyDescent="0.3">
      <c r="A1728" s="2">
        <f>DATE(VALUE(RIGHT(TRIM([1]Raw_Data!A1726),4)),VALUE(MID(TRIM([1]Raw_Data!A1726),4,2)),VALUE(LEFT(TRIM([1]Raw_Data!A1726),2)))</f>
        <v>44585</v>
      </c>
      <c r="B1728" s="3" t="str">
        <f>TRIM([1]Raw_Data!B1726)</f>
        <v>Biotin</v>
      </c>
      <c r="C1728" s="3" t="str">
        <f>TRIM([1]Raw_Data!C1726)</f>
        <v>Vitamin</v>
      </c>
      <c r="D1728" s="3">
        <f>[1]Raw_Data!D1726</f>
        <v>145</v>
      </c>
      <c r="E1728" s="4">
        <f>[1]Raw_Data!E1726</f>
        <v>29.36</v>
      </c>
      <c r="F1728" s="5">
        <f>[1]Raw_Data!F1726</f>
        <v>4257.2</v>
      </c>
      <c r="G1728" s="4">
        <f>[1]Raw_Data!G1726</f>
        <v>0.15</v>
      </c>
      <c r="H1728" s="3">
        <f>[1]Raw_Data!H1726</f>
        <v>1</v>
      </c>
      <c r="I1728" s="3" t="str">
        <f>TRIM([1]Raw_Data!I1726)</f>
        <v>USA</v>
      </c>
      <c r="J1728" s="3" t="str">
        <f>TRIM([1]Raw_Data!J1726)</f>
        <v>iHerb</v>
      </c>
      <c r="K1728" s="3">
        <f t="shared" si="104"/>
        <v>2022</v>
      </c>
      <c r="L1728" s="6">
        <f t="shared" si="105"/>
        <v>44562</v>
      </c>
      <c r="M1728" s="3" t="str">
        <f t="shared" si="106"/>
        <v>11% to 15%</v>
      </c>
      <c r="N1728" s="3" t="str">
        <f t="shared" si="107"/>
        <v>OK</v>
      </c>
    </row>
    <row r="1729" spans="1:14" x14ac:dyDescent="0.3">
      <c r="A1729" s="2">
        <f>DATE(VALUE(RIGHT(TRIM([1]Raw_Data!A1727),4)),VALUE(MID(TRIM([1]Raw_Data!A1727),4,2)),VALUE(LEFT(TRIM([1]Raw_Data!A1727),2)))</f>
        <v>44585</v>
      </c>
      <c r="B1729" s="3" t="str">
        <f>TRIM([1]Raw_Data!B1727)</f>
        <v>Green Tea Extract</v>
      </c>
      <c r="C1729" s="3" t="str">
        <f>TRIM([1]Raw_Data!C1727)</f>
        <v>Fat Burner</v>
      </c>
      <c r="D1729" s="3">
        <f>[1]Raw_Data!D1727</f>
        <v>157</v>
      </c>
      <c r="E1729" s="4">
        <f>[1]Raw_Data!E1727</f>
        <v>24.23</v>
      </c>
      <c r="F1729" s="5">
        <f>[1]Raw_Data!F1727</f>
        <v>3804.11</v>
      </c>
      <c r="G1729" s="4">
        <f>[1]Raw_Data!G1727</f>
        <v>0.2</v>
      </c>
      <c r="H1729" s="3">
        <f>[1]Raw_Data!H1727</f>
        <v>0</v>
      </c>
      <c r="I1729" s="3" t="str">
        <f>TRIM([1]Raw_Data!I1727)</f>
        <v>Canada</v>
      </c>
      <c r="J1729" s="3" t="str">
        <f>TRIM([1]Raw_Data!J1727)</f>
        <v>Walmart</v>
      </c>
      <c r="K1729" s="3">
        <f t="shared" si="104"/>
        <v>2022</v>
      </c>
      <c r="L1729" s="6">
        <f t="shared" si="105"/>
        <v>44562</v>
      </c>
      <c r="M1729" s="3" t="str">
        <f t="shared" si="106"/>
        <v>16% to 20%</v>
      </c>
      <c r="N1729" s="3" t="str">
        <f t="shared" si="107"/>
        <v>OK</v>
      </c>
    </row>
    <row r="1730" spans="1:14" x14ac:dyDescent="0.3">
      <c r="A1730" s="2">
        <f>DATE(VALUE(RIGHT(TRIM([1]Raw_Data!A1728),4)),VALUE(MID(TRIM([1]Raw_Data!A1728),4,2)),VALUE(LEFT(TRIM([1]Raw_Data!A1728),2)))</f>
        <v>44585</v>
      </c>
      <c r="B1730" s="3" t="str">
        <f>TRIM([1]Raw_Data!B1728)</f>
        <v>Iron Supplement</v>
      </c>
      <c r="C1730" s="3" t="str">
        <f>TRIM([1]Raw_Data!C1728)</f>
        <v>Mineral</v>
      </c>
      <c r="D1730" s="3">
        <f>[1]Raw_Data!D1728</f>
        <v>165</v>
      </c>
      <c r="E1730" s="4">
        <f>[1]Raw_Data!E1728</f>
        <v>51.72</v>
      </c>
      <c r="F1730" s="5">
        <f>[1]Raw_Data!F1728</f>
        <v>8533.7999999999993</v>
      </c>
      <c r="G1730" s="4">
        <f>[1]Raw_Data!G1728</f>
        <v>0.09</v>
      </c>
      <c r="H1730" s="3">
        <f>[1]Raw_Data!H1728</f>
        <v>2</v>
      </c>
      <c r="I1730" s="3" t="str">
        <f>TRIM([1]Raw_Data!I1728)</f>
        <v>UK</v>
      </c>
      <c r="J1730" s="3" t="str">
        <f>TRIM([1]Raw_Data!J1728)</f>
        <v>Walmart</v>
      </c>
      <c r="K1730" s="3">
        <f t="shared" si="104"/>
        <v>2022</v>
      </c>
      <c r="L1730" s="6">
        <f t="shared" si="105"/>
        <v>44562</v>
      </c>
      <c r="M1730" s="3" t="str">
        <f t="shared" si="106"/>
        <v>6% to 10%</v>
      </c>
      <c r="N1730" s="3" t="str">
        <f t="shared" si="107"/>
        <v>OK</v>
      </c>
    </row>
    <row r="1731" spans="1:14" x14ac:dyDescent="0.3">
      <c r="A1731" s="2">
        <f>DATE(VALUE(RIGHT(TRIM([1]Raw_Data!A1729),4)),VALUE(MID(TRIM([1]Raw_Data!A1729),4,2)),VALUE(LEFT(TRIM([1]Raw_Data!A1729),2)))</f>
        <v>44585</v>
      </c>
      <c r="B1731" s="3" t="str">
        <f>TRIM([1]Raw_Data!B1729)</f>
        <v>Electrolyte Powder</v>
      </c>
      <c r="C1731" s="3" t="str">
        <f>TRIM([1]Raw_Data!C1729)</f>
        <v>Hydration</v>
      </c>
      <c r="D1731" s="3">
        <f>[1]Raw_Data!D1729</f>
        <v>136</v>
      </c>
      <c r="E1731" s="4">
        <f>[1]Raw_Data!E1729</f>
        <v>20.8</v>
      </c>
      <c r="F1731" s="5">
        <f>[1]Raw_Data!F1729</f>
        <v>2828.8</v>
      </c>
      <c r="G1731" s="4">
        <f>[1]Raw_Data!G1729</f>
        <v>0.03</v>
      </c>
      <c r="H1731" s="3">
        <f>[1]Raw_Data!H1729</f>
        <v>1</v>
      </c>
      <c r="I1731" s="3" t="str">
        <f>TRIM([1]Raw_Data!I1729)</f>
        <v>Canada</v>
      </c>
      <c r="J1731" s="3" t="str">
        <f>TRIM([1]Raw_Data!J1729)</f>
        <v>Amazon</v>
      </c>
      <c r="K1731" s="3">
        <f t="shared" si="104"/>
        <v>2022</v>
      </c>
      <c r="L1731" s="6">
        <f t="shared" si="105"/>
        <v>44562</v>
      </c>
      <c r="M1731" s="3" t="str">
        <f t="shared" si="106"/>
        <v>0% to 5%</v>
      </c>
      <c r="N1731" s="3" t="str">
        <f t="shared" si="107"/>
        <v>OK</v>
      </c>
    </row>
    <row r="1732" spans="1:14" x14ac:dyDescent="0.3">
      <c r="A1732" s="2">
        <f>DATE(VALUE(RIGHT(TRIM([1]Raw_Data!A1730),4)),VALUE(MID(TRIM([1]Raw_Data!A1730),4,2)),VALUE(LEFT(TRIM([1]Raw_Data!A1730),2)))</f>
        <v>44592</v>
      </c>
      <c r="B1732" s="3" t="str">
        <f>TRIM([1]Raw_Data!B1730)</f>
        <v>Whey Protein</v>
      </c>
      <c r="C1732" s="3" t="str">
        <f>TRIM([1]Raw_Data!C1730)</f>
        <v>Protein</v>
      </c>
      <c r="D1732" s="3">
        <f>[1]Raw_Data!D1730</f>
        <v>150</v>
      </c>
      <c r="E1732" s="4">
        <f>[1]Raw_Data!E1730</f>
        <v>49.49</v>
      </c>
      <c r="F1732" s="5">
        <f>[1]Raw_Data!F1730</f>
        <v>7423.5</v>
      </c>
      <c r="G1732" s="4">
        <f>[1]Raw_Data!G1730</f>
        <v>0.16</v>
      </c>
      <c r="H1732" s="3">
        <f>[1]Raw_Data!H1730</f>
        <v>2</v>
      </c>
      <c r="I1732" s="3" t="str">
        <f>TRIM([1]Raw_Data!I1730)</f>
        <v>Canada</v>
      </c>
      <c r="J1732" s="3" t="str">
        <f>TRIM([1]Raw_Data!J1730)</f>
        <v>Walmart</v>
      </c>
      <c r="K1732" s="3">
        <f t="shared" ref="K1732:K1795" si="108">YEAR(A1732)</f>
        <v>2022</v>
      </c>
      <c r="L1732" s="6">
        <f t="shared" ref="L1732:L1795" si="109">DATE(YEAR(A1732),MONTH(A1732),1)</f>
        <v>44562</v>
      </c>
      <c r="M1732" s="3" t="str">
        <f t="shared" ref="M1732:M1795" si="110">IF(ROUND(G1732*100,0)&lt;=5,"0% to 5%",IF(ROUND(G1732*100,0)&lt;=10,"6% to 10%",IF(ROUND(G1732*100,0)&lt;=15,"11% to 15%",IF(ROUND(G1732*100,0)&lt;=20,"16% to 20%","21% to 25%"))))</f>
        <v>16% to 20%</v>
      </c>
      <c r="N1732" s="3" t="str">
        <f t="shared" ref="N1732:N1795" si="111">IF(ROUND(D1732*E1732,2)=ROUND(F1732,2),"OK","Check")</f>
        <v>OK</v>
      </c>
    </row>
    <row r="1733" spans="1:14" x14ac:dyDescent="0.3">
      <c r="A1733" s="2">
        <f>DATE(VALUE(RIGHT(TRIM([1]Raw_Data!A1731),4)),VALUE(MID(TRIM([1]Raw_Data!A1731),4,2)),VALUE(LEFT(TRIM([1]Raw_Data!A1731),2)))</f>
        <v>44592</v>
      </c>
      <c r="B1733" s="3" t="str">
        <f>TRIM([1]Raw_Data!B1731)</f>
        <v>Vitamin C</v>
      </c>
      <c r="C1733" s="3" t="str">
        <f>TRIM([1]Raw_Data!C1731)</f>
        <v>Vitamin</v>
      </c>
      <c r="D1733" s="3">
        <f>[1]Raw_Data!D1731</f>
        <v>147</v>
      </c>
      <c r="E1733" s="4">
        <f>[1]Raw_Data!E1731</f>
        <v>30.73</v>
      </c>
      <c r="F1733" s="5">
        <f>[1]Raw_Data!F1731</f>
        <v>4517.3100000000004</v>
      </c>
      <c r="G1733" s="4">
        <f>[1]Raw_Data!G1731</f>
        <v>0.21</v>
      </c>
      <c r="H1733" s="3">
        <f>[1]Raw_Data!H1731</f>
        <v>1</v>
      </c>
      <c r="I1733" s="3" t="str">
        <f>TRIM([1]Raw_Data!I1731)</f>
        <v>USA</v>
      </c>
      <c r="J1733" s="3" t="str">
        <f>TRIM([1]Raw_Data!J1731)</f>
        <v>iHerb</v>
      </c>
      <c r="K1733" s="3">
        <f t="shared" si="108"/>
        <v>2022</v>
      </c>
      <c r="L1733" s="6">
        <f t="shared" si="109"/>
        <v>44562</v>
      </c>
      <c r="M1733" s="3" t="str">
        <f t="shared" si="110"/>
        <v>21% to 25%</v>
      </c>
      <c r="N1733" s="3" t="str">
        <f t="shared" si="111"/>
        <v>OK</v>
      </c>
    </row>
    <row r="1734" spans="1:14" x14ac:dyDescent="0.3">
      <c r="A1734" s="2">
        <f>DATE(VALUE(RIGHT(TRIM([1]Raw_Data!A1732),4)),VALUE(MID(TRIM([1]Raw_Data!A1732),4,2)),VALUE(LEFT(TRIM([1]Raw_Data!A1732),2)))</f>
        <v>44592</v>
      </c>
      <c r="B1734" s="3" t="str">
        <f>TRIM([1]Raw_Data!B1732)</f>
        <v>Fish Oil</v>
      </c>
      <c r="C1734" s="3" t="str">
        <f>TRIM([1]Raw_Data!C1732)</f>
        <v>Omega</v>
      </c>
      <c r="D1734" s="3">
        <f>[1]Raw_Data!D1732</f>
        <v>165</v>
      </c>
      <c r="E1734" s="4">
        <f>[1]Raw_Data!E1732</f>
        <v>15.32</v>
      </c>
      <c r="F1734" s="5">
        <f>[1]Raw_Data!F1732</f>
        <v>2527.8000000000002</v>
      </c>
      <c r="G1734" s="4">
        <f>[1]Raw_Data!G1732</f>
        <v>0.12</v>
      </c>
      <c r="H1734" s="3">
        <f>[1]Raw_Data!H1732</f>
        <v>2</v>
      </c>
      <c r="I1734" s="3" t="str">
        <f>TRIM([1]Raw_Data!I1732)</f>
        <v>Canada</v>
      </c>
      <c r="J1734" s="3" t="str">
        <f>TRIM([1]Raw_Data!J1732)</f>
        <v>Amazon</v>
      </c>
      <c r="K1734" s="3">
        <f t="shared" si="108"/>
        <v>2022</v>
      </c>
      <c r="L1734" s="6">
        <f t="shared" si="109"/>
        <v>44562</v>
      </c>
      <c r="M1734" s="3" t="str">
        <f t="shared" si="110"/>
        <v>11% to 15%</v>
      </c>
      <c r="N1734" s="3" t="str">
        <f t="shared" si="111"/>
        <v>OK</v>
      </c>
    </row>
    <row r="1735" spans="1:14" x14ac:dyDescent="0.3">
      <c r="A1735" s="2">
        <f>DATE(VALUE(RIGHT(TRIM([1]Raw_Data!A1733),4)),VALUE(MID(TRIM([1]Raw_Data!A1733),4,2)),VALUE(LEFT(TRIM([1]Raw_Data!A1733),2)))</f>
        <v>44592</v>
      </c>
      <c r="B1735" s="3" t="str">
        <f>TRIM([1]Raw_Data!B1733)</f>
        <v>Multivitamin</v>
      </c>
      <c r="C1735" s="3" t="str">
        <f>TRIM([1]Raw_Data!C1733)</f>
        <v>Vitamin</v>
      </c>
      <c r="D1735" s="3">
        <f>[1]Raw_Data!D1733</f>
        <v>142</v>
      </c>
      <c r="E1735" s="4">
        <f>[1]Raw_Data!E1733</f>
        <v>39.75</v>
      </c>
      <c r="F1735" s="5">
        <f>[1]Raw_Data!F1733</f>
        <v>5644.5</v>
      </c>
      <c r="G1735" s="4">
        <f>[1]Raw_Data!G1733</f>
        <v>0.08</v>
      </c>
      <c r="H1735" s="3">
        <f>[1]Raw_Data!H1733</f>
        <v>0</v>
      </c>
      <c r="I1735" s="3" t="str">
        <f>TRIM([1]Raw_Data!I1733)</f>
        <v>USA</v>
      </c>
      <c r="J1735" s="3" t="str">
        <f>TRIM([1]Raw_Data!J1733)</f>
        <v>Walmart</v>
      </c>
      <c r="K1735" s="3">
        <f t="shared" si="108"/>
        <v>2022</v>
      </c>
      <c r="L1735" s="6">
        <f t="shared" si="109"/>
        <v>44562</v>
      </c>
      <c r="M1735" s="3" t="str">
        <f t="shared" si="110"/>
        <v>6% to 10%</v>
      </c>
      <c r="N1735" s="3" t="str">
        <f t="shared" si="111"/>
        <v>OK</v>
      </c>
    </row>
    <row r="1736" spans="1:14" x14ac:dyDescent="0.3">
      <c r="A1736" s="2">
        <f>DATE(VALUE(RIGHT(TRIM([1]Raw_Data!A1734),4)),VALUE(MID(TRIM([1]Raw_Data!A1734),4,2)),VALUE(LEFT(TRIM([1]Raw_Data!A1734),2)))</f>
        <v>44592</v>
      </c>
      <c r="B1736" s="3" t="str">
        <f>TRIM([1]Raw_Data!B1734)</f>
        <v>Pre-Workout</v>
      </c>
      <c r="C1736" s="3" t="str">
        <f>TRIM([1]Raw_Data!C1734)</f>
        <v>Performance</v>
      </c>
      <c r="D1736" s="3">
        <f>[1]Raw_Data!D1734</f>
        <v>159</v>
      </c>
      <c r="E1736" s="4">
        <f>[1]Raw_Data!E1734</f>
        <v>51.72</v>
      </c>
      <c r="F1736" s="5">
        <f>[1]Raw_Data!F1734</f>
        <v>8223.48</v>
      </c>
      <c r="G1736" s="4">
        <f>[1]Raw_Data!G1734</f>
        <v>0.11</v>
      </c>
      <c r="H1736" s="3">
        <f>[1]Raw_Data!H1734</f>
        <v>2</v>
      </c>
      <c r="I1736" s="3" t="str">
        <f>TRIM([1]Raw_Data!I1734)</f>
        <v>Canada</v>
      </c>
      <c r="J1736" s="3" t="str">
        <f>TRIM([1]Raw_Data!J1734)</f>
        <v>Walmart</v>
      </c>
      <c r="K1736" s="3">
        <f t="shared" si="108"/>
        <v>2022</v>
      </c>
      <c r="L1736" s="6">
        <f t="shared" si="109"/>
        <v>44562</v>
      </c>
      <c r="M1736" s="3" t="str">
        <f t="shared" si="110"/>
        <v>11% to 15%</v>
      </c>
      <c r="N1736" s="3" t="str">
        <f t="shared" si="111"/>
        <v>OK</v>
      </c>
    </row>
    <row r="1737" spans="1:14" x14ac:dyDescent="0.3">
      <c r="A1737" s="2">
        <f>DATE(VALUE(RIGHT(TRIM([1]Raw_Data!A1735),4)),VALUE(MID(TRIM([1]Raw_Data!A1735),4,2)),VALUE(LEFT(TRIM([1]Raw_Data!A1735),2)))</f>
        <v>44592</v>
      </c>
      <c r="B1737" s="3" t="str">
        <f>TRIM([1]Raw_Data!B1735)</f>
        <v>BCAA</v>
      </c>
      <c r="C1737" s="3" t="str">
        <f>TRIM([1]Raw_Data!C1735)</f>
        <v>Amino Acid</v>
      </c>
      <c r="D1737" s="3">
        <f>[1]Raw_Data!D1735</f>
        <v>166</v>
      </c>
      <c r="E1737" s="4">
        <f>[1]Raw_Data!E1735</f>
        <v>28.58</v>
      </c>
      <c r="F1737" s="5">
        <f>[1]Raw_Data!F1735</f>
        <v>4744.28</v>
      </c>
      <c r="G1737" s="4">
        <f>[1]Raw_Data!G1735</f>
        <v>0.05</v>
      </c>
      <c r="H1737" s="3">
        <f>[1]Raw_Data!H1735</f>
        <v>3</v>
      </c>
      <c r="I1737" s="3" t="str">
        <f>TRIM([1]Raw_Data!I1735)</f>
        <v>UK</v>
      </c>
      <c r="J1737" s="3" t="str">
        <f>TRIM([1]Raw_Data!J1735)</f>
        <v>Walmart</v>
      </c>
      <c r="K1737" s="3">
        <f t="shared" si="108"/>
        <v>2022</v>
      </c>
      <c r="L1737" s="6">
        <f t="shared" si="109"/>
        <v>44562</v>
      </c>
      <c r="M1737" s="3" t="str">
        <f t="shared" si="110"/>
        <v>0% to 5%</v>
      </c>
      <c r="N1737" s="3" t="str">
        <f t="shared" si="111"/>
        <v>OK</v>
      </c>
    </row>
    <row r="1738" spans="1:14" x14ac:dyDescent="0.3">
      <c r="A1738" s="2">
        <f>DATE(VALUE(RIGHT(TRIM([1]Raw_Data!A1736),4)),VALUE(MID(TRIM([1]Raw_Data!A1736),4,2)),VALUE(LEFT(TRIM([1]Raw_Data!A1736),2)))</f>
        <v>44592</v>
      </c>
      <c r="B1738" s="3" t="str">
        <f>TRIM([1]Raw_Data!B1736)</f>
        <v>Creatine</v>
      </c>
      <c r="C1738" s="3" t="str">
        <f>TRIM([1]Raw_Data!C1736)</f>
        <v>Performance</v>
      </c>
      <c r="D1738" s="3">
        <f>[1]Raw_Data!D1736</f>
        <v>148</v>
      </c>
      <c r="E1738" s="4">
        <f>[1]Raw_Data!E1736</f>
        <v>55.22</v>
      </c>
      <c r="F1738" s="5">
        <f>[1]Raw_Data!F1736</f>
        <v>8172.56</v>
      </c>
      <c r="G1738" s="4">
        <f>[1]Raw_Data!G1736</f>
        <v>0.05</v>
      </c>
      <c r="H1738" s="3">
        <f>[1]Raw_Data!H1736</f>
        <v>0</v>
      </c>
      <c r="I1738" s="3" t="str">
        <f>TRIM([1]Raw_Data!I1736)</f>
        <v>Canada</v>
      </c>
      <c r="J1738" s="3" t="str">
        <f>TRIM([1]Raw_Data!J1736)</f>
        <v>iHerb</v>
      </c>
      <c r="K1738" s="3">
        <f t="shared" si="108"/>
        <v>2022</v>
      </c>
      <c r="L1738" s="6">
        <f t="shared" si="109"/>
        <v>44562</v>
      </c>
      <c r="M1738" s="3" t="str">
        <f t="shared" si="110"/>
        <v>0% to 5%</v>
      </c>
      <c r="N1738" s="3" t="str">
        <f t="shared" si="111"/>
        <v>OK</v>
      </c>
    </row>
    <row r="1739" spans="1:14" x14ac:dyDescent="0.3">
      <c r="A1739" s="2">
        <f>DATE(VALUE(RIGHT(TRIM([1]Raw_Data!A1737),4)),VALUE(MID(TRIM([1]Raw_Data!A1737),4,2)),VALUE(LEFT(TRIM([1]Raw_Data!A1737),2)))</f>
        <v>44592</v>
      </c>
      <c r="B1739" s="3" t="str">
        <f>TRIM([1]Raw_Data!B1737)</f>
        <v>Zinc</v>
      </c>
      <c r="C1739" s="3" t="str">
        <f>TRIM([1]Raw_Data!C1737)</f>
        <v>Mineral</v>
      </c>
      <c r="D1739" s="3">
        <f>[1]Raw_Data!D1737</f>
        <v>156</v>
      </c>
      <c r="E1739" s="4">
        <f>[1]Raw_Data!E1737</f>
        <v>26</v>
      </c>
      <c r="F1739" s="5">
        <f>[1]Raw_Data!F1737</f>
        <v>4056</v>
      </c>
      <c r="G1739" s="4">
        <f>[1]Raw_Data!G1737</f>
        <v>0.08</v>
      </c>
      <c r="H1739" s="3">
        <f>[1]Raw_Data!H1737</f>
        <v>2</v>
      </c>
      <c r="I1739" s="3" t="str">
        <f>TRIM([1]Raw_Data!I1737)</f>
        <v>UK</v>
      </c>
      <c r="J1739" s="3" t="str">
        <f>TRIM([1]Raw_Data!J1737)</f>
        <v>Walmart</v>
      </c>
      <c r="K1739" s="3">
        <f t="shared" si="108"/>
        <v>2022</v>
      </c>
      <c r="L1739" s="6">
        <f t="shared" si="109"/>
        <v>44562</v>
      </c>
      <c r="M1739" s="3" t="str">
        <f t="shared" si="110"/>
        <v>6% to 10%</v>
      </c>
      <c r="N1739" s="3" t="str">
        <f t="shared" si="111"/>
        <v>OK</v>
      </c>
    </row>
    <row r="1740" spans="1:14" x14ac:dyDescent="0.3">
      <c r="A1740" s="2">
        <f>DATE(VALUE(RIGHT(TRIM([1]Raw_Data!A1738),4)),VALUE(MID(TRIM([1]Raw_Data!A1738),4,2)),VALUE(LEFT(TRIM([1]Raw_Data!A1738),2)))</f>
        <v>44592</v>
      </c>
      <c r="B1740" s="3" t="str">
        <f>TRIM([1]Raw_Data!B1738)</f>
        <v>Collagen Peptides</v>
      </c>
      <c r="C1740" s="3" t="str">
        <f>TRIM([1]Raw_Data!C1738)</f>
        <v>Protein</v>
      </c>
      <c r="D1740" s="3">
        <f>[1]Raw_Data!D1738</f>
        <v>137</v>
      </c>
      <c r="E1740" s="4">
        <f>[1]Raw_Data!E1738</f>
        <v>21.17</v>
      </c>
      <c r="F1740" s="5">
        <f>[1]Raw_Data!F1738</f>
        <v>2900.29</v>
      </c>
      <c r="G1740" s="4">
        <f>[1]Raw_Data!G1738</f>
        <v>0.02</v>
      </c>
      <c r="H1740" s="3">
        <f>[1]Raw_Data!H1738</f>
        <v>3</v>
      </c>
      <c r="I1740" s="3" t="str">
        <f>TRIM([1]Raw_Data!I1738)</f>
        <v>UK</v>
      </c>
      <c r="J1740" s="3" t="str">
        <f>TRIM([1]Raw_Data!J1738)</f>
        <v>iHerb</v>
      </c>
      <c r="K1740" s="3">
        <f t="shared" si="108"/>
        <v>2022</v>
      </c>
      <c r="L1740" s="6">
        <f t="shared" si="109"/>
        <v>44562</v>
      </c>
      <c r="M1740" s="3" t="str">
        <f t="shared" si="110"/>
        <v>0% to 5%</v>
      </c>
      <c r="N1740" s="3" t="str">
        <f t="shared" si="111"/>
        <v>OK</v>
      </c>
    </row>
    <row r="1741" spans="1:14" x14ac:dyDescent="0.3">
      <c r="A1741" s="2">
        <f>DATE(VALUE(RIGHT(TRIM([1]Raw_Data!A1739),4)),VALUE(MID(TRIM([1]Raw_Data!A1739),4,2)),VALUE(LEFT(TRIM([1]Raw_Data!A1739),2)))</f>
        <v>44592</v>
      </c>
      <c r="B1741" s="3" t="str">
        <f>TRIM([1]Raw_Data!B1739)</f>
        <v>Magnesium</v>
      </c>
      <c r="C1741" s="3" t="str">
        <f>TRIM([1]Raw_Data!C1739)</f>
        <v>Mineral</v>
      </c>
      <c r="D1741" s="3">
        <f>[1]Raw_Data!D1739</f>
        <v>165</v>
      </c>
      <c r="E1741" s="4">
        <f>[1]Raw_Data!E1739</f>
        <v>45.12</v>
      </c>
      <c r="F1741" s="5">
        <f>[1]Raw_Data!F1739</f>
        <v>7444.8</v>
      </c>
      <c r="G1741" s="4">
        <f>[1]Raw_Data!G1739</f>
        <v>0.14000000000000001</v>
      </c>
      <c r="H1741" s="3">
        <f>[1]Raw_Data!H1739</f>
        <v>3</v>
      </c>
      <c r="I1741" s="3" t="str">
        <f>TRIM([1]Raw_Data!I1739)</f>
        <v>UK</v>
      </c>
      <c r="J1741" s="3" t="str">
        <f>TRIM([1]Raw_Data!J1739)</f>
        <v>Amazon</v>
      </c>
      <c r="K1741" s="3">
        <f t="shared" si="108"/>
        <v>2022</v>
      </c>
      <c r="L1741" s="6">
        <f t="shared" si="109"/>
        <v>44562</v>
      </c>
      <c r="M1741" s="3" t="str">
        <f t="shared" si="110"/>
        <v>11% to 15%</v>
      </c>
      <c r="N1741" s="3" t="str">
        <f t="shared" si="111"/>
        <v>OK</v>
      </c>
    </row>
    <row r="1742" spans="1:14" x14ac:dyDescent="0.3">
      <c r="A1742" s="2">
        <f>DATE(VALUE(RIGHT(TRIM([1]Raw_Data!A1740),4)),VALUE(MID(TRIM([1]Raw_Data!A1740),4,2)),VALUE(LEFT(TRIM([1]Raw_Data!A1740),2)))</f>
        <v>44592</v>
      </c>
      <c r="B1742" s="3" t="str">
        <f>TRIM([1]Raw_Data!B1740)</f>
        <v>Ashwagandha</v>
      </c>
      <c r="C1742" s="3" t="str">
        <f>TRIM([1]Raw_Data!C1740)</f>
        <v>Herbal</v>
      </c>
      <c r="D1742" s="3">
        <f>[1]Raw_Data!D1740</f>
        <v>143</v>
      </c>
      <c r="E1742" s="4">
        <f>[1]Raw_Data!E1740</f>
        <v>34.270000000000003</v>
      </c>
      <c r="F1742" s="5">
        <f>[1]Raw_Data!F1740</f>
        <v>4900.6099999999997</v>
      </c>
      <c r="G1742" s="4">
        <f>[1]Raw_Data!G1740</f>
        <v>0.09</v>
      </c>
      <c r="H1742" s="3">
        <f>[1]Raw_Data!H1740</f>
        <v>3</v>
      </c>
      <c r="I1742" s="3" t="str">
        <f>TRIM([1]Raw_Data!I1740)</f>
        <v>Canada</v>
      </c>
      <c r="J1742" s="3" t="str">
        <f>TRIM([1]Raw_Data!J1740)</f>
        <v>Amazon</v>
      </c>
      <c r="K1742" s="3">
        <f t="shared" si="108"/>
        <v>2022</v>
      </c>
      <c r="L1742" s="6">
        <f t="shared" si="109"/>
        <v>44562</v>
      </c>
      <c r="M1742" s="3" t="str">
        <f t="shared" si="110"/>
        <v>6% to 10%</v>
      </c>
      <c r="N1742" s="3" t="str">
        <f t="shared" si="111"/>
        <v>OK</v>
      </c>
    </row>
    <row r="1743" spans="1:14" x14ac:dyDescent="0.3">
      <c r="A1743" s="2">
        <f>DATE(VALUE(RIGHT(TRIM([1]Raw_Data!A1741),4)),VALUE(MID(TRIM([1]Raw_Data!A1741),4,2)),VALUE(LEFT(TRIM([1]Raw_Data!A1741),2)))</f>
        <v>44592</v>
      </c>
      <c r="B1743" s="3" t="str">
        <f>TRIM([1]Raw_Data!B1741)</f>
        <v>Melatonin</v>
      </c>
      <c r="C1743" s="3" t="str">
        <f>TRIM([1]Raw_Data!C1741)</f>
        <v>Sleep Aid</v>
      </c>
      <c r="D1743" s="3">
        <f>[1]Raw_Data!D1741</f>
        <v>136</v>
      </c>
      <c r="E1743" s="4">
        <f>[1]Raw_Data!E1741</f>
        <v>38.85</v>
      </c>
      <c r="F1743" s="5">
        <f>[1]Raw_Data!F1741</f>
        <v>5283.6</v>
      </c>
      <c r="G1743" s="4">
        <f>[1]Raw_Data!G1741</f>
        <v>0.16</v>
      </c>
      <c r="H1743" s="3">
        <f>[1]Raw_Data!H1741</f>
        <v>0</v>
      </c>
      <c r="I1743" s="3" t="str">
        <f>TRIM([1]Raw_Data!I1741)</f>
        <v>UK</v>
      </c>
      <c r="J1743" s="3" t="str">
        <f>TRIM([1]Raw_Data!J1741)</f>
        <v>Walmart</v>
      </c>
      <c r="K1743" s="3">
        <f t="shared" si="108"/>
        <v>2022</v>
      </c>
      <c r="L1743" s="6">
        <f t="shared" si="109"/>
        <v>44562</v>
      </c>
      <c r="M1743" s="3" t="str">
        <f t="shared" si="110"/>
        <v>16% to 20%</v>
      </c>
      <c r="N1743" s="3" t="str">
        <f t="shared" si="111"/>
        <v>OK</v>
      </c>
    </row>
    <row r="1744" spans="1:14" x14ac:dyDescent="0.3">
      <c r="A1744" s="2">
        <f>DATE(VALUE(RIGHT(TRIM([1]Raw_Data!A1742),4)),VALUE(MID(TRIM([1]Raw_Data!A1742),4,2)),VALUE(LEFT(TRIM([1]Raw_Data!A1742),2)))</f>
        <v>44592</v>
      </c>
      <c r="B1744" s="3" t="str">
        <f>TRIM([1]Raw_Data!B1742)</f>
        <v>Biotin</v>
      </c>
      <c r="C1744" s="3" t="str">
        <f>TRIM([1]Raw_Data!C1742)</f>
        <v>Vitamin</v>
      </c>
      <c r="D1744" s="3">
        <f>[1]Raw_Data!D1742</f>
        <v>146</v>
      </c>
      <c r="E1744" s="4">
        <f>[1]Raw_Data!E1742</f>
        <v>22.33</v>
      </c>
      <c r="F1744" s="5">
        <f>[1]Raw_Data!F1742</f>
        <v>3260.18</v>
      </c>
      <c r="G1744" s="4">
        <f>[1]Raw_Data!G1742</f>
        <v>0.17</v>
      </c>
      <c r="H1744" s="3">
        <f>[1]Raw_Data!H1742</f>
        <v>2</v>
      </c>
      <c r="I1744" s="3" t="str">
        <f>TRIM([1]Raw_Data!I1742)</f>
        <v>USA</v>
      </c>
      <c r="J1744" s="3" t="str">
        <f>TRIM([1]Raw_Data!J1742)</f>
        <v>Amazon</v>
      </c>
      <c r="K1744" s="3">
        <f t="shared" si="108"/>
        <v>2022</v>
      </c>
      <c r="L1744" s="6">
        <f t="shared" si="109"/>
        <v>44562</v>
      </c>
      <c r="M1744" s="3" t="str">
        <f t="shared" si="110"/>
        <v>16% to 20%</v>
      </c>
      <c r="N1744" s="3" t="str">
        <f t="shared" si="111"/>
        <v>OK</v>
      </c>
    </row>
    <row r="1745" spans="1:14" x14ac:dyDescent="0.3">
      <c r="A1745" s="2">
        <f>DATE(VALUE(RIGHT(TRIM([1]Raw_Data!A1743),4)),VALUE(MID(TRIM([1]Raw_Data!A1743),4,2)),VALUE(LEFT(TRIM([1]Raw_Data!A1743),2)))</f>
        <v>44592</v>
      </c>
      <c r="B1745" s="3" t="str">
        <f>TRIM([1]Raw_Data!B1743)</f>
        <v>Green Tea Extract</v>
      </c>
      <c r="C1745" s="3" t="str">
        <f>TRIM([1]Raw_Data!C1743)</f>
        <v>Fat Burner</v>
      </c>
      <c r="D1745" s="3">
        <f>[1]Raw_Data!D1743</f>
        <v>148</v>
      </c>
      <c r="E1745" s="4">
        <f>[1]Raw_Data!E1743</f>
        <v>46.83</v>
      </c>
      <c r="F1745" s="5">
        <f>[1]Raw_Data!F1743</f>
        <v>6930.84</v>
      </c>
      <c r="G1745" s="4">
        <f>[1]Raw_Data!G1743</f>
        <v>0.11</v>
      </c>
      <c r="H1745" s="3">
        <f>[1]Raw_Data!H1743</f>
        <v>2</v>
      </c>
      <c r="I1745" s="3" t="str">
        <f>TRIM([1]Raw_Data!I1743)</f>
        <v>Canada</v>
      </c>
      <c r="J1745" s="3" t="str">
        <f>TRIM([1]Raw_Data!J1743)</f>
        <v>Walmart</v>
      </c>
      <c r="K1745" s="3">
        <f t="shared" si="108"/>
        <v>2022</v>
      </c>
      <c r="L1745" s="6">
        <f t="shared" si="109"/>
        <v>44562</v>
      </c>
      <c r="M1745" s="3" t="str">
        <f t="shared" si="110"/>
        <v>11% to 15%</v>
      </c>
      <c r="N1745" s="3" t="str">
        <f t="shared" si="111"/>
        <v>OK</v>
      </c>
    </row>
    <row r="1746" spans="1:14" x14ac:dyDescent="0.3">
      <c r="A1746" s="2">
        <f>DATE(VALUE(RIGHT(TRIM([1]Raw_Data!A1744),4)),VALUE(MID(TRIM([1]Raw_Data!A1744),4,2)),VALUE(LEFT(TRIM([1]Raw_Data!A1744),2)))</f>
        <v>44592</v>
      </c>
      <c r="B1746" s="3" t="str">
        <f>TRIM([1]Raw_Data!B1744)</f>
        <v>Iron Supplement</v>
      </c>
      <c r="C1746" s="3" t="str">
        <f>TRIM([1]Raw_Data!C1744)</f>
        <v>Mineral</v>
      </c>
      <c r="D1746" s="3">
        <f>[1]Raw_Data!D1744</f>
        <v>157</v>
      </c>
      <c r="E1746" s="4">
        <f>[1]Raw_Data!E1744</f>
        <v>53.93</v>
      </c>
      <c r="F1746" s="5">
        <f>[1]Raw_Data!F1744</f>
        <v>8467.01</v>
      </c>
      <c r="G1746" s="4">
        <f>[1]Raw_Data!G1744</f>
        <v>0.09</v>
      </c>
      <c r="H1746" s="3">
        <f>[1]Raw_Data!H1744</f>
        <v>1</v>
      </c>
      <c r="I1746" s="3" t="str">
        <f>TRIM([1]Raw_Data!I1744)</f>
        <v>UK</v>
      </c>
      <c r="J1746" s="3" t="str">
        <f>TRIM([1]Raw_Data!J1744)</f>
        <v>Walmart</v>
      </c>
      <c r="K1746" s="3">
        <f t="shared" si="108"/>
        <v>2022</v>
      </c>
      <c r="L1746" s="6">
        <f t="shared" si="109"/>
        <v>44562</v>
      </c>
      <c r="M1746" s="3" t="str">
        <f t="shared" si="110"/>
        <v>6% to 10%</v>
      </c>
      <c r="N1746" s="3" t="str">
        <f t="shared" si="111"/>
        <v>OK</v>
      </c>
    </row>
    <row r="1747" spans="1:14" x14ac:dyDescent="0.3">
      <c r="A1747" s="2">
        <f>DATE(VALUE(RIGHT(TRIM([1]Raw_Data!A1745),4)),VALUE(MID(TRIM([1]Raw_Data!A1745),4,2)),VALUE(LEFT(TRIM([1]Raw_Data!A1745),2)))</f>
        <v>44592</v>
      </c>
      <c r="B1747" s="3" t="str">
        <f>TRIM([1]Raw_Data!B1745)</f>
        <v>Electrolyte Powder</v>
      </c>
      <c r="C1747" s="3" t="str">
        <f>TRIM([1]Raw_Data!C1745)</f>
        <v>Hydration</v>
      </c>
      <c r="D1747" s="3">
        <f>[1]Raw_Data!D1745</f>
        <v>139</v>
      </c>
      <c r="E1747" s="4">
        <f>[1]Raw_Data!E1745</f>
        <v>12.15</v>
      </c>
      <c r="F1747" s="5">
        <f>[1]Raw_Data!F1745</f>
        <v>1688.85</v>
      </c>
      <c r="G1747" s="4">
        <f>[1]Raw_Data!G1745</f>
        <v>0.22</v>
      </c>
      <c r="H1747" s="3">
        <f>[1]Raw_Data!H1745</f>
        <v>2</v>
      </c>
      <c r="I1747" s="3" t="str">
        <f>TRIM([1]Raw_Data!I1745)</f>
        <v>USA</v>
      </c>
      <c r="J1747" s="3" t="str">
        <f>TRIM([1]Raw_Data!J1745)</f>
        <v>iHerb</v>
      </c>
      <c r="K1747" s="3">
        <f t="shared" si="108"/>
        <v>2022</v>
      </c>
      <c r="L1747" s="6">
        <f t="shared" si="109"/>
        <v>44562</v>
      </c>
      <c r="M1747" s="3" t="str">
        <f t="shared" si="110"/>
        <v>21% to 25%</v>
      </c>
      <c r="N1747" s="3" t="str">
        <f t="shared" si="111"/>
        <v>OK</v>
      </c>
    </row>
    <row r="1748" spans="1:14" x14ac:dyDescent="0.3">
      <c r="A1748" s="2">
        <f>DATE(VALUE(RIGHT(TRIM([1]Raw_Data!A1746),4)),VALUE(MID(TRIM([1]Raw_Data!A1746),4,2)),VALUE(LEFT(TRIM([1]Raw_Data!A1746),2)))</f>
        <v>44599</v>
      </c>
      <c r="B1748" s="3" t="str">
        <f>TRIM([1]Raw_Data!B1746)</f>
        <v>Whey Protein</v>
      </c>
      <c r="C1748" s="3" t="str">
        <f>TRIM([1]Raw_Data!C1746)</f>
        <v>Protein</v>
      </c>
      <c r="D1748" s="3">
        <f>[1]Raw_Data!D1746</f>
        <v>156</v>
      </c>
      <c r="E1748" s="4">
        <f>[1]Raw_Data!E1746</f>
        <v>52.46</v>
      </c>
      <c r="F1748" s="5">
        <f>[1]Raw_Data!F1746</f>
        <v>8183.76</v>
      </c>
      <c r="G1748" s="4">
        <f>[1]Raw_Data!G1746</f>
        <v>0.12</v>
      </c>
      <c r="H1748" s="3">
        <f>[1]Raw_Data!H1746</f>
        <v>3</v>
      </c>
      <c r="I1748" s="3" t="str">
        <f>TRIM([1]Raw_Data!I1746)</f>
        <v>UK</v>
      </c>
      <c r="J1748" s="3" t="str">
        <f>TRIM([1]Raw_Data!J1746)</f>
        <v>Amazon</v>
      </c>
      <c r="K1748" s="3">
        <f t="shared" si="108"/>
        <v>2022</v>
      </c>
      <c r="L1748" s="6">
        <f t="shared" si="109"/>
        <v>44593</v>
      </c>
      <c r="M1748" s="3" t="str">
        <f t="shared" si="110"/>
        <v>11% to 15%</v>
      </c>
      <c r="N1748" s="3" t="str">
        <f t="shared" si="111"/>
        <v>OK</v>
      </c>
    </row>
    <row r="1749" spans="1:14" x14ac:dyDescent="0.3">
      <c r="A1749" s="2">
        <f>DATE(VALUE(RIGHT(TRIM([1]Raw_Data!A1747),4)),VALUE(MID(TRIM([1]Raw_Data!A1747),4,2)),VALUE(LEFT(TRIM([1]Raw_Data!A1747),2)))</f>
        <v>44599</v>
      </c>
      <c r="B1749" s="3" t="str">
        <f>TRIM([1]Raw_Data!B1747)</f>
        <v>Vitamin C</v>
      </c>
      <c r="C1749" s="3" t="str">
        <f>TRIM([1]Raw_Data!C1747)</f>
        <v>Vitamin</v>
      </c>
      <c r="D1749" s="3">
        <f>[1]Raw_Data!D1747</f>
        <v>145</v>
      </c>
      <c r="E1749" s="4">
        <f>[1]Raw_Data!E1747</f>
        <v>44.93</v>
      </c>
      <c r="F1749" s="5">
        <f>[1]Raw_Data!F1747</f>
        <v>6514.85</v>
      </c>
      <c r="G1749" s="4">
        <f>[1]Raw_Data!G1747</f>
        <v>0.06</v>
      </c>
      <c r="H1749" s="3">
        <f>[1]Raw_Data!H1747</f>
        <v>1</v>
      </c>
      <c r="I1749" s="3" t="str">
        <f>TRIM([1]Raw_Data!I1747)</f>
        <v>Canada</v>
      </c>
      <c r="J1749" s="3" t="str">
        <f>TRIM([1]Raw_Data!J1747)</f>
        <v>Walmart</v>
      </c>
      <c r="K1749" s="3">
        <f t="shared" si="108"/>
        <v>2022</v>
      </c>
      <c r="L1749" s="6">
        <f t="shared" si="109"/>
        <v>44593</v>
      </c>
      <c r="M1749" s="3" t="str">
        <f t="shared" si="110"/>
        <v>6% to 10%</v>
      </c>
      <c r="N1749" s="3" t="str">
        <f t="shared" si="111"/>
        <v>OK</v>
      </c>
    </row>
    <row r="1750" spans="1:14" x14ac:dyDescent="0.3">
      <c r="A1750" s="2">
        <f>DATE(VALUE(RIGHT(TRIM([1]Raw_Data!A1748),4)),VALUE(MID(TRIM([1]Raw_Data!A1748),4,2)),VALUE(LEFT(TRIM([1]Raw_Data!A1748),2)))</f>
        <v>44599</v>
      </c>
      <c r="B1750" s="3" t="str">
        <f>TRIM([1]Raw_Data!B1748)</f>
        <v>Fish Oil</v>
      </c>
      <c r="C1750" s="3" t="str">
        <f>TRIM([1]Raw_Data!C1748)</f>
        <v>Omega</v>
      </c>
      <c r="D1750" s="3">
        <f>[1]Raw_Data!D1748</f>
        <v>151</v>
      </c>
      <c r="E1750" s="4">
        <f>[1]Raw_Data!E1748</f>
        <v>39.56</v>
      </c>
      <c r="F1750" s="5">
        <f>[1]Raw_Data!F1748</f>
        <v>5973.56</v>
      </c>
      <c r="G1750" s="4">
        <f>[1]Raw_Data!G1748</f>
        <v>0.08</v>
      </c>
      <c r="H1750" s="3">
        <f>[1]Raw_Data!H1748</f>
        <v>0</v>
      </c>
      <c r="I1750" s="3" t="str">
        <f>TRIM([1]Raw_Data!I1748)</f>
        <v>Canada</v>
      </c>
      <c r="J1750" s="3" t="str">
        <f>TRIM([1]Raw_Data!J1748)</f>
        <v>Walmart</v>
      </c>
      <c r="K1750" s="3">
        <f t="shared" si="108"/>
        <v>2022</v>
      </c>
      <c r="L1750" s="6">
        <f t="shared" si="109"/>
        <v>44593</v>
      </c>
      <c r="M1750" s="3" t="str">
        <f t="shared" si="110"/>
        <v>6% to 10%</v>
      </c>
      <c r="N1750" s="3" t="str">
        <f t="shared" si="111"/>
        <v>OK</v>
      </c>
    </row>
    <row r="1751" spans="1:14" x14ac:dyDescent="0.3">
      <c r="A1751" s="2">
        <f>DATE(VALUE(RIGHT(TRIM([1]Raw_Data!A1749),4)),VALUE(MID(TRIM([1]Raw_Data!A1749),4,2)),VALUE(LEFT(TRIM([1]Raw_Data!A1749),2)))</f>
        <v>44599</v>
      </c>
      <c r="B1751" s="3" t="str">
        <f>TRIM([1]Raw_Data!B1749)</f>
        <v>Multivitamin</v>
      </c>
      <c r="C1751" s="3" t="str">
        <f>TRIM([1]Raw_Data!C1749)</f>
        <v>Vitamin</v>
      </c>
      <c r="D1751" s="3">
        <f>[1]Raw_Data!D1749</f>
        <v>177</v>
      </c>
      <c r="E1751" s="4">
        <f>[1]Raw_Data!E1749</f>
        <v>53.85</v>
      </c>
      <c r="F1751" s="5">
        <f>[1]Raw_Data!F1749</f>
        <v>9531.4500000000007</v>
      </c>
      <c r="G1751" s="4">
        <f>[1]Raw_Data!G1749</f>
        <v>0.17</v>
      </c>
      <c r="H1751" s="3">
        <f>[1]Raw_Data!H1749</f>
        <v>1</v>
      </c>
      <c r="I1751" s="3" t="str">
        <f>TRIM([1]Raw_Data!I1749)</f>
        <v>USA</v>
      </c>
      <c r="J1751" s="3" t="str">
        <f>TRIM([1]Raw_Data!J1749)</f>
        <v>iHerb</v>
      </c>
      <c r="K1751" s="3">
        <f t="shared" si="108"/>
        <v>2022</v>
      </c>
      <c r="L1751" s="6">
        <f t="shared" si="109"/>
        <v>44593</v>
      </c>
      <c r="M1751" s="3" t="str">
        <f t="shared" si="110"/>
        <v>16% to 20%</v>
      </c>
      <c r="N1751" s="3" t="str">
        <f t="shared" si="111"/>
        <v>OK</v>
      </c>
    </row>
    <row r="1752" spans="1:14" x14ac:dyDescent="0.3">
      <c r="A1752" s="2">
        <f>DATE(VALUE(RIGHT(TRIM([1]Raw_Data!A1750),4)),VALUE(MID(TRIM([1]Raw_Data!A1750),4,2)),VALUE(LEFT(TRIM([1]Raw_Data!A1750),2)))</f>
        <v>44599</v>
      </c>
      <c r="B1752" s="3" t="str">
        <f>TRIM([1]Raw_Data!B1750)</f>
        <v>Pre-Workout</v>
      </c>
      <c r="C1752" s="3" t="str">
        <f>TRIM([1]Raw_Data!C1750)</f>
        <v>Performance</v>
      </c>
      <c r="D1752" s="3">
        <f>[1]Raw_Data!D1750</f>
        <v>150</v>
      </c>
      <c r="E1752" s="4">
        <f>[1]Raw_Data!E1750</f>
        <v>58.01</v>
      </c>
      <c r="F1752" s="5">
        <f>[1]Raw_Data!F1750</f>
        <v>8701.5</v>
      </c>
      <c r="G1752" s="4">
        <f>[1]Raw_Data!G1750</f>
        <v>0.06</v>
      </c>
      <c r="H1752" s="3">
        <f>[1]Raw_Data!H1750</f>
        <v>3</v>
      </c>
      <c r="I1752" s="3" t="str">
        <f>TRIM([1]Raw_Data!I1750)</f>
        <v>Canada</v>
      </c>
      <c r="J1752" s="3" t="str">
        <f>TRIM([1]Raw_Data!J1750)</f>
        <v>Walmart</v>
      </c>
      <c r="K1752" s="3">
        <f t="shared" si="108"/>
        <v>2022</v>
      </c>
      <c r="L1752" s="6">
        <f t="shared" si="109"/>
        <v>44593</v>
      </c>
      <c r="M1752" s="3" t="str">
        <f t="shared" si="110"/>
        <v>6% to 10%</v>
      </c>
      <c r="N1752" s="3" t="str">
        <f t="shared" si="111"/>
        <v>OK</v>
      </c>
    </row>
    <row r="1753" spans="1:14" x14ac:dyDescent="0.3">
      <c r="A1753" s="2">
        <f>DATE(VALUE(RIGHT(TRIM([1]Raw_Data!A1751),4)),VALUE(MID(TRIM([1]Raw_Data!A1751),4,2)),VALUE(LEFT(TRIM([1]Raw_Data!A1751),2)))</f>
        <v>44599</v>
      </c>
      <c r="B1753" s="3" t="str">
        <f>TRIM([1]Raw_Data!B1751)</f>
        <v>BCAA</v>
      </c>
      <c r="C1753" s="3" t="str">
        <f>TRIM([1]Raw_Data!C1751)</f>
        <v>Amino Acid</v>
      </c>
      <c r="D1753" s="3">
        <f>[1]Raw_Data!D1751</f>
        <v>172</v>
      </c>
      <c r="E1753" s="4">
        <f>[1]Raw_Data!E1751</f>
        <v>56.56</v>
      </c>
      <c r="F1753" s="5">
        <f>[1]Raw_Data!F1751</f>
        <v>9728.32</v>
      </c>
      <c r="G1753" s="4">
        <f>[1]Raw_Data!G1751</f>
        <v>0.1</v>
      </c>
      <c r="H1753" s="3">
        <f>[1]Raw_Data!H1751</f>
        <v>4</v>
      </c>
      <c r="I1753" s="3" t="str">
        <f>TRIM([1]Raw_Data!I1751)</f>
        <v>Canada</v>
      </c>
      <c r="J1753" s="3" t="str">
        <f>TRIM([1]Raw_Data!J1751)</f>
        <v>Walmart</v>
      </c>
      <c r="K1753" s="3">
        <f t="shared" si="108"/>
        <v>2022</v>
      </c>
      <c r="L1753" s="6">
        <f t="shared" si="109"/>
        <v>44593</v>
      </c>
      <c r="M1753" s="3" t="str">
        <f t="shared" si="110"/>
        <v>6% to 10%</v>
      </c>
      <c r="N1753" s="3" t="str">
        <f t="shared" si="111"/>
        <v>OK</v>
      </c>
    </row>
    <row r="1754" spans="1:14" x14ac:dyDescent="0.3">
      <c r="A1754" s="2">
        <f>DATE(VALUE(RIGHT(TRIM([1]Raw_Data!A1752),4)),VALUE(MID(TRIM([1]Raw_Data!A1752),4,2)),VALUE(LEFT(TRIM([1]Raw_Data!A1752),2)))</f>
        <v>44599</v>
      </c>
      <c r="B1754" s="3" t="str">
        <f>TRIM([1]Raw_Data!B1752)</f>
        <v>Creatine</v>
      </c>
      <c r="C1754" s="3" t="str">
        <f>TRIM([1]Raw_Data!C1752)</f>
        <v>Performance</v>
      </c>
      <c r="D1754" s="3">
        <f>[1]Raw_Data!D1752</f>
        <v>157</v>
      </c>
      <c r="E1754" s="4">
        <f>[1]Raw_Data!E1752</f>
        <v>55.34</v>
      </c>
      <c r="F1754" s="5">
        <f>[1]Raw_Data!F1752</f>
        <v>8688.3799999999992</v>
      </c>
      <c r="G1754" s="4">
        <f>[1]Raw_Data!G1752</f>
        <v>0.12</v>
      </c>
      <c r="H1754" s="3">
        <f>[1]Raw_Data!H1752</f>
        <v>1</v>
      </c>
      <c r="I1754" s="3" t="str">
        <f>TRIM([1]Raw_Data!I1752)</f>
        <v>USA</v>
      </c>
      <c r="J1754" s="3" t="str">
        <f>TRIM([1]Raw_Data!J1752)</f>
        <v>Amazon</v>
      </c>
      <c r="K1754" s="3">
        <f t="shared" si="108"/>
        <v>2022</v>
      </c>
      <c r="L1754" s="6">
        <f t="shared" si="109"/>
        <v>44593</v>
      </c>
      <c r="M1754" s="3" t="str">
        <f t="shared" si="110"/>
        <v>11% to 15%</v>
      </c>
      <c r="N1754" s="3" t="str">
        <f t="shared" si="111"/>
        <v>OK</v>
      </c>
    </row>
    <row r="1755" spans="1:14" x14ac:dyDescent="0.3">
      <c r="A1755" s="2">
        <f>DATE(VALUE(RIGHT(TRIM([1]Raw_Data!A1753),4)),VALUE(MID(TRIM([1]Raw_Data!A1753),4,2)),VALUE(LEFT(TRIM([1]Raw_Data!A1753),2)))</f>
        <v>44599</v>
      </c>
      <c r="B1755" s="3" t="str">
        <f>TRIM([1]Raw_Data!B1753)</f>
        <v>Zinc</v>
      </c>
      <c r="C1755" s="3" t="str">
        <f>TRIM([1]Raw_Data!C1753)</f>
        <v>Mineral</v>
      </c>
      <c r="D1755" s="3">
        <f>[1]Raw_Data!D1753</f>
        <v>152</v>
      </c>
      <c r="E1755" s="4">
        <f>[1]Raw_Data!E1753</f>
        <v>33.46</v>
      </c>
      <c r="F1755" s="5">
        <f>[1]Raw_Data!F1753</f>
        <v>5085.92</v>
      </c>
      <c r="G1755" s="4">
        <f>[1]Raw_Data!G1753</f>
        <v>0.21</v>
      </c>
      <c r="H1755" s="3">
        <f>[1]Raw_Data!H1753</f>
        <v>0</v>
      </c>
      <c r="I1755" s="3" t="str">
        <f>TRIM([1]Raw_Data!I1753)</f>
        <v>Canada</v>
      </c>
      <c r="J1755" s="3" t="str">
        <f>TRIM([1]Raw_Data!J1753)</f>
        <v>Walmart</v>
      </c>
      <c r="K1755" s="3">
        <f t="shared" si="108"/>
        <v>2022</v>
      </c>
      <c r="L1755" s="6">
        <f t="shared" si="109"/>
        <v>44593</v>
      </c>
      <c r="M1755" s="3" t="str">
        <f t="shared" si="110"/>
        <v>21% to 25%</v>
      </c>
      <c r="N1755" s="3" t="str">
        <f t="shared" si="111"/>
        <v>OK</v>
      </c>
    </row>
    <row r="1756" spans="1:14" x14ac:dyDescent="0.3">
      <c r="A1756" s="2">
        <f>DATE(VALUE(RIGHT(TRIM([1]Raw_Data!A1754),4)),VALUE(MID(TRIM([1]Raw_Data!A1754),4,2)),VALUE(LEFT(TRIM([1]Raw_Data!A1754),2)))</f>
        <v>44599</v>
      </c>
      <c r="B1756" s="3" t="str">
        <f>TRIM([1]Raw_Data!B1754)</f>
        <v>Collagen Peptides</v>
      </c>
      <c r="C1756" s="3" t="str">
        <f>TRIM([1]Raw_Data!C1754)</f>
        <v>Protein</v>
      </c>
      <c r="D1756" s="3">
        <f>[1]Raw_Data!D1754</f>
        <v>141</v>
      </c>
      <c r="E1756" s="4">
        <f>[1]Raw_Data!E1754</f>
        <v>30.79</v>
      </c>
      <c r="F1756" s="5">
        <f>[1]Raw_Data!F1754</f>
        <v>4341.3900000000003</v>
      </c>
      <c r="G1756" s="4">
        <f>[1]Raw_Data!G1754</f>
        <v>0.18</v>
      </c>
      <c r="H1756" s="3">
        <f>[1]Raw_Data!H1754</f>
        <v>2</v>
      </c>
      <c r="I1756" s="3" t="str">
        <f>TRIM([1]Raw_Data!I1754)</f>
        <v>USA</v>
      </c>
      <c r="J1756" s="3" t="str">
        <f>TRIM([1]Raw_Data!J1754)</f>
        <v>Walmart</v>
      </c>
      <c r="K1756" s="3">
        <f t="shared" si="108"/>
        <v>2022</v>
      </c>
      <c r="L1756" s="6">
        <f t="shared" si="109"/>
        <v>44593</v>
      </c>
      <c r="M1756" s="3" t="str">
        <f t="shared" si="110"/>
        <v>16% to 20%</v>
      </c>
      <c r="N1756" s="3" t="str">
        <f t="shared" si="111"/>
        <v>OK</v>
      </c>
    </row>
    <row r="1757" spans="1:14" x14ac:dyDescent="0.3">
      <c r="A1757" s="2">
        <f>DATE(VALUE(RIGHT(TRIM([1]Raw_Data!A1755),4)),VALUE(MID(TRIM([1]Raw_Data!A1755),4,2)),VALUE(LEFT(TRIM([1]Raw_Data!A1755),2)))</f>
        <v>44599</v>
      </c>
      <c r="B1757" s="3" t="str">
        <f>TRIM([1]Raw_Data!B1755)</f>
        <v>Magnesium</v>
      </c>
      <c r="C1757" s="3" t="str">
        <f>TRIM([1]Raw_Data!C1755)</f>
        <v>Mineral</v>
      </c>
      <c r="D1757" s="3">
        <f>[1]Raw_Data!D1755</f>
        <v>176</v>
      </c>
      <c r="E1757" s="4">
        <f>[1]Raw_Data!E1755</f>
        <v>22.73</v>
      </c>
      <c r="F1757" s="5">
        <f>[1]Raw_Data!F1755</f>
        <v>4000.48</v>
      </c>
      <c r="G1757" s="4">
        <f>[1]Raw_Data!G1755</f>
        <v>0.23</v>
      </c>
      <c r="H1757" s="3">
        <f>[1]Raw_Data!H1755</f>
        <v>3</v>
      </c>
      <c r="I1757" s="3" t="str">
        <f>TRIM([1]Raw_Data!I1755)</f>
        <v>USA</v>
      </c>
      <c r="J1757" s="3" t="str">
        <f>TRIM([1]Raw_Data!J1755)</f>
        <v>iHerb</v>
      </c>
      <c r="K1757" s="3">
        <f t="shared" si="108"/>
        <v>2022</v>
      </c>
      <c r="L1757" s="6">
        <f t="shared" si="109"/>
        <v>44593</v>
      </c>
      <c r="M1757" s="3" t="str">
        <f t="shared" si="110"/>
        <v>21% to 25%</v>
      </c>
      <c r="N1757" s="3" t="str">
        <f t="shared" si="111"/>
        <v>OK</v>
      </c>
    </row>
    <row r="1758" spans="1:14" x14ac:dyDescent="0.3">
      <c r="A1758" s="2">
        <f>DATE(VALUE(RIGHT(TRIM([1]Raw_Data!A1756),4)),VALUE(MID(TRIM([1]Raw_Data!A1756),4,2)),VALUE(LEFT(TRIM([1]Raw_Data!A1756),2)))</f>
        <v>44599</v>
      </c>
      <c r="B1758" s="3" t="str">
        <f>TRIM([1]Raw_Data!B1756)</f>
        <v>Ashwagandha</v>
      </c>
      <c r="C1758" s="3" t="str">
        <f>TRIM([1]Raw_Data!C1756)</f>
        <v>Herbal</v>
      </c>
      <c r="D1758" s="3">
        <f>[1]Raw_Data!D1756</f>
        <v>153</v>
      </c>
      <c r="E1758" s="4">
        <f>[1]Raw_Data!E1756</f>
        <v>56.22</v>
      </c>
      <c r="F1758" s="5">
        <f>[1]Raw_Data!F1756</f>
        <v>8601.66</v>
      </c>
      <c r="G1758" s="4">
        <f>[1]Raw_Data!G1756</f>
        <v>0.18</v>
      </c>
      <c r="H1758" s="3">
        <f>[1]Raw_Data!H1756</f>
        <v>1</v>
      </c>
      <c r="I1758" s="3" t="str">
        <f>TRIM([1]Raw_Data!I1756)</f>
        <v>UK</v>
      </c>
      <c r="J1758" s="3" t="str">
        <f>TRIM([1]Raw_Data!J1756)</f>
        <v>Walmart</v>
      </c>
      <c r="K1758" s="3">
        <f t="shared" si="108"/>
        <v>2022</v>
      </c>
      <c r="L1758" s="6">
        <f t="shared" si="109"/>
        <v>44593</v>
      </c>
      <c r="M1758" s="3" t="str">
        <f t="shared" si="110"/>
        <v>16% to 20%</v>
      </c>
      <c r="N1758" s="3" t="str">
        <f t="shared" si="111"/>
        <v>OK</v>
      </c>
    </row>
    <row r="1759" spans="1:14" x14ac:dyDescent="0.3">
      <c r="A1759" s="2">
        <f>DATE(VALUE(RIGHT(TRIM([1]Raw_Data!A1757),4)),VALUE(MID(TRIM([1]Raw_Data!A1757),4,2)),VALUE(LEFT(TRIM([1]Raw_Data!A1757),2)))</f>
        <v>44599</v>
      </c>
      <c r="B1759" s="3" t="str">
        <f>TRIM([1]Raw_Data!B1757)</f>
        <v>Melatonin</v>
      </c>
      <c r="C1759" s="3" t="str">
        <f>TRIM([1]Raw_Data!C1757)</f>
        <v>Sleep Aid</v>
      </c>
      <c r="D1759" s="3">
        <f>[1]Raw_Data!D1757</f>
        <v>158</v>
      </c>
      <c r="E1759" s="4">
        <f>[1]Raw_Data!E1757</f>
        <v>29.32</v>
      </c>
      <c r="F1759" s="5">
        <f>[1]Raw_Data!F1757</f>
        <v>4632.5600000000004</v>
      </c>
      <c r="G1759" s="4">
        <f>[1]Raw_Data!G1757</f>
        <v>0.1</v>
      </c>
      <c r="H1759" s="3">
        <f>[1]Raw_Data!H1757</f>
        <v>0</v>
      </c>
      <c r="I1759" s="3" t="str">
        <f>TRIM([1]Raw_Data!I1757)</f>
        <v>USA</v>
      </c>
      <c r="J1759" s="3" t="str">
        <f>TRIM([1]Raw_Data!J1757)</f>
        <v>iHerb</v>
      </c>
      <c r="K1759" s="3">
        <f t="shared" si="108"/>
        <v>2022</v>
      </c>
      <c r="L1759" s="6">
        <f t="shared" si="109"/>
        <v>44593</v>
      </c>
      <c r="M1759" s="3" t="str">
        <f t="shared" si="110"/>
        <v>6% to 10%</v>
      </c>
      <c r="N1759" s="3" t="str">
        <f t="shared" si="111"/>
        <v>OK</v>
      </c>
    </row>
    <row r="1760" spans="1:14" x14ac:dyDescent="0.3">
      <c r="A1760" s="2">
        <f>DATE(VALUE(RIGHT(TRIM([1]Raw_Data!A1758),4)),VALUE(MID(TRIM([1]Raw_Data!A1758),4,2)),VALUE(LEFT(TRIM([1]Raw_Data!A1758),2)))</f>
        <v>44599</v>
      </c>
      <c r="B1760" s="3" t="str">
        <f>TRIM([1]Raw_Data!B1758)</f>
        <v>Biotin</v>
      </c>
      <c r="C1760" s="3" t="str">
        <f>TRIM([1]Raw_Data!C1758)</f>
        <v>Vitamin</v>
      </c>
      <c r="D1760" s="3">
        <f>[1]Raw_Data!D1758</f>
        <v>156</v>
      </c>
      <c r="E1760" s="4">
        <f>[1]Raw_Data!E1758</f>
        <v>59.41</v>
      </c>
      <c r="F1760" s="5">
        <f>[1]Raw_Data!F1758</f>
        <v>9267.9599999999991</v>
      </c>
      <c r="G1760" s="4">
        <f>[1]Raw_Data!G1758</f>
        <v>0.09</v>
      </c>
      <c r="H1760" s="3">
        <f>[1]Raw_Data!H1758</f>
        <v>2</v>
      </c>
      <c r="I1760" s="3" t="str">
        <f>TRIM([1]Raw_Data!I1758)</f>
        <v>UK</v>
      </c>
      <c r="J1760" s="3" t="str">
        <f>TRIM([1]Raw_Data!J1758)</f>
        <v>Walmart</v>
      </c>
      <c r="K1760" s="3">
        <f t="shared" si="108"/>
        <v>2022</v>
      </c>
      <c r="L1760" s="6">
        <f t="shared" si="109"/>
        <v>44593</v>
      </c>
      <c r="M1760" s="3" t="str">
        <f t="shared" si="110"/>
        <v>6% to 10%</v>
      </c>
      <c r="N1760" s="3" t="str">
        <f t="shared" si="111"/>
        <v>OK</v>
      </c>
    </row>
    <row r="1761" spans="1:14" x14ac:dyDescent="0.3">
      <c r="A1761" s="2">
        <f>DATE(VALUE(RIGHT(TRIM([1]Raw_Data!A1759),4)),VALUE(MID(TRIM([1]Raw_Data!A1759),4,2)),VALUE(LEFT(TRIM([1]Raw_Data!A1759),2)))</f>
        <v>44599</v>
      </c>
      <c r="B1761" s="3" t="str">
        <f>TRIM([1]Raw_Data!B1759)</f>
        <v>Green Tea Extract</v>
      </c>
      <c r="C1761" s="3" t="str">
        <f>TRIM([1]Raw_Data!C1759)</f>
        <v>Fat Burner</v>
      </c>
      <c r="D1761" s="3">
        <f>[1]Raw_Data!D1759</f>
        <v>174</v>
      </c>
      <c r="E1761" s="4">
        <f>[1]Raw_Data!E1759</f>
        <v>45.88</v>
      </c>
      <c r="F1761" s="5">
        <f>[1]Raw_Data!F1759</f>
        <v>7983.12</v>
      </c>
      <c r="G1761" s="4">
        <f>[1]Raw_Data!G1759</f>
        <v>0.19</v>
      </c>
      <c r="H1761" s="3">
        <f>[1]Raw_Data!H1759</f>
        <v>0</v>
      </c>
      <c r="I1761" s="3" t="str">
        <f>TRIM([1]Raw_Data!I1759)</f>
        <v>UK</v>
      </c>
      <c r="J1761" s="3" t="str">
        <f>TRIM([1]Raw_Data!J1759)</f>
        <v>Walmart</v>
      </c>
      <c r="K1761" s="3">
        <f t="shared" si="108"/>
        <v>2022</v>
      </c>
      <c r="L1761" s="6">
        <f t="shared" si="109"/>
        <v>44593</v>
      </c>
      <c r="M1761" s="3" t="str">
        <f t="shared" si="110"/>
        <v>16% to 20%</v>
      </c>
      <c r="N1761" s="3" t="str">
        <f t="shared" si="111"/>
        <v>OK</v>
      </c>
    </row>
    <row r="1762" spans="1:14" x14ac:dyDescent="0.3">
      <c r="A1762" s="2">
        <f>DATE(VALUE(RIGHT(TRIM([1]Raw_Data!A1760),4)),VALUE(MID(TRIM([1]Raw_Data!A1760),4,2)),VALUE(LEFT(TRIM([1]Raw_Data!A1760),2)))</f>
        <v>44599</v>
      </c>
      <c r="B1762" s="3" t="str">
        <f>TRIM([1]Raw_Data!B1760)</f>
        <v>Iron Supplement</v>
      </c>
      <c r="C1762" s="3" t="str">
        <f>TRIM([1]Raw_Data!C1760)</f>
        <v>Mineral</v>
      </c>
      <c r="D1762" s="3">
        <f>[1]Raw_Data!D1760</f>
        <v>165</v>
      </c>
      <c r="E1762" s="4">
        <f>[1]Raw_Data!E1760</f>
        <v>11.67</v>
      </c>
      <c r="F1762" s="5">
        <f>[1]Raw_Data!F1760</f>
        <v>1925.55</v>
      </c>
      <c r="G1762" s="4">
        <f>[1]Raw_Data!G1760</f>
        <v>0.02</v>
      </c>
      <c r="H1762" s="3">
        <f>[1]Raw_Data!H1760</f>
        <v>0</v>
      </c>
      <c r="I1762" s="3" t="str">
        <f>TRIM([1]Raw_Data!I1760)</f>
        <v>UK</v>
      </c>
      <c r="J1762" s="3" t="str">
        <f>TRIM([1]Raw_Data!J1760)</f>
        <v>Amazon</v>
      </c>
      <c r="K1762" s="3">
        <f t="shared" si="108"/>
        <v>2022</v>
      </c>
      <c r="L1762" s="6">
        <f t="shared" si="109"/>
        <v>44593</v>
      </c>
      <c r="M1762" s="3" t="str">
        <f t="shared" si="110"/>
        <v>0% to 5%</v>
      </c>
      <c r="N1762" s="3" t="str">
        <f t="shared" si="111"/>
        <v>OK</v>
      </c>
    </row>
    <row r="1763" spans="1:14" x14ac:dyDescent="0.3">
      <c r="A1763" s="2">
        <f>DATE(VALUE(RIGHT(TRIM([1]Raw_Data!A1761),4)),VALUE(MID(TRIM([1]Raw_Data!A1761),4,2)),VALUE(LEFT(TRIM([1]Raw_Data!A1761),2)))</f>
        <v>44599</v>
      </c>
      <c r="B1763" s="3" t="str">
        <f>TRIM([1]Raw_Data!B1761)</f>
        <v>Electrolyte Powder</v>
      </c>
      <c r="C1763" s="3" t="str">
        <f>TRIM([1]Raw_Data!C1761)</f>
        <v>Hydration</v>
      </c>
      <c r="D1763" s="3">
        <f>[1]Raw_Data!D1761</f>
        <v>144</v>
      </c>
      <c r="E1763" s="4">
        <f>[1]Raw_Data!E1761</f>
        <v>36.619999999999997</v>
      </c>
      <c r="F1763" s="5">
        <f>[1]Raw_Data!F1761</f>
        <v>5273.28</v>
      </c>
      <c r="G1763" s="4">
        <f>[1]Raw_Data!G1761</f>
        <v>7.0000000000000007E-2</v>
      </c>
      <c r="H1763" s="3">
        <f>[1]Raw_Data!H1761</f>
        <v>3</v>
      </c>
      <c r="I1763" s="3" t="str">
        <f>TRIM([1]Raw_Data!I1761)</f>
        <v>Canada</v>
      </c>
      <c r="J1763" s="3" t="str">
        <f>TRIM([1]Raw_Data!J1761)</f>
        <v>Amazon</v>
      </c>
      <c r="K1763" s="3">
        <f t="shared" si="108"/>
        <v>2022</v>
      </c>
      <c r="L1763" s="6">
        <f t="shared" si="109"/>
        <v>44593</v>
      </c>
      <c r="M1763" s="3" t="str">
        <f t="shared" si="110"/>
        <v>6% to 10%</v>
      </c>
      <c r="N1763" s="3" t="str">
        <f t="shared" si="111"/>
        <v>OK</v>
      </c>
    </row>
    <row r="1764" spans="1:14" x14ac:dyDescent="0.3">
      <c r="A1764" s="2">
        <f>DATE(VALUE(RIGHT(TRIM([1]Raw_Data!A1762),4)),VALUE(MID(TRIM([1]Raw_Data!A1762),4,2)),VALUE(LEFT(TRIM([1]Raw_Data!A1762),2)))</f>
        <v>44606</v>
      </c>
      <c r="B1764" s="3" t="str">
        <f>TRIM([1]Raw_Data!B1762)</f>
        <v>Whey Protein</v>
      </c>
      <c r="C1764" s="3" t="str">
        <f>TRIM([1]Raw_Data!C1762)</f>
        <v>Protein</v>
      </c>
      <c r="D1764" s="3">
        <f>[1]Raw_Data!D1762</f>
        <v>145</v>
      </c>
      <c r="E1764" s="4">
        <f>[1]Raw_Data!E1762</f>
        <v>25.01</v>
      </c>
      <c r="F1764" s="5">
        <f>[1]Raw_Data!F1762</f>
        <v>3626.45</v>
      </c>
      <c r="G1764" s="4">
        <f>[1]Raw_Data!G1762</f>
        <v>0.13</v>
      </c>
      <c r="H1764" s="3">
        <f>[1]Raw_Data!H1762</f>
        <v>1</v>
      </c>
      <c r="I1764" s="3" t="str">
        <f>TRIM([1]Raw_Data!I1762)</f>
        <v>Canada</v>
      </c>
      <c r="J1764" s="3" t="str">
        <f>TRIM([1]Raw_Data!J1762)</f>
        <v>Walmart</v>
      </c>
      <c r="K1764" s="3">
        <f t="shared" si="108"/>
        <v>2022</v>
      </c>
      <c r="L1764" s="6">
        <f t="shared" si="109"/>
        <v>44593</v>
      </c>
      <c r="M1764" s="3" t="str">
        <f t="shared" si="110"/>
        <v>11% to 15%</v>
      </c>
      <c r="N1764" s="3" t="str">
        <f t="shared" si="111"/>
        <v>OK</v>
      </c>
    </row>
    <row r="1765" spans="1:14" x14ac:dyDescent="0.3">
      <c r="A1765" s="2">
        <f>DATE(VALUE(RIGHT(TRIM([1]Raw_Data!A1763),4)),VALUE(MID(TRIM([1]Raw_Data!A1763),4,2)),VALUE(LEFT(TRIM([1]Raw_Data!A1763),2)))</f>
        <v>44606</v>
      </c>
      <c r="B1765" s="3" t="str">
        <f>TRIM([1]Raw_Data!B1763)</f>
        <v>Vitamin C</v>
      </c>
      <c r="C1765" s="3" t="str">
        <f>TRIM([1]Raw_Data!C1763)</f>
        <v>Vitamin</v>
      </c>
      <c r="D1765" s="3">
        <f>[1]Raw_Data!D1763</f>
        <v>142</v>
      </c>
      <c r="E1765" s="4">
        <f>[1]Raw_Data!E1763</f>
        <v>50.96</v>
      </c>
      <c r="F1765" s="5">
        <f>[1]Raw_Data!F1763</f>
        <v>7236.32</v>
      </c>
      <c r="G1765" s="4">
        <f>[1]Raw_Data!G1763</f>
        <v>0.25</v>
      </c>
      <c r="H1765" s="3">
        <f>[1]Raw_Data!H1763</f>
        <v>1</v>
      </c>
      <c r="I1765" s="3" t="str">
        <f>TRIM([1]Raw_Data!I1763)</f>
        <v>UK</v>
      </c>
      <c r="J1765" s="3" t="str">
        <f>TRIM([1]Raw_Data!J1763)</f>
        <v>Walmart</v>
      </c>
      <c r="K1765" s="3">
        <f t="shared" si="108"/>
        <v>2022</v>
      </c>
      <c r="L1765" s="6">
        <f t="shared" si="109"/>
        <v>44593</v>
      </c>
      <c r="M1765" s="3" t="str">
        <f t="shared" si="110"/>
        <v>21% to 25%</v>
      </c>
      <c r="N1765" s="3" t="str">
        <f t="shared" si="111"/>
        <v>OK</v>
      </c>
    </row>
    <row r="1766" spans="1:14" x14ac:dyDescent="0.3">
      <c r="A1766" s="2">
        <f>DATE(VALUE(RIGHT(TRIM([1]Raw_Data!A1764),4)),VALUE(MID(TRIM([1]Raw_Data!A1764),4,2)),VALUE(LEFT(TRIM([1]Raw_Data!A1764),2)))</f>
        <v>44606</v>
      </c>
      <c r="B1766" s="3" t="str">
        <f>TRIM([1]Raw_Data!B1764)</f>
        <v>Fish Oil</v>
      </c>
      <c r="C1766" s="3" t="str">
        <f>TRIM([1]Raw_Data!C1764)</f>
        <v>Omega</v>
      </c>
      <c r="D1766" s="3">
        <f>[1]Raw_Data!D1764</f>
        <v>146</v>
      </c>
      <c r="E1766" s="4">
        <f>[1]Raw_Data!E1764</f>
        <v>45.92</v>
      </c>
      <c r="F1766" s="5">
        <f>[1]Raw_Data!F1764</f>
        <v>6704.32</v>
      </c>
      <c r="G1766" s="4">
        <f>[1]Raw_Data!G1764</f>
        <v>0.1</v>
      </c>
      <c r="H1766" s="3">
        <f>[1]Raw_Data!H1764</f>
        <v>3</v>
      </c>
      <c r="I1766" s="3" t="str">
        <f>TRIM([1]Raw_Data!I1764)</f>
        <v>Canada</v>
      </c>
      <c r="J1766" s="3" t="str">
        <f>TRIM([1]Raw_Data!J1764)</f>
        <v>Walmart</v>
      </c>
      <c r="K1766" s="3">
        <f t="shared" si="108"/>
        <v>2022</v>
      </c>
      <c r="L1766" s="6">
        <f t="shared" si="109"/>
        <v>44593</v>
      </c>
      <c r="M1766" s="3" t="str">
        <f t="shared" si="110"/>
        <v>6% to 10%</v>
      </c>
      <c r="N1766" s="3" t="str">
        <f t="shared" si="111"/>
        <v>OK</v>
      </c>
    </row>
    <row r="1767" spans="1:14" x14ac:dyDescent="0.3">
      <c r="A1767" s="2">
        <f>DATE(VALUE(RIGHT(TRIM([1]Raw_Data!A1765),4)),VALUE(MID(TRIM([1]Raw_Data!A1765),4,2)),VALUE(LEFT(TRIM([1]Raw_Data!A1765),2)))</f>
        <v>44606</v>
      </c>
      <c r="B1767" s="3" t="str">
        <f>TRIM([1]Raw_Data!B1765)</f>
        <v>Multivitamin</v>
      </c>
      <c r="C1767" s="3" t="str">
        <f>TRIM([1]Raw_Data!C1765)</f>
        <v>Vitamin</v>
      </c>
      <c r="D1767" s="3">
        <f>[1]Raw_Data!D1765</f>
        <v>152</v>
      </c>
      <c r="E1767" s="4">
        <f>[1]Raw_Data!E1765</f>
        <v>42.33</v>
      </c>
      <c r="F1767" s="5">
        <f>[1]Raw_Data!F1765</f>
        <v>6434.16</v>
      </c>
      <c r="G1767" s="4">
        <f>[1]Raw_Data!G1765</f>
        <v>0.24</v>
      </c>
      <c r="H1767" s="3">
        <f>[1]Raw_Data!H1765</f>
        <v>2</v>
      </c>
      <c r="I1767" s="3" t="str">
        <f>TRIM([1]Raw_Data!I1765)</f>
        <v>Canada</v>
      </c>
      <c r="J1767" s="3" t="str">
        <f>TRIM([1]Raw_Data!J1765)</f>
        <v>Walmart</v>
      </c>
      <c r="K1767" s="3">
        <f t="shared" si="108"/>
        <v>2022</v>
      </c>
      <c r="L1767" s="6">
        <f t="shared" si="109"/>
        <v>44593</v>
      </c>
      <c r="M1767" s="3" t="str">
        <f t="shared" si="110"/>
        <v>21% to 25%</v>
      </c>
      <c r="N1767" s="3" t="str">
        <f t="shared" si="111"/>
        <v>OK</v>
      </c>
    </row>
    <row r="1768" spans="1:14" x14ac:dyDescent="0.3">
      <c r="A1768" s="2">
        <f>DATE(VALUE(RIGHT(TRIM([1]Raw_Data!A1766),4)),VALUE(MID(TRIM([1]Raw_Data!A1766),4,2)),VALUE(LEFT(TRIM([1]Raw_Data!A1766),2)))</f>
        <v>44606</v>
      </c>
      <c r="B1768" s="3" t="str">
        <f>TRIM([1]Raw_Data!B1766)</f>
        <v>Pre-Workout</v>
      </c>
      <c r="C1768" s="3" t="str">
        <f>TRIM([1]Raw_Data!C1766)</f>
        <v>Performance</v>
      </c>
      <c r="D1768" s="3">
        <f>[1]Raw_Data!D1766</f>
        <v>118</v>
      </c>
      <c r="E1768" s="4">
        <f>[1]Raw_Data!E1766</f>
        <v>33.53</v>
      </c>
      <c r="F1768" s="5">
        <f>[1]Raw_Data!F1766</f>
        <v>3956.54</v>
      </c>
      <c r="G1768" s="4">
        <f>[1]Raw_Data!G1766</f>
        <v>0.08</v>
      </c>
      <c r="H1768" s="3">
        <f>[1]Raw_Data!H1766</f>
        <v>2</v>
      </c>
      <c r="I1768" s="3" t="str">
        <f>TRIM([1]Raw_Data!I1766)</f>
        <v>UK</v>
      </c>
      <c r="J1768" s="3" t="str">
        <f>TRIM([1]Raw_Data!J1766)</f>
        <v>Amazon</v>
      </c>
      <c r="K1768" s="3">
        <f t="shared" si="108"/>
        <v>2022</v>
      </c>
      <c r="L1768" s="6">
        <f t="shared" si="109"/>
        <v>44593</v>
      </c>
      <c r="M1768" s="3" t="str">
        <f t="shared" si="110"/>
        <v>6% to 10%</v>
      </c>
      <c r="N1768" s="3" t="str">
        <f t="shared" si="111"/>
        <v>OK</v>
      </c>
    </row>
    <row r="1769" spans="1:14" x14ac:dyDescent="0.3">
      <c r="A1769" s="2">
        <f>DATE(VALUE(RIGHT(TRIM([1]Raw_Data!A1767),4)),VALUE(MID(TRIM([1]Raw_Data!A1767),4,2)),VALUE(LEFT(TRIM([1]Raw_Data!A1767),2)))</f>
        <v>44606</v>
      </c>
      <c r="B1769" s="3" t="str">
        <f>TRIM([1]Raw_Data!B1767)</f>
        <v>BCAA</v>
      </c>
      <c r="C1769" s="3" t="str">
        <f>TRIM([1]Raw_Data!C1767)</f>
        <v>Amino Acid</v>
      </c>
      <c r="D1769" s="3">
        <f>[1]Raw_Data!D1767</f>
        <v>163</v>
      </c>
      <c r="E1769" s="4">
        <f>[1]Raw_Data!E1767</f>
        <v>59.47</v>
      </c>
      <c r="F1769" s="5">
        <f>[1]Raw_Data!F1767</f>
        <v>9693.61</v>
      </c>
      <c r="G1769" s="4">
        <f>[1]Raw_Data!G1767</f>
        <v>7.0000000000000007E-2</v>
      </c>
      <c r="H1769" s="3">
        <f>[1]Raw_Data!H1767</f>
        <v>3</v>
      </c>
      <c r="I1769" s="3" t="str">
        <f>TRIM([1]Raw_Data!I1767)</f>
        <v>USA</v>
      </c>
      <c r="J1769" s="3" t="str">
        <f>TRIM([1]Raw_Data!J1767)</f>
        <v>Amazon</v>
      </c>
      <c r="K1769" s="3">
        <f t="shared" si="108"/>
        <v>2022</v>
      </c>
      <c r="L1769" s="6">
        <f t="shared" si="109"/>
        <v>44593</v>
      </c>
      <c r="M1769" s="3" t="str">
        <f t="shared" si="110"/>
        <v>6% to 10%</v>
      </c>
      <c r="N1769" s="3" t="str">
        <f t="shared" si="111"/>
        <v>OK</v>
      </c>
    </row>
    <row r="1770" spans="1:14" x14ac:dyDescent="0.3">
      <c r="A1770" s="2">
        <f>DATE(VALUE(RIGHT(TRIM([1]Raw_Data!A1768),4)),VALUE(MID(TRIM([1]Raw_Data!A1768),4,2)),VALUE(LEFT(TRIM([1]Raw_Data!A1768),2)))</f>
        <v>44606</v>
      </c>
      <c r="B1770" s="3" t="str">
        <f>TRIM([1]Raw_Data!B1768)</f>
        <v>Creatine</v>
      </c>
      <c r="C1770" s="3" t="str">
        <f>TRIM([1]Raw_Data!C1768)</f>
        <v>Performance</v>
      </c>
      <c r="D1770" s="3">
        <f>[1]Raw_Data!D1768</f>
        <v>160</v>
      </c>
      <c r="E1770" s="4">
        <f>[1]Raw_Data!E1768</f>
        <v>46.71</v>
      </c>
      <c r="F1770" s="5">
        <f>[1]Raw_Data!F1768</f>
        <v>7473.6</v>
      </c>
      <c r="G1770" s="4">
        <f>[1]Raw_Data!G1768</f>
        <v>0.03</v>
      </c>
      <c r="H1770" s="3">
        <f>[1]Raw_Data!H1768</f>
        <v>3</v>
      </c>
      <c r="I1770" s="3" t="str">
        <f>TRIM([1]Raw_Data!I1768)</f>
        <v>USA</v>
      </c>
      <c r="J1770" s="3" t="str">
        <f>TRIM([1]Raw_Data!J1768)</f>
        <v>Walmart</v>
      </c>
      <c r="K1770" s="3">
        <f t="shared" si="108"/>
        <v>2022</v>
      </c>
      <c r="L1770" s="6">
        <f t="shared" si="109"/>
        <v>44593</v>
      </c>
      <c r="M1770" s="3" t="str">
        <f t="shared" si="110"/>
        <v>0% to 5%</v>
      </c>
      <c r="N1770" s="3" t="str">
        <f t="shared" si="111"/>
        <v>OK</v>
      </c>
    </row>
    <row r="1771" spans="1:14" x14ac:dyDescent="0.3">
      <c r="A1771" s="2">
        <f>DATE(VALUE(RIGHT(TRIM([1]Raw_Data!A1769),4)),VALUE(MID(TRIM([1]Raw_Data!A1769),4,2)),VALUE(LEFT(TRIM([1]Raw_Data!A1769),2)))</f>
        <v>44606</v>
      </c>
      <c r="B1771" s="3" t="str">
        <f>TRIM([1]Raw_Data!B1769)</f>
        <v>Zinc</v>
      </c>
      <c r="C1771" s="3" t="str">
        <f>TRIM([1]Raw_Data!C1769)</f>
        <v>Mineral</v>
      </c>
      <c r="D1771" s="3">
        <f>[1]Raw_Data!D1769</f>
        <v>151</v>
      </c>
      <c r="E1771" s="4">
        <f>[1]Raw_Data!E1769</f>
        <v>42.79</v>
      </c>
      <c r="F1771" s="5">
        <f>[1]Raw_Data!F1769</f>
        <v>6461.29</v>
      </c>
      <c r="G1771" s="4">
        <f>[1]Raw_Data!G1769</f>
        <v>0.16</v>
      </c>
      <c r="H1771" s="3">
        <f>[1]Raw_Data!H1769</f>
        <v>0</v>
      </c>
      <c r="I1771" s="3" t="str">
        <f>TRIM([1]Raw_Data!I1769)</f>
        <v>Canada</v>
      </c>
      <c r="J1771" s="3" t="str">
        <f>TRIM([1]Raw_Data!J1769)</f>
        <v>iHerb</v>
      </c>
      <c r="K1771" s="3">
        <f t="shared" si="108"/>
        <v>2022</v>
      </c>
      <c r="L1771" s="6">
        <f t="shared" si="109"/>
        <v>44593</v>
      </c>
      <c r="M1771" s="3" t="str">
        <f t="shared" si="110"/>
        <v>16% to 20%</v>
      </c>
      <c r="N1771" s="3" t="str">
        <f t="shared" si="111"/>
        <v>OK</v>
      </c>
    </row>
    <row r="1772" spans="1:14" x14ac:dyDescent="0.3">
      <c r="A1772" s="2">
        <f>DATE(VALUE(RIGHT(TRIM([1]Raw_Data!A1770),4)),VALUE(MID(TRIM([1]Raw_Data!A1770),4,2)),VALUE(LEFT(TRIM([1]Raw_Data!A1770),2)))</f>
        <v>44606</v>
      </c>
      <c r="B1772" s="3" t="str">
        <f>TRIM([1]Raw_Data!B1770)</f>
        <v>Collagen Peptides</v>
      </c>
      <c r="C1772" s="3" t="str">
        <f>TRIM([1]Raw_Data!C1770)</f>
        <v>Protein</v>
      </c>
      <c r="D1772" s="3">
        <f>[1]Raw_Data!D1770</f>
        <v>152</v>
      </c>
      <c r="E1772" s="4">
        <f>[1]Raw_Data!E1770</f>
        <v>56.41</v>
      </c>
      <c r="F1772" s="5">
        <f>[1]Raw_Data!F1770</f>
        <v>8574.32</v>
      </c>
      <c r="G1772" s="4">
        <f>[1]Raw_Data!G1770</f>
        <v>0.13</v>
      </c>
      <c r="H1772" s="3">
        <f>[1]Raw_Data!H1770</f>
        <v>2</v>
      </c>
      <c r="I1772" s="3" t="str">
        <f>TRIM([1]Raw_Data!I1770)</f>
        <v>UK</v>
      </c>
      <c r="J1772" s="3" t="str">
        <f>TRIM([1]Raw_Data!J1770)</f>
        <v>iHerb</v>
      </c>
      <c r="K1772" s="3">
        <f t="shared" si="108"/>
        <v>2022</v>
      </c>
      <c r="L1772" s="6">
        <f t="shared" si="109"/>
        <v>44593</v>
      </c>
      <c r="M1772" s="3" t="str">
        <f t="shared" si="110"/>
        <v>11% to 15%</v>
      </c>
      <c r="N1772" s="3" t="str">
        <f t="shared" si="111"/>
        <v>OK</v>
      </c>
    </row>
    <row r="1773" spans="1:14" x14ac:dyDescent="0.3">
      <c r="A1773" s="2">
        <f>DATE(VALUE(RIGHT(TRIM([1]Raw_Data!A1771),4)),VALUE(MID(TRIM([1]Raw_Data!A1771),4,2)),VALUE(LEFT(TRIM([1]Raw_Data!A1771),2)))</f>
        <v>44606</v>
      </c>
      <c r="B1773" s="3" t="str">
        <f>TRIM([1]Raw_Data!B1771)</f>
        <v>Magnesium</v>
      </c>
      <c r="C1773" s="3" t="str">
        <f>TRIM([1]Raw_Data!C1771)</f>
        <v>Mineral</v>
      </c>
      <c r="D1773" s="3">
        <f>[1]Raw_Data!D1771</f>
        <v>148</v>
      </c>
      <c r="E1773" s="4">
        <f>[1]Raw_Data!E1771</f>
        <v>20.239999999999998</v>
      </c>
      <c r="F1773" s="5">
        <f>[1]Raw_Data!F1771</f>
        <v>2995.52</v>
      </c>
      <c r="G1773" s="4">
        <f>[1]Raw_Data!G1771</f>
        <v>0.09</v>
      </c>
      <c r="H1773" s="3">
        <f>[1]Raw_Data!H1771</f>
        <v>2</v>
      </c>
      <c r="I1773" s="3" t="str">
        <f>TRIM([1]Raw_Data!I1771)</f>
        <v>USA</v>
      </c>
      <c r="J1773" s="3" t="str">
        <f>TRIM([1]Raw_Data!J1771)</f>
        <v>Walmart</v>
      </c>
      <c r="K1773" s="3">
        <f t="shared" si="108"/>
        <v>2022</v>
      </c>
      <c r="L1773" s="6">
        <f t="shared" si="109"/>
        <v>44593</v>
      </c>
      <c r="M1773" s="3" t="str">
        <f t="shared" si="110"/>
        <v>6% to 10%</v>
      </c>
      <c r="N1773" s="3" t="str">
        <f t="shared" si="111"/>
        <v>OK</v>
      </c>
    </row>
    <row r="1774" spans="1:14" x14ac:dyDescent="0.3">
      <c r="A1774" s="2">
        <f>DATE(VALUE(RIGHT(TRIM([1]Raw_Data!A1772),4)),VALUE(MID(TRIM([1]Raw_Data!A1772),4,2)),VALUE(LEFT(TRIM([1]Raw_Data!A1772),2)))</f>
        <v>44606</v>
      </c>
      <c r="B1774" s="3" t="str">
        <f>TRIM([1]Raw_Data!B1772)</f>
        <v>Ashwagandha</v>
      </c>
      <c r="C1774" s="3" t="str">
        <f>TRIM([1]Raw_Data!C1772)</f>
        <v>Herbal</v>
      </c>
      <c r="D1774" s="3">
        <f>[1]Raw_Data!D1772</f>
        <v>164</v>
      </c>
      <c r="E1774" s="4">
        <f>[1]Raw_Data!E1772</f>
        <v>32.4</v>
      </c>
      <c r="F1774" s="5">
        <f>[1]Raw_Data!F1772</f>
        <v>5313.6</v>
      </c>
      <c r="G1774" s="4">
        <f>[1]Raw_Data!G1772</f>
        <v>0.21</v>
      </c>
      <c r="H1774" s="3">
        <f>[1]Raw_Data!H1772</f>
        <v>3</v>
      </c>
      <c r="I1774" s="3" t="str">
        <f>TRIM([1]Raw_Data!I1772)</f>
        <v>Canada</v>
      </c>
      <c r="J1774" s="3" t="str">
        <f>TRIM([1]Raw_Data!J1772)</f>
        <v>Amazon</v>
      </c>
      <c r="K1774" s="3">
        <f t="shared" si="108"/>
        <v>2022</v>
      </c>
      <c r="L1774" s="6">
        <f t="shared" si="109"/>
        <v>44593</v>
      </c>
      <c r="M1774" s="3" t="str">
        <f t="shared" si="110"/>
        <v>21% to 25%</v>
      </c>
      <c r="N1774" s="3" t="str">
        <f t="shared" si="111"/>
        <v>OK</v>
      </c>
    </row>
    <row r="1775" spans="1:14" x14ac:dyDescent="0.3">
      <c r="A1775" s="2">
        <f>DATE(VALUE(RIGHT(TRIM([1]Raw_Data!A1773),4)),VALUE(MID(TRIM([1]Raw_Data!A1773),4,2)),VALUE(LEFT(TRIM([1]Raw_Data!A1773),2)))</f>
        <v>44606</v>
      </c>
      <c r="B1775" s="3" t="str">
        <f>TRIM([1]Raw_Data!B1773)</f>
        <v>Melatonin</v>
      </c>
      <c r="C1775" s="3" t="str">
        <f>TRIM([1]Raw_Data!C1773)</f>
        <v>Sleep Aid</v>
      </c>
      <c r="D1775" s="3">
        <f>[1]Raw_Data!D1773</f>
        <v>142</v>
      </c>
      <c r="E1775" s="4">
        <f>[1]Raw_Data!E1773</f>
        <v>43.94</v>
      </c>
      <c r="F1775" s="5">
        <f>[1]Raw_Data!F1773</f>
        <v>6239.48</v>
      </c>
      <c r="G1775" s="4">
        <f>[1]Raw_Data!G1773</f>
        <v>0.14000000000000001</v>
      </c>
      <c r="H1775" s="3">
        <f>[1]Raw_Data!H1773</f>
        <v>0</v>
      </c>
      <c r="I1775" s="3" t="str">
        <f>TRIM([1]Raw_Data!I1773)</f>
        <v>USA</v>
      </c>
      <c r="J1775" s="3" t="str">
        <f>TRIM([1]Raw_Data!J1773)</f>
        <v>Walmart</v>
      </c>
      <c r="K1775" s="3">
        <f t="shared" si="108"/>
        <v>2022</v>
      </c>
      <c r="L1775" s="6">
        <f t="shared" si="109"/>
        <v>44593</v>
      </c>
      <c r="M1775" s="3" t="str">
        <f t="shared" si="110"/>
        <v>11% to 15%</v>
      </c>
      <c r="N1775" s="3" t="str">
        <f t="shared" si="111"/>
        <v>OK</v>
      </c>
    </row>
    <row r="1776" spans="1:14" x14ac:dyDescent="0.3">
      <c r="A1776" s="2">
        <f>DATE(VALUE(RIGHT(TRIM([1]Raw_Data!A1774),4)),VALUE(MID(TRIM([1]Raw_Data!A1774),4,2)),VALUE(LEFT(TRIM([1]Raw_Data!A1774),2)))</f>
        <v>44606</v>
      </c>
      <c r="B1776" s="3" t="str">
        <f>TRIM([1]Raw_Data!B1774)</f>
        <v>Biotin</v>
      </c>
      <c r="C1776" s="3" t="str">
        <f>TRIM([1]Raw_Data!C1774)</f>
        <v>Vitamin</v>
      </c>
      <c r="D1776" s="3">
        <f>[1]Raw_Data!D1774</f>
        <v>143</v>
      </c>
      <c r="E1776" s="4">
        <f>[1]Raw_Data!E1774</f>
        <v>44.41</v>
      </c>
      <c r="F1776" s="5">
        <f>[1]Raw_Data!F1774</f>
        <v>6350.63</v>
      </c>
      <c r="G1776" s="4">
        <f>[1]Raw_Data!G1774</f>
        <v>0.25</v>
      </c>
      <c r="H1776" s="3">
        <f>[1]Raw_Data!H1774</f>
        <v>2</v>
      </c>
      <c r="I1776" s="3" t="str">
        <f>TRIM([1]Raw_Data!I1774)</f>
        <v>Canada</v>
      </c>
      <c r="J1776" s="3" t="str">
        <f>TRIM([1]Raw_Data!J1774)</f>
        <v>iHerb</v>
      </c>
      <c r="K1776" s="3">
        <f t="shared" si="108"/>
        <v>2022</v>
      </c>
      <c r="L1776" s="6">
        <f t="shared" si="109"/>
        <v>44593</v>
      </c>
      <c r="M1776" s="3" t="str">
        <f t="shared" si="110"/>
        <v>21% to 25%</v>
      </c>
      <c r="N1776" s="3" t="str">
        <f t="shared" si="111"/>
        <v>OK</v>
      </c>
    </row>
    <row r="1777" spans="1:14" x14ac:dyDescent="0.3">
      <c r="A1777" s="2">
        <f>DATE(VALUE(RIGHT(TRIM([1]Raw_Data!A1775),4)),VALUE(MID(TRIM([1]Raw_Data!A1775),4,2)),VALUE(LEFT(TRIM([1]Raw_Data!A1775),2)))</f>
        <v>44606</v>
      </c>
      <c r="B1777" s="3" t="str">
        <f>TRIM([1]Raw_Data!B1775)</f>
        <v>Green Tea Extract</v>
      </c>
      <c r="C1777" s="3" t="str">
        <f>TRIM([1]Raw_Data!C1775)</f>
        <v>Fat Burner</v>
      </c>
      <c r="D1777" s="3">
        <f>[1]Raw_Data!D1775</f>
        <v>175</v>
      </c>
      <c r="E1777" s="4">
        <f>[1]Raw_Data!E1775</f>
        <v>48.57</v>
      </c>
      <c r="F1777" s="5">
        <f>[1]Raw_Data!F1775</f>
        <v>8499.75</v>
      </c>
      <c r="G1777" s="4">
        <f>[1]Raw_Data!G1775</f>
        <v>0.01</v>
      </c>
      <c r="H1777" s="3">
        <f>[1]Raw_Data!H1775</f>
        <v>2</v>
      </c>
      <c r="I1777" s="3" t="str">
        <f>TRIM([1]Raw_Data!I1775)</f>
        <v>Canada</v>
      </c>
      <c r="J1777" s="3" t="str">
        <f>TRIM([1]Raw_Data!J1775)</f>
        <v>iHerb</v>
      </c>
      <c r="K1777" s="3">
        <f t="shared" si="108"/>
        <v>2022</v>
      </c>
      <c r="L1777" s="6">
        <f t="shared" si="109"/>
        <v>44593</v>
      </c>
      <c r="M1777" s="3" t="str">
        <f t="shared" si="110"/>
        <v>0% to 5%</v>
      </c>
      <c r="N1777" s="3" t="str">
        <f t="shared" si="111"/>
        <v>OK</v>
      </c>
    </row>
    <row r="1778" spans="1:14" x14ac:dyDescent="0.3">
      <c r="A1778" s="2">
        <f>DATE(VALUE(RIGHT(TRIM([1]Raw_Data!A1776),4)),VALUE(MID(TRIM([1]Raw_Data!A1776),4,2)),VALUE(LEFT(TRIM([1]Raw_Data!A1776),2)))</f>
        <v>44606</v>
      </c>
      <c r="B1778" s="3" t="str">
        <f>TRIM([1]Raw_Data!B1776)</f>
        <v>Iron Supplement</v>
      </c>
      <c r="C1778" s="3" t="str">
        <f>TRIM([1]Raw_Data!C1776)</f>
        <v>Mineral</v>
      </c>
      <c r="D1778" s="3">
        <f>[1]Raw_Data!D1776</f>
        <v>149</v>
      </c>
      <c r="E1778" s="4">
        <f>[1]Raw_Data!E1776</f>
        <v>53.12</v>
      </c>
      <c r="F1778" s="5">
        <f>[1]Raw_Data!F1776</f>
        <v>7914.88</v>
      </c>
      <c r="G1778" s="4">
        <f>[1]Raw_Data!G1776</f>
        <v>0.21</v>
      </c>
      <c r="H1778" s="3">
        <f>[1]Raw_Data!H1776</f>
        <v>0</v>
      </c>
      <c r="I1778" s="3" t="str">
        <f>TRIM([1]Raw_Data!I1776)</f>
        <v>UK</v>
      </c>
      <c r="J1778" s="3" t="str">
        <f>TRIM([1]Raw_Data!J1776)</f>
        <v>Amazon</v>
      </c>
      <c r="K1778" s="3">
        <f t="shared" si="108"/>
        <v>2022</v>
      </c>
      <c r="L1778" s="6">
        <f t="shared" si="109"/>
        <v>44593</v>
      </c>
      <c r="M1778" s="3" t="str">
        <f t="shared" si="110"/>
        <v>21% to 25%</v>
      </c>
      <c r="N1778" s="3" t="str">
        <f t="shared" si="111"/>
        <v>OK</v>
      </c>
    </row>
    <row r="1779" spans="1:14" x14ac:dyDescent="0.3">
      <c r="A1779" s="2">
        <f>DATE(VALUE(RIGHT(TRIM([1]Raw_Data!A1777),4)),VALUE(MID(TRIM([1]Raw_Data!A1777),4,2)),VALUE(LEFT(TRIM([1]Raw_Data!A1777),2)))</f>
        <v>44606</v>
      </c>
      <c r="B1779" s="3" t="str">
        <f>TRIM([1]Raw_Data!B1777)</f>
        <v>Electrolyte Powder</v>
      </c>
      <c r="C1779" s="3" t="str">
        <f>TRIM([1]Raw_Data!C1777)</f>
        <v>Hydration</v>
      </c>
      <c r="D1779" s="3">
        <f>[1]Raw_Data!D1777</f>
        <v>154</v>
      </c>
      <c r="E1779" s="4">
        <f>[1]Raw_Data!E1777</f>
        <v>30.78</v>
      </c>
      <c r="F1779" s="5">
        <f>[1]Raw_Data!F1777</f>
        <v>4740.12</v>
      </c>
      <c r="G1779" s="4">
        <f>[1]Raw_Data!G1777</f>
        <v>0.21</v>
      </c>
      <c r="H1779" s="3">
        <f>[1]Raw_Data!H1777</f>
        <v>1</v>
      </c>
      <c r="I1779" s="3" t="str">
        <f>TRIM([1]Raw_Data!I1777)</f>
        <v>UK</v>
      </c>
      <c r="J1779" s="3" t="str">
        <f>TRIM([1]Raw_Data!J1777)</f>
        <v>iHerb</v>
      </c>
      <c r="K1779" s="3">
        <f t="shared" si="108"/>
        <v>2022</v>
      </c>
      <c r="L1779" s="6">
        <f t="shared" si="109"/>
        <v>44593</v>
      </c>
      <c r="M1779" s="3" t="str">
        <f t="shared" si="110"/>
        <v>21% to 25%</v>
      </c>
      <c r="N1779" s="3" t="str">
        <f t="shared" si="111"/>
        <v>OK</v>
      </c>
    </row>
    <row r="1780" spans="1:14" x14ac:dyDescent="0.3">
      <c r="A1780" s="2">
        <f>DATE(VALUE(RIGHT(TRIM([1]Raw_Data!A1778),4)),VALUE(MID(TRIM([1]Raw_Data!A1778),4,2)),VALUE(LEFT(TRIM([1]Raw_Data!A1778),2)))</f>
        <v>44613</v>
      </c>
      <c r="B1780" s="3" t="str">
        <f>TRIM([1]Raw_Data!B1778)</f>
        <v>Whey Protein</v>
      </c>
      <c r="C1780" s="3" t="str">
        <f>TRIM([1]Raw_Data!C1778)</f>
        <v>Protein</v>
      </c>
      <c r="D1780" s="3">
        <f>[1]Raw_Data!D1778</f>
        <v>175</v>
      </c>
      <c r="E1780" s="4">
        <f>[1]Raw_Data!E1778</f>
        <v>43.14</v>
      </c>
      <c r="F1780" s="5">
        <f>[1]Raw_Data!F1778</f>
        <v>7549.5</v>
      </c>
      <c r="G1780" s="4">
        <f>[1]Raw_Data!G1778</f>
        <v>0.17</v>
      </c>
      <c r="H1780" s="3">
        <f>[1]Raw_Data!H1778</f>
        <v>1</v>
      </c>
      <c r="I1780" s="3" t="str">
        <f>TRIM([1]Raw_Data!I1778)</f>
        <v>USA</v>
      </c>
      <c r="J1780" s="3" t="str">
        <f>TRIM([1]Raw_Data!J1778)</f>
        <v>iHerb</v>
      </c>
      <c r="K1780" s="3">
        <f t="shared" si="108"/>
        <v>2022</v>
      </c>
      <c r="L1780" s="6">
        <f t="shared" si="109"/>
        <v>44593</v>
      </c>
      <c r="M1780" s="3" t="str">
        <f t="shared" si="110"/>
        <v>16% to 20%</v>
      </c>
      <c r="N1780" s="3" t="str">
        <f t="shared" si="111"/>
        <v>OK</v>
      </c>
    </row>
    <row r="1781" spans="1:14" x14ac:dyDescent="0.3">
      <c r="A1781" s="2">
        <f>DATE(VALUE(RIGHT(TRIM([1]Raw_Data!A1779),4)),VALUE(MID(TRIM([1]Raw_Data!A1779),4,2)),VALUE(LEFT(TRIM([1]Raw_Data!A1779),2)))</f>
        <v>44613</v>
      </c>
      <c r="B1781" s="3" t="str">
        <f>TRIM([1]Raw_Data!B1779)</f>
        <v>Vitamin C</v>
      </c>
      <c r="C1781" s="3" t="str">
        <f>TRIM([1]Raw_Data!C1779)</f>
        <v>Vitamin</v>
      </c>
      <c r="D1781" s="3">
        <f>[1]Raw_Data!D1779</f>
        <v>144</v>
      </c>
      <c r="E1781" s="4">
        <f>[1]Raw_Data!E1779</f>
        <v>48.09</v>
      </c>
      <c r="F1781" s="5">
        <f>[1]Raw_Data!F1779</f>
        <v>6924.96</v>
      </c>
      <c r="G1781" s="4">
        <f>[1]Raw_Data!G1779</f>
        <v>0.08</v>
      </c>
      <c r="H1781" s="3">
        <f>[1]Raw_Data!H1779</f>
        <v>1</v>
      </c>
      <c r="I1781" s="3" t="str">
        <f>TRIM([1]Raw_Data!I1779)</f>
        <v>UK</v>
      </c>
      <c r="J1781" s="3" t="str">
        <f>TRIM([1]Raw_Data!J1779)</f>
        <v>Walmart</v>
      </c>
      <c r="K1781" s="3">
        <f t="shared" si="108"/>
        <v>2022</v>
      </c>
      <c r="L1781" s="6">
        <f t="shared" si="109"/>
        <v>44593</v>
      </c>
      <c r="M1781" s="3" t="str">
        <f t="shared" si="110"/>
        <v>6% to 10%</v>
      </c>
      <c r="N1781" s="3" t="str">
        <f t="shared" si="111"/>
        <v>OK</v>
      </c>
    </row>
    <row r="1782" spans="1:14" x14ac:dyDescent="0.3">
      <c r="A1782" s="2">
        <f>DATE(VALUE(RIGHT(TRIM([1]Raw_Data!A1780),4)),VALUE(MID(TRIM([1]Raw_Data!A1780),4,2)),VALUE(LEFT(TRIM([1]Raw_Data!A1780),2)))</f>
        <v>44613</v>
      </c>
      <c r="B1782" s="3" t="str">
        <f>TRIM([1]Raw_Data!B1780)</f>
        <v>Fish Oil</v>
      </c>
      <c r="C1782" s="3" t="str">
        <f>TRIM([1]Raw_Data!C1780)</f>
        <v>Omega</v>
      </c>
      <c r="D1782" s="3">
        <f>[1]Raw_Data!D1780</f>
        <v>126</v>
      </c>
      <c r="E1782" s="4">
        <f>[1]Raw_Data!E1780</f>
        <v>34.29</v>
      </c>
      <c r="F1782" s="5">
        <f>[1]Raw_Data!F1780</f>
        <v>4320.54</v>
      </c>
      <c r="G1782" s="4">
        <f>[1]Raw_Data!G1780</f>
        <v>0.02</v>
      </c>
      <c r="H1782" s="3">
        <f>[1]Raw_Data!H1780</f>
        <v>2</v>
      </c>
      <c r="I1782" s="3" t="str">
        <f>TRIM([1]Raw_Data!I1780)</f>
        <v>Canada</v>
      </c>
      <c r="J1782" s="3" t="str">
        <f>TRIM([1]Raw_Data!J1780)</f>
        <v>Amazon</v>
      </c>
      <c r="K1782" s="3">
        <f t="shared" si="108"/>
        <v>2022</v>
      </c>
      <c r="L1782" s="6">
        <f t="shared" si="109"/>
        <v>44593</v>
      </c>
      <c r="M1782" s="3" t="str">
        <f t="shared" si="110"/>
        <v>0% to 5%</v>
      </c>
      <c r="N1782" s="3" t="str">
        <f t="shared" si="111"/>
        <v>OK</v>
      </c>
    </row>
    <row r="1783" spans="1:14" x14ac:dyDescent="0.3">
      <c r="A1783" s="2">
        <f>DATE(VALUE(RIGHT(TRIM([1]Raw_Data!A1781),4)),VALUE(MID(TRIM([1]Raw_Data!A1781),4,2)),VALUE(LEFT(TRIM([1]Raw_Data!A1781),2)))</f>
        <v>44613</v>
      </c>
      <c r="B1783" s="3" t="str">
        <f>TRIM([1]Raw_Data!B1781)</f>
        <v>Multivitamin</v>
      </c>
      <c r="C1783" s="3" t="str">
        <f>TRIM([1]Raw_Data!C1781)</f>
        <v>Vitamin</v>
      </c>
      <c r="D1783" s="3">
        <f>[1]Raw_Data!D1781</f>
        <v>152</v>
      </c>
      <c r="E1783" s="4">
        <f>[1]Raw_Data!E1781</f>
        <v>58.85</v>
      </c>
      <c r="F1783" s="5">
        <f>[1]Raw_Data!F1781</f>
        <v>8945.2000000000007</v>
      </c>
      <c r="G1783" s="4">
        <f>[1]Raw_Data!G1781</f>
        <v>0.16</v>
      </c>
      <c r="H1783" s="3">
        <f>[1]Raw_Data!H1781</f>
        <v>0</v>
      </c>
      <c r="I1783" s="3" t="str">
        <f>TRIM([1]Raw_Data!I1781)</f>
        <v>USA</v>
      </c>
      <c r="J1783" s="3" t="str">
        <f>TRIM([1]Raw_Data!J1781)</f>
        <v>iHerb</v>
      </c>
      <c r="K1783" s="3">
        <f t="shared" si="108"/>
        <v>2022</v>
      </c>
      <c r="L1783" s="6">
        <f t="shared" si="109"/>
        <v>44593</v>
      </c>
      <c r="M1783" s="3" t="str">
        <f t="shared" si="110"/>
        <v>16% to 20%</v>
      </c>
      <c r="N1783" s="3" t="str">
        <f t="shared" si="111"/>
        <v>OK</v>
      </c>
    </row>
    <row r="1784" spans="1:14" x14ac:dyDescent="0.3">
      <c r="A1784" s="2">
        <f>DATE(VALUE(RIGHT(TRIM([1]Raw_Data!A1782),4)),VALUE(MID(TRIM([1]Raw_Data!A1782),4,2)),VALUE(LEFT(TRIM([1]Raw_Data!A1782),2)))</f>
        <v>44613</v>
      </c>
      <c r="B1784" s="3" t="str">
        <f>TRIM([1]Raw_Data!B1782)</f>
        <v>Pre-Workout</v>
      </c>
      <c r="C1784" s="3" t="str">
        <f>TRIM([1]Raw_Data!C1782)</f>
        <v>Performance</v>
      </c>
      <c r="D1784" s="3">
        <f>[1]Raw_Data!D1782</f>
        <v>158</v>
      </c>
      <c r="E1784" s="4">
        <f>[1]Raw_Data!E1782</f>
        <v>49.78</v>
      </c>
      <c r="F1784" s="5">
        <f>[1]Raw_Data!F1782</f>
        <v>7865.24</v>
      </c>
      <c r="G1784" s="4">
        <f>[1]Raw_Data!G1782</f>
        <v>0.15</v>
      </c>
      <c r="H1784" s="3">
        <f>[1]Raw_Data!H1782</f>
        <v>2</v>
      </c>
      <c r="I1784" s="3" t="str">
        <f>TRIM([1]Raw_Data!I1782)</f>
        <v>UK</v>
      </c>
      <c r="J1784" s="3" t="str">
        <f>TRIM([1]Raw_Data!J1782)</f>
        <v>iHerb</v>
      </c>
      <c r="K1784" s="3">
        <f t="shared" si="108"/>
        <v>2022</v>
      </c>
      <c r="L1784" s="6">
        <f t="shared" si="109"/>
        <v>44593</v>
      </c>
      <c r="M1784" s="3" t="str">
        <f t="shared" si="110"/>
        <v>11% to 15%</v>
      </c>
      <c r="N1784" s="3" t="str">
        <f t="shared" si="111"/>
        <v>OK</v>
      </c>
    </row>
    <row r="1785" spans="1:14" x14ac:dyDescent="0.3">
      <c r="A1785" s="2">
        <f>DATE(VALUE(RIGHT(TRIM([1]Raw_Data!A1783),4)),VALUE(MID(TRIM([1]Raw_Data!A1783),4,2)),VALUE(LEFT(TRIM([1]Raw_Data!A1783),2)))</f>
        <v>44613</v>
      </c>
      <c r="B1785" s="3" t="str">
        <f>TRIM([1]Raw_Data!B1783)</f>
        <v>BCAA</v>
      </c>
      <c r="C1785" s="3" t="str">
        <f>TRIM([1]Raw_Data!C1783)</f>
        <v>Amino Acid</v>
      </c>
      <c r="D1785" s="3">
        <f>[1]Raw_Data!D1783</f>
        <v>156</v>
      </c>
      <c r="E1785" s="4">
        <f>[1]Raw_Data!E1783</f>
        <v>42</v>
      </c>
      <c r="F1785" s="5">
        <f>[1]Raw_Data!F1783</f>
        <v>6552</v>
      </c>
      <c r="G1785" s="4">
        <f>[1]Raw_Data!G1783</f>
        <v>0.15</v>
      </c>
      <c r="H1785" s="3">
        <f>[1]Raw_Data!H1783</f>
        <v>0</v>
      </c>
      <c r="I1785" s="3" t="str">
        <f>TRIM([1]Raw_Data!I1783)</f>
        <v>Canada</v>
      </c>
      <c r="J1785" s="3" t="str">
        <f>TRIM([1]Raw_Data!J1783)</f>
        <v>Amazon</v>
      </c>
      <c r="K1785" s="3">
        <f t="shared" si="108"/>
        <v>2022</v>
      </c>
      <c r="L1785" s="6">
        <f t="shared" si="109"/>
        <v>44593</v>
      </c>
      <c r="M1785" s="3" t="str">
        <f t="shared" si="110"/>
        <v>11% to 15%</v>
      </c>
      <c r="N1785" s="3" t="str">
        <f t="shared" si="111"/>
        <v>OK</v>
      </c>
    </row>
    <row r="1786" spans="1:14" x14ac:dyDescent="0.3">
      <c r="A1786" s="2">
        <f>DATE(VALUE(RIGHT(TRIM([1]Raw_Data!A1784),4)),VALUE(MID(TRIM([1]Raw_Data!A1784),4,2)),VALUE(LEFT(TRIM([1]Raw_Data!A1784),2)))</f>
        <v>44613</v>
      </c>
      <c r="B1786" s="3" t="str">
        <f>TRIM([1]Raw_Data!B1784)</f>
        <v>Creatine</v>
      </c>
      <c r="C1786" s="3" t="str">
        <f>TRIM([1]Raw_Data!C1784)</f>
        <v>Performance</v>
      </c>
      <c r="D1786" s="3">
        <f>[1]Raw_Data!D1784</f>
        <v>138</v>
      </c>
      <c r="E1786" s="4">
        <f>[1]Raw_Data!E1784</f>
        <v>16.41</v>
      </c>
      <c r="F1786" s="5">
        <f>[1]Raw_Data!F1784</f>
        <v>2264.58</v>
      </c>
      <c r="G1786" s="4">
        <f>[1]Raw_Data!G1784</f>
        <v>7.0000000000000007E-2</v>
      </c>
      <c r="H1786" s="3">
        <f>[1]Raw_Data!H1784</f>
        <v>2</v>
      </c>
      <c r="I1786" s="3" t="str">
        <f>TRIM([1]Raw_Data!I1784)</f>
        <v>UK</v>
      </c>
      <c r="J1786" s="3" t="str">
        <f>TRIM([1]Raw_Data!J1784)</f>
        <v>iHerb</v>
      </c>
      <c r="K1786" s="3">
        <f t="shared" si="108"/>
        <v>2022</v>
      </c>
      <c r="L1786" s="6">
        <f t="shared" si="109"/>
        <v>44593</v>
      </c>
      <c r="M1786" s="3" t="str">
        <f t="shared" si="110"/>
        <v>6% to 10%</v>
      </c>
      <c r="N1786" s="3" t="str">
        <f t="shared" si="111"/>
        <v>OK</v>
      </c>
    </row>
    <row r="1787" spans="1:14" x14ac:dyDescent="0.3">
      <c r="A1787" s="2">
        <f>DATE(VALUE(RIGHT(TRIM([1]Raw_Data!A1785),4)),VALUE(MID(TRIM([1]Raw_Data!A1785),4,2)),VALUE(LEFT(TRIM([1]Raw_Data!A1785),2)))</f>
        <v>44613</v>
      </c>
      <c r="B1787" s="3" t="str">
        <f>TRIM([1]Raw_Data!B1785)</f>
        <v>Zinc</v>
      </c>
      <c r="C1787" s="3" t="str">
        <f>TRIM([1]Raw_Data!C1785)</f>
        <v>Mineral</v>
      </c>
      <c r="D1787" s="3">
        <f>[1]Raw_Data!D1785</f>
        <v>144</v>
      </c>
      <c r="E1787" s="4">
        <f>[1]Raw_Data!E1785</f>
        <v>57.06</v>
      </c>
      <c r="F1787" s="5">
        <f>[1]Raw_Data!F1785</f>
        <v>8216.64</v>
      </c>
      <c r="G1787" s="4">
        <f>[1]Raw_Data!G1785</f>
        <v>0.06</v>
      </c>
      <c r="H1787" s="3">
        <f>[1]Raw_Data!H1785</f>
        <v>1</v>
      </c>
      <c r="I1787" s="3" t="str">
        <f>TRIM([1]Raw_Data!I1785)</f>
        <v>USA</v>
      </c>
      <c r="J1787" s="3" t="str">
        <f>TRIM([1]Raw_Data!J1785)</f>
        <v>iHerb</v>
      </c>
      <c r="K1787" s="3">
        <f t="shared" si="108"/>
        <v>2022</v>
      </c>
      <c r="L1787" s="6">
        <f t="shared" si="109"/>
        <v>44593</v>
      </c>
      <c r="M1787" s="3" t="str">
        <f t="shared" si="110"/>
        <v>6% to 10%</v>
      </c>
      <c r="N1787" s="3" t="str">
        <f t="shared" si="111"/>
        <v>OK</v>
      </c>
    </row>
    <row r="1788" spans="1:14" x14ac:dyDescent="0.3">
      <c r="A1788" s="2">
        <f>DATE(VALUE(RIGHT(TRIM([1]Raw_Data!A1786),4)),VALUE(MID(TRIM([1]Raw_Data!A1786),4,2)),VALUE(LEFT(TRIM([1]Raw_Data!A1786),2)))</f>
        <v>44613</v>
      </c>
      <c r="B1788" s="3" t="str">
        <f>TRIM([1]Raw_Data!B1786)</f>
        <v>Collagen Peptides</v>
      </c>
      <c r="C1788" s="3" t="str">
        <f>TRIM([1]Raw_Data!C1786)</f>
        <v>Protein</v>
      </c>
      <c r="D1788" s="3">
        <f>[1]Raw_Data!D1786</f>
        <v>154</v>
      </c>
      <c r="E1788" s="4">
        <f>[1]Raw_Data!E1786</f>
        <v>55.08</v>
      </c>
      <c r="F1788" s="5">
        <f>[1]Raw_Data!F1786</f>
        <v>8482.32</v>
      </c>
      <c r="G1788" s="4">
        <f>[1]Raw_Data!G1786</f>
        <v>0.23</v>
      </c>
      <c r="H1788" s="3">
        <f>[1]Raw_Data!H1786</f>
        <v>2</v>
      </c>
      <c r="I1788" s="3" t="str">
        <f>TRIM([1]Raw_Data!I1786)</f>
        <v>UK</v>
      </c>
      <c r="J1788" s="3" t="str">
        <f>TRIM([1]Raw_Data!J1786)</f>
        <v>Walmart</v>
      </c>
      <c r="K1788" s="3">
        <f t="shared" si="108"/>
        <v>2022</v>
      </c>
      <c r="L1788" s="6">
        <f t="shared" si="109"/>
        <v>44593</v>
      </c>
      <c r="M1788" s="3" t="str">
        <f t="shared" si="110"/>
        <v>21% to 25%</v>
      </c>
      <c r="N1788" s="3" t="str">
        <f t="shared" si="111"/>
        <v>OK</v>
      </c>
    </row>
    <row r="1789" spans="1:14" x14ac:dyDescent="0.3">
      <c r="A1789" s="2">
        <f>DATE(VALUE(RIGHT(TRIM([1]Raw_Data!A1787),4)),VALUE(MID(TRIM([1]Raw_Data!A1787),4,2)),VALUE(LEFT(TRIM([1]Raw_Data!A1787),2)))</f>
        <v>44613</v>
      </c>
      <c r="B1789" s="3" t="str">
        <f>TRIM([1]Raw_Data!B1787)</f>
        <v>Magnesium</v>
      </c>
      <c r="C1789" s="3" t="str">
        <f>TRIM([1]Raw_Data!C1787)</f>
        <v>Mineral</v>
      </c>
      <c r="D1789" s="3">
        <f>[1]Raw_Data!D1787</f>
        <v>140</v>
      </c>
      <c r="E1789" s="4">
        <f>[1]Raw_Data!E1787</f>
        <v>29.19</v>
      </c>
      <c r="F1789" s="5">
        <f>[1]Raw_Data!F1787</f>
        <v>4086.6</v>
      </c>
      <c r="G1789" s="4">
        <f>[1]Raw_Data!G1787</f>
        <v>0.04</v>
      </c>
      <c r="H1789" s="3">
        <f>[1]Raw_Data!H1787</f>
        <v>2</v>
      </c>
      <c r="I1789" s="3" t="str">
        <f>TRIM([1]Raw_Data!I1787)</f>
        <v>USA</v>
      </c>
      <c r="J1789" s="3" t="str">
        <f>TRIM([1]Raw_Data!J1787)</f>
        <v>iHerb</v>
      </c>
      <c r="K1789" s="3">
        <f t="shared" si="108"/>
        <v>2022</v>
      </c>
      <c r="L1789" s="6">
        <f t="shared" si="109"/>
        <v>44593</v>
      </c>
      <c r="M1789" s="3" t="str">
        <f t="shared" si="110"/>
        <v>0% to 5%</v>
      </c>
      <c r="N1789" s="3" t="str">
        <f t="shared" si="111"/>
        <v>OK</v>
      </c>
    </row>
    <row r="1790" spans="1:14" x14ac:dyDescent="0.3">
      <c r="A1790" s="2">
        <f>DATE(VALUE(RIGHT(TRIM([1]Raw_Data!A1788),4)),VALUE(MID(TRIM([1]Raw_Data!A1788),4,2)),VALUE(LEFT(TRIM([1]Raw_Data!A1788),2)))</f>
        <v>44613</v>
      </c>
      <c r="B1790" s="3" t="str">
        <f>TRIM([1]Raw_Data!B1788)</f>
        <v>Ashwagandha</v>
      </c>
      <c r="C1790" s="3" t="str">
        <f>TRIM([1]Raw_Data!C1788)</f>
        <v>Herbal</v>
      </c>
      <c r="D1790" s="3">
        <f>[1]Raw_Data!D1788</f>
        <v>156</v>
      </c>
      <c r="E1790" s="4">
        <f>[1]Raw_Data!E1788</f>
        <v>51.83</v>
      </c>
      <c r="F1790" s="5">
        <f>[1]Raw_Data!F1788</f>
        <v>8085.48</v>
      </c>
      <c r="G1790" s="4">
        <f>[1]Raw_Data!G1788</f>
        <v>0.06</v>
      </c>
      <c r="H1790" s="3">
        <f>[1]Raw_Data!H1788</f>
        <v>1</v>
      </c>
      <c r="I1790" s="3" t="str">
        <f>TRIM([1]Raw_Data!I1788)</f>
        <v>Canada</v>
      </c>
      <c r="J1790" s="3" t="str">
        <f>TRIM([1]Raw_Data!J1788)</f>
        <v>Walmart</v>
      </c>
      <c r="K1790" s="3">
        <f t="shared" si="108"/>
        <v>2022</v>
      </c>
      <c r="L1790" s="6">
        <f t="shared" si="109"/>
        <v>44593</v>
      </c>
      <c r="M1790" s="3" t="str">
        <f t="shared" si="110"/>
        <v>6% to 10%</v>
      </c>
      <c r="N1790" s="3" t="str">
        <f t="shared" si="111"/>
        <v>OK</v>
      </c>
    </row>
    <row r="1791" spans="1:14" x14ac:dyDescent="0.3">
      <c r="A1791" s="2">
        <f>DATE(VALUE(RIGHT(TRIM([1]Raw_Data!A1789),4)),VALUE(MID(TRIM([1]Raw_Data!A1789),4,2)),VALUE(LEFT(TRIM([1]Raw_Data!A1789),2)))</f>
        <v>44613</v>
      </c>
      <c r="B1791" s="3" t="str">
        <f>TRIM([1]Raw_Data!B1789)</f>
        <v>Melatonin</v>
      </c>
      <c r="C1791" s="3" t="str">
        <f>TRIM([1]Raw_Data!C1789)</f>
        <v>Sleep Aid</v>
      </c>
      <c r="D1791" s="3">
        <f>[1]Raw_Data!D1789</f>
        <v>156</v>
      </c>
      <c r="E1791" s="4">
        <f>[1]Raw_Data!E1789</f>
        <v>32.06</v>
      </c>
      <c r="F1791" s="5">
        <f>[1]Raw_Data!F1789</f>
        <v>5001.3599999999997</v>
      </c>
      <c r="G1791" s="4">
        <f>[1]Raw_Data!G1789</f>
        <v>0.02</v>
      </c>
      <c r="H1791" s="3">
        <f>[1]Raw_Data!H1789</f>
        <v>1</v>
      </c>
      <c r="I1791" s="3" t="str">
        <f>TRIM([1]Raw_Data!I1789)</f>
        <v>Canada</v>
      </c>
      <c r="J1791" s="3" t="str">
        <f>TRIM([1]Raw_Data!J1789)</f>
        <v>Amazon</v>
      </c>
      <c r="K1791" s="3">
        <f t="shared" si="108"/>
        <v>2022</v>
      </c>
      <c r="L1791" s="6">
        <f t="shared" si="109"/>
        <v>44593</v>
      </c>
      <c r="M1791" s="3" t="str">
        <f t="shared" si="110"/>
        <v>0% to 5%</v>
      </c>
      <c r="N1791" s="3" t="str">
        <f t="shared" si="111"/>
        <v>OK</v>
      </c>
    </row>
    <row r="1792" spans="1:14" x14ac:dyDescent="0.3">
      <c r="A1792" s="2">
        <f>DATE(VALUE(RIGHT(TRIM([1]Raw_Data!A1790),4)),VALUE(MID(TRIM([1]Raw_Data!A1790),4,2)),VALUE(LEFT(TRIM([1]Raw_Data!A1790),2)))</f>
        <v>44613</v>
      </c>
      <c r="B1792" s="3" t="str">
        <f>TRIM([1]Raw_Data!B1790)</f>
        <v>Biotin</v>
      </c>
      <c r="C1792" s="3" t="str">
        <f>TRIM([1]Raw_Data!C1790)</f>
        <v>Vitamin</v>
      </c>
      <c r="D1792" s="3">
        <f>[1]Raw_Data!D1790</f>
        <v>147</v>
      </c>
      <c r="E1792" s="4">
        <f>[1]Raw_Data!E1790</f>
        <v>45.13</v>
      </c>
      <c r="F1792" s="5">
        <f>[1]Raw_Data!F1790</f>
        <v>6634.11</v>
      </c>
      <c r="G1792" s="4">
        <f>[1]Raw_Data!G1790</f>
        <v>0.24</v>
      </c>
      <c r="H1792" s="3">
        <f>[1]Raw_Data!H1790</f>
        <v>1</v>
      </c>
      <c r="I1792" s="3" t="str">
        <f>TRIM([1]Raw_Data!I1790)</f>
        <v>Canada</v>
      </c>
      <c r="J1792" s="3" t="str">
        <f>TRIM([1]Raw_Data!J1790)</f>
        <v>iHerb</v>
      </c>
      <c r="K1792" s="3">
        <f t="shared" si="108"/>
        <v>2022</v>
      </c>
      <c r="L1792" s="6">
        <f t="shared" si="109"/>
        <v>44593</v>
      </c>
      <c r="M1792" s="3" t="str">
        <f t="shared" si="110"/>
        <v>21% to 25%</v>
      </c>
      <c r="N1792" s="3" t="str">
        <f t="shared" si="111"/>
        <v>OK</v>
      </c>
    </row>
    <row r="1793" spans="1:14" x14ac:dyDescent="0.3">
      <c r="A1793" s="2">
        <f>DATE(VALUE(RIGHT(TRIM([1]Raw_Data!A1791),4)),VALUE(MID(TRIM([1]Raw_Data!A1791),4,2)),VALUE(LEFT(TRIM([1]Raw_Data!A1791),2)))</f>
        <v>44613</v>
      </c>
      <c r="B1793" s="3" t="str">
        <f>TRIM([1]Raw_Data!B1791)</f>
        <v>Green Tea Extract</v>
      </c>
      <c r="C1793" s="3" t="str">
        <f>TRIM([1]Raw_Data!C1791)</f>
        <v>Fat Burner</v>
      </c>
      <c r="D1793" s="3">
        <f>[1]Raw_Data!D1791</f>
        <v>148</v>
      </c>
      <c r="E1793" s="4">
        <f>[1]Raw_Data!E1791</f>
        <v>40.479999999999997</v>
      </c>
      <c r="F1793" s="5">
        <f>[1]Raw_Data!F1791</f>
        <v>5991.04</v>
      </c>
      <c r="G1793" s="4">
        <f>[1]Raw_Data!G1791</f>
        <v>0.03</v>
      </c>
      <c r="H1793" s="3">
        <f>[1]Raw_Data!H1791</f>
        <v>2</v>
      </c>
      <c r="I1793" s="3" t="str">
        <f>TRIM([1]Raw_Data!I1791)</f>
        <v>USA</v>
      </c>
      <c r="J1793" s="3" t="str">
        <f>TRIM([1]Raw_Data!J1791)</f>
        <v>Walmart</v>
      </c>
      <c r="K1793" s="3">
        <f t="shared" si="108"/>
        <v>2022</v>
      </c>
      <c r="L1793" s="6">
        <f t="shared" si="109"/>
        <v>44593</v>
      </c>
      <c r="M1793" s="3" t="str">
        <f t="shared" si="110"/>
        <v>0% to 5%</v>
      </c>
      <c r="N1793" s="3" t="str">
        <f t="shared" si="111"/>
        <v>OK</v>
      </c>
    </row>
    <row r="1794" spans="1:14" x14ac:dyDescent="0.3">
      <c r="A1794" s="2">
        <f>DATE(VALUE(RIGHT(TRIM([1]Raw_Data!A1792),4)),VALUE(MID(TRIM([1]Raw_Data!A1792),4,2)),VALUE(LEFT(TRIM([1]Raw_Data!A1792),2)))</f>
        <v>44613</v>
      </c>
      <c r="B1794" s="3" t="str">
        <f>TRIM([1]Raw_Data!B1792)</f>
        <v>Iron Supplement</v>
      </c>
      <c r="C1794" s="3" t="str">
        <f>TRIM([1]Raw_Data!C1792)</f>
        <v>Mineral</v>
      </c>
      <c r="D1794" s="3">
        <f>[1]Raw_Data!D1792</f>
        <v>137</v>
      </c>
      <c r="E1794" s="4">
        <f>[1]Raw_Data!E1792</f>
        <v>36.46</v>
      </c>
      <c r="F1794" s="5">
        <f>[1]Raw_Data!F1792</f>
        <v>4995.0200000000004</v>
      </c>
      <c r="G1794" s="4">
        <f>[1]Raw_Data!G1792</f>
        <v>0.22</v>
      </c>
      <c r="H1794" s="3">
        <f>[1]Raw_Data!H1792</f>
        <v>1</v>
      </c>
      <c r="I1794" s="3" t="str">
        <f>TRIM([1]Raw_Data!I1792)</f>
        <v>USA</v>
      </c>
      <c r="J1794" s="3" t="str">
        <f>TRIM([1]Raw_Data!J1792)</f>
        <v>iHerb</v>
      </c>
      <c r="K1794" s="3">
        <f t="shared" si="108"/>
        <v>2022</v>
      </c>
      <c r="L1794" s="6">
        <f t="shared" si="109"/>
        <v>44593</v>
      </c>
      <c r="M1794" s="3" t="str">
        <f t="shared" si="110"/>
        <v>21% to 25%</v>
      </c>
      <c r="N1794" s="3" t="str">
        <f t="shared" si="111"/>
        <v>OK</v>
      </c>
    </row>
    <row r="1795" spans="1:14" x14ac:dyDescent="0.3">
      <c r="A1795" s="2">
        <f>DATE(VALUE(RIGHT(TRIM([1]Raw_Data!A1793),4)),VALUE(MID(TRIM([1]Raw_Data!A1793),4,2)),VALUE(LEFT(TRIM([1]Raw_Data!A1793),2)))</f>
        <v>44613</v>
      </c>
      <c r="B1795" s="3" t="str">
        <f>TRIM([1]Raw_Data!B1793)</f>
        <v>Electrolyte Powder</v>
      </c>
      <c r="C1795" s="3" t="str">
        <f>TRIM([1]Raw_Data!C1793)</f>
        <v>Hydration</v>
      </c>
      <c r="D1795" s="3">
        <f>[1]Raw_Data!D1793</f>
        <v>142</v>
      </c>
      <c r="E1795" s="4">
        <f>[1]Raw_Data!E1793</f>
        <v>53.71</v>
      </c>
      <c r="F1795" s="5">
        <f>[1]Raw_Data!F1793</f>
        <v>7626.82</v>
      </c>
      <c r="G1795" s="4">
        <f>[1]Raw_Data!G1793</f>
        <v>0.04</v>
      </c>
      <c r="H1795" s="3">
        <f>[1]Raw_Data!H1793</f>
        <v>1</v>
      </c>
      <c r="I1795" s="3" t="str">
        <f>TRIM([1]Raw_Data!I1793)</f>
        <v>Canada</v>
      </c>
      <c r="J1795" s="3" t="str">
        <f>TRIM([1]Raw_Data!J1793)</f>
        <v>iHerb</v>
      </c>
      <c r="K1795" s="3">
        <f t="shared" si="108"/>
        <v>2022</v>
      </c>
      <c r="L1795" s="6">
        <f t="shared" si="109"/>
        <v>44593</v>
      </c>
      <c r="M1795" s="3" t="str">
        <f t="shared" si="110"/>
        <v>0% to 5%</v>
      </c>
      <c r="N1795" s="3" t="str">
        <f t="shared" si="111"/>
        <v>OK</v>
      </c>
    </row>
    <row r="1796" spans="1:14" x14ac:dyDescent="0.3">
      <c r="A1796" s="2">
        <f>DATE(VALUE(RIGHT(TRIM([1]Raw_Data!A1794),4)),VALUE(MID(TRIM([1]Raw_Data!A1794),4,2)),VALUE(LEFT(TRIM([1]Raw_Data!A1794),2)))</f>
        <v>44620</v>
      </c>
      <c r="B1796" s="3" t="str">
        <f>TRIM([1]Raw_Data!B1794)</f>
        <v>Whey Protein</v>
      </c>
      <c r="C1796" s="3" t="str">
        <f>TRIM([1]Raw_Data!C1794)</f>
        <v>Protein</v>
      </c>
      <c r="D1796" s="3">
        <f>[1]Raw_Data!D1794</f>
        <v>137</v>
      </c>
      <c r="E1796" s="4">
        <f>[1]Raw_Data!E1794</f>
        <v>33.72</v>
      </c>
      <c r="F1796" s="5">
        <f>[1]Raw_Data!F1794</f>
        <v>4619.6400000000003</v>
      </c>
      <c r="G1796" s="4">
        <f>[1]Raw_Data!G1794</f>
        <v>0.09</v>
      </c>
      <c r="H1796" s="3">
        <f>[1]Raw_Data!H1794</f>
        <v>1</v>
      </c>
      <c r="I1796" s="3" t="str">
        <f>TRIM([1]Raw_Data!I1794)</f>
        <v>Canada</v>
      </c>
      <c r="J1796" s="3" t="str">
        <f>TRIM([1]Raw_Data!J1794)</f>
        <v>Amazon</v>
      </c>
      <c r="K1796" s="3">
        <f t="shared" ref="K1796:K1859" si="112">YEAR(A1796)</f>
        <v>2022</v>
      </c>
      <c r="L1796" s="6">
        <f t="shared" ref="L1796:L1859" si="113">DATE(YEAR(A1796),MONTH(A1796),1)</f>
        <v>44593</v>
      </c>
      <c r="M1796" s="3" t="str">
        <f t="shared" ref="M1796:M1859" si="114">IF(ROUND(G1796*100,0)&lt;=5,"0% to 5%",IF(ROUND(G1796*100,0)&lt;=10,"6% to 10%",IF(ROUND(G1796*100,0)&lt;=15,"11% to 15%",IF(ROUND(G1796*100,0)&lt;=20,"16% to 20%","21% to 25%"))))</f>
        <v>6% to 10%</v>
      </c>
      <c r="N1796" s="3" t="str">
        <f t="shared" ref="N1796:N1859" si="115">IF(ROUND(D1796*E1796,2)=ROUND(F1796,2),"OK","Check")</f>
        <v>OK</v>
      </c>
    </row>
    <row r="1797" spans="1:14" x14ac:dyDescent="0.3">
      <c r="A1797" s="2">
        <f>DATE(VALUE(RIGHT(TRIM([1]Raw_Data!A1795),4)),VALUE(MID(TRIM([1]Raw_Data!A1795),4,2)),VALUE(LEFT(TRIM([1]Raw_Data!A1795),2)))</f>
        <v>44620</v>
      </c>
      <c r="B1797" s="3" t="str">
        <f>TRIM([1]Raw_Data!B1795)</f>
        <v>Vitamin C</v>
      </c>
      <c r="C1797" s="3" t="str">
        <f>TRIM([1]Raw_Data!C1795)</f>
        <v>Vitamin</v>
      </c>
      <c r="D1797" s="3">
        <f>[1]Raw_Data!D1795</f>
        <v>165</v>
      </c>
      <c r="E1797" s="4">
        <f>[1]Raw_Data!E1795</f>
        <v>45.89</v>
      </c>
      <c r="F1797" s="5">
        <f>[1]Raw_Data!F1795</f>
        <v>7571.85</v>
      </c>
      <c r="G1797" s="4">
        <f>[1]Raw_Data!G1795</f>
        <v>0.22</v>
      </c>
      <c r="H1797" s="3">
        <f>[1]Raw_Data!H1795</f>
        <v>3</v>
      </c>
      <c r="I1797" s="3" t="str">
        <f>TRIM([1]Raw_Data!I1795)</f>
        <v>USA</v>
      </c>
      <c r="J1797" s="3" t="str">
        <f>TRIM([1]Raw_Data!J1795)</f>
        <v>Amazon</v>
      </c>
      <c r="K1797" s="3">
        <f t="shared" si="112"/>
        <v>2022</v>
      </c>
      <c r="L1797" s="6">
        <f t="shared" si="113"/>
        <v>44593</v>
      </c>
      <c r="M1797" s="3" t="str">
        <f t="shared" si="114"/>
        <v>21% to 25%</v>
      </c>
      <c r="N1797" s="3" t="str">
        <f t="shared" si="115"/>
        <v>OK</v>
      </c>
    </row>
    <row r="1798" spans="1:14" x14ac:dyDescent="0.3">
      <c r="A1798" s="2">
        <f>DATE(VALUE(RIGHT(TRIM([1]Raw_Data!A1796),4)),VALUE(MID(TRIM([1]Raw_Data!A1796),4,2)),VALUE(LEFT(TRIM([1]Raw_Data!A1796),2)))</f>
        <v>44620</v>
      </c>
      <c r="B1798" s="3" t="str">
        <f>TRIM([1]Raw_Data!B1796)</f>
        <v>Fish Oil</v>
      </c>
      <c r="C1798" s="3" t="str">
        <f>TRIM([1]Raw_Data!C1796)</f>
        <v>Omega</v>
      </c>
      <c r="D1798" s="3">
        <f>[1]Raw_Data!D1796</f>
        <v>144</v>
      </c>
      <c r="E1798" s="4">
        <f>[1]Raw_Data!E1796</f>
        <v>11.24</v>
      </c>
      <c r="F1798" s="5">
        <f>[1]Raw_Data!F1796</f>
        <v>1618.56</v>
      </c>
      <c r="G1798" s="4">
        <f>[1]Raw_Data!G1796</f>
        <v>0.09</v>
      </c>
      <c r="H1798" s="3">
        <f>[1]Raw_Data!H1796</f>
        <v>3</v>
      </c>
      <c r="I1798" s="3" t="str">
        <f>TRIM([1]Raw_Data!I1796)</f>
        <v>Canada</v>
      </c>
      <c r="J1798" s="3" t="str">
        <f>TRIM([1]Raw_Data!J1796)</f>
        <v>Amazon</v>
      </c>
      <c r="K1798" s="3">
        <f t="shared" si="112"/>
        <v>2022</v>
      </c>
      <c r="L1798" s="6">
        <f t="shared" si="113"/>
        <v>44593</v>
      </c>
      <c r="M1798" s="3" t="str">
        <f t="shared" si="114"/>
        <v>6% to 10%</v>
      </c>
      <c r="N1798" s="3" t="str">
        <f t="shared" si="115"/>
        <v>OK</v>
      </c>
    </row>
    <row r="1799" spans="1:14" x14ac:dyDescent="0.3">
      <c r="A1799" s="2">
        <f>DATE(VALUE(RIGHT(TRIM([1]Raw_Data!A1797),4)),VALUE(MID(TRIM([1]Raw_Data!A1797),4,2)),VALUE(LEFT(TRIM([1]Raw_Data!A1797),2)))</f>
        <v>44620</v>
      </c>
      <c r="B1799" s="3" t="str">
        <f>TRIM([1]Raw_Data!B1797)</f>
        <v>Multivitamin</v>
      </c>
      <c r="C1799" s="3" t="str">
        <f>TRIM([1]Raw_Data!C1797)</f>
        <v>Vitamin</v>
      </c>
      <c r="D1799" s="3">
        <f>[1]Raw_Data!D1797</f>
        <v>142</v>
      </c>
      <c r="E1799" s="4">
        <f>[1]Raw_Data!E1797</f>
        <v>25.13</v>
      </c>
      <c r="F1799" s="5">
        <f>[1]Raw_Data!F1797</f>
        <v>3568.46</v>
      </c>
      <c r="G1799" s="4">
        <f>[1]Raw_Data!G1797</f>
        <v>0.15</v>
      </c>
      <c r="H1799" s="3">
        <f>[1]Raw_Data!H1797</f>
        <v>1</v>
      </c>
      <c r="I1799" s="3" t="str">
        <f>TRIM([1]Raw_Data!I1797)</f>
        <v>UK</v>
      </c>
      <c r="J1799" s="3" t="str">
        <f>TRIM([1]Raw_Data!J1797)</f>
        <v>iHerb</v>
      </c>
      <c r="K1799" s="3">
        <f t="shared" si="112"/>
        <v>2022</v>
      </c>
      <c r="L1799" s="6">
        <f t="shared" si="113"/>
        <v>44593</v>
      </c>
      <c r="M1799" s="3" t="str">
        <f t="shared" si="114"/>
        <v>11% to 15%</v>
      </c>
      <c r="N1799" s="3" t="str">
        <f t="shared" si="115"/>
        <v>OK</v>
      </c>
    </row>
    <row r="1800" spans="1:14" x14ac:dyDescent="0.3">
      <c r="A1800" s="2">
        <f>DATE(VALUE(RIGHT(TRIM([1]Raw_Data!A1798),4)),VALUE(MID(TRIM([1]Raw_Data!A1798),4,2)),VALUE(LEFT(TRIM([1]Raw_Data!A1798),2)))</f>
        <v>44620</v>
      </c>
      <c r="B1800" s="3" t="str">
        <f>TRIM([1]Raw_Data!B1798)</f>
        <v>Pre-Workout</v>
      </c>
      <c r="C1800" s="3" t="str">
        <f>TRIM([1]Raw_Data!C1798)</f>
        <v>Performance</v>
      </c>
      <c r="D1800" s="3">
        <f>[1]Raw_Data!D1798</f>
        <v>158</v>
      </c>
      <c r="E1800" s="4">
        <f>[1]Raw_Data!E1798</f>
        <v>43.71</v>
      </c>
      <c r="F1800" s="5">
        <f>[1]Raw_Data!F1798</f>
        <v>6906.18</v>
      </c>
      <c r="G1800" s="4">
        <f>[1]Raw_Data!G1798</f>
        <v>0.05</v>
      </c>
      <c r="H1800" s="3">
        <f>[1]Raw_Data!H1798</f>
        <v>4</v>
      </c>
      <c r="I1800" s="3" t="str">
        <f>TRIM([1]Raw_Data!I1798)</f>
        <v>Canada</v>
      </c>
      <c r="J1800" s="3" t="str">
        <f>TRIM([1]Raw_Data!J1798)</f>
        <v>iHerb</v>
      </c>
      <c r="K1800" s="3">
        <f t="shared" si="112"/>
        <v>2022</v>
      </c>
      <c r="L1800" s="6">
        <f t="shared" si="113"/>
        <v>44593</v>
      </c>
      <c r="M1800" s="3" t="str">
        <f t="shared" si="114"/>
        <v>0% to 5%</v>
      </c>
      <c r="N1800" s="3" t="str">
        <f t="shared" si="115"/>
        <v>OK</v>
      </c>
    </row>
    <row r="1801" spans="1:14" x14ac:dyDescent="0.3">
      <c r="A1801" s="2">
        <f>DATE(VALUE(RIGHT(TRIM([1]Raw_Data!A1799),4)),VALUE(MID(TRIM([1]Raw_Data!A1799),4,2)),VALUE(LEFT(TRIM([1]Raw_Data!A1799),2)))</f>
        <v>44620</v>
      </c>
      <c r="B1801" s="3" t="str">
        <f>TRIM([1]Raw_Data!B1799)</f>
        <v>BCAA</v>
      </c>
      <c r="C1801" s="3" t="str">
        <f>TRIM([1]Raw_Data!C1799)</f>
        <v>Amino Acid</v>
      </c>
      <c r="D1801" s="3">
        <f>[1]Raw_Data!D1799</f>
        <v>141</v>
      </c>
      <c r="E1801" s="4">
        <f>[1]Raw_Data!E1799</f>
        <v>14.5</v>
      </c>
      <c r="F1801" s="5">
        <f>[1]Raw_Data!F1799</f>
        <v>2044.5</v>
      </c>
      <c r="G1801" s="4">
        <f>[1]Raw_Data!G1799</f>
        <v>0.14000000000000001</v>
      </c>
      <c r="H1801" s="3">
        <f>[1]Raw_Data!H1799</f>
        <v>0</v>
      </c>
      <c r="I1801" s="3" t="str">
        <f>TRIM([1]Raw_Data!I1799)</f>
        <v>Canada</v>
      </c>
      <c r="J1801" s="3" t="str">
        <f>TRIM([1]Raw_Data!J1799)</f>
        <v>Walmart</v>
      </c>
      <c r="K1801" s="3">
        <f t="shared" si="112"/>
        <v>2022</v>
      </c>
      <c r="L1801" s="6">
        <f t="shared" si="113"/>
        <v>44593</v>
      </c>
      <c r="M1801" s="3" t="str">
        <f t="shared" si="114"/>
        <v>11% to 15%</v>
      </c>
      <c r="N1801" s="3" t="str">
        <f t="shared" si="115"/>
        <v>OK</v>
      </c>
    </row>
    <row r="1802" spans="1:14" x14ac:dyDescent="0.3">
      <c r="A1802" s="2">
        <f>DATE(VALUE(RIGHT(TRIM([1]Raw_Data!A1800),4)),VALUE(MID(TRIM([1]Raw_Data!A1800),4,2)),VALUE(LEFT(TRIM([1]Raw_Data!A1800),2)))</f>
        <v>44620</v>
      </c>
      <c r="B1802" s="3" t="str">
        <f>TRIM([1]Raw_Data!B1800)</f>
        <v>Creatine</v>
      </c>
      <c r="C1802" s="3" t="str">
        <f>TRIM([1]Raw_Data!C1800)</f>
        <v>Performance</v>
      </c>
      <c r="D1802" s="3">
        <f>[1]Raw_Data!D1800</f>
        <v>135</v>
      </c>
      <c r="E1802" s="4">
        <f>[1]Raw_Data!E1800</f>
        <v>24.08</v>
      </c>
      <c r="F1802" s="5">
        <f>[1]Raw_Data!F1800</f>
        <v>3250.8</v>
      </c>
      <c r="G1802" s="4">
        <f>[1]Raw_Data!G1800</f>
        <v>0.15</v>
      </c>
      <c r="H1802" s="3">
        <f>[1]Raw_Data!H1800</f>
        <v>2</v>
      </c>
      <c r="I1802" s="3" t="str">
        <f>TRIM([1]Raw_Data!I1800)</f>
        <v>USA</v>
      </c>
      <c r="J1802" s="3" t="str">
        <f>TRIM([1]Raw_Data!J1800)</f>
        <v>Walmart</v>
      </c>
      <c r="K1802" s="3">
        <f t="shared" si="112"/>
        <v>2022</v>
      </c>
      <c r="L1802" s="6">
        <f t="shared" si="113"/>
        <v>44593</v>
      </c>
      <c r="M1802" s="3" t="str">
        <f t="shared" si="114"/>
        <v>11% to 15%</v>
      </c>
      <c r="N1802" s="3" t="str">
        <f t="shared" si="115"/>
        <v>OK</v>
      </c>
    </row>
    <row r="1803" spans="1:14" x14ac:dyDescent="0.3">
      <c r="A1803" s="2">
        <f>DATE(VALUE(RIGHT(TRIM([1]Raw_Data!A1801),4)),VALUE(MID(TRIM([1]Raw_Data!A1801),4,2)),VALUE(LEFT(TRIM([1]Raw_Data!A1801),2)))</f>
        <v>44620</v>
      </c>
      <c r="B1803" s="3" t="str">
        <f>TRIM([1]Raw_Data!B1801)</f>
        <v>Zinc</v>
      </c>
      <c r="C1803" s="3" t="str">
        <f>TRIM([1]Raw_Data!C1801)</f>
        <v>Mineral</v>
      </c>
      <c r="D1803" s="3">
        <f>[1]Raw_Data!D1801</f>
        <v>160</v>
      </c>
      <c r="E1803" s="4">
        <f>[1]Raw_Data!E1801</f>
        <v>22.27</v>
      </c>
      <c r="F1803" s="5">
        <f>[1]Raw_Data!F1801</f>
        <v>3563.2</v>
      </c>
      <c r="G1803" s="4">
        <f>[1]Raw_Data!G1801</f>
        <v>0.24</v>
      </c>
      <c r="H1803" s="3">
        <f>[1]Raw_Data!H1801</f>
        <v>0</v>
      </c>
      <c r="I1803" s="3" t="str">
        <f>TRIM([1]Raw_Data!I1801)</f>
        <v>USA</v>
      </c>
      <c r="J1803" s="3" t="str">
        <f>TRIM([1]Raw_Data!J1801)</f>
        <v>iHerb</v>
      </c>
      <c r="K1803" s="3">
        <f t="shared" si="112"/>
        <v>2022</v>
      </c>
      <c r="L1803" s="6">
        <f t="shared" si="113"/>
        <v>44593</v>
      </c>
      <c r="M1803" s="3" t="str">
        <f t="shared" si="114"/>
        <v>21% to 25%</v>
      </c>
      <c r="N1803" s="3" t="str">
        <f t="shared" si="115"/>
        <v>OK</v>
      </c>
    </row>
    <row r="1804" spans="1:14" x14ac:dyDescent="0.3">
      <c r="A1804" s="2">
        <f>DATE(VALUE(RIGHT(TRIM([1]Raw_Data!A1802),4)),VALUE(MID(TRIM([1]Raw_Data!A1802),4,2)),VALUE(LEFT(TRIM([1]Raw_Data!A1802),2)))</f>
        <v>44620</v>
      </c>
      <c r="B1804" s="3" t="str">
        <f>TRIM([1]Raw_Data!B1802)</f>
        <v>Collagen Peptides</v>
      </c>
      <c r="C1804" s="3" t="str">
        <f>TRIM([1]Raw_Data!C1802)</f>
        <v>Protein</v>
      </c>
      <c r="D1804" s="3">
        <f>[1]Raw_Data!D1802</f>
        <v>167</v>
      </c>
      <c r="E1804" s="4">
        <f>[1]Raw_Data!E1802</f>
        <v>57.36</v>
      </c>
      <c r="F1804" s="5">
        <f>[1]Raw_Data!F1802</f>
        <v>9579.1200000000008</v>
      </c>
      <c r="G1804" s="4">
        <f>[1]Raw_Data!G1802</f>
        <v>0.09</v>
      </c>
      <c r="H1804" s="3">
        <f>[1]Raw_Data!H1802</f>
        <v>1</v>
      </c>
      <c r="I1804" s="3" t="str">
        <f>TRIM([1]Raw_Data!I1802)</f>
        <v>USA</v>
      </c>
      <c r="J1804" s="3" t="str">
        <f>TRIM([1]Raw_Data!J1802)</f>
        <v>Amazon</v>
      </c>
      <c r="K1804" s="3">
        <f t="shared" si="112"/>
        <v>2022</v>
      </c>
      <c r="L1804" s="6">
        <f t="shared" si="113"/>
        <v>44593</v>
      </c>
      <c r="M1804" s="3" t="str">
        <f t="shared" si="114"/>
        <v>6% to 10%</v>
      </c>
      <c r="N1804" s="3" t="str">
        <f t="shared" si="115"/>
        <v>OK</v>
      </c>
    </row>
    <row r="1805" spans="1:14" x14ac:dyDescent="0.3">
      <c r="A1805" s="2">
        <f>DATE(VALUE(RIGHT(TRIM([1]Raw_Data!A1803),4)),VALUE(MID(TRIM([1]Raw_Data!A1803),4,2)),VALUE(LEFT(TRIM([1]Raw_Data!A1803),2)))</f>
        <v>44620</v>
      </c>
      <c r="B1805" s="3" t="str">
        <f>TRIM([1]Raw_Data!B1803)</f>
        <v>Magnesium</v>
      </c>
      <c r="C1805" s="3" t="str">
        <f>TRIM([1]Raw_Data!C1803)</f>
        <v>Mineral</v>
      </c>
      <c r="D1805" s="3">
        <f>[1]Raw_Data!D1803</f>
        <v>158</v>
      </c>
      <c r="E1805" s="4">
        <f>[1]Raw_Data!E1803</f>
        <v>25.9</v>
      </c>
      <c r="F1805" s="5">
        <f>[1]Raw_Data!F1803</f>
        <v>4092.2</v>
      </c>
      <c r="G1805" s="4">
        <f>[1]Raw_Data!G1803</f>
        <v>0.14000000000000001</v>
      </c>
      <c r="H1805" s="3">
        <f>[1]Raw_Data!H1803</f>
        <v>2</v>
      </c>
      <c r="I1805" s="3" t="str">
        <f>TRIM([1]Raw_Data!I1803)</f>
        <v>USA</v>
      </c>
      <c r="J1805" s="3" t="str">
        <f>TRIM([1]Raw_Data!J1803)</f>
        <v>Amazon</v>
      </c>
      <c r="K1805" s="3">
        <f t="shared" si="112"/>
        <v>2022</v>
      </c>
      <c r="L1805" s="6">
        <f t="shared" si="113"/>
        <v>44593</v>
      </c>
      <c r="M1805" s="3" t="str">
        <f t="shared" si="114"/>
        <v>11% to 15%</v>
      </c>
      <c r="N1805" s="3" t="str">
        <f t="shared" si="115"/>
        <v>OK</v>
      </c>
    </row>
    <row r="1806" spans="1:14" x14ac:dyDescent="0.3">
      <c r="A1806" s="2">
        <f>DATE(VALUE(RIGHT(TRIM([1]Raw_Data!A1804),4)),VALUE(MID(TRIM([1]Raw_Data!A1804),4,2)),VALUE(LEFT(TRIM([1]Raw_Data!A1804),2)))</f>
        <v>44620</v>
      </c>
      <c r="B1806" s="3" t="str">
        <f>TRIM([1]Raw_Data!B1804)</f>
        <v>Ashwagandha</v>
      </c>
      <c r="C1806" s="3" t="str">
        <f>TRIM([1]Raw_Data!C1804)</f>
        <v>Herbal</v>
      </c>
      <c r="D1806" s="3">
        <f>[1]Raw_Data!D1804</f>
        <v>119</v>
      </c>
      <c r="E1806" s="4">
        <f>[1]Raw_Data!E1804</f>
        <v>32.9</v>
      </c>
      <c r="F1806" s="5">
        <f>[1]Raw_Data!F1804</f>
        <v>3915.1</v>
      </c>
      <c r="G1806" s="4">
        <f>[1]Raw_Data!G1804</f>
        <v>0.03</v>
      </c>
      <c r="H1806" s="3">
        <f>[1]Raw_Data!H1804</f>
        <v>1</v>
      </c>
      <c r="I1806" s="3" t="str">
        <f>TRIM([1]Raw_Data!I1804)</f>
        <v>USA</v>
      </c>
      <c r="J1806" s="3" t="str">
        <f>TRIM([1]Raw_Data!J1804)</f>
        <v>iHerb</v>
      </c>
      <c r="K1806" s="3">
        <f t="shared" si="112"/>
        <v>2022</v>
      </c>
      <c r="L1806" s="6">
        <f t="shared" si="113"/>
        <v>44593</v>
      </c>
      <c r="M1806" s="3" t="str">
        <f t="shared" si="114"/>
        <v>0% to 5%</v>
      </c>
      <c r="N1806" s="3" t="str">
        <f t="shared" si="115"/>
        <v>OK</v>
      </c>
    </row>
    <row r="1807" spans="1:14" x14ac:dyDescent="0.3">
      <c r="A1807" s="2">
        <f>DATE(VALUE(RIGHT(TRIM([1]Raw_Data!A1805),4)),VALUE(MID(TRIM([1]Raw_Data!A1805),4,2)),VALUE(LEFT(TRIM([1]Raw_Data!A1805),2)))</f>
        <v>44620</v>
      </c>
      <c r="B1807" s="3" t="str">
        <f>TRIM([1]Raw_Data!B1805)</f>
        <v>Melatonin</v>
      </c>
      <c r="C1807" s="3" t="str">
        <f>TRIM([1]Raw_Data!C1805)</f>
        <v>Sleep Aid</v>
      </c>
      <c r="D1807" s="3">
        <f>[1]Raw_Data!D1805</f>
        <v>139</v>
      </c>
      <c r="E1807" s="4">
        <f>[1]Raw_Data!E1805</f>
        <v>19.88</v>
      </c>
      <c r="F1807" s="5">
        <f>[1]Raw_Data!F1805</f>
        <v>2763.32</v>
      </c>
      <c r="G1807" s="4">
        <f>[1]Raw_Data!G1805</f>
        <v>0.14000000000000001</v>
      </c>
      <c r="H1807" s="3">
        <f>[1]Raw_Data!H1805</f>
        <v>0</v>
      </c>
      <c r="I1807" s="3" t="str">
        <f>TRIM([1]Raw_Data!I1805)</f>
        <v>USA</v>
      </c>
      <c r="J1807" s="3" t="str">
        <f>TRIM([1]Raw_Data!J1805)</f>
        <v>Walmart</v>
      </c>
      <c r="K1807" s="3">
        <f t="shared" si="112"/>
        <v>2022</v>
      </c>
      <c r="L1807" s="6">
        <f t="shared" si="113"/>
        <v>44593</v>
      </c>
      <c r="M1807" s="3" t="str">
        <f t="shared" si="114"/>
        <v>11% to 15%</v>
      </c>
      <c r="N1807" s="3" t="str">
        <f t="shared" si="115"/>
        <v>OK</v>
      </c>
    </row>
    <row r="1808" spans="1:14" x14ac:dyDescent="0.3">
      <c r="A1808" s="2">
        <f>DATE(VALUE(RIGHT(TRIM([1]Raw_Data!A1806),4)),VALUE(MID(TRIM([1]Raw_Data!A1806),4,2)),VALUE(LEFT(TRIM([1]Raw_Data!A1806),2)))</f>
        <v>44620</v>
      </c>
      <c r="B1808" s="3" t="str">
        <f>TRIM([1]Raw_Data!B1806)</f>
        <v>Biotin</v>
      </c>
      <c r="C1808" s="3" t="str">
        <f>TRIM([1]Raw_Data!C1806)</f>
        <v>Vitamin</v>
      </c>
      <c r="D1808" s="3">
        <f>[1]Raw_Data!D1806</f>
        <v>179</v>
      </c>
      <c r="E1808" s="4">
        <f>[1]Raw_Data!E1806</f>
        <v>45.42</v>
      </c>
      <c r="F1808" s="5">
        <f>[1]Raw_Data!F1806</f>
        <v>8130.18</v>
      </c>
      <c r="G1808" s="4">
        <f>[1]Raw_Data!G1806</f>
        <v>0.02</v>
      </c>
      <c r="H1808" s="3">
        <f>[1]Raw_Data!H1806</f>
        <v>0</v>
      </c>
      <c r="I1808" s="3" t="str">
        <f>TRIM([1]Raw_Data!I1806)</f>
        <v>Canada</v>
      </c>
      <c r="J1808" s="3" t="str">
        <f>TRIM([1]Raw_Data!J1806)</f>
        <v>Walmart</v>
      </c>
      <c r="K1808" s="3">
        <f t="shared" si="112"/>
        <v>2022</v>
      </c>
      <c r="L1808" s="6">
        <f t="shared" si="113"/>
        <v>44593</v>
      </c>
      <c r="M1808" s="3" t="str">
        <f t="shared" si="114"/>
        <v>0% to 5%</v>
      </c>
      <c r="N1808" s="3" t="str">
        <f t="shared" si="115"/>
        <v>OK</v>
      </c>
    </row>
    <row r="1809" spans="1:14" x14ac:dyDescent="0.3">
      <c r="A1809" s="2">
        <f>DATE(VALUE(RIGHT(TRIM([1]Raw_Data!A1807),4)),VALUE(MID(TRIM([1]Raw_Data!A1807),4,2)),VALUE(LEFT(TRIM([1]Raw_Data!A1807),2)))</f>
        <v>44620</v>
      </c>
      <c r="B1809" s="3" t="str">
        <f>TRIM([1]Raw_Data!B1807)</f>
        <v>Green Tea Extract</v>
      </c>
      <c r="C1809" s="3" t="str">
        <f>TRIM([1]Raw_Data!C1807)</f>
        <v>Fat Burner</v>
      </c>
      <c r="D1809" s="3">
        <f>[1]Raw_Data!D1807</f>
        <v>150</v>
      </c>
      <c r="E1809" s="4">
        <f>[1]Raw_Data!E1807</f>
        <v>57.58</v>
      </c>
      <c r="F1809" s="5">
        <f>[1]Raw_Data!F1807</f>
        <v>8637</v>
      </c>
      <c r="G1809" s="4">
        <f>[1]Raw_Data!G1807</f>
        <v>0.24</v>
      </c>
      <c r="H1809" s="3">
        <f>[1]Raw_Data!H1807</f>
        <v>2</v>
      </c>
      <c r="I1809" s="3" t="str">
        <f>TRIM([1]Raw_Data!I1807)</f>
        <v>UK</v>
      </c>
      <c r="J1809" s="3" t="str">
        <f>TRIM([1]Raw_Data!J1807)</f>
        <v>Walmart</v>
      </c>
      <c r="K1809" s="3">
        <f t="shared" si="112"/>
        <v>2022</v>
      </c>
      <c r="L1809" s="6">
        <f t="shared" si="113"/>
        <v>44593</v>
      </c>
      <c r="M1809" s="3" t="str">
        <f t="shared" si="114"/>
        <v>21% to 25%</v>
      </c>
      <c r="N1809" s="3" t="str">
        <f t="shared" si="115"/>
        <v>OK</v>
      </c>
    </row>
    <row r="1810" spans="1:14" x14ac:dyDescent="0.3">
      <c r="A1810" s="2">
        <f>DATE(VALUE(RIGHT(TRIM([1]Raw_Data!A1808),4)),VALUE(MID(TRIM([1]Raw_Data!A1808),4,2)),VALUE(LEFT(TRIM([1]Raw_Data!A1808),2)))</f>
        <v>44620</v>
      </c>
      <c r="B1810" s="3" t="str">
        <f>TRIM([1]Raw_Data!B1808)</f>
        <v>Iron Supplement</v>
      </c>
      <c r="C1810" s="3" t="str">
        <f>TRIM([1]Raw_Data!C1808)</f>
        <v>Mineral</v>
      </c>
      <c r="D1810" s="3">
        <f>[1]Raw_Data!D1808</f>
        <v>154</v>
      </c>
      <c r="E1810" s="4">
        <f>[1]Raw_Data!E1808</f>
        <v>27.81</v>
      </c>
      <c r="F1810" s="5">
        <f>[1]Raw_Data!F1808</f>
        <v>4282.74</v>
      </c>
      <c r="G1810" s="4">
        <f>[1]Raw_Data!G1808</f>
        <v>0.24</v>
      </c>
      <c r="H1810" s="3">
        <f>[1]Raw_Data!H1808</f>
        <v>2</v>
      </c>
      <c r="I1810" s="3" t="str">
        <f>TRIM([1]Raw_Data!I1808)</f>
        <v>UK</v>
      </c>
      <c r="J1810" s="3" t="str">
        <f>TRIM([1]Raw_Data!J1808)</f>
        <v>Walmart</v>
      </c>
      <c r="K1810" s="3">
        <f t="shared" si="112"/>
        <v>2022</v>
      </c>
      <c r="L1810" s="6">
        <f t="shared" si="113"/>
        <v>44593</v>
      </c>
      <c r="M1810" s="3" t="str">
        <f t="shared" si="114"/>
        <v>21% to 25%</v>
      </c>
      <c r="N1810" s="3" t="str">
        <f t="shared" si="115"/>
        <v>OK</v>
      </c>
    </row>
    <row r="1811" spans="1:14" x14ac:dyDescent="0.3">
      <c r="A1811" s="2">
        <f>DATE(VALUE(RIGHT(TRIM([1]Raw_Data!A1809),4)),VALUE(MID(TRIM([1]Raw_Data!A1809),4,2)),VALUE(LEFT(TRIM([1]Raw_Data!A1809),2)))</f>
        <v>44620</v>
      </c>
      <c r="B1811" s="3" t="str">
        <f>TRIM([1]Raw_Data!B1809)</f>
        <v>Electrolyte Powder</v>
      </c>
      <c r="C1811" s="3" t="str">
        <f>TRIM([1]Raw_Data!C1809)</f>
        <v>Hydration</v>
      </c>
      <c r="D1811" s="3">
        <f>[1]Raw_Data!D1809</f>
        <v>153</v>
      </c>
      <c r="E1811" s="4">
        <f>[1]Raw_Data!E1809</f>
        <v>12.33</v>
      </c>
      <c r="F1811" s="5">
        <f>[1]Raw_Data!F1809</f>
        <v>1886.49</v>
      </c>
      <c r="G1811" s="4">
        <f>[1]Raw_Data!G1809</f>
        <v>0.24</v>
      </c>
      <c r="H1811" s="3">
        <f>[1]Raw_Data!H1809</f>
        <v>1</v>
      </c>
      <c r="I1811" s="3" t="str">
        <f>TRIM([1]Raw_Data!I1809)</f>
        <v>Canada</v>
      </c>
      <c r="J1811" s="3" t="str">
        <f>TRIM([1]Raw_Data!J1809)</f>
        <v>Walmart</v>
      </c>
      <c r="K1811" s="3">
        <f t="shared" si="112"/>
        <v>2022</v>
      </c>
      <c r="L1811" s="6">
        <f t="shared" si="113"/>
        <v>44593</v>
      </c>
      <c r="M1811" s="3" t="str">
        <f t="shared" si="114"/>
        <v>21% to 25%</v>
      </c>
      <c r="N1811" s="3" t="str">
        <f t="shared" si="115"/>
        <v>OK</v>
      </c>
    </row>
    <row r="1812" spans="1:14" x14ac:dyDescent="0.3">
      <c r="A1812" s="2">
        <f>DATE(VALUE(RIGHT(TRIM([1]Raw_Data!A1810),4)),VALUE(MID(TRIM([1]Raw_Data!A1810),4,2)),VALUE(LEFT(TRIM([1]Raw_Data!A1810),2)))</f>
        <v>44627</v>
      </c>
      <c r="B1812" s="3" t="str">
        <f>TRIM([1]Raw_Data!B1810)</f>
        <v>Whey Protein</v>
      </c>
      <c r="C1812" s="3" t="str">
        <f>TRIM([1]Raw_Data!C1810)</f>
        <v>Protein</v>
      </c>
      <c r="D1812" s="3">
        <f>[1]Raw_Data!D1810</f>
        <v>148</v>
      </c>
      <c r="E1812" s="4">
        <f>[1]Raw_Data!E1810</f>
        <v>51.85</v>
      </c>
      <c r="F1812" s="5">
        <f>[1]Raw_Data!F1810</f>
        <v>7673.8</v>
      </c>
      <c r="G1812" s="4">
        <f>[1]Raw_Data!G1810</f>
        <v>0.01</v>
      </c>
      <c r="H1812" s="3">
        <f>[1]Raw_Data!H1810</f>
        <v>3</v>
      </c>
      <c r="I1812" s="3" t="str">
        <f>TRIM([1]Raw_Data!I1810)</f>
        <v>UK</v>
      </c>
      <c r="J1812" s="3" t="str">
        <f>TRIM([1]Raw_Data!J1810)</f>
        <v>Amazon</v>
      </c>
      <c r="K1812" s="3">
        <f t="shared" si="112"/>
        <v>2022</v>
      </c>
      <c r="L1812" s="6">
        <f t="shared" si="113"/>
        <v>44621</v>
      </c>
      <c r="M1812" s="3" t="str">
        <f t="shared" si="114"/>
        <v>0% to 5%</v>
      </c>
      <c r="N1812" s="3" t="str">
        <f t="shared" si="115"/>
        <v>OK</v>
      </c>
    </row>
    <row r="1813" spans="1:14" x14ac:dyDescent="0.3">
      <c r="A1813" s="2">
        <f>DATE(VALUE(RIGHT(TRIM([1]Raw_Data!A1811),4)),VALUE(MID(TRIM([1]Raw_Data!A1811),4,2)),VALUE(LEFT(TRIM([1]Raw_Data!A1811),2)))</f>
        <v>44627</v>
      </c>
      <c r="B1813" s="3" t="str">
        <f>TRIM([1]Raw_Data!B1811)</f>
        <v>Vitamin C</v>
      </c>
      <c r="C1813" s="3" t="str">
        <f>TRIM([1]Raw_Data!C1811)</f>
        <v>Vitamin</v>
      </c>
      <c r="D1813" s="3">
        <f>[1]Raw_Data!D1811</f>
        <v>135</v>
      </c>
      <c r="E1813" s="4">
        <f>[1]Raw_Data!E1811</f>
        <v>46.49</v>
      </c>
      <c r="F1813" s="5">
        <f>[1]Raw_Data!F1811</f>
        <v>6276.15</v>
      </c>
      <c r="G1813" s="4">
        <f>[1]Raw_Data!G1811</f>
        <v>0.04</v>
      </c>
      <c r="H1813" s="3">
        <f>[1]Raw_Data!H1811</f>
        <v>1</v>
      </c>
      <c r="I1813" s="3" t="str">
        <f>TRIM([1]Raw_Data!I1811)</f>
        <v>USA</v>
      </c>
      <c r="J1813" s="3" t="str">
        <f>TRIM([1]Raw_Data!J1811)</f>
        <v>Walmart</v>
      </c>
      <c r="K1813" s="3">
        <f t="shared" si="112"/>
        <v>2022</v>
      </c>
      <c r="L1813" s="6">
        <f t="shared" si="113"/>
        <v>44621</v>
      </c>
      <c r="M1813" s="3" t="str">
        <f t="shared" si="114"/>
        <v>0% to 5%</v>
      </c>
      <c r="N1813" s="3" t="str">
        <f t="shared" si="115"/>
        <v>OK</v>
      </c>
    </row>
    <row r="1814" spans="1:14" x14ac:dyDescent="0.3">
      <c r="A1814" s="2">
        <f>DATE(VALUE(RIGHT(TRIM([1]Raw_Data!A1812),4)),VALUE(MID(TRIM([1]Raw_Data!A1812),4,2)),VALUE(LEFT(TRIM([1]Raw_Data!A1812),2)))</f>
        <v>44627</v>
      </c>
      <c r="B1814" s="3" t="str">
        <f>TRIM([1]Raw_Data!B1812)</f>
        <v>Fish Oil</v>
      </c>
      <c r="C1814" s="3" t="str">
        <f>TRIM([1]Raw_Data!C1812)</f>
        <v>Omega</v>
      </c>
      <c r="D1814" s="3">
        <f>[1]Raw_Data!D1812</f>
        <v>143</v>
      </c>
      <c r="E1814" s="4">
        <f>[1]Raw_Data!E1812</f>
        <v>52.96</v>
      </c>
      <c r="F1814" s="5">
        <f>[1]Raw_Data!F1812</f>
        <v>7573.28</v>
      </c>
      <c r="G1814" s="4">
        <f>[1]Raw_Data!G1812</f>
        <v>0.1</v>
      </c>
      <c r="H1814" s="3">
        <f>[1]Raw_Data!H1812</f>
        <v>1</v>
      </c>
      <c r="I1814" s="3" t="str">
        <f>TRIM([1]Raw_Data!I1812)</f>
        <v>UK</v>
      </c>
      <c r="J1814" s="3" t="str">
        <f>TRIM([1]Raw_Data!J1812)</f>
        <v>Walmart</v>
      </c>
      <c r="K1814" s="3">
        <f t="shared" si="112"/>
        <v>2022</v>
      </c>
      <c r="L1814" s="6">
        <f t="shared" si="113"/>
        <v>44621</v>
      </c>
      <c r="M1814" s="3" t="str">
        <f t="shared" si="114"/>
        <v>6% to 10%</v>
      </c>
      <c r="N1814" s="3" t="str">
        <f t="shared" si="115"/>
        <v>OK</v>
      </c>
    </row>
    <row r="1815" spans="1:14" x14ac:dyDescent="0.3">
      <c r="A1815" s="2">
        <f>DATE(VALUE(RIGHT(TRIM([1]Raw_Data!A1813),4)),VALUE(MID(TRIM([1]Raw_Data!A1813),4,2)),VALUE(LEFT(TRIM([1]Raw_Data!A1813),2)))</f>
        <v>44627</v>
      </c>
      <c r="B1815" s="3" t="str">
        <f>TRIM([1]Raw_Data!B1813)</f>
        <v>Multivitamin</v>
      </c>
      <c r="C1815" s="3" t="str">
        <f>TRIM([1]Raw_Data!C1813)</f>
        <v>Vitamin</v>
      </c>
      <c r="D1815" s="3">
        <f>[1]Raw_Data!D1813</f>
        <v>137</v>
      </c>
      <c r="E1815" s="4">
        <f>[1]Raw_Data!E1813</f>
        <v>53.58</v>
      </c>
      <c r="F1815" s="5">
        <f>[1]Raw_Data!F1813</f>
        <v>7340.46</v>
      </c>
      <c r="G1815" s="4">
        <f>[1]Raw_Data!G1813</f>
        <v>0.09</v>
      </c>
      <c r="H1815" s="3">
        <f>[1]Raw_Data!H1813</f>
        <v>4</v>
      </c>
      <c r="I1815" s="3" t="str">
        <f>TRIM([1]Raw_Data!I1813)</f>
        <v>UK</v>
      </c>
      <c r="J1815" s="3" t="str">
        <f>TRIM([1]Raw_Data!J1813)</f>
        <v>Amazon</v>
      </c>
      <c r="K1815" s="3">
        <f t="shared" si="112"/>
        <v>2022</v>
      </c>
      <c r="L1815" s="6">
        <f t="shared" si="113"/>
        <v>44621</v>
      </c>
      <c r="M1815" s="3" t="str">
        <f t="shared" si="114"/>
        <v>6% to 10%</v>
      </c>
      <c r="N1815" s="3" t="str">
        <f t="shared" si="115"/>
        <v>OK</v>
      </c>
    </row>
    <row r="1816" spans="1:14" x14ac:dyDescent="0.3">
      <c r="A1816" s="2">
        <f>DATE(VALUE(RIGHT(TRIM([1]Raw_Data!A1814),4)),VALUE(MID(TRIM([1]Raw_Data!A1814),4,2)),VALUE(LEFT(TRIM([1]Raw_Data!A1814),2)))</f>
        <v>44627</v>
      </c>
      <c r="B1816" s="3" t="str">
        <f>TRIM([1]Raw_Data!B1814)</f>
        <v>Pre-Workout</v>
      </c>
      <c r="C1816" s="3" t="str">
        <f>TRIM([1]Raw_Data!C1814)</f>
        <v>Performance</v>
      </c>
      <c r="D1816" s="3">
        <f>[1]Raw_Data!D1814</f>
        <v>176</v>
      </c>
      <c r="E1816" s="4">
        <f>[1]Raw_Data!E1814</f>
        <v>18.87</v>
      </c>
      <c r="F1816" s="5">
        <f>[1]Raw_Data!F1814</f>
        <v>3321.12</v>
      </c>
      <c r="G1816" s="4">
        <f>[1]Raw_Data!G1814</f>
        <v>0.22</v>
      </c>
      <c r="H1816" s="3">
        <f>[1]Raw_Data!H1814</f>
        <v>1</v>
      </c>
      <c r="I1816" s="3" t="str">
        <f>TRIM([1]Raw_Data!I1814)</f>
        <v>Canada</v>
      </c>
      <c r="J1816" s="3" t="str">
        <f>TRIM([1]Raw_Data!J1814)</f>
        <v>Walmart</v>
      </c>
      <c r="K1816" s="3">
        <f t="shared" si="112"/>
        <v>2022</v>
      </c>
      <c r="L1816" s="6">
        <f t="shared" si="113"/>
        <v>44621</v>
      </c>
      <c r="M1816" s="3" t="str">
        <f t="shared" si="114"/>
        <v>21% to 25%</v>
      </c>
      <c r="N1816" s="3" t="str">
        <f t="shared" si="115"/>
        <v>OK</v>
      </c>
    </row>
    <row r="1817" spans="1:14" x14ac:dyDescent="0.3">
      <c r="A1817" s="2">
        <f>DATE(VALUE(RIGHT(TRIM([1]Raw_Data!A1815),4)),VALUE(MID(TRIM([1]Raw_Data!A1815),4,2)),VALUE(LEFT(TRIM([1]Raw_Data!A1815),2)))</f>
        <v>44627</v>
      </c>
      <c r="B1817" s="3" t="str">
        <f>TRIM([1]Raw_Data!B1815)</f>
        <v>BCAA</v>
      </c>
      <c r="C1817" s="3" t="str">
        <f>TRIM([1]Raw_Data!C1815)</f>
        <v>Amino Acid</v>
      </c>
      <c r="D1817" s="3">
        <f>[1]Raw_Data!D1815</f>
        <v>153</v>
      </c>
      <c r="E1817" s="4">
        <f>[1]Raw_Data!E1815</f>
        <v>16.670000000000002</v>
      </c>
      <c r="F1817" s="5">
        <f>[1]Raw_Data!F1815</f>
        <v>2550.5100000000002</v>
      </c>
      <c r="G1817" s="4">
        <f>[1]Raw_Data!G1815</f>
        <v>0.03</v>
      </c>
      <c r="H1817" s="3">
        <f>[1]Raw_Data!H1815</f>
        <v>3</v>
      </c>
      <c r="I1817" s="3" t="str">
        <f>TRIM([1]Raw_Data!I1815)</f>
        <v>UK</v>
      </c>
      <c r="J1817" s="3" t="str">
        <f>TRIM([1]Raw_Data!J1815)</f>
        <v>Amazon</v>
      </c>
      <c r="K1817" s="3">
        <f t="shared" si="112"/>
        <v>2022</v>
      </c>
      <c r="L1817" s="6">
        <f t="shared" si="113"/>
        <v>44621</v>
      </c>
      <c r="M1817" s="3" t="str">
        <f t="shared" si="114"/>
        <v>0% to 5%</v>
      </c>
      <c r="N1817" s="3" t="str">
        <f t="shared" si="115"/>
        <v>OK</v>
      </c>
    </row>
    <row r="1818" spans="1:14" x14ac:dyDescent="0.3">
      <c r="A1818" s="2">
        <f>DATE(VALUE(RIGHT(TRIM([1]Raw_Data!A1816),4)),VALUE(MID(TRIM([1]Raw_Data!A1816),4,2)),VALUE(LEFT(TRIM([1]Raw_Data!A1816),2)))</f>
        <v>44627</v>
      </c>
      <c r="B1818" s="3" t="str">
        <f>TRIM([1]Raw_Data!B1816)</f>
        <v>Creatine</v>
      </c>
      <c r="C1818" s="3" t="str">
        <f>TRIM([1]Raw_Data!C1816)</f>
        <v>Performance</v>
      </c>
      <c r="D1818" s="3">
        <f>[1]Raw_Data!D1816</f>
        <v>159</v>
      </c>
      <c r="E1818" s="4">
        <f>[1]Raw_Data!E1816</f>
        <v>48.46</v>
      </c>
      <c r="F1818" s="5">
        <f>[1]Raw_Data!F1816</f>
        <v>7705.14</v>
      </c>
      <c r="G1818" s="4">
        <f>[1]Raw_Data!G1816</f>
        <v>0.11</v>
      </c>
      <c r="H1818" s="3">
        <f>[1]Raw_Data!H1816</f>
        <v>2</v>
      </c>
      <c r="I1818" s="3" t="str">
        <f>TRIM([1]Raw_Data!I1816)</f>
        <v>USA</v>
      </c>
      <c r="J1818" s="3" t="str">
        <f>TRIM([1]Raw_Data!J1816)</f>
        <v>Amazon</v>
      </c>
      <c r="K1818" s="3">
        <f t="shared" si="112"/>
        <v>2022</v>
      </c>
      <c r="L1818" s="6">
        <f t="shared" si="113"/>
        <v>44621</v>
      </c>
      <c r="M1818" s="3" t="str">
        <f t="shared" si="114"/>
        <v>11% to 15%</v>
      </c>
      <c r="N1818" s="3" t="str">
        <f t="shared" si="115"/>
        <v>OK</v>
      </c>
    </row>
    <row r="1819" spans="1:14" x14ac:dyDescent="0.3">
      <c r="A1819" s="2">
        <f>DATE(VALUE(RIGHT(TRIM([1]Raw_Data!A1817),4)),VALUE(MID(TRIM([1]Raw_Data!A1817),4,2)),VALUE(LEFT(TRIM([1]Raw_Data!A1817),2)))</f>
        <v>44627</v>
      </c>
      <c r="B1819" s="3" t="str">
        <f>TRIM([1]Raw_Data!B1817)</f>
        <v>Zinc</v>
      </c>
      <c r="C1819" s="3" t="str">
        <f>TRIM([1]Raw_Data!C1817)</f>
        <v>Mineral</v>
      </c>
      <c r="D1819" s="3">
        <f>[1]Raw_Data!D1817</f>
        <v>145</v>
      </c>
      <c r="E1819" s="4">
        <f>[1]Raw_Data!E1817</f>
        <v>46.45</v>
      </c>
      <c r="F1819" s="5">
        <f>[1]Raw_Data!F1817</f>
        <v>6735.25</v>
      </c>
      <c r="G1819" s="4">
        <f>[1]Raw_Data!G1817</f>
        <v>0.1</v>
      </c>
      <c r="H1819" s="3">
        <f>[1]Raw_Data!H1817</f>
        <v>4</v>
      </c>
      <c r="I1819" s="3" t="str">
        <f>TRIM([1]Raw_Data!I1817)</f>
        <v>UK</v>
      </c>
      <c r="J1819" s="3" t="str">
        <f>TRIM([1]Raw_Data!J1817)</f>
        <v>iHerb</v>
      </c>
      <c r="K1819" s="3">
        <f t="shared" si="112"/>
        <v>2022</v>
      </c>
      <c r="L1819" s="6">
        <f t="shared" si="113"/>
        <v>44621</v>
      </c>
      <c r="M1819" s="3" t="str">
        <f t="shared" si="114"/>
        <v>6% to 10%</v>
      </c>
      <c r="N1819" s="3" t="str">
        <f t="shared" si="115"/>
        <v>OK</v>
      </c>
    </row>
    <row r="1820" spans="1:14" x14ac:dyDescent="0.3">
      <c r="A1820" s="2">
        <f>DATE(VALUE(RIGHT(TRIM([1]Raw_Data!A1818),4)),VALUE(MID(TRIM([1]Raw_Data!A1818),4,2)),VALUE(LEFT(TRIM([1]Raw_Data!A1818),2)))</f>
        <v>44627</v>
      </c>
      <c r="B1820" s="3" t="str">
        <f>TRIM([1]Raw_Data!B1818)</f>
        <v>Collagen Peptides</v>
      </c>
      <c r="C1820" s="3" t="str">
        <f>TRIM([1]Raw_Data!C1818)</f>
        <v>Protein</v>
      </c>
      <c r="D1820" s="3">
        <f>[1]Raw_Data!D1818</f>
        <v>144</v>
      </c>
      <c r="E1820" s="4">
        <f>[1]Raw_Data!E1818</f>
        <v>56.65</v>
      </c>
      <c r="F1820" s="5">
        <f>[1]Raw_Data!F1818</f>
        <v>8157.6</v>
      </c>
      <c r="G1820" s="4">
        <f>[1]Raw_Data!G1818</f>
        <v>0.06</v>
      </c>
      <c r="H1820" s="3">
        <f>[1]Raw_Data!H1818</f>
        <v>2</v>
      </c>
      <c r="I1820" s="3" t="str">
        <f>TRIM([1]Raw_Data!I1818)</f>
        <v>UK</v>
      </c>
      <c r="J1820" s="3" t="str">
        <f>TRIM([1]Raw_Data!J1818)</f>
        <v>iHerb</v>
      </c>
      <c r="K1820" s="3">
        <f t="shared" si="112"/>
        <v>2022</v>
      </c>
      <c r="L1820" s="6">
        <f t="shared" si="113"/>
        <v>44621</v>
      </c>
      <c r="M1820" s="3" t="str">
        <f t="shared" si="114"/>
        <v>6% to 10%</v>
      </c>
      <c r="N1820" s="3" t="str">
        <f t="shared" si="115"/>
        <v>OK</v>
      </c>
    </row>
    <row r="1821" spans="1:14" x14ac:dyDescent="0.3">
      <c r="A1821" s="2">
        <f>DATE(VALUE(RIGHT(TRIM([1]Raw_Data!A1819),4)),VALUE(MID(TRIM([1]Raw_Data!A1819),4,2)),VALUE(LEFT(TRIM([1]Raw_Data!A1819),2)))</f>
        <v>44627</v>
      </c>
      <c r="B1821" s="3" t="str">
        <f>TRIM([1]Raw_Data!B1819)</f>
        <v>Magnesium</v>
      </c>
      <c r="C1821" s="3" t="str">
        <f>TRIM([1]Raw_Data!C1819)</f>
        <v>Mineral</v>
      </c>
      <c r="D1821" s="3">
        <f>[1]Raw_Data!D1819</f>
        <v>148</v>
      </c>
      <c r="E1821" s="4">
        <f>[1]Raw_Data!E1819</f>
        <v>32.51</v>
      </c>
      <c r="F1821" s="5">
        <f>[1]Raw_Data!F1819</f>
        <v>4811.4799999999996</v>
      </c>
      <c r="G1821" s="4">
        <f>[1]Raw_Data!G1819</f>
        <v>0.19</v>
      </c>
      <c r="H1821" s="3">
        <f>[1]Raw_Data!H1819</f>
        <v>1</v>
      </c>
      <c r="I1821" s="3" t="str">
        <f>TRIM([1]Raw_Data!I1819)</f>
        <v>UK</v>
      </c>
      <c r="J1821" s="3" t="str">
        <f>TRIM([1]Raw_Data!J1819)</f>
        <v>Amazon</v>
      </c>
      <c r="K1821" s="3">
        <f t="shared" si="112"/>
        <v>2022</v>
      </c>
      <c r="L1821" s="6">
        <f t="shared" si="113"/>
        <v>44621</v>
      </c>
      <c r="M1821" s="3" t="str">
        <f t="shared" si="114"/>
        <v>16% to 20%</v>
      </c>
      <c r="N1821" s="3" t="str">
        <f t="shared" si="115"/>
        <v>OK</v>
      </c>
    </row>
    <row r="1822" spans="1:14" x14ac:dyDescent="0.3">
      <c r="A1822" s="2">
        <f>DATE(VALUE(RIGHT(TRIM([1]Raw_Data!A1820),4)),VALUE(MID(TRIM([1]Raw_Data!A1820),4,2)),VALUE(LEFT(TRIM([1]Raw_Data!A1820),2)))</f>
        <v>44627</v>
      </c>
      <c r="B1822" s="3" t="str">
        <f>TRIM([1]Raw_Data!B1820)</f>
        <v>Ashwagandha</v>
      </c>
      <c r="C1822" s="3" t="str">
        <f>TRIM([1]Raw_Data!C1820)</f>
        <v>Herbal</v>
      </c>
      <c r="D1822" s="3">
        <f>[1]Raw_Data!D1820</f>
        <v>139</v>
      </c>
      <c r="E1822" s="4">
        <f>[1]Raw_Data!E1820</f>
        <v>31.27</v>
      </c>
      <c r="F1822" s="5">
        <f>[1]Raw_Data!F1820</f>
        <v>4346.53</v>
      </c>
      <c r="G1822" s="4">
        <f>[1]Raw_Data!G1820</f>
        <v>0.19</v>
      </c>
      <c r="H1822" s="3">
        <f>[1]Raw_Data!H1820</f>
        <v>2</v>
      </c>
      <c r="I1822" s="3" t="str">
        <f>TRIM([1]Raw_Data!I1820)</f>
        <v>USA</v>
      </c>
      <c r="J1822" s="3" t="str">
        <f>TRIM([1]Raw_Data!J1820)</f>
        <v>Amazon</v>
      </c>
      <c r="K1822" s="3">
        <f t="shared" si="112"/>
        <v>2022</v>
      </c>
      <c r="L1822" s="6">
        <f t="shared" si="113"/>
        <v>44621</v>
      </c>
      <c r="M1822" s="3" t="str">
        <f t="shared" si="114"/>
        <v>16% to 20%</v>
      </c>
      <c r="N1822" s="3" t="str">
        <f t="shared" si="115"/>
        <v>OK</v>
      </c>
    </row>
    <row r="1823" spans="1:14" x14ac:dyDescent="0.3">
      <c r="A1823" s="2">
        <f>DATE(VALUE(RIGHT(TRIM([1]Raw_Data!A1821),4)),VALUE(MID(TRIM([1]Raw_Data!A1821),4,2)),VALUE(LEFT(TRIM([1]Raw_Data!A1821),2)))</f>
        <v>44627</v>
      </c>
      <c r="B1823" s="3" t="str">
        <f>TRIM([1]Raw_Data!B1821)</f>
        <v>Melatonin</v>
      </c>
      <c r="C1823" s="3" t="str">
        <f>TRIM([1]Raw_Data!C1821)</f>
        <v>Sleep Aid</v>
      </c>
      <c r="D1823" s="3">
        <f>[1]Raw_Data!D1821</f>
        <v>157</v>
      </c>
      <c r="E1823" s="4">
        <f>[1]Raw_Data!E1821</f>
        <v>34.07</v>
      </c>
      <c r="F1823" s="5">
        <f>[1]Raw_Data!F1821</f>
        <v>5348.99</v>
      </c>
      <c r="G1823" s="4">
        <f>[1]Raw_Data!G1821</f>
        <v>0.01</v>
      </c>
      <c r="H1823" s="3">
        <f>[1]Raw_Data!H1821</f>
        <v>3</v>
      </c>
      <c r="I1823" s="3" t="str">
        <f>TRIM([1]Raw_Data!I1821)</f>
        <v>Canada</v>
      </c>
      <c r="J1823" s="3" t="str">
        <f>TRIM([1]Raw_Data!J1821)</f>
        <v>Amazon</v>
      </c>
      <c r="K1823" s="3">
        <f t="shared" si="112"/>
        <v>2022</v>
      </c>
      <c r="L1823" s="6">
        <f t="shared" si="113"/>
        <v>44621</v>
      </c>
      <c r="M1823" s="3" t="str">
        <f t="shared" si="114"/>
        <v>0% to 5%</v>
      </c>
      <c r="N1823" s="3" t="str">
        <f t="shared" si="115"/>
        <v>OK</v>
      </c>
    </row>
    <row r="1824" spans="1:14" x14ac:dyDescent="0.3">
      <c r="A1824" s="2">
        <f>DATE(VALUE(RIGHT(TRIM([1]Raw_Data!A1822),4)),VALUE(MID(TRIM([1]Raw_Data!A1822),4,2)),VALUE(LEFT(TRIM([1]Raw_Data!A1822),2)))</f>
        <v>44627</v>
      </c>
      <c r="B1824" s="3" t="str">
        <f>TRIM([1]Raw_Data!B1822)</f>
        <v>Biotin</v>
      </c>
      <c r="C1824" s="3" t="str">
        <f>TRIM([1]Raw_Data!C1822)</f>
        <v>Vitamin</v>
      </c>
      <c r="D1824" s="3">
        <f>[1]Raw_Data!D1822</f>
        <v>155</v>
      </c>
      <c r="E1824" s="4">
        <f>[1]Raw_Data!E1822</f>
        <v>49.39</v>
      </c>
      <c r="F1824" s="5">
        <f>[1]Raw_Data!F1822</f>
        <v>7655.45</v>
      </c>
      <c r="G1824" s="4">
        <f>[1]Raw_Data!G1822</f>
        <v>0.06</v>
      </c>
      <c r="H1824" s="3">
        <f>[1]Raw_Data!H1822</f>
        <v>2</v>
      </c>
      <c r="I1824" s="3" t="str">
        <f>TRIM([1]Raw_Data!I1822)</f>
        <v>UK</v>
      </c>
      <c r="J1824" s="3" t="str">
        <f>TRIM([1]Raw_Data!J1822)</f>
        <v>iHerb</v>
      </c>
      <c r="K1824" s="3">
        <f t="shared" si="112"/>
        <v>2022</v>
      </c>
      <c r="L1824" s="6">
        <f t="shared" si="113"/>
        <v>44621</v>
      </c>
      <c r="M1824" s="3" t="str">
        <f t="shared" si="114"/>
        <v>6% to 10%</v>
      </c>
      <c r="N1824" s="3" t="str">
        <f t="shared" si="115"/>
        <v>OK</v>
      </c>
    </row>
    <row r="1825" spans="1:14" x14ac:dyDescent="0.3">
      <c r="A1825" s="2">
        <f>DATE(VALUE(RIGHT(TRIM([1]Raw_Data!A1823),4)),VALUE(MID(TRIM([1]Raw_Data!A1823),4,2)),VALUE(LEFT(TRIM([1]Raw_Data!A1823),2)))</f>
        <v>44627</v>
      </c>
      <c r="B1825" s="3" t="str">
        <f>TRIM([1]Raw_Data!B1823)</f>
        <v>Green Tea Extract</v>
      </c>
      <c r="C1825" s="3" t="str">
        <f>TRIM([1]Raw_Data!C1823)</f>
        <v>Fat Burner</v>
      </c>
      <c r="D1825" s="3">
        <f>[1]Raw_Data!D1823</f>
        <v>157</v>
      </c>
      <c r="E1825" s="4">
        <f>[1]Raw_Data!E1823</f>
        <v>37.270000000000003</v>
      </c>
      <c r="F1825" s="5">
        <f>[1]Raw_Data!F1823</f>
        <v>5851.39</v>
      </c>
      <c r="G1825" s="4">
        <f>[1]Raw_Data!G1823</f>
        <v>0.04</v>
      </c>
      <c r="H1825" s="3">
        <f>[1]Raw_Data!H1823</f>
        <v>1</v>
      </c>
      <c r="I1825" s="3" t="str">
        <f>TRIM([1]Raw_Data!I1823)</f>
        <v>USA</v>
      </c>
      <c r="J1825" s="3" t="str">
        <f>TRIM([1]Raw_Data!J1823)</f>
        <v>Amazon</v>
      </c>
      <c r="K1825" s="3">
        <f t="shared" si="112"/>
        <v>2022</v>
      </c>
      <c r="L1825" s="6">
        <f t="shared" si="113"/>
        <v>44621</v>
      </c>
      <c r="M1825" s="3" t="str">
        <f t="shared" si="114"/>
        <v>0% to 5%</v>
      </c>
      <c r="N1825" s="3" t="str">
        <f t="shared" si="115"/>
        <v>OK</v>
      </c>
    </row>
    <row r="1826" spans="1:14" x14ac:dyDescent="0.3">
      <c r="A1826" s="2">
        <f>DATE(VALUE(RIGHT(TRIM([1]Raw_Data!A1824),4)),VALUE(MID(TRIM([1]Raw_Data!A1824),4,2)),VALUE(LEFT(TRIM([1]Raw_Data!A1824),2)))</f>
        <v>44627</v>
      </c>
      <c r="B1826" s="3" t="str">
        <f>TRIM([1]Raw_Data!B1824)</f>
        <v>Iron Supplement</v>
      </c>
      <c r="C1826" s="3" t="str">
        <f>TRIM([1]Raw_Data!C1824)</f>
        <v>Mineral</v>
      </c>
      <c r="D1826" s="3">
        <f>[1]Raw_Data!D1824</f>
        <v>167</v>
      </c>
      <c r="E1826" s="4">
        <f>[1]Raw_Data!E1824</f>
        <v>51.98</v>
      </c>
      <c r="F1826" s="5">
        <f>[1]Raw_Data!F1824</f>
        <v>8680.66</v>
      </c>
      <c r="G1826" s="4">
        <f>[1]Raw_Data!G1824</f>
        <v>0.15</v>
      </c>
      <c r="H1826" s="3">
        <f>[1]Raw_Data!H1824</f>
        <v>1</v>
      </c>
      <c r="I1826" s="3" t="str">
        <f>TRIM([1]Raw_Data!I1824)</f>
        <v>UK</v>
      </c>
      <c r="J1826" s="3" t="str">
        <f>TRIM([1]Raw_Data!J1824)</f>
        <v>iHerb</v>
      </c>
      <c r="K1826" s="3">
        <f t="shared" si="112"/>
        <v>2022</v>
      </c>
      <c r="L1826" s="6">
        <f t="shared" si="113"/>
        <v>44621</v>
      </c>
      <c r="M1826" s="3" t="str">
        <f t="shared" si="114"/>
        <v>11% to 15%</v>
      </c>
      <c r="N1826" s="3" t="str">
        <f t="shared" si="115"/>
        <v>OK</v>
      </c>
    </row>
    <row r="1827" spans="1:14" x14ac:dyDescent="0.3">
      <c r="A1827" s="2">
        <f>DATE(VALUE(RIGHT(TRIM([1]Raw_Data!A1825),4)),VALUE(MID(TRIM([1]Raw_Data!A1825),4,2)),VALUE(LEFT(TRIM([1]Raw_Data!A1825),2)))</f>
        <v>44627</v>
      </c>
      <c r="B1827" s="3" t="str">
        <f>TRIM([1]Raw_Data!B1825)</f>
        <v>Electrolyte Powder</v>
      </c>
      <c r="C1827" s="3" t="str">
        <f>TRIM([1]Raw_Data!C1825)</f>
        <v>Hydration</v>
      </c>
      <c r="D1827" s="3">
        <f>[1]Raw_Data!D1825</f>
        <v>153</v>
      </c>
      <c r="E1827" s="4">
        <f>[1]Raw_Data!E1825</f>
        <v>29.93</v>
      </c>
      <c r="F1827" s="5">
        <f>[1]Raw_Data!F1825</f>
        <v>4579.29</v>
      </c>
      <c r="G1827" s="4">
        <f>[1]Raw_Data!G1825</f>
        <v>0.03</v>
      </c>
      <c r="H1827" s="3">
        <f>[1]Raw_Data!H1825</f>
        <v>1</v>
      </c>
      <c r="I1827" s="3" t="str">
        <f>TRIM([1]Raw_Data!I1825)</f>
        <v>UK</v>
      </c>
      <c r="J1827" s="3" t="str">
        <f>TRIM([1]Raw_Data!J1825)</f>
        <v>iHerb</v>
      </c>
      <c r="K1827" s="3">
        <f t="shared" si="112"/>
        <v>2022</v>
      </c>
      <c r="L1827" s="6">
        <f t="shared" si="113"/>
        <v>44621</v>
      </c>
      <c r="M1827" s="3" t="str">
        <f t="shared" si="114"/>
        <v>0% to 5%</v>
      </c>
      <c r="N1827" s="3" t="str">
        <f t="shared" si="115"/>
        <v>OK</v>
      </c>
    </row>
    <row r="1828" spans="1:14" x14ac:dyDescent="0.3">
      <c r="A1828" s="2">
        <f>DATE(VALUE(RIGHT(TRIM([1]Raw_Data!A1826),4)),VALUE(MID(TRIM([1]Raw_Data!A1826),4,2)),VALUE(LEFT(TRIM([1]Raw_Data!A1826),2)))</f>
        <v>44634</v>
      </c>
      <c r="B1828" s="3" t="str">
        <f>TRIM([1]Raw_Data!B1826)</f>
        <v>Whey Protein</v>
      </c>
      <c r="C1828" s="3" t="str">
        <f>TRIM([1]Raw_Data!C1826)</f>
        <v>Protein</v>
      </c>
      <c r="D1828" s="3">
        <f>[1]Raw_Data!D1826</f>
        <v>128</v>
      </c>
      <c r="E1828" s="4">
        <f>[1]Raw_Data!E1826</f>
        <v>30.8</v>
      </c>
      <c r="F1828" s="5">
        <f>[1]Raw_Data!F1826</f>
        <v>3942.4</v>
      </c>
      <c r="G1828" s="4">
        <f>[1]Raw_Data!G1826</f>
        <v>0.08</v>
      </c>
      <c r="H1828" s="3">
        <f>[1]Raw_Data!H1826</f>
        <v>3</v>
      </c>
      <c r="I1828" s="3" t="str">
        <f>TRIM([1]Raw_Data!I1826)</f>
        <v>Canada</v>
      </c>
      <c r="J1828" s="3" t="str">
        <f>TRIM([1]Raw_Data!J1826)</f>
        <v>iHerb</v>
      </c>
      <c r="K1828" s="3">
        <f t="shared" si="112"/>
        <v>2022</v>
      </c>
      <c r="L1828" s="6">
        <f t="shared" si="113"/>
        <v>44621</v>
      </c>
      <c r="M1828" s="3" t="str">
        <f t="shared" si="114"/>
        <v>6% to 10%</v>
      </c>
      <c r="N1828" s="3" t="str">
        <f t="shared" si="115"/>
        <v>OK</v>
      </c>
    </row>
    <row r="1829" spans="1:14" x14ac:dyDescent="0.3">
      <c r="A1829" s="2">
        <f>DATE(VALUE(RIGHT(TRIM([1]Raw_Data!A1827),4)),VALUE(MID(TRIM([1]Raw_Data!A1827),4,2)),VALUE(LEFT(TRIM([1]Raw_Data!A1827),2)))</f>
        <v>44634</v>
      </c>
      <c r="B1829" s="3" t="str">
        <f>TRIM([1]Raw_Data!B1827)</f>
        <v>Vitamin C</v>
      </c>
      <c r="C1829" s="3" t="str">
        <f>TRIM([1]Raw_Data!C1827)</f>
        <v>Vitamin</v>
      </c>
      <c r="D1829" s="3">
        <f>[1]Raw_Data!D1827</f>
        <v>145</v>
      </c>
      <c r="E1829" s="4">
        <f>[1]Raw_Data!E1827</f>
        <v>36.51</v>
      </c>
      <c r="F1829" s="5">
        <f>[1]Raw_Data!F1827</f>
        <v>5293.95</v>
      </c>
      <c r="G1829" s="4">
        <f>[1]Raw_Data!G1827</f>
        <v>0.18</v>
      </c>
      <c r="H1829" s="3">
        <f>[1]Raw_Data!H1827</f>
        <v>1</v>
      </c>
      <c r="I1829" s="3" t="str">
        <f>TRIM([1]Raw_Data!I1827)</f>
        <v>Canada</v>
      </c>
      <c r="J1829" s="3" t="str">
        <f>TRIM([1]Raw_Data!J1827)</f>
        <v>Amazon</v>
      </c>
      <c r="K1829" s="3">
        <f t="shared" si="112"/>
        <v>2022</v>
      </c>
      <c r="L1829" s="6">
        <f t="shared" si="113"/>
        <v>44621</v>
      </c>
      <c r="M1829" s="3" t="str">
        <f t="shared" si="114"/>
        <v>16% to 20%</v>
      </c>
      <c r="N1829" s="3" t="str">
        <f t="shared" si="115"/>
        <v>OK</v>
      </c>
    </row>
    <row r="1830" spans="1:14" x14ac:dyDescent="0.3">
      <c r="A1830" s="2">
        <f>DATE(VALUE(RIGHT(TRIM([1]Raw_Data!A1828),4)),VALUE(MID(TRIM([1]Raw_Data!A1828),4,2)),VALUE(LEFT(TRIM([1]Raw_Data!A1828),2)))</f>
        <v>44634</v>
      </c>
      <c r="B1830" s="3" t="str">
        <f>TRIM([1]Raw_Data!B1828)</f>
        <v>Fish Oil</v>
      </c>
      <c r="C1830" s="3" t="str">
        <f>TRIM([1]Raw_Data!C1828)</f>
        <v>Omega</v>
      </c>
      <c r="D1830" s="3">
        <f>[1]Raw_Data!D1828</f>
        <v>175</v>
      </c>
      <c r="E1830" s="4">
        <f>[1]Raw_Data!E1828</f>
        <v>51.57</v>
      </c>
      <c r="F1830" s="5">
        <f>[1]Raw_Data!F1828</f>
        <v>9024.75</v>
      </c>
      <c r="G1830" s="4">
        <f>[1]Raw_Data!G1828</f>
        <v>0.09</v>
      </c>
      <c r="H1830" s="3">
        <f>[1]Raw_Data!H1828</f>
        <v>0</v>
      </c>
      <c r="I1830" s="3" t="str">
        <f>TRIM([1]Raw_Data!I1828)</f>
        <v>Canada</v>
      </c>
      <c r="J1830" s="3" t="str">
        <f>TRIM([1]Raw_Data!J1828)</f>
        <v>iHerb</v>
      </c>
      <c r="K1830" s="3">
        <f t="shared" si="112"/>
        <v>2022</v>
      </c>
      <c r="L1830" s="6">
        <f t="shared" si="113"/>
        <v>44621</v>
      </c>
      <c r="M1830" s="3" t="str">
        <f t="shared" si="114"/>
        <v>6% to 10%</v>
      </c>
      <c r="N1830" s="3" t="str">
        <f t="shared" si="115"/>
        <v>OK</v>
      </c>
    </row>
    <row r="1831" spans="1:14" x14ac:dyDescent="0.3">
      <c r="A1831" s="2">
        <f>DATE(VALUE(RIGHT(TRIM([1]Raw_Data!A1829),4)),VALUE(MID(TRIM([1]Raw_Data!A1829),4,2)),VALUE(LEFT(TRIM([1]Raw_Data!A1829),2)))</f>
        <v>44634</v>
      </c>
      <c r="B1831" s="3" t="str">
        <f>TRIM([1]Raw_Data!B1829)</f>
        <v>Multivitamin</v>
      </c>
      <c r="C1831" s="3" t="str">
        <f>TRIM([1]Raw_Data!C1829)</f>
        <v>Vitamin</v>
      </c>
      <c r="D1831" s="3">
        <f>[1]Raw_Data!D1829</f>
        <v>156</v>
      </c>
      <c r="E1831" s="4">
        <f>[1]Raw_Data!E1829</f>
        <v>33.76</v>
      </c>
      <c r="F1831" s="5">
        <f>[1]Raw_Data!F1829</f>
        <v>5266.56</v>
      </c>
      <c r="G1831" s="4">
        <f>[1]Raw_Data!G1829</f>
        <v>0.05</v>
      </c>
      <c r="H1831" s="3">
        <f>[1]Raw_Data!H1829</f>
        <v>2</v>
      </c>
      <c r="I1831" s="3" t="str">
        <f>TRIM([1]Raw_Data!I1829)</f>
        <v>Canada</v>
      </c>
      <c r="J1831" s="3" t="str">
        <f>TRIM([1]Raw_Data!J1829)</f>
        <v>Walmart</v>
      </c>
      <c r="K1831" s="3">
        <f t="shared" si="112"/>
        <v>2022</v>
      </c>
      <c r="L1831" s="6">
        <f t="shared" si="113"/>
        <v>44621</v>
      </c>
      <c r="M1831" s="3" t="str">
        <f t="shared" si="114"/>
        <v>0% to 5%</v>
      </c>
      <c r="N1831" s="3" t="str">
        <f t="shared" si="115"/>
        <v>OK</v>
      </c>
    </row>
    <row r="1832" spans="1:14" x14ac:dyDescent="0.3">
      <c r="A1832" s="2">
        <f>DATE(VALUE(RIGHT(TRIM([1]Raw_Data!A1830),4)),VALUE(MID(TRIM([1]Raw_Data!A1830),4,2)),VALUE(LEFT(TRIM([1]Raw_Data!A1830),2)))</f>
        <v>44634</v>
      </c>
      <c r="B1832" s="3" t="str">
        <f>TRIM([1]Raw_Data!B1830)</f>
        <v>Pre-Workout</v>
      </c>
      <c r="C1832" s="3" t="str">
        <f>TRIM([1]Raw_Data!C1830)</f>
        <v>Performance</v>
      </c>
      <c r="D1832" s="3">
        <f>[1]Raw_Data!D1830</f>
        <v>163</v>
      </c>
      <c r="E1832" s="4">
        <f>[1]Raw_Data!E1830</f>
        <v>34.79</v>
      </c>
      <c r="F1832" s="5">
        <f>[1]Raw_Data!F1830</f>
        <v>5670.77</v>
      </c>
      <c r="G1832" s="4">
        <f>[1]Raw_Data!G1830</f>
        <v>0.23</v>
      </c>
      <c r="H1832" s="3">
        <f>[1]Raw_Data!H1830</f>
        <v>3</v>
      </c>
      <c r="I1832" s="3" t="str">
        <f>TRIM([1]Raw_Data!I1830)</f>
        <v>USA</v>
      </c>
      <c r="J1832" s="3" t="str">
        <f>TRIM([1]Raw_Data!J1830)</f>
        <v>iHerb</v>
      </c>
      <c r="K1832" s="3">
        <f t="shared" si="112"/>
        <v>2022</v>
      </c>
      <c r="L1832" s="6">
        <f t="shared" si="113"/>
        <v>44621</v>
      </c>
      <c r="M1832" s="3" t="str">
        <f t="shared" si="114"/>
        <v>21% to 25%</v>
      </c>
      <c r="N1832" s="3" t="str">
        <f t="shared" si="115"/>
        <v>OK</v>
      </c>
    </row>
    <row r="1833" spans="1:14" x14ac:dyDescent="0.3">
      <c r="A1833" s="2">
        <f>DATE(VALUE(RIGHT(TRIM([1]Raw_Data!A1831),4)),VALUE(MID(TRIM([1]Raw_Data!A1831),4,2)),VALUE(LEFT(TRIM([1]Raw_Data!A1831),2)))</f>
        <v>44634</v>
      </c>
      <c r="B1833" s="3" t="str">
        <f>TRIM([1]Raw_Data!B1831)</f>
        <v>BCAA</v>
      </c>
      <c r="C1833" s="3" t="str">
        <f>TRIM([1]Raw_Data!C1831)</f>
        <v>Amino Acid</v>
      </c>
      <c r="D1833" s="3">
        <f>[1]Raw_Data!D1831</f>
        <v>161</v>
      </c>
      <c r="E1833" s="4">
        <f>[1]Raw_Data!E1831</f>
        <v>37.25</v>
      </c>
      <c r="F1833" s="5">
        <f>[1]Raw_Data!F1831</f>
        <v>5997.25</v>
      </c>
      <c r="G1833" s="4">
        <f>[1]Raw_Data!G1831</f>
        <v>0.06</v>
      </c>
      <c r="H1833" s="3">
        <f>[1]Raw_Data!H1831</f>
        <v>1</v>
      </c>
      <c r="I1833" s="3" t="str">
        <f>TRIM([1]Raw_Data!I1831)</f>
        <v>USA</v>
      </c>
      <c r="J1833" s="3" t="str">
        <f>TRIM([1]Raw_Data!J1831)</f>
        <v>Amazon</v>
      </c>
      <c r="K1833" s="3">
        <f t="shared" si="112"/>
        <v>2022</v>
      </c>
      <c r="L1833" s="6">
        <f t="shared" si="113"/>
        <v>44621</v>
      </c>
      <c r="M1833" s="3" t="str">
        <f t="shared" si="114"/>
        <v>6% to 10%</v>
      </c>
      <c r="N1833" s="3" t="str">
        <f t="shared" si="115"/>
        <v>OK</v>
      </c>
    </row>
    <row r="1834" spans="1:14" x14ac:dyDescent="0.3">
      <c r="A1834" s="2">
        <f>DATE(VALUE(RIGHT(TRIM([1]Raw_Data!A1832),4)),VALUE(MID(TRIM([1]Raw_Data!A1832),4,2)),VALUE(LEFT(TRIM([1]Raw_Data!A1832),2)))</f>
        <v>44634</v>
      </c>
      <c r="B1834" s="3" t="str">
        <f>TRIM([1]Raw_Data!B1832)</f>
        <v>Creatine</v>
      </c>
      <c r="C1834" s="3" t="str">
        <f>TRIM([1]Raw_Data!C1832)</f>
        <v>Performance</v>
      </c>
      <c r="D1834" s="3">
        <f>[1]Raw_Data!D1832</f>
        <v>149</v>
      </c>
      <c r="E1834" s="4">
        <f>[1]Raw_Data!E1832</f>
        <v>54.8</v>
      </c>
      <c r="F1834" s="5">
        <f>[1]Raw_Data!F1832</f>
        <v>8165.2</v>
      </c>
      <c r="G1834" s="4">
        <f>[1]Raw_Data!G1832</f>
        <v>0.1</v>
      </c>
      <c r="H1834" s="3">
        <f>[1]Raw_Data!H1832</f>
        <v>0</v>
      </c>
      <c r="I1834" s="3" t="str">
        <f>TRIM([1]Raw_Data!I1832)</f>
        <v>Canada</v>
      </c>
      <c r="J1834" s="3" t="str">
        <f>TRIM([1]Raw_Data!J1832)</f>
        <v>iHerb</v>
      </c>
      <c r="K1834" s="3">
        <f t="shared" si="112"/>
        <v>2022</v>
      </c>
      <c r="L1834" s="6">
        <f t="shared" si="113"/>
        <v>44621</v>
      </c>
      <c r="M1834" s="3" t="str">
        <f t="shared" si="114"/>
        <v>6% to 10%</v>
      </c>
      <c r="N1834" s="3" t="str">
        <f t="shared" si="115"/>
        <v>OK</v>
      </c>
    </row>
    <row r="1835" spans="1:14" x14ac:dyDescent="0.3">
      <c r="A1835" s="2">
        <f>DATE(VALUE(RIGHT(TRIM([1]Raw_Data!A1833),4)),VALUE(MID(TRIM([1]Raw_Data!A1833),4,2)),VALUE(LEFT(TRIM([1]Raw_Data!A1833),2)))</f>
        <v>44634</v>
      </c>
      <c r="B1835" s="3" t="str">
        <f>TRIM([1]Raw_Data!B1833)</f>
        <v>Zinc</v>
      </c>
      <c r="C1835" s="3" t="str">
        <f>TRIM([1]Raw_Data!C1833)</f>
        <v>Mineral</v>
      </c>
      <c r="D1835" s="3">
        <f>[1]Raw_Data!D1833</f>
        <v>165</v>
      </c>
      <c r="E1835" s="4">
        <f>[1]Raw_Data!E1833</f>
        <v>41.09</v>
      </c>
      <c r="F1835" s="5">
        <f>[1]Raw_Data!F1833</f>
        <v>6779.85</v>
      </c>
      <c r="G1835" s="4">
        <f>[1]Raw_Data!G1833</f>
        <v>0.01</v>
      </c>
      <c r="H1835" s="3">
        <f>[1]Raw_Data!H1833</f>
        <v>1</v>
      </c>
      <c r="I1835" s="3" t="str">
        <f>TRIM([1]Raw_Data!I1833)</f>
        <v>UK</v>
      </c>
      <c r="J1835" s="3" t="str">
        <f>TRIM([1]Raw_Data!J1833)</f>
        <v>Walmart</v>
      </c>
      <c r="K1835" s="3">
        <f t="shared" si="112"/>
        <v>2022</v>
      </c>
      <c r="L1835" s="6">
        <f t="shared" si="113"/>
        <v>44621</v>
      </c>
      <c r="M1835" s="3" t="str">
        <f t="shared" si="114"/>
        <v>0% to 5%</v>
      </c>
      <c r="N1835" s="3" t="str">
        <f t="shared" si="115"/>
        <v>OK</v>
      </c>
    </row>
    <row r="1836" spans="1:14" x14ac:dyDescent="0.3">
      <c r="A1836" s="2">
        <f>DATE(VALUE(RIGHT(TRIM([1]Raw_Data!A1834),4)),VALUE(MID(TRIM([1]Raw_Data!A1834),4,2)),VALUE(LEFT(TRIM([1]Raw_Data!A1834),2)))</f>
        <v>44634</v>
      </c>
      <c r="B1836" s="3" t="str">
        <f>TRIM([1]Raw_Data!B1834)</f>
        <v>Collagen Peptides</v>
      </c>
      <c r="C1836" s="3" t="str">
        <f>TRIM([1]Raw_Data!C1834)</f>
        <v>Protein</v>
      </c>
      <c r="D1836" s="3">
        <f>[1]Raw_Data!D1834</f>
        <v>147</v>
      </c>
      <c r="E1836" s="4">
        <f>[1]Raw_Data!E1834</f>
        <v>55.25</v>
      </c>
      <c r="F1836" s="5">
        <f>[1]Raw_Data!F1834</f>
        <v>8121.75</v>
      </c>
      <c r="G1836" s="4">
        <f>[1]Raw_Data!G1834</f>
        <v>0.22</v>
      </c>
      <c r="H1836" s="3">
        <f>[1]Raw_Data!H1834</f>
        <v>1</v>
      </c>
      <c r="I1836" s="3" t="str">
        <f>TRIM([1]Raw_Data!I1834)</f>
        <v>USA</v>
      </c>
      <c r="J1836" s="3" t="str">
        <f>TRIM([1]Raw_Data!J1834)</f>
        <v>Amazon</v>
      </c>
      <c r="K1836" s="3">
        <f t="shared" si="112"/>
        <v>2022</v>
      </c>
      <c r="L1836" s="6">
        <f t="shared" si="113"/>
        <v>44621</v>
      </c>
      <c r="M1836" s="3" t="str">
        <f t="shared" si="114"/>
        <v>21% to 25%</v>
      </c>
      <c r="N1836" s="3" t="str">
        <f t="shared" si="115"/>
        <v>OK</v>
      </c>
    </row>
    <row r="1837" spans="1:14" x14ac:dyDescent="0.3">
      <c r="A1837" s="2">
        <f>DATE(VALUE(RIGHT(TRIM([1]Raw_Data!A1835),4)),VALUE(MID(TRIM([1]Raw_Data!A1835),4,2)),VALUE(LEFT(TRIM([1]Raw_Data!A1835),2)))</f>
        <v>44634</v>
      </c>
      <c r="B1837" s="3" t="str">
        <f>TRIM([1]Raw_Data!B1835)</f>
        <v>Magnesium</v>
      </c>
      <c r="C1837" s="3" t="str">
        <f>TRIM([1]Raw_Data!C1835)</f>
        <v>Mineral</v>
      </c>
      <c r="D1837" s="3">
        <f>[1]Raw_Data!D1835</f>
        <v>129</v>
      </c>
      <c r="E1837" s="4">
        <f>[1]Raw_Data!E1835</f>
        <v>26.82</v>
      </c>
      <c r="F1837" s="5">
        <f>[1]Raw_Data!F1835</f>
        <v>3459.78</v>
      </c>
      <c r="G1837" s="4">
        <f>[1]Raw_Data!G1835</f>
        <v>0.17</v>
      </c>
      <c r="H1837" s="3">
        <f>[1]Raw_Data!H1835</f>
        <v>0</v>
      </c>
      <c r="I1837" s="3" t="str">
        <f>TRIM([1]Raw_Data!I1835)</f>
        <v>Canada</v>
      </c>
      <c r="J1837" s="3" t="str">
        <f>TRIM([1]Raw_Data!J1835)</f>
        <v>Amazon</v>
      </c>
      <c r="K1837" s="3">
        <f t="shared" si="112"/>
        <v>2022</v>
      </c>
      <c r="L1837" s="6">
        <f t="shared" si="113"/>
        <v>44621</v>
      </c>
      <c r="M1837" s="3" t="str">
        <f t="shared" si="114"/>
        <v>16% to 20%</v>
      </c>
      <c r="N1837" s="3" t="str">
        <f t="shared" si="115"/>
        <v>OK</v>
      </c>
    </row>
    <row r="1838" spans="1:14" x14ac:dyDescent="0.3">
      <c r="A1838" s="2">
        <f>DATE(VALUE(RIGHT(TRIM([1]Raw_Data!A1836),4)),VALUE(MID(TRIM([1]Raw_Data!A1836),4,2)),VALUE(LEFT(TRIM([1]Raw_Data!A1836),2)))</f>
        <v>44634</v>
      </c>
      <c r="B1838" s="3" t="str">
        <f>TRIM([1]Raw_Data!B1836)</f>
        <v>Ashwagandha</v>
      </c>
      <c r="C1838" s="3" t="str">
        <f>TRIM([1]Raw_Data!C1836)</f>
        <v>Herbal</v>
      </c>
      <c r="D1838" s="3">
        <f>[1]Raw_Data!D1836</f>
        <v>134</v>
      </c>
      <c r="E1838" s="4">
        <f>[1]Raw_Data!E1836</f>
        <v>20.62</v>
      </c>
      <c r="F1838" s="5">
        <f>[1]Raw_Data!F1836</f>
        <v>2763.08</v>
      </c>
      <c r="G1838" s="4">
        <f>[1]Raw_Data!G1836</f>
        <v>0.21</v>
      </c>
      <c r="H1838" s="3">
        <f>[1]Raw_Data!H1836</f>
        <v>0</v>
      </c>
      <c r="I1838" s="3" t="str">
        <f>TRIM([1]Raw_Data!I1836)</f>
        <v>Canada</v>
      </c>
      <c r="J1838" s="3" t="str">
        <f>TRIM([1]Raw_Data!J1836)</f>
        <v>iHerb</v>
      </c>
      <c r="K1838" s="3">
        <f t="shared" si="112"/>
        <v>2022</v>
      </c>
      <c r="L1838" s="6">
        <f t="shared" si="113"/>
        <v>44621</v>
      </c>
      <c r="M1838" s="3" t="str">
        <f t="shared" si="114"/>
        <v>21% to 25%</v>
      </c>
      <c r="N1838" s="3" t="str">
        <f t="shared" si="115"/>
        <v>OK</v>
      </c>
    </row>
    <row r="1839" spans="1:14" x14ac:dyDescent="0.3">
      <c r="A1839" s="2">
        <f>DATE(VALUE(RIGHT(TRIM([1]Raw_Data!A1837),4)),VALUE(MID(TRIM([1]Raw_Data!A1837),4,2)),VALUE(LEFT(TRIM([1]Raw_Data!A1837),2)))</f>
        <v>44634</v>
      </c>
      <c r="B1839" s="3" t="str">
        <f>TRIM([1]Raw_Data!B1837)</f>
        <v>Melatonin</v>
      </c>
      <c r="C1839" s="3" t="str">
        <f>TRIM([1]Raw_Data!C1837)</f>
        <v>Sleep Aid</v>
      </c>
      <c r="D1839" s="3">
        <f>[1]Raw_Data!D1837</f>
        <v>148</v>
      </c>
      <c r="E1839" s="4">
        <f>[1]Raw_Data!E1837</f>
        <v>19.13</v>
      </c>
      <c r="F1839" s="5">
        <f>[1]Raw_Data!F1837</f>
        <v>2831.24</v>
      </c>
      <c r="G1839" s="4">
        <f>[1]Raw_Data!G1837</f>
        <v>0.15</v>
      </c>
      <c r="H1839" s="3">
        <f>[1]Raw_Data!H1837</f>
        <v>2</v>
      </c>
      <c r="I1839" s="3" t="str">
        <f>TRIM([1]Raw_Data!I1837)</f>
        <v>UK</v>
      </c>
      <c r="J1839" s="3" t="str">
        <f>TRIM([1]Raw_Data!J1837)</f>
        <v>iHerb</v>
      </c>
      <c r="K1839" s="3">
        <f t="shared" si="112"/>
        <v>2022</v>
      </c>
      <c r="L1839" s="6">
        <f t="shared" si="113"/>
        <v>44621</v>
      </c>
      <c r="M1839" s="3" t="str">
        <f t="shared" si="114"/>
        <v>11% to 15%</v>
      </c>
      <c r="N1839" s="3" t="str">
        <f t="shared" si="115"/>
        <v>OK</v>
      </c>
    </row>
    <row r="1840" spans="1:14" x14ac:dyDescent="0.3">
      <c r="A1840" s="2">
        <f>DATE(VALUE(RIGHT(TRIM([1]Raw_Data!A1838),4)),VALUE(MID(TRIM([1]Raw_Data!A1838),4,2)),VALUE(LEFT(TRIM([1]Raw_Data!A1838),2)))</f>
        <v>44634</v>
      </c>
      <c r="B1840" s="3" t="str">
        <f>TRIM([1]Raw_Data!B1838)</f>
        <v>Biotin</v>
      </c>
      <c r="C1840" s="3" t="str">
        <f>TRIM([1]Raw_Data!C1838)</f>
        <v>Vitamin</v>
      </c>
      <c r="D1840" s="3">
        <f>[1]Raw_Data!D1838</f>
        <v>143</v>
      </c>
      <c r="E1840" s="4">
        <f>[1]Raw_Data!E1838</f>
        <v>40.17</v>
      </c>
      <c r="F1840" s="5">
        <f>[1]Raw_Data!F1838</f>
        <v>5744.31</v>
      </c>
      <c r="G1840" s="4">
        <f>[1]Raw_Data!G1838</f>
        <v>0.1</v>
      </c>
      <c r="H1840" s="3">
        <f>[1]Raw_Data!H1838</f>
        <v>1</v>
      </c>
      <c r="I1840" s="3" t="str">
        <f>TRIM([1]Raw_Data!I1838)</f>
        <v>Canada</v>
      </c>
      <c r="J1840" s="3" t="str">
        <f>TRIM([1]Raw_Data!J1838)</f>
        <v>iHerb</v>
      </c>
      <c r="K1840" s="3">
        <f t="shared" si="112"/>
        <v>2022</v>
      </c>
      <c r="L1840" s="6">
        <f t="shared" si="113"/>
        <v>44621</v>
      </c>
      <c r="M1840" s="3" t="str">
        <f t="shared" si="114"/>
        <v>6% to 10%</v>
      </c>
      <c r="N1840" s="3" t="str">
        <f t="shared" si="115"/>
        <v>OK</v>
      </c>
    </row>
    <row r="1841" spans="1:14" x14ac:dyDescent="0.3">
      <c r="A1841" s="2">
        <f>DATE(VALUE(RIGHT(TRIM([1]Raw_Data!A1839),4)),VALUE(MID(TRIM([1]Raw_Data!A1839),4,2)),VALUE(LEFT(TRIM([1]Raw_Data!A1839),2)))</f>
        <v>44634</v>
      </c>
      <c r="B1841" s="3" t="str">
        <f>TRIM([1]Raw_Data!B1839)</f>
        <v>Green Tea Extract</v>
      </c>
      <c r="C1841" s="3" t="str">
        <f>TRIM([1]Raw_Data!C1839)</f>
        <v>Fat Burner</v>
      </c>
      <c r="D1841" s="3">
        <f>[1]Raw_Data!D1839</f>
        <v>153</v>
      </c>
      <c r="E1841" s="4">
        <f>[1]Raw_Data!E1839</f>
        <v>30.14</v>
      </c>
      <c r="F1841" s="5">
        <f>[1]Raw_Data!F1839</f>
        <v>4611.42</v>
      </c>
      <c r="G1841" s="4">
        <f>[1]Raw_Data!G1839</f>
        <v>0.09</v>
      </c>
      <c r="H1841" s="3">
        <f>[1]Raw_Data!H1839</f>
        <v>1</v>
      </c>
      <c r="I1841" s="3" t="str">
        <f>TRIM([1]Raw_Data!I1839)</f>
        <v>USA</v>
      </c>
      <c r="J1841" s="3" t="str">
        <f>TRIM([1]Raw_Data!J1839)</f>
        <v>Amazon</v>
      </c>
      <c r="K1841" s="3">
        <f t="shared" si="112"/>
        <v>2022</v>
      </c>
      <c r="L1841" s="6">
        <f t="shared" si="113"/>
        <v>44621</v>
      </c>
      <c r="M1841" s="3" t="str">
        <f t="shared" si="114"/>
        <v>6% to 10%</v>
      </c>
      <c r="N1841" s="3" t="str">
        <f t="shared" si="115"/>
        <v>OK</v>
      </c>
    </row>
    <row r="1842" spans="1:14" x14ac:dyDescent="0.3">
      <c r="A1842" s="2">
        <f>DATE(VALUE(RIGHT(TRIM([1]Raw_Data!A1840),4)),VALUE(MID(TRIM([1]Raw_Data!A1840),4,2)),VALUE(LEFT(TRIM([1]Raw_Data!A1840),2)))</f>
        <v>44634</v>
      </c>
      <c r="B1842" s="3" t="str">
        <f>TRIM([1]Raw_Data!B1840)</f>
        <v>Iron Supplement</v>
      </c>
      <c r="C1842" s="3" t="str">
        <f>TRIM([1]Raw_Data!C1840)</f>
        <v>Mineral</v>
      </c>
      <c r="D1842" s="3">
        <f>[1]Raw_Data!D1840</f>
        <v>160</v>
      </c>
      <c r="E1842" s="4">
        <f>[1]Raw_Data!E1840</f>
        <v>57.02</v>
      </c>
      <c r="F1842" s="5">
        <f>[1]Raw_Data!F1840</f>
        <v>9123.2000000000007</v>
      </c>
      <c r="G1842" s="4">
        <f>[1]Raw_Data!G1840</f>
        <v>7.0000000000000007E-2</v>
      </c>
      <c r="H1842" s="3">
        <f>[1]Raw_Data!H1840</f>
        <v>1</v>
      </c>
      <c r="I1842" s="3" t="str">
        <f>TRIM([1]Raw_Data!I1840)</f>
        <v>USA</v>
      </c>
      <c r="J1842" s="3" t="str">
        <f>TRIM([1]Raw_Data!J1840)</f>
        <v>Walmart</v>
      </c>
      <c r="K1842" s="3">
        <f t="shared" si="112"/>
        <v>2022</v>
      </c>
      <c r="L1842" s="6">
        <f t="shared" si="113"/>
        <v>44621</v>
      </c>
      <c r="M1842" s="3" t="str">
        <f t="shared" si="114"/>
        <v>6% to 10%</v>
      </c>
      <c r="N1842" s="3" t="str">
        <f t="shared" si="115"/>
        <v>OK</v>
      </c>
    </row>
    <row r="1843" spans="1:14" x14ac:dyDescent="0.3">
      <c r="A1843" s="2">
        <f>DATE(VALUE(RIGHT(TRIM([1]Raw_Data!A1841),4)),VALUE(MID(TRIM([1]Raw_Data!A1841),4,2)),VALUE(LEFT(TRIM([1]Raw_Data!A1841),2)))</f>
        <v>44634</v>
      </c>
      <c r="B1843" s="3" t="str">
        <f>TRIM([1]Raw_Data!B1841)</f>
        <v>Electrolyte Powder</v>
      </c>
      <c r="C1843" s="3" t="str">
        <f>TRIM([1]Raw_Data!C1841)</f>
        <v>Hydration</v>
      </c>
      <c r="D1843" s="3">
        <f>[1]Raw_Data!D1841</f>
        <v>161</v>
      </c>
      <c r="E1843" s="4">
        <f>[1]Raw_Data!E1841</f>
        <v>37.35</v>
      </c>
      <c r="F1843" s="5">
        <f>[1]Raw_Data!F1841</f>
        <v>6013.35</v>
      </c>
      <c r="G1843" s="4">
        <f>[1]Raw_Data!G1841</f>
        <v>0.01</v>
      </c>
      <c r="H1843" s="3">
        <f>[1]Raw_Data!H1841</f>
        <v>1</v>
      </c>
      <c r="I1843" s="3" t="str">
        <f>TRIM([1]Raw_Data!I1841)</f>
        <v>UK</v>
      </c>
      <c r="J1843" s="3" t="str">
        <f>TRIM([1]Raw_Data!J1841)</f>
        <v>iHerb</v>
      </c>
      <c r="K1843" s="3">
        <f t="shared" si="112"/>
        <v>2022</v>
      </c>
      <c r="L1843" s="6">
        <f t="shared" si="113"/>
        <v>44621</v>
      </c>
      <c r="M1843" s="3" t="str">
        <f t="shared" si="114"/>
        <v>0% to 5%</v>
      </c>
      <c r="N1843" s="3" t="str">
        <f t="shared" si="115"/>
        <v>OK</v>
      </c>
    </row>
    <row r="1844" spans="1:14" x14ac:dyDescent="0.3">
      <c r="A1844" s="2">
        <f>DATE(VALUE(RIGHT(TRIM([1]Raw_Data!A1842),4)),VALUE(MID(TRIM([1]Raw_Data!A1842),4,2)),VALUE(LEFT(TRIM([1]Raw_Data!A1842),2)))</f>
        <v>44641</v>
      </c>
      <c r="B1844" s="3" t="str">
        <f>TRIM([1]Raw_Data!B1842)</f>
        <v>Whey Protein</v>
      </c>
      <c r="C1844" s="3" t="str">
        <f>TRIM([1]Raw_Data!C1842)</f>
        <v>Protein</v>
      </c>
      <c r="D1844" s="3">
        <f>[1]Raw_Data!D1842</f>
        <v>143</v>
      </c>
      <c r="E1844" s="4">
        <f>[1]Raw_Data!E1842</f>
        <v>43.81</v>
      </c>
      <c r="F1844" s="5">
        <f>[1]Raw_Data!F1842</f>
        <v>6264.83</v>
      </c>
      <c r="G1844" s="4">
        <f>[1]Raw_Data!G1842</f>
        <v>0.09</v>
      </c>
      <c r="H1844" s="3">
        <f>[1]Raw_Data!H1842</f>
        <v>1</v>
      </c>
      <c r="I1844" s="3" t="str">
        <f>TRIM([1]Raw_Data!I1842)</f>
        <v>UK</v>
      </c>
      <c r="J1844" s="3" t="str">
        <f>TRIM([1]Raw_Data!J1842)</f>
        <v>iHerb</v>
      </c>
      <c r="K1844" s="3">
        <f t="shared" si="112"/>
        <v>2022</v>
      </c>
      <c r="L1844" s="6">
        <f t="shared" si="113"/>
        <v>44621</v>
      </c>
      <c r="M1844" s="3" t="str">
        <f t="shared" si="114"/>
        <v>6% to 10%</v>
      </c>
      <c r="N1844" s="3" t="str">
        <f t="shared" si="115"/>
        <v>OK</v>
      </c>
    </row>
    <row r="1845" spans="1:14" x14ac:dyDescent="0.3">
      <c r="A1845" s="2">
        <f>DATE(VALUE(RIGHT(TRIM([1]Raw_Data!A1843),4)),VALUE(MID(TRIM([1]Raw_Data!A1843),4,2)),VALUE(LEFT(TRIM([1]Raw_Data!A1843),2)))</f>
        <v>44641</v>
      </c>
      <c r="B1845" s="3" t="str">
        <f>TRIM([1]Raw_Data!B1843)</f>
        <v>Vitamin C</v>
      </c>
      <c r="C1845" s="3" t="str">
        <f>TRIM([1]Raw_Data!C1843)</f>
        <v>Vitamin</v>
      </c>
      <c r="D1845" s="3">
        <f>[1]Raw_Data!D1843</f>
        <v>136</v>
      </c>
      <c r="E1845" s="4">
        <f>[1]Raw_Data!E1843</f>
        <v>26.76</v>
      </c>
      <c r="F1845" s="5">
        <f>[1]Raw_Data!F1843</f>
        <v>3639.36</v>
      </c>
      <c r="G1845" s="4">
        <f>[1]Raw_Data!G1843</f>
        <v>0.01</v>
      </c>
      <c r="H1845" s="3">
        <f>[1]Raw_Data!H1843</f>
        <v>1</v>
      </c>
      <c r="I1845" s="3" t="str">
        <f>TRIM([1]Raw_Data!I1843)</f>
        <v>USA</v>
      </c>
      <c r="J1845" s="3" t="str">
        <f>TRIM([1]Raw_Data!J1843)</f>
        <v>iHerb</v>
      </c>
      <c r="K1845" s="3">
        <f t="shared" si="112"/>
        <v>2022</v>
      </c>
      <c r="L1845" s="6">
        <f t="shared" si="113"/>
        <v>44621</v>
      </c>
      <c r="M1845" s="3" t="str">
        <f t="shared" si="114"/>
        <v>0% to 5%</v>
      </c>
      <c r="N1845" s="3" t="str">
        <f t="shared" si="115"/>
        <v>OK</v>
      </c>
    </row>
    <row r="1846" spans="1:14" x14ac:dyDescent="0.3">
      <c r="A1846" s="2">
        <f>DATE(VALUE(RIGHT(TRIM([1]Raw_Data!A1844),4)),VALUE(MID(TRIM([1]Raw_Data!A1844),4,2)),VALUE(LEFT(TRIM([1]Raw_Data!A1844),2)))</f>
        <v>44641</v>
      </c>
      <c r="B1846" s="3" t="str">
        <f>TRIM([1]Raw_Data!B1844)</f>
        <v>Fish Oil</v>
      </c>
      <c r="C1846" s="3" t="str">
        <f>TRIM([1]Raw_Data!C1844)</f>
        <v>Omega</v>
      </c>
      <c r="D1846" s="3">
        <f>[1]Raw_Data!D1844</f>
        <v>165</v>
      </c>
      <c r="E1846" s="4">
        <f>[1]Raw_Data!E1844</f>
        <v>47</v>
      </c>
      <c r="F1846" s="5">
        <f>[1]Raw_Data!F1844</f>
        <v>7755</v>
      </c>
      <c r="G1846" s="4">
        <f>[1]Raw_Data!G1844</f>
        <v>0.16</v>
      </c>
      <c r="H1846" s="3">
        <f>[1]Raw_Data!H1844</f>
        <v>1</v>
      </c>
      <c r="I1846" s="3" t="str">
        <f>TRIM([1]Raw_Data!I1844)</f>
        <v>Canada</v>
      </c>
      <c r="J1846" s="3" t="str">
        <f>TRIM([1]Raw_Data!J1844)</f>
        <v>iHerb</v>
      </c>
      <c r="K1846" s="3">
        <f t="shared" si="112"/>
        <v>2022</v>
      </c>
      <c r="L1846" s="6">
        <f t="shared" si="113"/>
        <v>44621</v>
      </c>
      <c r="M1846" s="3" t="str">
        <f t="shared" si="114"/>
        <v>16% to 20%</v>
      </c>
      <c r="N1846" s="3" t="str">
        <f t="shared" si="115"/>
        <v>OK</v>
      </c>
    </row>
    <row r="1847" spans="1:14" x14ac:dyDescent="0.3">
      <c r="A1847" s="2">
        <f>DATE(VALUE(RIGHT(TRIM([1]Raw_Data!A1845),4)),VALUE(MID(TRIM([1]Raw_Data!A1845),4,2)),VALUE(LEFT(TRIM([1]Raw_Data!A1845),2)))</f>
        <v>44641</v>
      </c>
      <c r="B1847" s="3" t="str">
        <f>TRIM([1]Raw_Data!B1845)</f>
        <v>Multivitamin</v>
      </c>
      <c r="C1847" s="3" t="str">
        <f>TRIM([1]Raw_Data!C1845)</f>
        <v>Vitamin</v>
      </c>
      <c r="D1847" s="3">
        <f>[1]Raw_Data!D1845</f>
        <v>135</v>
      </c>
      <c r="E1847" s="4">
        <f>[1]Raw_Data!E1845</f>
        <v>52.73</v>
      </c>
      <c r="F1847" s="5">
        <f>[1]Raw_Data!F1845</f>
        <v>7118.55</v>
      </c>
      <c r="G1847" s="4">
        <f>[1]Raw_Data!G1845</f>
        <v>0.17</v>
      </c>
      <c r="H1847" s="3">
        <f>[1]Raw_Data!H1845</f>
        <v>0</v>
      </c>
      <c r="I1847" s="3" t="str">
        <f>TRIM([1]Raw_Data!I1845)</f>
        <v>UK</v>
      </c>
      <c r="J1847" s="3" t="str">
        <f>TRIM([1]Raw_Data!J1845)</f>
        <v>Amazon</v>
      </c>
      <c r="K1847" s="3">
        <f t="shared" si="112"/>
        <v>2022</v>
      </c>
      <c r="L1847" s="6">
        <f t="shared" si="113"/>
        <v>44621</v>
      </c>
      <c r="M1847" s="3" t="str">
        <f t="shared" si="114"/>
        <v>16% to 20%</v>
      </c>
      <c r="N1847" s="3" t="str">
        <f t="shared" si="115"/>
        <v>OK</v>
      </c>
    </row>
    <row r="1848" spans="1:14" x14ac:dyDescent="0.3">
      <c r="A1848" s="2">
        <f>DATE(VALUE(RIGHT(TRIM([1]Raw_Data!A1846),4)),VALUE(MID(TRIM([1]Raw_Data!A1846),4,2)),VALUE(LEFT(TRIM([1]Raw_Data!A1846),2)))</f>
        <v>44641</v>
      </c>
      <c r="B1848" s="3" t="str">
        <f>TRIM([1]Raw_Data!B1846)</f>
        <v>Pre-Workout</v>
      </c>
      <c r="C1848" s="3" t="str">
        <f>TRIM([1]Raw_Data!C1846)</f>
        <v>Performance</v>
      </c>
      <c r="D1848" s="3">
        <f>[1]Raw_Data!D1846</f>
        <v>139</v>
      </c>
      <c r="E1848" s="4">
        <f>[1]Raw_Data!E1846</f>
        <v>38.520000000000003</v>
      </c>
      <c r="F1848" s="5">
        <f>[1]Raw_Data!F1846</f>
        <v>5354.28</v>
      </c>
      <c r="G1848" s="4">
        <f>[1]Raw_Data!G1846</f>
        <v>0.19</v>
      </c>
      <c r="H1848" s="3">
        <f>[1]Raw_Data!H1846</f>
        <v>0</v>
      </c>
      <c r="I1848" s="3" t="str">
        <f>TRIM([1]Raw_Data!I1846)</f>
        <v>UK</v>
      </c>
      <c r="J1848" s="3" t="str">
        <f>TRIM([1]Raw_Data!J1846)</f>
        <v>Amazon</v>
      </c>
      <c r="K1848" s="3">
        <f t="shared" si="112"/>
        <v>2022</v>
      </c>
      <c r="L1848" s="6">
        <f t="shared" si="113"/>
        <v>44621</v>
      </c>
      <c r="M1848" s="3" t="str">
        <f t="shared" si="114"/>
        <v>16% to 20%</v>
      </c>
      <c r="N1848" s="3" t="str">
        <f t="shared" si="115"/>
        <v>OK</v>
      </c>
    </row>
    <row r="1849" spans="1:14" x14ac:dyDescent="0.3">
      <c r="A1849" s="2">
        <f>DATE(VALUE(RIGHT(TRIM([1]Raw_Data!A1847),4)),VALUE(MID(TRIM([1]Raw_Data!A1847),4,2)),VALUE(LEFT(TRIM([1]Raw_Data!A1847),2)))</f>
        <v>44641</v>
      </c>
      <c r="B1849" s="3" t="str">
        <f>TRIM([1]Raw_Data!B1847)</f>
        <v>BCAA</v>
      </c>
      <c r="C1849" s="3" t="str">
        <f>TRIM([1]Raw_Data!C1847)</f>
        <v>Amino Acid</v>
      </c>
      <c r="D1849" s="3">
        <f>[1]Raw_Data!D1847</f>
        <v>164</v>
      </c>
      <c r="E1849" s="4">
        <f>[1]Raw_Data!E1847</f>
        <v>44.5</v>
      </c>
      <c r="F1849" s="5">
        <f>[1]Raw_Data!F1847</f>
        <v>7298</v>
      </c>
      <c r="G1849" s="4">
        <f>[1]Raw_Data!G1847</f>
        <v>0.24</v>
      </c>
      <c r="H1849" s="3">
        <f>[1]Raw_Data!H1847</f>
        <v>0</v>
      </c>
      <c r="I1849" s="3" t="str">
        <f>TRIM([1]Raw_Data!I1847)</f>
        <v>Canada</v>
      </c>
      <c r="J1849" s="3" t="str">
        <f>TRIM([1]Raw_Data!J1847)</f>
        <v>iHerb</v>
      </c>
      <c r="K1849" s="3">
        <f t="shared" si="112"/>
        <v>2022</v>
      </c>
      <c r="L1849" s="6">
        <f t="shared" si="113"/>
        <v>44621</v>
      </c>
      <c r="M1849" s="3" t="str">
        <f t="shared" si="114"/>
        <v>21% to 25%</v>
      </c>
      <c r="N1849" s="3" t="str">
        <f t="shared" si="115"/>
        <v>OK</v>
      </c>
    </row>
    <row r="1850" spans="1:14" x14ac:dyDescent="0.3">
      <c r="A1850" s="2">
        <f>DATE(VALUE(RIGHT(TRIM([1]Raw_Data!A1848),4)),VALUE(MID(TRIM([1]Raw_Data!A1848),4,2)),VALUE(LEFT(TRIM([1]Raw_Data!A1848),2)))</f>
        <v>44641</v>
      </c>
      <c r="B1850" s="3" t="str">
        <f>TRIM([1]Raw_Data!B1848)</f>
        <v>Creatine</v>
      </c>
      <c r="C1850" s="3" t="str">
        <f>TRIM([1]Raw_Data!C1848)</f>
        <v>Performance</v>
      </c>
      <c r="D1850" s="3">
        <f>[1]Raw_Data!D1848</f>
        <v>169</v>
      </c>
      <c r="E1850" s="4">
        <f>[1]Raw_Data!E1848</f>
        <v>29.65</v>
      </c>
      <c r="F1850" s="5">
        <f>[1]Raw_Data!F1848</f>
        <v>5010.8500000000004</v>
      </c>
      <c r="G1850" s="4">
        <f>[1]Raw_Data!G1848</f>
        <v>0.21</v>
      </c>
      <c r="H1850" s="3">
        <f>[1]Raw_Data!H1848</f>
        <v>3</v>
      </c>
      <c r="I1850" s="3" t="str">
        <f>TRIM([1]Raw_Data!I1848)</f>
        <v>USA</v>
      </c>
      <c r="J1850" s="3" t="str">
        <f>TRIM([1]Raw_Data!J1848)</f>
        <v>iHerb</v>
      </c>
      <c r="K1850" s="3">
        <f t="shared" si="112"/>
        <v>2022</v>
      </c>
      <c r="L1850" s="6">
        <f t="shared" si="113"/>
        <v>44621</v>
      </c>
      <c r="M1850" s="3" t="str">
        <f t="shared" si="114"/>
        <v>21% to 25%</v>
      </c>
      <c r="N1850" s="3" t="str">
        <f t="shared" si="115"/>
        <v>OK</v>
      </c>
    </row>
    <row r="1851" spans="1:14" x14ac:dyDescent="0.3">
      <c r="A1851" s="2">
        <f>DATE(VALUE(RIGHT(TRIM([1]Raw_Data!A1849),4)),VALUE(MID(TRIM([1]Raw_Data!A1849),4,2)),VALUE(LEFT(TRIM([1]Raw_Data!A1849),2)))</f>
        <v>44641</v>
      </c>
      <c r="B1851" s="3" t="str">
        <f>TRIM([1]Raw_Data!B1849)</f>
        <v>Zinc</v>
      </c>
      <c r="C1851" s="3" t="str">
        <f>TRIM([1]Raw_Data!C1849)</f>
        <v>Mineral</v>
      </c>
      <c r="D1851" s="3">
        <f>[1]Raw_Data!D1849</f>
        <v>150</v>
      </c>
      <c r="E1851" s="4">
        <f>[1]Raw_Data!E1849</f>
        <v>45.41</v>
      </c>
      <c r="F1851" s="5">
        <f>[1]Raw_Data!F1849</f>
        <v>6811.5</v>
      </c>
      <c r="G1851" s="4">
        <f>[1]Raw_Data!G1849</f>
        <v>0.21</v>
      </c>
      <c r="H1851" s="3">
        <f>[1]Raw_Data!H1849</f>
        <v>0</v>
      </c>
      <c r="I1851" s="3" t="str">
        <f>TRIM([1]Raw_Data!I1849)</f>
        <v>USA</v>
      </c>
      <c r="J1851" s="3" t="str">
        <f>TRIM([1]Raw_Data!J1849)</f>
        <v>Walmart</v>
      </c>
      <c r="K1851" s="3">
        <f t="shared" si="112"/>
        <v>2022</v>
      </c>
      <c r="L1851" s="6">
        <f t="shared" si="113"/>
        <v>44621</v>
      </c>
      <c r="M1851" s="3" t="str">
        <f t="shared" si="114"/>
        <v>21% to 25%</v>
      </c>
      <c r="N1851" s="3" t="str">
        <f t="shared" si="115"/>
        <v>OK</v>
      </c>
    </row>
    <row r="1852" spans="1:14" x14ac:dyDescent="0.3">
      <c r="A1852" s="2">
        <f>DATE(VALUE(RIGHT(TRIM([1]Raw_Data!A1850),4)),VALUE(MID(TRIM([1]Raw_Data!A1850),4,2)),VALUE(LEFT(TRIM([1]Raw_Data!A1850),2)))</f>
        <v>44641</v>
      </c>
      <c r="B1852" s="3" t="str">
        <f>TRIM([1]Raw_Data!B1850)</f>
        <v>Collagen Peptides</v>
      </c>
      <c r="C1852" s="3" t="str">
        <f>TRIM([1]Raw_Data!C1850)</f>
        <v>Protein</v>
      </c>
      <c r="D1852" s="3">
        <f>[1]Raw_Data!D1850</f>
        <v>162</v>
      </c>
      <c r="E1852" s="4">
        <f>[1]Raw_Data!E1850</f>
        <v>32.53</v>
      </c>
      <c r="F1852" s="5">
        <f>[1]Raw_Data!F1850</f>
        <v>5269.86</v>
      </c>
      <c r="G1852" s="4">
        <f>[1]Raw_Data!G1850</f>
        <v>0.11</v>
      </c>
      <c r="H1852" s="3">
        <f>[1]Raw_Data!H1850</f>
        <v>1</v>
      </c>
      <c r="I1852" s="3" t="str">
        <f>TRIM([1]Raw_Data!I1850)</f>
        <v>Canada</v>
      </c>
      <c r="J1852" s="3" t="str">
        <f>TRIM([1]Raw_Data!J1850)</f>
        <v>Amazon</v>
      </c>
      <c r="K1852" s="3">
        <f t="shared" si="112"/>
        <v>2022</v>
      </c>
      <c r="L1852" s="6">
        <f t="shared" si="113"/>
        <v>44621</v>
      </c>
      <c r="M1852" s="3" t="str">
        <f t="shared" si="114"/>
        <v>11% to 15%</v>
      </c>
      <c r="N1852" s="3" t="str">
        <f t="shared" si="115"/>
        <v>OK</v>
      </c>
    </row>
    <row r="1853" spans="1:14" x14ac:dyDescent="0.3">
      <c r="A1853" s="2">
        <f>DATE(VALUE(RIGHT(TRIM([1]Raw_Data!A1851),4)),VALUE(MID(TRIM([1]Raw_Data!A1851),4,2)),VALUE(LEFT(TRIM([1]Raw_Data!A1851),2)))</f>
        <v>44641</v>
      </c>
      <c r="B1853" s="3" t="str">
        <f>TRIM([1]Raw_Data!B1851)</f>
        <v>Magnesium</v>
      </c>
      <c r="C1853" s="3" t="str">
        <f>TRIM([1]Raw_Data!C1851)</f>
        <v>Mineral</v>
      </c>
      <c r="D1853" s="3">
        <f>[1]Raw_Data!D1851</f>
        <v>176</v>
      </c>
      <c r="E1853" s="4">
        <f>[1]Raw_Data!E1851</f>
        <v>57.66</v>
      </c>
      <c r="F1853" s="5">
        <f>[1]Raw_Data!F1851</f>
        <v>10148.16</v>
      </c>
      <c r="G1853" s="4">
        <f>[1]Raw_Data!G1851</f>
        <v>0.05</v>
      </c>
      <c r="H1853" s="3">
        <f>[1]Raw_Data!H1851</f>
        <v>2</v>
      </c>
      <c r="I1853" s="3" t="str">
        <f>TRIM([1]Raw_Data!I1851)</f>
        <v>UK</v>
      </c>
      <c r="J1853" s="3" t="str">
        <f>TRIM([1]Raw_Data!J1851)</f>
        <v>Walmart</v>
      </c>
      <c r="K1853" s="3">
        <f t="shared" si="112"/>
        <v>2022</v>
      </c>
      <c r="L1853" s="6">
        <f t="shared" si="113"/>
        <v>44621</v>
      </c>
      <c r="M1853" s="3" t="str">
        <f t="shared" si="114"/>
        <v>0% to 5%</v>
      </c>
      <c r="N1853" s="3" t="str">
        <f t="shared" si="115"/>
        <v>OK</v>
      </c>
    </row>
    <row r="1854" spans="1:14" x14ac:dyDescent="0.3">
      <c r="A1854" s="2">
        <f>DATE(VALUE(RIGHT(TRIM([1]Raw_Data!A1852),4)),VALUE(MID(TRIM([1]Raw_Data!A1852),4,2)),VALUE(LEFT(TRIM([1]Raw_Data!A1852),2)))</f>
        <v>44641</v>
      </c>
      <c r="B1854" s="3" t="str">
        <f>TRIM([1]Raw_Data!B1852)</f>
        <v>Ashwagandha</v>
      </c>
      <c r="C1854" s="3" t="str">
        <f>TRIM([1]Raw_Data!C1852)</f>
        <v>Herbal</v>
      </c>
      <c r="D1854" s="3">
        <f>[1]Raw_Data!D1852</f>
        <v>162</v>
      </c>
      <c r="E1854" s="4">
        <f>[1]Raw_Data!E1852</f>
        <v>40.35</v>
      </c>
      <c r="F1854" s="5">
        <f>[1]Raw_Data!F1852</f>
        <v>6536.7</v>
      </c>
      <c r="G1854" s="4">
        <f>[1]Raw_Data!G1852</f>
        <v>0.14000000000000001</v>
      </c>
      <c r="H1854" s="3">
        <f>[1]Raw_Data!H1852</f>
        <v>3</v>
      </c>
      <c r="I1854" s="3" t="str">
        <f>TRIM([1]Raw_Data!I1852)</f>
        <v>UK</v>
      </c>
      <c r="J1854" s="3" t="str">
        <f>TRIM([1]Raw_Data!J1852)</f>
        <v>iHerb</v>
      </c>
      <c r="K1854" s="3">
        <f t="shared" si="112"/>
        <v>2022</v>
      </c>
      <c r="L1854" s="6">
        <f t="shared" si="113"/>
        <v>44621</v>
      </c>
      <c r="M1854" s="3" t="str">
        <f t="shared" si="114"/>
        <v>11% to 15%</v>
      </c>
      <c r="N1854" s="3" t="str">
        <f t="shared" si="115"/>
        <v>OK</v>
      </c>
    </row>
    <row r="1855" spans="1:14" x14ac:dyDescent="0.3">
      <c r="A1855" s="2">
        <f>DATE(VALUE(RIGHT(TRIM([1]Raw_Data!A1853),4)),VALUE(MID(TRIM([1]Raw_Data!A1853),4,2)),VALUE(LEFT(TRIM([1]Raw_Data!A1853),2)))</f>
        <v>44641</v>
      </c>
      <c r="B1855" s="3" t="str">
        <f>TRIM([1]Raw_Data!B1853)</f>
        <v>Melatonin</v>
      </c>
      <c r="C1855" s="3" t="str">
        <f>TRIM([1]Raw_Data!C1853)</f>
        <v>Sleep Aid</v>
      </c>
      <c r="D1855" s="3">
        <f>[1]Raw_Data!D1853</f>
        <v>163</v>
      </c>
      <c r="E1855" s="4">
        <f>[1]Raw_Data!E1853</f>
        <v>52.43</v>
      </c>
      <c r="F1855" s="5">
        <f>[1]Raw_Data!F1853</f>
        <v>8546.09</v>
      </c>
      <c r="G1855" s="4">
        <f>[1]Raw_Data!G1853</f>
        <v>0.1</v>
      </c>
      <c r="H1855" s="3">
        <f>[1]Raw_Data!H1853</f>
        <v>1</v>
      </c>
      <c r="I1855" s="3" t="str">
        <f>TRIM([1]Raw_Data!I1853)</f>
        <v>UK</v>
      </c>
      <c r="J1855" s="3" t="str">
        <f>TRIM([1]Raw_Data!J1853)</f>
        <v>Walmart</v>
      </c>
      <c r="K1855" s="3">
        <f t="shared" si="112"/>
        <v>2022</v>
      </c>
      <c r="L1855" s="6">
        <f t="shared" si="113"/>
        <v>44621</v>
      </c>
      <c r="M1855" s="3" t="str">
        <f t="shared" si="114"/>
        <v>6% to 10%</v>
      </c>
      <c r="N1855" s="3" t="str">
        <f t="shared" si="115"/>
        <v>OK</v>
      </c>
    </row>
    <row r="1856" spans="1:14" x14ac:dyDescent="0.3">
      <c r="A1856" s="2">
        <f>DATE(VALUE(RIGHT(TRIM([1]Raw_Data!A1854),4)),VALUE(MID(TRIM([1]Raw_Data!A1854),4,2)),VALUE(LEFT(TRIM([1]Raw_Data!A1854),2)))</f>
        <v>44641</v>
      </c>
      <c r="B1856" s="3" t="str">
        <f>TRIM([1]Raw_Data!B1854)</f>
        <v>Biotin</v>
      </c>
      <c r="C1856" s="3" t="str">
        <f>TRIM([1]Raw_Data!C1854)</f>
        <v>Vitamin</v>
      </c>
      <c r="D1856" s="3">
        <f>[1]Raw_Data!D1854</f>
        <v>166</v>
      </c>
      <c r="E1856" s="4">
        <f>[1]Raw_Data!E1854</f>
        <v>50.42</v>
      </c>
      <c r="F1856" s="5">
        <f>[1]Raw_Data!F1854</f>
        <v>8369.7199999999993</v>
      </c>
      <c r="G1856" s="4">
        <f>[1]Raw_Data!G1854</f>
        <v>7.0000000000000007E-2</v>
      </c>
      <c r="H1856" s="3">
        <f>[1]Raw_Data!H1854</f>
        <v>0</v>
      </c>
      <c r="I1856" s="3" t="str">
        <f>TRIM([1]Raw_Data!I1854)</f>
        <v>USA</v>
      </c>
      <c r="J1856" s="3" t="str">
        <f>TRIM([1]Raw_Data!J1854)</f>
        <v>Amazon</v>
      </c>
      <c r="K1856" s="3">
        <f t="shared" si="112"/>
        <v>2022</v>
      </c>
      <c r="L1856" s="6">
        <f t="shared" si="113"/>
        <v>44621</v>
      </c>
      <c r="M1856" s="3" t="str">
        <f t="shared" si="114"/>
        <v>6% to 10%</v>
      </c>
      <c r="N1856" s="3" t="str">
        <f t="shared" si="115"/>
        <v>OK</v>
      </c>
    </row>
    <row r="1857" spans="1:14" x14ac:dyDescent="0.3">
      <c r="A1857" s="2">
        <f>DATE(VALUE(RIGHT(TRIM([1]Raw_Data!A1855),4)),VALUE(MID(TRIM([1]Raw_Data!A1855),4,2)),VALUE(LEFT(TRIM([1]Raw_Data!A1855),2)))</f>
        <v>44641</v>
      </c>
      <c r="B1857" s="3" t="str">
        <f>TRIM([1]Raw_Data!B1855)</f>
        <v>Green Tea Extract</v>
      </c>
      <c r="C1857" s="3" t="str">
        <f>TRIM([1]Raw_Data!C1855)</f>
        <v>Fat Burner</v>
      </c>
      <c r="D1857" s="3">
        <f>[1]Raw_Data!D1855</f>
        <v>150</v>
      </c>
      <c r="E1857" s="4">
        <f>[1]Raw_Data!E1855</f>
        <v>47.72</v>
      </c>
      <c r="F1857" s="5">
        <f>[1]Raw_Data!F1855</f>
        <v>7158</v>
      </c>
      <c r="G1857" s="4">
        <f>[1]Raw_Data!G1855</f>
        <v>7.0000000000000007E-2</v>
      </c>
      <c r="H1857" s="3">
        <f>[1]Raw_Data!H1855</f>
        <v>1</v>
      </c>
      <c r="I1857" s="3" t="str">
        <f>TRIM([1]Raw_Data!I1855)</f>
        <v>UK</v>
      </c>
      <c r="J1857" s="3" t="str">
        <f>TRIM([1]Raw_Data!J1855)</f>
        <v>Walmart</v>
      </c>
      <c r="K1857" s="3">
        <f t="shared" si="112"/>
        <v>2022</v>
      </c>
      <c r="L1857" s="6">
        <f t="shared" si="113"/>
        <v>44621</v>
      </c>
      <c r="M1857" s="3" t="str">
        <f t="shared" si="114"/>
        <v>6% to 10%</v>
      </c>
      <c r="N1857" s="3" t="str">
        <f t="shared" si="115"/>
        <v>OK</v>
      </c>
    </row>
    <row r="1858" spans="1:14" x14ac:dyDescent="0.3">
      <c r="A1858" s="2">
        <f>DATE(VALUE(RIGHT(TRIM([1]Raw_Data!A1856),4)),VALUE(MID(TRIM([1]Raw_Data!A1856),4,2)),VALUE(LEFT(TRIM([1]Raw_Data!A1856),2)))</f>
        <v>44641</v>
      </c>
      <c r="B1858" s="3" t="str">
        <f>TRIM([1]Raw_Data!B1856)</f>
        <v>Iron Supplement</v>
      </c>
      <c r="C1858" s="3" t="str">
        <f>TRIM([1]Raw_Data!C1856)</f>
        <v>Mineral</v>
      </c>
      <c r="D1858" s="3">
        <f>[1]Raw_Data!D1856</f>
        <v>130</v>
      </c>
      <c r="E1858" s="4">
        <f>[1]Raw_Data!E1856</f>
        <v>49.07</v>
      </c>
      <c r="F1858" s="5">
        <f>[1]Raw_Data!F1856</f>
        <v>6379.1</v>
      </c>
      <c r="G1858" s="4">
        <f>[1]Raw_Data!G1856</f>
        <v>0.04</v>
      </c>
      <c r="H1858" s="3">
        <f>[1]Raw_Data!H1856</f>
        <v>2</v>
      </c>
      <c r="I1858" s="3" t="str">
        <f>TRIM([1]Raw_Data!I1856)</f>
        <v>USA</v>
      </c>
      <c r="J1858" s="3" t="str">
        <f>TRIM([1]Raw_Data!J1856)</f>
        <v>iHerb</v>
      </c>
      <c r="K1858" s="3">
        <f t="shared" si="112"/>
        <v>2022</v>
      </c>
      <c r="L1858" s="6">
        <f t="shared" si="113"/>
        <v>44621</v>
      </c>
      <c r="M1858" s="3" t="str">
        <f t="shared" si="114"/>
        <v>0% to 5%</v>
      </c>
      <c r="N1858" s="3" t="str">
        <f t="shared" si="115"/>
        <v>OK</v>
      </c>
    </row>
    <row r="1859" spans="1:14" x14ac:dyDescent="0.3">
      <c r="A1859" s="2">
        <f>DATE(VALUE(RIGHT(TRIM([1]Raw_Data!A1857),4)),VALUE(MID(TRIM([1]Raw_Data!A1857),4,2)),VALUE(LEFT(TRIM([1]Raw_Data!A1857),2)))</f>
        <v>44641</v>
      </c>
      <c r="B1859" s="3" t="str">
        <f>TRIM([1]Raw_Data!B1857)</f>
        <v>Electrolyte Powder</v>
      </c>
      <c r="C1859" s="3" t="str">
        <f>TRIM([1]Raw_Data!C1857)</f>
        <v>Hydration</v>
      </c>
      <c r="D1859" s="3">
        <f>[1]Raw_Data!D1857</f>
        <v>171</v>
      </c>
      <c r="E1859" s="4">
        <f>[1]Raw_Data!E1857</f>
        <v>50.55</v>
      </c>
      <c r="F1859" s="5">
        <f>[1]Raw_Data!F1857</f>
        <v>8644.0499999999993</v>
      </c>
      <c r="G1859" s="4">
        <f>[1]Raw_Data!G1857</f>
        <v>0.03</v>
      </c>
      <c r="H1859" s="3">
        <f>[1]Raw_Data!H1857</f>
        <v>1</v>
      </c>
      <c r="I1859" s="3" t="str">
        <f>TRIM([1]Raw_Data!I1857)</f>
        <v>UK</v>
      </c>
      <c r="J1859" s="3" t="str">
        <f>TRIM([1]Raw_Data!J1857)</f>
        <v>iHerb</v>
      </c>
      <c r="K1859" s="3">
        <f t="shared" si="112"/>
        <v>2022</v>
      </c>
      <c r="L1859" s="6">
        <f t="shared" si="113"/>
        <v>44621</v>
      </c>
      <c r="M1859" s="3" t="str">
        <f t="shared" si="114"/>
        <v>0% to 5%</v>
      </c>
      <c r="N1859" s="3" t="str">
        <f t="shared" si="115"/>
        <v>OK</v>
      </c>
    </row>
    <row r="1860" spans="1:14" x14ac:dyDescent="0.3">
      <c r="A1860" s="2">
        <f>DATE(VALUE(RIGHT(TRIM([1]Raw_Data!A1858),4)),VALUE(MID(TRIM([1]Raw_Data!A1858),4,2)),VALUE(LEFT(TRIM([1]Raw_Data!A1858),2)))</f>
        <v>44648</v>
      </c>
      <c r="B1860" s="3" t="str">
        <f>TRIM([1]Raw_Data!B1858)</f>
        <v>Whey Protein</v>
      </c>
      <c r="C1860" s="3" t="str">
        <f>TRIM([1]Raw_Data!C1858)</f>
        <v>Protein</v>
      </c>
      <c r="D1860" s="3">
        <f>[1]Raw_Data!D1858</f>
        <v>168</v>
      </c>
      <c r="E1860" s="4">
        <f>[1]Raw_Data!E1858</f>
        <v>41.98</v>
      </c>
      <c r="F1860" s="5">
        <f>[1]Raw_Data!F1858</f>
        <v>7052.64</v>
      </c>
      <c r="G1860" s="4">
        <f>[1]Raw_Data!G1858</f>
        <v>0.17</v>
      </c>
      <c r="H1860" s="3">
        <f>[1]Raw_Data!H1858</f>
        <v>1</v>
      </c>
      <c r="I1860" s="3" t="str">
        <f>TRIM([1]Raw_Data!I1858)</f>
        <v>UK</v>
      </c>
      <c r="J1860" s="3" t="str">
        <f>TRIM([1]Raw_Data!J1858)</f>
        <v>iHerb</v>
      </c>
      <c r="K1860" s="3">
        <f t="shared" ref="K1860:K1923" si="116">YEAR(A1860)</f>
        <v>2022</v>
      </c>
      <c r="L1860" s="6">
        <f t="shared" ref="L1860:L1923" si="117">DATE(YEAR(A1860),MONTH(A1860),1)</f>
        <v>44621</v>
      </c>
      <c r="M1860" s="3" t="str">
        <f t="shared" ref="M1860:M1923" si="118">IF(ROUND(G1860*100,0)&lt;=5,"0% to 5%",IF(ROUND(G1860*100,0)&lt;=10,"6% to 10%",IF(ROUND(G1860*100,0)&lt;=15,"11% to 15%",IF(ROUND(G1860*100,0)&lt;=20,"16% to 20%","21% to 25%"))))</f>
        <v>16% to 20%</v>
      </c>
      <c r="N1860" s="3" t="str">
        <f t="shared" ref="N1860:N1923" si="119">IF(ROUND(D1860*E1860,2)=ROUND(F1860,2),"OK","Check")</f>
        <v>OK</v>
      </c>
    </row>
    <row r="1861" spans="1:14" x14ac:dyDescent="0.3">
      <c r="A1861" s="2">
        <f>DATE(VALUE(RIGHT(TRIM([1]Raw_Data!A1859),4)),VALUE(MID(TRIM([1]Raw_Data!A1859),4,2)),VALUE(LEFT(TRIM([1]Raw_Data!A1859),2)))</f>
        <v>44648</v>
      </c>
      <c r="B1861" s="3" t="str">
        <f>TRIM([1]Raw_Data!B1859)</f>
        <v>Vitamin C</v>
      </c>
      <c r="C1861" s="3" t="str">
        <f>TRIM([1]Raw_Data!C1859)</f>
        <v>Vitamin</v>
      </c>
      <c r="D1861" s="3">
        <f>[1]Raw_Data!D1859</f>
        <v>156</v>
      </c>
      <c r="E1861" s="4">
        <f>[1]Raw_Data!E1859</f>
        <v>54.99</v>
      </c>
      <c r="F1861" s="5">
        <f>[1]Raw_Data!F1859</f>
        <v>8578.44</v>
      </c>
      <c r="G1861" s="4">
        <f>[1]Raw_Data!G1859</f>
        <v>0.08</v>
      </c>
      <c r="H1861" s="3">
        <f>[1]Raw_Data!H1859</f>
        <v>1</v>
      </c>
      <c r="I1861" s="3" t="str">
        <f>TRIM([1]Raw_Data!I1859)</f>
        <v>Canada</v>
      </c>
      <c r="J1861" s="3" t="str">
        <f>TRIM([1]Raw_Data!J1859)</f>
        <v>Amazon</v>
      </c>
      <c r="K1861" s="3">
        <f t="shared" si="116"/>
        <v>2022</v>
      </c>
      <c r="L1861" s="6">
        <f t="shared" si="117"/>
        <v>44621</v>
      </c>
      <c r="M1861" s="3" t="str">
        <f t="shared" si="118"/>
        <v>6% to 10%</v>
      </c>
      <c r="N1861" s="3" t="str">
        <f t="shared" si="119"/>
        <v>OK</v>
      </c>
    </row>
    <row r="1862" spans="1:14" x14ac:dyDescent="0.3">
      <c r="A1862" s="2">
        <f>DATE(VALUE(RIGHT(TRIM([1]Raw_Data!A1860),4)),VALUE(MID(TRIM([1]Raw_Data!A1860),4,2)),VALUE(LEFT(TRIM([1]Raw_Data!A1860),2)))</f>
        <v>44648</v>
      </c>
      <c r="B1862" s="3" t="str">
        <f>TRIM([1]Raw_Data!B1860)</f>
        <v>Fish Oil</v>
      </c>
      <c r="C1862" s="3" t="str">
        <f>TRIM([1]Raw_Data!C1860)</f>
        <v>Omega</v>
      </c>
      <c r="D1862" s="3">
        <f>[1]Raw_Data!D1860</f>
        <v>166</v>
      </c>
      <c r="E1862" s="4">
        <f>[1]Raw_Data!E1860</f>
        <v>35.75</v>
      </c>
      <c r="F1862" s="5">
        <f>[1]Raw_Data!F1860</f>
        <v>5934.5</v>
      </c>
      <c r="G1862" s="4">
        <f>[1]Raw_Data!G1860</f>
        <v>0.03</v>
      </c>
      <c r="H1862" s="3">
        <f>[1]Raw_Data!H1860</f>
        <v>1</v>
      </c>
      <c r="I1862" s="3" t="str">
        <f>TRIM([1]Raw_Data!I1860)</f>
        <v>USA</v>
      </c>
      <c r="J1862" s="3" t="str">
        <f>TRIM([1]Raw_Data!J1860)</f>
        <v>iHerb</v>
      </c>
      <c r="K1862" s="3">
        <f t="shared" si="116"/>
        <v>2022</v>
      </c>
      <c r="L1862" s="6">
        <f t="shared" si="117"/>
        <v>44621</v>
      </c>
      <c r="M1862" s="3" t="str">
        <f t="shared" si="118"/>
        <v>0% to 5%</v>
      </c>
      <c r="N1862" s="3" t="str">
        <f t="shared" si="119"/>
        <v>OK</v>
      </c>
    </row>
    <row r="1863" spans="1:14" x14ac:dyDescent="0.3">
      <c r="A1863" s="2">
        <f>DATE(VALUE(RIGHT(TRIM([1]Raw_Data!A1861),4)),VALUE(MID(TRIM([1]Raw_Data!A1861),4,2)),VALUE(LEFT(TRIM([1]Raw_Data!A1861),2)))</f>
        <v>44648</v>
      </c>
      <c r="B1863" s="3" t="str">
        <f>TRIM([1]Raw_Data!B1861)</f>
        <v>Multivitamin</v>
      </c>
      <c r="C1863" s="3" t="str">
        <f>TRIM([1]Raw_Data!C1861)</f>
        <v>Vitamin</v>
      </c>
      <c r="D1863" s="3">
        <f>[1]Raw_Data!D1861</f>
        <v>156</v>
      </c>
      <c r="E1863" s="4">
        <f>[1]Raw_Data!E1861</f>
        <v>51.82</v>
      </c>
      <c r="F1863" s="5">
        <f>[1]Raw_Data!F1861</f>
        <v>8083.92</v>
      </c>
      <c r="G1863" s="4">
        <f>[1]Raw_Data!G1861</f>
        <v>0.24</v>
      </c>
      <c r="H1863" s="3">
        <f>[1]Raw_Data!H1861</f>
        <v>3</v>
      </c>
      <c r="I1863" s="3" t="str">
        <f>TRIM([1]Raw_Data!I1861)</f>
        <v>Canada</v>
      </c>
      <c r="J1863" s="3" t="str">
        <f>TRIM([1]Raw_Data!J1861)</f>
        <v>iHerb</v>
      </c>
      <c r="K1863" s="3">
        <f t="shared" si="116"/>
        <v>2022</v>
      </c>
      <c r="L1863" s="6">
        <f t="shared" si="117"/>
        <v>44621</v>
      </c>
      <c r="M1863" s="3" t="str">
        <f t="shared" si="118"/>
        <v>21% to 25%</v>
      </c>
      <c r="N1863" s="3" t="str">
        <f t="shared" si="119"/>
        <v>OK</v>
      </c>
    </row>
    <row r="1864" spans="1:14" x14ac:dyDescent="0.3">
      <c r="A1864" s="2">
        <f>DATE(VALUE(RIGHT(TRIM([1]Raw_Data!A1862),4)),VALUE(MID(TRIM([1]Raw_Data!A1862),4,2)),VALUE(LEFT(TRIM([1]Raw_Data!A1862),2)))</f>
        <v>44648</v>
      </c>
      <c r="B1864" s="3" t="str">
        <f>TRIM([1]Raw_Data!B1862)</f>
        <v>Pre-Workout</v>
      </c>
      <c r="C1864" s="3" t="str">
        <f>TRIM([1]Raw_Data!C1862)</f>
        <v>Performance</v>
      </c>
      <c r="D1864" s="3">
        <f>[1]Raw_Data!D1862</f>
        <v>146</v>
      </c>
      <c r="E1864" s="4">
        <f>[1]Raw_Data!E1862</f>
        <v>27.57</v>
      </c>
      <c r="F1864" s="5">
        <f>[1]Raw_Data!F1862</f>
        <v>4025.22</v>
      </c>
      <c r="G1864" s="4">
        <f>[1]Raw_Data!G1862</f>
        <v>0.04</v>
      </c>
      <c r="H1864" s="3">
        <f>[1]Raw_Data!H1862</f>
        <v>0</v>
      </c>
      <c r="I1864" s="3" t="str">
        <f>TRIM([1]Raw_Data!I1862)</f>
        <v>Canada</v>
      </c>
      <c r="J1864" s="3" t="str">
        <f>TRIM([1]Raw_Data!J1862)</f>
        <v>Amazon</v>
      </c>
      <c r="K1864" s="3">
        <f t="shared" si="116"/>
        <v>2022</v>
      </c>
      <c r="L1864" s="6">
        <f t="shared" si="117"/>
        <v>44621</v>
      </c>
      <c r="M1864" s="3" t="str">
        <f t="shared" si="118"/>
        <v>0% to 5%</v>
      </c>
      <c r="N1864" s="3" t="str">
        <f t="shared" si="119"/>
        <v>OK</v>
      </c>
    </row>
    <row r="1865" spans="1:14" x14ac:dyDescent="0.3">
      <c r="A1865" s="2">
        <f>DATE(VALUE(RIGHT(TRIM([1]Raw_Data!A1863),4)),VALUE(MID(TRIM([1]Raw_Data!A1863),4,2)),VALUE(LEFT(TRIM([1]Raw_Data!A1863),2)))</f>
        <v>44648</v>
      </c>
      <c r="B1865" s="3" t="str">
        <f>TRIM([1]Raw_Data!B1863)</f>
        <v>BCAA</v>
      </c>
      <c r="C1865" s="3" t="str">
        <f>TRIM([1]Raw_Data!C1863)</f>
        <v>Amino Acid</v>
      </c>
      <c r="D1865" s="3">
        <f>[1]Raw_Data!D1863</f>
        <v>146</v>
      </c>
      <c r="E1865" s="4">
        <f>[1]Raw_Data!E1863</f>
        <v>21.95</v>
      </c>
      <c r="F1865" s="5">
        <f>[1]Raw_Data!F1863</f>
        <v>3204.7</v>
      </c>
      <c r="G1865" s="4">
        <f>[1]Raw_Data!G1863</f>
        <v>0.05</v>
      </c>
      <c r="H1865" s="3">
        <f>[1]Raw_Data!H1863</f>
        <v>4</v>
      </c>
      <c r="I1865" s="3" t="str">
        <f>TRIM([1]Raw_Data!I1863)</f>
        <v>UK</v>
      </c>
      <c r="J1865" s="3" t="str">
        <f>TRIM([1]Raw_Data!J1863)</f>
        <v>Amazon</v>
      </c>
      <c r="K1865" s="3">
        <f t="shared" si="116"/>
        <v>2022</v>
      </c>
      <c r="L1865" s="6">
        <f t="shared" si="117"/>
        <v>44621</v>
      </c>
      <c r="M1865" s="3" t="str">
        <f t="shared" si="118"/>
        <v>0% to 5%</v>
      </c>
      <c r="N1865" s="3" t="str">
        <f t="shared" si="119"/>
        <v>OK</v>
      </c>
    </row>
    <row r="1866" spans="1:14" x14ac:dyDescent="0.3">
      <c r="A1866" s="2">
        <f>DATE(VALUE(RIGHT(TRIM([1]Raw_Data!A1864),4)),VALUE(MID(TRIM([1]Raw_Data!A1864),4,2)),VALUE(LEFT(TRIM([1]Raw_Data!A1864),2)))</f>
        <v>44648</v>
      </c>
      <c r="B1866" s="3" t="str">
        <f>TRIM([1]Raw_Data!B1864)</f>
        <v>Creatine</v>
      </c>
      <c r="C1866" s="3" t="str">
        <f>TRIM([1]Raw_Data!C1864)</f>
        <v>Performance</v>
      </c>
      <c r="D1866" s="3">
        <f>[1]Raw_Data!D1864</f>
        <v>143</v>
      </c>
      <c r="E1866" s="4">
        <f>[1]Raw_Data!E1864</f>
        <v>55.89</v>
      </c>
      <c r="F1866" s="5">
        <f>[1]Raw_Data!F1864</f>
        <v>7992.27</v>
      </c>
      <c r="G1866" s="4">
        <f>[1]Raw_Data!G1864</f>
        <v>0.03</v>
      </c>
      <c r="H1866" s="3">
        <f>[1]Raw_Data!H1864</f>
        <v>1</v>
      </c>
      <c r="I1866" s="3" t="str">
        <f>TRIM([1]Raw_Data!I1864)</f>
        <v>Canada</v>
      </c>
      <c r="J1866" s="3" t="str">
        <f>TRIM([1]Raw_Data!J1864)</f>
        <v>Amazon</v>
      </c>
      <c r="K1866" s="3">
        <f t="shared" si="116"/>
        <v>2022</v>
      </c>
      <c r="L1866" s="6">
        <f t="shared" si="117"/>
        <v>44621</v>
      </c>
      <c r="M1866" s="3" t="str">
        <f t="shared" si="118"/>
        <v>0% to 5%</v>
      </c>
      <c r="N1866" s="3" t="str">
        <f t="shared" si="119"/>
        <v>OK</v>
      </c>
    </row>
    <row r="1867" spans="1:14" x14ac:dyDescent="0.3">
      <c r="A1867" s="2">
        <f>DATE(VALUE(RIGHT(TRIM([1]Raw_Data!A1865),4)),VALUE(MID(TRIM([1]Raw_Data!A1865),4,2)),VALUE(LEFT(TRIM([1]Raw_Data!A1865),2)))</f>
        <v>44648</v>
      </c>
      <c r="B1867" s="3" t="str">
        <f>TRIM([1]Raw_Data!B1865)</f>
        <v>Zinc</v>
      </c>
      <c r="C1867" s="3" t="str">
        <f>TRIM([1]Raw_Data!C1865)</f>
        <v>Mineral</v>
      </c>
      <c r="D1867" s="3">
        <f>[1]Raw_Data!D1865</f>
        <v>142</v>
      </c>
      <c r="E1867" s="4">
        <f>[1]Raw_Data!E1865</f>
        <v>12.5</v>
      </c>
      <c r="F1867" s="5">
        <f>[1]Raw_Data!F1865</f>
        <v>1775</v>
      </c>
      <c r="G1867" s="4">
        <f>[1]Raw_Data!G1865</f>
        <v>0.03</v>
      </c>
      <c r="H1867" s="3">
        <f>[1]Raw_Data!H1865</f>
        <v>0</v>
      </c>
      <c r="I1867" s="3" t="str">
        <f>TRIM([1]Raw_Data!I1865)</f>
        <v>Canada</v>
      </c>
      <c r="J1867" s="3" t="str">
        <f>TRIM([1]Raw_Data!J1865)</f>
        <v>Amazon</v>
      </c>
      <c r="K1867" s="3">
        <f t="shared" si="116"/>
        <v>2022</v>
      </c>
      <c r="L1867" s="6">
        <f t="shared" si="117"/>
        <v>44621</v>
      </c>
      <c r="M1867" s="3" t="str">
        <f t="shared" si="118"/>
        <v>0% to 5%</v>
      </c>
      <c r="N1867" s="3" t="str">
        <f t="shared" si="119"/>
        <v>OK</v>
      </c>
    </row>
    <row r="1868" spans="1:14" x14ac:dyDescent="0.3">
      <c r="A1868" s="2">
        <f>DATE(VALUE(RIGHT(TRIM([1]Raw_Data!A1866),4)),VALUE(MID(TRIM([1]Raw_Data!A1866),4,2)),VALUE(LEFT(TRIM([1]Raw_Data!A1866),2)))</f>
        <v>44648</v>
      </c>
      <c r="B1868" s="3" t="str">
        <f>TRIM([1]Raw_Data!B1866)</f>
        <v>Collagen Peptides</v>
      </c>
      <c r="C1868" s="3" t="str">
        <f>TRIM([1]Raw_Data!C1866)</f>
        <v>Protein</v>
      </c>
      <c r="D1868" s="3">
        <f>[1]Raw_Data!D1866</f>
        <v>160</v>
      </c>
      <c r="E1868" s="4">
        <f>[1]Raw_Data!E1866</f>
        <v>27.14</v>
      </c>
      <c r="F1868" s="5">
        <f>[1]Raw_Data!F1866</f>
        <v>4342.3999999999996</v>
      </c>
      <c r="G1868" s="4">
        <f>[1]Raw_Data!G1866</f>
        <v>0.1</v>
      </c>
      <c r="H1868" s="3">
        <f>[1]Raw_Data!H1866</f>
        <v>4</v>
      </c>
      <c r="I1868" s="3" t="str">
        <f>TRIM([1]Raw_Data!I1866)</f>
        <v>USA</v>
      </c>
      <c r="J1868" s="3" t="str">
        <f>TRIM([1]Raw_Data!J1866)</f>
        <v>Walmart</v>
      </c>
      <c r="K1868" s="3">
        <f t="shared" si="116"/>
        <v>2022</v>
      </c>
      <c r="L1868" s="6">
        <f t="shared" si="117"/>
        <v>44621</v>
      </c>
      <c r="M1868" s="3" t="str">
        <f t="shared" si="118"/>
        <v>6% to 10%</v>
      </c>
      <c r="N1868" s="3" t="str">
        <f t="shared" si="119"/>
        <v>OK</v>
      </c>
    </row>
    <row r="1869" spans="1:14" x14ac:dyDescent="0.3">
      <c r="A1869" s="2">
        <f>DATE(VALUE(RIGHT(TRIM([1]Raw_Data!A1867),4)),VALUE(MID(TRIM([1]Raw_Data!A1867),4,2)),VALUE(LEFT(TRIM([1]Raw_Data!A1867),2)))</f>
        <v>44648</v>
      </c>
      <c r="B1869" s="3" t="str">
        <f>TRIM([1]Raw_Data!B1867)</f>
        <v>Magnesium</v>
      </c>
      <c r="C1869" s="3" t="str">
        <f>TRIM([1]Raw_Data!C1867)</f>
        <v>Mineral</v>
      </c>
      <c r="D1869" s="3">
        <f>[1]Raw_Data!D1867</f>
        <v>170</v>
      </c>
      <c r="E1869" s="4">
        <f>[1]Raw_Data!E1867</f>
        <v>54.23</v>
      </c>
      <c r="F1869" s="5">
        <f>[1]Raw_Data!F1867</f>
        <v>9219.1</v>
      </c>
      <c r="G1869" s="4">
        <f>[1]Raw_Data!G1867</f>
        <v>0.08</v>
      </c>
      <c r="H1869" s="3">
        <f>[1]Raw_Data!H1867</f>
        <v>1</v>
      </c>
      <c r="I1869" s="3" t="str">
        <f>TRIM([1]Raw_Data!I1867)</f>
        <v>UK</v>
      </c>
      <c r="J1869" s="3" t="str">
        <f>TRIM([1]Raw_Data!J1867)</f>
        <v>Walmart</v>
      </c>
      <c r="K1869" s="3">
        <f t="shared" si="116"/>
        <v>2022</v>
      </c>
      <c r="L1869" s="6">
        <f t="shared" si="117"/>
        <v>44621</v>
      </c>
      <c r="M1869" s="3" t="str">
        <f t="shared" si="118"/>
        <v>6% to 10%</v>
      </c>
      <c r="N1869" s="3" t="str">
        <f t="shared" si="119"/>
        <v>OK</v>
      </c>
    </row>
    <row r="1870" spans="1:14" x14ac:dyDescent="0.3">
      <c r="A1870" s="2">
        <f>DATE(VALUE(RIGHT(TRIM([1]Raw_Data!A1868),4)),VALUE(MID(TRIM([1]Raw_Data!A1868),4,2)),VALUE(LEFT(TRIM([1]Raw_Data!A1868),2)))</f>
        <v>44648</v>
      </c>
      <c r="B1870" s="3" t="str">
        <f>TRIM([1]Raw_Data!B1868)</f>
        <v>Ashwagandha</v>
      </c>
      <c r="C1870" s="3" t="str">
        <f>TRIM([1]Raw_Data!C1868)</f>
        <v>Herbal</v>
      </c>
      <c r="D1870" s="3">
        <f>[1]Raw_Data!D1868</f>
        <v>154</v>
      </c>
      <c r="E1870" s="4">
        <f>[1]Raw_Data!E1868</f>
        <v>34.08</v>
      </c>
      <c r="F1870" s="5">
        <f>[1]Raw_Data!F1868</f>
        <v>5248.32</v>
      </c>
      <c r="G1870" s="4">
        <f>[1]Raw_Data!G1868</f>
        <v>0.1</v>
      </c>
      <c r="H1870" s="3">
        <f>[1]Raw_Data!H1868</f>
        <v>5</v>
      </c>
      <c r="I1870" s="3" t="str">
        <f>TRIM([1]Raw_Data!I1868)</f>
        <v>UK</v>
      </c>
      <c r="J1870" s="3" t="str">
        <f>TRIM([1]Raw_Data!J1868)</f>
        <v>Walmart</v>
      </c>
      <c r="K1870" s="3">
        <f t="shared" si="116"/>
        <v>2022</v>
      </c>
      <c r="L1870" s="6">
        <f t="shared" si="117"/>
        <v>44621</v>
      </c>
      <c r="M1870" s="3" t="str">
        <f t="shared" si="118"/>
        <v>6% to 10%</v>
      </c>
      <c r="N1870" s="3" t="str">
        <f t="shared" si="119"/>
        <v>OK</v>
      </c>
    </row>
    <row r="1871" spans="1:14" x14ac:dyDescent="0.3">
      <c r="A1871" s="2">
        <f>DATE(VALUE(RIGHT(TRIM([1]Raw_Data!A1869),4)),VALUE(MID(TRIM([1]Raw_Data!A1869),4,2)),VALUE(LEFT(TRIM([1]Raw_Data!A1869),2)))</f>
        <v>44648</v>
      </c>
      <c r="B1871" s="3" t="str">
        <f>TRIM([1]Raw_Data!B1869)</f>
        <v>Melatonin</v>
      </c>
      <c r="C1871" s="3" t="str">
        <f>TRIM([1]Raw_Data!C1869)</f>
        <v>Sleep Aid</v>
      </c>
      <c r="D1871" s="3">
        <f>[1]Raw_Data!D1869</f>
        <v>163</v>
      </c>
      <c r="E1871" s="4">
        <f>[1]Raw_Data!E1869</f>
        <v>46.36</v>
      </c>
      <c r="F1871" s="5">
        <f>[1]Raw_Data!F1869</f>
        <v>7556.68</v>
      </c>
      <c r="G1871" s="4">
        <f>[1]Raw_Data!G1869</f>
        <v>7.0000000000000007E-2</v>
      </c>
      <c r="H1871" s="3">
        <f>[1]Raw_Data!H1869</f>
        <v>0</v>
      </c>
      <c r="I1871" s="3" t="str">
        <f>TRIM([1]Raw_Data!I1869)</f>
        <v>Canada</v>
      </c>
      <c r="J1871" s="3" t="str">
        <f>TRIM([1]Raw_Data!J1869)</f>
        <v>iHerb</v>
      </c>
      <c r="K1871" s="3">
        <f t="shared" si="116"/>
        <v>2022</v>
      </c>
      <c r="L1871" s="6">
        <f t="shared" si="117"/>
        <v>44621</v>
      </c>
      <c r="M1871" s="3" t="str">
        <f t="shared" si="118"/>
        <v>6% to 10%</v>
      </c>
      <c r="N1871" s="3" t="str">
        <f t="shared" si="119"/>
        <v>OK</v>
      </c>
    </row>
    <row r="1872" spans="1:14" x14ac:dyDescent="0.3">
      <c r="A1872" s="2">
        <f>DATE(VALUE(RIGHT(TRIM([1]Raw_Data!A1870),4)),VALUE(MID(TRIM([1]Raw_Data!A1870),4,2)),VALUE(LEFT(TRIM([1]Raw_Data!A1870),2)))</f>
        <v>44648</v>
      </c>
      <c r="B1872" s="3" t="str">
        <f>TRIM([1]Raw_Data!B1870)</f>
        <v>Biotin</v>
      </c>
      <c r="C1872" s="3" t="str">
        <f>TRIM([1]Raw_Data!C1870)</f>
        <v>Vitamin</v>
      </c>
      <c r="D1872" s="3">
        <f>[1]Raw_Data!D1870</f>
        <v>145</v>
      </c>
      <c r="E1872" s="4">
        <f>[1]Raw_Data!E1870</f>
        <v>10.83</v>
      </c>
      <c r="F1872" s="5">
        <f>[1]Raw_Data!F1870</f>
        <v>1570.35</v>
      </c>
      <c r="G1872" s="4">
        <f>[1]Raw_Data!G1870</f>
        <v>0.2</v>
      </c>
      <c r="H1872" s="3">
        <f>[1]Raw_Data!H1870</f>
        <v>1</v>
      </c>
      <c r="I1872" s="3" t="str">
        <f>TRIM([1]Raw_Data!I1870)</f>
        <v>USA</v>
      </c>
      <c r="J1872" s="3" t="str">
        <f>TRIM([1]Raw_Data!J1870)</f>
        <v>Walmart</v>
      </c>
      <c r="K1872" s="3">
        <f t="shared" si="116"/>
        <v>2022</v>
      </c>
      <c r="L1872" s="6">
        <f t="shared" si="117"/>
        <v>44621</v>
      </c>
      <c r="M1872" s="3" t="str">
        <f t="shared" si="118"/>
        <v>16% to 20%</v>
      </c>
      <c r="N1872" s="3" t="str">
        <f t="shared" si="119"/>
        <v>OK</v>
      </c>
    </row>
    <row r="1873" spans="1:14" x14ac:dyDescent="0.3">
      <c r="A1873" s="2">
        <f>DATE(VALUE(RIGHT(TRIM([1]Raw_Data!A1871),4)),VALUE(MID(TRIM([1]Raw_Data!A1871),4,2)),VALUE(LEFT(TRIM([1]Raw_Data!A1871),2)))</f>
        <v>44648</v>
      </c>
      <c r="B1873" s="3" t="str">
        <f>TRIM([1]Raw_Data!B1871)</f>
        <v>Green Tea Extract</v>
      </c>
      <c r="C1873" s="3" t="str">
        <f>TRIM([1]Raw_Data!C1871)</f>
        <v>Fat Burner</v>
      </c>
      <c r="D1873" s="3">
        <f>[1]Raw_Data!D1871</f>
        <v>153</v>
      </c>
      <c r="E1873" s="4">
        <f>[1]Raw_Data!E1871</f>
        <v>18.75</v>
      </c>
      <c r="F1873" s="5">
        <f>[1]Raw_Data!F1871</f>
        <v>2868.75</v>
      </c>
      <c r="G1873" s="4">
        <f>[1]Raw_Data!G1871</f>
        <v>0.22</v>
      </c>
      <c r="H1873" s="3">
        <f>[1]Raw_Data!H1871</f>
        <v>2</v>
      </c>
      <c r="I1873" s="3" t="str">
        <f>TRIM([1]Raw_Data!I1871)</f>
        <v>Canada</v>
      </c>
      <c r="J1873" s="3" t="str">
        <f>TRIM([1]Raw_Data!J1871)</f>
        <v>Walmart</v>
      </c>
      <c r="K1873" s="3">
        <f t="shared" si="116"/>
        <v>2022</v>
      </c>
      <c r="L1873" s="6">
        <f t="shared" si="117"/>
        <v>44621</v>
      </c>
      <c r="M1873" s="3" t="str">
        <f t="shared" si="118"/>
        <v>21% to 25%</v>
      </c>
      <c r="N1873" s="3" t="str">
        <f t="shared" si="119"/>
        <v>OK</v>
      </c>
    </row>
    <row r="1874" spans="1:14" x14ac:dyDescent="0.3">
      <c r="A1874" s="2">
        <f>DATE(VALUE(RIGHT(TRIM([1]Raw_Data!A1872),4)),VALUE(MID(TRIM([1]Raw_Data!A1872),4,2)),VALUE(LEFT(TRIM([1]Raw_Data!A1872),2)))</f>
        <v>44648</v>
      </c>
      <c r="B1874" s="3" t="str">
        <f>TRIM([1]Raw_Data!B1872)</f>
        <v>Iron Supplement</v>
      </c>
      <c r="C1874" s="3" t="str">
        <f>TRIM([1]Raw_Data!C1872)</f>
        <v>Mineral</v>
      </c>
      <c r="D1874" s="3">
        <f>[1]Raw_Data!D1872</f>
        <v>145</v>
      </c>
      <c r="E1874" s="4">
        <f>[1]Raw_Data!E1872</f>
        <v>52.92</v>
      </c>
      <c r="F1874" s="5">
        <f>[1]Raw_Data!F1872</f>
        <v>7673.4</v>
      </c>
      <c r="G1874" s="4">
        <f>[1]Raw_Data!G1872</f>
        <v>0.25</v>
      </c>
      <c r="H1874" s="3">
        <f>[1]Raw_Data!H1872</f>
        <v>2</v>
      </c>
      <c r="I1874" s="3" t="str">
        <f>TRIM([1]Raw_Data!I1872)</f>
        <v>Canada</v>
      </c>
      <c r="J1874" s="3" t="str">
        <f>TRIM([1]Raw_Data!J1872)</f>
        <v>Walmart</v>
      </c>
      <c r="K1874" s="3">
        <f t="shared" si="116"/>
        <v>2022</v>
      </c>
      <c r="L1874" s="6">
        <f t="shared" si="117"/>
        <v>44621</v>
      </c>
      <c r="M1874" s="3" t="str">
        <f t="shared" si="118"/>
        <v>21% to 25%</v>
      </c>
      <c r="N1874" s="3" t="str">
        <f t="shared" si="119"/>
        <v>OK</v>
      </c>
    </row>
    <row r="1875" spans="1:14" x14ac:dyDescent="0.3">
      <c r="A1875" s="2">
        <f>DATE(VALUE(RIGHT(TRIM([1]Raw_Data!A1873),4)),VALUE(MID(TRIM([1]Raw_Data!A1873),4,2)),VALUE(LEFT(TRIM([1]Raw_Data!A1873),2)))</f>
        <v>44648</v>
      </c>
      <c r="B1875" s="3" t="str">
        <f>TRIM([1]Raw_Data!B1873)</f>
        <v>Electrolyte Powder</v>
      </c>
      <c r="C1875" s="3" t="str">
        <f>TRIM([1]Raw_Data!C1873)</f>
        <v>Hydration</v>
      </c>
      <c r="D1875" s="3">
        <f>[1]Raw_Data!D1873</f>
        <v>161</v>
      </c>
      <c r="E1875" s="4">
        <f>[1]Raw_Data!E1873</f>
        <v>27.77</v>
      </c>
      <c r="F1875" s="5">
        <f>[1]Raw_Data!F1873</f>
        <v>4470.97</v>
      </c>
      <c r="G1875" s="4">
        <f>[1]Raw_Data!G1873</f>
        <v>0.14000000000000001</v>
      </c>
      <c r="H1875" s="3">
        <f>[1]Raw_Data!H1873</f>
        <v>3</v>
      </c>
      <c r="I1875" s="3" t="str">
        <f>TRIM([1]Raw_Data!I1873)</f>
        <v>UK</v>
      </c>
      <c r="J1875" s="3" t="str">
        <f>TRIM([1]Raw_Data!J1873)</f>
        <v>iHerb</v>
      </c>
      <c r="K1875" s="3">
        <f t="shared" si="116"/>
        <v>2022</v>
      </c>
      <c r="L1875" s="6">
        <f t="shared" si="117"/>
        <v>44621</v>
      </c>
      <c r="M1875" s="3" t="str">
        <f t="shared" si="118"/>
        <v>11% to 15%</v>
      </c>
      <c r="N1875" s="3" t="str">
        <f t="shared" si="119"/>
        <v>OK</v>
      </c>
    </row>
    <row r="1876" spans="1:14" x14ac:dyDescent="0.3">
      <c r="A1876" s="2">
        <f>DATE(VALUE(RIGHT(TRIM([1]Raw_Data!A1874),4)),VALUE(MID(TRIM([1]Raw_Data!A1874),4,2)),VALUE(LEFT(TRIM([1]Raw_Data!A1874),2)))</f>
        <v>44655</v>
      </c>
      <c r="B1876" s="3" t="str">
        <f>TRIM([1]Raw_Data!B1874)</f>
        <v>Whey Protein</v>
      </c>
      <c r="C1876" s="3" t="str">
        <f>TRIM([1]Raw_Data!C1874)</f>
        <v>Protein</v>
      </c>
      <c r="D1876" s="3">
        <f>[1]Raw_Data!D1874</f>
        <v>157</v>
      </c>
      <c r="E1876" s="4">
        <f>[1]Raw_Data!E1874</f>
        <v>26.84</v>
      </c>
      <c r="F1876" s="5">
        <f>[1]Raw_Data!F1874</f>
        <v>4213.88</v>
      </c>
      <c r="G1876" s="4">
        <f>[1]Raw_Data!G1874</f>
        <v>0.04</v>
      </c>
      <c r="H1876" s="3">
        <f>[1]Raw_Data!H1874</f>
        <v>1</v>
      </c>
      <c r="I1876" s="3" t="str">
        <f>TRIM([1]Raw_Data!I1874)</f>
        <v>UK</v>
      </c>
      <c r="J1876" s="3" t="str">
        <f>TRIM([1]Raw_Data!J1874)</f>
        <v>Walmart</v>
      </c>
      <c r="K1876" s="3">
        <f t="shared" si="116"/>
        <v>2022</v>
      </c>
      <c r="L1876" s="6">
        <f t="shared" si="117"/>
        <v>44652</v>
      </c>
      <c r="M1876" s="3" t="str">
        <f t="shared" si="118"/>
        <v>0% to 5%</v>
      </c>
      <c r="N1876" s="3" t="str">
        <f t="shared" si="119"/>
        <v>OK</v>
      </c>
    </row>
    <row r="1877" spans="1:14" x14ac:dyDescent="0.3">
      <c r="A1877" s="2">
        <f>DATE(VALUE(RIGHT(TRIM([1]Raw_Data!A1875),4)),VALUE(MID(TRIM([1]Raw_Data!A1875),4,2)),VALUE(LEFT(TRIM([1]Raw_Data!A1875),2)))</f>
        <v>44655</v>
      </c>
      <c r="B1877" s="3" t="str">
        <f>TRIM([1]Raw_Data!B1875)</f>
        <v>Vitamin C</v>
      </c>
      <c r="C1877" s="3" t="str">
        <f>TRIM([1]Raw_Data!C1875)</f>
        <v>Vitamin</v>
      </c>
      <c r="D1877" s="3">
        <f>[1]Raw_Data!D1875</f>
        <v>169</v>
      </c>
      <c r="E1877" s="4">
        <f>[1]Raw_Data!E1875</f>
        <v>20.99</v>
      </c>
      <c r="F1877" s="5">
        <f>[1]Raw_Data!F1875</f>
        <v>3547.31</v>
      </c>
      <c r="G1877" s="4">
        <f>[1]Raw_Data!G1875</f>
        <v>0.08</v>
      </c>
      <c r="H1877" s="3">
        <f>[1]Raw_Data!H1875</f>
        <v>2</v>
      </c>
      <c r="I1877" s="3" t="str">
        <f>TRIM([1]Raw_Data!I1875)</f>
        <v>UK</v>
      </c>
      <c r="J1877" s="3" t="str">
        <f>TRIM([1]Raw_Data!J1875)</f>
        <v>iHerb</v>
      </c>
      <c r="K1877" s="3">
        <f t="shared" si="116"/>
        <v>2022</v>
      </c>
      <c r="L1877" s="6">
        <f t="shared" si="117"/>
        <v>44652</v>
      </c>
      <c r="M1877" s="3" t="str">
        <f t="shared" si="118"/>
        <v>6% to 10%</v>
      </c>
      <c r="N1877" s="3" t="str">
        <f t="shared" si="119"/>
        <v>OK</v>
      </c>
    </row>
    <row r="1878" spans="1:14" x14ac:dyDescent="0.3">
      <c r="A1878" s="2">
        <f>DATE(VALUE(RIGHT(TRIM([1]Raw_Data!A1876),4)),VALUE(MID(TRIM([1]Raw_Data!A1876),4,2)),VALUE(LEFT(TRIM([1]Raw_Data!A1876),2)))</f>
        <v>44655</v>
      </c>
      <c r="B1878" s="3" t="str">
        <f>TRIM([1]Raw_Data!B1876)</f>
        <v>Fish Oil</v>
      </c>
      <c r="C1878" s="3" t="str">
        <f>TRIM([1]Raw_Data!C1876)</f>
        <v>Omega</v>
      </c>
      <c r="D1878" s="3">
        <f>[1]Raw_Data!D1876</f>
        <v>151</v>
      </c>
      <c r="E1878" s="4">
        <f>[1]Raw_Data!E1876</f>
        <v>18.21</v>
      </c>
      <c r="F1878" s="5">
        <f>[1]Raw_Data!F1876</f>
        <v>2749.71</v>
      </c>
      <c r="G1878" s="4">
        <f>[1]Raw_Data!G1876</f>
        <v>0.06</v>
      </c>
      <c r="H1878" s="3">
        <f>[1]Raw_Data!H1876</f>
        <v>1</v>
      </c>
      <c r="I1878" s="3" t="str">
        <f>TRIM([1]Raw_Data!I1876)</f>
        <v>UK</v>
      </c>
      <c r="J1878" s="3" t="str">
        <f>TRIM([1]Raw_Data!J1876)</f>
        <v>iHerb</v>
      </c>
      <c r="K1878" s="3">
        <f t="shared" si="116"/>
        <v>2022</v>
      </c>
      <c r="L1878" s="6">
        <f t="shared" si="117"/>
        <v>44652</v>
      </c>
      <c r="M1878" s="3" t="str">
        <f t="shared" si="118"/>
        <v>6% to 10%</v>
      </c>
      <c r="N1878" s="3" t="str">
        <f t="shared" si="119"/>
        <v>OK</v>
      </c>
    </row>
    <row r="1879" spans="1:14" x14ac:dyDescent="0.3">
      <c r="A1879" s="2">
        <f>DATE(VALUE(RIGHT(TRIM([1]Raw_Data!A1877),4)),VALUE(MID(TRIM([1]Raw_Data!A1877),4,2)),VALUE(LEFT(TRIM([1]Raw_Data!A1877),2)))</f>
        <v>44655</v>
      </c>
      <c r="B1879" s="3" t="str">
        <f>TRIM([1]Raw_Data!B1877)</f>
        <v>Multivitamin</v>
      </c>
      <c r="C1879" s="3" t="str">
        <f>TRIM([1]Raw_Data!C1877)</f>
        <v>Vitamin</v>
      </c>
      <c r="D1879" s="3">
        <f>[1]Raw_Data!D1877</f>
        <v>149</v>
      </c>
      <c r="E1879" s="4">
        <f>[1]Raw_Data!E1877</f>
        <v>46.46</v>
      </c>
      <c r="F1879" s="5">
        <f>[1]Raw_Data!F1877</f>
        <v>6922.54</v>
      </c>
      <c r="G1879" s="4">
        <f>[1]Raw_Data!G1877</f>
        <v>0.08</v>
      </c>
      <c r="H1879" s="3">
        <f>[1]Raw_Data!H1877</f>
        <v>2</v>
      </c>
      <c r="I1879" s="3" t="str">
        <f>TRIM([1]Raw_Data!I1877)</f>
        <v>UK</v>
      </c>
      <c r="J1879" s="3" t="str">
        <f>TRIM([1]Raw_Data!J1877)</f>
        <v>iHerb</v>
      </c>
      <c r="K1879" s="3">
        <f t="shared" si="116"/>
        <v>2022</v>
      </c>
      <c r="L1879" s="6">
        <f t="shared" si="117"/>
        <v>44652</v>
      </c>
      <c r="M1879" s="3" t="str">
        <f t="shared" si="118"/>
        <v>6% to 10%</v>
      </c>
      <c r="N1879" s="3" t="str">
        <f t="shared" si="119"/>
        <v>OK</v>
      </c>
    </row>
    <row r="1880" spans="1:14" x14ac:dyDescent="0.3">
      <c r="A1880" s="2">
        <f>DATE(VALUE(RIGHT(TRIM([1]Raw_Data!A1878),4)),VALUE(MID(TRIM([1]Raw_Data!A1878),4,2)),VALUE(LEFT(TRIM([1]Raw_Data!A1878),2)))</f>
        <v>44655</v>
      </c>
      <c r="B1880" s="3" t="str">
        <f>TRIM([1]Raw_Data!B1878)</f>
        <v>Pre-Workout</v>
      </c>
      <c r="C1880" s="3" t="str">
        <f>TRIM([1]Raw_Data!C1878)</f>
        <v>Performance</v>
      </c>
      <c r="D1880" s="3">
        <f>[1]Raw_Data!D1878</f>
        <v>142</v>
      </c>
      <c r="E1880" s="4">
        <f>[1]Raw_Data!E1878</f>
        <v>48.61</v>
      </c>
      <c r="F1880" s="5">
        <f>[1]Raw_Data!F1878</f>
        <v>6902.62</v>
      </c>
      <c r="G1880" s="4">
        <f>[1]Raw_Data!G1878</f>
        <v>0.23</v>
      </c>
      <c r="H1880" s="3">
        <f>[1]Raw_Data!H1878</f>
        <v>1</v>
      </c>
      <c r="I1880" s="3" t="str">
        <f>TRIM([1]Raw_Data!I1878)</f>
        <v>USA</v>
      </c>
      <c r="J1880" s="3" t="str">
        <f>TRIM([1]Raw_Data!J1878)</f>
        <v>Walmart</v>
      </c>
      <c r="K1880" s="3">
        <f t="shared" si="116"/>
        <v>2022</v>
      </c>
      <c r="L1880" s="6">
        <f t="shared" si="117"/>
        <v>44652</v>
      </c>
      <c r="M1880" s="3" t="str">
        <f t="shared" si="118"/>
        <v>21% to 25%</v>
      </c>
      <c r="N1880" s="3" t="str">
        <f t="shared" si="119"/>
        <v>OK</v>
      </c>
    </row>
    <row r="1881" spans="1:14" x14ac:dyDescent="0.3">
      <c r="A1881" s="2">
        <f>DATE(VALUE(RIGHT(TRIM([1]Raw_Data!A1879),4)),VALUE(MID(TRIM([1]Raw_Data!A1879),4,2)),VALUE(LEFT(TRIM([1]Raw_Data!A1879),2)))</f>
        <v>44655</v>
      </c>
      <c r="B1881" s="3" t="str">
        <f>TRIM([1]Raw_Data!B1879)</f>
        <v>BCAA</v>
      </c>
      <c r="C1881" s="3" t="str">
        <f>TRIM([1]Raw_Data!C1879)</f>
        <v>Amino Acid</v>
      </c>
      <c r="D1881" s="3">
        <f>[1]Raw_Data!D1879</f>
        <v>144</v>
      </c>
      <c r="E1881" s="4">
        <f>[1]Raw_Data!E1879</f>
        <v>56.36</v>
      </c>
      <c r="F1881" s="5">
        <f>[1]Raw_Data!F1879</f>
        <v>8115.84</v>
      </c>
      <c r="G1881" s="4">
        <f>[1]Raw_Data!G1879</f>
        <v>0.23</v>
      </c>
      <c r="H1881" s="3">
        <f>[1]Raw_Data!H1879</f>
        <v>0</v>
      </c>
      <c r="I1881" s="3" t="str">
        <f>TRIM([1]Raw_Data!I1879)</f>
        <v>Canada</v>
      </c>
      <c r="J1881" s="3" t="str">
        <f>TRIM([1]Raw_Data!J1879)</f>
        <v>Walmart</v>
      </c>
      <c r="K1881" s="3">
        <f t="shared" si="116"/>
        <v>2022</v>
      </c>
      <c r="L1881" s="6">
        <f t="shared" si="117"/>
        <v>44652</v>
      </c>
      <c r="M1881" s="3" t="str">
        <f t="shared" si="118"/>
        <v>21% to 25%</v>
      </c>
      <c r="N1881" s="3" t="str">
        <f t="shared" si="119"/>
        <v>OK</v>
      </c>
    </row>
    <row r="1882" spans="1:14" x14ac:dyDescent="0.3">
      <c r="A1882" s="2">
        <f>DATE(VALUE(RIGHT(TRIM([1]Raw_Data!A1880),4)),VALUE(MID(TRIM([1]Raw_Data!A1880),4,2)),VALUE(LEFT(TRIM([1]Raw_Data!A1880),2)))</f>
        <v>44655</v>
      </c>
      <c r="B1882" s="3" t="str">
        <f>TRIM([1]Raw_Data!B1880)</f>
        <v>Creatine</v>
      </c>
      <c r="C1882" s="3" t="str">
        <f>TRIM([1]Raw_Data!C1880)</f>
        <v>Performance</v>
      </c>
      <c r="D1882" s="3">
        <f>[1]Raw_Data!D1880</f>
        <v>134</v>
      </c>
      <c r="E1882" s="4">
        <f>[1]Raw_Data!E1880</f>
        <v>15.33</v>
      </c>
      <c r="F1882" s="5">
        <f>[1]Raw_Data!F1880</f>
        <v>2054.2199999999998</v>
      </c>
      <c r="G1882" s="4">
        <f>[1]Raw_Data!G1880</f>
        <v>0.09</v>
      </c>
      <c r="H1882" s="3">
        <f>[1]Raw_Data!H1880</f>
        <v>0</v>
      </c>
      <c r="I1882" s="3" t="str">
        <f>TRIM([1]Raw_Data!I1880)</f>
        <v>Canada</v>
      </c>
      <c r="J1882" s="3" t="str">
        <f>TRIM([1]Raw_Data!J1880)</f>
        <v>Walmart</v>
      </c>
      <c r="K1882" s="3">
        <f t="shared" si="116"/>
        <v>2022</v>
      </c>
      <c r="L1882" s="6">
        <f t="shared" si="117"/>
        <v>44652</v>
      </c>
      <c r="M1882" s="3" t="str">
        <f t="shared" si="118"/>
        <v>6% to 10%</v>
      </c>
      <c r="N1882" s="3" t="str">
        <f t="shared" si="119"/>
        <v>OK</v>
      </c>
    </row>
    <row r="1883" spans="1:14" x14ac:dyDescent="0.3">
      <c r="A1883" s="2">
        <f>DATE(VALUE(RIGHT(TRIM([1]Raw_Data!A1881),4)),VALUE(MID(TRIM([1]Raw_Data!A1881),4,2)),VALUE(LEFT(TRIM([1]Raw_Data!A1881),2)))</f>
        <v>44655</v>
      </c>
      <c r="B1883" s="3" t="str">
        <f>TRIM([1]Raw_Data!B1881)</f>
        <v>Zinc</v>
      </c>
      <c r="C1883" s="3" t="str">
        <f>TRIM([1]Raw_Data!C1881)</f>
        <v>Mineral</v>
      </c>
      <c r="D1883" s="3">
        <f>[1]Raw_Data!D1881</f>
        <v>153</v>
      </c>
      <c r="E1883" s="4">
        <f>[1]Raw_Data!E1881</f>
        <v>15.87</v>
      </c>
      <c r="F1883" s="5">
        <f>[1]Raw_Data!F1881</f>
        <v>2428.11</v>
      </c>
      <c r="G1883" s="4">
        <f>[1]Raw_Data!G1881</f>
        <v>0.17</v>
      </c>
      <c r="H1883" s="3">
        <f>[1]Raw_Data!H1881</f>
        <v>1</v>
      </c>
      <c r="I1883" s="3" t="str">
        <f>TRIM([1]Raw_Data!I1881)</f>
        <v>Canada</v>
      </c>
      <c r="J1883" s="3" t="str">
        <f>TRIM([1]Raw_Data!J1881)</f>
        <v>Walmart</v>
      </c>
      <c r="K1883" s="3">
        <f t="shared" si="116"/>
        <v>2022</v>
      </c>
      <c r="L1883" s="6">
        <f t="shared" si="117"/>
        <v>44652</v>
      </c>
      <c r="M1883" s="3" t="str">
        <f t="shared" si="118"/>
        <v>16% to 20%</v>
      </c>
      <c r="N1883" s="3" t="str">
        <f t="shared" si="119"/>
        <v>OK</v>
      </c>
    </row>
    <row r="1884" spans="1:14" x14ac:dyDescent="0.3">
      <c r="A1884" s="2">
        <f>DATE(VALUE(RIGHT(TRIM([1]Raw_Data!A1882),4)),VALUE(MID(TRIM([1]Raw_Data!A1882),4,2)),VALUE(LEFT(TRIM([1]Raw_Data!A1882),2)))</f>
        <v>44655</v>
      </c>
      <c r="B1884" s="3" t="str">
        <f>TRIM([1]Raw_Data!B1882)</f>
        <v>Collagen Peptides</v>
      </c>
      <c r="C1884" s="3" t="str">
        <f>TRIM([1]Raw_Data!C1882)</f>
        <v>Protein</v>
      </c>
      <c r="D1884" s="3">
        <f>[1]Raw_Data!D1882</f>
        <v>138</v>
      </c>
      <c r="E1884" s="4">
        <f>[1]Raw_Data!E1882</f>
        <v>13.8</v>
      </c>
      <c r="F1884" s="5">
        <f>[1]Raw_Data!F1882</f>
        <v>1904.4</v>
      </c>
      <c r="G1884" s="4">
        <f>[1]Raw_Data!G1882</f>
        <v>0.17</v>
      </c>
      <c r="H1884" s="3">
        <f>[1]Raw_Data!H1882</f>
        <v>1</v>
      </c>
      <c r="I1884" s="3" t="str">
        <f>TRIM([1]Raw_Data!I1882)</f>
        <v>Canada</v>
      </c>
      <c r="J1884" s="3" t="str">
        <f>TRIM([1]Raw_Data!J1882)</f>
        <v>Amazon</v>
      </c>
      <c r="K1884" s="3">
        <f t="shared" si="116"/>
        <v>2022</v>
      </c>
      <c r="L1884" s="6">
        <f t="shared" si="117"/>
        <v>44652</v>
      </c>
      <c r="M1884" s="3" t="str">
        <f t="shared" si="118"/>
        <v>16% to 20%</v>
      </c>
      <c r="N1884" s="3" t="str">
        <f t="shared" si="119"/>
        <v>OK</v>
      </c>
    </row>
    <row r="1885" spans="1:14" x14ac:dyDescent="0.3">
      <c r="A1885" s="2">
        <f>DATE(VALUE(RIGHT(TRIM([1]Raw_Data!A1883),4)),VALUE(MID(TRIM([1]Raw_Data!A1883),4,2)),VALUE(LEFT(TRIM([1]Raw_Data!A1883),2)))</f>
        <v>44655</v>
      </c>
      <c r="B1885" s="3" t="str">
        <f>TRIM([1]Raw_Data!B1883)</f>
        <v>Magnesium</v>
      </c>
      <c r="C1885" s="3" t="str">
        <f>TRIM([1]Raw_Data!C1883)</f>
        <v>Mineral</v>
      </c>
      <c r="D1885" s="3">
        <f>[1]Raw_Data!D1883</f>
        <v>143</v>
      </c>
      <c r="E1885" s="4">
        <f>[1]Raw_Data!E1883</f>
        <v>53.23</v>
      </c>
      <c r="F1885" s="5">
        <f>[1]Raw_Data!F1883</f>
        <v>7611.89</v>
      </c>
      <c r="G1885" s="4">
        <f>[1]Raw_Data!G1883</f>
        <v>0.12</v>
      </c>
      <c r="H1885" s="3">
        <f>[1]Raw_Data!H1883</f>
        <v>1</v>
      </c>
      <c r="I1885" s="3" t="str">
        <f>TRIM([1]Raw_Data!I1883)</f>
        <v>UK</v>
      </c>
      <c r="J1885" s="3" t="str">
        <f>TRIM([1]Raw_Data!J1883)</f>
        <v>iHerb</v>
      </c>
      <c r="K1885" s="3">
        <f t="shared" si="116"/>
        <v>2022</v>
      </c>
      <c r="L1885" s="6">
        <f t="shared" si="117"/>
        <v>44652</v>
      </c>
      <c r="M1885" s="3" t="str">
        <f t="shared" si="118"/>
        <v>11% to 15%</v>
      </c>
      <c r="N1885" s="3" t="str">
        <f t="shared" si="119"/>
        <v>OK</v>
      </c>
    </row>
    <row r="1886" spans="1:14" x14ac:dyDescent="0.3">
      <c r="A1886" s="2">
        <f>DATE(VALUE(RIGHT(TRIM([1]Raw_Data!A1884),4)),VALUE(MID(TRIM([1]Raw_Data!A1884),4,2)),VALUE(LEFT(TRIM([1]Raw_Data!A1884),2)))</f>
        <v>44655</v>
      </c>
      <c r="B1886" s="3" t="str">
        <f>TRIM([1]Raw_Data!B1884)</f>
        <v>Ashwagandha</v>
      </c>
      <c r="C1886" s="3" t="str">
        <f>TRIM([1]Raw_Data!C1884)</f>
        <v>Herbal</v>
      </c>
      <c r="D1886" s="3">
        <f>[1]Raw_Data!D1884</f>
        <v>152</v>
      </c>
      <c r="E1886" s="4">
        <f>[1]Raw_Data!E1884</f>
        <v>19.63</v>
      </c>
      <c r="F1886" s="5">
        <f>[1]Raw_Data!F1884</f>
        <v>2983.76</v>
      </c>
      <c r="G1886" s="4">
        <f>[1]Raw_Data!G1884</f>
        <v>0.19</v>
      </c>
      <c r="H1886" s="3">
        <f>[1]Raw_Data!H1884</f>
        <v>0</v>
      </c>
      <c r="I1886" s="3" t="str">
        <f>TRIM([1]Raw_Data!I1884)</f>
        <v>Canada</v>
      </c>
      <c r="J1886" s="3" t="str">
        <f>TRIM([1]Raw_Data!J1884)</f>
        <v>iHerb</v>
      </c>
      <c r="K1886" s="3">
        <f t="shared" si="116"/>
        <v>2022</v>
      </c>
      <c r="L1886" s="6">
        <f t="shared" si="117"/>
        <v>44652</v>
      </c>
      <c r="M1886" s="3" t="str">
        <f t="shared" si="118"/>
        <v>16% to 20%</v>
      </c>
      <c r="N1886" s="3" t="str">
        <f t="shared" si="119"/>
        <v>OK</v>
      </c>
    </row>
    <row r="1887" spans="1:14" x14ac:dyDescent="0.3">
      <c r="A1887" s="2">
        <f>DATE(VALUE(RIGHT(TRIM([1]Raw_Data!A1885),4)),VALUE(MID(TRIM([1]Raw_Data!A1885),4,2)),VALUE(LEFT(TRIM([1]Raw_Data!A1885),2)))</f>
        <v>44655</v>
      </c>
      <c r="B1887" s="3" t="str">
        <f>TRIM([1]Raw_Data!B1885)</f>
        <v>Melatonin</v>
      </c>
      <c r="C1887" s="3" t="str">
        <f>TRIM([1]Raw_Data!C1885)</f>
        <v>Sleep Aid</v>
      </c>
      <c r="D1887" s="3">
        <f>[1]Raw_Data!D1885</f>
        <v>132</v>
      </c>
      <c r="E1887" s="4">
        <f>[1]Raw_Data!E1885</f>
        <v>20.440000000000001</v>
      </c>
      <c r="F1887" s="5">
        <f>[1]Raw_Data!F1885</f>
        <v>2698.08</v>
      </c>
      <c r="G1887" s="4">
        <f>[1]Raw_Data!G1885</f>
        <v>0.08</v>
      </c>
      <c r="H1887" s="3">
        <f>[1]Raw_Data!H1885</f>
        <v>1</v>
      </c>
      <c r="I1887" s="3" t="str">
        <f>TRIM([1]Raw_Data!I1885)</f>
        <v>Canada</v>
      </c>
      <c r="J1887" s="3" t="str">
        <f>TRIM([1]Raw_Data!J1885)</f>
        <v>Walmart</v>
      </c>
      <c r="K1887" s="3">
        <f t="shared" si="116"/>
        <v>2022</v>
      </c>
      <c r="L1887" s="6">
        <f t="shared" si="117"/>
        <v>44652</v>
      </c>
      <c r="M1887" s="3" t="str">
        <f t="shared" si="118"/>
        <v>6% to 10%</v>
      </c>
      <c r="N1887" s="3" t="str">
        <f t="shared" si="119"/>
        <v>OK</v>
      </c>
    </row>
    <row r="1888" spans="1:14" x14ac:dyDescent="0.3">
      <c r="A1888" s="2">
        <f>DATE(VALUE(RIGHT(TRIM([1]Raw_Data!A1886),4)),VALUE(MID(TRIM([1]Raw_Data!A1886),4,2)),VALUE(LEFT(TRIM([1]Raw_Data!A1886),2)))</f>
        <v>44655</v>
      </c>
      <c r="B1888" s="3" t="str">
        <f>TRIM([1]Raw_Data!B1886)</f>
        <v>Biotin</v>
      </c>
      <c r="C1888" s="3" t="str">
        <f>TRIM([1]Raw_Data!C1886)</f>
        <v>Vitamin</v>
      </c>
      <c r="D1888" s="3">
        <f>[1]Raw_Data!D1886</f>
        <v>148</v>
      </c>
      <c r="E1888" s="4">
        <f>[1]Raw_Data!E1886</f>
        <v>41.17</v>
      </c>
      <c r="F1888" s="5">
        <f>[1]Raw_Data!F1886</f>
        <v>6093.16</v>
      </c>
      <c r="G1888" s="4">
        <f>[1]Raw_Data!G1886</f>
        <v>0.16</v>
      </c>
      <c r="H1888" s="3">
        <f>[1]Raw_Data!H1886</f>
        <v>2</v>
      </c>
      <c r="I1888" s="3" t="str">
        <f>TRIM([1]Raw_Data!I1886)</f>
        <v>Canada</v>
      </c>
      <c r="J1888" s="3" t="str">
        <f>TRIM([1]Raw_Data!J1886)</f>
        <v>iHerb</v>
      </c>
      <c r="K1888" s="3">
        <f t="shared" si="116"/>
        <v>2022</v>
      </c>
      <c r="L1888" s="6">
        <f t="shared" si="117"/>
        <v>44652</v>
      </c>
      <c r="M1888" s="3" t="str">
        <f t="shared" si="118"/>
        <v>16% to 20%</v>
      </c>
      <c r="N1888" s="3" t="str">
        <f t="shared" si="119"/>
        <v>OK</v>
      </c>
    </row>
    <row r="1889" spans="1:14" x14ac:dyDescent="0.3">
      <c r="A1889" s="2">
        <f>DATE(VALUE(RIGHT(TRIM([1]Raw_Data!A1887),4)),VALUE(MID(TRIM([1]Raw_Data!A1887),4,2)),VALUE(LEFT(TRIM([1]Raw_Data!A1887),2)))</f>
        <v>44655</v>
      </c>
      <c r="B1889" s="3" t="str">
        <f>TRIM([1]Raw_Data!B1887)</f>
        <v>Green Tea Extract</v>
      </c>
      <c r="C1889" s="3" t="str">
        <f>TRIM([1]Raw_Data!C1887)</f>
        <v>Fat Burner</v>
      </c>
      <c r="D1889" s="3">
        <f>[1]Raw_Data!D1887</f>
        <v>142</v>
      </c>
      <c r="E1889" s="4">
        <f>[1]Raw_Data!E1887</f>
        <v>31.9</v>
      </c>
      <c r="F1889" s="5">
        <f>[1]Raw_Data!F1887</f>
        <v>4529.8</v>
      </c>
      <c r="G1889" s="4">
        <f>[1]Raw_Data!G1887</f>
        <v>0.08</v>
      </c>
      <c r="H1889" s="3">
        <f>[1]Raw_Data!H1887</f>
        <v>4</v>
      </c>
      <c r="I1889" s="3" t="str">
        <f>TRIM([1]Raw_Data!I1887)</f>
        <v>USA</v>
      </c>
      <c r="J1889" s="3" t="str">
        <f>TRIM([1]Raw_Data!J1887)</f>
        <v>iHerb</v>
      </c>
      <c r="K1889" s="3">
        <f t="shared" si="116"/>
        <v>2022</v>
      </c>
      <c r="L1889" s="6">
        <f t="shared" si="117"/>
        <v>44652</v>
      </c>
      <c r="M1889" s="3" t="str">
        <f t="shared" si="118"/>
        <v>6% to 10%</v>
      </c>
      <c r="N1889" s="3" t="str">
        <f t="shared" si="119"/>
        <v>OK</v>
      </c>
    </row>
    <row r="1890" spans="1:14" x14ac:dyDescent="0.3">
      <c r="A1890" s="2">
        <f>DATE(VALUE(RIGHT(TRIM([1]Raw_Data!A1888),4)),VALUE(MID(TRIM([1]Raw_Data!A1888),4,2)),VALUE(LEFT(TRIM([1]Raw_Data!A1888),2)))</f>
        <v>44655</v>
      </c>
      <c r="B1890" s="3" t="str">
        <f>TRIM([1]Raw_Data!B1888)</f>
        <v>Iron Supplement</v>
      </c>
      <c r="C1890" s="3" t="str">
        <f>TRIM([1]Raw_Data!C1888)</f>
        <v>Mineral</v>
      </c>
      <c r="D1890" s="3">
        <f>[1]Raw_Data!D1888</f>
        <v>162</v>
      </c>
      <c r="E1890" s="4">
        <f>[1]Raw_Data!E1888</f>
        <v>10.28</v>
      </c>
      <c r="F1890" s="5">
        <f>[1]Raw_Data!F1888</f>
        <v>1665.36</v>
      </c>
      <c r="G1890" s="4">
        <f>[1]Raw_Data!G1888</f>
        <v>0.01</v>
      </c>
      <c r="H1890" s="3">
        <f>[1]Raw_Data!H1888</f>
        <v>1</v>
      </c>
      <c r="I1890" s="3" t="str">
        <f>TRIM([1]Raw_Data!I1888)</f>
        <v>UK</v>
      </c>
      <c r="J1890" s="3" t="str">
        <f>TRIM([1]Raw_Data!J1888)</f>
        <v>iHerb</v>
      </c>
      <c r="K1890" s="3">
        <f t="shared" si="116"/>
        <v>2022</v>
      </c>
      <c r="L1890" s="6">
        <f t="shared" si="117"/>
        <v>44652</v>
      </c>
      <c r="M1890" s="3" t="str">
        <f t="shared" si="118"/>
        <v>0% to 5%</v>
      </c>
      <c r="N1890" s="3" t="str">
        <f t="shared" si="119"/>
        <v>OK</v>
      </c>
    </row>
    <row r="1891" spans="1:14" x14ac:dyDescent="0.3">
      <c r="A1891" s="2">
        <f>DATE(VALUE(RIGHT(TRIM([1]Raw_Data!A1889),4)),VALUE(MID(TRIM([1]Raw_Data!A1889),4,2)),VALUE(LEFT(TRIM([1]Raw_Data!A1889),2)))</f>
        <v>44655</v>
      </c>
      <c r="B1891" s="3" t="str">
        <f>TRIM([1]Raw_Data!B1889)</f>
        <v>Electrolyte Powder</v>
      </c>
      <c r="C1891" s="3" t="str">
        <f>TRIM([1]Raw_Data!C1889)</f>
        <v>Hydration</v>
      </c>
      <c r="D1891" s="3">
        <f>[1]Raw_Data!D1889</f>
        <v>133</v>
      </c>
      <c r="E1891" s="4">
        <f>[1]Raw_Data!E1889</f>
        <v>52.9</v>
      </c>
      <c r="F1891" s="5">
        <f>[1]Raw_Data!F1889</f>
        <v>7035.7</v>
      </c>
      <c r="G1891" s="4">
        <f>[1]Raw_Data!G1889</f>
        <v>0.18</v>
      </c>
      <c r="H1891" s="3">
        <f>[1]Raw_Data!H1889</f>
        <v>0</v>
      </c>
      <c r="I1891" s="3" t="str">
        <f>TRIM([1]Raw_Data!I1889)</f>
        <v>UK</v>
      </c>
      <c r="J1891" s="3" t="str">
        <f>TRIM([1]Raw_Data!J1889)</f>
        <v>iHerb</v>
      </c>
      <c r="K1891" s="3">
        <f t="shared" si="116"/>
        <v>2022</v>
      </c>
      <c r="L1891" s="6">
        <f t="shared" si="117"/>
        <v>44652</v>
      </c>
      <c r="M1891" s="3" t="str">
        <f t="shared" si="118"/>
        <v>16% to 20%</v>
      </c>
      <c r="N1891" s="3" t="str">
        <f t="shared" si="119"/>
        <v>OK</v>
      </c>
    </row>
    <row r="1892" spans="1:14" x14ac:dyDescent="0.3">
      <c r="A1892" s="2">
        <f>DATE(VALUE(RIGHT(TRIM([1]Raw_Data!A1890),4)),VALUE(MID(TRIM([1]Raw_Data!A1890),4,2)),VALUE(LEFT(TRIM([1]Raw_Data!A1890),2)))</f>
        <v>44662</v>
      </c>
      <c r="B1892" s="3" t="str">
        <f>TRIM([1]Raw_Data!B1890)</f>
        <v>Whey Protein</v>
      </c>
      <c r="C1892" s="3" t="str">
        <f>TRIM([1]Raw_Data!C1890)</f>
        <v>Protein</v>
      </c>
      <c r="D1892" s="3">
        <f>[1]Raw_Data!D1890</f>
        <v>146</v>
      </c>
      <c r="E1892" s="4">
        <f>[1]Raw_Data!E1890</f>
        <v>50.51</v>
      </c>
      <c r="F1892" s="5">
        <f>[1]Raw_Data!F1890</f>
        <v>7374.46</v>
      </c>
      <c r="G1892" s="4">
        <f>[1]Raw_Data!G1890</f>
        <v>0.21</v>
      </c>
      <c r="H1892" s="3">
        <f>[1]Raw_Data!H1890</f>
        <v>3</v>
      </c>
      <c r="I1892" s="3" t="str">
        <f>TRIM([1]Raw_Data!I1890)</f>
        <v>USA</v>
      </c>
      <c r="J1892" s="3" t="str">
        <f>TRIM([1]Raw_Data!J1890)</f>
        <v>Amazon</v>
      </c>
      <c r="K1892" s="3">
        <f t="shared" si="116"/>
        <v>2022</v>
      </c>
      <c r="L1892" s="6">
        <f t="shared" si="117"/>
        <v>44652</v>
      </c>
      <c r="M1892" s="3" t="str">
        <f t="shared" si="118"/>
        <v>21% to 25%</v>
      </c>
      <c r="N1892" s="3" t="str">
        <f t="shared" si="119"/>
        <v>OK</v>
      </c>
    </row>
    <row r="1893" spans="1:14" x14ac:dyDescent="0.3">
      <c r="A1893" s="2">
        <f>DATE(VALUE(RIGHT(TRIM([1]Raw_Data!A1891),4)),VALUE(MID(TRIM([1]Raw_Data!A1891),4,2)),VALUE(LEFT(TRIM([1]Raw_Data!A1891),2)))</f>
        <v>44662</v>
      </c>
      <c r="B1893" s="3" t="str">
        <f>TRIM([1]Raw_Data!B1891)</f>
        <v>Vitamin C</v>
      </c>
      <c r="C1893" s="3" t="str">
        <f>TRIM([1]Raw_Data!C1891)</f>
        <v>Vitamin</v>
      </c>
      <c r="D1893" s="3">
        <f>[1]Raw_Data!D1891</f>
        <v>150</v>
      </c>
      <c r="E1893" s="4">
        <f>[1]Raw_Data!E1891</f>
        <v>15.59</v>
      </c>
      <c r="F1893" s="5">
        <f>[1]Raw_Data!F1891</f>
        <v>2338.5</v>
      </c>
      <c r="G1893" s="4">
        <f>[1]Raw_Data!G1891</f>
        <v>0.14000000000000001</v>
      </c>
      <c r="H1893" s="3">
        <f>[1]Raw_Data!H1891</f>
        <v>1</v>
      </c>
      <c r="I1893" s="3" t="str">
        <f>TRIM([1]Raw_Data!I1891)</f>
        <v>USA</v>
      </c>
      <c r="J1893" s="3" t="str">
        <f>TRIM([1]Raw_Data!J1891)</f>
        <v>Amazon</v>
      </c>
      <c r="K1893" s="3">
        <f t="shared" si="116"/>
        <v>2022</v>
      </c>
      <c r="L1893" s="6">
        <f t="shared" si="117"/>
        <v>44652</v>
      </c>
      <c r="M1893" s="3" t="str">
        <f t="shared" si="118"/>
        <v>11% to 15%</v>
      </c>
      <c r="N1893" s="3" t="str">
        <f t="shared" si="119"/>
        <v>OK</v>
      </c>
    </row>
    <row r="1894" spans="1:14" x14ac:dyDescent="0.3">
      <c r="A1894" s="2">
        <f>DATE(VALUE(RIGHT(TRIM([1]Raw_Data!A1892),4)),VALUE(MID(TRIM([1]Raw_Data!A1892),4,2)),VALUE(LEFT(TRIM([1]Raw_Data!A1892),2)))</f>
        <v>44662</v>
      </c>
      <c r="B1894" s="3" t="str">
        <f>TRIM([1]Raw_Data!B1892)</f>
        <v>Fish Oil</v>
      </c>
      <c r="C1894" s="3" t="str">
        <f>TRIM([1]Raw_Data!C1892)</f>
        <v>Omega</v>
      </c>
      <c r="D1894" s="3">
        <f>[1]Raw_Data!D1892</f>
        <v>148</v>
      </c>
      <c r="E1894" s="4">
        <f>[1]Raw_Data!E1892</f>
        <v>22.85</v>
      </c>
      <c r="F1894" s="5">
        <f>[1]Raw_Data!F1892</f>
        <v>3381.8</v>
      </c>
      <c r="G1894" s="4">
        <f>[1]Raw_Data!G1892</f>
        <v>0.01</v>
      </c>
      <c r="H1894" s="3">
        <f>[1]Raw_Data!H1892</f>
        <v>0</v>
      </c>
      <c r="I1894" s="3" t="str">
        <f>TRIM([1]Raw_Data!I1892)</f>
        <v>Canada</v>
      </c>
      <c r="J1894" s="3" t="str">
        <f>TRIM([1]Raw_Data!J1892)</f>
        <v>iHerb</v>
      </c>
      <c r="K1894" s="3">
        <f t="shared" si="116"/>
        <v>2022</v>
      </c>
      <c r="L1894" s="6">
        <f t="shared" si="117"/>
        <v>44652</v>
      </c>
      <c r="M1894" s="3" t="str">
        <f t="shared" si="118"/>
        <v>0% to 5%</v>
      </c>
      <c r="N1894" s="3" t="str">
        <f t="shared" si="119"/>
        <v>OK</v>
      </c>
    </row>
    <row r="1895" spans="1:14" x14ac:dyDescent="0.3">
      <c r="A1895" s="2">
        <f>DATE(VALUE(RIGHT(TRIM([1]Raw_Data!A1893),4)),VALUE(MID(TRIM([1]Raw_Data!A1893),4,2)),VALUE(LEFT(TRIM([1]Raw_Data!A1893),2)))</f>
        <v>44662</v>
      </c>
      <c r="B1895" s="3" t="str">
        <f>TRIM([1]Raw_Data!B1893)</f>
        <v>Multivitamin</v>
      </c>
      <c r="C1895" s="3" t="str">
        <f>TRIM([1]Raw_Data!C1893)</f>
        <v>Vitamin</v>
      </c>
      <c r="D1895" s="3">
        <f>[1]Raw_Data!D1893</f>
        <v>103</v>
      </c>
      <c r="E1895" s="4">
        <f>[1]Raw_Data!E1893</f>
        <v>15.52</v>
      </c>
      <c r="F1895" s="5">
        <f>[1]Raw_Data!F1893</f>
        <v>1598.56</v>
      </c>
      <c r="G1895" s="4">
        <f>[1]Raw_Data!G1893</f>
        <v>0.06</v>
      </c>
      <c r="H1895" s="3">
        <f>[1]Raw_Data!H1893</f>
        <v>0</v>
      </c>
      <c r="I1895" s="3" t="str">
        <f>TRIM([1]Raw_Data!I1893)</f>
        <v>Canada</v>
      </c>
      <c r="J1895" s="3" t="str">
        <f>TRIM([1]Raw_Data!J1893)</f>
        <v>Walmart</v>
      </c>
      <c r="K1895" s="3">
        <f t="shared" si="116"/>
        <v>2022</v>
      </c>
      <c r="L1895" s="6">
        <f t="shared" si="117"/>
        <v>44652</v>
      </c>
      <c r="M1895" s="3" t="str">
        <f t="shared" si="118"/>
        <v>6% to 10%</v>
      </c>
      <c r="N1895" s="3" t="str">
        <f t="shared" si="119"/>
        <v>OK</v>
      </c>
    </row>
    <row r="1896" spans="1:14" x14ac:dyDescent="0.3">
      <c r="A1896" s="2">
        <f>DATE(VALUE(RIGHT(TRIM([1]Raw_Data!A1894),4)),VALUE(MID(TRIM([1]Raw_Data!A1894),4,2)),VALUE(LEFT(TRIM([1]Raw_Data!A1894),2)))</f>
        <v>44662</v>
      </c>
      <c r="B1896" s="3" t="str">
        <f>TRIM([1]Raw_Data!B1894)</f>
        <v>Pre-Workout</v>
      </c>
      <c r="C1896" s="3" t="str">
        <f>TRIM([1]Raw_Data!C1894)</f>
        <v>Performance</v>
      </c>
      <c r="D1896" s="3">
        <f>[1]Raw_Data!D1894</f>
        <v>134</v>
      </c>
      <c r="E1896" s="4">
        <f>[1]Raw_Data!E1894</f>
        <v>52.9</v>
      </c>
      <c r="F1896" s="5">
        <f>[1]Raw_Data!F1894</f>
        <v>7088.6</v>
      </c>
      <c r="G1896" s="4">
        <f>[1]Raw_Data!G1894</f>
        <v>0.17</v>
      </c>
      <c r="H1896" s="3">
        <f>[1]Raw_Data!H1894</f>
        <v>1</v>
      </c>
      <c r="I1896" s="3" t="str">
        <f>TRIM([1]Raw_Data!I1894)</f>
        <v>UK</v>
      </c>
      <c r="J1896" s="3" t="str">
        <f>TRIM([1]Raw_Data!J1894)</f>
        <v>iHerb</v>
      </c>
      <c r="K1896" s="3">
        <f t="shared" si="116"/>
        <v>2022</v>
      </c>
      <c r="L1896" s="6">
        <f t="shared" si="117"/>
        <v>44652</v>
      </c>
      <c r="M1896" s="3" t="str">
        <f t="shared" si="118"/>
        <v>16% to 20%</v>
      </c>
      <c r="N1896" s="3" t="str">
        <f t="shared" si="119"/>
        <v>OK</v>
      </c>
    </row>
    <row r="1897" spans="1:14" x14ac:dyDescent="0.3">
      <c r="A1897" s="2">
        <f>DATE(VALUE(RIGHT(TRIM([1]Raw_Data!A1895),4)),VALUE(MID(TRIM([1]Raw_Data!A1895),4,2)),VALUE(LEFT(TRIM([1]Raw_Data!A1895),2)))</f>
        <v>44662</v>
      </c>
      <c r="B1897" s="3" t="str">
        <f>TRIM([1]Raw_Data!B1895)</f>
        <v>BCAA</v>
      </c>
      <c r="C1897" s="3" t="str">
        <f>TRIM([1]Raw_Data!C1895)</f>
        <v>Amino Acid</v>
      </c>
      <c r="D1897" s="3">
        <f>[1]Raw_Data!D1895</f>
        <v>152</v>
      </c>
      <c r="E1897" s="4">
        <f>[1]Raw_Data!E1895</f>
        <v>46.41</v>
      </c>
      <c r="F1897" s="5">
        <f>[1]Raw_Data!F1895</f>
        <v>7054.32</v>
      </c>
      <c r="G1897" s="4">
        <f>[1]Raw_Data!G1895</f>
        <v>0.17</v>
      </c>
      <c r="H1897" s="3">
        <f>[1]Raw_Data!H1895</f>
        <v>3</v>
      </c>
      <c r="I1897" s="3" t="str">
        <f>TRIM([1]Raw_Data!I1895)</f>
        <v>UK</v>
      </c>
      <c r="J1897" s="3" t="str">
        <f>TRIM([1]Raw_Data!J1895)</f>
        <v>iHerb</v>
      </c>
      <c r="K1897" s="3">
        <f t="shared" si="116"/>
        <v>2022</v>
      </c>
      <c r="L1897" s="6">
        <f t="shared" si="117"/>
        <v>44652</v>
      </c>
      <c r="M1897" s="3" t="str">
        <f t="shared" si="118"/>
        <v>16% to 20%</v>
      </c>
      <c r="N1897" s="3" t="str">
        <f t="shared" si="119"/>
        <v>OK</v>
      </c>
    </row>
    <row r="1898" spans="1:14" x14ac:dyDescent="0.3">
      <c r="A1898" s="2">
        <f>DATE(VALUE(RIGHT(TRIM([1]Raw_Data!A1896),4)),VALUE(MID(TRIM([1]Raw_Data!A1896),4,2)),VALUE(LEFT(TRIM([1]Raw_Data!A1896),2)))</f>
        <v>44662</v>
      </c>
      <c r="B1898" s="3" t="str">
        <f>TRIM([1]Raw_Data!B1896)</f>
        <v>Creatine</v>
      </c>
      <c r="C1898" s="3" t="str">
        <f>TRIM([1]Raw_Data!C1896)</f>
        <v>Performance</v>
      </c>
      <c r="D1898" s="3">
        <f>[1]Raw_Data!D1896</f>
        <v>166</v>
      </c>
      <c r="E1898" s="4">
        <f>[1]Raw_Data!E1896</f>
        <v>31.49</v>
      </c>
      <c r="F1898" s="5">
        <f>[1]Raw_Data!F1896</f>
        <v>5227.34</v>
      </c>
      <c r="G1898" s="4">
        <f>[1]Raw_Data!G1896</f>
        <v>0.16</v>
      </c>
      <c r="H1898" s="3">
        <f>[1]Raw_Data!H1896</f>
        <v>3</v>
      </c>
      <c r="I1898" s="3" t="str">
        <f>TRIM([1]Raw_Data!I1896)</f>
        <v>Canada</v>
      </c>
      <c r="J1898" s="3" t="str">
        <f>TRIM([1]Raw_Data!J1896)</f>
        <v>iHerb</v>
      </c>
      <c r="K1898" s="3">
        <f t="shared" si="116"/>
        <v>2022</v>
      </c>
      <c r="L1898" s="6">
        <f t="shared" si="117"/>
        <v>44652</v>
      </c>
      <c r="M1898" s="3" t="str">
        <f t="shared" si="118"/>
        <v>16% to 20%</v>
      </c>
      <c r="N1898" s="3" t="str">
        <f t="shared" si="119"/>
        <v>OK</v>
      </c>
    </row>
    <row r="1899" spans="1:14" x14ac:dyDescent="0.3">
      <c r="A1899" s="2">
        <f>DATE(VALUE(RIGHT(TRIM([1]Raw_Data!A1897),4)),VALUE(MID(TRIM([1]Raw_Data!A1897),4,2)),VALUE(LEFT(TRIM([1]Raw_Data!A1897),2)))</f>
        <v>44662</v>
      </c>
      <c r="B1899" s="3" t="str">
        <f>TRIM([1]Raw_Data!B1897)</f>
        <v>Zinc</v>
      </c>
      <c r="C1899" s="3" t="str">
        <f>TRIM([1]Raw_Data!C1897)</f>
        <v>Mineral</v>
      </c>
      <c r="D1899" s="3">
        <f>[1]Raw_Data!D1897</f>
        <v>137</v>
      </c>
      <c r="E1899" s="4">
        <f>[1]Raw_Data!E1897</f>
        <v>53.6</v>
      </c>
      <c r="F1899" s="5">
        <f>[1]Raw_Data!F1897</f>
        <v>7343.2</v>
      </c>
      <c r="G1899" s="4">
        <f>[1]Raw_Data!G1897</f>
        <v>0.06</v>
      </c>
      <c r="H1899" s="3">
        <f>[1]Raw_Data!H1897</f>
        <v>1</v>
      </c>
      <c r="I1899" s="3" t="str">
        <f>TRIM([1]Raw_Data!I1897)</f>
        <v>Canada</v>
      </c>
      <c r="J1899" s="3" t="str">
        <f>TRIM([1]Raw_Data!J1897)</f>
        <v>Walmart</v>
      </c>
      <c r="K1899" s="3">
        <f t="shared" si="116"/>
        <v>2022</v>
      </c>
      <c r="L1899" s="6">
        <f t="shared" si="117"/>
        <v>44652</v>
      </c>
      <c r="M1899" s="3" t="str">
        <f t="shared" si="118"/>
        <v>6% to 10%</v>
      </c>
      <c r="N1899" s="3" t="str">
        <f t="shared" si="119"/>
        <v>OK</v>
      </c>
    </row>
    <row r="1900" spans="1:14" x14ac:dyDescent="0.3">
      <c r="A1900" s="2">
        <f>DATE(VALUE(RIGHT(TRIM([1]Raw_Data!A1898),4)),VALUE(MID(TRIM([1]Raw_Data!A1898),4,2)),VALUE(LEFT(TRIM([1]Raw_Data!A1898),2)))</f>
        <v>44662</v>
      </c>
      <c r="B1900" s="3" t="str">
        <f>TRIM([1]Raw_Data!B1898)</f>
        <v>Collagen Peptides</v>
      </c>
      <c r="C1900" s="3" t="str">
        <f>TRIM([1]Raw_Data!C1898)</f>
        <v>Protein</v>
      </c>
      <c r="D1900" s="3">
        <f>[1]Raw_Data!D1898</f>
        <v>134</v>
      </c>
      <c r="E1900" s="4">
        <f>[1]Raw_Data!E1898</f>
        <v>18.86</v>
      </c>
      <c r="F1900" s="5">
        <f>[1]Raw_Data!F1898</f>
        <v>2527.2399999999998</v>
      </c>
      <c r="G1900" s="4">
        <f>[1]Raw_Data!G1898</f>
        <v>0.09</v>
      </c>
      <c r="H1900" s="3">
        <f>[1]Raw_Data!H1898</f>
        <v>1</v>
      </c>
      <c r="I1900" s="3" t="str">
        <f>TRIM([1]Raw_Data!I1898)</f>
        <v>UK</v>
      </c>
      <c r="J1900" s="3" t="str">
        <f>TRIM([1]Raw_Data!J1898)</f>
        <v>Amazon</v>
      </c>
      <c r="K1900" s="3">
        <f t="shared" si="116"/>
        <v>2022</v>
      </c>
      <c r="L1900" s="6">
        <f t="shared" si="117"/>
        <v>44652</v>
      </c>
      <c r="M1900" s="3" t="str">
        <f t="shared" si="118"/>
        <v>6% to 10%</v>
      </c>
      <c r="N1900" s="3" t="str">
        <f t="shared" si="119"/>
        <v>OK</v>
      </c>
    </row>
    <row r="1901" spans="1:14" x14ac:dyDescent="0.3">
      <c r="A1901" s="2">
        <f>DATE(VALUE(RIGHT(TRIM([1]Raw_Data!A1899),4)),VALUE(MID(TRIM([1]Raw_Data!A1899),4,2)),VALUE(LEFT(TRIM([1]Raw_Data!A1899),2)))</f>
        <v>44662</v>
      </c>
      <c r="B1901" s="3" t="str">
        <f>TRIM([1]Raw_Data!B1899)</f>
        <v>Magnesium</v>
      </c>
      <c r="C1901" s="3" t="str">
        <f>TRIM([1]Raw_Data!C1899)</f>
        <v>Mineral</v>
      </c>
      <c r="D1901" s="3">
        <f>[1]Raw_Data!D1899</f>
        <v>133</v>
      </c>
      <c r="E1901" s="4">
        <f>[1]Raw_Data!E1899</f>
        <v>12.59</v>
      </c>
      <c r="F1901" s="5">
        <f>[1]Raw_Data!F1899</f>
        <v>1674.47</v>
      </c>
      <c r="G1901" s="4">
        <f>[1]Raw_Data!G1899</f>
        <v>0.01</v>
      </c>
      <c r="H1901" s="3">
        <f>[1]Raw_Data!H1899</f>
        <v>0</v>
      </c>
      <c r="I1901" s="3" t="str">
        <f>TRIM([1]Raw_Data!I1899)</f>
        <v>UK</v>
      </c>
      <c r="J1901" s="3" t="str">
        <f>TRIM([1]Raw_Data!J1899)</f>
        <v>iHerb</v>
      </c>
      <c r="K1901" s="3">
        <f t="shared" si="116"/>
        <v>2022</v>
      </c>
      <c r="L1901" s="6">
        <f t="shared" si="117"/>
        <v>44652</v>
      </c>
      <c r="M1901" s="3" t="str">
        <f t="shared" si="118"/>
        <v>0% to 5%</v>
      </c>
      <c r="N1901" s="3" t="str">
        <f t="shared" si="119"/>
        <v>OK</v>
      </c>
    </row>
    <row r="1902" spans="1:14" x14ac:dyDescent="0.3">
      <c r="A1902" s="2">
        <f>DATE(VALUE(RIGHT(TRIM([1]Raw_Data!A1900),4)),VALUE(MID(TRIM([1]Raw_Data!A1900),4,2)),VALUE(LEFT(TRIM([1]Raw_Data!A1900),2)))</f>
        <v>44662</v>
      </c>
      <c r="B1902" s="3" t="str">
        <f>TRIM([1]Raw_Data!B1900)</f>
        <v>Ashwagandha</v>
      </c>
      <c r="C1902" s="3" t="str">
        <f>TRIM([1]Raw_Data!C1900)</f>
        <v>Herbal</v>
      </c>
      <c r="D1902" s="3">
        <f>[1]Raw_Data!D1900</f>
        <v>138</v>
      </c>
      <c r="E1902" s="4">
        <f>[1]Raw_Data!E1900</f>
        <v>22.03</v>
      </c>
      <c r="F1902" s="5">
        <f>[1]Raw_Data!F1900</f>
        <v>3040.14</v>
      </c>
      <c r="G1902" s="4">
        <f>[1]Raw_Data!G1900</f>
        <v>0.13</v>
      </c>
      <c r="H1902" s="3">
        <f>[1]Raw_Data!H1900</f>
        <v>1</v>
      </c>
      <c r="I1902" s="3" t="str">
        <f>TRIM([1]Raw_Data!I1900)</f>
        <v>USA</v>
      </c>
      <c r="J1902" s="3" t="str">
        <f>TRIM([1]Raw_Data!J1900)</f>
        <v>iHerb</v>
      </c>
      <c r="K1902" s="3">
        <f t="shared" si="116"/>
        <v>2022</v>
      </c>
      <c r="L1902" s="6">
        <f t="shared" si="117"/>
        <v>44652</v>
      </c>
      <c r="M1902" s="3" t="str">
        <f t="shared" si="118"/>
        <v>11% to 15%</v>
      </c>
      <c r="N1902" s="3" t="str">
        <f t="shared" si="119"/>
        <v>OK</v>
      </c>
    </row>
    <row r="1903" spans="1:14" x14ac:dyDescent="0.3">
      <c r="A1903" s="2">
        <f>DATE(VALUE(RIGHT(TRIM([1]Raw_Data!A1901),4)),VALUE(MID(TRIM([1]Raw_Data!A1901),4,2)),VALUE(LEFT(TRIM([1]Raw_Data!A1901),2)))</f>
        <v>44662</v>
      </c>
      <c r="B1903" s="3" t="str">
        <f>TRIM([1]Raw_Data!B1901)</f>
        <v>Melatonin</v>
      </c>
      <c r="C1903" s="3" t="str">
        <f>TRIM([1]Raw_Data!C1901)</f>
        <v>Sleep Aid</v>
      </c>
      <c r="D1903" s="3">
        <f>[1]Raw_Data!D1901</f>
        <v>139</v>
      </c>
      <c r="E1903" s="4">
        <f>[1]Raw_Data!E1901</f>
        <v>25.48</v>
      </c>
      <c r="F1903" s="5">
        <f>[1]Raw_Data!F1901</f>
        <v>3541.72</v>
      </c>
      <c r="G1903" s="4">
        <f>[1]Raw_Data!G1901</f>
        <v>0.23</v>
      </c>
      <c r="H1903" s="3">
        <f>[1]Raw_Data!H1901</f>
        <v>2</v>
      </c>
      <c r="I1903" s="3" t="str">
        <f>TRIM([1]Raw_Data!I1901)</f>
        <v>Canada</v>
      </c>
      <c r="J1903" s="3" t="str">
        <f>TRIM([1]Raw_Data!J1901)</f>
        <v>Walmart</v>
      </c>
      <c r="K1903" s="3">
        <f t="shared" si="116"/>
        <v>2022</v>
      </c>
      <c r="L1903" s="6">
        <f t="shared" si="117"/>
        <v>44652</v>
      </c>
      <c r="M1903" s="3" t="str">
        <f t="shared" si="118"/>
        <v>21% to 25%</v>
      </c>
      <c r="N1903" s="3" t="str">
        <f t="shared" si="119"/>
        <v>OK</v>
      </c>
    </row>
    <row r="1904" spans="1:14" x14ac:dyDescent="0.3">
      <c r="A1904" s="2">
        <f>DATE(VALUE(RIGHT(TRIM([1]Raw_Data!A1902),4)),VALUE(MID(TRIM([1]Raw_Data!A1902),4,2)),VALUE(LEFT(TRIM([1]Raw_Data!A1902),2)))</f>
        <v>44662</v>
      </c>
      <c r="B1904" s="3" t="str">
        <f>TRIM([1]Raw_Data!B1902)</f>
        <v>Biotin</v>
      </c>
      <c r="C1904" s="3" t="str">
        <f>TRIM([1]Raw_Data!C1902)</f>
        <v>Vitamin</v>
      </c>
      <c r="D1904" s="3">
        <f>[1]Raw_Data!D1902</f>
        <v>148</v>
      </c>
      <c r="E1904" s="4">
        <f>[1]Raw_Data!E1902</f>
        <v>50.9</v>
      </c>
      <c r="F1904" s="5">
        <f>[1]Raw_Data!F1902</f>
        <v>7533.2</v>
      </c>
      <c r="G1904" s="4">
        <f>[1]Raw_Data!G1902</f>
        <v>7.0000000000000007E-2</v>
      </c>
      <c r="H1904" s="3">
        <f>[1]Raw_Data!H1902</f>
        <v>1</v>
      </c>
      <c r="I1904" s="3" t="str">
        <f>TRIM([1]Raw_Data!I1902)</f>
        <v>USA</v>
      </c>
      <c r="J1904" s="3" t="str">
        <f>TRIM([1]Raw_Data!J1902)</f>
        <v>Amazon</v>
      </c>
      <c r="K1904" s="3">
        <f t="shared" si="116"/>
        <v>2022</v>
      </c>
      <c r="L1904" s="6">
        <f t="shared" si="117"/>
        <v>44652</v>
      </c>
      <c r="M1904" s="3" t="str">
        <f t="shared" si="118"/>
        <v>6% to 10%</v>
      </c>
      <c r="N1904" s="3" t="str">
        <f t="shared" si="119"/>
        <v>OK</v>
      </c>
    </row>
    <row r="1905" spans="1:14" x14ac:dyDescent="0.3">
      <c r="A1905" s="2">
        <f>DATE(VALUE(RIGHT(TRIM([1]Raw_Data!A1903),4)),VALUE(MID(TRIM([1]Raw_Data!A1903),4,2)),VALUE(LEFT(TRIM([1]Raw_Data!A1903),2)))</f>
        <v>44662</v>
      </c>
      <c r="B1905" s="3" t="str">
        <f>TRIM([1]Raw_Data!B1903)</f>
        <v>Green Tea Extract</v>
      </c>
      <c r="C1905" s="3" t="str">
        <f>TRIM([1]Raw_Data!C1903)</f>
        <v>Fat Burner</v>
      </c>
      <c r="D1905" s="3">
        <f>[1]Raw_Data!D1903</f>
        <v>174</v>
      </c>
      <c r="E1905" s="4">
        <f>[1]Raw_Data!E1903</f>
        <v>12.11</v>
      </c>
      <c r="F1905" s="5">
        <f>[1]Raw_Data!F1903</f>
        <v>2107.14</v>
      </c>
      <c r="G1905" s="4">
        <f>[1]Raw_Data!G1903</f>
        <v>0.11</v>
      </c>
      <c r="H1905" s="3">
        <f>[1]Raw_Data!H1903</f>
        <v>3</v>
      </c>
      <c r="I1905" s="3" t="str">
        <f>TRIM([1]Raw_Data!I1903)</f>
        <v>USA</v>
      </c>
      <c r="J1905" s="3" t="str">
        <f>TRIM([1]Raw_Data!J1903)</f>
        <v>Walmart</v>
      </c>
      <c r="K1905" s="3">
        <f t="shared" si="116"/>
        <v>2022</v>
      </c>
      <c r="L1905" s="6">
        <f t="shared" si="117"/>
        <v>44652</v>
      </c>
      <c r="M1905" s="3" t="str">
        <f t="shared" si="118"/>
        <v>11% to 15%</v>
      </c>
      <c r="N1905" s="3" t="str">
        <f t="shared" si="119"/>
        <v>OK</v>
      </c>
    </row>
    <row r="1906" spans="1:14" x14ac:dyDescent="0.3">
      <c r="A1906" s="2">
        <f>DATE(VALUE(RIGHT(TRIM([1]Raw_Data!A1904),4)),VALUE(MID(TRIM([1]Raw_Data!A1904),4,2)),VALUE(LEFT(TRIM([1]Raw_Data!A1904),2)))</f>
        <v>44662</v>
      </c>
      <c r="B1906" s="3" t="str">
        <f>TRIM([1]Raw_Data!B1904)</f>
        <v>Iron Supplement</v>
      </c>
      <c r="C1906" s="3" t="str">
        <f>TRIM([1]Raw_Data!C1904)</f>
        <v>Mineral</v>
      </c>
      <c r="D1906" s="3">
        <f>[1]Raw_Data!D1904</f>
        <v>151</v>
      </c>
      <c r="E1906" s="4">
        <f>[1]Raw_Data!E1904</f>
        <v>39.43</v>
      </c>
      <c r="F1906" s="5">
        <f>[1]Raw_Data!F1904</f>
        <v>5953.93</v>
      </c>
      <c r="G1906" s="4">
        <f>[1]Raw_Data!G1904</f>
        <v>0.19</v>
      </c>
      <c r="H1906" s="3">
        <f>[1]Raw_Data!H1904</f>
        <v>0</v>
      </c>
      <c r="I1906" s="3" t="str">
        <f>TRIM([1]Raw_Data!I1904)</f>
        <v>UK</v>
      </c>
      <c r="J1906" s="3" t="str">
        <f>TRIM([1]Raw_Data!J1904)</f>
        <v>Walmart</v>
      </c>
      <c r="K1906" s="3">
        <f t="shared" si="116"/>
        <v>2022</v>
      </c>
      <c r="L1906" s="6">
        <f t="shared" si="117"/>
        <v>44652</v>
      </c>
      <c r="M1906" s="3" t="str">
        <f t="shared" si="118"/>
        <v>16% to 20%</v>
      </c>
      <c r="N1906" s="3" t="str">
        <f t="shared" si="119"/>
        <v>OK</v>
      </c>
    </row>
    <row r="1907" spans="1:14" x14ac:dyDescent="0.3">
      <c r="A1907" s="2">
        <f>DATE(VALUE(RIGHT(TRIM([1]Raw_Data!A1905),4)),VALUE(MID(TRIM([1]Raw_Data!A1905),4,2)),VALUE(LEFT(TRIM([1]Raw_Data!A1905),2)))</f>
        <v>44662</v>
      </c>
      <c r="B1907" s="3" t="str">
        <f>TRIM([1]Raw_Data!B1905)</f>
        <v>Electrolyte Powder</v>
      </c>
      <c r="C1907" s="3" t="str">
        <f>TRIM([1]Raw_Data!C1905)</f>
        <v>Hydration</v>
      </c>
      <c r="D1907" s="3">
        <f>[1]Raw_Data!D1905</f>
        <v>137</v>
      </c>
      <c r="E1907" s="4">
        <f>[1]Raw_Data!E1905</f>
        <v>39.68</v>
      </c>
      <c r="F1907" s="5">
        <f>[1]Raw_Data!F1905</f>
        <v>5436.16</v>
      </c>
      <c r="G1907" s="4">
        <f>[1]Raw_Data!G1905</f>
        <v>0.22</v>
      </c>
      <c r="H1907" s="3">
        <f>[1]Raw_Data!H1905</f>
        <v>2</v>
      </c>
      <c r="I1907" s="3" t="str">
        <f>TRIM([1]Raw_Data!I1905)</f>
        <v>UK</v>
      </c>
      <c r="J1907" s="3" t="str">
        <f>TRIM([1]Raw_Data!J1905)</f>
        <v>Walmart</v>
      </c>
      <c r="K1907" s="3">
        <f t="shared" si="116"/>
        <v>2022</v>
      </c>
      <c r="L1907" s="6">
        <f t="shared" si="117"/>
        <v>44652</v>
      </c>
      <c r="M1907" s="3" t="str">
        <f t="shared" si="118"/>
        <v>21% to 25%</v>
      </c>
      <c r="N1907" s="3" t="str">
        <f t="shared" si="119"/>
        <v>OK</v>
      </c>
    </row>
    <row r="1908" spans="1:14" x14ac:dyDescent="0.3">
      <c r="A1908" s="2">
        <f>DATE(VALUE(RIGHT(TRIM([1]Raw_Data!A1906),4)),VALUE(MID(TRIM([1]Raw_Data!A1906),4,2)),VALUE(LEFT(TRIM([1]Raw_Data!A1906),2)))</f>
        <v>44669</v>
      </c>
      <c r="B1908" s="3" t="str">
        <f>TRIM([1]Raw_Data!B1906)</f>
        <v>Whey Protein</v>
      </c>
      <c r="C1908" s="3" t="str">
        <f>TRIM([1]Raw_Data!C1906)</f>
        <v>Protein</v>
      </c>
      <c r="D1908" s="3">
        <f>[1]Raw_Data!D1906</f>
        <v>169</v>
      </c>
      <c r="E1908" s="4">
        <f>[1]Raw_Data!E1906</f>
        <v>25.71</v>
      </c>
      <c r="F1908" s="5">
        <f>[1]Raw_Data!F1906</f>
        <v>4344.99</v>
      </c>
      <c r="G1908" s="4">
        <f>[1]Raw_Data!G1906</f>
        <v>0.24</v>
      </c>
      <c r="H1908" s="3">
        <f>[1]Raw_Data!H1906</f>
        <v>1</v>
      </c>
      <c r="I1908" s="3" t="str">
        <f>TRIM([1]Raw_Data!I1906)</f>
        <v>USA</v>
      </c>
      <c r="J1908" s="3" t="str">
        <f>TRIM([1]Raw_Data!J1906)</f>
        <v>Amazon</v>
      </c>
      <c r="K1908" s="3">
        <f t="shared" si="116"/>
        <v>2022</v>
      </c>
      <c r="L1908" s="6">
        <f t="shared" si="117"/>
        <v>44652</v>
      </c>
      <c r="M1908" s="3" t="str">
        <f t="shared" si="118"/>
        <v>21% to 25%</v>
      </c>
      <c r="N1908" s="3" t="str">
        <f t="shared" si="119"/>
        <v>OK</v>
      </c>
    </row>
    <row r="1909" spans="1:14" x14ac:dyDescent="0.3">
      <c r="A1909" s="2">
        <f>DATE(VALUE(RIGHT(TRIM([1]Raw_Data!A1907),4)),VALUE(MID(TRIM([1]Raw_Data!A1907),4,2)),VALUE(LEFT(TRIM([1]Raw_Data!A1907),2)))</f>
        <v>44669</v>
      </c>
      <c r="B1909" s="3" t="str">
        <f>TRIM([1]Raw_Data!B1907)</f>
        <v>Vitamin C</v>
      </c>
      <c r="C1909" s="3" t="str">
        <f>TRIM([1]Raw_Data!C1907)</f>
        <v>Vitamin</v>
      </c>
      <c r="D1909" s="3">
        <f>[1]Raw_Data!D1907</f>
        <v>160</v>
      </c>
      <c r="E1909" s="4">
        <f>[1]Raw_Data!E1907</f>
        <v>16</v>
      </c>
      <c r="F1909" s="5">
        <f>[1]Raw_Data!F1907</f>
        <v>2560</v>
      </c>
      <c r="G1909" s="4">
        <f>[1]Raw_Data!G1907</f>
        <v>0.13</v>
      </c>
      <c r="H1909" s="3">
        <f>[1]Raw_Data!H1907</f>
        <v>1</v>
      </c>
      <c r="I1909" s="3" t="str">
        <f>TRIM([1]Raw_Data!I1907)</f>
        <v>Canada</v>
      </c>
      <c r="J1909" s="3" t="str">
        <f>TRIM([1]Raw_Data!J1907)</f>
        <v>Walmart</v>
      </c>
      <c r="K1909" s="3">
        <f t="shared" si="116"/>
        <v>2022</v>
      </c>
      <c r="L1909" s="6">
        <f t="shared" si="117"/>
        <v>44652</v>
      </c>
      <c r="M1909" s="3" t="str">
        <f t="shared" si="118"/>
        <v>11% to 15%</v>
      </c>
      <c r="N1909" s="3" t="str">
        <f t="shared" si="119"/>
        <v>OK</v>
      </c>
    </row>
    <row r="1910" spans="1:14" x14ac:dyDescent="0.3">
      <c r="A1910" s="2">
        <f>DATE(VALUE(RIGHT(TRIM([1]Raw_Data!A1908),4)),VALUE(MID(TRIM([1]Raw_Data!A1908),4,2)),VALUE(LEFT(TRIM([1]Raw_Data!A1908),2)))</f>
        <v>44669</v>
      </c>
      <c r="B1910" s="3" t="str">
        <f>TRIM([1]Raw_Data!B1908)</f>
        <v>Fish Oil</v>
      </c>
      <c r="C1910" s="3" t="str">
        <f>TRIM([1]Raw_Data!C1908)</f>
        <v>Omega</v>
      </c>
      <c r="D1910" s="3">
        <f>[1]Raw_Data!D1908</f>
        <v>161</v>
      </c>
      <c r="E1910" s="4">
        <f>[1]Raw_Data!E1908</f>
        <v>55.53</v>
      </c>
      <c r="F1910" s="5">
        <f>[1]Raw_Data!F1908</f>
        <v>8940.33</v>
      </c>
      <c r="G1910" s="4">
        <f>[1]Raw_Data!G1908</f>
        <v>0</v>
      </c>
      <c r="H1910" s="3">
        <f>[1]Raw_Data!H1908</f>
        <v>3</v>
      </c>
      <c r="I1910" s="3" t="str">
        <f>TRIM([1]Raw_Data!I1908)</f>
        <v>UK</v>
      </c>
      <c r="J1910" s="3" t="str">
        <f>TRIM([1]Raw_Data!J1908)</f>
        <v>Walmart</v>
      </c>
      <c r="K1910" s="3">
        <f t="shared" si="116"/>
        <v>2022</v>
      </c>
      <c r="L1910" s="6">
        <f t="shared" si="117"/>
        <v>44652</v>
      </c>
      <c r="M1910" s="3" t="str">
        <f t="shared" si="118"/>
        <v>0% to 5%</v>
      </c>
      <c r="N1910" s="3" t="str">
        <f t="shared" si="119"/>
        <v>OK</v>
      </c>
    </row>
    <row r="1911" spans="1:14" x14ac:dyDescent="0.3">
      <c r="A1911" s="2">
        <f>DATE(VALUE(RIGHT(TRIM([1]Raw_Data!A1909),4)),VALUE(MID(TRIM([1]Raw_Data!A1909),4,2)),VALUE(LEFT(TRIM([1]Raw_Data!A1909),2)))</f>
        <v>44669</v>
      </c>
      <c r="B1911" s="3" t="str">
        <f>TRIM([1]Raw_Data!B1909)</f>
        <v>Multivitamin</v>
      </c>
      <c r="C1911" s="3" t="str">
        <f>TRIM([1]Raw_Data!C1909)</f>
        <v>Vitamin</v>
      </c>
      <c r="D1911" s="3">
        <f>[1]Raw_Data!D1909</f>
        <v>174</v>
      </c>
      <c r="E1911" s="4">
        <f>[1]Raw_Data!E1909</f>
        <v>16.510000000000002</v>
      </c>
      <c r="F1911" s="5">
        <f>[1]Raw_Data!F1909</f>
        <v>2872.74</v>
      </c>
      <c r="G1911" s="4">
        <f>[1]Raw_Data!G1909</f>
        <v>0.02</v>
      </c>
      <c r="H1911" s="3">
        <f>[1]Raw_Data!H1909</f>
        <v>0</v>
      </c>
      <c r="I1911" s="3" t="str">
        <f>TRIM([1]Raw_Data!I1909)</f>
        <v>UK</v>
      </c>
      <c r="J1911" s="3" t="str">
        <f>TRIM([1]Raw_Data!J1909)</f>
        <v>Amazon</v>
      </c>
      <c r="K1911" s="3">
        <f t="shared" si="116"/>
        <v>2022</v>
      </c>
      <c r="L1911" s="6">
        <f t="shared" si="117"/>
        <v>44652</v>
      </c>
      <c r="M1911" s="3" t="str">
        <f t="shared" si="118"/>
        <v>0% to 5%</v>
      </c>
      <c r="N1911" s="3" t="str">
        <f t="shared" si="119"/>
        <v>OK</v>
      </c>
    </row>
    <row r="1912" spans="1:14" x14ac:dyDescent="0.3">
      <c r="A1912" s="2">
        <f>DATE(VALUE(RIGHT(TRIM([1]Raw_Data!A1910),4)),VALUE(MID(TRIM([1]Raw_Data!A1910),4,2)),VALUE(LEFT(TRIM([1]Raw_Data!A1910),2)))</f>
        <v>44669</v>
      </c>
      <c r="B1912" s="3" t="str">
        <f>TRIM([1]Raw_Data!B1910)</f>
        <v>Pre-Workout</v>
      </c>
      <c r="C1912" s="3" t="str">
        <f>TRIM([1]Raw_Data!C1910)</f>
        <v>Performance</v>
      </c>
      <c r="D1912" s="3">
        <f>[1]Raw_Data!D1910</f>
        <v>155</v>
      </c>
      <c r="E1912" s="4">
        <f>[1]Raw_Data!E1910</f>
        <v>59.35</v>
      </c>
      <c r="F1912" s="5">
        <f>[1]Raw_Data!F1910</f>
        <v>9199.25</v>
      </c>
      <c r="G1912" s="4">
        <f>[1]Raw_Data!G1910</f>
        <v>0.1</v>
      </c>
      <c r="H1912" s="3">
        <f>[1]Raw_Data!H1910</f>
        <v>1</v>
      </c>
      <c r="I1912" s="3" t="str">
        <f>TRIM([1]Raw_Data!I1910)</f>
        <v>UK</v>
      </c>
      <c r="J1912" s="3" t="str">
        <f>TRIM([1]Raw_Data!J1910)</f>
        <v>Walmart</v>
      </c>
      <c r="K1912" s="3">
        <f t="shared" si="116"/>
        <v>2022</v>
      </c>
      <c r="L1912" s="6">
        <f t="shared" si="117"/>
        <v>44652</v>
      </c>
      <c r="M1912" s="3" t="str">
        <f t="shared" si="118"/>
        <v>6% to 10%</v>
      </c>
      <c r="N1912" s="3" t="str">
        <f t="shared" si="119"/>
        <v>OK</v>
      </c>
    </row>
    <row r="1913" spans="1:14" x14ac:dyDescent="0.3">
      <c r="A1913" s="2">
        <f>DATE(VALUE(RIGHT(TRIM([1]Raw_Data!A1911),4)),VALUE(MID(TRIM([1]Raw_Data!A1911),4,2)),VALUE(LEFT(TRIM([1]Raw_Data!A1911),2)))</f>
        <v>44669</v>
      </c>
      <c r="B1913" s="3" t="str">
        <f>TRIM([1]Raw_Data!B1911)</f>
        <v>BCAA</v>
      </c>
      <c r="C1913" s="3" t="str">
        <f>TRIM([1]Raw_Data!C1911)</f>
        <v>Amino Acid</v>
      </c>
      <c r="D1913" s="3">
        <f>[1]Raw_Data!D1911</f>
        <v>154</v>
      </c>
      <c r="E1913" s="4">
        <f>[1]Raw_Data!E1911</f>
        <v>56.84</v>
      </c>
      <c r="F1913" s="5">
        <f>[1]Raw_Data!F1911</f>
        <v>8753.36</v>
      </c>
      <c r="G1913" s="4">
        <f>[1]Raw_Data!G1911</f>
        <v>0.2</v>
      </c>
      <c r="H1913" s="3">
        <f>[1]Raw_Data!H1911</f>
        <v>1</v>
      </c>
      <c r="I1913" s="3" t="str">
        <f>TRIM([1]Raw_Data!I1911)</f>
        <v>UK</v>
      </c>
      <c r="J1913" s="3" t="str">
        <f>TRIM([1]Raw_Data!J1911)</f>
        <v>Amazon</v>
      </c>
      <c r="K1913" s="3">
        <f t="shared" si="116"/>
        <v>2022</v>
      </c>
      <c r="L1913" s="6">
        <f t="shared" si="117"/>
        <v>44652</v>
      </c>
      <c r="M1913" s="3" t="str">
        <f t="shared" si="118"/>
        <v>16% to 20%</v>
      </c>
      <c r="N1913" s="3" t="str">
        <f t="shared" si="119"/>
        <v>OK</v>
      </c>
    </row>
    <row r="1914" spans="1:14" x14ac:dyDescent="0.3">
      <c r="A1914" s="2">
        <f>DATE(VALUE(RIGHT(TRIM([1]Raw_Data!A1912),4)),VALUE(MID(TRIM([1]Raw_Data!A1912),4,2)),VALUE(LEFT(TRIM([1]Raw_Data!A1912),2)))</f>
        <v>44669</v>
      </c>
      <c r="B1914" s="3" t="str">
        <f>TRIM([1]Raw_Data!B1912)</f>
        <v>Creatine</v>
      </c>
      <c r="C1914" s="3" t="str">
        <f>TRIM([1]Raw_Data!C1912)</f>
        <v>Performance</v>
      </c>
      <c r="D1914" s="3">
        <f>[1]Raw_Data!D1912</f>
        <v>155</v>
      </c>
      <c r="E1914" s="4">
        <f>[1]Raw_Data!E1912</f>
        <v>34.53</v>
      </c>
      <c r="F1914" s="5">
        <f>[1]Raw_Data!F1912</f>
        <v>5352.15</v>
      </c>
      <c r="G1914" s="4">
        <f>[1]Raw_Data!G1912</f>
        <v>0.05</v>
      </c>
      <c r="H1914" s="3">
        <f>[1]Raw_Data!H1912</f>
        <v>0</v>
      </c>
      <c r="I1914" s="3" t="str">
        <f>TRIM([1]Raw_Data!I1912)</f>
        <v>USA</v>
      </c>
      <c r="J1914" s="3" t="str">
        <f>TRIM([1]Raw_Data!J1912)</f>
        <v>Amazon</v>
      </c>
      <c r="K1914" s="3">
        <f t="shared" si="116"/>
        <v>2022</v>
      </c>
      <c r="L1914" s="6">
        <f t="shared" si="117"/>
        <v>44652</v>
      </c>
      <c r="M1914" s="3" t="str">
        <f t="shared" si="118"/>
        <v>0% to 5%</v>
      </c>
      <c r="N1914" s="3" t="str">
        <f t="shared" si="119"/>
        <v>OK</v>
      </c>
    </row>
    <row r="1915" spans="1:14" x14ac:dyDescent="0.3">
      <c r="A1915" s="2">
        <f>DATE(VALUE(RIGHT(TRIM([1]Raw_Data!A1913),4)),VALUE(MID(TRIM([1]Raw_Data!A1913),4,2)),VALUE(LEFT(TRIM([1]Raw_Data!A1913),2)))</f>
        <v>44669</v>
      </c>
      <c r="B1915" s="3" t="str">
        <f>TRIM([1]Raw_Data!B1913)</f>
        <v>Zinc</v>
      </c>
      <c r="C1915" s="3" t="str">
        <f>TRIM([1]Raw_Data!C1913)</f>
        <v>Mineral</v>
      </c>
      <c r="D1915" s="3">
        <f>[1]Raw_Data!D1913</f>
        <v>132</v>
      </c>
      <c r="E1915" s="4">
        <f>[1]Raw_Data!E1913</f>
        <v>24.89</v>
      </c>
      <c r="F1915" s="5">
        <f>[1]Raw_Data!F1913</f>
        <v>3285.48</v>
      </c>
      <c r="G1915" s="4">
        <f>[1]Raw_Data!G1913</f>
        <v>0.14000000000000001</v>
      </c>
      <c r="H1915" s="3">
        <f>[1]Raw_Data!H1913</f>
        <v>1</v>
      </c>
      <c r="I1915" s="3" t="str">
        <f>TRIM([1]Raw_Data!I1913)</f>
        <v>UK</v>
      </c>
      <c r="J1915" s="3" t="str">
        <f>TRIM([1]Raw_Data!J1913)</f>
        <v>Walmart</v>
      </c>
      <c r="K1915" s="3">
        <f t="shared" si="116"/>
        <v>2022</v>
      </c>
      <c r="L1915" s="6">
        <f t="shared" si="117"/>
        <v>44652</v>
      </c>
      <c r="M1915" s="3" t="str">
        <f t="shared" si="118"/>
        <v>11% to 15%</v>
      </c>
      <c r="N1915" s="3" t="str">
        <f t="shared" si="119"/>
        <v>OK</v>
      </c>
    </row>
    <row r="1916" spans="1:14" x14ac:dyDescent="0.3">
      <c r="A1916" s="2">
        <f>DATE(VALUE(RIGHT(TRIM([1]Raw_Data!A1914),4)),VALUE(MID(TRIM([1]Raw_Data!A1914),4,2)),VALUE(LEFT(TRIM([1]Raw_Data!A1914),2)))</f>
        <v>44669</v>
      </c>
      <c r="B1916" s="3" t="str">
        <f>TRIM([1]Raw_Data!B1914)</f>
        <v>Collagen Peptides</v>
      </c>
      <c r="C1916" s="3" t="str">
        <f>TRIM([1]Raw_Data!C1914)</f>
        <v>Protein</v>
      </c>
      <c r="D1916" s="3">
        <f>[1]Raw_Data!D1914</f>
        <v>156</v>
      </c>
      <c r="E1916" s="4">
        <f>[1]Raw_Data!E1914</f>
        <v>16.2</v>
      </c>
      <c r="F1916" s="5">
        <f>[1]Raw_Data!F1914</f>
        <v>2527.1999999999998</v>
      </c>
      <c r="G1916" s="4">
        <f>[1]Raw_Data!G1914</f>
        <v>0.12</v>
      </c>
      <c r="H1916" s="3">
        <f>[1]Raw_Data!H1914</f>
        <v>1</v>
      </c>
      <c r="I1916" s="3" t="str">
        <f>TRIM([1]Raw_Data!I1914)</f>
        <v>Canada</v>
      </c>
      <c r="J1916" s="3" t="str">
        <f>TRIM([1]Raw_Data!J1914)</f>
        <v>iHerb</v>
      </c>
      <c r="K1916" s="3">
        <f t="shared" si="116"/>
        <v>2022</v>
      </c>
      <c r="L1916" s="6">
        <f t="shared" si="117"/>
        <v>44652</v>
      </c>
      <c r="M1916" s="3" t="str">
        <f t="shared" si="118"/>
        <v>11% to 15%</v>
      </c>
      <c r="N1916" s="3" t="str">
        <f t="shared" si="119"/>
        <v>OK</v>
      </c>
    </row>
    <row r="1917" spans="1:14" x14ac:dyDescent="0.3">
      <c r="A1917" s="2">
        <f>DATE(VALUE(RIGHT(TRIM([1]Raw_Data!A1915),4)),VALUE(MID(TRIM([1]Raw_Data!A1915),4,2)),VALUE(LEFT(TRIM([1]Raw_Data!A1915),2)))</f>
        <v>44669</v>
      </c>
      <c r="B1917" s="3" t="str">
        <f>TRIM([1]Raw_Data!B1915)</f>
        <v>Magnesium</v>
      </c>
      <c r="C1917" s="3" t="str">
        <f>TRIM([1]Raw_Data!C1915)</f>
        <v>Mineral</v>
      </c>
      <c r="D1917" s="3">
        <f>[1]Raw_Data!D1915</f>
        <v>142</v>
      </c>
      <c r="E1917" s="4">
        <f>[1]Raw_Data!E1915</f>
        <v>54.79</v>
      </c>
      <c r="F1917" s="5">
        <f>[1]Raw_Data!F1915</f>
        <v>7780.18</v>
      </c>
      <c r="G1917" s="4">
        <f>[1]Raw_Data!G1915</f>
        <v>0.17</v>
      </c>
      <c r="H1917" s="3">
        <f>[1]Raw_Data!H1915</f>
        <v>0</v>
      </c>
      <c r="I1917" s="3" t="str">
        <f>TRIM([1]Raw_Data!I1915)</f>
        <v>Canada</v>
      </c>
      <c r="J1917" s="3" t="str">
        <f>TRIM([1]Raw_Data!J1915)</f>
        <v>Amazon</v>
      </c>
      <c r="K1917" s="3">
        <f t="shared" si="116"/>
        <v>2022</v>
      </c>
      <c r="L1917" s="6">
        <f t="shared" si="117"/>
        <v>44652</v>
      </c>
      <c r="M1917" s="3" t="str">
        <f t="shared" si="118"/>
        <v>16% to 20%</v>
      </c>
      <c r="N1917" s="3" t="str">
        <f t="shared" si="119"/>
        <v>OK</v>
      </c>
    </row>
    <row r="1918" spans="1:14" x14ac:dyDescent="0.3">
      <c r="A1918" s="2">
        <f>DATE(VALUE(RIGHT(TRIM([1]Raw_Data!A1916),4)),VALUE(MID(TRIM([1]Raw_Data!A1916),4,2)),VALUE(LEFT(TRIM([1]Raw_Data!A1916),2)))</f>
        <v>44669</v>
      </c>
      <c r="B1918" s="3" t="str">
        <f>TRIM([1]Raw_Data!B1916)</f>
        <v>Ashwagandha</v>
      </c>
      <c r="C1918" s="3" t="str">
        <f>TRIM([1]Raw_Data!C1916)</f>
        <v>Herbal</v>
      </c>
      <c r="D1918" s="3">
        <f>[1]Raw_Data!D1916</f>
        <v>157</v>
      </c>
      <c r="E1918" s="4">
        <f>[1]Raw_Data!E1916</f>
        <v>45.09</v>
      </c>
      <c r="F1918" s="5">
        <f>[1]Raw_Data!F1916</f>
        <v>7079.13</v>
      </c>
      <c r="G1918" s="4">
        <f>[1]Raw_Data!G1916</f>
        <v>0.19</v>
      </c>
      <c r="H1918" s="3">
        <f>[1]Raw_Data!H1916</f>
        <v>2</v>
      </c>
      <c r="I1918" s="3" t="str">
        <f>TRIM([1]Raw_Data!I1916)</f>
        <v>USA</v>
      </c>
      <c r="J1918" s="3" t="str">
        <f>TRIM([1]Raw_Data!J1916)</f>
        <v>Amazon</v>
      </c>
      <c r="K1918" s="3">
        <f t="shared" si="116"/>
        <v>2022</v>
      </c>
      <c r="L1918" s="6">
        <f t="shared" si="117"/>
        <v>44652</v>
      </c>
      <c r="M1918" s="3" t="str">
        <f t="shared" si="118"/>
        <v>16% to 20%</v>
      </c>
      <c r="N1918" s="3" t="str">
        <f t="shared" si="119"/>
        <v>OK</v>
      </c>
    </row>
    <row r="1919" spans="1:14" x14ac:dyDescent="0.3">
      <c r="A1919" s="2">
        <f>DATE(VALUE(RIGHT(TRIM([1]Raw_Data!A1917),4)),VALUE(MID(TRIM([1]Raw_Data!A1917),4,2)),VALUE(LEFT(TRIM([1]Raw_Data!A1917),2)))</f>
        <v>44669</v>
      </c>
      <c r="B1919" s="3" t="str">
        <f>TRIM([1]Raw_Data!B1917)</f>
        <v>Melatonin</v>
      </c>
      <c r="C1919" s="3" t="str">
        <f>TRIM([1]Raw_Data!C1917)</f>
        <v>Sleep Aid</v>
      </c>
      <c r="D1919" s="3">
        <f>[1]Raw_Data!D1917</f>
        <v>149</v>
      </c>
      <c r="E1919" s="4">
        <f>[1]Raw_Data!E1917</f>
        <v>10.55</v>
      </c>
      <c r="F1919" s="5">
        <f>[1]Raw_Data!F1917</f>
        <v>1571.95</v>
      </c>
      <c r="G1919" s="4">
        <f>[1]Raw_Data!G1917</f>
        <v>0.23</v>
      </c>
      <c r="H1919" s="3">
        <f>[1]Raw_Data!H1917</f>
        <v>2</v>
      </c>
      <c r="I1919" s="3" t="str">
        <f>TRIM([1]Raw_Data!I1917)</f>
        <v>Canada</v>
      </c>
      <c r="J1919" s="3" t="str">
        <f>TRIM([1]Raw_Data!J1917)</f>
        <v>Walmart</v>
      </c>
      <c r="K1919" s="3">
        <f t="shared" si="116"/>
        <v>2022</v>
      </c>
      <c r="L1919" s="6">
        <f t="shared" si="117"/>
        <v>44652</v>
      </c>
      <c r="M1919" s="3" t="str">
        <f t="shared" si="118"/>
        <v>21% to 25%</v>
      </c>
      <c r="N1919" s="3" t="str">
        <f t="shared" si="119"/>
        <v>OK</v>
      </c>
    </row>
    <row r="1920" spans="1:14" x14ac:dyDescent="0.3">
      <c r="A1920" s="2">
        <f>DATE(VALUE(RIGHT(TRIM([1]Raw_Data!A1918),4)),VALUE(MID(TRIM([1]Raw_Data!A1918),4,2)),VALUE(LEFT(TRIM([1]Raw_Data!A1918),2)))</f>
        <v>44669</v>
      </c>
      <c r="B1920" s="3" t="str">
        <f>TRIM([1]Raw_Data!B1918)</f>
        <v>Biotin</v>
      </c>
      <c r="C1920" s="3" t="str">
        <f>TRIM([1]Raw_Data!C1918)</f>
        <v>Vitamin</v>
      </c>
      <c r="D1920" s="3">
        <f>[1]Raw_Data!D1918</f>
        <v>140</v>
      </c>
      <c r="E1920" s="4">
        <f>[1]Raw_Data!E1918</f>
        <v>51.15</v>
      </c>
      <c r="F1920" s="5">
        <f>[1]Raw_Data!F1918</f>
        <v>7161</v>
      </c>
      <c r="G1920" s="4">
        <f>[1]Raw_Data!G1918</f>
        <v>0.06</v>
      </c>
      <c r="H1920" s="3">
        <f>[1]Raw_Data!H1918</f>
        <v>0</v>
      </c>
      <c r="I1920" s="3" t="str">
        <f>TRIM([1]Raw_Data!I1918)</f>
        <v>USA</v>
      </c>
      <c r="J1920" s="3" t="str">
        <f>TRIM([1]Raw_Data!J1918)</f>
        <v>Walmart</v>
      </c>
      <c r="K1920" s="3">
        <f t="shared" si="116"/>
        <v>2022</v>
      </c>
      <c r="L1920" s="6">
        <f t="shared" si="117"/>
        <v>44652</v>
      </c>
      <c r="M1920" s="3" t="str">
        <f t="shared" si="118"/>
        <v>6% to 10%</v>
      </c>
      <c r="N1920" s="3" t="str">
        <f t="shared" si="119"/>
        <v>OK</v>
      </c>
    </row>
    <row r="1921" spans="1:14" x14ac:dyDescent="0.3">
      <c r="A1921" s="2">
        <f>DATE(VALUE(RIGHT(TRIM([1]Raw_Data!A1919),4)),VALUE(MID(TRIM([1]Raw_Data!A1919),4,2)),VALUE(LEFT(TRIM([1]Raw_Data!A1919),2)))</f>
        <v>44669</v>
      </c>
      <c r="B1921" s="3" t="str">
        <f>TRIM([1]Raw_Data!B1919)</f>
        <v>Green Tea Extract</v>
      </c>
      <c r="C1921" s="3" t="str">
        <f>TRIM([1]Raw_Data!C1919)</f>
        <v>Fat Burner</v>
      </c>
      <c r="D1921" s="3">
        <f>[1]Raw_Data!D1919</f>
        <v>166</v>
      </c>
      <c r="E1921" s="4">
        <f>[1]Raw_Data!E1919</f>
        <v>11.05</v>
      </c>
      <c r="F1921" s="5">
        <f>[1]Raw_Data!F1919</f>
        <v>1834.3</v>
      </c>
      <c r="G1921" s="4">
        <f>[1]Raw_Data!G1919</f>
        <v>0.12</v>
      </c>
      <c r="H1921" s="3">
        <f>[1]Raw_Data!H1919</f>
        <v>1</v>
      </c>
      <c r="I1921" s="3" t="str">
        <f>TRIM([1]Raw_Data!I1919)</f>
        <v>UK</v>
      </c>
      <c r="J1921" s="3" t="str">
        <f>TRIM([1]Raw_Data!J1919)</f>
        <v>Amazon</v>
      </c>
      <c r="K1921" s="3">
        <f t="shared" si="116"/>
        <v>2022</v>
      </c>
      <c r="L1921" s="6">
        <f t="shared" si="117"/>
        <v>44652</v>
      </c>
      <c r="M1921" s="3" t="str">
        <f t="shared" si="118"/>
        <v>11% to 15%</v>
      </c>
      <c r="N1921" s="3" t="str">
        <f t="shared" si="119"/>
        <v>OK</v>
      </c>
    </row>
    <row r="1922" spans="1:14" x14ac:dyDescent="0.3">
      <c r="A1922" s="2">
        <f>DATE(VALUE(RIGHT(TRIM([1]Raw_Data!A1920),4)),VALUE(MID(TRIM([1]Raw_Data!A1920),4,2)),VALUE(LEFT(TRIM([1]Raw_Data!A1920),2)))</f>
        <v>44669</v>
      </c>
      <c r="B1922" s="3" t="str">
        <f>TRIM([1]Raw_Data!B1920)</f>
        <v>Iron Supplement</v>
      </c>
      <c r="C1922" s="3" t="str">
        <f>TRIM([1]Raw_Data!C1920)</f>
        <v>Mineral</v>
      </c>
      <c r="D1922" s="3">
        <f>[1]Raw_Data!D1920</f>
        <v>157</v>
      </c>
      <c r="E1922" s="4">
        <f>[1]Raw_Data!E1920</f>
        <v>13.87</v>
      </c>
      <c r="F1922" s="5">
        <f>[1]Raw_Data!F1920</f>
        <v>2177.59</v>
      </c>
      <c r="G1922" s="4">
        <f>[1]Raw_Data!G1920</f>
        <v>0.04</v>
      </c>
      <c r="H1922" s="3">
        <f>[1]Raw_Data!H1920</f>
        <v>1</v>
      </c>
      <c r="I1922" s="3" t="str">
        <f>TRIM([1]Raw_Data!I1920)</f>
        <v>USA</v>
      </c>
      <c r="J1922" s="3" t="str">
        <f>TRIM([1]Raw_Data!J1920)</f>
        <v>iHerb</v>
      </c>
      <c r="K1922" s="3">
        <f t="shared" si="116"/>
        <v>2022</v>
      </c>
      <c r="L1922" s="6">
        <f t="shared" si="117"/>
        <v>44652</v>
      </c>
      <c r="M1922" s="3" t="str">
        <f t="shared" si="118"/>
        <v>0% to 5%</v>
      </c>
      <c r="N1922" s="3" t="str">
        <f t="shared" si="119"/>
        <v>OK</v>
      </c>
    </row>
    <row r="1923" spans="1:14" x14ac:dyDescent="0.3">
      <c r="A1923" s="2">
        <f>DATE(VALUE(RIGHT(TRIM([1]Raw_Data!A1921),4)),VALUE(MID(TRIM([1]Raw_Data!A1921),4,2)),VALUE(LEFT(TRIM([1]Raw_Data!A1921),2)))</f>
        <v>44669</v>
      </c>
      <c r="B1923" s="3" t="str">
        <f>TRIM([1]Raw_Data!B1921)</f>
        <v>Electrolyte Powder</v>
      </c>
      <c r="C1923" s="3" t="str">
        <f>TRIM([1]Raw_Data!C1921)</f>
        <v>Hydration</v>
      </c>
      <c r="D1923" s="3">
        <f>[1]Raw_Data!D1921</f>
        <v>137</v>
      </c>
      <c r="E1923" s="4">
        <f>[1]Raw_Data!E1921</f>
        <v>30.8</v>
      </c>
      <c r="F1923" s="5">
        <f>[1]Raw_Data!F1921</f>
        <v>4219.6000000000004</v>
      </c>
      <c r="G1923" s="4">
        <f>[1]Raw_Data!G1921</f>
        <v>0.02</v>
      </c>
      <c r="H1923" s="3">
        <f>[1]Raw_Data!H1921</f>
        <v>1</v>
      </c>
      <c r="I1923" s="3" t="str">
        <f>TRIM([1]Raw_Data!I1921)</f>
        <v>UK</v>
      </c>
      <c r="J1923" s="3" t="str">
        <f>TRIM([1]Raw_Data!J1921)</f>
        <v>iHerb</v>
      </c>
      <c r="K1923" s="3">
        <f t="shared" si="116"/>
        <v>2022</v>
      </c>
      <c r="L1923" s="6">
        <f t="shared" si="117"/>
        <v>44652</v>
      </c>
      <c r="M1923" s="3" t="str">
        <f t="shared" si="118"/>
        <v>0% to 5%</v>
      </c>
      <c r="N1923" s="3" t="str">
        <f t="shared" si="119"/>
        <v>OK</v>
      </c>
    </row>
    <row r="1924" spans="1:14" x14ac:dyDescent="0.3">
      <c r="A1924" s="2">
        <f>DATE(VALUE(RIGHT(TRIM([1]Raw_Data!A1922),4)),VALUE(MID(TRIM([1]Raw_Data!A1922),4,2)),VALUE(LEFT(TRIM([1]Raw_Data!A1922),2)))</f>
        <v>44676</v>
      </c>
      <c r="B1924" s="3" t="str">
        <f>TRIM([1]Raw_Data!B1922)</f>
        <v>Whey Protein</v>
      </c>
      <c r="C1924" s="3" t="str">
        <f>TRIM([1]Raw_Data!C1922)</f>
        <v>Protein</v>
      </c>
      <c r="D1924" s="3">
        <f>[1]Raw_Data!D1922</f>
        <v>130</v>
      </c>
      <c r="E1924" s="4">
        <f>[1]Raw_Data!E1922</f>
        <v>21.98</v>
      </c>
      <c r="F1924" s="5">
        <f>[1]Raw_Data!F1922</f>
        <v>2857.4</v>
      </c>
      <c r="G1924" s="4">
        <f>[1]Raw_Data!G1922</f>
        <v>0.21</v>
      </c>
      <c r="H1924" s="3">
        <f>[1]Raw_Data!H1922</f>
        <v>3</v>
      </c>
      <c r="I1924" s="3" t="str">
        <f>TRIM([1]Raw_Data!I1922)</f>
        <v>Canada</v>
      </c>
      <c r="J1924" s="3" t="str">
        <f>TRIM([1]Raw_Data!J1922)</f>
        <v>Amazon</v>
      </c>
      <c r="K1924" s="3">
        <f t="shared" ref="K1924:K1987" si="120">YEAR(A1924)</f>
        <v>2022</v>
      </c>
      <c r="L1924" s="6">
        <f t="shared" ref="L1924:L1987" si="121">DATE(YEAR(A1924),MONTH(A1924),1)</f>
        <v>44652</v>
      </c>
      <c r="M1924" s="3" t="str">
        <f t="shared" ref="M1924:M1987" si="122">IF(ROUND(G1924*100,0)&lt;=5,"0% to 5%",IF(ROUND(G1924*100,0)&lt;=10,"6% to 10%",IF(ROUND(G1924*100,0)&lt;=15,"11% to 15%",IF(ROUND(G1924*100,0)&lt;=20,"16% to 20%","21% to 25%"))))</f>
        <v>21% to 25%</v>
      </c>
      <c r="N1924" s="3" t="str">
        <f t="shared" ref="N1924:N1987" si="123">IF(ROUND(D1924*E1924,2)=ROUND(F1924,2),"OK","Check")</f>
        <v>OK</v>
      </c>
    </row>
    <row r="1925" spans="1:14" x14ac:dyDescent="0.3">
      <c r="A1925" s="2">
        <f>DATE(VALUE(RIGHT(TRIM([1]Raw_Data!A1923),4)),VALUE(MID(TRIM([1]Raw_Data!A1923),4,2)),VALUE(LEFT(TRIM([1]Raw_Data!A1923),2)))</f>
        <v>44676</v>
      </c>
      <c r="B1925" s="3" t="str">
        <f>TRIM([1]Raw_Data!B1923)</f>
        <v>Vitamin C</v>
      </c>
      <c r="C1925" s="3" t="str">
        <f>TRIM([1]Raw_Data!C1923)</f>
        <v>Vitamin</v>
      </c>
      <c r="D1925" s="3">
        <f>[1]Raw_Data!D1923</f>
        <v>163</v>
      </c>
      <c r="E1925" s="4">
        <f>[1]Raw_Data!E1923</f>
        <v>23.62</v>
      </c>
      <c r="F1925" s="5">
        <f>[1]Raw_Data!F1923</f>
        <v>3850.06</v>
      </c>
      <c r="G1925" s="4">
        <f>[1]Raw_Data!G1923</f>
        <v>0.14000000000000001</v>
      </c>
      <c r="H1925" s="3">
        <f>[1]Raw_Data!H1923</f>
        <v>2</v>
      </c>
      <c r="I1925" s="3" t="str">
        <f>TRIM([1]Raw_Data!I1923)</f>
        <v>Canada</v>
      </c>
      <c r="J1925" s="3" t="str">
        <f>TRIM([1]Raw_Data!J1923)</f>
        <v>iHerb</v>
      </c>
      <c r="K1925" s="3">
        <f t="shared" si="120"/>
        <v>2022</v>
      </c>
      <c r="L1925" s="6">
        <f t="shared" si="121"/>
        <v>44652</v>
      </c>
      <c r="M1925" s="3" t="str">
        <f t="shared" si="122"/>
        <v>11% to 15%</v>
      </c>
      <c r="N1925" s="3" t="str">
        <f t="shared" si="123"/>
        <v>OK</v>
      </c>
    </row>
    <row r="1926" spans="1:14" x14ac:dyDescent="0.3">
      <c r="A1926" s="2">
        <f>DATE(VALUE(RIGHT(TRIM([1]Raw_Data!A1924),4)),VALUE(MID(TRIM([1]Raw_Data!A1924),4,2)),VALUE(LEFT(TRIM([1]Raw_Data!A1924),2)))</f>
        <v>44676</v>
      </c>
      <c r="B1926" s="3" t="str">
        <f>TRIM([1]Raw_Data!B1924)</f>
        <v>Fish Oil</v>
      </c>
      <c r="C1926" s="3" t="str">
        <f>TRIM([1]Raw_Data!C1924)</f>
        <v>Omega</v>
      </c>
      <c r="D1926" s="3">
        <f>[1]Raw_Data!D1924</f>
        <v>163</v>
      </c>
      <c r="E1926" s="4">
        <f>[1]Raw_Data!E1924</f>
        <v>43.92</v>
      </c>
      <c r="F1926" s="5">
        <f>[1]Raw_Data!F1924</f>
        <v>7158.96</v>
      </c>
      <c r="G1926" s="4">
        <f>[1]Raw_Data!G1924</f>
        <v>0.24</v>
      </c>
      <c r="H1926" s="3">
        <f>[1]Raw_Data!H1924</f>
        <v>1</v>
      </c>
      <c r="I1926" s="3" t="str">
        <f>TRIM([1]Raw_Data!I1924)</f>
        <v>USA</v>
      </c>
      <c r="J1926" s="3" t="str">
        <f>TRIM([1]Raw_Data!J1924)</f>
        <v>iHerb</v>
      </c>
      <c r="K1926" s="3">
        <f t="shared" si="120"/>
        <v>2022</v>
      </c>
      <c r="L1926" s="6">
        <f t="shared" si="121"/>
        <v>44652</v>
      </c>
      <c r="M1926" s="3" t="str">
        <f t="shared" si="122"/>
        <v>21% to 25%</v>
      </c>
      <c r="N1926" s="3" t="str">
        <f t="shared" si="123"/>
        <v>OK</v>
      </c>
    </row>
    <row r="1927" spans="1:14" x14ac:dyDescent="0.3">
      <c r="A1927" s="2">
        <f>DATE(VALUE(RIGHT(TRIM([1]Raw_Data!A1925),4)),VALUE(MID(TRIM([1]Raw_Data!A1925),4,2)),VALUE(LEFT(TRIM([1]Raw_Data!A1925),2)))</f>
        <v>44676</v>
      </c>
      <c r="B1927" s="3" t="str">
        <f>TRIM([1]Raw_Data!B1925)</f>
        <v>Multivitamin</v>
      </c>
      <c r="C1927" s="3" t="str">
        <f>TRIM([1]Raw_Data!C1925)</f>
        <v>Vitamin</v>
      </c>
      <c r="D1927" s="3">
        <f>[1]Raw_Data!D1925</f>
        <v>164</v>
      </c>
      <c r="E1927" s="4">
        <f>[1]Raw_Data!E1925</f>
        <v>19.809999999999999</v>
      </c>
      <c r="F1927" s="5">
        <f>[1]Raw_Data!F1925</f>
        <v>3248.84</v>
      </c>
      <c r="G1927" s="4">
        <f>[1]Raw_Data!G1925</f>
        <v>0.14000000000000001</v>
      </c>
      <c r="H1927" s="3">
        <f>[1]Raw_Data!H1925</f>
        <v>1</v>
      </c>
      <c r="I1927" s="3" t="str">
        <f>TRIM([1]Raw_Data!I1925)</f>
        <v>USA</v>
      </c>
      <c r="J1927" s="3" t="str">
        <f>TRIM([1]Raw_Data!J1925)</f>
        <v>Walmart</v>
      </c>
      <c r="K1927" s="3">
        <f t="shared" si="120"/>
        <v>2022</v>
      </c>
      <c r="L1927" s="6">
        <f t="shared" si="121"/>
        <v>44652</v>
      </c>
      <c r="M1927" s="3" t="str">
        <f t="shared" si="122"/>
        <v>11% to 15%</v>
      </c>
      <c r="N1927" s="3" t="str">
        <f t="shared" si="123"/>
        <v>OK</v>
      </c>
    </row>
    <row r="1928" spans="1:14" x14ac:dyDescent="0.3">
      <c r="A1928" s="2">
        <f>DATE(VALUE(RIGHT(TRIM([1]Raw_Data!A1926),4)),VALUE(MID(TRIM([1]Raw_Data!A1926),4,2)),VALUE(LEFT(TRIM([1]Raw_Data!A1926),2)))</f>
        <v>44676</v>
      </c>
      <c r="B1928" s="3" t="str">
        <f>TRIM([1]Raw_Data!B1926)</f>
        <v>Pre-Workout</v>
      </c>
      <c r="C1928" s="3" t="str">
        <f>TRIM([1]Raw_Data!C1926)</f>
        <v>Performance</v>
      </c>
      <c r="D1928" s="3">
        <f>[1]Raw_Data!D1926</f>
        <v>167</v>
      </c>
      <c r="E1928" s="4">
        <f>[1]Raw_Data!E1926</f>
        <v>22.89</v>
      </c>
      <c r="F1928" s="5">
        <f>[1]Raw_Data!F1926</f>
        <v>3822.63</v>
      </c>
      <c r="G1928" s="4">
        <f>[1]Raw_Data!G1926</f>
        <v>0.19</v>
      </c>
      <c r="H1928" s="3">
        <f>[1]Raw_Data!H1926</f>
        <v>0</v>
      </c>
      <c r="I1928" s="3" t="str">
        <f>TRIM([1]Raw_Data!I1926)</f>
        <v>UK</v>
      </c>
      <c r="J1928" s="3" t="str">
        <f>TRIM([1]Raw_Data!J1926)</f>
        <v>Walmart</v>
      </c>
      <c r="K1928" s="3">
        <f t="shared" si="120"/>
        <v>2022</v>
      </c>
      <c r="L1928" s="6">
        <f t="shared" si="121"/>
        <v>44652</v>
      </c>
      <c r="M1928" s="3" t="str">
        <f t="shared" si="122"/>
        <v>16% to 20%</v>
      </c>
      <c r="N1928" s="3" t="str">
        <f t="shared" si="123"/>
        <v>OK</v>
      </c>
    </row>
    <row r="1929" spans="1:14" x14ac:dyDescent="0.3">
      <c r="A1929" s="2">
        <f>DATE(VALUE(RIGHT(TRIM([1]Raw_Data!A1927),4)),VALUE(MID(TRIM([1]Raw_Data!A1927),4,2)),VALUE(LEFT(TRIM([1]Raw_Data!A1927),2)))</f>
        <v>44676</v>
      </c>
      <c r="B1929" s="3" t="str">
        <f>TRIM([1]Raw_Data!B1927)</f>
        <v>BCAA</v>
      </c>
      <c r="C1929" s="3" t="str">
        <f>TRIM([1]Raw_Data!C1927)</f>
        <v>Amino Acid</v>
      </c>
      <c r="D1929" s="3">
        <f>[1]Raw_Data!D1927</f>
        <v>143</v>
      </c>
      <c r="E1929" s="4">
        <f>[1]Raw_Data!E1927</f>
        <v>41.13</v>
      </c>
      <c r="F1929" s="5">
        <f>[1]Raw_Data!F1927</f>
        <v>5881.59</v>
      </c>
      <c r="G1929" s="4">
        <f>[1]Raw_Data!G1927</f>
        <v>0.04</v>
      </c>
      <c r="H1929" s="3">
        <f>[1]Raw_Data!H1927</f>
        <v>3</v>
      </c>
      <c r="I1929" s="3" t="str">
        <f>TRIM([1]Raw_Data!I1927)</f>
        <v>UK</v>
      </c>
      <c r="J1929" s="3" t="str">
        <f>TRIM([1]Raw_Data!J1927)</f>
        <v>Amazon</v>
      </c>
      <c r="K1929" s="3">
        <f t="shared" si="120"/>
        <v>2022</v>
      </c>
      <c r="L1929" s="6">
        <f t="shared" si="121"/>
        <v>44652</v>
      </c>
      <c r="M1929" s="3" t="str">
        <f t="shared" si="122"/>
        <v>0% to 5%</v>
      </c>
      <c r="N1929" s="3" t="str">
        <f t="shared" si="123"/>
        <v>OK</v>
      </c>
    </row>
    <row r="1930" spans="1:14" x14ac:dyDescent="0.3">
      <c r="A1930" s="2">
        <f>DATE(VALUE(RIGHT(TRIM([1]Raw_Data!A1928),4)),VALUE(MID(TRIM([1]Raw_Data!A1928),4,2)),VALUE(LEFT(TRIM([1]Raw_Data!A1928),2)))</f>
        <v>44676</v>
      </c>
      <c r="B1930" s="3" t="str">
        <f>TRIM([1]Raw_Data!B1928)</f>
        <v>Creatine</v>
      </c>
      <c r="C1930" s="3" t="str">
        <f>TRIM([1]Raw_Data!C1928)</f>
        <v>Performance</v>
      </c>
      <c r="D1930" s="3">
        <f>[1]Raw_Data!D1928</f>
        <v>148</v>
      </c>
      <c r="E1930" s="4">
        <f>[1]Raw_Data!E1928</f>
        <v>33.39</v>
      </c>
      <c r="F1930" s="5">
        <f>[1]Raw_Data!F1928</f>
        <v>4941.72</v>
      </c>
      <c r="G1930" s="4">
        <f>[1]Raw_Data!G1928</f>
        <v>7.0000000000000007E-2</v>
      </c>
      <c r="H1930" s="3">
        <f>[1]Raw_Data!H1928</f>
        <v>0</v>
      </c>
      <c r="I1930" s="3" t="str">
        <f>TRIM([1]Raw_Data!I1928)</f>
        <v>Canada</v>
      </c>
      <c r="J1930" s="3" t="str">
        <f>TRIM([1]Raw_Data!J1928)</f>
        <v>Walmart</v>
      </c>
      <c r="K1930" s="3">
        <f t="shared" si="120"/>
        <v>2022</v>
      </c>
      <c r="L1930" s="6">
        <f t="shared" si="121"/>
        <v>44652</v>
      </c>
      <c r="M1930" s="3" t="str">
        <f t="shared" si="122"/>
        <v>6% to 10%</v>
      </c>
      <c r="N1930" s="3" t="str">
        <f t="shared" si="123"/>
        <v>OK</v>
      </c>
    </row>
    <row r="1931" spans="1:14" x14ac:dyDescent="0.3">
      <c r="A1931" s="2">
        <f>DATE(VALUE(RIGHT(TRIM([1]Raw_Data!A1929),4)),VALUE(MID(TRIM([1]Raw_Data!A1929),4,2)),VALUE(LEFT(TRIM([1]Raw_Data!A1929),2)))</f>
        <v>44676</v>
      </c>
      <c r="B1931" s="3" t="str">
        <f>TRIM([1]Raw_Data!B1929)</f>
        <v>Zinc</v>
      </c>
      <c r="C1931" s="3" t="str">
        <f>TRIM([1]Raw_Data!C1929)</f>
        <v>Mineral</v>
      </c>
      <c r="D1931" s="3">
        <f>[1]Raw_Data!D1929</f>
        <v>132</v>
      </c>
      <c r="E1931" s="4">
        <f>[1]Raw_Data!E1929</f>
        <v>39.46</v>
      </c>
      <c r="F1931" s="5">
        <f>[1]Raw_Data!F1929</f>
        <v>5208.72</v>
      </c>
      <c r="G1931" s="4">
        <f>[1]Raw_Data!G1929</f>
        <v>7.0000000000000007E-2</v>
      </c>
      <c r="H1931" s="3">
        <f>[1]Raw_Data!H1929</f>
        <v>0</v>
      </c>
      <c r="I1931" s="3" t="str">
        <f>TRIM([1]Raw_Data!I1929)</f>
        <v>UK</v>
      </c>
      <c r="J1931" s="3" t="str">
        <f>TRIM([1]Raw_Data!J1929)</f>
        <v>Amazon</v>
      </c>
      <c r="K1931" s="3">
        <f t="shared" si="120"/>
        <v>2022</v>
      </c>
      <c r="L1931" s="6">
        <f t="shared" si="121"/>
        <v>44652</v>
      </c>
      <c r="M1931" s="3" t="str">
        <f t="shared" si="122"/>
        <v>6% to 10%</v>
      </c>
      <c r="N1931" s="3" t="str">
        <f t="shared" si="123"/>
        <v>OK</v>
      </c>
    </row>
    <row r="1932" spans="1:14" x14ac:dyDescent="0.3">
      <c r="A1932" s="2">
        <f>DATE(VALUE(RIGHT(TRIM([1]Raw_Data!A1930),4)),VALUE(MID(TRIM([1]Raw_Data!A1930),4,2)),VALUE(LEFT(TRIM([1]Raw_Data!A1930),2)))</f>
        <v>44676</v>
      </c>
      <c r="B1932" s="3" t="str">
        <f>TRIM([1]Raw_Data!B1930)</f>
        <v>Collagen Peptides</v>
      </c>
      <c r="C1932" s="3" t="str">
        <f>TRIM([1]Raw_Data!C1930)</f>
        <v>Protein</v>
      </c>
      <c r="D1932" s="3">
        <f>[1]Raw_Data!D1930</f>
        <v>131</v>
      </c>
      <c r="E1932" s="4">
        <f>[1]Raw_Data!E1930</f>
        <v>58</v>
      </c>
      <c r="F1932" s="5">
        <f>[1]Raw_Data!F1930</f>
        <v>7598</v>
      </c>
      <c r="G1932" s="4">
        <f>[1]Raw_Data!G1930</f>
        <v>0.01</v>
      </c>
      <c r="H1932" s="3">
        <f>[1]Raw_Data!H1930</f>
        <v>4</v>
      </c>
      <c r="I1932" s="3" t="str">
        <f>TRIM([1]Raw_Data!I1930)</f>
        <v>Canada</v>
      </c>
      <c r="J1932" s="3" t="str">
        <f>TRIM([1]Raw_Data!J1930)</f>
        <v>Amazon</v>
      </c>
      <c r="K1932" s="3">
        <f t="shared" si="120"/>
        <v>2022</v>
      </c>
      <c r="L1932" s="6">
        <f t="shared" si="121"/>
        <v>44652</v>
      </c>
      <c r="M1932" s="3" t="str">
        <f t="shared" si="122"/>
        <v>0% to 5%</v>
      </c>
      <c r="N1932" s="3" t="str">
        <f t="shared" si="123"/>
        <v>OK</v>
      </c>
    </row>
    <row r="1933" spans="1:14" x14ac:dyDescent="0.3">
      <c r="A1933" s="2">
        <f>DATE(VALUE(RIGHT(TRIM([1]Raw_Data!A1931),4)),VALUE(MID(TRIM([1]Raw_Data!A1931),4,2)),VALUE(LEFT(TRIM([1]Raw_Data!A1931),2)))</f>
        <v>44676</v>
      </c>
      <c r="B1933" s="3" t="str">
        <f>TRIM([1]Raw_Data!B1931)</f>
        <v>Magnesium</v>
      </c>
      <c r="C1933" s="3" t="str">
        <f>TRIM([1]Raw_Data!C1931)</f>
        <v>Mineral</v>
      </c>
      <c r="D1933" s="3">
        <f>[1]Raw_Data!D1931</f>
        <v>143</v>
      </c>
      <c r="E1933" s="4">
        <f>[1]Raw_Data!E1931</f>
        <v>25.85</v>
      </c>
      <c r="F1933" s="5">
        <f>[1]Raw_Data!F1931</f>
        <v>3696.55</v>
      </c>
      <c r="G1933" s="4">
        <f>[1]Raw_Data!G1931</f>
        <v>0.16</v>
      </c>
      <c r="H1933" s="3">
        <f>[1]Raw_Data!H1931</f>
        <v>0</v>
      </c>
      <c r="I1933" s="3" t="str">
        <f>TRIM([1]Raw_Data!I1931)</f>
        <v>USA</v>
      </c>
      <c r="J1933" s="3" t="str">
        <f>TRIM([1]Raw_Data!J1931)</f>
        <v>iHerb</v>
      </c>
      <c r="K1933" s="3">
        <f t="shared" si="120"/>
        <v>2022</v>
      </c>
      <c r="L1933" s="6">
        <f t="shared" si="121"/>
        <v>44652</v>
      </c>
      <c r="M1933" s="3" t="str">
        <f t="shared" si="122"/>
        <v>16% to 20%</v>
      </c>
      <c r="N1933" s="3" t="str">
        <f t="shared" si="123"/>
        <v>OK</v>
      </c>
    </row>
    <row r="1934" spans="1:14" x14ac:dyDescent="0.3">
      <c r="A1934" s="2">
        <f>DATE(VALUE(RIGHT(TRIM([1]Raw_Data!A1932),4)),VALUE(MID(TRIM([1]Raw_Data!A1932),4,2)),VALUE(LEFT(TRIM([1]Raw_Data!A1932),2)))</f>
        <v>44676</v>
      </c>
      <c r="B1934" s="3" t="str">
        <f>TRIM([1]Raw_Data!B1932)</f>
        <v>Ashwagandha</v>
      </c>
      <c r="C1934" s="3" t="str">
        <f>TRIM([1]Raw_Data!C1932)</f>
        <v>Herbal</v>
      </c>
      <c r="D1934" s="3">
        <f>[1]Raw_Data!D1932</f>
        <v>140</v>
      </c>
      <c r="E1934" s="4">
        <f>[1]Raw_Data!E1932</f>
        <v>36.43</v>
      </c>
      <c r="F1934" s="5">
        <f>[1]Raw_Data!F1932</f>
        <v>5100.2</v>
      </c>
      <c r="G1934" s="4">
        <f>[1]Raw_Data!G1932</f>
        <v>0.23</v>
      </c>
      <c r="H1934" s="3">
        <f>[1]Raw_Data!H1932</f>
        <v>1</v>
      </c>
      <c r="I1934" s="3" t="str">
        <f>TRIM([1]Raw_Data!I1932)</f>
        <v>USA</v>
      </c>
      <c r="J1934" s="3" t="str">
        <f>TRIM([1]Raw_Data!J1932)</f>
        <v>Amazon</v>
      </c>
      <c r="K1934" s="3">
        <f t="shared" si="120"/>
        <v>2022</v>
      </c>
      <c r="L1934" s="6">
        <f t="shared" si="121"/>
        <v>44652</v>
      </c>
      <c r="M1934" s="3" t="str">
        <f t="shared" si="122"/>
        <v>21% to 25%</v>
      </c>
      <c r="N1934" s="3" t="str">
        <f t="shared" si="123"/>
        <v>OK</v>
      </c>
    </row>
    <row r="1935" spans="1:14" x14ac:dyDescent="0.3">
      <c r="A1935" s="2">
        <f>DATE(VALUE(RIGHT(TRIM([1]Raw_Data!A1933),4)),VALUE(MID(TRIM([1]Raw_Data!A1933),4,2)),VALUE(LEFT(TRIM([1]Raw_Data!A1933),2)))</f>
        <v>44676</v>
      </c>
      <c r="B1935" s="3" t="str">
        <f>TRIM([1]Raw_Data!B1933)</f>
        <v>Melatonin</v>
      </c>
      <c r="C1935" s="3" t="str">
        <f>TRIM([1]Raw_Data!C1933)</f>
        <v>Sleep Aid</v>
      </c>
      <c r="D1935" s="3">
        <f>[1]Raw_Data!D1933</f>
        <v>166</v>
      </c>
      <c r="E1935" s="4">
        <f>[1]Raw_Data!E1933</f>
        <v>58.96</v>
      </c>
      <c r="F1935" s="5">
        <f>[1]Raw_Data!F1933</f>
        <v>9787.36</v>
      </c>
      <c r="G1935" s="4">
        <f>[1]Raw_Data!G1933</f>
        <v>0.24</v>
      </c>
      <c r="H1935" s="3">
        <f>[1]Raw_Data!H1933</f>
        <v>1</v>
      </c>
      <c r="I1935" s="3" t="str">
        <f>TRIM([1]Raw_Data!I1933)</f>
        <v>Canada</v>
      </c>
      <c r="J1935" s="3" t="str">
        <f>TRIM([1]Raw_Data!J1933)</f>
        <v>iHerb</v>
      </c>
      <c r="K1935" s="3">
        <f t="shared" si="120"/>
        <v>2022</v>
      </c>
      <c r="L1935" s="6">
        <f t="shared" si="121"/>
        <v>44652</v>
      </c>
      <c r="M1935" s="3" t="str">
        <f t="shared" si="122"/>
        <v>21% to 25%</v>
      </c>
      <c r="N1935" s="3" t="str">
        <f t="shared" si="123"/>
        <v>OK</v>
      </c>
    </row>
    <row r="1936" spans="1:14" x14ac:dyDescent="0.3">
      <c r="A1936" s="2">
        <f>DATE(VALUE(RIGHT(TRIM([1]Raw_Data!A1934),4)),VALUE(MID(TRIM([1]Raw_Data!A1934),4,2)),VALUE(LEFT(TRIM([1]Raw_Data!A1934),2)))</f>
        <v>44676</v>
      </c>
      <c r="B1936" s="3" t="str">
        <f>TRIM([1]Raw_Data!B1934)</f>
        <v>Biotin</v>
      </c>
      <c r="C1936" s="3" t="str">
        <f>TRIM([1]Raw_Data!C1934)</f>
        <v>Vitamin</v>
      </c>
      <c r="D1936" s="3">
        <f>[1]Raw_Data!D1934</f>
        <v>167</v>
      </c>
      <c r="E1936" s="4">
        <f>[1]Raw_Data!E1934</f>
        <v>20.53</v>
      </c>
      <c r="F1936" s="5">
        <f>[1]Raw_Data!F1934</f>
        <v>3428.51</v>
      </c>
      <c r="G1936" s="4">
        <f>[1]Raw_Data!G1934</f>
        <v>0.16</v>
      </c>
      <c r="H1936" s="3">
        <f>[1]Raw_Data!H1934</f>
        <v>0</v>
      </c>
      <c r="I1936" s="3" t="str">
        <f>TRIM([1]Raw_Data!I1934)</f>
        <v>Canada</v>
      </c>
      <c r="J1936" s="3" t="str">
        <f>TRIM([1]Raw_Data!J1934)</f>
        <v>iHerb</v>
      </c>
      <c r="K1936" s="3">
        <f t="shared" si="120"/>
        <v>2022</v>
      </c>
      <c r="L1936" s="6">
        <f t="shared" si="121"/>
        <v>44652</v>
      </c>
      <c r="M1936" s="3" t="str">
        <f t="shared" si="122"/>
        <v>16% to 20%</v>
      </c>
      <c r="N1936" s="3" t="str">
        <f t="shared" si="123"/>
        <v>OK</v>
      </c>
    </row>
    <row r="1937" spans="1:14" x14ac:dyDescent="0.3">
      <c r="A1937" s="2">
        <f>DATE(VALUE(RIGHT(TRIM([1]Raw_Data!A1935),4)),VALUE(MID(TRIM([1]Raw_Data!A1935),4,2)),VALUE(LEFT(TRIM([1]Raw_Data!A1935),2)))</f>
        <v>44676</v>
      </c>
      <c r="B1937" s="3" t="str">
        <f>TRIM([1]Raw_Data!B1935)</f>
        <v>Green Tea Extract</v>
      </c>
      <c r="C1937" s="3" t="str">
        <f>TRIM([1]Raw_Data!C1935)</f>
        <v>Fat Burner</v>
      </c>
      <c r="D1937" s="3">
        <f>[1]Raw_Data!D1935</f>
        <v>164</v>
      </c>
      <c r="E1937" s="4">
        <f>[1]Raw_Data!E1935</f>
        <v>13.54</v>
      </c>
      <c r="F1937" s="5">
        <f>[1]Raw_Data!F1935</f>
        <v>2220.56</v>
      </c>
      <c r="G1937" s="4">
        <f>[1]Raw_Data!G1935</f>
        <v>0.1</v>
      </c>
      <c r="H1937" s="3">
        <f>[1]Raw_Data!H1935</f>
        <v>2</v>
      </c>
      <c r="I1937" s="3" t="str">
        <f>TRIM([1]Raw_Data!I1935)</f>
        <v>USA</v>
      </c>
      <c r="J1937" s="3" t="str">
        <f>TRIM([1]Raw_Data!J1935)</f>
        <v>iHerb</v>
      </c>
      <c r="K1937" s="3">
        <f t="shared" si="120"/>
        <v>2022</v>
      </c>
      <c r="L1937" s="6">
        <f t="shared" si="121"/>
        <v>44652</v>
      </c>
      <c r="M1937" s="3" t="str">
        <f t="shared" si="122"/>
        <v>6% to 10%</v>
      </c>
      <c r="N1937" s="3" t="str">
        <f t="shared" si="123"/>
        <v>OK</v>
      </c>
    </row>
    <row r="1938" spans="1:14" x14ac:dyDescent="0.3">
      <c r="A1938" s="2">
        <f>DATE(VALUE(RIGHT(TRIM([1]Raw_Data!A1936),4)),VALUE(MID(TRIM([1]Raw_Data!A1936),4,2)),VALUE(LEFT(TRIM([1]Raw_Data!A1936),2)))</f>
        <v>44676</v>
      </c>
      <c r="B1938" s="3" t="str">
        <f>TRIM([1]Raw_Data!B1936)</f>
        <v>Iron Supplement</v>
      </c>
      <c r="C1938" s="3" t="str">
        <f>TRIM([1]Raw_Data!C1936)</f>
        <v>Mineral</v>
      </c>
      <c r="D1938" s="3">
        <f>[1]Raw_Data!D1936</f>
        <v>148</v>
      </c>
      <c r="E1938" s="4">
        <f>[1]Raw_Data!E1936</f>
        <v>47.46</v>
      </c>
      <c r="F1938" s="5">
        <f>[1]Raw_Data!F1936</f>
        <v>7024.08</v>
      </c>
      <c r="G1938" s="4">
        <f>[1]Raw_Data!G1936</f>
        <v>0.14000000000000001</v>
      </c>
      <c r="H1938" s="3">
        <f>[1]Raw_Data!H1936</f>
        <v>1</v>
      </c>
      <c r="I1938" s="3" t="str">
        <f>TRIM([1]Raw_Data!I1936)</f>
        <v>Canada</v>
      </c>
      <c r="J1938" s="3" t="str">
        <f>TRIM([1]Raw_Data!J1936)</f>
        <v>Walmart</v>
      </c>
      <c r="K1938" s="3">
        <f t="shared" si="120"/>
        <v>2022</v>
      </c>
      <c r="L1938" s="6">
        <f t="shared" si="121"/>
        <v>44652</v>
      </c>
      <c r="M1938" s="3" t="str">
        <f t="shared" si="122"/>
        <v>11% to 15%</v>
      </c>
      <c r="N1938" s="3" t="str">
        <f t="shared" si="123"/>
        <v>OK</v>
      </c>
    </row>
    <row r="1939" spans="1:14" x14ac:dyDescent="0.3">
      <c r="A1939" s="2">
        <f>DATE(VALUE(RIGHT(TRIM([1]Raw_Data!A1937),4)),VALUE(MID(TRIM([1]Raw_Data!A1937),4,2)),VALUE(LEFT(TRIM([1]Raw_Data!A1937),2)))</f>
        <v>44676</v>
      </c>
      <c r="B1939" s="3" t="str">
        <f>TRIM([1]Raw_Data!B1937)</f>
        <v>Electrolyte Powder</v>
      </c>
      <c r="C1939" s="3" t="str">
        <f>TRIM([1]Raw_Data!C1937)</f>
        <v>Hydration</v>
      </c>
      <c r="D1939" s="3">
        <f>[1]Raw_Data!D1937</f>
        <v>143</v>
      </c>
      <c r="E1939" s="4">
        <f>[1]Raw_Data!E1937</f>
        <v>26.93</v>
      </c>
      <c r="F1939" s="5">
        <f>[1]Raw_Data!F1937</f>
        <v>3850.99</v>
      </c>
      <c r="G1939" s="4">
        <f>[1]Raw_Data!G1937</f>
        <v>0.19</v>
      </c>
      <c r="H1939" s="3">
        <f>[1]Raw_Data!H1937</f>
        <v>1</v>
      </c>
      <c r="I1939" s="3" t="str">
        <f>TRIM([1]Raw_Data!I1937)</f>
        <v>UK</v>
      </c>
      <c r="J1939" s="3" t="str">
        <f>TRIM([1]Raw_Data!J1937)</f>
        <v>Walmart</v>
      </c>
      <c r="K1939" s="3">
        <f t="shared" si="120"/>
        <v>2022</v>
      </c>
      <c r="L1939" s="6">
        <f t="shared" si="121"/>
        <v>44652</v>
      </c>
      <c r="M1939" s="3" t="str">
        <f t="shared" si="122"/>
        <v>16% to 20%</v>
      </c>
      <c r="N1939" s="3" t="str">
        <f t="shared" si="123"/>
        <v>OK</v>
      </c>
    </row>
    <row r="1940" spans="1:14" x14ac:dyDescent="0.3">
      <c r="A1940" s="2">
        <f>DATE(VALUE(RIGHT(TRIM([1]Raw_Data!A1938),4)),VALUE(MID(TRIM([1]Raw_Data!A1938),4,2)),VALUE(LEFT(TRIM([1]Raw_Data!A1938),2)))</f>
        <v>44683</v>
      </c>
      <c r="B1940" s="3" t="str">
        <f>TRIM([1]Raw_Data!B1938)</f>
        <v>Whey Protein</v>
      </c>
      <c r="C1940" s="3" t="str">
        <f>TRIM([1]Raw_Data!C1938)</f>
        <v>Protein</v>
      </c>
      <c r="D1940" s="3">
        <f>[1]Raw_Data!D1938</f>
        <v>166</v>
      </c>
      <c r="E1940" s="4">
        <f>[1]Raw_Data!E1938</f>
        <v>21.91</v>
      </c>
      <c r="F1940" s="5">
        <f>[1]Raw_Data!F1938</f>
        <v>3637.06</v>
      </c>
      <c r="G1940" s="4">
        <f>[1]Raw_Data!G1938</f>
        <v>0.21</v>
      </c>
      <c r="H1940" s="3">
        <f>[1]Raw_Data!H1938</f>
        <v>2</v>
      </c>
      <c r="I1940" s="3" t="str">
        <f>TRIM([1]Raw_Data!I1938)</f>
        <v>UK</v>
      </c>
      <c r="J1940" s="3" t="str">
        <f>TRIM([1]Raw_Data!J1938)</f>
        <v>iHerb</v>
      </c>
      <c r="K1940" s="3">
        <f t="shared" si="120"/>
        <v>2022</v>
      </c>
      <c r="L1940" s="6">
        <f t="shared" si="121"/>
        <v>44682</v>
      </c>
      <c r="M1940" s="3" t="str">
        <f t="shared" si="122"/>
        <v>21% to 25%</v>
      </c>
      <c r="N1940" s="3" t="str">
        <f t="shared" si="123"/>
        <v>OK</v>
      </c>
    </row>
    <row r="1941" spans="1:14" x14ac:dyDescent="0.3">
      <c r="A1941" s="2">
        <f>DATE(VALUE(RIGHT(TRIM([1]Raw_Data!A1939),4)),VALUE(MID(TRIM([1]Raw_Data!A1939),4,2)),VALUE(LEFT(TRIM([1]Raw_Data!A1939),2)))</f>
        <v>44683</v>
      </c>
      <c r="B1941" s="3" t="str">
        <f>TRIM([1]Raw_Data!B1939)</f>
        <v>Vitamin C</v>
      </c>
      <c r="C1941" s="3" t="str">
        <f>TRIM([1]Raw_Data!C1939)</f>
        <v>Vitamin</v>
      </c>
      <c r="D1941" s="3">
        <f>[1]Raw_Data!D1939</f>
        <v>138</v>
      </c>
      <c r="E1941" s="4">
        <f>[1]Raw_Data!E1939</f>
        <v>27.89</v>
      </c>
      <c r="F1941" s="5">
        <f>[1]Raw_Data!F1939</f>
        <v>3848.82</v>
      </c>
      <c r="G1941" s="4">
        <f>[1]Raw_Data!G1939</f>
        <v>0.21</v>
      </c>
      <c r="H1941" s="3">
        <f>[1]Raw_Data!H1939</f>
        <v>1</v>
      </c>
      <c r="I1941" s="3" t="str">
        <f>TRIM([1]Raw_Data!I1939)</f>
        <v>USA</v>
      </c>
      <c r="J1941" s="3" t="str">
        <f>TRIM([1]Raw_Data!J1939)</f>
        <v>iHerb</v>
      </c>
      <c r="K1941" s="3">
        <f t="shared" si="120"/>
        <v>2022</v>
      </c>
      <c r="L1941" s="6">
        <f t="shared" si="121"/>
        <v>44682</v>
      </c>
      <c r="M1941" s="3" t="str">
        <f t="shared" si="122"/>
        <v>21% to 25%</v>
      </c>
      <c r="N1941" s="3" t="str">
        <f t="shared" si="123"/>
        <v>OK</v>
      </c>
    </row>
    <row r="1942" spans="1:14" x14ac:dyDescent="0.3">
      <c r="A1942" s="2">
        <f>DATE(VALUE(RIGHT(TRIM([1]Raw_Data!A1940),4)),VALUE(MID(TRIM([1]Raw_Data!A1940),4,2)),VALUE(LEFT(TRIM([1]Raw_Data!A1940),2)))</f>
        <v>44683</v>
      </c>
      <c r="B1942" s="3" t="str">
        <f>TRIM([1]Raw_Data!B1940)</f>
        <v>Fish Oil</v>
      </c>
      <c r="C1942" s="3" t="str">
        <f>TRIM([1]Raw_Data!C1940)</f>
        <v>Omega</v>
      </c>
      <c r="D1942" s="3">
        <f>[1]Raw_Data!D1940</f>
        <v>158</v>
      </c>
      <c r="E1942" s="4">
        <f>[1]Raw_Data!E1940</f>
        <v>29.8</v>
      </c>
      <c r="F1942" s="5">
        <f>[1]Raw_Data!F1940</f>
        <v>4708.3999999999996</v>
      </c>
      <c r="G1942" s="4">
        <f>[1]Raw_Data!G1940</f>
        <v>0.25</v>
      </c>
      <c r="H1942" s="3">
        <f>[1]Raw_Data!H1940</f>
        <v>3</v>
      </c>
      <c r="I1942" s="3" t="str">
        <f>TRIM([1]Raw_Data!I1940)</f>
        <v>USA</v>
      </c>
      <c r="J1942" s="3" t="str">
        <f>TRIM([1]Raw_Data!J1940)</f>
        <v>Amazon</v>
      </c>
      <c r="K1942" s="3">
        <f t="shared" si="120"/>
        <v>2022</v>
      </c>
      <c r="L1942" s="6">
        <f t="shared" si="121"/>
        <v>44682</v>
      </c>
      <c r="M1942" s="3" t="str">
        <f t="shared" si="122"/>
        <v>21% to 25%</v>
      </c>
      <c r="N1942" s="3" t="str">
        <f t="shared" si="123"/>
        <v>OK</v>
      </c>
    </row>
    <row r="1943" spans="1:14" x14ac:dyDescent="0.3">
      <c r="A1943" s="2">
        <f>DATE(VALUE(RIGHT(TRIM([1]Raw_Data!A1941),4)),VALUE(MID(TRIM([1]Raw_Data!A1941),4,2)),VALUE(LEFT(TRIM([1]Raw_Data!A1941),2)))</f>
        <v>44683</v>
      </c>
      <c r="B1943" s="3" t="str">
        <f>TRIM([1]Raw_Data!B1941)</f>
        <v>Multivitamin</v>
      </c>
      <c r="C1943" s="3" t="str">
        <f>TRIM([1]Raw_Data!C1941)</f>
        <v>Vitamin</v>
      </c>
      <c r="D1943" s="3">
        <f>[1]Raw_Data!D1941</f>
        <v>136</v>
      </c>
      <c r="E1943" s="4">
        <f>[1]Raw_Data!E1941</f>
        <v>26.49</v>
      </c>
      <c r="F1943" s="5">
        <f>[1]Raw_Data!F1941</f>
        <v>3602.64</v>
      </c>
      <c r="G1943" s="4">
        <f>[1]Raw_Data!G1941</f>
        <v>0.16</v>
      </c>
      <c r="H1943" s="3">
        <f>[1]Raw_Data!H1941</f>
        <v>2</v>
      </c>
      <c r="I1943" s="3" t="str">
        <f>TRIM([1]Raw_Data!I1941)</f>
        <v>UK</v>
      </c>
      <c r="J1943" s="3" t="str">
        <f>TRIM([1]Raw_Data!J1941)</f>
        <v>iHerb</v>
      </c>
      <c r="K1943" s="3">
        <f t="shared" si="120"/>
        <v>2022</v>
      </c>
      <c r="L1943" s="6">
        <f t="shared" si="121"/>
        <v>44682</v>
      </c>
      <c r="M1943" s="3" t="str">
        <f t="shared" si="122"/>
        <v>16% to 20%</v>
      </c>
      <c r="N1943" s="3" t="str">
        <f t="shared" si="123"/>
        <v>OK</v>
      </c>
    </row>
    <row r="1944" spans="1:14" x14ac:dyDescent="0.3">
      <c r="A1944" s="2">
        <f>DATE(VALUE(RIGHT(TRIM([1]Raw_Data!A1942),4)),VALUE(MID(TRIM([1]Raw_Data!A1942),4,2)),VALUE(LEFT(TRIM([1]Raw_Data!A1942),2)))</f>
        <v>44683</v>
      </c>
      <c r="B1944" s="3" t="str">
        <f>TRIM([1]Raw_Data!B1942)</f>
        <v>Pre-Workout</v>
      </c>
      <c r="C1944" s="3" t="str">
        <f>TRIM([1]Raw_Data!C1942)</f>
        <v>Performance</v>
      </c>
      <c r="D1944" s="3">
        <f>[1]Raw_Data!D1942</f>
        <v>159</v>
      </c>
      <c r="E1944" s="4">
        <f>[1]Raw_Data!E1942</f>
        <v>50.54</v>
      </c>
      <c r="F1944" s="5">
        <f>[1]Raw_Data!F1942</f>
        <v>8035.86</v>
      </c>
      <c r="G1944" s="4">
        <f>[1]Raw_Data!G1942</f>
        <v>0.11</v>
      </c>
      <c r="H1944" s="3">
        <f>[1]Raw_Data!H1942</f>
        <v>0</v>
      </c>
      <c r="I1944" s="3" t="str">
        <f>TRIM([1]Raw_Data!I1942)</f>
        <v>USA</v>
      </c>
      <c r="J1944" s="3" t="str">
        <f>TRIM([1]Raw_Data!J1942)</f>
        <v>Walmart</v>
      </c>
      <c r="K1944" s="3">
        <f t="shared" si="120"/>
        <v>2022</v>
      </c>
      <c r="L1944" s="6">
        <f t="shared" si="121"/>
        <v>44682</v>
      </c>
      <c r="M1944" s="3" t="str">
        <f t="shared" si="122"/>
        <v>11% to 15%</v>
      </c>
      <c r="N1944" s="3" t="str">
        <f t="shared" si="123"/>
        <v>OK</v>
      </c>
    </row>
    <row r="1945" spans="1:14" x14ac:dyDescent="0.3">
      <c r="A1945" s="2">
        <f>DATE(VALUE(RIGHT(TRIM([1]Raw_Data!A1943),4)),VALUE(MID(TRIM([1]Raw_Data!A1943),4,2)),VALUE(LEFT(TRIM([1]Raw_Data!A1943),2)))</f>
        <v>44683</v>
      </c>
      <c r="B1945" s="3" t="str">
        <f>TRIM([1]Raw_Data!B1943)</f>
        <v>BCAA</v>
      </c>
      <c r="C1945" s="3" t="str">
        <f>TRIM([1]Raw_Data!C1943)</f>
        <v>Amino Acid</v>
      </c>
      <c r="D1945" s="3">
        <f>[1]Raw_Data!D1943</f>
        <v>152</v>
      </c>
      <c r="E1945" s="4">
        <f>[1]Raw_Data!E1943</f>
        <v>49.65</v>
      </c>
      <c r="F1945" s="5">
        <f>[1]Raw_Data!F1943</f>
        <v>7546.8</v>
      </c>
      <c r="G1945" s="4">
        <f>[1]Raw_Data!G1943</f>
        <v>0.14000000000000001</v>
      </c>
      <c r="H1945" s="3">
        <f>[1]Raw_Data!H1943</f>
        <v>2</v>
      </c>
      <c r="I1945" s="3" t="str">
        <f>TRIM([1]Raw_Data!I1943)</f>
        <v>Canada</v>
      </c>
      <c r="J1945" s="3" t="str">
        <f>TRIM([1]Raw_Data!J1943)</f>
        <v>Amazon</v>
      </c>
      <c r="K1945" s="3">
        <f t="shared" si="120"/>
        <v>2022</v>
      </c>
      <c r="L1945" s="6">
        <f t="shared" si="121"/>
        <v>44682</v>
      </c>
      <c r="M1945" s="3" t="str">
        <f t="shared" si="122"/>
        <v>11% to 15%</v>
      </c>
      <c r="N1945" s="3" t="str">
        <f t="shared" si="123"/>
        <v>OK</v>
      </c>
    </row>
    <row r="1946" spans="1:14" x14ac:dyDescent="0.3">
      <c r="A1946" s="2">
        <f>DATE(VALUE(RIGHT(TRIM([1]Raw_Data!A1944),4)),VALUE(MID(TRIM([1]Raw_Data!A1944),4,2)),VALUE(LEFT(TRIM([1]Raw_Data!A1944),2)))</f>
        <v>44683</v>
      </c>
      <c r="B1946" s="3" t="str">
        <f>TRIM([1]Raw_Data!B1944)</f>
        <v>Creatine</v>
      </c>
      <c r="C1946" s="3" t="str">
        <f>TRIM([1]Raw_Data!C1944)</f>
        <v>Performance</v>
      </c>
      <c r="D1946" s="3">
        <f>[1]Raw_Data!D1944</f>
        <v>173</v>
      </c>
      <c r="E1946" s="4">
        <f>[1]Raw_Data!E1944</f>
        <v>26.57</v>
      </c>
      <c r="F1946" s="5">
        <f>[1]Raw_Data!F1944</f>
        <v>4596.6099999999997</v>
      </c>
      <c r="G1946" s="4">
        <f>[1]Raw_Data!G1944</f>
        <v>0.24</v>
      </c>
      <c r="H1946" s="3">
        <f>[1]Raw_Data!H1944</f>
        <v>3</v>
      </c>
      <c r="I1946" s="3" t="str">
        <f>TRIM([1]Raw_Data!I1944)</f>
        <v>Canada</v>
      </c>
      <c r="J1946" s="3" t="str">
        <f>TRIM([1]Raw_Data!J1944)</f>
        <v>Walmart</v>
      </c>
      <c r="K1946" s="3">
        <f t="shared" si="120"/>
        <v>2022</v>
      </c>
      <c r="L1946" s="6">
        <f t="shared" si="121"/>
        <v>44682</v>
      </c>
      <c r="M1946" s="3" t="str">
        <f t="shared" si="122"/>
        <v>21% to 25%</v>
      </c>
      <c r="N1946" s="3" t="str">
        <f t="shared" si="123"/>
        <v>OK</v>
      </c>
    </row>
    <row r="1947" spans="1:14" x14ac:dyDescent="0.3">
      <c r="A1947" s="2">
        <f>DATE(VALUE(RIGHT(TRIM([1]Raw_Data!A1945),4)),VALUE(MID(TRIM([1]Raw_Data!A1945),4,2)),VALUE(LEFT(TRIM([1]Raw_Data!A1945),2)))</f>
        <v>44683</v>
      </c>
      <c r="B1947" s="3" t="str">
        <f>TRIM([1]Raw_Data!B1945)</f>
        <v>Zinc</v>
      </c>
      <c r="C1947" s="3" t="str">
        <f>TRIM([1]Raw_Data!C1945)</f>
        <v>Mineral</v>
      </c>
      <c r="D1947" s="3">
        <f>[1]Raw_Data!D1945</f>
        <v>143</v>
      </c>
      <c r="E1947" s="4">
        <f>[1]Raw_Data!E1945</f>
        <v>30.75</v>
      </c>
      <c r="F1947" s="5">
        <f>[1]Raw_Data!F1945</f>
        <v>4397.25</v>
      </c>
      <c r="G1947" s="4">
        <f>[1]Raw_Data!G1945</f>
        <v>0.04</v>
      </c>
      <c r="H1947" s="3">
        <f>[1]Raw_Data!H1945</f>
        <v>4</v>
      </c>
      <c r="I1947" s="3" t="str">
        <f>TRIM([1]Raw_Data!I1945)</f>
        <v>Canada</v>
      </c>
      <c r="J1947" s="3" t="str">
        <f>TRIM([1]Raw_Data!J1945)</f>
        <v>Amazon</v>
      </c>
      <c r="K1947" s="3">
        <f t="shared" si="120"/>
        <v>2022</v>
      </c>
      <c r="L1947" s="6">
        <f t="shared" si="121"/>
        <v>44682</v>
      </c>
      <c r="M1947" s="3" t="str">
        <f t="shared" si="122"/>
        <v>0% to 5%</v>
      </c>
      <c r="N1947" s="3" t="str">
        <f t="shared" si="123"/>
        <v>OK</v>
      </c>
    </row>
    <row r="1948" spans="1:14" x14ac:dyDescent="0.3">
      <c r="A1948" s="2">
        <f>DATE(VALUE(RIGHT(TRIM([1]Raw_Data!A1946),4)),VALUE(MID(TRIM([1]Raw_Data!A1946),4,2)),VALUE(LEFT(TRIM([1]Raw_Data!A1946),2)))</f>
        <v>44683</v>
      </c>
      <c r="B1948" s="3" t="str">
        <f>TRIM([1]Raw_Data!B1946)</f>
        <v>Collagen Peptides</v>
      </c>
      <c r="C1948" s="3" t="str">
        <f>TRIM([1]Raw_Data!C1946)</f>
        <v>Protein</v>
      </c>
      <c r="D1948" s="3">
        <f>[1]Raw_Data!D1946</f>
        <v>147</v>
      </c>
      <c r="E1948" s="4">
        <f>[1]Raw_Data!E1946</f>
        <v>19.47</v>
      </c>
      <c r="F1948" s="5">
        <f>[1]Raw_Data!F1946</f>
        <v>2862.09</v>
      </c>
      <c r="G1948" s="4">
        <f>[1]Raw_Data!G1946</f>
        <v>0.14000000000000001</v>
      </c>
      <c r="H1948" s="3">
        <f>[1]Raw_Data!H1946</f>
        <v>0</v>
      </c>
      <c r="I1948" s="3" t="str">
        <f>TRIM([1]Raw_Data!I1946)</f>
        <v>Canada</v>
      </c>
      <c r="J1948" s="3" t="str">
        <f>TRIM([1]Raw_Data!J1946)</f>
        <v>Amazon</v>
      </c>
      <c r="K1948" s="3">
        <f t="shared" si="120"/>
        <v>2022</v>
      </c>
      <c r="L1948" s="6">
        <f t="shared" si="121"/>
        <v>44682</v>
      </c>
      <c r="M1948" s="3" t="str">
        <f t="shared" si="122"/>
        <v>11% to 15%</v>
      </c>
      <c r="N1948" s="3" t="str">
        <f t="shared" si="123"/>
        <v>OK</v>
      </c>
    </row>
    <row r="1949" spans="1:14" x14ac:dyDescent="0.3">
      <c r="A1949" s="2">
        <f>DATE(VALUE(RIGHT(TRIM([1]Raw_Data!A1947),4)),VALUE(MID(TRIM([1]Raw_Data!A1947),4,2)),VALUE(LEFT(TRIM([1]Raw_Data!A1947),2)))</f>
        <v>44683</v>
      </c>
      <c r="B1949" s="3" t="str">
        <f>TRIM([1]Raw_Data!B1947)</f>
        <v>Magnesium</v>
      </c>
      <c r="C1949" s="3" t="str">
        <f>TRIM([1]Raw_Data!C1947)</f>
        <v>Mineral</v>
      </c>
      <c r="D1949" s="3">
        <f>[1]Raw_Data!D1947</f>
        <v>160</v>
      </c>
      <c r="E1949" s="4">
        <f>[1]Raw_Data!E1947</f>
        <v>41.28</v>
      </c>
      <c r="F1949" s="5">
        <f>[1]Raw_Data!F1947</f>
        <v>6604.8</v>
      </c>
      <c r="G1949" s="4">
        <f>[1]Raw_Data!G1947</f>
        <v>0.01</v>
      </c>
      <c r="H1949" s="3">
        <f>[1]Raw_Data!H1947</f>
        <v>1</v>
      </c>
      <c r="I1949" s="3" t="str">
        <f>TRIM([1]Raw_Data!I1947)</f>
        <v>USA</v>
      </c>
      <c r="J1949" s="3" t="str">
        <f>TRIM([1]Raw_Data!J1947)</f>
        <v>iHerb</v>
      </c>
      <c r="K1949" s="3">
        <f t="shared" si="120"/>
        <v>2022</v>
      </c>
      <c r="L1949" s="6">
        <f t="shared" si="121"/>
        <v>44682</v>
      </c>
      <c r="M1949" s="3" t="str">
        <f t="shared" si="122"/>
        <v>0% to 5%</v>
      </c>
      <c r="N1949" s="3" t="str">
        <f t="shared" si="123"/>
        <v>OK</v>
      </c>
    </row>
    <row r="1950" spans="1:14" x14ac:dyDescent="0.3">
      <c r="A1950" s="2">
        <f>DATE(VALUE(RIGHT(TRIM([1]Raw_Data!A1948),4)),VALUE(MID(TRIM([1]Raw_Data!A1948),4,2)),VALUE(LEFT(TRIM([1]Raw_Data!A1948),2)))</f>
        <v>44683</v>
      </c>
      <c r="B1950" s="3" t="str">
        <f>TRIM([1]Raw_Data!B1948)</f>
        <v>Ashwagandha</v>
      </c>
      <c r="C1950" s="3" t="str">
        <f>TRIM([1]Raw_Data!C1948)</f>
        <v>Herbal</v>
      </c>
      <c r="D1950" s="3">
        <f>[1]Raw_Data!D1948</f>
        <v>128</v>
      </c>
      <c r="E1950" s="4">
        <f>[1]Raw_Data!E1948</f>
        <v>41.37</v>
      </c>
      <c r="F1950" s="5">
        <f>[1]Raw_Data!F1948</f>
        <v>5295.36</v>
      </c>
      <c r="G1950" s="4">
        <f>[1]Raw_Data!G1948</f>
        <v>0.14000000000000001</v>
      </c>
      <c r="H1950" s="3">
        <f>[1]Raw_Data!H1948</f>
        <v>1</v>
      </c>
      <c r="I1950" s="3" t="str">
        <f>TRIM([1]Raw_Data!I1948)</f>
        <v>USA</v>
      </c>
      <c r="J1950" s="3" t="str">
        <f>TRIM([1]Raw_Data!J1948)</f>
        <v>iHerb</v>
      </c>
      <c r="K1950" s="3">
        <f t="shared" si="120"/>
        <v>2022</v>
      </c>
      <c r="L1950" s="6">
        <f t="shared" si="121"/>
        <v>44682</v>
      </c>
      <c r="M1950" s="3" t="str">
        <f t="shared" si="122"/>
        <v>11% to 15%</v>
      </c>
      <c r="N1950" s="3" t="str">
        <f t="shared" si="123"/>
        <v>OK</v>
      </c>
    </row>
    <row r="1951" spans="1:14" x14ac:dyDescent="0.3">
      <c r="A1951" s="2">
        <f>DATE(VALUE(RIGHT(TRIM([1]Raw_Data!A1949),4)),VALUE(MID(TRIM([1]Raw_Data!A1949),4,2)),VALUE(LEFT(TRIM([1]Raw_Data!A1949),2)))</f>
        <v>44683</v>
      </c>
      <c r="B1951" s="3" t="str">
        <f>TRIM([1]Raw_Data!B1949)</f>
        <v>Melatonin</v>
      </c>
      <c r="C1951" s="3" t="str">
        <f>TRIM([1]Raw_Data!C1949)</f>
        <v>Sleep Aid</v>
      </c>
      <c r="D1951" s="3">
        <f>[1]Raw_Data!D1949</f>
        <v>152</v>
      </c>
      <c r="E1951" s="4">
        <f>[1]Raw_Data!E1949</f>
        <v>22.23</v>
      </c>
      <c r="F1951" s="5">
        <f>[1]Raw_Data!F1949</f>
        <v>3378.96</v>
      </c>
      <c r="G1951" s="4">
        <f>[1]Raw_Data!G1949</f>
        <v>0.03</v>
      </c>
      <c r="H1951" s="3">
        <f>[1]Raw_Data!H1949</f>
        <v>3</v>
      </c>
      <c r="I1951" s="3" t="str">
        <f>TRIM([1]Raw_Data!I1949)</f>
        <v>UK</v>
      </c>
      <c r="J1951" s="3" t="str">
        <f>TRIM([1]Raw_Data!J1949)</f>
        <v>Walmart</v>
      </c>
      <c r="K1951" s="3">
        <f t="shared" si="120"/>
        <v>2022</v>
      </c>
      <c r="L1951" s="6">
        <f t="shared" si="121"/>
        <v>44682</v>
      </c>
      <c r="M1951" s="3" t="str">
        <f t="shared" si="122"/>
        <v>0% to 5%</v>
      </c>
      <c r="N1951" s="3" t="str">
        <f t="shared" si="123"/>
        <v>OK</v>
      </c>
    </row>
    <row r="1952" spans="1:14" x14ac:dyDescent="0.3">
      <c r="A1952" s="2">
        <f>DATE(VALUE(RIGHT(TRIM([1]Raw_Data!A1950),4)),VALUE(MID(TRIM([1]Raw_Data!A1950),4,2)),VALUE(LEFT(TRIM([1]Raw_Data!A1950),2)))</f>
        <v>44683</v>
      </c>
      <c r="B1952" s="3" t="str">
        <f>TRIM([1]Raw_Data!B1950)</f>
        <v>Biotin</v>
      </c>
      <c r="C1952" s="3" t="str">
        <f>TRIM([1]Raw_Data!C1950)</f>
        <v>Vitamin</v>
      </c>
      <c r="D1952" s="3">
        <f>[1]Raw_Data!D1950</f>
        <v>154</v>
      </c>
      <c r="E1952" s="4">
        <f>[1]Raw_Data!E1950</f>
        <v>18.86</v>
      </c>
      <c r="F1952" s="5">
        <f>[1]Raw_Data!F1950</f>
        <v>2904.44</v>
      </c>
      <c r="G1952" s="4">
        <f>[1]Raw_Data!G1950</f>
        <v>0.22</v>
      </c>
      <c r="H1952" s="3">
        <f>[1]Raw_Data!H1950</f>
        <v>2</v>
      </c>
      <c r="I1952" s="3" t="str">
        <f>TRIM([1]Raw_Data!I1950)</f>
        <v>UK</v>
      </c>
      <c r="J1952" s="3" t="str">
        <f>TRIM([1]Raw_Data!J1950)</f>
        <v>Walmart</v>
      </c>
      <c r="K1952" s="3">
        <f t="shared" si="120"/>
        <v>2022</v>
      </c>
      <c r="L1952" s="6">
        <f t="shared" si="121"/>
        <v>44682</v>
      </c>
      <c r="M1952" s="3" t="str">
        <f t="shared" si="122"/>
        <v>21% to 25%</v>
      </c>
      <c r="N1952" s="3" t="str">
        <f t="shared" si="123"/>
        <v>OK</v>
      </c>
    </row>
    <row r="1953" spans="1:14" x14ac:dyDescent="0.3">
      <c r="A1953" s="2">
        <f>DATE(VALUE(RIGHT(TRIM([1]Raw_Data!A1951),4)),VALUE(MID(TRIM([1]Raw_Data!A1951),4,2)),VALUE(LEFT(TRIM([1]Raw_Data!A1951),2)))</f>
        <v>44683</v>
      </c>
      <c r="B1953" s="3" t="str">
        <f>TRIM([1]Raw_Data!B1951)</f>
        <v>Green Tea Extract</v>
      </c>
      <c r="C1953" s="3" t="str">
        <f>TRIM([1]Raw_Data!C1951)</f>
        <v>Fat Burner</v>
      </c>
      <c r="D1953" s="3">
        <f>[1]Raw_Data!D1951</f>
        <v>156</v>
      </c>
      <c r="E1953" s="4">
        <f>[1]Raw_Data!E1951</f>
        <v>23.1</v>
      </c>
      <c r="F1953" s="5">
        <f>[1]Raw_Data!F1951</f>
        <v>3603.6</v>
      </c>
      <c r="G1953" s="4">
        <f>[1]Raw_Data!G1951</f>
        <v>0.24</v>
      </c>
      <c r="H1953" s="3">
        <f>[1]Raw_Data!H1951</f>
        <v>3</v>
      </c>
      <c r="I1953" s="3" t="str">
        <f>TRIM([1]Raw_Data!I1951)</f>
        <v>Canada</v>
      </c>
      <c r="J1953" s="3" t="str">
        <f>TRIM([1]Raw_Data!J1951)</f>
        <v>Walmart</v>
      </c>
      <c r="K1953" s="3">
        <f t="shared" si="120"/>
        <v>2022</v>
      </c>
      <c r="L1953" s="6">
        <f t="shared" si="121"/>
        <v>44682</v>
      </c>
      <c r="M1953" s="3" t="str">
        <f t="shared" si="122"/>
        <v>21% to 25%</v>
      </c>
      <c r="N1953" s="3" t="str">
        <f t="shared" si="123"/>
        <v>OK</v>
      </c>
    </row>
    <row r="1954" spans="1:14" x14ac:dyDescent="0.3">
      <c r="A1954" s="2">
        <f>DATE(VALUE(RIGHT(TRIM([1]Raw_Data!A1952),4)),VALUE(MID(TRIM([1]Raw_Data!A1952),4,2)),VALUE(LEFT(TRIM([1]Raw_Data!A1952),2)))</f>
        <v>44683</v>
      </c>
      <c r="B1954" s="3" t="str">
        <f>TRIM([1]Raw_Data!B1952)</f>
        <v>Iron Supplement</v>
      </c>
      <c r="C1954" s="3" t="str">
        <f>TRIM([1]Raw_Data!C1952)</f>
        <v>Mineral</v>
      </c>
      <c r="D1954" s="3">
        <f>[1]Raw_Data!D1952</f>
        <v>143</v>
      </c>
      <c r="E1954" s="4">
        <f>[1]Raw_Data!E1952</f>
        <v>47.95</v>
      </c>
      <c r="F1954" s="5">
        <f>[1]Raw_Data!F1952</f>
        <v>6856.85</v>
      </c>
      <c r="G1954" s="4">
        <f>[1]Raw_Data!G1952</f>
        <v>7.0000000000000007E-2</v>
      </c>
      <c r="H1954" s="3">
        <f>[1]Raw_Data!H1952</f>
        <v>1</v>
      </c>
      <c r="I1954" s="3" t="str">
        <f>TRIM([1]Raw_Data!I1952)</f>
        <v>Canada</v>
      </c>
      <c r="J1954" s="3" t="str">
        <f>TRIM([1]Raw_Data!J1952)</f>
        <v>iHerb</v>
      </c>
      <c r="K1954" s="3">
        <f t="shared" si="120"/>
        <v>2022</v>
      </c>
      <c r="L1954" s="6">
        <f t="shared" si="121"/>
        <v>44682</v>
      </c>
      <c r="M1954" s="3" t="str">
        <f t="shared" si="122"/>
        <v>6% to 10%</v>
      </c>
      <c r="N1954" s="3" t="str">
        <f t="shared" si="123"/>
        <v>OK</v>
      </c>
    </row>
    <row r="1955" spans="1:14" x14ac:dyDescent="0.3">
      <c r="A1955" s="2">
        <f>DATE(VALUE(RIGHT(TRIM([1]Raw_Data!A1953),4)),VALUE(MID(TRIM([1]Raw_Data!A1953),4,2)),VALUE(LEFT(TRIM([1]Raw_Data!A1953),2)))</f>
        <v>44683</v>
      </c>
      <c r="B1955" s="3" t="str">
        <f>TRIM([1]Raw_Data!B1953)</f>
        <v>Electrolyte Powder</v>
      </c>
      <c r="C1955" s="3" t="str">
        <f>TRIM([1]Raw_Data!C1953)</f>
        <v>Hydration</v>
      </c>
      <c r="D1955" s="3">
        <f>[1]Raw_Data!D1953</f>
        <v>137</v>
      </c>
      <c r="E1955" s="4">
        <f>[1]Raw_Data!E1953</f>
        <v>46.14</v>
      </c>
      <c r="F1955" s="5">
        <f>[1]Raw_Data!F1953</f>
        <v>6321.18</v>
      </c>
      <c r="G1955" s="4">
        <f>[1]Raw_Data!G1953</f>
        <v>7.0000000000000007E-2</v>
      </c>
      <c r="H1955" s="3">
        <f>[1]Raw_Data!H1953</f>
        <v>2</v>
      </c>
      <c r="I1955" s="3" t="str">
        <f>TRIM([1]Raw_Data!I1953)</f>
        <v>UK</v>
      </c>
      <c r="J1955" s="3" t="str">
        <f>TRIM([1]Raw_Data!J1953)</f>
        <v>iHerb</v>
      </c>
      <c r="K1955" s="3">
        <f t="shared" si="120"/>
        <v>2022</v>
      </c>
      <c r="L1955" s="6">
        <f t="shared" si="121"/>
        <v>44682</v>
      </c>
      <c r="M1955" s="3" t="str">
        <f t="shared" si="122"/>
        <v>6% to 10%</v>
      </c>
      <c r="N1955" s="3" t="str">
        <f t="shared" si="123"/>
        <v>OK</v>
      </c>
    </row>
    <row r="1956" spans="1:14" x14ac:dyDescent="0.3">
      <c r="A1956" s="2">
        <f>DATE(VALUE(RIGHT(TRIM([1]Raw_Data!A1954),4)),VALUE(MID(TRIM([1]Raw_Data!A1954),4,2)),VALUE(LEFT(TRIM([1]Raw_Data!A1954),2)))</f>
        <v>44690</v>
      </c>
      <c r="B1956" s="3" t="str">
        <f>TRIM([1]Raw_Data!B1954)</f>
        <v>Whey Protein</v>
      </c>
      <c r="C1956" s="3" t="str">
        <f>TRIM([1]Raw_Data!C1954)</f>
        <v>Protein</v>
      </c>
      <c r="D1956" s="3">
        <f>[1]Raw_Data!D1954</f>
        <v>149</v>
      </c>
      <c r="E1956" s="4">
        <f>[1]Raw_Data!E1954</f>
        <v>49.45</v>
      </c>
      <c r="F1956" s="5">
        <f>[1]Raw_Data!F1954</f>
        <v>7368.05</v>
      </c>
      <c r="G1956" s="4">
        <f>[1]Raw_Data!G1954</f>
        <v>0.19</v>
      </c>
      <c r="H1956" s="3">
        <f>[1]Raw_Data!H1954</f>
        <v>1</v>
      </c>
      <c r="I1956" s="3" t="str">
        <f>TRIM([1]Raw_Data!I1954)</f>
        <v>Canada</v>
      </c>
      <c r="J1956" s="3" t="str">
        <f>TRIM([1]Raw_Data!J1954)</f>
        <v>Walmart</v>
      </c>
      <c r="K1956" s="3">
        <f t="shared" si="120"/>
        <v>2022</v>
      </c>
      <c r="L1956" s="6">
        <f t="shared" si="121"/>
        <v>44682</v>
      </c>
      <c r="M1956" s="3" t="str">
        <f t="shared" si="122"/>
        <v>16% to 20%</v>
      </c>
      <c r="N1956" s="3" t="str">
        <f t="shared" si="123"/>
        <v>OK</v>
      </c>
    </row>
    <row r="1957" spans="1:14" x14ac:dyDescent="0.3">
      <c r="A1957" s="2">
        <f>DATE(VALUE(RIGHT(TRIM([1]Raw_Data!A1955),4)),VALUE(MID(TRIM([1]Raw_Data!A1955),4,2)),VALUE(LEFT(TRIM([1]Raw_Data!A1955),2)))</f>
        <v>44690</v>
      </c>
      <c r="B1957" s="3" t="str">
        <f>TRIM([1]Raw_Data!B1955)</f>
        <v>Vitamin C</v>
      </c>
      <c r="C1957" s="3" t="str">
        <f>TRIM([1]Raw_Data!C1955)</f>
        <v>Vitamin</v>
      </c>
      <c r="D1957" s="3">
        <f>[1]Raw_Data!D1955</f>
        <v>148</v>
      </c>
      <c r="E1957" s="4">
        <f>[1]Raw_Data!E1955</f>
        <v>58.7</v>
      </c>
      <c r="F1957" s="5">
        <f>[1]Raw_Data!F1955</f>
        <v>8687.6</v>
      </c>
      <c r="G1957" s="4">
        <f>[1]Raw_Data!G1955</f>
        <v>0.08</v>
      </c>
      <c r="H1957" s="3">
        <f>[1]Raw_Data!H1955</f>
        <v>3</v>
      </c>
      <c r="I1957" s="3" t="str">
        <f>TRIM([1]Raw_Data!I1955)</f>
        <v>USA</v>
      </c>
      <c r="J1957" s="3" t="str">
        <f>TRIM([1]Raw_Data!J1955)</f>
        <v>iHerb</v>
      </c>
      <c r="K1957" s="3">
        <f t="shared" si="120"/>
        <v>2022</v>
      </c>
      <c r="L1957" s="6">
        <f t="shared" si="121"/>
        <v>44682</v>
      </c>
      <c r="M1957" s="3" t="str">
        <f t="shared" si="122"/>
        <v>6% to 10%</v>
      </c>
      <c r="N1957" s="3" t="str">
        <f t="shared" si="123"/>
        <v>OK</v>
      </c>
    </row>
    <row r="1958" spans="1:14" x14ac:dyDescent="0.3">
      <c r="A1958" s="2">
        <f>DATE(VALUE(RIGHT(TRIM([1]Raw_Data!A1956),4)),VALUE(MID(TRIM([1]Raw_Data!A1956),4,2)),VALUE(LEFT(TRIM([1]Raw_Data!A1956),2)))</f>
        <v>44690</v>
      </c>
      <c r="B1958" s="3" t="str">
        <f>TRIM([1]Raw_Data!B1956)</f>
        <v>Fish Oil</v>
      </c>
      <c r="C1958" s="3" t="str">
        <f>TRIM([1]Raw_Data!C1956)</f>
        <v>Omega</v>
      </c>
      <c r="D1958" s="3">
        <f>[1]Raw_Data!D1956</f>
        <v>156</v>
      </c>
      <c r="E1958" s="4">
        <f>[1]Raw_Data!E1956</f>
        <v>40.67</v>
      </c>
      <c r="F1958" s="5">
        <f>[1]Raw_Data!F1956</f>
        <v>6344.52</v>
      </c>
      <c r="G1958" s="4">
        <f>[1]Raw_Data!G1956</f>
        <v>7.0000000000000007E-2</v>
      </c>
      <c r="H1958" s="3">
        <f>[1]Raw_Data!H1956</f>
        <v>1</v>
      </c>
      <c r="I1958" s="3" t="str">
        <f>TRIM([1]Raw_Data!I1956)</f>
        <v>USA</v>
      </c>
      <c r="J1958" s="3" t="str">
        <f>TRIM([1]Raw_Data!J1956)</f>
        <v>Amazon</v>
      </c>
      <c r="K1958" s="3">
        <f t="shared" si="120"/>
        <v>2022</v>
      </c>
      <c r="L1958" s="6">
        <f t="shared" si="121"/>
        <v>44682</v>
      </c>
      <c r="M1958" s="3" t="str">
        <f t="shared" si="122"/>
        <v>6% to 10%</v>
      </c>
      <c r="N1958" s="3" t="str">
        <f t="shared" si="123"/>
        <v>OK</v>
      </c>
    </row>
    <row r="1959" spans="1:14" x14ac:dyDescent="0.3">
      <c r="A1959" s="2">
        <f>DATE(VALUE(RIGHT(TRIM([1]Raw_Data!A1957),4)),VALUE(MID(TRIM([1]Raw_Data!A1957),4,2)),VALUE(LEFT(TRIM([1]Raw_Data!A1957),2)))</f>
        <v>44690</v>
      </c>
      <c r="B1959" s="3" t="str">
        <f>TRIM([1]Raw_Data!B1957)</f>
        <v>Multivitamin</v>
      </c>
      <c r="C1959" s="3" t="str">
        <f>TRIM([1]Raw_Data!C1957)</f>
        <v>Vitamin</v>
      </c>
      <c r="D1959" s="3">
        <f>[1]Raw_Data!D1957</f>
        <v>133</v>
      </c>
      <c r="E1959" s="4">
        <f>[1]Raw_Data!E1957</f>
        <v>27.38</v>
      </c>
      <c r="F1959" s="5">
        <f>[1]Raw_Data!F1957</f>
        <v>3641.54</v>
      </c>
      <c r="G1959" s="4">
        <f>[1]Raw_Data!G1957</f>
        <v>0.19</v>
      </c>
      <c r="H1959" s="3">
        <f>[1]Raw_Data!H1957</f>
        <v>1</v>
      </c>
      <c r="I1959" s="3" t="str">
        <f>TRIM([1]Raw_Data!I1957)</f>
        <v>USA</v>
      </c>
      <c r="J1959" s="3" t="str">
        <f>TRIM([1]Raw_Data!J1957)</f>
        <v>iHerb</v>
      </c>
      <c r="K1959" s="3">
        <f t="shared" si="120"/>
        <v>2022</v>
      </c>
      <c r="L1959" s="6">
        <f t="shared" si="121"/>
        <v>44682</v>
      </c>
      <c r="M1959" s="3" t="str">
        <f t="shared" si="122"/>
        <v>16% to 20%</v>
      </c>
      <c r="N1959" s="3" t="str">
        <f t="shared" si="123"/>
        <v>OK</v>
      </c>
    </row>
    <row r="1960" spans="1:14" x14ac:dyDescent="0.3">
      <c r="A1960" s="2">
        <f>DATE(VALUE(RIGHT(TRIM([1]Raw_Data!A1958),4)),VALUE(MID(TRIM([1]Raw_Data!A1958),4,2)),VALUE(LEFT(TRIM([1]Raw_Data!A1958),2)))</f>
        <v>44690</v>
      </c>
      <c r="B1960" s="3" t="str">
        <f>TRIM([1]Raw_Data!B1958)</f>
        <v>Pre-Workout</v>
      </c>
      <c r="C1960" s="3" t="str">
        <f>TRIM([1]Raw_Data!C1958)</f>
        <v>Performance</v>
      </c>
      <c r="D1960" s="3">
        <f>[1]Raw_Data!D1958</f>
        <v>132</v>
      </c>
      <c r="E1960" s="4">
        <f>[1]Raw_Data!E1958</f>
        <v>40.07</v>
      </c>
      <c r="F1960" s="5">
        <f>[1]Raw_Data!F1958</f>
        <v>5289.24</v>
      </c>
      <c r="G1960" s="4">
        <f>[1]Raw_Data!G1958</f>
        <v>0.24</v>
      </c>
      <c r="H1960" s="3">
        <f>[1]Raw_Data!H1958</f>
        <v>2</v>
      </c>
      <c r="I1960" s="3" t="str">
        <f>TRIM([1]Raw_Data!I1958)</f>
        <v>Canada</v>
      </c>
      <c r="J1960" s="3" t="str">
        <f>TRIM([1]Raw_Data!J1958)</f>
        <v>Amazon</v>
      </c>
      <c r="K1960" s="3">
        <f t="shared" si="120"/>
        <v>2022</v>
      </c>
      <c r="L1960" s="6">
        <f t="shared" si="121"/>
        <v>44682</v>
      </c>
      <c r="M1960" s="3" t="str">
        <f t="shared" si="122"/>
        <v>21% to 25%</v>
      </c>
      <c r="N1960" s="3" t="str">
        <f t="shared" si="123"/>
        <v>OK</v>
      </c>
    </row>
    <row r="1961" spans="1:14" x14ac:dyDescent="0.3">
      <c r="A1961" s="2">
        <f>DATE(VALUE(RIGHT(TRIM([1]Raw_Data!A1959),4)),VALUE(MID(TRIM([1]Raw_Data!A1959),4,2)),VALUE(LEFT(TRIM([1]Raw_Data!A1959),2)))</f>
        <v>44690</v>
      </c>
      <c r="B1961" s="3" t="str">
        <f>TRIM([1]Raw_Data!B1959)</f>
        <v>BCAA</v>
      </c>
      <c r="C1961" s="3" t="str">
        <f>TRIM([1]Raw_Data!C1959)</f>
        <v>Amino Acid</v>
      </c>
      <c r="D1961" s="3">
        <f>[1]Raw_Data!D1959</f>
        <v>137</v>
      </c>
      <c r="E1961" s="4">
        <f>[1]Raw_Data!E1959</f>
        <v>42.42</v>
      </c>
      <c r="F1961" s="5">
        <f>[1]Raw_Data!F1959</f>
        <v>5811.54</v>
      </c>
      <c r="G1961" s="4">
        <f>[1]Raw_Data!G1959</f>
        <v>0.01</v>
      </c>
      <c r="H1961" s="3">
        <f>[1]Raw_Data!H1959</f>
        <v>0</v>
      </c>
      <c r="I1961" s="3" t="str">
        <f>TRIM([1]Raw_Data!I1959)</f>
        <v>UK</v>
      </c>
      <c r="J1961" s="3" t="str">
        <f>TRIM([1]Raw_Data!J1959)</f>
        <v>Walmart</v>
      </c>
      <c r="K1961" s="3">
        <f t="shared" si="120"/>
        <v>2022</v>
      </c>
      <c r="L1961" s="6">
        <f t="shared" si="121"/>
        <v>44682</v>
      </c>
      <c r="M1961" s="3" t="str">
        <f t="shared" si="122"/>
        <v>0% to 5%</v>
      </c>
      <c r="N1961" s="3" t="str">
        <f t="shared" si="123"/>
        <v>OK</v>
      </c>
    </row>
    <row r="1962" spans="1:14" x14ac:dyDescent="0.3">
      <c r="A1962" s="2">
        <f>DATE(VALUE(RIGHT(TRIM([1]Raw_Data!A1960),4)),VALUE(MID(TRIM([1]Raw_Data!A1960),4,2)),VALUE(LEFT(TRIM([1]Raw_Data!A1960),2)))</f>
        <v>44690</v>
      </c>
      <c r="B1962" s="3" t="str">
        <f>TRIM([1]Raw_Data!B1960)</f>
        <v>Creatine</v>
      </c>
      <c r="C1962" s="3" t="str">
        <f>TRIM([1]Raw_Data!C1960)</f>
        <v>Performance</v>
      </c>
      <c r="D1962" s="3">
        <f>[1]Raw_Data!D1960</f>
        <v>134</v>
      </c>
      <c r="E1962" s="4">
        <f>[1]Raw_Data!E1960</f>
        <v>31.48</v>
      </c>
      <c r="F1962" s="5">
        <f>[1]Raw_Data!F1960</f>
        <v>4218.32</v>
      </c>
      <c r="G1962" s="4">
        <f>[1]Raw_Data!G1960</f>
        <v>0.12</v>
      </c>
      <c r="H1962" s="3">
        <f>[1]Raw_Data!H1960</f>
        <v>0</v>
      </c>
      <c r="I1962" s="3" t="str">
        <f>TRIM([1]Raw_Data!I1960)</f>
        <v>UK</v>
      </c>
      <c r="J1962" s="3" t="str">
        <f>TRIM([1]Raw_Data!J1960)</f>
        <v>Walmart</v>
      </c>
      <c r="K1962" s="3">
        <f t="shared" si="120"/>
        <v>2022</v>
      </c>
      <c r="L1962" s="6">
        <f t="shared" si="121"/>
        <v>44682</v>
      </c>
      <c r="M1962" s="3" t="str">
        <f t="shared" si="122"/>
        <v>11% to 15%</v>
      </c>
      <c r="N1962" s="3" t="str">
        <f t="shared" si="123"/>
        <v>OK</v>
      </c>
    </row>
    <row r="1963" spans="1:14" x14ac:dyDescent="0.3">
      <c r="A1963" s="2">
        <f>DATE(VALUE(RIGHT(TRIM([1]Raw_Data!A1961),4)),VALUE(MID(TRIM([1]Raw_Data!A1961),4,2)),VALUE(LEFT(TRIM([1]Raw_Data!A1961),2)))</f>
        <v>44690</v>
      </c>
      <c r="B1963" s="3" t="str">
        <f>TRIM([1]Raw_Data!B1961)</f>
        <v>Zinc</v>
      </c>
      <c r="C1963" s="3" t="str">
        <f>TRIM([1]Raw_Data!C1961)</f>
        <v>Mineral</v>
      </c>
      <c r="D1963" s="3">
        <f>[1]Raw_Data!D1961</f>
        <v>156</v>
      </c>
      <c r="E1963" s="4">
        <f>[1]Raw_Data!E1961</f>
        <v>24.72</v>
      </c>
      <c r="F1963" s="5">
        <f>[1]Raw_Data!F1961</f>
        <v>3856.32</v>
      </c>
      <c r="G1963" s="4">
        <f>[1]Raw_Data!G1961</f>
        <v>0</v>
      </c>
      <c r="H1963" s="3">
        <f>[1]Raw_Data!H1961</f>
        <v>0</v>
      </c>
      <c r="I1963" s="3" t="str">
        <f>TRIM([1]Raw_Data!I1961)</f>
        <v>Canada</v>
      </c>
      <c r="J1963" s="3" t="str">
        <f>TRIM([1]Raw_Data!J1961)</f>
        <v>iHerb</v>
      </c>
      <c r="K1963" s="3">
        <f t="shared" si="120"/>
        <v>2022</v>
      </c>
      <c r="L1963" s="6">
        <f t="shared" si="121"/>
        <v>44682</v>
      </c>
      <c r="M1963" s="3" t="str">
        <f t="shared" si="122"/>
        <v>0% to 5%</v>
      </c>
      <c r="N1963" s="3" t="str">
        <f t="shared" si="123"/>
        <v>OK</v>
      </c>
    </row>
    <row r="1964" spans="1:14" x14ac:dyDescent="0.3">
      <c r="A1964" s="2">
        <f>DATE(VALUE(RIGHT(TRIM([1]Raw_Data!A1962),4)),VALUE(MID(TRIM([1]Raw_Data!A1962),4,2)),VALUE(LEFT(TRIM([1]Raw_Data!A1962),2)))</f>
        <v>44690</v>
      </c>
      <c r="B1964" s="3" t="str">
        <f>TRIM([1]Raw_Data!B1962)</f>
        <v>Collagen Peptides</v>
      </c>
      <c r="C1964" s="3" t="str">
        <f>TRIM([1]Raw_Data!C1962)</f>
        <v>Protein</v>
      </c>
      <c r="D1964" s="3">
        <f>[1]Raw_Data!D1962</f>
        <v>146</v>
      </c>
      <c r="E1964" s="4">
        <f>[1]Raw_Data!E1962</f>
        <v>28.84</v>
      </c>
      <c r="F1964" s="5">
        <f>[1]Raw_Data!F1962</f>
        <v>4210.6400000000003</v>
      </c>
      <c r="G1964" s="4">
        <f>[1]Raw_Data!G1962</f>
        <v>0.16</v>
      </c>
      <c r="H1964" s="3">
        <f>[1]Raw_Data!H1962</f>
        <v>1</v>
      </c>
      <c r="I1964" s="3" t="str">
        <f>TRIM([1]Raw_Data!I1962)</f>
        <v>UK</v>
      </c>
      <c r="J1964" s="3" t="str">
        <f>TRIM([1]Raw_Data!J1962)</f>
        <v>Walmart</v>
      </c>
      <c r="K1964" s="3">
        <f t="shared" si="120"/>
        <v>2022</v>
      </c>
      <c r="L1964" s="6">
        <f t="shared" si="121"/>
        <v>44682</v>
      </c>
      <c r="M1964" s="3" t="str">
        <f t="shared" si="122"/>
        <v>16% to 20%</v>
      </c>
      <c r="N1964" s="3" t="str">
        <f t="shared" si="123"/>
        <v>OK</v>
      </c>
    </row>
    <row r="1965" spans="1:14" x14ac:dyDescent="0.3">
      <c r="A1965" s="2">
        <f>DATE(VALUE(RIGHT(TRIM([1]Raw_Data!A1963),4)),VALUE(MID(TRIM([1]Raw_Data!A1963),4,2)),VALUE(LEFT(TRIM([1]Raw_Data!A1963),2)))</f>
        <v>44690</v>
      </c>
      <c r="B1965" s="3" t="str">
        <f>TRIM([1]Raw_Data!B1963)</f>
        <v>Magnesium</v>
      </c>
      <c r="C1965" s="3" t="str">
        <f>TRIM([1]Raw_Data!C1963)</f>
        <v>Mineral</v>
      </c>
      <c r="D1965" s="3">
        <f>[1]Raw_Data!D1963</f>
        <v>140</v>
      </c>
      <c r="E1965" s="4">
        <f>[1]Raw_Data!E1963</f>
        <v>40.700000000000003</v>
      </c>
      <c r="F1965" s="5">
        <f>[1]Raw_Data!F1963</f>
        <v>5698</v>
      </c>
      <c r="G1965" s="4">
        <f>[1]Raw_Data!G1963</f>
        <v>0.22</v>
      </c>
      <c r="H1965" s="3">
        <f>[1]Raw_Data!H1963</f>
        <v>2</v>
      </c>
      <c r="I1965" s="3" t="str">
        <f>TRIM([1]Raw_Data!I1963)</f>
        <v>Canada</v>
      </c>
      <c r="J1965" s="3" t="str">
        <f>TRIM([1]Raw_Data!J1963)</f>
        <v>Amazon</v>
      </c>
      <c r="K1965" s="3">
        <f t="shared" si="120"/>
        <v>2022</v>
      </c>
      <c r="L1965" s="6">
        <f t="shared" si="121"/>
        <v>44682</v>
      </c>
      <c r="M1965" s="3" t="str">
        <f t="shared" si="122"/>
        <v>21% to 25%</v>
      </c>
      <c r="N1965" s="3" t="str">
        <f t="shared" si="123"/>
        <v>OK</v>
      </c>
    </row>
    <row r="1966" spans="1:14" x14ac:dyDescent="0.3">
      <c r="A1966" s="2">
        <f>DATE(VALUE(RIGHT(TRIM([1]Raw_Data!A1964),4)),VALUE(MID(TRIM([1]Raw_Data!A1964),4,2)),VALUE(LEFT(TRIM([1]Raw_Data!A1964),2)))</f>
        <v>44690</v>
      </c>
      <c r="B1966" s="3" t="str">
        <f>TRIM([1]Raw_Data!B1964)</f>
        <v>Ashwagandha</v>
      </c>
      <c r="C1966" s="3" t="str">
        <f>TRIM([1]Raw_Data!C1964)</f>
        <v>Herbal</v>
      </c>
      <c r="D1966" s="3">
        <f>[1]Raw_Data!D1964</f>
        <v>152</v>
      </c>
      <c r="E1966" s="4">
        <f>[1]Raw_Data!E1964</f>
        <v>28.25</v>
      </c>
      <c r="F1966" s="5">
        <f>[1]Raw_Data!F1964</f>
        <v>4294</v>
      </c>
      <c r="G1966" s="4">
        <f>[1]Raw_Data!G1964</f>
        <v>0.22</v>
      </c>
      <c r="H1966" s="3">
        <f>[1]Raw_Data!H1964</f>
        <v>0</v>
      </c>
      <c r="I1966" s="3" t="str">
        <f>TRIM([1]Raw_Data!I1964)</f>
        <v>USA</v>
      </c>
      <c r="J1966" s="3" t="str">
        <f>TRIM([1]Raw_Data!J1964)</f>
        <v>Walmart</v>
      </c>
      <c r="K1966" s="3">
        <f t="shared" si="120"/>
        <v>2022</v>
      </c>
      <c r="L1966" s="6">
        <f t="shared" si="121"/>
        <v>44682</v>
      </c>
      <c r="M1966" s="3" t="str">
        <f t="shared" si="122"/>
        <v>21% to 25%</v>
      </c>
      <c r="N1966" s="3" t="str">
        <f t="shared" si="123"/>
        <v>OK</v>
      </c>
    </row>
    <row r="1967" spans="1:14" x14ac:dyDescent="0.3">
      <c r="A1967" s="2">
        <f>DATE(VALUE(RIGHT(TRIM([1]Raw_Data!A1965),4)),VALUE(MID(TRIM([1]Raw_Data!A1965),4,2)),VALUE(LEFT(TRIM([1]Raw_Data!A1965),2)))</f>
        <v>44690</v>
      </c>
      <c r="B1967" s="3" t="str">
        <f>TRIM([1]Raw_Data!B1965)</f>
        <v>Melatonin</v>
      </c>
      <c r="C1967" s="3" t="str">
        <f>TRIM([1]Raw_Data!C1965)</f>
        <v>Sleep Aid</v>
      </c>
      <c r="D1967" s="3">
        <f>[1]Raw_Data!D1965</f>
        <v>157</v>
      </c>
      <c r="E1967" s="4">
        <f>[1]Raw_Data!E1965</f>
        <v>40.28</v>
      </c>
      <c r="F1967" s="5">
        <f>[1]Raw_Data!F1965</f>
        <v>6323.96</v>
      </c>
      <c r="G1967" s="4">
        <f>[1]Raw_Data!G1965</f>
        <v>0.12</v>
      </c>
      <c r="H1967" s="3">
        <f>[1]Raw_Data!H1965</f>
        <v>0</v>
      </c>
      <c r="I1967" s="3" t="str">
        <f>TRIM([1]Raw_Data!I1965)</f>
        <v>UK</v>
      </c>
      <c r="J1967" s="3" t="str">
        <f>TRIM([1]Raw_Data!J1965)</f>
        <v>Walmart</v>
      </c>
      <c r="K1967" s="3">
        <f t="shared" si="120"/>
        <v>2022</v>
      </c>
      <c r="L1967" s="6">
        <f t="shared" si="121"/>
        <v>44682</v>
      </c>
      <c r="M1967" s="3" t="str">
        <f t="shared" si="122"/>
        <v>11% to 15%</v>
      </c>
      <c r="N1967" s="3" t="str">
        <f t="shared" si="123"/>
        <v>OK</v>
      </c>
    </row>
    <row r="1968" spans="1:14" x14ac:dyDescent="0.3">
      <c r="A1968" s="2">
        <f>DATE(VALUE(RIGHT(TRIM([1]Raw_Data!A1966),4)),VALUE(MID(TRIM([1]Raw_Data!A1966),4,2)),VALUE(LEFT(TRIM([1]Raw_Data!A1966),2)))</f>
        <v>44690</v>
      </c>
      <c r="B1968" s="3" t="str">
        <f>TRIM([1]Raw_Data!B1966)</f>
        <v>Biotin</v>
      </c>
      <c r="C1968" s="3" t="str">
        <f>TRIM([1]Raw_Data!C1966)</f>
        <v>Vitamin</v>
      </c>
      <c r="D1968" s="3">
        <f>[1]Raw_Data!D1966</f>
        <v>142</v>
      </c>
      <c r="E1968" s="4">
        <f>[1]Raw_Data!E1966</f>
        <v>37.5</v>
      </c>
      <c r="F1968" s="5">
        <f>[1]Raw_Data!F1966</f>
        <v>5325</v>
      </c>
      <c r="G1968" s="4">
        <f>[1]Raw_Data!G1966</f>
        <v>0.1</v>
      </c>
      <c r="H1968" s="3">
        <f>[1]Raw_Data!H1966</f>
        <v>0</v>
      </c>
      <c r="I1968" s="3" t="str">
        <f>TRIM([1]Raw_Data!I1966)</f>
        <v>Canada</v>
      </c>
      <c r="J1968" s="3" t="str">
        <f>TRIM([1]Raw_Data!J1966)</f>
        <v>Walmart</v>
      </c>
      <c r="K1968" s="3">
        <f t="shared" si="120"/>
        <v>2022</v>
      </c>
      <c r="L1968" s="6">
        <f t="shared" si="121"/>
        <v>44682</v>
      </c>
      <c r="M1968" s="3" t="str">
        <f t="shared" si="122"/>
        <v>6% to 10%</v>
      </c>
      <c r="N1968" s="3" t="str">
        <f t="shared" si="123"/>
        <v>OK</v>
      </c>
    </row>
    <row r="1969" spans="1:14" x14ac:dyDescent="0.3">
      <c r="A1969" s="2">
        <f>DATE(VALUE(RIGHT(TRIM([1]Raw_Data!A1967),4)),VALUE(MID(TRIM([1]Raw_Data!A1967),4,2)),VALUE(LEFT(TRIM([1]Raw_Data!A1967),2)))</f>
        <v>44690</v>
      </c>
      <c r="B1969" s="3" t="str">
        <f>TRIM([1]Raw_Data!B1967)</f>
        <v>Green Tea Extract</v>
      </c>
      <c r="C1969" s="3" t="str">
        <f>TRIM([1]Raw_Data!C1967)</f>
        <v>Fat Burner</v>
      </c>
      <c r="D1969" s="3">
        <f>[1]Raw_Data!D1967</f>
        <v>158</v>
      </c>
      <c r="E1969" s="4">
        <f>[1]Raw_Data!E1967</f>
        <v>40.700000000000003</v>
      </c>
      <c r="F1969" s="5">
        <f>[1]Raw_Data!F1967</f>
        <v>6430.6</v>
      </c>
      <c r="G1969" s="4">
        <f>[1]Raw_Data!G1967</f>
        <v>0.13</v>
      </c>
      <c r="H1969" s="3">
        <f>[1]Raw_Data!H1967</f>
        <v>1</v>
      </c>
      <c r="I1969" s="3" t="str">
        <f>TRIM([1]Raw_Data!I1967)</f>
        <v>USA</v>
      </c>
      <c r="J1969" s="3" t="str">
        <f>TRIM([1]Raw_Data!J1967)</f>
        <v>Walmart</v>
      </c>
      <c r="K1969" s="3">
        <f t="shared" si="120"/>
        <v>2022</v>
      </c>
      <c r="L1969" s="6">
        <f t="shared" si="121"/>
        <v>44682</v>
      </c>
      <c r="M1969" s="3" t="str">
        <f t="shared" si="122"/>
        <v>11% to 15%</v>
      </c>
      <c r="N1969" s="3" t="str">
        <f t="shared" si="123"/>
        <v>OK</v>
      </c>
    </row>
    <row r="1970" spans="1:14" x14ac:dyDescent="0.3">
      <c r="A1970" s="2">
        <f>DATE(VALUE(RIGHT(TRIM([1]Raw_Data!A1968),4)),VALUE(MID(TRIM([1]Raw_Data!A1968),4,2)),VALUE(LEFT(TRIM([1]Raw_Data!A1968),2)))</f>
        <v>44690</v>
      </c>
      <c r="B1970" s="3" t="str">
        <f>TRIM([1]Raw_Data!B1968)</f>
        <v>Iron Supplement</v>
      </c>
      <c r="C1970" s="3" t="str">
        <f>TRIM([1]Raw_Data!C1968)</f>
        <v>Mineral</v>
      </c>
      <c r="D1970" s="3">
        <f>[1]Raw_Data!D1968</f>
        <v>153</v>
      </c>
      <c r="E1970" s="4">
        <f>[1]Raw_Data!E1968</f>
        <v>57.06</v>
      </c>
      <c r="F1970" s="5">
        <f>[1]Raw_Data!F1968</f>
        <v>8730.18</v>
      </c>
      <c r="G1970" s="4">
        <f>[1]Raw_Data!G1968</f>
        <v>0.15</v>
      </c>
      <c r="H1970" s="3">
        <f>[1]Raw_Data!H1968</f>
        <v>1</v>
      </c>
      <c r="I1970" s="3" t="str">
        <f>TRIM([1]Raw_Data!I1968)</f>
        <v>USA</v>
      </c>
      <c r="J1970" s="3" t="str">
        <f>TRIM([1]Raw_Data!J1968)</f>
        <v>Walmart</v>
      </c>
      <c r="K1970" s="3">
        <f t="shared" si="120"/>
        <v>2022</v>
      </c>
      <c r="L1970" s="6">
        <f t="shared" si="121"/>
        <v>44682</v>
      </c>
      <c r="M1970" s="3" t="str">
        <f t="shared" si="122"/>
        <v>11% to 15%</v>
      </c>
      <c r="N1970" s="3" t="str">
        <f t="shared" si="123"/>
        <v>OK</v>
      </c>
    </row>
    <row r="1971" spans="1:14" x14ac:dyDescent="0.3">
      <c r="A1971" s="2">
        <f>DATE(VALUE(RIGHT(TRIM([1]Raw_Data!A1969),4)),VALUE(MID(TRIM([1]Raw_Data!A1969),4,2)),VALUE(LEFT(TRIM([1]Raw_Data!A1969),2)))</f>
        <v>44690</v>
      </c>
      <c r="B1971" s="3" t="str">
        <f>TRIM([1]Raw_Data!B1969)</f>
        <v>Electrolyte Powder</v>
      </c>
      <c r="C1971" s="3" t="str">
        <f>TRIM([1]Raw_Data!C1969)</f>
        <v>Hydration</v>
      </c>
      <c r="D1971" s="3">
        <f>[1]Raw_Data!D1969</f>
        <v>148</v>
      </c>
      <c r="E1971" s="4">
        <f>[1]Raw_Data!E1969</f>
        <v>18.079999999999998</v>
      </c>
      <c r="F1971" s="5">
        <f>[1]Raw_Data!F1969</f>
        <v>2675.84</v>
      </c>
      <c r="G1971" s="4">
        <f>[1]Raw_Data!G1969</f>
        <v>7.0000000000000007E-2</v>
      </c>
      <c r="H1971" s="3">
        <f>[1]Raw_Data!H1969</f>
        <v>2</v>
      </c>
      <c r="I1971" s="3" t="str">
        <f>TRIM([1]Raw_Data!I1969)</f>
        <v>USA</v>
      </c>
      <c r="J1971" s="3" t="str">
        <f>TRIM([1]Raw_Data!J1969)</f>
        <v>iHerb</v>
      </c>
      <c r="K1971" s="3">
        <f t="shared" si="120"/>
        <v>2022</v>
      </c>
      <c r="L1971" s="6">
        <f t="shared" si="121"/>
        <v>44682</v>
      </c>
      <c r="M1971" s="3" t="str">
        <f t="shared" si="122"/>
        <v>6% to 10%</v>
      </c>
      <c r="N1971" s="3" t="str">
        <f t="shared" si="123"/>
        <v>OK</v>
      </c>
    </row>
    <row r="1972" spans="1:14" x14ac:dyDescent="0.3">
      <c r="A1972" s="2">
        <f>DATE(VALUE(RIGHT(TRIM([1]Raw_Data!A1970),4)),VALUE(MID(TRIM([1]Raw_Data!A1970),4,2)),VALUE(LEFT(TRIM([1]Raw_Data!A1970),2)))</f>
        <v>44697</v>
      </c>
      <c r="B1972" s="3" t="str">
        <f>TRIM([1]Raw_Data!B1970)</f>
        <v>Whey Protein</v>
      </c>
      <c r="C1972" s="3" t="str">
        <f>TRIM([1]Raw_Data!C1970)</f>
        <v>Protein</v>
      </c>
      <c r="D1972" s="3">
        <f>[1]Raw_Data!D1970</f>
        <v>143</v>
      </c>
      <c r="E1972" s="4">
        <f>[1]Raw_Data!E1970</f>
        <v>16.52</v>
      </c>
      <c r="F1972" s="5">
        <f>[1]Raw_Data!F1970</f>
        <v>2362.36</v>
      </c>
      <c r="G1972" s="4">
        <f>[1]Raw_Data!G1970</f>
        <v>0.19</v>
      </c>
      <c r="H1972" s="3">
        <f>[1]Raw_Data!H1970</f>
        <v>0</v>
      </c>
      <c r="I1972" s="3" t="str">
        <f>TRIM([1]Raw_Data!I1970)</f>
        <v>UK</v>
      </c>
      <c r="J1972" s="3" t="str">
        <f>TRIM([1]Raw_Data!J1970)</f>
        <v>Walmart</v>
      </c>
      <c r="K1972" s="3">
        <f t="shared" si="120"/>
        <v>2022</v>
      </c>
      <c r="L1972" s="6">
        <f t="shared" si="121"/>
        <v>44682</v>
      </c>
      <c r="M1972" s="3" t="str">
        <f t="shared" si="122"/>
        <v>16% to 20%</v>
      </c>
      <c r="N1972" s="3" t="str">
        <f t="shared" si="123"/>
        <v>OK</v>
      </c>
    </row>
    <row r="1973" spans="1:14" x14ac:dyDescent="0.3">
      <c r="A1973" s="2">
        <f>DATE(VALUE(RIGHT(TRIM([1]Raw_Data!A1971),4)),VALUE(MID(TRIM([1]Raw_Data!A1971),4,2)),VALUE(LEFT(TRIM([1]Raw_Data!A1971),2)))</f>
        <v>44697</v>
      </c>
      <c r="B1973" s="3" t="str">
        <f>TRIM([1]Raw_Data!B1971)</f>
        <v>Vitamin C</v>
      </c>
      <c r="C1973" s="3" t="str">
        <f>TRIM([1]Raw_Data!C1971)</f>
        <v>Vitamin</v>
      </c>
      <c r="D1973" s="3">
        <f>[1]Raw_Data!D1971</f>
        <v>153</v>
      </c>
      <c r="E1973" s="4">
        <f>[1]Raw_Data!E1971</f>
        <v>21.63</v>
      </c>
      <c r="F1973" s="5">
        <f>[1]Raw_Data!F1971</f>
        <v>3309.39</v>
      </c>
      <c r="G1973" s="4">
        <f>[1]Raw_Data!G1971</f>
        <v>0.15</v>
      </c>
      <c r="H1973" s="3">
        <f>[1]Raw_Data!H1971</f>
        <v>1</v>
      </c>
      <c r="I1973" s="3" t="str">
        <f>TRIM([1]Raw_Data!I1971)</f>
        <v>Canada</v>
      </c>
      <c r="J1973" s="3" t="str">
        <f>TRIM([1]Raw_Data!J1971)</f>
        <v>Amazon</v>
      </c>
      <c r="K1973" s="3">
        <f t="shared" si="120"/>
        <v>2022</v>
      </c>
      <c r="L1973" s="6">
        <f t="shared" si="121"/>
        <v>44682</v>
      </c>
      <c r="M1973" s="3" t="str">
        <f t="shared" si="122"/>
        <v>11% to 15%</v>
      </c>
      <c r="N1973" s="3" t="str">
        <f t="shared" si="123"/>
        <v>OK</v>
      </c>
    </row>
    <row r="1974" spans="1:14" x14ac:dyDescent="0.3">
      <c r="A1974" s="2">
        <f>DATE(VALUE(RIGHT(TRIM([1]Raw_Data!A1972),4)),VALUE(MID(TRIM([1]Raw_Data!A1972),4,2)),VALUE(LEFT(TRIM([1]Raw_Data!A1972),2)))</f>
        <v>44697</v>
      </c>
      <c r="B1974" s="3" t="str">
        <f>TRIM([1]Raw_Data!B1972)</f>
        <v>Fish Oil</v>
      </c>
      <c r="C1974" s="3" t="str">
        <f>TRIM([1]Raw_Data!C1972)</f>
        <v>Omega</v>
      </c>
      <c r="D1974" s="3">
        <f>[1]Raw_Data!D1972</f>
        <v>155</v>
      </c>
      <c r="E1974" s="4">
        <f>[1]Raw_Data!E1972</f>
        <v>34.56</v>
      </c>
      <c r="F1974" s="5">
        <f>[1]Raw_Data!F1972</f>
        <v>5356.8</v>
      </c>
      <c r="G1974" s="4">
        <f>[1]Raw_Data!G1972</f>
        <v>0.17</v>
      </c>
      <c r="H1974" s="3">
        <f>[1]Raw_Data!H1972</f>
        <v>0</v>
      </c>
      <c r="I1974" s="3" t="str">
        <f>TRIM([1]Raw_Data!I1972)</f>
        <v>Canada</v>
      </c>
      <c r="J1974" s="3" t="str">
        <f>TRIM([1]Raw_Data!J1972)</f>
        <v>iHerb</v>
      </c>
      <c r="K1974" s="3">
        <f t="shared" si="120"/>
        <v>2022</v>
      </c>
      <c r="L1974" s="6">
        <f t="shared" si="121"/>
        <v>44682</v>
      </c>
      <c r="M1974" s="3" t="str">
        <f t="shared" si="122"/>
        <v>16% to 20%</v>
      </c>
      <c r="N1974" s="3" t="str">
        <f t="shared" si="123"/>
        <v>OK</v>
      </c>
    </row>
    <row r="1975" spans="1:14" x14ac:dyDescent="0.3">
      <c r="A1975" s="2">
        <f>DATE(VALUE(RIGHT(TRIM([1]Raw_Data!A1973),4)),VALUE(MID(TRIM([1]Raw_Data!A1973),4,2)),VALUE(LEFT(TRIM([1]Raw_Data!A1973),2)))</f>
        <v>44697</v>
      </c>
      <c r="B1975" s="3" t="str">
        <f>TRIM([1]Raw_Data!B1973)</f>
        <v>Multivitamin</v>
      </c>
      <c r="C1975" s="3" t="str">
        <f>TRIM([1]Raw_Data!C1973)</f>
        <v>Vitamin</v>
      </c>
      <c r="D1975" s="3">
        <f>[1]Raw_Data!D1973</f>
        <v>144</v>
      </c>
      <c r="E1975" s="4">
        <f>[1]Raw_Data!E1973</f>
        <v>13.67</v>
      </c>
      <c r="F1975" s="5">
        <f>[1]Raw_Data!F1973</f>
        <v>1968.48</v>
      </c>
      <c r="G1975" s="4">
        <f>[1]Raw_Data!G1973</f>
        <v>0.05</v>
      </c>
      <c r="H1975" s="3">
        <f>[1]Raw_Data!H1973</f>
        <v>1</v>
      </c>
      <c r="I1975" s="3" t="str">
        <f>TRIM([1]Raw_Data!I1973)</f>
        <v>Canada</v>
      </c>
      <c r="J1975" s="3" t="str">
        <f>TRIM([1]Raw_Data!J1973)</f>
        <v>Walmart</v>
      </c>
      <c r="K1975" s="3">
        <f t="shared" si="120"/>
        <v>2022</v>
      </c>
      <c r="L1975" s="6">
        <f t="shared" si="121"/>
        <v>44682</v>
      </c>
      <c r="M1975" s="3" t="str">
        <f t="shared" si="122"/>
        <v>0% to 5%</v>
      </c>
      <c r="N1975" s="3" t="str">
        <f t="shared" si="123"/>
        <v>OK</v>
      </c>
    </row>
    <row r="1976" spans="1:14" x14ac:dyDescent="0.3">
      <c r="A1976" s="2">
        <f>DATE(VALUE(RIGHT(TRIM([1]Raw_Data!A1974),4)),VALUE(MID(TRIM([1]Raw_Data!A1974),4,2)),VALUE(LEFT(TRIM([1]Raw_Data!A1974),2)))</f>
        <v>44697</v>
      </c>
      <c r="B1976" s="3" t="str">
        <f>TRIM([1]Raw_Data!B1974)</f>
        <v>Pre-Workout</v>
      </c>
      <c r="C1976" s="3" t="str">
        <f>TRIM([1]Raw_Data!C1974)</f>
        <v>Performance</v>
      </c>
      <c r="D1976" s="3">
        <f>[1]Raw_Data!D1974</f>
        <v>161</v>
      </c>
      <c r="E1976" s="4">
        <f>[1]Raw_Data!E1974</f>
        <v>26.77</v>
      </c>
      <c r="F1976" s="5">
        <f>[1]Raw_Data!F1974</f>
        <v>4309.97</v>
      </c>
      <c r="G1976" s="4">
        <f>[1]Raw_Data!G1974</f>
        <v>0.02</v>
      </c>
      <c r="H1976" s="3">
        <f>[1]Raw_Data!H1974</f>
        <v>2</v>
      </c>
      <c r="I1976" s="3" t="str">
        <f>TRIM([1]Raw_Data!I1974)</f>
        <v>UK</v>
      </c>
      <c r="J1976" s="3" t="str">
        <f>TRIM([1]Raw_Data!J1974)</f>
        <v>iHerb</v>
      </c>
      <c r="K1976" s="3">
        <f t="shared" si="120"/>
        <v>2022</v>
      </c>
      <c r="L1976" s="6">
        <f t="shared" si="121"/>
        <v>44682</v>
      </c>
      <c r="M1976" s="3" t="str">
        <f t="shared" si="122"/>
        <v>0% to 5%</v>
      </c>
      <c r="N1976" s="3" t="str">
        <f t="shared" si="123"/>
        <v>OK</v>
      </c>
    </row>
    <row r="1977" spans="1:14" x14ac:dyDescent="0.3">
      <c r="A1977" s="2">
        <f>DATE(VALUE(RIGHT(TRIM([1]Raw_Data!A1975),4)),VALUE(MID(TRIM([1]Raw_Data!A1975),4,2)),VALUE(LEFT(TRIM([1]Raw_Data!A1975),2)))</f>
        <v>44697</v>
      </c>
      <c r="B1977" s="3" t="str">
        <f>TRIM([1]Raw_Data!B1975)</f>
        <v>BCAA</v>
      </c>
      <c r="C1977" s="3" t="str">
        <f>TRIM([1]Raw_Data!C1975)</f>
        <v>Amino Acid</v>
      </c>
      <c r="D1977" s="3">
        <f>[1]Raw_Data!D1975</f>
        <v>141</v>
      </c>
      <c r="E1977" s="4">
        <f>[1]Raw_Data!E1975</f>
        <v>58.86</v>
      </c>
      <c r="F1977" s="5">
        <f>[1]Raw_Data!F1975</f>
        <v>8299.26</v>
      </c>
      <c r="G1977" s="4">
        <f>[1]Raw_Data!G1975</f>
        <v>0.03</v>
      </c>
      <c r="H1977" s="3">
        <f>[1]Raw_Data!H1975</f>
        <v>0</v>
      </c>
      <c r="I1977" s="3" t="str">
        <f>TRIM([1]Raw_Data!I1975)</f>
        <v>Canada</v>
      </c>
      <c r="J1977" s="3" t="str">
        <f>TRIM([1]Raw_Data!J1975)</f>
        <v>iHerb</v>
      </c>
      <c r="K1977" s="3">
        <f t="shared" si="120"/>
        <v>2022</v>
      </c>
      <c r="L1977" s="6">
        <f t="shared" si="121"/>
        <v>44682</v>
      </c>
      <c r="M1977" s="3" t="str">
        <f t="shared" si="122"/>
        <v>0% to 5%</v>
      </c>
      <c r="N1977" s="3" t="str">
        <f t="shared" si="123"/>
        <v>OK</v>
      </c>
    </row>
    <row r="1978" spans="1:14" x14ac:dyDescent="0.3">
      <c r="A1978" s="2">
        <f>DATE(VALUE(RIGHT(TRIM([1]Raw_Data!A1976),4)),VALUE(MID(TRIM([1]Raw_Data!A1976),4,2)),VALUE(LEFT(TRIM([1]Raw_Data!A1976),2)))</f>
        <v>44697</v>
      </c>
      <c r="B1978" s="3" t="str">
        <f>TRIM([1]Raw_Data!B1976)</f>
        <v>Creatine</v>
      </c>
      <c r="C1978" s="3" t="str">
        <f>TRIM([1]Raw_Data!C1976)</f>
        <v>Performance</v>
      </c>
      <c r="D1978" s="3">
        <f>[1]Raw_Data!D1976</f>
        <v>149</v>
      </c>
      <c r="E1978" s="4">
        <f>[1]Raw_Data!E1976</f>
        <v>48.59</v>
      </c>
      <c r="F1978" s="5">
        <f>[1]Raw_Data!F1976</f>
        <v>7239.91</v>
      </c>
      <c r="G1978" s="4">
        <f>[1]Raw_Data!G1976</f>
        <v>0.22</v>
      </c>
      <c r="H1978" s="3">
        <f>[1]Raw_Data!H1976</f>
        <v>1</v>
      </c>
      <c r="I1978" s="3" t="str">
        <f>TRIM([1]Raw_Data!I1976)</f>
        <v>UK</v>
      </c>
      <c r="J1978" s="3" t="str">
        <f>TRIM([1]Raw_Data!J1976)</f>
        <v>Walmart</v>
      </c>
      <c r="K1978" s="3">
        <f t="shared" si="120"/>
        <v>2022</v>
      </c>
      <c r="L1978" s="6">
        <f t="shared" si="121"/>
        <v>44682</v>
      </c>
      <c r="M1978" s="3" t="str">
        <f t="shared" si="122"/>
        <v>21% to 25%</v>
      </c>
      <c r="N1978" s="3" t="str">
        <f t="shared" si="123"/>
        <v>OK</v>
      </c>
    </row>
    <row r="1979" spans="1:14" x14ac:dyDescent="0.3">
      <c r="A1979" s="2">
        <f>DATE(VALUE(RIGHT(TRIM([1]Raw_Data!A1977),4)),VALUE(MID(TRIM([1]Raw_Data!A1977),4,2)),VALUE(LEFT(TRIM([1]Raw_Data!A1977),2)))</f>
        <v>44697</v>
      </c>
      <c r="B1979" s="3" t="str">
        <f>TRIM([1]Raw_Data!B1977)</f>
        <v>Zinc</v>
      </c>
      <c r="C1979" s="3" t="str">
        <f>TRIM([1]Raw_Data!C1977)</f>
        <v>Mineral</v>
      </c>
      <c r="D1979" s="3">
        <f>[1]Raw_Data!D1977</f>
        <v>172</v>
      </c>
      <c r="E1979" s="4">
        <f>[1]Raw_Data!E1977</f>
        <v>15.67</v>
      </c>
      <c r="F1979" s="5">
        <f>[1]Raw_Data!F1977</f>
        <v>2695.24</v>
      </c>
      <c r="G1979" s="4">
        <f>[1]Raw_Data!G1977</f>
        <v>0.01</v>
      </c>
      <c r="H1979" s="3">
        <f>[1]Raw_Data!H1977</f>
        <v>0</v>
      </c>
      <c r="I1979" s="3" t="str">
        <f>TRIM([1]Raw_Data!I1977)</f>
        <v>UK</v>
      </c>
      <c r="J1979" s="3" t="str">
        <f>TRIM([1]Raw_Data!J1977)</f>
        <v>Walmart</v>
      </c>
      <c r="K1979" s="3">
        <f t="shared" si="120"/>
        <v>2022</v>
      </c>
      <c r="L1979" s="6">
        <f t="shared" si="121"/>
        <v>44682</v>
      </c>
      <c r="M1979" s="3" t="str">
        <f t="shared" si="122"/>
        <v>0% to 5%</v>
      </c>
      <c r="N1979" s="3" t="str">
        <f t="shared" si="123"/>
        <v>OK</v>
      </c>
    </row>
    <row r="1980" spans="1:14" x14ac:dyDescent="0.3">
      <c r="A1980" s="2">
        <f>DATE(VALUE(RIGHT(TRIM([1]Raw_Data!A1978),4)),VALUE(MID(TRIM([1]Raw_Data!A1978),4,2)),VALUE(LEFT(TRIM([1]Raw_Data!A1978),2)))</f>
        <v>44697</v>
      </c>
      <c r="B1980" s="3" t="str">
        <f>TRIM([1]Raw_Data!B1978)</f>
        <v>Collagen Peptides</v>
      </c>
      <c r="C1980" s="3" t="str">
        <f>TRIM([1]Raw_Data!C1978)</f>
        <v>Protein</v>
      </c>
      <c r="D1980" s="3">
        <f>[1]Raw_Data!D1978</f>
        <v>156</v>
      </c>
      <c r="E1980" s="4">
        <f>[1]Raw_Data!E1978</f>
        <v>48.81</v>
      </c>
      <c r="F1980" s="5">
        <f>[1]Raw_Data!F1978</f>
        <v>7614.36</v>
      </c>
      <c r="G1980" s="4">
        <f>[1]Raw_Data!G1978</f>
        <v>0.13</v>
      </c>
      <c r="H1980" s="3">
        <f>[1]Raw_Data!H1978</f>
        <v>3</v>
      </c>
      <c r="I1980" s="3" t="str">
        <f>TRIM([1]Raw_Data!I1978)</f>
        <v>Canada</v>
      </c>
      <c r="J1980" s="3" t="str">
        <f>TRIM([1]Raw_Data!J1978)</f>
        <v>iHerb</v>
      </c>
      <c r="K1980" s="3">
        <f t="shared" si="120"/>
        <v>2022</v>
      </c>
      <c r="L1980" s="6">
        <f t="shared" si="121"/>
        <v>44682</v>
      </c>
      <c r="M1980" s="3" t="str">
        <f t="shared" si="122"/>
        <v>11% to 15%</v>
      </c>
      <c r="N1980" s="3" t="str">
        <f t="shared" si="123"/>
        <v>OK</v>
      </c>
    </row>
    <row r="1981" spans="1:14" x14ac:dyDescent="0.3">
      <c r="A1981" s="2">
        <f>DATE(VALUE(RIGHT(TRIM([1]Raw_Data!A1979),4)),VALUE(MID(TRIM([1]Raw_Data!A1979),4,2)),VALUE(LEFT(TRIM([1]Raw_Data!A1979),2)))</f>
        <v>44697</v>
      </c>
      <c r="B1981" s="3" t="str">
        <f>TRIM([1]Raw_Data!B1979)</f>
        <v>Magnesium</v>
      </c>
      <c r="C1981" s="3" t="str">
        <f>TRIM([1]Raw_Data!C1979)</f>
        <v>Mineral</v>
      </c>
      <c r="D1981" s="3">
        <f>[1]Raw_Data!D1979</f>
        <v>153</v>
      </c>
      <c r="E1981" s="4">
        <f>[1]Raw_Data!E1979</f>
        <v>38.06</v>
      </c>
      <c r="F1981" s="5">
        <f>[1]Raw_Data!F1979</f>
        <v>5823.18</v>
      </c>
      <c r="G1981" s="4">
        <f>[1]Raw_Data!G1979</f>
        <v>0.13</v>
      </c>
      <c r="H1981" s="3">
        <f>[1]Raw_Data!H1979</f>
        <v>3</v>
      </c>
      <c r="I1981" s="3" t="str">
        <f>TRIM([1]Raw_Data!I1979)</f>
        <v>UK</v>
      </c>
      <c r="J1981" s="3" t="str">
        <f>TRIM([1]Raw_Data!J1979)</f>
        <v>Walmart</v>
      </c>
      <c r="K1981" s="3">
        <f t="shared" si="120"/>
        <v>2022</v>
      </c>
      <c r="L1981" s="6">
        <f t="shared" si="121"/>
        <v>44682</v>
      </c>
      <c r="M1981" s="3" t="str">
        <f t="shared" si="122"/>
        <v>11% to 15%</v>
      </c>
      <c r="N1981" s="3" t="str">
        <f t="shared" si="123"/>
        <v>OK</v>
      </c>
    </row>
    <row r="1982" spans="1:14" x14ac:dyDescent="0.3">
      <c r="A1982" s="2">
        <f>DATE(VALUE(RIGHT(TRIM([1]Raw_Data!A1980),4)),VALUE(MID(TRIM([1]Raw_Data!A1980),4,2)),VALUE(LEFT(TRIM([1]Raw_Data!A1980),2)))</f>
        <v>44697</v>
      </c>
      <c r="B1982" s="3" t="str">
        <f>TRIM([1]Raw_Data!B1980)</f>
        <v>Ashwagandha</v>
      </c>
      <c r="C1982" s="3" t="str">
        <f>TRIM([1]Raw_Data!C1980)</f>
        <v>Herbal</v>
      </c>
      <c r="D1982" s="3">
        <f>[1]Raw_Data!D1980</f>
        <v>160</v>
      </c>
      <c r="E1982" s="4">
        <f>[1]Raw_Data!E1980</f>
        <v>48.84</v>
      </c>
      <c r="F1982" s="5">
        <f>[1]Raw_Data!F1980</f>
        <v>7814.4</v>
      </c>
      <c r="G1982" s="4">
        <f>[1]Raw_Data!G1980</f>
        <v>0.09</v>
      </c>
      <c r="H1982" s="3">
        <f>[1]Raw_Data!H1980</f>
        <v>0</v>
      </c>
      <c r="I1982" s="3" t="str">
        <f>TRIM([1]Raw_Data!I1980)</f>
        <v>UK</v>
      </c>
      <c r="J1982" s="3" t="str">
        <f>TRIM([1]Raw_Data!J1980)</f>
        <v>Walmart</v>
      </c>
      <c r="K1982" s="3">
        <f t="shared" si="120"/>
        <v>2022</v>
      </c>
      <c r="L1982" s="6">
        <f t="shared" si="121"/>
        <v>44682</v>
      </c>
      <c r="M1982" s="3" t="str">
        <f t="shared" si="122"/>
        <v>6% to 10%</v>
      </c>
      <c r="N1982" s="3" t="str">
        <f t="shared" si="123"/>
        <v>OK</v>
      </c>
    </row>
    <row r="1983" spans="1:14" x14ac:dyDescent="0.3">
      <c r="A1983" s="2">
        <f>DATE(VALUE(RIGHT(TRIM([1]Raw_Data!A1981),4)),VALUE(MID(TRIM([1]Raw_Data!A1981),4,2)),VALUE(LEFT(TRIM([1]Raw_Data!A1981),2)))</f>
        <v>44697</v>
      </c>
      <c r="B1983" s="3" t="str">
        <f>TRIM([1]Raw_Data!B1981)</f>
        <v>Melatonin</v>
      </c>
      <c r="C1983" s="3" t="str">
        <f>TRIM([1]Raw_Data!C1981)</f>
        <v>Sleep Aid</v>
      </c>
      <c r="D1983" s="3">
        <f>[1]Raw_Data!D1981</f>
        <v>145</v>
      </c>
      <c r="E1983" s="4">
        <f>[1]Raw_Data!E1981</f>
        <v>15.96</v>
      </c>
      <c r="F1983" s="5">
        <f>[1]Raw_Data!F1981</f>
        <v>2314.1999999999998</v>
      </c>
      <c r="G1983" s="4">
        <f>[1]Raw_Data!G1981</f>
        <v>0.23</v>
      </c>
      <c r="H1983" s="3">
        <f>[1]Raw_Data!H1981</f>
        <v>0</v>
      </c>
      <c r="I1983" s="3" t="str">
        <f>TRIM([1]Raw_Data!I1981)</f>
        <v>Canada</v>
      </c>
      <c r="J1983" s="3" t="str">
        <f>TRIM([1]Raw_Data!J1981)</f>
        <v>iHerb</v>
      </c>
      <c r="K1983" s="3">
        <f t="shared" si="120"/>
        <v>2022</v>
      </c>
      <c r="L1983" s="6">
        <f t="shared" si="121"/>
        <v>44682</v>
      </c>
      <c r="M1983" s="3" t="str">
        <f t="shared" si="122"/>
        <v>21% to 25%</v>
      </c>
      <c r="N1983" s="3" t="str">
        <f t="shared" si="123"/>
        <v>OK</v>
      </c>
    </row>
    <row r="1984" spans="1:14" x14ac:dyDescent="0.3">
      <c r="A1984" s="2">
        <f>DATE(VALUE(RIGHT(TRIM([1]Raw_Data!A1982),4)),VALUE(MID(TRIM([1]Raw_Data!A1982),4,2)),VALUE(LEFT(TRIM([1]Raw_Data!A1982),2)))</f>
        <v>44697</v>
      </c>
      <c r="B1984" s="3" t="str">
        <f>TRIM([1]Raw_Data!B1982)</f>
        <v>Biotin</v>
      </c>
      <c r="C1984" s="3" t="str">
        <f>TRIM([1]Raw_Data!C1982)</f>
        <v>Vitamin</v>
      </c>
      <c r="D1984" s="3">
        <f>[1]Raw_Data!D1982</f>
        <v>173</v>
      </c>
      <c r="E1984" s="4">
        <f>[1]Raw_Data!E1982</f>
        <v>26.49</v>
      </c>
      <c r="F1984" s="5">
        <f>[1]Raw_Data!F1982</f>
        <v>4582.7700000000004</v>
      </c>
      <c r="G1984" s="4">
        <f>[1]Raw_Data!G1982</f>
        <v>0.1</v>
      </c>
      <c r="H1984" s="3">
        <f>[1]Raw_Data!H1982</f>
        <v>2</v>
      </c>
      <c r="I1984" s="3" t="str">
        <f>TRIM([1]Raw_Data!I1982)</f>
        <v>Canada</v>
      </c>
      <c r="J1984" s="3" t="str">
        <f>TRIM([1]Raw_Data!J1982)</f>
        <v>Walmart</v>
      </c>
      <c r="K1984" s="3">
        <f t="shared" si="120"/>
        <v>2022</v>
      </c>
      <c r="L1984" s="6">
        <f t="shared" si="121"/>
        <v>44682</v>
      </c>
      <c r="M1984" s="3" t="str">
        <f t="shared" si="122"/>
        <v>6% to 10%</v>
      </c>
      <c r="N1984" s="3" t="str">
        <f t="shared" si="123"/>
        <v>OK</v>
      </c>
    </row>
    <row r="1985" spans="1:14" x14ac:dyDescent="0.3">
      <c r="A1985" s="2">
        <f>DATE(VALUE(RIGHT(TRIM([1]Raw_Data!A1983),4)),VALUE(MID(TRIM([1]Raw_Data!A1983),4,2)),VALUE(LEFT(TRIM([1]Raw_Data!A1983),2)))</f>
        <v>44697</v>
      </c>
      <c r="B1985" s="3" t="str">
        <f>TRIM([1]Raw_Data!B1983)</f>
        <v>Green Tea Extract</v>
      </c>
      <c r="C1985" s="3" t="str">
        <f>TRIM([1]Raw_Data!C1983)</f>
        <v>Fat Burner</v>
      </c>
      <c r="D1985" s="3">
        <f>[1]Raw_Data!D1983</f>
        <v>154</v>
      </c>
      <c r="E1985" s="4">
        <f>[1]Raw_Data!E1983</f>
        <v>29.46</v>
      </c>
      <c r="F1985" s="5">
        <f>[1]Raw_Data!F1983</f>
        <v>4536.84</v>
      </c>
      <c r="G1985" s="4">
        <f>[1]Raw_Data!G1983</f>
        <v>0.12</v>
      </c>
      <c r="H1985" s="3">
        <f>[1]Raw_Data!H1983</f>
        <v>5</v>
      </c>
      <c r="I1985" s="3" t="str">
        <f>TRIM([1]Raw_Data!I1983)</f>
        <v>UK</v>
      </c>
      <c r="J1985" s="3" t="str">
        <f>TRIM([1]Raw_Data!J1983)</f>
        <v>Amazon</v>
      </c>
      <c r="K1985" s="3">
        <f t="shared" si="120"/>
        <v>2022</v>
      </c>
      <c r="L1985" s="6">
        <f t="shared" si="121"/>
        <v>44682</v>
      </c>
      <c r="M1985" s="3" t="str">
        <f t="shared" si="122"/>
        <v>11% to 15%</v>
      </c>
      <c r="N1985" s="3" t="str">
        <f t="shared" si="123"/>
        <v>OK</v>
      </c>
    </row>
    <row r="1986" spans="1:14" x14ac:dyDescent="0.3">
      <c r="A1986" s="2">
        <f>DATE(VALUE(RIGHT(TRIM([1]Raw_Data!A1984),4)),VALUE(MID(TRIM([1]Raw_Data!A1984),4,2)),VALUE(LEFT(TRIM([1]Raw_Data!A1984),2)))</f>
        <v>44697</v>
      </c>
      <c r="B1986" s="3" t="str">
        <f>TRIM([1]Raw_Data!B1984)</f>
        <v>Iron Supplement</v>
      </c>
      <c r="C1986" s="3" t="str">
        <f>TRIM([1]Raw_Data!C1984)</f>
        <v>Mineral</v>
      </c>
      <c r="D1986" s="3">
        <f>[1]Raw_Data!D1984</f>
        <v>139</v>
      </c>
      <c r="E1986" s="4">
        <f>[1]Raw_Data!E1984</f>
        <v>24.59</v>
      </c>
      <c r="F1986" s="5">
        <f>[1]Raw_Data!F1984</f>
        <v>3418.01</v>
      </c>
      <c r="G1986" s="4">
        <f>[1]Raw_Data!G1984</f>
        <v>0.19</v>
      </c>
      <c r="H1986" s="3">
        <f>[1]Raw_Data!H1984</f>
        <v>2</v>
      </c>
      <c r="I1986" s="3" t="str">
        <f>TRIM([1]Raw_Data!I1984)</f>
        <v>Canada</v>
      </c>
      <c r="J1986" s="3" t="str">
        <f>TRIM([1]Raw_Data!J1984)</f>
        <v>Amazon</v>
      </c>
      <c r="K1986" s="3">
        <f t="shared" si="120"/>
        <v>2022</v>
      </c>
      <c r="L1986" s="6">
        <f t="shared" si="121"/>
        <v>44682</v>
      </c>
      <c r="M1986" s="3" t="str">
        <f t="shared" si="122"/>
        <v>16% to 20%</v>
      </c>
      <c r="N1986" s="3" t="str">
        <f t="shared" si="123"/>
        <v>OK</v>
      </c>
    </row>
    <row r="1987" spans="1:14" x14ac:dyDescent="0.3">
      <c r="A1987" s="2">
        <f>DATE(VALUE(RIGHT(TRIM([1]Raw_Data!A1985),4)),VALUE(MID(TRIM([1]Raw_Data!A1985),4,2)),VALUE(LEFT(TRIM([1]Raw_Data!A1985),2)))</f>
        <v>44697</v>
      </c>
      <c r="B1987" s="3" t="str">
        <f>TRIM([1]Raw_Data!B1985)</f>
        <v>Electrolyte Powder</v>
      </c>
      <c r="C1987" s="3" t="str">
        <f>TRIM([1]Raw_Data!C1985)</f>
        <v>Hydration</v>
      </c>
      <c r="D1987" s="3">
        <f>[1]Raw_Data!D1985</f>
        <v>142</v>
      </c>
      <c r="E1987" s="4">
        <f>[1]Raw_Data!E1985</f>
        <v>10.57</v>
      </c>
      <c r="F1987" s="5">
        <f>[1]Raw_Data!F1985</f>
        <v>1500.94</v>
      </c>
      <c r="G1987" s="4">
        <f>[1]Raw_Data!G1985</f>
        <v>0.11</v>
      </c>
      <c r="H1987" s="3">
        <f>[1]Raw_Data!H1985</f>
        <v>1</v>
      </c>
      <c r="I1987" s="3" t="str">
        <f>TRIM([1]Raw_Data!I1985)</f>
        <v>USA</v>
      </c>
      <c r="J1987" s="3" t="str">
        <f>TRIM([1]Raw_Data!J1985)</f>
        <v>Walmart</v>
      </c>
      <c r="K1987" s="3">
        <f t="shared" si="120"/>
        <v>2022</v>
      </c>
      <c r="L1987" s="6">
        <f t="shared" si="121"/>
        <v>44682</v>
      </c>
      <c r="M1987" s="3" t="str">
        <f t="shared" si="122"/>
        <v>11% to 15%</v>
      </c>
      <c r="N1987" s="3" t="str">
        <f t="shared" si="123"/>
        <v>OK</v>
      </c>
    </row>
    <row r="1988" spans="1:14" x14ac:dyDescent="0.3">
      <c r="A1988" s="2">
        <f>DATE(VALUE(RIGHT(TRIM([1]Raw_Data!A1986),4)),VALUE(MID(TRIM([1]Raw_Data!A1986),4,2)),VALUE(LEFT(TRIM([1]Raw_Data!A1986),2)))</f>
        <v>44704</v>
      </c>
      <c r="B1988" s="3" t="str">
        <f>TRIM([1]Raw_Data!B1986)</f>
        <v>Whey Protein</v>
      </c>
      <c r="C1988" s="3" t="str">
        <f>TRIM([1]Raw_Data!C1986)</f>
        <v>Protein</v>
      </c>
      <c r="D1988" s="3">
        <f>[1]Raw_Data!D1986</f>
        <v>141</v>
      </c>
      <c r="E1988" s="4">
        <f>[1]Raw_Data!E1986</f>
        <v>34.549999999999997</v>
      </c>
      <c r="F1988" s="5">
        <f>[1]Raw_Data!F1986</f>
        <v>4871.55</v>
      </c>
      <c r="G1988" s="4">
        <f>[1]Raw_Data!G1986</f>
        <v>0.15</v>
      </c>
      <c r="H1988" s="3">
        <f>[1]Raw_Data!H1986</f>
        <v>0</v>
      </c>
      <c r="I1988" s="3" t="str">
        <f>TRIM([1]Raw_Data!I1986)</f>
        <v>Canada</v>
      </c>
      <c r="J1988" s="3" t="str">
        <f>TRIM([1]Raw_Data!J1986)</f>
        <v>iHerb</v>
      </c>
      <c r="K1988" s="3">
        <f t="shared" ref="K1988:K2051" si="124">YEAR(A1988)</f>
        <v>2022</v>
      </c>
      <c r="L1988" s="6">
        <f t="shared" ref="L1988:L2051" si="125">DATE(YEAR(A1988),MONTH(A1988),1)</f>
        <v>44682</v>
      </c>
      <c r="M1988" s="3" t="str">
        <f t="shared" ref="M1988:M2051" si="126">IF(ROUND(G1988*100,0)&lt;=5,"0% to 5%",IF(ROUND(G1988*100,0)&lt;=10,"6% to 10%",IF(ROUND(G1988*100,0)&lt;=15,"11% to 15%",IF(ROUND(G1988*100,0)&lt;=20,"16% to 20%","21% to 25%"))))</f>
        <v>11% to 15%</v>
      </c>
      <c r="N1988" s="3" t="str">
        <f t="shared" ref="N1988:N2051" si="127">IF(ROUND(D1988*E1988,2)=ROUND(F1988,2),"OK","Check")</f>
        <v>OK</v>
      </c>
    </row>
    <row r="1989" spans="1:14" x14ac:dyDescent="0.3">
      <c r="A1989" s="2">
        <f>DATE(VALUE(RIGHT(TRIM([1]Raw_Data!A1987),4)),VALUE(MID(TRIM([1]Raw_Data!A1987),4,2)),VALUE(LEFT(TRIM([1]Raw_Data!A1987),2)))</f>
        <v>44704</v>
      </c>
      <c r="B1989" s="3" t="str">
        <f>TRIM([1]Raw_Data!B1987)</f>
        <v>Vitamin C</v>
      </c>
      <c r="C1989" s="3" t="str">
        <f>TRIM([1]Raw_Data!C1987)</f>
        <v>Vitamin</v>
      </c>
      <c r="D1989" s="3">
        <f>[1]Raw_Data!D1987</f>
        <v>146</v>
      </c>
      <c r="E1989" s="4">
        <f>[1]Raw_Data!E1987</f>
        <v>39.479999999999997</v>
      </c>
      <c r="F1989" s="5">
        <f>[1]Raw_Data!F1987</f>
        <v>5764.08</v>
      </c>
      <c r="G1989" s="4">
        <f>[1]Raw_Data!G1987</f>
        <v>0.09</v>
      </c>
      <c r="H1989" s="3">
        <f>[1]Raw_Data!H1987</f>
        <v>2</v>
      </c>
      <c r="I1989" s="3" t="str">
        <f>TRIM([1]Raw_Data!I1987)</f>
        <v>UK</v>
      </c>
      <c r="J1989" s="3" t="str">
        <f>TRIM([1]Raw_Data!J1987)</f>
        <v>Walmart</v>
      </c>
      <c r="K1989" s="3">
        <f t="shared" si="124"/>
        <v>2022</v>
      </c>
      <c r="L1989" s="6">
        <f t="shared" si="125"/>
        <v>44682</v>
      </c>
      <c r="M1989" s="3" t="str">
        <f t="shared" si="126"/>
        <v>6% to 10%</v>
      </c>
      <c r="N1989" s="3" t="str">
        <f t="shared" si="127"/>
        <v>OK</v>
      </c>
    </row>
    <row r="1990" spans="1:14" x14ac:dyDescent="0.3">
      <c r="A1990" s="2">
        <f>DATE(VALUE(RIGHT(TRIM([1]Raw_Data!A1988),4)),VALUE(MID(TRIM([1]Raw_Data!A1988),4,2)),VALUE(LEFT(TRIM([1]Raw_Data!A1988),2)))</f>
        <v>44704</v>
      </c>
      <c r="B1990" s="3" t="str">
        <f>TRIM([1]Raw_Data!B1988)</f>
        <v>Fish Oil</v>
      </c>
      <c r="C1990" s="3" t="str">
        <f>TRIM([1]Raw_Data!C1988)</f>
        <v>Omega</v>
      </c>
      <c r="D1990" s="3">
        <f>[1]Raw_Data!D1988</f>
        <v>170</v>
      </c>
      <c r="E1990" s="4">
        <f>[1]Raw_Data!E1988</f>
        <v>35.26</v>
      </c>
      <c r="F1990" s="5">
        <f>[1]Raw_Data!F1988</f>
        <v>5994.2</v>
      </c>
      <c r="G1990" s="4">
        <f>[1]Raw_Data!G1988</f>
        <v>0.24</v>
      </c>
      <c r="H1990" s="3">
        <f>[1]Raw_Data!H1988</f>
        <v>0</v>
      </c>
      <c r="I1990" s="3" t="str">
        <f>TRIM([1]Raw_Data!I1988)</f>
        <v>USA</v>
      </c>
      <c r="J1990" s="3" t="str">
        <f>TRIM([1]Raw_Data!J1988)</f>
        <v>Walmart</v>
      </c>
      <c r="K1990" s="3">
        <f t="shared" si="124"/>
        <v>2022</v>
      </c>
      <c r="L1990" s="6">
        <f t="shared" si="125"/>
        <v>44682</v>
      </c>
      <c r="M1990" s="3" t="str">
        <f t="shared" si="126"/>
        <v>21% to 25%</v>
      </c>
      <c r="N1990" s="3" t="str">
        <f t="shared" si="127"/>
        <v>OK</v>
      </c>
    </row>
    <row r="1991" spans="1:14" x14ac:dyDescent="0.3">
      <c r="A1991" s="2">
        <f>DATE(VALUE(RIGHT(TRIM([1]Raw_Data!A1989),4)),VALUE(MID(TRIM([1]Raw_Data!A1989),4,2)),VALUE(LEFT(TRIM([1]Raw_Data!A1989),2)))</f>
        <v>44704</v>
      </c>
      <c r="B1991" s="3" t="str">
        <f>TRIM([1]Raw_Data!B1989)</f>
        <v>Multivitamin</v>
      </c>
      <c r="C1991" s="3" t="str">
        <f>TRIM([1]Raw_Data!C1989)</f>
        <v>Vitamin</v>
      </c>
      <c r="D1991" s="3">
        <f>[1]Raw_Data!D1989</f>
        <v>158</v>
      </c>
      <c r="E1991" s="4">
        <f>[1]Raw_Data!E1989</f>
        <v>43.98</v>
      </c>
      <c r="F1991" s="5">
        <f>[1]Raw_Data!F1989</f>
        <v>6948.84</v>
      </c>
      <c r="G1991" s="4">
        <f>[1]Raw_Data!G1989</f>
        <v>0.09</v>
      </c>
      <c r="H1991" s="3">
        <f>[1]Raw_Data!H1989</f>
        <v>1</v>
      </c>
      <c r="I1991" s="3" t="str">
        <f>TRIM([1]Raw_Data!I1989)</f>
        <v>USA</v>
      </c>
      <c r="J1991" s="3" t="str">
        <f>TRIM([1]Raw_Data!J1989)</f>
        <v>Walmart</v>
      </c>
      <c r="K1991" s="3">
        <f t="shared" si="124"/>
        <v>2022</v>
      </c>
      <c r="L1991" s="6">
        <f t="shared" si="125"/>
        <v>44682</v>
      </c>
      <c r="M1991" s="3" t="str">
        <f t="shared" si="126"/>
        <v>6% to 10%</v>
      </c>
      <c r="N1991" s="3" t="str">
        <f t="shared" si="127"/>
        <v>OK</v>
      </c>
    </row>
    <row r="1992" spans="1:14" x14ac:dyDescent="0.3">
      <c r="A1992" s="2">
        <f>DATE(VALUE(RIGHT(TRIM([1]Raw_Data!A1990),4)),VALUE(MID(TRIM([1]Raw_Data!A1990),4,2)),VALUE(LEFT(TRIM([1]Raw_Data!A1990),2)))</f>
        <v>44704</v>
      </c>
      <c r="B1992" s="3" t="str">
        <f>TRIM([1]Raw_Data!B1990)</f>
        <v>Pre-Workout</v>
      </c>
      <c r="C1992" s="3" t="str">
        <f>TRIM([1]Raw_Data!C1990)</f>
        <v>Performance</v>
      </c>
      <c r="D1992" s="3">
        <f>[1]Raw_Data!D1990</f>
        <v>157</v>
      </c>
      <c r="E1992" s="4">
        <f>[1]Raw_Data!E1990</f>
        <v>30.98</v>
      </c>
      <c r="F1992" s="5">
        <f>[1]Raw_Data!F1990</f>
        <v>4863.8599999999997</v>
      </c>
      <c r="G1992" s="4">
        <f>[1]Raw_Data!G1990</f>
        <v>0.05</v>
      </c>
      <c r="H1992" s="3">
        <f>[1]Raw_Data!H1990</f>
        <v>0</v>
      </c>
      <c r="I1992" s="3" t="str">
        <f>TRIM([1]Raw_Data!I1990)</f>
        <v>USA</v>
      </c>
      <c r="J1992" s="3" t="str">
        <f>TRIM([1]Raw_Data!J1990)</f>
        <v>Amazon</v>
      </c>
      <c r="K1992" s="3">
        <f t="shared" si="124"/>
        <v>2022</v>
      </c>
      <c r="L1992" s="6">
        <f t="shared" si="125"/>
        <v>44682</v>
      </c>
      <c r="M1992" s="3" t="str">
        <f t="shared" si="126"/>
        <v>0% to 5%</v>
      </c>
      <c r="N1992" s="3" t="str">
        <f t="shared" si="127"/>
        <v>OK</v>
      </c>
    </row>
    <row r="1993" spans="1:14" x14ac:dyDescent="0.3">
      <c r="A1993" s="2">
        <f>DATE(VALUE(RIGHT(TRIM([1]Raw_Data!A1991),4)),VALUE(MID(TRIM([1]Raw_Data!A1991),4,2)),VALUE(LEFT(TRIM([1]Raw_Data!A1991),2)))</f>
        <v>44704</v>
      </c>
      <c r="B1993" s="3" t="str">
        <f>TRIM([1]Raw_Data!B1991)</f>
        <v>BCAA</v>
      </c>
      <c r="C1993" s="3" t="str">
        <f>TRIM([1]Raw_Data!C1991)</f>
        <v>Amino Acid</v>
      </c>
      <c r="D1993" s="3">
        <f>[1]Raw_Data!D1991</f>
        <v>187</v>
      </c>
      <c r="E1993" s="4">
        <f>[1]Raw_Data!E1991</f>
        <v>39.369999999999997</v>
      </c>
      <c r="F1993" s="5">
        <f>[1]Raw_Data!F1991</f>
        <v>7362.19</v>
      </c>
      <c r="G1993" s="4">
        <f>[1]Raw_Data!G1991</f>
        <v>0.05</v>
      </c>
      <c r="H1993" s="3">
        <f>[1]Raw_Data!H1991</f>
        <v>3</v>
      </c>
      <c r="I1993" s="3" t="str">
        <f>TRIM([1]Raw_Data!I1991)</f>
        <v>USA</v>
      </c>
      <c r="J1993" s="3" t="str">
        <f>TRIM([1]Raw_Data!J1991)</f>
        <v>Walmart</v>
      </c>
      <c r="K1993" s="3">
        <f t="shared" si="124"/>
        <v>2022</v>
      </c>
      <c r="L1993" s="6">
        <f t="shared" si="125"/>
        <v>44682</v>
      </c>
      <c r="M1993" s="3" t="str">
        <f t="shared" si="126"/>
        <v>0% to 5%</v>
      </c>
      <c r="N1993" s="3" t="str">
        <f t="shared" si="127"/>
        <v>OK</v>
      </c>
    </row>
    <row r="1994" spans="1:14" x14ac:dyDescent="0.3">
      <c r="A1994" s="2">
        <f>DATE(VALUE(RIGHT(TRIM([1]Raw_Data!A1992),4)),VALUE(MID(TRIM([1]Raw_Data!A1992),4,2)),VALUE(LEFT(TRIM([1]Raw_Data!A1992),2)))</f>
        <v>44704</v>
      </c>
      <c r="B1994" s="3" t="str">
        <f>TRIM([1]Raw_Data!B1992)</f>
        <v>Creatine</v>
      </c>
      <c r="C1994" s="3" t="str">
        <f>TRIM([1]Raw_Data!C1992)</f>
        <v>Performance</v>
      </c>
      <c r="D1994" s="3">
        <f>[1]Raw_Data!D1992</f>
        <v>161</v>
      </c>
      <c r="E1994" s="4">
        <f>[1]Raw_Data!E1992</f>
        <v>55.6</v>
      </c>
      <c r="F1994" s="5">
        <f>[1]Raw_Data!F1992</f>
        <v>8951.6</v>
      </c>
      <c r="G1994" s="4">
        <f>[1]Raw_Data!G1992</f>
        <v>0.05</v>
      </c>
      <c r="H1994" s="3">
        <f>[1]Raw_Data!H1992</f>
        <v>2</v>
      </c>
      <c r="I1994" s="3" t="str">
        <f>TRIM([1]Raw_Data!I1992)</f>
        <v>UK</v>
      </c>
      <c r="J1994" s="3" t="str">
        <f>TRIM([1]Raw_Data!J1992)</f>
        <v>Amazon</v>
      </c>
      <c r="K1994" s="3">
        <f t="shared" si="124"/>
        <v>2022</v>
      </c>
      <c r="L1994" s="6">
        <f t="shared" si="125"/>
        <v>44682</v>
      </c>
      <c r="M1994" s="3" t="str">
        <f t="shared" si="126"/>
        <v>0% to 5%</v>
      </c>
      <c r="N1994" s="3" t="str">
        <f t="shared" si="127"/>
        <v>OK</v>
      </c>
    </row>
    <row r="1995" spans="1:14" x14ac:dyDescent="0.3">
      <c r="A1995" s="2">
        <f>DATE(VALUE(RIGHT(TRIM([1]Raw_Data!A1993),4)),VALUE(MID(TRIM([1]Raw_Data!A1993),4,2)),VALUE(LEFT(TRIM([1]Raw_Data!A1993),2)))</f>
        <v>44704</v>
      </c>
      <c r="B1995" s="3" t="str">
        <f>TRIM([1]Raw_Data!B1993)</f>
        <v>Zinc</v>
      </c>
      <c r="C1995" s="3" t="str">
        <f>TRIM([1]Raw_Data!C1993)</f>
        <v>Mineral</v>
      </c>
      <c r="D1995" s="3">
        <f>[1]Raw_Data!D1993</f>
        <v>180</v>
      </c>
      <c r="E1995" s="4">
        <f>[1]Raw_Data!E1993</f>
        <v>15.28</v>
      </c>
      <c r="F1995" s="5">
        <f>[1]Raw_Data!F1993</f>
        <v>2750.4</v>
      </c>
      <c r="G1995" s="4">
        <f>[1]Raw_Data!G1993</f>
        <v>0.05</v>
      </c>
      <c r="H1995" s="3">
        <f>[1]Raw_Data!H1993</f>
        <v>2</v>
      </c>
      <c r="I1995" s="3" t="str">
        <f>TRIM([1]Raw_Data!I1993)</f>
        <v>Canada</v>
      </c>
      <c r="J1995" s="3" t="str">
        <f>TRIM([1]Raw_Data!J1993)</f>
        <v>Amazon</v>
      </c>
      <c r="K1995" s="3">
        <f t="shared" si="124"/>
        <v>2022</v>
      </c>
      <c r="L1995" s="6">
        <f t="shared" si="125"/>
        <v>44682</v>
      </c>
      <c r="M1995" s="3" t="str">
        <f t="shared" si="126"/>
        <v>0% to 5%</v>
      </c>
      <c r="N1995" s="3" t="str">
        <f t="shared" si="127"/>
        <v>OK</v>
      </c>
    </row>
    <row r="1996" spans="1:14" x14ac:dyDescent="0.3">
      <c r="A1996" s="2">
        <f>DATE(VALUE(RIGHT(TRIM([1]Raw_Data!A1994),4)),VALUE(MID(TRIM([1]Raw_Data!A1994),4,2)),VALUE(LEFT(TRIM([1]Raw_Data!A1994),2)))</f>
        <v>44704</v>
      </c>
      <c r="B1996" s="3" t="str">
        <f>TRIM([1]Raw_Data!B1994)</f>
        <v>Collagen Peptides</v>
      </c>
      <c r="C1996" s="3" t="str">
        <f>TRIM([1]Raw_Data!C1994)</f>
        <v>Protein</v>
      </c>
      <c r="D1996" s="3">
        <f>[1]Raw_Data!D1994</f>
        <v>161</v>
      </c>
      <c r="E1996" s="4">
        <f>[1]Raw_Data!E1994</f>
        <v>42.99</v>
      </c>
      <c r="F1996" s="5">
        <f>[1]Raw_Data!F1994</f>
        <v>6921.39</v>
      </c>
      <c r="G1996" s="4">
        <f>[1]Raw_Data!G1994</f>
        <v>0.08</v>
      </c>
      <c r="H1996" s="3">
        <f>[1]Raw_Data!H1994</f>
        <v>1</v>
      </c>
      <c r="I1996" s="3" t="str">
        <f>TRIM([1]Raw_Data!I1994)</f>
        <v>Canada</v>
      </c>
      <c r="J1996" s="3" t="str">
        <f>TRIM([1]Raw_Data!J1994)</f>
        <v>iHerb</v>
      </c>
      <c r="K1996" s="3">
        <f t="shared" si="124"/>
        <v>2022</v>
      </c>
      <c r="L1996" s="6">
        <f t="shared" si="125"/>
        <v>44682</v>
      </c>
      <c r="M1996" s="3" t="str">
        <f t="shared" si="126"/>
        <v>6% to 10%</v>
      </c>
      <c r="N1996" s="3" t="str">
        <f t="shared" si="127"/>
        <v>OK</v>
      </c>
    </row>
    <row r="1997" spans="1:14" x14ac:dyDescent="0.3">
      <c r="A1997" s="2">
        <f>DATE(VALUE(RIGHT(TRIM([1]Raw_Data!A1995),4)),VALUE(MID(TRIM([1]Raw_Data!A1995),4,2)),VALUE(LEFT(TRIM([1]Raw_Data!A1995),2)))</f>
        <v>44704</v>
      </c>
      <c r="B1997" s="3" t="str">
        <f>TRIM([1]Raw_Data!B1995)</f>
        <v>Magnesium</v>
      </c>
      <c r="C1997" s="3" t="str">
        <f>TRIM([1]Raw_Data!C1995)</f>
        <v>Mineral</v>
      </c>
      <c r="D1997" s="3">
        <f>[1]Raw_Data!D1995</f>
        <v>156</v>
      </c>
      <c r="E1997" s="4">
        <f>[1]Raw_Data!E1995</f>
        <v>50.6</v>
      </c>
      <c r="F1997" s="5">
        <f>[1]Raw_Data!F1995</f>
        <v>7893.6</v>
      </c>
      <c r="G1997" s="4">
        <f>[1]Raw_Data!G1995</f>
        <v>0.04</v>
      </c>
      <c r="H1997" s="3">
        <f>[1]Raw_Data!H1995</f>
        <v>2</v>
      </c>
      <c r="I1997" s="3" t="str">
        <f>TRIM([1]Raw_Data!I1995)</f>
        <v>Canada</v>
      </c>
      <c r="J1997" s="3" t="str">
        <f>TRIM([1]Raw_Data!J1995)</f>
        <v>Amazon</v>
      </c>
      <c r="K1997" s="3">
        <f t="shared" si="124"/>
        <v>2022</v>
      </c>
      <c r="L1997" s="6">
        <f t="shared" si="125"/>
        <v>44682</v>
      </c>
      <c r="M1997" s="3" t="str">
        <f t="shared" si="126"/>
        <v>0% to 5%</v>
      </c>
      <c r="N1997" s="3" t="str">
        <f t="shared" si="127"/>
        <v>OK</v>
      </c>
    </row>
    <row r="1998" spans="1:14" x14ac:dyDescent="0.3">
      <c r="A1998" s="2">
        <f>DATE(VALUE(RIGHT(TRIM([1]Raw_Data!A1996),4)),VALUE(MID(TRIM([1]Raw_Data!A1996),4,2)),VALUE(LEFT(TRIM([1]Raw_Data!A1996),2)))</f>
        <v>44704</v>
      </c>
      <c r="B1998" s="3" t="str">
        <f>TRIM([1]Raw_Data!B1996)</f>
        <v>Ashwagandha</v>
      </c>
      <c r="C1998" s="3" t="str">
        <f>TRIM([1]Raw_Data!C1996)</f>
        <v>Herbal</v>
      </c>
      <c r="D1998" s="3">
        <f>[1]Raw_Data!D1996</f>
        <v>126</v>
      </c>
      <c r="E1998" s="4">
        <f>[1]Raw_Data!E1996</f>
        <v>42.81</v>
      </c>
      <c r="F1998" s="5">
        <f>[1]Raw_Data!F1996</f>
        <v>5394.06</v>
      </c>
      <c r="G1998" s="4">
        <f>[1]Raw_Data!G1996</f>
        <v>0.21</v>
      </c>
      <c r="H1998" s="3">
        <f>[1]Raw_Data!H1996</f>
        <v>0</v>
      </c>
      <c r="I1998" s="3" t="str">
        <f>TRIM([1]Raw_Data!I1996)</f>
        <v>UK</v>
      </c>
      <c r="J1998" s="3" t="str">
        <f>TRIM([1]Raw_Data!J1996)</f>
        <v>iHerb</v>
      </c>
      <c r="K1998" s="3">
        <f t="shared" si="124"/>
        <v>2022</v>
      </c>
      <c r="L1998" s="6">
        <f t="shared" si="125"/>
        <v>44682</v>
      </c>
      <c r="M1998" s="3" t="str">
        <f t="shared" si="126"/>
        <v>21% to 25%</v>
      </c>
      <c r="N1998" s="3" t="str">
        <f t="shared" si="127"/>
        <v>OK</v>
      </c>
    </row>
    <row r="1999" spans="1:14" x14ac:dyDescent="0.3">
      <c r="A1999" s="2">
        <f>DATE(VALUE(RIGHT(TRIM([1]Raw_Data!A1997),4)),VALUE(MID(TRIM([1]Raw_Data!A1997),4,2)),VALUE(LEFT(TRIM([1]Raw_Data!A1997),2)))</f>
        <v>44704</v>
      </c>
      <c r="B1999" s="3" t="str">
        <f>TRIM([1]Raw_Data!B1997)</f>
        <v>Melatonin</v>
      </c>
      <c r="C1999" s="3" t="str">
        <f>TRIM([1]Raw_Data!C1997)</f>
        <v>Sleep Aid</v>
      </c>
      <c r="D1999" s="3">
        <f>[1]Raw_Data!D1997</f>
        <v>144</v>
      </c>
      <c r="E1999" s="4">
        <f>[1]Raw_Data!E1997</f>
        <v>20.58</v>
      </c>
      <c r="F1999" s="5">
        <f>[1]Raw_Data!F1997</f>
        <v>2963.52</v>
      </c>
      <c r="G1999" s="4">
        <f>[1]Raw_Data!G1997</f>
        <v>0.2</v>
      </c>
      <c r="H1999" s="3">
        <f>[1]Raw_Data!H1997</f>
        <v>2</v>
      </c>
      <c r="I1999" s="3" t="str">
        <f>TRIM([1]Raw_Data!I1997)</f>
        <v>USA</v>
      </c>
      <c r="J1999" s="3" t="str">
        <f>TRIM([1]Raw_Data!J1997)</f>
        <v>Walmart</v>
      </c>
      <c r="K1999" s="3">
        <f t="shared" si="124"/>
        <v>2022</v>
      </c>
      <c r="L1999" s="6">
        <f t="shared" si="125"/>
        <v>44682</v>
      </c>
      <c r="M1999" s="3" t="str">
        <f t="shared" si="126"/>
        <v>16% to 20%</v>
      </c>
      <c r="N1999" s="3" t="str">
        <f t="shared" si="127"/>
        <v>OK</v>
      </c>
    </row>
    <row r="2000" spans="1:14" x14ac:dyDescent="0.3">
      <c r="A2000" s="2">
        <f>DATE(VALUE(RIGHT(TRIM([1]Raw_Data!A1998),4)),VALUE(MID(TRIM([1]Raw_Data!A1998),4,2)),VALUE(LEFT(TRIM([1]Raw_Data!A1998),2)))</f>
        <v>44704</v>
      </c>
      <c r="B2000" s="3" t="str">
        <f>TRIM([1]Raw_Data!B1998)</f>
        <v>Biotin</v>
      </c>
      <c r="C2000" s="3" t="str">
        <f>TRIM([1]Raw_Data!C1998)</f>
        <v>Vitamin</v>
      </c>
      <c r="D2000" s="3">
        <f>[1]Raw_Data!D1998</f>
        <v>135</v>
      </c>
      <c r="E2000" s="4">
        <f>[1]Raw_Data!E1998</f>
        <v>48.74</v>
      </c>
      <c r="F2000" s="5">
        <f>[1]Raw_Data!F1998</f>
        <v>6579.9</v>
      </c>
      <c r="G2000" s="4">
        <f>[1]Raw_Data!G1998</f>
        <v>0.08</v>
      </c>
      <c r="H2000" s="3">
        <f>[1]Raw_Data!H1998</f>
        <v>2</v>
      </c>
      <c r="I2000" s="3" t="str">
        <f>TRIM([1]Raw_Data!I1998)</f>
        <v>USA</v>
      </c>
      <c r="J2000" s="3" t="str">
        <f>TRIM([1]Raw_Data!J1998)</f>
        <v>iHerb</v>
      </c>
      <c r="K2000" s="3">
        <f t="shared" si="124"/>
        <v>2022</v>
      </c>
      <c r="L2000" s="6">
        <f t="shared" si="125"/>
        <v>44682</v>
      </c>
      <c r="M2000" s="3" t="str">
        <f t="shared" si="126"/>
        <v>6% to 10%</v>
      </c>
      <c r="N2000" s="3" t="str">
        <f t="shared" si="127"/>
        <v>OK</v>
      </c>
    </row>
    <row r="2001" spans="1:14" x14ac:dyDescent="0.3">
      <c r="A2001" s="2">
        <f>DATE(VALUE(RIGHT(TRIM([1]Raw_Data!A1999),4)),VALUE(MID(TRIM([1]Raw_Data!A1999),4,2)),VALUE(LEFT(TRIM([1]Raw_Data!A1999),2)))</f>
        <v>44704</v>
      </c>
      <c r="B2001" s="3" t="str">
        <f>TRIM([1]Raw_Data!B1999)</f>
        <v>Green Tea Extract</v>
      </c>
      <c r="C2001" s="3" t="str">
        <f>TRIM([1]Raw_Data!C1999)</f>
        <v>Fat Burner</v>
      </c>
      <c r="D2001" s="3">
        <f>[1]Raw_Data!D1999</f>
        <v>122</v>
      </c>
      <c r="E2001" s="4">
        <f>[1]Raw_Data!E1999</f>
        <v>17.63</v>
      </c>
      <c r="F2001" s="5">
        <f>[1]Raw_Data!F1999</f>
        <v>2150.86</v>
      </c>
      <c r="G2001" s="4">
        <f>[1]Raw_Data!G1999</f>
        <v>0.21</v>
      </c>
      <c r="H2001" s="3">
        <f>[1]Raw_Data!H1999</f>
        <v>1</v>
      </c>
      <c r="I2001" s="3" t="str">
        <f>TRIM([1]Raw_Data!I1999)</f>
        <v>Canada</v>
      </c>
      <c r="J2001" s="3" t="str">
        <f>TRIM([1]Raw_Data!J1999)</f>
        <v>Amazon</v>
      </c>
      <c r="K2001" s="3">
        <f t="shared" si="124"/>
        <v>2022</v>
      </c>
      <c r="L2001" s="6">
        <f t="shared" si="125"/>
        <v>44682</v>
      </c>
      <c r="M2001" s="3" t="str">
        <f t="shared" si="126"/>
        <v>21% to 25%</v>
      </c>
      <c r="N2001" s="3" t="str">
        <f t="shared" si="127"/>
        <v>OK</v>
      </c>
    </row>
    <row r="2002" spans="1:14" x14ac:dyDescent="0.3">
      <c r="A2002" s="2">
        <f>DATE(VALUE(RIGHT(TRIM([1]Raw_Data!A2000),4)),VALUE(MID(TRIM([1]Raw_Data!A2000),4,2)),VALUE(LEFT(TRIM([1]Raw_Data!A2000),2)))</f>
        <v>44704</v>
      </c>
      <c r="B2002" s="3" t="str">
        <f>TRIM([1]Raw_Data!B2000)</f>
        <v>Iron Supplement</v>
      </c>
      <c r="C2002" s="3" t="str">
        <f>TRIM([1]Raw_Data!C2000)</f>
        <v>Mineral</v>
      </c>
      <c r="D2002" s="3">
        <f>[1]Raw_Data!D2000</f>
        <v>142</v>
      </c>
      <c r="E2002" s="4">
        <f>[1]Raw_Data!E2000</f>
        <v>12.51</v>
      </c>
      <c r="F2002" s="5">
        <f>[1]Raw_Data!F2000</f>
        <v>1776.42</v>
      </c>
      <c r="G2002" s="4">
        <f>[1]Raw_Data!G2000</f>
        <v>0.1</v>
      </c>
      <c r="H2002" s="3">
        <f>[1]Raw_Data!H2000</f>
        <v>1</v>
      </c>
      <c r="I2002" s="3" t="str">
        <f>TRIM([1]Raw_Data!I2000)</f>
        <v>UK</v>
      </c>
      <c r="J2002" s="3" t="str">
        <f>TRIM([1]Raw_Data!J2000)</f>
        <v>iHerb</v>
      </c>
      <c r="K2002" s="3">
        <f t="shared" si="124"/>
        <v>2022</v>
      </c>
      <c r="L2002" s="6">
        <f t="shared" si="125"/>
        <v>44682</v>
      </c>
      <c r="M2002" s="3" t="str">
        <f t="shared" si="126"/>
        <v>6% to 10%</v>
      </c>
      <c r="N2002" s="3" t="str">
        <f t="shared" si="127"/>
        <v>OK</v>
      </c>
    </row>
    <row r="2003" spans="1:14" x14ac:dyDescent="0.3">
      <c r="A2003" s="2">
        <f>DATE(VALUE(RIGHT(TRIM([1]Raw_Data!A2001),4)),VALUE(MID(TRIM([1]Raw_Data!A2001),4,2)),VALUE(LEFT(TRIM([1]Raw_Data!A2001),2)))</f>
        <v>44704</v>
      </c>
      <c r="B2003" s="3" t="str">
        <f>TRIM([1]Raw_Data!B2001)</f>
        <v>Electrolyte Powder</v>
      </c>
      <c r="C2003" s="3" t="str">
        <f>TRIM([1]Raw_Data!C2001)</f>
        <v>Hydration</v>
      </c>
      <c r="D2003" s="3">
        <f>[1]Raw_Data!D2001</f>
        <v>142</v>
      </c>
      <c r="E2003" s="4">
        <f>[1]Raw_Data!E2001</f>
        <v>47.55</v>
      </c>
      <c r="F2003" s="5">
        <f>[1]Raw_Data!F2001</f>
        <v>6752.1</v>
      </c>
      <c r="G2003" s="4">
        <f>[1]Raw_Data!G2001</f>
        <v>0.02</v>
      </c>
      <c r="H2003" s="3">
        <f>[1]Raw_Data!H2001</f>
        <v>2</v>
      </c>
      <c r="I2003" s="3" t="str">
        <f>TRIM([1]Raw_Data!I2001)</f>
        <v>UK</v>
      </c>
      <c r="J2003" s="3" t="str">
        <f>TRIM([1]Raw_Data!J2001)</f>
        <v>iHerb</v>
      </c>
      <c r="K2003" s="3">
        <f t="shared" si="124"/>
        <v>2022</v>
      </c>
      <c r="L2003" s="6">
        <f t="shared" si="125"/>
        <v>44682</v>
      </c>
      <c r="M2003" s="3" t="str">
        <f t="shared" si="126"/>
        <v>0% to 5%</v>
      </c>
      <c r="N2003" s="3" t="str">
        <f t="shared" si="127"/>
        <v>OK</v>
      </c>
    </row>
    <row r="2004" spans="1:14" x14ac:dyDescent="0.3">
      <c r="A2004" s="2">
        <f>DATE(VALUE(RIGHT(TRIM([1]Raw_Data!A2002),4)),VALUE(MID(TRIM([1]Raw_Data!A2002),4,2)),VALUE(LEFT(TRIM([1]Raw_Data!A2002),2)))</f>
        <v>44711</v>
      </c>
      <c r="B2004" s="3" t="str">
        <f>TRIM([1]Raw_Data!B2002)</f>
        <v>Whey Protein</v>
      </c>
      <c r="C2004" s="3" t="str">
        <f>TRIM([1]Raw_Data!C2002)</f>
        <v>Protein</v>
      </c>
      <c r="D2004" s="3">
        <f>[1]Raw_Data!D2002</f>
        <v>151</v>
      </c>
      <c r="E2004" s="4">
        <f>[1]Raw_Data!E2002</f>
        <v>25.65</v>
      </c>
      <c r="F2004" s="5">
        <f>[1]Raw_Data!F2002</f>
        <v>3873.15</v>
      </c>
      <c r="G2004" s="4">
        <f>[1]Raw_Data!G2002</f>
        <v>0.14000000000000001</v>
      </c>
      <c r="H2004" s="3">
        <f>[1]Raw_Data!H2002</f>
        <v>1</v>
      </c>
      <c r="I2004" s="3" t="str">
        <f>TRIM([1]Raw_Data!I2002)</f>
        <v>UK</v>
      </c>
      <c r="J2004" s="3" t="str">
        <f>TRIM([1]Raw_Data!J2002)</f>
        <v>Amazon</v>
      </c>
      <c r="K2004" s="3">
        <f t="shared" si="124"/>
        <v>2022</v>
      </c>
      <c r="L2004" s="6">
        <f t="shared" si="125"/>
        <v>44682</v>
      </c>
      <c r="M2004" s="3" t="str">
        <f t="shared" si="126"/>
        <v>11% to 15%</v>
      </c>
      <c r="N2004" s="3" t="str">
        <f t="shared" si="127"/>
        <v>OK</v>
      </c>
    </row>
    <row r="2005" spans="1:14" x14ac:dyDescent="0.3">
      <c r="A2005" s="2">
        <f>DATE(VALUE(RIGHT(TRIM([1]Raw_Data!A2003),4)),VALUE(MID(TRIM([1]Raw_Data!A2003),4,2)),VALUE(LEFT(TRIM([1]Raw_Data!A2003),2)))</f>
        <v>44711</v>
      </c>
      <c r="B2005" s="3" t="str">
        <f>TRIM([1]Raw_Data!B2003)</f>
        <v>Vitamin C</v>
      </c>
      <c r="C2005" s="3" t="str">
        <f>TRIM([1]Raw_Data!C2003)</f>
        <v>Vitamin</v>
      </c>
      <c r="D2005" s="3">
        <f>[1]Raw_Data!D2003</f>
        <v>150</v>
      </c>
      <c r="E2005" s="4">
        <f>[1]Raw_Data!E2003</f>
        <v>20.28</v>
      </c>
      <c r="F2005" s="5">
        <f>[1]Raw_Data!F2003</f>
        <v>3042</v>
      </c>
      <c r="G2005" s="4">
        <f>[1]Raw_Data!G2003</f>
        <v>0.19</v>
      </c>
      <c r="H2005" s="3">
        <f>[1]Raw_Data!H2003</f>
        <v>1</v>
      </c>
      <c r="I2005" s="3" t="str">
        <f>TRIM([1]Raw_Data!I2003)</f>
        <v>UK</v>
      </c>
      <c r="J2005" s="3" t="str">
        <f>TRIM([1]Raw_Data!J2003)</f>
        <v>iHerb</v>
      </c>
      <c r="K2005" s="3">
        <f t="shared" si="124"/>
        <v>2022</v>
      </c>
      <c r="L2005" s="6">
        <f t="shared" si="125"/>
        <v>44682</v>
      </c>
      <c r="M2005" s="3" t="str">
        <f t="shared" si="126"/>
        <v>16% to 20%</v>
      </c>
      <c r="N2005" s="3" t="str">
        <f t="shared" si="127"/>
        <v>OK</v>
      </c>
    </row>
    <row r="2006" spans="1:14" x14ac:dyDescent="0.3">
      <c r="A2006" s="2">
        <f>DATE(VALUE(RIGHT(TRIM([1]Raw_Data!A2004),4)),VALUE(MID(TRIM([1]Raw_Data!A2004),4,2)),VALUE(LEFT(TRIM([1]Raw_Data!A2004),2)))</f>
        <v>44711</v>
      </c>
      <c r="B2006" s="3" t="str">
        <f>TRIM([1]Raw_Data!B2004)</f>
        <v>Fish Oil</v>
      </c>
      <c r="C2006" s="3" t="str">
        <f>TRIM([1]Raw_Data!C2004)</f>
        <v>Omega</v>
      </c>
      <c r="D2006" s="3">
        <f>[1]Raw_Data!D2004</f>
        <v>181</v>
      </c>
      <c r="E2006" s="4">
        <f>[1]Raw_Data!E2004</f>
        <v>44.14</v>
      </c>
      <c r="F2006" s="5">
        <f>[1]Raw_Data!F2004</f>
        <v>7989.34</v>
      </c>
      <c r="G2006" s="4">
        <f>[1]Raw_Data!G2004</f>
        <v>0.24</v>
      </c>
      <c r="H2006" s="3">
        <f>[1]Raw_Data!H2004</f>
        <v>2</v>
      </c>
      <c r="I2006" s="3" t="str">
        <f>TRIM([1]Raw_Data!I2004)</f>
        <v>USA</v>
      </c>
      <c r="J2006" s="3" t="str">
        <f>TRIM([1]Raw_Data!J2004)</f>
        <v>Amazon</v>
      </c>
      <c r="K2006" s="3">
        <f t="shared" si="124"/>
        <v>2022</v>
      </c>
      <c r="L2006" s="6">
        <f t="shared" si="125"/>
        <v>44682</v>
      </c>
      <c r="M2006" s="3" t="str">
        <f t="shared" si="126"/>
        <v>21% to 25%</v>
      </c>
      <c r="N2006" s="3" t="str">
        <f t="shared" si="127"/>
        <v>OK</v>
      </c>
    </row>
    <row r="2007" spans="1:14" x14ac:dyDescent="0.3">
      <c r="A2007" s="2">
        <f>DATE(VALUE(RIGHT(TRIM([1]Raw_Data!A2005),4)),VALUE(MID(TRIM([1]Raw_Data!A2005),4,2)),VALUE(LEFT(TRIM([1]Raw_Data!A2005),2)))</f>
        <v>44711</v>
      </c>
      <c r="B2007" s="3" t="str">
        <f>TRIM([1]Raw_Data!B2005)</f>
        <v>Multivitamin</v>
      </c>
      <c r="C2007" s="3" t="str">
        <f>TRIM([1]Raw_Data!C2005)</f>
        <v>Vitamin</v>
      </c>
      <c r="D2007" s="3">
        <f>[1]Raw_Data!D2005</f>
        <v>166</v>
      </c>
      <c r="E2007" s="4">
        <f>[1]Raw_Data!E2005</f>
        <v>28.01</v>
      </c>
      <c r="F2007" s="5">
        <f>[1]Raw_Data!F2005</f>
        <v>4649.66</v>
      </c>
      <c r="G2007" s="4">
        <f>[1]Raw_Data!G2005</f>
        <v>0.15</v>
      </c>
      <c r="H2007" s="3">
        <f>[1]Raw_Data!H2005</f>
        <v>0</v>
      </c>
      <c r="I2007" s="3" t="str">
        <f>TRIM([1]Raw_Data!I2005)</f>
        <v>UK</v>
      </c>
      <c r="J2007" s="3" t="str">
        <f>TRIM([1]Raw_Data!J2005)</f>
        <v>iHerb</v>
      </c>
      <c r="K2007" s="3">
        <f t="shared" si="124"/>
        <v>2022</v>
      </c>
      <c r="L2007" s="6">
        <f t="shared" si="125"/>
        <v>44682</v>
      </c>
      <c r="M2007" s="3" t="str">
        <f t="shared" si="126"/>
        <v>11% to 15%</v>
      </c>
      <c r="N2007" s="3" t="str">
        <f t="shared" si="127"/>
        <v>OK</v>
      </c>
    </row>
    <row r="2008" spans="1:14" x14ac:dyDescent="0.3">
      <c r="A2008" s="2">
        <f>DATE(VALUE(RIGHT(TRIM([1]Raw_Data!A2006),4)),VALUE(MID(TRIM([1]Raw_Data!A2006),4,2)),VALUE(LEFT(TRIM([1]Raw_Data!A2006),2)))</f>
        <v>44711</v>
      </c>
      <c r="B2008" s="3" t="str">
        <f>TRIM([1]Raw_Data!B2006)</f>
        <v>Pre-Workout</v>
      </c>
      <c r="C2008" s="3" t="str">
        <f>TRIM([1]Raw_Data!C2006)</f>
        <v>Performance</v>
      </c>
      <c r="D2008" s="3">
        <f>[1]Raw_Data!D2006</f>
        <v>151</v>
      </c>
      <c r="E2008" s="4">
        <f>[1]Raw_Data!E2006</f>
        <v>47.19</v>
      </c>
      <c r="F2008" s="5">
        <f>[1]Raw_Data!F2006</f>
        <v>7125.69</v>
      </c>
      <c r="G2008" s="4">
        <f>[1]Raw_Data!G2006</f>
        <v>0.13</v>
      </c>
      <c r="H2008" s="3">
        <f>[1]Raw_Data!H2006</f>
        <v>1</v>
      </c>
      <c r="I2008" s="3" t="str">
        <f>TRIM([1]Raw_Data!I2006)</f>
        <v>Canada</v>
      </c>
      <c r="J2008" s="3" t="str">
        <f>TRIM([1]Raw_Data!J2006)</f>
        <v>iHerb</v>
      </c>
      <c r="K2008" s="3">
        <f t="shared" si="124"/>
        <v>2022</v>
      </c>
      <c r="L2008" s="6">
        <f t="shared" si="125"/>
        <v>44682</v>
      </c>
      <c r="M2008" s="3" t="str">
        <f t="shared" si="126"/>
        <v>11% to 15%</v>
      </c>
      <c r="N2008" s="3" t="str">
        <f t="shared" si="127"/>
        <v>OK</v>
      </c>
    </row>
    <row r="2009" spans="1:14" x14ac:dyDescent="0.3">
      <c r="A2009" s="2">
        <f>DATE(VALUE(RIGHT(TRIM([1]Raw_Data!A2007),4)),VALUE(MID(TRIM([1]Raw_Data!A2007),4,2)),VALUE(LEFT(TRIM([1]Raw_Data!A2007),2)))</f>
        <v>44711</v>
      </c>
      <c r="B2009" s="3" t="str">
        <f>TRIM([1]Raw_Data!B2007)</f>
        <v>BCAA</v>
      </c>
      <c r="C2009" s="3" t="str">
        <f>TRIM([1]Raw_Data!C2007)</f>
        <v>Amino Acid</v>
      </c>
      <c r="D2009" s="3">
        <f>[1]Raw_Data!D2007</f>
        <v>127</v>
      </c>
      <c r="E2009" s="4">
        <f>[1]Raw_Data!E2007</f>
        <v>20.86</v>
      </c>
      <c r="F2009" s="5">
        <f>[1]Raw_Data!F2007</f>
        <v>2649.22</v>
      </c>
      <c r="G2009" s="4">
        <f>[1]Raw_Data!G2007</f>
        <v>0.24</v>
      </c>
      <c r="H2009" s="3">
        <f>[1]Raw_Data!H2007</f>
        <v>4</v>
      </c>
      <c r="I2009" s="3" t="str">
        <f>TRIM([1]Raw_Data!I2007)</f>
        <v>USA</v>
      </c>
      <c r="J2009" s="3" t="str">
        <f>TRIM([1]Raw_Data!J2007)</f>
        <v>Amazon</v>
      </c>
      <c r="K2009" s="3">
        <f t="shared" si="124"/>
        <v>2022</v>
      </c>
      <c r="L2009" s="6">
        <f t="shared" si="125"/>
        <v>44682</v>
      </c>
      <c r="M2009" s="3" t="str">
        <f t="shared" si="126"/>
        <v>21% to 25%</v>
      </c>
      <c r="N2009" s="3" t="str">
        <f t="shared" si="127"/>
        <v>OK</v>
      </c>
    </row>
    <row r="2010" spans="1:14" x14ac:dyDescent="0.3">
      <c r="A2010" s="2">
        <f>DATE(VALUE(RIGHT(TRIM([1]Raw_Data!A2008),4)),VALUE(MID(TRIM([1]Raw_Data!A2008),4,2)),VALUE(LEFT(TRIM([1]Raw_Data!A2008),2)))</f>
        <v>44711</v>
      </c>
      <c r="B2010" s="3" t="str">
        <f>TRIM([1]Raw_Data!B2008)</f>
        <v>Creatine</v>
      </c>
      <c r="C2010" s="3" t="str">
        <f>TRIM([1]Raw_Data!C2008)</f>
        <v>Performance</v>
      </c>
      <c r="D2010" s="3">
        <f>[1]Raw_Data!D2008</f>
        <v>156</v>
      </c>
      <c r="E2010" s="4">
        <f>[1]Raw_Data!E2008</f>
        <v>20.7</v>
      </c>
      <c r="F2010" s="5">
        <f>[1]Raw_Data!F2008</f>
        <v>3229.2</v>
      </c>
      <c r="G2010" s="4">
        <f>[1]Raw_Data!G2008</f>
        <v>0.24</v>
      </c>
      <c r="H2010" s="3">
        <f>[1]Raw_Data!H2008</f>
        <v>0</v>
      </c>
      <c r="I2010" s="3" t="str">
        <f>TRIM([1]Raw_Data!I2008)</f>
        <v>UK</v>
      </c>
      <c r="J2010" s="3" t="str">
        <f>TRIM([1]Raw_Data!J2008)</f>
        <v>Walmart</v>
      </c>
      <c r="K2010" s="3">
        <f t="shared" si="124"/>
        <v>2022</v>
      </c>
      <c r="L2010" s="6">
        <f t="shared" si="125"/>
        <v>44682</v>
      </c>
      <c r="M2010" s="3" t="str">
        <f t="shared" si="126"/>
        <v>21% to 25%</v>
      </c>
      <c r="N2010" s="3" t="str">
        <f t="shared" si="127"/>
        <v>OK</v>
      </c>
    </row>
    <row r="2011" spans="1:14" x14ac:dyDescent="0.3">
      <c r="A2011" s="2">
        <f>DATE(VALUE(RIGHT(TRIM([1]Raw_Data!A2009),4)),VALUE(MID(TRIM([1]Raw_Data!A2009),4,2)),VALUE(LEFT(TRIM([1]Raw_Data!A2009),2)))</f>
        <v>44711</v>
      </c>
      <c r="B2011" s="3" t="str">
        <f>TRIM([1]Raw_Data!B2009)</f>
        <v>Zinc</v>
      </c>
      <c r="C2011" s="3" t="str">
        <f>TRIM([1]Raw_Data!C2009)</f>
        <v>Mineral</v>
      </c>
      <c r="D2011" s="3">
        <f>[1]Raw_Data!D2009</f>
        <v>131</v>
      </c>
      <c r="E2011" s="4">
        <f>[1]Raw_Data!E2009</f>
        <v>38.659999999999997</v>
      </c>
      <c r="F2011" s="5">
        <f>[1]Raw_Data!F2009</f>
        <v>5064.46</v>
      </c>
      <c r="G2011" s="4">
        <f>[1]Raw_Data!G2009</f>
        <v>0.2</v>
      </c>
      <c r="H2011" s="3">
        <f>[1]Raw_Data!H2009</f>
        <v>1</v>
      </c>
      <c r="I2011" s="3" t="str">
        <f>TRIM([1]Raw_Data!I2009)</f>
        <v>UK</v>
      </c>
      <c r="J2011" s="3" t="str">
        <f>TRIM([1]Raw_Data!J2009)</f>
        <v>Amazon</v>
      </c>
      <c r="K2011" s="3">
        <f t="shared" si="124"/>
        <v>2022</v>
      </c>
      <c r="L2011" s="6">
        <f t="shared" si="125"/>
        <v>44682</v>
      </c>
      <c r="M2011" s="3" t="str">
        <f t="shared" si="126"/>
        <v>16% to 20%</v>
      </c>
      <c r="N2011" s="3" t="str">
        <f t="shared" si="127"/>
        <v>OK</v>
      </c>
    </row>
    <row r="2012" spans="1:14" x14ac:dyDescent="0.3">
      <c r="A2012" s="2">
        <f>DATE(VALUE(RIGHT(TRIM([1]Raw_Data!A2010),4)),VALUE(MID(TRIM([1]Raw_Data!A2010),4,2)),VALUE(LEFT(TRIM([1]Raw_Data!A2010),2)))</f>
        <v>44711</v>
      </c>
      <c r="B2012" s="3" t="str">
        <f>TRIM([1]Raw_Data!B2010)</f>
        <v>Collagen Peptides</v>
      </c>
      <c r="C2012" s="3" t="str">
        <f>TRIM([1]Raw_Data!C2010)</f>
        <v>Protein</v>
      </c>
      <c r="D2012" s="3">
        <f>[1]Raw_Data!D2010</f>
        <v>135</v>
      </c>
      <c r="E2012" s="4">
        <f>[1]Raw_Data!E2010</f>
        <v>43.95</v>
      </c>
      <c r="F2012" s="5">
        <f>[1]Raw_Data!F2010</f>
        <v>5933.25</v>
      </c>
      <c r="G2012" s="4">
        <f>[1]Raw_Data!G2010</f>
        <v>0.21</v>
      </c>
      <c r="H2012" s="3">
        <f>[1]Raw_Data!H2010</f>
        <v>1</v>
      </c>
      <c r="I2012" s="3" t="str">
        <f>TRIM([1]Raw_Data!I2010)</f>
        <v>USA</v>
      </c>
      <c r="J2012" s="3" t="str">
        <f>TRIM([1]Raw_Data!J2010)</f>
        <v>iHerb</v>
      </c>
      <c r="K2012" s="3">
        <f t="shared" si="124"/>
        <v>2022</v>
      </c>
      <c r="L2012" s="6">
        <f t="shared" si="125"/>
        <v>44682</v>
      </c>
      <c r="M2012" s="3" t="str">
        <f t="shared" si="126"/>
        <v>21% to 25%</v>
      </c>
      <c r="N2012" s="3" t="str">
        <f t="shared" si="127"/>
        <v>OK</v>
      </c>
    </row>
    <row r="2013" spans="1:14" x14ac:dyDescent="0.3">
      <c r="A2013" s="2">
        <f>DATE(VALUE(RIGHT(TRIM([1]Raw_Data!A2011),4)),VALUE(MID(TRIM([1]Raw_Data!A2011),4,2)),VALUE(LEFT(TRIM([1]Raw_Data!A2011),2)))</f>
        <v>44711</v>
      </c>
      <c r="B2013" s="3" t="str">
        <f>TRIM([1]Raw_Data!B2011)</f>
        <v>Magnesium</v>
      </c>
      <c r="C2013" s="3" t="str">
        <f>TRIM([1]Raw_Data!C2011)</f>
        <v>Mineral</v>
      </c>
      <c r="D2013" s="3">
        <f>[1]Raw_Data!D2011</f>
        <v>153</v>
      </c>
      <c r="E2013" s="4">
        <f>[1]Raw_Data!E2011</f>
        <v>42.3</v>
      </c>
      <c r="F2013" s="5">
        <f>[1]Raw_Data!F2011</f>
        <v>6471.9</v>
      </c>
      <c r="G2013" s="4">
        <f>[1]Raw_Data!G2011</f>
        <v>0.25</v>
      </c>
      <c r="H2013" s="3">
        <f>[1]Raw_Data!H2011</f>
        <v>0</v>
      </c>
      <c r="I2013" s="3" t="str">
        <f>TRIM([1]Raw_Data!I2011)</f>
        <v>USA</v>
      </c>
      <c r="J2013" s="3" t="str">
        <f>TRIM([1]Raw_Data!J2011)</f>
        <v>Amazon</v>
      </c>
      <c r="K2013" s="3">
        <f t="shared" si="124"/>
        <v>2022</v>
      </c>
      <c r="L2013" s="6">
        <f t="shared" si="125"/>
        <v>44682</v>
      </c>
      <c r="M2013" s="3" t="str">
        <f t="shared" si="126"/>
        <v>21% to 25%</v>
      </c>
      <c r="N2013" s="3" t="str">
        <f t="shared" si="127"/>
        <v>OK</v>
      </c>
    </row>
    <row r="2014" spans="1:14" x14ac:dyDescent="0.3">
      <c r="A2014" s="2">
        <f>DATE(VALUE(RIGHT(TRIM([1]Raw_Data!A2012),4)),VALUE(MID(TRIM([1]Raw_Data!A2012),4,2)),VALUE(LEFT(TRIM([1]Raw_Data!A2012),2)))</f>
        <v>44711</v>
      </c>
      <c r="B2014" s="3" t="str">
        <f>TRIM([1]Raw_Data!B2012)</f>
        <v>Ashwagandha</v>
      </c>
      <c r="C2014" s="3" t="str">
        <f>TRIM([1]Raw_Data!C2012)</f>
        <v>Herbal</v>
      </c>
      <c r="D2014" s="3">
        <f>[1]Raw_Data!D2012</f>
        <v>167</v>
      </c>
      <c r="E2014" s="4">
        <f>[1]Raw_Data!E2012</f>
        <v>22.6</v>
      </c>
      <c r="F2014" s="5">
        <f>[1]Raw_Data!F2012</f>
        <v>3774.2</v>
      </c>
      <c r="G2014" s="4">
        <f>[1]Raw_Data!G2012</f>
        <v>0.24</v>
      </c>
      <c r="H2014" s="3">
        <f>[1]Raw_Data!H2012</f>
        <v>1</v>
      </c>
      <c r="I2014" s="3" t="str">
        <f>TRIM([1]Raw_Data!I2012)</f>
        <v>USA</v>
      </c>
      <c r="J2014" s="3" t="str">
        <f>TRIM([1]Raw_Data!J2012)</f>
        <v>iHerb</v>
      </c>
      <c r="K2014" s="3">
        <f t="shared" si="124"/>
        <v>2022</v>
      </c>
      <c r="L2014" s="6">
        <f t="shared" si="125"/>
        <v>44682</v>
      </c>
      <c r="M2014" s="3" t="str">
        <f t="shared" si="126"/>
        <v>21% to 25%</v>
      </c>
      <c r="N2014" s="3" t="str">
        <f t="shared" si="127"/>
        <v>OK</v>
      </c>
    </row>
    <row r="2015" spans="1:14" x14ac:dyDescent="0.3">
      <c r="A2015" s="2">
        <f>DATE(VALUE(RIGHT(TRIM([1]Raw_Data!A2013),4)),VALUE(MID(TRIM([1]Raw_Data!A2013),4,2)),VALUE(LEFT(TRIM([1]Raw_Data!A2013),2)))</f>
        <v>44711</v>
      </c>
      <c r="B2015" s="3" t="str">
        <f>TRIM([1]Raw_Data!B2013)</f>
        <v>Melatonin</v>
      </c>
      <c r="C2015" s="3" t="str">
        <f>TRIM([1]Raw_Data!C2013)</f>
        <v>Sleep Aid</v>
      </c>
      <c r="D2015" s="3">
        <f>[1]Raw_Data!D2013</f>
        <v>144</v>
      </c>
      <c r="E2015" s="4">
        <f>[1]Raw_Data!E2013</f>
        <v>22.22</v>
      </c>
      <c r="F2015" s="5">
        <f>[1]Raw_Data!F2013</f>
        <v>3199.68</v>
      </c>
      <c r="G2015" s="4">
        <f>[1]Raw_Data!G2013</f>
        <v>0.21</v>
      </c>
      <c r="H2015" s="3">
        <f>[1]Raw_Data!H2013</f>
        <v>2</v>
      </c>
      <c r="I2015" s="3" t="str">
        <f>TRIM([1]Raw_Data!I2013)</f>
        <v>USA</v>
      </c>
      <c r="J2015" s="3" t="str">
        <f>TRIM([1]Raw_Data!J2013)</f>
        <v>iHerb</v>
      </c>
      <c r="K2015" s="3">
        <f t="shared" si="124"/>
        <v>2022</v>
      </c>
      <c r="L2015" s="6">
        <f t="shared" si="125"/>
        <v>44682</v>
      </c>
      <c r="M2015" s="3" t="str">
        <f t="shared" si="126"/>
        <v>21% to 25%</v>
      </c>
      <c r="N2015" s="3" t="str">
        <f t="shared" si="127"/>
        <v>OK</v>
      </c>
    </row>
    <row r="2016" spans="1:14" x14ac:dyDescent="0.3">
      <c r="A2016" s="2">
        <f>DATE(VALUE(RIGHT(TRIM([1]Raw_Data!A2014),4)),VALUE(MID(TRIM([1]Raw_Data!A2014),4,2)),VALUE(LEFT(TRIM([1]Raw_Data!A2014),2)))</f>
        <v>44711</v>
      </c>
      <c r="B2016" s="3" t="str">
        <f>TRIM([1]Raw_Data!B2014)</f>
        <v>Biotin</v>
      </c>
      <c r="C2016" s="3" t="str">
        <f>TRIM([1]Raw_Data!C2014)</f>
        <v>Vitamin</v>
      </c>
      <c r="D2016" s="3">
        <f>[1]Raw_Data!D2014</f>
        <v>170</v>
      </c>
      <c r="E2016" s="4">
        <f>[1]Raw_Data!E2014</f>
        <v>16.059999999999999</v>
      </c>
      <c r="F2016" s="5">
        <f>[1]Raw_Data!F2014</f>
        <v>2730.2</v>
      </c>
      <c r="G2016" s="4">
        <f>[1]Raw_Data!G2014</f>
        <v>0</v>
      </c>
      <c r="H2016" s="3">
        <f>[1]Raw_Data!H2014</f>
        <v>2</v>
      </c>
      <c r="I2016" s="3" t="str">
        <f>TRIM([1]Raw_Data!I2014)</f>
        <v>Canada</v>
      </c>
      <c r="J2016" s="3" t="str">
        <f>TRIM([1]Raw_Data!J2014)</f>
        <v>iHerb</v>
      </c>
      <c r="K2016" s="3">
        <f t="shared" si="124"/>
        <v>2022</v>
      </c>
      <c r="L2016" s="6">
        <f t="shared" si="125"/>
        <v>44682</v>
      </c>
      <c r="M2016" s="3" t="str">
        <f t="shared" si="126"/>
        <v>0% to 5%</v>
      </c>
      <c r="N2016" s="3" t="str">
        <f t="shared" si="127"/>
        <v>OK</v>
      </c>
    </row>
    <row r="2017" spans="1:14" x14ac:dyDescent="0.3">
      <c r="A2017" s="2">
        <f>DATE(VALUE(RIGHT(TRIM([1]Raw_Data!A2015),4)),VALUE(MID(TRIM([1]Raw_Data!A2015),4,2)),VALUE(LEFT(TRIM([1]Raw_Data!A2015),2)))</f>
        <v>44711</v>
      </c>
      <c r="B2017" s="3" t="str">
        <f>TRIM([1]Raw_Data!B2015)</f>
        <v>Green Tea Extract</v>
      </c>
      <c r="C2017" s="3" t="str">
        <f>TRIM([1]Raw_Data!C2015)</f>
        <v>Fat Burner</v>
      </c>
      <c r="D2017" s="3">
        <f>[1]Raw_Data!D2015</f>
        <v>143</v>
      </c>
      <c r="E2017" s="4">
        <f>[1]Raw_Data!E2015</f>
        <v>49.09</v>
      </c>
      <c r="F2017" s="5">
        <f>[1]Raw_Data!F2015</f>
        <v>7019.87</v>
      </c>
      <c r="G2017" s="4">
        <f>[1]Raw_Data!G2015</f>
        <v>0</v>
      </c>
      <c r="H2017" s="3">
        <f>[1]Raw_Data!H2015</f>
        <v>2</v>
      </c>
      <c r="I2017" s="3" t="str">
        <f>TRIM([1]Raw_Data!I2015)</f>
        <v>Canada</v>
      </c>
      <c r="J2017" s="3" t="str">
        <f>TRIM([1]Raw_Data!J2015)</f>
        <v>Amazon</v>
      </c>
      <c r="K2017" s="3">
        <f t="shared" si="124"/>
        <v>2022</v>
      </c>
      <c r="L2017" s="6">
        <f t="shared" si="125"/>
        <v>44682</v>
      </c>
      <c r="M2017" s="3" t="str">
        <f t="shared" si="126"/>
        <v>0% to 5%</v>
      </c>
      <c r="N2017" s="3" t="str">
        <f t="shared" si="127"/>
        <v>OK</v>
      </c>
    </row>
    <row r="2018" spans="1:14" x14ac:dyDescent="0.3">
      <c r="A2018" s="2">
        <f>DATE(VALUE(RIGHT(TRIM([1]Raw_Data!A2016),4)),VALUE(MID(TRIM([1]Raw_Data!A2016),4,2)),VALUE(LEFT(TRIM([1]Raw_Data!A2016),2)))</f>
        <v>44711</v>
      </c>
      <c r="B2018" s="3" t="str">
        <f>TRIM([1]Raw_Data!B2016)</f>
        <v>Iron Supplement</v>
      </c>
      <c r="C2018" s="3" t="str">
        <f>TRIM([1]Raw_Data!C2016)</f>
        <v>Mineral</v>
      </c>
      <c r="D2018" s="3">
        <f>[1]Raw_Data!D2016</f>
        <v>143</v>
      </c>
      <c r="E2018" s="4">
        <f>[1]Raw_Data!E2016</f>
        <v>21.32</v>
      </c>
      <c r="F2018" s="5">
        <f>[1]Raw_Data!F2016</f>
        <v>3048.76</v>
      </c>
      <c r="G2018" s="4">
        <f>[1]Raw_Data!G2016</f>
        <v>0.12</v>
      </c>
      <c r="H2018" s="3">
        <f>[1]Raw_Data!H2016</f>
        <v>1</v>
      </c>
      <c r="I2018" s="3" t="str">
        <f>TRIM([1]Raw_Data!I2016)</f>
        <v>USA</v>
      </c>
      <c r="J2018" s="3" t="str">
        <f>TRIM([1]Raw_Data!J2016)</f>
        <v>iHerb</v>
      </c>
      <c r="K2018" s="3">
        <f t="shared" si="124"/>
        <v>2022</v>
      </c>
      <c r="L2018" s="6">
        <f t="shared" si="125"/>
        <v>44682</v>
      </c>
      <c r="M2018" s="3" t="str">
        <f t="shared" si="126"/>
        <v>11% to 15%</v>
      </c>
      <c r="N2018" s="3" t="str">
        <f t="shared" si="127"/>
        <v>OK</v>
      </c>
    </row>
    <row r="2019" spans="1:14" x14ac:dyDescent="0.3">
      <c r="A2019" s="2">
        <f>DATE(VALUE(RIGHT(TRIM([1]Raw_Data!A2017),4)),VALUE(MID(TRIM([1]Raw_Data!A2017),4,2)),VALUE(LEFT(TRIM([1]Raw_Data!A2017),2)))</f>
        <v>44711</v>
      </c>
      <c r="B2019" s="3" t="str">
        <f>TRIM([1]Raw_Data!B2017)</f>
        <v>Electrolyte Powder</v>
      </c>
      <c r="C2019" s="3" t="str">
        <f>TRIM([1]Raw_Data!C2017)</f>
        <v>Hydration</v>
      </c>
      <c r="D2019" s="3">
        <f>[1]Raw_Data!D2017</f>
        <v>142</v>
      </c>
      <c r="E2019" s="4">
        <f>[1]Raw_Data!E2017</f>
        <v>48.11</v>
      </c>
      <c r="F2019" s="5">
        <f>[1]Raw_Data!F2017</f>
        <v>6831.62</v>
      </c>
      <c r="G2019" s="4">
        <f>[1]Raw_Data!G2017</f>
        <v>0.25</v>
      </c>
      <c r="H2019" s="3">
        <f>[1]Raw_Data!H2017</f>
        <v>2</v>
      </c>
      <c r="I2019" s="3" t="str">
        <f>TRIM([1]Raw_Data!I2017)</f>
        <v>USA</v>
      </c>
      <c r="J2019" s="3" t="str">
        <f>TRIM([1]Raw_Data!J2017)</f>
        <v>iHerb</v>
      </c>
      <c r="K2019" s="3">
        <f t="shared" si="124"/>
        <v>2022</v>
      </c>
      <c r="L2019" s="6">
        <f t="shared" si="125"/>
        <v>44682</v>
      </c>
      <c r="M2019" s="3" t="str">
        <f t="shared" si="126"/>
        <v>21% to 25%</v>
      </c>
      <c r="N2019" s="3" t="str">
        <f t="shared" si="127"/>
        <v>OK</v>
      </c>
    </row>
    <row r="2020" spans="1:14" x14ac:dyDescent="0.3">
      <c r="A2020" s="2">
        <f>DATE(VALUE(RIGHT(TRIM([1]Raw_Data!A2018),4)),VALUE(MID(TRIM([1]Raw_Data!A2018),4,2)),VALUE(LEFT(TRIM([1]Raw_Data!A2018),2)))</f>
        <v>44718</v>
      </c>
      <c r="B2020" s="3" t="str">
        <f>TRIM([1]Raw_Data!B2018)</f>
        <v>Whey Protein</v>
      </c>
      <c r="C2020" s="3" t="str">
        <f>TRIM([1]Raw_Data!C2018)</f>
        <v>Protein</v>
      </c>
      <c r="D2020" s="3">
        <f>[1]Raw_Data!D2018</f>
        <v>142</v>
      </c>
      <c r="E2020" s="4">
        <f>[1]Raw_Data!E2018</f>
        <v>20.88</v>
      </c>
      <c r="F2020" s="5">
        <f>[1]Raw_Data!F2018</f>
        <v>2964.96</v>
      </c>
      <c r="G2020" s="4">
        <f>[1]Raw_Data!G2018</f>
        <v>0.03</v>
      </c>
      <c r="H2020" s="3">
        <f>[1]Raw_Data!H2018</f>
        <v>1</v>
      </c>
      <c r="I2020" s="3" t="str">
        <f>TRIM([1]Raw_Data!I2018)</f>
        <v>USA</v>
      </c>
      <c r="J2020" s="3" t="str">
        <f>TRIM([1]Raw_Data!J2018)</f>
        <v>iHerb</v>
      </c>
      <c r="K2020" s="3">
        <f t="shared" si="124"/>
        <v>2022</v>
      </c>
      <c r="L2020" s="6">
        <f t="shared" si="125"/>
        <v>44713</v>
      </c>
      <c r="M2020" s="3" t="str">
        <f t="shared" si="126"/>
        <v>0% to 5%</v>
      </c>
      <c r="N2020" s="3" t="str">
        <f t="shared" si="127"/>
        <v>OK</v>
      </c>
    </row>
    <row r="2021" spans="1:14" x14ac:dyDescent="0.3">
      <c r="A2021" s="2">
        <f>DATE(VALUE(RIGHT(TRIM([1]Raw_Data!A2019),4)),VALUE(MID(TRIM([1]Raw_Data!A2019),4,2)),VALUE(LEFT(TRIM([1]Raw_Data!A2019),2)))</f>
        <v>44718</v>
      </c>
      <c r="B2021" s="3" t="str">
        <f>TRIM([1]Raw_Data!B2019)</f>
        <v>Vitamin C</v>
      </c>
      <c r="C2021" s="3" t="str">
        <f>TRIM([1]Raw_Data!C2019)</f>
        <v>Vitamin</v>
      </c>
      <c r="D2021" s="3">
        <f>[1]Raw_Data!D2019</f>
        <v>154</v>
      </c>
      <c r="E2021" s="4">
        <f>[1]Raw_Data!E2019</f>
        <v>44.01</v>
      </c>
      <c r="F2021" s="5">
        <f>[1]Raw_Data!F2019</f>
        <v>6777.54</v>
      </c>
      <c r="G2021" s="4">
        <f>[1]Raw_Data!G2019</f>
        <v>7.0000000000000007E-2</v>
      </c>
      <c r="H2021" s="3">
        <f>[1]Raw_Data!H2019</f>
        <v>1</v>
      </c>
      <c r="I2021" s="3" t="str">
        <f>TRIM([1]Raw_Data!I2019)</f>
        <v>Canada</v>
      </c>
      <c r="J2021" s="3" t="str">
        <f>TRIM([1]Raw_Data!J2019)</f>
        <v>iHerb</v>
      </c>
      <c r="K2021" s="3">
        <f t="shared" si="124"/>
        <v>2022</v>
      </c>
      <c r="L2021" s="6">
        <f t="shared" si="125"/>
        <v>44713</v>
      </c>
      <c r="M2021" s="3" t="str">
        <f t="shared" si="126"/>
        <v>6% to 10%</v>
      </c>
      <c r="N2021" s="3" t="str">
        <f t="shared" si="127"/>
        <v>OK</v>
      </c>
    </row>
    <row r="2022" spans="1:14" x14ac:dyDescent="0.3">
      <c r="A2022" s="2">
        <f>DATE(VALUE(RIGHT(TRIM([1]Raw_Data!A2020),4)),VALUE(MID(TRIM([1]Raw_Data!A2020),4,2)),VALUE(LEFT(TRIM([1]Raw_Data!A2020),2)))</f>
        <v>44718</v>
      </c>
      <c r="B2022" s="3" t="str">
        <f>TRIM([1]Raw_Data!B2020)</f>
        <v>Fish Oil</v>
      </c>
      <c r="C2022" s="3" t="str">
        <f>TRIM([1]Raw_Data!C2020)</f>
        <v>Omega</v>
      </c>
      <c r="D2022" s="3">
        <f>[1]Raw_Data!D2020</f>
        <v>157</v>
      </c>
      <c r="E2022" s="4">
        <f>[1]Raw_Data!E2020</f>
        <v>20.63</v>
      </c>
      <c r="F2022" s="5">
        <f>[1]Raw_Data!F2020</f>
        <v>3238.91</v>
      </c>
      <c r="G2022" s="4">
        <f>[1]Raw_Data!G2020</f>
        <v>0.09</v>
      </c>
      <c r="H2022" s="3">
        <f>[1]Raw_Data!H2020</f>
        <v>1</v>
      </c>
      <c r="I2022" s="3" t="str">
        <f>TRIM([1]Raw_Data!I2020)</f>
        <v>USA</v>
      </c>
      <c r="J2022" s="3" t="str">
        <f>TRIM([1]Raw_Data!J2020)</f>
        <v>iHerb</v>
      </c>
      <c r="K2022" s="3">
        <f t="shared" si="124"/>
        <v>2022</v>
      </c>
      <c r="L2022" s="6">
        <f t="shared" si="125"/>
        <v>44713</v>
      </c>
      <c r="M2022" s="3" t="str">
        <f t="shared" si="126"/>
        <v>6% to 10%</v>
      </c>
      <c r="N2022" s="3" t="str">
        <f t="shared" si="127"/>
        <v>OK</v>
      </c>
    </row>
    <row r="2023" spans="1:14" x14ac:dyDescent="0.3">
      <c r="A2023" s="2">
        <f>DATE(VALUE(RIGHT(TRIM([1]Raw_Data!A2021),4)),VALUE(MID(TRIM([1]Raw_Data!A2021),4,2)),VALUE(LEFT(TRIM([1]Raw_Data!A2021),2)))</f>
        <v>44718</v>
      </c>
      <c r="B2023" s="3" t="str">
        <f>TRIM([1]Raw_Data!B2021)</f>
        <v>Multivitamin</v>
      </c>
      <c r="C2023" s="3" t="str">
        <f>TRIM([1]Raw_Data!C2021)</f>
        <v>Vitamin</v>
      </c>
      <c r="D2023" s="3">
        <f>[1]Raw_Data!D2021</f>
        <v>130</v>
      </c>
      <c r="E2023" s="4">
        <f>[1]Raw_Data!E2021</f>
        <v>52.66</v>
      </c>
      <c r="F2023" s="5">
        <f>[1]Raw_Data!F2021</f>
        <v>6845.8</v>
      </c>
      <c r="G2023" s="4">
        <f>[1]Raw_Data!G2021</f>
        <v>0.05</v>
      </c>
      <c r="H2023" s="3">
        <f>[1]Raw_Data!H2021</f>
        <v>0</v>
      </c>
      <c r="I2023" s="3" t="str">
        <f>TRIM([1]Raw_Data!I2021)</f>
        <v>Canada</v>
      </c>
      <c r="J2023" s="3" t="str">
        <f>TRIM([1]Raw_Data!J2021)</f>
        <v>Amazon</v>
      </c>
      <c r="K2023" s="3">
        <f t="shared" si="124"/>
        <v>2022</v>
      </c>
      <c r="L2023" s="6">
        <f t="shared" si="125"/>
        <v>44713</v>
      </c>
      <c r="M2023" s="3" t="str">
        <f t="shared" si="126"/>
        <v>0% to 5%</v>
      </c>
      <c r="N2023" s="3" t="str">
        <f t="shared" si="127"/>
        <v>OK</v>
      </c>
    </row>
    <row r="2024" spans="1:14" x14ac:dyDescent="0.3">
      <c r="A2024" s="2">
        <f>DATE(VALUE(RIGHT(TRIM([1]Raw_Data!A2022),4)),VALUE(MID(TRIM([1]Raw_Data!A2022),4,2)),VALUE(LEFT(TRIM([1]Raw_Data!A2022),2)))</f>
        <v>44718</v>
      </c>
      <c r="B2024" s="3" t="str">
        <f>TRIM([1]Raw_Data!B2022)</f>
        <v>Pre-Workout</v>
      </c>
      <c r="C2024" s="3" t="str">
        <f>TRIM([1]Raw_Data!C2022)</f>
        <v>Performance</v>
      </c>
      <c r="D2024" s="3">
        <f>[1]Raw_Data!D2022</f>
        <v>159</v>
      </c>
      <c r="E2024" s="4">
        <f>[1]Raw_Data!E2022</f>
        <v>29.67</v>
      </c>
      <c r="F2024" s="5">
        <f>[1]Raw_Data!F2022</f>
        <v>4717.53</v>
      </c>
      <c r="G2024" s="4">
        <f>[1]Raw_Data!G2022</f>
        <v>0.02</v>
      </c>
      <c r="H2024" s="3">
        <f>[1]Raw_Data!H2022</f>
        <v>1</v>
      </c>
      <c r="I2024" s="3" t="str">
        <f>TRIM([1]Raw_Data!I2022)</f>
        <v>USA</v>
      </c>
      <c r="J2024" s="3" t="str">
        <f>TRIM([1]Raw_Data!J2022)</f>
        <v>Amazon</v>
      </c>
      <c r="K2024" s="3">
        <f t="shared" si="124"/>
        <v>2022</v>
      </c>
      <c r="L2024" s="6">
        <f t="shared" si="125"/>
        <v>44713</v>
      </c>
      <c r="M2024" s="3" t="str">
        <f t="shared" si="126"/>
        <v>0% to 5%</v>
      </c>
      <c r="N2024" s="3" t="str">
        <f t="shared" si="127"/>
        <v>OK</v>
      </c>
    </row>
    <row r="2025" spans="1:14" x14ac:dyDescent="0.3">
      <c r="A2025" s="2">
        <f>DATE(VALUE(RIGHT(TRIM([1]Raw_Data!A2023),4)),VALUE(MID(TRIM([1]Raw_Data!A2023),4,2)),VALUE(LEFT(TRIM([1]Raw_Data!A2023),2)))</f>
        <v>44718</v>
      </c>
      <c r="B2025" s="3" t="str">
        <f>TRIM([1]Raw_Data!B2023)</f>
        <v>BCAA</v>
      </c>
      <c r="C2025" s="3" t="str">
        <f>TRIM([1]Raw_Data!C2023)</f>
        <v>Amino Acid</v>
      </c>
      <c r="D2025" s="3">
        <f>[1]Raw_Data!D2023</f>
        <v>161</v>
      </c>
      <c r="E2025" s="4">
        <f>[1]Raw_Data!E2023</f>
        <v>20.350000000000001</v>
      </c>
      <c r="F2025" s="5">
        <f>[1]Raw_Data!F2023</f>
        <v>3276.35</v>
      </c>
      <c r="G2025" s="4">
        <f>[1]Raw_Data!G2023</f>
        <v>0.08</v>
      </c>
      <c r="H2025" s="3">
        <f>[1]Raw_Data!H2023</f>
        <v>0</v>
      </c>
      <c r="I2025" s="3" t="str">
        <f>TRIM([1]Raw_Data!I2023)</f>
        <v>Canada</v>
      </c>
      <c r="J2025" s="3" t="str">
        <f>TRIM([1]Raw_Data!J2023)</f>
        <v>iHerb</v>
      </c>
      <c r="K2025" s="3">
        <f t="shared" si="124"/>
        <v>2022</v>
      </c>
      <c r="L2025" s="6">
        <f t="shared" si="125"/>
        <v>44713</v>
      </c>
      <c r="M2025" s="3" t="str">
        <f t="shared" si="126"/>
        <v>6% to 10%</v>
      </c>
      <c r="N2025" s="3" t="str">
        <f t="shared" si="127"/>
        <v>OK</v>
      </c>
    </row>
    <row r="2026" spans="1:14" x14ac:dyDescent="0.3">
      <c r="A2026" s="2">
        <f>DATE(VALUE(RIGHT(TRIM([1]Raw_Data!A2024),4)),VALUE(MID(TRIM([1]Raw_Data!A2024),4,2)),VALUE(LEFT(TRIM([1]Raw_Data!A2024),2)))</f>
        <v>44718</v>
      </c>
      <c r="B2026" s="3" t="str">
        <f>TRIM([1]Raw_Data!B2024)</f>
        <v>Creatine</v>
      </c>
      <c r="C2026" s="3" t="str">
        <f>TRIM([1]Raw_Data!C2024)</f>
        <v>Performance</v>
      </c>
      <c r="D2026" s="3">
        <f>[1]Raw_Data!D2024</f>
        <v>156</v>
      </c>
      <c r="E2026" s="4">
        <f>[1]Raw_Data!E2024</f>
        <v>48.27</v>
      </c>
      <c r="F2026" s="5">
        <f>[1]Raw_Data!F2024</f>
        <v>7530.12</v>
      </c>
      <c r="G2026" s="4">
        <f>[1]Raw_Data!G2024</f>
        <v>0.21</v>
      </c>
      <c r="H2026" s="3">
        <f>[1]Raw_Data!H2024</f>
        <v>3</v>
      </c>
      <c r="I2026" s="3" t="str">
        <f>TRIM([1]Raw_Data!I2024)</f>
        <v>UK</v>
      </c>
      <c r="J2026" s="3" t="str">
        <f>TRIM([1]Raw_Data!J2024)</f>
        <v>iHerb</v>
      </c>
      <c r="K2026" s="3">
        <f t="shared" si="124"/>
        <v>2022</v>
      </c>
      <c r="L2026" s="6">
        <f t="shared" si="125"/>
        <v>44713</v>
      </c>
      <c r="M2026" s="3" t="str">
        <f t="shared" si="126"/>
        <v>21% to 25%</v>
      </c>
      <c r="N2026" s="3" t="str">
        <f t="shared" si="127"/>
        <v>OK</v>
      </c>
    </row>
    <row r="2027" spans="1:14" x14ac:dyDescent="0.3">
      <c r="A2027" s="2">
        <f>DATE(VALUE(RIGHT(TRIM([1]Raw_Data!A2025),4)),VALUE(MID(TRIM([1]Raw_Data!A2025),4,2)),VALUE(LEFT(TRIM([1]Raw_Data!A2025),2)))</f>
        <v>44718</v>
      </c>
      <c r="B2027" s="3" t="str">
        <f>TRIM([1]Raw_Data!B2025)</f>
        <v>Zinc</v>
      </c>
      <c r="C2027" s="3" t="str">
        <f>TRIM([1]Raw_Data!C2025)</f>
        <v>Mineral</v>
      </c>
      <c r="D2027" s="3">
        <f>[1]Raw_Data!D2025</f>
        <v>156</v>
      </c>
      <c r="E2027" s="4">
        <f>[1]Raw_Data!E2025</f>
        <v>59.12</v>
      </c>
      <c r="F2027" s="5">
        <f>[1]Raw_Data!F2025</f>
        <v>9222.7199999999993</v>
      </c>
      <c r="G2027" s="4">
        <f>[1]Raw_Data!G2025</f>
        <v>0.17</v>
      </c>
      <c r="H2027" s="3">
        <f>[1]Raw_Data!H2025</f>
        <v>4</v>
      </c>
      <c r="I2027" s="3" t="str">
        <f>TRIM([1]Raw_Data!I2025)</f>
        <v>Canada</v>
      </c>
      <c r="J2027" s="3" t="str">
        <f>TRIM([1]Raw_Data!J2025)</f>
        <v>Amazon</v>
      </c>
      <c r="K2027" s="3">
        <f t="shared" si="124"/>
        <v>2022</v>
      </c>
      <c r="L2027" s="6">
        <f t="shared" si="125"/>
        <v>44713</v>
      </c>
      <c r="M2027" s="3" t="str">
        <f t="shared" si="126"/>
        <v>16% to 20%</v>
      </c>
      <c r="N2027" s="3" t="str">
        <f t="shared" si="127"/>
        <v>OK</v>
      </c>
    </row>
    <row r="2028" spans="1:14" x14ac:dyDescent="0.3">
      <c r="A2028" s="2">
        <f>DATE(VALUE(RIGHT(TRIM([1]Raw_Data!A2026),4)),VALUE(MID(TRIM([1]Raw_Data!A2026),4,2)),VALUE(LEFT(TRIM([1]Raw_Data!A2026),2)))</f>
        <v>44718</v>
      </c>
      <c r="B2028" s="3" t="str">
        <f>TRIM([1]Raw_Data!B2026)</f>
        <v>Collagen Peptides</v>
      </c>
      <c r="C2028" s="3" t="str">
        <f>TRIM([1]Raw_Data!C2026)</f>
        <v>Protein</v>
      </c>
      <c r="D2028" s="3">
        <f>[1]Raw_Data!D2026</f>
        <v>138</v>
      </c>
      <c r="E2028" s="4">
        <f>[1]Raw_Data!E2026</f>
        <v>26.07</v>
      </c>
      <c r="F2028" s="5">
        <f>[1]Raw_Data!F2026</f>
        <v>3597.66</v>
      </c>
      <c r="G2028" s="4">
        <f>[1]Raw_Data!G2026</f>
        <v>0.25</v>
      </c>
      <c r="H2028" s="3">
        <f>[1]Raw_Data!H2026</f>
        <v>0</v>
      </c>
      <c r="I2028" s="3" t="str">
        <f>TRIM([1]Raw_Data!I2026)</f>
        <v>USA</v>
      </c>
      <c r="J2028" s="3" t="str">
        <f>TRIM([1]Raw_Data!J2026)</f>
        <v>Walmart</v>
      </c>
      <c r="K2028" s="3">
        <f t="shared" si="124"/>
        <v>2022</v>
      </c>
      <c r="L2028" s="6">
        <f t="shared" si="125"/>
        <v>44713</v>
      </c>
      <c r="M2028" s="3" t="str">
        <f t="shared" si="126"/>
        <v>21% to 25%</v>
      </c>
      <c r="N2028" s="3" t="str">
        <f t="shared" si="127"/>
        <v>OK</v>
      </c>
    </row>
    <row r="2029" spans="1:14" x14ac:dyDescent="0.3">
      <c r="A2029" s="2">
        <f>DATE(VALUE(RIGHT(TRIM([1]Raw_Data!A2027),4)),VALUE(MID(TRIM([1]Raw_Data!A2027),4,2)),VALUE(LEFT(TRIM([1]Raw_Data!A2027),2)))</f>
        <v>44718</v>
      </c>
      <c r="B2029" s="3" t="str">
        <f>TRIM([1]Raw_Data!B2027)</f>
        <v>Magnesium</v>
      </c>
      <c r="C2029" s="3" t="str">
        <f>TRIM([1]Raw_Data!C2027)</f>
        <v>Mineral</v>
      </c>
      <c r="D2029" s="3">
        <f>[1]Raw_Data!D2027</f>
        <v>151</v>
      </c>
      <c r="E2029" s="4">
        <f>[1]Raw_Data!E2027</f>
        <v>31.63</v>
      </c>
      <c r="F2029" s="5">
        <f>[1]Raw_Data!F2027</f>
        <v>4776.13</v>
      </c>
      <c r="G2029" s="4">
        <f>[1]Raw_Data!G2027</f>
        <v>0.12</v>
      </c>
      <c r="H2029" s="3">
        <f>[1]Raw_Data!H2027</f>
        <v>5</v>
      </c>
      <c r="I2029" s="3" t="str">
        <f>TRIM([1]Raw_Data!I2027)</f>
        <v>UK</v>
      </c>
      <c r="J2029" s="3" t="str">
        <f>TRIM([1]Raw_Data!J2027)</f>
        <v>Walmart</v>
      </c>
      <c r="K2029" s="3">
        <f t="shared" si="124"/>
        <v>2022</v>
      </c>
      <c r="L2029" s="6">
        <f t="shared" si="125"/>
        <v>44713</v>
      </c>
      <c r="M2029" s="3" t="str">
        <f t="shared" si="126"/>
        <v>11% to 15%</v>
      </c>
      <c r="N2029" s="3" t="str">
        <f t="shared" si="127"/>
        <v>OK</v>
      </c>
    </row>
    <row r="2030" spans="1:14" x14ac:dyDescent="0.3">
      <c r="A2030" s="2">
        <f>DATE(VALUE(RIGHT(TRIM([1]Raw_Data!A2028),4)),VALUE(MID(TRIM([1]Raw_Data!A2028),4,2)),VALUE(LEFT(TRIM([1]Raw_Data!A2028),2)))</f>
        <v>44718</v>
      </c>
      <c r="B2030" s="3" t="str">
        <f>TRIM([1]Raw_Data!B2028)</f>
        <v>Ashwagandha</v>
      </c>
      <c r="C2030" s="3" t="str">
        <f>TRIM([1]Raw_Data!C2028)</f>
        <v>Herbal</v>
      </c>
      <c r="D2030" s="3">
        <f>[1]Raw_Data!D2028</f>
        <v>147</v>
      </c>
      <c r="E2030" s="4">
        <f>[1]Raw_Data!E2028</f>
        <v>12.73</v>
      </c>
      <c r="F2030" s="5">
        <f>[1]Raw_Data!F2028</f>
        <v>1871.31</v>
      </c>
      <c r="G2030" s="4">
        <f>[1]Raw_Data!G2028</f>
        <v>0.21</v>
      </c>
      <c r="H2030" s="3">
        <f>[1]Raw_Data!H2028</f>
        <v>2</v>
      </c>
      <c r="I2030" s="3" t="str">
        <f>TRIM([1]Raw_Data!I2028)</f>
        <v>USA</v>
      </c>
      <c r="J2030" s="3" t="str">
        <f>TRIM([1]Raw_Data!J2028)</f>
        <v>iHerb</v>
      </c>
      <c r="K2030" s="3">
        <f t="shared" si="124"/>
        <v>2022</v>
      </c>
      <c r="L2030" s="6">
        <f t="shared" si="125"/>
        <v>44713</v>
      </c>
      <c r="M2030" s="3" t="str">
        <f t="shared" si="126"/>
        <v>21% to 25%</v>
      </c>
      <c r="N2030" s="3" t="str">
        <f t="shared" si="127"/>
        <v>OK</v>
      </c>
    </row>
    <row r="2031" spans="1:14" x14ac:dyDescent="0.3">
      <c r="A2031" s="2">
        <f>DATE(VALUE(RIGHT(TRIM([1]Raw_Data!A2029),4)),VALUE(MID(TRIM([1]Raw_Data!A2029),4,2)),VALUE(LEFT(TRIM([1]Raw_Data!A2029),2)))</f>
        <v>44718</v>
      </c>
      <c r="B2031" s="3" t="str">
        <f>TRIM([1]Raw_Data!B2029)</f>
        <v>Melatonin</v>
      </c>
      <c r="C2031" s="3" t="str">
        <f>TRIM([1]Raw_Data!C2029)</f>
        <v>Sleep Aid</v>
      </c>
      <c r="D2031" s="3">
        <f>[1]Raw_Data!D2029</f>
        <v>147</v>
      </c>
      <c r="E2031" s="4">
        <f>[1]Raw_Data!E2029</f>
        <v>39.58</v>
      </c>
      <c r="F2031" s="5">
        <f>[1]Raw_Data!F2029</f>
        <v>5818.26</v>
      </c>
      <c r="G2031" s="4">
        <f>[1]Raw_Data!G2029</f>
        <v>0</v>
      </c>
      <c r="H2031" s="3">
        <f>[1]Raw_Data!H2029</f>
        <v>0</v>
      </c>
      <c r="I2031" s="3" t="str">
        <f>TRIM([1]Raw_Data!I2029)</f>
        <v>USA</v>
      </c>
      <c r="J2031" s="3" t="str">
        <f>TRIM([1]Raw_Data!J2029)</f>
        <v>Amazon</v>
      </c>
      <c r="K2031" s="3">
        <f t="shared" si="124"/>
        <v>2022</v>
      </c>
      <c r="L2031" s="6">
        <f t="shared" si="125"/>
        <v>44713</v>
      </c>
      <c r="M2031" s="3" t="str">
        <f t="shared" si="126"/>
        <v>0% to 5%</v>
      </c>
      <c r="N2031" s="3" t="str">
        <f t="shared" si="127"/>
        <v>OK</v>
      </c>
    </row>
    <row r="2032" spans="1:14" x14ac:dyDescent="0.3">
      <c r="A2032" s="2">
        <f>DATE(VALUE(RIGHT(TRIM([1]Raw_Data!A2030),4)),VALUE(MID(TRIM([1]Raw_Data!A2030),4,2)),VALUE(LEFT(TRIM([1]Raw_Data!A2030),2)))</f>
        <v>44718</v>
      </c>
      <c r="B2032" s="3" t="str">
        <f>TRIM([1]Raw_Data!B2030)</f>
        <v>Biotin</v>
      </c>
      <c r="C2032" s="3" t="str">
        <f>TRIM([1]Raw_Data!C2030)</f>
        <v>Vitamin</v>
      </c>
      <c r="D2032" s="3">
        <f>[1]Raw_Data!D2030</f>
        <v>154</v>
      </c>
      <c r="E2032" s="4">
        <f>[1]Raw_Data!E2030</f>
        <v>19.59</v>
      </c>
      <c r="F2032" s="5">
        <f>[1]Raw_Data!F2030</f>
        <v>3016.86</v>
      </c>
      <c r="G2032" s="4">
        <f>[1]Raw_Data!G2030</f>
        <v>0.16</v>
      </c>
      <c r="H2032" s="3">
        <f>[1]Raw_Data!H2030</f>
        <v>0</v>
      </c>
      <c r="I2032" s="3" t="str">
        <f>TRIM([1]Raw_Data!I2030)</f>
        <v>UK</v>
      </c>
      <c r="J2032" s="3" t="str">
        <f>TRIM([1]Raw_Data!J2030)</f>
        <v>Walmart</v>
      </c>
      <c r="K2032" s="3">
        <f t="shared" si="124"/>
        <v>2022</v>
      </c>
      <c r="L2032" s="6">
        <f t="shared" si="125"/>
        <v>44713</v>
      </c>
      <c r="M2032" s="3" t="str">
        <f t="shared" si="126"/>
        <v>16% to 20%</v>
      </c>
      <c r="N2032" s="3" t="str">
        <f t="shared" si="127"/>
        <v>OK</v>
      </c>
    </row>
    <row r="2033" spans="1:14" x14ac:dyDescent="0.3">
      <c r="A2033" s="2">
        <f>DATE(VALUE(RIGHT(TRIM([1]Raw_Data!A2031),4)),VALUE(MID(TRIM([1]Raw_Data!A2031),4,2)),VALUE(LEFT(TRIM([1]Raw_Data!A2031),2)))</f>
        <v>44718</v>
      </c>
      <c r="B2033" s="3" t="str">
        <f>TRIM([1]Raw_Data!B2031)</f>
        <v>Green Tea Extract</v>
      </c>
      <c r="C2033" s="3" t="str">
        <f>TRIM([1]Raw_Data!C2031)</f>
        <v>Fat Burner</v>
      </c>
      <c r="D2033" s="3">
        <f>[1]Raw_Data!D2031</f>
        <v>143</v>
      </c>
      <c r="E2033" s="4">
        <f>[1]Raw_Data!E2031</f>
        <v>39.01</v>
      </c>
      <c r="F2033" s="5">
        <f>[1]Raw_Data!F2031</f>
        <v>5578.43</v>
      </c>
      <c r="G2033" s="4">
        <f>[1]Raw_Data!G2031</f>
        <v>0.17</v>
      </c>
      <c r="H2033" s="3">
        <f>[1]Raw_Data!H2031</f>
        <v>2</v>
      </c>
      <c r="I2033" s="3" t="str">
        <f>TRIM([1]Raw_Data!I2031)</f>
        <v>UK</v>
      </c>
      <c r="J2033" s="3" t="str">
        <f>TRIM([1]Raw_Data!J2031)</f>
        <v>iHerb</v>
      </c>
      <c r="K2033" s="3">
        <f t="shared" si="124"/>
        <v>2022</v>
      </c>
      <c r="L2033" s="6">
        <f t="shared" si="125"/>
        <v>44713</v>
      </c>
      <c r="M2033" s="3" t="str">
        <f t="shared" si="126"/>
        <v>16% to 20%</v>
      </c>
      <c r="N2033" s="3" t="str">
        <f t="shared" si="127"/>
        <v>OK</v>
      </c>
    </row>
    <row r="2034" spans="1:14" x14ac:dyDescent="0.3">
      <c r="A2034" s="2">
        <f>DATE(VALUE(RIGHT(TRIM([1]Raw_Data!A2032),4)),VALUE(MID(TRIM([1]Raw_Data!A2032),4,2)),VALUE(LEFT(TRIM([1]Raw_Data!A2032),2)))</f>
        <v>44718</v>
      </c>
      <c r="B2034" s="3" t="str">
        <f>TRIM([1]Raw_Data!B2032)</f>
        <v>Iron Supplement</v>
      </c>
      <c r="C2034" s="3" t="str">
        <f>TRIM([1]Raw_Data!C2032)</f>
        <v>Mineral</v>
      </c>
      <c r="D2034" s="3">
        <f>[1]Raw_Data!D2032</f>
        <v>141</v>
      </c>
      <c r="E2034" s="4">
        <f>[1]Raw_Data!E2032</f>
        <v>13.93</v>
      </c>
      <c r="F2034" s="5">
        <f>[1]Raw_Data!F2032</f>
        <v>1964.13</v>
      </c>
      <c r="G2034" s="4">
        <f>[1]Raw_Data!G2032</f>
        <v>0.11</v>
      </c>
      <c r="H2034" s="3">
        <f>[1]Raw_Data!H2032</f>
        <v>3</v>
      </c>
      <c r="I2034" s="3" t="str">
        <f>TRIM([1]Raw_Data!I2032)</f>
        <v>UK</v>
      </c>
      <c r="J2034" s="3" t="str">
        <f>TRIM([1]Raw_Data!J2032)</f>
        <v>iHerb</v>
      </c>
      <c r="K2034" s="3">
        <f t="shared" si="124"/>
        <v>2022</v>
      </c>
      <c r="L2034" s="6">
        <f t="shared" si="125"/>
        <v>44713</v>
      </c>
      <c r="M2034" s="3" t="str">
        <f t="shared" si="126"/>
        <v>11% to 15%</v>
      </c>
      <c r="N2034" s="3" t="str">
        <f t="shared" si="127"/>
        <v>OK</v>
      </c>
    </row>
    <row r="2035" spans="1:14" x14ac:dyDescent="0.3">
      <c r="A2035" s="2">
        <f>DATE(VALUE(RIGHT(TRIM([1]Raw_Data!A2033),4)),VALUE(MID(TRIM([1]Raw_Data!A2033),4,2)),VALUE(LEFT(TRIM([1]Raw_Data!A2033),2)))</f>
        <v>44718</v>
      </c>
      <c r="B2035" s="3" t="str">
        <f>TRIM([1]Raw_Data!B2033)</f>
        <v>Electrolyte Powder</v>
      </c>
      <c r="C2035" s="3" t="str">
        <f>TRIM([1]Raw_Data!C2033)</f>
        <v>Hydration</v>
      </c>
      <c r="D2035" s="3">
        <f>[1]Raw_Data!D2033</f>
        <v>139</v>
      </c>
      <c r="E2035" s="4">
        <f>[1]Raw_Data!E2033</f>
        <v>15.04</v>
      </c>
      <c r="F2035" s="5">
        <f>[1]Raw_Data!F2033</f>
        <v>2090.56</v>
      </c>
      <c r="G2035" s="4">
        <f>[1]Raw_Data!G2033</f>
        <v>0.15</v>
      </c>
      <c r="H2035" s="3">
        <f>[1]Raw_Data!H2033</f>
        <v>2</v>
      </c>
      <c r="I2035" s="3" t="str">
        <f>TRIM([1]Raw_Data!I2033)</f>
        <v>UK</v>
      </c>
      <c r="J2035" s="3" t="str">
        <f>TRIM([1]Raw_Data!J2033)</f>
        <v>Walmart</v>
      </c>
      <c r="K2035" s="3">
        <f t="shared" si="124"/>
        <v>2022</v>
      </c>
      <c r="L2035" s="6">
        <f t="shared" si="125"/>
        <v>44713</v>
      </c>
      <c r="M2035" s="3" t="str">
        <f t="shared" si="126"/>
        <v>11% to 15%</v>
      </c>
      <c r="N2035" s="3" t="str">
        <f t="shared" si="127"/>
        <v>OK</v>
      </c>
    </row>
    <row r="2036" spans="1:14" x14ac:dyDescent="0.3">
      <c r="A2036" s="2">
        <f>DATE(VALUE(RIGHT(TRIM([1]Raw_Data!A2034),4)),VALUE(MID(TRIM([1]Raw_Data!A2034),4,2)),VALUE(LEFT(TRIM([1]Raw_Data!A2034),2)))</f>
        <v>44725</v>
      </c>
      <c r="B2036" s="3" t="str">
        <f>TRIM([1]Raw_Data!B2034)</f>
        <v>Whey Protein</v>
      </c>
      <c r="C2036" s="3" t="str">
        <f>TRIM([1]Raw_Data!C2034)</f>
        <v>Protein</v>
      </c>
      <c r="D2036" s="3">
        <f>[1]Raw_Data!D2034</f>
        <v>155</v>
      </c>
      <c r="E2036" s="4">
        <f>[1]Raw_Data!E2034</f>
        <v>34.32</v>
      </c>
      <c r="F2036" s="5">
        <f>[1]Raw_Data!F2034</f>
        <v>5319.6</v>
      </c>
      <c r="G2036" s="4">
        <f>[1]Raw_Data!G2034</f>
        <v>0.03</v>
      </c>
      <c r="H2036" s="3">
        <f>[1]Raw_Data!H2034</f>
        <v>1</v>
      </c>
      <c r="I2036" s="3" t="str">
        <f>TRIM([1]Raw_Data!I2034)</f>
        <v>Canada</v>
      </c>
      <c r="J2036" s="3" t="str">
        <f>TRIM([1]Raw_Data!J2034)</f>
        <v>iHerb</v>
      </c>
      <c r="K2036" s="3">
        <f t="shared" si="124"/>
        <v>2022</v>
      </c>
      <c r="L2036" s="6">
        <f t="shared" si="125"/>
        <v>44713</v>
      </c>
      <c r="M2036" s="3" t="str">
        <f t="shared" si="126"/>
        <v>0% to 5%</v>
      </c>
      <c r="N2036" s="3" t="str">
        <f t="shared" si="127"/>
        <v>OK</v>
      </c>
    </row>
    <row r="2037" spans="1:14" x14ac:dyDescent="0.3">
      <c r="A2037" s="2">
        <f>DATE(VALUE(RIGHT(TRIM([1]Raw_Data!A2035),4)),VALUE(MID(TRIM([1]Raw_Data!A2035),4,2)),VALUE(LEFT(TRIM([1]Raw_Data!A2035),2)))</f>
        <v>44725</v>
      </c>
      <c r="B2037" s="3" t="str">
        <f>TRIM([1]Raw_Data!B2035)</f>
        <v>Vitamin C</v>
      </c>
      <c r="C2037" s="3" t="str">
        <f>TRIM([1]Raw_Data!C2035)</f>
        <v>Vitamin</v>
      </c>
      <c r="D2037" s="3">
        <f>[1]Raw_Data!D2035</f>
        <v>156</v>
      </c>
      <c r="E2037" s="4">
        <f>[1]Raw_Data!E2035</f>
        <v>36.549999999999997</v>
      </c>
      <c r="F2037" s="5">
        <f>[1]Raw_Data!F2035</f>
        <v>5701.8</v>
      </c>
      <c r="G2037" s="4">
        <f>[1]Raw_Data!G2035</f>
        <v>0.17</v>
      </c>
      <c r="H2037" s="3">
        <f>[1]Raw_Data!H2035</f>
        <v>2</v>
      </c>
      <c r="I2037" s="3" t="str">
        <f>TRIM([1]Raw_Data!I2035)</f>
        <v>UK</v>
      </c>
      <c r="J2037" s="3" t="str">
        <f>TRIM([1]Raw_Data!J2035)</f>
        <v>iHerb</v>
      </c>
      <c r="K2037" s="3">
        <f t="shared" si="124"/>
        <v>2022</v>
      </c>
      <c r="L2037" s="6">
        <f t="shared" si="125"/>
        <v>44713</v>
      </c>
      <c r="M2037" s="3" t="str">
        <f t="shared" si="126"/>
        <v>16% to 20%</v>
      </c>
      <c r="N2037" s="3" t="str">
        <f t="shared" si="127"/>
        <v>OK</v>
      </c>
    </row>
    <row r="2038" spans="1:14" x14ac:dyDescent="0.3">
      <c r="A2038" s="2">
        <f>DATE(VALUE(RIGHT(TRIM([1]Raw_Data!A2036),4)),VALUE(MID(TRIM([1]Raw_Data!A2036),4,2)),VALUE(LEFT(TRIM([1]Raw_Data!A2036),2)))</f>
        <v>44725</v>
      </c>
      <c r="B2038" s="3" t="str">
        <f>TRIM([1]Raw_Data!B2036)</f>
        <v>Fish Oil</v>
      </c>
      <c r="C2038" s="3" t="str">
        <f>TRIM([1]Raw_Data!C2036)</f>
        <v>Omega</v>
      </c>
      <c r="D2038" s="3">
        <f>[1]Raw_Data!D2036</f>
        <v>167</v>
      </c>
      <c r="E2038" s="4">
        <f>[1]Raw_Data!E2036</f>
        <v>48.93</v>
      </c>
      <c r="F2038" s="5">
        <f>[1]Raw_Data!F2036</f>
        <v>8171.31</v>
      </c>
      <c r="G2038" s="4">
        <f>[1]Raw_Data!G2036</f>
        <v>0.06</v>
      </c>
      <c r="H2038" s="3">
        <f>[1]Raw_Data!H2036</f>
        <v>2</v>
      </c>
      <c r="I2038" s="3" t="str">
        <f>TRIM([1]Raw_Data!I2036)</f>
        <v>USA</v>
      </c>
      <c r="J2038" s="3" t="str">
        <f>TRIM([1]Raw_Data!J2036)</f>
        <v>Amazon</v>
      </c>
      <c r="K2038" s="3">
        <f t="shared" si="124"/>
        <v>2022</v>
      </c>
      <c r="L2038" s="6">
        <f t="shared" si="125"/>
        <v>44713</v>
      </c>
      <c r="M2038" s="3" t="str">
        <f t="shared" si="126"/>
        <v>6% to 10%</v>
      </c>
      <c r="N2038" s="3" t="str">
        <f t="shared" si="127"/>
        <v>OK</v>
      </c>
    </row>
    <row r="2039" spans="1:14" x14ac:dyDescent="0.3">
      <c r="A2039" s="2">
        <f>DATE(VALUE(RIGHT(TRIM([1]Raw_Data!A2037),4)),VALUE(MID(TRIM([1]Raw_Data!A2037),4,2)),VALUE(LEFT(TRIM([1]Raw_Data!A2037),2)))</f>
        <v>44725</v>
      </c>
      <c r="B2039" s="3" t="str">
        <f>TRIM([1]Raw_Data!B2037)</f>
        <v>Multivitamin</v>
      </c>
      <c r="C2039" s="3" t="str">
        <f>TRIM([1]Raw_Data!C2037)</f>
        <v>Vitamin</v>
      </c>
      <c r="D2039" s="3">
        <f>[1]Raw_Data!D2037</f>
        <v>169</v>
      </c>
      <c r="E2039" s="4">
        <f>[1]Raw_Data!E2037</f>
        <v>48.96</v>
      </c>
      <c r="F2039" s="5">
        <f>[1]Raw_Data!F2037</f>
        <v>8274.24</v>
      </c>
      <c r="G2039" s="4">
        <f>[1]Raw_Data!G2037</f>
        <v>0.18</v>
      </c>
      <c r="H2039" s="3">
        <f>[1]Raw_Data!H2037</f>
        <v>0</v>
      </c>
      <c r="I2039" s="3" t="str">
        <f>TRIM([1]Raw_Data!I2037)</f>
        <v>Canada</v>
      </c>
      <c r="J2039" s="3" t="str">
        <f>TRIM([1]Raw_Data!J2037)</f>
        <v>iHerb</v>
      </c>
      <c r="K2039" s="3">
        <f t="shared" si="124"/>
        <v>2022</v>
      </c>
      <c r="L2039" s="6">
        <f t="shared" si="125"/>
        <v>44713</v>
      </c>
      <c r="M2039" s="3" t="str">
        <f t="shared" si="126"/>
        <v>16% to 20%</v>
      </c>
      <c r="N2039" s="3" t="str">
        <f t="shared" si="127"/>
        <v>OK</v>
      </c>
    </row>
    <row r="2040" spans="1:14" x14ac:dyDescent="0.3">
      <c r="A2040" s="2">
        <f>DATE(VALUE(RIGHT(TRIM([1]Raw_Data!A2038),4)),VALUE(MID(TRIM([1]Raw_Data!A2038),4,2)),VALUE(LEFT(TRIM([1]Raw_Data!A2038),2)))</f>
        <v>44725</v>
      </c>
      <c r="B2040" s="3" t="str">
        <f>TRIM([1]Raw_Data!B2038)</f>
        <v>Pre-Workout</v>
      </c>
      <c r="C2040" s="3" t="str">
        <f>TRIM([1]Raw_Data!C2038)</f>
        <v>Performance</v>
      </c>
      <c r="D2040" s="3">
        <f>[1]Raw_Data!D2038</f>
        <v>153</v>
      </c>
      <c r="E2040" s="4">
        <f>[1]Raw_Data!E2038</f>
        <v>58.37</v>
      </c>
      <c r="F2040" s="5">
        <f>[1]Raw_Data!F2038</f>
        <v>8930.61</v>
      </c>
      <c r="G2040" s="4">
        <f>[1]Raw_Data!G2038</f>
        <v>0.2</v>
      </c>
      <c r="H2040" s="3">
        <f>[1]Raw_Data!H2038</f>
        <v>0</v>
      </c>
      <c r="I2040" s="3" t="str">
        <f>TRIM([1]Raw_Data!I2038)</f>
        <v>USA</v>
      </c>
      <c r="J2040" s="3" t="str">
        <f>TRIM([1]Raw_Data!J2038)</f>
        <v>Amazon</v>
      </c>
      <c r="K2040" s="3">
        <f t="shared" si="124"/>
        <v>2022</v>
      </c>
      <c r="L2040" s="6">
        <f t="shared" si="125"/>
        <v>44713</v>
      </c>
      <c r="M2040" s="3" t="str">
        <f t="shared" si="126"/>
        <v>16% to 20%</v>
      </c>
      <c r="N2040" s="3" t="str">
        <f t="shared" si="127"/>
        <v>OK</v>
      </c>
    </row>
    <row r="2041" spans="1:14" x14ac:dyDescent="0.3">
      <c r="A2041" s="2">
        <f>DATE(VALUE(RIGHT(TRIM([1]Raw_Data!A2039),4)),VALUE(MID(TRIM([1]Raw_Data!A2039),4,2)),VALUE(LEFT(TRIM([1]Raw_Data!A2039),2)))</f>
        <v>44725</v>
      </c>
      <c r="B2041" s="3" t="str">
        <f>TRIM([1]Raw_Data!B2039)</f>
        <v>BCAA</v>
      </c>
      <c r="C2041" s="3" t="str">
        <f>TRIM([1]Raw_Data!C2039)</f>
        <v>Amino Acid</v>
      </c>
      <c r="D2041" s="3">
        <f>[1]Raw_Data!D2039</f>
        <v>133</v>
      </c>
      <c r="E2041" s="4">
        <f>[1]Raw_Data!E2039</f>
        <v>27.24</v>
      </c>
      <c r="F2041" s="5">
        <f>[1]Raw_Data!F2039</f>
        <v>3622.92</v>
      </c>
      <c r="G2041" s="4">
        <f>[1]Raw_Data!G2039</f>
        <v>0.01</v>
      </c>
      <c r="H2041" s="3">
        <f>[1]Raw_Data!H2039</f>
        <v>1</v>
      </c>
      <c r="I2041" s="3" t="str">
        <f>TRIM([1]Raw_Data!I2039)</f>
        <v>Canada</v>
      </c>
      <c r="J2041" s="3" t="str">
        <f>TRIM([1]Raw_Data!J2039)</f>
        <v>Amazon</v>
      </c>
      <c r="K2041" s="3">
        <f t="shared" si="124"/>
        <v>2022</v>
      </c>
      <c r="L2041" s="6">
        <f t="shared" si="125"/>
        <v>44713</v>
      </c>
      <c r="M2041" s="3" t="str">
        <f t="shared" si="126"/>
        <v>0% to 5%</v>
      </c>
      <c r="N2041" s="3" t="str">
        <f t="shared" si="127"/>
        <v>OK</v>
      </c>
    </row>
    <row r="2042" spans="1:14" x14ac:dyDescent="0.3">
      <c r="A2042" s="2">
        <f>DATE(VALUE(RIGHT(TRIM([1]Raw_Data!A2040),4)),VALUE(MID(TRIM([1]Raw_Data!A2040),4,2)),VALUE(LEFT(TRIM([1]Raw_Data!A2040),2)))</f>
        <v>44725</v>
      </c>
      <c r="B2042" s="3" t="str">
        <f>TRIM([1]Raw_Data!B2040)</f>
        <v>Creatine</v>
      </c>
      <c r="C2042" s="3" t="str">
        <f>TRIM([1]Raw_Data!C2040)</f>
        <v>Performance</v>
      </c>
      <c r="D2042" s="3">
        <f>[1]Raw_Data!D2040</f>
        <v>146</v>
      </c>
      <c r="E2042" s="4">
        <f>[1]Raw_Data!E2040</f>
        <v>50.1</v>
      </c>
      <c r="F2042" s="5">
        <f>[1]Raw_Data!F2040</f>
        <v>7314.6</v>
      </c>
      <c r="G2042" s="4">
        <f>[1]Raw_Data!G2040</f>
        <v>0.23</v>
      </c>
      <c r="H2042" s="3">
        <f>[1]Raw_Data!H2040</f>
        <v>2</v>
      </c>
      <c r="I2042" s="3" t="str">
        <f>TRIM([1]Raw_Data!I2040)</f>
        <v>UK</v>
      </c>
      <c r="J2042" s="3" t="str">
        <f>TRIM([1]Raw_Data!J2040)</f>
        <v>iHerb</v>
      </c>
      <c r="K2042" s="3">
        <f t="shared" si="124"/>
        <v>2022</v>
      </c>
      <c r="L2042" s="6">
        <f t="shared" si="125"/>
        <v>44713</v>
      </c>
      <c r="M2042" s="3" t="str">
        <f t="shared" si="126"/>
        <v>21% to 25%</v>
      </c>
      <c r="N2042" s="3" t="str">
        <f t="shared" si="127"/>
        <v>OK</v>
      </c>
    </row>
    <row r="2043" spans="1:14" x14ac:dyDescent="0.3">
      <c r="A2043" s="2">
        <f>DATE(VALUE(RIGHT(TRIM([1]Raw_Data!A2041),4)),VALUE(MID(TRIM([1]Raw_Data!A2041),4,2)),VALUE(LEFT(TRIM([1]Raw_Data!A2041),2)))</f>
        <v>44725</v>
      </c>
      <c r="B2043" s="3" t="str">
        <f>TRIM([1]Raw_Data!B2041)</f>
        <v>Zinc</v>
      </c>
      <c r="C2043" s="3" t="str">
        <f>TRIM([1]Raw_Data!C2041)</f>
        <v>Mineral</v>
      </c>
      <c r="D2043" s="3">
        <f>[1]Raw_Data!D2041</f>
        <v>163</v>
      </c>
      <c r="E2043" s="4">
        <f>[1]Raw_Data!E2041</f>
        <v>23.18</v>
      </c>
      <c r="F2043" s="5">
        <f>[1]Raw_Data!F2041</f>
        <v>3778.34</v>
      </c>
      <c r="G2043" s="4">
        <f>[1]Raw_Data!G2041</f>
        <v>0.05</v>
      </c>
      <c r="H2043" s="3">
        <f>[1]Raw_Data!H2041</f>
        <v>2</v>
      </c>
      <c r="I2043" s="3" t="str">
        <f>TRIM([1]Raw_Data!I2041)</f>
        <v>USA</v>
      </c>
      <c r="J2043" s="3" t="str">
        <f>TRIM([1]Raw_Data!J2041)</f>
        <v>Walmart</v>
      </c>
      <c r="K2043" s="3">
        <f t="shared" si="124"/>
        <v>2022</v>
      </c>
      <c r="L2043" s="6">
        <f t="shared" si="125"/>
        <v>44713</v>
      </c>
      <c r="M2043" s="3" t="str">
        <f t="shared" si="126"/>
        <v>0% to 5%</v>
      </c>
      <c r="N2043" s="3" t="str">
        <f t="shared" si="127"/>
        <v>OK</v>
      </c>
    </row>
    <row r="2044" spans="1:14" x14ac:dyDescent="0.3">
      <c r="A2044" s="2">
        <f>DATE(VALUE(RIGHT(TRIM([1]Raw_Data!A2042),4)),VALUE(MID(TRIM([1]Raw_Data!A2042),4,2)),VALUE(LEFT(TRIM([1]Raw_Data!A2042),2)))</f>
        <v>44725</v>
      </c>
      <c r="B2044" s="3" t="str">
        <f>TRIM([1]Raw_Data!B2042)</f>
        <v>Collagen Peptides</v>
      </c>
      <c r="C2044" s="3" t="str">
        <f>TRIM([1]Raw_Data!C2042)</f>
        <v>Protein</v>
      </c>
      <c r="D2044" s="3">
        <f>[1]Raw_Data!D2042</f>
        <v>177</v>
      </c>
      <c r="E2044" s="4">
        <f>[1]Raw_Data!E2042</f>
        <v>54.07</v>
      </c>
      <c r="F2044" s="5">
        <f>[1]Raw_Data!F2042</f>
        <v>9570.39</v>
      </c>
      <c r="G2044" s="4">
        <f>[1]Raw_Data!G2042</f>
        <v>0.16</v>
      </c>
      <c r="H2044" s="3">
        <f>[1]Raw_Data!H2042</f>
        <v>1</v>
      </c>
      <c r="I2044" s="3" t="str">
        <f>TRIM([1]Raw_Data!I2042)</f>
        <v>USA</v>
      </c>
      <c r="J2044" s="3" t="str">
        <f>TRIM([1]Raw_Data!J2042)</f>
        <v>Walmart</v>
      </c>
      <c r="K2044" s="3">
        <f t="shared" si="124"/>
        <v>2022</v>
      </c>
      <c r="L2044" s="6">
        <f t="shared" si="125"/>
        <v>44713</v>
      </c>
      <c r="M2044" s="3" t="str">
        <f t="shared" si="126"/>
        <v>16% to 20%</v>
      </c>
      <c r="N2044" s="3" t="str">
        <f t="shared" si="127"/>
        <v>OK</v>
      </c>
    </row>
    <row r="2045" spans="1:14" x14ac:dyDescent="0.3">
      <c r="A2045" s="2">
        <f>DATE(VALUE(RIGHT(TRIM([1]Raw_Data!A2043),4)),VALUE(MID(TRIM([1]Raw_Data!A2043),4,2)),VALUE(LEFT(TRIM([1]Raw_Data!A2043),2)))</f>
        <v>44725</v>
      </c>
      <c r="B2045" s="3" t="str">
        <f>TRIM([1]Raw_Data!B2043)</f>
        <v>Magnesium</v>
      </c>
      <c r="C2045" s="3" t="str">
        <f>TRIM([1]Raw_Data!C2043)</f>
        <v>Mineral</v>
      </c>
      <c r="D2045" s="3">
        <f>[1]Raw_Data!D2043</f>
        <v>147</v>
      </c>
      <c r="E2045" s="4">
        <f>[1]Raw_Data!E2043</f>
        <v>11.57</v>
      </c>
      <c r="F2045" s="5">
        <f>[1]Raw_Data!F2043</f>
        <v>1700.79</v>
      </c>
      <c r="G2045" s="4">
        <f>[1]Raw_Data!G2043</f>
        <v>0.17</v>
      </c>
      <c r="H2045" s="3">
        <f>[1]Raw_Data!H2043</f>
        <v>1</v>
      </c>
      <c r="I2045" s="3" t="str">
        <f>TRIM([1]Raw_Data!I2043)</f>
        <v>Canada</v>
      </c>
      <c r="J2045" s="3" t="str">
        <f>TRIM([1]Raw_Data!J2043)</f>
        <v>Walmart</v>
      </c>
      <c r="K2045" s="3">
        <f t="shared" si="124"/>
        <v>2022</v>
      </c>
      <c r="L2045" s="6">
        <f t="shared" si="125"/>
        <v>44713</v>
      </c>
      <c r="M2045" s="3" t="str">
        <f t="shared" si="126"/>
        <v>16% to 20%</v>
      </c>
      <c r="N2045" s="3" t="str">
        <f t="shared" si="127"/>
        <v>OK</v>
      </c>
    </row>
    <row r="2046" spans="1:14" x14ac:dyDescent="0.3">
      <c r="A2046" s="2">
        <f>DATE(VALUE(RIGHT(TRIM([1]Raw_Data!A2044),4)),VALUE(MID(TRIM([1]Raw_Data!A2044),4,2)),VALUE(LEFT(TRIM([1]Raw_Data!A2044),2)))</f>
        <v>44725</v>
      </c>
      <c r="B2046" s="3" t="str">
        <f>TRIM([1]Raw_Data!B2044)</f>
        <v>Ashwagandha</v>
      </c>
      <c r="C2046" s="3" t="str">
        <f>TRIM([1]Raw_Data!C2044)</f>
        <v>Herbal</v>
      </c>
      <c r="D2046" s="3">
        <f>[1]Raw_Data!D2044</f>
        <v>152</v>
      </c>
      <c r="E2046" s="4">
        <f>[1]Raw_Data!E2044</f>
        <v>23.87</v>
      </c>
      <c r="F2046" s="5">
        <f>[1]Raw_Data!F2044</f>
        <v>3628.24</v>
      </c>
      <c r="G2046" s="4">
        <f>[1]Raw_Data!G2044</f>
        <v>0.12</v>
      </c>
      <c r="H2046" s="3">
        <f>[1]Raw_Data!H2044</f>
        <v>1</v>
      </c>
      <c r="I2046" s="3" t="str">
        <f>TRIM([1]Raw_Data!I2044)</f>
        <v>UK</v>
      </c>
      <c r="J2046" s="3" t="str">
        <f>TRIM([1]Raw_Data!J2044)</f>
        <v>Amazon</v>
      </c>
      <c r="K2046" s="3">
        <f t="shared" si="124"/>
        <v>2022</v>
      </c>
      <c r="L2046" s="6">
        <f t="shared" si="125"/>
        <v>44713</v>
      </c>
      <c r="M2046" s="3" t="str">
        <f t="shared" si="126"/>
        <v>11% to 15%</v>
      </c>
      <c r="N2046" s="3" t="str">
        <f t="shared" si="127"/>
        <v>OK</v>
      </c>
    </row>
    <row r="2047" spans="1:14" x14ac:dyDescent="0.3">
      <c r="A2047" s="2">
        <f>DATE(VALUE(RIGHT(TRIM([1]Raw_Data!A2045),4)),VALUE(MID(TRIM([1]Raw_Data!A2045),4,2)),VALUE(LEFT(TRIM([1]Raw_Data!A2045),2)))</f>
        <v>44725</v>
      </c>
      <c r="B2047" s="3" t="str">
        <f>TRIM([1]Raw_Data!B2045)</f>
        <v>Melatonin</v>
      </c>
      <c r="C2047" s="3" t="str">
        <f>TRIM([1]Raw_Data!C2045)</f>
        <v>Sleep Aid</v>
      </c>
      <c r="D2047" s="3">
        <f>[1]Raw_Data!D2045</f>
        <v>146</v>
      </c>
      <c r="E2047" s="4">
        <f>[1]Raw_Data!E2045</f>
        <v>32.56</v>
      </c>
      <c r="F2047" s="5">
        <f>[1]Raw_Data!F2045</f>
        <v>4753.76</v>
      </c>
      <c r="G2047" s="4">
        <f>[1]Raw_Data!G2045</f>
        <v>0.15</v>
      </c>
      <c r="H2047" s="3">
        <f>[1]Raw_Data!H2045</f>
        <v>3</v>
      </c>
      <c r="I2047" s="3" t="str">
        <f>TRIM([1]Raw_Data!I2045)</f>
        <v>UK</v>
      </c>
      <c r="J2047" s="3" t="str">
        <f>TRIM([1]Raw_Data!J2045)</f>
        <v>iHerb</v>
      </c>
      <c r="K2047" s="3">
        <f t="shared" si="124"/>
        <v>2022</v>
      </c>
      <c r="L2047" s="6">
        <f t="shared" si="125"/>
        <v>44713</v>
      </c>
      <c r="M2047" s="3" t="str">
        <f t="shared" si="126"/>
        <v>11% to 15%</v>
      </c>
      <c r="N2047" s="3" t="str">
        <f t="shared" si="127"/>
        <v>OK</v>
      </c>
    </row>
    <row r="2048" spans="1:14" x14ac:dyDescent="0.3">
      <c r="A2048" s="2">
        <f>DATE(VALUE(RIGHT(TRIM([1]Raw_Data!A2046),4)),VALUE(MID(TRIM([1]Raw_Data!A2046),4,2)),VALUE(LEFT(TRIM([1]Raw_Data!A2046),2)))</f>
        <v>44725</v>
      </c>
      <c r="B2048" s="3" t="str">
        <f>TRIM([1]Raw_Data!B2046)</f>
        <v>Biotin</v>
      </c>
      <c r="C2048" s="3" t="str">
        <f>TRIM([1]Raw_Data!C2046)</f>
        <v>Vitamin</v>
      </c>
      <c r="D2048" s="3">
        <f>[1]Raw_Data!D2046</f>
        <v>141</v>
      </c>
      <c r="E2048" s="4">
        <f>[1]Raw_Data!E2046</f>
        <v>23.05</v>
      </c>
      <c r="F2048" s="5">
        <f>[1]Raw_Data!F2046</f>
        <v>3250.05</v>
      </c>
      <c r="G2048" s="4">
        <f>[1]Raw_Data!G2046</f>
        <v>7.0000000000000007E-2</v>
      </c>
      <c r="H2048" s="3">
        <f>[1]Raw_Data!H2046</f>
        <v>3</v>
      </c>
      <c r="I2048" s="3" t="str">
        <f>TRIM([1]Raw_Data!I2046)</f>
        <v>UK</v>
      </c>
      <c r="J2048" s="3" t="str">
        <f>TRIM([1]Raw_Data!J2046)</f>
        <v>Walmart</v>
      </c>
      <c r="K2048" s="3">
        <f t="shared" si="124"/>
        <v>2022</v>
      </c>
      <c r="L2048" s="6">
        <f t="shared" si="125"/>
        <v>44713</v>
      </c>
      <c r="M2048" s="3" t="str">
        <f t="shared" si="126"/>
        <v>6% to 10%</v>
      </c>
      <c r="N2048" s="3" t="str">
        <f t="shared" si="127"/>
        <v>OK</v>
      </c>
    </row>
    <row r="2049" spans="1:14" x14ac:dyDescent="0.3">
      <c r="A2049" s="2">
        <f>DATE(VALUE(RIGHT(TRIM([1]Raw_Data!A2047),4)),VALUE(MID(TRIM([1]Raw_Data!A2047),4,2)),VALUE(LEFT(TRIM([1]Raw_Data!A2047),2)))</f>
        <v>44725</v>
      </c>
      <c r="B2049" s="3" t="str">
        <f>TRIM([1]Raw_Data!B2047)</f>
        <v>Green Tea Extract</v>
      </c>
      <c r="C2049" s="3" t="str">
        <f>TRIM([1]Raw_Data!C2047)</f>
        <v>Fat Burner</v>
      </c>
      <c r="D2049" s="3">
        <f>[1]Raw_Data!D2047</f>
        <v>155</v>
      </c>
      <c r="E2049" s="4">
        <f>[1]Raw_Data!E2047</f>
        <v>16.77</v>
      </c>
      <c r="F2049" s="5">
        <f>[1]Raw_Data!F2047</f>
        <v>2599.35</v>
      </c>
      <c r="G2049" s="4">
        <f>[1]Raw_Data!G2047</f>
        <v>0.04</v>
      </c>
      <c r="H2049" s="3">
        <f>[1]Raw_Data!H2047</f>
        <v>2</v>
      </c>
      <c r="I2049" s="3" t="str">
        <f>TRIM([1]Raw_Data!I2047)</f>
        <v>UK</v>
      </c>
      <c r="J2049" s="3" t="str">
        <f>TRIM([1]Raw_Data!J2047)</f>
        <v>iHerb</v>
      </c>
      <c r="K2049" s="3">
        <f t="shared" si="124"/>
        <v>2022</v>
      </c>
      <c r="L2049" s="6">
        <f t="shared" si="125"/>
        <v>44713</v>
      </c>
      <c r="M2049" s="3" t="str">
        <f t="shared" si="126"/>
        <v>0% to 5%</v>
      </c>
      <c r="N2049" s="3" t="str">
        <f t="shared" si="127"/>
        <v>OK</v>
      </c>
    </row>
    <row r="2050" spans="1:14" x14ac:dyDescent="0.3">
      <c r="A2050" s="2">
        <f>DATE(VALUE(RIGHT(TRIM([1]Raw_Data!A2048),4)),VALUE(MID(TRIM([1]Raw_Data!A2048),4,2)),VALUE(LEFT(TRIM([1]Raw_Data!A2048),2)))</f>
        <v>44725</v>
      </c>
      <c r="B2050" s="3" t="str">
        <f>TRIM([1]Raw_Data!B2048)</f>
        <v>Iron Supplement</v>
      </c>
      <c r="C2050" s="3" t="str">
        <f>TRIM([1]Raw_Data!C2048)</f>
        <v>Mineral</v>
      </c>
      <c r="D2050" s="3">
        <f>[1]Raw_Data!D2048</f>
        <v>159</v>
      </c>
      <c r="E2050" s="4">
        <f>[1]Raw_Data!E2048</f>
        <v>57.03</v>
      </c>
      <c r="F2050" s="5">
        <f>[1]Raw_Data!F2048</f>
        <v>9067.77</v>
      </c>
      <c r="G2050" s="4">
        <f>[1]Raw_Data!G2048</f>
        <v>0.05</v>
      </c>
      <c r="H2050" s="3">
        <f>[1]Raw_Data!H2048</f>
        <v>1</v>
      </c>
      <c r="I2050" s="3" t="str">
        <f>TRIM([1]Raw_Data!I2048)</f>
        <v>USA</v>
      </c>
      <c r="J2050" s="3" t="str">
        <f>TRIM([1]Raw_Data!J2048)</f>
        <v>iHerb</v>
      </c>
      <c r="K2050" s="3">
        <f t="shared" si="124"/>
        <v>2022</v>
      </c>
      <c r="L2050" s="6">
        <f t="shared" si="125"/>
        <v>44713</v>
      </c>
      <c r="M2050" s="3" t="str">
        <f t="shared" si="126"/>
        <v>0% to 5%</v>
      </c>
      <c r="N2050" s="3" t="str">
        <f t="shared" si="127"/>
        <v>OK</v>
      </c>
    </row>
    <row r="2051" spans="1:14" x14ac:dyDescent="0.3">
      <c r="A2051" s="2">
        <f>DATE(VALUE(RIGHT(TRIM([1]Raw_Data!A2049),4)),VALUE(MID(TRIM([1]Raw_Data!A2049),4,2)),VALUE(LEFT(TRIM([1]Raw_Data!A2049),2)))</f>
        <v>44725</v>
      </c>
      <c r="B2051" s="3" t="str">
        <f>TRIM([1]Raw_Data!B2049)</f>
        <v>Electrolyte Powder</v>
      </c>
      <c r="C2051" s="3" t="str">
        <f>TRIM([1]Raw_Data!C2049)</f>
        <v>Hydration</v>
      </c>
      <c r="D2051" s="3">
        <f>[1]Raw_Data!D2049</f>
        <v>140</v>
      </c>
      <c r="E2051" s="4">
        <f>[1]Raw_Data!E2049</f>
        <v>55.73</v>
      </c>
      <c r="F2051" s="5">
        <f>[1]Raw_Data!F2049</f>
        <v>7802.2</v>
      </c>
      <c r="G2051" s="4">
        <f>[1]Raw_Data!G2049</f>
        <v>0.14000000000000001</v>
      </c>
      <c r="H2051" s="3">
        <f>[1]Raw_Data!H2049</f>
        <v>2</v>
      </c>
      <c r="I2051" s="3" t="str">
        <f>TRIM([1]Raw_Data!I2049)</f>
        <v>Canada</v>
      </c>
      <c r="J2051" s="3" t="str">
        <f>TRIM([1]Raw_Data!J2049)</f>
        <v>Amazon</v>
      </c>
      <c r="K2051" s="3">
        <f t="shared" si="124"/>
        <v>2022</v>
      </c>
      <c r="L2051" s="6">
        <f t="shared" si="125"/>
        <v>44713</v>
      </c>
      <c r="M2051" s="3" t="str">
        <f t="shared" si="126"/>
        <v>11% to 15%</v>
      </c>
      <c r="N2051" s="3" t="str">
        <f t="shared" si="127"/>
        <v>OK</v>
      </c>
    </row>
    <row r="2052" spans="1:14" x14ac:dyDescent="0.3">
      <c r="A2052" s="2">
        <f>DATE(VALUE(RIGHT(TRIM([1]Raw_Data!A2050),4)),VALUE(MID(TRIM([1]Raw_Data!A2050),4,2)),VALUE(LEFT(TRIM([1]Raw_Data!A2050),2)))</f>
        <v>44732</v>
      </c>
      <c r="B2052" s="3" t="str">
        <f>TRIM([1]Raw_Data!B2050)</f>
        <v>Whey Protein</v>
      </c>
      <c r="C2052" s="3" t="str">
        <f>TRIM([1]Raw_Data!C2050)</f>
        <v>Protein</v>
      </c>
      <c r="D2052" s="3">
        <f>[1]Raw_Data!D2050</f>
        <v>150</v>
      </c>
      <c r="E2052" s="4">
        <f>[1]Raw_Data!E2050</f>
        <v>13.21</v>
      </c>
      <c r="F2052" s="5">
        <f>[1]Raw_Data!F2050</f>
        <v>1981.5</v>
      </c>
      <c r="G2052" s="4">
        <f>[1]Raw_Data!G2050</f>
        <v>0.13</v>
      </c>
      <c r="H2052" s="3">
        <f>[1]Raw_Data!H2050</f>
        <v>2</v>
      </c>
      <c r="I2052" s="3" t="str">
        <f>TRIM([1]Raw_Data!I2050)</f>
        <v>Canada</v>
      </c>
      <c r="J2052" s="3" t="str">
        <f>TRIM([1]Raw_Data!J2050)</f>
        <v>Amazon</v>
      </c>
      <c r="K2052" s="3">
        <f t="shared" ref="K2052:K2115" si="128">YEAR(A2052)</f>
        <v>2022</v>
      </c>
      <c r="L2052" s="6">
        <f t="shared" ref="L2052:L2115" si="129">DATE(YEAR(A2052),MONTH(A2052),1)</f>
        <v>44713</v>
      </c>
      <c r="M2052" s="3" t="str">
        <f t="shared" ref="M2052:M2115" si="130">IF(ROUND(G2052*100,0)&lt;=5,"0% to 5%",IF(ROUND(G2052*100,0)&lt;=10,"6% to 10%",IF(ROUND(G2052*100,0)&lt;=15,"11% to 15%",IF(ROUND(G2052*100,0)&lt;=20,"16% to 20%","21% to 25%"))))</f>
        <v>11% to 15%</v>
      </c>
      <c r="N2052" s="3" t="str">
        <f t="shared" ref="N2052:N2115" si="131">IF(ROUND(D2052*E2052,2)=ROUND(F2052,2),"OK","Check")</f>
        <v>OK</v>
      </c>
    </row>
    <row r="2053" spans="1:14" x14ac:dyDescent="0.3">
      <c r="A2053" s="2">
        <f>DATE(VALUE(RIGHT(TRIM([1]Raw_Data!A2051),4)),VALUE(MID(TRIM([1]Raw_Data!A2051),4,2)),VALUE(LEFT(TRIM([1]Raw_Data!A2051),2)))</f>
        <v>44732</v>
      </c>
      <c r="B2053" s="3" t="str">
        <f>TRIM([1]Raw_Data!B2051)</f>
        <v>Vitamin C</v>
      </c>
      <c r="C2053" s="3" t="str">
        <f>TRIM([1]Raw_Data!C2051)</f>
        <v>Vitamin</v>
      </c>
      <c r="D2053" s="3">
        <f>[1]Raw_Data!D2051</f>
        <v>139</v>
      </c>
      <c r="E2053" s="4">
        <f>[1]Raw_Data!E2051</f>
        <v>50.53</v>
      </c>
      <c r="F2053" s="5">
        <f>[1]Raw_Data!F2051</f>
        <v>7023.67</v>
      </c>
      <c r="G2053" s="4">
        <f>[1]Raw_Data!G2051</f>
        <v>0.1</v>
      </c>
      <c r="H2053" s="3">
        <f>[1]Raw_Data!H2051</f>
        <v>2</v>
      </c>
      <c r="I2053" s="3" t="str">
        <f>TRIM([1]Raw_Data!I2051)</f>
        <v>USA</v>
      </c>
      <c r="J2053" s="3" t="str">
        <f>TRIM([1]Raw_Data!J2051)</f>
        <v>Amazon</v>
      </c>
      <c r="K2053" s="3">
        <f t="shared" si="128"/>
        <v>2022</v>
      </c>
      <c r="L2053" s="6">
        <f t="shared" si="129"/>
        <v>44713</v>
      </c>
      <c r="M2053" s="3" t="str">
        <f t="shared" si="130"/>
        <v>6% to 10%</v>
      </c>
      <c r="N2053" s="3" t="str">
        <f t="shared" si="131"/>
        <v>OK</v>
      </c>
    </row>
    <row r="2054" spans="1:14" x14ac:dyDescent="0.3">
      <c r="A2054" s="2">
        <f>DATE(VALUE(RIGHT(TRIM([1]Raw_Data!A2052),4)),VALUE(MID(TRIM([1]Raw_Data!A2052),4,2)),VALUE(LEFT(TRIM([1]Raw_Data!A2052),2)))</f>
        <v>44732</v>
      </c>
      <c r="B2054" s="3" t="str">
        <f>TRIM([1]Raw_Data!B2052)</f>
        <v>Fish Oil</v>
      </c>
      <c r="C2054" s="3" t="str">
        <f>TRIM([1]Raw_Data!C2052)</f>
        <v>Omega</v>
      </c>
      <c r="D2054" s="3">
        <f>[1]Raw_Data!D2052</f>
        <v>147</v>
      </c>
      <c r="E2054" s="4">
        <f>[1]Raw_Data!E2052</f>
        <v>48.2</v>
      </c>
      <c r="F2054" s="5">
        <f>[1]Raw_Data!F2052</f>
        <v>7085.4</v>
      </c>
      <c r="G2054" s="4">
        <f>[1]Raw_Data!G2052</f>
        <v>0.25</v>
      </c>
      <c r="H2054" s="3">
        <f>[1]Raw_Data!H2052</f>
        <v>1</v>
      </c>
      <c r="I2054" s="3" t="str">
        <f>TRIM([1]Raw_Data!I2052)</f>
        <v>USA</v>
      </c>
      <c r="J2054" s="3" t="str">
        <f>TRIM([1]Raw_Data!J2052)</f>
        <v>Amazon</v>
      </c>
      <c r="K2054" s="3">
        <f t="shared" si="128"/>
        <v>2022</v>
      </c>
      <c r="L2054" s="6">
        <f t="shared" si="129"/>
        <v>44713</v>
      </c>
      <c r="M2054" s="3" t="str">
        <f t="shared" si="130"/>
        <v>21% to 25%</v>
      </c>
      <c r="N2054" s="3" t="str">
        <f t="shared" si="131"/>
        <v>OK</v>
      </c>
    </row>
    <row r="2055" spans="1:14" x14ac:dyDescent="0.3">
      <c r="A2055" s="2">
        <f>DATE(VALUE(RIGHT(TRIM([1]Raw_Data!A2053),4)),VALUE(MID(TRIM([1]Raw_Data!A2053),4,2)),VALUE(LEFT(TRIM([1]Raw_Data!A2053),2)))</f>
        <v>44732</v>
      </c>
      <c r="B2055" s="3" t="str">
        <f>TRIM([1]Raw_Data!B2053)</f>
        <v>Multivitamin</v>
      </c>
      <c r="C2055" s="3" t="str">
        <f>TRIM([1]Raw_Data!C2053)</f>
        <v>Vitamin</v>
      </c>
      <c r="D2055" s="3">
        <f>[1]Raw_Data!D2053</f>
        <v>147</v>
      </c>
      <c r="E2055" s="4">
        <f>[1]Raw_Data!E2053</f>
        <v>20.2</v>
      </c>
      <c r="F2055" s="5">
        <f>[1]Raw_Data!F2053</f>
        <v>2969.4</v>
      </c>
      <c r="G2055" s="4">
        <f>[1]Raw_Data!G2053</f>
        <v>0.17</v>
      </c>
      <c r="H2055" s="3">
        <f>[1]Raw_Data!H2053</f>
        <v>3</v>
      </c>
      <c r="I2055" s="3" t="str">
        <f>TRIM([1]Raw_Data!I2053)</f>
        <v>UK</v>
      </c>
      <c r="J2055" s="3" t="str">
        <f>TRIM([1]Raw_Data!J2053)</f>
        <v>Amazon</v>
      </c>
      <c r="K2055" s="3">
        <f t="shared" si="128"/>
        <v>2022</v>
      </c>
      <c r="L2055" s="6">
        <f t="shared" si="129"/>
        <v>44713</v>
      </c>
      <c r="M2055" s="3" t="str">
        <f t="shared" si="130"/>
        <v>16% to 20%</v>
      </c>
      <c r="N2055" s="3" t="str">
        <f t="shared" si="131"/>
        <v>OK</v>
      </c>
    </row>
    <row r="2056" spans="1:14" x14ac:dyDescent="0.3">
      <c r="A2056" s="2">
        <f>DATE(VALUE(RIGHT(TRIM([1]Raw_Data!A2054),4)),VALUE(MID(TRIM([1]Raw_Data!A2054),4,2)),VALUE(LEFT(TRIM([1]Raw_Data!A2054),2)))</f>
        <v>44732</v>
      </c>
      <c r="B2056" s="3" t="str">
        <f>TRIM([1]Raw_Data!B2054)</f>
        <v>Pre-Workout</v>
      </c>
      <c r="C2056" s="3" t="str">
        <f>TRIM([1]Raw_Data!C2054)</f>
        <v>Performance</v>
      </c>
      <c r="D2056" s="3">
        <f>[1]Raw_Data!D2054</f>
        <v>146</v>
      </c>
      <c r="E2056" s="4">
        <f>[1]Raw_Data!E2054</f>
        <v>24.25</v>
      </c>
      <c r="F2056" s="5">
        <f>[1]Raw_Data!F2054</f>
        <v>3540.5</v>
      </c>
      <c r="G2056" s="4">
        <f>[1]Raw_Data!G2054</f>
        <v>0.11</v>
      </c>
      <c r="H2056" s="3">
        <f>[1]Raw_Data!H2054</f>
        <v>1</v>
      </c>
      <c r="I2056" s="3" t="str">
        <f>TRIM([1]Raw_Data!I2054)</f>
        <v>UK</v>
      </c>
      <c r="J2056" s="3" t="str">
        <f>TRIM([1]Raw_Data!J2054)</f>
        <v>Walmart</v>
      </c>
      <c r="K2056" s="3">
        <f t="shared" si="128"/>
        <v>2022</v>
      </c>
      <c r="L2056" s="6">
        <f t="shared" si="129"/>
        <v>44713</v>
      </c>
      <c r="M2056" s="3" t="str">
        <f t="shared" si="130"/>
        <v>11% to 15%</v>
      </c>
      <c r="N2056" s="3" t="str">
        <f t="shared" si="131"/>
        <v>OK</v>
      </c>
    </row>
    <row r="2057" spans="1:14" x14ac:dyDescent="0.3">
      <c r="A2057" s="2">
        <f>DATE(VALUE(RIGHT(TRIM([1]Raw_Data!A2055),4)),VALUE(MID(TRIM([1]Raw_Data!A2055),4,2)),VALUE(LEFT(TRIM([1]Raw_Data!A2055),2)))</f>
        <v>44732</v>
      </c>
      <c r="B2057" s="3" t="str">
        <f>TRIM([1]Raw_Data!B2055)</f>
        <v>BCAA</v>
      </c>
      <c r="C2057" s="3" t="str">
        <f>TRIM([1]Raw_Data!C2055)</f>
        <v>Amino Acid</v>
      </c>
      <c r="D2057" s="3">
        <f>[1]Raw_Data!D2055</f>
        <v>140</v>
      </c>
      <c r="E2057" s="4">
        <f>[1]Raw_Data!E2055</f>
        <v>10.39</v>
      </c>
      <c r="F2057" s="5">
        <f>[1]Raw_Data!F2055</f>
        <v>1454.6</v>
      </c>
      <c r="G2057" s="4">
        <f>[1]Raw_Data!G2055</f>
        <v>0.13</v>
      </c>
      <c r="H2057" s="3">
        <f>[1]Raw_Data!H2055</f>
        <v>2</v>
      </c>
      <c r="I2057" s="3" t="str">
        <f>TRIM([1]Raw_Data!I2055)</f>
        <v>UK</v>
      </c>
      <c r="J2057" s="3" t="str">
        <f>TRIM([1]Raw_Data!J2055)</f>
        <v>Amazon</v>
      </c>
      <c r="K2057" s="3">
        <f t="shared" si="128"/>
        <v>2022</v>
      </c>
      <c r="L2057" s="6">
        <f t="shared" si="129"/>
        <v>44713</v>
      </c>
      <c r="M2057" s="3" t="str">
        <f t="shared" si="130"/>
        <v>11% to 15%</v>
      </c>
      <c r="N2057" s="3" t="str">
        <f t="shared" si="131"/>
        <v>OK</v>
      </c>
    </row>
    <row r="2058" spans="1:14" x14ac:dyDescent="0.3">
      <c r="A2058" s="2">
        <f>DATE(VALUE(RIGHT(TRIM([1]Raw_Data!A2056),4)),VALUE(MID(TRIM([1]Raw_Data!A2056),4,2)),VALUE(LEFT(TRIM([1]Raw_Data!A2056),2)))</f>
        <v>44732</v>
      </c>
      <c r="B2058" s="3" t="str">
        <f>TRIM([1]Raw_Data!B2056)</f>
        <v>Creatine</v>
      </c>
      <c r="C2058" s="3" t="str">
        <f>TRIM([1]Raw_Data!C2056)</f>
        <v>Performance</v>
      </c>
      <c r="D2058" s="3">
        <f>[1]Raw_Data!D2056</f>
        <v>141</v>
      </c>
      <c r="E2058" s="4">
        <f>[1]Raw_Data!E2056</f>
        <v>43.45</v>
      </c>
      <c r="F2058" s="5">
        <f>[1]Raw_Data!F2056</f>
        <v>6126.45</v>
      </c>
      <c r="G2058" s="4">
        <f>[1]Raw_Data!G2056</f>
        <v>0.16</v>
      </c>
      <c r="H2058" s="3">
        <f>[1]Raw_Data!H2056</f>
        <v>1</v>
      </c>
      <c r="I2058" s="3" t="str">
        <f>TRIM([1]Raw_Data!I2056)</f>
        <v>Canada</v>
      </c>
      <c r="J2058" s="3" t="str">
        <f>TRIM([1]Raw_Data!J2056)</f>
        <v>Walmart</v>
      </c>
      <c r="K2058" s="3">
        <f t="shared" si="128"/>
        <v>2022</v>
      </c>
      <c r="L2058" s="6">
        <f t="shared" si="129"/>
        <v>44713</v>
      </c>
      <c r="M2058" s="3" t="str">
        <f t="shared" si="130"/>
        <v>16% to 20%</v>
      </c>
      <c r="N2058" s="3" t="str">
        <f t="shared" si="131"/>
        <v>OK</v>
      </c>
    </row>
    <row r="2059" spans="1:14" x14ac:dyDescent="0.3">
      <c r="A2059" s="2">
        <f>DATE(VALUE(RIGHT(TRIM([1]Raw_Data!A2057),4)),VALUE(MID(TRIM([1]Raw_Data!A2057),4,2)),VALUE(LEFT(TRIM([1]Raw_Data!A2057),2)))</f>
        <v>44732</v>
      </c>
      <c r="B2059" s="3" t="str">
        <f>TRIM([1]Raw_Data!B2057)</f>
        <v>Zinc</v>
      </c>
      <c r="C2059" s="3" t="str">
        <f>TRIM([1]Raw_Data!C2057)</f>
        <v>Mineral</v>
      </c>
      <c r="D2059" s="3">
        <f>[1]Raw_Data!D2057</f>
        <v>144</v>
      </c>
      <c r="E2059" s="4">
        <f>[1]Raw_Data!E2057</f>
        <v>47.92</v>
      </c>
      <c r="F2059" s="5">
        <f>[1]Raw_Data!F2057</f>
        <v>6900.48</v>
      </c>
      <c r="G2059" s="4">
        <f>[1]Raw_Data!G2057</f>
        <v>0.08</v>
      </c>
      <c r="H2059" s="3">
        <f>[1]Raw_Data!H2057</f>
        <v>0</v>
      </c>
      <c r="I2059" s="3" t="str">
        <f>TRIM([1]Raw_Data!I2057)</f>
        <v>Canada</v>
      </c>
      <c r="J2059" s="3" t="str">
        <f>TRIM([1]Raw_Data!J2057)</f>
        <v>Amazon</v>
      </c>
      <c r="K2059" s="3">
        <f t="shared" si="128"/>
        <v>2022</v>
      </c>
      <c r="L2059" s="6">
        <f t="shared" si="129"/>
        <v>44713</v>
      </c>
      <c r="M2059" s="3" t="str">
        <f t="shared" si="130"/>
        <v>6% to 10%</v>
      </c>
      <c r="N2059" s="3" t="str">
        <f t="shared" si="131"/>
        <v>OK</v>
      </c>
    </row>
    <row r="2060" spans="1:14" x14ac:dyDescent="0.3">
      <c r="A2060" s="2">
        <f>DATE(VALUE(RIGHT(TRIM([1]Raw_Data!A2058),4)),VALUE(MID(TRIM([1]Raw_Data!A2058),4,2)),VALUE(LEFT(TRIM([1]Raw_Data!A2058),2)))</f>
        <v>44732</v>
      </c>
      <c r="B2060" s="3" t="str">
        <f>TRIM([1]Raw_Data!B2058)</f>
        <v>Collagen Peptides</v>
      </c>
      <c r="C2060" s="3" t="str">
        <f>TRIM([1]Raw_Data!C2058)</f>
        <v>Protein</v>
      </c>
      <c r="D2060" s="3">
        <f>[1]Raw_Data!D2058</f>
        <v>128</v>
      </c>
      <c r="E2060" s="4">
        <f>[1]Raw_Data!E2058</f>
        <v>39.14</v>
      </c>
      <c r="F2060" s="5">
        <f>[1]Raw_Data!F2058</f>
        <v>5009.92</v>
      </c>
      <c r="G2060" s="4">
        <f>[1]Raw_Data!G2058</f>
        <v>0.01</v>
      </c>
      <c r="H2060" s="3">
        <f>[1]Raw_Data!H2058</f>
        <v>1</v>
      </c>
      <c r="I2060" s="3" t="str">
        <f>TRIM([1]Raw_Data!I2058)</f>
        <v>UK</v>
      </c>
      <c r="J2060" s="3" t="str">
        <f>TRIM([1]Raw_Data!J2058)</f>
        <v>Walmart</v>
      </c>
      <c r="K2060" s="3">
        <f t="shared" si="128"/>
        <v>2022</v>
      </c>
      <c r="L2060" s="6">
        <f t="shared" si="129"/>
        <v>44713</v>
      </c>
      <c r="M2060" s="3" t="str">
        <f t="shared" si="130"/>
        <v>0% to 5%</v>
      </c>
      <c r="N2060" s="3" t="str">
        <f t="shared" si="131"/>
        <v>OK</v>
      </c>
    </row>
    <row r="2061" spans="1:14" x14ac:dyDescent="0.3">
      <c r="A2061" s="2">
        <f>DATE(VALUE(RIGHT(TRIM([1]Raw_Data!A2059),4)),VALUE(MID(TRIM([1]Raw_Data!A2059),4,2)),VALUE(LEFT(TRIM([1]Raw_Data!A2059),2)))</f>
        <v>44732</v>
      </c>
      <c r="B2061" s="3" t="str">
        <f>TRIM([1]Raw_Data!B2059)</f>
        <v>Magnesium</v>
      </c>
      <c r="C2061" s="3" t="str">
        <f>TRIM([1]Raw_Data!C2059)</f>
        <v>Mineral</v>
      </c>
      <c r="D2061" s="3">
        <f>[1]Raw_Data!D2059</f>
        <v>160</v>
      </c>
      <c r="E2061" s="4">
        <f>[1]Raw_Data!E2059</f>
        <v>48.17</v>
      </c>
      <c r="F2061" s="5">
        <f>[1]Raw_Data!F2059</f>
        <v>7707.2</v>
      </c>
      <c r="G2061" s="4">
        <f>[1]Raw_Data!G2059</f>
        <v>0.19</v>
      </c>
      <c r="H2061" s="3">
        <f>[1]Raw_Data!H2059</f>
        <v>1</v>
      </c>
      <c r="I2061" s="3" t="str">
        <f>TRIM([1]Raw_Data!I2059)</f>
        <v>UK</v>
      </c>
      <c r="J2061" s="3" t="str">
        <f>TRIM([1]Raw_Data!J2059)</f>
        <v>Walmart</v>
      </c>
      <c r="K2061" s="3">
        <f t="shared" si="128"/>
        <v>2022</v>
      </c>
      <c r="L2061" s="6">
        <f t="shared" si="129"/>
        <v>44713</v>
      </c>
      <c r="M2061" s="3" t="str">
        <f t="shared" si="130"/>
        <v>16% to 20%</v>
      </c>
      <c r="N2061" s="3" t="str">
        <f t="shared" si="131"/>
        <v>OK</v>
      </c>
    </row>
    <row r="2062" spans="1:14" x14ac:dyDescent="0.3">
      <c r="A2062" s="2">
        <f>DATE(VALUE(RIGHT(TRIM([1]Raw_Data!A2060),4)),VALUE(MID(TRIM([1]Raw_Data!A2060),4,2)),VALUE(LEFT(TRIM([1]Raw_Data!A2060),2)))</f>
        <v>44732</v>
      </c>
      <c r="B2062" s="3" t="str">
        <f>TRIM([1]Raw_Data!B2060)</f>
        <v>Ashwagandha</v>
      </c>
      <c r="C2062" s="3" t="str">
        <f>TRIM([1]Raw_Data!C2060)</f>
        <v>Herbal</v>
      </c>
      <c r="D2062" s="3">
        <f>[1]Raw_Data!D2060</f>
        <v>158</v>
      </c>
      <c r="E2062" s="4">
        <f>[1]Raw_Data!E2060</f>
        <v>29.87</v>
      </c>
      <c r="F2062" s="5">
        <f>[1]Raw_Data!F2060</f>
        <v>4719.46</v>
      </c>
      <c r="G2062" s="4">
        <f>[1]Raw_Data!G2060</f>
        <v>0.05</v>
      </c>
      <c r="H2062" s="3">
        <f>[1]Raw_Data!H2060</f>
        <v>1</v>
      </c>
      <c r="I2062" s="3" t="str">
        <f>TRIM([1]Raw_Data!I2060)</f>
        <v>USA</v>
      </c>
      <c r="J2062" s="3" t="str">
        <f>TRIM([1]Raw_Data!J2060)</f>
        <v>Walmart</v>
      </c>
      <c r="K2062" s="3">
        <f t="shared" si="128"/>
        <v>2022</v>
      </c>
      <c r="L2062" s="6">
        <f t="shared" si="129"/>
        <v>44713</v>
      </c>
      <c r="M2062" s="3" t="str">
        <f t="shared" si="130"/>
        <v>0% to 5%</v>
      </c>
      <c r="N2062" s="3" t="str">
        <f t="shared" si="131"/>
        <v>OK</v>
      </c>
    </row>
    <row r="2063" spans="1:14" x14ac:dyDescent="0.3">
      <c r="A2063" s="2">
        <f>DATE(VALUE(RIGHT(TRIM([1]Raw_Data!A2061),4)),VALUE(MID(TRIM([1]Raw_Data!A2061),4,2)),VALUE(LEFT(TRIM([1]Raw_Data!A2061),2)))</f>
        <v>44732</v>
      </c>
      <c r="B2063" s="3" t="str">
        <f>TRIM([1]Raw_Data!B2061)</f>
        <v>Melatonin</v>
      </c>
      <c r="C2063" s="3" t="str">
        <f>TRIM([1]Raw_Data!C2061)</f>
        <v>Sleep Aid</v>
      </c>
      <c r="D2063" s="3">
        <f>[1]Raw_Data!D2061</f>
        <v>171</v>
      </c>
      <c r="E2063" s="4">
        <f>[1]Raw_Data!E2061</f>
        <v>18.649999999999999</v>
      </c>
      <c r="F2063" s="5">
        <f>[1]Raw_Data!F2061</f>
        <v>3189.15</v>
      </c>
      <c r="G2063" s="4">
        <f>[1]Raw_Data!G2061</f>
        <v>0.17</v>
      </c>
      <c r="H2063" s="3">
        <f>[1]Raw_Data!H2061</f>
        <v>1</v>
      </c>
      <c r="I2063" s="3" t="str">
        <f>TRIM([1]Raw_Data!I2061)</f>
        <v>USA</v>
      </c>
      <c r="J2063" s="3" t="str">
        <f>TRIM([1]Raw_Data!J2061)</f>
        <v>iHerb</v>
      </c>
      <c r="K2063" s="3">
        <f t="shared" si="128"/>
        <v>2022</v>
      </c>
      <c r="L2063" s="6">
        <f t="shared" si="129"/>
        <v>44713</v>
      </c>
      <c r="M2063" s="3" t="str">
        <f t="shared" si="130"/>
        <v>16% to 20%</v>
      </c>
      <c r="N2063" s="3" t="str">
        <f t="shared" si="131"/>
        <v>OK</v>
      </c>
    </row>
    <row r="2064" spans="1:14" x14ac:dyDescent="0.3">
      <c r="A2064" s="2">
        <f>DATE(VALUE(RIGHT(TRIM([1]Raw_Data!A2062),4)),VALUE(MID(TRIM([1]Raw_Data!A2062),4,2)),VALUE(LEFT(TRIM([1]Raw_Data!A2062),2)))</f>
        <v>44732</v>
      </c>
      <c r="B2064" s="3" t="str">
        <f>TRIM([1]Raw_Data!B2062)</f>
        <v>Biotin</v>
      </c>
      <c r="C2064" s="3" t="str">
        <f>TRIM([1]Raw_Data!C2062)</f>
        <v>Vitamin</v>
      </c>
      <c r="D2064" s="3">
        <f>[1]Raw_Data!D2062</f>
        <v>153</v>
      </c>
      <c r="E2064" s="4">
        <f>[1]Raw_Data!E2062</f>
        <v>35.75</v>
      </c>
      <c r="F2064" s="5">
        <f>[1]Raw_Data!F2062</f>
        <v>5469.75</v>
      </c>
      <c r="G2064" s="4">
        <f>[1]Raw_Data!G2062</f>
        <v>0.2</v>
      </c>
      <c r="H2064" s="3">
        <f>[1]Raw_Data!H2062</f>
        <v>2</v>
      </c>
      <c r="I2064" s="3" t="str">
        <f>TRIM([1]Raw_Data!I2062)</f>
        <v>UK</v>
      </c>
      <c r="J2064" s="3" t="str">
        <f>TRIM([1]Raw_Data!J2062)</f>
        <v>iHerb</v>
      </c>
      <c r="K2064" s="3">
        <f t="shared" si="128"/>
        <v>2022</v>
      </c>
      <c r="L2064" s="6">
        <f t="shared" si="129"/>
        <v>44713</v>
      </c>
      <c r="M2064" s="3" t="str">
        <f t="shared" si="130"/>
        <v>16% to 20%</v>
      </c>
      <c r="N2064" s="3" t="str">
        <f t="shared" si="131"/>
        <v>OK</v>
      </c>
    </row>
    <row r="2065" spans="1:14" x14ac:dyDescent="0.3">
      <c r="A2065" s="2">
        <f>DATE(VALUE(RIGHT(TRIM([1]Raw_Data!A2063),4)),VALUE(MID(TRIM([1]Raw_Data!A2063),4,2)),VALUE(LEFT(TRIM([1]Raw_Data!A2063),2)))</f>
        <v>44732</v>
      </c>
      <c r="B2065" s="3" t="str">
        <f>TRIM([1]Raw_Data!B2063)</f>
        <v>Green Tea Extract</v>
      </c>
      <c r="C2065" s="3" t="str">
        <f>TRIM([1]Raw_Data!C2063)</f>
        <v>Fat Burner</v>
      </c>
      <c r="D2065" s="3">
        <f>[1]Raw_Data!D2063</f>
        <v>154</v>
      </c>
      <c r="E2065" s="4">
        <f>[1]Raw_Data!E2063</f>
        <v>51.8</v>
      </c>
      <c r="F2065" s="5">
        <f>[1]Raw_Data!F2063</f>
        <v>7977.2</v>
      </c>
      <c r="G2065" s="4">
        <f>[1]Raw_Data!G2063</f>
        <v>0.23</v>
      </c>
      <c r="H2065" s="3">
        <f>[1]Raw_Data!H2063</f>
        <v>0</v>
      </c>
      <c r="I2065" s="3" t="str">
        <f>TRIM([1]Raw_Data!I2063)</f>
        <v>Canada</v>
      </c>
      <c r="J2065" s="3" t="str">
        <f>TRIM([1]Raw_Data!J2063)</f>
        <v>Walmart</v>
      </c>
      <c r="K2065" s="3">
        <f t="shared" si="128"/>
        <v>2022</v>
      </c>
      <c r="L2065" s="6">
        <f t="shared" si="129"/>
        <v>44713</v>
      </c>
      <c r="M2065" s="3" t="str">
        <f t="shared" si="130"/>
        <v>21% to 25%</v>
      </c>
      <c r="N2065" s="3" t="str">
        <f t="shared" si="131"/>
        <v>OK</v>
      </c>
    </row>
    <row r="2066" spans="1:14" x14ac:dyDescent="0.3">
      <c r="A2066" s="2">
        <f>DATE(VALUE(RIGHT(TRIM([1]Raw_Data!A2064),4)),VALUE(MID(TRIM([1]Raw_Data!A2064),4,2)),VALUE(LEFT(TRIM([1]Raw_Data!A2064),2)))</f>
        <v>44732</v>
      </c>
      <c r="B2066" s="3" t="str">
        <f>TRIM([1]Raw_Data!B2064)</f>
        <v>Iron Supplement</v>
      </c>
      <c r="C2066" s="3" t="str">
        <f>TRIM([1]Raw_Data!C2064)</f>
        <v>Mineral</v>
      </c>
      <c r="D2066" s="3">
        <f>[1]Raw_Data!D2064</f>
        <v>150</v>
      </c>
      <c r="E2066" s="4">
        <f>[1]Raw_Data!E2064</f>
        <v>47.73</v>
      </c>
      <c r="F2066" s="5">
        <f>[1]Raw_Data!F2064</f>
        <v>7159.5</v>
      </c>
      <c r="G2066" s="4">
        <f>[1]Raw_Data!G2064</f>
        <v>0.18</v>
      </c>
      <c r="H2066" s="3">
        <f>[1]Raw_Data!H2064</f>
        <v>0</v>
      </c>
      <c r="I2066" s="3" t="str">
        <f>TRIM([1]Raw_Data!I2064)</f>
        <v>Canada</v>
      </c>
      <c r="J2066" s="3" t="str">
        <f>TRIM([1]Raw_Data!J2064)</f>
        <v>Amazon</v>
      </c>
      <c r="K2066" s="3">
        <f t="shared" si="128"/>
        <v>2022</v>
      </c>
      <c r="L2066" s="6">
        <f t="shared" si="129"/>
        <v>44713</v>
      </c>
      <c r="M2066" s="3" t="str">
        <f t="shared" si="130"/>
        <v>16% to 20%</v>
      </c>
      <c r="N2066" s="3" t="str">
        <f t="shared" si="131"/>
        <v>OK</v>
      </c>
    </row>
    <row r="2067" spans="1:14" x14ac:dyDescent="0.3">
      <c r="A2067" s="2">
        <f>DATE(VALUE(RIGHT(TRIM([1]Raw_Data!A2065),4)),VALUE(MID(TRIM([1]Raw_Data!A2065),4,2)),VALUE(LEFT(TRIM([1]Raw_Data!A2065),2)))</f>
        <v>44732</v>
      </c>
      <c r="B2067" s="3" t="str">
        <f>TRIM([1]Raw_Data!B2065)</f>
        <v>Electrolyte Powder</v>
      </c>
      <c r="C2067" s="3" t="str">
        <f>TRIM([1]Raw_Data!C2065)</f>
        <v>Hydration</v>
      </c>
      <c r="D2067" s="3">
        <f>[1]Raw_Data!D2065</f>
        <v>166</v>
      </c>
      <c r="E2067" s="4">
        <f>[1]Raw_Data!E2065</f>
        <v>49.86</v>
      </c>
      <c r="F2067" s="5">
        <f>[1]Raw_Data!F2065</f>
        <v>8276.76</v>
      </c>
      <c r="G2067" s="4">
        <f>[1]Raw_Data!G2065</f>
        <v>0.11</v>
      </c>
      <c r="H2067" s="3">
        <f>[1]Raw_Data!H2065</f>
        <v>1</v>
      </c>
      <c r="I2067" s="3" t="str">
        <f>TRIM([1]Raw_Data!I2065)</f>
        <v>USA</v>
      </c>
      <c r="J2067" s="3" t="str">
        <f>TRIM([1]Raw_Data!J2065)</f>
        <v>Amazon</v>
      </c>
      <c r="K2067" s="3">
        <f t="shared" si="128"/>
        <v>2022</v>
      </c>
      <c r="L2067" s="6">
        <f t="shared" si="129"/>
        <v>44713</v>
      </c>
      <c r="M2067" s="3" t="str">
        <f t="shared" si="130"/>
        <v>11% to 15%</v>
      </c>
      <c r="N2067" s="3" t="str">
        <f t="shared" si="131"/>
        <v>OK</v>
      </c>
    </row>
    <row r="2068" spans="1:14" x14ac:dyDescent="0.3">
      <c r="A2068" s="2">
        <f>DATE(VALUE(RIGHT(TRIM([1]Raw_Data!A2066),4)),VALUE(MID(TRIM([1]Raw_Data!A2066),4,2)),VALUE(LEFT(TRIM([1]Raw_Data!A2066),2)))</f>
        <v>44739</v>
      </c>
      <c r="B2068" s="3" t="str">
        <f>TRIM([1]Raw_Data!B2066)</f>
        <v>Whey Protein</v>
      </c>
      <c r="C2068" s="3" t="str">
        <f>TRIM([1]Raw_Data!C2066)</f>
        <v>Protein</v>
      </c>
      <c r="D2068" s="3">
        <f>[1]Raw_Data!D2066</f>
        <v>136</v>
      </c>
      <c r="E2068" s="4">
        <f>[1]Raw_Data!E2066</f>
        <v>43.09</v>
      </c>
      <c r="F2068" s="5">
        <f>[1]Raw_Data!F2066</f>
        <v>5860.24</v>
      </c>
      <c r="G2068" s="4">
        <f>[1]Raw_Data!G2066</f>
        <v>0.14000000000000001</v>
      </c>
      <c r="H2068" s="3">
        <f>[1]Raw_Data!H2066</f>
        <v>0</v>
      </c>
      <c r="I2068" s="3" t="str">
        <f>TRIM([1]Raw_Data!I2066)</f>
        <v>USA</v>
      </c>
      <c r="J2068" s="3" t="str">
        <f>TRIM([1]Raw_Data!J2066)</f>
        <v>iHerb</v>
      </c>
      <c r="K2068" s="3">
        <f t="shared" si="128"/>
        <v>2022</v>
      </c>
      <c r="L2068" s="6">
        <f t="shared" si="129"/>
        <v>44713</v>
      </c>
      <c r="M2068" s="3" t="str">
        <f t="shared" si="130"/>
        <v>11% to 15%</v>
      </c>
      <c r="N2068" s="3" t="str">
        <f t="shared" si="131"/>
        <v>OK</v>
      </c>
    </row>
    <row r="2069" spans="1:14" x14ac:dyDescent="0.3">
      <c r="A2069" s="2">
        <f>DATE(VALUE(RIGHT(TRIM([1]Raw_Data!A2067),4)),VALUE(MID(TRIM([1]Raw_Data!A2067),4,2)),VALUE(LEFT(TRIM([1]Raw_Data!A2067),2)))</f>
        <v>44739</v>
      </c>
      <c r="B2069" s="3" t="str">
        <f>TRIM([1]Raw_Data!B2067)</f>
        <v>Vitamin C</v>
      </c>
      <c r="C2069" s="3" t="str">
        <f>TRIM([1]Raw_Data!C2067)</f>
        <v>Vitamin</v>
      </c>
      <c r="D2069" s="3">
        <f>[1]Raw_Data!D2067</f>
        <v>133</v>
      </c>
      <c r="E2069" s="4">
        <f>[1]Raw_Data!E2067</f>
        <v>47.19</v>
      </c>
      <c r="F2069" s="5">
        <f>[1]Raw_Data!F2067</f>
        <v>6276.27</v>
      </c>
      <c r="G2069" s="4">
        <f>[1]Raw_Data!G2067</f>
        <v>0.18</v>
      </c>
      <c r="H2069" s="3">
        <f>[1]Raw_Data!H2067</f>
        <v>0</v>
      </c>
      <c r="I2069" s="3" t="str">
        <f>TRIM([1]Raw_Data!I2067)</f>
        <v>USA</v>
      </c>
      <c r="J2069" s="3" t="str">
        <f>TRIM([1]Raw_Data!J2067)</f>
        <v>iHerb</v>
      </c>
      <c r="K2069" s="3">
        <f t="shared" si="128"/>
        <v>2022</v>
      </c>
      <c r="L2069" s="6">
        <f t="shared" si="129"/>
        <v>44713</v>
      </c>
      <c r="M2069" s="3" t="str">
        <f t="shared" si="130"/>
        <v>16% to 20%</v>
      </c>
      <c r="N2069" s="3" t="str">
        <f t="shared" si="131"/>
        <v>OK</v>
      </c>
    </row>
    <row r="2070" spans="1:14" x14ac:dyDescent="0.3">
      <c r="A2070" s="2">
        <f>DATE(VALUE(RIGHT(TRIM([1]Raw_Data!A2068),4)),VALUE(MID(TRIM([1]Raw_Data!A2068),4,2)),VALUE(LEFT(TRIM([1]Raw_Data!A2068),2)))</f>
        <v>44739</v>
      </c>
      <c r="B2070" s="3" t="str">
        <f>TRIM([1]Raw_Data!B2068)</f>
        <v>Fish Oil</v>
      </c>
      <c r="C2070" s="3" t="str">
        <f>TRIM([1]Raw_Data!C2068)</f>
        <v>Omega</v>
      </c>
      <c r="D2070" s="3">
        <f>[1]Raw_Data!D2068</f>
        <v>152</v>
      </c>
      <c r="E2070" s="4">
        <f>[1]Raw_Data!E2068</f>
        <v>55.19</v>
      </c>
      <c r="F2070" s="5">
        <f>[1]Raw_Data!F2068</f>
        <v>8388.8799999999992</v>
      </c>
      <c r="G2070" s="4">
        <f>[1]Raw_Data!G2068</f>
        <v>0.23</v>
      </c>
      <c r="H2070" s="3">
        <f>[1]Raw_Data!H2068</f>
        <v>2</v>
      </c>
      <c r="I2070" s="3" t="str">
        <f>TRIM([1]Raw_Data!I2068)</f>
        <v>USA</v>
      </c>
      <c r="J2070" s="3" t="str">
        <f>TRIM([1]Raw_Data!J2068)</f>
        <v>Amazon</v>
      </c>
      <c r="K2070" s="3">
        <f t="shared" si="128"/>
        <v>2022</v>
      </c>
      <c r="L2070" s="6">
        <f t="shared" si="129"/>
        <v>44713</v>
      </c>
      <c r="M2070" s="3" t="str">
        <f t="shared" si="130"/>
        <v>21% to 25%</v>
      </c>
      <c r="N2070" s="3" t="str">
        <f t="shared" si="131"/>
        <v>OK</v>
      </c>
    </row>
    <row r="2071" spans="1:14" x14ac:dyDescent="0.3">
      <c r="A2071" s="2">
        <f>DATE(VALUE(RIGHT(TRIM([1]Raw_Data!A2069),4)),VALUE(MID(TRIM([1]Raw_Data!A2069),4,2)),VALUE(LEFT(TRIM([1]Raw_Data!A2069),2)))</f>
        <v>44739</v>
      </c>
      <c r="B2071" s="3" t="str">
        <f>TRIM([1]Raw_Data!B2069)</f>
        <v>Multivitamin</v>
      </c>
      <c r="C2071" s="3" t="str">
        <f>TRIM([1]Raw_Data!C2069)</f>
        <v>Vitamin</v>
      </c>
      <c r="D2071" s="3">
        <f>[1]Raw_Data!D2069</f>
        <v>172</v>
      </c>
      <c r="E2071" s="4">
        <f>[1]Raw_Data!E2069</f>
        <v>51.43</v>
      </c>
      <c r="F2071" s="5">
        <f>[1]Raw_Data!F2069</f>
        <v>8845.9599999999991</v>
      </c>
      <c r="G2071" s="4">
        <f>[1]Raw_Data!G2069</f>
        <v>0.14000000000000001</v>
      </c>
      <c r="H2071" s="3">
        <f>[1]Raw_Data!H2069</f>
        <v>1</v>
      </c>
      <c r="I2071" s="3" t="str">
        <f>TRIM([1]Raw_Data!I2069)</f>
        <v>USA</v>
      </c>
      <c r="J2071" s="3" t="str">
        <f>TRIM([1]Raw_Data!J2069)</f>
        <v>iHerb</v>
      </c>
      <c r="K2071" s="3">
        <f t="shared" si="128"/>
        <v>2022</v>
      </c>
      <c r="L2071" s="6">
        <f t="shared" si="129"/>
        <v>44713</v>
      </c>
      <c r="M2071" s="3" t="str">
        <f t="shared" si="130"/>
        <v>11% to 15%</v>
      </c>
      <c r="N2071" s="3" t="str">
        <f t="shared" si="131"/>
        <v>OK</v>
      </c>
    </row>
    <row r="2072" spans="1:14" x14ac:dyDescent="0.3">
      <c r="A2072" s="2">
        <f>DATE(VALUE(RIGHT(TRIM([1]Raw_Data!A2070),4)),VALUE(MID(TRIM([1]Raw_Data!A2070),4,2)),VALUE(LEFT(TRIM([1]Raw_Data!A2070),2)))</f>
        <v>44739</v>
      </c>
      <c r="B2072" s="3" t="str">
        <f>TRIM([1]Raw_Data!B2070)</f>
        <v>Pre-Workout</v>
      </c>
      <c r="C2072" s="3" t="str">
        <f>TRIM([1]Raw_Data!C2070)</f>
        <v>Performance</v>
      </c>
      <c r="D2072" s="3">
        <f>[1]Raw_Data!D2070</f>
        <v>139</v>
      </c>
      <c r="E2072" s="4">
        <f>[1]Raw_Data!E2070</f>
        <v>41.42</v>
      </c>
      <c r="F2072" s="5">
        <f>[1]Raw_Data!F2070</f>
        <v>5757.38</v>
      </c>
      <c r="G2072" s="4">
        <f>[1]Raw_Data!G2070</f>
        <v>0.04</v>
      </c>
      <c r="H2072" s="3">
        <f>[1]Raw_Data!H2070</f>
        <v>1</v>
      </c>
      <c r="I2072" s="3" t="str">
        <f>TRIM([1]Raw_Data!I2070)</f>
        <v>USA</v>
      </c>
      <c r="J2072" s="3" t="str">
        <f>TRIM([1]Raw_Data!J2070)</f>
        <v>Walmart</v>
      </c>
      <c r="K2072" s="3">
        <f t="shared" si="128"/>
        <v>2022</v>
      </c>
      <c r="L2072" s="6">
        <f t="shared" si="129"/>
        <v>44713</v>
      </c>
      <c r="M2072" s="3" t="str">
        <f t="shared" si="130"/>
        <v>0% to 5%</v>
      </c>
      <c r="N2072" s="3" t="str">
        <f t="shared" si="131"/>
        <v>OK</v>
      </c>
    </row>
    <row r="2073" spans="1:14" x14ac:dyDescent="0.3">
      <c r="A2073" s="2">
        <f>DATE(VALUE(RIGHT(TRIM([1]Raw_Data!A2071),4)),VALUE(MID(TRIM([1]Raw_Data!A2071),4,2)),VALUE(LEFT(TRIM([1]Raw_Data!A2071),2)))</f>
        <v>44739</v>
      </c>
      <c r="B2073" s="3" t="str">
        <f>TRIM([1]Raw_Data!B2071)</f>
        <v>BCAA</v>
      </c>
      <c r="C2073" s="3" t="str">
        <f>TRIM([1]Raw_Data!C2071)</f>
        <v>Amino Acid</v>
      </c>
      <c r="D2073" s="3">
        <f>[1]Raw_Data!D2071</f>
        <v>149</v>
      </c>
      <c r="E2073" s="4">
        <f>[1]Raw_Data!E2071</f>
        <v>39.43</v>
      </c>
      <c r="F2073" s="5">
        <f>[1]Raw_Data!F2071</f>
        <v>5875.07</v>
      </c>
      <c r="G2073" s="4">
        <f>[1]Raw_Data!G2071</f>
        <v>0.23</v>
      </c>
      <c r="H2073" s="3">
        <f>[1]Raw_Data!H2071</f>
        <v>2</v>
      </c>
      <c r="I2073" s="3" t="str">
        <f>TRIM([1]Raw_Data!I2071)</f>
        <v>UK</v>
      </c>
      <c r="J2073" s="3" t="str">
        <f>TRIM([1]Raw_Data!J2071)</f>
        <v>Walmart</v>
      </c>
      <c r="K2073" s="3">
        <f t="shared" si="128"/>
        <v>2022</v>
      </c>
      <c r="L2073" s="6">
        <f t="shared" si="129"/>
        <v>44713</v>
      </c>
      <c r="M2073" s="3" t="str">
        <f t="shared" si="130"/>
        <v>21% to 25%</v>
      </c>
      <c r="N2073" s="3" t="str">
        <f t="shared" si="131"/>
        <v>OK</v>
      </c>
    </row>
    <row r="2074" spans="1:14" x14ac:dyDescent="0.3">
      <c r="A2074" s="2">
        <f>DATE(VALUE(RIGHT(TRIM([1]Raw_Data!A2072),4)),VALUE(MID(TRIM([1]Raw_Data!A2072),4,2)),VALUE(LEFT(TRIM([1]Raw_Data!A2072),2)))</f>
        <v>44739</v>
      </c>
      <c r="B2074" s="3" t="str">
        <f>TRIM([1]Raw_Data!B2072)</f>
        <v>Creatine</v>
      </c>
      <c r="C2074" s="3" t="str">
        <f>TRIM([1]Raw_Data!C2072)</f>
        <v>Performance</v>
      </c>
      <c r="D2074" s="3">
        <f>[1]Raw_Data!D2072</f>
        <v>156</v>
      </c>
      <c r="E2074" s="4">
        <f>[1]Raw_Data!E2072</f>
        <v>34.4</v>
      </c>
      <c r="F2074" s="5">
        <f>[1]Raw_Data!F2072</f>
        <v>5366.4</v>
      </c>
      <c r="G2074" s="4">
        <f>[1]Raw_Data!G2072</f>
        <v>0.05</v>
      </c>
      <c r="H2074" s="3">
        <f>[1]Raw_Data!H2072</f>
        <v>3</v>
      </c>
      <c r="I2074" s="3" t="str">
        <f>TRIM([1]Raw_Data!I2072)</f>
        <v>USA</v>
      </c>
      <c r="J2074" s="3" t="str">
        <f>TRIM([1]Raw_Data!J2072)</f>
        <v>Walmart</v>
      </c>
      <c r="K2074" s="3">
        <f t="shared" si="128"/>
        <v>2022</v>
      </c>
      <c r="L2074" s="6">
        <f t="shared" si="129"/>
        <v>44713</v>
      </c>
      <c r="M2074" s="3" t="str">
        <f t="shared" si="130"/>
        <v>0% to 5%</v>
      </c>
      <c r="N2074" s="3" t="str">
        <f t="shared" si="131"/>
        <v>OK</v>
      </c>
    </row>
    <row r="2075" spans="1:14" x14ac:dyDescent="0.3">
      <c r="A2075" s="2">
        <f>DATE(VALUE(RIGHT(TRIM([1]Raw_Data!A2073),4)),VALUE(MID(TRIM([1]Raw_Data!A2073),4,2)),VALUE(LEFT(TRIM([1]Raw_Data!A2073),2)))</f>
        <v>44739</v>
      </c>
      <c r="B2075" s="3" t="str">
        <f>TRIM([1]Raw_Data!B2073)</f>
        <v>Zinc</v>
      </c>
      <c r="C2075" s="3" t="str">
        <f>TRIM([1]Raw_Data!C2073)</f>
        <v>Mineral</v>
      </c>
      <c r="D2075" s="3">
        <f>[1]Raw_Data!D2073</f>
        <v>140</v>
      </c>
      <c r="E2075" s="4">
        <f>[1]Raw_Data!E2073</f>
        <v>47.5</v>
      </c>
      <c r="F2075" s="5">
        <f>[1]Raw_Data!F2073</f>
        <v>6650</v>
      </c>
      <c r="G2075" s="4">
        <f>[1]Raw_Data!G2073</f>
        <v>0.04</v>
      </c>
      <c r="H2075" s="3">
        <f>[1]Raw_Data!H2073</f>
        <v>1</v>
      </c>
      <c r="I2075" s="3" t="str">
        <f>TRIM([1]Raw_Data!I2073)</f>
        <v>UK</v>
      </c>
      <c r="J2075" s="3" t="str">
        <f>TRIM([1]Raw_Data!J2073)</f>
        <v>Walmart</v>
      </c>
      <c r="K2075" s="3">
        <f t="shared" si="128"/>
        <v>2022</v>
      </c>
      <c r="L2075" s="6">
        <f t="shared" si="129"/>
        <v>44713</v>
      </c>
      <c r="M2075" s="3" t="str">
        <f t="shared" si="130"/>
        <v>0% to 5%</v>
      </c>
      <c r="N2075" s="3" t="str">
        <f t="shared" si="131"/>
        <v>OK</v>
      </c>
    </row>
    <row r="2076" spans="1:14" x14ac:dyDescent="0.3">
      <c r="A2076" s="2">
        <f>DATE(VALUE(RIGHT(TRIM([1]Raw_Data!A2074),4)),VALUE(MID(TRIM([1]Raw_Data!A2074),4,2)),VALUE(LEFT(TRIM([1]Raw_Data!A2074),2)))</f>
        <v>44739</v>
      </c>
      <c r="B2076" s="3" t="str">
        <f>TRIM([1]Raw_Data!B2074)</f>
        <v>Collagen Peptides</v>
      </c>
      <c r="C2076" s="3" t="str">
        <f>TRIM([1]Raw_Data!C2074)</f>
        <v>Protein</v>
      </c>
      <c r="D2076" s="3">
        <f>[1]Raw_Data!D2074</f>
        <v>137</v>
      </c>
      <c r="E2076" s="4">
        <f>[1]Raw_Data!E2074</f>
        <v>42.83</v>
      </c>
      <c r="F2076" s="5">
        <f>[1]Raw_Data!F2074</f>
        <v>5867.71</v>
      </c>
      <c r="G2076" s="4">
        <f>[1]Raw_Data!G2074</f>
        <v>0.21</v>
      </c>
      <c r="H2076" s="3">
        <f>[1]Raw_Data!H2074</f>
        <v>1</v>
      </c>
      <c r="I2076" s="3" t="str">
        <f>TRIM([1]Raw_Data!I2074)</f>
        <v>UK</v>
      </c>
      <c r="J2076" s="3" t="str">
        <f>TRIM([1]Raw_Data!J2074)</f>
        <v>iHerb</v>
      </c>
      <c r="K2076" s="3">
        <f t="shared" si="128"/>
        <v>2022</v>
      </c>
      <c r="L2076" s="6">
        <f t="shared" si="129"/>
        <v>44713</v>
      </c>
      <c r="M2076" s="3" t="str">
        <f t="shared" si="130"/>
        <v>21% to 25%</v>
      </c>
      <c r="N2076" s="3" t="str">
        <f t="shared" si="131"/>
        <v>OK</v>
      </c>
    </row>
    <row r="2077" spans="1:14" x14ac:dyDescent="0.3">
      <c r="A2077" s="2">
        <f>DATE(VALUE(RIGHT(TRIM([1]Raw_Data!A2075),4)),VALUE(MID(TRIM([1]Raw_Data!A2075),4,2)),VALUE(LEFT(TRIM([1]Raw_Data!A2075),2)))</f>
        <v>44739</v>
      </c>
      <c r="B2077" s="3" t="str">
        <f>TRIM([1]Raw_Data!B2075)</f>
        <v>Magnesium</v>
      </c>
      <c r="C2077" s="3" t="str">
        <f>TRIM([1]Raw_Data!C2075)</f>
        <v>Mineral</v>
      </c>
      <c r="D2077" s="3">
        <f>[1]Raw_Data!D2075</f>
        <v>166</v>
      </c>
      <c r="E2077" s="4">
        <f>[1]Raw_Data!E2075</f>
        <v>26.27</v>
      </c>
      <c r="F2077" s="5">
        <f>[1]Raw_Data!F2075</f>
        <v>4360.82</v>
      </c>
      <c r="G2077" s="4">
        <f>[1]Raw_Data!G2075</f>
        <v>0.04</v>
      </c>
      <c r="H2077" s="3">
        <f>[1]Raw_Data!H2075</f>
        <v>2</v>
      </c>
      <c r="I2077" s="3" t="str">
        <f>TRIM([1]Raw_Data!I2075)</f>
        <v>USA</v>
      </c>
      <c r="J2077" s="3" t="str">
        <f>TRIM([1]Raw_Data!J2075)</f>
        <v>Amazon</v>
      </c>
      <c r="K2077" s="3">
        <f t="shared" si="128"/>
        <v>2022</v>
      </c>
      <c r="L2077" s="6">
        <f t="shared" si="129"/>
        <v>44713</v>
      </c>
      <c r="M2077" s="3" t="str">
        <f t="shared" si="130"/>
        <v>0% to 5%</v>
      </c>
      <c r="N2077" s="3" t="str">
        <f t="shared" si="131"/>
        <v>OK</v>
      </c>
    </row>
    <row r="2078" spans="1:14" x14ac:dyDescent="0.3">
      <c r="A2078" s="2">
        <f>DATE(VALUE(RIGHT(TRIM([1]Raw_Data!A2076),4)),VALUE(MID(TRIM([1]Raw_Data!A2076),4,2)),VALUE(LEFT(TRIM([1]Raw_Data!A2076),2)))</f>
        <v>44739</v>
      </c>
      <c r="B2078" s="3" t="str">
        <f>TRIM([1]Raw_Data!B2076)</f>
        <v>Ashwagandha</v>
      </c>
      <c r="C2078" s="3" t="str">
        <f>TRIM([1]Raw_Data!C2076)</f>
        <v>Herbal</v>
      </c>
      <c r="D2078" s="3">
        <f>[1]Raw_Data!D2076</f>
        <v>147</v>
      </c>
      <c r="E2078" s="4">
        <f>[1]Raw_Data!E2076</f>
        <v>48.08</v>
      </c>
      <c r="F2078" s="5">
        <f>[1]Raw_Data!F2076</f>
        <v>7067.76</v>
      </c>
      <c r="G2078" s="4">
        <f>[1]Raw_Data!G2076</f>
        <v>0.14000000000000001</v>
      </c>
      <c r="H2078" s="3">
        <f>[1]Raw_Data!H2076</f>
        <v>2</v>
      </c>
      <c r="I2078" s="3" t="str">
        <f>TRIM([1]Raw_Data!I2076)</f>
        <v>Canada</v>
      </c>
      <c r="J2078" s="3" t="str">
        <f>TRIM([1]Raw_Data!J2076)</f>
        <v>Amazon</v>
      </c>
      <c r="K2078" s="3">
        <f t="shared" si="128"/>
        <v>2022</v>
      </c>
      <c r="L2078" s="6">
        <f t="shared" si="129"/>
        <v>44713</v>
      </c>
      <c r="M2078" s="3" t="str">
        <f t="shared" si="130"/>
        <v>11% to 15%</v>
      </c>
      <c r="N2078" s="3" t="str">
        <f t="shared" si="131"/>
        <v>OK</v>
      </c>
    </row>
    <row r="2079" spans="1:14" x14ac:dyDescent="0.3">
      <c r="A2079" s="2">
        <f>DATE(VALUE(RIGHT(TRIM([1]Raw_Data!A2077),4)),VALUE(MID(TRIM([1]Raw_Data!A2077),4,2)),VALUE(LEFT(TRIM([1]Raw_Data!A2077),2)))</f>
        <v>44739</v>
      </c>
      <c r="B2079" s="3" t="str">
        <f>TRIM([1]Raw_Data!B2077)</f>
        <v>Melatonin</v>
      </c>
      <c r="C2079" s="3" t="str">
        <f>TRIM([1]Raw_Data!C2077)</f>
        <v>Sleep Aid</v>
      </c>
      <c r="D2079" s="3">
        <f>[1]Raw_Data!D2077</f>
        <v>174</v>
      </c>
      <c r="E2079" s="4">
        <f>[1]Raw_Data!E2077</f>
        <v>27.96</v>
      </c>
      <c r="F2079" s="5">
        <f>[1]Raw_Data!F2077</f>
        <v>4865.04</v>
      </c>
      <c r="G2079" s="4">
        <f>[1]Raw_Data!G2077</f>
        <v>0.18</v>
      </c>
      <c r="H2079" s="3">
        <f>[1]Raw_Data!H2077</f>
        <v>2</v>
      </c>
      <c r="I2079" s="3" t="str">
        <f>TRIM([1]Raw_Data!I2077)</f>
        <v>UK</v>
      </c>
      <c r="J2079" s="3" t="str">
        <f>TRIM([1]Raw_Data!J2077)</f>
        <v>Amazon</v>
      </c>
      <c r="K2079" s="3">
        <f t="shared" si="128"/>
        <v>2022</v>
      </c>
      <c r="L2079" s="6">
        <f t="shared" si="129"/>
        <v>44713</v>
      </c>
      <c r="M2079" s="3" t="str">
        <f t="shared" si="130"/>
        <v>16% to 20%</v>
      </c>
      <c r="N2079" s="3" t="str">
        <f t="shared" si="131"/>
        <v>OK</v>
      </c>
    </row>
    <row r="2080" spans="1:14" x14ac:dyDescent="0.3">
      <c r="A2080" s="2">
        <f>DATE(VALUE(RIGHT(TRIM([1]Raw_Data!A2078),4)),VALUE(MID(TRIM([1]Raw_Data!A2078),4,2)),VALUE(LEFT(TRIM([1]Raw_Data!A2078),2)))</f>
        <v>44739</v>
      </c>
      <c r="B2080" s="3" t="str">
        <f>TRIM([1]Raw_Data!B2078)</f>
        <v>Biotin</v>
      </c>
      <c r="C2080" s="3" t="str">
        <f>TRIM([1]Raw_Data!C2078)</f>
        <v>Vitamin</v>
      </c>
      <c r="D2080" s="3">
        <f>[1]Raw_Data!D2078</f>
        <v>137</v>
      </c>
      <c r="E2080" s="4">
        <f>[1]Raw_Data!E2078</f>
        <v>33.39</v>
      </c>
      <c r="F2080" s="5">
        <f>[1]Raw_Data!F2078</f>
        <v>4574.43</v>
      </c>
      <c r="G2080" s="4">
        <f>[1]Raw_Data!G2078</f>
        <v>0.1</v>
      </c>
      <c r="H2080" s="3">
        <f>[1]Raw_Data!H2078</f>
        <v>0</v>
      </c>
      <c r="I2080" s="3" t="str">
        <f>TRIM([1]Raw_Data!I2078)</f>
        <v>Canada</v>
      </c>
      <c r="J2080" s="3" t="str">
        <f>TRIM([1]Raw_Data!J2078)</f>
        <v>Walmart</v>
      </c>
      <c r="K2080" s="3">
        <f t="shared" si="128"/>
        <v>2022</v>
      </c>
      <c r="L2080" s="6">
        <f t="shared" si="129"/>
        <v>44713</v>
      </c>
      <c r="M2080" s="3" t="str">
        <f t="shared" si="130"/>
        <v>6% to 10%</v>
      </c>
      <c r="N2080" s="3" t="str">
        <f t="shared" si="131"/>
        <v>OK</v>
      </c>
    </row>
    <row r="2081" spans="1:14" x14ac:dyDescent="0.3">
      <c r="A2081" s="2">
        <f>DATE(VALUE(RIGHT(TRIM([1]Raw_Data!A2079),4)),VALUE(MID(TRIM([1]Raw_Data!A2079),4,2)),VALUE(LEFT(TRIM([1]Raw_Data!A2079),2)))</f>
        <v>44739</v>
      </c>
      <c r="B2081" s="3" t="str">
        <f>TRIM([1]Raw_Data!B2079)</f>
        <v>Green Tea Extract</v>
      </c>
      <c r="C2081" s="3" t="str">
        <f>TRIM([1]Raw_Data!C2079)</f>
        <v>Fat Burner</v>
      </c>
      <c r="D2081" s="3">
        <f>[1]Raw_Data!D2079</f>
        <v>172</v>
      </c>
      <c r="E2081" s="4">
        <f>[1]Raw_Data!E2079</f>
        <v>34.07</v>
      </c>
      <c r="F2081" s="5">
        <f>[1]Raw_Data!F2079</f>
        <v>5860.04</v>
      </c>
      <c r="G2081" s="4">
        <f>[1]Raw_Data!G2079</f>
        <v>0.17</v>
      </c>
      <c r="H2081" s="3">
        <f>[1]Raw_Data!H2079</f>
        <v>3</v>
      </c>
      <c r="I2081" s="3" t="str">
        <f>TRIM([1]Raw_Data!I2079)</f>
        <v>Canada</v>
      </c>
      <c r="J2081" s="3" t="str">
        <f>TRIM([1]Raw_Data!J2079)</f>
        <v>Amazon</v>
      </c>
      <c r="K2081" s="3">
        <f t="shared" si="128"/>
        <v>2022</v>
      </c>
      <c r="L2081" s="6">
        <f t="shared" si="129"/>
        <v>44713</v>
      </c>
      <c r="M2081" s="3" t="str">
        <f t="shared" si="130"/>
        <v>16% to 20%</v>
      </c>
      <c r="N2081" s="3" t="str">
        <f t="shared" si="131"/>
        <v>OK</v>
      </c>
    </row>
    <row r="2082" spans="1:14" x14ac:dyDescent="0.3">
      <c r="A2082" s="2">
        <f>DATE(VALUE(RIGHT(TRIM([1]Raw_Data!A2080),4)),VALUE(MID(TRIM([1]Raw_Data!A2080),4,2)),VALUE(LEFT(TRIM([1]Raw_Data!A2080),2)))</f>
        <v>44739</v>
      </c>
      <c r="B2082" s="3" t="str">
        <f>TRIM([1]Raw_Data!B2080)</f>
        <v>Iron Supplement</v>
      </c>
      <c r="C2082" s="3" t="str">
        <f>TRIM([1]Raw_Data!C2080)</f>
        <v>Mineral</v>
      </c>
      <c r="D2082" s="3">
        <f>[1]Raw_Data!D2080</f>
        <v>134</v>
      </c>
      <c r="E2082" s="4">
        <f>[1]Raw_Data!E2080</f>
        <v>37.14</v>
      </c>
      <c r="F2082" s="5">
        <f>[1]Raw_Data!F2080</f>
        <v>4976.76</v>
      </c>
      <c r="G2082" s="4">
        <f>[1]Raw_Data!G2080</f>
        <v>0.2</v>
      </c>
      <c r="H2082" s="3">
        <f>[1]Raw_Data!H2080</f>
        <v>0</v>
      </c>
      <c r="I2082" s="3" t="str">
        <f>TRIM([1]Raw_Data!I2080)</f>
        <v>USA</v>
      </c>
      <c r="J2082" s="3" t="str">
        <f>TRIM([1]Raw_Data!J2080)</f>
        <v>Amazon</v>
      </c>
      <c r="K2082" s="3">
        <f t="shared" si="128"/>
        <v>2022</v>
      </c>
      <c r="L2082" s="6">
        <f t="shared" si="129"/>
        <v>44713</v>
      </c>
      <c r="M2082" s="3" t="str">
        <f t="shared" si="130"/>
        <v>16% to 20%</v>
      </c>
      <c r="N2082" s="3" t="str">
        <f t="shared" si="131"/>
        <v>OK</v>
      </c>
    </row>
    <row r="2083" spans="1:14" x14ac:dyDescent="0.3">
      <c r="A2083" s="2">
        <f>DATE(VALUE(RIGHT(TRIM([1]Raw_Data!A2081),4)),VALUE(MID(TRIM([1]Raw_Data!A2081),4,2)),VALUE(LEFT(TRIM([1]Raw_Data!A2081),2)))</f>
        <v>44739</v>
      </c>
      <c r="B2083" s="3" t="str">
        <f>TRIM([1]Raw_Data!B2081)</f>
        <v>Electrolyte Powder</v>
      </c>
      <c r="C2083" s="3" t="str">
        <f>TRIM([1]Raw_Data!C2081)</f>
        <v>Hydration</v>
      </c>
      <c r="D2083" s="3">
        <f>[1]Raw_Data!D2081</f>
        <v>145</v>
      </c>
      <c r="E2083" s="4">
        <f>[1]Raw_Data!E2081</f>
        <v>18.72</v>
      </c>
      <c r="F2083" s="5">
        <f>[1]Raw_Data!F2081</f>
        <v>2714.4</v>
      </c>
      <c r="G2083" s="4">
        <f>[1]Raw_Data!G2081</f>
        <v>0.2</v>
      </c>
      <c r="H2083" s="3">
        <f>[1]Raw_Data!H2081</f>
        <v>4</v>
      </c>
      <c r="I2083" s="3" t="str">
        <f>TRIM([1]Raw_Data!I2081)</f>
        <v>UK</v>
      </c>
      <c r="J2083" s="3" t="str">
        <f>TRIM([1]Raw_Data!J2081)</f>
        <v>Walmart</v>
      </c>
      <c r="K2083" s="3">
        <f t="shared" si="128"/>
        <v>2022</v>
      </c>
      <c r="L2083" s="6">
        <f t="shared" si="129"/>
        <v>44713</v>
      </c>
      <c r="M2083" s="3" t="str">
        <f t="shared" si="130"/>
        <v>16% to 20%</v>
      </c>
      <c r="N2083" s="3" t="str">
        <f t="shared" si="131"/>
        <v>OK</v>
      </c>
    </row>
    <row r="2084" spans="1:14" x14ac:dyDescent="0.3">
      <c r="A2084" s="2">
        <f>DATE(VALUE(RIGHT(TRIM([1]Raw_Data!A2082),4)),VALUE(MID(TRIM([1]Raw_Data!A2082),4,2)),VALUE(LEFT(TRIM([1]Raw_Data!A2082),2)))</f>
        <v>44746</v>
      </c>
      <c r="B2084" s="3" t="str">
        <f>TRIM([1]Raw_Data!B2082)</f>
        <v>Whey Protein</v>
      </c>
      <c r="C2084" s="3" t="str">
        <f>TRIM([1]Raw_Data!C2082)</f>
        <v>Protein</v>
      </c>
      <c r="D2084" s="3">
        <f>[1]Raw_Data!D2082</f>
        <v>147</v>
      </c>
      <c r="E2084" s="4">
        <f>[1]Raw_Data!E2082</f>
        <v>51.19</v>
      </c>
      <c r="F2084" s="5">
        <f>[1]Raw_Data!F2082</f>
        <v>7524.93</v>
      </c>
      <c r="G2084" s="4">
        <f>[1]Raw_Data!G2082</f>
        <v>0.12</v>
      </c>
      <c r="H2084" s="3">
        <f>[1]Raw_Data!H2082</f>
        <v>2</v>
      </c>
      <c r="I2084" s="3" t="str">
        <f>TRIM([1]Raw_Data!I2082)</f>
        <v>USA</v>
      </c>
      <c r="J2084" s="3" t="str">
        <f>TRIM([1]Raw_Data!J2082)</f>
        <v>Amazon</v>
      </c>
      <c r="K2084" s="3">
        <f t="shared" si="128"/>
        <v>2022</v>
      </c>
      <c r="L2084" s="6">
        <f t="shared" si="129"/>
        <v>44743</v>
      </c>
      <c r="M2084" s="3" t="str">
        <f t="shared" si="130"/>
        <v>11% to 15%</v>
      </c>
      <c r="N2084" s="3" t="str">
        <f t="shared" si="131"/>
        <v>OK</v>
      </c>
    </row>
    <row r="2085" spans="1:14" x14ac:dyDescent="0.3">
      <c r="A2085" s="2">
        <f>DATE(VALUE(RIGHT(TRIM([1]Raw_Data!A2083),4)),VALUE(MID(TRIM([1]Raw_Data!A2083),4,2)),VALUE(LEFT(TRIM([1]Raw_Data!A2083),2)))</f>
        <v>44746</v>
      </c>
      <c r="B2085" s="3" t="str">
        <f>TRIM([1]Raw_Data!B2083)</f>
        <v>Vitamin C</v>
      </c>
      <c r="C2085" s="3" t="str">
        <f>TRIM([1]Raw_Data!C2083)</f>
        <v>Vitamin</v>
      </c>
      <c r="D2085" s="3">
        <f>[1]Raw_Data!D2083</f>
        <v>148</v>
      </c>
      <c r="E2085" s="4">
        <f>[1]Raw_Data!E2083</f>
        <v>12.9</v>
      </c>
      <c r="F2085" s="5">
        <f>[1]Raw_Data!F2083</f>
        <v>1909.2</v>
      </c>
      <c r="G2085" s="4">
        <f>[1]Raw_Data!G2083</f>
        <v>0.17</v>
      </c>
      <c r="H2085" s="3">
        <f>[1]Raw_Data!H2083</f>
        <v>0</v>
      </c>
      <c r="I2085" s="3" t="str">
        <f>TRIM([1]Raw_Data!I2083)</f>
        <v>UK</v>
      </c>
      <c r="J2085" s="3" t="str">
        <f>TRIM([1]Raw_Data!J2083)</f>
        <v>Amazon</v>
      </c>
      <c r="K2085" s="3">
        <f t="shared" si="128"/>
        <v>2022</v>
      </c>
      <c r="L2085" s="6">
        <f t="shared" si="129"/>
        <v>44743</v>
      </c>
      <c r="M2085" s="3" t="str">
        <f t="shared" si="130"/>
        <v>16% to 20%</v>
      </c>
      <c r="N2085" s="3" t="str">
        <f t="shared" si="131"/>
        <v>OK</v>
      </c>
    </row>
    <row r="2086" spans="1:14" x14ac:dyDescent="0.3">
      <c r="A2086" s="2">
        <f>DATE(VALUE(RIGHT(TRIM([1]Raw_Data!A2084),4)),VALUE(MID(TRIM([1]Raw_Data!A2084),4,2)),VALUE(LEFT(TRIM([1]Raw_Data!A2084),2)))</f>
        <v>44746</v>
      </c>
      <c r="B2086" s="3" t="str">
        <f>TRIM([1]Raw_Data!B2084)</f>
        <v>Fish Oil</v>
      </c>
      <c r="C2086" s="3" t="str">
        <f>TRIM([1]Raw_Data!C2084)</f>
        <v>Omega</v>
      </c>
      <c r="D2086" s="3">
        <f>[1]Raw_Data!D2084</f>
        <v>163</v>
      </c>
      <c r="E2086" s="4">
        <f>[1]Raw_Data!E2084</f>
        <v>21.85</v>
      </c>
      <c r="F2086" s="5">
        <f>[1]Raw_Data!F2084</f>
        <v>3561.55</v>
      </c>
      <c r="G2086" s="4">
        <f>[1]Raw_Data!G2084</f>
        <v>0.08</v>
      </c>
      <c r="H2086" s="3">
        <f>[1]Raw_Data!H2084</f>
        <v>1</v>
      </c>
      <c r="I2086" s="3" t="str">
        <f>TRIM([1]Raw_Data!I2084)</f>
        <v>UK</v>
      </c>
      <c r="J2086" s="3" t="str">
        <f>TRIM([1]Raw_Data!J2084)</f>
        <v>Amazon</v>
      </c>
      <c r="K2086" s="3">
        <f t="shared" si="128"/>
        <v>2022</v>
      </c>
      <c r="L2086" s="6">
        <f t="shared" si="129"/>
        <v>44743</v>
      </c>
      <c r="M2086" s="3" t="str">
        <f t="shared" si="130"/>
        <v>6% to 10%</v>
      </c>
      <c r="N2086" s="3" t="str">
        <f t="shared" si="131"/>
        <v>OK</v>
      </c>
    </row>
    <row r="2087" spans="1:14" x14ac:dyDescent="0.3">
      <c r="A2087" s="2">
        <f>DATE(VALUE(RIGHT(TRIM([1]Raw_Data!A2085),4)),VALUE(MID(TRIM([1]Raw_Data!A2085),4,2)),VALUE(LEFT(TRIM([1]Raw_Data!A2085),2)))</f>
        <v>44746</v>
      </c>
      <c r="B2087" s="3" t="str">
        <f>TRIM([1]Raw_Data!B2085)</f>
        <v>Multivitamin</v>
      </c>
      <c r="C2087" s="3" t="str">
        <f>TRIM([1]Raw_Data!C2085)</f>
        <v>Vitamin</v>
      </c>
      <c r="D2087" s="3">
        <f>[1]Raw_Data!D2085</f>
        <v>153</v>
      </c>
      <c r="E2087" s="4">
        <f>[1]Raw_Data!E2085</f>
        <v>39.619999999999997</v>
      </c>
      <c r="F2087" s="5">
        <f>[1]Raw_Data!F2085</f>
        <v>6061.86</v>
      </c>
      <c r="G2087" s="4">
        <f>[1]Raw_Data!G2085</f>
        <v>7.0000000000000007E-2</v>
      </c>
      <c r="H2087" s="3">
        <f>[1]Raw_Data!H2085</f>
        <v>0</v>
      </c>
      <c r="I2087" s="3" t="str">
        <f>TRIM([1]Raw_Data!I2085)</f>
        <v>USA</v>
      </c>
      <c r="J2087" s="3" t="str">
        <f>TRIM([1]Raw_Data!J2085)</f>
        <v>iHerb</v>
      </c>
      <c r="K2087" s="3">
        <f t="shared" si="128"/>
        <v>2022</v>
      </c>
      <c r="L2087" s="6">
        <f t="shared" si="129"/>
        <v>44743</v>
      </c>
      <c r="M2087" s="3" t="str">
        <f t="shared" si="130"/>
        <v>6% to 10%</v>
      </c>
      <c r="N2087" s="3" t="str">
        <f t="shared" si="131"/>
        <v>OK</v>
      </c>
    </row>
    <row r="2088" spans="1:14" x14ac:dyDescent="0.3">
      <c r="A2088" s="2">
        <f>DATE(VALUE(RIGHT(TRIM([1]Raw_Data!A2086),4)),VALUE(MID(TRIM([1]Raw_Data!A2086),4,2)),VALUE(LEFT(TRIM([1]Raw_Data!A2086),2)))</f>
        <v>44746</v>
      </c>
      <c r="B2088" s="3" t="str">
        <f>TRIM([1]Raw_Data!B2086)</f>
        <v>Pre-Workout</v>
      </c>
      <c r="C2088" s="3" t="str">
        <f>TRIM([1]Raw_Data!C2086)</f>
        <v>Performance</v>
      </c>
      <c r="D2088" s="3">
        <f>[1]Raw_Data!D2086</f>
        <v>147</v>
      </c>
      <c r="E2088" s="4">
        <f>[1]Raw_Data!E2086</f>
        <v>17.34</v>
      </c>
      <c r="F2088" s="5">
        <f>[1]Raw_Data!F2086</f>
        <v>2548.98</v>
      </c>
      <c r="G2088" s="4">
        <f>[1]Raw_Data!G2086</f>
        <v>0.14000000000000001</v>
      </c>
      <c r="H2088" s="3">
        <f>[1]Raw_Data!H2086</f>
        <v>0</v>
      </c>
      <c r="I2088" s="3" t="str">
        <f>TRIM([1]Raw_Data!I2086)</f>
        <v>USA</v>
      </c>
      <c r="J2088" s="3" t="str">
        <f>TRIM([1]Raw_Data!J2086)</f>
        <v>Amazon</v>
      </c>
      <c r="K2088" s="3">
        <f t="shared" si="128"/>
        <v>2022</v>
      </c>
      <c r="L2088" s="6">
        <f t="shared" si="129"/>
        <v>44743</v>
      </c>
      <c r="M2088" s="3" t="str">
        <f t="shared" si="130"/>
        <v>11% to 15%</v>
      </c>
      <c r="N2088" s="3" t="str">
        <f t="shared" si="131"/>
        <v>OK</v>
      </c>
    </row>
    <row r="2089" spans="1:14" x14ac:dyDescent="0.3">
      <c r="A2089" s="2">
        <f>DATE(VALUE(RIGHT(TRIM([1]Raw_Data!A2087),4)),VALUE(MID(TRIM([1]Raw_Data!A2087),4,2)),VALUE(LEFT(TRIM([1]Raw_Data!A2087),2)))</f>
        <v>44746</v>
      </c>
      <c r="B2089" s="3" t="str">
        <f>TRIM([1]Raw_Data!B2087)</f>
        <v>BCAA</v>
      </c>
      <c r="C2089" s="3" t="str">
        <f>TRIM([1]Raw_Data!C2087)</f>
        <v>Amino Acid</v>
      </c>
      <c r="D2089" s="3">
        <f>[1]Raw_Data!D2087</f>
        <v>154</v>
      </c>
      <c r="E2089" s="4">
        <f>[1]Raw_Data!E2087</f>
        <v>19.78</v>
      </c>
      <c r="F2089" s="5">
        <f>[1]Raw_Data!F2087</f>
        <v>3046.12</v>
      </c>
      <c r="G2089" s="4">
        <f>[1]Raw_Data!G2087</f>
        <v>0.19</v>
      </c>
      <c r="H2089" s="3">
        <f>[1]Raw_Data!H2087</f>
        <v>0</v>
      </c>
      <c r="I2089" s="3" t="str">
        <f>TRIM([1]Raw_Data!I2087)</f>
        <v>UK</v>
      </c>
      <c r="J2089" s="3" t="str">
        <f>TRIM([1]Raw_Data!J2087)</f>
        <v>Walmart</v>
      </c>
      <c r="K2089" s="3">
        <f t="shared" si="128"/>
        <v>2022</v>
      </c>
      <c r="L2089" s="6">
        <f t="shared" si="129"/>
        <v>44743</v>
      </c>
      <c r="M2089" s="3" t="str">
        <f t="shared" si="130"/>
        <v>16% to 20%</v>
      </c>
      <c r="N2089" s="3" t="str">
        <f t="shared" si="131"/>
        <v>OK</v>
      </c>
    </row>
    <row r="2090" spans="1:14" x14ac:dyDescent="0.3">
      <c r="A2090" s="2">
        <f>DATE(VALUE(RIGHT(TRIM([1]Raw_Data!A2088),4)),VALUE(MID(TRIM([1]Raw_Data!A2088),4,2)),VALUE(LEFT(TRIM([1]Raw_Data!A2088),2)))</f>
        <v>44746</v>
      </c>
      <c r="B2090" s="3" t="str">
        <f>TRIM([1]Raw_Data!B2088)</f>
        <v>Creatine</v>
      </c>
      <c r="C2090" s="3" t="str">
        <f>TRIM([1]Raw_Data!C2088)</f>
        <v>Performance</v>
      </c>
      <c r="D2090" s="3">
        <f>[1]Raw_Data!D2088</f>
        <v>145</v>
      </c>
      <c r="E2090" s="4">
        <f>[1]Raw_Data!E2088</f>
        <v>27.62</v>
      </c>
      <c r="F2090" s="5">
        <f>[1]Raw_Data!F2088</f>
        <v>4004.9</v>
      </c>
      <c r="G2090" s="4">
        <f>[1]Raw_Data!G2088</f>
        <v>0.04</v>
      </c>
      <c r="H2090" s="3">
        <f>[1]Raw_Data!H2088</f>
        <v>1</v>
      </c>
      <c r="I2090" s="3" t="str">
        <f>TRIM([1]Raw_Data!I2088)</f>
        <v>Canada</v>
      </c>
      <c r="J2090" s="3" t="str">
        <f>TRIM([1]Raw_Data!J2088)</f>
        <v>iHerb</v>
      </c>
      <c r="K2090" s="3">
        <f t="shared" si="128"/>
        <v>2022</v>
      </c>
      <c r="L2090" s="6">
        <f t="shared" si="129"/>
        <v>44743</v>
      </c>
      <c r="M2090" s="3" t="str">
        <f t="shared" si="130"/>
        <v>0% to 5%</v>
      </c>
      <c r="N2090" s="3" t="str">
        <f t="shared" si="131"/>
        <v>OK</v>
      </c>
    </row>
    <row r="2091" spans="1:14" x14ac:dyDescent="0.3">
      <c r="A2091" s="2">
        <f>DATE(VALUE(RIGHT(TRIM([1]Raw_Data!A2089),4)),VALUE(MID(TRIM([1]Raw_Data!A2089),4,2)),VALUE(LEFT(TRIM([1]Raw_Data!A2089),2)))</f>
        <v>44746</v>
      </c>
      <c r="B2091" s="3" t="str">
        <f>TRIM([1]Raw_Data!B2089)</f>
        <v>Zinc</v>
      </c>
      <c r="C2091" s="3" t="str">
        <f>TRIM([1]Raw_Data!C2089)</f>
        <v>Mineral</v>
      </c>
      <c r="D2091" s="3">
        <f>[1]Raw_Data!D2089</f>
        <v>147</v>
      </c>
      <c r="E2091" s="4">
        <f>[1]Raw_Data!E2089</f>
        <v>42.83</v>
      </c>
      <c r="F2091" s="5">
        <f>[1]Raw_Data!F2089</f>
        <v>6296.01</v>
      </c>
      <c r="G2091" s="4">
        <f>[1]Raw_Data!G2089</f>
        <v>0.23</v>
      </c>
      <c r="H2091" s="3">
        <f>[1]Raw_Data!H2089</f>
        <v>1</v>
      </c>
      <c r="I2091" s="3" t="str">
        <f>TRIM([1]Raw_Data!I2089)</f>
        <v>USA</v>
      </c>
      <c r="J2091" s="3" t="str">
        <f>TRIM([1]Raw_Data!J2089)</f>
        <v>Walmart</v>
      </c>
      <c r="K2091" s="3">
        <f t="shared" si="128"/>
        <v>2022</v>
      </c>
      <c r="L2091" s="6">
        <f t="shared" si="129"/>
        <v>44743</v>
      </c>
      <c r="M2091" s="3" t="str">
        <f t="shared" si="130"/>
        <v>21% to 25%</v>
      </c>
      <c r="N2091" s="3" t="str">
        <f t="shared" si="131"/>
        <v>OK</v>
      </c>
    </row>
    <row r="2092" spans="1:14" x14ac:dyDescent="0.3">
      <c r="A2092" s="2">
        <f>DATE(VALUE(RIGHT(TRIM([1]Raw_Data!A2090),4)),VALUE(MID(TRIM([1]Raw_Data!A2090),4,2)),VALUE(LEFT(TRIM([1]Raw_Data!A2090),2)))</f>
        <v>44746</v>
      </c>
      <c r="B2092" s="3" t="str">
        <f>TRIM([1]Raw_Data!B2090)</f>
        <v>Collagen Peptides</v>
      </c>
      <c r="C2092" s="3" t="str">
        <f>TRIM([1]Raw_Data!C2090)</f>
        <v>Protein</v>
      </c>
      <c r="D2092" s="3">
        <f>[1]Raw_Data!D2090</f>
        <v>138</v>
      </c>
      <c r="E2092" s="4">
        <f>[1]Raw_Data!E2090</f>
        <v>52.7</v>
      </c>
      <c r="F2092" s="5">
        <f>[1]Raw_Data!F2090</f>
        <v>7272.6</v>
      </c>
      <c r="G2092" s="4">
        <f>[1]Raw_Data!G2090</f>
        <v>0.14000000000000001</v>
      </c>
      <c r="H2092" s="3">
        <f>[1]Raw_Data!H2090</f>
        <v>1</v>
      </c>
      <c r="I2092" s="3" t="str">
        <f>TRIM([1]Raw_Data!I2090)</f>
        <v>UK</v>
      </c>
      <c r="J2092" s="3" t="str">
        <f>TRIM([1]Raw_Data!J2090)</f>
        <v>Amazon</v>
      </c>
      <c r="K2092" s="3">
        <f t="shared" si="128"/>
        <v>2022</v>
      </c>
      <c r="L2092" s="6">
        <f t="shared" si="129"/>
        <v>44743</v>
      </c>
      <c r="M2092" s="3" t="str">
        <f t="shared" si="130"/>
        <v>11% to 15%</v>
      </c>
      <c r="N2092" s="3" t="str">
        <f t="shared" si="131"/>
        <v>OK</v>
      </c>
    </row>
    <row r="2093" spans="1:14" x14ac:dyDescent="0.3">
      <c r="A2093" s="2">
        <f>DATE(VALUE(RIGHT(TRIM([1]Raw_Data!A2091),4)),VALUE(MID(TRIM([1]Raw_Data!A2091),4,2)),VALUE(LEFT(TRIM([1]Raw_Data!A2091),2)))</f>
        <v>44746</v>
      </c>
      <c r="B2093" s="3" t="str">
        <f>TRIM([1]Raw_Data!B2091)</f>
        <v>Magnesium</v>
      </c>
      <c r="C2093" s="3" t="str">
        <f>TRIM([1]Raw_Data!C2091)</f>
        <v>Mineral</v>
      </c>
      <c r="D2093" s="3">
        <f>[1]Raw_Data!D2091</f>
        <v>135</v>
      </c>
      <c r="E2093" s="4">
        <f>[1]Raw_Data!E2091</f>
        <v>23.92</v>
      </c>
      <c r="F2093" s="5">
        <f>[1]Raw_Data!F2091</f>
        <v>3229.2</v>
      </c>
      <c r="G2093" s="4">
        <f>[1]Raw_Data!G2091</f>
        <v>0.24</v>
      </c>
      <c r="H2093" s="3">
        <f>[1]Raw_Data!H2091</f>
        <v>3</v>
      </c>
      <c r="I2093" s="3" t="str">
        <f>TRIM([1]Raw_Data!I2091)</f>
        <v>USA</v>
      </c>
      <c r="J2093" s="3" t="str">
        <f>TRIM([1]Raw_Data!J2091)</f>
        <v>Amazon</v>
      </c>
      <c r="K2093" s="3">
        <f t="shared" si="128"/>
        <v>2022</v>
      </c>
      <c r="L2093" s="6">
        <f t="shared" si="129"/>
        <v>44743</v>
      </c>
      <c r="M2093" s="3" t="str">
        <f t="shared" si="130"/>
        <v>21% to 25%</v>
      </c>
      <c r="N2093" s="3" t="str">
        <f t="shared" si="131"/>
        <v>OK</v>
      </c>
    </row>
    <row r="2094" spans="1:14" x14ac:dyDescent="0.3">
      <c r="A2094" s="2">
        <f>DATE(VALUE(RIGHT(TRIM([1]Raw_Data!A2092),4)),VALUE(MID(TRIM([1]Raw_Data!A2092),4,2)),VALUE(LEFT(TRIM([1]Raw_Data!A2092),2)))</f>
        <v>44746</v>
      </c>
      <c r="B2094" s="3" t="str">
        <f>TRIM([1]Raw_Data!B2092)</f>
        <v>Ashwagandha</v>
      </c>
      <c r="C2094" s="3" t="str">
        <f>TRIM([1]Raw_Data!C2092)</f>
        <v>Herbal</v>
      </c>
      <c r="D2094" s="3">
        <f>[1]Raw_Data!D2092</f>
        <v>129</v>
      </c>
      <c r="E2094" s="4">
        <f>[1]Raw_Data!E2092</f>
        <v>21.25</v>
      </c>
      <c r="F2094" s="5">
        <f>[1]Raw_Data!F2092</f>
        <v>2741.25</v>
      </c>
      <c r="G2094" s="4">
        <f>[1]Raw_Data!G2092</f>
        <v>0.1</v>
      </c>
      <c r="H2094" s="3">
        <f>[1]Raw_Data!H2092</f>
        <v>3</v>
      </c>
      <c r="I2094" s="3" t="str">
        <f>TRIM([1]Raw_Data!I2092)</f>
        <v>Canada</v>
      </c>
      <c r="J2094" s="3" t="str">
        <f>TRIM([1]Raw_Data!J2092)</f>
        <v>iHerb</v>
      </c>
      <c r="K2094" s="3">
        <f t="shared" si="128"/>
        <v>2022</v>
      </c>
      <c r="L2094" s="6">
        <f t="shared" si="129"/>
        <v>44743</v>
      </c>
      <c r="M2094" s="3" t="str">
        <f t="shared" si="130"/>
        <v>6% to 10%</v>
      </c>
      <c r="N2094" s="3" t="str">
        <f t="shared" si="131"/>
        <v>OK</v>
      </c>
    </row>
    <row r="2095" spans="1:14" x14ac:dyDescent="0.3">
      <c r="A2095" s="2">
        <f>DATE(VALUE(RIGHT(TRIM([1]Raw_Data!A2093),4)),VALUE(MID(TRIM([1]Raw_Data!A2093),4,2)),VALUE(LEFT(TRIM([1]Raw_Data!A2093),2)))</f>
        <v>44746</v>
      </c>
      <c r="B2095" s="3" t="str">
        <f>TRIM([1]Raw_Data!B2093)</f>
        <v>Melatonin</v>
      </c>
      <c r="C2095" s="3" t="str">
        <f>TRIM([1]Raw_Data!C2093)</f>
        <v>Sleep Aid</v>
      </c>
      <c r="D2095" s="3">
        <f>[1]Raw_Data!D2093</f>
        <v>151</v>
      </c>
      <c r="E2095" s="4">
        <f>[1]Raw_Data!E2093</f>
        <v>20.39</v>
      </c>
      <c r="F2095" s="5">
        <f>[1]Raw_Data!F2093</f>
        <v>3078.89</v>
      </c>
      <c r="G2095" s="4">
        <f>[1]Raw_Data!G2093</f>
        <v>0.2</v>
      </c>
      <c r="H2095" s="3">
        <f>[1]Raw_Data!H2093</f>
        <v>2</v>
      </c>
      <c r="I2095" s="3" t="str">
        <f>TRIM([1]Raw_Data!I2093)</f>
        <v>USA</v>
      </c>
      <c r="J2095" s="3" t="str">
        <f>TRIM([1]Raw_Data!J2093)</f>
        <v>Amazon</v>
      </c>
      <c r="K2095" s="3">
        <f t="shared" si="128"/>
        <v>2022</v>
      </c>
      <c r="L2095" s="6">
        <f t="shared" si="129"/>
        <v>44743</v>
      </c>
      <c r="M2095" s="3" t="str">
        <f t="shared" si="130"/>
        <v>16% to 20%</v>
      </c>
      <c r="N2095" s="3" t="str">
        <f t="shared" si="131"/>
        <v>OK</v>
      </c>
    </row>
    <row r="2096" spans="1:14" x14ac:dyDescent="0.3">
      <c r="A2096" s="2">
        <f>DATE(VALUE(RIGHT(TRIM([1]Raw_Data!A2094),4)),VALUE(MID(TRIM([1]Raw_Data!A2094),4,2)),VALUE(LEFT(TRIM([1]Raw_Data!A2094),2)))</f>
        <v>44746</v>
      </c>
      <c r="B2096" s="3" t="str">
        <f>TRIM([1]Raw_Data!B2094)</f>
        <v>Biotin</v>
      </c>
      <c r="C2096" s="3" t="str">
        <f>TRIM([1]Raw_Data!C2094)</f>
        <v>Vitamin</v>
      </c>
      <c r="D2096" s="3">
        <f>[1]Raw_Data!D2094</f>
        <v>149</v>
      </c>
      <c r="E2096" s="4">
        <f>[1]Raw_Data!E2094</f>
        <v>26.71</v>
      </c>
      <c r="F2096" s="5">
        <f>[1]Raw_Data!F2094</f>
        <v>3979.79</v>
      </c>
      <c r="G2096" s="4">
        <f>[1]Raw_Data!G2094</f>
        <v>0.24</v>
      </c>
      <c r="H2096" s="3">
        <f>[1]Raw_Data!H2094</f>
        <v>1</v>
      </c>
      <c r="I2096" s="3" t="str">
        <f>TRIM([1]Raw_Data!I2094)</f>
        <v>Canada</v>
      </c>
      <c r="J2096" s="3" t="str">
        <f>TRIM([1]Raw_Data!J2094)</f>
        <v>Walmart</v>
      </c>
      <c r="K2096" s="3">
        <f t="shared" si="128"/>
        <v>2022</v>
      </c>
      <c r="L2096" s="6">
        <f t="shared" si="129"/>
        <v>44743</v>
      </c>
      <c r="M2096" s="3" t="str">
        <f t="shared" si="130"/>
        <v>21% to 25%</v>
      </c>
      <c r="N2096" s="3" t="str">
        <f t="shared" si="131"/>
        <v>OK</v>
      </c>
    </row>
    <row r="2097" spans="1:14" x14ac:dyDescent="0.3">
      <c r="A2097" s="2">
        <f>DATE(VALUE(RIGHT(TRIM([1]Raw_Data!A2095),4)),VALUE(MID(TRIM([1]Raw_Data!A2095),4,2)),VALUE(LEFT(TRIM([1]Raw_Data!A2095),2)))</f>
        <v>44746</v>
      </c>
      <c r="B2097" s="3" t="str">
        <f>TRIM([1]Raw_Data!B2095)</f>
        <v>Green Tea Extract</v>
      </c>
      <c r="C2097" s="3" t="str">
        <f>TRIM([1]Raw_Data!C2095)</f>
        <v>Fat Burner</v>
      </c>
      <c r="D2097" s="3">
        <f>[1]Raw_Data!D2095</f>
        <v>146</v>
      </c>
      <c r="E2097" s="4">
        <f>[1]Raw_Data!E2095</f>
        <v>48.95</v>
      </c>
      <c r="F2097" s="5">
        <f>[1]Raw_Data!F2095</f>
        <v>7146.7</v>
      </c>
      <c r="G2097" s="4">
        <f>[1]Raw_Data!G2095</f>
        <v>0.09</v>
      </c>
      <c r="H2097" s="3">
        <f>[1]Raw_Data!H2095</f>
        <v>0</v>
      </c>
      <c r="I2097" s="3" t="str">
        <f>TRIM([1]Raw_Data!I2095)</f>
        <v>Canada</v>
      </c>
      <c r="J2097" s="3" t="str">
        <f>TRIM([1]Raw_Data!J2095)</f>
        <v>iHerb</v>
      </c>
      <c r="K2097" s="3">
        <f t="shared" si="128"/>
        <v>2022</v>
      </c>
      <c r="L2097" s="6">
        <f t="shared" si="129"/>
        <v>44743</v>
      </c>
      <c r="M2097" s="3" t="str">
        <f t="shared" si="130"/>
        <v>6% to 10%</v>
      </c>
      <c r="N2097" s="3" t="str">
        <f t="shared" si="131"/>
        <v>OK</v>
      </c>
    </row>
    <row r="2098" spans="1:14" x14ac:dyDescent="0.3">
      <c r="A2098" s="2">
        <f>DATE(VALUE(RIGHT(TRIM([1]Raw_Data!A2096),4)),VALUE(MID(TRIM([1]Raw_Data!A2096),4,2)),VALUE(LEFT(TRIM([1]Raw_Data!A2096),2)))</f>
        <v>44746</v>
      </c>
      <c r="B2098" s="3" t="str">
        <f>TRIM([1]Raw_Data!B2096)</f>
        <v>Iron Supplement</v>
      </c>
      <c r="C2098" s="3" t="str">
        <f>TRIM([1]Raw_Data!C2096)</f>
        <v>Mineral</v>
      </c>
      <c r="D2098" s="3">
        <f>[1]Raw_Data!D2096</f>
        <v>153</v>
      </c>
      <c r="E2098" s="4">
        <f>[1]Raw_Data!E2096</f>
        <v>45.64</v>
      </c>
      <c r="F2098" s="5">
        <f>[1]Raw_Data!F2096</f>
        <v>6982.92</v>
      </c>
      <c r="G2098" s="4">
        <f>[1]Raw_Data!G2096</f>
        <v>0.22</v>
      </c>
      <c r="H2098" s="3">
        <f>[1]Raw_Data!H2096</f>
        <v>1</v>
      </c>
      <c r="I2098" s="3" t="str">
        <f>TRIM([1]Raw_Data!I2096)</f>
        <v>USA</v>
      </c>
      <c r="J2098" s="3" t="str">
        <f>TRIM([1]Raw_Data!J2096)</f>
        <v>Amazon</v>
      </c>
      <c r="K2098" s="3">
        <f t="shared" si="128"/>
        <v>2022</v>
      </c>
      <c r="L2098" s="6">
        <f t="shared" si="129"/>
        <v>44743</v>
      </c>
      <c r="M2098" s="3" t="str">
        <f t="shared" si="130"/>
        <v>21% to 25%</v>
      </c>
      <c r="N2098" s="3" t="str">
        <f t="shared" si="131"/>
        <v>OK</v>
      </c>
    </row>
    <row r="2099" spans="1:14" x14ac:dyDescent="0.3">
      <c r="A2099" s="2">
        <f>DATE(VALUE(RIGHT(TRIM([1]Raw_Data!A2097),4)),VALUE(MID(TRIM([1]Raw_Data!A2097),4,2)),VALUE(LEFT(TRIM([1]Raw_Data!A2097),2)))</f>
        <v>44746</v>
      </c>
      <c r="B2099" s="3" t="str">
        <f>TRIM([1]Raw_Data!B2097)</f>
        <v>Electrolyte Powder</v>
      </c>
      <c r="C2099" s="3" t="str">
        <f>TRIM([1]Raw_Data!C2097)</f>
        <v>Hydration</v>
      </c>
      <c r="D2099" s="3">
        <f>[1]Raw_Data!D2097</f>
        <v>148</v>
      </c>
      <c r="E2099" s="4">
        <f>[1]Raw_Data!E2097</f>
        <v>43.32</v>
      </c>
      <c r="F2099" s="5">
        <f>[1]Raw_Data!F2097</f>
        <v>6411.36</v>
      </c>
      <c r="G2099" s="4">
        <f>[1]Raw_Data!G2097</f>
        <v>0.14000000000000001</v>
      </c>
      <c r="H2099" s="3">
        <f>[1]Raw_Data!H2097</f>
        <v>0</v>
      </c>
      <c r="I2099" s="3" t="str">
        <f>TRIM([1]Raw_Data!I2097)</f>
        <v>USA</v>
      </c>
      <c r="J2099" s="3" t="str">
        <f>TRIM([1]Raw_Data!J2097)</f>
        <v>Walmart</v>
      </c>
      <c r="K2099" s="3">
        <f t="shared" si="128"/>
        <v>2022</v>
      </c>
      <c r="L2099" s="6">
        <f t="shared" si="129"/>
        <v>44743</v>
      </c>
      <c r="M2099" s="3" t="str">
        <f t="shared" si="130"/>
        <v>11% to 15%</v>
      </c>
      <c r="N2099" s="3" t="str">
        <f t="shared" si="131"/>
        <v>OK</v>
      </c>
    </row>
    <row r="2100" spans="1:14" x14ac:dyDescent="0.3">
      <c r="A2100" s="2">
        <f>DATE(VALUE(RIGHT(TRIM([1]Raw_Data!A2098),4)),VALUE(MID(TRIM([1]Raw_Data!A2098),4,2)),VALUE(LEFT(TRIM([1]Raw_Data!A2098),2)))</f>
        <v>44753</v>
      </c>
      <c r="B2100" s="3" t="str">
        <f>TRIM([1]Raw_Data!B2098)</f>
        <v>Whey Protein</v>
      </c>
      <c r="C2100" s="3" t="str">
        <f>TRIM([1]Raw_Data!C2098)</f>
        <v>Protein</v>
      </c>
      <c r="D2100" s="3">
        <f>[1]Raw_Data!D2098</f>
        <v>160</v>
      </c>
      <c r="E2100" s="4">
        <f>[1]Raw_Data!E2098</f>
        <v>37.65</v>
      </c>
      <c r="F2100" s="5">
        <f>[1]Raw_Data!F2098</f>
        <v>6024</v>
      </c>
      <c r="G2100" s="4">
        <f>[1]Raw_Data!G2098</f>
        <v>0.12</v>
      </c>
      <c r="H2100" s="3">
        <f>[1]Raw_Data!H2098</f>
        <v>0</v>
      </c>
      <c r="I2100" s="3" t="str">
        <f>TRIM([1]Raw_Data!I2098)</f>
        <v>Canada</v>
      </c>
      <c r="J2100" s="3" t="str">
        <f>TRIM([1]Raw_Data!J2098)</f>
        <v>Walmart</v>
      </c>
      <c r="K2100" s="3">
        <f t="shared" si="128"/>
        <v>2022</v>
      </c>
      <c r="L2100" s="6">
        <f t="shared" si="129"/>
        <v>44743</v>
      </c>
      <c r="M2100" s="3" t="str">
        <f t="shared" si="130"/>
        <v>11% to 15%</v>
      </c>
      <c r="N2100" s="3" t="str">
        <f t="shared" si="131"/>
        <v>OK</v>
      </c>
    </row>
    <row r="2101" spans="1:14" x14ac:dyDescent="0.3">
      <c r="A2101" s="2">
        <f>DATE(VALUE(RIGHT(TRIM([1]Raw_Data!A2099),4)),VALUE(MID(TRIM([1]Raw_Data!A2099),4,2)),VALUE(LEFT(TRIM([1]Raw_Data!A2099),2)))</f>
        <v>44753</v>
      </c>
      <c r="B2101" s="3" t="str">
        <f>TRIM([1]Raw_Data!B2099)</f>
        <v>Vitamin C</v>
      </c>
      <c r="C2101" s="3" t="str">
        <f>TRIM([1]Raw_Data!C2099)</f>
        <v>Vitamin</v>
      </c>
      <c r="D2101" s="3">
        <f>[1]Raw_Data!D2099</f>
        <v>129</v>
      </c>
      <c r="E2101" s="4">
        <f>[1]Raw_Data!E2099</f>
        <v>25.54</v>
      </c>
      <c r="F2101" s="5">
        <f>[1]Raw_Data!F2099</f>
        <v>3294.66</v>
      </c>
      <c r="G2101" s="4">
        <f>[1]Raw_Data!G2099</f>
        <v>0.24</v>
      </c>
      <c r="H2101" s="3">
        <f>[1]Raw_Data!H2099</f>
        <v>2</v>
      </c>
      <c r="I2101" s="3" t="str">
        <f>TRIM([1]Raw_Data!I2099)</f>
        <v>USA</v>
      </c>
      <c r="J2101" s="3" t="str">
        <f>TRIM([1]Raw_Data!J2099)</f>
        <v>Walmart</v>
      </c>
      <c r="K2101" s="3">
        <f t="shared" si="128"/>
        <v>2022</v>
      </c>
      <c r="L2101" s="6">
        <f t="shared" si="129"/>
        <v>44743</v>
      </c>
      <c r="M2101" s="3" t="str">
        <f t="shared" si="130"/>
        <v>21% to 25%</v>
      </c>
      <c r="N2101" s="3" t="str">
        <f t="shared" si="131"/>
        <v>OK</v>
      </c>
    </row>
    <row r="2102" spans="1:14" x14ac:dyDescent="0.3">
      <c r="A2102" s="2">
        <f>DATE(VALUE(RIGHT(TRIM([1]Raw_Data!A2100),4)),VALUE(MID(TRIM([1]Raw_Data!A2100),4,2)),VALUE(LEFT(TRIM([1]Raw_Data!A2100),2)))</f>
        <v>44753</v>
      </c>
      <c r="B2102" s="3" t="str">
        <f>TRIM([1]Raw_Data!B2100)</f>
        <v>Fish Oil</v>
      </c>
      <c r="C2102" s="3" t="str">
        <f>TRIM([1]Raw_Data!C2100)</f>
        <v>Omega</v>
      </c>
      <c r="D2102" s="3">
        <f>[1]Raw_Data!D2100</f>
        <v>156</v>
      </c>
      <c r="E2102" s="4">
        <f>[1]Raw_Data!E2100</f>
        <v>18.37</v>
      </c>
      <c r="F2102" s="5">
        <f>[1]Raw_Data!F2100</f>
        <v>2865.72</v>
      </c>
      <c r="G2102" s="4">
        <f>[1]Raw_Data!G2100</f>
        <v>0.24</v>
      </c>
      <c r="H2102" s="3">
        <f>[1]Raw_Data!H2100</f>
        <v>1</v>
      </c>
      <c r="I2102" s="3" t="str">
        <f>TRIM([1]Raw_Data!I2100)</f>
        <v>USA</v>
      </c>
      <c r="J2102" s="3" t="str">
        <f>TRIM([1]Raw_Data!J2100)</f>
        <v>Walmart</v>
      </c>
      <c r="K2102" s="3">
        <f t="shared" si="128"/>
        <v>2022</v>
      </c>
      <c r="L2102" s="6">
        <f t="shared" si="129"/>
        <v>44743</v>
      </c>
      <c r="M2102" s="3" t="str">
        <f t="shared" si="130"/>
        <v>21% to 25%</v>
      </c>
      <c r="N2102" s="3" t="str">
        <f t="shared" si="131"/>
        <v>OK</v>
      </c>
    </row>
    <row r="2103" spans="1:14" x14ac:dyDescent="0.3">
      <c r="A2103" s="2">
        <f>DATE(VALUE(RIGHT(TRIM([1]Raw_Data!A2101),4)),VALUE(MID(TRIM([1]Raw_Data!A2101),4,2)),VALUE(LEFT(TRIM([1]Raw_Data!A2101),2)))</f>
        <v>44753</v>
      </c>
      <c r="B2103" s="3" t="str">
        <f>TRIM([1]Raw_Data!B2101)</f>
        <v>Multivitamin</v>
      </c>
      <c r="C2103" s="3" t="str">
        <f>TRIM([1]Raw_Data!C2101)</f>
        <v>Vitamin</v>
      </c>
      <c r="D2103" s="3">
        <f>[1]Raw_Data!D2101</f>
        <v>132</v>
      </c>
      <c r="E2103" s="4">
        <f>[1]Raw_Data!E2101</f>
        <v>53.7</v>
      </c>
      <c r="F2103" s="5">
        <f>[1]Raw_Data!F2101</f>
        <v>7088.4</v>
      </c>
      <c r="G2103" s="4">
        <f>[1]Raw_Data!G2101</f>
        <v>0.22</v>
      </c>
      <c r="H2103" s="3">
        <f>[1]Raw_Data!H2101</f>
        <v>0</v>
      </c>
      <c r="I2103" s="3" t="str">
        <f>TRIM([1]Raw_Data!I2101)</f>
        <v>USA</v>
      </c>
      <c r="J2103" s="3" t="str">
        <f>TRIM([1]Raw_Data!J2101)</f>
        <v>iHerb</v>
      </c>
      <c r="K2103" s="3">
        <f t="shared" si="128"/>
        <v>2022</v>
      </c>
      <c r="L2103" s="6">
        <f t="shared" si="129"/>
        <v>44743</v>
      </c>
      <c r="M2103" s="3" t="str">
        <f t="shared" si="130"/>
        <v>21% to 25%</v>
      </c>
      <c r="N2103" s="3" t="str">
        <f t="shared" si="131"/>
        <v>OK</v>
      </c>
    </row>
    <row r="2104" spans="1:14" x14ac:dyDescent="0.3">
      <c r="A2104" s="2">
        <f>DATE(VALUE(RIGHT(TRIM([1]Raw_Data!A2102),4)),VALUE(MID(TRIM([1]Raw_Data!A2102),4,2)),VALUE(LEFT(TRIM([1]Raw_Data!A2102),2)))</f>
        <v>44753</v>
      </c>
      <c r="B2104" s="3" t="str">
        <f>TRIM([1]Raw_Data!B2102)</f>
        <v>Pre-Workout</v>
      </c>
      <c r="C2104" s="3" t="str">
        <f>TRIM([1]Raw_Data!C2102)</f>
        <v>Performance</v>
      </c>
      <c r="D2104" s="3">
        <f>[1]Raw_Data!D2102</f>
        <v>167</v>
      </c>
      <c r="E2104" s="4">
        <f>[1]Raw_Data!E2102</f>
        <v>11.95</v>
      </c>
      <c r="F2104" s="5">
        <f>[1]Raw_Data!F2102</f>
        <v>1995.65</v>
      </c>
      <c r="G2104" s="4">
        <f>[1]Raw_Data!G2102</f>
        <v>0.21</v>
      </c>
      <c r="H2104" s="3">
        <f>[1]Raw_Data!H2102</f>
        <v>3</v>
      </c>
      <c r="I2104" s="3" t="str">
        <f>TRIM([1]Raw_Data!I2102)</f>
        <v>Canada</v>
      </c>
      <c r="J2104" s="3" t="str">
        <f>TRIM([1]Raw_Data!J2102)</f>
        <v>Walmart</v>
      </c>
      <c r="K2104" s="3">
        <f t="shared" si="128"/>
        <v>2022</v>
      </c>
      <c r="L2104" s="6">
        <f t="shared" si="129"/>
        <v>44743</v>
      </c>
      <c r="M2104" s="3" t="str">
        <f t="shared" si="130"/>
        <v>21% to 25%</v>
      </c>
      <c r="N2104" s="3" t="str">
        <f t="shared" si="131"/>
        <v>OK</v>
      </c>
    </row>
    <row r="2105" spans="1:14" x14ac:dyDescent="0.3">
      <c r="A2105" s="2">
        <f>DATE(VALUE(RIGHT(TRIM([1]Raw_Data!A2103),4)),VALUE(MID(TRIM([1]Raw_Data!A2103),4,2)),VALUE(LEFT(TRIM([1]Raw_Data!A2103),2)))</f>
        <v>44753</v>
      </c>
      <c r="B2105" s="3" t="str">
        <f>TRIM([1]Raw_Data!B2103)</f>
        <v>BCAA</v>
      </c>
      <c r="C2105" s="3" t="str">
        <f>TRIM([1]Raw_Data!C2103)</f>
        <v>Amino Acid</v>
      </c>
      <c r="D2105" s="3">
        <f>[1]Raw_Data!D2103</f>
        <v>153</v>
      </c>
      <c r="E2105" s="4">
        <f>[1]Raw_Data!E2103</f>
        <v>50.66</v>
      </c>
      <c r="F2105" s="5">
        <f>[1]Raw_Data!F2103</f>
        <v>7750.98</v>
      </c>
      <c r="G2105" s="4">
        <f>[1]Raw_Data!G2103</f>
        <v>0.2</v>
      </c>
      <c r="H2105" s="3">
        <f>[1]Raw_Data!H2103</f>
        <v>3</v>
      </c>
      <c r="I2105" s="3" t="str">
        <f>TRIM([1]Raw_Data!I2103)</f>
        <v>USA</v>
      </c>
      <c r="J2105" s="3" t="str">
        <f>TRIM([1]Raw_Data!J2103)</f>
        <v>Walmart</v>
      </c>
      <c r="K2105" s="3">
        <f t="shared" si="128"/>
        <v>2022</v>
      </c>
      <c r="L2105" s="6">
        <f t="shared" si="129"/>
        <v>44743</v>
      </c>
      <c r="M2105" s="3" t="str">
        <f t="shared" si="130"/>
        <v>16% to 20%</v>
      </c>
      <c r="N2105" s="3" t="str">
        <f t="shared" si="131"/>
        <v>OK</v>
      </c>
    </row>
    <row r="2106" spans="1:14" x14ac:dyDescent="0.3">
      <c r="A2106" s="2">
        <f>DATE(VALUE(RIGHT(TRIM([1]Raw_Data!A2104),4)),VALUE(MID(TRIM([1]Raw_Data!A2104),4,2)),VALUE(LEFT(TRIM([1]Raw_Data!A2104),2)))</f>
        <v>44753</v>
      </c>
      <c r="B2106" s="3" t="str">
        <f>TRIM([1]Raw_Data!B2104)</f>
        <v>Creatine</v>
      </c>
      <c r="C2106" s="3" t="str">
        <f>TRIM([1]Raw_Data!C2104)</f>
        <v>Performance</v>
      </c>
      <c r="D2106" s="3">
        <f>[1]Raw_Data!D2104</f>
        <v>152</v>
      </c>
      <c r="E2106" s="4">
        <f>[1]Raw_Data!E2104</f>
        <v>59.81</v>
      </c>
      <c r="F2106" s="5">
        <f>[1]Raw_Data!F2104</f>
        <v>9091.1200000000008</v>
      </c>
      <c r="G2106" s="4">
        <f>[1]Raw_Data!G2104</f>
        <v>0.03</v>
      </c>
      <c r="H2106" s="3">
        <f>[1]Raw_Data!H2104</f>
        <v>3</v>
      </c>
      <c r="I2106" s="3" t="str">
        <f>TRIM([1]Raw_Data!I2104)</f>
        <v>Canada</v>
      </c>
      <c r="J2106" s="3" t="str">
        <f>TRIM([1]Raw_Data!J2104)</f>
        <v>iHerb</v>
      </c>
      <c r="K2106" s="3">
        <f t="shared" si="128"/>
        <v>2022</v>
      </c>
      <c r="L2106" s="6">
        <f t="shared" si="129"/>
        <v>44743</v>
      </c>
      <c r="M2106" s="3" t="str">
        <f t="shared" si="130"/>
        <v>0% to 5%</v>
      </c>
      <c r="N2106" s="3" t="str">
        <f t="shared" si="131"/>
        <v>OK</v>
      </c>
    </row>
    <row r="2107" spans="1:14" x14ac:dyDescent="0.3">
      <c r="A2107" s="2">
        <f>DATE(VALUE(RIGHT(TRIM([1]Raw_Data!A2105),4)),VALUE(MID(TRIM([1]Raw_Data!A2105),4,2)),VALUE(LEFT(TRIM([1]Raw_Data!A2105),2)))</f>
        <v>44753</v>
      </c>
      <c r="B2107" s="3" t="str">
        <f>TRIM([1]Raw_Data!B2105)</f>
        <v>Zinc</v>
      </c>
      <c r="C2107" s="3" t="str">
        <f>TRIM([1]Raw_Data!C2105)</f>
        <v>Mineral</v>
      </c>
      <c r="D2107" s="3">
        <f>[1]Raw_Data!D2105</f>
        <v>150</v>
      </c>
      <c r="E2107" s="4">
        <f>[1]Raw_Data!E2105</f>
        <v>40.65</v>
      </c>
      <c r="F2107" s="5">
        <f>[1]Raw_Data!F2105</f>
        <v>6097.5</v>
      </c>
      <c r="G2107" s="4">
        <f>[1]Raw_Data!G2105</f>
        <v>0.01</v>
      </c>
      <c r="H2107" s="3">
        <f>[1]Raw_Data!H2105</f>
        <v>1</v>
      </c>
      <c r="I2107" s="3" t="str">
        <f>TRIM([1]Raw_Data!I2105)</f>
        <v>Canada</v>
      </c>
      <c r="J2107" s="3" t="str">
        <f>TRIM([1]Raw_Data!J2105)</f>
        <v>Walmart</v>
      </c>
      <c r="K2107" s="3">
        <f t="shared" si="128"/>
        <v>2022</v>
      </c>
      <c r="L2107" s="6">
        <f t="shared" si="129"/>
        <v>44743</v>
      </c>
      <c r="M2107" s="3" t="str">
        <f t="shared" si="130"/>
        <v>0% to 5%</v>
      </c>
      <c r="N2107" s="3" t="str">
        <f t="shared" si="131"/>
        <v>OK</v>
      </c>
    </row>
    <row r="2108" spans="1:14" x14ac:dyDescent="0.3">
      <c r="A2108" s="2">
        <f>DATE(VALUE(RIGHT(TRIM([1]Raw_Data!A2106),4)),VALUE(MID(TRIM([1]Raw_Data!A2106),4,2)),VALUE(LEFT(TRIM([1]Raw_Data!A2106),2)))</f>
        <v>44753</v>
      </c>
      <c r="B2108" s="3" t="str">
        <f>TRIM([1]Raw_Data!B2106)</f>
        <v>Collagen Peptides</v>
      </c>
      <c r="C2108" s="3" t="str">
        <f>TRIM([1]Raw_Data!C2106)</f>
        <v>Protein</v>
      </c>
      <c r="D2108" s="3">
        <f>[1]Raw_Data!D2106</f>
        <v>166</v>
      </c>
      <c r="E2108" s="4">
        <f>[1]Raw_Data!E2106</f>
        <v>31.32</v>
      </c>
      <c r="F2108" s="5">
        <f>[1]Raw_Data!F2106</f>
        <v>5199.12</v>
      </c>
      <c r="G2108" s="4">
        <f>[1]Raw_Data!G2106</f>
        <v>0.23</v>
      </c>
      <c r="H2108" s="3">
        <f>[1]Raw_Data!H2106</f>
        <v>1</v>
      </c>
      <c r="I2108" s="3" t="str">
        <f>TRIM([1]Raw_Data!I2106)</f>
        <v>UK</v>
      </c>
      <c r="J2108" s="3" t="str">
        <f>TRIM([1]Raw_Data!J2106)</f>
        <v>Walmart</v>
      </c>
      <c r="K2108" s="3">
        <f t="shared" si="128"/>
        <v>2022</v>
      </c>
      <c r="L2108" s="6">
        <f t="shared" si="129"/>
        <v>44743</v>
      </c>
      <c r="M2108" s="3" t="str">
        <f t="shared" si="130"/>
        <v>21% to 25%</v>
      </c>
      <c r="N2108" s="3" t="str">
        <f t="shared" si="131"/>
        <v>OK</v>
      </c>
    </row>
    <row r="2109" spans="1:14" x14ac:dyDescent="0.3">
      <c r="A2109" s="2">
        <f>DATE(VALUE(RIGHT(TRIM([1]Raw_Data!A2107),4)),VALUE(MID(TRIM([1]Raw_Data!A2107),4,2)),VALUE(LEFT(TRIM([1]Raw_Data!A2107),2)))</f>
        <v>44753</v>
      </c>
      <c r="B2109" s="3" t="str">
        <f>TRIM([1]Raw_Data!B2107)</f>
        <v>Magnesium</v>
      </c>
      <c r="C2109" s="3" t="str">
        <f>TRIM([1]Raw_Data!C2107)</f>
        <v>Mineral</v>
      </c>
      <c r="D2109" s="3">
        <f>[1]Raw_Data!D2107</f>
        <v>145</v>
      </c>
      <c r="E2109" s="4">
        <f>[1]Raw_Data!E2107</f>
        <v>35.97</v>
      </c>
      <c r="F2109" s="5">
        <f>[1]Raw_Data!F2107</f>
        <v>5215.6499999999996</v>
      </c>
      <c r="G2109" s="4">
        <f>[1]Raw_Data!G2107</f>
        <v>0.16</v>
      </c>
      <c r="H2109" s="3">
        <f>[1]Raw_Data!H2107</f>
        <v>2</v>
      </c>
      <c r="I2109" s="3" t="str">
        <f>TRIM([1]Raw_Data!I2107)</f>
        <v>Canada</v>
      </c>
      <c r="J2109" s="3" t="str">
        <f>TRIM([1]Raw_Data!J2107)</f>
        <v>iHerb</v>
      </c>
      <c r="K2109" s="3">
        <f t="shared" si="128"/>
        <v>2022</v>
      </c>
      <c r="L2109" s="6">
        <f t="shared" si="129"/>
        <v>44743</v>
      </c>
      <c r="M2109" s="3" t="str">
        <f t="shared" si="130"/>
        <v>16% to 20%</v>
      </c>
      <c r="N2109" s="3" t="str">
        <f t="shared" si="131"/>
        <v>OK</v>
      </c>
    </row>
    <row r="2110" spans="1:14" x14ac:dyDescent="0.3">
      <c r="A2110" s="2">
        <f>DATE(VALUE(RIGHT(TRIM([1]Raw_Data!A2108),4)),VALUE(MID(TRIM([1]Raw_Data!A2108),4,2)),VALUE(LEFT(TRIM([1]Raw_Data!A2108),2)))</f>
        <v>44753</v>
      </c>
      <c r="B2110" s="3" t="str">
        <f>TRIM([1]Raw_Data!B2108)</f>
        <v>Ashwagandha</v>
      </c>
      <c r="C2110" s="3" t="str">
        <f>TRIM([1]Raw_Data!C2108)</f>
        <v>Herbal</v>
      </c>
      <c r="D2110" s="3">
        <f>[1]Raw_Data!D2108</f>
        <v>148</v>
      </c>
      <c r="E2110" s="4">
        <f>[1]Raw_Data!E2108</f>
        <v>36.69</v>
      </c>
      <c r="F2110" s="5">
        <f>[1]Raw_Data!F2108</f>
        <v>5430.12</v>
      </c>
      <c r="G2110" s="4">
        <f>[1]Raw_Data!G2108</f>
        <v>0.08</v>
      </c>
      <c r="H2110" s="3">
        <f>[1]Raw_Data!H2108</f>
        <v>2</v>
      </c>
      <c r="I2110" s="3" t="str">
        <f>TRIM([1]Raw_Data!I2108)</f>
        <v>Canada</v>
      </c>
      <c r="J2110" s="3" t="str">
        <f>TRIM([1]Raw_Data!J2108)</f>
        <v>Walmart</v>
      </c>
      <c r="K2110" s="3">
        <f t="shared" si="128"/>
        <v>2022</v>
      </c>
      <c r="L2110" s="6">
        <f t="shared" si="129"/>
        <v>44743</v>
      </c>
      <c r="M2110" s="3" t="str">
        <f t="shared" si="130"/>
        <v>6% to 10%</v>
      </c>
      <c r="N2110" s="3" t="str">
        <f t="shared" si="131"/>
        <v>OK</v>
      </c>
    </row>
    <row r="2111" spans="1:14" x14ac:dyDescent="0.3">
      <c r="A2111" s="2">
        <f>DATE(VALUE(RIGHT(TRIM([1]Raw_Data!A2109),4)),VALUE(MID(TRIM([1]Raw_Data!A2109),4,2)),VALUE(LEFT(TRIM([1]Raw_Data!A2109),2)))</f>
        <v>44753</v>
      </c>
      <c r="B2111" s="3" t="str">
        <f>TRIM([1]Raw_Data!B2109)</f>
        <v>Melatonin</v>
      </c>
      <c r="C2111" s="3" t="str">
        <f>TRIM([1]Raw_Data!C2109)</f>
        <v>Sleep Aid</v>
      </c>
      <c r="D2111" s="3">
        <f>[1]Raw_Data!D2109</f>
        <v>158</v>
      </c>
      <c r="E2111" s="4">
        <f>[1]Raw_Data!E2109</f>
        <v>12.83</v>
      </c>
      <c r="F2111" s="5">
        <f>[1]Raw_Data!F2109</f>
        <v>2027.14</v>
      </c>
      <c r="G2111" s="4">
        <f>[1]Raw_Data!G2109</f>
        <v>0.04</v>
      </c>
      <c r="H2111" s="3">
        <f>[1]Raw_Data!H2109</f>
        <v>1</v>
      </c>
      <c r="I2111" s="3" t="str">
        <f>TRIM([1]Raw_Data!I2109)</f>
        <v>USA</v>
      </c>
      <c r="J2111" s="3" t="str">
        <f>TRIM([1]Raw_Data!J2109)</f>
        <v>iHerb</v>
      </c>
      <c r="K2111" s="3">
        <f t="shared" si="128"/>
        <v>2022</v>
      </c>
      <c r="L2111" s="6">
        <f t="shared" si="129"/>
        <v>44743</v>
      </c>
      <c r="M2111" s="3" t="str">
        <f t="shared" si="130"/>
        <v>0% to 5%</v>
      </c>
      <c r="N2111" s="3" t="str">
        <f t="shared" si="131"/>
        <v>OK</v>
      </c>
    </row>
    <row r="2112" spans="1:14" x14ac:dyDescent="0.3">
      <c r="A2112" s="2">
        <f>DATE(VALUE(RIGHT(TRIM([1]Raw_Data!A2110),4)),VALUE(MID(TRIM([1]Raw_Data!A2110),4,2)),VALUE(LEFT(TRIM([1]Raw_Data!A2110),2)))</f>
        <v>44753</v>
      </c>
      <c r="B2112" s="3" t="str">
        <f>TRIM([1]Raw_Data!B2110)</f>
        <v>Biotin</v>
      </c>
      <c r="C2112" s="3" t="str">
        <f>TRIM([1]Raw_Data!C2110)</f>
        <v>Vitamin</v>
      </c>
      <c r="D2112" s="3">
        <f>[1]Raw_Data!D2110</f>
        <v>142</v>
      </c>
      <c r="E2112" s="4">
        <f>[1]Raw_Data!E2110</f>
        <v>10.92</v>
      </c>
      <c r="F2112" s="5">
        <f>[1]Raw_Data!F2110</f>
        <v>1550.64</v>
      </c>
      <c r="G2112" s="4">
        <f>[1]Raw_Data!G2110</f>
        <v>0.19</v>
      </c>
      <c r="H2112" s="3">
        <f>[1]Raw_Data!H2110</f>
        <v>1</v>
      </c>
      <c r="I2112" s="3" t="str">
        <f>TRIM([1]Raw_Data!I2110)</f>
        <v>UK</v>
      </c>
      <c r="J2112" s="3" t="str">
        <f>TRIM([1]Raw_Data!J2110)</f>
        <v>Amazon</v>
      </c>
      <c r="K2112" s="3">
        <f t="shared" si="128"/>
        <v>2022</v>
      </c>
      <c r="L2112" s="6">
        <f t="shared" si="129"/>
        <v>44743</v>
      </c>
      <c r="M2112" s="3" t="str">
        <f t="shared" si="130"/>
        <v>16% to 20%</v>
      </c>
      <c r="N2112" s="3" t="str">
        <f t="shared" si="131"/>
        <v>OK</v>
      </c>
    </row>
    <row r="2113" spans="1:14" x14ac:dyDescent="0.3">
      <c r="A2113" s="2">
        <f>DATE(VALUE(RIGHT(TRIM([1]Raw_Data!A2111),4)),VALUE(MID(TRIM([1]Raw_Data!A2111),4,2)),VALUE(LEFT(TRIM([1]Raw_Data!A2111),2)))</f>
        <v>44753</v>
      </c>
      <c r="B2113" s="3" t="str">
        <f>TRIM([1]Raw_Data!B2111)</f>
        <v>Green Tea Extract</v>
      </c>
      <c r="C2113" s="3" t="str">
        <f>TRIM([1]Raw_Data!C2111)</f>
        <v>Fat Burner</v>
      </c>
      <c r="D2113" s="3">
        <f>[1]Raw_Data!D2111</f>
        <v>143</v>
      </c>
      <c r="E2113" s="4">
        <f>[1]Raw_Data!E2111</f>
        <v>20.8</v>
      </c>
      <c r="F2113" s="5">
        <f>[1]Raw_Data!F2111</f>
        <v>2974.4</v>
      </c>
      <c r="G2113" s="4">
        <f>[1]Raw_Data!G2111</f>
        <v>0.22</v>
      </c>
      <c r="H2113" s="3">
        <f>[1]Raw_Data!H2111</f>
        <v>0</v>
      </c>
      <c r="I2113" s="3" t="str">
        <f>TRIM([1]Raw_Data!I2111)</f>
        <v>USA</v>
      </c>
      <c r="J2113" s="3" t="str">
        <f>TRIM([1]Raw_Data!J2111)</f>
        <v>Amazon</v>
      </c>
      <c r="K2113" s="3">
        <f t="shared" si="128"/>
        <v>2022</v>
      </c>
      <c r="L2113" s="6">
        <f t="shared" si="129"/>
        <v>44743</v>
      </c>
      <c r="M2113" s="3" t="str">
        <f t="shared" si="130"/>
        <v>21% to 25%</v>
      </c>
      <c r="N2113" s="3" t="str">
        <f t="shared" si="131"/>
        <v>OK</v>
      </c>
    </row>
    <row r="2114" spans="1:14" x14ac:dyDescent="0.3">
      <c r="A2114" s="2">
        <f>DATE(VALUE(RIGHT(TRIM([1]Raw_Data!A2112),4)),VALUE(MID(TRIM([1]Raw_Data!A2112),4,2)),VALUE(LEFT(TRIM([1]Raw_Data!A2112),2)))</f>
        <v>44753</v>
      </c>
      <c r="B2114" s="3" t="str">
        <f>TRIM([1]Raw_Data!B2112)</f>
        <v>Iron Supplement</v>
      </c>
      <c r="C2114" s="3" t="str">
        <f>TRIM([1]Raw_Data!C2112)</f>
        <v>Mineral</v>
      </c>
      <c r="D2114" s="3">
        <f>[1]Raw_Data!D2112</f>
        <v>148</v>
      </c>
      <c r="E2114" s="4">
        <f>[1]Raw_Data!E2112</f>
        <v>40.79</v>
      </c>
      <c r="F2114" s="5">
        <f>[1]Raw_Data!F2112</f>
        <v>6036.92</v>
      </c>
      <c r="G2114" s="4">
        <f>[1]Raw_Data!G2112</f>
        <v>7.0000000000000007E-2</v>
      </c>
      <c r="H2114" s="3">
        <f>[1]Raw_Data!H2112</f>
        <v>1</v>
      </c>
      <c r="I2114" s="3" t="str">
        <f>TRIM([1]Raw_Data!I2112)</f>
        <v>USA</v>
      </c>
      <c r="J2114" s="3" t="str">
        <f>TRIM([1]Raw_Data!J2112)</f>
        <v>Amazon</v>
      </c>
      <c r="K2114" s="3">
        <f t="shared" si="128"/>
        <v>2022</v>
      </c>
      <c r="L2114" s="6">
        <f t="shared" si="129"/>
        <v>44743</v>
      </c>
      <c r="M2114" s="3" t="str">
        <f t="shared" si="130"/>
        <v>6% to 10%</v>
      </c>
      <c r="N2114" s="3" t="str">
        <f t="shared" si="131"/>
        <v>OK</v>
      </c>
    </row>
    <row r="2115" spans="1:14" x14ac:dyDescent="0.3">
      <c r="A2115" s="2">
        <f>DATE(VALUE(RIGHT(TRIM([1]Raw_Data!A2113),4)),VALUE(MID(TRIM([1]Raw_Data!A2113),4,2)),VALUE(LEFT(TRIM([1]Raw_Data!A2113),2)))</f>
        <v>44753</v>
      </c>
      <c r="B2115" s="3" t="str">
        <f>TRIM([1]Raw_Data!B2113)</f>
        <v>Electrolyte Powder</v>
      </c>
      <c r="C2115" s="3" t="str">
        <f>TRIM([1]Raw_Data!C2113)</f>
        <v>Hydration</v>
      </c>
      <c r="D2115" s="3">
        <f>[1]Raw_Data!D2113</f>
        <v>168</v>
      </c>
      <c r="E2115" s="4">
        <f>[1]Raw_Data!E2113</f>
        <v>59.91</v>
      </c>
      <c r="F2115" s="5">
        <f>[1]Raw_Data!F2113</f>
        <v>10064.879999999999</v>
      </c>
      <c r="G2115" s="4">
        <f>[1]Raw_Data!G2113</f>
        <v>0</v>
      </c>
      <c r="H2115" s="3">
        <f>[1]Raw_Data!H2113</f>
        <v>0</v>
      </c>
      <c r="I2115" s="3" t="str">
        <f>TRIM([1]Raw_Data!I2113)</f>
        <v>Canada</v>
      </c>
      <c r="J2115" s="3" t="str">
        <f>TRIM([1]Raw_Data!J2113)</f>
        <v>Amazon</v>
      </c>
      <c r="K2115" s="3">
        <f t="shared" si="128"/>
        <v>2022</v>
      </c>
      <c r="L2115" s="6">
        <f t="shared" si="129"/>
        <v>44743</v>
      </c>
      <c r="M2115" s="3" t="str">
        <f t="shared" si="130"/>
        <v>0% to 5%</v>
      </c>
      <c r="N2115" s="3" t="str">
        <f t="shared" si="131"/>
        <v>OK</v>
      </c>
    </row>
    <row r="2116" spans="1:14" x14ac:dyDescent="0.3">
      <c r="A2116" s="2">
        <f>DATE(VALUE(RIGHT(TRIM([1]Raw_Data!A2114),4)),VALUE(MID(TRIM([1]Raw_Data!A2114),4,2)),VALUE(LEFT(TRIM([1]Raw_Data!A2114),2)))</f>
        <v>44760</v>
      </c>
      <c r="B2116" s="3" t="str">
        <f>TRIM([1]Raw_Data!B2114)</f>
        <v>Whey Protein</v>
      </c>
      <c r="C2116" s="3" t="str">
        <f>TRIM([1]Raw_Data!C2114)</f>
        <v>Protein</v>
      </c>
      <c r="D2116" s="3">
        <f>[1]Raw_Data!D2114</f>
        <v>163</v>
      </c>
      <c r="E2116" s="4">
        <f>[1]Raw_Data!E2114</f>
        <v>13.04</v>
      </c>
      <c r="F2116" s="5">
        <f>[1]Raw_Data!F2114</f>
        <v>2125.52</v>
      </c>
      <c r="G2116" s="4">
        <f>[1]Raw_Data!G2114</f>
        <v>0.06</v>
      </c>
      <c r="H2116" s="3">
        <f>[1]Raw_Data!H2114</f>
        <v>1</v>
      </c>
      <c r="I2116" s="3" t="str">
        <f>TRIM([1]Raw_Data!I2114)</f>
        <v>Canada</v>
      </c>
      <c r="J2116" s="3" t="str">
        <f>TRIM([1]Raw_Data!J2114)</f>
        <v>Walmart</v>
      </c>
      <c r="K2116" s="3">
        <f t="shared" ref="K2116:K2179" si="132">YEAR(A2116)</f>
        <v>2022</v>
      </c>
      <c r="L2116" s="6">
        <f t="shared" ref="L2116:L2179" si="133">DATE(YEAR(A2116),MONTH(A2116),1)</f>
        <v>44743</v>
      </c>
      <c r="M2116" s="3" t="str">
        <f t="shared" ref="M2116:M2179" si="134">IF(ROUND(G2116*100,0)&lt;=5,"0% to 5%",IF(ROUND(G2116*100,0)&lt;=10,"6% to 10%",IF(ROUND(G2116*100,0)&lt;=15,"11% to 15%",IF(ROUND(G2116*100,0)&lt;=20,"16% to 20%","21% to 25%"))))</f>
        <v>6% to 10%</v>
      </c>
      <c r="N2116" s="3" t="str">
        <f t="shared" ref="N2116:N2179" si="135">IF(ROUND(D2116*E2116,2)=ROUND(F2116,2),"OK","Check")</f>
        <v>OK</v>
      </c>
    </row>
    <row r="2117" spans="1:14" x14ac:dyDescent="0.3">
      <c r="A2117" s="2">
        <f>DATE(VALUE(RIGHT(TRIM([1]Raw_Data!A2115),4)),VALUE(MID(TRIM([1]Raw_Data!A2115),4,2)),VALUE(LEFT(TRIM([1]Raw_Data!A2115),2)))</f>
        <v>44760</v>
      </c>
      <c r="B2117" s="3" t="str">
        <f>TRIM([1]Raw_Data!B2115)</f>
        <v>Vitamin C</v>
      </c>
      <c r="C2117" s="3" t="str">
        <f>TRIM([1]Raw_Data!C2115)</f>
        <v>Vitamin</v>
      </c>
      <c r="D2117" s="3">
        <f>[1]Raw_Data!D2115</f>
        <v>159</v>
      </c>
      <c r="E2117" s="4">
        <f>[1]Raw_Data!E2115</f>
        <v>21.88</v>
      </c>
      <c r="F2117" s="5">
        <f>[1]Raw_Data!F2115</f>
        <v>3478.92</v>
      </c>
      <c r="G2117" s="4">
        <f>[1]Raw_Data!G2115</f>
        <v>0.13</v>
      </c>
      <c r="H2117" s="3">
        <f>[1]Raw_Data!H2115</f>
        <v>4</v>
      </c>
      <c r="I2117" s="3" t="str">
        <f>TRIM([1]Raw_Data!I2115)</f>
        <v>UK</v>
      </c>
      <c r="J2117" s="3" t="str">
        <f>TRIM([1]Raw_Data!J2115)</f>
        <v>Amazon</v>
      </c>
      <c r="K2117" s="3">
        <f t="shared" si="132"/>
        <v>2022</v>
      </c>
      <c r="L2117" s="6">
        <f t="shared" si="133"/>
        <v>44743</v>
      </c>
      <c r="M2117" s="3" t="str">
        <f t="shared" si="134"/>
        <v>11% to 15%</v>
      </c>
      <c r="N2117" s="3" t="str">
        <f t="shared" si="135"/>
        <v>OK</v>
      </c>
    </row>
    <row r="2118" spans="1:14" x14ac:dyDescent="0.3">
      <c r="A2118" s="2">
        <f>DATE(VALUE(RIGHT(TRIM([1]Raw_Data!A2116),4)),VALUE(MID(TRIM([1]Raw_Data!A2116),4,2)),VALUE(LEFT(TRIM([1]Raw_Data!A2116),2)))</f>
        <v>44760</v>
      </c>
      <c r="B2118" s="3" t="str">
        <f>TRIM([1]Raw_Data!B2116)</f>
        <v>Fish Oil</v>
      </c>
      <c r="C2118" s="3" t="str">
        <f>TRIM([1]Raw_Data!C2116)</f>
        <v>Omega</v>
      </c>
      <c r="D2118" s="3">
        <f>[1]Raw_Data!D2116</f>
        <v>162</v>
      </c>
      <c r="E2118" s="4">
        <f>[1]Raw_Data!E2116</f>
        <v>59.11</v>
      </c>
      <c r="F2118" s="5">
        <f>[1]Raw_Data!F2116</f>
        <v>9575.82</v>
      </c>
      <c r="G2118" s="4">
        <f>[1]Raw_Data!G2116</f>
        <v>0.18</v>
      </c>
      <c r="H2118" s="3">
        <f>[1]Raw_Data!H2116</f>
        <v>0</v>
      </c>
      <c r="I2118" s="3" t="str">
        <f>TRIM([1]Raw_Data!I2116)</f>
        <v>Canada</v>
      </c>
      <c r="J2118" s="3" t="str">
        <f>TRIM([1]Raw_Data!J2116)</f>
        <v>iHerb</v>
      </c>
      <c r="K2118" s="3">
        <f t="shared" si="132"/>
        <v>2022</v>
      </c>
      <c r="L2118" s="6">
        <f t="shared" si="133"/>
        <v>44743</v>
      </c>
      <c r="M2118" s="3" t="str">
        <f t="shared" si="134"/>
        <v>16% to 20%</v>
      </c>
      <c r="N2118" s="3" t="str">
        <f t="shared" si="135"/>
        <v>OK</v>
      </c>
    </row>
    <row r="2119" spans="1:14" x14ac:dyDescent="0.3">
      <c r="A2119" s="2">
        <f>DATE(VALUE(RIGHT(TRIM([1]Raw_Data!A2117),4)),VALUE(MID(TRIM([1]Raw_Data!A2117),4,2)),VALUE(LEFT(TRIM([1]Raw_Data!A2117),2)))</f>
        <v>44760</v>
      </c>
      <c r="B2119" s="3" t="str">
        <f>TRIM([1]Raw_Data!B2117)</f>
        <v>Multivitamin</v>
      </c>
      <c r="C2119" s="3" t="str">
        <f>TRIM([1]Raw_Data!C2117)</f>
        <v>Vitamin</v>
      </c>
      <c r="D2119" s="3">
        <f>[1]Raw_Data!D2117</f>
        <v>116</v>
      </c>
      <c r="E2119" s="4">
        <f>[1]Raw_Data!E2117</f>
        <v>46.39</v>
      </c>
      <c r="F2119" s="5">
        <f>[1]Raw_Data!F2117</f>
        <v>5381.24</v>
      </c>
      <c r="G2119" s="4">
        <f>[1]Raw_Data!G2117</f>
        <v>0.05</v>
      </c>
      <c r="H2119" s="3">
        <f>[1]Raw_Data!H2117</f>
        <v>1</v>
      </c>
      <c r="I2119" s="3" t="str">
        <f>TRIM([1]Raw_Data!I2117)</f>
        <v>UK</v>
      </c>
      <c r="J2119" s="3" t="str">
        <f>TRIM([1]Raw_Data!J2117)</f>
        <v>Amazon</v>
      </c>
      <c r="K2119" s="3">
        <f t="shared" si="132"/>
        <v>2022</v>
      </c>
      <c r="L2119" s="6">
        <f t="shared" si="133"/>
        <v>44743</v>
      </c>
      <c r="M2119" s="3" t="str">
        <f t="shared" si="134"/>
        <v>0% to 5%</v>
      </c>
      <c r="N2119" s="3" t="str">
        <f t="shared" si="135"/>
        <v>OK</v>
      </c>
    </row>
    <row r="2120" spans="1:14" x14ac:dyDescent="0.3">
      <c r="A2120" s="2">
        <f>DATE(VALUE(RIGHT(TRIM([1]Raw_Data!A2118),4)),VALUE(MID(TRIM([1]Raw_Data!A2118),4,2)),VALUE(LEFT(TRIM([1]Raw_Data!A2118),2)))</f>
        <v>44760</v>
      </c>
      <c r="B2120" s="3" t="str">
        <f>TRIM([1]Raw_Data!B2118)</f>
        <v>Pre-Workout</v>
      </c>
      <c r="C2120" s="3" t="str">
        <f>TRIM([1]Raw_Data!C2118)</f>
        <v>Performance</v>
      </c>
      <c r="D2120" s="3">
        <f>[1]Raw_Data!D2118</f>
        <v>131</v>
      </c>
      <c r="E2120" s="4">
        <f>[1]Raw_Data!E2118</f>
        <v>27.2</v>
      </c>
      <c r="F2120" s="5">
        <f>[1]Raw_Data!F2118</f>
        <v>3563.2</v>
      </c>
      <c r="G2120" s="4">
        <f>[1]Raw_Data!G2118</f>
        <v>0.23</v>
      </c>
      <c r="H2120" s="3">
        <f>[1]Raw_Data!H2118</f>
        <v>3</v>
      </c>
      <c r="I2120" s="3" t="str">
        <f>TRIM([1]Raw_Data!I2118)</f>
        <v>UK</v>
      </c>
      <c r="J2120" s="3" t="str">
        <f>TRIM([1]Raw_Data!J2118)</f>
        <v>Amazon</v>
      </c>
      <c r="K2120" s="3">
        <f t="shared" si="132"/>
        <v>2022</v>
      </c>
      <c r="L2120" s="6">
        <f t="shared" si="133"/>
        <v>44743</v>
      </c>
      <c r="M2120" s="3" t="str">
        <f t="shared" si="134"/>
        <v>21% to 25%</v>
      </c>
      <c r="N2120" s="3" t="str">
        <f t="shared" si="135"/>
        <v>OK</v>
      </c>
    </row>
    <row r="2121" spans="1:14" x14ac:dyDescent="0.3">
      <c r="A2121" s="2">
        <f>DATE(VALUE(RIGHT(TRIM([1]Raw_Data!A2119),4)),VALUE(MID(TRIM([1]Raw_Data!A2119),4,2)),VALUE(LEFT(TRIM([1]Raw_Data!A2119),2)))</f>
        <v>44760</v>
      </c>
      <c r="B2121" s="3" t="str">
        <f>TRIM([1]Raw_Data!B2119)</f>
        <v>BCAA</v>
      </c>
      <c r="C2121" s="3" t="str">
        <f>TRIM([1]Raw_Data!C2119)</f>
        <v>Amino Acid</v>
      </c>
      <c r="D2121" s="3">
        <f>[1]Raw_Data!D2119</f>
        <v>151</v>
      </c>
      <c r="E2121" s="4">
        <f>[1]Raw_Data!E2119</f>
        <v>15.51</v>
      </c>
      <c r="F2121" s="5">
        <f>[1]Raw_Data!F2119</f>
        <v>2342.0100000000002</v>
      </c>
      <c r="G2121" s="4">
        <f>[1]Raw_Data!G2119</f>
        <v>0.1</v>
      </c>
      <c r="H2121" s="3">
        <f>[1]Raw_Data!H2119</f>
        <v>4</v>
      </c>
      <c r="I2121" s="3" t="str">
        <f>TRIM([1]Raw_Data!I2119)</f>
        <v>Canada</v>
      </c>
      <c r="J2121" s="3" t="str">
        <f>TRIM([1]Raw_Data!J2119)</f>
        <v>iHerb</v>
      </c>
      <c r="K2121" s="3">
        <f t="shared" si="132"/>
        <v>2022</v>
      </c>
      <c r="L2121" s="6">
        <f t="shared" si="133"/>
        <v>44743</v>
      </c>
      <c r="M2121" s="3" t="str">
        <f t="shared" si="134"/>
        <v>6% to 10%</v>
      </c>
      <c r="N2121" s="3" t="str">
        <f t="shared" si="135"/>
        <v>OK</v>
      </c>
    </row>
    <row r="2122" spans="1:14" x14ac:dyDescent="0.3">
      <c r="A2122" s="2">
        <f>DATE(VALUE(RIGHT(TRIM([1]Raw_Data!A2120),4)),VALUE(MID(TRIM([1]Raw_Data!A2120),4,2)),VALUE(LEFT(TRIM([1]Raw_Data!A2120),2)))</f>
        <v>44760</v>
      </c>
      <c r="B2122" s="3" t="str">
        <f>TRIM([1]Raw_Data!B2120)</f>
        <v>Creatine</v>
      </c>
      <c r="C2122" s="3" t="str">
        <f>TRIM([1]Raw_Data!C2120)</f>
        <v>Performance</v>
      </c>
      <c r="D2122" s="3">
        <f>[1]Raw_Data!D2120</f>
        <v>157</v>
      </c>
      <c r="E2122" s="4">
        <f>[1]Raw_Data!E2120</f>
        <v>28.32</v>
      </c>
      <c r="F2122" s="5">
        <f>[1]Raw_Data!F2120</f>
        <v>4446.24</v>
      </c>
      <c r="G2122" s="4">
        <f>[1]Raw_Data!G2120</f>
        <v>0.01</v>
      </c>
      <c r="H2122" s="3">
        <f>[1]Raw_Data!H2120</f>
        <v>4</v>
      </c>
      <c r="I2122" s="3" t="str">
        <f>TRIM([1]Raw_Data!I2120)</f>
        <v>USA</v>
      </c>
      <c r="J2122" s="3" t="str">
        <f>TRIM([1]Raw_Data!J2120)</f>
        <v>Amazon</v>
      </c>
      <c r="K2122" s="3">
        <f t="shared" si="132"/>
        <v>2022</v>
      </c>
      <c r="L2122" s="6">
        <f t="shared" si="133"/>
        <v>44743</v>
      </c>
      <c r="M2122" s="3" t="str">
        <f t="shared" si="134"/>
        <v>0% to 5%</v>
      </c>
      <c r="N2122" s="3" t="str">
        <f t="shared" si="135"/>
        <v>OK</v>
      </c>
    </row>
    <row r="2123" spans="1:14" x14ac:dyDescent="0.3">
      <c r="A2123" s="2">
        <f>DATE(VALUE(RIGHT(TRIM([1]Raw_Data!A2121),4)),VALUE(MID(TRIM([1]Raw_Data!A2121),4,2)),VALUE(LEFT(TRIM([1]Raw_Data!A2121),2)))</f>
        <v>44760</v>
      </c>
      <c r="B2123" s="3" t="str">
        <f>TRIM([1]Raw_Data!B2121)</f>
        <v>Zinc</v>
      </c>
      <c r="C2123" s="3" t="str">
        <f>TRIM([1]Raw_Data!C2121)</f>
        <v>Mineral</v>
      </c>
      <c r="D2123" s="3">
        <f>[1]Raw_Data!D2121</f>
        <v>145</v>
      </c>
      <c r="E2123" s="4">
        <f>[1]Raw_Data!E2121</f>
        <v>44.46</v>
      </c>
      <c r="F2123" s="5">
        <f>[1]Raw_Data!F2121</f>
        <v>6446.7</v>
      </c>
      <c r="G2123" s="4">
        <f>[1]Raw_Data!G2121</f>
        <v>0.25</v>
      </c>
      <c r="H2123" s="3">
        <f>[1]Raw_Data!H2121</f>
        <v>4</v>
      </c>
      <c r="I2123" s="3" t="str">
        <f>TRIM([1]Raw_Data!I2121)</f>
        <v>Canada</v>
      </c>
      <c r="J2123" s="3" t="str">
        <f>TRIM([1]Raw_Data!J2121)</f>
        <v>Walmart</v>
      </c>
      <c r="K2123" s="3">
        <f t="shared" si="132"/>
        <v>2022</v>
      </c>
      <c r="L2123" s="6">
        <f t="shared" si="133"/>
        <v>44743</v>
      </c>
      <c r="M2123" s="3" t="str">
        <f t="shared" si="134"/>
        <v>21% to 25%</v>
      </c>
      <c r="N2123" s="3" t="str">
        <f t="shared" si="135"/>
        <v>OK</v>
      </c>
    </row>
    <row r="2124" spans="1:14" x14ac:dyDescent="0.3">
      <c r="A2124" s="2">
        <f>DATE(VALUE(RIGHT(TRIM([1]Raw_Data!A2122),4)),VALUE(MID(TRIM([1]Raw_Data!A2122),4,2)),VALUE(LEFT(TRIM([1]Raw_Data!A2122),2)))</f>
        <v>44760</v>
      </c>
      <c r="B2124" s="3" t="str">
        <f>TRIM([1]Raw_Data!B2122)</f>
        <v>Collagen Peptides</v>
      </c>
      <c r="C2124" s="3" t="str">
        <f>TRIM([1]Raw_Data!C2122)</f>
        <v>Protein</v>
      </c>
      <c r="D2124" s="3">
        <f>[1]Raw_Data!D2122</f>
        <v>136</v>
      </c>
      <c r="E2124" s="4">
        <f>[1]Raw_Data!E2122</f>
        <v>38.28</v>
      </c>
      <c r="F2124" s="5">
        <f>[1]Raw_Data!F2122</f>
        <v>5206.08</v>
      </c>
      <c r="G2124" s="4">
        <f>[1]Raw_Data!G2122</f>
        <v>0.16</v>
      </c>
      <c r="H2124" s="3">
        <f>[1]Raw_Data!H2122</f>
        <v>2</v>
      </c>
      <c r="I2124" s="3" t="str">
        <f>TRIM([1]Raw_Data!I2122)</f>
        <v>UK</v>
      </c>
      <c r="J2124" s="3" t="str">
        <f>TRIM([1]Raw_Data!J2122)</f>
        <v>iHerb</v>
      </c>
      <c r="K2124" s="3">
        <f t="shared" si="132"/>
        <v>2022</v>
      </c>
      <c r="L2124" s="6">
        <f t="shared" si="133"/>
        <v>44743</v>
      </c>
      <c r="M2124" s="3" t="str">
        <f t="shared" si="134"/>
        <v>16% to 20%</v>
      </c>
      <c r="N2124" s="3" t="str">
        <f t="shared" si="135"/>
        <v>OK</v>
      </c>
    </row>
    <row r="2125" spans="1:14" x14ac:dyDescent="0.3">
      <c r="A2125" s="2">
        <f>DATE(VALUE(RIGHT(TRIM([1]Raw_Data!A2123),4)),VALUE(MID(TRIM([1]Raw_Data!A2123),4,2)),VALUE(LEFT(TRIM([1]Raw_Data!A2123),2)))</f>
        <v>44760</v>
      </c>
      <c r="B2125" s="3" t="str">
        <f>TRIM([1]Raw_Data!B2123)</f>
        <v>Magnesium</v>
      </c>
      <c r="C2125" s="3" t="str">
        <f>TRIM([1]Raw_Data!C2123)</f>
        <v>Mineral</v>
      </c>
      <c r="D2125" s="3">
        <f>[1]Raw_Data!D2123</f>
        <v>155</v>
      </c>
      <c r="E2125" s="4">
        <f>[1]Raw_Data!E2123</f>
        <v>37</v>
      </c>
      <c r="F2125" s="5">
        <f>[1]Raw_Data!F2123</f>
        <v>5735</v>
      </c>
      <c r="G2125" s="4">
        <f>[1]Raw_Data!G2123</f>
        <v>0.1</v>
      </c>
      <c r="H2125" s="3">
        <f>[1]Raw_Data!H2123</f>
        <v>4</v>
      </c>
      <c r="I2125" s="3" t="str">
        <f>TRIM([1]Raw_Data!I2123)</f>
        <v>Canada</v>
      </c>
      <c r="J2125" s="3" t="str">
        <f>TRIM([1]Raw_Data!J2123)</f>
        <v>Walmart</v>
      </c>
      <c r="K2125" s="3">
        <f t="shared" si="132"/>
        <v>2022</v>
      </c>
      <c r="L2125" s="6">
        <f t="shared" si="133"/>
        <v>44743</v>
      </c>
      <c r="M2125" s="3" t="str">
        <f t="shared" si="134"/>
        <v>6% to 10%</v>
      </c>
      <c r="N2125" s="3" t="str">
        <f t="shared" si="135"/>
        <v>OK</v>
      </c>
    </row>
    <row r="2126" spans="1:14" x14ac:dyDescent="0.3">
      <c r="A2126" s="2">
        <f>DATE(VALUE(RIGHT(TRIM([1]Raw_Data!A2124),4)),VALUE(MID(TRIM([1]Raw_Data!A2124),4,2)),VALUE(LEFT(TRIM([1]Raw_Data!A2124),2)))</f>
        <v>44760</v>
      </c>
      <c r="B2126" s="3" t="str">
        <f>TRIM([1]Raw_Data!B2124)</f>
        <v>Ashwagandha</v>
      </c>
      <c r="C2126" s="3" t="str">
        <f>TRIM([1]Raw_Data!C2124)</f>
        <v>Herbal</v>
      </c>
      <c r="D2126" s="3">
        <f>[1]Raw_Data!D2124</f>
        <v>153</v>
      </c>
      <c r="E2126" s="4">
        <f>[1]Raw_Data!E2124</f>
        <v>57.66</v>
      </c>
      <c r="F2126" s="5">
        <f>[1]Raw_Data!F2124</f>
        <v>8821.98</v>
      </c>
      <c r="G2126" s="4">
        <f>[1]Raw_Data!G2124</f>
        <v>0.17</v>
      </c>
      <c r="H2126" s="3">
        <f>[1]Raw_Data!H2124</f>
        <v>2</v>
      </c>
      <c r="I2126" s="3" t="str">
        <f>TRIM([1]Raw_Data!I2124)</f>
        <v>USA</v>
      </c>
      <c r="J2126" s="3" t="str">
        <f>TRIM([1]Raw_Data!J2124)</f>
        <v>Walmart</v>
      </c>
      <c r="K2126" s="3">
        <f t="shared" si="132"/>
        <v>2022</v>
      </c>
      <c r="L2126" s="6">
        <f t="shared" si="133"/>
        <v>44743</v>
      </c>
      <c r="M2126" s="3" t="str">
        <f t="shared" si="134"/>
        <v>16% to 20%</v>
      </c>
      <c r="N2126" s="3" t="str">
        <f t="shared" si="135"/>
        <v>OK</v>
      </c>
    </row>
    <row r="2127" spans="1:14" x14ac:dyDescent="0.3">
      <c r="A2127" s="2">
        <f>DATE(VALUE(RIGHT(TRIM([1]Raw_Data!A2125),4)),VALUE(MID(TRIM([1]Raw_Data!A2125),4,2)),VALUE(LEFT(TRIM([1]Raw_Data!A2125),2)))</f>
        <v>44760</v>
      </c>
      <c r="B2127" s="3" t="str">
        <f>TRIM([1]Raw_Data!B2125)</f>
        <v>Melatonin</v>
      </c>
      <c r="C2127" s="3" t="str">
        <f>TRIM([1]Raw_Data!C2125)</f>
        <v>Sleep Aid</v>
      </c>
      <c r="D2127" s="3">
        <f>[1]Raw_Data!D2125</f>
        <v>138</v>
      </c>
      <c r="E2127" s="4">
        <f>[1]Raw_Data!E2125</f>
        <v>22.74</v>
      </c>
      <c r="F2127" s="5">
        <f>[1]Raw_Data!F2125</f>
        <v>3138.12</v>
      </c>
      <c r="G2127" s="4">
        <f>[1]Raw_Data!G2125</f>
        <v>0.08</v>
      </c>
      <c r="H2127" s="3">
        <f>[1]Raw_Data!H2125</f>
        <v>1</v>
      </c>
      <c r="I2127" s="3" t="str">
        <f>TRIM([1]Raw_Data!I2125)</f>
        <v>USA</v>
      </c>
      <c r="J2127" s="3" t="str">
        <f>TRIM([1]Raw_Data!J2125)</f>
        <v>iHerb</v>
      </c>
      <c r="K2127" s="3">
        <f t="shared" si="132"/>
        <v>2022</v>
      </c>
      <c r="L2127" s="6">
        <f t="shared" si="133"/>
        <v>44743</v>
      </c>
      <c r="M2127" s="3" t="str">
        <f t="shared" si="134"/>
        <v>6% to 10%</v>
      </c>
      <c r="N2127" s="3" t="str">
        <f t="shared" si="135"/>
        <v>OK</v>
      </c>
    </row>
    <row r="2128" spans="1:14" x14ac:dyDescent="0.3">
      <c r="A2128" s="2">
        <f>DATE(VALUE(RIGHT(TRIM([1]Raw_Data!A2126),4)),VALUE(MID(TRIM([1]Raw_Data!A2126),4,2)),VALUE(LEFT(TRIM([1]Raw_Data!A2126),2)))</f>
        <v>44760</v>
      </c>
      <c r="B2128" s="3" t="str">
        <f>TRIM([1]Raw_Data!B2126)</f>
        <v>Biotin</v>
      </c>
      <c r="C2128" s="3" t="str">
        <f>TRIM([1]Raw_Data!C2126)</f>
        <v>Vitamin</v>
      </c>
      <c r="D2128" s="3">
        <f>[1]Raw_Data!D2126</f>
        <v>147</v>
      </c>
      <c r="E2128" s="4">
        <f>[1]Raw_Data!E2126</f>
        <v>12.12</v>
      </c>
      <c r="F2128" s="5">
        <f>[1]Raw_Data!F2126</f>
        <v>1781.64</v>
      </c>
      <c r="G2128" s="4">
        <f>[1]Raw_Data!G2126</f>
        <v>0.17</v>
      </c>
      <c r="H2128" s="3">
        <f>[1]Raw_Data!H2126</f>
        <v>1</v>
      </c>
      <c r="I2128" s="3" t="str">
        <f>TRIM([1]Raw_Data!I2126)</f>
        <v>UK</v>
      </c>
      <c r="J2128" s="3" t="str">
        <f>TRIM([1]Raw_Data!J2126)</f>
        <v>Walmart</v>
      </c>
      <c r="K2128" s="3">
        <f t="shared" si="132"/>
        <v>2022</v>
      </c>
      <c r="L2128" s="6">
        <f t="shared" si="133"/>
        <v>44743</v>
      </c>
      <c r="M2128" s="3" t="str">
        <f t="shared" si="134"/>
        <v>16% to 20%</v>
      </c>
      <c r="N2128" s="3" t="str">
        <f t="shared" si="135"/>
        <v>OK</v>
      </c>
    </row>
    <row r="2129" spans="1:14" x14ac:dyDescent="0.3">
      <c r="A2129" s="2">
        <f>DATE(VALUE(RIGHT(TRIM([1]Raw_Data!A2127),4)),VALUE(MID(TRIM([1]Raw_Data!A2127),4,2)),VALUE(LEFT(TRIM([1]Raw_Data!A2127),2)))</f>
        <v>44760</v>
      </c>
      <c r="B2129" s="3" t="str">
        <f>TRIM([1]Raw_Data!B2127)</f>
        <v>Green Tea Extract</v>
      </c>
      <c r="C2129" s="3" t="str">
        <f>TRIM([1]Raw_Data!C2127)</f>
        <v>Fat Burner</v>
      </c>
      <c r="D2129" s="3">
        <f>[1]Raw_Data!D2127</f>
        <v>148</v>
      </c>
      <c r="E2129" s="4">
        <f>[1]Raw_Data!E2127</f>
        <v>51.38</v>
      </c>
      <c r="F2129" s="5">
        <f>[1]Raw_Data!F2127</f>
        <v>7604.24</v>
      </c>
      <c r="G2129" s="4">
        <f>[1]Raw_Data!G2127</f>
        <v>0.11</v>
      </c>
      <c r="H2129" s="3">
        <f>[1]Raw_Data!H2127</f>
        <v>2</v>
      </c>
      <c r="I2129" s="3" t="str">
        <f>TRIM([1]Raw_Data!I2127)</f>
        <v>UK</v>
      </c>
      <c r="J2129" s="3" t="str">
        <f>TRIM([1]Raw_Data!J2127)</f>
        <v>iHerb</v>
      </c>
      <c r="K2129" s="3">
        <f t="shared" si="132"/>
        <v>2022</v>
      </c>
      <c r="L2129" s="6">
        <f t="shared" si="133"/>
        <v>44743</v>
      </c>
      <c r="M2129" s="3" t="str">
        <f t="shared" si="134"/>
        <v>11% to 15%</v>
      </c>
      <c r="N2129" s="3" t="str">
        <f t="shared" si="135"/>
        <v>OK</v>
      </c>
    </row>
    <row r="2130" spans="1:14" x14ac:dyDescent="0.3">
      <c r="A2130" s="2">
        <f>DATE(VALUE(RIGHT(TRIM([1]Raw_Data!A2128),4)),VALUE(MID(TRIM([1]Raw_Data!A2128),4,2)),VALUE(LEFT(TRIM([1]Raw_Data!A2128),2)))</f>
        <v>44760</v>
      </c>
      <c r="B2130" s="3" t="str">
        <f>TRIM([1]Raw_Data!B2128)</f>
        <v>Iron Supplement</v>
      </c>
      <c r="C2130" s="3" t="str">
        <f>TRIM([1]Raw_Data!C2128)</f>
        <v>Mineral</v>
      </c>
      <c r="D2130" s="3">
        <f>[1]Raw_Data!D2128</f>
        <v>147</v>
      </c>
      <c r="E2130" s="4">
        <f>[1]Raw_Data!E2128</f>
        <v>18.850000000000001</v>
      </c>
      <c r="F2130" s="5">
        <f>[1]Raw_Data!F2128</f>
        <v>2770.95</v>
      </c>
      <c r="G2130" s="4">
        <f>[1]Raw_Data!G2128</f>
        <v>0.14000000000000001</v>
      </c>
      <c r="H2130" s="3">
        <f>[1]Raw_Data!H2128</f>
        <v>4</v>
      </c>
      <c r="I2130" s="3" t="str">
        <f>TRIM([1]Raw_Data!I2128)</f>
        <v>UK</v>
      </c>
      <c r="J2130" s="3" t="str">
        <f>TRIM([1]Raw_Data!J2128)</f>
        <v>Amazon</v>
      </c>
      <c r="K2130" s="3">
        <f t="shared" si="132"/>
        <v>2022</v>
      </c>
      <c r="L2130" s="6">
        <f t="shared" si="133"/>
        <v>44743</v>
      </c>
      <c r="M2130" s="3" t="str">
        <f t="shared" si="134"/>
        <v>11% to 15%</v>
      </c>
      <c r="N2130" s="3" t="str">
        <f t="shared" si="135"/>
        <v>OK</v>
      </c>
    </row>
    <row r="2131" spans="1:14" x14ac:dyDescent="0.3">
      <c r="A2131" s="2">
        <f>DATE(VALUE(RIGHT(TRIM([1]Raw_Data!A2129),4)),VALUE(MID(TRIM([1]Raw_Data!A2129),4,2)),VALUE(LEFT(TRIM([1]Raw_Data!A2129),2)))</f>
        <v>44760</v>
      </c>
      <c r="B2131" s="3" t="str">
        <f>TRIM([1]Raw_Data!B2129)</f>
        <v>Electrolyte Powder</v>
      </c>
      <c r="C2131" s="3" t="str">
        <f>TRIM([1]Raw_Data!C2129)</f>
        <v>Hydration</v>
      </c>
      <c r="D2131" s="3">
        <f>[1]Raw_Data!D2129</f>
        <v>151</v>
      </c>
      <c r="E2131" s="4">
        <f>[1]Raw_Data!E2129</f>
        <v>30.37</v>
      </c>
      <c r="F2131" s="5">
        <f>[1]Raw_Data!F2129</f>
        <v>4585.87</v>
      </c>
      <c r="G2131" s="4">
        <f>[1]Raw_Data!G2129</f>
        <v>0.25</v>
      </c>
      <c r="H2131" s="3">
        <f>[1]Raw_Data!H2129</f>
        <v>2</v>
      </c>
      <c r="I2131" s="3" t="str">
        <f>TRIM([1]Raw_Data!I2129)</f>
        <v>UK</v>
      </c>
      <c r="J2131" s="3" t="str">
        <f>TRIM([1]Raw_Data!J2129)</f>
        <v>iHerb</v>
      </c>
      <c r="K2131" s="3">
        <f t="shared" si="132"/>
        <v>2022</v>
      </c>
      <c r="L2131" s="6">
        <f t="shared" si="133"/>
        <v>44743</v>
      </c>
      <c r="M2131" s="3" t="str">
        <f t="shared" si="134"/>
        <v>21% to 25%</v>
      </c>
      <c r="N2131" s="3" t="str">
        <f t="shared" si="135"/>
        <v>OK</v>
      </c>
    </row>
    <row r="2132" spans="1:14" x14ac:dyDescent="0.3">
      <c r="A2132" s="2">
        <f>DATE(VALUE(RIGHT(TRIM([1]Raw_Data!A2130),4)),VALUE(MID(TRIM([1]Raw_Data!A2130),4,2)),VALUE(LEFT(TRIM([1]Raw_Data!A2130),2)))</f>
        <v>44767</v>
      </c>
      <c r="B2132" s="3" t="str">
        <f>TRIM([1]Raw_Data!B2130)</f>
        <v>Whey Protein</v>
      </c>
      <c r="C2132" s="3" t="str">
        <f>TRIM([1]Raw_Data!C2130)</f>
        <v>Protein</v>
      </c>
      <c r="D2132" s="3">
        <f>[1]Raw_Data!D2130</f>
        <v>142</v>
      </c>
      <c r="E2132" s="4">
        <f>[1]Raw_Data!E2130</f>
        <v>51.04</v>
      </c>
      <c r="F2132" s="5">
        <f>[1]Raw_Data!F2130</f>
        <v>7247.68</v>
      </c>
      <c r="G2132" s="4">
        <f>[1]Raw_Data!G2130</f>
        <v>7.0000000000000007E-2</v>
      </c>
      <c r="H2132" s="3">
        <f>[1]Raw_Data!H2130</f>
        <v>2</v>
      </c>
      <c r="I2132" s="3" t="str">
        <f>TRIM([1]Raw_Data!I2130)</f>
        <v>UK</v>
      </c>
      <c r="J2132" s="3" t="str">
        <f>TRIM([1]Raw_Data!J2130)</f>
        <v>Amazon</v>
      </c>
      <c r="K2132" s="3">
        <f t="shared" si="132"/>
        <v>2022</v>
      </c>
      <c r="L2132" s="6">
        <f t="shared" si="133"/>
        <v>44743</v>
      </c>
      <c r="M2132" s="3" t="str">
        <f t="shared" si="134"/>
        <v>6% to 10%</v>
      </c>
      <c r="N2132" s="3" t="str">
        <f t="shared" si="135"/>
        <v>OK</v>
      </c>
    </row>
    <row r="2133" spans="1:14" x14ac:dyDescent="0.3">
      <c r="A2133" s="2">
        <f>DATE(VALUE(RIGHT(TRIM([1]Raw_Data!A2131),4)),VALUE(MID(TRIM([1]Raw_Data!A2131),4,2)),VALUE(LEFT(TRIM([1]Raw_Data!A2131),2)))</f>
        <v>44767</v>
      </c>
      <c r="B2133" s="3" t="str">
        <f>TRIM([1]Raw_Data!B2131)</f>
        <v>Vitamin C</v>
      </c>
      <c r="C2133" s="3" t="str">
        <f>TRIM([1]Raw_Data!C2131)</f>
        <v>Vitamin</v>
      </c>
      <c r="D2133" s="3">
        <f>[1]Raw_Data!D2131</f>
        <v>142</v>
      </c>
      <c r="E2133" s="4">
        <f>[1]Raw_Data!E2131</f>
        <v>58.7</v>
      </c>
      <c r="F2133" s="5">
        <f>[1]Raw_Data!F2131</f>
        <v>8335.4</v>
      </c>
      <c r="G2133" s="4">
        <f>[1]Raw_Data!G2131</f>
        <v>0.09</v>
      </c>
      <c r="H2133" s="3">
        <f>[1]Raw_Data!H2131</f>
        <v>2</v>
      </c>
      <c r="I2133" s="3" t="str">
        <f>TRIM([1]Raw_Data!I2131)</f>
        <v>UK</v>
      </c>
      <c r="J2133" s="3" t="str">
        <f>TRIM([1]Raw_Data!J2131)</f>
        <v>iHerb</v>
      </c>
      <c r="K2133" s="3">
        <f t="shared" si="132"/>
        <v>2022</v>
      </c>
      <c r="L2133" s="6">
        <f t="shared" si="133"/>
        <v>44743</v>
      </c>
      <c r="M2133" s="3" t="str">
        <f t="shared" si="134"/>
        <v>6% to 10%</v>
      </c>
      <c r="N2133" s="3" t="str">
        <f t="shared" si="135"/>
        <v>OK</v>
      </c>
    </row>
    <row r="2134" spans="1:14" x14ac:dyDescent="0.3">
      <c r="A2134" s="2">
        <f>DATE(VALUE(RIGHT(TRIM([1]Raw_Data!A2132),4)),VALUE(MID(TRIM([1]Raw_Data!A2132),4,2)),VALUE(LEFT(TRIM([1]Raw_Data!A2132),2)))</f>
        <v>44767</v>
      </c>
      <c r="B2134" s="3" t="str">
        <f>TRIM([1]Raw_Data!B2132)</f>
        <v>Fish Oil</v>
      </c>
      <c r="C2134" s="3" t="str">
        <f>TRIM([1]Raw_Data!C2132)</f>
        <v>Omega</v>
      </c>
      <c r="D2134" s="3">
        <f>[1]Raw_Data!D2132</f>
        <v>154</v>
      </c>
      <c r="E2134" s="4">
        <f>[1]Raw_Data!E2132</f>
        <v>55.73</v>
      </c>
      <c r="F2134" s="5">
        <f>[1]Raw_Data!F2132</f>
        <v>8582.42</v>
      </c>
      <c r="G2134" s="4">
        <f>[1]Raw_Data!G2132</f>
        <v>0.17</v>
      </c>
      <c r="H2134" s="3">
        <f>[1]Raw_Data!H2132</f>
        <v>1</v>
      </c>
      <c r="I2134" s="3" t="str">
        <f>TRIM([1]Raw_Data!I2132)</f>
        <v>Canada</v>
      </c>
      <c r="J2134" s="3" t="str">
        <f>TRIM([1]Raw_Data!J2132)</f>
        <v>Walmart</v>
      </c>
      <c r="K2134" s="3">
        <f t="shared" si="132"/>
        <v>2022</v>
      </c>
      <c r="L2134" s="6">
        <f t="shared" si="133"/>
        <v>44743</v>
      </c>
      <c r="M2134" s="3" t="str">
        <f t="shared" si="134"/>
        <v>16% to 20%</v>
      </c>
      <c r="N2134" s="3" t="str">
        <f t="shared" si="135"/>
        <v>OK</v>
      </c>
    </row>
    <row r="2135" spans="1:14" x14ac:dyDescent="0.3">
      <c r="A2135" s="2">
        <f>DATE(VALUE(RIGHT(TRIM([1]Raw_Data!A2133),4)),VALUE(MID(TRIM([1]Raw_Data!A2133),4,2)),VALUE(LEFT(TRIM([1]Raw_Data!A2133),2)))</f>
        <v>44767</v>
      </c>
      <c r="B2135" s="3" t="str">
        <f>TRIM([1]Raw_Data!B2133)</f>
        <v>Multivitamin</v>
      </c>
      <c r="C2135" s="3" t="str">
        <f>TRIM([1]Raw_Data!C2133)</f>
        <v>Vitamin</v>
      </c>
      <c r="D2135" s="3">
        <f>[1]Raw_Data!D2133</f>
        <v>165</v>
      </c>
      <c r="E2135" s="4">
        <f>[1]Raw_Data!E2133</f>
        <v>37.21</v>
      </c>
      <c r="F2135" s="5">
        <f>[1]Raw_Data!F2133</f>
        <v>6139.65</v>
      </c>
      <c r="G2135" s="4">
        <f>[1]Raw_Data!G2133</f>
        <v>0.24</v>
      </c>
      <c r="H2135" s="3">
        <f>[1]Raw_Data!H2133</f>
        <v>2</v>
      </c>
      <c r="I2135" s="3" t="str">
        <f>TRIM([1]Raw_Data!I2133)</f>
        <v>Canada</v>
      </c>
      <c r="J2135" s="3" t="str">
        <f>TRIM([1]Raw_Data!J2133)</f>
        <v>Amazon</v>
      </c>
      <c r="K2135" s="3">
        <f t="shared" si="132"/>
        <v>2022</v>
      </c>
      <c r="L2135" s="6">
        <f t="shared" si="133"/>
        <v>44743</v>
      </c>
      <c r="M2135" s="3" t="str">
        <f t="shared" si="134"/>
        <v>21% to 25%</v>
      </c>
      <c r="N2135" s="3" t="str">
        <f t="shared" si="135"/>
        <v>OK</v>
      </c>
    </row>
    <row r="2136" spans="1:14" x14ac:dyDescent="0.3">
      <c r="A2136" s="2">
        <f>DATE(VALUE(RIGHT(TRIM([1]Raw_Data!A2134),4)),VALUE(MID(TRIM([1]Raw_Data!A2134),4,2)),VALUE(LEFT(TRIM([1]Raw_Data!A2134),2)))</f>
        <v>44767</v>
      </c>
      <c r="B2136" s="3" t="str">
        <f>TRIM([1]Raw_Data!B2134)</f>
        <v>Pre-Workout</v>
      </c>
      <c r="C2136" s="3" t="str">
        <f>TRIM([1]Raw_Data!C2134)</f>
        <v>Performance</v>
      </c>
      <c r="D2136" s="3">
        <f>[1]Raw_Data!D2134</f>
        <v>163</v>
      </c>
      <c r="E2136" s="4">
        <f>[1]Raw_Data!E2134</f>
        <v>51.97</v>
      </c>
      <c r="F2136" s="5">
        <f>[1]Raw_Data!F2134</f>
        <v>8471.11</v>
      </c>
      <c r="G2136" s="4">
        <f>[1]Raw_Data!G2134</f>
        <v>0.24</v>
      </c>
      <c r="H2136" s="3">
        <f>[1]Raw_Data!H2134</f>
        <v>1</v>
      </c>
      <c r="I2136" s="3" t="str">
        <f>TRIM([1]Raw_Data!I2134)</f>
        <v>UK</v>
      </c>
      <c r="J2136" s="3" t="str">
        <f>TRIM([1]Raw_Data!J2134)</f>
        <v>Walmart</v>
      </c>
      <c r="K2136" s="3">
        <f t="shared" si="132"/>
        <v>2022</v>
      </c>
      <c r="L2136" s="6">
        <f t="shared" si="133"/>
        <v>44743</v>
      </c>
      <c r="M2136" s="3" t="str">
        <f t="shared" si="134"/>
        <v>21% to 25%</v>
      </c>
      <c r="N2136" s="3" t="str">
        <f t="shared" si="135"/>
        <v>OK</v>
      </c>
    </row>
    <row r="2137" spans="1:14" x14ac:dyDescent="0.3">
      <c r="A2137" s="2">
        <f>DATE(VALUE(RIGHT(TRIM([1]Raw_Data!A2135),4)),VALUE(MID(TRIM([1]Raw_Data!A2135),4,2)),VALUE(LEFT(TRIM([1]Raw_Data!A2135),2)))</f>
        <v>44767</v>
      </c>
      <c r="B2137" s="3" t="str">
        <f>TRIM([1]Raw_Data!B2135)</f>
        <v>BCAA</v>
      </c>
      <c r="C2137" s="3" t="str">
        <f>TRIM([1]Raw_Data!C2135)</f>
        <v>Amino Acid</v>
      </c>
      <c r="D2137" s="3">
        <f>[1]Raw_Data!D2135</f>
        <v>137</v>
      </c>
      <c r="E2137" s="4">
        <f>[1]Raw_Data!E2135</f>
        <v>45.09</v>
      </c>
      <c r="F2137" s="5">
        <f>[1]Raw_Data!F2135</f>
        <v>6177.33</v>
      </c>
      <c r="G2137" s="4">
        <f>[1]Raw_Data!G2135</f>
        <v>0.06</v>
      </c>
      <c r="H2137" s="3">
        <f>[1]Raw_Data!H2135</f>
        <v>0</v>
      </c>
      <c r="I2137" s="3" t="str">
        <f>TRIM([1]Raw_Data!I2135)</f>
        <v>USA</v>
      </c>
      <c r="J2137" s="3" t="str">
        <f>TRIM([1]Raw_Data!J2135)</f>
        <v>Walmart</v>
      </c>
      <c r="K2137" s="3">
        <f t="shared" si="132"/>
        <v>2022</v>
      </c>
      <c r="L2137" s="6">
        <f t="shared" si="133"/>
        <v>44743</v>
      </c>
      <c r="M2137" s="3" t="str">
        <f t="shared" si="134"/>
        <v>6% to 10%</v>
      </c>
      <c r="N2137" s="3" t="str">
        <f t="shared" si="135"/>
        <v>OK</v>
      </c>
    </row>
    <row r="2138" spans="1:14" x14ac:dyDescent="0.3">
      <c r="A2138" s="2">
        <f>DATE(VALUE(RIGHT(TRIM([1]Raw_Data!A2136),4)),VALUE(MID(TRIM([1]Raw_Data!A2136),4,2)),VALUE(LEFT(TRIM([1]Raw_Data!A2136),2)))</f>
        <v>44767</v>
      </c>
      <c r="B2138" s="3" t="str">
        <f>TRIM([1]Raw_Data!B2136)</f>
        <v>Creatine</v>
      </c>
      <c r="C2138" s="3" t="str">
        <f>TRIM([1]Raw_Data!C2136)</f>
        <v>Performance</v>
      </c>
      <c r="D2138" s="3">
        <f>[1]Raw_Data!D2136</f>
        <v>157</v>
      </c>
      <c r="E2138" s="4">
        <f>[1]Raw_Data!E2136</f>
        <v>19.63</v>
      </c>
      <c r="F2138" s="5">
        <f>[1]Raw_Data!F2136</f>
        <v>3081.91</v>
      </c>
      <c r="G2138" s="4">
        <f>[1]Raw_Data!G2136</f>
        <v>0.09</v>
      </c>
      <c r="H2138" s="3">
        <f>[1]Raw_Data!H2136</f>
        <v>0</v>
      </c>
      <c r="I2138" s="3" t="str">
        <f>TRIM([1]Raw_Data!I2136)</f>
        <v>Canada</v>
      </c>
      <c r="J2138" s="3" t="str">
        <f>TRIM([1]Raw_Data!J2136)</f>
        <v>iHerb</v>
      </c>
      <c r="K2138" s="3">
        <f t="shared" si="132"/>
        <v>2022</v>
      </c>
      <c r="L2138" s="6">
        <f t="shared" si="133"/>
        <v>44743</v>
      </c>
      <c r="M2138" s="3" t="str">
        <f t="shared" si="134"/>
        <v>6% to 10%</v>
      </c>
      <c r="N2138" s="3" t="str">
        <f t="shared" si="135"/>
        <v>OK</v>
      </c>
    </row>
    <row r="2139" spans="1:14" x14ac:dyDescent="0.3">
      <c r="A2139" s="2">
        <f>DATE(VALUE(RIGHT(TRIM([1]Raw_Data!A2137),4)),VALUE(MID(TRIM([1]Raw_Data!A2137),4,2)),VALUE(LEFT(TRIM([1]Raw_Data!A2137),2)))</f>
        <v>44767</v>
      </c>
      <c r="B2139" s="3" t="str">
        <f>TRIM([1]Raw_Data!B2137)</f>
        <v>Zinc</v>
      </c>
      <c r="C2139" s="3" t="str">
        <f>TRIM([1]Raw_Data!C2137)</f>
        <v>Mineral</v>
      </c>
      <c r="D2139" s="3">
        <f>[1]Raw_Data!D2137</f>
        <v>132</v>
      </c>
      <c r="E2139" s="4">
        <f>[1]Raw_Data!E2137</f>
        <v>59.88</v>
      </c>
      <c r="F2139" s="5">
        <f>[1]Raw_Data!F2137</f>
        <v>7904.16</v>
      </c>
      <c r="G2139" s="4">
        <f>[1]Raw_Data!G2137</f>
        <v>0.04</v>
      </c>
      <c r="H2139" s="3">
        <f>[1]Raw_Data!H2137</f>
        <v>0</v>
      </c>
      <c r="I2139" s="3" t="str">
        <f>TRIM([1]Raw_Data!I2137)</f>
        <v>USA</v>
      </c>
      <c r="J2139" s="3" t="str">
        <f>TRIM([1]Raw_Data!J2137)</f>
        <v>iHerb</v>
      </c>
      <c r="K2139" s="3">
        <f t="shared" si="132"/>
        <v>2022</v>
      </c>
      <c r="L2139" s="6">
        <f t="shared" si="133"/>
        <v>44743</v>
      </c>
      <c r="M2139" s="3" t="str">
        <f t="shared" si="134"/>
        <v>0% to 5%</v>
      </c>
      <c r="N2139" s="3" t="str">
        <f t="shared" si="135"/>
        <v>OK</v>
      </c>
    </row>
    <row r="2140" spans="1:14" x14ac:dyDescent="0.3">
      <c r="A2140" s="2">
        <f>DATE(VALUE(RIGHT(TRIM([1]Raw_Data!A2138),4)),VALUE(MID(TRIM([1]Raw_Data!A2138),4,2)),VALUE(LEFT(TRIM([1]Raw_Data!A2138),2)))</f>
        <v>44767</v>
      </c>
      <c r="B2140" s="3" t="str">
        <f>TRIM([1]Raw_Data!B2138)</f>
        <v>Collagen Peptides</v>
      </c>
      <c r="C2140" s="3" t="str">
        <f>TRIM([1]Raw_Data!C2138)</f>
        <v>Protein</v>
      </c>
      <c r="D2140" s="3">
        <f>[1]Raw_Data!D2138</f>
        <v>144</v>
      </c>
      <c r="E2140" s="4">
        <f>[1]Raw_Data!E2138</f>
        <v>20.239999999999998</v>
      </c>
      <c r="F2140" s="5">
        <f>[1]Raw_Data!F2138</f>
        <v>2914.56</v>
      </c>
      <c r="G2140" s="4">
        <f>[1]Raw_Data!G2138</f>
        <v>0.08</v>
      </c>
      <c r="H2140" s="3">
        <f>[1]Raw_Data!H2138</f>
        <v>0</v>
      </c>
      <c r="I2140" s="3" t="str">
        <f>TRIM([1]Raw_Data!I2138)</f>
        <v>UK</v>
      </c>
      <c r="J2140" s="3" t="str">
        <f>TRIM([1]Raw_Data!J2138)</f>
        <v>Amazon</v>
      </c>
      <c r="K2140" s="3">
        <f t="shared" si="132"/>
        <v>2022</v>
      </c>
      <c r="L2140" s="6">
        <f t="shared" si="133"/>
        <v>44743</v>
      </c>
      <c r="M2140" s="3" t="str">
        <f t="shared" si="134"/>
        <v>6% to 10%</v>
      </c>
      <c r="N2140" s="3" t="str">
        <f t="shared" si="135"/>
        <v>OK</v>
      </c>
    </row>
    <row r="2141" spans="1:14" x14ac:dyDescent="0.3">
      <c r="A2141" s="2">
        <f>DATE(VALUE(RIGHT(TRIM([1]Raw_Data!A2139),4)),VALUE(MID(TRIM([1]Raw_Data!A2139),4,2)),VALUE(LEFT(TRIM([1]Raw_Data!A2139),2)))</f>
        <v>44767</v>
      </c>
      <c r="B2141" s="3" t="str">
        <f>TRIM([1]Raw_Data!B2139)</f>
        <v>Magnesium</v>
      </c>
      <c r="C2141" s="3" t="str">
        <f>TRIM([1]Raw_Data!C2139)</f>
        <v>Mineral</v>
      </c>
      <c r="D2141" s="3">
        <f>[1]Raw_Data!D2139</f>
        <v>160</v>
      </c>
      <c r="E2141" s="4">
        <f>[1]Raw_Data!E2139</f>
        <v>41.75</v>
      </c>
      <c r="F2141" s="5">
        <f>[1]Raw_Data!F2139</f>
        <v>6680</v>
      </c>
      <c r="G2141" s="4">
        <f>[1]Raw_Data!G2139</f>
        <v>0.1</v>
      </c>
      <c r="H2141" s="3">
        <f>[1]Raw_Data!H2139</f>
        <v>3</v>
      </c>
      <c r="I2141" s="3" t="str">
        <f>TRIM([1]Raw_Data!I2139)</f>
        <v>UK</v>
      </c>
      <c r="J2141" s="3" t="str">
        <f>TRIM([1]Raw_Data!J2139)</f>
        <v>Walmart</v>
      </c>
      <c r="K2141" s="3">
        <f t="shared" si="132"/>
        <v>2022</v>
      </c>
      <c r="L2141" s="6">
        <f t="shared" si="133"/>
        <v>44743</v>
      </c>
      <c r="M2141" s="3" t="str">
        <f t="shared" si="134"/>
        <v>6% to 10%</v>
      </c>
      <c r="N2141" s="3" t="str">
        <f t="shared" si="135"/>
        <v>OK</v>
      </c>
    </row>
    <row r="2142" spans="1:14" x14ac:dyDescent="0.3">
      <c r="A2142" s="2">
        <f>DATE(VALUE(RIGHT(TRIM([1]Raw_Data!A2140),4)),VALUE(MID(TRIM([1]Raw_Data!A2140),4,2)),VALUE(LEFT(TRIM([1]Raw_Data!A2140),2)))</f>
        <v>44767</v>
      </c>
      <c r="B2142" s="3" t="str">
        <f>TRIM([1]Raw_Data!B2140)</f>
        <v>Ashwagandha</v>
      </c>
      <c r="C2142" s="3" t="str">
        <f>TRIM([1]Raw_Data!C2140)</f>
        <v>Herbal</v>
      </c>
      <c r="D2142" s="3">
        <f>[1]Raw_Data!D2140</f>
        <v>188</v>
      </c>
      <c r="E2142" s="4">
        <f>[1]Raw_Data!E2140</f>
        <v>21.15</v>
      </c>
      <c r="F2142" s="5">
        <f>[1]Raw_Data!F2140</f>
        <v>3976.2</v>
      </c>
      <c r="G2142" s="4">
        <f>[1]Raw_Data!G2140</f>
        <v>0.13</v>
      </c>
      <c r="H2142" s="3">
        <f>[1]Raw_Data!H2140</f>
        <v>0</v>
      </c>
      <c r="I2142" s="3" t="str">
        <f>TRIM([1]Raw_Data!I2140)</f>
        <v>UK</v>
      </c>
      <c r="J2142" s="3" t="str">
        <f>TRIM([1]Raw_Data!J2140)</f>
        <v>Amazon</v>
      </c>
      <c r="K2142" s="3">
        <f t="shared" si="132"/>
        <v>2022</v>
      </c>
      <c r="L2142" s="6">
        <f t="shared" si="133"/>
        <v>44743</v>
      </c>
      <c r="M2142" s="3" t="str">
        <f t="shared" si="134"/>
        <v>11% to 15%</v>
      </c>
      <c r="N2142" s="3" t="str">
        <f t="shared" si="135"/>
        <v>OK</v>
      </c>
    </row>
    <row r="2143" spans="1:14" x14ac:dyDescent="0.3">
      <c r="A2143" s="2">
        <f>DATE(VALUE(RIGHT(TRIM([1]Raw_Data!A2141),4)),VALUE(MID(TRIM([1]Raw_Data!A2141),4,2)),VALUE(LEFT(TRIM([1]Raw_Data!A2141),2)))</f>
        <v>44767</v>
      </c>
      <c r="B2143" s="3" t="str">
        <f>TRIM([1]Raw_Data!B2141)</f>
        <v>Melatonin</v>
      </c>
      <c r="C2143" s="3" t="str">
        <f>TRIM([1]Raw_Data!C2141)</f>
        <v>Sleep Aid</v>
      </c>
      <c r="D2143" s="3">
        <f>[1]Raw_Data!D2141</f>
        <v>148</v>
      </c>
      <c r="E2143" s="4">
        <f>[1]Raw_Data!E2141</f>
        <v>36.1</v>
      </c>
      <c r="F2143" s="5">
        <f>[1]Raw_Data!F2141</f>
        <v>5342.8</v>
      </c>
      <c r="G2143" s="4">
        <f>[1]Raw_Data!G2141</f>
        <v>0.08</v>
      </c>
      <c r="H2143" s="3">
        <f>[1]Raw_Data!H2141</f>
        <v>1</v>
      </c>
      <c r="I2143" s="3" t="str">
        <f>TRIM([1]Raw_Data!I2141)</f>
        <v>USA</v>
      </c>
      <c r="J2143" s="3" t="str">
        <f>TRIM([1]Raw_Data!J2141)</f>
        <v>iHerb</v>
      </c>
      <c r="K2143" s="3">
        <f t="shared" si="132"/>
        <v>2022</v>
      </c>
      <c r="L2143" s="6">
        <f t="shared" si="133"/>
        <v>44743</v>
      </c>
      <c r="M2143" s="3" t="str">
        <f t="shared" si="134"/>
        <v>6% to 10%</v>
      </c>
      <c r="N2143" s="3" t="str">
        <f t="shared" si="135"/>
        <v>OK</v>
      </c>
    </row>
    <row r="2144" spans="1:14" x14ac:dyDescent="0.3">
      <c r="A2144" s="2">
        <f>DATE(VALUE(RIGHT(TRIM([1]Raw_Data!A2142),4)),VALUE(MID(TRIM([1]Raw_Data!A2142),4,2)),VALUE(LEFT(TRIM([1]Raw_Data!A2142),2)))</f>
        <v>44767</v>
      </c>
      <c r="B2144" s="3" t="str">
        <f>TRIM([1]Raw_Data!B2142)</f>
        <v>Biotin</v>
      </c>
      <c r="C2144" s="3" t="str">
        <f>TRIM([1]Raw_Data!C2142)</f>
        <v>Vitamin</v>
      </c>
      <c r="D2144" s="3">
        <f>[1]Raw_Data!D2142</f>
        <v>181</v>
      </c>
      <c r="E2144" s="4">
        <f>[1]Raw_Data!E2142</f>
        <v>42.74</v>
      </c>
      <c r="F2144" s="5">
        <f>[1]Raw_Data!F2142</f>
        <v>7735.94</v>
      </c>
      <c r="G2144" s="4">
        <f>[1]Raw_Data!G2142</f>
        <v>0.01</v>
      </c>
      <c r="H2144" s="3">
        <f>[1]Raw_Data!H2142</f>
        <v>0</v>
      </c>
      <c r="I2144" s="3" t="str">
        <f>TRIM([1]Raw_Data!I2142)</f>
        <v>Canada</v>
      </c>
      <c r="J2144" s="3" t="str">
        <f>TRIM([1]Raw_Data!J2142)</f>
        <v>iHerb</v>
      </c>
      <c r="K2144" s="3">
        <f t="shared" si="132"/>
        <v>2022</v>
      </c>
      <c r="L2144" s="6">
        <f t="shared" si="133"/>
        <v>44743</v>
      </c>
      <c r="M2144" s="3" t="str">
        <f t="shared" si="134"/>
        <v>0% to 5%</v>
      </c>
      <c r="N2144" s="3" t="str">
        <f t="shared" si="135"/>
        <v>OK</v>
      </c>
    </row>
    <row r="2145" spans="1:14" x14ac:dyDescent="0.3">
      <c r="A2145" s="2">
        <f>DATE(VALUE(RIGHT(TRIM([1]Raw_Data!A2143),4)),VALUE(MID(TRIM([1]Raw_Data!A2143),4,2)),VALUE(LEFT(TRIM([1]Raw_Data!A2143),2)))</f>
        <v>44767</v>
      </c>
      <c r="B2145" s="3" t="str">
        <f>TRIM([1]Raw_Data!B2143)</f>
        <v>Green Tea Extract</v>
      </c>
      <c r="C2145" s="3" t="str">
        <f>TRIM([1]Raw_Data!C2143)</f>
        <v>Fat Burner</v>
      </c>
      <c r="D2145" s="3">
        <f>[1]Raw_Data!D2143</f>
        <v>152</v>
      </c>
      <c r="E2145" s="4">
        <f>[1]Raw_Data!E2143</f>
        <v>11.12</v>
      </c>
      <c r="F2145" s="5">
        <f>[1]Raw_Data!F2143</f>
        <v>1690.24</v>
      </c>
      <c r="G2145" s="4">
        <f>[1]Raw_Data!G2143</f>
        <v>0.04</v>
      </c>
      <c r="H2145" s="3">
        <f>[1]Raw_Data!H2143</f>
        <v>2</v>
      </c>
      <c r="I2145" s="3" t="str">
        <f>TRIM([1]Raw_Data!I2143)</f>
        <v>Canada</v>
      </c>
      <c r="J2145" s="3" t="str">
        <f>TRIM([1]Raw_Data!J2143)</f>
        <v>Walmart</v>
      </c>
      <c r="K2145" s="3">
        <f t="shared" si="132"/>
        <v>2022</v>
      </c>
      <c r="L2145" s="6">
        <f t="shared" si="133"/>
        <v>44743</v>
      </c>
      <c r="M2145" s="3" t="str">
        <f t="shared" si="134"/>
        <v>0% to 5%</v>
      </c>
      <c r="N2145" s="3" t="str">
        <f t="shared" si="135"/>
        <v>OK</v>
      </c>
    </row>
    <row r="2146" spans="1:14" x14ac:dyDescent="0.3">
      <c r="A2146" s="2">
        <f>DATE(VALUE(RIGHT(TRIM([1]Raw_Data!A2144),4)),VALUE(MID(TRIM([1]Raw_Data!A2144),4,2)),VALUE(LEFT(TRIM([1]Raw_Data!A2144),2)))</f>
        <v>44767</v>
      </c>
      <c r="B2146" s="3" t="str">
        <f>TRIM([1]Raw_Data!B2144)</f>
        <v>Iron Supplement</v>
      </c>
      <c r="C2146" s="3" t="str">
        <f>TRIM([1]Raw_Data!C2144)</f>
        <v>Mineral</v>
      </c>
      <c r="D2146" s="3">
        <f>[1]Raw_Data!D2144</f>
        <v>157</v>
      </c>
      <c r="E2146" s="4">
        <f>[1]Raw_Data!E2144</f>
        <v>43.41</v>
      </c>
      <c r="F2146" s="5">
        <f>[1]Raw_Data!F2144</f>
        <v>6815.37</v>
      </c>
      <c r="G2146" s="4">
        <f>[1]Raw_Data!G2144</f>
        <v>0.05</v>
      </c>
      <c r="H2146" s="3">
        <f>[1]Raw_Data!H2144</f>
        <v>2</v>
      </c>
      <c r="I2146" s="3" t="str">
        <f>TRIM([1]Raw_Data!I2144)</f>
        <v>USA</v>
      </c>
      <c r="J2146" s="3" t="str">
        <f>TRIM([1]Raw_Data!J2144)</f>
        <v>Amazon</v>
      </c>
      <c r="K2146" s="3">
        <f t="shared" si="132"/>
        <v>2022</v>
      </c>
      <c r="L2146" s="6">
        <f t="shared" si="133"/>
        <v>44743</v>
      </c>
      <c r="M2146" s="3" t="str">
        <f t="shared" si="134"/>
        <v>0% to 5%</v>
      </c>
      <c r="N2146" s="3" t="str">
        <f t="shared" si="135"/>
        <v>OK</v>
      </c>
    </row>
    <row r="2147" spans="1:14" x14ac:dyDescent="0.3">
      <c r="A2147" s="2">
        <f>DATE(VALUE(RIGHT(TRIM([1]Raw_Data!A2145),4)),VALUE(MID(TRIM([1]Raw_Data!A2145),4,2)),VALUE(LEFT(TRIM([1]Raw_Data!A2145),2)))</f>
        <v>44767</v>
      </c>
      <c r="B2147" s="3" t="str">
        <f>TRIM([1]Raw_Data!B2145)</f>
        <v>Electrolyte Powder</v>
      </c>
      <c r="C2147" s="3" t="str">
        <f>TRIM([1]Raw_Data!C2145)</f>
        <v>Hydration</v>
      </c>
      <c r="D2147" s="3">
        <f>[1]Raw_Data!D2145</f>
        <v>147</v>
      </c>
      <c r="E2147" s="4">
        <f>[1]Raw_Data!E2145</f>
        <v>59.75</v>
      </c>
      <c r="F2147" s="5">
        <f>[1]Raw_Data!F2145</f>
        <v>8783.25</v>
      </c>
      <c r="G2147" s="4">
        <f>[1]Raw_Data!G2145</f>
        <v>0.23</v>
      </c>
      <c r="H2147" s="3">
        <f>[1]Raw_Data!H2145</f>
        <v>0</v>
      </c>
      <c r="I2147" s="3" t="str">
        <f>TRIM([1]Raw_Data!I2145)</f>
        <v>Canada</v>
      </c>
      <c r="J2147" s="3" t="str">
        <f>TRIM([1]Raw_Data!J2145)</f>
        <v>Amazon</v>
      </c>
      <c r="K2147" s="3">
        <f t="shared" si="132"/>
        <v>2022</v>
      </c>
      <c r="L2147" s="6">
        <f t="shared" si="133"/>
        <v>44743</v>
      </c>
      <c r="M2147" s="3" t="str">
        <f t="shared" si="134"/>
        <v>21% to 25%</v>
      </c>
      <c r="N2147" s="3" t="str">
        <f t="shared" si="135"/>
        <v>OK</v>
      </c>
    </row>
    <row r="2148" spans="1:14" x14ac:dyDescent="0.3">
      <c r="A2148" s="2">
        <f>DATE(VALUE(RIGHT(TRIM([1]Raw_Data!A2146),4)),VALUE(MID(TRIM([1]Raw_Data!A2146),4,2)),VALUE(LEFT(TRIM([1]Raw_Data!A2146),2)))</f>
        <v>44774</v>
      </c>
      <c r="B2148" s="3" t="str">
        <f>TRIM([1]Raw_Data!B2146)</f>
        <v>Whey Protein</v>
      </c>
      <c r="C2148" s="3" t="str">
        <f>TRIM([1]Raw_Data!C2146)</f>
        <v>Protein</v>
      </c>
      <c r="D2148" s="3">
        <f>[1]Raw_Data!D2146</f>
        <v>167</v>
      </c>
      <c r="E2148" s="4">
        <f>[1]Raw_Data!E2146</f>
        <v>57.65</v>
      </c>
      <c r="F2148" s="5">
        <f>[1]Raw_Data!F2146</f>
        <v>9627.5499999999993</v>
      </c>
      <c r="G2148" s="4">
        <f>[1]Raw_Data!G2146</f>
        <v>7.0000000000000007E-2</v>
      </c>
      <c r="H2148" s="3">
        <f>[1]Raw_Data!H2146</f>
        <v>1</v>
      </c>
      <c r="I2148" s="3" t="str">
        <f>TRIM([1]Raw_Data!I2146)</f>
        <v>UK</v>
      </c>
      <c r="J2148" s="3" t="str">
        <f>TRIM([1]Raw_Data!J2146)</f>
        <v>Amazon</v>
      </c>
      <c r="K2148" s="3">
        <f t="shared" si="132"/>
        <v>2022</v>
      </c>
      <c r="L2148" s="6">
        <f t="shared" si="133"/>
        <v>44774</v>
      </c>
      <c r="M2148" s="3" t="str">
        <f t="shared" si="134"/>
        <v>6% to 10%</v>
      </c>
      <c r="N2148" s="3" t="str">
        <f t="shared" si="135"/>
        <v>OK</v>
      </c>
    </row>
    <row r="2149" spans="1:14" x14ac:dyDescent="0.3">
      <c r="A2149" s="2">
        <f>DATE(VALUE(RIGHT(TRIM([1]Raw_Data!A2147),4)),VALUE(MID(TRIM([1]Raw_Data!A2147),4,2)),VALUE(LEFT(TRIM([1]Raw_Data!A2147),2)))</f>
        <v>44774</v>
      </c>
      <c r="B2149" s="3" t="str">
        <f>TRIM([1]Raw_Data!B2147)</f>
        <v>Vitamin C</v>
      </c>
      <c r="C2149" s="3" t="str">
        <f>TRIM([1]Raw_Data!C2147)</f>
        <v>Vitamin</v>
      </c>
      <c r="D2149" s="3">
        <f>[1]Raw_Data!D2147</f>
        <v>130</v>
      </c>
      <c r="E2149" s="4">
        <f>[1]Raw_Data!E2147</f>
        <v>46.34</v>
      </c>
      <c r="F2149" s="5">
        <f>[1]Raw_Data!F2147</f>
        <v>6024.2</v>
      </c>
      <c r="G2149" s="4">
        <f>[1]Raw_Data!G2147</f>
        <v>0.24</v>
      </c>
      <c r="H2149" s="3">
        <f>[1]Raw_Data!H2147</f>
        <v>1</v>
      </c>
      <c r="I2149" s="3" t="str">
        <f>TRIM([1]Raw_Data!I2147)</f>
        <v>USA</v>
      </c>
      <c r="J2149" s="3" t="str">
        <f>TRIM([1]Raw_Data!J2147)</f>
        <v>iHerb</v>
      </c>
      <c r="K2149" s="3">
        <f t="shared" si="132"/>
        <v>2022</v>
      </c>
      <c r="L2149" s="6">
        <f t="shared" si="133"/>
        <v>44774</v>
      </c>
      <c r="M2149" s="3" t="str">
        <f t="shared" si="134"/>
        <v>21% to 25%</v>
      </c>
      <c r="N2149" s="3" t="str">
        <f t="shared" si="135"/>
        <v>OK</v>
      </c>
    </row>
    <row r="2150" spans="1:14" x14ac:dyDescent="0.3">
      <c r="A2150" s="2">
        <f>DATE(VALUE(RIGHT(TRIM([1]Raw_Data!A2148),4)),VALUE(MID(TRIM([1]Raw_Data!A2148),4,2)),VALUE(LEFT(TRIM([1]Raw_Data!A2148),2)))</f>
        <v>44774</v>
      </c>
      <c r="B2150" s="3" t="str">
        <f>TRIM([1]Raw_Data!B2148)</f>
        <v>Fish Oil</v>
      </c>
      <c r="C2150" s="3" t="str">
        <f>TRIM([1]Raw_Data!C2148)</f>
        <v>Omega</v>
      </c>
      <c r="D2150" s="3">
        <f>[1]Raw_Data!D2148</f>
        <v>158</v>
      </c>
      <c r="E2150" s="4">
        <f>[1]Raw_Data!E2148</f>
        <v>23.14</v>
      </c>
      <c r="F2150" s="5">
        <f>[1]Raw_Data!F2148</f>
        <v>3656.12</v>
      </c>
      <c r="G2150" s="4">
        <f>[1]Raw_Data!G2148</f>
        <v>0.01</v>
      </c>
      <c r="H2150" s="3">
        <f>[1]Raw_Data!H2148</f>
        <v>0</v>
      </c>
      <c r="I2150" s="3" t="str">
        <f>TRIM([1]Raw_Data!I2148)</f>
        <v>Canada</v>
      </c>
      <c r="J2150" s="3" t="str">
        <f>TRIM([1]Raw_Data!J2148)</f>
        <v>iHerb</v>
      </c>
      <c r="K2150" s="3">
        <f t="shared" si="132"/>
        <v>2022</v>
      </c>
      <c r="L2150" s="6">
        <f t="shared" si="133"/>
        <v>44774</v>
      </c>
      <c r="M2150" s="3" t="str">
        <f t="shared" si="134"/>
        <v>0% to 5%</v>
      </c>
      <c r="N2150" s="3" t="str">
        <f t="shared" si="135"/>
        <v>OK</v>
      </c>
    </row>
    <row r="2151" spans="1:14" x14ac:dyDescent="0.3">
      <c r="A2151" s="2">
        <f>DATE(VALUE(RIGHT(TRIM([1]Raw_Data!A2149),4)),VALUE(MID(TRIM([1]Raw_Data!A2149),4,2)),VALUE(LEFT(TRIM([1]Raw_Data!A2149),2)))</f>
        <v>44774</v>
      </c>
      <c r="B2151" s="3" t="str">
        <f>TRIM([1]Raw_Data!B2149)</f>
        <v>Multivitamin</v>
      </c>
      <c r="C2151" s="3" t="str">
        <f>TRIM([1]Raw_Data!C2149)</f>
        <v>Vitamin</v>
      </c>
      <c r="D2151" s="3">
        <f>[1]Raw_Data!D2149</f>
        <v>145</v>
      </c>
      <c r="E2151" s="4">
        <f>[1]Raw_Data!E2149</f>
        <v>13.12</v>
      </c>
      <c r="F2151" s="5">
        <f>[1]Raw_Data!F2149</f>
        <v>1902.4</v>
      </c>
      <c r="G2151" s="4">
        <f>[1]Raw_Data!G2149</f>
        <v>0.04</v>
      </c>
      <c r="H2151" s="3">
        <f>[1]Raw_Data!H2149</f>
        <v>0</v>
      </c>
      <c r="I2151" s="3" t="str">
        <f>TRIM([1]Raw_Data!I2149)</f>
        <v>USA</v>
      </c>
      <c r="J2151" s="3" t="str">
        <f>TRIM([1]Raw_Data!J2149)</f>
        <v>Walmart</v>
      </c>
      <c r="K2151" s="3">
        <f t="shared" si="132"/>
        <v>2022</v>
      </c>
      <c r="L2151" s="6">
        <f t="shared" si="133"/>
        <v>44774</v>
      </c>
      <c r="M2151" s="3" t="str">
        <f t="shared" si="134"/>
        <v>0% to 5%</v>
      </c>
      <c r="N2151" s="3" t="str">
        <f t="shared" si="135"/>
        <v>OK</v>
      </c>
    </row>
    <row r="2152" spans="1:14" x14ac:dyDescent="0.3">
      <c r="A2152" s="2">
        <f>DATE(VALUE(RIGHT(TRIM([1]Raw_Data!A2150),4)),VALUE(MID(TRIM([1]Raw_Data!A2150),4,2)),VALUE(LEFT(TRIM([1]Raw_Data!A2150),2)))</f>
        <v>44774</v>
      </c>
      <c r="B2152" s="3" t="str">
        <f>TRIM([1]Raw_Data!B2150)</f>
        <v>Pre-Workout</v>
      </c>
      <c r="C2152" s="3" t="str">
        <f>TRIM([1]Raw_Data!C2150)</f>
        <v>Performance</v>
      </c>
      <c r="D2152" s="3">
        <f>[1]Raw_Data!D2150</f>
        <v>170</v>
      </c>
      <c r="E2152" s="4">
        <f>[1]Raw_Data!E2150</f>
        <v>36.880000000000003</v>
      </c>
      <c r="F2152" s="5">
        <f>[1]Raw_Data!F2150</f>
        <v>6269.6</v>
      </c>
      <c r="G2152" s="4">
        <f>[1]Raw_Data!G2150</f>
        <v>0.15</v>
      </c>
      <c r="H2152" s="3">
        <f>[1]Raw_Data!H2150</f>
        <v>2</v>
      </c>
      <c r="I2152" s="3" t="str">
        <f>TRIM([1]Raw_Data!I2150)</f>
        <v>USA</v>
      </c>
      <c r="J2152" s="3" t="str">
        <f>TRIM([1]Raw_Data!J2150)</f>
        <v>Walmart</v>
      </c>
      <c r="K2152" s="3">
        <f t="shared" si="132"/>
        <v>2022</v>
      </c>
      <c r="L2152" s="6">
        <f t="shared" si="133"/>
        <v>44774</v>
      </c>
      <c r="M2152" s="3" t="str">
        <f t="shared" si="134"/>
        <v>11% to 15%</v>
      </c>
      <c r="N2152" s="3" t="str">
        <f t="shared" si="135"/>
        <v>OK</v>
      </c>
    </row>
    <row r="2153" spans="1:14" x14ac:dyDescent="0.3">
      <c r="A2153" s="2">
        <f>DATE(VALUE(RIGHT(TRIM([1]Raw_Data!A2151),4)),VALUE(MID(TRIM([1]Raw_Data!A2151),4,2)),VALUE(LEFT(TRIM([1]Raw_Data!A2151),2)))</f>
        <v>44774</v>
      </c>
      <c r="B2153" s="3" t="str">
        <f>TRIM([1]Raw_Data!B2151)</f>
        <v>BCAA</v>
      </c>
      <c r="C2153" s="3" t="str">
        <f>TRIM([1]Raw_Data!C2151)</f>
        <v>Amino Acid</v>
      </c>
      <c r="D2153" s="3">
        <f>[1]Raw_Data!D2151</f>
        <v>131</v>
      </c>
      <c r="E2153" s="4">
        <f>[1]Raw_Data!E2151</f>
        <v>12.56</v>
      </c>
      <c r="F2153" s="5">
        <f>[1]Raw_Data!F2151</f>
        <v>1645.36</v>
      </c>
      <c r="G2153" s="4">
        <f>[1]Raw_Data!G2151</f>
        <v>0.1</v>
      </c>
      <c r="H2153" s="3">
        <f>[1]Raw_Data!H2151</f>
        <v>0</v>
      </c>
      <c r="I2153" s="3" t="str">
        <f>TRIM([1]Raw_Data!I2151)</f>
        <v>UK</v>
      </c>
      <c r="J2153" s="3" t="str">
        <f>TRIM([1]Raw_Data!J2151)</f>
        <v>Walmart</v>
      </c>
      <c r="K2153" s="3">
        <f t="shared" si="132"/>
        <v>2022</v>
      </c>
      <c r="L2153" s="6">
        <f t="shared" si="133"/>
        <v>44774</v>
      </c>
      <c r="M2153" s="3" t="str">
        <f t="shared" si="134"/>
        <v>6% to 10%</v>
      </c>
      <c r="N2153" s="3" t="str">
        <f t="shared" si="135"/>
        <v>OK</v>
      </c>
    </row>
    <row r="2154" spans="1:14" x14ac:dyDescent="0.3">
      <c r="A2154" s="2">
        <f>DATE(VALUE(RIGHT(TRIM([1]Raw_Data!A2152),4)),VALUE(MID(TRIM([1]Raw_Data!A2152),4,2)),VALUE(LEFT(TRIM([1]Raw_Data!A2152),2)))</f>
        <v>44774</v>
      </c>
      <c r="B2154" s="3" t="str">
        <f>TRIM([1]Raw_Data!B2152)</f>
        <v>Creatine</v>
      </c>
      <c r="C2154" s="3" t="str">
        <f>TRIM([1]Raw_Data!C2152)</f>
        <v>Performance</v>
      </c>
      <c r="D2154" s="3">
        <f>[1]Raw_Data!D2152</f>
        <v>152</v>
      </c>
      <c r="E2154" s="4">
        <f>[1]Raw_Data!E2152</f>
        <v>36.61</v>
      </c>
      <c r="F2154" s="5">
        <f>[1]Raw_Data!F2152</f>
        <v>5564.72</v>
      </c>
      <c r="G2154" s="4">
        <f>[1]Raw_Data!G2152</f>
        <v>0.11</v>
      </c>
      <c r="H2154" s="3">
        <f>[1]Raw_Data!H2152</f>
        <v>1</v>
      </c>
      <c r="I2154" s="3" t="str">
        <f>TRIM([1]Raw_Data!I2152)</f>
        <v>USA</v>
      </c>
      <c r="J2154" s="3" t="str">
        <f>TRIM([1]Raw_Data!J2152)</f>
        <v>Amazon</v>
      </c>
      <c r="K2154" s="3">
        <f t="shared" si="132"/>
        <v>2022</v>
      </c>
      <c r="L2154" s="6">
        <f t="shared" si="133"/>
        <v>44774</v>
      </c>
      <c r="M2154" s="3" t="str">
        <f t="shared" si="134"/>
        <v>11% to 15%</v>
      </c>
      <c r="N2154" s="3" t="str">
        <f t="shared" si="135"/>
        <v>OK</v>
      </c>
    </row>
    <row r="2155" spans="1:14" x14ac:dyDescent="0.3">
      <c r="A2155" s="2">
        <f>DATE(VALUE(RIGHT(TRIM([1]Raw_Data!A2153),4)),VALUE(MID(TRIM([1]Raw_Data!A2153),4,2)),VALUE(LEFT(TRIM([1]Raw_Data!A2153),2)))</f>
        <v>44774</v>
      </c>
      <c r="B2155" s="3" t="str">
        <f>TRIM([1]Raw_Data!B2153)</f>
        <v>Zinc</v>
      </c>
      <c r="C2155" s="3" t="str">
        <f>TRIM([1]Raw_Data!C2153)</f>
        <v>Mineral</v>
      </c>
      <c r="D2155" s="3">
        <f>[1]Raw_Data!D2153</f>
        <v>164</v>
      </c>
      <c r="E2155" s="4">
        <f>[1]Raw_Data!E2153</f>
        <v>46.71</v>
      </c>
      <c r="F2155" s="5">
        <f>[1]Raw_Data!F2153</f>
        <v>7660.44</v>
      </c>
      <c r="G2155" s="4">
        <f>[1]Raw_Data!G2153</f>
        <v>0.19</v>
      </c>
      <c r="H2155" s="3">
        <f>[1]Raw_Data!H2153</f>
        <v>1</v>
      </c>
      <c r="I2155" s="3" t="str">
        <f>TRIM([1]Raw_Data!I2153)</f>
        <v>Canada</v>
      </c>
      <c r="J2155" s="3" t="str">
        <f>TRIM([1]Raw_Data!J2153)</f>
        <v>Walmart</v>
      </c>
      <c r="K2155" s="3">
        <f t="shared" si="132"/>
        <v>2022</v>
      </c>
      <c r="L2155" s="6">
        <f t="shared" si="133"/>
        <v>44774</v>
      </c>
      <c r="M2155" s="3" t="str">
        <f t="shared" si="134"/>
        <v>16% to 20%</v>
      </c>
      <c r="N2155" s="3" t="str">
        <f t="shared" si="135"/>
        <v>OK</v>
      </c>
    </row>
    <row r="2156" spans="1:14" x14ac:dyDescent="0.3">
      <c r="A2156" s="2">
        <f>DATE(VALUE(RIGHT(TRIM([1]Raw_Data!A2154),4)),VALUE(MID(TRIM([1]Raw_Data!A2154),4,2)),VALUE(LEFT(TRIM([1]Raw_Data!A2154),2)))</f>
        <v>44774</v>
      </c>
      <c r="B2156" s="3" t="str">
        <f>TRIM([1]Raw_Data!B2154)</f>
        <v>Collagen Peptides</v>
      </c>
      <c r="C2156" s="3" t="str">
        <f>TRIM([1]Raw_Data!C2154)</f>
        <v>Protein</v>
      </c>
      <c r="D2156" s="3">
        <f>[1]Raw_Data!D2154</f>
        <v>142</v>
      </c>
      <c r="E2156" s="4">
        <f>[1]Raw_Data!E2154</f>
        <v>14.66</v>
      </c>
      <c r="F2156" s="5">
        <f>[1]Raw_Data!F2154</f>
        <v>2081.7199999999998</v>
      </c>
      <c r="G2156" s="4">
        <f>[1]Raw_Data!G2154</f>
        <v>0.01</v>
      </c>
      <c r="H2156" s="3">
        <f>[1]Raw_Data!H2154</f>
        <v>0</v>
      </c>
      <c r="I2156" s="3" t="str">
        <f>TRIM([1]Raw_Data!I2154)</f>
        <v>Canada</v>
      </c>
      <c r="J2156" s="3" t="str">
        <f>TRIM([1]Raw_Data!J2154)</f>
        <v>Amazon</v>
      </c>
      <c r="K2156" s="3">
        <f t="shared" si="132"/>
        <v>2022</v>
      </c>
      <c r="L2156" s="6">
        <f t="shared" si="133"/>
        <v>44774</v>
      </c>
      <c r="M2156" s="3" t="str">
        <f t="shared" si="134"/>
        <v>0% to 5%</v>
      </c>
      <c r="N2156" s="3" t="str">
        <f t="shared" si="135"/>
        <v>OK</v>
      </c>
    </row>
    <row r="2157" spans="1:14" x14ac:dyDescent="0.3">
      <c r="A2157" s="2">
        <f>DATE(VALUE(RIGHT(TRIM([1]Raw_Data!A2155),4)),VALUE(MID(TRIM([1]Raw_Data!A2155),4,2)),VALUE(LEFT(TRIM([1]Raw_Data!A2155),2)))</f>
        <v>44774</v>
      </c>
      <c r="B2157" s="3" t="str">
        <f>TRIM([1]Raw_Data!B2155)</f>
        <v>Magnesium</v>
      </c>
      <c r="C2157" s="3" t="str">
        <f>TRIM([1]Raw_Data!C2155)</f>
        <v>Mineral</v>
      </c>
      <c r="D2157" s="3">
        <f>[1]Raw_Data!D2155</f>
        <v>137</v>
      </c>
      <c r="E2157" s="4">
        <f>[1]Raw_Data!E2155</f>
        <v>52.46</v>
      </c>
      <c r="F2157" s="5">
        <f>[1]Raw_Data!F2155</f>
        <v>7187.02</v>
      </c>
      <c r="G2157" s="4">
        <f>[1]Raw_Data!G2155</f>
        <v>0.06</v>
      </c>
      <c r="H2157" s="3">
        <f>[1]Raw_Data!H2155</f>
        <v>3</v>
      </c>
      <c r="I2157" s="3" t="str">
        <f>TRIM([1]Raw_Data!I2155)</f>
        <v>USA</v>
      </c>
      <c r="J2157" s="3" t="str">
        <f>TRIM([1]Raw_Data!J2155)</f>
        <v>Walmart</v>
      </c>
      <c r="K2157" s="3">
        <f t="shared" si="132"/>
        <v>2022</v>
      </c>
      <c r="L2157" s="6">
        <f t="shared" si="133"/>
        <v>44774</v>
      </c>
      <c r="M2157" s="3" t="str">
        <f t="shared" si="134"/>
        <v>6% to 10%</v>
      </c>
      <c r="N2157" s="3" t="str">
        <f t="shared" si="135"/>
        <v>OK</v>
      </c>
    </row>
    <row r="2158" spans="1:14" x14ac:dyDescent="0.3">
      <c r="A2158" s="2">
        <f>DATE(VALUE(RIGHT(TRIM([1]Raw_Data!A2156),4)),VALUE(MID(TRIM([1]Raw_Data!A2156),4,2)),VALUE(LEFT(TRIM([1]Raw_Data!A2156),2)))</f>
        <v>44774</v>
      </c>
      <c r="B2158" s="3" t="str">
        <f>TRIM([1]Raw_Data!B2156)</f>
        <v>Ashwagandha</v>
      </c>
      <c r="C2158" s="3" t="str">
        <f>TRIM([1]Raw_Data!C2156)</f>
        <v>Herbal</v>
      </c>
      <c r="D2158" s="3">
        <f>[1]Raw_Data!D2156</f>
        <v>164</v>
      </c>
      <c r="E2158" s="4">
        <f>[1]Raw_Data!E2156</f>
        <v>13.63</v>
      </c>
      <c r="F2158" s="5">
        <f>[1]Raw_Data!F2156</f>
        <v>2235.3200000000002</v>
      </c>
      <c r="G2158" s="4">
        <f>[1]Raw_Data!G2156</f>
        <v>0.14000000000000001</v>
      </c>
      <c r="H2158" s="3">
        <f>[1]Raw_Data!H2156</f>
        <v>2</v>
      </c>
      <c r="I2158" s="3" t="str">
        <f>TRIM([1]Raw_Data!I2156)</f>
        <v>Canada</v>
      </c>
      <c r="J2158" s="3" t="str">
        <f>TRIM([1]Raw_Data!J2156)</f>
        <v>iHerb</v>
      </c>
      <c r="K2158" s="3">
        <f t="shared" si="132"/>
        <v>2022</v>
      </c>
      <c r="L2158" s="6">
        <f t="shared" si="133"/>
        <v>44774</v>
      </c>
      <c r="M2158" s="3" t="str">
        <f t="shared" si="134"/>
        <v>11% to 15%</v>
      </c>
      <c r="N2158" s="3" t="str">
        <f t="shared" si="135"/>
        <v>OK</v>
      </c>
    </row>
    <row r="2159" spans="1:14" x14ac:dyDescent="0.3">
      <c r="A2159" s="2">
        <f>DATE(VALUE(RIGHT(TRIM([1]Raw_Data!A2157),4)),VALUE(MID(TRIM([1]Raw_Data!A2157),4,2)),VALUE(LEFT(TRIM([1]Raw_Data!A2157),2)))</f>
        <v>44774</v>
      </c>
      <c r="B2159" s="3" t="str">
        <f>TRIM([1]Raw_Data!B2157)</f>
        <v>Melatonin</v>
      </c>
      <c r="C2159" s="3" t="str">
        <f>TRIM([1]Raw_Data!C2157)</f>
        <v>Sleep Aid</v>
      </c>
      <c r="D2159" s="3">
        <f>[1]Raw_Data!D2157</f>
        <v>150</v>
      </c>
      <c r="E2159" s="4">
        <f>[1]Raw_Data!E2157</f>
        <v>19.3</v>
      </c>
      <c r="F2159" s="5">
        <f>[1]Raw_Data!F2157</f>
        <v>2895</v>
      </c>
      <c r="G2159" s="4">
        <f>[1]Raw_Data!G2157</f>
        <v>0</v>
      </c>
      <c r="H2159" s="3">
        <f>[1]Raw_Data!H2157</f>
        <v>1</v>
      </c>
      <c r="I2159" s="3" t="str">
        <f>TRIM([1]Raw_Data!I2157)</f>
        <v>Canada</v>
      </c>
      <c r="J2159" s="3" t="str">
        <f>TRIM([1]Raw_Data!J2157)</f>
        <v>Walmart</v>
      </c>
      <c r="K2159" s="3">
        <f t="shared" si="132"/>
        <v>2022</v>
      </c>
      <c r="L2159" s="6">
        <f t="shared" si="133"/>
        <v>44774</v>
      </c>
      <c r="M2159" s="3" t="str">
        <f t="shared" si="134"/>
        <v>0% to 5%</v>
      </c>
      <c r="N2159" s="3" t="str">
        <f t="shared" si="135"/>
        <v>OK</v>
      </c>
    </row>
    <row r="2160" spans="1:14" x14ac:dyDescent="0.3">
      <c r="A2160" s="2">
        <f>DATE(VALUE(RIGHT(TRIM([1]Raw_Data!A2158),4)),VALUE(MID(TRIM([1]Raw_Data!A2158),4,2)),VALUE(LEFT(TRIM([1]Raw_Data!A2158),2)))</f>
        <v>44774</v>
      </c>
      <c r="B2160" s="3" t="str">
        <f>TRIM([1]Raw_Data!B2158)</f>
        <v>Biotin</v>
      </c>
      <c r="C2160" s="3" t="str">
        <f>TRIM([1]Raw_Data!C2158)</f>
        <v>Vitamin</v>
      </c>
      <c r="D2160" s="3">
        <f>[1]Raw_Data!D2158</f>
        <v>152</v>
      </c>
      <c r="E2160" s="4">
        <f>[1]Raw_Data!E2158</f>
        <v>35.229999999999997</v>
      </c>
      <c r="F2160" s="5">
        <f>[1]Raw_Data!F2158</f>
        <v>5354.96</v>
      </c>
      <c r="G2160" s="4">
        <f>[1]Raw_Data!G2158</f>
        <v>0.23</v>
      </c>
      <c r="H2160" s="3">
        <f>[1]Raw_Data!H2158</f>
        <v>2</v>
      </c>
      <c r="I2160" s="3" t="str">
        <f>TRIM([1]Raw_Data!I2158)</f>
        <v>UK</v>
      </c>
      <c r="J2160" s="3" t="str">
        <f>TRIM([1]Raw_Data!J2158)</f>
        <v>iHerb</v>
      </c>
      <c r="K2160" s="3">
        <f t="shared" si="132"/>
        <v>2022</v>
      </c>
      <c r="L2160" s="6">
        <f t="shared" si="133"/>
        <v>44774</v>
      </c>
      <c r="M2160" s="3" t="str">
        <f t="shared" si="134"/>
        <v>21% to 25%</v>
      </c>
      <c r="N2160" s="3" t="str">
        <f t="shared" si="135"/>
        <v>OK</v>
      </c>
    </row>
    <row r="2161" spans="1:14" x14ac:dyDescent="0.3">
      <c r="A2161" s="2">
        <f>DATE(VALUE(RIGHT(TRIM([1]Raw_Data!A2159),4)),VALUE(MID(TRIM([1]Raw_Data!A2159),4,2)),VALUE(LEFT(TRIM([1]Raw_Data!A2159),2)))</f>
        <v>44774</v>
      </c>
      <c r="B2161" s="3" t="str">
        <f>TRIM([1]Raw_Data!B2159)</f>
        <v>Green Tea Extract</v>
      </c>
      <c r="C2161" s="3" t="str">
        <f>TRIM([1]Raw_Data!C2159)</f>
        <v>Fat Burner</v>
      </c>
      <c r="D2161" s="3">
        <f>[1]Raw_Data!D2159</f>
        <v>164</v>
      </c>
      <c r="E2161" s="4">
        <f>[1]Raw_Data!E2159</f>
        <v>52.77</v>
      </c>
      <c r="F2161" s="5">
        <f>[1]Raw_Data!F2159</f>
        <v>8654.2800000000007</v>
      </c>
      <c r="G2161" s="4">
        <f>[1]Raw_Data!G2159</f>
        <v>0.17</v>
      </c>
      <c r="H2161" s="3">
        <f>[1]Raw_Data!H2159</f>
        <v>0</v>
      </c>
      <c r="I2161" s="3" t="str">
        <f>TRIM([1]Raw_Data!I2159)</f>
        <v>UK</v>
      </c>
      <c r="J2161" s="3" t="str">
        <f>TRIM([1]Raw_Data!J2159)</f>
        <v>Walmart</v>
      </c>
      <c r="K2161" s="3">
        <f t="shared" si="132"/>
        <v>2022</v>
      </c>
      <c r="L2161" s="6">
        <f t="shared" si="133"/>
        <v>44774</v>
      </c>
      <c r="M2161" s="3" t="str">
        <f t="shared" si="134"/>
        <v>16% to 20%</v>
      </c>
      <c r="N2161" s="3" t="str">
        <f t="shared" si="135"/>
        <v>OK</v>
      </c>
    </row>
    <row r="2162" spans="1:14" x14ac:dyDescent="0.3">
      <c r="A2162" s="2">
        <f>DATE(VALUE(RIGHT(TRIM([1]Raw_Data!A2160),4)),VALUE(MID(TRIM([1]Raw_Data!A2160),4,2)),VALUE(LEFT(TRIM([1]Raw_Data!A2160),2)))</f>
        <v>44774</v>
      </c>
      <c r="B2162" s="3" t="str">
        <f>TRIM([1]Raw_Data!B2160)</f>
        <v>Iron Supplement</v>
      </c>
      <c r="C2162" s="3" t="str">
        <f>TRIM([1]Raw_Data!C2160)</f>
        <v>Mineral</v>
      </c>
      <c r="D2162" s="3">
        <f>[1]Raw_Data!D2160</f>
        <v>138</v>
      </c>
      <c r="E2162" s="4">
        <f>[1]Raw_Data!E2160</f>
        <v>11.61</v>
      </c>
      <c r="F2162" s="5">
        <f>[1]Raw_Data!F2160</f>
        <v>1602.18</v>
      </c>
      <c r="G2162" s="4">
        <f>[1]Raw_Data!G2160</f>
        <v>0.12</v>
      </c>
      <c r="H2162" s="3">
        <f>[1]Raw_Data!H2160</f>
        <v>1</v>
      </c>
      <c r="I2162" s="3" t="str">
        <f>TRIM([1]Raw_Data!I2160)</f>
        <v>USA</v>
      </c>
      <c r="J2162" s="3" t="str">
        <f>TRIM([1]Raw_Data!J2160)</f>
        <v>Walmart</v>
      </c>
      <c r="K2162" s="3">
        <f t="shared" si="132"/>
        <v>2022</v>
      </c>
      <c r="L2162" s="6">
        <f t="shared" si="133"/>
        <v>44774</v>
      </c>
      <c r="M2162" s="3" t="str">
        <f t="shared" si="134"/>
        <v>11% to 15%</v>
      </c>
      <c r="N2162" s="3" t="str">
        <f t="shared" si="135"/>
        <v>OK</v>
      </c>
    </row>
    <row r="2163" spans="1:14" x14ac:dyDescent="0.3">
      <c r="A2163" s="2">
        <f>DATE(VALUE(RIGHT(TRIM([1]Raw_Data!A2161),4)),VALUE(MID(TRIM([1]Raw_Data!A2161),4,2)),VALUE(LEFT(TRIM([1]Raw_Data!A2161),2)))</f>
        <v>44774</v>
      </c>
      <c r="B2163" s="3" t="str">
        <f>TRIM([1]Raw_Data!B2161)</f>
        <v>Electrolyte Powder</v>
      </c>
      <c r="C2163" s="3" t="str">
        <f>TRIM([1]Raw_Data!C2161)</f>
        <v>Hydration</v>
      </c>
      <c r="D2163" s="3">
        <f>[1]Raw_Data!D2161</f>
        <v>156</v>
      </c>
      <c r="E2163" s="4">
        <f>[1]Raw_Data!E2161</f>
        <v>28.02</v>
      </c>
      <c r="F2163" s="5">
        <f>[1]Raw_Data!F2161</f>
        <v>4371.12</v>
      </c>
      <c r="G2163" s="4">
        <f>[1]Raw_Data!G2161</f>
        <v>0.11</v>
      </c>
      <c r="H2163" s="3">
        <f>[1]Raw_Data!H2161</f>
        <v>5</v>
      </c>
      <c r="I2163" s="3" t="str">
        <f>TRIM([1]Raw_Data!I2161)</f>
        <v>UK</v>
      </c>
      <c r="J2163" s="3" t="str">
        <f>TRIM([1]Raw_Data!J2161)</f>
        <v>iHerb</v>
      </c>
      <c r="K2163" s="3">
        <f t="shared" si="132"/>
        <v>2022</v>
      </c>
      <c r="L2163" s="6">
        <f t="shared" si="133"/>
        <v>44774</v>
      </c>
      <c r="M2163" s="3" t="str">
        <f t="shared" si="134"/>
        <v>11% to 15%</v>
      </c>
      <c r="N2163" s="3" t="str">
        <f t="shared" si="135"/>
        <v>OK</v>
      </c>
    </row>
    <row r="2164" spans="1:14" x14ac:dyDescent="0.3">
      <c r="A2164" s="2">
        <f>DATE(VALUE(RIGHT(TRIM([1]Raw_Data!A2162),4)),VALUE(MID(TRIM([1]Raw_Data!A2162),4,2)),VALUE(LEFT(TRIM([1]Raw_Data!A2162),2)))</f>
        <v>44781</v>
      </c>
      <c r="B2164" s="3" t="str">
        <f>TRIM([1]Raw_Data!B2162)</f>
        <v>Whey Protein</v>
      </c>
      <c r="C2164" s="3" t="str">
        <f>TRIM([1]Raw_Data!C2162)</f>
        <v>Protein</v>
      </c>
      <c r="D2164" s="3">
        <f>[1]Raw_Data!D2162</f>
        <v>148</v>
      </c>
      <c r="E2164" s="4">
        <f>[1]Raw_Data!E2162</f>
        <v>30.59</v>
      </c>
      <c r="F2164" s="5">
        <f>[1]Raw_Data!F2162</f>
        <v>4527.32</v>
      </c>
      <c r="G2164" s="4">
        <f>[1]Raw_Data!G2162</f>
        <v>0.18</v>
      </c>
      <c r="H2164" s="3">
        <f>[1]Raw_Data!H2162</f>
        <v>0</v>
      </c>
      <c r="I2164" s="3" t="str">
        <f>TRIM([1]Raw_Data!I2162)</f>
        <v>USA</v>
      </c>
      <c r="J2164" s="3" t="str">
        <f>TRIM([1]Raw_Data!J2162)</f>
        <v>iHerb</v>
      </c>
      <c r="K2164" s="3">
        <f t="shared" si="132"/>
        <v>2022</v>
      </c>
      <c r="L2164" s="6">
        <f t="shared" si="133"/>
        <v>44774</v>
      </c>
      <c r="M2164" s="3" t="str">
        <f t="shared" si="134"/>
        <v>16% to 20%</v>
      </c>
      <c r="N2164" s="3" t="str">
        <f t="shared" si="135"/>
        <v>OK</v>
      </c>
    </row>
    <row r="2165" spans="1:14" x14ac:dyDescent="0.3">
      <c r="A2165" s="2">
        <f>DATE(VALUE(RIGHT(TRIM([1]Raw_Data!A2163),4)),VALUE(MID(TRIM([1]Raw_Data!A2163),4,2)),VALUE(LEFT(TRIM([1]Raw_Data!A2163),2)))</f>
        <v>44781</v>
      </c>
      <c r="B2165" s="3" t="str">
        <f>TRIM([1]Raw_Data!B2163)</f>
        <v>Vitamin C</v>
      </c>
      <c r="C2165" s="3" t="str">
        <f>TRIM([1]Raw_Data!C2163)</f>
        <v>Vitamin</v>
      </c>
      <c r="D2165" s="3">
        <f>[1]Raw_Data!D2163</f>
        <v>141</v>
      </c>
      <c r="E2165" s="4">
        <f>[1]Raw_Data!E2163</f>
        <v>31.62</v>
      </c>
      <c r="F2165" s="5">
        <f>[1]Raw_Data!F2163</f>
        <v>4458.42</v>
      </c>
      <c r="G2165" s="4">
        <f>[1]Raw_Data!G2163</f>
        <v>0.21</v>
      </c>
      <c r="H2165" s="3">
        <f>[1]Raw_Data!H2163</f>
        <v>0</v>
      </c>
      <c r="I2165" s="3" t="str">
        <f>TRIM([1]Raw_Data!I2163)</f>
        <v>Canada</v>
      </c>
      <c r="J2165" s="3" t="str">
        <f>TRIM([1]Raw_Data!J2163)</f>
        <v>Walmart</v>
      </c>
      <c r="K2165" s="3">
        <f t="shared" si="132"/>
        <v>2022</v>
      </c>
      <c r="L2165" s="6">
        <f t="shared" si="133"/>
        <v>44774</v>
      </c>
      <c r="M2165" s="3" t="str">
        <f t="shared" si="134"/>
        <v>21% to 25%</v>
      </c>
      <c r="N2165" s="3" t="str">
        <f t="shared" si="135"/>
        <v>OK</v>
      </c>
    </row>
    <row r="2166" spans="1:14" x14ac:dyDescent="0.3">
      <c r="A2166" s="2">
        <f>DATE(VALUE(RIGHT(TRIM([1]Raw_Data!A2164),4)),VALUE(MID(TRIM([1]Raw_Data!A2164),4,2)),VALUE(LEFT(TRIM([1]Raw_Data!A2164),2)))</f>
        <v>44781</v>
      </c>
      <c r="B2166" s="3" t="str">
        <f>TRIM([1]Raw_Data!B2164)</f>
        <v>Fish Oil</v>
      </c>
      <c r="C2166" s="3" t="str">
        <f>TRIM([1]Raw_Data!C2164)</f>
        <v>Omega</v>
      </c>
      <c r="D2166" s="3">
        <f>[1]Raw_Data!D2164</f>
        <v>156</v>
      </c>
      <c r="E2166" s="4">
        <f>[1]Raw_Data!E2164</f>
        <v>21.85</v>
      </c>
      <c r="F2166" s="5">
        <f>[1]Raw_Data!F2164</f>
        <v>3408.6</v>
      </c>
      <c r="G2166" s="4">
        <f>[1]Raw_Data!G2164</f>
        <v>0.17</v>
      </c>
      <c r="H2166" s="3">
        <f>[1]Raw_Data!H2164</f>
        <v>4</v>
      </c>
      <c r="I2166" s="3" t="str">
        <f>TRIM([1]Raw_Data!I2164)</f>
        <v>Canada</v>
      </c>
      <c r="J2166" s="3" t="str">
        <f>TRIM([1]Raw_Data!J2164)</f>
        <v>Amazon</v>
      </c>
      <c r="K2166" s="3">
        <f t="shared" si="132"/>
        <v>2022</v>
      </c>
      <c r="L2166" s="6">
        <f t="shared" si="133"/>
        <v>44774</v>
      </c>
      <c r="M2166" s="3" t="str">
        <f t="shared" si="134"/>
        <v>16% to 20%</v>
      </c>
      <c r="N2166" s="3" t="str">
        <f t="shared" si="135"/>
        <v>OK</v>
      </c>
    </row>
    <row r="2167" spans="1:14" x14ac:dyDescent="0.3">
      <c r="A2167" s="2">
        <f>DATE(VALUE(RIGHT(TRIM([1]Raw_Data!A2165),4)),VALUE(MID(TRIM([1]Raw_Data!A2165),4,2)),VALUE(LEFT(TRIM([1]Raw_Data!A2165),2)))</f>
        <v>44781</v>
      </c>
      <c r="B2167" s="3" t="str">
        <f>TRIM([1]Raw_Data!B2165)</f>
        <v>Multivitamin</v>
      </c>
      <c r="C2167" s="3" t="str">
        <f>TRIM([1]Raw_Data!C2165)</f>
        <v>Vitamin</v>
      </c>
      <c r="D2167" s="3">
        <f>[1]Raw_Data!D2165</f>
        <v>183</v>
      </c>
      <c r="E2167" s="4">
        <f>[1]Raw_Data!E2165</f>
        <v>15.02</v>
      </c>
      <c r="F2167" s="5">
        <f>[1]Raw_Data!F2165</f>
        <v>2748.66</v>
      </c>
      <c r="G2167" s="4">
        <f>[1]Raw_Data!G2165</f>
        <v>0.04</v>
      </c>
      <c r="H2167" s="3">
        <f>[1]Raw_Data!H2165</f>
        <v>2</v>
      </c>
      <c r="I2167" s="3" t="str">
        <f>TRIM([1]Raw_Data!I2165)</f>
        <v>Canada</v>
      </c>
      <c r="J2167" s="3" t="str">
        <f>TRIM([1]Raw_Data!J2165)</f>
        <v>Walmart</v>
      </c>
      <c r="K2167" s="3">
        <f t="shared" si="132"/>
        <v>2022</v>
      </c>
      <c r="L2167" s="6">
        <f t="shared" si="133"/>
        <v>44774</v>
      </c>
      <c r="M2167" s="3" t="str">
        <f t="shared" si="134"/>
        <v>0% to 5%</v>
      </c>
      <c r="N2167" s="3" t="str">
        <f t="shared" si="135"/>
        <v>OK</v>
      </c>
    </row>
    <row r="2168" spans="1:14" x14ac:dyDescent="0.3">
      <c r="A2168" s="2">
        <f>DATE(VALUE(RIGHT(TRIM([1]Raw_Data!A2166),4)),VALUE(MID(TRIM([1]Raw_Data!A2166),4,2)),VALUE(LEFT(TRIM([1]Raw_Data!A2166),2)))</f>
        <v>44781</v>
      </c>
      <c r="B2168" s="3" t="str">
        <f>TRIM([1]Raw_Data!B2166)</f>
        <v>Pre-Workout</v>
      </c>
      <c r="C2168" s="3" t="str">
        <f>TRIM([1]Raw_Data!C2166)</f>
        <v>Performance</v>
      </c>
      <c r="D2168" s="3">
        <f>[1]Raw_Data!D2166</f>
        <v>158</v>
      </c>
      <c r="E2168" s="4">
        <f>[1]Raw_Data!E2166</f>
        <v>26.8</v>
      </c>
      <c r="F2168" s="5">
        <f>[1]Raw_Data!F2166</f>
        <v>4234.3999999999996</v>
      </c>
      <c r="G2168" s="4">
        <f>[1]Raw_Data!G2166</f>
        <v>0.04</v>
      </c>
      <c r="H2168" s="3">
        <f>[1]Raw_Data!H2166</f>
        <v>2</v>
      </c>
      <c r="I2168" s="3" t="str">
        <f>TRIM([1]Raw_Data!I2166)</f>
        <v>UK</v>
      </c>
      <c r="J2168" s="3" t="str">
        <f>TRIM([1]Raw_Data!J2166)</f>
        <v>Amazon</v>
      </c>
      <c r="K2168" s="3">
        <f t="shared" si="132"/>
        <v>2022</v>
      </c>
      <c r="L2168" s="6">
        <f t="shared" si="133"/>
        <v>44774</v>
      </c>
      <c r="M2168" s="3" t="str">
        <f t="shared" si="134"/>
        <v>0% to 5%</v>
      </c>
      <c r="N2168" s="3" t="str">
        <f t="shared" si="135"/>
        <v>OK</v>
      </c>
    </row>
    <row r="2169" spans="1:14" x14ac:dyDescent="0.3">
      <c r="A2169" s="2">
        <f>DATE(VALUE(RIGHT(TRIM([1]Raw_Data!A2167),4)),VALUE(MID(TRIM([1]Raw_Data!A2167),4,2)),VALUE(LEFT(TRIM([1]Raw_Data!A2167),2)))</f>
        <v>44781</v>
      </c>
      <c r="B2169" s="3" t="str">
        <f>TRIM([1]Raw_Data!B2167)</f>
        <v>BCAA</v>
      </c>
      <c r="C2169" s="3" t="str">
        <f>TRIM([1]Raw_Data!C2167)</f>
        <v>Amino Acid</v>
      </c>
      <c r="D2169" s="3">
        <f>[1]Raw_Data!D2167</f>
        <v>149</v>
      </c>
      <c r="E2169" s="4">
        <f>[1]Raw_Data!E2167</f>
        <v>32.07</v>
      </c>
      <c r="F2169" s="5">
        <f>[1]Raw_Data!F2167</f>
        <v>4778.43</v>
      </c>
      <c r="G2169" s="4">
        <f>[1]Raw_Data!G2167</f>
        <v>0.08</v>
      </c>
      <c r="H2169" s="3">
        <f>[1]Raw_Data!H2167</f>
        <v>1</v>
      </c>
      <c r="I2169" s="3" t="str">
        <f>TRIM([1]Raw_Data!I2167)</f>
        <v>Canada</v>
      </c>
      <c r="J2169" s="3" t="str">
        <f>TRIM([1]Raw_Data!J2167)</f>
        <v>Amazon</v>
      </c>
      <c r="K2169" s="3">
        <f t="shared" si="132"/>
        <v>2022</v>
      </c>
      <c r="L2169" s="6">
        <f t="shared" si="133"/>
        <v>44774</v>
      </c>
      <c r="M2169" s="3" t="str">
        <f t="shared" si="134"/>
        <v>6% to 10%</v>
      </c>
      <c r="N2169" s="3" t="str">
        <f t="shared" si="135"/>
        <v>OK</v>
      </c>
    </row>
    <row r="2170" spans="1:14" x14ac:dyDescent="0.3">
      <c r="A2170" s="2">
        <f>DATE(VALUE(RIGHT(TRIM([1]Raw_Data!A2168),4)),VALUE(MID(TRIM([1]Raw_Data!A2168),4,2)),VALUE(LEFT(TRIM([1]Raw_Data!A2168),2)))</f>
        <v>44781</v>
      </c>
      <c r="B2170" s="3" t="str">
        <f>TRIM([1]Raw_Data!B2168)</f>
        <v>Creatine</v>
      </c>
      <c r="C2170" s="3" t="str">
        <f>TRIM([1]Raw_Data!C2168)</f>
        <v>Performance</v>
      </c>
      <c r="D2170" s="3">
        <f>[1]Raw_Data!D2168</f>
        <v>139</v>
      </c>
      <c r="E2170" s="4">
        <f>[1]Raw_Data!E2168</f>
        <v>14.74</v>
      </c>
      <c r="F2170" s="5">
        <f>[1]Raw_Data!F2168</f>
        <v>2048.86</v>
      </c>
      <c r="G2170" s="4">
        <f>[1]Raw_Data!G2168</f>
        <v>0.09</v>
      </c>
      <c r="H2170" s="3">
        <f>[1]Raw_Data!H2168</f>
        <v>0</v>
      </c>
      <c r="I2170" s="3" t="str">
        <f>TRIM([1]Raw_Data!I2168)</f>
        <v>USA</v>
      </c>
      <c r="J2170" s="3" t="str">
        <f>TRIM([1]Raw_Data!J2168)</f>
        <v>Amazon</v>
      </c>
      <c r="K2170" s="3">
        <f t="shared" si="132"/>
        <v>2022</v>
      </c>
      <c r="L2170" s="6">
        <f t="shared" si="133"/>
        <v>44774</v>
      </c>
      <c r="M2170" s="3" t="str">
        <f t="shared" si="134"/>
        <v>6% to 10%</v>
      </c>
      <c r="N2170" s="3" t="str">
        <f t="shared" si="135"/>
        <v>OK</v>
      </c>
    </row>
    <row r="2171" spans="1:14" x14ac:dyDescent="0.3">
      <c r="A2171" s="2">
        <f>DATE(VALUE(RIGHT(TRIM([1]Raw_Data!A2169),4)),VALUE(MID(TRIM([1]Raw_Data!A2169),4,2)),VALUE(LEFT(TRIM([1]Raw_Data!A2169),2)))</f>
        <v>44781</v>
      </c>
      <c r="B2171" s="3" t="str">
        <f>TRIM([1]Raw_Data!B2169)</f>
        <v>Zinc</v>
      </c>
      <c r="C2171" s="3" t="str">
        <f>TRIM([1]Raw_Data!C2169)</f>
        <v>Mineral</v>
      </c>
      <c r="D2171" s="3">
        <f>[1]Raw_Data!D2169</f>
        <v>137</v>
      </c>
      <c r="E2171" s="4">
        <f>[1]Raw_Data!E2169</f>
        <v>26.27</v>
      </c>
      <c r="F2171" s="5">
        <f>[1]Raw_Data!F2169</f>
        <v>3598.99</v>
      </c>
      <c r="G2171" s="4">
        <f>[1]Raw_Data!G2169</f>
        <v>0.17</v>
      </c>
      <c r="H2171" s="3">
        <f>[1]Raw_Data!H2169</f>
        <v>2</v>
      </c>
      <c r="I2171" s="3" t="str">
        <f>TRIM([1]Raw_Data!I2169)</f>
        <v>UK</v>
      </c>
      <c r="J2171" s="3" t="str">
        <f>TRIM([1]Raw_Data!J2169)</f>
        <v>Walmart</v>
      </c>
      <c r="K2171" s="3">
        <f t="shared" si="132"/>
        <v>2022</v>
      </c>
      <c r="L2171" s="6">
        <f t="shared" si="133"/>
        <v>44774</v>
      </c>
      <c r="M2171" s="3" t="str">
        <f t="shared" si="134"/>
        <v>16% to 20%</v>
      </c>
      <c r="N2171" s="3" t="str">
        <f t="shared" si="135"/>
        <v>OK</v>
      </c>
    </row>
    <row r="2172" spans="1:14" x14ac:dyDescent="0.3">
      <c r="A2172" s="2">
        <f>DATE(VALUE(RIGHT(TRIM([1]Raw_Data!A2170),4)),VALUE(MID(TRIM([1]Raw_Data!A2170),4,2)),VALUE(LEFT(TRIM([1]Raw_Data!A2170),2)))</f>
        <v>44781</v>
      </c>
      <c r="B2172" s="3" t="str">
        <f>TRIM([1]Raw_Data!B2170)</f>
        <v>Collagen Peptides</v>
      </c>
      <c r="C2172" s="3" t="str">
        <f>TRIM([1]Raw_Data!C2170)</f>
        <v>Protein</v>
      </c>
      <c r="D2172" s="3">
        <f>[1]Raw_Data!D2170</f>
        <v>153</v>
      </c>
      <c r="E2172" s="4">
        <f>[1]Raw_Data!E2170</f>
        <v>11.07</v>
      </c>
      <c r="F2172" s="5">
        <f>[1]Raw_Data!F2170</f>
        <v>1693.71</v>
      </c>
      <c r="G2172" s="4">
        <f>[1]Raw_Data!G2170</f>
        <v>0.18</v>
      </c>
      <c r="H2172" s="3">
        <f>[1]Raw_Data!H2170</f>
        <v>4</v>
      </c>
      <c r="I2172" s="3" t="str">
        <f>TRIM([1]Raw_Data!I2170)</f>
        <v>Canada</v>
      </c>
      <c r="J2172" s="3" t="str">
        <f>TRIM([1]Raw_Data!J2170)</f>
        <v>Walmart</v>
      </c>
      <c r="K2172" s="3">
        <f t="shared" si="132"/>
        <v>2022</v>
      </c>
      <c r="L2172" s="6">
        <f t="shared" si="133"/>
        <v>44774</v>
      </c>
      <c r="M2172" s="3" t="str">
        <f t="shared" si="134"/>
        <v>16% to 20%</v>
      </c>
      <c r="N2172" s="3" t="str">
        <f t="shared" si="135"/>
        <v>OK</v>
      </c>
    </row>
    <row r="2173" spans="1:14" x14ac:dyDescent="0.3">
      <c r="A2173" s="2">
        <f>DATE(VALUE(RIGHT(TRIM([1]Raw_Data!A2171),4)),VALUE(MID(TRIM([1]Raw_Data!A2171),4,2)),VALUE(LEFT(TRIM([1]Raw_Data!A2171),2)))</f>
        <v>44781</v>
      </c>
      <c r="B2173" s="3" t="str">
        <f>TRIM([1]Raw_Data!B2171)</f>
        <v>Magnesium</v>
      </c>
      <c r="C2173" s="3" t="str">
        <f>TRIM([1]Raw_Data!C2171)</f>
        <v>Mineral</v>
      </c>
      <c r="D2173" s="3">
        <f>[1]Raw_Data!D2171</f>
        <v>165</v>
      </c>
      <c r="E2173" s="4">
        <f>[1]Raw_Data!E2171</f>
        <v>26.34</v>
      </c>
      <c r="F2173" s="5">
        <f>[1]Raw_Data!F2171</f>
        <v>4346.1000000000004</v>
      </c>
      <c r="G2173" s="4">
        <f>[1]Raw_Data!G2171</f>
        <v>0.04</v>
      </c>
      <c r="H2173" s="3">
        <f>[1]Raw_Data!H2171</f>
        <v>2</v>
      </c>
      <c r="I2173" s="3" t="str">
        <f>TRIM([1]Raw_Data!I2171)</f>
        <v>USA</v>
      </c>
      <c r="J2173" s="3" t="str">
        <f>TRIM([1]Raw_Data!J2171)</f>
        <v>Amazon</v>
      </c>
      <c r="K2173" s="3">
        <f t="shared" si="132"/>
        <v>2022</v>
      </c>
      <c r="L2173" s="6">
        <f t="shared" si="133"/>
        <v>44774</v>
      </c>
      <c r="M2173" s="3" t="str">
        <f t="shared" si="134"/>
        <v>0% to 5%</v>
      </c>
      <c r="N2173" s="3" t="str">
        <f t="shared" si="135"/>
        <v>OK</v>
      </c>
    </row>
    <row r="2174" spans="1:14" x14ac:dyDescent="0.3">
      <c r="A2174" s="2">
        <f>DATE(VALUE(RIGHT(TRIM([1]Raw_Data!A2172),4)),VALUE(MID(TRIM([1]Raw_Data!A2172),4,2)),VALUE(LEFT(TRIM([1]Raw_Data!A2172),2)))</f>
        <v>44781</v>
      </c>
      <c r="B2174" s="3" t="str">
        <f>TRIM([1]Raw_Data!B2172)</f>
        <v>Ashwagandha</v>
      </c>
      <c r="C2174" s="3" t="str">
        <f>TRIM([1]Raw_Data!C2172)</f>
        <v>Herbal</v>
      </c>
      <c r="D2174" s="3">
        <f>[1]Raw_Data!D2172</f>
        <v>158</v>
      </c>
      <c r="E2174" s="4">
        <f>[1]Raw_Data!E2172</f>
        <v>36.979999999999997</v>
      </c>
      <c r="F2174" s="5">
        <f>[1]Raw_Data!F2172</f>
        <v>5842.84</v>
      </c>
      <c r="G2174" s="4">
        <f>[1]Raw_Data!G2172</f>
        <v>0.17</v>
      </c>
      <c r="H2174" s="3">
        <f>[1]Raw_Data!H2172</f>
        <v>1</v>
      </c>
      <c r="I2174" s="3" t="str">
        <f>TRIM([1]Raw_Data!I2172)</f>
        <v>USA</v>
      </c>
      <c r="J2174" s="3" t="str">
        <f>TRIM([1]Raw_Data!J2172)</f>
        <v>Amazon</v>
      </c>
      <c r="K2174" s="3">
        <f t="shared" si="132"/>
        <v>2022</v>
      </c>
      <c r="L2174" s="6">
        <f t="shared" si="133"/>
        <v>44774</v>
      </c>
      <c r="M2174" s="3" t="str">
        <f t="shared" si="134"/>
        <v>16% to 20%</v>
      </c>
      <c r="N2174" s="3" t="str">
        <f t="shared" si="135"/>
        <v>OK</v>
      </c>
    </row>
    <row r="2175" spans="1:14" x14ac:dyDescent="0.3">
      <c r="A2175" s="2">
        <f>DATE(VALUE(RIGHT(TRIM([1]Raw_Data!A2173),4)),VALUE(MID(TRIM([1]Raw_Data!A2173),4,2)),VALUE(LEFT(TRIM([1]Raw_Data!A2173),2)))</f>
        <v>44781</v>
      </c>
      <c r="B2175" s="3" t="str">
        <f>TRIM([1]Raw_Data!B2173)</f>
        <v>Melatonin</v>
      </c>
      <c r="C2175" s="3" t="str">
        <f>TRIM([1]Raw_Data!C2173)</f>
        <v>Sleep Aid</v>
      </c>
      <c r="D2175" s="3">
        <f>[1]Raw_Data!D2173</f>
        <v>165</v>
      </c>
      <c r="E2175" s="4">
        <f>[1]Raw_Data!E2173</f>
        <v>13.23</v>
      </c>
      <c r="F2175" s="5">
        <f>[1]Raw_Data!F2173</f>
        <v>2182.9499999999998</v>
      </c>
      <c r="G2175" s="4">
        <f>[1]Raw_Data!G2173</f>
        <v>0.16</v>
      </c>
      <c r="H2175" s="3">
        <f>[1]Raw_Data!H2173</f>
        <v>1</v>
      </c>
      <c r="I2175" s="3" t="str">
        <f>TRIM([1]Raw_Data!I2173)</f>
        <v>USA</v>
      </c>
      <c r="J2175" s="3" t="str">
        <f>TRIM([1]Raw_Data!J2173)</f>
        <v>iHerb</v>
      </c>
      <c r="K2175" s="3">
        <f t="shared" si="132"/>
        <v>2022</v>
      </c>
      <c r="L2175" s="6">
        <f t="shared" si="133"/>
        <v>44774</v>
      </c>
      <c r="M2175" s="3" t="str">
        <f t="shared" si="134"/>
        <v>16% to 20%</v>
      </c>
      <c r="N2175" s="3" t="str">
        <f t="shared" si="135"/>
        <v>OK</v>
      </c>
    </row>
    <row r="2176" spans="1:14" x14ac:dyDescent="0.3">
      <c r="A2176" s="2">
        <f>DATE(VALUE(RIGHT(TRIM([1]Raw_Data!A2174),4)),VALUE(MID(TRIM([1]Raw_Data!A2174),4,2)),VALUE(LEFT(TRIM([1]Raw_Data!A2174),2)))</f>
        <v>44781</v>
      </c>
      <c r="B2176" s="3" t="str">
        <f>TRIM([1]Raw_Data!B2174)</f>
        <v>Biotin</v>
      </c>
      <c r="C2176" s="3" t="str">
        <f>TRIM([1]Raw_Data!C2174)</f>
        <v>Vitamin</v>
      </c>
      <c r="D2176" s="3">
        <f>[1]Raw_Data!D2174</f>
        <v>152</v>
      </c>
      <c r="E2176" s="4">
        <f>[1]Raw_Data!E2174</f>
        <v>53.95</v>
      </c>
      <c r="F2176" s="5">
        <f>[1]Raw_Data!F2174</f>
        <v>8200.4</v>
      </c>
      <c r="G2176" s="4">
        <f>[1]Raw_Data!G2174</f>
        <v>0.1</v>
      </c>
      <c r="H2176" s="3">
        <f>[1]Raw_Data!H2174</f>
        <v>1</v>
      </c>
      <c r="I2176" s="3" t="str">
        <f>TRIM([1]Raw_Data!I2174)</f>
        <v>UK</v>
      </c>
      <c r="J2176" s="3" t="str">
        <f>TRIM([1]Raw_Data!J2174)</f>
        <v>iHerb</v>
      </c>
      <c r="K2176" s="3">
        <f t="shared" si="132"/>
        <v>2022</v>
      </c>
      <c r="L2176" s="6">
        <f t="shared" si="133"/>
        <v>44774</v>
      </c>
      <c r="M2176" s="3" t="str">
        <f t="shared" si="134"/>
        <v>6% to 10%</v>
      </c>
      <c r="N2176" s="3" t="str">
        <f t="shared" si="135"/>
        <v>OK</v>
      </c>
    </row>
    <row r="2177" spans="1:14" x14ac:dyDescent="0.3">
      <c r="A2177" s="2">
        <f>DATE(VALUE(RIGHT(TRIM([1]Raw_Data!A2175),4)),VALUE(MID(TRIM([1]Raw_Data!A2175),4,2)),VALUE(LEFT(TRIM([1]Raw_Data!A2175),2)))</f>
        <v>44781</v>
      </c>
      <c r="B2177" s="3" t="str">
        <f>TRIM([1]Raw_Data!B2175)</f>
        <v>Green Tea Extract</v>
      </c>
      <c r="C2177" s="3" t="str">
        <f>TRIM([1]Raw_Data!C2175)</f>
        <v>Fat Burner</v>
      </c>
      <c r="D2177" s="3">
        <f>[1]Raw_Data!D2175</f>
        <v>140</v>
      </c>
      <c r="E2177" s="4">
        <f>[1]Raw_Data!E2175</f>
        <v>15.71</v>
      </c>
      <c r="F2177" s="5">
        <f>[1]Raw_Data!F2175</f>
        <v>2199.4</v>
      </c>
      <c r="G2177" s="4">
        <f>[1]Raw_Data!G2175</f>
        <v>0.14000000000000001</v>
      </c>
      <c r="H2177" s="3">
        <f>[1]Raw_Data!H2175</f>
        <v>0</v>
      </c>
      <c r="I2177" s="3" t="str">
        <f>TRIM([1]Raw_Data!I2175)</f>
        <v>USA</v>
      </c>
      <c r="J2177" s="3" t="str">
        <f>TRIM([1]Raw_Data!J2175)</f>
        <v>iHerb</v>
      </c>
      <c r="K2177" s="3">
        <f t="shared" si="132"/>
        <v>2022</v>
      </c>
      <c r="L2177" s="6">
        <f t="shared" si="133"/>
        <v>44774</v>
      </c>
      <c r="M2177" s="3" t="str">
        <f t="shared" si="134"/>
        <v>11% to 15%</v>
      </c>
      <c r="N2177" s="3" t="str">
        <f t="shared" si="135"/>
        <v>OK</v>
      </c>
    </row>
    <row r="2178" spans="1:14" x14ac:dyDescent="0.3">
      <c r="A2178" s="2">
        <f>DATE(VALUE(RIGHT(TRIM([1]Raw_Data!A2176),4)),VALUE(MID(TRIM([1]Raw_Data!A2176),4,2)),VALUE(LEFT(TRIM([1]Raw_Data!A2176),2)))</f>
        <v>44781</v>
      </c>
      <c r="B2178" s="3" t="str">
        <f>TRIM([1]Raw_Data!B2176)</f>
        <v>Iron Supplement</v>
      </c>
      <c r="C2178" s="3" t="str">
        <f>TRIM([1]Raw_Data!C2176)</f>
        <v>Mineral</v>
      </c>
      <c r="D2178" s="3">
        <f>[1]Raw_Data!D2176</f>
        <v>144</v>
      </c>
      <c r="E2178" s="4">
        <f>[1]Raw_Data!E2176</f>
        <v>58.56</v>
      </c>
      <c r="F2178" s="5">
        <f>[1]Raw_Data!F2176</f>
        <v>8432.64</v>
      </c>
      <c r="G2178" s="4">
        <f>[1]Raw_Data!G2176</f>
        <v>0.18</v>
      </c>
      <c r="H2178" s="3">
        <f>[1]Raw_Data!H2176</f>
        <v>1</v>
      </c>
      <c r="I2178" s="3" t="str">
        <f>TRIM([1]Raw_Data!I2176)</f>
        <v>Canada</v>
      </c>
      <c r="J2178" s="3" t="str">
        <f>TRIM([1]Raw_Data!J2176)</f>
        <v>iHerb</v>
      </c>
      <c r="K2178" s="3">
        <f t="shared" si="132"/>
        <v>2022</v>
      </c>
      <c r="L2178" s="6">
        <f t="shared" si="133"/>
        <v>44774</v>
      </c>
      <c r="M2178" s="3" t="str">
        <f t="shared" si="134"/>
        <v>16% to 20%</v>
      </c>
      <c r="N2178" s="3" t="str">
        <f t="shared" si="135"/>
        <v>OK</v>
      </c>
    </row>
    <row r="2179" spans="1:14" x14ac:dyDescent="0.3">
      <c r="A2179" s="2">
        <f>DATE(VALUE(RIGHT(TRIM([1]Raw_Data!A2177),4)),VALUE(MID(TRIM([1]Raw_Data!A2177),4,2)),VALUE(LEFT(TRIM([1]Raw_Data!A2177),2)))</f>
        <v>44781</v>
      </c>
      <c r="B2179" s="3" t="str">
        <f>TRIM([1]Raw_Data!B2177)</f>
        <v>Electrolyte Powder</v>
      </c>
      <c r="C2179" s="3" t="str">
        <f>TRIM([1]Raw_Data!C2177)</f>
        <v>Hydration</v>
      </c>
      <c r="D2179" s="3">
        <f>[1]Raw_Data!D2177</f>
        <v>131</v>
      </c>
      <c r="E2179" s="4">
        <f>[1]Raw_Data!E2177</f>
        <v>20.67</v>
      </c>
      <c r="F2179" s="5">
        <f>[1]Raw_Data!F2177</f>
        <v>2707.77</v>
      </c>
      <c r="G2179" s="4">
        <f>[1]Raw_Data!G2177</f>
        <v>0.13</v>
      </c>
      <c r="H2179" s="3">
        <f>[1]Raw_Data!H2177</f>
        <v>2</v>
      </c>
      <c r="I2179" s="3" t="str">
        <f>TRIM([1]Raw_Data!I2177)</f>
        <v>Canada</v>
      </c>
      <c r="J2179" s="3" t="str">
        <f>TRIM([1]Raw_Data!J2177)</f>
        <v>Amazon</v>
      </c>
      <c r="K2179" s="3">
        <f t="shared" si="132"/>
        <v>2022</v>
      </c>
      <c r="L2179" s="6">
        <f t="shared" si="133"/>
        <v>44774</v>
      </c>
      <c r="M2179" s="3" t="str">
        <f t="shared" si="134"/>
        <v>11% to 15%</v>
      </c>
      <c r="N2179" s="3" t="str">
        <f t="shared" si="135"/>
        <v>OK</v>
      </c>
    </row>
    <row r="2180" spans="1:14" x14ac:dyDescent="0.3">
      <c r="A2180" s="2">
        <f>DATE(VALUE(RIGHT(TRIM([1]Raw_Data!A2178),4)),VALUE(MID(TRIM([1]Raw_Data!A2178),4,2)),VALUE(LEFT(TRIM([1]Raw_Data!A2178),2)))</f>
        <v>44788</v>
      </c>
      <c r="B2180" s="3" t="str">
        <f>TRIM([1]Raw_Data!B2178)</f>
        <v>Whey Protein</v>
      </c>
      <c r="C2180" s="3" t="str">
        <f>TRIM([1]Raw_Data!C2178)</f>
        <v>Protein</v>
      </c>
      <c r="D2180" s="3">
        <f>[1]Raw_Data!D2178</f>
        <v>154</v>
      </c>
      <c r="E2180" s="4">
        <f>[1]Raw_Data!E2178</f>
        <v>37.049999999999997</v>
      </c>
      <c r="F2180" s="5">
        <f>[1]Raw_Data!F2178</f>
        <v>5705.7</v>
      </c>
      <c r="G2180" s="4">
        <f>[1]Raw_Data!G2178</f>
        <v>0.23</v>
      </c>
      <c r="H2180" s="3">
        <f>[1]Raw_Data!H2178</f>
        <v>4</v>
      </c>
      <c r="I2180" s="3" t="str">
        <f>TRIM([1]Raw_Data!I2178)</f>
        <v>Canada</v>
      </c>
      <c r="J2180" s="3" t="str">
        <f>TRIM([1]Raw_Data!J2178)</f>
        <v>Walmart</v>
      </c>
      <c r="K2180" s="3">
        <f t="shared" ref="K2180:K2243" si="136">YEAR(A2180)</f>
        <v>2022</v>
      </c>
      <c r="L2180" s="6">
        <f t="shared" ref="L2180:L2243" si="137">DATE(YEAR(A2180),MONTH(A2180),1)</f>
        <v>44774</v>
      </c>
      <c r="M2180" s="3" t="str">
        <f t="shared" ref="M2180:M2243" si="138">IF(ROUND(G2180*100,0)&lt;=5,"0% to 5%",IF(ROUND(G2180*100,0)&lt;=10,"6% to 10%",IF(ROUND(G2180*100,0)&lt;=15,"11% to 15%",IF(ROUND(G2180*100,0)&lt;=20,"16% to 20%","21% to 25%"))))</f>
        <v>21% to 25%</v>
      </c>
      <c r="N2180" s="3" t="str">
        <f t="shared" ref="N2180:N2243" si="139">IF(ROUND(D2180*E2180,2)=ROUND(F2180,2),"OK","Check")</f>
        <v>OK</v>
      </c>
    </row>
    <row r="2181" spans="1:14" x14ac:dyDescent="0.3">
      <c r="A2181" s="2">
        <f>DATE(VALUE(RIGHT(TRIM([1]Raw_Data!A2179),4)),VALUE(MID(TRIM([1]Raw_Data!A2179),4,2)),VALUE(LEFT(TRIM([1]Raw_Data!A2179),2)))</f>
        <v>44788</v>
      </c>
      <c r="B2181" s="3" t="str">
        <f>TRIM([1]Raw_Data!B2179)</f>
        <v>Vitamin C</v>
      </c>
      <c r="C2181" s="3" t="str">
        <f>TRIM([1]Raw_Data!C2179)</f>
        <v>Vitamin</v>
      </c>
      <c r="D2181" s="3">
        <f>[1]Raw_Data!D2179</f>
        <v>150</v>
      </c>
      <c r="E2181" s="4">
        <f>[1]Raw_Data!E2179</f>
        <v>32.979999999999997</v>
      </c>
      <c r="F2181" s="5">
        <f>[1]Raw_Data!F2179</f>
        <v>4947</v>
      </c>
      <c r="G2181" s="4">
        <f>[1]Raw_Data!G2179</f>
        <v>0.05</v>
      </c>
      <c r="H2181" s="3">
        <f>[1]Raw_Data!H2179</f>
        <v>2</v>
      </c>
      <c r="I2181" s="3" t="str">
        <f>TRIM([1]Raw_Data!I2179)</f>
        <v>USA</v>
      </c>
      <c r="J2181" s="3" t="str">
        <f>TRIM([1]Raw_Data!J2179)</f>
        <v>iHerb</v>
      </c>
      <c r="K2181" s="3">
        <f t="shared" si="136"/>
        <v>2022</v>
      </c>
      <c r="L2181" s="6">
        <f t="shared" si="137"/>
        <v>44774</v>
      </c>
      <c r="M2181" s="3" t="str">
        <f t="shared" si="138"/>
        <v>0% to 5%</v>
      </c>
      <c r="N2181" s="3" t="str">
        <f t="shared" si="139"/>
        <v>OK</v>
      </c>
    </row>
    <row r="2182" spans="1:14" x14ac:dyDescent="0.3">
      <c r="A2182" s="2">
        <f>DATE(VALUE(RIGHT(TRIM([1]Raw_Data!A2180),4)),VALUE(MID(TRIM([1]Raw_Data!A2180),4,2)),VALUE(LEFT(TRIM([1]Raw_Data!A2180),2)))</f>
        <v>44788</v>
      </c>
      <c r="B2182" s="3" t="str">
        <f>TRIM([1]Raw_Data!B2180)</f>
        <v>Fish Oil</v>
      </c>
      <c r="C2182" s="3" t="str">
        <f>TRIM([1]Raw_Data!C2180)</f>
        <v>Omega</v>
      </c>
      <c r="D2182" s="3">
        <f>[1]Raw_Data!D2180</f>
        <v>150</v>
      </c>
      <c r="E2182" s="4">
        <f>[1]Raw_Data!E2180</f>
        <v>19.88</v>
      </c>
      <c r="F2182" s="5">
        <f>[1]Raw_Data!F2180</f>
        <v>2982</v>
      </c>
      <c r="G2182" s="4">
        <f>[1]Raw_Data!G2180</f>
        <v>0.12</v>
      </c>
      <c r="H2182" s="3">
        <f>[1]Raw_Data!H2180</f>
        <v>3</v>
      </c>
      <c r="I2182" s="3" t="str">
        <f>TRIM([1]Raw_Data!I2180)</f>
        <v>USA</v>
      </c>
      <c r="J2182" s="3" t="str">
        <f>TRIM([1]Raw_Data!J2180)</f>
        <v>Amazon</v>
      </c>
      <c r="K2182" s="3">
        <f t="shared" si="136"/>
        <v>2022</v>
      </c>
      <c r="L2182" s="6">
        <f t="shared" si="137"/>
        <v>44774</v>
      </c>
      <c r="M2182" s="3" t="str">
        <f t="shared" si="138"/>
        <v>11% to 15%</v>
      </c>
      <c r="N2182" s="3" t="str">
        <f t="shared" si="139"/>
        <v>OK</v>
      </c>
    </row>
    <row r="2183" spans="1:14" x14ac:dyDescent="0.3">
      <c r="A2183" s="2">
        <f>DATE(VALUE(RIGHT(TRIM([1]Raw_Data!A2181),4)),VALUE(MID(TRIM([1]Raw_Data!A2181),4,2)),VALUE(LEFT(TRIM([1]Raw_Data!A2181),2)))</f>
        <v>44788</v>
      </c>
      <c r="B2183" s="3" t="str">
        <f>TRIM([1]Raw_Data!B2181)</f>
        <v>Multivitamin</v>
      </c>
      <c r="C2183" s="3" t="str">
        <f>TRIM([1]Raw_Data!C2181)</f>
        <v>Vitamin</v>
      </c>
      <c r="D2183" s="3">
        <f>[1]Raw_Data!D2181</f>
        <v>152</v>
      </c>
      <c r="E2183" s="4">
        <f>[1]Raw_Data!E2181</f>
        <v>26.95</v>
      </c>
      <c r="F2183" s="5">
        <f>[1]Raw_Data!F2181</f>
        <v>4096.3999999999996</v>
      </c>
      <c r="G2183" s="4">
        <f>[1]Raw_Data!G2181</f>
        <v>0.14000000000000001</v>
      </c>
      <c r="H2183" s="3">
        <f>[1]Raw_Data!H2181</f>
        <v>1</v>
      </c>
      <c r="I2183" s="3" t="str">
        <f>TRIM([1]Raw_Data!I2181)</f>
        <v>Canada</v>
      </c>
      <c r="J2183" s="3" t="str">
        <f>TRIM([1]Raw_Data!J2181)</f>
        <v>Walmart</v>
      </c>
      <c r="K2183" s="3">
        <f t="shared" si="136"/>
        <v>2022</v>
      </c>
      <c r="L2183" s="6">
        <f t="shared" si="137"/>
        <v>44774</v>
      </c>
      <c r="M2183" s="3" t="str">
        <f t="shared" si="138"/>
        <v>11% to 15%</v>
      </c>
      <c r="N2183" s="3" t="str">
        <f t="shared" si="139"/>
        <v>OK</v>
      </c>
    </row>
    <row r="2184" spans="1:14" x14ac:dyDescent="0.3">
      <c r="A2184" s="2">
        <f>DATE(VALUE(RIGHT(TRIM([1]Raw_Data!A2182),4)),VALUE(MID(TRIM([1]Raw_Data!A2182),4,2)),VALUE(LEFT(TRIM([1]Raw_Data!A2182),2)))</f>
        <v>44788</v>
      </c>
      <c r="B2184" s="3" t="str">
        <f>TRIM([1]Raw_Data!B2182)</f>
        <v>Pre-Workout</v>
      </c>
      <c r="C2184" s="3" t="str">
        <f>TRIM([1]Raw_Data!C2182)</f>
        <v>Performance</v>
      </c>
      <c r="D2184" s="3">
        <f>[1]Raw_Data!D2182</f>
        <v>156</v>
      </c>
      <c r="E2184" s="4">
        <f>[1]Raw_Data!E2182</f>
        <v>34.67</v>
      </c>
      <c r="F2184" s="5">
        <f>[1]Raw_Data!F2182</f>
        <v>5408.52</v>
      </c>
      <c r="G2184" s="4">
        <f>[1]Raw_Data!G2182</f>
        <v>7.0000000000000007E-2</v>
      </c>
      <c r="H2184" s="3">
        <f>[1]Raw_Data!H2182</f>
        <v>1</v>
      </c>
      <c r="I2184" s="3" t="str">
        <f>TRIM([1]Raw_Data!I2182)</f>
        <v>Canada</v>
      </c>
      <c r="J2184" s="3" t="str">
        <f>TRIM([1]Raw_Data!J2182)</f>
        <v>Amazon</v>
      </c>
      <c r="K2184" s="3">
        <f t="shared" si="136"/>
        <v>2022</v>
      </c>
      <c r="L2184" s="6">
        <f t="shared" si="137"/>
        <v>44774</v>
      </c>
      <c r="M2184" s="3" t="str">
        <f t="shared" si="138"/>
        <v>6% to 10%</v>
      </c>
      <c r="N2184" s="3" t="str">
        <f t="shared" si="139"/>
        <v>OK</v>
      </c>
    </row>
    <row r="2185" spans="1:14" x14ac:dyDescent="0.3">
      <c r="A2185" s="2">
        <f>DATE(VALUE(RIGHT(TRIM([1]Raw_Data!A2183),4)),VALUE(MID(TRIM([1]Raw_Data!A2183),4,2)),VALUE(LEFT(TRIM([1]Raw_Data!A2183),2)))</f>
        <v>44788</v>
      </c>
      <c r="B2185" s="3" t="str">
        <f>TRIM([1]Raw_Data!B2183)</f>
        <v>BCAA</v>
      </c>
      <c r="C2185" s="3" t="str">
        <f>TRIM([1]Raw_Data!C2183)</f>
        <v>Amino Acid</v>
      </c>
      <c r="D2185" s="3">
        <f>[1]Raw_Data!D2183</f>
        <v>182</v>
      </c>
      <c r="E2185" s="4">
        <f>[1]Raw_Data!E2183</f>
        <v>25.56</v>
      </c>
      <c r="F2185" s="5">
        <f>[1]Raw_Data!F2183</f>
        <v>4651.92</v>
      </c>
      <c r="G2185" s="4">
        <f>[1]Raw_Data!G2183</f>
        <v>0.13</v>
      </c>
      <c r="H2185" s="3">
        <f>[1]Raw_Data!H2183</f>
        <v>3</v>
      </c>
      <c r="I2185" s="3" t="str">
        <f>TRIM([1]Raw_Data!I2183)</f>
        <v>UK</v>
      </c>
      <c r="J2185" s="3" t="str">
        <f>TRIM([1]Raw_Data!J2183)</f>
        <v>Walmart</v>
      </c>
      <c r="K2185" s="3">
        <f t="shared" si="136"/>
        <v>2022</v>
      </c>
      <c r="L2185" s="6">
        <f t="shared" si="137"/>
        <v>44774</v>
      </c>
      <c r="M2185" s="3" t="str">
        <f t="shared" si="138"/>
        <v>11% to 15%</v>
      </c>
      <c r="N2185" s="3" t="str">
        <f t="shared" si="139"/>
        <v>OK</v>
      </c>
    </row>
    <row r="2186" spans="1:14" x14ac:dyDescent="0.3">
      <c r="A2186" s="2">
        <f>DATE(VALUE(RIGHT(TRIM([1]Raw_Data!A2184),4)),VALUE(MID(TRIM([1]Raw_Data!A2184),4,2)),VALUE(LEFT(TRIM([1]Raw_Data!A2184),2)))</f>
        <v>44788</v>
      </c>
      <c r="B2186" s="3" t="str">
        <f>TRIM([1]Raw_Data!B2184)</f>
        <v>Creatine</v>
      </c>
      <c r="C2186" s="3" t="str">
        <f>TRIM([1]Raw_Data!C2184)</f>
        <v>Performance</v>
      </c>
      <c r="D2186" s="3">
        <f>[1]Raw_Data!D2184</f>
        <v>147</v>
      </c>
      <c r="E2186" s="4">
        <f>[1]Raw_Data!E2184</f>
        <v>52.82</v>
      </c>
      <c r="F2186" s="5">
        <f>[1]Raw_Data!F2184</f>
        <v>7764.54</v>
      </c>
      <c r="G2186" s="4">
        <f>[1]Raw_Data!G2184</f>
        <v>0.08</v>
      </c>
      <c r="H2186" s="3">
        <f>[1]Raw_Data!H2184</f>
        <v>1</v>
      </c>
      <c r="I2186" s="3" t="str">
        <f>TRIM([1]Raw_Data!I2184)</f>
        <v>UK</v>
      </c>
      <c r="J2186" s="3" t="str">
        <f>TRIM([1]Raw_Data!J2184)</f>
        <v>Walmart</v>
      </c>
      <c r="K2186" s="3">
        <f t="shared" si="136"/>
        <v>2022</v>
      </c>
      <c r="L2186" s="6">
        <f t="shared" si="137"/>
        <v>44774</v>
      </c>
      <c r="M2186" s="3" t="str">
        <f t="shared" si="138"/>
        <v>6% to 10%</v>
      </c>
      <c r="N2186" s="3" t="str">
        <f t="shared" si="139"/>
        <v>OK</v>
      </c>
    </row>
    <row r="2187" spans="1:14" x14ac:dyDescent="0.3">
      <c r="A2187" s="2">
        <f>DATE(VALUE(RIGHT(TRIM([1]Raw_Data!A2185),4)),VALUE(MID(TRIM([1]Raw_Data!A2185),4,2)),VALUE(LEFT(TRIM([1]Raw_Data!A2185),2)))</f>
        <v>44788</v>
      </c>
      <c r="B2187" s="3" t="str">
        <f>TRIM([1]Raw_Data!B2185)</f>
        <v>Zinc</v>
      </c>
      <c r="C2187" s="3" t="str">
        <f>TRIM([1]Raw_Data!C2185)</f>
        <v>Mineral</v>
      </c>
      <c r="D2187" s="3">
        <f>[1]Raw_Data!D2185</f>
        <v>145</v>
      </c>
      <c r="E2187" s="4">
        <f>[1]Raw_Data!E2185</f>
        <v>12.22</v>
      </c>
      <c r="F2187" s="5">
        <f>[1]Raw_Data!F2185</f>
        <v>1771.9</v>
      </c>
      <c r="G2187" s="4">
        <f>[1]Raw_Data!G2185</f>
        <v>0.08</v>
      </c>
      <c r="H2187" s="3">
        <f>[1]Raw_Data!H2185</f>
        <v>2</v>
      </c>
      <c r="I2187" s="3" t="str">
        <f>TRIM([1]Raw_Data!I2185)</f>
        <v>UK</v>
      </c>
      <c r="J2187" s="3" t="str">
        <f>TRIM([1]Raw_Data!J2185)</f>
        <v>Walmart</v>
      </c>
      <c r="K2187" s="3">
        <f t="shared" si="136"/>
        <v>2022</v>
      </c>
      <c r="L2187" s="6">
        <f t="shared" si="137"/>
        <v>44774</v>
      </c>
      <c r="M2187" s="3" t="str">
        <f t="shared" si="138"/>
        <v>6% to 10%</v>
      </c>
      <c r="N2187" s="3" t="str">
        <f t="shared" si="139"/>
        <v>OK</v>
      </c>
    </row>
    <row r="2188" spans="1:14" x14ac:dyDescent="0.3">
      <c r="A2188" s="2">
        <f>DATE(VALUE(RIGHT(TRIM([1]Raw_Data!A2186),4)),VALUE(MID(TRIM([1]Raw_Data!A2186),4,2)),VALUE(LEFT(TRIM([1]Raw_Data!A2186),2)))</f>
        <v>44788</v>
      </c>
      <c r="B2188" s="3" t="str">
        <f>TRIM([1]Raw_Data!B2186)</f>
        <v>Collagen Peptides</v>
      </c>
      <c r="C2188" s="3" t="str">
        <f>TRIM([1]Raw_Data!C2186)</f>
        <v>Protein</v>
      </c>
      <c r="D2188" s="3">
        <f>[1]Raw_Data!D2186</f>
        <v>152</v>
      </c>
      <c r="E2188" s="4">
        <f>[1]Raw_Data!E2186</f>
        <v>37</v>
      </c>
      <c r="F2188" s="5">
        <f>[1]Raw_Data!F2186</f>
        <v>5624</v>
      </c>
      <c r="G2188" s="4">
        <f>[1]Raw_Data!G2186</f>
        <v>0.05</v>
      </c>
      <c r="H2188" s="3">
        <f>[1]Raw_Data!H2186</f>
        <v>1</v>
      </c>
      <c r="I2188" s="3" t="str">
        <f>TRIM([1]Raw_Data!I2186)</f>
        <v>USA</v>
      </c>
      <c r="J2188" s="3" t="str">
        <f>TRIM([1]Raw_Data!J2186)</f>
        <v>Amazon</v>
      </c>
      <c r="K2188" s="3">
        <f t="shared" si="136"/>
        <v>2022</v>
      </c>
      <c r="L2188" s="6">
        <f t="shared" si="137"/>
        <v>44774</v>
      </c>
      <c r="M2188" s="3" t="str">
        <f t="shared" si="138"/>
        <v>0% to 5%</v>
      </c>
      <c r="N2188" s="3" t="str">
        <f t="shared" si="139"/>
        <v>OK</v>
      </c>
    </row>
    <row r="2189" spans="1:14" x14ac:dyDescent="0.3">
      <c r="A2189" s="2">
        <f>DATE(VALUE(RIGHT(TRIM([1]Raw_Data!A2187),4)),VALUE(MID(TRIM([1]Raw_Data!A2187),4,2)),VALUE(LEFT(TRIM([1]Raw_Data!A2187),2)))</f>
        <v>44788</v>
      </c>
      <c r="B2189" s="3" t="str">
        <f>TRIM([1]Raw_Data!B2187)</f>
        <v>Magnesium</v>
      </c>
      <c r="C2189" s="3" t="str">
        <f>TRIM([1]Raw_Data!C2187)</f>
        <v>Mineral</v>
      </c>
      <c r="D2189" s="3">
        <f>[1]Raw_Data!D2187</f>
        <v>150</v>
      </c>
      <c r="E2189" s="4">
        <f>[1]Raw_Data!E2187</f>
        <v>23.04</v>
      </c>
      <c r="F2189" s="5">
        <f>[1]Raw_Data!F2187</f>
        <v>3456</v>
      </c>
      <c r="G2189" s="4">
        <f>[1]Raw_Data!G2187</f>
        <v>0.22</v>
      </c>
      <c r="H2189" s="3">
        <f>[1]Raw_Data!H2187</f>
        <v>2</v>
      </c>
      <c r="I2189" s="3" t="str">
        <f>TRIM([1]Raw_Data!I2187)</f>
        <v>USA</v>
      </c>
      <c r="J2189" s="3" t="str">
        <f>TRIM([1]Raw_Data!J2187)</f>
        <v>iHerb</v>
      </c>
      <c r="K2189" s="3">
        <f t="shared" si="136"/>
        <v>2022</v>
      </c>
      <c r="L2189" s="6">
        <f t="shared" si="137"/>
        <v>44774</v>
      </c>
      <c r="M2189" s="3" t="str">
        <f t="shared" si="138"/>
        <v>21% to 25%</v>
      </c>
      <c r="N2189" s="3" t="str">
        <f t="shared" si="139"/>
        <v>OK</v>
      </c>
    </row>
    <row r="2190" spans="1:14" x14ac:dyDescent="0.3">
      <c r="A2190" s="2">
        <f>DATE(VALUE(RIGHT(TRIM([1]Raw_Data!A2188),4)),VALUE(MID(TRIM([1]Raw_Data!A2188),4,2)),VALUE(LEFT(TRIM([1]Raw_Data!A2188),2)))</f>
        <v>44788</v>
      </c>
      <c r="B2190" s="3" t="str">
        <f>TRIM([1]Raw_Data!B2188)</f>
        <v>Ashwagandha</v>
      </c>
      <c r="C2190" s="3" t="str">
        <f>TRIM([1]Raw_Data!C2188)</f>
        <v>Herbal</v>
      </c>
      <c r="D2190" s="3">
        <f>[1]Raw_Data!D2188</f>
        <v>166</v>
      </c>
      <c r="E2190" s="4">
        <f>[1]Raw_Data!E2188</f>
        <v>22.87</v>
      </c>
      <c r="F2190" s="5">
        <f>[1]Raw_Data!F2188</f>
        <v>3796.42</v>
      </c>
      <c r="G2190" s="4">
        <f>[1]Raw_Data!G2188</f>
        <v>0.1</v>
      </c>
      <c r="H2190" s="3">
        <f>[1]Raw_Data!H2188</f>
        <v>1</v>
      </c>
      <c r="I2190" s="3" t="str">
        <f>TRIM([1]Raw_Data!I2188)</f>
        <v>Canada</v>
      </c>
      <c r="J2190" s="3" t="str">
        <f>TRIM([1]Raw_Data!J2188)</f>
        <v>Walmart</v>
      </c>
      <c r="K2190" s="3">
        <f t="shared" si="136"/>
        <v>2022</v>
      </c>
      <c r="L2190" s="6">
        <f t="shared" si="137"/>
        <v>44774</v>
      </c>
      <c r="M2190" s="3" t="str">
        <f t="shared" si="138"/>
        <v>6% to 10%</v>
      </c>
      <c r="N2190" s="3" t="str">
        <f t="shared" si="139"/>
        <v>OK</v>
      </c>
    </row>
    <row r="2191" spans="1:14" x14ac:dyDescent="0.3">
      <c r="A2191" s="2">
        <f>DATE(VALUE(RIGHT(TRIM([1]Raw_Data!A2189),4)),VALUE(MID(TRIM([1]Raw_Data!A2189),4,2)),VALUE(LEFT(TRIM([1]Raw_Data!A2189),2)))</f>
        <v>44788</v>
      </c>
      <c r="B2191" s="3" t="str">
        <f>TRIM([1]Raw_Data!B2189)</f>
        <v>Melatonin</v>
      </c>
      <c r="C2191" s="3" t="str">
        <f>TRIM([1]Raw_Data!C2189)</f>
        <v>Sleep Aid</v>
      </c>
      <c r="D2191" s="3">
        <f>[1]Raw_Data!D2189</f>
        <v>145</v>
      </c>
      <c r="E2191" s="4">
        <f>[1]Raw_Data!E2189</f>
        <v>41.06</v>
      </c>
      <c r="F2191" s="5">
        <f>[1]Raw_Data!F2189</f>
        <v>5953.7</v>
      </c>
      <c r="G2191" s="4">
        <f>[1]Raw_Data!G2189</f>
        <v>0.04</v>
      </c>
      <c r="H2191" s="3">
        <f>[1]Raw_Data!H2189</f>
        <v>3</v>
      </c>
      <c r="I2191" s="3" t="str">
        <f>TRIM([1]Raw_Data!I2189)</f>
        <v>Canada</v>
      </c>
      <c r="J2191" s="3" t="str">
        <f>TRIM([1]Raw_Data!J2189)</f>
        <v>Walmart</v>
      </c>
      <c r="K2191" s="3">
        <f t="shared" si="136"/>
        <v>2022</v>
      </c>
      <c r="L2191" s="6">
        <f t="shared" si="137"/>
        <v>44774</v>
      </c>
      <c r="M2191" s="3" t="str">
        <f t="shared" si="138"/>
        <v>0% to 5%</v>
      </c>
      <c r="N2191" s="3" t="str">
        <f t="shared" si="139"/>
        <v>OK</v>
      </c>
    </row>
    <row r="2192" spans="1:14" x14ac:dyDescent="0.3">
      <c r="A2192" s="2">
        <f>DATE(VALUE(RIGHT(TRIM([1]Raw_Data!A2190),4)),VALUE(MID(TRIM([1]Raw_Data!A2190),4,2)),VALUE(LEFT(TRIM([1]Raw_Data!A2190),2)))</f>
        <v>44788</v>
      </c>
      <c r="B2192" s="3" t="str">
        <f>TRIM([1]Raw_Data!B2190)</f>
        <v>Biotin</v>
      </c>
      <c r="C2192" s="3" t="str">
        <f>TRIM([1]Raw_Data!C2190)</f>
        <v>Vitamin</v>
      </c>
      <c r="D2192" s="3">
        <f>[1]Raw_Data!D2190</f>
        <v>162</v>
      </c>
      <c r="E2192" s="4">
        <f>[1]Raw_Data!E2190</f>
        <v>52.64</v>
      </c>
      <c r="F2192" s="5">
        <f>[1]Raw_Data!F2190</f>
        <v>8527.68</v>
      </c>
      <c r="G2192" s="4">
        <f>[1]Raw_Data!G2190</f>
        <v>0.06</v>
      </c>
      <c r="H2192" s="3">
        <f>[1]Raw_Data!H2190</f>
        <v>0</v>
      </c>
      <c r="I2192" s="3" t="str">
        <f>TRIM([1]Raw_Data!I2190)</f>
        <v>USA</v>
      </c>
      <c r="J2192" s="3" t="str">
        <f>TRIM([1]Raw_Data!J2190)</f>
        <v>Amazon</v>
      </c>
      <c r="K2192" s="3">
        <f t="shared" si="136"/>
        <v>2022</v>
      </c>
      <c r="L2192" s="6">
        <f t="shared" si="137"/>
        <v>44774</v>
      </c>
      <c r="M2192" s="3" t="str">
        <f t="shared" si="138"/>
        <v>6% to 10%</v>
      </c>
      <c r="N2192" s="3" t="str">
        <f t="shared" si="139"/>
        <v>OK</v>
      </c>
    </row>
    <row r="2193" spans="1:14" x14ac:dyDescent="0.3">
      <c r="A2193" s="2">
        <f>DATE(VALUE(RIGHT(TRIM([1]Raw_Data!A2191),4)),VALUE(MID(TRIM([1]Raw_Data!A2191),4,2)),VALUE(LEFT(TRIM([1]Raw_Data!A2191),2)))</f>
        <v>44788</v>
      </c>
      <c r="B2193" s="3" t="str">
        <f>TRIM([1]Raw_Data!B2191)</f>
        <v>Green Tea Extract</v>
      </c>
      <c r="C2193" s="3" t="str">
        <f>TRIM([1]Raw_Data!C2191)</f>
        <v>Fat Burner</v>
      </c>
      <c r="D2193" s="3">
        <f>[1]Raw_Data!D2191</f>
        <v>154</v>
      </c>
      <c r="E2193" s="4">
        <f>[1]Raw_Data!E2191</f>
        <v>38.36</v>
      </c>
      <c r="F2193" s="5">
        <f>[1]Raw_Data!F2191</f>
        <v>5907.44</v>
      </c>
      <c r="G2193" s="4">
        <f>[1]Raw_Data!G2191</f>
        <v>0.22</v>
      </c>
      <c r="H2193" s="3">
        <f>[1]Raw_Data!H2191</f>
        <v>4</v>
      </c>
      <c r="I2193" s="3" t="str">
        <f>TRIM([1]Raw_Data!I2191)</f>
        <v>Canada</v>
      </c>
      <c r="J2193" s="3" t="str">
        <f>TRIM([1]Raw_Data!J2191)</f>
        <v>Walmart</v>
      </c>
      <c r="K2193" s="3">
        <f t="shared" si="136"/>
        <v>2022</v>
      </c>
      <c r="L2193" s="6">
        <f t="shared" si="137"/>
        <v>44774</v>
      </c>
      <c r="M2193" s="3" t="str">
        <f t="shared" si="138"/>
        <v>21% to 25%</v>
      </c>
      <c r="N2193" s="3" t="str">
        <f t="shared" si="139"/>
        <v>OK</v>
      </c>
    </row>
    <row r="2194" spans="1:14" x14ac:dyDescent="0.3">
      <c r="A2194" s="2">
        <f>DATE(VALUE(RIGHT(TRIM([1]Raw_Data!A2192),4)),VALUE(MID(TRIM([1]Raw_Data!A2192),4,2)),VALUE(LEFT(TRIM([1]Raw_Data!A2192),2)))</f>
        <v>44788</v>
      </c>
      <c r="B2194" s="3" t="str">
        <f>TRIM([1]Raw_Data!B2192)</f>
        <v>Iron Supplement</v>
      </c>
      <c r="C2194" s="3" t="str">
        <f>TRIM([1]Raw_Data!C2192)</f>
        <v>Mineral</v>
      </c>
      <c r="D2194" s="3">
        <f>[1]Raw_Data!D2192</f>
        <v>155</v>
      </c>
      <c r="E2194" s="4">
        <f>[1]Raw_Data!E2192</f>
        <v>14.19</v>
      </c>
      <c r="F2194" s="5">
        <f>[1]Raw_Data!F2192</f>
        <v>2199.4499999999998</v>
      </c>
      <c r="G2194" s="4">
        <f>[1]Raw_Data!G2192</f>
        <v>0.04</v>
      </c>
      <c r="H2194" s="3">
        <f>[1]Raw_Data!H2192</f>
        <v>2</v>
      </c>
      <c r="I2194" s="3" t="str">
        <f>TRIM([1]Raw_Data!I2192)</f>
        <v>USA</v>
      </c>
      <c r="J2194" s="3" t="str">
        <f>TRIM([1]Raw_Data!J2192)</f>
        <v>iHerb</v>
      </c>
      <c r="K2194" s="3">
        <f t="shared" si="136"/>
        <v>2022</v>
      </c>
      <c r="L2194" s="6">
        <f t="shared" si="137"/>
        <v>44774</v>
      </c>
      <c r="M2194" s="3" t="str">
        <f t="shared" si="138"/>
        <v>0% to 5%</v>
      </c>
      <c r="N2194" s="3" t="str">
        <f t="shared" si="139"/>
        <v>OK</v>
      </c>
    </row>
    <row r="2195" spans="1:14" x14ac:dyDescent="0.3">
      <c r="A2195" s="2">
        <f>DATE(VALUE(RIGHT(TRIM([1]Raw_Data!A2193),4)),VALUE(MID(TRIM([1]Raw_Data!A2193),4,2)),VALUE(LEFT(TRIM([1]Raw_Data!A2193),2)))</f>
        <v>44788</v>
      </c>
      <c r="B2195" s="3" t="str">
        <f>TRIM([1]Raw_Data!B2193)</f>
        <v>Electrolyte Powder</v>
      </c>
      <c r="C2195" s="3" t="str">
        <f>TRIM([1]Raw_Data!C2193)</f>
        <v>Hydration</v>
      </c>
      <c r="D2195" s="3">
        <f>[1]Raw_Data!D2193</f>
        <v>148</v>
      </c>
      <c r="E2195" s="4">
        <f>[1]Raw_Data!E2193</f>
        <v>25.43</v>
      </c>
      <c r="F2195" s="5">
        <f>[1]Raw_Data!F2193</f>
        <v>3763.64</v>
      </c>
      <c r="G2195" s="4">
        <f>[1]Raw_Data!G2193</f>
        <v>0.15</v>
      </c>
      <c r="H2195" s="3">
        <f>[1]Raw_Data!H2193</f>
        <v>0</v>
      </c>
      <c r="I2195" s="3" t="str">
        <f>TRIM([1]Raw_Data!I2193)</f>
        <v>USA</v>
      </c>
      <c r="J2195" s="3" t="str">
        <f>TRIM([1]Raw_Data!J2193)</f>
        <v>iHerb</v>
      </c>
      <c r="K2195" s="3">
        <f t="shared" si="136"/>
        <v>2022</v>
      </c>
      <c r="L2195" s="6">
        <f t="shared" si="137"/>
        <v>44774</v>
      </c>
      <c r="M2195" s="3" t="str">
        <f t="shared" si="138"/>
        <v>11% to 15%</v>
      </c>
      <c r="N2195" s="3" t="str">
        <f t="shared" si="139"/>
        <v>OK</v>
      </c>
    </row>
    <row r="2196" spans="1:14" x14ac:dyDescent="0.3">
      <c r="A2196" s="2">
        <f>DATE(VALUE(RIGHT(TRIM([1]Raw_Data!A2194),4)),VALUE(MID(TRIM([1]Raw_Data!A2194),4,2)),VALUE(LEFT(TRIM([1]Raw_Data!A2194),2)))</f>
        <v>44795</v>
      </c>
      <c r="B2196" s="3" t="str">
        <f>TRIM([1]Raw_Data!B2194)</f>
        <v>Whey Protein</v>
      </c>
      <c r="C2196" s="3" t="str">
        <f>TRIM([1]Raw_Data!C2194)</f>
        <v>Protein</v>
      </c>
      <c r="D2196" s="3">
        <f>[1]Raw_Data!D2194</f>
        <v>154</v>
      </c>
      <c r="E2196" s="4">
        <f>[1]Raw_Data!E2194</f>
        <v>13.19</v>
      </c>
      <c r="F2196" s="5">
        <f>[1]Raw_Data!F2194</f>
        <v>2031.26</v>
      </c>
      <c r="G2196" s="4">
        <f>[1]Raw_Data!G2194</f>
        <v>0.08</v>
      </c>
      <c r="H2196" s="3">
        <f>[1]Raw_Data!H2194</f>
        <v>1</v>
      </c>
      <c r="I2196" s="3" t="str">
        <f>TRIM([1]Raw_Data!I2194)</f>
        <v>USA</v>
      </c>
      <c r="J2196" s="3" t="str">
        <f>TRIM([1]Raw_Data!J2194)</f>
        <v>iHerb</v>
      </c>
      <c r="K2196" s="3">
        <f t="shared" si="136"/>
        <v>2022</v>
      </c>
      <c r="L2196" s="6">
        <f t="shared" si="137"/>
        <v>44774</v>
      </c>
      <c r="M2196" s="3" t="str">
        <f t="shared" si="138"/>
        <v>6% to 10%</v>
      </c>
      <c r="N2196" s="3" t="str">
        <f t="shared" si="139"/>
        <v>OK</v>
      </c>
    </row>
    <row r="2197" spans="1:14" x14ac:dyDescent="0.3">
      <c r="A2197" s="2">
        <f>DATE(VALUE(RIGHT(TRIM([1]Raw_Data!A2195),4)),VALUE(MID(TRIM([1]Raw_Data!A2195),4,2)),VALUE(LEFT(TRIM([1]Raw_Data!A2195),2)))</f>
        <v>44795</v>
      </c>
      <c r="B2197" s="3" t="str">
        <f>TRIM([1]Raw_Data!B2195)</f>
        <v>Vitamin C</v>
      </c>
      <c r="C2197" s="3" t="str">
        <f>TRIM([1]Raw_Data!C2195)</f>
        <v>Vitamin</v>
      </c>
      <c r="D2197" s="3">
        <f>[1]Raw_Data!D2195</f>
        <v>167</v>
      </c>
      <c r="E2197" s="4">
        <f>[1]Raw_Data!E2195</f>
        <v>18.829999999999998</v>
      </c>
      <c r="F2197" s="5">
        <f>[1]Raw_Data!F2195</f>
        <v>3144.61</v>
      </c>
      <c r="G2197" s="4">
        <f>[1]Raw_Data!G2195</f>
        <v>0.14000000000000001</v>
      </c>
      <c r="H2197" s="3">
        <f>[1]Raw_Data!H2195</f>
        <v>1</v>
      </c>
      <c r="I2197" s="3" t="str">
        <f>TRIM([1]Raw_Data!I2195)</f>
        <v>Canada</v>
      </c>
      <c r="J2197" s="3" t="str">
        <f>TRIM([1]Raw_Data!J2195)</f>
        <v>Amazon</v>
      </c>
      <c r="K2197" s="3">
        <f t="shared" si="136"/>
        <v>2022</v>
      </c>
      <c r="L2197" s="6">
        <f t="shared" si="137"/>
        <v>44774</v>
      </c>
      <c r="M2197" s="3" t="str">
        <f t="shared" si="138"/>
        <v>11% to 15%</v>
      </c>
      <c r="N2197" s="3" t="str">
        <f t="shared" si="139"/>
        <v>OK</v>
      </c>
    </row>
    <row r="2198" spans="1:14" x14ac:dyDescent="0.3">
      <c r="A2198" s="2">
        <f>DATE(VALUE(RIGHT(TRIM([1]Raw_Data!A2196),4)),VALUE(MID(TRIM([1]Raw_Data!A2196),4,2)),VALUE(LEFT(TRIM([1]Raw_Data!A2196),2)))</f>
        <v>44795</v>
      </c>
      <c r="B2198" s="3" t="str">
        <f>TRIM([1]Raw_Data!B2196)</f>
        <v>Fish Oil</v>
      </c>
      <c r="C2198" s="3" t="str">
        <f>TRIM([1]Raw_Data!C2196)</f>
        <v>Omega</v>
      </c>
      <c r="D2198" s="3">
        <f>[1]Raw_Data!D2196</f>
        <v>121</v>
      </c>
      <c r="E2198" s="4">
        <f>[1]Raw_Data!E2196</f>
        <v>59.4</v>
      </c>
      <c r="F2198" s="5">
        <f>[1]Raw_Data!F2196</f>
        <v>7187.4</v>
      </c>
      <c r="G2198" s="4">
        <f>[1]Raw_Data!G2196</f>
        <v>0.16</v>
      </c>
      <c r="H2198" s="3">
        <f>[1]Raw_Data!H2196</f>
        <v>1</v>
      </c>
      <c r="I2198" s="3" t="str">
        <f>TRIM([1]Raw_Data!I2196)</f>
        <v>Canada</v>
      </c>
      <c r="J2198" s="3" t="str">
        <f>TRIM([1]Raw_Data!J2196)</f>
        <v>Walmart</v>
      </c>
      <c r="K2198" s="3">
        <f t="shared" si="136"/>
        <v>2022</v>
      </c>
      <c r="L2198" s="6">
        <f t="shared" si="137"/>
        <v>44774</v>
      </c>
      <c r="M2198" s="3" t="str">
        <f t="shared" si="138"/>
        <v>16% to 20%</v>
      </c>
      <c r="N2198" s="3" t="str">
        <f t="shared" si="139"/>
        <v>OK</v>
      </c>
    </row>
    <row r="2199" spans="1:14" x14ac:dyDescent="0.3">
      <c r="A2199" s="2">
        <f>DATE(VALUE(RIGHT(TRIM([1]Raw_Data!A2197),4)),VALUE(MID(TRIM([1]Raw_Data!A2197),4,2)),VALUE(LEFT(TRIM([1]Raw_Data!A2197),2)))</f>
        <v>44795</v>
      </c>
      <c r="B2199" s="3" t="str">
        <f>TRIM([1]Raw_Data!B2197)</f>
        <v>Multivitamin</v>
      </c>
      <c r="C2199" s="3" t="str">
        <f>TRIM([1]Raw_Data!C2197)</f>
        <v>Vitamin</v>
      </c>
      <c r="D2199" s="3">
        <f>[1]Raw_Data!D2197</f>
        <v>149</v>
      </c>
      <c r="E2199" s="4">
        <f>[1]Raw_Data!E2197</f>
        <v>27.24</v>
      </c>
      <c r="F2199" s="5">
        <f>[1]Raw_Data!F2197</f>
        <v>4058.76</v>
      </c>
      <c r="G2199" s="4">
        <f>[1]Raw_Data!G2197</f>
        <v>0.16</v>
      </c>
      <c r="H2199" s="3">
        <f>[1]Raw_Data!H2197</f>
        <v>3</v>
      </c>
      <c r="I2199" s="3" t="str">
        <f>TRIM([1]Raw_Data!I2197)</f>
        <v>UK</v>
      </c>
      <c r="J2199" s="3" t="str">
        <f>TRIM([1]Raw_Data!J2197)</f>
        <v>Walmart</v>
      </c>
      <c r="K2199" s="3">
        <f t="shared" si="136"/>
        <v>2022</v>
      </c>
      <c r="L2199" s="6">
        <f t="shared" si="137"/>
        <v>44774</v>
      </c>
      <c r="M2199" s="3" t="str">
        <f t="shared" si="138"/>
        <v>16% to 20%</v>
      </c>
      <c r="N2199" s="3" t="str">
        <f t="shared" si="139"/>
        <v>OK</v>
      </c>
    </row>
    <row r="2200" spans="1:14" x14ac:dyDescent="0.3">
      <c r="A2200" s="2">
        <f>DATE(VALUE(RIGHT(TRIM([1]Raw_Data!A2198),4)),VALUE(MID(TRIM([1]Raw_Data!A2198),4,2)),VALUE(LEFT(TRIM([1]Raw_Data!A2198),2)))</f>
        <v>44795</v>
      </c>
      <c r="B2200" s="3" t="str">
        <f>TRIM([1]Raw_Data!B2198)</f>
        <v>Pre-Workout</v>
      </c>
      <c r="C2200" s="3" t="str">
        <f>TRIM([1]Raw_Data!C2198)</f>
        <v>Performance</v>
      </c>
      <c r="D2200" s="3">
        <f>[1]Raw_Data!D2198</f>
        <v>137</v>
      </c>
      <c r="E2200" s="4">
        <f>[1]Raw_Data!E2198</f>
        <v>16.079999999999998</v>
      </c>
      <c r="F2200" s="5">
        <f>[1]Raw_Data!F2198</f>
        <v>2202.96</v>
      </c>
      <c r="G2200" s="4">
        <f>[1]Raw_Data!G2198</f>
        <v>0.05</v>
      </c>
      <c r="H2200" s="3">
        <f>[1]Raw_Data!H2198</f>
        <v>0</v>
      </c>
      <c r="I2200" s="3" t="str">
        <f>TRIM([1]Raw_Data!I2198)</f>
        <v>Canada</v>
      </c>
      <c r="J2200" s="3" t="str">
        <f>TRIM([1]Raw_Data!J2198)</f>
        <v>Amazon</v>
      </c>
      <c r="K2200" s="3">
        <f t="shared" si="136"/>
        <v>2022</v>
      </c>
      <c r="L2200" s="6">
        <f t="shared" si="137"/>
        <v>44774</v>
      </c>
      <c r="M2200" s="3" t="str">
        <f t="shared" si="138"/>
        <v>0% to 5%</v>
      </c>
      <c r="N2200" s="3" t="str">
        <f t="shared" si="139"/>
        <v>OK</v>
      </c>
    </row>
    <row r="2201" spans="1:14" x14ac:dyDescent="0.3">
      <c r="A2201" s="2">
        <f>DATE(VALUE(RIGHT(TRIM([1]Raw_Data!A2199),4)),VALUE(MID(TRIM([1]Raw_Data!A2199),4,2)),VALUE(LEFT(TRIM([1]Raw_Data!A2199),2)))</f>
        <v>44795</v>
      </c>
      <c r="B2201" s="3" t="str">
        <f>TRIM([1]Raw_Data!B2199)</f>
        <v>BCAA</v>
      </c>
      <c r="C2201" s="3" t="str">
        <f>TRIM([1]Raw_Data!C2199)</f>
        <v>Amino Acid</v>
      </c>
      <c r="D2201" s="3">
        <f>[1]Raw_Data!D2199</f>
        <v>135</v>
      </c>
      <c r="E2201" s="4">
        <f>[1]Raw_Data!E2199</f>
        <v>32.97</v>
      </c>
      <c r="F2201" s="5">
        <f>[1]Raw_Data!F2199</f>
        <v>4450.95</v>
      </c>
      <c r="G2201" s="4">
        <f>[1]Raw_Data!G2199</f>
        <v>0.02</v>
      </c>
      <c r="H2201" s="3">
        <f>[1]Raw_Data!H2199</f>
        <v>4</v>
      </c>
      <c r="I2201" s="3" t="str">
        <f>TRIM([1]Raw_Data!I2199)</f>
        <v>USA</v>
      </c>
      <c r="J2201" s="3" t="str">
        <f>TRIM([1]Raw_Data!J2199)</f>
        <v>Walmart</v>
      </c>
      <c r="K2201" s="3">
        <f t="shared" si="136"/>
        <v>2022</v>
      </c>
      <c r="L2201" s="6">
        <f t="shared" si="137"/>
        <v>44774</v>
      </c>
      <c r="M2201" s="3" t="str">
        <f t="shared" si="138"/>
        <v>0% to 5%</v>
      </c>
      <c r="N2201" s="3" t="str">
        <f t="shared" si="139"/>
        <v>OK</v>
      </c>
    </row>
    <row r="2202" spans="1:14" x14ac:dyDescent="0.3">
      <c r="A2202" s="2">
        <f>DATE(VALUE(RIGHT(TRIM([1]Raw_Data!A2200),4)),VALUE(MID(TRIM([1]Raw_Data!A2200),4,2)),VALUE(LEFT(TRIM([1]Raw_Data!A2200),2)))</f>
        <v>44795</v>
      </c>
      <c r="B2202" s="3" t="str">
        <f>TRIM([1]Raw_Data!B2200)</f>
        <v>Creatine</v>
      </c>
      <c r="C2202" s="3" t="str">
        <f>TRIM([1]Raw_Data!C2200)</f>
        <v>Performance</v>
      </c>
      <c r="D2202" s="3">
        <f>[1]Raw_Data!D2200</f>
        <v>167</v>
      </c>
      <c r="E2202" s="4">
        <f>[1]Raw_Data!E2200</f>
        <v>56.67</v>
      </c>
      <c r="F2202" s="5">
        <f>[1]Raw_Data!F2200</f>
        <v>9463.89</v>
      </c>
      <c r="G2202" s="4">
        <f>[1]Raw_Data!G2200</f>
        <v>0.06</v>
      </c>
      <c r="H2202" s="3">
        <f>[1]Raw_Data!H2200</f>
        <v>3</v>
      </c>
      <c r="I2202" s="3" t="str">
        <f>TRIM([1]Raw_Data!I2200)</f>
        <v>Canada</v>
      </c>
      <c r="J2202" s="3" t="str">
        <f>TRIM([1]Raw_Data!J2200)</f>
        <v>Walmart</v>
      </c>
      <c r="K2202" s="3">
        <f t="shared" si="136"/>
        <v>2022</v>
      </c>
      <c r="L2202" s="6">
        <f t="shared" si="137"/>
        <v>44774</v>
      </c>
      <c r="M2202" s="3" t="str">
        <f t="shared" si="138"/>
        <v>6% to 10%</v>
      </c>
      <c r="N2202" s="3" t="str">
        <f t="shared" si="139"/>
        <v>OK</v>
      </c>
    </row>
    <row r="2203" spans="1:14" x14ac:dyDescent="0.3">
      <c r="A2203" s="2">
        <f>DATE(VALUE(RIGHT(TRIM([1]Raw_Data!A2201),4)),VALUE(MID(TRIM([1]Raw_Data!A2201),4,2)),VALUE(LEFT(TRIM([1]Raw_Data!A2201),2)))</f>
        <v>44795</v>
      </c>
      <c r="B2203" s="3" t="str">
        <f>TRIM([1]Raw_Data!B2201)</f>
        <v>Zinc</v>
      </c>
      <c r="C2203" s="3" t="str">
        <f>TRIM([1]Raw_Data!C2201)</f>
        <v>Mineral</v>
      </c>
      <c r="D2203" s="3">
        <f>[1]Raw_Data!D2201</f>
        <v>157</v>
      </c>
      <c r="E2203" s="4">
        <f>[1]Raw_Data!E2201</f>
        <v>49.85</v>
      </c>
      <c r="F2203" s="5">
        <f>[1]Raw_Data!F2201</f>
        <v>7826.45</v>
      </c>
      <c r="G2203" s="4">
        <f>[1]Raw_Data!G2201</f>
        <v>0.09</v>
      </c>
      <c r="H2203" s="3">
        <f>[1]Raw_Data!H2201</f>
        <v>2</v>
      </c>
      <c r="I2203" s="3" t="str">
        <f>TRIM([1]Raw_Data!I2201)</f>
        <v>Canada</v>
      </c>
      <c r="J2203" s="3" t="str">
        <f>TRIM([1]Raw_Data!J2201)</f>
        <v>Amazon</v>
      </c>
      <c r="K2203" s="3">
        <f t="shared" si="136"/>
        <v>2022</v>
      </c>
      <c r="L2203" s="6">
        <f t="shared" si="137"/>
        <v>44774</v>
      </c>
      <c r="M2203" s="3" t="str">
        <f t="shared" si="138"/>
        <v>6% to 10%</v>
      </c>
      <c r="N2203" s="3" t="str">
        <f t="shared" si="139"/>
        <v>OK</v>
      </c>
    </row>
    <row r="2204" spans="1:14" x14ac:dyDescent="0.3">
      <c r="A2204" s="2">
        <f>DATE(VALUE(RIGHT(TRIM([1]Raw_Data!A2202),4)),VALUE(MID(TRIM([1]Raw_Data!A2202),4,2)),VALUE(LEFT(TRIM([1]Raw_Data!A2202),2)))</f>
        <v>44795</v>
      </c>
      <c r="B2204" s="3" t="str">
        <f>TRIM([1]Raw_Data!B2202)</f>
        <v>Collagen Peptides</v>
      </c>
      <c r="C2204" s="3" t="str">
        <f>TRIM([1]Raw_Data!C2202)</f>
        <v>Protein</v>
      </c>
      <c r="D2204" s="3">
        <f>[1]Raw_Data!D2202</f>
        <v>141</v>
      </c>
      <c r="E2204" s="4">
        <f>[1]Raw_Data!E2202</f>
        <v>15.4</v>
      </c>
      <c r="F2204" s="5">
        <f>[1]Raw_Data!F2202</f>
        <v>2171.4</v>
      </c>
      <c r="G2204" s="4">
        <f>[1]Raw_Data!G2202</f>
        <v>0.23</v>
      </c>
      <c r="H2204" s="3">
        <f>[1]Raw_Data!H2202</f>
        <v>1</v>
      </c>
      <c r="I2204" s="3" t="str">
        <f>TRIM([1]Raw_Data!I2202)</f>
        <v>Canada</v>
      </c>
      <c r="J2204" s="3" t="str">
        <f>TRIM([1]Raw_Data!J2202)</f>
        <v>Walmart</v>
      </c>
      <c r="K2204" s="3">
        <f t="shared" si="136"/>
        <v>2022</v>
      </c>
      <c r="L2204" s="6">
        <f t="shared" si="137"/>
        <v>44774</v>
      </c>
      <c r="M2204" s="3" t="str">
        <f t="shared" si="138"/>
        <v>21% to 25%</v>
      </c>
      <c r="N2204" s="3" t="str">
        <f t="shared" si="139"/>
        <v>OK</v>
      </c>
    </row>
    <row r="2205" spans="1:14" x14ac:dyDescent="0.3">
      <c r="A2205" s="2">
        <f>DATE(VALUE(RIGHT(TRIM([1]Raw_Data!A2203),4)),VALUE(MID(TRIM([1]Raw_Data!A2203),4,2)),VALUE(LEFT(TRIM([1]Raw_Data!A2203),2)))</f>
        <v>44795</v>
      </c>
      <c r="B2205" s="3" t="str">
        <f>TRIM([1]Raw_Data!B2203)</f>
        <v>Magnesium</v>
      </c>
      <c r="C2205" s="3" t="str">
        <f>TRIM([1]Raw_Data!C2203)</f>
        <v>Mineral</v>
      </c>
      <c r="D2205" s="3">
        <f>[1]Raw_Data!D2203</f>
        <v>151</v>
      </c>
      <c r="E2205" s="4">
        <f>[1]Raw_Data!E2203</f>
        <v>58</v>
      </c>
      <c r="F2205" s="5">
        <f>[1]Raw_Data!F2203</f>
        <v>8758</v>
      </c>
      <c r="G2205" s="4">
        <f>[1]Raw_Data!G2203</f>
        <v>0.08</v>
      </c>
      <c r="H2205" s="3">
        <f>[1]Raw_Data!H2203</f>
        <v>2</v>
      </c>
      <c r="I2205" s="3" t="str">
        <f>TRIM([1]Raw_Data!I2203)</f>
        <v>UK</v>
      </c>
      <c r="J2205" s="3" t="str">
        <f>TRIM([1]Raw_Data!J2203)</f>
        <v>Walmart</v>
      </c>
      <c r="K2205" s="3">
        <f t="shared" si="136"/>
        <v>2022</v>
      </c>
      <c r="L2205" s="6">
        <f t="shared" si="137"/>
        <v>44774</v>
      </c>
      <c r="M2205" s="3" t="str">
        <f t="shared" si="138"/>
        <v>6% to 10%</v>
      </c>
      <c r="N2205" s="3" t="str">
        <f t="shared" si="139"/>
        <v>OK</v>
      </c>
    </row>
    <row r="2206" spans="1:14" x14ac:dyDescent="0.3">
      <c r="A2206" s="2">
        <f>DATE(VALUE(RIGHT(TRIM([1]Raw_Data!A2204),4)),VALUE(MID(TRIM([1]Raw_Data!A2204),4,2)),VALUE(LEFT(TRIM([1]Raw_Data!A2204),2)))</f>
        <v>44795</v>
      </c>
      <c r="B2206" s="3" t="str">
        <f>TRIM([1]Raw_Data!B2204)</f>
        <v>Ashwagandha</v>
      </c>
      <c r="C2206" s="3" t="str">
        <f>TRIM([1]Raw_Data!C2204)</f>
        <v>Herbal</v>
      </c>
      <c r="D2206" s="3">
        <f>[1]Raw_Data!D2204</f>
        <v>165</v>
      </c>
      <c r="E2206" s="4">
        <f>[1]Raw_Data!E2204</f>
        <v>28.91</v>
      </c>
      <c r="F2206" s="5">
        <f>[1]Raw_Data!F2204</f>
        <v>4770.1499999999996</v>
      </c>
      <c r="G2206" s="4">
        <f>[1]Raw_Data!G2204</f>
        <v>0.19</v>
      </c>
      <c r="H2206" s="3">
        <f>[1]Raw_Data!H2204</f>
        <v>3</v>
      </c>
      <c r="I2206" s="3" t="str">
        <f>TRIM([1]Raw_Data!I2204)</f>
        <v>UK</v>
      </c>
      <c r="J2206" s="3" t="str">
        <f>TRIM([1]Raw_Data!J2204)</f>
        <v>iHerb</v>
      </c>
      <c r="K2206" s="3">
        <f t="shared" si="136"/>
        <v>2022</v>
      </c>
      <c r="L2206" s="6">
        <f t="shared" si="137"/>
        <v>44774</v>
      </c>
      <c r="M2206" s="3" t="str">
        <f t="shared" si="138"/>
        <v>16% to 20%</v>
      </c>
      <c r="N2206" s="3" t="str">
        <f t="shared" si="139"/>
        <v>OK</v>
      </c>
    </row>
    <row r="2207" spans="1:14" x14ac:dyDescent="0.3">
      <c r="A2207" s="2">
        <f>DATE(VALUE(RIGHT(TRIM([1]Raw_Data!A2205),4)),VALUE(MID(TRIM([1]Raw_Data!A2205),4,2)),VALUE(LEFT(TRIM([1]Raw_Data!A2205),2)))</f>
        <v>44795</v>
      </c>
      <c r="B2207" s="3" t="str">
        <f>TRIM([1]Raw_Data!B2205)</f>
        <v>Melatonin</v>
      </c>
      <c r="C2207" s="3" t="str">
        <f>TRIM([1]Raw_Data!C2205)</f>
        <v>Sleep Aid</v>
      </c>
      <c r="D2207" s="3">
        <f>[1]Raw_Data!D2205</f>
        <v>160</v>
      </c>
      <c r="E2207" s="4">
        <f>[1]Raw_Data!E2205</f>
        <v>54.42</v>
      </c>
      <c r="F2207" s="5">
        <f>[1]Raw_Data!F2205</f>
        <v>8707.2000000000007</v>
      </c>
      <c r="G2207" s="4">
        <f>[1]Raw_Data!G2205</f>
        <v>0.1</v>
      </c>
      <c r="H2207" s="3">
        <f>[1]Raw_Data!H2205</f>
        <v>2</v>
      </c>
      <c r="I2207" s="3" t="str">
        <f>TRIM([1]Raw_Data!I2205)</f>
        <v>Canada</v>
      </c>
      <c r="J2207" s="3" t="str">
        <f>TRIM([1]Raw_Data!J2205)</f>
        <v>Walmart</v>
      </c>
      <c r="K2207" s="3">
        <f t="shared" si="136"/>
        <v>2022</v>
      </c>
      <c r="L2207" s="6">
        <f t="shared" si="137"/>
        <v>44774</v>
      </c>
      <c r="M2207" s="3" t="str">
        <f t="shared" si="138"/>
        <v>6% to 10%</v>
      </c>
      <c r="N2207" s="3" t="str">
        <f t="shared" si="139"/>
        <v>OK</v>
      </c>
    </row>
    <row r="2208" spans="1:14" x14ac:dyDescent="0.3">
      <c r="A2208" s="2">
        <f>DATE(VALUE(RIGHT(TRIM([1]Raw_Data!A2206),4)),VALUE(MID(TRIM([1]Raw_Data!A2206),4,2)),VALUE(LEFT(TRIM([1]Raw_Data!A2206),2)))</f>
        <v>44795</v>
      </c>
      <c r="B2208" s="3" t="str">
        <f>TRIM([1]Raw_Data!B2206)</f>
        <v>Biotin</v>
      </c>
      <c r="C2208" s="3" t="str">
        <f>TRIM([1]Raw_Data!C2206)</f>
        <v>Vitamin</v>
      </c>
      <c r="D2208" s="3">
        <f>[1]Raw_Data!D2206</f>
        <v>163</v>
      </c>
      <c r="E2208" s="4">
        <f>[1]Raw_Data!E2206</f>
        <v>49.23</v>
      </c>
      <c r="F2208" s="5">
        <f>[1]Raw_Data!F2206</f>
        <v>8024.49</v>
      </c>
      <c r="G2208" s="4">
        <f>[1]Raw_Data!G2206</f>
        <v>0.15</v>
      </c>
      <c r="H2208" s="3">
        <f>[1]Raw_Data!H2206</f>
        <v>3</v>
      </c>
      <c r="I2208" s="3" t="str">
        <f>TRIM([1]Raw_Data!I2206)</f>
        <v>Canada</v>
      </c>
      <c r="J2208" s="3" t="str">
        <f>TRIM([1]Raw_Data!J2206)</f>
        <v>Walmart</v>
      </c>
      <c r="K2208" s="3">
        <f t="shared" si="136"/>
        <v>2022</v>
      </c>
      <c r="L2208" s="6">
        <f t="shared" si="137"/>
        <v>44774</v>
      </c>
      <c r="M2208" s="3" t="str">
        <f t="shared" si="138"/>
        <v>11% to 15%</v>
      </c>
      <c r="N2208" s="3" t="str">
        <f t="shared" si="139"/>
        <v>OK</v>
      </c>
    </row>
    <row r="2209" spans="1:14" x14ac:dyDescent="0.3">
      <c r="A2209" s="2">
        <f>DATE(VALUE(RIGHT(TRIM([1]Raw_Data!A2207),4)),VALUE(MID(TRIM([1]Raw_Data!A2207),4,2)),VALUE(LEFT(TRIM([1]Raw_Data!A2207),2)))</f>
        <v>44795</v>
      </c>
      <c r="B2209" s="3" t="str">
        <f>TRIM([1]Raw_Data!B2207)</f>
        <v>Green Tea Extract</v>
      </c>
      <c r="C2209" s="3" t="str">
        <f>TRIM([1]Raw_Data!C2207)</f>
        <v>Fat Burner</v>
      </c>
      <c r="D2209" s="3">
        <f>[1]Raw_Data!D2207</f>
        <v>137</v>
      </c>
      <c r="E2209" s="4">
        <f>[1]Raw_Data!E2207</f>
        <v>51.64</v>
      </c>
      <c r="F2209" s="5">
        <f>[1]Raw_Data!F2207</f>
        <v>7074.68</v>
      </c>
      <c r="G2209" s="4">
        <f>[1]Raw_Data!G2207</f>
        <v>0</v>
      </c>
      <c r="H2209" s="3">
        <f>[1]Raw_Data!H2207</f>
        <v>0</v>
      </c>
      <c r="I2209" s="3" t="str">
        <f>TRIM([1]Raw_Data!I2207)</f>
        <v>USA</v>
      </c>
      <c r="J2209" s="3" t="str">
        <f>TRIM([1]Raw_Data!J2207)</f>
        <v>Walmart</v>
      </c>
      <c r="K2209" s="3">
        <f t="shared" si="136"/>
        <v>2022</v>
      </c>
      <c r="L2209" s="6">
        <f t="shared" si="137"/>
        <v>44774</v>
      </c>
      <c r="M2209" s="3" t="str">
        <f t="shared" si="138"/>
        <v>0% to 5%</v>
      </c>
      <c r="N2209" s="3" t="str">
        <f t="shared" si="139"/>
        <v>OK</v>
      </c>
    </row>
    <row r="2210" spans="1:14" x14ac:dyDescent="0.3">
      <c r="A2210" s="2">
        <f>DATE(VALUE(RIGHT(TRIM([1]Raw_Data!A2208),4)),VALUE(MID(TRIM([1]Raw_Data!A2208),4,2)),VALUE(LEFT(TRIM([1]Raw_Data!A2208),2)))</f>
        <v>44795</v>
      </c>
      <c r="B2210" s="3" t="str">
        <f>TRIM([1]Raw_Data!B2208)</f>
        <v>Iron Supplement</v>
      </c>
      <c r="C2210" s="3" t="str">
        <f>TRIM([1]Raw_Data!C2208)</f>
        <v>Mineral</v>
      </c>
      <c r="D2210" s="3">
        <f>[1]Raw_Data!D2208</f>
        <v>145</v>
      </c>
      <c r="E2210" s="4">
        <f>[1]Raw_Data!E2208</f>
        <v>42.89</v>
      </c>
      <c r="F2210" s="5">
        <f>[1]Raw_Data!F2208</f>
        <v>6219.05</v>
      </c>
      <c r="G2210" s="4">
        <f>[1]Raw_Data!G2208</f>
        <v>0.15</v>
      </c>
      <c r="H2210" s="3">
        <f>[1]Raw_Data!H2208</f>
        <v>1</v>
      </c>
      <c r="I2210" s="3" t="str">
        <f>TRIM([1]Raw_Data!I2208)</f>
        <v>Canada</v>
      </c>
      <c r="J2210" s="3" t="str">
        <f>TRIM([1]Raw_Data!J2208)</f>
        <v>Walmart</v>
      </c>
      <c r="K2210" s="3">
        <f t="shared" si="136"/>
        <v>2022</v>
      </c>
      <c r="L2210" s="6">
        <f t="shared" si="137"/>
        <v>44774</v>
      </c>
      <c r="M2210" s="3" t="str">
        <f t="shared" si="138"/>
        <v>11% to 15%</v>
      </c>
      <c r="N2210" s="3" t="str">
        <f t="shared" si="139"/>
        <v>OK</v>
      </c>
    </row>
    <row r="2211" spans="1:14" x14ac:dyDescent="0.3">
      <c r="A2211" s="2">
        <f>DATE(VALUE(RIGHT(TRIM([1]Raw_Data!A2209),4)),VALUE(MID(TRIM([1]Raw_Data!A2209),4,2)),VALUE(LEFT(TRIM([1]Raw_Data!A2209),2)))</f>
        <v>44795</v>
      </c>
      <c r="B2211" s="3" t="str">
        <f>TRIM([1]Raw_Data!B2209)</f>
        <v>Electrolyte Powder</v>
      </c>
      <c r="C2211" s="3" t="str">
        <f>TRIM([1]Raw_Data!C2209)</f>
        <v>Hydration</v>
      </c>
      <c r="D2211" s="3">
        <f>[1]Raw_Data!D2209</f>
        <v>164</v>
      </c>
      <c r="E2211" s="4">
        <f>[1]Raw_Data!E2209</f>
        <v>32.119999999999997</v>
      </c>
      <c r="F2211" s="5">
        <f>[1]Raw_Data!F2209</f>
        <v>5267.68</v>
      </c>
      <c r="G2211" s="4">
        <f>[1]Raw_Data!G2209</f>
        <v>0.04</v>
      </c>
      <c r="H2211" s="3">
        <f>[1]Raw_Data!H2209</f>
        <v>2</v>
      </c>
      <c r="I2211" s="3" t="str">
        <f>TRIM([1]Raw_Data!I2209)</f>
        <v>Canada</v>
      </c>
      <c r="J2211" s="3" t="str">
        <f>TRIM([1]Raw_Data!J2209)</f>
        <v>Walmart</v>
      </c>
      <c r="K2211" s="3">
        <f t="shared" si="136"/>
        <v>2022</v>
      </c>
      <c r="L2211" s="6">
        <f t="shared" si="137"/>
        <v>44774</v>
      </c>
      <c r="M2211" s="3" t="str">
        <f t="shared" si="138"/>
        <v>0% to 5%</v>
      </c>
      <c r="N2211" s="3" t="str">
        <f t="shared" si="139"/>
        <v>OK</v>
      </c>
    </row>
    <row r="2212" spans="1:14" x14ac:dyDescent="0.3">
      <c r="A2212" s="2">
        <f>DATE(VALUE(RIGHT(TRIM([1]Raw_Data!A2210),4)),VALUE(MID(TRIM([1]Raw_Data!A2210),4,2)),VALUE(LEFT(TRIM([1]Raw_Data!A2210),2)))</f>
        <v>44802</v>
      </c>
      <c r="B2212" s="3" t="str">
        <f>TRIM([1]Raw_Data!B2210)</f>
        <v>Whey Protein</v>
      </c>
      <c r="C2212" s="3" t="str">
        <f>TRIM([1]Raw_Data!C2210)</f>
        <v>Protein</v>
      </c>
      <c r="D2212" s="3">
        <f>[1]Raw_Data!D2210</f>
        <v>141</v>
      </c>
      <c r="E2212" s="4">
        <f>[1]Raw_Data!E2210</f>
        <v>33.56</v>
      </c>
      <c r="F2212" s="5">
        <f>[1]Raw_Data!F2210</f>
        <v>4731.96</v>
      </c>
      <c r="G2212" s="4">
        <f>[1]Raw_Data!G2210</f>
        <v>0.01</v>
      </c>
      <c r="H2212" s="3">
        <f>[1]Raw_Data!H2210</f>
        <v>0</v>
      </c>
      <c r="I2212" s="3" t="str">
        <f>TRIM([1]Raw_Data!I2210)</f>
        <v>USA</v>
      </c>
      <c r="J2212" s="3" t="str">
        <f>TRIM([1]Raw_Data!J2210)</f>
        <v>iHerb</v>
      </c>
      <c r="K2212" s="3">
        <f t="shared" si="136"/>
        <v>2022</v>
      </c>
      <c r="L2212" s="6">
        <f t="shared" si="137"/>
        <v>44774</v>
      </c>
      <c r="M2212" s="3" t="str">
        <f t="shared" si="138"/>
        <v>0% to 5%</v>
      </c>
      <c r="N2212" s="3" t="str">
        <f t="shared" si="139"/>
        <v>OK</v>
      </c>
    </row>
    <row r="2213" spans="1:14" x14ac:dyDescent="0.3">
      <c r="A2213" s="2">
        <f>DATE(VALUE(RIGHT(TRIM([1]Raw_Data!A2211),4)),VALUE(MID(TRIM([1]Raw_Data!A2211),4,2)),VALUE(LEFT(TRIM([1]Raw_Data!A2211),2)))</f>
        <v>44802</v>
      </c>
      <c r="B2213" s="3" t="str">
        <f>TRIM([1]Raw_Data!B2211)</f>
        <v>Vitamin C</v>
      </c>
      <c r="C2213" s="3" t="str">
        <f>TRIM([1]Raw_Data!C2211)</f>
        <v>Vitamin</v>
      </c>
      <c r="D2213" s="3">
        <f>[1]Raw_Data!D2211</f>
        <v>157</v>
      </c>
      <c r="E2213" s="4">
        <f>[1]Raw_Data!E2211</f>
        <v>53.24</v>
      </c>
      <c r="F2213" s="5">
        <f>[1]Raw_Data!F2211</f>
        <v>8358.68</v>
      </c>
      <c r="G2213" s="4">
        <f>[1]Raw_Data!G2211</f>
        <v>0.17</v>
      </c>
      <c r="H2213" s="3">
        <f>[1]Raw_Data!H2211</f>
        <v>0</v>
      </c>
      <c r="I2213" s="3" t="str">
        <f>TRIM([1]Raw_Data!I2211)</f>
        <v>UK</v>
      </c>
      <c r="J2213" s="3" t="str">
        <f>TRIM([1]Raw_Data!J2211)</f>
        <v>iHerb</v>
      </c>
      <c r="K2213" s="3">
        <f t="shared" si="136"/>
        <v>2022</v>
      </c>
      <c r="L2213" s="6">
        <f t="shared" si="137"/>
        <v>44774</v>
      </c>
      <c r="M2213" s="3" t="str">
        <f t="shared" si="138"/>
        <v>16% to 20%</v>
      </c>
      <c r="N2213" s="3" t="str">
        <f t="shared" si="139"/>
        <v>OK</v>
      </c>
    </row>
    <row r="2214" spans="1:14" x14ac:dyDescent="0.3">
      <c r="A2214" s="2">
        <f>DATE(VALUE(RIGHT(TRIM([1]Raw_Data!A2212),4)),VALUE(MID(TRIM([1]Raw_Data!A2212),4,2)),VALUE(LEFT(TRIM([1]Raw_Data!A2212),2)))</f>
        <v>44802</v>
      </c>
      <c r="B2214" s="3" t="str">
        <f>TRIM([1]Raw_Data!B2212)</f>
        <v>Fish Oil</v>
      </c>
      <c r="C2214" s="3" t="str">
        <f>TRIM([1]Raw_Data!C2212)</f>
        <v>Omega</v>
      </c>
      <c r="D2214" s="3">
        <f>[1]Raw_Data!D2212</f>
        <v>154</v>
      </c>
      <c r="E2214" s="4">
        <f>[1]Raw_Data!E2212</f>
        <v>49.05</v>
      </c>
      <c r="F2214" s="5">
        <f>[1]Raw_Data!F2212</f>
        <v>7553.7</v>
      </c>
      <c r="G2214" s="4">
        <f>[1]Raw_Data!G2212</f>
        <v>0.25</v>
      </c>
      <c r="H2214" s="3">
        <f>[1]Raw_Data!H2212</f>
        <v>1</v>
      </c>
      <c r="I2214" s="3" t="str">
        <f>TRIM([1]Raw_Data!I2212)</f>
        <v>Canada</v>
      </c>
      <c r="J2214" s="3" t="str">
        <f>TRIM([1]Raw_Data!J2212)</f>
        <v>Walmart</v>
      </c>
      <c r="K2214" s="3">
        <f t="shared" si="136"/>
        <v>2022</v>
      </c>
      <c r="L2214" s="6">
        <f t="shared" si="137"/>
        <v>44774</v>
      </c>
      <c r="M2214" s="3" t="str">
        <f t="shared" si="138"/>
        <v>21% to 25%</v>
      </c>
      <c r="N2214" s="3" t="str">
        <f t="shared" si="139"/>
        <v>OK</v>
      </c>
    </row>
    <row r="2215" spans="1:14" x14ac:dyDescent="0.3">
      <c r="A2215" s="2">
        <f>DATE(VALUE(RIGHT(TRIM([1]Raw_Data!A2213),4)),VALUE(MID(TRIM([1]Raw_Data!A2213),4,2)),VALUE(LEFT(TRIM([1]Raw_Data!A2213),2)))</f>
        <v>44802</v>
      </c>
      <c r="B2215" s="3" t="str">
        <f>TRIM([1]Raw_Data!B2213)</f>
        <v>Multivitamin</v>
      </c>
      <c r="C2215" s="3" t="str">
        <f>TRIM([1]Raw_Data!C2213)</f>
        <v>Vitamin</v>
      </c>
      <c r="D2215" s="3">
        <f>[1]Raw_Data!D2213</f>
        <v>157</v>
      </c>
      <c r="E2215" s="4">
        <f>[1]Raw_Data!E2213</f>
        <v>31.88</v>
      </c>
      <c r="F2215" s="5">
        <f>[1]Raw_Data!F2213</f>
        <v>5005.16</v>
      </c>
      <c r="G2215" s="4">
        <f>[1]Raw_Data!G2213</f>
        <v>0.21</v>
      </c>
      <c r="H2215" s="3">
        <f>[1]Raw_Data!H2213</f>
        <v>0</v>
      </c>
      <c r="I2215" s="3" t="str">
        <f>TRIM([1]Raw_Data!I2213)</f>
        <v>Canada</v>
      </c>
      <c r="J2215" s="3" t="str">
        <f>TRIM([1]Raw_Data!J2213)</f>
        <v>Walmart</v>
      </c>
      <c r="K2215" s="3">
        <f t="shared" si="136"/>
        <v>2022</v>
      </c>
      <c r="L2215" s="6">
        <f t="shared" si="137"/>
        <v>44774</v>
      </c>
      <c r="M2215" s="3" t="str">
        <f t="shared" si="138"/>
        <v>21% to 25%</v>
      </c>
      <c r="N2215" s="3" t="str">
        <f t="shared" si="139"/>
        <v>OK</v>
      </c>
    </row>
    <row r="2216" spans="1:14" x14ac:dyDescent="0.3">
      <c r="A2216" s="2">
        <f>DATE(VALUE(RIGHT(TRIM([1]Raw_Data!A2214),4)),VALUE(MID(TRIM([1]Raw_Data!A2214),4,2)),VALUE(LEFT(TRIM([1]Raw_Data!A2214),2)))</f>
        <v>44802</v>
      </c>
      <c r="B2216" s="3" t="str">
        <f>TRIM([1]Raw_Data!B2214)</f>
        <v>Pre-Workout</v>
      </c>
      <c r="C2216" s="3" t="str">
        <f>TRIM([1]Raw_Data!C2214)</f>
        <v>Performance</v>
      </c>
      <c r="D2216" s="3">
        <f>[1]Raw_Data!D2214</f>
        <v>141</v>
      </c>
      <c r="E2216" s="4">
        <f>[1]Raw_Data!E2214</f>
        <v>45.61</v>
      </c>
      <c r="F2216" s="5">
        <f>[1]Raw_Data!F2214</f>
        <v>6431.01</v>
      </c>
      <c r="G2216" s="4">
        <f>[1]Raw_Data!G2214</f>
        <v>0.09</v>
      </c>
      <c r="H2216" s="3">
        <f>[1]Raw_Data!H2214</f>
        <v>3</v>
      </c>
      <c r="I2216" s="3" t="str">
        <f>TRIM([1]Raw_Data!I2214)</f>
        <v>Canada</v>
      </c>
      <c r="J2216" s="3" t="str">
        <f>TRIM([1]Raw_Data!J2214)</f>
        <v>Amazon</v>
      </c>
      <c r="K2216" s="3">
        <f t="shared" si="136"/>
        <v>2022</v>
      </c>
      <c r="L2216" s="6">
        <f t="shared" si="137"/>
        <v>44774</v>
      </c>
      <c r="M2216" s="3" t="str">
        <f t="shared" si="138"/>
        <v>6% to 10%</v>
      </c>
      <c r="N2216" s="3" t="str">
        <f t="shared" si="139"/>
        <v>OK</v>
      </c>
    </row>
    <row r="2217" spans="1:14" x14ac:dyDescent="0.3">
      <c r="A2217" s="2">
        <f>DATE(VALUE(RIGHT(TRIM([1]Raw_Data!A2215),4)),VALUE(MID(TRIM([1]Raw_Data!A2215),4,2)),VALUE(LEFT(TRIM([1]Raw_Data!A2215),2)))</f>
        <v>44802</v>
      </c>
      <c r="B2217" s="3" t="str">
        <f>TRIM([1]Raw_Data!B2215)</f>
        <v>BCAA</v>
      </c>
      <c r="C2217" s="3" t="str">
        <f>TRIM([1]Raw_Data!C2215)</f>
        <v>Amino Acid</v>
      </c>
      <c r="D2217" s="3">
        <f>[1]Raw_Data!D2215</f>
        <v>131</v>
      </c>
      <c r="E2217" s="4">
        <f>[1]Raw_Data!E2215</f>
        <v>45.45</v>
      </c>
      <c r="F2217" s="5">
        <f>[1]Raw_Data!F2215</f>
        <v>5953.95</v>
      </c>
      <c r="G2217" s="4">
        <f>[1]Raw_Data!G2215</f>
        <v>0.06</v>
      </c>
      <c r="H2217" s="3">
        <f>[1]Raw_Data!H2215</f>
        <v>2</v>
      </c>
      <c r="I2217" s="3" t="str">
        <f>TRIM([1]Raw_Data!I2215)</f>
        <v>Canada</v>
      </c>
      <c r="J2217" s="3" t="str">
        <f>TRIM([1]Raw_Data!J2215)</f>
        <v>Walmart</v>
      </c>
      <c r="K2217" s="3">
        <f t="shared" si="136"/>
        <v>2022</v>
      </c>
      <c r="L2217" s="6">
        <f t="shared" si="137"/>
        <v>44774</v>
      </c>
      <c r="M2217" s="3" t="str">
        <f t="shared" si="138"/>
        <v>6% to 10%</v>
      </c>
      <c r="N2217" s="3" t="str">
        <f t="shared" si="139"/>
        <v>OK</v>
      </c>
    </row>
    <row r="2218" spans="1:14" x14ac:dyDescent="0.3">
      <c r="A2218" s="2">
        <f>DATE(VALUE(RIGHT(TRIM([1]Raw_Data!A2216),4)),VALUE(MID(TRIM([1]Raw_Data!A2216),4,2)),VALUE(LEFT(TRIM([1]Raw_Data!A2216),2)))</f>
        <v>44802</v>
      </c>
      <c r="B2218" s="3" t="str">
        <f>TRIM([1]Raw_Data!B2216)</f>
        <v>Creatine</v>
      </c>
      <c r="C2218" s="3" t="str">
        <f>TRIM([1]Raw_Data!C2216)</f>
        <v>Performance</v>
      </c>
      <c r="D2218" s="3">
        <f>[1]Raw_Data!D2216</f>
        <v>136</v>
      </c>
      <c r="E2218" s="4">
        <f>[1]Raw_Data!E2216</f>
        <v>16.05</v>
      </c>
      <c r="F2218" s="5">
        <f>[1]Raw_Data!F2216</f>
        <v>2182.8000000000002</v>
      </c>
      <c r="G2218" s="4">
        <f>[1]Raw_Data!G2216</f>
        <v>0.23</v>
      </c>
      <c r="H2218" s="3">
        <f>[1]Raw_Data!H2216</f>
        <v>1</v>
      </c>
      <c r="I2218" s="3" t="str">
        <f>TRIM([1]Raw_Data!I2216)</f>
        <v>Canada</v>
      </c>
      <c r="J2218" s="3" t="str">
        <f>TRIM([1]Raw_Data!J2216)</f>
        <v>iHerb</v>
      </c>
      <c r="K2218" s="3">
        <f t="shared" si="136"/>
        <v>2022</v>
      </c>
      <c r="L2218" s="6">
        <f t="shared" si="137"/>
        <v>44774</v>
      </c>
      <c r="M2218" s="3" t="str">
        <f t="shared" si="138"/>
        <v>21% to 25%</v>
      </c>
      <c r="N2218" s="3" t="str">
        <f t="shared" si="139"/>
        <v>OK</v>
      </c>
    </row>
    <row r="2219" spans="1:14" x14ac:dyDescent="0.3">
      <c r="A2219" s="2">
        <f>DATE(VALUE(RIGHT(TRIM([1]Raw_Data!A2217),4)),VALUE(MID(TRIM([1]Raw_Data!A2217),4,2)),VALUE(LEFT(TRIM([1]Raw_Data!A2217),2)))</f>
        <v>44802</v>
      </c>
      <c r="B2219" s="3" t="str">
        <f>TRIM([1]Raw_Data!B2217)</f>
        <v>Zinc</v>
      </c>
      <c r="C2219" s="3" t="str">
        <f>TRIM([1]Raw_Data!C2217)</f>
        <v>Mineral</v>
      </c>
      <c r="D2219" s="3">
        <f>[1]Raw_Data!D2217</f>
        <v>162</v>
      </c>
      <c r="E2219" s="4">
        <f>[1]Raw_Data!E2217</f>
        <v>39.630000000000003</v>
      </c>
      <c r="F2219" s="5">
        <f>[1]Raw_Data!F2217</f>
        <v>6420.06</v>
      </c>
      <c r="G2219" s="4">
        <f>[1]Raw_Data!G2217</f>
        <v>0.12</v>
      </c>
      <c r="H2219" s="3">
        <f>[1]Raw_Data!H2217</f>
        <v>4</v>
      </c>
      <c r="I2219" s="3" t="str">
        <f>TRIM([1]Raw_Data!I2217)</f>
        <v>USA</v>
      </c>
      <c r="J2219" s="3" t="str">
        <f>TRIM([1]Raw_Data!J2217)</f>
        <v>Amazon</v>
      </c>
      <c r="K2219" s="3">
        <f t="shared" si="136"/>
        <v>2022</v>
      </c>
      <c r="L2219" s="6">
        <f t="shared" si="137"/>
        <v>44774</v>
      </c>
      <c r="M2219" s="3" t="str">
        <f t="shared" si="138"/>
        <v>11% to 15%</v>
      </c>
      <c r="N2219" s="3" t="str">
        <f t="shared" si="139"/>
        <v>OK</v>
      </c>
    </row>
    <row r="2220" spans="1:14" x14ac:dyDescent="0.3">
      <c r="A2220" s="2">
        <f>DATE(VALUE(RIGHT(TRIM([1]Raw_Data!A2218),4)),VALUE(MID(TRIM([1]Raw_Data!A2218),4,2)),VALUE(LEFT(TRIM([1]Raw_Data!A2218),2)))</f>
        <v>44802</v>
      </c>
      <c r="B2220" s="3" t="str">
        <f>TRIM([1]Raw_Data!B2218)</f>
        <v>Collagen Peptides</v>
      </c>
      <c r="C2220" s="3" t="str">
        <f>TRIM([1]Raw_Data!C2218)</f>
        <v>Protein</v>
      </c>
      <c r="D2220" s="3">
        <f>[1]Raw_Data!D2218</f>
        <v>159</v>
      </c>
      <c r="E2220" s="4">
        <f>[1]Raw_Data!E2218</f>
        <v>12.32</v>
      </c>
      <c r="F2220" s="5">
        <f>[1]Raw_Data!F2218</f>
        <v>1958.88</v>
      </c>
      <c r="G2220" s="4">
        <f>[1]Raw_Data!G2218</f>
        <v>0.14000000000000001</v>
      </c>
      <c r="H2220" s="3">
        <f>[1]Raw_Data!H2218</f>
        <v>1</v>
      </c>
      <c r="I2220" s="3" t="str">
        <f>TRIM([1]Raw_Data!I2218)</f>
        <v>UK</v>
      </c>
      <c r="J2220" s="3" t="str">
        <f>TRIM([1]Raw_Data!J2218)</f>
        <v>Walmart</v>
      </c>
      <c r="K2220" s="3">
        <f t="shared" si="136"/>
        <v>2022</v>
      </c>
      <c r="L2220" s="6">
        <f t="shared" si="137"/>
        <v>44774</v>
      </c>
      <c r="M2220" s="3" t="str">
        <f t="shared" si="138"/>
        <v>11% to 15%</v>
      </c>
      <c r="N2220" s="3" t="str">
        <f t="shared" si="139"/>
        <v>OK</v>
      </c>
    </row>
    <row r="2221" spans="1:14" x14ac:dyDescent="0.3">
      <c r="A2221" s="2">
        <f>DATE(VALUE(RIGHT(TRIM([1]Raw_Data!A2219),4)),VALUE(MID(TRIM([1]Raw_Data!A2219),4,2)),VALUE(LEFT(TRIM([1]Raw_Data!A2219),2)))</f>
        <v>44802</v>
      </c>
      <c r="B2221" s="3" t="str">
        <f>TRIM([1]Raw_Data!B2219)</f>
        <v>Magnesium</v>
      </c>
      <c r="C2221" s="3" t="str">
        <f>TRIM([1]Raw_Data!C2219)</f>
        <v>Mineral</v>
      </c>
      <c r="D2221" s="3">
        <f>[1]Raw_Data!D2219</f>
        <v>172</v>
      </c>
      <c r="E2221" s="4">
        <f>[1]Raw_Data!E2219</f>
        <v>23.49</v>
      </c>
      <c r="F2221" s="5">
        <f>[1]Raw_Data!F2219</f>
        <v>4040.28</v>
      </c>
      <c r="G2221" s="4">
        <f>[1]Raw_Data!G2219</f>
        <v>0.1</v>
      </c>
      <c r="H2221" s="3">
        <f>[1]Raw_Data!H2219</f>
        <v>1</v>
      </c>
      <c r="I2221" s="3" t="str">
        <f>TRIM([1]Raw_Data!I2219)</f>
        <v>Canada</v>
      </c>
      <c r="J2221" s="3" t="str">
        <f>TRIM([1]Raw_Data!J2219)</f>
        <v>Amazon</v>
      </c>
      <c r="K2221" s="3">
        <f t="shared" si="136"/>
        <v>2022</v>
      </c>
      <c r="L2221" s="6">
        <f t="shared" si="137"/>
        <v>44774</v>
      </c>
      <c r="M2221" s="3" t="str">
        <f t="shared" si="138"/>
        <v>6% to 10%</v>
      </c>
      <c r="N2221" s="3" t="str">
        <f t="shared" si="139"/>
        <v>OK</v>
      </c>
    </row>
    <row r="2222" spans="1:14" x14ac:dyDescent="0.3">
      <c r="A2222" s="2">
        <f>DATE(VALUE(RIGHT(TRIM([1]Raw_Data!A2220),4)),VALUE(MID(TRIM([1]Raw_Data!A2220),4,2)),VALUE(LEFT(TRIM([1]Raw_Data!A2220),2)))</f>
        <v>44802</v>
      </c>
      <c r="B2222" s="3" t="str">
        <f>TRIM([1]Raw_Data!B2220)</f>
        <v>Ashwagandha</v>
      </c>
      <c r="C2222" s="3" t="str">
        <f>TRIM([1]Raw_Data!C2220)</f>
        <v>Herbal</v>
      </c>
      <c r="D2222" s="3">
        <f>[1]Raw_Data!D2220</f>
        <v>134</v>
      </c>
      <c r="E2222" s="4">
        <f>[1]Raw_Data!E2220</f>
        <v>37.909999999999997</v>
      </c>
      <c r="F2222" s="5">
        <f>[1]Raw_Data!F2220</f>
        <v>5079.9399999999996</v>
      </c>
      <c r="G2222" s="4">
        <f>[1]Raw_Data!G2220</f>
        <v>0.22</v>
      </c>
      <c r="H2222" s="3">
        <f>[1]Raw_Data!H2220</f>
        <v>2</v>
      </c>
      <c r="I2222" s="3" t="str">
        <f>TRIM([1]Raw_Data!I2220)</f>
        <v>UK</v>
      </c>
      <c r="J2222" s="3" t="str">
        <f>TRIM([1]Raw_Data!J2220)</f>
        <v>iHerb</v>
      </c>
      <c r="K2222" s="3">
        <f t="shared" si="136"/>
        <v>2022</v>
      </c>
      <c r="L2222" s="6">
        <f t="shared" si="137"/>
        <v>44774</v>
      </c>
      <c r="M2222" s="3" t="str">
        <f t="shared" si="138"/>
        <v>21% to 25%</v>
      </c>
      <c r="N2222" s="3" t="str">
        <f t="shared" si="139"/>
        <v>OK</v>
      </c>
    </row>
    <row r="2223" spans="1:14" x14ac:dyDescent="0.3">
      <c r="A2223" s="2">
        <f>DATE(VALUE(RIGHT(TRIM([1]Raw_Data!A2221),4)),VALUE(MID(TRIM([1]Raw_Data!A2221),4,2)),VALUE(LEFT(TRIM([1]Raw_Data!A2221),2)))</f>
        <v>44802</v>
      </c>
      <c r="B2223" s="3" t="str">
        <f>TRIM([1]Raw_Data!B2221)</f>
        <v>Melatonin</v>
      </c>
      <c r="C2223" s="3" t="str">
        <f>TRIM([1]Raw_Data!C2221)</f>
        <v>Sleep Aid</v>
      </c>
      <c r="D2223" s="3">
        <f>[1]Raw_Data!D2221</f>
        <v>142</v>
      </c>
      <c r="E2223" s="4">
        <f>[1]Raw_Data!E2221</f>
        <v>14.16</v>
      </c>
      <c r="F2223" s="5">
        <f>[1]Raw_Data!F2221</f>
        <v>2010.72</v>
      </c>
      <c r="G2223" s="4">
        <f>[1]Raw_Data!G2221</f>
        <v>0.23</v>
      </c>
      <c r="H2223" s="3">
        <f>[1]Raw_Data!H2221</f>
        <v>1</v>
      </c>
      <c r="I2223" s="3" t="str">
        <f>TRIM([1]Raw_Data!I2221)</f>
        <v>USA</v>
      </c>
      <c r="J2223" s="3" t="str">
        <f>TRIM([1]Raw_Data!J2221)</f>
        <v>Amazon</v>
      </c>
      <c r="K2223" s="3">
        <f t="shared" si="136"/>
        <v>2022</v>
      </c>
      <c r="L2223" s="6">
        <f t="shared" si="137"/>
        <v>44774</v>
      </c>
      <c r="M2223" s="3" t="str">
        <f t="shared" si="138"/>
        <v>21% to 25%</v>
      </c>
      <c r="N2223" s="3" t="str">
        <f t="shared" si="139"/>
        <v>OK</v>
      </c>
    </row>
    <row r="2224" spans="1:14" x14ac:dyDescent="0.3">
      <c r="A2224" s="2">
        <f>DATE(VALUE(RIGHT(TRIM([1]Raw_Data!A2222),4)),VALUE(MID(TRIM([1]Raw_Data!A2222),4,2)),VALUE(LEFT(TRIM([1]Raw_Data!A2222),2)))</f>
        <v>44802</v>
      </c>
      <c r="B2224" s="3" t="str">
        <f>TRIM([1]Raw_Data!B2222)</f>
        <v>Biotin</v>
      </c>
      <c r="C2224" s="3" t="str">
        <f>TRIM([1]Raw_Data!C2222)</f>
        <v>Vitamin</v>
      </c>
      <c r="D2224" s="3">
        <f>[1]Raw_Data!D2222</f>
        <v>146</v>
      </c>
      <c r="E2224" s="4">
        <f>[1]Raw_Data!E2222</f>
        <v>33.03</v>
      </c>
      <c r="F2224" s="5">
        <f>[1]Raw_Data!F2222</f>
        <v>4822.38</v>
      </c>
      <c r="G2224" s="4">
        <f>[1]Raw_Data!G2222</f>
        <v>0.06</v>
      </c>
      <c r="H2224" s="3">
        <f>[1]Raw_Data!H2222</f>
        <v>1</v>
      </c>
      <c r="I2224" s="3" t="str">
        <f>TRIM([1]Raw_Data!I2222)</f>
        <v>UK</v>
      </c>
      <c r="J2224" s="3" t="str">
        <f>TRIM([1]Raw_Data!J2222)</f>
        <v>Amazon</v>
      </c>
      <c r="K2224" s="3">
        <f t="shared" si="136"/>
        <v>2022</v>
      </c>
      <c r="L2224" s="6">
        <f t="shared" si="137"/>
        <v>44774</v>
      </c>
      <c r="M2224" s="3" t="str">
        <f t="shared" si="138"/>
        <v>6% to 10%</v>
      </c>
      <c r="N2224" s="3" t="str">
        <f t="shared" si="139"/>
        <v>OK</v>
      </c>
    </row>
    <row r="2225" spans="1:14" x14ac:dyDescent="0.3">
      <c r="A2225" s="2">
        <f>DATE(VALUE(RIGHT(TRIM([1]Raw_Data!A2223),4)),VALUE(MID(TRIM([1]Raw_Data!A2223),4,2)),VALUE(LEFT(TRIM([1]Raw_Data!A2223),2)))</f>
        <v>44802</v>
      </c>
      <c r="B2225" s="3" t="str">
        <f>TRIM([1]Raw_Data!B2223)</f>
        <v>Green Tea Extract</v>
      </c>
      <c r="C2225" s="3" t="str">
        <f>TRIM([1]Raw_Data!C2223)</f>
        <v>Fat Burner</v>
      </c>
      <c r="D2225" s="3">
        <f>[1]Raw_Data!D2223</f>
        <v>162</v>
      </c>
      <c r="E2225" s="4">
        <f>[1]Raw_Data!E2223</f>
        <v>25.21</v>
      </c>
      <c r="F2225" s="5">
        <f>[1]Raw_Data!F2223</f>
        <v>4084.02</v>
      </c>
      <c r="G2225" s="4">
        <f>[1]Raw_Data!G2223</f>
        <v>0.12</v>
      </c>
      <c r="H2225" s="3">
        <f>[1]Raw_Data!H2223</f>
        <v>3</v>
      </c>
      <c r="I2225" s="3" t="str">
        <f>TRIM([1]Raw_Data!I2223)</f>
        <v>UK</v>
      </c>
      <c r="J2225" s="3" t="str">
        <f>TRIM([1]Raw_Data!J2223)</f>
        <v>Amazon</v>
      </c>
      <c r="K2225" s="3">
        <f t="shared" si="136"/>
        <v>2022</v>
      </c>
      <c r="L2225" s="6">
        <f t="shared" si="137"/>
        <v>44774</v>
      </c>
      <c r="M2225" s="3" t="str">
        <f t="shared" si="138"/>
        <v>11% to 15%</v>
      </c>
      <c r="N2225" s="3" t="str">
        <f t="shared" si="139"/>
        <v>OK</v>
      </c>
    </row>
    <row r="2226" spans="1:14" x14ac:dyDescent="0.3">
      <c r="A2226" s="2">
        <f>DATE(VALUE(RIGHT(TRIM([1]Raw_Data!A2224),4)),VALUE(MID(TRIM([1]Raw_Data!A2224),4,2)),VALUE(LEFT(TRIM([1]Raw_Data!A2224),2)))</f>
        <v>44802</v>
      </c>
      <c r="B2226" s="3" t="str">
        <f>TRIM([1]Raw_Data!B2224)</f>
        <v>Iron Supplement</v>
      </c>
      <c r="C2226" s="3" t="str">
        <f>TRIM([1]Raw_Data!C2224)</f>
        <v>Mineral</v>
      </c>
      <c r="D2226" s="3">
        <f>[1]Raw_Data!D2224</f>
        <v>139</v>
      </c>
      <c r="E2226" s="4">
        <f>[1]Raw_Data!E2224</f>
        <v>39.130000000000003</v>
      </c>
      <c r="F2226" s="5">
        <f>[1]Raw_Data!F2224</f>
        <v>5439.07</v>
      </c>
      <c r="G2226" s="4">
        <f>[1]Raw_Data!G2224</f>
        <v>0.14000000000000001</v>
      </c>
      <c r="H2226" s="3">
        <f>[1]Raw_Data!H2224</f>
        <v>3</v>
      </c>
      <c r="I2226" s="3" t="str">
        <f>TRIM([1]Raw_Data!I2224)</f>
        <v>Canada</v>
      </c>
      <c r="J2226" s="3" t="str">
        <f>TRIM([1]Raw_Data!J2224)</f>
        <v>Amazon</v>
      </c>
      <c r="K2226" s="3">
        <f t="shared" si="136"/>
        <v>2022</v>
      </c>
      <c r="L2226" s="6">
        <f t="shared" si="137"/>
        <v>44774</v>
      </c>
      <c r="M2226" s="3" t="str">
        <f t="shared" si="138"/>
        <v>11% to 15%</v>
      </c>
      <c r="N2226" s="3" t="str">
        <f t="shared" si="139"/>
        <v>OK</v>
      </c>
    </row>
    <row r="2227" spans="1:14" x14ac:dyDescent="0.3">
      <c r="A2227" s="2">
        <f>DATE(VALUE(RIGHT(TRIM([1]Raw_Data!A2225),4)),VALUE(MID(TRIM([1]Raw_Data!A2225),4,2)),VALUE(LEFT(TRIM([1]Raw_Data!A2225),2)))</f>
        <v>44802</v>
      </c>
      <c r="B2227" s="3" t="str">
        <f>TRIM([1]Raw_Data!B2225)</f>
        <v>Electrolyte Powder</v>
      </c>
      <c r="C2227" s="3" t="str">
        <f>TRIM([1]Raw_Data!C2225)</f>
        <v>Hydration</v>
      </c>
      <c r="D2227" s="3">
        <f>[1]Raw_Data!D2225</f>
        <v>131</v>
      </c>
      <c r="E2227" s="4">
        <f>[1]Raw_Data!E2225</f>
        <v>36.909999999999997</v>
      </c>
      <c r="F2227" s="5">
        <f>[1]Raw_Data!F2225</f>
        <v>4835.21</v>
      </c>
      <c r="G2227" s="4">
        <f>[1]Raw_Data!G2225</f>
        <v>0.2</v>
      </c>
      <c r="H2227" s="3">
        <f>[1]Raw_Data!H2225</f>
        <v>0</v>
      </c>
      <c r="I2227" s="3" t="str">
        <f>TRIM([1]Raw_Data!I2225)</f>
        <v>Canada</v>
      </c>
      <c r="J2227" s="3" t="str">
        <f>TRIM([1]Raw_Data!J2225)</f>
        <v>Walmart</v>
      </c>
      <c r="K2227" s="3">
        <f t="shared" si="136"/>
        <v>2022</v>
      </c>
      <c r="L2227" s="6">
        <f t="shared" si="137"/>
        <v>44774</v>
      </c>
      <c r="M2227" s="3" t="str">
        <f t="shared" si="138"/>
        <v>16% to 20%</v>
      </c>
      <c r="N2227" s="3" t="str">
        <f t="shared" si="139"/>
        <v>OK</v>
      </c>
    </row>
    <row r="2228" spans="1:14" x14ac:dyDescent="0.3">
      <c r="A2228" s="2">
        <f>DATE(VALUE(RIGHT(TRIM([1]Raw_Data!A2226),4)),VALUE(MID(TRIM([1]Raw_Data!A2226),4,2)),VALUE(LEFT(TRIM([1]Raw_Data!A2226),2)))</f>
        <v>44809</v>
      </c>
      <c r="B2228" s="3" t="str">
        <f>TRIM([1]Raw_Data!B2226)</f>
        <v>Whey Protein</v>
      </c>
      <c r="C2228" s="3" t="str">
        <f>TRIM([1]Raw_Data!C2226)</f>
        <v>Protein</v>
      </c>
      <c r="D2228" s="3">
        <f>[1]Raw_Data!D2226</f>
        <v>162</v>
      </c>
      <c r="E2228" s="4">
        <f>[1]Raw_Data!E2226</f>
        <v>19.45</v>
      </c>
      <c r="F2228" s="5">
        <f>[1]Raw_Data!F2226</f>
        <v>3150.9</v>
      </c>
      <c r="G2228" s="4">
        <f>[1]Raw_Data!G2226</f>
        <v>0.19</v>
      </c>
      <c r="H2228" s="3">
        <f>[1]Raw_Data!H2226</f>
        <v>0</v>
      </c>
      <c r="I2228" s="3" t="str">
        <f>TRIM([1]Raw_Data!I2226)</f>
        <v>UK</v>
      </c>
      <c r="J2228" s="3" t="str">
        <f>TRIM([1]Raw_Data!J2226)</f>
        <v>iHerb</v>
      </c>
      <c r="K2228" s="3">
        <f t="shared" si="136"/>
        <v>2022</v>
      </c>
      <c r="L2228" s="6">
        <f t="shared" si="137"/>
        <v>44805</v>
      </c>
      <c r="M2228" s="3" t="str">
        <f t="shared" si="138"/>
        <v>16% to 20%</v>
      </c>
      <c r="N2228" s="3" t="str">
        <f t="shared" si="139"/>
        <v>OK</v>
      </c>
    </row>
    <row r="2229" spans="1:14" x14ac:dyDescent="0.3">
      <c r="A2229" s="2">
        <f>DATE(VALUE(RIGHT(TRIM([1]Raw_Data!A2227),4)),VALUE(MID(TRIM([1]Raw_Data!A2227),4,2)),VALUE(LEFT(TRIM([1]Raw_Data!A2227),2)))</f>
        <v>44809</v>
      </c>
      <c r="B2229" s="3" t="str">
        <f>TRIM([1]Raw_Data!B2227)</f>
        <v>Vitamin C</v>
      </c>
      <c r="C2229" s="3" t="str">
        <f>TRIM([1]Raw_Data!C2227)</f>
        <v>Vitamin</v>
      </c>
      <c r="D2229" s="3">
        <f>[1]Raw_Data!D2227</f>
        <v>150</v>
      </c>
      <c r="E2229" s="4">
        <f>[1]Raw_Data!E2227</f>
        <v>27.82</v>
      </c>
      <c r="F2229" s="5">
        <f>[1]Raw_Data!F2227</f>
        <v>4173</v>
      </c>
      <c r="G2229" s="4">
        <f>[1]Raw_Data!G2227</f>
        <v>0.15</v>
      </c>
      <c r="H2229" s="3">
        <f>[1]Raw_Data!H2227</f>
        <v>1</v>
      </c>
      <c r="I2229" s="3" t="str">
        <f>TRIM([1]Raw_Data!I2227)</f>
        <v>USA</v>
      </c>
      <c r="J2229" s="3" t="str">
        <f>TRIM([1]Raw_Data!J2227)</f>
        <v>Walmart</v>
      </c>
      <c r="K2229" s="3">
        <f t="shared" si="136"/>
        <v>2022</v>
      </c>
      <c r="L2229" s="6">
        <f t="shared" si="137"/>
        <v>44805</v>
      </c>
      <c r="M2229" s="3" t="str">
        <f t="shared" si="138"/>
        <v>11% to 15%</v>
      </c>
      <c r="N2229" s="3" t="str">
        <f t="shared" si="139"/>
        <v>OK</v>
      </c>
    </row>
    <row r="2230" spans="1:14" x14ac:dyDescent="0.3">
      <c r="A2230" s="2">
        <f>DATE(VALUE(RIGHT(TRIM([1]Raw_Data!A2228),4)),VALUE(MID(TRIM([1]Raw_Data!A2228),4,2)),VALUE(LEFT(TRIM([1]Raw_Data!A2228),2)))</f>
        <v>44809</v>
      </c>
      <c r="B2230" s="3" t="str">
        <f>TRIM([1]Raw_Data!B2228)</f>
        <v>Fish Oil</v>
      </c>
      <c r="C2230" s="3" t="str">
        <f>TRIM([1]Raw_Data!C2228)</f>
        <v>Omega</v>
      </c>
      <c r="D2230" s="3">
        <f>[1]Raw_Data!D2228</f>
        <v>147</v>
      </c>
      <c r="E2230" s="4">
        <f>[1]Raw_Data!E2228</f>
        <v>21.34</v>
      </c>
      <c r="F2230" s="5">
        <f>[1]Raw_Data!F2228</f>
        <v>3136.98</v>
      </c>
      <c r="G2230" s="4">
        <f>[1]Raw_Data!G2228</f>
        <v>0.11</v>
      </c>
      <c r="H2230" s="3">
        <f>[1]Raw_Data!H2228</f>
        <v>4</v>
      </c>
      <c r="I2230" s="3" t="str">
        <f>TRIM([1]Raw_Data!I2228)</f>
        <v>Canada</v>
      </c>
      <c r="J2230" s="3" t="str">
        <f>TRIM([1]Raw_Data!J2228)</f>
        <v>iHerb</v>
      </c>
      <c r="K2230" s="3">
        <f t="shared" si="136"/>
        <v>2022</v>
      </c>
      <c r="L2230" s="6">
        <f t="shared" si="137"/>
        <v>44805</v>
      </c>
      <c r="M2230" s="3" t="str">
        <f t="shared" si="138"/>
        <v>11% to 15%</v>
      </c>
      <c r="N2230" s="3" t="str">
        <f t="shared" si="139"/>
        <v>OK</v>
      </c>
    </row>
    <row r="2231" spans="1:14" x14ac:dyDescent="0.3">
      <c r="A2231" s="2">
        <f>DATE(VALUE(RIGHT(TRIM([1]Raw_Data!A2229),4)),VALUE(MID(TRIM([1]Raw_Data!A2229),4,2)),VALUE(LEFT(TRIM([1]Raw_Data!A2229),2)))</f>
        <v>44809</v>
      </c>
      <c r="B2231" s="3" t="str">
        <f>TRIM([1]Raw_Data!B2229)</f>
        <v>Multivitamin</v>
      </c>
      <c r="C2231" s="3" t="str">
        <f>TRIM([1]Raw_Data!C2229)</f>
        <v>Vitamin</v>
      </c>
      <c r="D2231" s="3">
        <f>[1]Raw_Data!D2229</f>
        <v>165</v>
      </c>
      <c r="E2231" s="4">
        <f>[1]Raw_Data!E2229</f>
        <v>11.49</v>
      </c>
      <c r="F2231" s="5">
        <f>[1]Raw_Data!F2229</f>
        <v>1895.85</v>
      </c>
      <c r="G2231" s="4">
        <f>[1]Raw_Data!G2229</f>
        <v>0.23</v>
      </c>
      <c r="H2231" s="3">
        <f>[1]Raw_Data!H2229</f>
        <v>2</v>
      </c>
      <c r="I2231" s="3" t="str">
        <f>TRIM([1]Raw_Data!I2229)</f>
        <v>UK</v>
      </c>
      <c r="J2231" s="3" t="str">
        <f>TRIM([1]Raw_Data!J2229)</f>
        <v>iHerb</v>
      </c>
      <c r="K2231" s="3">
        <f t="shared" si="136"/>
        <v>2022</v>
      </c>
      <c r="L2231" s="6">
        <f t="shared" si="137"/>
        <v>44805</v>
      </c>
      <c r="M2231" s="3" t="str">
        <f t="shared" si="138"/>
        <v>21% to 25%</v>
      </c>
      <c r="N2231" s="3" t="str">
        <f t="shared" si="139"/>
        <v>OK</v>
      </c>
    </row>
    <row r="2232" spans="1:14" x14ac:dyDescent="0.3">
      <c r="A2232" s="2">
        <f>DATE(VALUE(RIGHT(TRIM([1]Raw_Data!A2230),4)),VALUE(MID(TRIM([1]Raw_Data!A2230),4,2)),VALUE(LEFT(TRIM([1]Raw_Data!A2230),2)))</f>
        <v>44809</v>
      </c>
      <c r="B2232" s="3" t="str">
        <f>TRIM([1]Raw_Data!B2230)</f>
        <v>Pre-Workout</v>
      </c>
      <c r="C2232" s="3" t="str">
        <f>TRIM([1]Raw_Data!C2230)</f>
        <v>Performance</v>
      </c>
      <c r="D2232" s="3">
        <f>[1]Raw_Data!D2230</f>
        <v>151</v>
      </c>
      <c r="E2232" s="4">
        <f>[1]Raw_Data!E2230</f>
        <v>25.73</v>
      </c>
      <c r="F2232" s="5">
        <f>[1]Raw_Data!F2230</f>
        <v>3885.23</v>
      </c>
      <c r="G2232" s="4">
        <f>[1]Raw_Data!G2230</f>
        <v>0.12</v>
      </c>
      <c r="H2232" s="3">
        <f>[1]Raw_Data!H2230</f>
        <v>4</v>
      </c>
      <c r="I2232" s="3" t="str">
        <f>TRIM([1]Raw_Data!I2230)</f>
        <v>USA</v>
      </c>
      <c r="J2232" s="3" t="str">
        <f>TRIM([1]Raw_Data!J2230)</f>
        <v>Walmart</v>
      </c>
      <c r="K2232" s="3">
        <f t="shared" si="136"/>
        <v>2022</v>
      </c>
      <c r="L2232" s="6">
        <f t="shared" si="137"/>
        <v>44805</v>
      </c>
      <c r="M2232" s="3" t="str">
        <f t="shared" si="138"/>
        <v>11% to 15%</v>
      </c>
      <c r="N2232" s="3" t="str">
        <f t="shared" si="139"/>
        <v>OK</v>
      </c>
    </row>
    <row r="2233" spans="1:14" x14ac:dyDescent="0.3">
      <c r="A2233" s="2">
        <f>DATE(VALUE(RIGHT(TRIM([1]Raw_Data!A2231),4)),VALUE(MID(TRIM([1]Raw_Data!A2231),4,2)),VALUE(LEFT(TRIM([1]Raw_Data!A2231),2)))</f>
        <v>44809</v>
      </c>
      <c r="B2233" s="3" t="str">
        <f>TRIM([1]Raw_Data!B2231)</f>
        <v>BCAA</v>
      </c>
      <c r="C2233" s="3" t="str">
        <f>TRIM([1]Raw_Data!C2231)</f>
        <v>Amino Acid</v>
      </c>
      <c r="D2233" s="3">
        <f>[1]Raw_Data!D2231</f>
        <v>156</v>
      </c>
      <c r="E2233" s="4">
        <f>[1]Raw_Data!E2231</f>
        <v>16.66</v>
      </c>
      <c r="F2233" s="5">
        <f>[1]Raw_Data!F2231</f>
        <v>2598.96</v>
      </c>
      <c r="G2233" s="4">
        <f>[1]Raw_Data!G2231</f>
        <v>0.05</v>
      </c>
      <c r="H2233" s="3">
        <f>[1]Raw_Data!H2231</f>
        <v>2</v>
      </c>
      <c r="I2233" s="3" t="str">
        <f>TRIM([1]Raw_Data!I2231)</f>
        <v>UK</v>
      </c>
      <c r="J2233" s="3" t="str">
        <f>TRIM([1]Raw_Data!J2231)</f>
        <v>Walmart</v>
      </c>
      <c r="K2233" s="3">
        <f t="shared" si="136"/>
        <v>2022</v>
      </c>
      <c r="L2233" s="6">
        <f t="shared" si="137"/>
        <v>44805</v>
      </c>
      <c r="M2233" s="3" t="str">
        <f t="shared" si="138"/>
        <v>0% to 5%</v>
      </c>
      <c r="N2233" s="3" t="str">
        <f t="shared" si="139"/>
        <v>OK</v>
      </c>
    </row>
    <row r="2234" spans="1:14" x14ac:dyDescent="0.3">
      <c r="A2234" s="2">
        <f>DATE(VALUE(RIGHT(TRIM([1]Raw_Data!A2232),4)),VALUE(MID(TRIM([1]Raw_Data!A2232),4,2)),VALUE(LEFT(TRIM([1]Raw_Data!A2232),2)))</f>
        <v>44809</v>
      </c>
      <c r="B2234" s="3" t="str">
        <f>TRIM([1]Raw_Data!B2232)</f>
        <v>Creatine</v>
      </c>
      <c r="C2234" s="3" t="str">
        <f>TRIM([1]Raw_Data!C2232)</f>
        <v>Performance</v>
      </c>
      <c r="D2234" s="3">
        <f>[1]Raw_Data!D2232</f>
        <v>142</v>
      </c>
      <c r="E2234" s="4">
        <f>[1]Raw_Data!E2232</f>
        <v>57.21</v>
      </c>
      <c r="F2234" s="5">
        <f>[1]Raw_Data!F2232</f>
        <v>8123.82</v>
      </c>
      <c r="G2234" s="4">
        <f>[1]Raw_Data!G2232</f>
        <v>0.04</v>
      </c>
      <c r="H2234" s="3">
        <f>[1]Raw_Data!H2232</f>
        <v>0</v>
      </c>
      <c r="I2234" s="3" t="str">
        <f>TRIM([1]Raw_Data!I2232)</f>
        <v>UK</v>
      </c>
      <c r="J2234" s="3" t="str">
        <f>TRIM([1]Raw_Data!J2232)</f>
        <v>iHerb</v>
      </c>
      <c r="K2234" s="3">
        <f t="shared" si="136"/>
        <v>2022</v>
      </c>
      <c r="L2234" s="6">
        <f t="shared" si="137"/>
        <v>44805</v>
      </c>
      <c r="M2234" s="3" t="str">
        <f t="shared" si="138"/>
        <v>0% to 5%</v>
      </c>
      <c r="N2234" s="3" t="str">
        <f t="shared" si="139"/>
        <v>OK</v>
      </c>
    </row>
    <row r="2235" spans="1:14" x14ac:dyDescent="0.3">
      <c r="A2235" s="2">
        <f>DATE(VALUE(RIGHT(TRIM([1]Raw_Data!A2233),4)),VALUE(MID(TRIM([1]Raw_Data!A2233),4,2)),VALUE(LEFT(TRIM([1]Raw_Data!A2233),2)))</f>
        <v>44809</v>
      </c>
      <c r="B2235" s="3" t="str">
        <f>TRIM([1]Raw_Data!B2233)</f>
        <v>Zinc</v>
      </c>
      <c r="C2235" s="3" t="str">
        <f>TRIM([1]Raw_Data!C2233)</f>
        <v>Mineral</v>
      </c>
      <c r="D2235" s="3">
        <f>[1]Raw_Data!D2233</f>
        <v>140</v>
      </c>
      <c r="E2235" s="4">
        <f>[1]Raw_Data!E2233</f>
        <v>31.1</v>
      </c>
      <c r="F2235" s="5">
        <f>[1]Raw_Data!F2233</f>
        <v>4354</v>
      </c>
      <c r="G2235" s="4">
        <f>[1]Raw_Data!G2233</f>
        <v>0.23</v>
      </c>
      <c r="H2235" s="3">
        <f>[1]Raw_Data!H2233</f>
        <v>3</v>
      </c>
      <c r="I2235" s="3" t="str">
        <f>TRIM([1]Raw_Data!I2233)</f>
        <v>USA</v>
      </c>
      <c r="J2235" s="3" t="str">
        <f>TRIM([1]Raw_Data!J2233)</f>
        <v>iHerb</v>
      </c>
      <c r="K2235" s="3">
        <f t="shared" si="136"/>
        <v>2022</v>
      </c>
      <c r="L2235" s="6">
        <f t="shared" si="137"/>
        <v>44805</v>
      </c>
      <c r="M2235" s="3" t="str">
        <f t="shared" si="138"/>
        <v>21% to 25%</v>
      </c>
      <c r="N2235" s="3" t="str">
        <f t="shared" si="139"/>
        <v>OK</v>
      </c>
    </row>
    <row r="2236" spans="1:14" x14ac:dyDescent="0.3">
      <c r="A2236" s="2">
        <f>DATE(VALUE(RIGHT(TRIM([1]Raw_Data!A2234),4)),VALUE(MID(TRIM([1]Raw_Data!A2234),4,2)),VALUE(LEFT(TRIM([1]Raw_Data!A2234),2)))</f>
        <v>44809</v>
      </c>
      <c r="B2236" s="3" t="str">
        <f>TRIM([1]Raw_Data!B2234)</f>
        <v>Collagen Peptides</v>
      </c>
      <c r="C2236" s="3" t="str">
        <f>TRIM([1]Raw_Data!C2234)</f>
        <v>Protein</v>
      </c>
      <c r="D2236" s="3">
        <f>[1]Raw_Data!D2234</f>
        <v>148</v>
      </c>
      <c r="E2236" s="4">
        <f>[1]Raw_Data!E2234</f>
        <v>37.75</v>
      </c>
      <c r="F2236" s="5">
        <f>[1]Raw_Data!F2234</f>
        <v>5587</v>
      </c>
      <c r="G2236" s="4">
        <f>[1]Raw_Data!G2234</f>
        <v>0.06</v>
      </c>
      <c r="H2236" s="3">
        <f>[1]Raw_Data!H2234</f>
        <v>0</v>
      </c>
      <c r="I2236" s="3" t="str">
        <f>TRIM([1]Raw_Data!I2234)</f>
        <v>UK</v>
      </c>
      <c r="J2236" s="3" t="str">
        <f>TRIM([1]Raw_Data!J2234)</f>
        <v>Amazon</v>
      </c>
      <c r="K2236" s="3">
        <f t="shared" si="136"/>
        <v>2022</v>
      </c>
      <c r="L2236" s="6">
        <f t="shared" si="137"/>
        <v>44805</v>
      </c>
      <c r="M2236" s="3" t="str">
        <f t="shared" si="138"/>
        <v>6% to 10%</v>
      </c>
      <c r="N2236" s="3" t="str">
        <f t="shared" si="139"/>
        <v>OK</v>
      </c>
    </row>
    <row r="2237" spans="1:14" x14ac:dyDescent="0.3">
      <c r="A2237" s="2">
        <f>DATE(VALUE(RIGHT(TRIM([1]Raw_Data!A2235),4)),VALUE(MID(TRIM([1]Raw_Data!A2235),4,2)),VALUE(LEFT(TRIM([1]Raw_Data!A2235),2)))</f>
        <v>44809</v>
      </c>
      <c r="B2237" s="3" t="str">
        <f>TRIM([1]Raw_Data!B2235)</f>
        <v>Magnesium</v>
      </c>
      <c r="C2237" s="3" t="str">
        <f>TRIM([1]Raw_Data!C2235)</f>
        <v>Mineral</v>
      </c>
      <c r="D2237" s="3">
        <f>[1]Raw_Data!D2235</f>
        <v>175</v>
      </c>
      <c r="E2237" s="4">
        <f>[1]Raw_Data!E2235</f>
        <v>19.920000000000002</v>
      </c>
      <c r="F2237" s="5">
        <f>[1]Raw_Data!F2235</f>
        <v>3486</v>
      </c>
      <c r="G2237" s="4">
        <f>[1]Raw_Data!G2235</f>
        <v>0.12</v>
      </c>
      <c r="H2237" s="3">
        <f>[1]Raw_Data!H2235</f>
        <v>2</v>
      </c>
      <c r="I2237" s="3" t="str">
        <f>TRIM([1]Raw_Data!I2235)</f>
        <v>UK</v>
      </c>
      <c r="J2237" s="3" t="str">
        <f>TRIM([1]Raw_Data!J2235)</f>
        <v>Amazon</v>
      </c>
      <c r="K2237" s="3">
        <f t="shared" si="136"/>
        <v>2022</v>
      </c>
      <c r="L2237" s="6">
        <f t="shared" si="137"/>
        <v>44805</v>
      </c>
      <c r="M2237" s="3" t="str">
        <f t="shared" si="138"/>
        <v>11% to 15%</v>
      </c>
      <c r="N2237" s="3" t="str">
        <f t="shared" si="139"/>
        <v>OK</v>
      </c>
    </row>
    <row r="2238" spans="1:14" x14ac:dyDescent="0.3">
      <c r="A2238" s="2">
        <f>DATE(VALUE(RIGHT(TRIM([1]Raw_Data!A2236),4)),VALUE(MID(TRIM([1]Raw_Data!A2236),4,2)),VALUE(LEFT(TRIM([1]Raw_Data!A2236),2)))</f>
        <v>44809</v>
      </c>
      <c r="B2238" s="3" t="str">
        <f>TRIM([1]Raw_Data!B2236)</f>
        <v>Ashwagandha</v>
      </c>
      <c r="C2238" s="3" t="str">
        <f>TRIM([1]Raw_Data!C2236)</f>
        <v>Herbal</v>
      </c>
      <c r="D2238" s="3">
        <f>[1]Raw_Data!D2236</f>
        <v>146</v>
      </c>
      <c r="E2238" s="4">
        <f>[1]Raw_Data!E2236</f>
        <v>21.42</v>
      </c>
      <c r="F2238" s="5">
        <f>[1]Raw_Data!F2236</f>
        <v>3127.32</v>
      </c>
      <c r="G2238" s="4">
        <f>[1]Raw_Data!G2236</f>
        <v>0.11</v>
      </c>
      <c r="H2238" s="3">
        <f>[1]Raw_Data!H2236</f>
        <v>1</v>
      </c>
      <c r="I2238" s="3" t="str">
        <f>TRIM([1]Raw_Data!I2236)</f>
        <v>UK</v>
      </c>
      <c r="J2238" s="3" t="str">
        <f>TRIM([1]Raw_Data!J2236)</f>
        <v>iHerb</v>
      </c>
      <c r="K2238" s="3">
        <f t="shared" si="136"/>
        <v>2022</v>
      </c>
      <c r="L2238" s="6">
        <f t="shared" si="137"/>
        <v>44805</v>
      </c>
      <c r="M2238" s="3" t="str">
        <f t="shared" si="138"/>
        <v>11% to 15%</v>
      </c>
      <c r="N2238" s="3" t="str">
        <f t="shared" si="139"/>
        <v>OK</v>
      </c>
    </row>
    <row r="2239" spans="1:14" x14ac:dyDescent="0.3">
      <c r="A2239" s="2">
        <f>DATE(VALUE(RIGHT(TRIM([1]Raw_Data!A2237),4)),VALUE(MID(TRIM([1]Raw_Data!A2237),4,2)),VALUE(LEFT(TRIM([1]Raw_Data!A2237),2)))</f>
        <v>44809</v>
      </c>
      <c r="B2239" s="3" t="str">
        <f>TRIM([1]Raw_Data!B2237)</f>
        <v>Melatonin</v>
      </c>
      <c r="C2239" s="3" t="str">
        <f>TRIM([1]Raw_Data!C2237)</f>
        <v>Sleep Aid</v>
      </c>
      <c r="D2239" s="3">
        <f>[1]Raw_Data!D2237</f>
        <v>167</v>
      </c>
      <c r="E2239" s="4">
        <f>[1]Raw_Data!E2237</f>
        <v>16.68</v>
      </c>
      <c r="F2239" s="5">
        <f>[1]Raw_Data!F2237</f>
        <v>2785.56</v>
      </c>
      <c r="G2239" s="4">
        <f>[1]Raw_Data!G2237</f>
        <v>0.12</v>
      </c>
      <c r="H2239" s="3">
        <f>[1]Raw_Data!H2237</f>
        <v>2</v>
      </c>
      <c r="I2239" s="3" t="str">
        <f>TRIM([1]Raw_Data!I2237)</f>
        <v>UK</v>
      </c>
      <c r="J2239" s="3" t="str">
        <f>TRIM([1]Raw_Data!J2237)</f>
        <v>iHerb</v>
      </c>
      <c r="K2239" s="3">
        <f t="shared" si="136"/>
        <v>2022</v>
      </c>
      <c r="L2239" s="6">
        <f t="shared" si="137"/>
        <v>44805</v>
      </c>
      <c r="M2239" s="3" t="str">
        <f t="shared" si="138"/>
        <v>11% to 15%</v>
      </c>
      <c r="N2239" s="3" t="str">
        <f t="shared" si="139"/>
        <v>OK</v>
      </c>
    </row>
    <row r="2240" spans="1:14" x14ac:dyDescent="0.3">
      <c r="A2240" s="2">
        <f>DATE(VALUE(RIGHT(TRIM([1]Raw_Data!A2238),4)),VALUE(MID(TRIM([1]Raw_Data!A2238),4,2)),VALUE(LEFT(TRIM([1]Raw_Data!A2238),2)))</f>
        <v>44809</v>
      </c>
      <c r="B2240" s="3" t="str">
        <f>TRIM([1]Raw_Data!B2238)</f>
        <v>Biotin</v>
      </c>
      <c r="C2240" s="3" t="str">
        <f>TRIM([1]Raw_Data!C2238)</f>
        <v>Vitamin</v>
      </c>
      <c r="D2240" s="3">
        <f>[1]Raw_Data!D2238</f>
        <v>132</v>
      </c>
      <c r="E2240" s="4">
        <f>[1]Raw_Data!E2238</f>
        <v>10.89</v>
      </c>
      <c r="F2240" s="5">
        <f>[1]Raw_Data!F2238</f>
        <v>1437.48</v>
      </c>
      <c r="G2240" s="4">
        <f>[1]Raw_Data!G2238</f>
        <v>0.01</v>
      </c>
      <c r="H2240" s="3">
        <f>[1]Raw_Data!H2238</f>
        <v>1</v>
      </c>
      <c r="I2240" s="3" t="str">
        <f>TRIM([1]Raw_Data!I2238)</f>
        <v>USA</v>
      </c>
      <c r="J2240" s="3" t="str">
        <f>TRIM([1]Raw_Data!J2238)</f>
        <v>Walmart</v>
      </c>
      <c r="K2240" s="3">
        <f t="shared" si="136"/>
        <v>2022</v>
      </c>
      <c r="L2240" s="6">
        <f t="shared" si="137"/>
        <v>44805</v>
      </c>
      <c r="M2240" s="3" t="str">
        <f t="shared" si="138"/>
        <v>0% to 5%</v>
      </c>
      <c r="N2240" s="3" t="str">
        <f t="shared" si="139"/>
        <v>OK</v>
      </c>
    </row>
    <row r="2241" spans="1:14" x14ac:dyDescent="0.3">
      <c r="A2241" s="2">
        <f>DATE(VALUE(RIGHT(TRIM([1]Raw_Data!A2239),4)),VALUE(MID(TRIM([1]Raw_Data!A2239),4,2)),VALUE(LEFT(TRIM([1]Raw_Data!A2239),2)))</f>
        <v>44809</v>
      </c>
      <c r="B2241" s="3" t="str">
        <f>TRIM([1]Raw_Data!B2239)</f>
        <v>Green Tea Extract</v>
      </c>
      <c r="C2241" s="3" t="str">
        <f>TRIM([1]Raw_Data!C2239)</f>
        <v>Fat Burner</v>
      </c>
      <c r="D2241" s="3">
        <f>[1]Raw_Data!D2239</f>
        <v>142</v>
      </c>
      <c r="E2241" s="4">
        <f>[1]Raw_Data!E2239</f>
        <v>40.11</v>
      </c>
      <c r="F2241" s="5">
        <f>[1]Raw_Data!F2239</f>
        <v>5695.62</v>
      </c>
      <c r="G2241" s="4">
        <f>[1]Raw_Data!G2239</f>
        <v>0.11</v>
      </c>
      <c r="H2241" s="3">
        <f>[1]Raw_Data!H2239</f>
        <v>1</v>
      </c>
      <c r="I2241" s="3" t="str">
        <f>TRIM([1]Raw_Data!I2239)</f>
        <v>UK</v>
      </c>
      <c r="J2241" s="3" t="str">
        <f>TRIM([1]Raw_Data!J2239)</f>
        <v>Amazon</v>
      </c>
      <c r="K2241" s="3">
        <f t="shared" si="136"/>
        <v>2022</v>
      </c>
      <c r="L2241" s="6">
        <f t="shared" si="137"/>
        <v>44805</v>
      </c>
      <c r="M2241" s="3" t="str">
        <f t="shared" si="138"/>
        <v>11% to 15%</v>
      </c>
      <c r="N2241" s="3" t="str">
        <f t="shared" si="139"/>
        <v>OK</v>
      </c>
    </row>
    <row r="2242" spans="1:14" x14ac:dyDescent="0.3">
      <c r="A2242" s="2">
        <f>DATE(VALUE(RIGHT(TRIM([1]Raw_Data!A2240),4)),VALUE(MID(TRIM([1]Raw_Data!A2240),4,2)),VALUE(LEFT(TRIM([1]Raw_Data!A2240),2)))</f>
        <v>44809</v>
      </c>
      <c r="B2242" s="3" t="str">
        <f>TRIM([1]Raw_Data!B2240)</f>
        <v>Iron Supplement</v>
      </c>
      <c r="C2242" s="3" t="str">
        <f>TRIM([1]Raw_Data!C2240)</f>
        <v>Mineral</v>
      </c>
      <c r="D2242" s="3">
        <f>[1]Raw_Data!D2240</f>
        <v>150</v>
      </c>
      <c r="E2242" s="4">
        <f>[1]Raw_Data!E2240</f>
        <v>54.64</v>
      </c>
      <c r="F2242" s="5">
        <f>[1]Raw_Data!F2240</f>
        <v>8196</v>
      </c>
      <c r="G2242" s="4">
        <f>[1]Raw_Data!G2240</f>
        <v>0.25</v>
      </c>
      <c r="H2242" s="3">
        <f>[1]Raw_Data!H2240</f>
        <v>0</v>
      </c>
      <c r="I2242" s="3" t="str">
        <f>TRIM([1]Raw_Data!I2240)</f>
        <v>Canada</v>
      </c>
      <c r="J2242" s="3" t="str">
        <f>TRIM([1]Raw_Data!J2240)</f>
        <v>Walmart</v>
      </c>
      <c r="K2242" s="3">
        <f t="shared" si="136"/>
        <v>2022</v>
      </c>
      <c r="L2242" s="6">
        <f t="shared" si="137"/>
        <v>44805</v>
      </c>
      <c r="M2242" s="3" t="str">
        <f t="shared" si="138"/>
        <v>21% to 25%</v>
      </c>
      <c r="N2242" s="3" t="str">
        <f t="shared" si="139"/>
        <v>OK</v>
      </c>
    </row>
    <row r="2243" spans="1:14" x14ac:dyDescent="0.3">
      <c r="A2243" s="2">
        <f>DATE(VALUE(RIGHT(TRIM([1]Raw_Data!A2241),4)),VALUE(MID(TRIM([1]Raw_Data!A2241),4,2)),VALUE(LEFT(TRIM([1]Raw_Data!A2241),2)))</f>
        <v>44809</v>
      </c>
      <c r="B2243" s="3" t="str">
        <f>TRIM([1]Raw_Data!B2241)</f>
        <v>Electrolyte Powder</v>
      </c>
      <c r="C2243" s="3" t="str">
        <f>TRIM([1]Raw_Data!C2241)</f>
        <v>Hydration</v>
      </c>
      <c r="D2243" s="3">
        <f>[1]Raw_Data!D2241</f>
        <v>133</v>
      </c>
      <c r="E2243" s="4">
        <f>[1]Raw_Data!E2241</f>
        <v>43.05</v>
      </c>
      <c r="F2243" s="5">
        <f>[1]Raw_Data!F2241</f>
        <v>5725.65</v>
      </c>
      <c r="G2243" s="4">
        <f>[1]Raw_Data!G2241</f>
        <v>0.17</v>
      </c>
      <c r="H2243" s="3">
        <f>[1]Raw_Data!H2241</f>
        <v>2</v>
      </c>
      <c r="I2243" s="3" t="str">
        <f>TRIM([1]Raw_Data!I2241)</f>
        <v>USA</v>
      </c>
      <c r="J2243" s="3" t="str">
        <f>TRIM([1]Raw_Data!J2241)</f>
        <v>iHerb</v>
      </c>
      <c r="K2243" s="3">
        <f t="shared" si="136"/>
        <v>2022</v>
      </c>
      <c r="L2243" s="6">
        <f t="shared" si="137"/>
        <v>44805</v>
      </c>
      <c r="M2243" s="3" t="str">
        <f t="shared" si="138"/>
        <v>16% to 20%</v>
      </c>
      <c r="N2243" s="3" t="str">
        <f t="shared" si="139"/>
        <v>OK</v>
      </c>
    </row>
    <row r="2244" spans="1:14" x14ac:dyDescent="0.3">
      <c r="A2244" s="2">
        <f>DATE(VALUE(RIGHT(TRIM([1]Raw_Data!A2242),4)),VALUE(MID(TRIM([1]Raw_Data!A2242),4,2)),VALUE(LEFT(TRIM([1]Raw_Data!A2242),2)))</f>
        <v>44816</v>
      </c>
      <c r="B2244" s="3" t="str">
        <f>TRIM([1]Raw_Data!B2242)</f>
        <v>Whey Protein</v>
      </c>
      <c r="C2244" s="3" t="str">
        <f>TRIM([1]Raw_Data!C2242)</f>
        <v>Protein</v>
      </c>
      <c r="D2244" s="3">
        <f>[1]Raw_Data!D2242</f>
        <v>159</v>
      </c>
      <c r="E2244" s="4">
        <f>[1]Raw_Data!E2242</f>
        <v>40.64</v>
      </c>
      <c r="F2244" s="5">
        <f>[1]Raw_Data!F2242</f>
        <v>6461.76</v>
      </c>
      <c r="G2244" s="4">
        <f>[1]Raw_Data!G2242</f>
        <v>0.17</v>
      </c>
      <c r="H2244" s="3">
        <f>[1]Raw_Data!H2242</f>
        <v>1</v>
      </c>
      <c r="I2244" s="3" t="str">
        <f>TRIM([1]Raw_Data!I2242)</f>
        <v>USA</v>
      </c>
      <c r="J2244" s="3" t="str">
        <f>TRIM([1]Raw_Data!J2242)</f>
        <v>Walmart</v>
      </c>
      <c r="K2244" s="3">
        <f t="shared" ref="K2244:K2307" si="140">YEAR(A2244)</f>
        <v>2022</v>
      </c>
      <c r="L2244" s="6">
        <f t="shared" ref="L2244:L2307" si="141">DATE(YEAR(A2244),MONTH(A2244),1)</f>
        <v>44805</v>
      </c>
      <c r="M2244" s="3" t="str">
        <f t="shared" ref="M2244:M2307" si="142">IF(ROUND(G2244*100,0)&lt;=5,"0% to 5%",IF(ROUND(G2244*100,0)&lt;=10,"6% to 10%",IF(ROUND(G2244*100,0)&lt;=15,"11% to 15%",IF(ROUND(G2244*100,0)&lt;=20,"16% to 20%","21% to 25%"))))</f>
        <v>16% to 20%</v>
      </c>
      <c r="N2244" s="3" t="str">
        <f t="shared" ref="N2244:N2307" si="143">IF(ROUND(D2244*E2244,2)=ROUND(F2244,2),"OK","Check")</f>
        <v>OK</v>
      </c>
    </row>
    <row r="2245" spans="1:14" x14ac:dyDescent="0.3">
      <c r="A2245" s="2">
        <f>DATE(VALUE(RIGHT(TRIM([1]Raw_Data!A2243),4)),VALUE(MID(TRIM([1]Raw_Data!A2243),4,2)),VALUE(LEFT(TRIM([1]Raw_Data!A2243),2)))</f>
        <v>44816</v>
      </c>
      <c r="B2245" s="3" t="str">
        <f>TRIM([1]Raw_Data!B2243)</f>
        <v>Vitamin C</v>
      </c>
      <c r="C2245" s="3" t="str">
        <f>TRIM([1]Raw_Data!C2243)</f>
        <v>Vitamin</v>
      </c>
      <c r="D2245" s="3">
        <f>[1]Raw_Data!D2243</f>
        <v>149</v>
      </c>
      <c r="E2245" s="4">
        <f>[1]Raw_Data!E2243</f>
        <v>37.869999999999997</v>
      </c>
      <c r="F2245" s="5">
        <f>[1]Raw_Data!F2243</f>
        <v>5642.63</v>
      </c>
      <c r="G2245" s="4">
        <f>[1]Raw_Data!G2243</f>
        <v>0.16</v>
      </c>
      <c r="H2245" s="3">
        <f>[1]Raw_Data!H2243</f>
        <v>2</v>
      </c>
      <c r="I2245" s="3" t="str">
        <f>TRIM([1]Raw_Data!I2243)</f>
        <v>UK</v>
      </c>
      <c r="J2245" s="3" t="str">
        <f>TRIM([1]Raw_Data!J2243)</f>
        <v>iHerb</v>
      </c>
      <c r="K2245" s="3">
        <f t="shared" si="140"/>
        <v>2022</v>
      </c>
      <c r="L2245" s="6">
        <f t="shared" si="141"/>
        <v>44805</v>
      </c>
      <c r="M2245" s="3" t="str">
        <f t="shared" si="142"/>
        <v>16% to 20%</v>
      </c>
      <c r="N2245" s="3" t="str">
        <f t="shared" si="143"/>
        <v>OK</v>
      </c>
    </row>
    <row r="2246" spans="1:14" x14ac:dyDescent="0.3">
      <c r="A2246" s="2">
        <f>DATE(VALUE(RIGHT(TRIM([1]Raw_Data!A2244),4)),VALUE(MID(TRIM([1]Raw_Data!A2244),4,2)),VALUE(LEFT(TRIM([1]Raw_Data!A2244),2)))</f>
        <v>44816</v>
      </c>
      <c r="B2246" s="3" t="str">
        <f>TRIM([1]Raw_Data!B2244)</f>
        <v>Fish Oil</v>
      </c>
      <c r="C2246" s="3" t="str">
        <f>TRIM([1]Raw_Data!C2244)</f>
        <v>Omega</v>
      </c>
      <c r="D2246" s="3">
        <f>[1]Raw_Data!D2244</f>
        <v>158</v>
      </c>
      <c r="E2246" s="4">
        <f>[1]Raw_Data!E2244</f>
        <v>35.99</v>
      </c>
      <c r="F2246" s="5">
        <f>[1]Raw_Data!F2244</f>
        <v>5686.42</v>
      </c>
      <c r="G2246" s="4">
        <f>[1]Raw_Data!G2244</f>
        <v>0.17</v>
      </c>
      <c r="H2246" s="3">
        <f>[1]Raw_Data!H2244</f>
        <v>1</v>
      </c>
      <c r="I2246" s="3" t="str">
        <f>TRIM([1]Raw_Data!I2244)</f>
        <v>UK</v>
      </c>
      <c r="J2246" s="3" t="str">
        <f>TRIM([1]Raw_Data!J2244)</f>
        <v>Amazon</v>
      </c>
      <c r="K2246" s="3">
        <f t="shared" si="140"/>
        <v>2022</v>
      </c>
      <c r="L2246" s="6">
        <f t="shared" si="141"/>
        <v>44805</v>
      </c>
      <c r="M2246" s="3" t="str">
        <f t="shared" si="142"/>
        <v>16% to 20%</v>
      </c>
      <c r="N2246" s="3" t="str">
        <f t="shared" si="143"/>
        <v>OK</v>
      </c>
    </row>
    <row r="2247" spans="1:14" x14ac:dyDescent="0.3">
      <c r="A2247" s="2">
        <f>DATE(VALUE(RIGHT(TRIM([1]Raw_Data!A2245),4)),VALUE(MID(TRIM([1]Raw_Data!A2245),4,2)),VALUE(LEFT(TRIM([1]Raw_Data!A2245),2)))</f>
        <v>44816</v>
      </c>
      <c r="B2247" s="3" t="str">
        <f>TRIM([1]Raw_Data!B2245)</f>
        <v>Multivitamin</v>
      </c>
      <c r="C2247" s="3" t="str">
        <f>TRIM([1]Raw_Data!C2245)</f>
        <v>Vitamin</v>
      </c>
      <c r="D2247" s="3">
        <f>[1]Raw_Data!D2245</f>
        <v>140</v>
      </c>
      <c r="E2247" s="4">
        <f>[1]Raw_Data!E2245</f>
        <v>38</v>
      </c>
      <c r="F2247" s="5">
        <f>[1]Raw_Data!F2245</f>
        <v>5320</v>
      </c>
      <c r="G2247" s="4">
        <f>[1]Raw_Data!G2245</f>
        <v>0.15</v>
      </c>
      <c r="H2247" s="3">
        <f>[1]Raw_Data!H2245</f>
        <v>4</v>
      </c>
      <c r="I2247" s="3" t="str">
        <f>TRIM([1]Raw_Data!I2245)</f>
        <v>USA</v>
      </c>
      <c r="J2247" s="3" t="str">
        <f>TRIM([1]Raw_Data!J2245)</f>
        <v>iHerb</v>
      </c>
      <c r="K2247" s="3">
        <f t="shared" si="140"/>
        <v>2022</v>
      </c>
      <c r="L2247" s="6">
        <f t="shared" si="141"/>
        <v>44805</v>
      </c>
      <c r="M2247" s="3" t="str">
        <f t="shared" si="142"/>
        <v>11% to 15%</v>
      </c>
      <c r="N2247" s="3" t="str">
        <f t="shared" si="143"/>
        <v>OK</v>
      </c>
    </row>
    <row r="2248" spans="1:14" x14ac:dyDescent="0.3">
      <c r="A2248" s="2">
        <f>DATE(VALUE(RIGHT(TRIM([1]Raw_Data!A2246),4)),VALUE(MID(TRIM([1]Raw_Data!A2246),4,2)),VALUE(LEFT(TRIM([1]Raw_Data!A2246),2)))</f>
        <v>44816</v>
      </c>
      <c r="B2248" s="3" t="str">
        <f>TRIM([1]Raw_Data!B2246)</f>
        <v>Pre-Workout</v>
      </c>
      <c r="C2248" s="3" t="str">
        <f>TRIM([1]Raw_Data!C2246)</f>
        <v>Performance</v>
      </c>
      <c r="D2248" s="3">
        <f>[1]Raw_Data!D2246</f>
        <v>145</v>
      </c>
      <c r="E2248" s="4">
        <f>[1]Raw_Data!E2246</f>
        <v>20.09</v>
      </c>
      <c r="F2248" s="5">
        <f>[1]Raw_Data!F2246</f>
        <v>2913.05</v>
      </c>
      <c r="G2248" s="4">
        <f>[1]Raw_Data!G2246</f>
        <v>0.02</v>
      </c>
      <c r="H2248" s="3">
        <f>[1]Raw_Data!H2246</f>
        <v>2</v>
      </c>
      <c r="I2248" s="3" t="str">
        <f>TRIM([1]Raw_Data!I2246)</f>
        <v>Canada</v>
      </c>
      <c r="J2248" s="3" t="str">
        <f>TRIM([1]Raw_Data!J2246)</f>
        <v>Amazon</v>
      </c>
      <c r="K2248" s="3">
        <f t="shared" si="140"/>
        <v>2022</v>
      </c>
      <c r="L2248" s="6">
        <f t="shared" si="141"/>
        <v>44805</v>
      </c>
      <c r="M2248" s="3" t="str">
        <f t="shared" si="142"/>
        <v>0% to 5%</v>
      </c>
      <c r="N2248" s="3" t="str">
        <f t="shared" si="143"/>
        <v>OK</v>
      </c>
    </row>
    <row r="2249" spans="1:14" x14ac:dyDescent="0.3">
      <c r="A2249" s="2">
        <f>DATE(VALUE(RIGHT(TRIM([1]Raw_Data!A2247),4)),VALUE(MID(TRIM([1]Raw_Data!A2247),4,2)),VALUE(LEFT(TRIM([1]Raw_Data!A2247),2)))</f>
        <v>44816</v>
      </c>
      <c r="B2249" s="3" t="str">
        <f>TRIM([1]Raw_Data!B2247)</f>
        <v>BCAA</v>
      </c>
      <c r="C2249" s="3" t="str">
        <f>TRIM([1]Raw_Data!C2247)</f>
        <v>Amino Acid</v>
      </c>
      <c r="D2249" s="3">
        <f>[1]Raw_Data!D2247</f>
        <v>140</v>
      </c>
      <c r="E2249" s="4">
        <f>[1]Raw_Data!E2247</f>
        <v>44.39</v>
      </c>
      <c r="F2249" s="5">
        <f>[1]Raw_Data!F2247</f>
        <v>6214.6</v>
      </c>
      <c r="G2249" s="4">
        <f>[1]Raw_Data!G2247</f>
        <v>0.12</v>
      </c>
      <c r="H2249" s="3">
        <f>[1]Raw_Data!H2247</f>
        <v>3</v>
      </c>
      <c r="I2249" s="3" t="str">
        <f>TRIM([1]Raw_Data!I2247)</f>
        <v>UK</v>
      </c>
      <c r="J2249" s="3" t="str">
        <f>TRIM([1]Raw_Data!J2247)</f>
        <v>Amazon</v>
      </c>
      <c r="K2249" s="3">
        <f t="shared" si="140"/>
        <v>2022</v>
      </c>
      <c r="L2249" s="6">
        <f t="shared" si="141"/>
        <v>44805</v>
      </c>
      <c r="M2249" s="3" t="str">
        <f t="shared" si="142"/>
        <v>11% to 15%</v>
      </c>
      <c r="N2249" s="3" t="str">
        <f t="shared" si="143"/>
        <v>OK</v>
      </c>
    </row>
    <row r="2250" spans="1:14" x14ac:dyDescent="0.3">
      <c r="A2250" s="2">
        <f>DATE(VALUE(RIGHT(TRIM([1]Raw_Data!A2248),4)),VALUE(MID(TRIM([1]Raw_Data!A2248),4,2)),VALUE(LEFT(TRIM([1]Raw_Data!A2248),2)))</f>
        <v>44816</v>
      </c>
      <c r="B2250" s="3" t="str">
        <f>TRIM([1]Raw_Data!B2248)</f>
        <v>Creatine</v>
      </c>
      <c r="C2250" s="3" t="str">
        <f>TRIM([1]Raw_Data!C2248)</f>
        <v>Performance</v>
      </c>
      <c r="D2250" s="3">
        <f>[1]Raw_Data!D2248</f>
        <v>148</v>
      </c>
      <c r="E2250" s="4">
        <f>[1]Raw_Data!E2248</f>
        <v>54.8</v>
      </c>
      <c r="F2250" s="5">
        <f>[1]Raw_Data!F2248</f>
        <v>8110.4</v>
      </c>
      <c r="G2250" s="4">
        <f>[1]Raw_Data!G2248</f>
        <v>0.22</v>
      </c>
      <c r="H2250" s="3">
        <f>[1]Raw_Data!H2248</f>
        <v>0</v>
      </c>
      <c r="I2250" s="3" t="str">
        <f>TRIM([1]Raw_Data!I2248)</f>
        <v>Canada</v>
      </c>
      <c r="J2250" s="3" t="str">
        <f>TRIM([1]Raw_Data!J2248)</f>
        <v>iHerb</v>
      </c>
      <c r="K2250" s="3">
        <f t="shared" si="140"/>
        <v>2022</v>
      </c>
      <c r="L2250" s="6">
        <f t="shared" si="141"/>
        <v>44805</v>
      </c>
      <c r="M2250" s="3" t="str">
        <f t="shared" si="142"/>
        <v>21% to 25%</v>
      </c>
      <c r="N2250" s="3" t="str">
        <f t="shared" si="143"/>
        <v>OK</v>
      </c>
    </row>
    <row r="2251" spans="1:14" x14ac:dyDescent="0.3">
      <c r="A2251" s="2">
        <f>DATE(VALUE(RIGHT(TRIM([1]Raw_Data!A2249),4)),VALUE(MID(TRIM([1]Raw_Data!A2249),4,2)),VALUE(LEFT(TRIM([1]Raw_Data!A2249),2)))</f>
        <v>44816</v>
      </c>
      <c r="B2251" s="3" t="str">
        <f>TRIM([1]Raw_Data!B2249)</f>
        <v>Zinc</v>
      </c>
      <c r="C2251" s="3" t="str">
        <f>TRIM([1]Raw_Data!C2249)</f>
        <v>Mineral</v>
      </c>
      <c r="D2251" s="3">
        <f>[1]Raw_Data!D2249</f>
        <v>152</v>
      </c>
      <c r="E2251" s="4">
        <f>[1]Raw_Data!E2249</f>
        <v>54.44</v>
      </c>
      <c r="F2251" s="5">
        <f>[1]Raw_Data!F2249</f>
        <v>8274.8799999999992</v>
      </c>
      <c r="G2251" s="4">
        <f>[1]Raw_Data!G2249</f>
        <v>0.11</v>
      </c>
      <c r="H2251" s="3">
        <f>[1]Raw_Data!H2249</f>
        <v>1</v>
      </c>
      <c r="I2251" s="3" t="str">
        <f>TRIM([1]Raw_Data!I2249)</f>
        <v>UK</v>
      </c>
      <c r="J2251" s="3" t="str">
        <f>TRIM([1]Raw_Data!J2249)</f>
        <v>Amazon</v>
      </c>
      <c r="K2251" s="3">
        <f t="shared" si="140"/>
        <v>2022</v>
      </c>
      <c r="L2251" s="6">
        <f t="shared" si="141"/>
        <v>44805</v>
      </c>
      <c r="M2251" s="3" t="str">
        <f t="shared" si="142"/>
        <v>11% to 15%</v>
      </c>
      <c r="N2251" s="3" t="str">
        <f t="shared" si="143"/>
        <v>OK</v>
      </c>
    </row>
    <row r="2252" spans="1:14" x14ac:dyDescent="0.3">
      <c r="A2252" s="2">
        <f>DATE(VALUE(RIGHT(TRIM([1]Raw_Data!A2250),4)),VALUE(MID(TRIM([1]Raw_Data!A2250),4,2)),VALUE(LEFT(TRIM([1]Raw_Data!A2250),2)))</f>
        <v>44816</v>
      </c>
      <c r="B2252" s="3" t="str">
        <f>TRIM([1]Raw_Data!B2250)</f>
        <v>Collagen Peptides</v>
      </c>
      <c r="C2252" s="3" t="str">
        <f>TRIM([1]Raw_Data!C2250)</f>
        <v>Protein</v>
      </c>
      <c r="D2252" s="3">
        <f>[1]Raw_Data!D2250</f>
        <v>175</v>
      </c>
      <c r="E2252" s="4">
        <f>[1]Raw_Data!E2250</f>
        <v>52.18</v>
      </c>
      <c r="F2252" s="5">
        <f>[1]Raw_Data!F2250</f>
        <v>9131.5</v>
      </c>
      <c r="G2252" s="4">
        <f>[1]Raw_Data!G2250</f>
        <v>0.13</v>
      </c>
      <c r="H2252" s="3">
        <f>[1]Raw_Data!H2250</f>
        <v>3</v>
      </c>
      <c r="I2252" s="3" t="str">
        <f>TRIM([1]Raw_Data!I2250)</f>
        <v>UK</v>
      </c>
      <c r="J2252" s="3" t="str">
        <f>TRIM([1]Raw_Data!J2250)</f>
        <v>Walmart</v>
      </c>
      <c r="K2252" s="3">
        <f t="shared" si="140"/>
        <v>2022</v>
      </c>
      <c r="L2252" s="6">
        <f t="shared" si="141"/>
        <v>44805</v>
      </c>
      <c r="M2252" s="3" t="str">
        <f t="shared" si="142"/>
        <v>11% to 15%</v>
      </c>
      <c r="N2252" s="3" t="str">
        <f t="shared" si="143"/>
        <v>OK</v>
      </c>
    </row>
    <row r="2253" spans="1:14" x14ac:dyDescent="0.3">
      <c r="A2253" s="2">
        <f>DATE(VALUE(RIGHT(TRIM([1]Raw_Data!A2251),4)),VALUE(MID(TRIM([1]Raw_Data!A2251),4,2)),VALUE(LEFT(TRIM([1]Raw_Data!A2251),2)))</f>
        <v>44816</v>
      </c>
      <c r="B2253" s="3" t="str">
        <f>TRIM([1]Raw_Data!B2251)</f>
        <v>Magnesium</v>
      </c>
      <c r="C2253" s="3" t="str">
        <f>TRIM([1]Raw_Data!C2251)</f>
        <v>Mineral</v>
      </c>
      <c r="D2253" s="3">
        <f>[1]Raw_Data!D2251</f>
        <v>137</v>
      </c>
      <c r="E2253" s="4">
        <f>[1]Raw_Data!E2251</f>
        <v>59.19</v>
      </c>
      <c r="F2253" s="5">
        <f>[1]Raw_Data!F2251</f>
        <v>8109.03</v>
      </c>
      <c r="G2253" s="4">
        <f>[1]Raw_Data!G2251</f>
        <v>7.0000000000000007E-2</v>
      </c>
      <c r="H2253" s="3">
        <f>[1]Raw_Data!H2251</f>
        <v>2</v>
      </c>
      <c r="I2253" s="3" t="str">
        <f>TRIM([1]Raw_Data!I2251)</f>
        <v>UK</v>
      </c>
      <c r="J2253" s="3" t="str">
        <f>TRIM([1]Raw_Data!J2251)</f>
        <v>Amazon</v>
      </c>
      <c r="K2253" s="3">
        <f t="shared" si="140"/>
        <v>2022</v>
      </c>
      <c r="L2253" s="6">
        <f t="shared" si="141"/>
        <v>44805</v>
      </c>
      <c r="M2253" s="3" t="str">
        <f t="shared" si="142"/>
        <v>6% to 10%</v>
      </c>
      <c r="N2253" s="3" t="str">
        <f t="shared" si="143"/>
        <v>OK</v>
      </c>
    </row>
    <row r="2254" spans="1:14" x14ac:dyDescent="0.3">
      <c r="A2254" s="2">
        <f>DATE(VALUE(RIGHT(TRIM([1]Raw_Data!A2252),4)),VALUE(MID(TRIM([1]Raw_Data!A2252),4,2)),VALUE(LEFT(TRIM([1]Raw_Data!A2252),2)))</f>
        <v>44816</v>
      </c>
      <c r="B2254" s="3" t="str">
        <f>TRIM([1]Raw_Data!B2252)</f>
        <v>Ashwagandha</v>
      </c>
      <c r="C2254" s="3" t="str">
        <f>TRIM([1]Raw_Data!C2252)</f>
        <v>Herbal</v>
      </c>
      <c r="D2254" s="3">
        <f>[1]Raw_Data!D2252</f>
        <v>150</v>
      </c>
      <c r="E2254" s="4">
        <f>[1]Raw_Data!E2252</f>
        <v>48.15</v>
      </c>
      <c r="F2254" s="5">
        <f>[1]Raw_Data!F2252</f>
        <v>7222.5</v>
      </c>
      <c r="G2254" s="4">
        <f>[1]Raw_Data!G2252</f>
        <v>0.04</v>
      </c>
      <c r="H2254" s="3">
        <f>[1]Raw_Data!H2252</f>
        <v>2</v>
      </c>
      <c r="I2254" s="3" t="str">
        <f>TRIM([1]Raw_Data!I2252)</f>
        <v>USA</v>
      </c>
      <c r="J2254" s="3" t="str">
        <f>TRIM([1]Raw_Data!J2252)</f>
        <v>Amazon</v>
      </c>
      <c r="K2254" s="3">
        <f t="shared" si="140"/>
        <v>2022</v>
      </c>
      <c r="L2254" s="6">
        <f t="shared" si="141"/>
        <v>44805</v>
      </c>
      <c r="M2254" s="3" t="str">
        <f t="shared" si="142"/>
        <v>0% to 5%</v>
      </c>
      <c r="N2254" s="3" t="str">
        <f t="shared" si="143"/>
        <v>OK</v>
      </c>
    </row>
    <row r="2255" spans="1:14" x14ac:dyDescent="0.3">
      <c r="A2255" s="2">
        <f>DATE(VALUE(RIGHT(TRIM([1]Raw_Data!A2253),4)),VALUE(MID(TRIM([1]Raw_Data!A2253),4,2)),VALUE(LEFT(TRIM([1]Raw_Data!A2253),2)))</f>
        <v>44816</v>
      </c>
      <c r="B2255" s="3" t="str">
        <f>TRIM([1]Raw_Data!B2253)</f>
        <v>Melatonin</v>
      </c>
      <c r="C2255" s="3" t="str">
        <f>TRIM([1]Raw_Data!C2253)</f>
        <v>Sleep Aid</v>
      </c>
      <c r="D2255" s="3">
        <f>[1]Raw_Data!D2253</f>
        <v>130</v>
      </c>
      <c r="E2255" s="4">
        <f>[1]Raw_Data!E2253</f>
        <v>24.59</v>
      </c>
      <c r="F2255" s="5">
        <f>[1]Raw_Data!F2253</f>
        <v>3196.7</v>
      </c>
      <c r="G2255" s="4">
        <f>[1]Raw_Data!G2253</f>
        <v>0.06</v>
      </c>
      <c r="H2255" s="3">
        <f>[1]Raw_Data!H2253</f>
        <v>0</v>
      </c>
      <c r="I2255" s="3" t="str">
        <f>TRIM([1]Raw_Data!I2253)</f>
        <v>UK</v>
      </c>
      <c r="J2255" s="3" t="str">
        <f>TRIM([1]Raw_Data!J2253)</f>
        <v>Walmart</v>
      </c>
      <c r="K2255" s="3">
        <f t="shared" si="140"/>
        <v>2022</v>
      </c>
      <c r="L2255" s="6">
        <f t="shared" si="141"/>
        <v>44805</v>
      </c>
      <c r="M2255" s="3" t="str">
        <f t="shared" si="142"/>
        <v>6% to 10%</v>
      </c>
      <c r="N2255" s="3" t="str">
        <f t="shared" si="143"/>
        <v>OK</v>
      </c>
    </row>
    <row r="2256" spans="1:14" x14ac:dyDescent="0.3">
      <c r="A2256" s="2">
        <f>DATE(VALUE(RIGHT(TRIM([1]Raw_Data!A2254),4)),VALUE(MID(TRIM([1]Raw_Data!A2254),4,2)),VALUE(LEFT(TRIM([1]Raw_Data!A2254),2)))</f>
        <v>44816</v>
      </c>
      <c r="B2256" s="3" t="str">
        <f>TRIM([1]Raw_Data!B2254)</f>
        <v>Biotin</v>
      </c>
      <c r="C2256" s="3" t="str">
        <f>TRIM([1]Raw_Data!C2254)</f>
        <v>Vitamin</v>
      </c>
      <c r="D2256" s="3">
        <f>[1]Raw_Data!D2254</f>
        <v>176</v>
      </c>
      <c r="E2256" s="4">
        <f>[1]Raw_Data!E2254</f>
        <v>47.08</v>
      </c>
      <c r="F2256" s="5">
        <f>[1]Raw_Data!F2254</f>
        <v>8286.08</v>
      </c>
      <c r="G2256" s="4">
        <f>[1]Raw_Data!G2254</f>
        <v>0.12</v>
      </c>
      <c r="H2256" s="3">
        <f>[1]Raw_Data!H2254</f>
        <v>2</v>
      </c>
      <c r="I2256" s="3" t="str">
        <f>TRIM([1]Raw_Data!I2254)</f>
        <v>UK</v>
      </c>
      <c r="J2256" s="3" t="str">
        <f>TRIM([1]Raw_Data!J2254)</f>
        <v>Walmart</v>
      </c>
      <c r="K2256" s="3">
        <f t="shared" si="140"/>
        <v>2022</v>
      </c>
      <c r="L2256" s="6">
        <f t="shared" si="141"/>
        <v>44805</v>
      </c>
      <c r="M2256" s="3" t="str">
        <f t="shared" si="142"/>
        <v>11% to 15%</v>
      </c>
      <c r="N2256" s="3" t="str">
        <f t="shared" si="143"/>
        <v>OK</v>
      </c>
    </row>
    <row r="2257" spans="1:14" x14ac:dyDescent="0.3">
      <c r="A2257" s="2">
        <f>DATE(VALUE(RIGHT(TRIM([1]Raw_Data!A2255),4)),VALUE(MID(TRIM([1]Raw_Data!A2255),4,2)),VALUE(LEFT(TRIM([1]Raw_Data!A2255),2)))</f>
        <v>44816</v>
      </c>
      <c r="B2257" s="3" t="str">
        <f>TRIM([1]Raw_Data!B2255)</f>
        <v>Green Tea Extract</v>
      </c>
      <c r="C2257" s="3" t="str">
        <f>TRIM([1]Raw_Data!C2255)</f>
        <v>Fat Burner</v>
      </c>
      <c r="D2257" s="3">
        <f>[1]Raw_Data!D2255</f>
        <v>132</v>
      </c>
      <c r="E2257" s="4">
        <f>[1]Raw_Data!E2255</f>
        <v>22.35</v>
      </c>
      <c r="F2257" s="5">
        <f>[1]Raw_Data!F2255</f>
        <v>2950.2</v>
      </c>
      <c r="G2257" s="4">
        <f>[1]Raw_Data!G2255</f>
        <v>0.24</v>
      </c>
      <c r="H2257" s="3">
        <f>[1]Raw_Data!H2255</f>
        <v>2</v>
      </c>
      <c r="I2257" s="3" t="str">
        <f>TRIM([1]Raw_Data!I2255)</f>
        <v>USA</v>
      </c>
      <c r="J2257" s="3" t="str">
        <f>TRIM([1]Raw_Data!J2255)</f>
        <v>Walmart</v>
      </c>
      <c r="K2257" s="3">
        <f t="shared" si="140"/>
        <v>2022</v>
      </c>
      <c r="L2257" s="6">
        <f t="shared" si="141"/>
        <v>44805</v>
      </c>
      <c r="M2257" s="3" t="str">
        <f t="shared" si="142"/>
        <v>21% to 25%</v>
      </c>
      <c r="N2257" s="3" t="str">
        <f t="shared" si="143"/>
        <v>OK</v>
      </c>
    </row>
    <row r="2258" spans="1:14" x14ac:dyDescent="0.3">
      <c r="A2258" s="2">
        <f>DATE(VALUE(RIGHT(TRIM([1]Raw_Data!A2256),4)),VALUE(MID(TRIM([1]Raw_Data!A2256),4,2)),VALUE(LEFT(TRIM([1]Raw_Data!A2256),2)))</f>
        <v>44816</v>
      </c>
      <c r="B2258" s="3" t="str">
        <f>TRIM([1]Raw_Data!B2256)</f>
        <v>Iron Supplement</v>
      </c>
      <c r="C2258" s="3" t="str">
        <f>TRIM([1]Raw_Data!C2256)</f>
        <v>Mineral</v>
      </c>
      <c r="D2258" s="3">
        <f>[1]Raw_Data!D2256</f>
        <v>147</v>
      </c>
      <c r="E2258" s="4">
        <f>[1]Raw_Data!E2256</f>
        <v>49.27</v>
      </c>
      <c r="F2258" s="5">
        <f>[1]Raw_Data!F2256</f>
        <v>7242.69</v>
      </c>
      <c r="G2258" s="4">
        <f>[1]Raw_Data!G2256</f>
        <v>0.03</v>
      </c>
      <c r="H2258" s="3">
        <f>[1]Raw_Data!H2256</f>
        <v>0</v>
      </c>
      <c r="I2258" s="3" t="str">
        <f>TRIM([1]Raw_Data!I2256)</f>
        <v>UK</v>
      </c>
      <c r="J2258" s="3" t="str">
        <f>TRIM([1]Raw_Data!J2256)</f>
        <v>iHerb</v>
      </c>
      <c r="K2258" s="3">
        <f t="shared" si="140"/>
        <v>2022</v>
      </c>
      <c r="L2258" s="6">
        <f t="shared" si="141"/>
        <v>44805</v>
      </c>
      <c r="M2258" s="3" t="str">
        <f t="shared" si="142"/>
        <v>0% to 5%</v>
      </c>
      <c r="N2258" s="3" t="str">
        <f t="shared" si="143"/>
        <v>OK</v>
      </c>
    </row>
    <row r="2259" spans="1:14" x14ac:dyDescent="0.3">
      <c r="A2259" s="2">
        <f>DATE(VALUE(RIGHT(TRIM([1]Raw_Data!A2257),4)),VALUE(MID(TRIM([1]Raw_Data!A2257),4,2)),VALUE(LEFT(TRIM([1]Raw_Data!A2257),2)))</f>
        <v>44816</v>
      </c>
      <c r="B2259" s="3" t="str">
        <f>TRIM([1]Raw_Data!B2257)</f>
        <v>Electrolyte Powder</v>
      </c>
      <c r="C2259" s="3" t="str">
        <f>TRIM([1]Raw_Data!C2257)</f>
        <v>Hydration</v>
      </c>
      <c r="D2259" s="3">
        <f>[1]Raw_Data!D2257</f>
        <v>139</v>
      </c>
      <c r="E2259" s="4">
        <f>[1]Raw_Data!E2257</f>
        <v>49.35</v>
      </c>
      <c r="F2259" s="5">
        <f>[1]Raw_Data!F2257</f>
        <v>6859.65</v>
      </c>
      <c r="G2259" s="4">
        <f>[1]Raw_Data!G2257</f>
        <v>0.08</v>
      </c>
      <c r="H2259" s="3">
        <f>[1]Raw_Data!H2257</f>
        <v>0</v>
      </c>
      <c r="I2259" s="3" t="str">
        <f>TRIM([1]Raw_Data!I2257)</f>
        <v>Canada</v>
      </c>
      <c r="J2259" s="3" t="str">
        <f>TRIM([1]Raw_Data!J2257)</f>
        <v>Amazon</v>
      </c>
      <c r="K2259" s="3">
        <f t="shared" si="140"/>
        <v>2022</v>
      </c>
      <c r="L2259" s="6">
        <f t="shared" si="141"/>
        <v>44805</v>
      </c>
      <c r="M2259" s="3" t="str">
        <f t="shared" si="142"/>
        <v>6% to 10%</v>
      </c>
      <c r="N2259" s="3" t="str">
        <f t="shared" si="143"/>
        <v>OK</v>
      </c>
    </row>
    <row r="2260" spans="1:14" x14ac:dyDescent="0.3">
      <c r="A2260" s="2">
        <f>DATE(VALUE(RIGHT(TRIM([1]Raw_Data!A2258),4)),VALUE(MID(TRIM([1]Raw_Data!A2258),4,2)),VALUE(LEFT(TRIM([1]Raw_Data!A2258),2)))</f>
        <v>44823</v>
      </c>
      <c r="B2260" s="3" t="str">
        <f>TRIM([1]Raw_Data!B2258)</f>
        <v>Whey Protein</v>
      </c>
      <c r="C2260" s="3" t="str">
        <f>TRIM([1]Raw_Data!C2258)</f>
        <v>Protein</v>
      </c>
      <c r="D2260" s="3">
        <f>[1]Raw_Data!D2258</f>
        <v>149</v>
      </c>
      <c r="E2260" s="4">
        <f>[1]Raw_Data!E2258</f>
        <v>21.08</v>
      </c>
      <c r="F2260" s="5">
        <f>[1]Raw_Data!F2258</f>
        <v>3140.92</v>
      </c>
      <c r="G2260" s="4">
        <f>[1]Raw_Data!G2258</f>
        <v>0.05</v>
      </c>
      <c r="H2260" s="3">
        <f>[1]Raw_Data!H2258</f>
        <v>4</v>
      </c>
      <c r="I2260" s="3" t="str">
        <f>TRIM([1]Raw_Data!I2258)</f>
        <v>Canada</v>
      </c>
      <c r="J2260" s="3" t="str">
        <f>TRIM([1]Raw_Data!J2258)</f>
        <v>Walmart</v>
      </c>
      <c r="K2260" s="3">
        <f t="shared" si="140"/>
        <v>2022</v>
      </c>
      <c r="L2260" s="6">
        <f t="shared" si="141"/>
        <v>44805</v>
      </c>
      <c r="M2260" s="3" t="str">
        <f t="shared" si="142"/>
        <v>0% to 5%</v>
      </c>
      <c r="N2260" s="3" t="str">
        <f t="shared" si="143"/>
        <v>OK</v>
      </c>
    </row>
    <row r="2261" spans="1:14" x14ac:dyDescent="0.3">
      <c r="A2261" s="2">
        <f>DATE(VALUE(RIGHT(TRIM([1]Raw_Data!A2259),4)),VALUE(MID(TRIM([1]Raw_Data!A2259),4,2)),VALUE(LEFT(TRIM([1]Raw_Data!A2259),2)))</f>
        <v>44823</v>
      </c>
      <c r="B2261" s="3" t="str">
        <f>TRIM([1]Raw_Data!B2259)</f>
        <v>Vitamin C</v>
      </c>
      <c r="C2261" s="3" t="str">
        <f>TRIM([1]Raw_Data!C2259)</f>
        <v>Vitamin</v>
      </c>
      <c r="D2261" s="3">
        <f>[1]Raw_Data!D2259</f>
        <v>162</v>
      </c>
      <c r="E2261" s="4">
        <f>[1]Raw_Data!E2259</f>
        <v>20.6</v>
      </c>
      <c r="F2261" s="5">
        <f>[1]Raw_Data!F2259</f>
        <v>3337.2</v>
      </c>
      <c r="G2261" s="4">
        <f>[1]Raw_Data!G2259</f>
        <v>0.09</v>
      </c>
      <c r="H2261" s="3">
        <f>[1]Raw_Data!H2259</f>
        <v>1</v>
      </c>
      <c r="I2261" s="3" t="str">
        <f>TRIM([1]Raw_Data!I2259)</f>
        <v>USA</v>
      </c>
      <c r="J2261" s="3" t="str">
        <f>TRIM([1]Raw_Data!J2259)</f>
        <v>Amazon</v>
      </c>
      <c r="K2261" s="3">
        <f t="shared" si="140"/>
        <v>2022</v>
      </c>
      <c r="L2261" s="6">
        <f t="shared" si="141"/>
        <v>44805</v>
      </c>
      <c r="M2261" s="3" t="str">
        <f t="shared" si="142"/>
        <v>6% to 10%</v>
      </c>
      <c r="N2261" s="3" t="str">
        <f t="shared" si="143"/>
        <v>OK</v>
      </c>
    </row>
    <row r="2262" spans="1:14" x14ac:dyDescent="0.3">
      <c r="A2262" s="2">
        <f>DATE(VALUE(RIGHT(TRIM([1]Raw_Data!A2260),4)),VALUE(MID(TRIM([1]Raw_Data!A2260),4,2)),VALUE(LEFT(TRIM([1]Raw_Data!A2260),2)))</f>
        <v>44823</v>
      </c>
      <c r="B2262" s="3" t="str">
        <f>TRIM([1]Raw_Data!B2260)</f>
        <v>Fish Oil</v>
      </c>
      <c r="C2262" s="3" t="str">
        <f>TRIM([1]Raw_Data!C2260)</f>
        <v>Omega</v>
      </c>
      <c r="D2262" s="3">
        <f>[1]Raw_Data!D2260</f>
        <v>158</v>
      </c>
      <c r="E2262" s="4">
        <f>[1]Raw_Data!E2260</f>
        <v>55.48</v>
      </c>
      <c r="F2262" s="5">
        <f>[1]Raw_Data!F2260</f>
        <v>8765.84</v>
      </c>
      <c r="G2262" s="4">
        <f>[1]Raw_Data!G2260</f>
        <v>0.21</v>
      </c>
      <c r="H2262" s="3">
        <f>[1]Raw_Data!H2260</f>
        <v>0</v>
      </c>
      <c r="I2262" s="3" t="str">
        <f>TRIM([1]Raw_Data!I2260)</f>
        <v>UK</v>
      </c>
      <c r="J2262" s="3" t="str">
        <f>TRIM([1]Raw_Data!J2260)</f>
        <v>Amazon</v>
      </c>
      <c r="K2262" s="3">
        <f t="shared" si="140"/>
        <v>2022</v>
      </c>
      <c r="L2262" s="6">
        <f t="shared" si="141"/>
        <v>44805</v>
      </c>
      <c r="M2262" s="3" t="str">
        <f t="shared" si="142"/>
        <v>21% to 25%</v>
      </c>
      <c r="N2262" s="3" t="str">
        <f t="shared" si="143"/>
        <v>OK</v>
      </c>
    </row>
    <row r="2263" spans="1:14" x14ac:dyDescent="0.3">
      <c r="A2263" s="2">
        <f>DATE(VALUE(RIGHT(TRIM([1]Raw_Data!A2261),4)),VALUE(MID(TRIM([1]Raw_Data!A2261),4,2)),VALUE(LEFT(TRIM([1]Raw_Data!A2261),2)))</f>
        <v>44823</v>
      </c>
      <c r="B2263" s="3" t="str">
        <f>TRIM([1]Raw_Data!B2261)</f>
        <v>Multivitamin</v>
      </c>
      <c r="C2263" s="3" t="str">
        <f>TRIM([1]Raw_Data!C2261)</f>
        <v>Vitamin</v>
      </c>
      <c r="D2263" s="3">
        <f>[1]Raw_Data!D2261</f>
        <v>166</v>
      </c>
      <c r="E2263" s="4">
        <f>[1]Raw_Data!E2261</f>
        <v>14.04</v>
      </c>
      <c r="F2263" s="5">
        <f>[1]Raw_Data!F2261</f>
        <v>2330.64</v>
      </c>
      <c r="G2263" s="4">
        <f>[1]Raw_Data!G2261</f>
        <v>0.16</v>
      </c>
      <c r="H2263" s="3">
        <f>[1]Raw_Data!H2261</f>
        <v>2</v>
      </c>
      <c r="I2263" s="3" t="str">
        <f>TRIM([1]Raw_Data!I2261)</f>
        <v>UK</v>
      </c>
      <c r="J2263" s="3" t="str">
        <f>TRIM([1]Raw_Data!J2261)</f>
        <v>iHerb</v>
      </c>
      <c r="K2263" s="3">
        <f t="shared" si="140"/>
        <v>2022</v>
      </c>
      <c r="L2263" s="6">
        <f t="shared" si="141"/>
        <v>44805</v>
      </c>
      <c r="M2263" s="3" t="str">
        <f t="shared" si="142"/>
        <v>16% to 20%</v>
      </c>
      <c r="N2263" s="3" t="str">
        <f t="shared" si="143"/>
        <v>OK</v>
      </c>
    </row>
    <row r="2264" spans="1:14" x14ac:dyDescent="0.3">
      <c r="A2264" s="2">
        <f>DATE(VALUE(RIGHT(TRIM([1]Raw_Data!A2262),4)),VALUE(MID(TRIM([1]Raw_Data!A2262),4,2)),VALUE(LEFT(TRIM([1]Raw_Data!A2262),2)))</f>
        <v>44823</v>
      </c>
      <c r="B2264" s="3" t="str">
        <f>TRIM([1]Raw_Data!B2262)</f>
        <v>Pre-Workout</v>
      </c>
      <c r="C2264" s="3" t="str">
        <f>TRIM([1]Raw_Data!C2262)</f>
        <v>Performance</v>
      </c>
      <c r="D2264" s="3">
        <f>[1]Raw_Data!D2262</f>
        <v>131</v>
      </c>
      <c r="E2264" s="4">
        <f>[1]Raw_Data!E2262</f>
        <v>59.64</v>
      </c>
      <c r="F2264" s="5">
        <f>[1]Raw_Data!F2262</f>
        <v>7812.84</v>
      </c>
      <c r="G2264" s="4">
        <f>[1]Raw_Data!G2262</f>
        <v>0.17</v>
      </c>
      <c r="H2264" s="3">
        <f>[1]Raw_Data!H2262</f>
        <v>2</v>
      </c>
      <c r="I2264" s="3" t="str">
        <f>TRIM([1]Raw_Data!I2262)</f>
        <v>USA</v>
      </c>
      <c r="J2264" s="3" t="str">
        <f>TRIM([1]Raw_Data!J2262)</f>
        <v>Amazon</v>
      </c>
      <c r="K2264" s="3">
        <f t="shared" si="140"/>
        <v>2022</v>
      </c>
      <c r="L2264" s="6">
        <f t="shared" si="141"/>
        <v>44805</v>
      </c>
      <c r="M2264" s="3" t="str">
        <f t="shared" si="142"/>
        <v>16% to 20%</v>
      </c>
      <c r="N2264" s="3" t="str">
        <f t="shared" si="143"/>
        <v>OK</v>
      </c>
    </row>
    <row r="2265" spans="1:14" x14ac:dyDescent="0.3">
      <c r="A2265" s="2">
        <f>DATE(VALUE(RIGHT(TRIM([1]Raw_Data!A2263),4)),VALUE(MID(TRIM([1]Raw_Data!A2263),4,2)),VALUE(LEFT(TRIM([1]Raw_Data!A2263),2)))</f>
        <v>44823</v>
      </c>
      <c r="B2265" s="3" t="str">
        <f>TRIM([1]Raw_Data!B2263)</f>
        <v>BCAA</v>
      </c>
      <c r="C2265" s="3" t="str">
        <f>TRIM([1]Raw_Data!C2263)</f>
        <v>Amino Acid</v>
      </c>
      <c r="D2265" s="3">
        <f>[1]Raw_Data!D2263</f>
        <v>139</v>
      </c>
      <c r="E2265" s="4">
        <f>[1]Raw_Data!E2263</f>
        <v>23.85</v>
      </c>
      <c r="F2265" s="5">
        <f>[1]Raw_Data!F2263</f>
        <v>3315.15</v>
      </c>
      <c r="G2265" s="4">
        <f>[1]Raw_Data!G2263</f>
        <v>0.06</v>
      </c>
      <c r="H2265" s="3">
        <f>[1]Raw_Data!H2263</f>
        <v>0</v>
      </c>
      <c r="I2265" s="3" t="str">
        <f>TRIM([1]Raw_Data!I2263)</f>
        <v>Canada</v>
      </c>
      <c r="J2265" s="3" t="str">
        <f>TRIM([1]Raw_Data!J2263)</f>
        <v>Walmart</v>
      </c>
      <c r="K2265" s="3">
        <f t="shared" si="140"/>
        <v>2022</v>
      </c>
      <c r="L2265" s="6">
        <f t="shared" si="141"/>
        <v>44805</v>
      </c>
      <c r="M2265" s="3" t="str">
        <f t="shared" si="142"/>
        <v>6% to 10%</v>
      </c>
      <c r="N2265" s="3" t="str">
        <f t="shared" si="143"/>
        <v>OK</v>
      </c>
    </row>
    <row r="2266" spans="1:14" x14ac:dyDescent="0.3">
      <c r="A2266" s="2">
        <f>DATE(VALUE(RIGHT(TRIM([1]Raw_Data!A2264),4)),VALUE(MID(TRIM([1]Raw_Data!A2264),4,2)),VALUE(LEFT(TRIM([1]Raw_Data!A2264),2)))</f>
        <v>44823</v>
      </c>
      <c r="B2266" s="3" t="str">
        <f>TRIM([1]Raw_Data!B2264)</f>
        <v>Creatine</v>
      </c>
      <c r="C2266" s="3" t="str">
        <f>TRIM([1]Raw_Data!C2264)</f>
        <v>Performance</v>
      </c>
      <c r="D2266" s="3">
        <f>[1]Raw_Data!D2264</f>
        <v>138</v>
      </c>
      <c r="E2266" s="4">
        <f>[1]Raw_Data!E2264</f>
        <v>26.41</v>
      </c>
      <c r="F2266" s="5">
        <f>[1]Raw_Data!F2264</f>
        <v>3644.58</v>
      </c>
      <c r="G2266" s="4">
        <f>[1]Raw_Data!G2264</f>
        <v>0.21</v>
      </c>
      <c r="H2266" s="3">
        <f>[1]Raw_Data!H2264</f>
        <v>0</v>
      </c>
      <c r="I2266" s="3" t="str">
        <f>TRIM([1]Raw_Data!I2264)</f>
        <v>UK</v>
      </c>
      <c r="J2266" s="3" t="str">
        <f>TRIM([1]Raw_Data!J2264)</f>
        <v>Walmart</v>
      </c>
      <c r="K2266" s="3">
        <f t="shared" si="140"/>
        <v>2022</v>
      </c>
      <c r="L2266" s="6">
        <f t="shared" si="141"/>
        <v>44805</v>
      </c>
      <c r="M2266" s="3" t="str">
        <f t="shared" si="142"/>
        <v>21% to 25%</v>
      </c>
      <c r="N2266" s="3" t="str">
        <f t="shared" si="143"/>
        <v>OK</v>
      </c>
    </row>
    <row r="2267" spans="1:14" x14ac:dyDescent="0.3">
      <c r="A2267" s="2">
        <f>DATE(VALUE(RIGHT(TRIM([1]Raw_Data!A2265),4)),VALUE(MID(TRIM([1]Raw_Data!A2265),4,2)),VALUE(LEFT(TRIM([1]Raw_Data!A2265),2)))</f>
        <v>44823</v>
      </c>
      <c r="B2267" s="3" t="str">
        <f>TRIM([1]Raw_Data!B2265)</f>
        <v>Zinc</v>
      </c>
      <c r="C2267" s="3" t="str">
        <f>TRIM([1]Raw_Data!C2265)</f>
        <v>Mineral</v>
      </c>
      <c r="D2267" s="3">
        <f>[1]Raw_Data!D2265</f>
        <v>149</v>
      </c>
      <c r="E2267" s="4">
        <f>[1]Raw_Data!E2265</f>
        <v>34.08</v>
      </c>
      <c r="F2267" s="5">
        <f>[1]Raw_Data!F2265</f>
        <v>5077.92</v>
      </c>
      <c r="G2267" s="4">
        <f>[1]Raw_Data!G2265</f>
        <v>0.01</v>
      </c>
      <c r="H2267" s="3">
        <f>[1]Raw_Data!H2265</f>
        <v>4</v>
      </c>
      <c r="I2267" s="3" t="str">
        <f>TRIM([1]Raw_Data!I2265)</f>
        <v>USA</v>
      </c>
      <c r="J2267" s="3" t="str">
        <f>TRIM([1]Raw_Data!J2265)</f>
        <v>Walmart</v>
      </c>
      <c r="K2267" s="3">
        <f t="shared" si="140"/>
        <v>2022</v>
      </c>
      <c r="L2267" s="6">
        <f t="shared" si="141"/>
        <v>44805</v>
      </c>
      <c r="M2267" s="3" t="str">
        <f t="shared" si="142"/>
        <v>0% to 5%</v>
      </c>
      <c r="N2267" s="3" t="str">
        <f t="shared" si="143"/>
        <v>OK</v>
      </c>
    </row>
    <row r="2268" spans="1:14" x14ac:dyDescent="0.3">
      <c r="A2268" s="2">
        <f>DATE(VALUE(RIGHT(TRIM([1]Raw_Data!A2266),4)),VALUE(MID(TRIM([1]Raw_Data!A2266),4,2)),VALUE(LEFT(TRIM([1]Raw_Data!A2266),2)))</f>
        <v>44823</v>
      </c>
      <c r="B2268" s="3" t="str">
        <f>TRIM([1]Raw_Data!B2266)</f>
        <v>Collagen Peptides</v>
      </c>
      <c r="C2268" s="3" t="str">
        <f>TRIM([1]Raw_Data!C2266)</f>
        <v>Protein</v>
      </c>
      <c r="D2268" s="3">
        <f>[1]Raw_Data!D2266</f>
        <v>161</v>
      </c>
      <c r="E2268" s="4">
        <f>[1]Raw_Data!E2266</f>
        <v>14.33</v>
      </c>
      <c r="F2268" s="5">
        <f>[1]Raw_Data!F2266</f>
        <v>2307.13</v>
      </c>
      <c r="G2268" s="4">
        <f>[1]Raw_Data!G2266</f>
        <v>0.15</v>
      </c>
      <c r="H2268" s="3">
        <f>[1]Raw_Data!H2266</f>
        <v>2</v>
      </c>
      <c r="I2268" s="3" t="str">
        <f>TRIM([1]Raw_Data!I2266)</f>
        <v>USA</v>
      </c>
      <c r="J2268" s="3" t="str">
        <f>TRIM([1]Raw_Data!J2266)</f>
        <v>Walmart</v>
      </c>
      <c r="K2268" s="3">
        <f t="shared" si="140"/>
        <v>2022</v>
      </c>
      <c r="L2268" s="6">
        <f t="shared" si="141"/>
        <v>44805</v>
      </c>
      <c r="M2268" s="3" t="str">
        <f t="shared" si="142"/>
        <v>11% to 15%</v>
      </c>
      <c r="N2268" s="3" t="str">
        <f t="shared" si="143"/>
        <v>OK</v>
      </c>
    </row>
    <row r="2269" spans="1:14" x14ac:dyDescent="0.3">
      <c r="A2269" s="2">
        <f>DATE(VALUE(RIGHT(TRIM([1]Raw_Data!A2267),4)),VALUE(MID(TRIM([1]Raw_Data!A2267),4,2)),VALUE(LEFT(TRIM([1]Raw_Data!A2267),2)))</f>
        <v>44823</v>
      </c>
      <c r="B2269" s="3" t="str">
        <f>TRIM([1]Raw_Data!B2267)</f>
        <v>Magnesium</v>
      </c>
      <c r="C2269" s="3" t="str">
        <f>TRIM([1]Raw_Data!C2267)</f>
        <v>Mineral</v>
      </c>
      <c r="D2269" s="3">
        <f>[1]Raw_Data!D2267</f>
        <v>138</v>
      </c>
      <c r="E2269" s="4">
        <f>[1]Raw_Data!E2267</f>
        <v>50.71</v>
      </c>
      <c r="F2269" s="5">
        <f>[1]Raw_Data!F2267</f>
        <v>6997.98</v>
      </c>
      <c r="G2269" s="4">
        <f>[1]Raw_Data!G2267</f>
        <v>0.19</v>
      </c>
      <c r="H2269" s="3">
        <f>[1]Raw_Data!H2267</f>
        <v>2</v>
      </c>
      <c r="I2269" s="3" t="str">
        <f>TRIM([1]Raw_Data!I2267)</f>
        <v>USA</v>
      </c>
      <c r="J2269" s="3" t="str">
        <f>TRIM([1]Raw_Data!J2267)</f>
        <v>Amazon</v>
      </c>
      <c r="K2269" s="3">
        <f t="shared" si="140"/>
        <v>2022</v>
      </c>
      <c r="L2269" s="6">
        <f t="shared" si="141"/>
        <v>44805</v>
      </c>
      <c r="M2269" s="3" t="str">
        <f t="shared" si="142"/>
        <v>16% to 20%</v>
      </c>
      <c r="N2269" s="3" t="str">
        <f t="shared" si="143"/>
        <v>OK</v>
      </c>
    </row>
    <row r="2270" spans="1:14" x14ac:dyDescent="0.3">
      <c r="A2270" s="2">
        <f>DATE(VALUE(RIGHT(TRIM([1]Raw_Data!A2268),4)),VALUE(MID(TRIM([1]Raw_Data!A2268),4,2)),VALUE(LEFT(TRIM([1]Raw_Data!A2268),2)))</f>
        <v>44823</v>
      </c>
      <c r="B2270" s="3" t="str">
        <f>TRIM([1]Raw_Data!B2268)</f>
        <v>Ashwagandha</v>
      </c>
      <c r="C2270" s="3" t="str">
        <f>TRIM([1]Raw_Data!C2268)</f>
        <v>Herbal</v>
      </c>
      <c r="D2270" s="3">
        <f>[1]Raw_Data!D2268</f>
        <v>147</v>
      </c>
      <c r="E2270" s="4">
        <f>[1]Raw_Data!E2268</f>
        <v>49.53</v>
      </c>
      <c r="F2270" s="5">
        <f>[1]Raw_Data!F2268</f>
        <v>7280.91</v>
      </c>
      <c r="G2270" s="4">
        <f>[1]Raw_Data!G2268</f>
        <v>0.17</v>
      </c>
      <c r="H2270" s="3">
        <f>[1]Raw_Data!H2268</f>
        <v>5</v>
      </c>
      <c r="I2270" s="3" t="str">
        <f>TRIM([1]Raw_Data!I2268)</f>
        <v>USA</v>
      </c>
      <c r="J2270" s="3" t="str">
        <f>TRIM([1]Raw_Data!J2268)</f>
        <v>iHerb</v>
      </c>
      <c r="K2270" s="3">
        <f t="shared" si="140"/>
        <v>2022</v>
      </c>
      <c r="L2270" s="6">
        <f t="shared" si="141"/>
        <v>44805</v>
      </c>
      <c r="M2270" s="3" t="str">
        <f t="shared" si="142"/>
        <v>16% to 20%</v>
      </c>
      <c r="N2270" s="3" t="str">
        <f t="shared" si="143"/>
        <v>OK</v>
      </c>
    </row>
    <row r="2271" spans="1:14" x14ac:dyDescent="0.3">
      <c r="A2271" s="2">
        <f>DATE(VALUE(RIGHT(TRIM([1]Raw_Data!A2269),4)),VALUE(MID(TRIM([1]Raw_Data!A2269),4,2)),VALUE(LEFT(TRIM([1]Raw_Data!A2269),2)))</f>
        <v>44823</v>
      </c>
      <c r="B2271" s="3" t="str">
        <f>TRIM([1]Raw_Data!B2269)</f>
        <v>Melatonin</v>
      </c>
      <c r="C2271" s="3" t="str">
        <f>TRIM([1]Raw_Data!C2269)</f>
        <v>Sleep Aid</v>
      </c>
      <c r="D2271" s="3">
        <f>[1]Raw_Data!D2269</f>
        <v>142</v>
      </c>
      <c r="E2271" s="4">
        <f>[1]Raw_Data!E2269</f>
        <v>21.13</v>
      </c>
      <c r="F2271" s="5">
        <f>[1]Raw_Data!F2269</f>
        <v>3000.46</v>
      </c>
      <c r="G2271" s="4">
        <f>[1]Raw_Data!G2269</f>
        <v>0.18</v>
      </c>
      <c r="H2271" s="3">
        <f>[1]Raw_Data!H2269</f>
        <v>0</v>
      </c>
      <c r="I2271" s="3" t="str">
        <f>TRIM([1]Raw_Data!I2269)</f>
        <v>USA</v>
      </c>
      <c r="J2271" s="3" t="str">
        <f>TRIM([1]Raw_Data!J2269)</f>
        <v>Walmart</v>
      </c>
      <c r="K2271" s="3">
        <f t="shared" si="140"/>
        <v>2022</v>
      </c>
      <c r="L2271" s="6">
        <f t="shared" si="141"/>
        <v>44805</v>
      </c>
      <c r="M2271" s="3" t="str">
        <f t="shared" si="142"/>
        <v>16% to 20%</v>
      </c>
      <c r="N2271" s="3" t="str">
        <f t="shared" si="143"/>
        <v>OK</v>
      </c>
    </row>
    <row r="2272" spans="1:14" x14ac:dyDescent="0.3">
      <c r="A2272" s="2">
        <f>DATE(VALUE(RIGHT(TRIM([1]Raw_Data!A2270),4)),VALUE(MID(TRIM([1]Raw_Data!A2270),4,2)),VALUE(LEFT(TRIM([1]Raw_Data!A2270),2)))</f>
        <v>44823</v>
      </c>
      <c r="B2272" s="3" t="str">
        <f>TRIM([1]Raw_Data!B2270)</f>
        <v>Biotin</v>
      </c>
      <c r="C2272" s="3" t="str">
        <f>TRIM([1]Raw_Data!C2270)</f>
        <v>Vitamin</v>
      </c>
      <c r="D2272" s="3">
        <f>[1]Raw_Data!D2270</f>
        <v>159</v>
      </c>
      <c r="E2272" s="4">
        <f>[1]Raw_Data!E2270</f>
        <v>22.54</v>
      </c>
      <c r="F2272" s="5">
        <f>[1]Raw_Data!F2270</f>
        <v>3583.86</v>
      </c>
      <c r="G2272" s="4">
        <f>[1]Raw_Data!G2270</f>
        <v>0.06</v>
      </c>
      <c r="H2272" s="3">
        <f>[1]Raw_Data!H2270</f>
        <v>2</v>
      </c>
      <c r="I2272" s="3" t="str">
        <f>TRIM([1]Raw_Data!I2270)</f>
        <v>Canada</v>
      </c>
      <c r="J2272" s="3" t="str">
        <f>TRIM([1]Raw_Data!J2270)</f>
        <v>Amazon</v>
      </c>
      <c r="K2272" s="3">
        <f t="shared" si="140"/>
        <v>2022</v>
      </c>
      <c r="L2272" s="6">
        <f t="shared" si="141"/>
        <v>44805</v>
      </c>
      <c r="M2272" s="3" t="str">
        <f t="shared" si="142"/>
        <v>6% to 10%</v>
      </c>
      <c r="N2272" s="3" t="str">
        <f t="shared" si="143"/>
        <v>OK</v>
      </c>
    </row>
    <row r="2273" spans="1:14" x14ac:dyDescent="0.3">
      <c r="A2273" s="2">
        <f>DATE(VALUE(RIGHT(TRIM([1]Raw_Data!A2271),4)),VALUE(MID(TRIM([1]Raw_Data!A2271),4,2)),VALUE(LEFT(TRIM([1]Raw_Data!A2271),2)))</f>
        <v>44823</v>
      </c>
      <c r="B2273" s="3" t="str">
        <f>TRIM([1]Raw_Data!B2271)</f>
        <v>Green Tea Extract</v>
      </c>
      <c r="C2273" s="3" t="str">
        <f>TRIM([1]Raw_Data!C2271)</f>
        <v>Fat Burner</v>
      </c>
      <c r="D2273" s="3">
        <f>[1]Raw_Data!D2271</f>
        <v>160</v>
      </c>
      <c r="E2273" s="4">
        <f>[1]Raw_Data!E2271</f>
        <v>52.61</v>
      </c>
      <c r="F2273" s="5">
        <f>[1]Raw_Data!F2271</f>
        <v>8417.6</v>
      </c>
      <c r="G2273" s="4">
        <f>[1]Raw_Data!G2271</f>
        <v>0.24</v>
      </c>
      <c r="H2273" s="3">
        <f>[1]Raw_Data!H2271</f>
        <v>2</v>
      </c>
      <c r="I2273" s="3" t="str">
        <f>TRIM([1]Raw_Data!I2271)</f>
        <v>Canada</v>
      </c>
      <c r="J2273" s="3" t="str">
        <f>TRIM([1]Raw_Data!J2271)</f>
        <v>Walmart</v>
      </c>
      <c r="K2273" s="3">
        <f t="shared" si="140"/>
        <v>2022</v>
      </c>
      <c r="L2273" s="6">
        <f t="shared" si="141"/>
        <v>44805</v>
      </c>
      <c r="M2273" s="3" t="str">
        <f t="shared" si="142"/>
        <v>21% to 25%</v>
      </c>
      <c r="N2273" s="3" t="str">
        <f t="shared" si="143"/>
        <v>OK</v>
      </c>
    </row>
    <row r="2274" spans="1:14" x14ac:dyDescent="0.3">
      <c r="A2274" s="2">
        <f>DATE(VALUE(RIGHT(TRIM([1]Raw_Data!A2272),4)),VALUE(MID(TRIM([1]Raw_Data!A2272),4,2)),VALUE(LEFT(TRIM([1]Raw_Data!A2272),2)))</f>
        <v>44823</v>
      </c>
      <c r="B2274" s="3" t="str">
        <f>TRIM([1]Raw_Data!B2272)</f>
        <v>Iron Supplement</v>
      </c>
      <c r="C2274" s="3" t="str">
        <f>TRIM([1]Raw_Data!C2272)</f>
        <v>Mineral</v>
      </c>
      <c r="D2274" s="3">
        <f>[1]Raw_Data!D2272</f>
        <v>170</v>
      </c>
      <c r="E2274" s="4">
        <f>[1]Raw_Data!E2272</f>
        <v>54.73</v>
      </c>
      <c r="F2274" s="5">
        <f>[1]Raw_Data!F2272</f>
        <v>9304.1</v>
      </c>
      <c r="G2274" s="4">
        <f>[1]Raw_Data!G2272</f>
        <v>0</v>
      </c>
      <c r="H2274" s="3">
        <f>[1]Raw_Data!H2272</f>
        <v>4</v>
      </c>
      <c r="I2274" s="3" t="str">
        <f>TRIM([1]Raw_Data!I2272)</f>
        <v>UK</v>
      </c>
      <c r="J2274" s="3" t="str">
        <f>TRIM([1]Raw_Data!J2272)</f>
        <v>Amazon</v>
      </c>
      <c r="K2274" s="3">
        <f t="shared" si="140"/>
        <v>2022</v>
      </c>
      <c r="L2274" s="6">
        <f t="shared" si="141"/>
        <v>44805</v>
      </c>
      <c r="M2274" s="3" t="str">
        <f t="shared" si="142"/>
        <v>0% to 5%</v>
      </c>
      <c r="N2274" s="3" t="str">
        <f t="shared" si="143"/>
        <v>OK</v>
      </c>
    </row>
    <row r="2275" spans="1:14" x14ac:dyDescent="0.3">
      <c r="A2275" s="2">
        <f>DATE(VALUE(RIGHT(TRIM([1]Raw_Data!A2273),4)),VALUE(MID(TRIM([1]Raw_Data!A2273),4,2)),VALUE(LEFT(TRIM([1]Raw_Data!A2273),2)))</f>
        <v>44823</v>
      </c>
      <c r="B2275" s="3" t="str">
        <f>TRIM([1]Raw_Data!B2273)</f>
        <v>Electrolyte Powder</v>
      </c>
      <c r="C2275" s="3" t="str">
        <f>TRIM([1]Raw_Data!C2273)</f>
        <v>Hydration</v>
      </c>
      <c r="D2275" s="3">
        <f>[1]Raw_Data!D2273</f>
        <v>149</v>
      </c>
      <c r="E2275" s="4">
        <f>[1]Raw_Data!E2273</f>
        <v>16.36</v>
      </c>
      <c r="F2275" s="5">
        <f>[1]Raw_Data!F2273</f>
        <v>2437.64</v>
      </c>
      <c r="G2275" s="4">
        <f>[1]Raw_Data!G2273</f>
        <v>0.1</v>
      </c>
      <c r="H2275" s="3">
        <f>[1]Raw_Data!H2273</f>
        <v>1</v>
      </c>
      <c r="I2275" s="3" t="str">
        <f>TRIM([1]Raw_Data!I2273)</f>
        <v>UK</v>
      </c>
      <c r="J2275" s="3" t="str">
        <f>TRIM([1]Raw_Data!J2273)</f>
        <v>Amazon</v>
      </c>
      <c r="K2275" s="3">
        <f t="shared" si="140"/>
        <v>2022</v>
      </c>
      <c r="L2275" s="6">
        <f t="shared" si="141"/>
        <v>44805</v>
      </c>
      <c r="M2275" s="3" t="str">
        <f t="shared" si="142"/>
        <v>6% to 10%</v>
      </c>
      <c r="N2275" s="3" t="str">
        <f t="shared" si="143"/>
        <v>OK</v>
      </c>
    </row>
    <row r="2276" spans="1:14" x14ac:dyDescent="0.3">
      <c r="A2276" s="2">
        <f>DATE(VALUE(RIGHT(TRIM([1]Raw_Data!A2274),4)),VALUE(MID(TRIM([1]Raw_Data!A2274),4,2)),VALUE(LEFT(TRIM([1]Raw_Data!A2274),2)))</f>
        <v>44830</v>
      </c>
      <c r="B2276" s="3" t="str">
        <f>TRIM([1]Raw_Data!B2274)</f>
        <v>Whey Protein</v>
      </c>
      <c r="C2276" s="3" t="str">
        <f>TRIM([1]Raw_Data!C2274)</f>
        <v>Protein</v>
      </c>
      <c r="D2276" s="3">
        <f>[1]Raw_Data!D2274</f>
        <v>142</v>
      </c>
      <c r="E2276" s="4">
        <f>[1]Raw_Data!E2274</f>
        <v>50.29</v>
      </c>
      <c r="F2276" s="5">
        <f>[1]Raw_Data!F2274</f>
        <v>7141.18</v>
      </c>
      <c r="G2276" s="4">
        <f>[1]Raw_Data!G2274</f>
        <v>0</v>
      </c>
      <c r="H2276" s="3">
        <f>[1]Raw_Data!H2274</f>
        <v>1</v>
      </c>
      <c r="I2276" s="3" t="str">
        <f>TRIM([1]Raw_Data!I2274)</f>
        <v>Canada</v>
      </c>
      <c r="J2276" s="3" t="str">
        <f>TRIM([1]Raw_Data!J2274)</f>
        <v>iHerb</v>
      </c>
      <c r="K2276" s="3">
        <f t="shared" si="140"/>
        <v>2022</v>
      </c>
      <c r="L2276" s="6">
        <f t="shared" si="141"/>
        <v>44805</v>
      </c>
      <c r="M2276" s="3" t="str">
        <f t="shared" si="142"/>
        <v>0% to 5%</v>
      </c>
      <c r="N2276" s="3" t="str">
        <f t="shared" si="143"/>
        <v>OK</v>
      </c>
    </row>
    <row r="2277" spans="1:14" x14ac:dyDescent="0.3">
      <c r="A2277" s="2">
        <f>DATE(VALUE(RIGHT(TRIM([1]Raw_Data!A2275),4)),VALUE(MID(TRIM([1]Raw_Data!A2275),4,2)),VALUE(LEFT(TRIM([1]Raw_Data!A2275),2)))</f>
        <v>44830</v>
      </c>
      <c r="B2277" s="3" t="str">
        <f>TRIM([1]Raw_Data!B2275)</f>
        <v>Vitamin C</v>
      </c>
      <c r="C2277" s="3" t="str">
        <f>TRIM([1]Raw_Data!C2275)</f>
        <v>Vitamin</v>
      </c>
      <c r="D2277" s="3">
        <f>[1]Raw_Data!D2275</f>
        <v>137</v>
      </c>
      <c r="E2277" s="4">
        <f>[1]Raw_Data!E2275</f>
        <v>22.71</v>
      </c>
      <c r="F2277" s="5">
        <f>[1]Raw_Data!F2275</f>
        <v>3111.27</v>
      </c>
      <c r="G2277" s="4">
        <f>[1]Raw_Data!G2275</f>
        <v>0.06</v>
      </c>
      <c r="H2277" s="3">
        <f>[1]Raw_Data!H2275</f>
        <v>1</v>
      </c>
      <c r="I2277" s="3" t="str">
        <f>TRIM([1]Raw_Data!I2275)</f>
        <v>UK</v>
      </c>
      <c r="J2277" s="3" t="str">
        <f>TRIM([1]Raw_Data!J2275)</f>
        <v>iHerb</v>
      </c>
      <c r="K2277" s="3">
        <f t="shared" si="140"/>
        <v>2022</v>
      </c>
      <c r="L2277" s="6">
        <f t="shared" si="141"/>
        <v>44805</v>
      </c>
      <c r="M2277" s="3" t="str">
        <f t="shared" si="142"/>
        <v>6% to 10%</v>
      </c>
      <c r="N2277" s="3" t="str">
        <f t="shared" si="143"/>
        <v>OK</v>
      </c>
    </row>
    <row r="2278" spans="1:14" x14ac:dyDescent="0.3">
      <c r="A2278" s="2">
        <f>DATE(VALUE(RIGHT(TRIM([1]Raw_Data!A2276),4)),VALUE(MID(TRIM([1]Raw_Data!A2276),4,2)),VALUE(LEFT(TRIM([1]Raw_Data!A2276),2)))</f>
        <v>44830</v>
      </c>
      <c r="B2278" s="3" t="str">
        <f>TRIM([1]Raw_Data!B2276)</f>
        <v>Fish Oil</v>
      </c>
      <c r="C2278" s="3" t="str">
        <f>TRIM([1]Raw_Data!C2276)</f>
        <v>Omega</v>
      </c>
      <c r="D2278" s="3">
        <f>[1]Raw_Data!D2276</f>
        <v>155</v>
      </c>
      <c r="E2278" s="4">
        <f>[1]Raw_Data!E2276</f>
        <v>18.78</v>
      </c>
      <c r="F2278" s="5">
        <f>[1]Raw_Data!F2276</f>
        <v>2910.9</v>
      </c>
      <c r="G2278" s="4">
        <f>[1]Raw_Data!G2276</f>
        <v>0.06</v>
      </c>
      <c r="H2278" s="3">
        <f>[1]Raw_Data!H2276</f>
        <v>4</v>
      </c>
      <c r="I2278" s="3" t="str">
        <f>TRIM([1]Raw_Data!I2276)</f>
        <v>USA</v>
      </c>
      <c r="J2278" s="3" t="str">
        <f>TRIM([1]Raw_Data!J2276)</f>
        <v>iHerb</v>
      </c>
      <c r="K2278" s="3">
        <f t="shared" si="140"/>
        <v>2022</v>
      </c>
      <c r="L2278" s="6">
        <f t="shared" si="141"/>
        <v>44805</v>
      </c>
      <c r="M2278" s="3" t="str">
        <f t="shared" si="142"/>
        <v>6% to 10%</v>
      </c>
      <c r="N2278" s="3" t="str">
        <f t="shared" si="143"/>
        <v>OK</v>
      </c>
    </row>
    <row r="2279" spans="1:14" x14ac:dyDescent="0.3">
      <c r="A2279" s="2">
        <f>DATE(VALUE(RIGHT(TRIM([1]Raw_Data!A2277),4)),VALUE(MID(TRIM([1]Raw_Data!A2277),4,2)),VALUE(LEFT(TRIM([1]Raw_Data!A2277),2)))</f>
        <v>44830</v>
      </c>
      <c r="B2279" s="3" t="str">
        <f>TRIM([1]Raw_Data!B2277)</f>
        <v>Multivitamin</v>
      </c>
      <c r="C2279" s="3" t="str">
        <f>TRIM([1]Raw_Data!C2277)</f>
        <v>Vitamin</v>
      </c>
      <c r="D2279" s="3">
        <f>[1]Raw_Data!D2277</f>
        <v>146</v>
      </c>
      <c r="E2279" s="4">
        <f>[1]Raw_Data!E2277</f>
        <v>22.08</v>
      </c>
      <c r="F2279" s="5">
        <f>[1]Raw_Data!F2277</f>
        <v>3223.68</v>
      </c>
      <c r="G2279" s="4">
        <f>[1]Raw_Data!G2277</f>
        <v>0.12</v>
      </c>
      <c r="H2279" s="3">
        <f>[1]Raw_Data!H2277</f>
        <v>0</v>
      </c>
      <c r="I2279" s="3" t="str">
        <f>TRIM([1]Raw_Data!I2277)</f>
        <v>Canada</v>
      </c>
      <c r="J2279" s="3" t="str">
        <f>TRIM([1]Raw_Data!J2277)</f>
        <v>Amazon</v>
      </c>
      <c r="K2279" s="3">
        <f t="shared" si="140"/>
        <v>2022</v>
      </c>
      <c r="L2279" s="6">
        <f t="shared" si="141"/>
        <v>44805</v>
      </c>
      <c r="M2279" s="3" t="str">
        <f t="shared" si="142"/>
        <v>11% to 15%</v>
      </c>
      <c r="N2279" s="3" t="str">
        <f t="shared" si="143"/>
        <v>OK</v>
      </c>
    </row>
    <row r="2280" spans="1:14" x14ac:dyDescent="0.3">
      <c r="A2280" s="2">
        <f>DATE(VALUE(RIGHT(TRIM([1]Raw_Data!A2278),4)),VALUE(MID(TRIM([1]Raw_Data!A2278),4,2)),VALUE(LEFT(TRIM([1]Raw_Data!A2278),2)))</f>
        <v>44830</v>
      </c>
      <c r="B2280" s="3" t="str">
        <f>TRIM([1]Raw_Data!B2278)</f>
        <v>Pre-Workout</v>
      </c>
      <c r="C2280" s="3" t="str">
        <f>TRIM([1]Raw_Data!C2278)</f>
        <v>Performance</v>
      </c>
      <c r="D2280" s="3">
        <f>[1]Raw_Data!D2278</f>
        <v>146</v>
      </c>
      <c r="E2280" s="4">
        <f>[1]Raw_Data!E2278</f>
        <v>44.38</v>
      </c>
      <c r="F2280" s="5">
        <f>[1]Raw_Data!F2278</f>
        <v>6479.48</v>
      </c>
      <c r="G2280" s="4">
        <f>[1]Raw_Data!G2278</f>
        <v>0.25</v>
      </c>
      <c r="H2280" s="3">
        <f>[1]Raw_Data!H2278</f>
        <v>1</v>
      </c>
      <c r="I2280" s="3" t="str">
        <f>TRIM([1]Raw_Data!I2278)</f>
        <v>UK</v>
      </c>
      <c r="J2280" s="3" t="str">
        <f>TRIM([1]Raw_Data!J2278)</f>
        <v>Amazon</v>
      </c>
      <c r="K2280" s="3">
        <f t="shared" si="140"/>
        <v>2022</v>
      </c>
      <c r="L2280" s="6">
        <f t="shared" si="141"/>
        <v>44805</v>
      </c>
      <c r="M2280" s="3" t="str">
        <f t="shared" si="142"/>
        <v>21% to 25%</v>
      </c>
      <c r="N2280" s="3" t="str">
        <f t="shared" si="143"/>
        <v>OK</v>
      </c>
    </row>
    <row r="2281" spans="1:14" x14ac:dyDescent="0.3">
      <c r="A2281" s="2">
        <f>DATE(VALUE(RIGHT(TRIM([1]Raw_Data!A2279),4)),VALUE(MID(TRIM([1]Raw_Data!A2279),4,2)),VALUE(LEFT(TRIM([1]Raw_Data!A2279),2)))</f>
        <v>44830</v>
      </c>
      <c r="B2281" s="3" t="str">
        <f>TRIM([1]Raw_Data!B2279)</f>
        <v>BCAA</v>
      </c>
      <c r="C2281" s="3" t="str">
        <f>TRIM([1]Raw_Data!C2279)</f>
        <v>Amino Acid</v>
      </c>
      <c r="D2281" s="3">
        <f>[1]Raw_Data!D2279</f>
        <v>154</v>
      </c>
      <c r="E2281" s="4">
        <f>[1]Raw_Data!E2279</f>
        <v>51.58</v>
      </c>
      <c r="F2281" s="5">
        <f>[1]Raw_Data!F2279</f>
        <v>7943.32</v>
      </c>
      <c r="G2281" s="4">
        <f>[1]Raw_Data!G2279</f>
        <v>0.12</v>
      </c>
      <c r="H2281" s="3">
        <f>[1]Raw_Data!H2279</f>
        <v>2</v>
      </c>
      <c r="I2281" s="3" t="str">
        <f>TRIM([1]Raw_Data!I2279)</f>
        <v>Canada</v>
      </c>
      <c r="J2281" s="3" t="str">
        <f>TRIM([1]Raw_Data!J2279)</f>
        <v>Walmart</v>
      </c>
      <c r="K2281" s="3">
        <f t="shared" si="140"/>
        <v>2022</v>
      </c>
      <c r="L2281" s="6">
        <f t="shared" si="141"/>
        <v>44805</v>
      </c>
      <c r="M2281" s="3" t="str">
        <f t="shared" si="142"/>
        <v>11% to 15%</v>
      </c>
      <c r="N2281" s="3" t="str">
        <f t="shared" si="143"/>
        <v>OK</v>
      </c>
    </row>
    <row r="2282" spans="1:14" x14ac:dyDescent="0.3">
      <c r="A2282" s="2">
        <f>DATE(VALUE(RIGHT(TRIM([1]Raw_Data!A2280),4)),VALUE(MID(TRIM([1]Raw_Data!A2280),4,2)),VALUE(LEFT(TRIM([1]Raw_Data!A2280),2)))</f>
        <v>44830</v>
      </c>
      <c r="B2282" s="3" t="str">
        <f>TRIM([1]Raw_Data!B2280)</f>
        <v>Creatine</v>
      </c>
      <c r="C2282" s="3" t="str">
        <f>TRIM([1]Raw_Data!C2280)</f>
        <v>Performance</v>
      </c>
      <c r="D2282" s="3">
        <f>[1]Raw_Data!D2280</f>
        <v>134</v>
      </c>
      <c r="E2282" s="4">
        <f>[1]Raw_Data!E2280</f>
        <v>23.95</v>
      </c>
      <c r="F2282" s="5">
        <f>[1]Raw_Data!F2280</f>
        <v>3209.3</v>
      </c>
      <c r="G2282" s="4">
        <f>[1]Raw_Data!G2280</f>
        <v>0.04</v>
      </c>
      <c r="H2282" s="3">
        <f>[1]Raw_Data!H2280</f>
        <v>1</v>
      </c>
      <c r="I2282" s="3" t="str">
        <f>TRIM([1]Raw_Data!I2280)</f>
        <v>USA</v>
      </c>
      <c r="J2282" s="3" t="str">
        <f>TRIM([1]Raw_Data!J2280)</f>
        <v>Amazon</v>
      </c>
      <c r="K2282" s="3">
        <f t="shared" si="140"/>
        <v>2022</v>
      </c>
      <c r="L2282" s="6">
        <f t="shared" si="141"/>
        <v>44805</v>
      </c>
      <c r="M2282" s="3" t="str">
        <f t="shared" si="142"/>
        <v>0% to 5%</v>
      </c>
      <c r="N2282" s="3" t="str">
        <f t="shared" si="143"/>
        <v>OK</v>
      </c>
    </row>
    <row r="2283" spans="1:14" x14ac:dyDescent="0.3">
      <c r="A2283" s="2">
        <f>DATE(VALUE(RIGHT(TRIM([1]Raw_Data!A2281),4)),VALUE(MID(TRIM([1]Raw_Data!A2281),4,2)),VALUE(LEFT(TRIM([1]Raw_Data!A2281),2)))</f>
        <v>44830</v>
      </c>
      <c r="B2283" s="3" t="str">
        <f>TRIM([1]Raw_Data!B2281)</f>
        <v>Zinc</v>
      </c>
      <c r="C2283" s="3" t="str">
        <f>TRIM([1]Raw_Data!C2281)</f>
        <v>Mineral</v>
      </c>
      <c r="D2283" s="3">
        <f>[1]Raw_Data!D2281</f>
        <v>134</v>
      </c>
      <c r="E2283" s="4">
        <f>[1]Raw_Data!E2281</f>
        <v>32.81</v>
      </c>
      <c r="F2283" s="5">
        <f>[1]Raw_Data!F2281</f>
        <v>4396.54</v>
      </c>
      <c r="G2283" s="4">
        <f>[1]Raw_Data!G2281</f>
        <v>0.13</v>
      </c>
      <c r="H2283" s="3">
        <f>[1]Raw_Data!H2281</f>
        <v>0</v>
      </c>
      <c r="I2283" s="3" t="str">
        <f>TRIM([1]Raw_Data!I2281)</f>
        <v>Canada</v>
      </c>
      <c r="J2283" s="3" t="str">
        <f>TRIM([1]Raw_Data!J2281)</f>
        <v>Walmart</v>
      </c>
      <c r="K2283" s="3">
        <f t="shared" si="140"/>
        <v>2022</v>
      </c>
      <c r="L2283" s="6">
        <f t="shared" si="141"/>
        <v>44805</v>
      </c>
      <c r="M2283" s="3" t="str">
        <f t="shared" si="142"/>
        <v>11% to 15%</v>
      </c>
      <c r="N2283" s="3" t="str">
        <f t="shared" si="143"/>
        <v>OK</v>
      </c>
    </row>
    <row r="2284" spans="1:14" x14ac:dyDescent="0.3">
      <c r="A2284" s="2">
        <f>DATE(VALUE(RIGHT(TRIM([1]Raw_Data!A2282),4)),VALUE(MID(TRIM([1]Raw_Data!A2282),4,2)),VALUE(LEFT(TRIM([1]Raw_Data!A2282),2)))</f>
        <v>44830</v>
      </c>
      <c r="B2284" s="3" t="str">
        <f>TRIM([1]Raw_Data!B2282)</f>
        <v>Collagen Peptides</v>
      </c>
      <c r="C2284" s="3" t="str">
        <f>TRIM([1]Raw_Data!C2282)</f>
        <v>Protein</v>
      </c>
      <c r="D2284" s="3">
        <f>[1]Raw_Data!D2282</f>
        <v>135</v>
      </c>
      <c r="E2284" s="4">
        <f>[1]Raw_Data!E2282</f>
        <v>59.25</v>
      </c>
      <c r="F2284" s="5">
        <f>[1]Raw_Data!F2282</f>
        <v>7998.75</v>
      </c>
      <c r="G2284" s="4">
        <f>[1]Raw_Data!G2282</f>
        <v>0.02</v>
      </c>
      <c r="H2284" s="3">
        <f>[1]Raw_Data!H2282</f>
        <v>1</v>
      </c>
      <c r="I2284" s="3" t="str">
        <f>TRIM([1]Raw_Data!I2282)</f>
        <v>UK</v>
      </c>
      <c r="J2284" s="3" t="str">
        <f>TRIM([1]Raw_Data!J2282)</f>
        <v>iHerb</v>
      </c>
      <c r="K2284" s="3">
        <f t="shared" si="140"/>
        <v>2022</v>
      </c>
      <c r="L2284" s="6">
        <f t="shared" si="141"/>
        <v>44805</v>
      </c>
      <c r="M2284" s="3" t="str">
        <f t="shared" si="142"/>
        <v>0% to 5%</v>
      </c>
      <c r="N2284" s="3" t="str">
        <f t="shared" si="143"/>
        <v>OK</v>
      </c>
    </row>
    <row r="2285" spans="1:14" x14ac:dyDescent="0.3">
      <c r="A2285" s="2">
        <f>DATE(VALUE(RIGHT(TRIM([1]Raw_Data!A2283),4)),VALUE(MID(TRIM([1]Raw_Data!A2283),4,2)),VALUE(LEFT(TRIM([1]Raw_Data!A2283),2)))</f>
        <v>44830</v>
      </c>
      <c r="B2285" s="3" t="str">
        <f>TRIM([1]Raw_Data!B2283)</f>
        <v>Magnesium</v>
      </c>
      <c r="C2285" s="3" t="str">
        <f>TRIM([1]Raw_Data!C2283)</f>
        <v>Mineral</v>
      </c>
      <c r="D2285" s="3">
        <f>[1]Raw_Data!D2283</f>
        <v>166</v>
      </c>
      <c r="E2285" s="4">
        <f>[1]Raw_Data!E2283</f>
        <v>53.79</v>
      </c>
      <c r="F2285" s="5">
        <f>[1]Raw_Data!F2283</f>
        <v>8929.14</v>
      </c>
      <c r="G2285" s="4">
        <f>[1]Raw_Data!G2283</f>
        <v>0.13</v>
      </c>
      <c r="H2285" s="3">
        <f>[1]Raw_Data!H2283</f>
        <v>1</v>
      </c>
      <c r="I2285" s="3" t="str">
        <f>TRIM([1]Raw_Data!I2283)</f>
        <v>Canada</v>
      </c>
      <c r="J2285" s="3" t="str">
        <f>TRIM([1]Raw_Data!J2283)</f>
        <v>Amazon</v>
      </c>
      <c r="K2285" s="3">
        <f t="shared" si="140"/>
        <v>2022</v>
      </c>
      <c r="L2285" s="6">
        <f t="shared" si="141"/>
        <v>44805</v>
      </c>
      <c r="M2285" s="3" t="str">
        <f t="shared" si="142"/>
        <v>11% to 15%</v>
      </c>
      <c r="N2285" s="3" t="str">
        <f t="shared" si="143"/>
        <v>OK</v>
      </c>
    </row>
    <row r="2286" spans="1:14" x14ac:dyDescent="0.3">
      <c r="A2286" s="2">
        <f>DATE(VALUE(RIGHT(TRIM([1]Raw_Data!A2284),4)),VALUE(MID(TRIM([1]Raw_Data!A2284),4,2)),VALUE(LEFT(TRIM([1]Raw_Data!A2284),2)))</f>
        <v>44830</v>
      </c>
      <c r="B2286" s="3" t="str">
        <f>TRIM([1]Raw_Data!B2284)</f>
        <v>Ashwagandha</v>
      </c>
      <c r="C2286" s="3" t="str">
        <f>TRIM([1]Raw_Data!C2284)</f>
        <v>Herbal</v>
      </c>
      <c r="D2286" s="3">
        <f>[1]Raw_Data!D2284</f>
        <v>143</v>
      </c>
      <c r="E2286" s="4">
        <f>[1]Raw_Data!E2284</f>
        <v>25.29</v>
      </c>
      <c r="F2286" s="5">
        <f>[1]Raw_Data!F2284</f>
        <v>3616.47</v>
      </c>
      <c r="G2286" s="4">
        <f>[1]Raw_Data!G2284</f>
        <v>0.22</v>
      </c>
      <c r="H2286" s="3">
        <f>[1]Raw_Data!H2284</f>
        <v>2</v>
      </c>
      <c r="I2286" s="3" t="str">
        <f>TRIM([1]Raw_Data!I2284)</f>
        <v>UK</v>
      </c>
      <c r="J2286" s="3" t="str">
        <f>TRIM([1]Raw_Data!J2284)</f>
        <v>Walmart</v>
      </c>
      <c r="K2286" s="3">
        <f t="shared" si="140"/>
        <v>2022</v>
      </c>
      <c r="L2286" s="6">
        <f t="shared" si="141"/>
        <v>44805</v>
      </c>
      <c r="M2286" s="3" t="str">
        <f t="shared" si="142"/>
        <v>21% to 25%</v>
      </c>
      <c r="N2286" s="3" t="str">
        <f t="shared" si="143"/>
        <v>OK</v>
      </c>
    </row>
    <row r="2287" spans="1:14" x14ac:dyDescent="0.3">
      <c r="A2287" s="2">
        <f>DATE(VALUE(RIGHT(TRIM([1]Raw_Data!A2285),4)),VALUE(MID(TRIM([1]Raw_Data!A2285),4,2)),VALUE(LEFT(TRIM([1]Raw_Data!A2285),2)))</f>
        <v>44830</v>
      </c>
      <c r="B2287" s="3" t="str">
        <f>TRIM([1]Raw_Data!B2285)</f>
        <v>Melatonin</v>
      </c>
      <c r="C2287" s="3" t="str">
        <f>TRIM([1]Raw_Data!C2285)</f>
        <v>Sleep Aid</v>
      </c>
      <c r="D2287" s="3">
        <f>[1]Raw_Data!D2285</f>
        <v>156</v>
      </c>
      <c r="E2287" s="4">
        <f>[1]Raw_Data!E2285</f>
        <v>22.86</v>
      </c>
      <c r="F2287" s="5">
        <f>[1]Raw_Data!F2285</f>
        <v>3566.16</v>
      </c>
      <c r="G2287" s="4">
        <f>[1]Raw_Data!G2285</f>
        <v>0.15</v>
      </c>
      <c r="H2287" s="3">
        <f>[1]Raw_Data!H2285</f>
        <v>1</v>
      </c>
      <c r="I2287" s="3" t="str">
        <f>TRIM([1]Raw_Data!I2285)</f>
        <v>Canada</v>
      </c>
      <c r="J2287" s="3" t="str">
        <f>TRIM([1]Raw_Data!J2285)</f>
        <v>Walmart</v>
      </c>
      <c r="K2287" s="3">
        <f t="shared" si="140"/>
        <v>2022</v>
      </c>
      <c r="L2287" s="6">
        <f t="shared" si="141"/>
        <v>44805</v>
      </c>
      <c r="M2287" s="3" t="str">
        <f t="shared" si="142"/>
        <v>11% to 15%</v>
      </c>
      <c r="N2287" s="3" t="str">
        <f t="shared" si="143"/>
        <v>OK</v>
      </c>
    </row>
    <row r="2288" spans="1:14" x14ac:dyDescent="0.3">
      <c r="A2288" s="2">
        <f>DATE(VALUE(RIGHT(TRIM([1]Raw_Data!A2286),4)),VALUE(MID(TRIM([1]Raw_Data!A2286),4,2)),VALUE(LEFT(TRIM([1]Raw_Data!A2286),2)))</f>
        <v>44830</v>
      </c>
      <c r="B2288" s="3" t="str">
        <f>TRIM([1]Raw_Data!B2286)</f>
        <v>Biotin</v>
      </c>
      <c r="C2288" s="3" t="str">
        <f>TRIM([1]Raw_Data!C2286)</f>
        <v>Vitamin</v>
      </c>
      <c r="D2288" s="3">
        <f>[1]Raw_Data!D2286</f>
        <v>161</v>
      </c>
      <c r="E2288" s="4">
        <f>[1]Raw_Data!E2286</f>
        <v>42.16</v>
      </c>
      <c r="F2288" s="5">
        <f>[1]Raw_Data!F2286</f>
        <v>6787.76</v>
      </c>
      <c r="G2288" s="4">
        <f>[1]Raw_Data!G2286</f>
        <v>0.22</v>
      </c>
      <c r="H2288" s="3">
        <f>[1]Raw_Data!H2286</f>
        <v>1</v>
      </c>
      <c r="I2288" s="3" t="str">
        <f>TRIM([1]Raw_Data!I2286)</f>
        <v>USA</v>
      </c>
      <c r="J2288" s="3" t="str">
        <f>TRIM([1]Raw_Data!J2286)</f>
        <v>Walmart</v>
      </c>
      <c r="K2288" s="3">
        <f t="shared" si="140"/>
        <v>2022</v>
      </c>
      <c r="L2288" s="6">
        <f t="shared" si="141"/>
        <v>44805</v>
      </c>
      <c r="M2288" s="3" t="str">
        <f t="shared" si="142"/>
        <v>21% to 25%</v>
      </c>
      <c r="N2288" s="3" t="str">
        <f t="shared" si="143"/>
        <v>OK</v>
      </c>
    </row>
    <row r="2289" spans="1:14" x14ac:dyDescent="0.3">
      <c r="A2289" s="2">
        <f>DATE(VALUE(RIGHT(TRIM([1]Raw_Data!A2287),4)),VALUE(MID(TRIM([1]Raw_Data!A2287),4,2)),VALUE(LEFT(TRIM([1]Raw_Data!A2287),2)))</f>
        <v>44830</v>
      </c>
      <c r="B2289" s="3" t="str">
        <f>TRIM([1]Raw_Data!B2287)</f>
        <v>Green Tea Extract</v>
      </c>
      <c r="C2289" s="3" t="str">
        <f>TRIM([1]Raw_Data!C2287)</f>
        <v>Fat Burner</v>
      </c>
      <c r="D2289" s="3">
        <f>[1]Raw_Data!D2287</f>
        <v>127</v>
      </c>
      <c r="E2289" s="4">
        <f>[1]Raw_Data!E2287</f>
        <v>27.3</v>
      </c>
      <c r="F2289" s="5">
        <f>[1]Raw_Data!F2287</f>
        <v>3467.1</v>
      </c>
      <c r="G2289" s="4">
        <f>[1]Raw_Data!G2287</f>
        <v>0.17</v>
      </c>
      <c r="H2289" s="3">
        <f>[1]Raw_Data!H2287</f>
        <v>3</v>
      </c>
      <c r="I2289" s="3" t="str">
        <f>TRIM([1]Raw_Data!I2287)</f>
        <v>USA</v>
      </c>
      <c r="J2289" s="3" t="str">
        <f>TRIM([1]Raw_Data!J2287)</f>
        <v>Walmart</v>
      </c>
      <c r="K2289" s="3">
        <f t="shared" si="140"/>
        <v>2022</v>
      </c>
      <c r="L2289" s="6">
        <f t="shared" si="141"/>
        <v>44805</v>
      </c>
      <c r="M2289" s="3" t="str">
        <f t="shared" si="142"/>
        <v>16% to 20%</v>
      </c>
      <c r="N2289" s="3" t="str">
        <f t="shared" si="143"/>
        <v>OK</v>
      </c>
    </row>
    <row r="2290" spans="1:14" x14ac:dyDescent="0.3">
      <c r="A2290" s="2">
        <f>DATE(VALUE(RIGHT(TRIM([1]Raw_Data!A2288),4)),VALUE(MID(TRIM([1]Raw_Data!A2288),4,2)),VALUE(LEFT(TRIM([1]Raw_Data!A2288),2)))</f>
        <v>44830</v>
      </c>
      <c r="B2290" s="3" t="str">
        <f>TRIM([1]Raw_Data!B2288)</f>
        <v>Iron Supplement</v>
      </c>
      <c r="C2290" s="3" t="str">
        <f>TRIM([1]Raw_Data!C2288)</f>
        <v>Mineral</v>
      </c>
      <c r="D2290" s="3">
        <f>[1]Raw_Data!D2288</f>
        <v>149</v>
      </c>
      <c r="E2290" s="4">
        <f>[1]Raw_Data!E2288</f>
        <v>42.73</v>
      </c>
      <c r="F2290" s="5">
        <f>[1]Raw_Data!F2288</f>
        <v>6366.77</v>
      </c>
      <c r="G2290" s="4">
        <f>[1]Raw_Data!G2288</f>
        <v>0.03</v>
      </c>
      <c r="H2290" s="3">
        <f>[1]Raw_Data!H2288</f>
        <v>1</v>
      </c>
      <c r="I2290" s="3" t="str">
        <f>TRIM([1]Raw_Data!I2288)</f>
        <v>Canada</v>
      </c>
      <c r="J2290" s="3" t="str">
        <f>TRIM([1]Raw_Data!J2288)</f>
        <v>iHerb</v>
      </c>
      <c r="K2290" s="3">
        <f t="shared" si="140"/>
        <v>2022</v>
      </c>
      <c r="L2290" s="6">
        <f t="shared" si="141"/>
        <v>44805</v>
      </c>
      <c r="M2290" s="3" t="str">
        <f t="shared" si="142"/>
        <v>0% to 5%</v>
      </c>
      <c r="N2290" s="3" t="str">
        <f t="shared" si="143"/>
        <v>OK</v>
      </c>
    </row>
    <row r="2291" spans="1:14" x14ac:dyDescent="0.3">
      <c r="A2291" s="2">
        <f>DATE(VALUE(RIGHT(TRIM([1]Raw_Data!A2289),4)),VALUE(MID(TRIM([1]Raw_Data!A2289),4,2)),VALUE(LEFT(TRIM([1]Raw_Data!A2289),2)))</f>
        <v>44830</v>
      </c>
      <c r="B2291" s="3" t="str">
        <f>TRIM([1]Raw_Data!B2289)</f>
        <v>Electrolyte Powder</v>
      </c>
      <c r="C2291" s="3" t="str">
        <f>TRIM([1]Raw_Data!C2289)</f>
        <v>Hydration</v>
      </c>
      <c r="D2291" s="3">
        <f>[1]Raw_Data!D2289</f>
        <v>171</v>
      </c>
      <c r="E2291" s="4">
        <f>[1]Raw_Data!E2289</f>
        <v>10.67</v>
      </c>
      <c r="F2291" s="5">
        <f>[1]Raw_Data!F2289</f>
        <v>1824.57</v>
      </c>
      <c r="G2291" s="4">
        <f>[1]Raw_Data!G2289</f>
        <v>0.05</v>
      </c>
      <c r="H2291" s="3">
        <f>[1]Raw_Data!H2289</f>
        <v>2</v>
      </c>
      <c r="I2291" s="3" t="str">
        <f>TRIM([1]Raw_Data!I2289)</f>
        <v>UK</v>
      </c>
      <c r="J2291" s="3" t="str">
        <f>TRIM([1]Raw_Data!J2289)</f>
        <v>Walmart</v>
      </c>
      <c r="K2291" s="3">
        <f t="shared" si="140"/>
        <v>2022</v>
      </c>
      <c r="L2291" s="6">
        <f t="shared" si="141"/>
        <v>44805</v>
      </c>
      <c r="M2291" s="3" t="str">
        <f t="shared" si="142"/>
        <v>0% to 5%</v>
      </c>
      <c r="N2291" s="3" t="str">
        <f t="shared" si="143"/>
        <v>OK</v>
      </c>
    </row>
    <row r="2292" spans="1:14" x14ac:dyDescent="0.3">
      <c r="A2292" s="2">
        <f>DATE(VALUE(RIGHT(TRIM([1]Raw_Data!A2290),4)),VALUE(MID(TRIM([1]Raw_Data!A2290),4,2)),VALUE(LEFT(TRIM([1]Raw_Data!A2290),2)))</f>
        <v>44837</v>
      </c>
      <c r="B2292" s="3" t="str">
        <f>TRIM([1]Raw_Data!B2290)</f>
        <v>Whey Protein</v>
      </c>
      <c r="C2292" s="3" t="str">
        <f>TRIM([1]Raw_Data!C2290)</f>
        <v>Protein</v>
      </c>
      <c r="D2292" s="3">
        <f>[1]Raw_Data!D2290</f>
        <v>160</v>
      </c>
      <c r="E2292" s="4">
        <f>[1]Raw_Data!E2290</f>
        <v>24.61</v>
      </c>
      <c r="F2292" s="5">
        <f>[1]Raw_Data!F2290</f>
        <v>3937.6</v>
      </c>
      <c r="G2292" s="4">
        <f>[1]Raw_Data!G2290</f>
        <v>0.23</v>
      </c>
      <c r="H2292" s="3">
        <f>[1]Raw_Data!H2290</f>
        <v>2</v>
      </c>
      <c r="I2292" s="3" t="str">
        <f>TRIM([1]Raw_Data!I2290)</f>
        <v>UK</v>
      </c>
      <c r="J2292" s="3" t="str">
        <f>TRIM([1]Raw_Data!J2290)</f>
        <v>Amazon</v>
      </c>
      <c r="K2292" s="3">
        <f t="shared" si="140"/>
        <v>2022</v>
      </c>
      <c r="L2292" s="6">
        <f t="shared" si="141"/>
        <v>44835</v>
      </c>
      <c r="M2292" s="3" t="str">
        <f t="shared" si="142"/>
        <v>21% to 25%</v>
      </c>
      <c r="N2292" s="3" t="str">
        <f t="shared" si="143"/>
        <v>OK</v>
      </c>
    </row>
    <row r="2293" spans="1:14" x14ac:dyDescent="0.3">
      <c r="A2293" s="2">
        <f>DATE(VALUE(RIGHT(TRIM([1]Raw_Data!A2291),4)),VALUE(MID(TRIM([1]Raw_Data!A2291),4,2)),VALUE(LEFT(TRIM([1]Raw_Data!A2291),2)))</f>
        <v>44837</v>
      </c>
      <c r="B2293" s="3" t="str">
        <f>TRIM([1]Raw_Data!B2291)</f>
        <v>Vitamin C</v>
      </c>
      <c r="C2293" s="3" t="str">
        <f>TRIM([1]Raw_Data!C2291)</f>
        <v>Vitamin</v>
      </c>
      <c r="D2293" s="3">
        <f>[1]Raw_Data!D2291</f>
        <v>157</v>
      </c>
      <c r="E2293" s="4">
        <f>[1]Raw_Data!E2291</f>
        <v>16.14</v>
      </c>
      <c r="F2293" s="5">
        <f>[1]Raw_Data!F2291</f>
        <v>2533.98</v>
      </c>
      <c r="G2293" s="4">
        <f>[1]Raw_Data!G2291</f>
        <v>0.24</v>
      </c>
      <c r="H2293" s="3">
        <f>[1]Raw_Data!H2291</f>
        <v>0</v>
      </c>
      <c r="I2293" s="3" t="str">
        <f>TRIM([1]Raw_Data!I2291)</f>
        <v>Canada</v>
      </c>
      <c r="J2293" s="3" t="str">
        <f>TRIM([1]Raw_Data!J2291)</f>
        <v>iHerb</v>
      </c>
      <c r="K2293" s="3">
        <f t="shared" si="140"/>
        <v>2022</v>
      </c>
      <c r="L2293" s="6">
        <f t="shared" si="141"/>
        <v>44835</v>
      </c>
      <c r="M2293" s="3" t="str">
        <f t="shared" si="142"/>
        <v>21% to 25%</v>
      </c>
      <c r="N2293" s="3" t="str">
        <f t="shared" si="143"/>
        <v>OK</v>
      </c>
    </row>
    <row r="2294" spans="1:14" x14ac:dyDescent="0.3">
      <c r="A2294" s="2">
        <f>DATE(VALUE(RIGHT(TRIM([1]Raw_Data!A2292),4)),VALUE(MID(TRIM([1]Raw_Data!A2292),4,2)),VALUE(LEFT(TRIM([1]Raw_Data!A2292),2)))</f>
        <v>44837</v>
      </c>
      <c r="B2294" s="3" t="str">
        <f>TRIM([1]Raw_Data!B2292)</f>
        <v>Fish Oil</v>
      </c>
      <c r="C2294" s="3" t="str">
        <f>TRIM([1]Raw_Data!C2292)</f>
        <v>Omega</v>
      </c>
      <c r="D2294" s="3">
        <f>[1]Raw_Data!D2292</f>
        <v>141</v>
      </c>
      <c r="E2294" s="4">
        <f>[1]Raw_Data!E2292</f>
        <v>40.93</v>
      </c>
      <c r="F2294" s="5">
        <f>[1]Raw_Data!F2292</f>
        <v>5771.13</v>
      </c>
      <c r="G2294" s="4">
        <f>[1]Raw_Data!G2292</f>
        <v>0.21</v>
      </c>
      <c r="H2294" s="3">
        <f>[1]Raw_Data!H2292</f>
        <v>1</v>
      </c>
      <c r="I2294" s="3" t="str">
        <f>TRIM([1]Raw_Data!I2292)</f>
        <v>USA</v>
      </c>
      <c r="J2294" s="3" t="str">
        <f>TRIM([1]Raw_Data!J2292)</f>
        <v>Amazon</v>
      </c>
      <c r="K2294" s="3">
        <f t="shared" si="140"/>
        <v>2022</v>
      </c>
      <c r="L2294" s="6">
        <f t="shared" si="141"/>
        <v>44835</v>
      </c>
      <c r="M2294" s="3" t="str">
        <f t="shared" si="142"/>
        <v>21% to 25%</v>
      </c>
      <c r="N2294" s="3" t="str">
        <f t="shared" si="143"/>
        <v>OK</v>
      </c>
    </row>
    <row r="2295" spans="1:14" x14ac:dyDescent="0.3">
      <c r="A2295" s="2">
        <f>DATE(VALUE(RIGHT(TRIM([1]Raw_Data!A2293),4)),VALUE(MID(TRIM([1]Raw_Data!A2293),4,2)),VALUE(LEFT(TRIM([1]Raw_Data!A2293),2)))</f>
        <v>44837</v>
      </c>
      <c r="B2295" s="3" t="str">
        <f>TRIM([1]Raw_Data!B2293)</f>
        <v>Multivitamin</v>
      </c>
      <c r="C2295" s="3" t="str">
        <f>TRIM([1]Raw_Data!C2293)</f>
        <v>Vitamin</v>
      </c>
      <c r="D2295" s="3">
        <f>[1]Raw_Data!D2293</f>
        <v>146</v>
      </c>
      <c r="E2295" s="4">
        <f>[1]Raw_Data!E2293</f>
        <v>11.81</v>
      </c>
      <c r="F2295" s="5">
        <f>[1]Raw_Data!F2293</f>
        <v>1724.26</v>
      </c>
      <c r="G2295" s="4">
        <f>[1]Raw_Data!G2293</f>
        <v>0.21</v>
      </c>
      <c r="H2295" s="3">
        <f>[1]Raw_Data!H2293</f>
        <v>1</v>
      </c>
      <c r="I2295" s="3" t="str">
        <f>TRIM([1]Raw_Data!I2293)</f>
        <v>USA</v>
      </c>
      <c r="J2295" s="3" t="str">
        <f>TRIM([1]Raw_Data!J2293)</f>
        <v>Walmart</v>
      </c>
      <c r="K2295" s="3">
        <f t="shared" si="140"/>
        <v>2022</v>
      </c>
      <c r="L2295" s="6">
        <f t="shared" si="141"/>
        <v>44835</v>
      </c>
      <c r="M2295" s="3" t="str">
        <f t="shared" si="142"/>
        <v>21% to 25%</v>
      </c>
      <c r="N2295" s="3" t="str">
        <f t="shared" si="143"/>
        <v>OK</v>
      </c>
    </row>
    <row r="2296" spans="1:14" x14ac:dyDescent="0.3">
      <c r="A2296" s="2">
        <f>DATE(VALUE(RIGHT(TRIM([1]Raw_Data!A2294),4)),VALUE(MID(TRIM([1]Raw_Data!A2294),4,2)),VALUE(LEFT(TRIM([1]Raw_Data!A2294),2)))</f>
        <v>44837</v>
      </c>
      <c r="B2296" s="3" t="str">
        <f>TRIM([1]Raw_Data!B2294)</f>
        <v>Pre-Workout</v>
      </c>
      <c r="C2296" s="3" t="str">
        <f>TRIM([1]Raw_Data!C2294)</f>
        <v>Performance</v>
      </c>
      <c r="D2296" s="3">
        <f>[1]Raw_Data!D2294</f>
        <v>164</v>
      </c>
      <c r="E2296" s="4">
        <f>[1]Raw_Data!E2294</f>
        <v>39.01</v>
      </c>
      <c r="F2296" s="5">
        <f>[1]Raw_Data!F2294</f>
        <v>6397.64</v>
      </c>
      <c r="G2296" s="4">
        <f>[1]Raw_Data!G2294</f>
        <v>0.22</v>
      </c>
      <c r="H2296" s="3">
        <f>[1]Raw_Data!H2294</f>
        <v>1</v>
      </c>
      <c r="I2296" s="3" t="str">
        <f>TRIM([1]Raw_Data!I2294)</f>
        <v>UK</v>
      </c>
      <c r="J2296" s="3" t="str">
        <f>TRIM([1]Raw_Data!J2294)</f>
        <v>Walmart</v>
      </c>
      <c r="K2296" s="3">
        <f t="shared" si="140"/>
        <v>2022</v>
      </c>
      <c r="L2296" s="6">
        <f t="shared" si="141"/>
        <v>44835</v>
      </c>
      <c r="M2296" s="3" t="str">
        <f t="shared" si="142"/>
        <v>21% to 25%</v>
      </c>
      <c r="N2296" s="3" t="str">
        <f t="shared" si="143"/>
        <v>OK</v>
      </c>
    </row>
    <row r="2297" spans="1:14" x14ac:dyDescent="0.3">
      <c r="A2297" s="2">
        <f>DATE(VALUE(RIGHT(TRIM([1]Raw_Data!A2295),4)),VALUE(MID(TRIM([1]Raw_Data!A2295),4,2)),VALUE(LEFT(TRIM([1]Raw_Data!A2295),2)))</f>
        <v>44837</v>
      </c>
      <c r="B2297" s="3" t="str">
        <f>TRIM([1]Raw_Data!B2295)</f>
        <v>BCAA</v>
      </c>
      <c r="C2297" s="3" t="str">
        <f>TRIM([1]Raw_Data!C2295)</f>
        <v>Amino Acid</v>
      </c>
      <c r="D2297" s="3">
        <f>[1]Raw_Data!D2295</f>
        <v>159</v>
      </c>
      <c r="E2297" s="4">
        <f>[1]Raw_Data!E2295</f>
        <v>46.82</v>
      </c>
      <c r="F2297" s="5">
        <f>[1]Raw_Data!F2295</f>
        <v>7444.38</v>
      </c>
      <c r="G2297" s="4">
        <f>[1]Raw_Data!G2295</f>
        <v>0.23</v>
      </c>
      <c r="H2297" s="3">
        <f>[1]Raw_Data!H2295</f>
        <v>1</v>
      </c>
      <c r="I2297" s="3" t="str">
        <f>TRIM([1]Raw_Data!I2295)</f>
        <v>UK</v>
      </c>
      <c r="J2297" s="3" t="str">
        <f>TRIM([1]Raw_Data!J2295)</f>
        <v>Amazon</v>
      </c>
      <c r="K2297" s="3">
        <f t="shared" si="140"/>
        <v>2022</v>
      </c>
      <c r="L2297" s="6">
        <f t="shared" si="141"/>
        <v>44835</v>
      </c>
      <c r="M2297" s="3" t="str">
        <f t="shared" si="142"/>
        <v>21% to 25%</v>
      </c>
      <c r="N2297" s="3" t="str">
        <f t="shared" si="143"/>
        <v>OK</v>
      </c>
    </row>
    <row r="2298" spans="1:14" x14ac:dyDescent="0.3">
      <c r="A2298" s="2">
        <f>DATE(VALUE(RIGHT(TRIM([1]Raw_Data!A2296),4)),VALUE(MID(TRIM([1]Raw_Data!A2296),4,2)),VALUE(LEFT(TRIM([1]Raw_Data!A2296),2)))</f>
        <v>44837</v>
      </c>
      <c r="B2298" s="3" t="str">
        <f>TRIM([1]Raw_Data!B2296)</f>
        <v>Creatine</v>
      </c>
      <c r="C2298" s="3" t="str">
        <f>TRIM([1]Raw_Data!C2296)</f>
        <v>Performance</v>
      </c>
      <c r="D2298" s="3">
        <f>[1]Raw_Data!D2296</f>
        <v>137</v>
      </c>
      <c r="E2298" s="4">
        <f>[1]Raw_Data!E2296</f>
        <v>22.32</v>
      </c>
      <c r="F2298" s="5">
        <f>[1]Raw_Data!F2296</f>
        <v>3057.84</v>
      </c>
      <c r="G2298" s="4">
        <f>[1]Raw_Data!G2296</f>
        <v>0.04</v>
      </c>
      <c r="H2298" s="3">
        <f>[1]Raw_Data!H2296</f>
        <v>1</v>
      </c>
      <c r="I2298" s="3" t="str">
        <f>TRIM([1]Raw_Data!I2296)</f>
        <v>Canada</v>
      </c>
      <c r="J2298" s="3" t="str">
        <f>TRIM([1]Raw_Data!J2296)</f>
        <v>iHerb</v>
      </c>
      <c r="K2298" s="3">
        <f t="shared" si="140"/>
        <v>2022</v>
      </c>
      <c r="L2298" s="6">
        <f t="shared" si="141"/>
        <v>44835</v>
      </c>
      <c r="M2298" s="3" t="str">
        <f t="shared" si="142"/>
        <v>0% to 5%</v>
      </c>
      <c r="N2298" s="3" t="str">
        <f t="shared" si="143"/>
        <v>OK</v>
      </c>
    </row>
    <row r="2299" spans="1:14" x14ac:dyDescent="0.3">
      <c r="A2299" s="2">
        <f>DATE(VALUE(RIGHT(TRIM([1]Raw_Data!A2297),4)),VALUE(MID(TRIM([1]Raw_Data!A2297),4,2)),VALUE(LEFT(TRIM([1]Raw_Data!A2297),2)))</f>
        <v>44837</v>
      </c>
      <c r="B2299" s="3" t="str">
        <f>TRIM([1]Raw_Data!B2297)</f>
        <v>Zinc</v>
      </c>
      <c r="C2299" s="3" t="str">
        <f>TRIM([1]Raw_Data!C2297)</f>
        <v>Mineral</v>
      </c>
      <c r="D2299" s="3">
        <f>[1]Raw_Data!D2297</f>
        <v>137</v>
      </c>
      <c r="E2299" s="4">
        <f>[1]Raw_Data!E2297</f>
        <v>11.8</v>
      </c>
      <c r="F2299" s="5">
        <f>[1]Raw_Data!F2297</f>
        <v>1616.6</v>
      </c>
      <c r="G2299" s="4">
        <f>[1]Raw_Data!G2297</f>
        <v>0.21</v>
      </c>
      <c r="H2299" s="3">
        <f>[1]Raw_Data!H2297</f>
        <v>1</v>
      </c>
      <c r="I2299" s="3" t="str">
        <f>TRIM([1]Raw_Data!I2297)</f>
        <v>Canada</v>
      </c>
      <c r="J2299" s="3" t="str">
        <f>TRIM([1]Raw_Data!J2297)</f>
        <v>Walmart</v>
      </c>
      <c r="K2299" s="3">
        <f t="shared" si="140"/>
        <v>2022</v>
      </c>
      <c r="L2299" s="6">
        <f t="shared" si="141"/>
        <v>44835</v>
      </c>
      <c r="M2299" s="3" t="str">
        <f t="shared" si="142"/>
        <v>21% to 25%</v>
      </c>
      <c r="N2299" s="3" t="str">
        <f t="shared" si="143"/>
        <v>OK</v>
      </c>
    </row>
    <row r="2300" spans="1:14" x14ac:dyDescent="0.3">
      <c r="A2300" s="2">
        <f>DATE(VALUE(RIGHT(TRIM([1]Raw_Data!A2298),4)),VALUE(MID(TRIM([1]Raw_Data!A2298),4,2)),VALUE(LEFT(TRIM([1]Raw_Data!A2298),2)))</f>
        <v>44837</v>
      </c>
      <c r="B2300" s="3" t="str">
        <f>TRIM([1]Raw_Data!B2298)</f>
        <v>Collagen Peptides</v>
      </c>
      <c r="C2300" s="3" t="str">
        <f>TRIM([1]Raw_Data!C2298)</f>
        <v>Protein</v>
      </c>
      <c r="D2300" s="3">
        <f>[1]Raw_Data!D2298</f>
        <v>145</v>
      </c>
      <c r="E2300" s="4">
        <f>[1]Raw_Data!E2298</f>
        <v>13.51</v>
      </c>
      <c r="F2300" s="5">
        <f>[1]Raw_Data!F2298</f>
        <v>1958.95</v>
      </c>
      <c r="G2300" s="4">
        <f>[1]Raw_Data!G2298</f>
        <v>0.25</v>
      </c>
      <c r="H2300" s="3">
        <f>[1]Raw_Data!H2298</f>
        <v>2</v>
      </c>
      <c r="I2300" s="3" t="str">
        <f>TRIM([1]Raw_Data!I2298)</f>
        <v>UK</v>
      </c>
      <c r="J2300" s="3" t="str">
        <f>TRIM([1]Raw_Data!J2298)</f>
        <v>Walmart</v>
      </c>
      <c r="K2300" s="3">
        <f t="shared" si="140"/>
        <v>2022</v>
      </c>
      <c r="L2300" s="6">
        <f t="shared" si="141"/>
        <v>44835</v>
      </c>
      <c r="M2300" s="3" t="str">
        <f t="shared" si="142"/>
        <v>21% to 25%</v>
      </c>
      <c r="N2300" s="3" t="str">
        <f t="shared" si="143"/>
        <v>OK</v>
      </c>
    </row>
    <row r="2301" spans="1:14" x14ac:dyDescent="0.3">
      <c r="A2301" s="2">
        <f>DATE(VALUE(RIGHT(TRIM([1]Raw_Data!A2299),4)),VALUE(MID(TRIM([1]Raw_Data!A2299),4,2)),VALUE(LEFT(TRIM([1]Raw_Data!A2299),2)))</f>
        <v>44837</v>
      </c>
      <c r="B2301" s="3" t="str">
        <f>TRIM([1]Raw_Data!B2299)</f>
        <v>Magnesium</v>
      </c>
      <c r="C2301" s="3" t="str">
        <f>TRIM([1]Raw_Data!C2299)</f>
        <v>Mineral</v>
      </c>
      <c r="D2301" s="3">
        <f>[1]Raw_Data!D2299</f>
        <v>137</v>
      </c>
      <c r="E2301" s="4">
        <f>[1]Raw_Data!E2299</f>
        <v>48.17</v>
      </c>
      <c r="F2301" s="5">
        <f>[1]Raw_Data!F2299</f>
        <v>6599.29</v>
      </c>
      <c r="G2301" s="4">
        <f>[1]Raw_Data!G2299</f>
        <v>0.11</v>
      </c>
      <c r="H2301" s="3">
        <f>[1]Raw_Data!H2299</f>
        <v>3</v>
      </c>
      <c r="I2301" s="3" t="str">
        <f>TRIM([1]Raw_Data!I2299)</f>
        <v>Canada</v>
      </c>
      <c r="J2301" s="3" t="str">
        <f>TRIM([1]Raw_Data!J2299)</f>
        <v>iHerb</v>
      </c>
      <c r="K2301" s="3">
        <f t="shared" si="140"/>
        <v>2022</v>
      </c>
      <c r="L2301" s="6">
        <f t="shared" si="141"/>
        <v>44835</v>
      </c>
      <c r="M2301" s="3" t="str">
        <f t="shared" si="142"/>
        <v>11% to 15%</v>
      </c>
      <c r="N2301" s="3" t="str">
        <f t="shared" si="143"/>
        <v>OK</v>
      </c>
    </row>
    <row r="2302" spans="1:14" x14ac:dyDescent="0.3">
      <c r="A2302" s="2">
        <f>DATE(VALUE(RIGHT(TRIM([1]Raw_Data!A2300),4)),VALUE(MID(TRIM([1]Raw_Data!A2300),4,2)),VALUE(LEFT(TRIM([1]Raw_Data!A2300),2)))</f>
        <v>44837</v>
      </c>
      <c r="B2302" s="3" t="str">
        <f>TRIM([1]Raw_Data!B2300)</f>
        <v>Ashwagandha</v>
      </c>
      <c r="C2302" s="3" t="str">
        <f>TRIM([1]Raw_Data!C2300)</f>
        <v>Herbal</v>
      </c>
      <c r="D2302" s="3">
        <f>[1]Raw_Data!D2300</f>
        <v>135</v>
      </c>
      <c r="E2302" s="4">
        <f>[1]Raw_Data!E2300</f>
        <v>14.67</v>
      </c>
      <c r="F2302" s="5">
        <f>[1]Raw_Data!F2300</f>
        <v>1980.45</v>
      </c>
      <c r="G2302" s="4">
        <f>[1]Raw_Data!G2300</f>
        <v>0.05</v>
      </c>
      <c r="H2302" s="3">
        <f>[1]Raw_Data!H2300</f>
        <v>0</v>
      </c>
      <c r="I2302" s="3" t="str">
        <f>TRIM([1]Raw_Data!I2300)</f>
        <v>USA</v>
      </c>
      <c r="J2302" s="3" t="str">
        <f>TRIM([1]Raw_Data!J2300)</f>
        <v>Walmart</v>
      </c>
      <c r="K2302" s="3">
        <f t="shared" si="140"/>
        <v>2022</v>
      </c>
      <c r="L2302" s="6">
        <f t="shared" si="141"/>
        <v>44835</v>
      </c>
      <c r="M2302" s="3" t="str">
        <f t="shared" si="142"/>
        <v>0% to 5%</v>
      </c>
      <c r="N2302" s="3" t="str">
        <f t="shared" si="143"/>
        <v>OK</v>
      </c>
    </row>
    <row r="2303" spans="1:14" x14ac:dyDescent="0.3">
      <c r="A2303" s="2">
        <f>DATE(VALUE(RIGHT(TRIM([1]Raw_Data!A2301),4)),VALUE(MID(TRIM([1]Raw_Data!A2301),4,2)),VALUE(LEFT(TRIM([1]Raw_Data!A2301),2)))</f>
        <v>44837</v>
      </c>
      <c r="B2303" s="3" t="str">
        <f>TRIM([1]Raw_Data!B2301)</f>
        <v>Melatonin</v>
      </c>
      <c r="C2303" s="3" t="str">
        <f>TRIM([1]Raw_Data!C2301)</f>
        <v>Sleep Aid</v>
      </c>
      <c r="D2303" s="3">
        <f>[1]Raw_Data!D2301</f>
        <v>171</v>
      </c>
      <c r="E2303" s="4">
        <f>[1]Raw_Data!E2301</f>
        <v>31.37</v>
      </c>
      <c r="F2303" s="5">
        <f>[1]Raw_Data!F2301</f>
        <v>5364.27</v>
      </c>
      <c r="G2303" s="4">
        <f>[1]Raw_Data!G2301</f>
        <v>0.13</v>
      </c>
      <c r="H2303" s="3">
        <f>[1]Raw_Data!H2301</f>
        <v>3</v>
      </c>
      <c r="I2303" s="3" t="str">
        <f>TRIM([1]Raw_Data!I2301)</f>
        <v>UK</v>
      </c>
      <c r="J2303" s="3" t="str">
        <f>TRIM([1]Raw_Data!J2301)</f>
        <v>Walmart</v>
      </c>
      <c r="K2303" s="3">
        <f t="shared" si="140"/>
        <v>2022</v>
      </c>
      <c r="L2303" s="6">
        <f t="shared" si="141"/>
        <v>44835</v>
      </c>
      <c r="M2303" s="3" t="str">
        <f t="shared" si="142"/>
        <v>11% to 15%</v>
      </c>
      <c r="N2303" s="3" t="str">
        <f t="shared" si="143"/>
        <v>OK</v>
      </c>
    </row>
    <row r="2304" spans="1:14" x14ac:dyDescent="0.3">
      <c r="A2304" s="2">
        <f>DATE(VALUE(RIGHT(TRIM([1]Raw_Data!A2302),4)),VALUE(MID(TRIM([1]Raw_Data!A2302),4,2)),VALUE(LEFT(TRIM([1]Raw_Data!A2302),2)))</f>
        <v>44837</v>
      </c>
      <c r="B2304" s="3" t="str">
        <f>TRIM([1]Raw_Data!B2302)</f>
        <v>Biotin</v>
      </c>
      <c r="C2304" s="3" t="str">
        <f>TRIM([1]Raw_Data!C2302)</f>
        <v>Vitamin</v>
      </c>
      <c r="D2304" s="3">
        <f>[1]Raw_Data!D2302</f>
        <v>129</v>
      </c>
      <c r="E2304" s="4">
        <f>[1]Raw_Data!E2302</f>
        <v>42.33</v>
      </c>
      <c r="F2304" s="5">
        <f>[1]Raw_Data!F2302</f>
        <v>5460.57</v>
      </c>
      <c r="G2304" s="4">
        <f>[1]Raw_Data!G2302</f>
        <v>0.09</v>
      </c>
      <c r="H2304" s="3">
        <f>[1]Raw_Data!H2302</f>
        <v>0</v>
      </c>
      <c r="I2304" s="3" t="str">
        <f>TRIM([1]Raw_Data!I2302)</f>
        <v>USA</v>
      </c>
      <c r="J2304" s="3" t="str">
        <f>TRIM([1]Raw_Data!J2302)</f>
        <v>Walmart</v>
      </c>
      <c r="K2304" s="3">
        <f t="shared" si="140"/>
        <v>2022</v>
      </c>
      <c r="L2304" s="6">
        <f t="shared" si="141"/>
        <v>44835</v>
      </c>
      <c r="M2304" s="3" t="str">
        <f t="shared" si="142"/>
        <v>6% to 10%</v>
      </c>
      <c r="N2304" s="3" t="str">
        <f t="shared" si="143"/>
        <v>OK</v>
      </c>
    </row>
    <row r="2305" spans="1:14" x14ac:dyDescent="0.3">
      <c r="A2305" s="2">
        <f>DATE(VALUE(RIGHT(TRIM([1]Raw_Data!A2303),4)),VALUE(MID(TRIM([1]Raw_Data!A2303),4,2)),VALUE(LEFT(TRIM([1]Raw_Data!A2303),2)))</f>
        <v>44837</v>
      </c>
      <c r="B2305" s="3" t="str">
        <f>TRIM([1]Raw_Data!B2303)</f>
        <v>Green Tea Extract</v>
      </c>
      <c r="C2305" s="3" t="str">
        <f>TRIM([1]Raw_Data!C2303)</f>
        <v>Fat Burner</v>
      </c>
      <c r="D2305" s="3">
        <f>[1]Raw_Data!D2303</f>
        <v>153</v>
      </c>
      <c r="E2305" s="4">
        <f>[1]Raw_Data!E2303</f>
        <v>11.75</v>
      </c>
      <c r="F2305" s="5">
        <f>[1]Raw_Data!F2303</f>
        <v>1797.75</v>
      </c>
      <c r="G2305" s="4">
        <f>[1]Raw_Data!G2303</f>
        <v>0.19</v>
      </c>
      <c r="H2305" s="3">
        <f>[1]Raw_Data!H2303</f>
        <v>2</v>
      </c>
      <c r="I2305" s="3" t="str">
        <f>TRIM([1]Raw_Data!I2303)</f>
        <v>Canada</v>
      </c>
      <c r="J2305" s="3" t="str">
        <f>TRIM([1]Raw_Data!J2303)</f>
        <v>iHerb</v>
      </c>
      <c r="K2305" s="3">
        <f t="shared" si="140"/>
        <v>2022</v>
      </c>
      <c r="L2305" s="6">
        <f t="shared" si="141"/>
        <v>44835</v>
      </c>
      <c r="M2305" s="3" t="str">
        <f t="shared" si="142"/>
        <v>16% to 20%</v>
      </c>
      <c r="N2305" s="3" t="str">
        <f t="shared" si="143"/>
        <v>OK</v>
      </c>
    </row>
    <row r="2306" spans="1:14" x14ac:dyDescent="0.3">
      <c r="A2306" s="2">
        <f>DATE(VALUE(RIGHT(TRIM([1]Raw_Data!A2304),4)),VALUE(MID(TRIM([1]Raw_Data!A2304),4,2)),VALUE(LEFT(TRIM([1]Raw_Data!A2304),2)))</f>
        <v>44837</v>
      </c>
      <c r="B2306" s="3" t="str">
        <f>TRIM([1]Raw_Data!B2304)</f>
        <v>Iron Supplement</v>
      </c>
      <c r="C2306" s="3" t="str">
        <f>TRIM([1]Raw_Data!C2304)</f>
        <v>Mineral</v>
      </c>
      <c r="D2306" s="3">
        <f>[1]Raw_Data!D2304</f>
        <v>160</v>
      </c>
      <c r="E2306" s="4">
        <f>[1]Raw_Data!E2304</f>
        <v>20.21</v>
      </c>
      <c r="F2306" s="5">
        <f>[1]Raw_Data!F2304</f>
        <v>3233.6</v>
      </c>
      <c r="G2306" s="4">
        <f>[1]Raw_Data!G2304</f>
        <v>0.14000000000000001</v>
      </c>
      <c r="H2306" s="3">
        <f>[1]Raw_Data!H2304</f>
        <v>2</v>
      </c>
      <c r="I2306" s="3" t="str">
        <f>TRIM([1]Raw_Data!I2304)</f>
        <v>USA</v>
      </c>
      <c r="J2306" s="3" t="str">
        <f>TRIM([1]Raw_Data!J2304)</f>
        <v>Amazon</v>
      </c>
      <c r="K2306" s="3">
        <f t="shared" si="140"/>
        <v>2022</v>
      </c>
      <c r="L2306" s="6">
        <f t="shared" si="141"/>
        <v>44835</v>
      </c>
      <c r="M2306" s="3" t="str">
        <f t="shared" si="142"/>
        <v>11% to 15%</v>
      </c>
      <c r="N2306" s="3" t="str">
        <f t="shared" si="143"/>
        <v>OK</v>
      </c>
    </row>
    <row r="2307" spans="1:14" x14ac:dyDescent="0.3">
      <c r="A2307" s="2">
        <f>DATE(VALUE(RIGHT(TRIM([1]Raw_Data!A2305),4)),VALUE(MID(TRIM([1]Raw_Data!A2305),4,2)),VALUE(LEFT(TRIM([1]Raw_Data!A2305),2)))</f>
        <v>44837</v>
      </c>
      <c r="B2307" s="3" t="str">
        <f>TRIM([1]Raw_Data!B2305)</f>
        <v>Electrolyte Powder</v>
      </c>
      <c r="C2307" s="3" t="str">
        <f>TRIM([1]Raw_Data!C2305)</f>
        <v>Hydration</v>
      </c>
      <c r="D2307" s="3">
        <f>[1]Raw_Data!D2305</f>
        <v>168</v>
      </c>
      <c r="E2307" s="4">
        <f>[1]Raw_Data!E2305</f>
        <v>19.760000000000002</v>
      </c>
      <c r="F2307" s="5">
        <f>[1]Raw_Data!F2305</f>
        <v>3319.68</v>
      </c>
      <c r="G2307" s="4">
        <f>[1]Raw_Data!G2305</f>
        <v>0.15</v>
      </c>
      <c r="H2307" s="3">
        <f>[1]Raw_Data!H2305</f>
        <v>1</v>
      </c>
      <c r="I2307" s="3" t="str">
        <f>TRIM([1]Raw_Data!I2305)</f>
        <v>UK</v>
      </c>
      <c r="J2307" s="3" t="str">
        <f>TRIM([1]Raw_Data!J2305)</f>
        <v>Amazon</v>
      </c>
      <c r="K2307" s="3">
        <f t="shared" si="140"/>
        <v>2022</v>
      </c>
      <c r="L2307" s="6">
        <f t="shared" si="141"/>
        <v>44835</v>
      </c>
      <c r="M2307" s="3" t="str">
        <f t="shared" si="142"/>
        <v>11% to 15%</v>
      </c>
      <c r="N2307" s="3" t="str">
        <f t="shared" si="143"/>
        <v>OK</v>
      </c>
    </row>
    <row r="2308" spans="1:14" x14ac:dyDescent="0.3">
      <c r="A2308" s="2">
        <f>DATE(VALUE(RIGHT(TRIM([1]Raw_Data!A2306),4)),VALUE(MID(TRIM([1]Raw_Data!A2306),4,2)),VALUE(LEFT(TRIM([1]Raw_Data!A2306),2)))</f>
        <v>44844</v>
      </c>
      <c r="B2308" s="3" t="str">
        <f>TRIM([1]Raw_Data!B2306)</f>
        <v>Whey Protein</v>
      </c>
      <c r="C2308" s="3" t="str">
        <f>TRIM([1]Raw_Data!C2306)</f>
        <v>Protein</v>
      </c>
      <c r="D2308" s="3">
        <f>[1]Raw_Data!D2306</f>
        <v>133</v>
      </c>
      <c r="E2308" s="4">
        <f>[1]Raw_Data!E2306</f>
        <v>22.93</v>
      </c>
      <c r="F2308" s="5">
        <f>[1]Raw_Data!F2306</f>
        <v>3049.69</v>
      </c>
      <c r="G2308" s="4">
        <f>[1]Raw_Data!G2306</f>
        <v>7.0000000000000007E-2</v>
      </c>
      <c r="H2308" s="3">
        <f>[1]Raw_Data!H2306</f>
        <v>4</v>
      </c>
      <c r="I2308" s="3" t="str">
        <f>TRIM([1]Raw_Data!I2306)</f>
        <v>Canada</v>
      </c>
      <c r="J2308" s="3" t="str">
        <f>TRIM([1]Raw_Data!J2306)</f>
        <v>iHerb</v>
      </c>
      <c r="K2308" s="3">
        <f t="shared" ref="K2308:K2371" si="144">YEAR(A2308)</f>
        <v>2022</v>
      </c>
      <c r="L2308" s="6">
        <f t="shared" ref="L2308:L2371" si="145">DATE(YEAR(A2308),MONTH(A2308),1)</f>
        <v>44835</v>
      </c>
      <c r="M2308" s="3" t="str">
        <f t="shared" ref="M2308:M2371" si="146">IF(ROUND(G2308*100,0)&lt;=5,"0% to 5%",IF(ROUND(G2308*100,0)&lt;=10,"6% to 10%",IF(ROUND(G2308*100,0)&lt;=15,"11% to 15%",IF(ROUND(G2308*100,0)&lt;=20,"16% to 20%","21% to 25%"))))</f>
        <v>6% to 10%</v>
      </c>
      <c r="N2308" s="3" t="str">
        <f t="shared" ref="N2308:N2371" si="147">IF(ROUND(D2308*E2308,2)=ROUND(F2308,2),"OK","Check")</f>
        <v>OK</v>
      </c>
    </row>
    <row r="2309" spans="1:14" x14ac:dyDescent="0.3">
      <c r="A2309" s="2">
        <f>DATE(VALUE(RIGHT(TRIM([1]Raw_Data!A2307),4)),VALUE(MID(TRIM([1]Raw_Data!A2307),4,2)),VALUE(LEFT(TRIM([1]Raw_Data!A2307),2)))</f>
        <v>44844</v>
      </c>
      <c r="B2309" s="3" t="str">
        <f>TRIM([1]Raw_Data!B2307)</f>
        <v>Vitamin C</v>
      </c>
      <c r="C2309" s="3" t="str">
        <f>TRIM([1]Raw_Data!C2307)</f>
        <v>Vitamin</v>
      </c>
      <c r="D2309" s="3">
        <f>[1]Raw_Data!D2307</f>
        <v>146</v>
      </c>
      <c r="E2309" s="4">
        <f>[1]Raw_Data!E2307</f>
        <v>24.19</v>
      </c>
      <c r="F2309" s="5">
        <f>[1]Raw_Data!F2307</f>
        <v>3531.74</v>
      </c>
      <c r="G2309" s="4">
        <f>[1]Raw_Data!G2307</f>
        <v>0.03</v>
      </c>
      <c r="H2309" s="3">
        <f>[1]Raw_Data!H2307</f>
        <v>0</v>
      </c>
      <c r="I2309" s="3" t="str">
        <f>TRIM([1]Raw_Data!I2307)</f>
        <v>USA</v>
      </c>
      <c r="J2309" s="3" t="str">
        <f>TRIM([1]Raw_Data!J2307)</f>
        <v>iHerb</v>
      </c>
      <c r="K2309" s="3">
        <f t="shared" si="144"/>
        <v>2022</v>
      </c>
      <c r="L2309" s="6">
        <f t="shared" si="145"/>
        <v>44835</v>
      </c>
      <c r="M2309" s="3" t="str">
        <f t="shared" si="146"/>
        <v>0% to 5%</v>
      </c>
      <c r="N2309" s="3" t="str">
        <f t="shared" si="147"/>
        <v>OK</v>
      </c>
    </row>
    <row r="2310" spans="1:14" x14ac:dyDescent="0.3">
      <c r="A2310" s="2">
        <f>DATE(VALUE(RIGHT(TRIM([1]Raw_Data!A2308),4)),VALUE(MID(TRIM([1]Raw_Data!A2308),4,2)),VALUE(LEFT(TRIM([1]Raw_Data!A2308),2)))</f>
        <v>44844</v>
      </c>
      <c r="B2310" s="3" t="str">
        <f>TRIM([1]Raw_Data!B2308)</f>
        <v>Fish Oil</v>
      </c>
      <c r="C2310" s="3" t="str">
        <f>TRIM([1]Raw_Data!C2308)</f>
        <v>Omega</v>
      </c>
      <c r="D2310" s="3">
        <f>[1]Raw_Data!D2308</f>
        <v>128</v>
      </c>
      <c r="E2310" s="4">
        <f>[1]Raw_Data!E2308</f>
        <v>19.47</v>
      </c>
      <c r="F2310" s="5">
        <f>[1]Raw_Data!F2308</f>
        <v>2492.16</v>
      </c>
      <c r="G2310" s="4">
        <f>[1]Raw_Data!G2308</f>
        <v>0.09</v>
      </c>
      <c r="H2310" s="3">
        <f>[1]Raw_Data!H2308</f>
        <v>2</v>
      </c>
      <c r="I2310" s="3" t="str">
        <f>TRIM([1]Raw_Data!I2308)</f>
        <v>UK</v>
      </c>
      <c r="J2310" s="3" t="str">
        <f>TRIM([1]Raw_Data!J2308)</f>
        <v>Amazon</v>
      </c>
      <c r="K2310" s="3">
        <f t="shared" si="144"/>
        <v>2022</v>
      </c>
      <c r="L2310" s="6">
        <f t="shared" si="145"/>
        <v>44835</v>
      </c>
      <c r="M2310" s="3" t="str">
        <f t="shared" si="146"/>
        <v>6% to 10%</v>
      </c>
      <c r="N2310" s="3" t="str">
        <f t="shared" si="147"/>
        <v>OK</v>
      </c>
    </row>
    <row r="2311" spans="1:14" x14ac:dyDescent="0.3">
      <c r="A2311" s="2">
        <f>DATE(VALUE(RIGHT(TRIM([1]Raw_Data!A2309),4)),VALUE(MID(TRIM([1]Raw_Data!A2309),4,2)),VALUE(LEFT(TRIM([1]Raw_Data!A2309),2)))</f>
        <v>44844</v>
      </c>
      <c r="B2311" s="3" t="str">
        <f>TRIM([1]Raw_Data!B2309)</f>
        <v>Multivitamin</v>
      </c>
      <c r="C2311" s="3" t="str">
        <f>TRIM([1]Raw_Data!C2309)</f>
        <v>Vitamin</v>
      </c>
      <c r="D2311" s="3">
        <f>[1]Raw_Data!D2309</f>
        <v>147</v>
      </c>
      <c r="E2311" s="4">
        <f>[1]Raw_Data!E2309</f>
        <v>34.9</v>
      </c>
      <c r="F2311" s="5">
        <f>[1]Raw_Data!F2309</f>
        <v>5130.3</v>
      </c>
      <c r="G2311" s="4">
        <f>[1]Raw_Data!G2309</f>
        <v>0.1</v>
      </c>
      <c r="H2311" s="3">
        <f>[1]Raw_Data!H2309</f>
        <v>2</v>
      </c>
      <c r="I2311" s="3" t="str">
        <f>TRIM([1]Raw_Data!I2309)</f>
        <v>USA</v>
      </c>
      <c r="J2311" s="3" t="str">
        <f>TRIM([1]Raw_Data!J2309)</f>
        <v>Amazon</v>
      </c>
      <c r="K2311" s="3">
        <f t="shared" si="144"/>
        <v>2022</v>
      </c>
      <c r="L2311" s="6">
        <f t="shared" si="145"/>
        <v>44835</v>
      </c>
      <c r="M2311" s="3" t="str">
        <f t="shared" si="146"/>
        <v>6% to 10%</v>
      </c>
      <c r="N2311" s="3" t="str">
        <f t="shared" si="147"/>
        <v>OK</v>
      </c>
    </row>
    <row r="2312" spans="1:14" x14ac:dyDescent="0.3">
      <c r="A2312" s="2">
        <f>DATE(VALUE(RIGHT(TRIM([1]Raw_Data!A2310),4)),VALUE(MID(TRIM([1]Raw_Data!A2310),4,2)),VALUE(LEFT(TRIM([1]Raw_Data!A2310),2)))</f>
        <v>44844</v>
      </c>
      <c r="B2312" s="3" t="str">
        <f>TRIM([1]Raw_Data!B2310)</f>
        <v>Pre-Workout</v>
      </c>
      <c r="C2312" s="3" t="str">
        <f>TRIM([1]Raw_Data!C2310)</f>
        <v>Performance</v>
      </c>
      <c r="D2312" s="3">
        <f>[1]Raw_Data!D2310</f>
        <v>128</v>
      </c>
      <c r="E2312" s="4">
        <f>[1]Raw_Data!E2310</f>
        <v>42.6</v>
      </c>
      <c r="F2312" s="5">
        <f>[1]Raw_Data!F2310</f>
        <v>5452.8</v>
      </c>
      <c r="G2312" s="4">
        <f>[1]Raw_Data!G2310</f>
        <v>0.12</v>
      </c>
      <c r="H2312" s="3">
        <f>[1]Raw_Data!H2310</f>
        <v>2</v>
      </c>
      <c r="I2312" s="3" t="str">
        <f>TRIM([1]Raw_Data!I2310)</f>
        <v>UK</v>
      </c>
      <c r="J2312" s="3" t="str">
        <f>TRIM([1]Raw_Data!J2310)</f>
        <v>Amazon</v>
      </c>
      <c r="K2312" s="3">
        <f t="shared" si="144"/>
        <v>2022</v>
      </c>
      <c r="L2312" s="6">
        <f t="shared" si="145"/>
        <v>44835</v>
      </c>
      <c r="M2312" s="3" t="str">
        <f t="shared" si="146"/>
        <v>11% to 15%</v>
      </c>
      <c r="N2312" s="3" t="str">
        <f t="shared" si="147"/>
        <v>OK</v>
      </c>
    </row>
    <row r="2313" spans="1:14" x14ac:dyDescent="0.3">
      <c r="A2313" s="2">
        <f>DATE(VALUE(RIGHT(TRIM([1]Raw_Data!A2311),4)),VALUE(MID(TRIM([1]Raw_Data!A2311),4,2)),VALUE(LEFT(TRIM([1]Raw_Data!A2311),2)))</f>
        <v>44844</v>
      </c>
      <c r="B2313" s="3" t="str">
        <f>TRIM([1]Raw_Data!B2311)</f>
        <v>BCAA</v>
      </c>
      <c r="C2313" s="3" t="str">
        <f>TRIM([1]Raw_Data!C2311)</f>
        <v>Amino Acid</v>
      </c>
      <c r="D2313" s="3">
        <f>[1]Raw_Data!D2311</f>
        <v>171</v>
      </c>
      <c r="E2313" s="4">
        <f>[1]Raw_Data!E2311</f>
        <v>39.82</v>
      </c>
      <c r="F2313" s="5">
        <f>[1]Raw_Data!F2311</f>
        <v>6809.22</v>
      </c>
      <c r="G2313" s="4">
        <f>[1]Raw_Data!G2311</f>
        <v>0.13</v>
      </c>
      <c r="H2313" s="3">
        <f>[1]Raw_Data!H2311</f>
        <v>5</v>
      </c>
      <c r="I2313" s="3" t="str">
        <f>TRIM([1]Raw_Data!I2311)</f>
        <v>UK</v>
      </c>
      <c r="J2313" s="3" t="str">
        <f>TRIM([1]Raw_Data!J2311)</f>
        <v>iHerb</v>
      </c>
      <c r="K2313" s="3">
        <f t="shared" si="144"/>
        <v>2022</v>
      </c>
      <c r="L2313" s="6">
        <f t="shared" si="145"/>
        <v>44835</v>
      </c>
      <c r="M2313" s="3" t="str">
        <f t="shared" si="146"/>
        <v>11% to 15%</v>
      </c>
      <c r="N2313" s="3" t="str">
        <f t="shared" si="147"/>
        <v>OK</v>
      </c>
    </row>
    <row r="2314" spans="1:14" x14ac:dyDescent="0.3">
      <c r="A2314" s="2">
        <f>DATE(VALUE(RIGHT(TRIM([1]Raw_Data!A2312),4)),VALUE(MID(TRIM([1]Raw_Data!A2312),4,2)),VALUE(LEFT(TRIM([1]Raw_Data!A2312),2)))</f>
        <v>44844</v>
      </c>
      <c r="B2314" s="3" t="str">
        <f>TRIM([1]Raw_Data!B2312)</f>
        <v>Creatine</v>
      </c>
      <c r="C2314" s="3" t="str">
        <f>TRIM([1]Raw_Data!C2312)</f>
        <v>Performance</v>
      </c>
      <c r="D2314" s="3">
        <f>[1]Raw_Data!D2312</f>
        <v>141</v>
      </c>
      <c r="E2314" s="4">
        <f>[1]Raw_Data!E2312</f>
        <v>23.27</v>
      </c>
      <c r="F2314" s="5">
        <f>[1]Raw_Data!F2312</f>
        <v>3281.07</v>
      </c>
      <c r="G2314" s="4">
        <f>[1]Raw_Data!G2312</f>
        <v>0.05</v>
      </c>
      <c r="H2314" s="3">
        <f>[1]Raw_Data!H2312</f>
        <v>3</v>
      </c>
      <c r="I2314" s="3" t="str">
        <f>TRIM([1]Raw_Data!I2312)</f>
        <v>Canada</v>
      </c>
      <c r="J2314" s="3" t="str">
        <f>TRIM([1]Raw_Data!J2312)</f>
        <v>iHerb</v>
      </c>
      <c r="K2314" s="3">
        <f t="shared" si="144"/>
        <v>2022</v>
      </c>
      <c r="L2314" s="6">
        <f t="shared" si="145"/>
        <v>44835</v>
      </c>
      <c r="M2314" s="3" t="str">
        <f t="shared" si="146"/>
        <v>0% to 5%</v>
      </c>
      <c r="N2314" s="3" t="str">
        <f t="shared" si="147"/>
        <v>OK</v>
      </c>
    </row>
    <row r="2315" spans="1:14" x14ac:dyDescent="0.3">
      <c r="A2315" s="2">
        <f>DATE(VALUE(RIGHT(TRIM([1]Raw_Data!A2313),4)),VALUE(MID(TRIM([1]Raw_Data!A2313),4,2)),VALUE(LEFT(TRIM([1]Raw_Data!A2313),2)))</f>
        <v>44844</v>
      </c>
      <c r="B2315" s="3" t="str">
        <f>TRIM([1]Raw_Data!B2313)</f>
        <v>Zinc</v>
      </c>
      <c r="C2315" s="3" t="str">
        <f>TRIM([1]Raw_Data!C2313)</f>
        <v>Mineral</v>
      </c>
      <c r="D2315" s="3">
        <f>[1]Raw_Data!D2313</f>
        <v>135</v>
      </c>
      <c r="E2315" s="4">
        <f>[1]Raw_Data!E2313</f>
        <v>23.8</v>
      </c>
      <c r="F2315" s="5">
        <f>[1]Raw_Data!F2313</f>
        <v>3213</v>
      </c>
      <c r="G2315" s="4">
        <f>[1]Raw_Data!G2313</f>
        <v>0.09</v>
      </c>
      <c r="H2315" s="3">
        <f>[1]Raw_Data!H2313</f>
        <v>0</v>
      </c>
      <c r="I2315" s="3" t="str">
        <f>TRIM([1]Raw_Data!I2313)</f>
        <v>Canada</v>
      </c>
      <c r="J2315" s="3" t="str">
        <f>TRIM([1]Raw_Data!J2313)</f>
        <v>Walmart</v>
      </c>
      <c r="K2315" s="3">
        <f t="shared" si="144"/>
        <v>2022</v>
      </c>
      <c r="L2315" s="6">
        <f t="shared" si="145"/>
        <v>44835</v>
      </c>
      <c r="M2315" s="3" t="str">
        <f t="shared" si="146"/>
        <v>6% to 10%</v>
      </c>
      <c r="N2315" s="3" t="str">
        <f t="shared" si="147"/>
        <v>OK</v>
      </c>
    </row>
    <row r="2316" spans="1:14" x14ac:dyDescent="0.3">
      <c r="A2316" s="2">
        <f>DATE(VALUE(RIGHT(TRIM([1]Raw_Data!A2314),4)),VALUE(MID(TRIM([1]Raw_Data!A2314),4,2)),VALUE(LEFT(TRIM([1]Raw_Data!A2314),2)))</f>
        <v>44844</v>
      </c>
      <c r="B2316" s="3" t="str">
        <f>TRIM([1]Raw_Data!B2314)</f>
        <v>Collagen Peptides</v>
      </c>
      <c r="C2316" s="3" t="str">
        <f>TRIM([1]Raw_Data!C2314)</f>
        <v>Protein</v>
      </c>
      <c r="D2316" s="3">
        <f>[1]Raw_Data!D2314</f>
        <v>153</v>
      </c>
      <c r="E2316" s="4">
        <f>[1]Raw_Data!E2314</f>
        <v>42.87</v>
      </c>
      <c r="F2316" s="5">
        <f>[1]Raw_Data!F2314</f>
        <v>6559.11</v>
      </c>
      <c r="G2316" s="4">
        <f>[1]Raw_Data!G2314</f>
        <v>0</v>
      </c>
      <c r="H2316" s="3">
        <f>[1]Raw_Data!H2314</f>
        <v>0</v>
      </c>
      <c r="I2316" s="3" t="str">
        <f>TRIM([1]Raw_Data!I2314)</f>
        <v>Canada</v>
      </c>
      <c r="J2316" s="3" t="str">
        <f>TRIM([1]Raw_Data!J2314)</f>
        <v>Walmart</v>
      </c>
      <c r="K2316" s="3">
        <f t="shared" si="144"/>
        <v>2022</v>
      </c>
      <c r="L2316" s="6">
        <f t="shared" si="145"/>
        <v>44835</v>
      </c>
      <c r="M2316" s="3" t="str">
        <f t="shared" si="146"/>
        <v>0% to 5%</v>
      </c>
      <c r="N2316" s="3" t="str">
        <f t="shared" si="147"/>
        <v>OK</v>
      </c>
    </row>
    <row r="2317" spans="1:14" x14ac:dyDescent="0.3">
      <c r="A2317" s="2">
        <f>DATE(VALUE(RIGHT(TRIM([1]Raw_Data!A2315),4)),VALUE(MID(TRIM([1]Raw_Data!A2315),4,2)),VALUE(LEFT(TRIM([1]Raw_Data!A2315),2)))</f>
        <v>44844</v>
      </c>
      <c r="B2317" s="3" t="str">
        <f>TRIM([1]Raw_Data!B2315)</f>
        <v>Magnesium</v>
      </c>
      <c r="C2317" s="3" t="str">
        <f>TRIM([1]Raw_Data!C2315)</f>
        <v>Mineral</v>
      </c>
      <c r="D2317" s="3">
        <f>[1]Raw_Data!D2315</f>
        <v>131</v>
      </c>
      <c r="E2317" s="4">
        <f>[1]Raw_Data!E2315</f>
        <v>50.74</v>
      </c>
      <c r="F2317" s="5">
        <f>[1]Raw_Data!F2315</f>
        <v>6646.94</v>
      </c>
      <c r="G2317" s="4">
        <f>[1]Raw_Data!G2315</f>
        <v>0.22</v>
      </c>
      <c r="H2317" s="3">
        <f>[1]Raw_Data!H2315</f>
        <v>0</v>
      </c>
      <c r="I2317" s="3" t="str">
        <f>TRIM([1]Raw_Data!I2315)</f>
        <v>Canada</v>
      </c>
      <c r="J2317" s="3" t="str">
        <f>TRIM([1]Raw_Data!J2315)</f>
        <v>Walmart</v>
      </c>
      <c r="K2317" s="3">
        <f t="shared" si="144"/>
        <v>2022</v>
      </c>
      <c r="L2317" s="6">
        <f t="shared" si="145"/>
        <v>44835</v>
      </c>
      <c r="M2317" s="3" t="str">
        <f t="shared" si="146"/>
        <v>21% to 25%</v>
      </c>
      <c r="N2317" s="3" t="str">
        <f t="shared" si="147"/>
        <v>OK</v>
      </c>
    </row>
    <row r="2318" spans="1:14" x14ac:dyDescent="0.3">
      <c r="A2318" s="2">
        <f>DATE(VALUE(RIGHT(TRIM([1]Raw_Data!A2316),4)),VALUE(MID(TRIM([1]Raw_Data!A2316),4,2)),VALUE(LEFT(TRIM([1]Raw_Data!A2316),2)))</f>
        <v>44844</v>
      </c>
      <c r="B2318" s="3" t="str">
        <f>TRIM([1]Raw_Data!B2316)</f>
        <v>Ashwagandha</v>
      </c>
      <c r="C2318" s="3" t="str">
        <f>TRIM([1]Raw_Data!C2316)</f>
        <v>Herbal</v>
      </c>
      <c r="D2318" s="3">
        <f>[1]Raw_Data!D2316</f>
        <v>153</v>
      </c>
      <c r="E2318" s="4">
        <f>[1]Raw_Data!E2316</f>
        <v>24.44</v>
      </c>
      <c r="F2318" s="5">
        <f>[1]Raw_Data!F2316</f>
        <v>3739.32</v>
      </c>
      <c r="G2318" s="4">
        <f>[1]Raw_Data!G2316</f>
        <v>0.1</v>
      </c>
      <c r="H2318" s="3">
        <f>[1]Raw_Data!H2316</f>
        <v>1</v>
      </c>
      <c r="I2318" s="3" t="str">
        <f>TRIM([1]Raw_Data!I2316)</f>
        <v>USA</v>
      </c>
      <c r="J2318" s="3" t="str">
        <f>TRIM([1]Raw_Data!J2316)</f>
        <v>iHerb</v>
      </c>
      <c r="K2318" s="3">
        <f t="shared" si="144"/>
        <v>2022</v>
      </c>
      <c r="L2318" s="6">
        <f t="shared" si="145"/>
        <v>44835</v>
      </c>
      <c r="M2318" s="3" t="str">
        <f t="shared" si="146"/>
        <v>6% to 10%</v>
      </c>
      <c r="N2318" s="3" t="str">
        <f t="shared" si="147"/>
        <v>OK</v>
      </c>
    </row>
    <row r="2319" spans="1:14" x14ac:dyDescent="0.3">
      <c r="A2319" s="2">
        <f>DATE(VALUE(RIGHT(TRIM([1]Raw_Data!A2317),4)),VALUE(MID(TRIM([1]Raw_Data!A2317),4,2)),VALUE(LEFT(TRIM([1]Raw_Data!A2317),2)))</f>
        <v>44844</v>
      </c>
      <c r="B2319" s="3" t="str">
        <f>TRIM([1]Raw_Data!B2317)</f>
        <v>Melatonin</v>
      </c>
      <c r="C2319" s="3" t="str">
        <f>TRIM([1]Raw_Data!C2317)</f>
        <v>Sleep Aid</v>
      </c>
      <c r="D2319" s="3">
        <f>[1]Raw_Data!D2317</f>
        <v>134</v>
      </c>
      <c r="E2319" s="4">
        <f>[1]Raw_Data!E2317</f>
        <v>17.64</v>
      </c>
      <c r="F2319" s="5">
        <f>[1]Raw_Data!F2317</f>
        <v>2363.7600000000002</v>
      </c>
      <c r="G2319" s="4">
        <f>[1]Raw_Data!G2317</f>
        <v>0.16</v>
      </c>
      <c r="H2319" s="3">
        <f>[1]Raw_Data!H2317</f>
        <v>0</v>
      </c>
      <c r="I2319" s="3" t="str">
        <f>TRIM([1]Raw_Data!I2317)</f>
        <v>UK</v>
      </c>
      <c r="J2319" s="3" t="str">
        <f>TRIM([1]Raw_Data!J2317)</f>
        <v>iHerb</v>
      </c>
      <c r="K2319" s="3">
        <f t="shared" si="144"/>
        <v>2022</v>
      </c>
      <c r="L2319" s="6">
        <f t="shared" si="145"/>
        <v>44835</v>
      </c>
      <c r="M2319" s="3" t="str">
        <f t="shared" si="146"/>
        <v>16% to 20%</v>
      </c>
      <c r="N2319" s="3" t="str">
        <f t="shared" si="147"/>
        <v>OK</v>
      </c>
    </row>
    <row r="2320" spans="1:14" x14ac:dyDescent="0.3">
      <c r="A2320" s="2">
        <f>DATE(VALUE(RIGHT(TRIM([1]Raw_Data!A2318),4)),VALUE(MID(TRIM([1]Raw_Data!A2318),4,2)),VALUE(LEFT(TRIM([1]Raw_Data!A2318),2)))</f>
        <v>44844</v>
      </c>
      <c r="B2320" s="3" t="str">
        <f>TRIM([1]Raw_Data!B2318)</f>
        <v>Biotin</v>
      </c>
      <c r="C2320" s="3" t="str">
        <f>TRIM([1]Raw_Data!C2318)</f>
        <v>Vitamin</v>
      </c>
      <c r="D2320" s="3">
        <f>[1]Raw_Data!D2318</f>
        <v>138</v>
      </c>
      <c r="E2320" s="4">
        <f>[1]Raw_Data!E2318</f>
        <v>13.89</v>
      </c>
      <c r="F2320" s="5">
        <f>[1]Raw_Data!F2318</f>
        <v>1916.82</v>
      </c>
      <c r="G2320" s="4">
        <f>[1]Raw_Data!G2318</f>
        <v>0.05</v>
      </c>
      <c r="H2320" s="3">
        <f>[1]Raw_Data!H2318</f>
        <v>3</v>
      </c>
      <c r="I2320" s="3" t="str">
        <f>TRIM([1]Raw_Data!I2318)</f>
        <v>UK</v>
      </c>
      <c r="J2320" s="3" t="str">
        <f>TRIM([1]Raw_Data!J2318)</f>
        <v>Amazon</v>
      </c>
      <c r="K2320" s="3">
        <f t="shared" si="144"/>
        <v>2022</v>
      </c>
      <c r="L2320" s="6">
        <f t="shared" si="145"/>
        <v>44835</v>
      </c>
      <c r="M2320" s="3" t="str">
        <f t="shared" si="146"/>
        <v>0% to 5%</v>
      </c>
      <c r="N2320" s="3" t="str">
        <f t="shared" si="147"/>
        <v>OK</v>
      </c>
    </row>
    <row r="2321" spans="1:14" x14ac:dyDescent="0.3">
      <c r="A2321" s="2">
        <f>DATE(VALUE(RIGHT(TRIM([1]Raw_Data!A2319),4)),VALUE(MID(TRIM([1]Raw_Data!A2319),4,2)),VALUE(LEFT(TRIM([1]Raw_Data!A2319),2)))</f>
        <v>44844</v>
      </c>
      <c r="B2321" s="3" t="str">
        <f>TRIM([1]Raw_Data!B2319)</f>
        <v>Green Tea Extract</v>
      </c>
      <c r="C2321" s="3" t="str">
        <f>TRIM([1]Raw_Data!C2319)</f>
        <v>Fat Burner</v>
      </c>
      <c r="D2321" s="3">
        <f>[1]Raw_Data!D2319</f>
        <v>146</v>
      </c>
      <c r="E2321" s="4">
        <f>[1]Raw_Data!E2319</f>
        <v>39.43</v>
      </c>
      <c r="F2321" s="5">
        <f>[1]Raw_Data!F2319</f>
        <v>5756.78</v>
      </c>
      <c r="G2321" s="4">
        <f>[1]Raw_Data!G2319</f>
        <v>0.06</v>
      </c>
      <c r="H2321" s="3">
        <f>[1]Raw_Data!H2319</f>
        <v>3</v>
      </c>
      <c r="I2321" s="3" t="str">
        <f>TRIM([1]Raw_Data!I2319)</f>
        <v>UK</v>
      </c>
      <c r="J2321" s="3" t="str">
        <f>TRIM([1]Raw_Data!J2319)</f>
        <v>Amazon</v>
      </c>
      <c r="K2321" s="3">
        <f t="shared" si="144"/>
        <v>2022</v>
      </c>
      <c r="L2321" s="6">
        <f t="shared" si="145"/>
        <v>44835</v>
      </c>
      <c r="M2321" s="3" t="str">
        <f t="shared" si="146"/>
        <v>6% to 10%</v>
      </c>
      <c r="N2321" s="3" t="str">
        <f t="shared" si="147"/>
        <v>OK</v>
      </c>
    </row>
    <row r="2322" spans="1:14" x14ac:dyDescent="0.3">
      <c r="A2322" s="2">
        <f>DATE(VALUE(RIGHT(TRIM([1]Raw_Data!A2320),4)),VALUE(MID(TRIM([1]Raw_Data!A2320),4,2)),VALUE(LEFT(TRIM([1]Raw_Data!A2320),2)))</f>
        <v>44844</v>
      </c>
      <c r="B2322" s="3" t="str">
        <f>TRIM([1]Raw_Data!B2320)</f>
        <v>Iron Supplement</v>
      </c>
      <c r="C2322" s="3" t="str">
        <f>TRIM([1]Raw_Data!C2320)</f>
        <v>Mineral</v>
      </c>
      <c r="D2322" s="3">
        <f>[1]Raw_Data!D2320</f>
        <v>150</v>
      </c>
      <c r="E2322" s="4">
        <f>[1]Raw_Data!E2320</f>
        <v>30.3</v>
      </c>
      <c r="F2322" s="5">
        <f>[1]Raw_Data!F2320</f>
        <v>4545</v>
      </c>
      <c r="G2322" s="4">
        <f>[1]Raw_Data!G2320</f>
        <v>0.25</v>
      </c>
      <c r="H2322" s="3">
        <f>[1]Raw_Data!H2320</f>
        <v>2</v>
      </c>
      <c r="I2322" s="3" t="str">
        <f>TRIM([1]Raw_Data!I2320)</f>
        <v>UK</v>
      </c>
      <c r="J2322" s="3" t="str">
        <f>TRIM([1]Raw_Data!J2320)</f>
        <v>iHerb</v>
      </c>
      <c r="K2322" s="3">
        <f t="shared" si="144"/>
        <v>2022</v>
      </c>
      <c r="L2322" s="6">
        <f t="shared" si="145"/>
        <v>44835</v>
      </c>
      <c r="M2322" s="3" t="str">
        <f t="shared" si="146"/>
        <v>21% to 25%</v>
      </c>
      <c r="N2322" s="3" t="str">
        <f t="shared" si="147"/>
        <v>OK</v>
      </c>
    </row>
    <row r="2323" spans="1:14" x14ac:dyDescent="0.3">
      <c r="A2323" s="2">
        <f>DATE(VALUE(RIGHT(TRIM([1]Raw_Data!A2321),4)),VALUE(MID(TRIM([1]Raw_Data!A2321),4,2)),VALUE(LEFT(TRIM([1]Raw_Data!A2321),2)))</f>
        <v>44844</v>
      </c>
      <c r="B2323" s="3" t="str">
        <f>TRIM([1]Raw_Data!B2321)</f>
        <v>Electrolyte Powder</v>
      </c>
      <c r="C2323" s="3" t="str">
        <f>TRIM([1]Raw_Data!C2321)</f>
        <v>Hydration</v>
      </c>
      <c r="D2323" s="3">
        <f>[1]Raw_Data!D2321</f>
        <v>149</v>
      </c>
      <c r="E2323" s="4">
        <f>[1]Raw_Data!E2321</f>
        <v>54.01</v>
      </c>
      <c r="F2323" s="5">
        <f>[1]Raw_Data!F2321</f>
        <v>8047.49</v>
      </c>
      <c r="G2323" s="4">
        <f>[1]Raw_Data!G2321</f>
        <v>0.24</v>
      </c>
      <c r="H2323" s="3">
        <f>[1]Raw_Data!H2321</f>
        <v>1</v>
      </c>
      <c r="I2323" s="3" t="str">
        <f>TRIM([1]Raw_Data!I2321)</f>
        <v>Canada</v>
      </c>
      <c r="J2323" s="3" t="str">
        <f>TRIM([1]Raw_Data!J2321)</f>
        <v>Amazon</v>
      </c>
      <c r="K2323" s="3">
        <f t="shared" si="144"/>
        <v>2022</v>
      </c>
      <c r="L2323" s="6">
        <f t="shared" si="145"/>
        <v>44835</v>
      </c>
      <c r="M2323" s="3" t="str">
        <f t="shared" si="146"/>
        <v>21% to 25%</v>
      </c>
      <c r="N2323" s="3" t="str">
        <f t="shared" si="147"/>
        <v>OK</v>
      </c>
    </row>
    <row r="2324" spans="1:14" x14ac:dyDescent="0.3">
      <c r="A2324" s="2">
        <f>DATE(VALUE(RIGHT(TRIM([1]Raw_Data!A2322),4)),VALUE(MID(TRIM([1]Raw_Data!A2322),4,2)),VALUE(LEFT(TRIM([1]Raw_Data!A2322),2)))</f>
        <v>44851</v>
      </c>
      <c r="B2324" s="3" t="str">
        <f>TRIM([1]Raw_Data!B2322)</f>
        <v>Whey Protein</v>
      </c>
      <c r="C2324" s="3" t="str">
        <f>TRIM([1]Raw_Data!C2322)</f>
        <v>Protein</v>
      </c>
      <c r="D2324" s="3">
        <f>[1]Raw_Data!D2322</f>
        <v>162</v>
      </c>
      <c r="E2324" s="4">
        <f>[1]Raw_Data!E2322</f>
        <v>37.28</v>
      </c>
      <c r="F2324" s="5">
        <f>[1]Raw_Data!F2322</f>
        <v>6039.36</v>
      </c>
      <c r="G2324" s="4">
        <f>[1]Raw_Data!G2322</f>
        <v>0.04</v>
      </c>
      <c r="H2324" s="3">
        <f>[1]Raw_Data!H2322</f>
        <v>1</v>
      </c>
      <c r="I2324" s="3" t="str">
        <f>TRIM([1]Raw_Data!I2322)</f>
        <v>USA</v>
      </c>
      <c r="J2324" s="3" t="str">
        <f>TRIM([1]Raw_Data!J2322)</f>
        <v>Walmart</v>
      </c>
      <c r="K2324" s="3">
        <f t="shared" si="144"/>
        <v>2022</v>
      </c>
      <c r="L2324" s="6">
        <f t="shared" si="145"/>
        <v>44835</v>
      </c>
      <c r="M2324" s="3" t="str">
        <f t="shared" si="146"/>
        <v>0% to 5%</v>
      </c>
      <c r="N2324" s="3" t="str">
        <f t="shared" si="147"/>
        <v>OK</v>
      </c>
    </row>
    <row r="2325" spans="1:14" x14ac:dyDescent="0.3">
      <c r="A2325" s="2">
        <f>DATE(VALUE(RIGHT(TRIM([1]Raw_Data!A2323),4)),VALUE(MID(TRIM([1]Raw_Data!A2323),4,2)),VALUE(LEFT(TRIM([1]Raw_Data!A2323),2)))</f>
        <v>44851</v>
      </c>
      <c r="B2325" s="3" t="str">
        <f>TRIM([1]Raw_Data!B2323)</f>
        <v>Vitamin C</v>
      </c>
      <c r="C2325" s="3" t="str">
        <f>TRIM([1]Raw_Data!C2323)</f>
        <v>Vitamin</v>
      </c>
      <c r="D2325" s="3">
        <f>[1]Raw_Data!D2323</f>
        <v>173</v>
      </c>
      <c r="E2325" s="4">
        <f>[1]Raw_Data!E2323</f>
        <v>41.62</v>
      </c>
      <c r="F2325" s="5">
        <f>[1]Raw_Data!F2323</f>
        <v>7200.26</v>
      </c>
      <c r="G2325" s="4">
        <f>[1]Raw_Data!G2323</f>
        <v>0.15</v>
      </c>
      <c r="H2325" s="3">
        <f>[1]Raw_Data!H2323</f>
        <v>0</v>
      </c>
      <c r="I2325" s="3" t="str">
        <f>TRIM([1]Raw_Data!I2323)</f>
        <v>Canada</v>
      </c>
      <c r="J2325" s="3" t="str">
        <f>TRIM([1]Raw_Data!J2323)</f>
        <v>iHerb</v>
      </c>
      <c r="K2325" s="3">
        <f t="shared" si="144"/>
        <v>2022</v>
      </c>
      <c r="L2325" s="6">
        <f t="shared" si="145"/>
        <v>44835</v>
      </c>
      <c r="M2325" s="3" t="str">
        <f t="shared" si="146"/>
        <v>11% to 15%</v>
      </c>
      <c r="N2325" s="3" t="str">
        <f t="shared" si="147"/>
        <v>OK</v>
      </c>
    </row>
    <row r="2326" spans="1:14" x14ac:dyDescent="0.3">
      <c r="A2326" s="2">
        <f>DATE(VALUE(RIGHT(TRIM([1]Raw_Data!A2324),4)),VALUE(MID(TRIM([1]Raw_Data!A2324),4,2)),VALUE(LEFT(TRIM([1]Raw_Data!A2324),2)))</f>
        <v>44851</v>
      </c>
      <c r="B2326" s="3" t="str">
        <f>TRIM([1]Raw_Data!B2324)</f>
        <v>Fish Oil</v>
      </c>
      <c r="C2326" s="3" t="str">
        <f>TRIM([1]Raw_Data!C2324)</f>
        <v>Omega</v>
      </c>
      <c r="D2326" s="3">
        <f>[1]Raw_Data!D2324</f>
        <v>144</v>
      </c>
      <c r="E2326" s="4">
        <f>[1]Raw_Data!E2324</f>
        <v>19.36</v>
      </c>
      <c r="F2326" s="5">
        <f>[1]Raw_Data!F2324</f>
        <v>2787.84</v>
      </c>
      <c r="G2326" s="4">
        <f>[1]Raw_Data!G2324</f>
        <v>0.2</v>
      </c>
      <c r="H2326" s="3">
        <f>[1]Raw_Data!H2324</f>
        <v>4</v>
      </c>
      <c r="I2326" s="3" t="str">
        <f>TRIM([1]Raw_Data!I2324)</f>
        <v>USA</v>
      </c>
      <c r="J2326" s="3" t="str">
        <f>TRIM([1]Raw_Data!J2324)</f>
        <v>Amazon</v>
      </c>
      <c r="K2326" s="3">
        <f t="shared" si="144"/>
        <v>2022</v>
      </c>
      <c r="L2326" s="6">
        <f t="shared" si="145"/>
        <v>44835</v>
      </c>
      <c r="M2326" s="3" t="str">
        <f t="shared" si="146"/>
        <v>16% to 20%</v>
      </c>
      <c r="N2326" s="3" t="str">
        <f t="shared" si="147"/>
        <v>OK</v>
      </c>
    </row>
    <row r="2327" spans="1:14" x14ac:dyDescent="0.3">
      <c r="A2327" s="2">
        <f>DATE(VALUE(RIGHT(TRIM([1]Raw_Data!A2325),4)),VALUE(MID(TRIM([1]Raw_Data!A2325),4,2)),VALUE(LEFT(TRIM([1]Raw_Data!A2325),2)))</f>
        <v>44851</v>
      </c>
      <c r="B2327" s="3" t="str">
        <f>TRIM([1]Raw_Data!B2325)</f>
        <v>Multivitamin</v>
      </c>
      <c r="C2327" s="3" t="str">
        <f>TRIM([1]Raw_Data!C2325)</f>
        <v>Vitamin</v>
      </c>
      <c r="D2327" s="3">
        <f>[1]Raw_Data!D2325</f>
        <v>139</v>
      </c>
      <c r="E2327" s="4">
        <f>[1]Raw_Data!E2325</f>
        <v>32.75</v>
      </c>
      <c r="F2327" s="5">
        <f>[1]Raw_Data!F2325</f>
        <v>4552.25</v>
      </c>
      <c r="G2327" s="4">
        <f>[1]Raw_Data!G2325</f>
        <v>0.19</v>
      </c>
      <c r="H2327" s="3">
        <f>[1]Raw_Data!H2325</f>
        <v>1</v>
      </c>
      <c r="I2327" s="3" t="str">
        <f>TRIM([1]Raw_Data!I2325)</f>
        <v>USA</v>
      </c>
      <c r="J2327" s="3" t="str">
        <f>TRIM([1]Raw_Data!J2325)</f>
        <v>Walmart</v>
      </c>
      <c r="K2327" s="3">
        <f t="shared" si="144"/>
        <v>2022</v>
      </c>
      <c r="L2327" s="6">
        <f t="shared" si="145"/>
        <v>44835</v>
      </c>
      <c r="M2327" s="3" t="str">
        <f t="shared" si="146"/>
        <v>16% to 20%</v>
      </c>
      <c r="N2327" s="3" t="str">
        <f t="shared" si="147"/>
        <v>OK</v>
      </c>
    </row>
    <row r="2328" spans="1:14" x14ac:dyDescent="0.3">
      <c r="A2328" s="2">
        <f>DATE(VALUE(RIGHT(TRIM([1]Raw_Data!A2326),4)),VALUE(MID(TRIM([1]Raw_Data!A2326),4,2)),VALUE(LEFT(TRIM([1]Raw_Data!A2326),2)))</f>
        <v>44851</v>
      </c>
      <c r="B2328" s="3" t="str">
        <f>TRIM([1]Raw_Data!B2326)</f>
        <v>Pre-Workout</v>
      </c>
      <c r="C2328" s="3" t="str">
        <f>TRIM([1]Raw_Data!C2326)</f>
        <v>Performance</v>
      </c>
      <c r="D2328" s="3">
        <f>[1]Raw_Data!D2326</f>
        <v>180</v>
      </c>
      <c r="E2328" s="4">
        <f>[1]Raw_Data!E2326</f>
        <v>31.01</v>
      </c>
      <c r="F2328" s="5">
        <f>[1]Raw_Data!F2326</f>
        <v>5581.8</v>
      </c>
      <c r="G2328" s="4">
        <f>[1]Raw_Data!G2326</f>
        <v>0.24</v>
      </c>
      <c r="H2328" s="3">
        <f>[1]Raw_Data!H2326</f>
        <v>2</v>
      </c>
      <c r="I2328" s="3" t="str">
        <f>TRIM([1]Raw_Data!I2326)</f>
        <v>USA</v>
      </c>
      <c r="J2328" s="3" t="str">
        <f>TRIM([1]Raw_Data!J2326)</f>
        <v>iHerb</v>
      </c>
      <c r="K2328" s="3">
        <f t="shared" si="144"/>
        <v>2022</v>
      </c>
      <c r="L2328" s="6">
        <f t="shared" si="145"/>
        <v>44835</v>
      </c>
      <c r="M2328" s="3" t="str">
        <f t="shared" si="146"/>
        <v>21% to 25%</v>
      </c>
      <c r="N2328" s="3" t="str">
        <f t="shared" si="147"/>
        <v>OK</v>
      </c>
    </row>
    <row r="2329" spans="1:14" x14ac:dyDescent="0.3">
      <c r="A2329" s="2">
        <f>DATE(VALUE(RIGHT(TRIM([1]Raw_Data!A2327),4)),VALUE(MID(TRIM([1]Raw_Data!A2327),4,2)),VALUE(LEFT(TRIM([1]Raw_Data!A2327),2)))</f>
        <v>44851</v>
      </c>
      <c r="B2329" s="3" t="str">
        <f>TRIM([1]Raw_Data!B2327)</f>
        <v>BCAA</v>
      </c>
      <c r="C2329" s="3" t="str">
        <f>TRIM([1]Raw_Data!C2327)</f>
        <v>Amino Acid</v>
      </c>
      <c r="D2329" s="3">
        <f>[1]Raw_Data!D2327</f>
        <v>158</v>
      </c>
      <c r="E2329" s="4">
        <f>[1]Raw_Data!E2327</f>
        <v>58.73</v>
      </c>
      <c r="F2329" s="5">
        <f>[1]Raw_Data!F2327</f>
        <v>9279.34</v>
      </c>
      <c r="G2329" s="4">
        <f>[1]Raw_Data!G2327</f>
        <v>0.17</v>
      </c>
      <c r="H2329" s="3">
        <f>[1]Raw_Data!H2327</f>
        <v>3</v>
      </c>
      <c r="I2329" s="3" t="str">
        <f>TRIM([1]Raw_Data!I2327)</f>
        <v>USA</v>
      </c>
      <c r="J2329" s="3" t="str">
        <f>TRIM([1]Raw_Data!J2327)</f>
        <v>Amazon</v>
      </c>
      <c r="K2329" s="3">
        <f t="shared" si="144"/>
        <v>2022</v>
      </c>
      <c r="L2329" s="6">
        <f t="shared" si="145"/>
        <v>44835</v>
      </c>
      <c r="M2329" s="3" t="str">
        <f t="shared" si="146"/>
        <v>16% to 20%</v>
      </c>
      <c r="N2329" s="3" t="str">
        <f t="shared" si="147"/>
        <v>OK</v>
      </c>
    </row>
    <row r="2330" spans="1:14" x14ac:dyDescent="0.3">
      <c r="A2330" s="2">
        <f>DATE(VALUE(RIGHT(TRIM([1]Raw_Data!A2328),4)),VALUE(MID(TRIM([1]Raw_Data!A2328),4,2)),VALUE(LEFT(TRIM([1]Raw_Data!A2328),2)))</f>
        <v>44851</v>
      </c>
      <c r="B2330" s="3" t="str">
        <f>TRIM([1]Raw_Data!B2328)</f>
        <v>Creatine</v>
      </c>
      <c r="C2330" s="3" t="str">
        <f>TRIM([1]Raw_Data!C2328)</f>
        <v>Performance</v>
      </c>
      <c r="D2330" s="3">
        <f>[1]Raw_Data!D2328</f>
        <v>157</v>
      </c>
      <c r="E2330" s="4">
        <f>[1]Raw_Data!E2328</f>
        <v>24.52</v>
      </c>
      <c r="F2330" s="5">
        <f>[1]Raw_Data!F2328</f>
        <v>3849.64</v>
      </c>
      <c r="G2330" s="4">
        <f>[1]Raw_Data!G2328</f>
        <v>0.08</v>
      </c>
      <c r="H2330" s="3">
        <f>[1]Raw_Data!H2328</f>
        <v>2</v>
      </c>
      <c r="I2330" s="3" t="str">
        <f>TRIM([1]Raw_Data!I2328)</f>
        <v>USA</v>
      </c>
      <c r="J2330" s="3" t="str">
        <f>TRIM([1]Raw_Data!J2328)</f>
        <v>Amazon</v>
      </c>
      <c r="K2330" s="3">
        <f t="shared" si="144"/>
        <v>2022</v>
      </c>
      <c r="L2330" s="6">
        <f t="shared" si="145"/>
        <v>44835</v>
      </c>
      <c r="M2330" s="3" t="str">
        <f t="shared" si="146"/>
        <v>6% to 10%</v>
      </c>
      <c r="N2330" s="3" t="str">
        <f t="shared" si="147"/>
        <v>OK</v>
      </c>
    </row>
    <row r="2331" spans="1:14" x14ac:dyDescent="0.3">
      <c r="A2331" s="2">
        <f>DATE(VALUE(RIGHT(TRIM([1]Raw_Data!A2329),4)),VALUE(MID(TRIM([1]Raw_Data!A2329),4,2)),VALUE(LEFT(TRIM([1]Raw_Data!A2329),2)))</f>
        <v>44851</v>
      </c>
      <c r="B2331" s="3" t="str">
        <f>TRIM([1]Raw_Data!B2329)</f>
        <v>Zinc</v>
      </c>
      <c r="C2331" s="3" t="str">
        <f>TRIM([1]Raw_Data!C2329)</f>
        <v>Mineral</v>
      </c>
      <c r="D2331" s="3">
        <f>[1]Raw_Data!D2329</f>
        <v>142</v>
      </c>
      <c r="E2331" s="4">
        <f>[1]Raw_Data!E2329</f>
        <v>22.47</v>
      </c>
      <c r="F2331" s="5">
        <f>[1]Raw_Data!F2329</f>
        <v>3190.74</v>
      </c>
      <c r="G2331" s="4">
        <f>[1]Raw_Data!G2329</f>
        <v>0.2</v>
      </c>
      <c r="H2331" s="3">
        <f>[1]Raw_Data!H2329</f>
        <v>0</v>
      </c>
      <c r="I2331" s="3" t="str">
        <f>TRIM([1]Raw_Data!I2329)</f>
        <v>UK</v>
      </c>
      <c r="J2331" s="3" t="str">
        <f>TRIM([1]Raw_Data!J2329)</f>
        <v>iHerb</v>
      </c>
      <c r="K2331" s="3">
        <f t="shared" si="144"/>
        <v>2022</v>
      </c>
      <c r="L2331" s="6">
        <f t="shared" si="145"/>
        <v>44835</v>
      </c>
      <c r="M2331" s="3" t="str">
        <f t="shared" si="146"/>
        <v>16% to 20%</v>
      </c>
      <c r="N2331" s="3" t="str">
        <f t="shared" si="147"/>
        <v>OK</v>
      </c>
    </row>
    <row r="2332" spans="1:14" x14ac:dyDescent="0.3">
      <c r="A2332" s="2">
        <f>DATE(VALUE(RIGHT(TRIM([1]Raw_Data!A2330),4)),VALUE(MID(TRIM([1]Raw_Data!A2330),4,2)),VALUE(LEFT(TRIM([1]Raw_Data!A2330),2)))</f>
        <v>44851</v>
      </c>
      <c r="B2332" s="3" t="str">
        <f>TRIM([1]Raw_Data!B2330)</f>
        <v>Collagen Peptides</v>
      </c>
      <c r="C2332" s="3" t="str">
        <f>TRIM([1]Raw_Data!C2330)</f>
        <v>Protein</v>
      </c>
      <c r="D2332" s="3">
        <f>[1]Raw_Data!D2330</f>
        <v>163</v>
      </c>
      <c r="E2332" s="4">
        <f>[1]Raw_Data!E2330</f>
        <v>19.350000000000001</v>
      </c>
      <c r="F2332" s="5">
        <f>[1]Raw_Data!F2330</f>
        <v>3154.05</v>
      </c>
      <c r="G2332" s="4">
        <f>[1]Raw_Data!G2330</f>
        <v>0.14000000000000001</v>
      </c>
      <c r="H2332" s="3">
        <f>[1]Raw_Data!H2330</f>
        <v>1</v>
      </c>
      <c r="I2332" s="3" t="str">
        <f>TRIM([1]Raw_Data!I2330)</f>
        <v>USA</v>
      </c>
      <c r="J2332" s="3" t="str">
        <f>TRIM([1]Raw_Data!J2330)</f>
        <v>Walmart</v>
      </c>
      <c r="K2332" s="3">
        <f t="shared" si="144"/>
        <v>2022</v>
      </c>
      <c r="L2332" s="6">
        <f t="shared" si="145"/>
        <v>44835</v>
      </c>
      <c r="M2332" s="3" t="str">
        <f t="shared" si="146"/>
        <v>11% to 15%</v>
      </c>
      <c r="N2332" s="3" t="str">
        <f t="shared" si="147"/>
        <v>OK</v>
      </c>
    </row>
    <row r="2333" spans="1:14" x14ac:dyDescent="0.3">
      <c r="A2333" s="2">
        <f>DATE(VALUE(RIGHT(TRIM([1]Raw_Data!A2331),4)),VALUE(MID(TRIM([1]Raw_Data!A2331),4,2)),VALUE(LEFT(TRIM([1]Raw_Data!A2331),2)))</f>
        <v>44851</v>
      </c>
      <c r="B2333" s="3" t="str">
        <f>TRIM([1]Raw_Data!B2331)</f>
        <v>Magnesium</v>
      </c>
      <c r="C2333" s="3" t="str">
        <f>TRIM([1]Raw_Data!C2331)</f>
        <v>Mineral</v>
      </c>
      <c r="D2333" s="3">
        <f>[1]Raw_Data!D2331</f>
        <v>143</v>
      </c>
      <c r="E2333" s="4">
        <f>[1]Raw_Data!E2331</f>
        <v>13.17</v>
      </c>
      <c r="F2333" s="5">
        <f>[1]Raw_Data!F2331</f>
        <v>1883.31</v>
      </c>
      <c r="G2333" s="4">
        <f>[1]Raw_Data!G2331</f>
        <v>0.25</v>
      </c>
      <c r="H2333" s="3">
        <f>[1]Raw_Data!H2331</f>
        <v>0</v>
      </c>
      <c r="I2333" s="3" t="str">
        <f>TRIM([1]Raw_Data!I2331)</f>
        <v>USA</v>
      </c>
      <c r="J2333" s="3" t="str">
        <f>TRIM([1]Raw_Data!J2331)</f>
        <v>Walmart</v>
      </c>
      <c r="K2333" s="3">
        <f t="shared" si="144"/>
        <v>2022</v>
      </c>
      <c r="L2333" s="6">
        <f t="shared" si="145"/>
        <v>44835</v>
      </c>
      <c r="M2333" s="3" t="str">
        <f t="shared" si="146"/>
        <v>21% to 25%</v>
      </c>
      <c r="N2333" s="3" t="str">
        <f t="shared" si="147"/>
        <v>OK</v>
      </c>
    </row>
    <row r="2334" spans="1:14" x14ac:dyDescent="0.3">
      <c r="A2334" s="2">
        <f>DATE(VALUE(RIGHT(TRIM([1]Raw_Data!A2332),4)),VALUE(MID(TRIM([1]Raw_Data!A2332),4,2)),VALUE(LEFT(TRIM([1]Raw_Data!A2332),2)))</f>
        <v>44851</v>
      </c>
      <c r="B2334" s="3" t="str">
        <f>TRIM([1]Raw_Data!B2332)</f>
        <v>Ashwagandha</v>
      </c>
      <c r="C2334" s="3" t="str">
        <f>TRIM([1]Raw_Data!C2332)</f>
        <v>Herbal</v>
      </c>
      <c r="D2334" s="3">
        <f>[1]Raw_Data!D2332</f>
        <v>156</v>
      </c>
      <c r="E2334" s="4">
        <f>[1]Raw_Data!E2332</f>
        <v>42.3</v>
      </c>
      <c r="F2334" s="5">
        <f>[1]Raw_Data!F2332</f>
        <v>6598.8</v>
      </c>
      <c r="G2334" s="4">
        <f>[1]Raw_Data!G2332</f>
        <v>0.09</v>
      </c>
      <c r="H2334" s="3">
        <f>[1]Raw_Data!H2332</f>
        <v>2</v>
      </c>
      <c r="I2334" s="3" t="str">
        <f>TRIM([1]Raw_Data!I2332)</f>
        <v>Canada</v>
      </c>
      <c r="J2334" s="3" t="str">
        <f>TRIM([1]Raw_Data!J2332)</f>
        <v>Walmart</v>
      </c>
      <c r="K2334" s="3">
        <f t="shared" si="144"/>
        <v>2022</v>
      </c>
      <c r="L2334" s="6">
        <f t="shared" si="145"/>
        <v>44835</v>
      </c>
      <c r="M2334" s="3" t="str">
        <f t="shared" si="146"/>
        <v>6% to 10%</v>
      </c>
      <c r="N2334" s="3" t="str">
        <f t="shared" si="147"/>
        <v>OK</v>
      </c>
    </row>
    <row r="2335" spans="1:14" x14ac:dyDescent="0.3">
      <c r="A2335" s="2">
        <f>DATE(VALUE(RIGHT(TRIM([1]Raw_Data!A2333),4)),VALUE(MID(TRIM([1]Raw_Data!A2333),4,2)),VALUE(LEFT(TRIM([1]Raw_Data!A2333),2)))</f>
        <v>44851</v>
      </c>
      <c r="B2335" s="3" t="str">
        <f>TRIM([1]Raw_Data!B2333)</f>
        <v>Melatonin</v>
      </c>
      <c r="C2335" s="3" t="str">
        <f>TRIM([1]Raw_Data!C2333)</f>
        <v>Sleep Aid</v>
      </c>
      <c r="D2335" s="3">
        <f>[1]Raw_Data!D2333</f>
        <v>158</v>
      </c>
      <c r="E2335" s="4">
        <f>[1]Raw_Data!E2333</f>
        <v>15.7</v>
      </c>
      <c r="F2335" s="5">
        <f>[1]Raw_Data!F2333</f>
        <v>2480.6</v>
      </c>
      <c r="G2335" s="4">
        <f>[1]Raw_Data!G2333</f>
        <v>0.16</v>
      </c>
      <c r="H2335" s="3">
        <f>[1]Raw_Data!H2333</f>
        <v>1</v>
      </c>
      <c r="I2335" s="3" t="str">
        <f>TRIM([1]Raw_Data!I2333)</f>
        <v>Canada</v>
      </c>
      <c r="J2335" s="3" t="str">
        <f>TRIM([1]Raw_Data!J2333)</f>
        <v>iHerb</v>
      </c>
      <c r="K2335" s="3">
        <f t="shared" si="144"/>
        <v>2022</v>
      </c>
      <c r="L2335" s="6">
        <f t="shared" si="145"/>
        <v>44835</v>
      </c>
      <c r="M2335" s="3" t="str">
        <f t="shared" si="146"/>
        <v>16% to 20%</v>
      </c>
      <c r="N2335" s="3" t="str">
        <f t="shared" si="147"/>
        <v>OK</v>
      </c>
    </row>
    <row r="2336" spans="1:14" x14ac:dyDescent="0.3">
      <c r="A2336" s="2">
        <f>DATE(VALUE(RIGHT(TRIM([1]Raw_Data!A2334),4)),VALUE(MID(TRIM([1]Raw_Data!A2334),4,2)),VALUE(LEFT(TRIM([1]Raw_Data!A2334),2)))</f>
        <v>44851</v>
      </c>
      <c r="B2336" s="3" t="str">
        <f>TRIM([1]Raw_Data!B2334)</f>
        <v>Biotin</v>
      </c>
      <c r="C2336" s="3" t="str">
        <f>TRIM([1]Raw_Data!C2334)</f>
        <v>Vitamin</v>
      </c>
      <c r="D2336" s="3">
        <f>[1]Raw_Data!D2334</f>
        <v>148</v>
      </c>
      <c r="E2336" s="4">
        <f>[1]Raw_Data!E2334</f>
        <v>45.24</v>
      </c>
      <c r="F2336" s="5">
        <f>[1]Raw_Data!F2334</f>
        <v>6695.52</v>
      </c>
      <c r="G2336" s="4">
        <f>[1]Raw_Data!G2334</f>
        <v>0.08</v>
      </c>
      <c r="H2336" s="3">
        <f>[1]Raw_Data!H2334</f>
        <v>1</v>
      </c>
      <c r="I2336" s="3" t="str">
        <f>TRIM([1]Raw_Data!I2334)</f>
        <v>UK</v>
      </c>
      <c r="J2336" s="3" t="str">
        <f>TRIM([1]Raw_Data!J2334)</f>
        <v>iHerb</v>
      </c>
      <c r="K2336" s="3">
        <f t="shared" si="144"/>
        <v>2022</v>
      </c>
      <c r="L2336" s="6">
        <f t="shared" si="145"/>
        <v>44835</v>
      </c>
      <c r="M2336" s="3" t="str">
        <f t="shared" si="146"/>
        <v>6% to 10%</v>
      </c>
      <c r="N2336" s="3" t="str">
        <f t="shared" si="147"/>
        <v>OK</v>
      </c>
    </row>
    <row r="2337" spans="1:14" x14ac:dyDescent="0.3">
      <c r="A2337" s="2">
        <f>DATE(VALUE(RIGHT(TRIM([1]Raw_Data!A2335),4)),VALUE(MID(TRIM([1]Raw_Data!A2335),4,2)),VALUE(LEFT(TRIM([1]Raw_Data!A2335),2)))</f>
        <v>44851</v>
      </c>
      <c r="B2337" s="3" t="str">
        <f>TRIM([1]Raw_Data!B2335)</f>
        <v>Green Tea Extract</v>
      </c>
      <c r="C2337" s="3" t="str">
        <f>TRIM([1]Raw_Data!C2335)</f>
        <v>Fat Burner</v>
      </c>
      <c r="D2337" s="3">
        <f>[1]Raw_Data!D2335</f>
        <v>125</v>
      </c>
      <c r="E2337" s="4">
        <f>[1]Raw_Data!E2335</f>
        <v>38.39</v>
      </c>
      <c r="F2337" s="5">
        <f>[1]Raw_Data!F2335</f>
        <v>4798.75</v>
      </c>
      <c r="G2337" s="4">
        <f>[1]Raw_Data!G2335</f>
        <v>0.09</v>
      </c>
      <c r="H2337" s="3">
        <f>[1]Raw_Data!H2335</f>
        <v>2</v>
      </c>
      <c r="I2337" s="3" t="str">
        <f>TRIM([1]Raw_Data!I2335)</f>
        <v>Canada</v>
      </c>
      <c r="J2337" s="3" t="str">
        <f>TRIM([1]Raw_Data!J2335)</f>
        <v>Walmart</v>
      </c>
      <c r="K2337" s="3">
        <f t="shared" si="144"/>
        <v>2022</v>
      </c>
      <c r="L2337" s="6">
        <f t="shared" si="145"/>
        <v>44835</v>
      </c>
      <c r="M2337" s="3" t="str">
        <f t="shared" si="146"/>
        <v>6% to 10%</v>
      </c>
      <c r="N2337" s="3" t="str">
        <f t="shared" si="147"/>
        <v>OK</v>
      </c>
    </row>
    <row r="2338" spans="1:14" x14ac:dyDescent="0.3">
      <c r="A2338" s="2">
        <f>DATE(VALUE(RIGHT(TRIM([1]Raw_Data!A2336),4)),VALUE(MID(TRIM([1]Raw_Data!A2336),4,2)),VALUE(LEFT(TRIM([1]Raw_Data!A2336),2)))</f>
        <v>44851</v>
      </c>
      <c r="B2338" s="3" t="str">
        <f>TRIM([1]Raw_Data!B2336)</f>
        <v>Iron Supplement</v>
      </c>
      <c r="C2338" s="3" t="str">
        <f>TRIM([1]Raw_Data!C2336)</f>
        <v>Mineral</v>
      </c>
      <c r="D2338" s="3">
        <f>[1]Raw_Data!D2336</f>
        <v>151</v>
      </c>
      <c r="E2338" s="4">
        <f>[1]Raw_Data!E2336</f>
        <v>35.57</v>
      </c>
      <c r="F2338" s="5">
        <f>[1]Raw_Data!F2336</f>
        <v>5371.07</v>
      </c>
      <c r="G2338" s="4">
        <f>[1]Raw_Data!G2336</f>
        <v>0.16</v>
      </c>
      <c r="H2338" s="3">
        <f>[1]Raw_Data!H2336</f>
        <v>2</v>
      </c>
      <c r="I2338" s="3" t="str">
        <f>TRIM([1]Raw_Data!I2336)</f>
        <v>USA</v>
      </c>
      <c r="J2338" s="3" t="str">
        <f>TRIM([1]Raw_Data!J2336)</f>
        <v>Amazon</v>
      </c>
      <c r="K2338" s="3">
        <f t="shared" si="144"/>
        <v>2022</v>
      </c>
      <c r="L2338" s="6">
        <f t="shared" si="145"/>
        <v>44835</v>
      </c>
      <c r="M2338" s="3" t="str">
        <f t="shared" si="146"/>
        <v>16% to 20%</v>
      </c>
      <c r="N2338" s="3" t="str">
        <f t="shared" si="147"/>
        <v>OK</v>
      </c>
    </row>
    <row r="2339" spans="1:14" x14ac:dyDescent="0.3">
      <c r="A2339" s="2">
        <f>DATE(VALUE(RIGHT(TRIM([1]Raw_Data!A2337),4)),VALUE(MID(TRIM([1]Raw_Data!A2337),4,2)),VALUE(LEFT(TRIM([1]Raw_Data!A2337),2)))</f>
        <v>44851</v>
      </c>
      <c r="B2339" s="3" t="str">
        <f>TRIM([1]Raw_Data!B2337)</f>
        <v>Electrolyte Powder</v>
      </c>
      <c r="C2339" s="3" t="str">
        <f>TRIM([1]Raw_Data!C2337)</f>
        <v>Hydration</v>
      </c>
      <c r="D2339" s="3">
        <f>[1]Raw_Data!D2337</f>
        <v>142</v>
      </c>
      <c r="E2339" s="4">
        <f>[1]Raw_Data!E2337</f>
        <v>17.829999999999998</v>
      </c>
      <c r="F2339" s="5">
        <f>[1]Raw_Data!F2337</f>
        <v>2531.86</v>
      </c>
      <c r="G2339" s="4">
        <f>[1]Raw_Data!G2337</f>
        <v>0.16</v>
      </c>
      <c r="H2339" s="3">
        <f>[1]Raw_Data!H2337</f>
        <v>3</v>
      </c>
      <c r="I2339" s="3" t="str">
        <f>TRIM([1]Raw_Data!I2337)</f>
        <v>Canada</v>
      </c>
      <c r="J2339" s="3" t="str">
        <f>TRIM([1]Raw_Data!J2337)</f>
        <v>Amazon</v>
      </c>
      <c r="K2339" s="3">
        <f t="shared" si="144"/>
        <v>2022</v>
      </c>
      <c r="L2339" s="6">
        <f t="shared" si="145"/>
        <v>44835</v>
      </c>
      <c r="M2339" s="3" t="str">
        <f t="shared" si="146"/>
        <v>16% to 20%</v>
      </c>
      <c r="N2339" s="3" t="str">
        <f t="shared" si="147"/>
        <v>OK</v>
      </c>
    </row>
    <row r="2340" spans="1:14" x14ac:dyDescent="0.3">
      <c r="A2340" s="2">
        <f>DATE(VALUE(RIGHT(TRIM([1]Raw_Data!A2338),4)),VALUE(MID(TRIM([1]Raw_Data!A2338),4,2)),VALUE(LEFT(TRIM([1]Raw_Data!A2338),2)))</f>
        <v>44858</v>
      </c>
      <c r="B2340" s="3" t="str">
        <f>TRIM([1]Raw_Data!B2338)</f>
        <v>Whey Protein</v>
      </c>
      <c r="C2340" s="3" t="str">
        <f>TRIM([1]Raw_Data!C2338)</f>
        <v>Protein</v>
      </c>
      <c r="D2340" s="3">
        <f>[1]Raw_Data!D2338</f>
        <v>147</v>
      </c>
      <c r="E2340" s="4">
        <f>[1]Raw_Data!E2338</f>
        <v>47.83</v>
      </c>
      <c r="F2340" s="5">
        <f>[1]Raw_Data!F2338</f>
        <v>7031.01</v>
      </c>
      <c r="G2340" s="4">
        <f>[1]Raw_Data!G2338</f>
        <v>0.21</v>
      </c>
      <c r="H2340" s="3">
        <f>[1]Raw_Data!H2338</f>
        <v>3</v>
      </c>
      <c r="I2340" s="3" t="str">
        <f>TRIM([1]Raw_Data!I2338)</f>
        <v>USA</v>
      </c>
      <c r="J2340" s="3" t="str">
        <f>TRIM([1]Raw_Data!J2338)</f>
        <v>Amazon</v>
      </c>
      <c r="K2340" s="3">
        <f t="shared" si="144"/>
        <v>2022</v>
      </c>
      <c r="L2340" s="6">
        <f t="shared" si="145"/>
        <v>44835</v>
      </c>
      <c r="M2340" s="3" t="str">
        <f t="shared" si="146"/>
        <v>21% to 25%</v>
      </c>
      <c r="N2340" s="3" t="str">
        <f t="shared" si="147"/>
        <v>OK</v>
      </c>
    </row>
    <row r="2341" spans="1:14" x14ac:dyDescent="0.3">
      <c r="A2341" s="2">
        <f>DATE(VALUE(RIGHT(TRIM([1]Raw_Data!A2339),4)),VALUE(MID(TRIM([1]Raw_Data!A2339),4,2)),VALUE(LEFT(TRIM([1]Raw_Data!A2339),2)))</f>
        <v>44858</v>
      </c>
      <c r="B2341" s="3" t="str">
        <f>TRIM([1]Raw_Data!B2339)</f>
        <v>Vitamin C</v>
      </c>
      <c r="C2341" s="3" t="str">
        <f>TRIM([1]Raw_Data!C2339)</f>
        <v>Vitamin</v>
      </c>
      <c r="D2341" s="3">
        <f>[1]Raw_Data!D2339</f>
        <v>154</v>
      </c>
      <c r="E2341" s="4">
        <f>[1]Raw_Data!E2339</f>
        <v>10.77</v>
      </c>
      <c r="F2341" s="5">
        <f>[1]Raw_Data!F2339</f>
        <v>1658.58</v>
      </c>
      <c r="G2341" s="4">
        <f>[1]Raw_Data!G2339</f>
        <v>0.03</v>
      </c>
      <c r="H2341" s="3">
        <f>[1]Raw_Data!H2339</f>
        <v>0</v>
      </c>
      <c r="I2341" s="3" t="str">
        <f>TRIM([1]Raw_Data!I2339)</f>
        <v>Canada</v>
      </c>
      <c r="J2341" s="3" t="str">
        <f>TRIM([1]Raw_Data!J2339)</f>
        <v>iHerb</v>
      </c>
      <c r="K2341" s="3">
        <f t="shared" si="144"/>
        <v>2022</v>
      </c>
      <c r="L2341" s="6">
        <f t="shared" si="145"/>
        <v>44835</v>
      </c>
      <c r="M2341" s="3" t="str">
        <f t="shared" si="146"/>
        <v>0% to 5%</v>
      </c>
      <c r="N2341" s="3" t="str">
        <f t="shared" si="147"/>
        <v>OK</v>
      </c>
    </row>
    <row r="2342" spans="1:14" x14ac:dyDescent="0.3">
      <c r="A2342" s="2">
        <f>DATE(VALUE(RIGHT(TRIM([1]Raw_Data!A2340),4)),VALUE(MID(TRIM([1]Raw_Data!A2340),4,2)),VALUE(LEFT(TRIM([1]Raw_Data!A2340),2)))</f>
        <v>44858</v>
      </c>
      <c r="B2342" s="3" t="str">
        <f>TRIM([1]Raw_Data!B2340)</f>
        <v>Fish Oil</v>
      </c>
      <c r="C2342" s="3" t="str">
        <f>TRIM([1]Raw_Data!C2340)</f>
        <v>Omega</v>
      </c>
      <c r="D2342" s="3">
        <f>[1]Raw_Data!D2340</f>
        <v>158</v>
      </c>
      <c r="E2342" s="4">
        <f>[1]Raw_Data!E2340</f>
        <v>34.82</v>
      </c>
      <c r="F2342" s="5">
        <f>[1]Raw_Data!F2340</f>
        <v>5501.56</v>
      </c>
      <c r="G2342" s="4">
        <f>[1]Raw_Data!G2340</f>
        <v>0.12</v>
      </c>
      <c r="H2342" s="3">
        <f>[1]Raw_Data!H2340</f>
        <v>1</v>
      </c>
      <c r="I2342" s="3" t="str">
        <f>TRIM([1]Raw_Data!I2340)</f>
        <v>USA</v>
      </c>
      <c r="J2342" s="3" t="str">
        <f>TRIM([1]Raw_Data!J2340)</f>
        <v>Walmart</v>
      </c>
      <c r="K2342" s="3">
        <f t="shared" si="144"/>
        <v>2022</v>
      </c>
      <c r="L2342" s="6">
        <f t="shared" si="145"/>
        <v>44835</v>
      </c>
      <c r="M2342" s="3" t="str">
        <f t="shared" si="146"/>
        <v>11% to 15%</v>
      </c>
      <c r="N2342" s="3" t="str">
        <f t="shared" si="147"/>
        <v>OK</v>
      </c>
    </row>
    <row r="2343" spans="1:14" x14ac:dyDescent="0.3">
      <c r="A2343" s="2">
        <f>DATE(VALUE(RIGHT(TRIM([1]Raw_Data!A2341),4)),VALUE(MID(TRIM([1]Raw_Data!A2341),4,2)),VALUE(LEFT(TRIM([1]Raw_Data!A2341),2)))</f>
        <v>44858</v>
      </c>
      <c r="B2343" s="3" t="str">
        <f>TRIM([1]Raw_Data!B2341)</f>
        <v>Multivitamin</v>
      </c>
      <c r="C2343" s="3" t="str">
        <f>TRIM([1]Raw_Data!C2341)</f>
        <v>Vitamin</v>
      </c>
      <c r="D2343" s="3">
        <f>[1]Raw_Data!D2341</f>
        <v>166</v>
      </c>
      <c r="E2343" s="4">
        <f>[1]Raw_Data!E2341</f>
        <v>27.62</v>
      </c>
      <c r="F2343" s="5">
        <f>[1]Raw_Data!F2341</f>
        <v>4584.92</v>
      </c>
      <c r="G2343" s="4">
        <f>[1]Raw_Data!G2341</f>
        <v>0.19</v>
      </c>
      <c r="H2343" s="3">
        <f>[1]Raw_Data!H2341</f>
        <v>0</v>
      </c>
      <c r="I2343" s="3" t="str">
        <f>TRIM([1]Raw_Data!I2341)</f>
        <v>UK</v>
      </c>
      <c r="J2343" s="3" t="str">
        <f>TRIM([1]Raw_Data!J2341)</f>
        <v>iHerb</v>
      </c>
      <c r="K2343" s="3">
        <f t="shared" si="144"/>
        <v>2022</v>
      </c>
      <c r="L2343" s="6">
        <f t="shared" si="145"/>
        <v>44835</v>
      </c>
      <c r="M2343" s="3" t="str">
        <f t="shared" si="146"/>
        <v>16% to 20%</v>
      </c>
      <c r="N2343" s="3" t="str">
        <f t="shared" si="147"/>
        <v>OK</v>
      </c>
    </row>
    <row r="2344" spans="1:14" x14ac:dyDescent="0.3">
      <c r="A2344" s="2">
        <f>DATE(VALUE(RIGHT(TRIM([1]Raw_Data!A2342),4)),VALUE(MID(TRIM([1]Raw_Data!A2342),4,2)),VALUE(LEFT(TRIM([1]Raw_Data!A2342),2)))</f>
        <v>44858</v>
      </c>
      <c r="B2344" s="3" t="str">
        <f>TRIM([1]Raw_Data!B2342)</f>
        <v>Pre-Workout</v>
      </c>
      <c r="C2344" s="3" t="str">
        <f>TRIM([1]Raw_Data!C2342)</f>
        <v>Performance</v>
      </c>
      <c r="D2344" s="3">
        <f>[1]Raw_Data!D2342</f>
        <v>156</v>
      </c>
      <c r="E2344" s="4">
        <f>[1]Raw_Data!E2342</f>
        <v>56.61</v>
      </c>
      <c r="F2344" s="5">
        <f>[1]Raw_Data!F2342</f>
        <v>8831.16</v>
      </c>
      <c r="G2344" s="4">
        <f>[1]Raw_Data!G2342</f>
        <v>0.22</v>
      </c>
      <c r="H2344" s="3">
        <f>[1]Raw_Data!H2342</f>
        <v>1</v>
      </c>
      <c r="I2344" s="3" t="str">
        <f>TRIM([1]Raw_Data!I2342)</f>
        <v>USA</v>
      </c>
      <c r="J2344" s="3" t="str">
        <f>TRIM([1]Raw_Data!J2342)</f>
        <v>Walmart</v>
      </c>
      <c r="K2344" s="3">
        <f t="shared" si="144"/>
        <v>2022</v>
      </c>
      <c r="L2344" s="6">
        <f t="shared" si="145"/>
        <v>44835</v>
      </c>
      <c r="M2344" s="3" t="str">
        <f t="shared" si="146"/>
        <v>21% to 25%</v>
      </c>
      <c r="N2344" s="3" t="str">
        <f t="shared" si="147"/>
        <v>OK</v>
      </c>
    </row>
    <row r="2345" spans="1:14" x14ac:dyDescent="0.3">
      <c r="A2345" s="2">
        <f>DATE(VALUE(RIGHT(TRIM([1]Raw_Data!A2343),4)),VALUE(MID(TRIM([1]Raw_Data!A2343),4,2)),VALUE(LEFT(TRIM([1]Raw_Data!A2343),2)))</f>
        <v>44858</v>
      </c>
      <c r="B2345" s="3" t="str">
        <f>TRIM([1]Raw_Data!B2343)</f>
        <v>BCAA</v>
      </c>
      <c r="C2345" s="3" t="str">
        <f>TRIM([1]Raw_Data!C2343)</f>
        <v>Amino Acid</v>
      </c>
      <c r="D2345" s="3">
        <f>[1]Raw_Data!D2343</f>
        <v>153</v>
      </c>
      <c r="E2345" s="4">
        <f>[1]Raw_Data!E2343</f>
        <v>22.89</v>
      </c>
      <c r="F2345" s="5">
        <f>[1]Raw_Data!F2343</f>
        <v>3502.17</v>
      </c>
      <c r="G2345" s="4">
        <f>[1]Raw_Data!G2343</f>
        <v>0.02</v>
      </c>
      <c r="H2345" s="3">
        <f>[1]Raw_Data!H2343</f>
        <v>1</v>
      </c>
      <c r="I2345" s="3" t="str">
        <f>TRIM([1]Raw_Data!I2343)</f>
        <v>USA</v>
      </c>
      <c r="J2345" s="3" t="str">
        <f>TRIM([1]Raw_Data!J2343)</f>
        <v>Amazon</v>
      </c>
      <c r="K2345" s="3">
        <f t="shared" si="144"/>
        <v>2022</v>
      </c>
      <c r="L2345" s="6">
        <f t="shared" si="145"/>
        <v>44835</v>
      </c>
      <c r="M2345" s="3" t="str">
        <f t="shared" si="146"/>
        <v>0% to 5%</v>
      </c>
      <c r="N2345" s="3" t="str">
        <f t="shared" si="147"/>
        <v>OK</v>
      </c>
    </row>
    <row r="2346" spans="1:14" x14ac:dyDescent="0.3">
      <c r="A2346" s="2">
        <f>DATE(VALUE(RIGHT(TRIM([1]Raw_Data!A2344),4)),VALUE(MID(TRIM([1]Raw_Data!A2344),4,2)),VALUE(LEFT(TRIM([1]Raw_Data!A2344),2)))</f>
        <v>44858</v>
      </c>
      <c r="B2346" s="3" t="str">
        <f>TRIM([1]Raw_Data!B2344)</f>
        <v>Creatine</v>
      </c>
      <c r="C2346" s="3" t="str">
        <f>TRIM([1]Raw_Data!C2344)</f>
        <v>Performance</v>
      </c>
      <c r="D2346" s="3">
        <f>[1]Raw_Data!D2344</f>
        <v>166</v>
      </c>
      <c r="E2346" s="4">
        <f>[1]Raw_Data!E2344</f>
        <v>38.090000000000003</v>
      </c>
      <c r="F2346" s="5">
        <f>[1]Raw_Data!F2344</f>
        <v>6322.94</v>
      </c>
      <c r="G2346" s="4">
        <f>[1]Raw_Data!G2344</f>
        <v>0.11</v>
      </c>
      <c r="H2346" s="3">
        <f>[1]Raw_Data!H2344</f>
        <v>1</v>
      </c>
      <c r="I2346" s="3" t="str">
        <f>TRIM([1]Raw_Data!I2344)</f>
        <v>Canada</v>
      </c>
      <c r="J2346" s="3" t="str">
        <f>TRIM([1]Raw_Data!J2344)</f>
        <v>Walmart</v>
      </c>
      <c r="K2346" s="3">
        <f t="shared" si="144"/>
        <v>2022</v>
      </c>
      <c r="L2346" s="6">
        <f t="shared" si="145"/>
        <v>44835</v>
      </c>
      <c r="M2346" s="3" t="str">
        <f t="shared" si="146"/>
        <v>11% to 15%</v>
      </c>
      <c r="N2346" s="3" t="str">
        <f t="shared" si="147"/>
        <v>OK</v>
      </c>
    </row>
    <row r="2347" spans="1:14" x14ac:dyDescent="0.3">
      <c r="A2347" s="2">
        <f>DATE(VALUE(RIGHT(TRIM([1]Raw_Data!A2345),4)),VALUE(MID(TRIM([1]Raw_Data!A2345),4,2)),VALUE(LEFT(TRIM([1]Raw_Data!A2345),2)))</f>
        <v>44858</v>
      </c>
      <c r="B2347" s="3" t="str">
        <f>TRIM([1]Raw_Data!B2345)</f>
        <v>Zinc</v>
      </c>
      <c r="C2347" s="3" t="str">
        <f>TRIM([1]Raw_Data!C2345)</f>
        <v>Mineral</v>
      </c>
      <c r="D2347" s="3">
        <f>[1]Raw_Data!D2345</f>
        <v>154</v>
      </c>
      <c r="E2347" s="4">
        <f>[1]Raw_Data!E2345</f>
        <v>13.06</v>
      </c>
      <c r="F2347" s="5">
        <f>[1]Raw_Data!F2345</f>
        <v>2011.24</v>
      </c>
      <c r="G2347" s="4">
        <f>[1]Raw_Data!G2345</f>
        <v>0.12</v>
      </c>
      <c r="H2347" s="3">
        <f>[1]Raw_Data!H2345</f>
        <v>3</v>
      </c>
      <c r="I2347" s="3" t="str">
        <f>TRIM([1]Raw_Data!I2345)</f>
        <v>USA</v>
      </c>
      <c r="J2347" s="3" t="str">
        <f>TRIM([1]Raw_Data!J2345)</f>
        <v>Walmart</v>
      </c>
      <c r="K2347" s="3">
        <f t="shared" si="144"/>
        <v>2022</v>
      </c>
      <c r="L2347" s="6">
        <f t="shared" si="145"/>
        <v>44835</v>
      </c>
      <c r="M2347" s="3" t="str">
        <f t="shared" si="146"/>
        <v>11% to 15%</v>
      </c>
      <c r="N2347" s="3" t="str">
        <f t="shared" si="147"/>
        <v>OK</v>
      </c>
    </row>
    <row r="2348" spans="1:14" x14ac:dyDescent="0.3">
      <c r="A2348" s="2">
        <f>DATE(VALUE(RIGHT(TRIM([1]Raw_Data!A2346),4)),VALUE(MID(TRIM([1]Raw_Data!A2346),4,2)),VALUE(LEFT(TRIM([1]Raw_Data!A2346),2)))</f>
        <v>44858</v>
      </c>
      <c r="B2348" s="3" t="str">
        <f>TRIM([1]Raw_Data!B2346)</f>
        <v>Collagen Peptides</v>
      </c>
      <c r="C2348" s="3" t="str">
        <f>TRIM([1]Raw_Data!C2346)</f>
        <v>Protein</v>
      </c>
      <c r="D2348" s="3">
        <f>[1]Raw_Data!D2346</f>
        <v>131</v>
      </c>
      <c r="E2348" s="4">
        <f>[1]Raw_Data!E2346</f>
        <v>17.68</v>
      </c>
      <c r="F2348" s="5">
        <f>[1]Raw_Data!F2346</f>
        <v>2316.08</v>
      </c>
      <c r="G2348" s="4">
        <f>[1]Raw_Data!G2346</f>
        <v>0.19</v>
      </c>
      <c r="H2348" s="3">
        <f>[1]Raw_Data!H2346</f>
        <v>2</v>
      </c>
      <c r="I2348" s="3" t="str">
        <f>TRIM([1]Raw_Data!I2346)</f>
        <v>UK</v>
      </c>
      <c r="J2348" s="3" t="str">
        <f>TRIM([1]Raw_Data!J2346)</f>
        <v>Amazon</v>
      </c>
      <c r="K2348" s="3">
        <f t="shared" si="144"/>
        <v>2022</v>
      </c>
      <c r="L2348" s="6">
        <f t="shared" si="145"/>
        <v>44835</v>
      </c>
      <c r="M2348" s="3" t="str">
        <f t="shared" si="146"/>
        <v>16% to 20%</v>
      </c>
      <c r="N2348" s="3" t="str">
        <f t="shared" si="147"/>
        <v>OK</v>
      </c>
    </row>
    <row r="2349" spans="1:14" x14ac:dyDescent="0.3">
      <c r="A2349" s="2">
        <f>DATE(VALUE(RIGHT(TRIM([1]Raw_Data!A2347),4)),VALUE(MID(TRIM([1]Raw_Data!A2347),4,2)),VALUE(LEFT(TRIM([1]Raw_Data!A2347),2)))</f>
        <v>44858</v>
      </c>
      <c r="B2349" s="3" t="str">
        <f>TRIM([1]Raw_Data!B2347)</f>
        <v>Magnesium</v>
      </c>
      <c r="C2349" s="3" t="str">
        <f>TRIM([1]Raw_Data!C2347)</f>
        <v>Mineral</v>
      </c>
      <c r="D2349" s="3">
        <f>[1]Raw_Data!D2347</f>
        <v>152</v>
      </c>
      <c r="E2349" s="4">
        <f>[1]Raw_Data!E2347</f>
        <v>54.42</v>
      </c>
      <c r="F2349" s="5">
        <f>[1]Raw_Data!F2347</f>
        <v>8271.84</v>
      </c>
      <c r="G2349" s="4">
        <f>[1]Raw_Data!G2347</f>
        <v>0.19</v>
      </c>
      <c r="H2349" s="3">
        <f>[1]Raw_Data!H2347</f>
        <v>3</v>
      </c>
      <c r="I2349" s="3" t="str">
        <f>TRIM([1]Raw_Data!I2347)</f>
        <v>Canada</v>
      </c>
      <c r="J2349" s="3" t="str">
        <f>TRIM([1]Raw_Data!J2347)</f>
        <v>Walmart</v>
      </c>
      <c r="K2349" s="3">
        <f t="shared" si="144"/>
        <v>2022</v>
      </c>
      <c r="L2349" s="6">
        <f t="shared" si="145"/>
        <v>44835</v>
      </c>
      <c r="M2349" s="3" t="str">
        <f t="shared" si="146"/>
        <v>16% to 20%</v>
      </c>
      <c r="N2349" s="3" t="str">
        <f t="shared" si="147"/>
        <v>OK</v>
      </c>
    </row>
    <row r="2350" spans="1:14" x14ac:dyDescent="0.3">
      <c r="A2350" s="2">
        <f>DATE(VALUE(RIGHT(TRIM([1]Raw_Data!A2348),4)),VALUE(MID(TRIM([1]Raw_Data!A2348),4,2)),VALUE(LEFT(TRIM([1]Raw_Data!A2348),2)))</f>
        <v>44858</v>
      </c>
      <c r="B2350" s="3" t="str">
        <f>TRIM([1]Raw_Data!B2348)</f>
        <v>Ashwagandha</v>
      </c>
      <c r="C2350" s="3" t="str">
        <f>TRIM([1]Raw_Data!C2348)</f>
        <v>Herbal</v>
      </c>
      <c r="D2350" s="3">
        <f>[1]Raw_Data!D2348</f>
        <v>162</v>
      </c>
      <c r="E2350" s="4">
        <f>[1]Raw_Data!E2348</f>
        <v>32.9</v>
      </c>
      <c r="F2350" s="5">
        <f>[1]Raw_Data!F2348</f>
        <v>5329.8</v>
      </c>
      <c r="G2350" s="4">
        <f>[1]Raw_Data!G2348</f>
        <v>0.22</v>
      </c>
      <c r="H2350" s="3">
        <f>[1]Raw_Data!H2348</f>
        <v>4</v>
      </c>
      <c r="I2350" s="3" t="str">
        <f>TRIM([1]Raw_Data!I2348)</f>
        <v>USA</v>
      </c>
      <c r="J2350" s="3" t="str">
        <f>TRIM([1]Raw_Data!J2348)</f>
        <v>iHerb</v>
      </c>
      <c r="K2350" s="3">
        <f t="shared" si="144"/>
        <v>2022</v>
      </c>
      <c r="L2350" s="6">
        <f t="shared" si="145"/>
        <v>44835</v>
      </c>
      <c r="M2350" s="3" t="str">
        <f t="shared" si="146"/>
        <v>21% to 25%</v>
      </c>
      <c r="N2350" s="3" t="str">
        <f t="shared" si="147"/>
        <v>OK</v>
      </c>
    </row>
    <row r="2351" spans="1:14" x14ac:dyDescent="0.3">
      <c r="A2351" s="2">
        <f>DATE(VALUE(RIGHT(TRIM([1]Raw_Data!A2349),4)),VALUE(MID(TRIM([1]Raw_Data!A2349),4,2)),VALUE(LEFT(TRIM([1]Raw_Data!A2349),2)))</f>
        <v>44858</v>
      </c>
      <c r="B2351" s="3" t="str">
        <f>TRIM([1]Raw_Data!B2349)</f>
        <v>Melatonin</v>
      </c>
      <c r="C2351" s="3" t="str">
        <f>TRIM([1]Raw_Data!C2349)</f>
        <v>Sleep Aid</v>
      </c>
      <c r="D2351" s="3">
        <f>[1]Raw_Data!D2349</f>
        <v>181</v>
      </c>
      <c r="E2351" s="4">
        <f>[1]Raw_Data!E2349</f>
        <v>53.67</v>
      </c>
      <c r="F2351" s="5">
        <f>[1]Raw_Data!F2349</f>
        <v>9714.27</v>
      </c>
      <c r="G2351" s="4">
        <f>[1]Raw_Data!G2349</f>
        <v>0.1</v>
      </c>
      <c r="H2351" s="3">
        <f>[1]Raw_Data!H2349</f>
        <v>0</v>
      </c>
      <c r="I2351" s="3" t="str">
        <f>TRIM([1]Raw_Data!I2349)</f>
        <v>USA</v>
      </c>
      <c r="J2351" s="3" t="str">
        <f>TRIM([1]Raw_Data!J2349)</f>
        <v>Walmart</v>
      </c>
      <c r="K2351" s="3">
        <f t="shared" si="144"/>
        <v>2022</v>
      </c>
      <c r="L2351" s="6">
        <f t="shared" si="145"/>
        <v>44835</v>
      </c>
      <c r="M2351" s="3" t="str">
        <f t="shared" si="146"/>
        <v>6% to 10%</v>
      </c>
      <c r="N2351" s="3" t="str">
        <f t="shared" si="147"/>
        <v>OK</v>
      </c>
    </row>
    <row r="2352" spans="1:14" x14ac:dyDescent="0.3">
      <c r="A2352" s="2">
        <f>DATE(VALUE(RIGHT(TRIM([1]Raw_Data!A2350),4)),VALUE(MID(TRIM([1]Raw_Data!A2350),4,2)),VALUE(LEFT(TRIM([1]Raw_Data!A2350),2)))</f>
        <v>44858</v>
      </c>
      <c r="B2352" s="3" t="str">
        <f>TRIM([1]Raw_Data!B2350)</f>
        <v>Biotin</v>
      </c>
      <c r="C2352" s="3" t="str">
        <f>TRIM([1]Raw_Data!C2350)</f>
        <v>Vitamin</v>
      </c>
      <c r="D2352" s="3">
        <f>[1]Raw_Data!D2350</f>
        <v>129</v>
      </c>
      <c r="E2352" s="4">
        <f>[1]Raw_Data!E2350</f>
        <v>22.49</v>
      </c>
      <c r="F2352" s="5">
        <f>[1]Raw_Data!F2350</f>
        <v>2901.21</v>
      </c>
      <c r="G2352" s="4">
        <f>[1]Raw_Data!G2350</f>
        <v>0.12</v>
      </c>
      <c r="H2352" s="3">
        <f>[1]Raw_Data!H2350</f>
        <v>2</v>
      </c>
      <c r="I2352" s="3" t="str">
        <f>TRIM([1]Raw_Data!I2350)</f>
        <v>UK</v>
      </c>
      <c r="J2352" s="3" t="str">
        <f>TRIM([1]Raw_Data!J2350)</f>
        <v>Walmart</v>
      </c>
      <c r="K2352" s="3">
        <f t="shared" si="144"/>
        <v>2022</v>
      </c>
      <c r="L2352" s="6">
        <f t="shared" si="145"/>
        <v>44835</v>
      </c>
      <c r="M2352" s="3" t="str">
        <f t="shared" si="146"/>
        <v>11% to 15%</v>
      </c>
      <c r="N2352" s="3" t="str">
        <f t="shared" si="147"/>
        <v>OK</v>
      </c>
    </row>
    <row r="2353" spans="1:14" x14ac:dyDescent="0.3">
      <c r="A2353" s="2">
        <f>DATE(VALUE(RIGHT(TRIM([1]Raw_Data!A2351),4)),VALUE(MID(TRIM([1]Raw_Data!A2351),4,2)),VALUE(LEFT(TRIM([1]Raw_Data!A2351),2)))</f>
        <v>44858</v>
      </c>
      <c r="B2353" s="3" t="str">
        <f>TRIM([1]Raw_Data!B2351)</f>
        <v>Green Tea Extract</v>
      </c>
      <c r="C2353" s="3" t="str">
        <f>TRIM([1]Raw_Data!C2351)</f>
        <v>Fat Burner</v>
      </c>
      <c r="D2353" s="3">
        <f>[1]Raw_Data!D2351</f>
        <v>151</v>
      </c>
      <c r="E2353" s="4">
        <f>[1]Raw_Data!E2351</f>
        <v>36.97</v>
      </c>
      <c r="F2353" s="5">
        <f>[1]Raw_Data!F2351</f>
        <v>5582.47</v>
      </c>
      <c r="G2353" s="4">
        <f>[1]Raw_Data!G2351</f>
        <v>0.13</v>
      </c>
      <c r="H2353" s="3">
        <f>[1]Raw_Data!H2351</f>
        <v>0</v>
      </c>
      <c r="I2353" s="3" t="str">
        <f>TRIM([1]Raw_Data!I2351)</f>
        <v>Canada</v>
      </c>
      <c r="J2353" s="3" t="str">
        <f>TRIM([1]Raw_Data!J2351)</f>
        <v>iHerb</v>
      </c>
      <c r="K2353" s="3">
        <f t="shared" si="144"/>
        <v>2022</v>
      </c>
      <c r="L2353" s="6">
        <f t="shared" si="145"/>
        <v>44835</v>
      </c>
      <c r="M2353" s="3" t="str">
        <f t="shared" si="146"/>
        <v>11% to 15%</v>
      </c>
      <c r="N2353" s="3" t="str">
        <f t="shared" si="147"/>
        <v>OK</v>
      </c>
    </row>
    <row r="2354" spans="1:14" x14ac:dyDescent="0.3">
      <c r="A2354" s="2">
        <f>DATE(VALUE(RIGHT(TRIM([1]Raw_Data!A2352),4)),VALUE(MID(TRIM([1]Raw_Data!A2352),4,2)),VALUE(LEFT(TRIM([1]Raw_Data!A2352),2)))</f>
        <v>44858</v>
      </c>
      <c r="B2354" s="3" t="str">
        <f>TRIM([1]Raw_Data!B2352)</f>
        <v>Iron Supplement</v>
      </c>
      <c r="C2354" s="3" t="str">
        <f>TRIM([1]Raw_Data!C2352)</f>
        <v>Mineral</v>
      </c>
      <c r="D2354" s="3">
        <f>[1]Raw_Data!D2352</f>
        <v>131</v>
      </c>
      <c r="E2354" s="4">
        <f>[1]Raw_Data!E2352</f>
        <v>20.25</v>
      </c>
      <c r="F2354" s="5">
        <f>[1]Raw_Data!F2352</f>
        <v>2652.75</v>
      </c>
      <c r="G2354" s="4">
        <f>[1]Raw_Data!G2352</f>
        <v>0.22</v>
      </c>
      <c r="H2354" s="3">
        <f>[1]Raw_Data!H2352</f>
        <v>3</v>
      </c>
      <c r="I2354" s="3" t="str">
        <f>TRIM([1]Raw_Data!I2352)</f>
        <v>Canada</v>
      </c>
      <c r="J2354" s="3" t="str">
        <f>TRIM([1]Raw_Data!J2352)</f>
        <v>Amazon</v>
      </c>
      <c r="K2354" s="3">
        <f t="shared" si="144"/>
        <v>2022</v>
      </c>
      <c r="L2354" s="6">
        <f t="shared" si="145"/>
        <v>44835</v>
      </c>
      <c r="M2354" s="3" t="str">
        <f t="shared" si="146"/>
        <v>21% to 25%</v>
      </c>
      <c r="N2354" s="3" t="str">
        <f t="shared" si="147"/>
        <v>OK</v>
      </c>
    </row>
    <row r="2355" spans="1:14" x14ac:dyDescent="0.3">
      <c r="A2355" s="2">
        <f>DATE(VALUE(RIGHT(TRIM([1]Raw_Data!A2353),4)),VALUE(MID(TRIM([1]Raw_Data!A2353),4,2)),VALUE(LEFT(TRIM([1]Raw_Data!A2353),2)))</f>
        <v>44858</v>
      </c>
      <c r="B2355" s="3" t="str">
        <f>TRIM([1]Raw_Data!B2353)</f>
        <v>Electrolyte Powder</v>
      </c>
      <c r="C2355" s="3" t="str">
        <f>TRIM([1]Raw_Data!C2353)</f>
        <v>Hydration</v>
      </c>
      <c r="D2355" s="3">
        <f>[1]Raw_Data!D2353</f>
        <v>141</v>
      </c>
      <c r="E2355" s="4">
        <f>[1]Raw_Data!E2353</f>
        <v>18.77</v>
      </c>
      <c r="F2355" s="5">
        <f>[1]Raw_Data!F2353</f>
        <v>2646.57</v>
      </c>
      <c r="G2355" s="4">
        <f>[1]Raw_Data!G2353</f>
        <v>0.2</v>
      </c>
      <c r="H2355" s="3">
        <f>[1]Raw_Data!H2353</f>
        <v>3</v>
      </c>
      <c r="I2355" s="3" t="str">
        <f>TRIM([1]Raw_Data!I2353)</f>
        <v>Canada</v>
      </c>
      <c r="J2355" s="3" t="str">
        <f>TRIM([1]Raw_Data!J2353)</f>
        <v>iHerb</v>
      </c>
      <c r="K2355" s="3">
        <f t="shared" si="144"/>
        <v>2022</v>
      </c>
      <c r="L2355" s="6">
        <f t="shared" si="145"/>
        <v>44835</v>
      </c>
      <c r="M2355" s="3" t="str">
        <f t="shared" si="146"/>
        <v>16% to 20%</v>
      </c>
      <c r="N2355" s="3" t="str">
        <f t="shared" si="147"/>
        <v>OK</v>
      </c>
    </row>
    <row r="2356" spans="1:14" x14ac:dyDescent="0.3">
      <c r="A2356" s="2">
        <f>DATE(VALUE(RIGHT(TRIM([1]Raw_Data!A2354),4)),VALUE(MID(TRIM([1]Raw_Data!A2354),4,2)),VALUE(LEFT(TRIM([1]Raw_Data!A2354),2)))</f>
        <v>44865</v>
      </c>
      <c r="B2356" s="3" t="str">
        <f>TRIM([1]Raw_Data!B2354)</f>
        <v>Whey Protein</v>
      </c>
      <c r="C2356" s="3" t="str">
        <f>TRIM([1]Raw_Data!C2354)</f>
        <v>Protein</v>
      </c>
      <c r="D2356" s="3">
        <f>[1]Raw_Data!D2354</f>
        <v>165</v>
      </c>
      <c r="E2356" s="4">
        <f>[1]Raw_Data!E2354</f>
        <v>47.93</v>
      </c>
      <c r="F2356" s="5">
        <f>[1]Raw_Data!F2354</f>
        <v>7908.45</v>
      </c>
      <c r="G2356" s="4">
        <f>[1]Raw_Data!G2354</f>
        <v>0.02</v>
      </c>
      <c r="H2356" s="3">
        <f>[1]Raw_Data!H2354</f>
        <v>0</v>
      </c>
      <c r="I2356" s="3" t="str">
        <f>TRIM([1]Raw_Data!I2354)</f>
        <v>Canada</v>
      </c>
      <c r="J2356" s="3" t="str">
        <f>TRIM([1]Raw_Data!J2354)</f>
        <v>Amazon</v>
      </c>
      <c r="K2356" s="3">
        <f t="shared" si="144"/>
        <v>2022</v>
      </c>
      <c r="L2356" s="6">
        <f t="shared" si="145"/>
        <v>44835</v>
      </c>
      <c r="M2356" s="3" t="str">
        <f t="shared" si="146"/>
        <v>0% to 5%</v>
      </c>
      <c r="N2356" s="3" t="str">
        <f t="shared" si="147"/>
        <v>OK</v>
      </c>
    </row>
    <row r="2357" spans="1:14" x14ac:dyDescent="0.3">
      <c r="A2357" s="2">
        <f>DATE(VALUE(RIGHT(TRIM([1]Raw_Data!A2355),4)),VALUE(MID(TRIM([1]Raw_Data!A2355),4,2)),VALUE(LEFT(TRIM([1]Raw_Data!A2355),2)))</f>
        <v>44865</v>
      </c>
      <c r="B2357" s="3" t="str">
        <f>TRIM([1]Raw_Data!B2355)</f>
        <v>Vitamin C</v>
      </c>
      <c r="C2357" s="3" t="str">
        <f>TRIM([1]Raw_Data!C2355)</f>
        <v>Vitamin</v>
      </c>
      <c r="D2357" s="3">
        <f>[1]Raw_Data!D2355</f>
        <v>160</v>
      </c>
      <c r="E2357" s="4">
        <f>[1]Raw_Data!E2355</f>
        <v>59.78</v>
      </c>
      <c r="F2357" s="5">
        <f>[1]Raw_Data!F2355</f>
        <v>9564.7999999999993</v>
      </c>
      <c r="G2357" s="4">
        <f>[1]Raw_Data!G2355</f>
        <v>0.02</v>
      </c>
      <c r="H2357" s="3">
        <f>[1]Raw_Data!H2355</f>
        <v>3</v>
      </c>
      <c r="I2357" s="3" t="str">
        <f>TRIM([1]Raw_Data!I2355)</f>
        <v>Canada</v>
      </c>
      <c r="J2357" s="3" t="str">
        <f>TRIM([1]Raw_Data!J2355)</f>
        <v>Walmart</v>
      </c>
      <c r="K2357" s="3">
        <f t="shared" si="144"/>
        <v>2022</v>
      </c>
      <c r="L2357" s="6">
        <f t="shared" si="145"/>
        <v>44835</v>
      </c>
      <c r="M2357" s="3" t="str">
        <f t="shared" si="146"/>
        <v>0% to 5%</v>
      </c>
      <c r="N2357" s="3" t="str">
        <f t="shared" si="147"/>
        <v>OK</v>
      </c>
    </row>
    <row r="2358" spans="1:14" x14ac:dyDescent="0.3">
      <c r="A2358" s="2">
        <f>DATE(VALUE(RIGHT(TRIM([1]Raw_Data!A2356),4)),VALUE(MID(TRIM([1]Raw_Data!A2356),4,2)),VALUE(LEFT(TRIM([1]Raw_Data!A2356),2)))</f>
        <v>44865</v>
      </c>
      <c r="B2358" s="3" t="str">
        <f>TRIM([1]Raw_Data!B2356)</f>
        <v>Fish Oil</v>
      </c>
      <c r="C2358" s="3" t="str">
        <f>TRIM([1]Raw_Data!C2356)</f>
        <v>Omega</v>
      </c>
      <c r="D2358" s="3">
        <f>[1]Raw_Data!D2356</f>
        <v>149</v>
      </c>
      <c r="E2358" s="4">
        <f>[1]Raw_Data!E2356</f>
        <v>50.86</v>
      </c>
      <c r="F2358" s="5">
        <f>[1]Raw_Data!F2356</f>
        <v>7578.14</v>
      </c>
      <c r="G2358" s="4">
        <f>[1]Raw_Data!G2356</f>
        <v>0.23</v>
      </c>
      <c r="H2358" s="3">
        <f>[1]Raw_Data!H2356</f>
        <v>1</v>
      </c>
      <c r="I2358" s="3" t="str">
        <f>TRIM([1]Raw_Data!I2356)</f>
        <v>Canada</v>
      </c>
      <c r="J2358" s="3" t="str">
        <f>TRIM([1]Raw_Data!J2356)</f>
        <v>iHerb</v>
      </c>
      <c r="K2358" s="3">
        <f t="shared" si="144"/>
        <v>2022</v>
      </c>
      <c r="L2358" s="6">
        <f t="shared" si="145"/>
        <v>44835</v>
      </c>
      <c r="M2358" s="3" t="str">
        <f t="shared" si="146"/>
        <v>21% to 25%</v>
      </c>
      <c r="N2358" s="3" t="str">
        <f t="shared" si="147"/>
        <v>OK</v>
      </c>
    </row>
    <row r="2359" spans="1:14" x14ac:dyDescent="0.3">
      <c r="A2359" s="2">
        <f>DATE(VALUE(RIGHT(TRIM([1]Raw_Data!A2357),4)),VALUE(MID(TRIM([1]Raw_Data!A2357),4,2)),VALUE(LEFT(TRIM([1]Raw_Data!A2357),2)))</f>
        <v>44865</v>
      </c>
      <c r="B2359" s="3" t="str">
        <f>TRIM([1]Raw_Data!B2357)</f>
        <v>Multivitamin</v>
      </c>
      <c r="C2359" s="3" t="str">
        <f>TRIM([1]Raw_Data!C2357)</f>
        <v>Vitamin</v>
      </c>
      <c r="D2359" s="3">
        <f>[1]Raw_Data!D2357</f>
        <v>177</v>
      </c>
      <c r="E2359" s="4">
        <f>[1]Raw_Data!E2357</f>
        <v>14.1</v>
      </c>
      <c r="F2359" s="5">
        <f>[1]Raw_Data!F2357</f>
        <v>2495.6999999999998</v>
      </c>
      <c r="G2359" s="4">
        <f>[1]Raw_Data!G2357</f>
        <v>0.11</v>
      </c>
      <c r="H2359" s="3">
        <f>[1]Raw_Data!H2357</f>
        <v>3</v>
      </c>
      <c r="I2359" s="3" t="str">
        <f>TRIM([1]Raw_Data!I2357)</f>
        <v>USA</v>
      </c>
      <c r="J2359" s="3" t="str">
        <f>TRIM([1]Raw_Data!J2357)</f>
        <v>Walmart</v>
      </c>
      <c r="K2359" s="3">
        <f t="shared" si="144"/>
        <v>2022</v>
      </c>
      <c r="L2359" s="6">
        <f t="shared" si="145"/>
        <v>44835</v>
      </c>
      <c r="M2359" s="3" t="str">
        <f t="shared" si="146"/>
        <v>11% to 15%</v>
      </c>
      <c r="N2359" s="3" t="str">
        <f t="shared" si="147"/>
        <v>OK</v>
      </c>
    </row>
    <row r="2360" spans="1:14" x14ac:dyDescent="0.3">
      <c r="A2360" s="2">
        <f>DATE(VALUE(RIGHT(TRIM([1]Raw_Data!A2358),4)),VALUE(MID(TRIM([1]Raw_Data!A2358),4,2)),VALUE(LEFT(TRIM([1]Raw_Data!A2358),2)))</f>
        <v>44865</v>
      </c>
      <c r="B2360" s="3" t="str">
        <f>TRIM([1]Raw_Data!B2358)</f>
        <v>Pre-Workout</v>
      </c>
      <c r="C2360" s="3" t="str">
        <f>TRIM([1]Raw_Data!C2358)</f>
        <v>Performance</v>
      </c>
      <c r="D2360" s="3">
        <f>[1]Raw_Data!D2358</f>
        <v>149</v>
      </c>
      <c r="E2360" s="4">
        <f>[1]Raw_Data!E2358</f>
        <v>46.48</v>
      </c>
      <c r="F2360" s="5">
        <f>[1]Raw_Data!F2358</f>
        <v>6925.52</v>
      </c>
      <c r="G2360" s="4">
        <f>[1]Raw_Data!G2358</f>
        <v>0.05</v>
      </c>
      <c r="H2360" s="3">
        <f>[1]Raw_Data!H2358</f>
        <v>4</v>
      </c>
      <c r="I2360" s="3" t="str">
        <f>TRIM([1]Raw_Data!I2358)</f>
        <v>Canada</v>
      </c>
      <c r="J2360" s="3" t="str">
        <f>TRIM([1]Raw_Data!J2358)</f>
        <v>iHerb</v>
      </c>
      <c r="K2360" s="3">
        <f t="shared" si="144"/>
        <v>2022</v>
      </c>
      <c r="L2360" s="6">
        <f t="shared" si="145"/>
        <v>44835</v>
      </c>
      <c r="M2360" s="3" t="str">
        <f t="shared" si="146"/>
        <v>0% to 5%</v>
      </c>
      <c r="N2360" s="3" t="str">
        <f t="shared" si="147"/>
        <v>OK</v>
      </c>
    </row>
    <row r="2361" spans="1:14" x14ac:dyDescent="0.3">
      <c r="A2361" s="2">
        <f>DATE(VALUE(RIGHT(TRIM([1]Raw_Data!A2359),4)),VALUE(MID(TRIM([1]Raw_Data!A2359),4,2)),VALUE(LEFT(TRIM([1]Raw_Data!A2359),2)))</f>
        <v>44865</v>
      </c>
      <c r="B2361" s="3" t="str">
        <f>TRIM([1]Raw_Data!B2359)</f>
        <v>BCAA</v>
      </c>
      <c r="C2361" s="3" t="str">
        <f>TRIM([1]Raw_Data!C2359)</f>
        <v>Amino Acid</v>
      </c>
      <c r="D2361" s="3">
        <f>[1]Raw_Data!D2359</f>
        <v>143</v>
      </c>
      <c r="E2361" s="4">
        <f>[1]Raw_Data!E2359</f>
        <v>31.12</v>
      </c>
      <c r="F2361" s="5">
        <f>[1]Raw_Data!F2359</f>
        <v>4450.16</v>
      </c>
      <c r="G2361" s="4">
        <f>[1]Raw_Data!G2359</f>
        <v>0.04</v>
      </c>
      <c r="H2361" s="3">
        <f>[1]Raw_Data!H2359</f>
        <v>1</v>
      </c>
      <c r="I2361" s="3" t="str">
        <f>TRIM([1]Raw_Data!I2359)</f>
        <v>USA</v>
      </c>
      <c r="J2361" s="3" t="str">
        <f>TRIM([1]Raw_Data!J2359)</f>
        <v>Walmart</v>
      </c>
      <c r="K2361" s="3">
        <f t="shared" si="144"/>
        <v>2022</v>
      </c>
      <c r="L2361" s="6">
        <f t="shared" si="145"/>
        <v>44835</v>
      </c>
      <c r="M2361" s="3" t="str">
        <f t="shared" si="146"/>
        <v>0% to 5%</v>
      </c>
      <c r="N2361" s="3" t="str">
        <f t="shared" si="147"/>
        <v>OK</v>
      </c>
    </row>
    <row r="2362" spans="1:14" x14ac:dyDescent="0.3">
      <c r="A2362" s="2">
        <f>DATE(VALUE(RIGHT(TRIM([1]Raw_Data!A2360),4)),VALUE(MID(TRIM([1]Raw_Data!A2360),4,2)),VALUE(LEFT(TRIM([1]Raw_Data!A2360),2)))</f>
        <v>44865</v>
      </c>
      <c r="B2362" s="3" t="str">
        <f>TRIM([1]Raw_Data!B2360)</f>
        <v>Creatine</v>
      </c>
      <c r="C2362" s="3" t="str">
        <f>TRIM([1]Raw_Data!C2360)</f>
        <v>Performance</v>
      </c>
      <c r="D2362" s="3">
        <f>[1]Raw_Data!D2360</f>
        <v>138</v>
      </c>
      <c r="E2362" s="4">
        <f>[1]Raw_Data!E2360</f>
        <v>19.350000000000001</v>
      </c>
      <c r="F2362" s="5">
        <f>[1]Raw_Data!F2360</f>
        <v>2670.3</v>
      </c>
      <c r="G2362" s="4">
        <f>[1]Raw_Data!G2360</f>
        <v>0.12</v>
      </c>
      <c r="H2362" s="3">
        <f>[1]Raw_Data!H2360</f>
        <v>2</v>
      </c>
      <c r="I2362" s="3" t="str">
        <f>TRIM([1]Raw_Data!I2360)</f>
        <v>Canada</v>
      </c>
      <c r="J2362" s="3" t="str">
        <f>TRIM([1]Raw_Data!J2360)</f>
        <v>Amazon</v>
      </c>
      <c r="K2362" s="3">
        <f t="shared" si="144"/>
        <v>2022</v>
      </c>
      <c r="L2362" s="6">
        <f t="shared" si="145"/>
        <v>44835</v>
      </c>
      <c r="M2362" s="3" t="str">
        <f t="shared" si="146"/>
        <v>11% to 15%</v>
      </c>
      <c r="N2362" s="3" t="str">
        <f t="shared" si="147"/>
        <v>OK</v>
      </c>
    </row>
    <row r="2363" spans="1:14" x14ac:dyDescent="0.3">
      <c r="A2363" s="2">
        <f>DATE(VALUE(RIGHT(TRIM([1]Raw_Data!A2361),4)),VALUE(MID(TRIM([1]Raw_Data!A2361),4,2)),VALUE(LEFT(TRIM([1]Raw_Data!A2361),2)))</f>
        <v>44865</v>
      </c>
      <c r="B2363" s="3" t="str">
        <f>TRIM([1]Raw_Data!B2361)</f>
        <v>Zinc</v>
      </c>
      <c r="C2363" s="3" t="str">
        <f>TRIM([1]Raw_Data!C2361)</f>
        <v>Mineral</v>
      </c>
      <c r="D2363" s="3">
        <f>[1]Raw_Data!D2361</f>
        <v>152</v>
      </c>
      <c r="E2363" s="4">
        <f>[1]Raw_Data!E2361</f>
        <v>41.83</v>
      </c>
      <c r="F2363" s="5">
        <f>[1]Raw_Data!F2361</f>
        <v>6358.16</v>
      </c>
      <c r="G2363" s="4">
        <f>[1]Raw_Data!G2361</f>
        <v>0.17</v>
      </c>
      <c r="H2363" s="3">
        <f>[1]Raw_Data!H2361</f>
        <v>2</v>
      </c>
      <c r="I2363" s="3" t="str">
        <f>TRIM([1]Raw_Data!I2361)</f>
        <v>UK</v>
      </c>
      <c r="J2363" s="3" t="str">
        <f>TRIM([1]Raw_Data!J2361)</f>
        <v>iHerb</v>
      </c>
      <c r="K2363" s="3">
        <f t="shared" si="144"/>
        <v>2022</v>
      </c>
      <c r="L2363" s="6">
        <f t="shared" si="145"/>
        <v>44835</v>
      </c>
      <c r="M2363" s="3" t="str">
        <f t="shared" si="146"/>
        <v>16% to 20%</v>
      </c>
      <c r="N2363" s="3" t="str">
        <f t="shared" si="147"/>
        <v>OK</v>
      </c>
    </row>
    <row r="2364" spans="1:14" x14ac:dyDescent="0.3">
      <c r="A2364" s="2">
        <f>DATE(VALUE(RIGHT(TRIM([1]Raw_Data!A2362),4)),VALUE(MID(TRIM([1]Raw_Data!A2362),4,2)),VALUE(LEFT(TRIM([1]Raw_Data!A2362),2)))</f>
        <v>44865</v>
      </c>
      <c r="B2364" s="3" t="str">
        <f>TRIM([1]Raw_Data!B2362)</f>
        <v>Collagen Peptides</v>
      </c>
      <c r="C2364" s="3" t="str">
        <f>TRIM([1]Raw_Data!C2362)</f>
        <v>Protein</v>
      </c>
      <c r="D2364" s="3">
        <f>[1]Raw_Data!D2362</f>
        <v>148</v>
      </c>
      <c r="E2364" s="4">
        <f>[1]Raw_Data!E2362</f>
        <v>13.49</v>
      </c>
      <c r="F2364" s="5">
        <f>[1]Raw_Data!F2362</f>
        <v>1996.52</v>
      </c>
      <c r="G2364" s="4">
        <f>[1]Raw_Data!G2362</f>
        <v>0.21</v>
      </c>
      <c r="H2364" s="3">
        <f>[1]Raw_Data!H2362</f>
        <v>2</v>
      </c>
      <c r="I2364" s="3" t="str">
        <f>TRIM([1]Raw_Data!I2362)</f>
        <v>USA</v>
      </c>
      <c r="J2364" s="3" t="str">
        <f>TRIM([1]Raw_Data!J2362)</f>
        <v>Walmart</v>
      </c>
      <c r="K2364" s="3">
        <f t="shared" si="144"/>
        <v>2022</v>
      </c>
      <c r="L2364" s="6">
        <f t="shared" si="145"/>
        <v>44835</v>
      </c>
      <c r="M2364" s="3" t="str">
        <f t="shared" si="146"/>
        <v>21% to 25%</v>
      </c>
      <c r="N2364" s="3" t="str">
        <f t="shared" si="147"/>
        <v>OK</v>
      </c>
    </row>
    <row r="2365" spans="1:14" x14ac:dyDescent="0.3">
      <c r="A2365" s="2">
        <f>DATE(VALUE(RIGHT(TRIM([1]Raw_Data!A2363),4)),VALUE(MID(TRIM([1]Raw_Data!A2363),4,2)),VALUE(LEFT(TRIM([1]Raw_Data!A2363),2)))</f>
        <v>44865</v>
      </c>
      <c r="B2365" s="3" t="str">
        <f>TRIM([1]Raw_Data!B2363)</f>
        <v>Magnesium</v>
      </c>
      <c r="C2365" s="3" t="str">
        <f>TRIM([1]Raw_Data!C2363)</f>
        <v>Mineral</v>
      </c>
      <c r="D2365" s="3">
        <f>[1]Raw_Data!D2363</f>
        <v>140</v>
      </c>
      <c r="E2365" s="4">
        <f>[1]Raw_Data!E2363</f>
        <v>10.63</v>
      </c>
      <c r="F2365" s="5">
        <f>[1]Raw_Data!F2363</f>
        <v>1488.2</v>
      </c>
      <c r="G2365" s="4">
        <f>[1]Raw_Data!G2363</f>
        <v>0.05</v>
      </c>
      <c r="H2365" s="3">
        <f>[1]Raw_Data!H2363</f>
        <v>0</v>
      </c>
      <c r="I2365" s="3" t="str">
        <f>TRIM([1]Raw_Data!I2363)</f>
        <v>Canada</v>
      </c>
      <c r="J2365" s="3" t="str">
        <f>TRIM([1]Raw_Data!J2363)</f>
        <v>Amazon</v>
      </c>
      <c r="K2365" s="3">
        <f t="shared" si="144"/>
        <v>2022</v>
      </c>
      <c r="L2365" s="6">
        <f t="shared" si="145"/>
        <v>44835</v>
      </c>
      <c r="M2365" s="3" t="str">
        <f t="shared" si="146"/>
        <v>0% to 5%</v>
      </c>
      <c r="N2365" s="3" t="str">
        <f t="shared" si="147"/>
        <v>OK</v>
      </c>
    </row>
    <row r="2366" spans="1:14" x14ac:dyDescent="0.3">
      <c r="A2366" s="2">
        <f>DATE(VALUE(RIGHT(TRIM([1]Raw_Data!A2364),4)),VALUE(MID(TRIM([1]Raw_Data!A2364),4,2)),VALUE(LEFT(TRIM([1]Raw_Data!A2364),2)))</f>
        <v>44865</v>
      </c>
      <c r="B2366" s="3" t="str">
        <f>TRIM([1]Raw_Data!B2364)</f>
        <v>Ashwagandha</v>
      </c>
      <c r="C2366" s="3" t="str">
        <f>TRIM([1]Raw_Data!C2364)</f>
        <v>Herbal</v>
      </c>
      <c r="D2366" s="3">
        <f>[1]Raw_Data!D2364</f>
        <v>161</v>
      </c>
      <c r="E2366" s="4">
        <f>[1]Raw_Data!E2364</f>
        <v>50.68</v>
      </c>
      <c r="F2366" s="5">
        <f>[1]Raw_Data!F2364</f>
        <v>8159.48</v>
      </c>
      <c r="G2366" s="4">
        <f>[1]Raw_Data!G2364</f>
        <v>0</v>
      </c>
      <c r="H2366" s="3">
        <f>[1]Raw_Data!H2364</f>
        <v>1</v>
      </c>
      <c r="I2366" s="3" t="str">
        <f>TRIM([1]Raw_Data!I2364)</f>
        <v>USA</v>
      </c>
      <c r="J2366" s="3" t="str">
        <f>TRIM([1]Raw_Data!J2364)</f>
        <v>Walmart</v>
      </c>
      <c r="K2366" s="3">
        <f t="shared" si="144"/>
        <v>2022</v>
      </c>
      <c r="L2366" s="6">
        <f t="shared" si="145"/>
        <v>44835</v>
      </c>
      <c r="M2366" s="3" t="str">
        <f t="shared" si="146"/>
        <v>0% to 5%</v>
      </c>
      <c r="N2366" s="3" t="str">
        <f t="shared" si="147"/>
        <v>OK</v>
      </c>
    </row>
    <row r="2367" spans="1:14" x14ac:dyDescent="0.3">
      <c r="A2367" s="2">
        <f>DATE(VALUE(RIGHT(TRIM([1]Raw_Data!A2365),4)),VALUE(MID(TRIM([1]Raw_Data!A2365),4,2)),VALUE(LEFT(TRIM([1]Raw_Data!A2365),2)))</f>
        <v>44865</v>
      </c>
      <c r="B2367" s="3" t="str">
        <f>TRIM([1]Raw_Data!B2365)</f>
        <v>Melatonin</v>
      </c>
      <c r="C2367" s="3" t="str">
        <f>TRIM([1]Raw_Data!C2365)</f>
        <v>Sleep Aid</v>
      </c>
      <c r="D2367" s="3">
        <f>[1]Raw_Data!D2365</f>
        <v>157</v>
      </c>
      <c r="E2367" s="4">
        <f>[1]Raw_Data!E2365</f>
        <v>42.49</v>
      </c>
      <c r="F2367" s="5">
        <f>[1]Raw_Data!F2365</f>
        <v>6670.93</v>
      </c>
      <c r="G2367" s="4">
        <f>[1]Raw_Data!G2365</f>
        <v>0.02</v>
      </c>
      <c r="H2367" s="3">
        <f>[1]Raw_Data!H2365</f>
        <v>0</v>
      </c>
      <c r="I2367" s="3" t="str">
        <f>TRIM([1]Raw_Data!I2365)</f>
        <v>Canada</v>
      </c>
      <c r="J2367" s="3" t="str">
        <f>TRIM([1]Raw_Data!J2365)</f>
        <v>Walmart</v>
      </c>
      <c r="K2367" s="3">
        <f t="shared" si="144"/>
        <v>2022</v>
      </c>
      <c r="L2367" s="6">
        <f t="shared" si="145"/>
        <v>44835</v>
      </c>
      <c r="M2367" s="3" t="str">
        <f t="shared" si="146"/>
        <v>0% to 5%</v>
      </c>
      <c r="N2367" s="3" t="str">
        <f t="shared" si="147"/>
        <v>OK</v>
      </c>
    </row>
    <row r="2368" spans="1:14" x14ac:dyDescent="0.3">
      <c r="A2368" s="2">
        <f>DATE(VALUE(RIGHT(TRIM([1]Raw_Data!A2366),4)),VALUE(MID(TRIM([1]Raw_Data!A2366),4,2)),VALUE(LEFT(TRIM([1]Raw_Data!A2366),2)))</f>
        <v>44865</v>
      </c>
      <c r="B2368" s="3" t="str">
        <f>TRIM([1]Raw_Data!B2366)</f>
        <v>Biotin</v>
      </c>
      <c r="C2368" s="3" t="str">
        <f>TRIM([1]Raw_Data!C2366)</f>
        <v>Vitamin</v>
      </c>
      <c r="D2368" s="3">
        <f>[1]Raw_Data!D2366</f>
        <v>149</v>
      </c>
      <c r="E2368" s="4">
        <f>[1]Raw_Data!E2366</f>
        <v>17.29</v>
      </c>
      <c r="F2368" s="5">
        <f>[1]Raw_Data!F2366</f>
        <v>2576.21</v>
      </c>
      <c r="G2368" s="4">
        <f>[1]Raw_Data!G2366</f>
        <v>0.05</v>
      </c>
      <c r="H2368" s="3">
        <f>[1]Raw_Data!H2366</f>
        <v>0</v>
      </c>
      <c r="I2368" s="3" t="str">
        <f>TRIM([1]Raw_Data!I2366)</f>
        <v>USA</v>
      </c>
      <c r="J2368" s="3" t="str">
        <f>TRIM([1]Raw_Data!J2366)</f>
        <v>Amazon</v>
      </c>
      <c r="K2368" s="3">
        <f t="shared" si="144"/>
        <v>2022</v>
      </c>
      <c r="L2368" s="6">
        <f t="shared" si="145"/>
        <v>44835</v>
      </c>
      <c r="M2368" s="3" t="str">
        <f t="shared" si="146"/>
        <v>0% to 5%</v>
      </c>
      <c r="N2368" s="3" t="str">
        <f t="shared" si="147"/>
        <v>OK</v>
      </c>
    </row>
    <row r="2369" spans="1:14" x14ac:dyDescent="0.3">
      <c r="A2369" s="2">
        <f>DATE(VALUE(RIGHT(TRIM([1]Raw_Data!A2367),4)),VALUE(MID(TRIM([1]Raw_Data!A2367),4,2)),VALUE(LEFT(TRIM([1]Raw_Data!A2367),2)))</f>
        <v>44865</v>
      </c>
      <c r="B2369" s="3" t="str">
        <f>TRIM([1]Raw_Data!B2367)</f>
        <v>Green Tea Extract</v>
      </c>
      <c r="C2369" s="3" t="str">
        <f>TRIM([1]Raw_Data!C2367)</f>
        <v>Fat Burner</v>
      </c>
      <c r="D2369" s="3">
        <f>[1]Raw_Data!D2367</f>
        <v>140</v>
      </c>
      <c r="E2369" s="4">
        <f>[1]Raw_Data!E2367</f>
        <v>29.76</v>
      </c>
      <c r="F2369" s="5">
        <f>[1]Raw_Data!F2367</f>
        <v>4166.3999999999996</v>
      </c>
      <c r="G2369" s="4">
        <f>[1]Raw_Data!G2367</f>
        <v>0.16</v>
      </c>
      <c r="H2369" s="3">
        <f>[1]Raw_Data!H2367</f>
        <v>1</v>
      </c>
      <c r="I2369" s="3" t="str">
        <f>TRIM([1]Raw_Data!I2367)</f>
        <v>Canada</v>
      </c>
      <c r="J2369" s="3" t="str">
        <f>TRIM([1]Raw_Data!J2367)</f>
        <v>Amazon</v>
      </c>
      <c r="K2369" s="3">
        <f t="shared" si="144"/>
        <v>2022</v>
      </c>
      <c r="L2369" s="6">
        <f t="shared" si="145"/>
        <v>44835</v>
      </c>
      <c r="M2369" s="3" t="str">
        <f t="shared" si="146"/>
        <v>16% to 20%</v>
      </c>
      <c r="N2369" s="3" t="str">
        <f t="shared" si="147"/>
        <v>OK</v>
      </c>
    </row>
    <row r="2370" spans="1:14" x14ac:dyDescent="0.3">
      <c r="A2370" s="2">
        <f>DATE(VALUE(RIGHT(TRIM([1]Raw_Data!A2368),4)),VALUE(MID(TRIM([1]Raw_Data!A2368),4,2)),VALUE(LEFT(TRIM([1]Raw_Data!A2368),2)))</f>
        <v>44865</v>
      </c>
      <c r="B2370" s="3" t="str">
        <f>TRIM([1]Raw_Data!B2368)</f>
        <v>Iron Supplement</v>
      </c>
      <c r="C2370" s="3" t="str">
        <f>TRIM([1]Raw_Data!C2368)</f>
        <v>Mineral</v>
      </c>
      <c r="D2370" s="3">
        <f>[1]Raw_Data!D2368</f>
        <v>161</v>
      </c>
      <c r="E2370" s="4">
        <f>[1]Raw_Data!E2368</f>
        <v>16.329999999999998</v>
      </c>
      <c r="F2370" s="5">
        <f>[1]Raw_Data!F2368</f>
        <v>2629.13</v>
      </c>
      <c r="G2370" s="4">
        <f>[1]Raw_Data!G2368</f>
        <v>0.01</v>
      </c>
      <c r="H2370" s="3">
        <f>[1]Raw_Data!H2368</f>
        <v>3</v>
      </c>
      <c r="I2370" s="3" t="str">
        <f>TRIM([1]Raw_Data!I2368)</f>
        <v>Canada</v>
      </c>
      <c r="J2370" s="3" t="str">
        <f>TRIM([1]Raw_Data!J2368)</f>
        <v>Amazon</v>
      </c>
      <c r="K2370" s="3">
        <f t="shared" si="144"/>
        <v>2022</v>
      </c>
      <c r="L2370" s="6">
        <f t="shared" si="145"/>
        <v>44835</v>
      </c>
      <c r="M2370" s="3" t="str">
        <f t="shared" si="146"/>
        <v>0% to 5%</v>
      </c>
      <c r="N2370" s="3" t="str">
        <f t="shared" si="147"/>
        <v>OK</v>
      </c>
    </row>
    <row r="2371" spans="1:14" x14ac:dyDescent="0.3">
      <c r="A2371" s="2">
        <f>DATE(VALUE(RIGHT(TRIM([1]Raw_Data!A2369),4)),VALUE(MID(TRIM([1]Raw_Data!A2369),4,2)),VALUE(LEFT(TRIM([1]Raw_Data!A2369),2)))</f>
        <v>44865</v>
      </c>
      <c r="B2371" s="3" t="str">
        <f>TRIM([1]Raw_Data!B2369)</f>
        <v>Electrolyte Powder</v>
      </c>
      <c r="C2371" s="3" t="str">
        <f>TRIM([1]Raw_Data!C2369)</f>
        <v>Hydration</v>
      </c>
      <c r="D2371" s="3">
        <f>[1]Raw_Data!D2369</f>
        <v>129</v>
      </c>
      <c r="E2371" s="4">
        <f>[1]Raw_Data!E2369</f>
        <v>11.11</v>
      </c>
      <c r="F2371" s="5">
        <f>[1]Raw_Data!F2369</f>
        <v>1433.19</v>
      </c>
      <c r="G2371" s="4">
        <f>[1]Raw_Data!G2369</f>
        <v>0.16</v>
      </c>
      <c r="H2371" s="3">
        <f>[1]Raw_Data!H2369</f>
        <v>1</v>
      </c>
      <c r="I2371" s="3" t="str">
        <f>TRIM([1]Raw_Data!I2369)</f>
        <v>USA</v>
      </c>
      <c r="J2371" s="3" t="str">
        <f>TRIM([1]Raw_Data!J2369)</f>
        <v>Walmart</v>
      </c>
      <c r="K2371" s="3">
        <f t="shared" si="144"/>
        <v>2022</v>
      </c>
      <c r="L2371" s="6">
        <f t="shared" si="145"/>
        <v>44835</v>
      </c>
      <c r="M2371" s="3" t="str">
        <f t="shared" si="146"/>
        <v>16% to 20%</v>
      </c>
      <c r="N2371" s="3" t="str">
        <f t="shared" si="147"/>
        <v>OK</v>
      </c>
    </row>
    <row r="2372" spans="1:14" x14ac:dyDescent="0.3">
      <c r="A2372" s="2">
        <f>DATE(VALUE(RIGHT(TRIM([1]Raw_Data!A2370),4)),VALUE(MID(TRIM([1]Raw_Data!A2370),4,2)),VALUE(LEFT(TRIM([1]Raw_Data!A2370),2)))</f>
        <v>44872</v>
      </c>
      <c r="B2372" s="3" t="str">
        <f>TRIM([1]Raw_Data!B2370)</f>
        <v>Whey Protein</v>
      </c>
      <c r="C2372" s="3" t="str">
        <f>TRIM([1]Raw_Data!C2370)</f>
        <v>Protein</v>
      </c>
      <c r="D2372" s="3">
        <f>[1]Raw_Data!D2370</f>
        <v>147</v>
      </c>
      <c r="E2372" s="4">
        <f>[1]Raw_Data!E2370</f>
        <v>24.84</v>
      </c>
      <c r="F2372" s="5">
        <f>[1]Raw_Data!F2370</f>
        <v>3651.48</v>
      </c>
      <c r="G2372" s="4">
        <f>[1]Raw_Data!G2370</f>
        <v>0.04</v>
      </c>
      <c r="H2372" s="3">
        <f>[1]Raw_Data!H2370</f>
        <v>0</v>
      </c>
      <c r="I2372" s="3" t="str">
        <f>TRIM([1]Raw_Data!I2370)</f>
        <v>Canada</v>
      </c>
      <c r="J2372" s="3" t="str">
        <f>TRIM([1]Raw_Data!J2370)</f>
        <v>iHerb</v>
      </c>
      <c r="K2372" s="3">
        <f t="shared" ref="K2372:K2435" si="148">YEAR(A2372)</f>
        <v>2022</v>
      </c>
      <c r="L2372" s="6">
        <f t="shared" ref="L2372:L2435" si="149">DATE(YEAR(A2372),MONTH(A2372),1)</f>
        <v>44866</v>
      </c>
      <c r="M2372" s="3" t="str">
        <f t="shared" ref="M2372:M2435" si="150">IF(ROUND(G2372*100,0)&lt;=5,"0% to 5%",IF(ROUND(G2372*100,0)&lt;=10,"6% to 10%",IF(ROUND(G2372*100,0)&lt;=15,"11% to 15%",IF(ROUND(G2372*100,0)&lt;=20,"16% to 20%","21% to 25%"))))</f>
        <v>0% to 5%</v>
      </c>
      <c r="N2372" s="3" t="str">
        <f t="shared" ref="N2372:N2435" si="151">IF(ROUND(D2372*E2372,2)=ROUND(F2372,2),"OK","Check")</f>
        <v>OK</v>
      </c>
    </row>
    <row r="2373" spans="1:14" x14ac:dyDescent="0.3">
      <c r="A2373" s="2">
        <f>DATE(VALUE(RIGHT(TRIM([1]Raw_Data!A2371),4)),VALUE(MID(TRIM([1]Raw_Data!A2371),4,2)),VALUE(LEFT(TRIM([1]Raw_Data!A2371),2)))</f>
        <v>44872</v>
      </c>
      <c r="B2373" s="3" t="str">
        <f>TRIM([1]Raw_Data!B2371)</f>
        <v>Vitamin C</v>
      </c>
      <c r="C2373" s="3" t="str">
        <f>TRIM([1]Raw_Data!C2371)</f>
        <v>Vitamin</v>
      </c>
      <c r="D2373" s="3">
        <f>[1]Raw_Data!D2371</f>
        <v>134</v>
      </c>
      <c r="E2373" s="4">
        <f>[1]Raw_Data!E2371</f>
        <v>22.03</v>
      </c>
      <c r="F2373" s="5">
        <f>[1]Raw_Data!F2371</f>
        <v>2952.02</v>
      </c>
      <c r="G2373" s="4">
        <f>[1]Raw_Data!G2371</f>
        <v>0.08</v>
      </c>
      <c r="H2373" s="3">
        <f>[1]Raw_Data!H2371</f>
        <v>4</v>
      </c>
      <c r="I2373" s="3" t="str">
        <f>TRIM([1]Raw_Data!I2371)</f>
        <v>Canada</v>
      </c>
      <c r="J2373" s="3" t="str">
        <f>TRIM([1]Raw_Data!J2371)</f>
        <v>Walmart</v>
      </c>
      <c r="K2373" s="3">
        <f t="shared" si="148"/>
        <v>2022</v>
      </c>
      <c r="L2373" s="6">
        <f t="shared" si="149"/>
        <v>44866</v>
      </c>
      <c r="M2373" s="3" t="str">
        <f t="shared" si="150"/>
        <v>6% to 10%</v>
      </c>
      <c r="N2373" s="3" t="str">
        <f t="shared" si="151"/>
        <v>OK</v>
      </c>
    </row>
    <row r="2374" spans="1:14" x14ac:dyDescent="0.3">
      <c r="A2374" s="2">
        <f>DATE(VALUE(RIGHT(TRIM([1]Raw_Data!A2372),4)),VALUE(MID(TRIM([1]Raw_Data!A2372),4,2)),VALUE(LEFT(TRIM([1]Raw_Data!A2372),2)))</f>
        <v>44872</v>
      </c>
      <c r="B2374" s="3" t="str">
        <f>TRIM([1]Raw_Data!B2372)</f>
        <v>Fish Oil</v>
      </c>
      <c r="C2374" s="3" t="str">
        <f>TRIM([1]Raw_Data!C2372)</f>
        <v>Omega</v>
      </c>
      <c r="D2374" s="3">
        <f>[1]Raw_Data!D2372</f>
        <v>145</v>
      </c>
      <c r="E2374" s="4">
        <f>[1]Raw_Data!E2372</f>
        <v>26.23</v>
      </c>
      <c r="F2374" s="5">
        <f>[1]Raw_Data!F2372</f>
        <v>3803.35</v>
      </c>
      <c r="G2374" s="4">
        <f>[1]Raw_Data!G2372</f>
        <v>0.05</v>
      </c>
      <c r="H2374" s="3">
        <f>[1]Raw_Data!H2372</f>
        <v>0</v>
      </c>
      <c r="I2374" s="3" t="str">
        <f>TRIM([1]Raw_Data!I2372)</f>
        <v>Canada</v>
      </c>
      <c r="J2374" s="3" t="str">
        <f>TRIM([1]Raw_Data!J2372)</f>
        <v>Amazon</v>
      </c>
      <c r="K2374" s="3">
        <f t="shared" si="148"/>
        <v>2022</v>
      </c>
      <c r="L2374" s="6">
        <f t="shared" si="149"/>
        <v>44866</v>
      </c>
      <c r="M2374" s="3" t="str">
        <f t="shared" si="150"/>
        <v>0% to 5%</v>
      </c>
      <c r="N2374" s="3" t="str">
        <f t="shared" si="151"/>
        <v>OK</v>
      </c>
    </row>
    <row r="2375" spans="1:14" x14ac:dyDescent="0.3">
      <c r="A2375" s="2">
        <f>DATE(VALUE(RIGHT(TRIM([1]Raw_Data!A2373),4)),VALUE(MID(TRIM([1]Raw_Data!A2373),4,2)),VALUE(LEFT(TRIM([1]Raw_Data!A2373),2)))</f>
        <v>44872</v>
      </c>
      <c r="B2375" s="3" t="str">
        <f>TRIM([1]Raw_Data!B2373)</f>
        <v>Multivitamin</v>
      </c>
      <c r="C2375" s="3" t="str">
        <f>TRIM([1]Raw_Data!C2373)</f>
        <v>Vitamin</v>
      </c>
      <c r="D2375" s="3">
        <f>[1]Raw_Data!D2373</f>
        <v>121</v>
      </c>
      <c r="E2375" s="4">
        <f>[1]Raw_Data!E2373</f>
        <v>31.18</v>
      </c>
      <c r="F2375" s="5">
        <f>[1]Raw_Data!F2373</f>
        <v>3772.78</v>
      </c>
      <c r="G2375" s="4">
        <f>[1]Raw_Data!G2373</f>
        <v>0.05</v>
      </c>
      <c r="H2375" s="3">
        <f>[1]Raw_Data!H2373</f>
        <v>1</v>
      </c>
      <c r="I2375" s="3" t="str">
        <f>TRIM([1]Raw_Data!I2373)</f>
        <v>UK</v>
      </c>
      <c r="J2375" s="3" t="str">
        <f>TRIM([1]Raw_Data!J2373)</f>
        <v>Walmart</v>
      </c>
      <c r="K2375" s="3">
        <f t="shared" si="148"/>
        <v>2022</v>
      </c>
      <c r="L2375" s="6">
        <f t="shared" si="149"/>
        <v>44866</v>
      </c>
      <c r="M2375" s="3" t="str">
        <f t="shared" si="150"/>
        <v>0% to 5%</v>
      </c>
      <c r="N2375" s="3" t="str">
        <f t="shared" si="151"/>
        <v>OK</v>
      </c>
    </row>
    <row r="2376" spans="1:14" x14ac:dyDescent="0.3">
      <c r="A2376" s="2">
        <f>DATE(VALUE(RIGHT(TRIM([1]Raw_Data!A2374),4)),VALUE(MID(TRIM([1]Raw_Data!A2374),4,2)),VALUE(LEFT(TRIM([1]Raw_Data!A2374),2)))</f>
        <v>44872</v>
      </c>
      <c r="B2376" s="3" t="str">
        <f>TRIM([1]Raw_Data!B2374)</f>
        <v>Pre-Workout</v>
      </c>
      <c r="C2376" s="3" t="str">
        <f>TRIM([1]Raw_Data!C2374)</f>
        <v>Performance</v>
      </c>
      <c r="D2376" s="3">
        <f>[1]Raw_Data!D2374</f>
        <v>134</v>
      </c>
      <c r="E2376" s="4">
        <f>[1]Raw_Data!E2374</f>
        <v>23.58</v>
      </c>
      <c r="F2376" s="5">
        <f>[1]Raw_Data!F2374</f>
        <v>3159.72</v>
      </c>
      <c r="G2376" s="4">
        <f>[1]Raw_Data!G2374</f>
        <v>0.09</v>
      </c>
      <c r="H2376" s="3">
        <f>[1]Raw_Data!H2374</f>
        <v>0</v>
      </c>
      <c r="I2376" s="3" t="str">
        <f>TRIM([1]Raw_Data!I2374)</f>
        <v>Canada</v>
      </c>
      <c r="J2376" s="3" t="str">
        <f>TRIM([1]Raw_Data!J2374)</f>
        <v>Amazon</v>
      </c>
      <c r="K2376" s="3">
        <f t="shared" si="148"/>
        <v>2022</v>
      </c>
      <c r="L2376" s="6">
        <f t="shared" si="149"/>
        <v>44866</v>
      </c>
      <c r="M2376" s="3" t="str">
        <f t="shared" si="150"/>
        <v>6% to 10%</v>
      </c>
      <c r="N2376" s="3" t="str">
        <f t="shared" si="151"/>
        <v>OK</v>
      </c>
    </row>
    <row r="2377" spans="1:14" x14ac:dyDescent="0.3">
      <c r="A2377" s="2">
        <f>DATE(VALUE(RIGHT(TRIM([1]Raw_Data!A2375),4)),VALUE(MID(TRIM([1]Raw_Data!A2375),4,2)),VALUE(LEFT(TRIM([1]Raw_Data!A2375),2)))</f>
        <v>44872</v>
      </c>
      <c r="B2377" s="3" t="str">
        <f>TRIM([1]Raw_Data!B2375)</f>
        <v>BCAA</v>
      </c>
      <c r="C2377" s="3" t="str">
        <f>TRIM([1]Raw_Data!C2375)</f>
        <v>Amino Acid</v>
      </c>
      <c r="D2377" s="3">
        <f>[1]Raw_Data!D2375</f>
        <v>147</v>
      </c>
      <c r="E2377" s="4">
        <f>[1]Raw_Data!E2375</f>
        <v>26.44</v>
      </c>
      <c r="F2377" s="5">
        <f>[1]Raw_Data!F2375</f>
        <v>3886.68</v>
      </c>
      <c r="G2377" s="4">
        <f>[1]Raw_Data!G2375</f>
        <v>0.22</v>
      </c>
      <c r="H2377" s="3">
        <f>[1]Raw_Data!H2375</f>
        <v>3</v>
      </c>
      <c r="I2377" s="3" t="str">
        <f>TRIM([1]Raw_Data!I2375)</f>
        <v>Canada</v>
      </c>
      <c r="J2377" s="3" t="str">
        <f>TRIM([1]Raw_Data!J2375)</f>
        <v>iHerb</v>
      </c>
      <c r="K2377" s="3">
        <f t="shared" si="148"/>
        <v>2022</v>
      </c>
      <c r="L2377" s="6">
        <f t="shared" si="149"/>
        <v>44866</v>
      </c>
      <c r="M2377" s="3" t="str">
        <f t="shared" si="150"/>
        <v>21% to 25%</v>
      </c>
      <c r="N2377" s="3" t="str">
        <f t="shared" si="151"/>
        <v>OK</v>
      </c>
    </row>
    <row r="2378" spans="1:14" x14ac:dyDescent="0.3">
      <c r="A2378" s="2">
        <f>DATE(VALUE(RIGHT(TRIM([1]Raw_Data!A2376),4)),VALUE(MID(TRIM([1]Raw_Data!A2376),4,2)),VALUE(LEFT(TRIM([1]Raw_Data!A2376),2)))</f>
        <v>44872</v>
      </c>
      <c r="B2378" s="3" t="str">
        <f>TRIM([1]Raw_Data!B2376)</f>
        <v>Creatine</v>
      </c>
      <c r="C2378" s="3" t="str">
        <f>TRIM([1]Raw_Data!C2376)</f>
        <v>Performance</v>
      </c>
      <c r="D2378" s="3">
        <f>[1]Raw_Data!D2376</f>
        <v>156</v>
      </c>
      <c r="E2378" s="4">
        <f>[1]Raw_Data!E2376</f>
        <v>13.78</v>
      </c>
      <c r="F2378" s="5">
        <f>[1]Raw_Data!F2376</f>
        <v>2149.6799999999998</v>
      </c>
      <c r="G2378" s="4">
        <f>[1]Raw_Data!G2376</f>
        <v>0.12</v>
      </c>
      <c r="H2378" s="3">
        <f>[1]Raw_Data!H2376</f>
        <v>5</v>
      </c>
      <c r="I2378" s="3" t="str">
        <f>TRIM([1]Raw_Data!I2376)</f>
        <v>UK</v>
      </c>
      <c r="J2378" s="3" t="str">
        <f>TRIM([1]Raw_Data!J2376)</f>
        <v>Amazon</v>
      </c>
      <c r="K2378" s="3">
        <f t="shared" si="148"/>
        <v>2022</v>
      </c>
      <c r="L2378" s="6">
        <f t="shared" si="149"/>
        <v>44866</v>
      </c>
      <c r="M2378" s="3" t="str">
        <f t="shared" si="150"/>
        <v>11% to 15%</v>
      </c>
      <c r="N2378" s="3" t="str">
        <f t="shared" si="151"/>
        <v>OK</v>
      </c>
    </row>
    <row r="2379" spans="1:14" x14ac:dyDescent="0.3">
      <c r="A2379" s="2">
        <f>DATE(VALUE(RIGHT(TRIM([1]Raw_Data!A2377),4)),VALUE(MID(TRIM([1]Raw_Data!A2377),4,2)),VALUE(LEFT(TRIM([1]Raw_Data!A2377),2)))</f>
        <v>44872</v>
      </c>
      <c r="B2379" s="3" t="str">
        <f>TRIM([1]Raw_Data!B2377)</f>
        <v>Zinc</v>
      </c>
      <c r="C2379" s="3" t="str">
        <f>TRIM([1]Raw_Data!C2377)</f>
        <v>Mineral</v>
      </c>
      <c r="D2379" s="3">
        <f>[1]Raw_Data!D2377</f>
        <v>158</v>
      </c>
      <c r="E2379" s="4">
        <f>[1]Raw_Data!E2377</f>
        <v>36.159999999999997</v>
      </c>
      <c r="F2379" s="5">
        <f>[1]Raw_Data!F2377</f>
        <v>5713.28</v>
      </c>
      <c r="G2379" s="4">
        <f>[1]Raw_Data!G2377</f>
        <v>0.23</v>
      </c>
      <c r="H2379" s="3">
        <f>[1]Raw_Data!H2377</f>
        <v>3</v>
      </c>
      <c r="I2379" s="3" t="str">
        <f>TRIM([1]Raw_Data!I2377)</f>
        <v>USA</v>
      </c>
      <c r="J2379" s="3" t="str">
        <f>TRIM([1]Raw_Data!J2377)</f>
        <v>Amazon</v>
      </c>
      <c r="K2379" s="3">
        <f t="shared" si="148"/>
        <v>2022</v>
      </c>
      <c r="L2379" s="6">
        <f t="shared" si="149"/>
        <v>44866</v>
      </c>
      <c r="M2379" s="3" t="str">
        <f t="shared" si="150"/>
        <v>21% to 25%</v>
      </c>
      <c r="N2379" s="3" t="str">
        <f t="shared" si="151"/>
        <v>OK</v>
      </c>
    </row>
    <row r="2380" spans="1:14" x14ac:dyDescent="0.3">
      <c r="A2380" s="2">
        <f>DATE(VALUE(RIGHT(TRIM([1]Raw_Data!A2378),4)),VALUE(MID(TRIM([1]Raw_Data!A2378),4,2)),VALUE(LEFT(TRIM([1]Raw_Data!A2378),2)))</f>
        <v>44872</v>
      </c>
      <c r="B2380" s="3" t="str">
        <f>TRIM([1]Raw_Data!B2378)</f>
        <v>Collagen Peptides</v>
      </c>
      <c r="C2380" s="3" t="str">
        <f>TRIM([1]Raw_Data!C2378)</f>
        <v>Protein</v>
      </c>
      <c r="D2380" s="3">
        <f>[1]Raw_Data!D2378</f>
        <v>164</v>
      </c>
      <c r="E2380" s="4">
        <f>[1]Raw_Data!E2378</f>
        <v>25.23</v>
      </c>
      <c r="F2380" s="5">
        <f>[1]Raw_Data!F2378</f>
        <v>4137.72</v>
      </c>
      <c r="G2380" s="4">
        <f>[1]Raw_Data!G2378</f>
        <v>0.01</v>
      </c>
      <c r="H2380" s="3">
        <f>[1]Raw_Data!H2378</f>
        <v>4</v>
      </c>
      <c r="I2380" s="3" t="str">
        <f>TRIM([1]Raw_Data!I2378)</f>
        <v>UK</v>
      </c>
      <c r="J2380" s="3" t="str">
        <f>TRIM([1]Raw_Data!J2378)</f>
        <v>iHerb</v>
      </c>
      <c r="K2380" s="3">
        <f t="shared" si="148"/>
        <v>2022</v>
      </c>
      <c r="L2380" s="6">
        <f t="shared" si="149"/>
        <v>44866</v>
      </c>
      <c r="M2380" s="3" t="str">
        <f t="shared" si="150"/>
        <v>0% to 5%</v>
      </c>
      <c r="N2380" s="3" t="str">
        <f t="shared" si="151"/>
        <v>OK</v>
      </c>
    </row>
    <row r="2381" spans="1:14" x14ac:dyDescent="0.3">
      <c r="A2381" s="2">
        <f>DATE(VALUE(RIGHT(TRIM([1]Raw_Data!A2379),4)),VALUE(MID(TRIM([1]Raw_Data!A2379),4,2)),VALUE(LEFT(TRIM([1]Raw_Data!A2379),2)))</f>
        <v>44872</v>
      </c>
      <c r="B2381" s="3" t="str">
        <f>TRIM([1]Raw_Data!B2379)</f>
        <v>Magnesium</v>
      </c>
      <c r="C2381" s="3" t="str">
        <f>TRIM([1]Raw_Data!C2379)</f>
        <v>Mineral</v>
      </c>
      <c r="D2381" s="3">
        <f>[1]Raw_Data!D2379</f>
        <v>153</v>
      </c>
      <c r="E2381" s="4">
        <f>[1]Raw_Data!E2379</f>
        <v>17.46</v>
      </c>
      <c r="F2381" s="5">
        <f>[1]Raw_Data!F2379</f>
        <v>2671.38</v>
      </c>
      <c r="G2381" s="4">
        <f>[1]Raw_Data!G2379</f>
        <v>0.21</v>
      </c>
      <c r="H2381" s="3">
        <f>[1]Raw_Data!H2379</f>
        <v>3</v>
      </c>
      <c r="I2381" s="3" t="str">
        <f>TRIM([1]Raw_Data!I2379)</f>
        <v>UK</v>
      </c>
      <c r="J2381" s="3" t="str">
        <f>TRIM([1]Raw_Data!J2379)</f>
        <v>iHerb</v>
      </c>
      <c r="K2381" s="3">
        <f t="shared" si="148"/>
        <v>2022</v>
      </c>
      <c r="L2381" s="6">
        <f t="shared" si="149"/>
        <v>44866</v>
      </c>
      <c r="M2381" s="3" t="str">
        <f t="shared" si="150"/>
        <v>21% to 25%</v>
      </c>
      <c r="N2381" s="3" t="str">
        <f t="shared" si="151"/>
        <v>OK</v>
      </c>
    </row>
    <row r="2382" spans="1:14" x14ac:dyDescent="0.3">
      <c r="A2382" s="2">
        <f>DATE(VALUE(RIGHT(TRIM([1]Raw_Data!A2380),4)),VALUE(MID(TRIM([1]Raw_Data!A2380),4,2)),VALUE(LEFT(TRIM([1]Raw_Data!A2380),2)))</f>
        <v>44872</v>
      </c>
      <c r="B2382" s="3" t="str">
        <f>TRIM([1]Raw_Data!B2380)</f>
        <v>Ashwagandha</v>
      </c>
      <c r="C2382" s="3" t="str">
        <f>TRIM([1]Raw_Data!C2380)</f>
        <v>Herbal</v>
      </c>
      <c r="D2382" s="3">
        <f>[1]Raw_Data!D2380</f>
        <v>162</v>
      </c>
      <c r="E2382" s="4">
        <f>[1]Raw_Data!E2380</f>
        <v>28.3</v>
      </c>
      <c r="F2382" s="5">
        <f>[1]Raw_Data!F2380</f>
        <v>4584.6000000000004</v>
      </c>
      <c r="G2382" s="4">
        <f>[1]Raw_Data!G2380</f>
        <v>0.08</v>
      </c>
      <c r="H2382" s="3">
        <f>[1]Raw_Data!H2380</f>
        <v>0</v>
      </c>
      <c r="I2382" s="3" t="str">
        <f>TRIM([1]Raw_Data!I2380)</f>
        <v>Canada</v>
      </c>
      <c r="J2382" s="3" t="str">
        <f>TRIM([1]Raw_Data!J2380)</f>
        <v>iHerb</v>
      </c>
      <c r="K2382" s="3">
        <f t="shared" si="148"/>
        <v>2022</v>
      </c>
      <c r="L2382" s="6">
        <f t="shared" si="149"/>
        <v>44866</v>
      </c>
      <c r="M2382" s="3" t="str">
        <f t="shared" si="150"/>
        <v>6% to 10%</v>
      </c>
      <c r="N2382" s="3" t="str">
        <f t="shared" si="151"/>
        <v>OK</v>
      </c>
    </row>
    <row r="2383" spans="1:14" x14ac:dyDescent="0.3">
      <c r="A2383" s="2">
        <f>DATE(VALUE(RIGHT(TRIM([1]Raw_Data!A2381),4)),VALUE(MID(TRIM([1]Raw_Data!A2381),4,2)),VALUE(LEFT(TRIM([1]Raw_Data!A2381),2)))</f>
        <v>44872</v>
      </c>
      <c r="B2383" s="3" t="str">
        <f>TRIM([1]Raw_Data!B2381)</f>
        <v>Melatonin</v>
      </c>
      <c r="C2383" s="3" t="str">
        <f>TRIM([1]Raw_Data!C2381)</f>
        <v>Sleep Aid</v>
      </c>
      <c r="D2383" s="3">
        <f>[1]Raw_Data!D2381</f>
        <v>164</v>
      </c>
      <c r="E2383" s="4">
        <f>[1]Raw_Data!E2381</f>
        <v>41.54</v>
      </c>
      <c r="F2383" s="5">
        <f>[1]Raw_Data!F2381</f>
        <v>6812.56</v>
      </c>
      <c r="G2383" s="4">
        <f>[1]Raw_Data!G2381</f>
        <v>0.13</v>
      </c>
      <c r="H2383" s="3">
        <f>[1]Raw_Data!H2381</f>
        <v>2</v>
      </c>
      <c r="I2383" s="3" t="str">
        <f>TRIM([1]Raw_Data!I2381)</f>
        <v>Canada</v>
      </c>
      <c r="J2383" s="3" t="str">
        <f>TRIM([1]Raw_Data!J2381)</f>
        <v>Walmart</v>
      </c>
      <c r="K2383" s="3">
        <f t="shared" si="148"/>
        <v>2022</v>
      </c>
      <c r="L2383" s="6">
        <f t="shared" si="149"/>
        <v>44866</v>
      </c>
      <c r="M2383" s="3" t="str">
        <f t="shared" si="150"/>
        <v>11% to 15%</v>
      </c>
      <c r="N2383" s="3" t="str">
        <f t="shared" si="151"/>
        <v>OK</v>
      </c>
    </row>
    <row r="2384" spans="1:14" x14ac:dyDescent="0.3">
      <c r="A2384" s="2">
        <f>DATE(VALUE(RIGHT(TRIM([1]Raw_Data!A2382),4)),VALUE(MID(TRIM([1]Raw_Data!A2382),4,2)),VALUE(LEFT(TRIM([1]Raw_Data!A2382),2)))</f>
        <v>44872</v>
      </c>
      <c r="B2384" s="3" t="str">
        <f>TRIM([1]Raw_Data!B2382)</f>
        <v>Biotin</v>
      </c>
      <c r="C2384" s="3" t="str">
        <f>TRIM([1]Raw_Data!C2382)</f>
        <v>Vitamin</v>
      </c>
      <c r="D2384" s="3">
        <f>[1]Raw_Data!D2382</f>
        <v>172</v>
      </c>
      <c r="E2384" s="4">
        <f>[1]Raw_Data!E2382</f>
        <v>48.67</v>
      </c>
      <c r="F2384" s="5">
        <f>[1]Raw_Data!F2382</f>
        <v>8371.24</v>
      </c>
      <c r="G2384" s="4">
        <f>[1]Raw_Data!G2382</f>
        <v>0.01</v>
      </c>
      <c r="H2384" s="3">
        <f>[1]Raw_Data!H2382</f>
        <v>0</v>
      </c>
      <c r="I2384" s="3" t="str">
        <f>TRIM([1]Raw_Data!I2382)</f>
        <v>UK</v>
      </c>
      <c r="J2384" s="3" t="str">
        <f>TRIM([1]Raw_Data!J2382)</f>
        <v>iHerb</v>
      </c>
      <c r="K2384" s="3">
        <f t="shared" si="148"/>
        <v>2022</v>
      </c>
      <c r="L2384" s="6">
        <f t="shared" si="149"/>
        <v>44866</v>
      </c>
      <c r="M2384" s="3" t="str">
        <f t="shared" si="150"/>
        <v>0% to 5%</v>
      </c>
      <c r="N2384" s="3" t="str">
        <f t="shared" si="151"/>
        <v>OK</v>
      </c>
    </row>
    <row r="2385" spans="1:14" x14ac:dyDescent="0.3">
      <c r="A2385" s="2">
        <f>DATE(VALUE(RIGHT(TRIM([1]Raw_Data!A2383),4)),VALUE(MID(TRIM([1]Raw_Data!A2383),4,2)),VALUE(LEFT(TRIM([1]Raw_Data!A2383),2)))</f>
        <v>44872</v>
      </c>
      <c r="B2385" s="3" t="str">
        <f>TRIM([1]Raw_Data!B2383)</f>
        <v>Green Tea Extract</v>
      </c>
      <c r="C2385" s="3" t="str">
        <f>TRIM([1]Raw_Data!C2383)</f>
        <v>Fat Burner</v>
      </c>
      <c r="D2385" s="3">
        <f>[1]Raw_Data!D2383</f>
        <v>147</v>
      </c>
      <c r="E2385" s="4">
        <f>[1]Raw_Data!E2383</f>
        <v>49.46</v>
      </c>
      <c r="F2385" s="5">
        <f>[1]Raw_Data!F2383</f>
        <v>7270.62</v>
      </c>
      <c r="G2385" s="4">
        <f>[1]Raw_Data!G2383</f>
        <v>0.13</v>
      </c>
      <c r="H2385" s="3">
        <f>[1]Raw_Data!H2383</f>
        <v>0</v>
      </c>
      <c r="I2385" s="3" t="str">
        <f>TRIM([1]Raw_Data!I2383)</f>
        <v>USA</v>
      </c>
      <c r="J2385" s="3" t="str">
        <f>TRIM([1]Raw_Data!J2383)</f>
        <v>Walmart</v>
      </c>
      <c r="K2385" s="3">
        <f t="shared" si="148"/>
        <v>2022</v>
      </c>
      <c r="L2385" s="6">
        <f t="shared" si="149"/>
        <v>44866</v>
      </c>
      <c r="M2385" s="3" t="str">
        <f t="shared" si="150"/>
        <v>11% to 15%</v>
      </c>
      <c r="N2385" s="3" t="str">
        <f t="shared" si="151"/>
        <v>OK</v>
      </c>
    </row>
    <row r="2386" spans="1:14" x14ac:dyDescent="0.3">
      <c r="A2386" s="2">
        <f>DATE(VALUE(RIGHT(TRIM([1]Raw_Data!A2384),4)),VALUE(MID(TRIM([1]Raw_Data!A2384),4,2)),VALUE(LEFT(TRIM([1]Raw_Data!A2384),2)))</f>
        <v>44872</v>
      </c>
      <c r="B2386" s="3" t="str">
        <f>TRIM([1]Raw_Data!B2384)</f>
        <v>Iron Supplement</v>
      </c>
      <c r="C2386" s="3" t="str">
        <f>TRIM([1]Raw_Data!C2384)</f>
        <v>Mineral</v>
      </c>
      <c r="D2386" s="3">
        <f>[1]Raw_Data!D2384</f>
        <v>162</v>
      </c>
      <c r="E2386" s="4">
        <f>[1]Raw_Data!E2384</f>
        <v>37.729999999999997</v>
      </c>
      <c r="F2386" s="5">
        <f>[1]Raw_Data!F2384</f>
        <v>6112.26</v>
      </c>
      <c r="G2386" s="4">
        <f>[1]Raw_Data!G2384</f>
        <v>0.2</v>
      </c>
      <c r="H2386" s="3">
        <f>[1]Raw_Data!H2384</f>
        <v>2</v>
      </c>
      <c r="I2386" s="3" t="str">
        <f>TRIM([1]Raw_Data!I2384)</f>
        <v>USA</v>
      </c>
      <c r="J2386" s="3" t="str">
        <f>TRIM([1]Raw_Data!J2384)</f>
        <v>iHerb</v>
      </c>
      <c r="K2386" s="3">
        <f t="shared" si="148"/>
        <v>2022</v>
      </c>
      <c r="L2386" s="6">
        <f t="shared" si="149"/>
        <v>44866</v>
      </c>
      <c r="M2386" s="3" t="str">
        <f t="shared" si="150"/>
        <v>16% to 20%</v>
      </c>
      <c r="N2386" s="3" t="str">
        <f t="shared" si="151"/>
        <v>OK</v>
      </c>
    </row>
    <row r="2387" spans="1:14" x14ac:dyDescent="0.3">
      <c r="A2387" s="2">
        <f>DATE(VALUE(RIGHT(TRIM([1]Raw_Data!A2385),4)),VALUE(MID(TRIM([1]Raw_Data!A2385),4,2)),VALUE(LEFT(TRIM([1]Raw_Data!A2385),2)))</f>
        <v>44872</v>
      </c>
      <c r="B2387" s="3" t="str">
        <f>TRIM([1]Raw_Data!B2385)</f>
        <v>Electrolyte Powder</v>
      </c>
      <c r="C2387" s="3" t="str">
        <f>TRIM([1]Raw_Data!C2385)</f>
        <v>Hydration</v>
      </c>
      <c r="D2387" s="3">
        <f>[1]Raw_Data!D2385</f>
        <v>139</v>
      </c>
      <c r="E2387" s="4">
        <f>[1]Raw_Data!E2385</f>
        <v>41.41</v>
      </c>
      <c r="F2387" s="5">
        <f>[1]Raw_Data!F2385</f>
        <v>5755.99</v>
      </c>
      <c r="G2387" s="4">
        <f>[1]Raw_Data!G2385</f>
        <v>0.18</v>
      </c>
      <c r="H2387" s="3">
        <f>[1]Raw_Data!H2385</f>
        <v>2</v>
      </c>
      <c r="I2387" s="3" t="str">
        <f>TRIM([1]Raw_Data!I2385)</f>
        <v>UK</v>
      </c>
      <c r="J2387" s="3" t="str">
        <f>TRIM([1]Raw_Data!J2385)</f>
        <v>Walmart</v>
      </c>
      <c r="K2387" s="3">
        <f t="shared" si="148"/>
        <v>2022</v>
      </c>
      <c r="L2387" s="6">
        <f t="shared" si="149"/>
        <v>44866</v>
      </c>
      <c r="M2387" s="3" t="str">
        <f t="shared" si="150"/>
        <v>16% to 20%</v>
      </c>
      <c r="N2387" s="3" t="str">
        <f t="shared" si="151"/>
        <v>OK</v>
      </c>
    </row>
    <row r="2388" spans="1:14" x14ac:dyDescent="0.3">
      <c r="A2388" s="2">
        <f>DATE(VALUE(RIGHT(TRIM([1]Raw_Data!A2386),4)),VALUE(MID(TRIM([1]Raw_Data!A2386),4,2)),VALUE(LEFT(TRIM([1]Raw_Data!A2386),2)))</f>
        <v>44879</v>
      </c>
      <c r="B2388" s="3" t="str">
        <f>TRIM([1]Raw_Data!B2386)</f>
        <v>Whey Protein</v>
      </c>
      <c r="C2388" s="3" t="str">
        <f>TRIM([1]Raw_Data!C2386)</f>
        <v>Protein</v>
      </c>
      <c r="D2388" s="3">
        <f>[1]Raw_Data!D2386</f>
        <v>187</v>
      </c>
      <c r="E2388" s="4">
        <f>[1]Raw_Data!E2386</f>
        <v>57.55</v>
      </c>
      <c r="F2388" s="5">
        <f>[1]Raw_Data!F2386</f>
        <v>10761.85</v>
      </c>
      <c r="G2388" s="4">
        <f>[1]Raw_Data!G2386</f>
        <v>0.13</v>
      </c>
      <c r="H2388" s="3">
        <f>[1]Raw_Data!H2386</f>
        <v>2</v>
      </c>
      <c r="I2388" s="3" t="str">
        <f>TRIM([1]Raw_Data!I2386)</f>
        <v>USA</v>
      </c>
      <c r="J2388" s="3" t="str">
        <f>TRIM([1]Raw_Data!J2386)</f>
        <v>Amazon</v>
      </c>
      <c r="K2388" s="3">
        <f t="shared" si="148"/>
        <v>2022</v>
      </c>
      <c r="L2388" s="6">
        <f t="shared" si="149"/>
        <v>44866</v>
      </c>
      <c r="M2388" s="3" t="str">
        <f t="shared" si="150"/>
        <v>11% to 15%</v>
      </c>
      <c r="N2388" s="3" t="str">
        <f t="shared" si="151"/>
        <v>OK</v>
      </c>
    </row>
    <row r="2389" spans="1:14" x14ac:dyDescent="0.3">
      <c r="A2389" s="2">
        <f>DATE(VALUE(RIGHT(TRIM([1]Raw_Data!A2387),4)),VALUE(MID(TRIM([1]Raw_Data!A2387),4,2)),VALUE(LEFT(TRIM([1]Raw_Data!A2387),2)))</f>
        <v>44879</v>
      </c>
      <c r="B2389" s="3" t="str">
        <f>TRIM([1]Raw_Data!B2387)</f>
        <v>Vitamin C</v>
      </c>
      <c r="C2389" s="3" t="str">
        <f>TRIM([1]Raw_Data!C2387)</f>
        <v>Vitamin</v>
      </c>
      <c r="D2389" s="3">
        <f>[1]Raw_Data!D2387</f>
        <v>131</v>
      </c>
      <c r="E2389" s="4">
        <f>[1]Raw_Data!E2387</f>
        <v>48.47</v>
      </c>
      <c r="F2389" s="5">
        <f>[1]Raw_Data!F2387</f>
        <v>6349.57</v>
      </c>
      <c r="G2389" s="4">
        <f>[1]Raw_Data!G2387</f>
        <v>0.18</v>
      </c>
      <c r="H2389" s="3">
        <f>[1]Raw_Data!H2387</f>
        <v>0</v>
      </c>
      <c r="I2389" s="3" t="str">
        <f>TRIM([1]Raw_Data!I2387)</f>
        <v>UK</v>
      </c>
      <c r="J2389" s="3" t="str">
        <f>TRIM([1]Raw_Data!J2387)</f>
        <v>Walmart</v>
      </c>
      <c r="K2389" s="3">
        <f t="shared" si="148"/>
        <v>2022</v>
      </c>
      <c r="L2389" s="6">
        <f t="shared" si="149"/>
        <v>44866</v>
      </c>
      <c r="M2389" s="3" t="str">
        <f t="shared" si="150"/>
        <v>16% to 20%</v>
      </c>
      <c r="N2389" s="3" t="str">
        <f t="shared" si="151"/>
        <v>OK</v>
      </c>
    </row>
    <row r="2390" spans="1:14" x14ac:dyDescent="0.3">
      <c r="A2390" s="2">
        <f>DATE(VALUE(RIGHT(TRIM([1]Raw_Data!A2388),4)),VALUE(MID(TRIM([1]Raw_Data!A2388),4,2)),VALUE(LEFT(TRIM([1]Raw_Data!A2388),2)))</f>
        <v>44879</v>
      </c>
      <c r="B2390" s="3" t="str">
        <f>TRIM([1]Raw_Data!B2388)</f>
        <v>Fish Oil</v>
      </c>
      <c r="C2390" s="3" t="str">
        <f>TRIM([1]Raw_Data!C2388)</f>
        <v>Omega</v>
      </c>
      <c r="D2390" s="3">
        <f>[1]Raw_Data!D2388</f>
        <v>152</v>
      </c>
      <c r="E2390" s="4">
        <f>[1]Raw_Data!E2388</f>
        <v>59.79</v>
      </c>
      <c r="F2390" s="5">
        <f>[1]Raw_Data!F2388</f>
        <v>9088.08</v>
      </c>
      <c r="G2390" s="4">
        <f>[1]Raw_Data!G2388</f>
        <v>0.22</v>
      </c>
      <c r="H2390" s="3">
        <f>[1]Raw_Data!H2388</f>
        <v>0</v>
      </c>
      <c r="I2390" s="3" t="str">
        <f>TRIM([1]Raw_Data!I2388)</f>
        <v>Canada</v>
      </c>
      <c r="J2390" s="3" t="str">
        <f>TRIM([1]Raw_Data!J2388)</f>
        <v>Walmart</v>
      </c>
      <c r="K2390" s="3">
        <f t="shared" si="148"/>
        <v>2022</v>
      </c>
      <c r="L2390" s="6">
        <f t="shared" si="149"/>
        <v>44866</v>
      </c>
      <c r="M2390" s="3" t="str">
        <f t="shared" si="150"/>
        <v>21% to 25%</v>
      </c>
      <c r="N2390" s="3" t="str">
        <f t="shared" si="151"/>
        <v>OK</v>
      </c>
    </row>
    <row r="2391" spans="1:14" x14ac:dyDescent="0.3">
      <c r="A2391" s="2">
        <f>DATE(VALUE(RIGHT(TRIM([1]Raw_Data!A2389),4)),VALUE(MID(TRIM([1]Raw_Data!A2389),4,2)),VALUE(LEFT(TRIM([1]Raw_Data!A2389),2)))</f>
        <v>44879</v>
      </c>
      <c r="B2391" s="3" t="str">
        <f>TRIM([1]Raw_Data!B2389)</f>
        <v>Multivitamin</v>
      </c>
      <c r="C2391" s="3" t="str">
        <f>TRIM([1]Raw_Data!C2389)</f>
        <v>Vitamin</v>
      </c>
      <c r="D2391" s="3">
        <f>[1]Raw_Data!D2389</f>
        <v>145</v>
      </c>
      <c r="E2391" s="4">
        <f>[1]Raw_Data!E2389</f>
        <v>32.11</v>
      </c>
      <c r="F2391" s="5">
        <f>[1]Raw_Data!F2389</f>
        <v>4655.95</v>
      </c>
      <c r="G2391" s="4">
        <f>[1]Raw_Data!G2389</f>
        <v>0.16</v>
      </c>
      <c r="H2391" s="3">
        <f>[1]Raw_Data!H2389</f>
        <v>1</v>
      </c>
      <c r="I2391" s="3" t="str">
        <f>TRIM([1]Raw_Data!I2389)</f>
        <v>Canada</v>
      </c>
      <c r="J2391" s="3" t="str">
        <f>TRIM([1]Raw_Data!J2389)</f>
        <v>Walmart</v>
      </c>
      <c r="K2391" s="3">
        <f t="shared" si="148"/>
        <v>2022</v>
      </c>
      <c r="L2391" s="6">
        <f t="shared" si="149"/>
        <v>44866</v>
      </c>
      <c r="M2391" s="3" t="str">
        <f t="shared" si="150"/>
        <v>16% to 20%</v>
      </c>
      <c r="N2391" s="3" t="str">
        <f t="shared" si="151"/>
        <v>OK</v>
      </c>
    </row>
    <row r="2392" spans="1:14" x14ac:dyDescent="0.3">
      <c r="A2392" s="2">
        <f>DATE(VALUE(RIGHT(TRIM([1]Raw_Data!A2390),4)),VALUE(MID(TRIM([1]Raw_Data!A2390),4,2)),VALUE(LEFT(TRIM([1]Raw_Data!A2390),2)))</f>
        <v>44879</v>
      </c>
      <c r="B2392" s="3" t="str">
        <f>TRIM([1]Raw_Data!B2390)</f>
        <v>Pre-Workout</v>
      </c>
      <c r="C2392" s="3" t="str">
        <f>TRIM([1]Raw_Data!C2390)</f>
        <v>Performance</v>
      </c>
      <c r="D2392" s="3">
        <f>[1]Raw_Data!D2390</f>
        <v>143</v>
      </c>
      <c r="E2392" s="4">
        <f>[1]Raw_Data!E2390</f>
        <v>17.28</v>
      </c>
      <c r="F2392" s="5">
        <f>[1]Raw_Data!F2390</f>
        <v>2471.04</v>
      </c>
      <c r="G2392" s="4">
        <f>[1]Raw_Data!G2390</f>
        <v>0.21</v>
      </c>
      <c r="H2392" s="3">
        <f>[1]Raw_Data!H2390</f>
        <v>1</v>
      </c>
      <c r="I2392" s="3" t="str">
        <f>TRIM([1]Raw_Data!I2390)</f>
        <v>UK</v>
      </c>
      <c r="J2392" s="3" t="str">
        <f>TRIM([1]Raw_Data!J2390)</f>
        <v>Amazon</v>
      </c>
      <c r="K2392" s="3">
        <f t="shared" si="148"/>
        <v>2022</v>
      </c>
      <c r="L2392" s="6">
        <f t="shared" si="149"/>
        <v>44866</v>
      </c>
      <c r="M2392" s="3" t="str">
        <f t="shared" si="150"/>
        <v>21% to 25%</v>
      </c>
      <c r="N2392" s="3" t="str">
        <f t="shared" si="151"/>
        <v>OK</v>
      </c>
    </row>
    <row r="2393" spans="1:14" x14ac:dyDescent="0.3">
      <c r="A2393" s="2">
        <f>DATE(VALUE(RIGHT(TRIM([1]Raw_Data!A2391),4)),VALUE(MID(TRIM([1]Raw_Data!A2391),4,2)),VALUE(LEFT(TRIM([1]Raw_Data!A2391),2)))</f>
        <v>44879</v>
      </c>
      <c r="B2393" s="3" t="str">
        <f>TRIM([1]Raw_Data!B2391)</f>
        <v>BCAA</v>
      </c>
      <c r="C2393" s="3" t="str">
        <f>TRIM([1]Raw_Data!C2391)</f>
        <v>Amino Acid</v>
      </c>
      <c r="D2393" s="3">
        <f>[1]Raw_Data!D2391</f>
        <v>146</v>
      </c>
      <c r="E2393" s="4">
        <f>[1]Raw_Data!E2391</f>
        <v>34.83</v>
      </c>
      <c r="F2393" s="5">
        <f>[1]Raw_Data!F2391</f>
        <v>5085.18</v>
      </c>
      <c r="G2393" s="4">
        <f>[1]Raw_Data!G2391</f>
        <v>0.14000000000000001</v>
      </c>
      <c r="H2393" s="3">
        <f>[1]Raw_Data!H2391</f>
        <v>4</v>
      </c>
      <c r="I2393" s="3" t="str">
        <f>TRIM([1]Raw_Data!I2391)</f>
        <v>USA</v>
      </c>
      <c r="J2393" s="3" t="str">
        <f>TRIM([1]Raw_Data!J2391)</f>
        <v>Amazon</v>
      </c>
      <c r="K2393" s="3">
        <f t="shared" si="148"/>
        <v>2022</v>
      </c>
      <c r="L2393" s="6">
        <f t="shared" si="149"/>
        <v>44866</v>
      </c>
      <c r="M2393" s="3" t="str">
        <f t="shared" si="150"/>
        <v>11% to 15%</v>
      </c>
      <c r="N2393" s="3" t="str">
        <f t="shared" si="151"/>
        <v>OK</v>
      </c>
    </row>
    <row r="2394" spans="1:14" x14ac:dyDescent="0.3">
      <c r="A2394" s="2">
        <f>DATE(VALUE(RIGHT(TRIM([1]Raw_Data!A2392),4)),VALUE(MID(TRIM([1]Raw_Data!A2392),4,2)),VALUE(LEFT(TRIM([1]Raw_Data!A2392),2)))</f>
        <v>44879</v>
      </c>
      <c r="B2394" s="3" t="str">
        <f>TRIM([1]Raw_Data!B2392)</f>
        <v>Creatine</v>
      </c>
      <c r="C2394" s="3" t="str">
        <f>TRIM([1]Raw_Data!C2392)</f>
        <v>Performance</v>
      </c>
      <c r="D2394" s="3">
        <f>[1]Raw_Data!D2392</f>
        <v>167</v>
      </c>
      <c r="E2394" s="4">
        <f>[1]Raw_Data!E2392</f>
        <v>33.659999999999997</v>
      </c>
      <c r="F2394" s="5">
        <f>[1]Raw_Data!F2392</f>
        <v>5621.22</v>
      </c>
      <c r="G2394" s="4">
        <f>[1]Raw_Data!G2392</f>
        <v>0.24</v>
      </c>
      <c r="H2394" s="3">
        <f>[1]Raw_Data!H2392</f>
        <v>1</v>
      </c>
      <c r="I2394" s="3" t="str">
        <f>TRIM([1]Raw_Data!I2392)</f>
        <v>USA</v>
      </c>
      <c r="J2394" s="3" t="str">
        <f>TRIM([1]Raw_Data!J2392)</f>
        <v>iHerb</v>
      </c>
      <c r="K2394" s="3">
        <f t="shared" si="148"/>
        <v>2022</v>
      </c>
      <c r="L2394" s="6">
        <f t="shared" si="149"/>
        <v>44866</v>
      </c>
      <c r="M2394" s="3" t="str">
        <f t="shared" si="150"/>
        <v>21% to 25%</v>
      </c>
      <c r="N2394" s="3" t="str">
        <f t="shared" si="151"/>
        <v>OK</v>
      </c>
    </row>
    <row r="2395" spans="1:14" x14ac:dyDescent="0.3">
      <c r="A2395" s="2">
        <f>DATE(VALUE(RIGHT(TRIM([1]Raw_Data!A2393),4)),VALUE(MID(TRIM([1]Raw_Data!A2393),4,2)),VALUE(LEFT(TRIM([1]Raw_Data!A2393),2)))</f>
        <v>44879</v>
      </c>
      <c r="B2395" s="3" t="str">
        <f>TRIM([1]Raw_Data!B2393)</f>
        <v>Zinc</v>
      </c>
      <c r="C2395" s="3" t="str">
        <f>TRIM([1]Raw_Data!C2393)</f>
        <v>Mineral</v>
      </c>
      <c r="D2395" s="3">
        <f>[1]Raw_Data!D2393</f>
        <v>145</v>
      </c>
      <c r="E2395" s="4">
        <f>[1]Raw_Data!E2393</f>
        <v>15.72</v>
      </c>
      <c r="F2395" s="5">
        <f>[1]Raw_Data!F2393</f>
        <v>2279.4</v>
      </c>
      <c r="G2395" s="4">
        <f>[1]Raw_Data!G2393</f>
        <v>0.19</v>
      </c>
      <c r="H2395" s="3">
        <f>[1]Raw_Data!H2393</f>
        <v>2</v>
      </c>
      <c r="I2395" s="3" t="str">
        <f>TRIM([1]Raw_Data!I2393)</f>
        <v>Canada</v>
      </c>
      <c r="J2395" s="3" t="str">
        <f>TRIM([1]Raw_Data!J2393)</f>
        <v>iHerb</v>
      </c>
      <c r="K2395" s="3">
        <f t="shared" si="148"/>
        <v>2022</v>
      </c>
      <c r="L2395" s="6">
        <f t="shared" si="149"/>
        <v>44866</v>
      </c>
      <c r="M2395" s="3" t="str">
        <f t="shared" si="150"/>
        <v>16% to 20%</v>
      </c>
      <c r="N2395" s="3" t="str">
        <f t="shared" si="151"/>
        <v>OK</v>
      </c>
    </row>
    <row r="2396" spans="1:14" x14ac:dyDescent="0.3">
      <c r="A2396" s="2">
        <f>DATE(VALUE(RIGHT(TRIM([1]Raw_Data!A2394),4)),VALUE(MID(TRIM([1]Raw_Data!A2394),4,2)),VALUE(LEFT(TRIM([1]Raw_Data!A2394),2)))</f>
        <v>44879</v>
      </c>
      <c r="B2396" s="3" t="str">
        <f>TRIM([1]Raw_Data!B2394)</f>
        <v>Collagen Peptides</v>
      </c>
      <c r="C2396" s="3" t="str">
        <f>TRIM([1]Raw_Data!C2394)</f>
        <v>Protein</v>
      </c>
      <c r="D2396" s="3">
        <f>[1]Raw_Data!D2394</f>
        <v>140</v>
      </c>
      <c r="E2396" s="4">
        <f>[1]Raw_Data!E2394</f>
        <v>59.27</v>
      </c>
      <c r="F2396" s="5">
        <f>[1]Raw_Data!F2394</f>
        <v>8297.7999999999993</v>
      </c>
      <c r="G2396" s="4">
        <f>[1]Raw_Data!G2394</f>
        <v>0.09</v>
      </c>
      <c r="H2396" s="3">
        <f>[1]Raw_Data!H2394</f>
        <v>1</v>
      </c>
      <c r="I2396" s="3" t="str">
        <f>TRIM([1]Raw_Data!I2394)</f>
        <v>USA</v>
      </c>
      <c r="J2396" s="3" t="str">
        <f>TRIM([1]Raw_Data!J2394)</f>
        <v>Amazon</v>
      </c>
      <c r="K2396" s="3">
        <f t="shared" si="148"/>
        <v>2022</v>
      </c>
      <c r="L2396" s="6">
        <f t="shared" si="149"/>
        <v>44866</v>
      </c>
      <c r="M2396" s="3" t="str">
        <f t="shared" si="150"/>
        <v>6% to 10%</v>
      </c>
      <c r="N2396" s="3" t="str">
        <f t="shared" si="151"/>
        <v>OK</v>
      </c>
    </row>
    <row r="2397" spans="1:14" x14ac:dyDescent="0.3">
      <c r="A2397" s="2">
        <f>DATE(VALUE(RIGHT(TRIM([1]Raw_Data!A2395),4)),VALUE(MID(TRIM([1]Raw_Data!A2395),4,2)),VALUE(LEFT(TRIM([1]Raw_Data!A2395),2)))</f>
        <v>44879</v>
      </c>
      <c r="B2397" s="3" t="str">
        <f>TRIM([1]Raw_Data!B2395)</f>
        <v>Magnesium</v>
      </c>
      <c r="C2397" s="3" t="str">
        <f>TRIM([1]Raw_Data!C2395)</f>
        <v>Mineral</v>
      </c>
      <c r="D2397" s="3">
        <f>[1]Raw_Data!D2395</f>
        <v>169</v>
      </c>
      <c r="E2397" s="4">
        <f>[1]Raw_Data!E2395</f>
        <v>20.74</v>
      </c>
      <c r="F2397" s="5">
        <f>[1]Raw_Data!F2395</f>
        <v>3505.06</v>
      </c>
      <c r="G2397" s="4">
        <f>[1]Raw_Data!G2395</f>
        <v>0.22</v>
      </c>
      <c r="H2397" s="3">
        <f>[1]Raw_Data!H2395</f>
        <v>6</v>
      </c>
      <c r="I2397" s="3" t="str">
        <f>TRIM([1]Raw_Data!I2395)</f>
        <v>Canada</v>
      </c>
      <c r="J2397" s="3" t="str">
        <f>TRIM([1]Raw_Data!J2395)</f>
        <v>Walmart</v>
      </c>
      <c r="K2397" s="3">
        <f t="shared" si="148"/>
        <v>2022</v>
      </c>
      <c r="L2397" s="6">
        <f t="shared" si="149"/>
        <v>44866</v>
      </c>
      <c r="M2397" s="3" t="str">
        <f t="shared" si="150"/>
        <v>21% to 25%</v>
      </c>
      <c r="N2397" s="3" t="str">
        <f t="shared" si="151"/>
        <v>OK</v>
      </c>
    </row>
    <row r="2398" spans="1:14" x14ac:dyDescent="0.3">
      <c r="A2398" s="2">
        <f>DATE(VALUE(RIGHT(TRIM([1]Raw_Data!A2396),4)),VALUE(MID(TRIM([1]Raw_Data!A2396),4,2)),VALUE(LEFT(TRIM([1]Raw_Data!A2396),2)))</f>
        <v>44879</v>
      </c>
      <c r="B2398" s="3" t="str">
        <f>TRIM([1]Raw_Data!B2396)</f>
        <v>Ashwagandha</v>
      </c>
      <c r="C2398" s="3" t="str">
        <f>TRIM([1]Raw_Data!C2396)</f>
        <v>Herbal</v>
      </c>
      <c r="D2398" s="3">
        <f>[1]Raw_Data!D2396</f>
        <v>130</v>
      </c>
      <c r="E2398" s="4">
        <f>[1]Raw_Data!E2396</f>
        <v>29.53</v>
      </c>
      <c r="F2398" s="5">
        <f>[1]Raw_Data!F2396</f>
        <v>3838.9</v>
      </c>
      <c r="G2398" s="4">
        <f>[1]Raw_Data!G2396</f>
        <v>0.13</v>
      </c>
      <c r="H2398" s="3">
        <f>[1]Raw_Data!H2396</f>
        <v>3</v>
      </c>
      <c r="I2398" s="3" t="str">
        <f>TRIM([1]Raw_Data!I2396)</f>
        <v>Canada</v>
      </c>
      <c r="J2398" s="3" t="str">
        <f>TRIM([1]Raw_Data!J2396)</f>
        <v>iHerb</v>
      </c>
      <c r="K2398" s="3">
        <f t="shared" si="148"/>
        <v>2022</v>
      </c>
      <c r="L2398" s="6">
        <f t="shared" si="149"/>
        <v>44866</v>
      </c>
      <c r="M2398" s="3" t="str">
        <f t="shared" si="150"/>
        <v>11% to 15%</v>
      </c>
      <c r="N2398" s="3" t="str">
        <f t="shared" si="151"/>
        <v>OK</v>
      </c>
    </row>
    <row r="2399" spans="1:14" x14ac:dyDescent="0.3">
      <c r="A2399" s="2">
        <f>DATE(VALUE(RIGHT(TRIM([1]Raw_Data!A2397),4)),VALUE(MID(TRIM([1]Raw_Data!A2397),4,2)),VALUE(LEFT(TRIM([1]Raw_Data!A2397),2)))</f>
        <v>44879</v>
      </c>
      <c r="B2399" s="3" t="str">
        <f>TRIM([1]Raw_Data!B2397)</f>
        <v>Melatonin</v>
      </c>
      <c r="C2399" s="3" t="str">
        <f>TRIM([1]Raw_Data!C2397)</f>
        <v>Sleep Aid</v>
      </c>
      <c r="D2399" s="3">
        <f>[1]Raw_Data!D2397</f>
        <v>139</v>
      </c>
      <c r="E2399" s="4">
        <f>[1]Raw_Data!E2397</f>
        <v>38.090000000000003</v>
      </c>
      <c r="F2399" s="5">
        <f>[1]Raw_Data!F2397</f>
        <v>5294.51</v>
      </c>
      <c r="G2399" s="4">
        <f>[1]Raw_Data!G2397</f>
        <v>0</v>
      </c>
      <c r="H2399" s="3">
        <f>[1]Raw_Data!H2397</f>
        <v>1</v>
      </c>
      <c r="I2399" s="3" t="str">
        <f>TRIM([1]Raw_Data!I2397)</f>
        <v>USA</v>
      </c>
      <c r="J2399" s="3" t="str">
        <f>TRIM([1]Raw_Data!J2397)</f>
        <v>iHerb</v>
      </c>
      <c r="K2399" s="3">
        <f t="shared" si="148"/>
        <v>2022</v>
      </c>
      <c r="L2399" s="6">
        <f t="shared" si="149"/>
        <v>44866</v>
      </c>
      <c r="M2399" s="3" t="str">
        <f t="shared" si="150"/>
        <v>0% to 5%</v>
      </c>
      <c r="N2399" s="3" t="str">
        <f t="shared" si="151"/>
        <v>OK</v>
      </c>
    </row>
    <row r="2400" spans="1:14" x14ac:dyDescent="0.3">
      <c r="A2400" s="2">
        <f>DATE(VALUE(RIGHT(TRIM([1]Raw_Data!A2398),4)),VALUE(MID(TRIM([1]Raw_Data!A2398),4,2)),VALUE(LEFT(TRIM([1]Raw_Data!A2398),2)))</f>
        <v>44879</v>
      </c>
      <c r="B2400" s="3" t="str">
        <f>TRIM([1]Raw_Data!B2398)</f>
        <v>Biotin</v>
      </c>
      <c r="C2400" s="3" t="str">
        <f>TRIM([1]Raw_Data!C2398)</f>
        <v>Vitamin</v>
      </c>
      <c r="D2400" s="3">
        <f>[1]Raw_Data!D2398</f>
        <v>128</v>
      </c>
      <c r="E2400" s="4">
        <f>[1]Raw_Data!E2398</f>
        <v>12</v>
      </c>
      <c r="F2400" s="5">
        <f>[1]Raw_Data!F2398</f>
        <v>1536</v>
      </c>
      <c r="G2400" s="4">
        <f>[1]Raw_Data!G2398</f>
        <v>0.21</v>
      </c>
      <c r="H2400" s="3">
        <f>[1]Raw_Data!H2398</f>
        <v>0</v>
      </c>
      <c r="I2400" s="3" t="str">
        <f>TRIM([1]Raw_Data!I2398)</f>
        <v>Canada</v>
      </c>
      <c r="J2400" s="3" t="str">
        <f>TRIM([1]Raw_Data!J2398)</f>
        <v>Amazon</v>
      </c>
      <c r="K2400" s="3">
        <f t="shared" si="148"/>
        <v>2022</v>
      </c>
      <c r="L2400" s="6">
        <f t="shared" si="149"/>
        <v>44866</v>
      </c>
      <c r="M2400" s="3" t="str">
        <f t="shared" si="150"/>
        <v>21% to 25%</v>
      </c>
      <c r="N2400" s="3" t="str">
        <f t="shared" si="151"/>
        <v>OK</v>
      </c>
    </row>
    <row r="2401" spans="1:14" x14ac:dyDescent="0.3">
      <c r="A2401" s="2">
        <f>DATE(VALUE(RIGHT(TRIM([1]Raw_Data!A2399),4)),VALUE(MID(TRIM([1]Raw_Data!A2399),4,2)),VALUE(LEFT(TRIM([1]Raw_Data!A2399),2)))</f>
        <v>44879</v>
      </c>
      <c r="B2401" s="3" t="str">
        <f>TRIM([1]Raw_Data!B2399)</f>
        <v>Green Tea Extract</v>
      </c>
      <c r="C2401" s="3" t="str">
        <f>TRIM([1]Raw_Data!C2399)</f>
        <v>Fat Burner</v>
      </c>
      <c r="D2401" s="3">
        <f>[1]Raw_Data!D2399</f>
        <v>144</v>
      </c>
      <c r="E2401" s="4">
        <f>[1]Raw_Data!E2399</f>
        <v>47.31</v>
      </c>
      <c r="F2401" s="5">
        <f>[1]Raw_Data!F2399</f>
        <v>6812.64</v>
      </c>
      <c r="G2401" s="4">
        <f>[1]Raw_Data!G2399</f>
        <v>0.05</v>
      </c>
      <c r="H2401" s="3">
        <f>[1]Raw_Data!H2399</f>
        <v>0</v>
      </c>
      <c r="I2401" s="3" t="str">
        <f>TRIM([1]Raw_Data!I2399)</f>
        <v>Canada</v>
      </c>
      <c r="J2401" s="3" t="str">
        <f>TRIM([1]Raw_Data!J2399)</f>
        <v>Walmart</v>
      </c>
      <c r="K2401" s="3">
        <f t="shared" si="148"/>
        <v>2022</v>
      </c>
      <c r="L2401" s="6">
        <f t="shared" si="149"/>
        <v>44866</v>
      </c>
      <c r="M2401" s="3" t="str">
        <f t="shared" si="150"/>
        <v>0% to 5%</v>
      </c>
      <c r="N2401" s="3" t="str">
        <f t="shared" si="151"/>
        <v>OK</v>
      </c>
    </row>
    <row r="2402" spans="1:14" x14ac:dyDescent="0.3">
      <c r="A2402" s="2">
        <f>DATE(VALUE(RIGHT(TRIM([1]Raw_Data!A2400),4)),VALUE(MID(TRIM([1]Raw_Data!A2400),4,2)),VALUE(LEFT(TRIM([1]Raw_Data!A2400),2)))</f>
        <v>44879</v>
      </c>
      <c r="B2402" s="3" t="str">
        <f>TRIM([1]Raw_Data!B2400)</f>
        <v>Iron Supplement</v>
      </c>
      <c r="C2402" s="3" t="str">
        <f>TRIM([1]Raw_Data!C2400)</f>
        <v>Mineral</v>
      </c>
      <c r="D2402" s="3">
        <f>[1]Raw_Data!D2400</f>
        <v>158</v>
      </c>
      <c r="E2402" s="4">
        <f>[1]Raw_Data!E2400</f>
        <v>48.3</v>
      </c>
      <c r="F2402" s="5">
        <f>[1]Raw_Data!F2400</f>
        <v>7631.4</v>
      </c>
      <c r="G2402" s="4">
        <f>[1]Raw_Data!G2400</f>
        <v>0.11</v>
      </c>
      <c r="H2402" s="3">
        <f>[1]Raw_Data!H2400</f>
        <v>1</v>
      </c>
      <c r="I2402" s="3" t="str">
        <f>TRIM([1]Raw_Data!I2400)</f>
        <v>USA</v>
      </c>
      <c r="J2402" s="3" t="str">
        <f>TRIM([1]Raw_Data!J2400)</f>
        <v>iHerb</v>
      </c>
      <c r="K2402" s="3">
        <f t="shared" si="148"/>
        <v>2022</v>
      </c>
      <c r="L2402" s="6">
        <f t="shared" si="149"/>
        <v>44866</v>
      </c>
      <c r="M2402" s="3" t="str">
        <f t="shared" si="150"/>
        <v>11% to 15%</v>
      </c>
      <c r="N2402" s="3" t="str">
        <f t="shared" si="151"/>
        <v>OK</v>
      </c>
    </row>
    <row r="2403" spans="1:14" x14ac:dyDescent="0.3">
      <c r="A2403" s="2">
        <f>DATE(VALUE(RIGHT(TRIM([1]Raw_Data!A2401),4)),VALUE(MID(TRIM([1]Raw_Data!A2401),4,2)),VALUE(LEFT(TRIM([1]Raw_Data!A2401),2)))</f>
        <v>44879</v>
      </c>
      <c r="B2403" s="3" t="str">
        <f>TRIM([1]Raw_Data!B2401)</f>
        <v>Electrolyte Powder</v>
      </c>
      <c r="C2403" s="3" t="str">
        <f>TRIM([1]Raw_Data!C2401)</f>
        <v>Hydration</v>
      </c>
      <c r="D2403" s="3">
        <f>[1]Raw_Data!D2401</f>
        <v>148</v>
      </c>
      <c r="E2403" s="4">
        <f>[1]Raw_Data!E2401</f>
        <v>55.11</v>
      </c>
      <c r="F2403" s="5">
        <f>[1]Raw_Data!F2401</f>
        <v>8156.28</v>
      </c>
      <c r="G2403" s="4">
        <f>[1]Raw_Data!G2401</f>
        <v>0.01</v>
      </c>
      <c r="H2403" s="3">
        <f>[1]Raw_Data!H2401</f>
        <v>1</v>
      </c>
      <c r="I2403" s="3" t="str">
        <f>TRIM([1]Raw_Data!I2401)</f>
        <v>UK</v>
      </c>
      <c r="J2403" s="3" t="str">
        <f>TRIM([1]Raw_Data!J2401)</f>
        <v>iHerb</v>
      </c>
      <c r="K2403" s="3">
        <f t="shared" si="148"/>
        <v>2022</v>
      </c>
      <c r="L2403" s="6">
        <f t="shared" si="149"/>
        <v>44866</v>
      </c>
      <c r="M2403" s="3" t="str">
        <f t="shared" si="150"/>
        <v>0% to 5%</v>
      </c>
      <c r="N2403" s="3" t="str">
        <f t="shared" si="151"/>
        <v>OK</v>
      </c>
    </row>
    <row r="2404" spans="1:14" x14ac:dyDescent="0.3">
      <c r="A2404" s="2">
        <f>DATE(VALUE(RIGHT(TRIM([1]Raw_Data!A2402),4)),VALUE(MID(TRIM([1]Raw_Data!A2402),4,2)),VALUE(LEFT(TRIM([1]Raw_Data!A2402),2)))</f>
        <v>44886</v>
      </c>
      <c r="B2404" s="3" t="str">
        <f>TRIM([1]Raw_Data!B2402)</f>
        <v>Whey Protein</v>
      </c>
      <c r="C2404" s="3" t="str">
        <f>TRIM([1]Raw_Data!C2402)</f>
        <v>Protein</v>
      </c>
      <c r="D2404" s="3">
        <f>[1]Raw_Data!D2402</f>
        <v>167</v>
      </c>
      <c r="E2404" s="4">
        <f>[1]Raw_Data!E2402</f>
        <v>56.62</v>
      </c>
      <c r="F2404" s="5">
        <f>[1]Raw_Data!F2402</f>
        <v>9455.5400000000009</v>
      </c>
      <c r="G2404" s="4">
        <f>[1]Raw_Data!G2402</f>
        <v>0.16</v>
      </c>
      <c r="H2404" s="3">
        <f>[1]Raw_Data!H2402</f>
        <v>4</v>
      </c>
      <c r="I2404" s="3" t="str">
        <f>TRIM([1]Raw_Data!I2402)</f>
        <v>USA</v>
      </c>
      <c r="J2404" s="3" t="str">
        <f>TRIM([1]Raw_Data!J2402)</f>
        <v>Walmart</v>
      </c>
      <c r="K2404" s="3">
        <f t="shared" si="148"/>
        <v>2022</v>
      </c>
      <c r="L2404" s="6">
        <f t="shared" si="149"/>
        <v>44866</v>
      </c>
      <c r="M2404" s="3" t="str">
        <f t="shared" si="150"/>
        <v>16% to 20%</v>
      </c>
      <c r="N2404" s="3" t="str">
        <f t="shared" si="151"/>
        <v>OK</v>
      </c>
    </row>
    <row r="2405" spans="1:14" x14ac:dyDescent="0.3">
      <c r="A2405" s="2">
        <f>DATE(VALUE(RIGHT(TRIM([1]Raw_Data!A2403),4)),VALUE(MID(TRIM([1]Raw_Data!A2403),4,2)),VALUE(LEFT(TRIM([1]Raw_Data!A2403),2)))</f>
        <v>44886</v>
      </c>
      <c r="B2405" s="3" t="str">
        <f>TRIM([1]Raw_Data!B2403)</f>
        <v>Vitamin C</v>
      </c>
      <c r="C2405" s="3" t="str">
        <f>TRIM([1]Raw_Data!C2403)</f>
        <v>Vitamin</v>
      </c>
      <c r="D2405" s="3">
        <f>[1]Raw_Data!D2403</f>
        <v>160</v>
      </c>
      <c r="E2405" s="4">
        <f>[1]Raw_Data!E2403</f>
        <v>21.56</v>
      </c>
      <c r="F2405" s="5">
        <f>[1]Raw_Data!F2403</f>
        <v>3449.6</v>
      </c>
      <c r="G2405" s="4">
        <f>[1]Raw_Data!G2403</f>
        <v>0.1</v>
      </c>
      <c r="H2405" s="3">
        <f>[1]Raw_Data!H2403</f>
        <v>0</v>
      </c>
      <c r="I2405" s="3" t="str">
        <f>TRIM([1]Raw_Data!I2403)</f>
        <v>Canada</v>
      </c>
      <c r="J2405" s="3" t="str">
        <f>TRIM([1]Raw_Data!J2403)</f>
        <v>iHerb</v>
      </c>
      <c r="K2405" s="3">
        <f t="shared" si="148"/>
        <v>2022</v>
      </c>
      <c r="L2405" s="6">
        <f t="shared" si="149"/>
        <v>44866</v>
      </c>
      <c r="M2405" s="3" t="str">
        <f t="shared" si="150"/>
        <v>6% to 10%</v>
      </c>
      <c r="N2405" s="3" t="str">
        <f t="shared" si="151"/>
        <v>OK</v>
      </c>
    </row>
    <row r="2406" spans="1:14" x14ac:dyDescent="0.3">
      <c r="A2406" s="2">
        <f>DATE(VALUE(RIGHT(TRIM([1]Raw_Data!A2404),4)),VALUE(MID(TRIM([1]Raw_Data!A2404),4,2)),VALUE(LEFT(TRIM([1]Raw_Data!A2404),2)))</f>
        <v>44886</v>
      </c>
      <c r="B2406" s="3" t="str">
        <f>TRIM([1]Raw_Data!B2404)</f>
        <v>Fish Oil</v>
      </c>
      <c r="C2406" s="3" t="str">
        <f>TRIM([1]Raw_Data!C2404)</f>
        <v>Omega</v>
      </c>
      <c r="D2406" s="3">
        <f>[1]Raw_Data!D2404</f>
        <v>150</v>
      </c>
      <c r="E2406" s="4">
        <f>[1]Raw_Data!E2404</f>
        <v>57.81</v>
      </c>
      <c r="F2406" s="5">
        <f>[1]Raw_Data!F2404</f>
        <v>8671.5</v>
      </c>
      <c r="G2406" s="4">
        <f>[1]Raw_Data!G2404</f>
        <v>0.11</v>
      </c>
      <c r="H2406" s="3">
        <f>[1]Raw_Data!H2404</f>
        <v>2</v>
      </c>
      <c r="I2406" s="3" t="str">
        <f>TRIM([1]Raw_Data!I2404)</f>
        <v>Canada</v>
      </c>
      <c r="J2406" s="3" t="str">
        <f>TRIM([1]Raw_Data!J2404)</f>
        <v>iHerb</v>
      </c>
      <c r="K2406" s="3">
        <f t="shared" si="148"/>
        <v>2022</v>
      </c>
      <c r="L2406" s="6">
        <f t="shared" si="149"/>
        <v>44866</v>
      </c>
      <c r="M2406" s="3" t="str">
        <f t="shared" si="150"/>
        <v>11% to 15%</v>
      </c>
      <c r="N2406" s="3" t="str">
        <f t="shared" si="151"/>
        <v>OK</v>
      </c>
    </row>
    <row r="2407" spans="1:14" x14ac:dyDescent="0.3">
      <c r="A2407" s="2">
        <f>DATE(VALUE(RIGHT(TRIM([1]Raw_Data!A2405),4)),VALUE(MID(TRIM([1]Raw_Data!A2405),4,2)),VALUE(LEFT(TRIM([1]Raw_Data!A2405),2)))</f>
        <v>44886</v>
      </c>
      <c r="B2407" s="3" t="str">
        <f>TRIM([1]Raw_Data!B2405)</f>
        <v>Multivitamin</v>
      </c>
      <c r="C2407" s="3" t="str">
        <f>TRIM([1]Raw_Data!C2405)</f>
        <v>Vitamin</v>
      </c>
      <c r="D2407" s="3">
        <f>[1]Raw_Data!D2405</f>
        <v>175</v>
      </c>
      <c r="E2407" s="4">
        <f>[1]Raw_Data!E2405</f>
        <v>20.43</v>
      </c>
      <c r="F2407" s="5">
        <f>[1]Raw_Data!F2405</f>
        <v>3575.25</v>
      </c>
      <c r="G2407" s="4">
        <f>[1]Raw_Data!G2405</f>
        <v>0.12</v>
      </c>
      <c r="H2407" s="3">
        <f>[1]Raw_Data!H2405</f>
        <v>1</v>
      </c>
      <c r="I2407" s="3" t="str">
        <f>TRIM([1]Raw_Data!I2405)</f>
        <v>UK</v>
      </c>
      <c r="J2407" s="3" t="str">
        <f>TRIM([1]Raw_Data!J2405)</f>
        <v>Amazon</v>
      </c>
      <c r="K2407" s="3">
        <f t="shared" si="148"/>
        <v>2022</v>
      </c>
      <c r="L2407" s="6">
        <f t="shared" si="149"/>
        <v>44866</v>
      </c>
      <c r="M2407" s="3" t="str">
        <f t="shared" si="150"/>
        <v>11% to 15%</v>
      </c>
      <c r="N2407" s="3" t="str">
        <f t="shared" si="151"/>
        <v>OK</v>
      </c>
    </row>
    <row r="2408" spans="1:14" x14ac:dyDescent="0.3">
      <c r="A2408" s="2">
        <f>DATE(VALUE(RIGHT(TRIM([1]Raw_Data!A2406),4)),VALUE(MID(TRIM([1]Raw_Data!A2406),4,2)),VALUE(LEFT(TRIM([1]Raw_Data!A2406),2)))</f>
        <v>44886</v>
      </c>
      <c r="B2408" s="3" t="str">
        <f>TRIM([1]Raw_Data!B2406)</f>
        <v>Pre-Workout</v>
      </c>
      <c r="C2408" s="3" t="str">
        <f>TRIM([1]Raw_Data!C2406)</f>
        <v>Performance</v>
      </c>
      <c r="D2408" s="3">
        <f>[1]Raw_Data!D2406</f>
        <v>146</v>
      </c>
      <c r="E2408" s="4">
        <f>[1]Raw_Data!E2406</f>
        <v>51.32</v>
      </c>
      <c r="F2408" s="5">
        <f>[1]Raw_Data!F2406</f>
        <v>7492.72</v>
      </c>
      <c r="G2408" s="4">
        <f>[1]Raw_Data!G2406</f>
        <v>0.11</v>
      </c>
      <c r="H2408" s="3">
        <f>[1]Raw_Data!H2406</f>
        <v>1</v>
      </c>
      <c r="I2408" s="3" t="str">
        <f>TRIM([1]Raw_Data!I2406)</f>
        <v>UK</v>
      </c>
      <c r="J2408" s="3" t="str">
        <f>TRIM([1]Raw_Data!J2406)</f>
        <v>Walmart</v>
      </c>
      <c r="K2408" s="3">
        <f t="shared" si="148"/>
        <v>2022</v>
      </c>
      <c r="L2408" s="6">
        <f t="shared" si="149"/>
        <v>44866</v>
      </c>
      <c r="M2408" s="3" t="str">
        <f t="shared" si="150"/>
        <v>11% to 15%</v>
      </c>
      <c r="N2408" s="3" t="str">
        <f t="shared" si="151"/>
        <v>OK</v>
      </c>
    </row>
    <row r="2409" spans="1:14" x14ac:dyDescent="0.3">
      <c r="A2409" s="2">
        <f>DATE(VALUE(RIGHT(TRIM([1]Raw_Data!A2407),4)),VALUE(MID(TRIM([1]Raw_Data!A2407),4,2)),VALUE(LEFT(TRIM([1]Raw_Data!A2407),2)))</f>
        <v>44886</v>
      </c>
      <c r="B2409" s="3" t="str">
        <f>TRIM([1]Raw_Data!B2407)</f>
        <v>BCAA</v>
      </c>
      <c r="C2409" s="3" t="str">
        <f>TRIM([1]Raw_Data!C2407)</f>
        <v>Amino Acid</v>
      </c>
      <c r="D2409" s="3">
        <f>[1]Raw_Data!D2407</f>
        <v>150</v>
      </c>
      <c r="E2409" s="4">
        <f>[1]Raw_Data!E2407</f>
        <v>17.559999999999999</v>
      </c>
      <c r="F2409" s="5">
        <f>[1]Raw_Data!F2407</f>
        <v>2634</v>
      </c>
      <c r="G2409" s="4">
        <f>[1]Raw_Data!G2407</f>
        <v>0.15</v>
      </c>
      <c r="H2409" s="3">
        <f>[1]Raw_Data!H2407</f>
        <v>1</v>
      </c>
      <c r="I2409" s="3" t="str">
        <f>TRIM([1]Raw_Data!I2407)</f>
        <v>UK</v>
      </c>
      <c r="J2409" s="3" t="str">
        <f>TRIM([1]Raw_Data!J2407)</f>
        <v>Amazon</v>
      </c>
      <c r="K2409" s="3">
        <f t="shared" si="148"/>
        <v>2022</v>
      </c>
      <c r="L2409" s="6">
        <f t="shared" si="149"/>
        <v>44866</v>
      </c>
      <c r="M2409" s="3" t="str">
        <f t="shared" si="150"/>
        <v>11% to 15%</v>
      </c>
      <c r="N2409" s="3" t="str">
        <f t="shared" si="151"/>
        <v>OK</v>
      </c>
    </row>
    <row r="2410" spans="1:14" x14ac:dyDescent="0.3">
      <c r="A2410" s="2">
        <f>DATE(VALUE(RIGHT(TRIM([1]Raw_Data!A2408),4)),VALUE(MID(TRIM([1]Raw_Data!A2408),4,2)),VALUE(LEFT(TRIM([1]Raw_Data!A2408),2)))</f>
        <v>44886</v>
      </c>
      <c r="B2410" s="3" t="str">
        <f>TRIM([1]Raw_Data!B2408)</f>
        <v>Creatine</v>
      </c>
      <c r="C2410" s="3" t="str">
        <f>TRIM([1]Raw_Data!C2408)</f>
        <v>Performance</v>
      </c>
      <c r="D2410" s="3">
        <f>[1]Raw_Data!D2408</f>
        <v>166</v>
      </c>
      <c r="E2410" s="4">
        <f>[1]Raw_Data!E2408</f>
        <v>26.45</v>
      </c>
      <c r="F2410" s="5">
        <f>[1]Raw_Data!F2408</f>
        <v>4390.7</v>
      </c>
      <c r="G2410" s="4">
        <f>[1]Raw_Data!G2408</f>
        <v>0.15</v>
      </c>
      <c r="H2410" s="3">
        <f>[1]Raw_Data!H2408</f>
        <v>0</v>
      </c>
      <c r="I2410" s="3" t="str">
        <f>TRIM([1]Raw_Data!I2408)</f>
        <v>Canada</v>
      </c>
      <c r="J2410" s="3" t="str">
        <f>TRIM([1]Raw_Data!J2408)</f>
        <v>Walmart</v>
      </c>
      <c r="K2410" s="3">
        <f t="shared" si="148"/>
        <v>2022</v>
      </c>
      <c r="L2410" s="6">
        <f t="shared" si="149"/>
        <v>44866</v>
      </c>
      <c r="M2410" s="3" t="str">
        <f t="shared" si="150"/>
        <v>11% to 15%</v>
      </c>
      <c r="N2410" s="3" t="str">
        <f t="shared" si="151"/>
        <v>OK</v>
      </c>
    </row>
    <row r="2411" spans="1:14" x14ac:dyDescent="0.3">
      <c r="A2411" s="2">
        <f>DATE(VALUE(RIGHT(TRIM([1]Raw_Data!A2409),4)),VALUE(MID(TRIM([1]Raw_Data!A2409),4,2)),VALUE(LEFT(TRIM([1]Raw_Data!A2409),2)))</f>
        <v>44886</v>
      </c>
      <c r="B2411" s="3" t="str">
        <f>TRIM([1]Raw_Data!B2409)</f>
        <v>Zinc</v>
      </c>
      <c r="C2411" s="3" t="str">
        <f>TRIM([1]Raw_Data!C2409)</f>
        <v>Mineral</v>
      </c>
      <c r="D2411" s="3">
        <f>[1]Raw_Data!D2409</f>
        <v>142</v>
      </c>
      <c r="E2411" s="4">
        <f>[1]Raw_Data!E2409</f>
        <v>27.68</v>
      </c>
      <c r="F2411" s="5">
        <f>[1]Raw_Data!F2409</f>
        <v>3930.56</v>
      </c>
      <c r="G2411" s="4">
        <f>[1]Raw_Data!G2409</f>
        <v>0.13</v>
      </c>
      <c r="H2411" s="3">
        <f>[1]Raw_Data!H2409</f>
        <v>2</v>
      </c>
      <c r="I2411" s="3" t="str">
        <f>TRIM([1]Raw_Data!I2409)</f>
        <v>UK</v>
      </c>
      <c r="J2411" s="3" t="str">
        <f>TRIM([1]Raw_Data!J2409)</f>
        <v>Walmart</v>
      </c>
      <c r="K2411" s="3">
        <f t="shared" si="148"/>
        <v>2022</v>
      </c>
      <c r="L2411" s="6">
        <f t="shared" si="149"/>
        <v>44866</v>
      </c>
      <c r="M2411" s="3" t="str">
        <f t="shared" si="150"/>
        <v>11% to 15%</v>
      </c>
      <c r="N2411" s="3" t="str">
        <f t="shared" si="151"/>
        <v>OK</v>
      </c>
    </row>
    <row r="2412" spans="1:14" x14ac:dyDescent="0.3">
      <c r="A2412" s="2">
        <f>DATE(VALUE(RIGHT(TRIM([1]Raw_Data!A2410),4)),VALUE(MID(TRIM([1]Raw_Data!A2410),4,2)),VALUE(LEFT(TRIM([1]Raw_Data!A2410),2)))</f>
        <v>44886</v>
      </c>
      <c r="B2412" s="3" t="str">
        <f>TRIM([1]Raw_Data!B2410)</f>
        <v>Collagen Peptides</v>
      </c>
      <c r="C2412" s="3" t="str">
        <f>TRIM([1]Raw_Data!C2410)</f>
        <v>Protein</v>
      </c>
      <c r="D2412" s="3">
        <f>[1]Raw_Data!D2410</f>
        <v>152</v>
      </c>
      <c r="E2412" s="4">
        <f>[1]Raw_Data!E2410</f>
        <v>25.39</v>
      </c>
      <c r="F2412" s="5">
        <f>[1]Raw_Data!F2410</f>
        <v>3859.28</v>
      </c>
      <c r="G2412" s="4">
        <f>[1]Raw_Data!G2410</f>
        <v>0.03</v>
      </c>
      <c r="H2412" s="3">
        <f>[1]Raw_Data!H2410</f>
        <v>2</v>
      </c>
      <c r="I2412" s="3" t="str">
        <f>TRIM([1]Raw_Data!I2410)</f>
        <v>Canada</v>
      </c>
      <c r="J2412" s="3" t="str">
        <f>TRIM([1]Raw_Data!J2410)</f>
        <v>Walmart</v>
      </c>
      <c r="K2412" s="3">
        <f t="shared" si="148"/>
        <v>2022</v>
      </c>
      <c r="L2412" s="6">
        <f t="shared" si="149"/>
        <v>44866</v>
      </c>
      <c r="M2412" s="3" t="str">
        <f t="shared" si="150"/>
        <v>0% to 5%</v>
      </c>
      <c r="N2412" s="3" t="str">
        <f t="shared" si="151"/>
        <v>OK</v>
      </c>
    </row>
    <row r="2413" spans="1:14" x14ac:dyDescent="0.3">
      <c r="A2413" s="2">
        <f>DATE(VALUE(RIGHT(TRIM([1]Raw_Data!A2411),4)),VALUE(MID(TRIM([1]Raw_Data!A2411),4,2)),VALUE(LEFT(TRIM([1]Raw_Data!A2411),2)))</f>
        <v>44886</v>
      </c>
      <c r="B2413" s="3" t="str">
        <f>TRIM([1]Raw_Data!B2411)</f>
        <v>Magnesium</v>
      </c>
      <c r="C2413" s="3" t="str">
        <f>TRIM([1]Raw_Data!C2411)</f>
        <v>Mineral</v>
      </c>
      <c r="D2413" s="3">
        <f>[1]Raw_Data!D2411</f>
        <v>165</v>
      </c>
      <c r="E2413" s="4">
        <f>[1]Raw_Data!E2411</f>
        <v>30.35</v>
      </c>
      <c r="F2413" s="5">
        <f>[1]Raw_Data!F2411</f>
        <v>5007.75</v>
      </c>
      <c r="G2413" s="4">
        <f>[1]Raw_Data!G2411</f>
        <v>0.12</v>
      </c>
      <c r="H2413" s="3">
        <f>[1]Raw_Data!H2411</f>
        <v>2</v>
      </c>
      <c r="I2413" s="3" t="str">
        <f>TRIM([1]Raw_Data!I2411)</f>
        <v>USA</v>
      </c>
      <c r="J2413" s="3" t="str">
        <f>TRIM([1]Raw_Data!J2411)</f>
        <v>Amazon</v>
      </c>
      <c r="K2413" s="3">
        <f t="shared" si="148"/>
        <v>2022</v>
      </c>
      <c r="L2413" s="6">
        <f t="shared" si="149"/>
        <v>44866</v>
      </c>
      <c r="M2413" s="3" t="str">
        <f t="shared" si="150"/>
        <v>11% to 15%</v>
      </c>
      <c r="N2413" s="3" t="str">
        <f t="shared" si="151"/>
        <v>OK</v>
      </c>
    </row>
    <row r="2414" spans="1:14" x14ac:dyDescent="0.3">
      <c r="A2414" s="2">
        <f>DATE(VALUE(RIGHT(TRIM([1]Raw_Data!A2412),4)),VALUE(MID(TRIM([1]Raw_Data!A2412),4,2)),VALUE(LEFT(TRIM([1]Raw_Data!A2412),2)))</f>
        <v>44886</v>
      </c>
      <c r="B2414" s="3" t="str">
        <f>TRIM([1]Raw_Data!B2412)</f>
        <v>Ashwagandha</v>
      </c>
      <c r="C2414" s="3" t="str">
        <f>TRIM([1]Raw_Data!C2412)</f>
        <v>Herbal</v>
      </c>
      <c r="D2414" s="3">
        <f>[1]Raw_Data!D2412</f>
        <v>156</v>
      </c>
      <c r="E2414" s="4">
        <f>[1]Raw_Data!E2412</f>
        <v>46.07</v>
      </c>
      <c r="F2414" s="5">
        <f>[1]Raw_Data!F2412</f>
        <v>7186.92</v>
      </c>
      <c r="G2414" s="4">
        <f>[1]Raw_Data!G2412</f>
        <v>0.02</v>
      </c>
      <c r="H2414" s="3">
        <f>[1]Raw_Data!H2412</f>
        <v>1</v>
      </c>
      <c r="I2414" s="3" t="str">
        <f>TRIM([1]Raw_Data!I2412)</f>
        <v>USA</v>
      </c>
      <c r="J2414" s="3" t="str">
        <f>TRIM([1]Raw_Data!J2412)</f>
        <v>Walmart</v>
      </c>
      <c r="K2414" s="3">
        <f t="shared" si="148"/>
        <v>2022</v>
      </c>
      <c r="L2414" s="6">
        <f t="shared" si="149"/>
        <v>44866</v>
      </c>
      <c r="M2414" s="3" t="str">
        <f t="shared" si="150"/>
        <v>0% to 5%</v>
      </c>
      <c r="N2414" s="3" t="str">
        <f t="shared" si="151"/>
        <v>OK</v>
      </c>
    </row>
    <row r="2415" spans="1:14" x14ac:dyDescent="0.3">
      <c r="A2415" s="2">
        <f>DATE(VALUE(RIGHT(TRIM([1]Raw_Data!A2413),4)),VALUE(MID(TRIM([1]Raw_Data!A2413),4,2)),VALUE(LEFT(TRIM([1]Raw_Data!A2413),2)))</f>
        <v>44886</v>
      </c>
      <c r="B2415" s="3" t="str">
        <f>TRIM([1]Raw_Data!B2413)</f>
        <v>Melatonin</v>
      </c>
      <c r="C2415" s="3" t="str">
        <f>TRIM([1]Raw_Data!C2413)</f>
        <v>Sleep Aid</v>
      </c>
      <c r="D2415" s="3">
        <f>[1]Raw_Data!D2413</f>
        <v>163</v>
      </c>
      <c r="E2415" s="4">
        <f>[1]Raw_Data!E2413</f>
        <v>17.45</v>
      </c>
      <c r="F2415" s="5">
        <f>[1]Raw_Data!F2413</f>
        <v>2844.35</v>
      </c>
      <c r="G2415" s="4">
        <f>[1]Raw_Data!G2413</f>
        <v>0.25</v>
      </c>
      <c r="H2415" s="3">
        <f>[1]Raw_Data!H2413</f>
        <v>3</v>
      </c>
      <c r="I2415" s="3" t="str">
        <f>TRIM([1]Raw_Data!I2413)</f>
        <v>UK</v>
      </c>
      <c r="J2415" s="3" t="str">
        <f>TRIM([1]Raw_Data!J2413)</f>
        <v>iHerb</v>
      </c>
      <c r="K2415" s="3">
        <f t="shared" si="148"/>
        <v>2022</v>
      </c>
      <c r="L2415" s="6">
        <f t="shared" si="149"/>
        <v>44866</v>
      </c>
      <c r="M2415" s="3" t="str">
        <f t="shared" si="150"/>
        <v>21% to 25%</v>
      </c>
      <c r="N2415" s="3" t="str">
        <f t="shared" si="151"/>
        <v>OK</v>
      </c>
    </row>
    <row r="2416" spans="1:14" x14ac:dyDescent="0.3">
      <c r="A2416" s="2">
        <f>DATE(VALUE(RIGHT(TRIM([1]Raw_Data!A2414),4)),VALUE(MID(TRIM([1]Raw_Data!A2414),4,2)),VALUE(LEFT(TRIM([1]Raw_Data!A2414),2)))</f>
        <v>44886</v>
      </c>
      <c r="B2416" s="3" t="str">
        <f>TRIM([1]Raw_Data!B2414)</f>
        <v>Biotin</v>
      </c>
      <c r="C2416" s="3" t="str">
        <f>TRIM([1]Raw_Data!C2414)</f>
        <v>Vitamin</v>
      </c>
      <c r="D2416" s="3">
        <f>[1]Raw_Data!D2414</f>
        <v>160</v>
      </c>
      <c r="E2416" s="4">
        <f>[1]Raw_Data!E2414</f>
        <v>19.190000000000001</v>
      </c>
      <c r="F2416" s="5">
        <f>[1]Raw_Data!F2414</f>
        <v>3070.4</v>
      </c>
      <c r="G2416" s="4">
        <f>[1]Raw_Data!G2414</f>
        <v>0.24</v>
      </c>
      <c r="H2416" s="3">
        <f>[1]Raw_Data!H2414</f>
        <v>2</v>
      </c>
      <c r="I2416" s="3" t="str">
        <f>TRIM([1]Raw_Data!I2414)</f>
        <v>Canada</v>
      </c>
      <c r="J2416" s="3" t="str">
        <f>TRIM([1]Raw_Data!J2414)</f>
        <v>Amazon</v>
      </c>
      <c r="K2416" s="3">
        <f t="shared" si="148"/>
        <v>2022</v>
      </c>
      <c r="L2416" s="6">
        <f t="shared" si="149"/>
        <v>44866</v>
      </c>
      <c r="M2416" s="3" t="str">
        <f t="shared" si="150"/>
        <v>21% to 25%</v>
      </c>
      <c r="N2416" s="3" t="str">
        <f t="shared" si="151"/>
        <v>OK</v>
      </c>
    </row>
    <row r="2417" spans="1:14" x14ac:dyDescent="0.3">
      <c r="A2417" s="2">
        <f>DATE(VALUE(RIGHT(TRIM([1]Raw_Data!A2415),4)),VALUE(MID(TRIM([1]Raw_Data!A2415),4,2)),VALUE(LEFT(TRIM([1]Raw_Data!A2415),2)))</f>
        <v>44886</v>
      </c>
      <c r="B2417" s="3" t="str">
        <f>TRIM([1]Raw_Data!B2415)</f>
        <v>Green Tea Extract</v>
      </c>
      <c r="C2417" s="3" t="str">
        <f>TRIM([1]Raw_Data!C2415)</f>
        <v>Fat Burner</v>
      </c>
      <c r="D2417" s="3">
        <f>[1]Raw_Data!D2415</f>
        <v>165</v>
      </c>
      <c r="E2417" s="4">
        <f>[1]Raw_Data!E2415</f>
        <v>26.76</v>
      </c>
      <c r="F2417" s="5">
        <f>[1]Raw_Data!F2415</f>
        <v>4415.3999999999996</v>
      </c>
      <c r="G2417" s="4">
        <f>[1]Raw_Data!G2415</f>
        <v>0.25</v>
      </c>
      <c r="H2417" s="3">
        <f>[1]Raw_Data!H2415</f>
        <v>2</v>
      </c>
      <c r="I2417" s="3" t="str">
        <f>TRIM([1]Raw_Data!I2415)</f>
        <v>USA</v>
      </c>
      <c r="J2417" s="3" t="str">
        <f>TRIM([1]Raw_Data!J2415)</f>
        <v>iHerb</v>
      </c>
      <c r="K2417" s="3">
        <f t="shared" si="148"/>
        <v>2022</v>
      </c>
      <c r="L2417" s="6">
        <f t="shared" si="149"/>
        <v>44866</v>
      </c>
      <c r="M2417" s="3" t="str">
        <f t="shared" si="150"/>
        <v>21% to 25%</v>
      </c>
      <c r="N2417" s="3" t="str">
        <f t="shared" si="151"/>
        <v>OK</v>
      </c>
    </row>
    <row r="2418" spans="1:14" x14ac:dyDescent="0.3">
      <c r="A2418" s="2">
        <f>DATE(VALUE(RIGHT(TRIM([1]Raw_Data!A2416),4)),VALUE(MID(TRIM([1]Raw_Data!A2416),4,2)),VALUE(LEFT(TRIM([1]Raw_Data!A2416),2)))</f>
        <v>44886</v>
      </c>
      <c r="B2418" s="3" t="str">
        <f>TRIM([1]Raw_Data!B2416)</f>
        <v>Iron Supplement</v>
      </c>
      <c r="C2418" s="3" t="str">
        <f>TRIM([1]Raw_Data!C2416)</f>
        <v>Mineral</v>
      </c>
      <c r="D2418" s="3">
        <f>[1]Raw_Data!D2416</f>
        <v>135</v>
      </c>
      <c r="E2418" s="4">
        <f>[1]Raw_Data!E2416</f>
        <v>34.1</v>
      </c>
      <c r="F2418" s="5">
        <f>[1]Raw_Data!F2416</f>
        <v>4603.5</v>
      </c>
      <c r="G2418" s="4">
        <f>[1]Raw_Data!G2416</f>
        <v>0.01</v>
      </c>
      <c r="H2418" s="3">
        <f>[1]Raw_Data!H2416</f>
        <v>1</v>
      </c>
      <c r="I2418" s="3" t="str">
        <f>TRIM([1]Raw_Data!I2416)</f>
        <v>Canada</v>
      </c>
      <c r="J2418" s="3" t="str">
        <f>TRIM([1]Raw_Data!J2416)</f>
        <v>Amazon</v>
      </c>
      <c r="K2418" s="3">
        <f t="shared" si="148"/>
        <v>2022</v>
      </c>
      <c r="L2418" s="6">
        <f t="shared" si="149"/>
        <v>44866</v>
      </c>
      <c r="M2418" s="3" t="str">
        <f t="shared" si="150"/>
        <v>0% to 5%</v>
      </c>
      <c r="N2418" s="3" t="str">
        <f t="shared" si="151"/>
        <v>OK</v>
      </c>
    </row>
    <row r="2419" spans="1:14" x14ac:dyDescent="0.3">
      <c r="A2419" s="2">
        <f>DATE(VALUE(RIGHT(TRIM([1]Raw_Data!A2417),4)),VALUE(MID(TRIM([1]Raw_Data!A2417),4,2)),VALUE(LEFT(TRIM([1]Raw_Data!A2417),2)))</f>
        <v>44886</v>
      </c>
      <c r="B2419" s="3" t="str">
        <f>TRIM([1]Raw_Data!B2417)</f>
        <v>Electrolyte Powder</v>
      </c>
      <c r="C2419" s="3" t="str">
        <f>TRIM([1]Raw_Data!C2417)</f>
        <v>Hydration</v>
      </c>
      <c r="D2419" s="3">
        <f>[1]Raw_Data!D2417</f>
        <v>147</v>
      </c>
      <c r="E2419" s="4">
        <f>[1]Raw_Data!E2417</f>
        <v>27.75</v>
      </c>
      <c r="F2419" s="5">
        <f>[1]Raw_Data!F2417</f>
        <v>4079.25</v>
      </c>
      <c r="G2419" s="4">
        <f>[1]Raw_Data!G2417</f>
        <v>0.25</v>
      </c>
      <c r="H2419" s="3">
        <f>[1]Raw_Data!H2417</f>
        <v>0</v>
      </c>
      <c r="I2419" s="3" t="str">
        <f>TRIM([1]Raw_Data!I2417)</f>
        <v>Canada</v>
      </c>
      <c r="J2419" s="3" t="str">
        <f>TRIM([1]Raw_Data!J2417)</f>
        <v>Walmart</v>
      </c>
      <c r="K2419" s="3">
        <f t="shared" si="148"/>
        <v>2022</v>
      </c>
      <c r="L2419" s="6">
        <f t="shared" si="149"/>
        <v>44866</v>
      </c>
      <c r="M2419" s="3" t="str">
        <f t="shared" si="150"/>
        <v>21% to 25%</v>
      </c>
      <c r="N2419" s="3" t="str">
        <f t="shared" si="151"/>
        <v>OK</v>
      </c>
    </row>
    <row r="2420" spans="1:14" x14ac:dyDescent="0.3">
      <c r="A2420" s="2">
        <f>DATE(VALUE(RIGHT(TRIM([1]Raw_Data!A2418),4)),VALUE(MID(TRIM([1]Raw_Data!A2418),4,2)),VALUE(LEFT(TRIM([1]Raw_Data!A2418),2)))</f>
        <v>44893</v>
      </c>
      <c r="B2420" s="3" t="str">
        <f>TRIM([1]Raw_Data!B2418)</f>
        <v>Whey Protein</v>
      </c>
      <c r="C2420" s="3" t="str">
        <f>TRIM([1]Raw_Data!C2418)</f>
        <v>Protein</v>
      </c>
      <c r="D2420" s="3">
        <f>[1]Raw_Data!D2418</f>
        <v>153</v>
      </c>
      <c r="E2420" s="4">
        <f>[1]Raw_Data!E2418</f>
        <v>46.69</v>
      </c>
      <c r="F2420" s="5">
        <f>[1]Raw_Data!F2418</f>
        <v>7143.57</v>
      </c>
      <c r="G2420" s="4">
        <f>[1]Raw_Data!G2418</f>
        <v>0.25</v>
      </c>
      <c r="H2420" s="3">
        <f>[1]Raw_Data!H2418</f>
        <v>3</v>
      </c>
      <c r="I2420" s="3" t="str">
        <f>TRIM([1]Raw_Data!I2418)</f>
        <v>Canada</v>
      </c>
      <c r="J2420" s="3" t="str">
        <f>TRIM([1]Raw_Data!J2418)</f>
        <v>Amazon</v>
      </c>
      <c r="K2420" s="3">
        <f t="shared" si="148"/>
        <v>2022</v>
      </c>
      <c r="L2420" s="6">
        <f t="shared" si="149"/>
        <v>44866</v>
      </c>
      <c r="M2420" s="3" t="str">
        <f t="shared" si="150"/>
        <v>21% to 25%</v>
      </c>
      <c r="N2420" s="3" t="str">
        <f t="shared" si="151"/>
        <v>OK</v>
      </c>
    </row>
    <row r="2421" spans="1:14" x14ac:dyDescent="0.3">
      <c r="A2421" s="2">
        <f>DATE(VALUE(RIGHT(TRIM([1]Raw_Data!A2419),4)),VALUE(MID(TRIM([1]Raw_Data!A2419),4,2)),VALUE(LEFT(TRIM([1]Raw_Data!A2419),2)))</f>
        <v>44893</v>
      </c>
      <c r="B2421" s="3" t="str">
        <f>TRIM([1]Raw_Data!B2419)</f>
        <v>Vitamin C</v>
      </c>
      <c r="C2421" s="3" t="str">
        <f>TRIM([1]Raw_Data!C2419)</f>
        <v>Vitamin</v>
      </c>
      <c r="D2421" s="3">
        <f>[1]Raw_Data!D2419</f>
        <v>152</v>
      </c>
      <c r="E2421" s="4">
        <f>[1]Raw_Data!E2419</f>
        <v>51.75</v>
      </c>
      <c r="F2421" s="5">
        <f>[1]Raw_Data!F2419</f>
        <v>7866</v>
      </c>
      <c r="G2421" s="4">
        <f>[1]Raw_Data!G2419</f>
        <v>0.23</v>
      </c>
      <c r="H2421" s="3">
        <f>[1]Raw_Data!H2419</f>
        <v>5</v>
      </c>
      <c r="I2421" s="3" t="str">
        <f>TRIM([1]Raw_Data!I2419)</f>
        <v>Canada</v>
      </c>
      <c r="J2421" s="3" t="str">
        <f>TRIM([1]Raw_Data!J2419)</f>
        <v>Walmart</v>
      </c>
      <c r="K2421" s="3">
        <f t="shared" si="148"/>
        <v>2022</v>
      </c>
      <c r="L2421" s="6">
        <f t="shared" si="149"/>
        <v>44866</v>
      </c>
      <c r="M2421" s="3" t="str">
        <f t="shared" si="150"/>
        <v>21% to 25%</v>
      </c>
      <c r="N2421" s="3" t="str">
        <f t="shared" si="151"/>
        <v>OK</v>
      </c>
    </row>
    <row r="2422" spans="1:14" x14ac:dyDescent="0.3">
      <c r="A2422" s="2">
        <f>DATE(VALUE(RIGHT(TRIM([1]Raw_Data!A2420),4)),VALUE(MID(TRIM([1]Raw_Data!A2420),4,2)),VALUE(LEFT(TRIM([1]Raw_Data!A2420),2)))</f>
        <v>44893</v>
      </c>
      <c r="B2422" s="3" t="str">
        <f>TRIM([1]Raw_Data!B2420)</f>
        <v>Fish Oil</v>
      </c>
      <c r="C2422" s="3" t="str">
        <f>TRIM([1]Raw_Data!C2420)</f>
        <v>Omega</v>
      </c>
      <c r="D2422" s="3">
        <f>[1]Raw_Data!D2420</f>
        <v>136</v>
      </c>
      <c r="E2422" s="4">
        <f>[1]Raw_Data!E2420</f>
        <v>14.45</v>
      </c>
      <c r="F2422" s="5">
        <f>[1]Raw_Data!F2420</f>
        <v>1965.2</v>
      </c>
      <c r="G2422" s="4">
        <f>[1]Raw_Data!G2420</f>
        <v>7.0000000000000007E-2</v>
      </c>
      <c r="H2422" s="3">
        <f>[1]Raw_Data!H2420</f>
        <v>2</v>
      </c>
      <c r="I2422" s="3" t="str">
        <f>TRIM([1]Raw_Data!I2420)</f>
        <v>USA</v>
      </c>
      <c r="J2422" s="3" t="str">
        <f>TRIM([1]Raw_Data!J2420)</f>
        <v>Amazon</v>
      </c>
      <c r="K2422" s="3">
        <f t="shared" si="148"/>
        <v>2022</v>
      </c>
      <c r="L2422" s="6">
        <f t="shared" si="149"/>
        <v>44866</v>
      </c>
      <c r="M2422" s="3" t="str">
        <f t="shared" si="150"/>
        <v>6% to 10%</v>
      </c>
      <c r="N2422" s="3" t="str">
        <f t="shared" si="151"/>
        <v>OK</v>
      </c>
    </row>
    <row r="2423" spans="1:14" x14ac:dyDescent="0.3">
      <c r="A2423" s="2">
        <f>DATE(VALUE(RIGHT(TRIM([1]Raw_Data!A2421),4)),VALUE(MID(TRIM([1]Raw_Data!A2421),4,2)),VALUE(LEFT(TRIM([1]Raw_Data!A2421),2)))</f>
        <v>44893</v>
      </c>
      <c r="B2423" s="3" t="str">
        <f>TRIM([1]Raw_Data!B2421)</f>
        <v>Multivitamin</v>
      </c>
      <c r="C2423" s="3" t="str">
        <f>TRIM([1]Raw_Data!C2421)</f>
        <v>Vitamin</v>
      </c>
      <c r="D2423" s="3">
        <f>[1]Raw_Data!D2421</f>
        <v>165</v>
      </c>
      <c r="E2423" s="4">
        <f>[1]Raw_Data!E2421</f>
        <v>41.55</v>
      </c>
      <c r="F2423" s="5">
        <f>[1]Raw_Data!F2421</f>
        <v>6855.75</v>
      </c>
      <c r="G2423" s="4">
        <f>[1]Raw_Data!G2421</f>
        <v>0.13</v>
      </c>
      <c r="H2423" s="3">
        <f>[1]Raw_Data!H2421</f>
        <v>2</v>
      </c>
      <c r="I2423" s="3" t="str">
        <f>TRIM([1]Raw_Data!I2421)</f>
        <v>Canada</v>
      </c>
      <c r="J2423" s="3" t="str">
        <f>TRIM([1]Raw_Data!J2421)</f>
        <v>Walmart</v>
      </c>
      <c r="K2423" s="3">
        <f t="shared" si="148"/>
        <v>2022</v>
      </c>
      <c r="L2423" s="6">
        <f t="shared" si="149"/>
        <v>44866</v>
      </c>
      <c r="M2423" s="3" t="str">
        <f t="shared" si="150"/>
        <v>11% to 15%</v>
      </c>
      <c r="N2423" s="3" t="str">
        <f t="shared" si="151"/>
        <v>OK</v>
      </c>
    </row>
    <row r="2424" spans="1:14" x14ac:dyDescent="0.3">
      <c r="A2424" s="2">
        <f>DATE(VALUE(RIGHT(TRIM([1]Raw_Data!A2422),4)),VALUE(MID(TRIM([1]Raw_Data!A2422),4,2)),VALUE(LEFT(TRIM([1]Raw_Data!A2422),2)))</f>
        <v>44893</v>
      </c>
      <c r="B2424" s="3" t="str">
        <f>TRIM([1]Raw_Data!B2422)</f>
        <v>Pre-Workout</v>
      </c>
      <c r="C2424" s="3" t="str">
        <f>TRIM([1]Raw_Data!C2422)</f>
        <v>Performance</v>
      </c>
      <c r="D2424" s="3">
        <f>[1]Raw_Data!D2422</f>
        <v>146</v>
      </c>
      <c r="E2424" s="4">
        <f>[1]Raw_Data!E2422</f>
        <v>43.86</v>
      </c>
      <c r="F2424" s="5">
        <f>[1]Raw_Data!F2422</f>
        <v>6403.56</v>
      </c>
      <c r="G2424" s="4">
        <f>[1]Raw_Data!G2422</f>
        <v>0.17</v>
      </c>
      <c r="H2424" s="3">
        <f>[1]Raw_Data!H2422</f>
        <v>1</v>
      </c>
      <c r="I2424" s="3" t="str">
        <f>TRIM([1]Raw_Data!I2422)</f>
        <v>UK</v>
      </c>
      <c r="J2424" s="3" t="str">
        <f>TRIM([1]Raw_Data!J2422)</f>
        <v>Walmart</v>
      </c>
      <c r="K2424" s="3">
        <f t="shared" si="148"/>
        <v>2022</v>
      </c>
      <c r="L2424" s="6">
        <f t="shared" si="149"/>
        <v>44866</v>
      </c>
      <c r="M2424" s="3" t="str">
        <f t="shared" si="150"/>
        <v>16% to 20%</v>
      </c>
      <c r="N2424" s="3" t="str">
        <f t="shared" si="151"/>
        <v>OK</v>
      </c>
    </row>
    <row r="2425" spans="1:14" x14ac:dyDescent="0.3">
      <c r="A2425" s="2">
        <f>DATE(VALUE(RIGHT(TRIM([1]Raw_Data!A2423),4)),VALUE(MID(TRIM([1]Raw_Data!A2423),4,2)),VALUE(LEFT(TRIM([1]Raw_Data!A2423),2)))</f>
        <v>44893</v>
      </c>
      <c r="B2425" s="3" t="str">
        <f>TRIM([1]Raw_Data!B2423)</f>
        <v>BCAA</v>
      </c>
      <c r="C2425" s="3" t="str">
        <f>TRIM([1]Raw_Data!C2423)</f>
        <v>Amino Acid</v>
      </c>
      <c r="D2425" s="3">
        <f>[1]Raw_Data!D2423</f>
        <v>167</v>
      </c>
      <c r="E2425" s="4">
        <f>[1]Raw_Data!E2423</f>
        <v>29.06</v>
      </c>
      <c r="F2425" s="5">
        <f>[1]Raw_Data!F2423</f>
        <v>4853.0200000000004</v>
      </c>
      <c r="G2425" s="4">
        <f>[1]Raw_Data!G2423</f>
        <v>0.19</v>
      </c>
      <c r="H2425" s="3">
        <f>[1]Raw_Data!H2423</f>
        <v>1</v>
      </c>
      <c r="I2425" s="3" t="str">
        <f>TRIM([1]Raw_Data!I2423)</f>
        <v>USA</v>
      </c>
      <c r="J2425" s="3" t="str">
        <f>TRIM([1]Raw_Data!J2423)</f>
        <v>iHerb</v>
      </c>
      <c r="K2425" s="3">
        <f t="shared" si="148"/>
        <v>2022</v>
      </c>
      <c r="L2425" s="6">
        <f t="shared" si="149"/>
        <v>44866</v>
      </c>
      <c r="M2425" s="3" t="str">
        <f t="shared" si="150"/>
        <v>16% to 20%</v>
      </c>
      <c r="N2425" s="3" t="str">
        <f t="shared" si="151"/>
        <v>OK</v>
      </c>
    </row>
    <row r="2426" spans="1:14" x14ac:dyDescent="0.3">
      <c r="A2426" s="2">
        <f>DATE(VALUE(RIGHT(TRIM([1]Raw_Data!A2424),4)),VALUE(MID(TRIM([1]Raw_Data!A2424),4,2)),VALUE(LEFT(TRIM([1]Raw_Data!A2424),2)))</f>
        <v>44893</v>
      </c>
      <c r="B2426" s="3" t="str">
        <f>TRIM([1]Raw_Data!B2424)</f>
        <v>Creatine</v>
      </c>
      <c r="C2426" s="3" t="str">
        <f>TRIM([1]Raw_Data!C2424)</f>
        <v>Performance</v>
      </c>
      <c r="D2426" s="3">
        <f>[1]Raw_Data!D2424</f>
        <v>168</v>
      </c>
      <c r="E2426" s="4">
        <f>[1]Raw_Data!E2424</f>
        <v>28.47</v>
      </c>
      <c r="F2426" s="5">
        <f>[1]Raw_Data!F2424</f>
        <v>4782.96</v>
      </c>
      <c r="G2426" s="4">
        <f>[1]Raw_Data!G2424</f>
        <v>0.22</v>
      </c>
      <c r="H2426" s="3">
        <f>[1]Raw_Data!H2424</f>
        <v>1</v>
      </c>
      <c r="I2426" s="3" t="str">
        <f>TRIM([1]Raw_Data!I2424)</f>
        <v>Canada</v>
      </c>
      <c r="J2426" s="3" t="str">
        <f>TRIM([1]Raw_Data!J2424)</f>
        <v>iHerb</v>
      </c>
      <c r="K2426" s="3">
        <f t="shared" si="148"/>
        <v>2022</v>
      </c>
      <c r="L2426" s="6">
        <f t="shared" si="149"/>
        <v>44866</v>
      </c>
      <c r="M2426" s="3" t="str">
        <f t="shared" si="150"/>
        <v>21% to 25%</v>
      </c>
      <c r="N2426" s="3" t="str">
        <f t="shared" si="151"/>
        <v>OK</v>
      </c>
    </row>
    <row r="2427" spans="1:14" x14ac:dyDescent="0.3">
      <c r="A2427" s="2">
        <f>DATE(VALUE(RIGHT(TRIM([1]Raw_Data!A2425),4)),VALUE(MID(TRIM([1]Raw_Data!A2425),4,2)),VALUE(LEFT(TRIM([1]Raw_Data!A2425),2)))</f>
        <v>44893</v>
      </c>
      <c r="B2427" s="3" t="str">
        <f>TRIM([1]Raw_Data!B2425)</f>
        <v>Zinc</v>
      </c>
      <c r="C2427" s="3" t="str">
        <f>TRIM([1]Raw_Data!C2425)</f>
        <v>Mineral</v>
      </c>
      <c r="D2427" s="3">
        <f>[1]Raw_Data!D2425</f>
        <v>150</v>
      </c>
      <c r="E2427" s="4">
        <f>[1]Raw_Data!E2425</f>
        <v>23.83</v>
      </c>
      <c r="F2427" s="5">
        <f>[1]Raw_Data!F2425</f>
        <v>3574.5</v>
      </c>
      <c r="G2427" s="4">
        <f>[1]Raw_Data!G2425</f>
        <v>0.16</v>
      </c>
      <c r="H2427" s="3">
        <f>[1]Raw_Data!H2425</f>
        <v>0</v>
      </c>
      <c r="I2427" s="3" t="str">
        <f>TRIM([1]Raw_Data!I2425)</f>
        <v>Canada</v>
      </c>
      <c r="J2427" s="3" t="str">
        <f>TRIM([1]Raw_Data!J2425)</f>
        <v>iHerb</v>
      </c>
      <c r="K2427" s="3">
        <f t="shared" si="148"/>
        <v>2022</v>
      </c>
      <c r="L2427" s="6">
        <f t="shared" si="149"/>
        <v>44866</v>
      </c>
      <c r="M2427" s="3" t="str">
        <f t="shared" si="150"/>
        <v>16% to 20%</v>
      </c>
      <c r="N2427" s="3" t="str">
        <f t="shared" si="151"/>
        <v>OK</v>
      </c>
    </row>
    <row r="2428" spans="1:14" x14ac:dyDescent="0.3">
      <c r="A2428" s="2">
        <f>DATE(VALUE(RIGHT(TRIM([1]Raw_Data!A2426),4)),VALUE(MID(TRIM([1]Raw_Data!A2426),4,2)),VALUE(LEFT(TRIM([1]Raw_Data!A2426),2)))</f>
        <v>44893</v>
      </c>
      <c r="B2428" s="3" t="str">
        <f>TRIM([1]Raw_Data!B2426)</f>
        <v>Collagen Peptides</v>
      </c>
      <c r="C2428" s="3" t="str">
        <f>TRIM([1]Raw_Data!C2426)</f>
        <v>Protein</v>
      </c>
      <c r="D2428" s="3">
        <f>[1]Raw_Data!D2426</f>
        <v>167</v>
      </c>
      <c r="E2428" s="4">
        <f>[1]Raw_Data!E2426</f>
        <v>19.54</v>
      </c>
      <c r="F2428" s="5">
        <f>[1]Raw_Data!F2426</f>
        <v>3263.18</v>
      </c>
      <c r="G2428" s="4">
        <f>[1]Raw_Data!G2426</f>
        <v>0.17</v>
      </c>
      <c r="H2428" s="3">
        <f>[1]Raw_Data!H2426</f>
        <v>2</v>
      </c>
      <c r="I2428" s="3" t="str">
        <f>TRIM([1]Raw_Data!I2426)</f>
        <v>USA</v>
      </c>
      <c r="J2428" s="3" t="str">
        <f>TRIM([1]Raw_Data!J2426)</f>
        <v>Amazon</v>
      </c>
      <c r="K2428" s="3">
        <f t="shared" si="148"/>
        <v>2022</v>
      </c>
      <c r="L2428" s="6">
        <f t="shared" si="149"/>
        <v>44866</v>
      </c>
      <c r="M2428" s="3" t="str">
        <f t="shared" si="150"/>
        <v>16% to 20%</v>
      </c>
      <c r="N2428" s="3" t="str">
        <f t="shared" si="151"/>
        <v>OK</v>
      </c>
    </row>
    <row r="2429" spans="1:14" x14ac:dyDescent="0.3">
      <c r="A2429" s="2">
        <f>DATE(VALUE(RIGHT(TRIM([1]Raw_Data!A2427),4)),VALUE(MID(TRIM([1]Raw_Data!A2427),4,2)),VALUE(LEFT(TRIM([1]Raw_Data!A2427),2)))</f>
        <v>44893</v>
      </c>
      <c r="B2429" s="3" t="str">
        <f>TRIM([1]Raw_Data!B2427)</f>
        <v>Magnesium</v>
      </c>
      <c r="C2429" s="3" t="str">
        <f>TRIM([1]Raw_Data!C2427)</f>
        <v>Mineral</v>
      </c>
      <c r="D2429" s="3">
        <f>[1]Raw_Data!D2427</f>
        <v>137</v>
      </c>
      <c r="E2429" s="4">
        <f>[1]Raw_Data!E2427</f>
        <v>30.45</v>
      </c>
      <c r="F2429" s="5">
        <f>[1]Raw_Data!F2427</f>
        <v>4171.6499999999996</v>
      </c>
      <c r="G2429" s="4">
        <f>[1]Raw_Data!G2427</f>
        <v>0.17</v>
      </c>
      <c r="H2429" s="3">
        <f>[1]Raw_Data!H2427</f>
        <v>2</v>
      </c>
      <c r="I2429" s="3" t="str">
        <f>TRIM([1]Raw_Data!I2427)</f>
        <v>Canada</v>
      </c>
      <c r="J2429" s="3" t="str">
        <f>TRIM([1]Raw_Data!J2427)</f>
        <v>Walmart</v>
      </c>
      <c r="K2429" s="3">
        <f t="shared" si="148"/>
        <v>2022</v>
      </c>
      <c r="L2429" s="6">
        <f t="shared" si="149"/>
        <v>44866</v>
      </c>
      <c r="M2429" s="3" t="str">
        <f t="shared" si="150"/>
        <v>16% to 20%</v>
      </c>
      <c r="N2429" s="3" t="str">
        <f t="shared" si="151"/>
        <v>OK</v>
      </c>
    </row>
    <row r="2430" spans="1:14" x14ac:dyDescent="0.3">
      <c r="A2430" s="2">
        <f>DATE(VALUE(RIGHT(TRIM([1]Raw_Data!A2428),4)),VALUE(MID(TRIM([1]Raw_Data!A2428),4,2)),VALUE(LEFT(TRIM([1]Raw_Data!A2428),2)))</f>
        <v>44893</v>
      </c>
      <c r="B2430" s="3" t="str">
        <f>TRIM([1]Raw_Data!B2428)</f>
        <v>Ashwagandha</v>
      </c>
      <c r="C2430" s="3" t="str">
        <f>TRIM([1]Raw_Data!C2428)</f>
        <v>Herbal</v>
      </c>
      <c r="D2430" s="3">
        <f>[1]Raw_Data!D2428</f>
        <v>151</v>
      </c>
      <c r="E2430" s="4">
        <f>[1]Raw_Data!E2428</f>
        <v>47.9</v>
      </c>
      <c r="F2430" s="5">
        <f>[1]Raw_Data!F2428</f>
        <v>7232.9</v>
      </c>
      <c r="G2430" s="4">
        <f>[1]Raw_Data!G2428</f>
        <v>0.15</v>
      </c>
      <c r="H2430" s="3">
        <f>[1]Raw_Data!H2428</f>
        <v>2</v>
      </c>
      <c r="I2430" s="3" t="str">
        <f>TRIM([1]Raw_Data!I2428)</f>
        <v>Canada</v>
      </c>
      <c r="J2430" s="3" t="str">
        <f>TRIM([1]Raw_Data!J2428)</f>
        <v>Amazon</v>
      </c>
      <c r="K2430" s="3">
        <f t="shared" si="148"/>
        <v>2022</v>
      </c>
      <c r="L2430" s="6">
        <f t="shared" si="149"/>
        <v>44866</v>
      </c>
      <c r="M2430" s="3" t="str">
        <f t="shared" si="150"/>
        <v>11% to 15%</v>
      </c>
      <c r="N2430" s="3" t="str">
        <f t="shared" si="151"/>
        <v>OK</v>
      </c>
    </row>
    <row r="2431" spans="1:14" x14ac:dyDescent="0.3">
      <c r="A2431" s="2">
        <f>DATE(VALUE(RIGHT(TRIM([1]Raw_Data!A2429),4)),VALUE(MID(TRIM([1]Raw_Data!A2429),4,2)),VALUE(LEFT(TRIM([1]Raw_Data!A2429),2)))</f>
        <v>44893</v>
      </c>
      <c r="B2431" s="3" t="str">
        <f>TRIM([1]Raw_Data!B2429)</f>
        <v>Melatonin</v>
      </c>
      <c r="C2431" s="3" t="str">
        <f>TRIM([1]Raw_Data!C2429)</f>
        <v>Sleep Aid</v>
      </c>
      <c r="D2431" s="3">
        <f>[1]Raw_Data!D2429</f>
        <v>144</v>
      </c>
      <c r="E2431" s="4">
        <f>[1]Raw_Data!E2429</f>
        <v>40.75</v>
      </c>
      <c r="F2431" s="5">
        <f>[1]Raw_Data!F2429</f>
        <v>5868</v>
      </c>
      <c r="G2431" s="4">
        <f>[1]Raw_Data!G2429</f>
        <v>0.21</v>
      </c>
      <c r="H2431" s="3">
        <f>[1]Raw_Data!H2429</f>
        <v>1</v>
      </c>
      <c r="I2431" s="3" t="str">
        <f>TRIM([1]Raw_Data!I2429)</f>
        <v>USA</v>
      </c>
      <c r="J2431" s="3" t="str">
        <f>TRIM([1]Raw_Data!J2429)</f>
        <v>Amazon</v>
      </c>
      <c r="K2431" s="3">
        <f t="shared" si="148"/>
        <v>2022</v>
      </c>
      <c r="L2431" s="6">
        <f t="shared" si="149"/>
        <v>44866</v>
      </c>
      <c r="M2431" s="3" t="str">
        <f t="shared" si="150"/>
        <v>21% to 25%</v>
      </c>
      <c r="N2431" s="3" t="str">
        <f t="shared" si="151"/>
        <v>OK</v>
      </c>
    </row>
    <row r="2432" spans="1:14" x14ac:dyDescent="0.3">
      <c r="A2432" s="2">
        <f>DATE(VALUE(RIGHT(TRIM([1]Raw_Data!A2430),4)),VALUE(MID(TRIM([1]Raw_Data!A2430),4,2)),VALUE(LEFT(TRIM([1]Raw_Data!A2430),2)))</f>
        <v>44893</v>
      </c>
      <c r="B2432" s="3" t="str">
        <f>TRIM([1]Raw_Data!B2430)</f>
        <v>Biotin</v>
      </c>
      <c r="C2432" s="3" t="str">
        <f>TRIM([1]Raw_Data!C2430)</f>
        <v>Vitamin</v>
      </c>
      <c r="D2432" s="3">
        <f>[1]Raw_Data!D2430</f>
        <v>139</v>
      </c>
      <c r="E2432" s="4">
        <f>[1]Raw_Data!E2430</f>
        <v>28.56</v>
      </c>
      <c r="F2432" s="5">
        <f>[1]Raw_Data!F2430</f>
        <v>3969.84</v>
      </c>
      <c r="G2432" s="4">
        <f>[1]Raw_Data!G2430</f>
        <v>0.17</v>
      </c>
      <c r="H2432" s="3">
        <f>[1]Raw_Data!H2430</f>
        <v>1</v>
      </c>
      <c r="I2432" s="3" t="str">
        <f>TRIM([1]Raw_Data!I2430)</f>
        <v>UK</v>
      </c>
      <c r="J2432" s="3" t="str">
        <f>TRIM([1]Raw_Data!J2430)</f>
        <v>Amazon</v>
      </c>
      <c r="K2432" s="3">
        <f t="shared" si="148"/>
        <v>2022</v>
      </c>
      <c r="L2432" s="6">
        <f t="shared" si="149"/>
        <v>44866</v>
      </c>
      <c r="M2432" s="3" t="str">
        <f t="shared" si="150"/>
        <v>16% to 20%</v>
      </c>
      <c r="N2432" s="3" t="str">
        <f t="shared" si="151"/>
        <v>OK</v>
      </c>
    </row>
    <row r="2433" spans="1:14" x14ac:dyDescent="0.3">
      <c r="A2433" s="2">
        <f>DATE(VALUE(RIGHT(TRIM([1]Raw_Data!A2431),4)),VALUE(MID(TRIM([1]Raw_Data!A2431),4,2)),VALUE(LEFT(TRIM([1]Raw_Data!A2431),2)))</f>
        <v>44893</v>
      </c>
      <c r="B2433" s="3" t="str">
        <f>TRIM([1]Raw_Data!B2431)</f>
        <v>Green Tea Extract</v>
      </c>
      <c r="C2433" s="3" t="str">
        <f>TRIM([1]Raw_Data!C2431)</f>
        <v>Fat Burner</v>
      </c>
      <c r="D2433" s="3">
        <f>[1]Raw_Data!D2431</f>
        <v>164</v>
      </c>
      <c r="E2433" s="4">
        <f>[1]Raw_Data!E2431</f>
        <v>44.23</v>
      </c>
      <c r="F2433" s="5">
        <f>[1]Raw_Data!F2431</f>
        <v>7253.72</v>
      </c>
      <c r="G2433" s="4">
        <f>[1]Raw_Data!G2431</f>
        <v>0.05</v>
      </c>
      <c r="H2433" s="3">
        <f>[1]Raw_Data!H2431</f>
        <v>5</v>
      </c>
      <c r="I2433" s="3" t="str">
        <f>TRIM([1]Raw_Data!I2431)</f>
        <v>USA</v>
      </c>
      <c r="J2433" s="3" t="str">
        <f>TRIM([1]Raw_Data!J2431)</f>
        <v>Amazon</v>
      </c>
      <c r="K2433" s="3">
        <f t="shared" si="148"/>
        <v>2022</v>
      </c>
      <c r="L2433" s="6">
        <f t="shared" si="149"/>
        <v>44866</v>
      </c>
      <c r="M2433" s="3" t="str">
        <f t="shared" si="150"/>
        <v>0% to 5%</v>
      </c>
      <c r="N2433" s="3" t="str">
        <f t="shared" si="151"/>
        <v>OK</v>
      </c>
    </row>
    <row r="2434" spans="1:14" x14ac:dyDescent="0.3">
      <c r="A2434" s="2">
        <f>DATE(VALUE(RIGHT(TRIM([1]Raw_Data!A2432),4)),VALUE(MID(TRIM([1]Raw_Data!A2432),4,2)),VALUE(LEFT(TRIM([1]Raw_Data!A2432),2)))</f>
        <v>44893</v>
      </c>
      <c r="B2434" s="3" t="str">
        <f>TRIM([1]Raw_Data!B2432)</f>
        <v>Iron Supplement</v>
      </c>
      <c r="C2434" s="3" t="str">
        <f>TRIM([1]Raw_Data!C2432)</f>
        <v>Mineral</v>
      </c>
      <c r="D2434" s="3">
        <f>[1]Raw_Data!D2432</f>
        <v>164</v>
      </c>
      <c r="E2434" s="4">
        <f>[1]Raw_Data!E2432</f>
        <v>26.51</v>
      </c>
      <c r="F2434" s="5">
        <f>[1]Raw_Data!F2432</f>
        <v>4347.6400000000003</v>
      </c>
      <c r="G2434" s="4">
        <f>[1]Raw_Data!G2432</f>
        <v>0.13</v>
      </c>
      <c r="H2434" s="3">
        <f>[1]Raw_Data!H2432</f>
        <v>0</v>
      </c>
      <c r="I2434" s="3" t="str">
        <f>TRIM([1]Raw_Data!I2432)</f>
        <v>Canada</v>
      </c>
      <c r="J2434" s="3" t="str">
        <f>TRIM([1]Raw_Data!J2432)</f>
        <v>Amazon</v>
      </c>
      <c r="K2434" s="3">
        <f t="shared" si="148"/>
        <v>2022</v>
      </c>
      <c r="L2434" s="6">
        <f t="shared" si="149"/>
        <v>44866</v>
      </c>
      <c r="M2434" s="3" t="str">
        <f t="shared" si="150"/>
        <v>11% to 15%</v>
      </c>
      <c r="N2434" s="3" t="str">
        <f t="shared" si="151"/>
        <v>OK</v>
      </c>
    </row>
    <row r="2435" spans="1:14" x14ac:dyDescent="0.3">
      <c r="A2435" s="2">
        <f>DATE(VALUE(RIGHT(TRIM([1]Raw_Data!A2433),4)),VALUE(MID(TRIM([1]Raw_Data!A2433),4,2)),VALUE(LEFT(TRIM([1]Raw_Data!A2433),2)))</f>
        <v>44893</v>
      </c>
      <c r="B2435" s="3" t="str">
        <f>TRIM([1]Raw_Data!B2433)</f>
        <v>Electrolyte Powder</v>
      </c>
      <c r="C2435" s="3" t="str">
        <f>TRIM([1]Raw_Data!C2433)</f>
        <v>Hydration</v>
      </c>
      <c r="D2435" s="3">
        <f>[1]Raw_Data!D2433</f>
        <v>151</v>
      </c>
      <c r="E2435" s="4">
        <f>[1]Raw_Data!E2433</f>
        <v>37.65</v>
      </c>
      <c r="F2435" s="5">
        <f>[1]Raw_Data!F2433</f>
        <v>5685.15</v>
      </c>
      <c r="G2435" s="4">
        <f>[1]Raw_Data!G2433</f>
        <v>0.16</v>
      </c>
      <c r="H2435" s="3">
        <f>[1]Raw_Data!H2433</f>
        <v>1</v>
      </c>
      <c r="I2435" s="3" t="str">
        <f>TRIM([1]Raw_Data!I2433)</f>
        <v>Canada</v>
      </c>
      <c r="J2435" s="3" t="str">
        <f>TRIM([1]Raw_Data!J2433)</f>
        <v>Walmart</v>
      </c>
      <c r="K2435" s="3">
        <f t="shared" si="148"/>
        <v>2022</v>
      </c>
      <c r="L2435" s="6">
        <f t="shared" si="149"/>
        <v>44866</v>
      </c>
      <c r="M2435" s="3" t="str">
        <f t="shared" si="150"/>
        <v>16% to 20%</v>
      </c>
      <c r="N2435" s="3" t="str">
        <f t="shared" si="151"/>
        <v>OK</v>
      </c>
    </row>
    <row r="2436" spans="1:14" x14ac:dyDescent="0.3">
      <c r="A2436" s="2">
        <f>DATE(VALUE(RIGHT(TRIM([1]Raw_Data!A2434),4)),VALUE(MID(TRIM([1]Raw_Data!A2434),4,2)),VALUE(LEFT(TRIM([1]Raw_Data!A2434),2)))</f>
        <v>44900</v>
      </c>
      <c r="B2436" s="3" t="str">
        <f>TRIM([1]Raw_Data!B2434)</f>
        <v>Whey Protein</v>
      </c>
      <c r="C2436" s="3" t="str">
        <f>TRIM([1]Raw_Data!C2434)</f>
        <v>Protein</v>
      </c>
      <c r="D2436" s="3">
        <f>[1]Raw_Data!D2434</f>
        <v>150</v>
      </c>
      <c r="E2436" s="4">
        <f>[1]Raw_Data!E2434</f>
        <v>15.43</v>
      </c>
      <c r="F2436" s="5">
        <f>[1]Raw_Data!F2434</f>
        <v>2314.5</v>
      </c>
      <c r="G2436" s="4">
        <f>[1]Raw_Data!G2434</f>
        <v>0.2</v>
      </c>
      <c r="H2436" s="3">
        <f>[1]Raw_Data!H2434</f>
        <v>0</v>
      </c>
      <c r="I2436" s="3" t="str">
        <f>TRIM([1]Raw_Data!I2434)</f>
        <v>USA</v>
      </c>
      <c r="J2436" s="3" t="str">
        <f>TRIM([1]Raw_Data!J2434)</f>
        <v>Amazon</v>
      </c>
      <c r="K2436" s="3">
        <f t="shared" ref="K2436:K2499" si="152">YEAR(A2436)</f>
        <v>2022</v>
      </c>
      <c r="L2436" s="6">
        <f t="shared" ref="L2436:L2499" si="153">DATE(YEAR(A2436),MONTH(A2436),1)</f>
        <v>44896</v>
      </c>
      <c r="M2436" s="3" t="str">
        <f t="shared" ref="M2436:M2499" si="154">IF(ROUND(G2436*100,0)&lt;=5,"0% to 5%",IF(ROUND(G2436*100,0)&lt;=10,"6% to 10%",IF(ROUND(G2436*100,0)&lt;=15,"11% to 15%",IF(ROUND(G2436*100,0)&lt;=20,"16% to 20%","21% to 25%"))))</f>
        <v>16% to 20%</v>
      </c>
      <c r="N2436" s="3" t="str">
        <f t="shared" ref="N2436:N2499" si="155">IF(ROUND(D2436*E2436,2)=ROUND(F2436,2),"OK","Check")</f>
        <v>OK</v>
      </c>
    </row>
    <row r="2437" spans="1:14" x14ac:dyDescent="0.3">
      <c r="A2437" s="2">
        <f>DATE(VALUE(RIGHT(TRIM([1]Raw_Data!A2435),4)),VALUE(MID(TRIM([1]Raw_Data!A2435),4,2)),VALUE(LEFT(TRIM([1]Raw_Data!A2435),2)))</f>
        <v>44900</v>
      </c>
      <c r="B2437" s="3" t="str">
        <f>TRIM([1]Raw_Data!B2435)</f>
        <v>Vitamin C</v>
      </c>
      <c r="C2437" s="3" t="str">
        <f>TRIM([1]Raw_Data!C2435)</f>
        <v>Vitamin</v>
      </c>
      <c r="D2437" s="3">
        <f>[1]Raw_Data!D2435</f>
        <v>117</v>
      </c>
      <c r="E2437" s="4">
        <f>[1]Raw_Data!E2435</f>
        <v>48.25</v>
      </c>
      <c r="F2437" s="5">
        <f>[1]Raw_Data!F2435</f>
        <v>5645.25</v>
      </c>
      <c r="G2437" s="4">
        <f>[1]Raw_Data!G2435</f>
        <v>0.1</v>
      </c>
      <c r="H2437" s="3">
        <f>[1]Raw_Data!H2435</f>
        <v>2</v>
      </c>
      <c r="I2437" s="3" t="str">
        <f>TRIM([1]Raw_Data!I2435)</f>
        <v>Canada</v>
      </c>
      <c r="J2437" s="3" t="str">
        <f>TRIM([1]Raw_Data!J2435)</f>
        <v>Walmart</v>
      </c>
      <c r="K2437" s="3">
        <f t="shared" si="152"/>
        <v>2022</v>
      </c>
      <c r="L2437" s="6">
        <f t="shared" si="153"/>
        <v>44896</v>
      </c>
      <c r="M2437" s="3" t="str">
        <f t="shared" si="154"/>
        <v>6% to 10%</v>
      </c>
      <c r="N2437" s="3" t="str">
        <f t="shared" si="155"/>
        <v>OK</v>
      </c>
    </row>
    <row r="2438" spans="1:14" x14ac:dyDescent="0.3">
      <c r="A2438" s="2">
        <f>DATE(VALUE(RIGHT(TRIM([1]Raw_Data!A2436),4)),VALUE(MID(TRIM([1]Raw_Data!A2436),4,2)),VALUE(LEFT(TRIM([1]Raw_Data!A2436),2)))</f>
        <v>44900</v>
      </c>
      <c r="B2438" s="3" t="str">
        <f>TRIM([1]Raw_Data!B2436)</f>
        <v>Fish Oil</v>
      </c>
      <c r="C2438" s="3" t="str">
        <f>TRIM([1]Raw_Data!C2436)</f>
        <v>Omega</v>
      </c>
      <c r="D2438" s="3">
        <f>[1]Raw_Data!D2436</f>
        <v>151</v>
      </c>
      <c r="E2438" s="4">
        <f>[1]Raw_Data!E2436</f>
        <v>45.84</v>
      </c>
      <c r="F2438" s="5">
        <f>[1]Raw_Data!F2436</f>
        <v>6921.84</v>
      </c>
      <c r="G2438" s="4">
        <f>[1]Raw_Data!G2436</f>
        <v>0.03</v>
      </c>
      <c r="H2438" s="3">
        <f>[1]Raw_Data!H2436</f>
        <v>2</v>
      </c>
      <c r="I2438" s="3" t="str">
        <f>TRIM([1]Raw_Data!I2436)</f>
        <v>UK</v>
      </c>
      <c r="J2438" s="3" t="str">
        <f>TRIM([1]Raw_Data!J2436)</f>
        <v>iHerb</v>
      </c>
      <c r="K2438" s="3">
        <f t="shared" si="152"/>
        <v>2022</v>
      </c>
      <c r="L2438" s="6">
        <f t="shared" si="153"/>
        <v>44896</v>
      </c>
      <c r="M2438" s="3" t="str">
        <f t="shared" si="154"/>
        <v>0% to 5%</v>
      </c>
      <c r="N2438" s="3" t="str">
        <f t="shared" si="155"/>
        <v>OK</v>
      </c>
    </row>
    <row r="2439" spans="1:14" x14ac:dyDescent="0.3">
      <c r="A2439" s="2">
        <f>DATE(VALUE(RIGHT(TRIM([1]Raw_Data!A2437),4)),VALUE(MID(TRIM([1]Raw_Data!A2437),4,2)),VALUE(LEFT(TRIM([1]Raw_Data!A2437),2)))</f>
        <v>44900</v>
      </c>
      <c r="B2439" s="3" t="str">
        <f>TRIM([1]Raw_Data!B2437)</f>
        <v>Multivitamin</v>
      </c>
      <c r="C2439" s="3" t="str">
        <f>TRIM([1]Raw_Data!C2437)</f>
        <v>Vitamin</v>
      </c>
      <c r="D2439" s="3">
        <f>[1]Raw_Data!D2437</f>
        <v>136</v>
      </c>
      <c r="E2439" s="4">
        <f>[1]Raw_Data!E2437</f>
        <v>48.06</v>
      </c>
      <c r="F2439" s="5">
        <f>[1]Raw_Data!F2437</f>
        <v>6536.16</v>
      </c>
      <c r="G2439" s="4">
        <f>[1]Raw_Data!G2437</f>
        <v>0.24</v>
      </c>
      <c r="H2439" s="3">
        <f>[1]Raw_Data!H2437</f>
        <v>1</v>
      </c>
      <c r="I2439" s="3" t="str">
        <f>TRIM([1]Raw_Data!I2437)</f>
        <v>UK</v>
      </c>
      <c r="J2439" s="3" t="str">
        <f>TRIM([1]Raw_Data!J2437)</f>
        <v>iHerb</v>
      </c>
      <c r="K2439" s="3">
        <f t="shared" si="152"/>
        <v>2022</v>
      </c>
      <c r="L2439" s="6">
        <f t="shared" si="153"/>
        <v>44896</v>
      </c>
      <c r="M2439" s="3" t="str">
        <f t="shared" si="154"/>
        <v>21% to 25%</v>
      </c>
      <c r="N2439" s="3" t="str">
        <f t="shared" si="155"/>
        <v>OK</v>
      </c>
    </row>
    <row r="2440" spans="1:14" x14ac:dyDescent="0.3">
      <c r="A2440" s="2">
        <f>DATE(VALUE(RIGHT(TRIM([1]Raw_Data!A2438),4)),VALUE(MID(TRIM([1]Raw_Data!A2438),4,2)),VALUE(LEFT(TRIM([1]Raw_Data!A2438),2)))</f>
        <v>44900</v>
      </c>
      <c r="B2440" s="3" t="str">
        <f>TRIM([1]Raw_Data!B2438)</f>
        <v>Pre-Workout</v>
      </c>
      <c r="C2440" s="3" t="str">
        <f>TRIM([1]Raw_Data!C2438)</f>
        <v>Performance</v>
      </c>
      <c r="D2440" s="3">
        <f>[1]Raw_Data!D2438</f>
        <v>163</v>
      </c>
      <c r="E2440" s="4">
        <f>[1]Raw_Data!E2438</f>
        <v>50.36</v>
      </c>
      <c r="F2440" s="5">
        <f>[1]Raw_Data!F2438</f>
        <v>8208.68</v>
      </c>
      <c r="G2440" s="4">
        <f>[1]Raw_Data!G2438</f>
        <v>0.16</v>
      </c>
      <c r="H2440" s="3">
        <f>[1]Raw_Data!H2438</f>
        <v>0</v>
      </c>
      <c r="I2440" s="3" t="str">
        <f>TRIM([1]Raw_Data!I2438)</f>
        <v>USA</v>
      </c>
      <c r="J2440" s="3" t="str">
        <f>TRIM([1]Raw_Data!J2438)</f>
        <v>Walmart</v>
      </c>
      <c r="K2440" s="3">
        <f t="shared" si="152"/>
        <v>2022</v>
      </c>
      <c r="L2440" s="6">
        <f t="shared" si="153"/>
        <v>44896</v>
      </c>
      <c r="M2440" s="3" t="str">
        <f t="shared" si="154"/>
        <v>16% to 20%</v>
      </c>
      <c r="N2440" s="3" t="str">
        <f t="shared" si="155"/>
        <v>OK</v>
      </c>
    </row>
    <row r="2441" spans="1:14" x14ac:dyDescent="0.3">
      <c r="A2441" s="2">
        <f>DATE(VALUE(RIGHT(TRIM([1]Raw_Data!A2439),4)),VALUE(MID(TRIM([1]Raw_Data!A2439),4,2)),VALUE(LEFT(TRIM([1]Raw_Data!A2439),2)))</f>
        <v>44900</v>
      </c>
      <c r="B2441" s="3" t="str">
        <f>TRIM([1]Raw_Data!B2439)</f>
        <v>BCAA</v>
      </c>
      <c r="C2441" s="3" t="str">
        <f>TRIM([1]Raw_Data!C2439)</f>
        <v>Amino Acid</v>
      </c>
      <c r="D2441" s="3">
        <f>[1]Raw_Data!D2439</f>
        <v>143</v>
      </c>
      <c r="E2441" s="4">
        <f>[1]Raw_Data!E2439</f>
        <v>29.15</v>
      </c>
      <c r="F2441" s="5">
        <f>[1]Raw_Data!F2439</f>
        <v>4168.45</v>
      </c>
      <c r="G2441" s="4">
        <f>[1]Raw_Data!G2439</f>
        <v>0.05</v>
      </c>
      <c r="H2441" s="3">
        <f>[1]Raw_Data!H2439</f>
        <v>2</v>
      </c>
      <c r="I2441" s="3" t="str">
        <f>TRIM([1]Raw_Data!I2439)</f>
        <v>Canada</v>
      </c>
      <c r="J2441" s="3" t="str">
        <f>TRIM([1]Raw_Data!J2439)</f>
        <v>Amazon</v>
      </c>
      <c r="K2441" s="3">
        <f t="shared" si="152"/>
        <v>2022</v>
      </c>
      <c r="L2441" s="6">
        <f t="shared" si="153"/>
        <v>44896</v>
      </c>
      <c r="M2441" s="3" t="str">
        <f t="shared" si="154"/>
        <v>0% to 5%</v>
      </c>
      <c r="N2441" s="3" t="str">
        <f t="shared" si="155"/>
        <v>OK</v>
      </c>
    </row>
    <row r="2442" spans="1:14" x14ac:dyDescent="0.3">
      <c r="A2442" s="2">
        <f>DATE(VALUE(RIGHT(TRIM([1]Raw_Data!A2440),4)),VALUE(MID(TRIM([1]Raw_Data!A2440),4,2)),VALUE(LEFT(TRIM([1]Raw_Data!A2440),2)))</f>
        <v>44900</v>
      </c>
      <c r="B2442" s="3" t="str">
        <f>TRIM([1]Raw_Data!B2440)</f>
        <v>Creatine</v>
      </c>
      <c r="C2442" s="3" t="str">
        <f>TRIM([1]Raw_Data!C2440)</f>
        <v>Performance</v>
      </c>
      <c r="D2442" s="3">
        <f>[1]Raw_Data!D2440</f>
        <v>151</v>
      </c>
      <c r="E2442" s="4">
        <f>[1]Raw_Data!E2440</f>
        <v>55.71</v>
      </c>
      <c r="F2442" s="5">
        <f>[1]Raw_Data!F2440</f>
        <v>8412.2099999999991</v>
      </c>
      <c r="G2442" s="4">
        <f>[1]Raw_Data!G2440</f>
        <v>0.13</v>
      </c>
      <c r="H2442" s="3">
        <f>[1]Raw_Data!H2440</f>
        <v>1</v>
      </c>
      <c r="I2442" s="3" t="str">
        <f>TRIM([1]Raw_Data!I2440)</f>
        <v>UK</v>
      </c>
      <c r="J2442" s="3" t="str">
        <f>TRIM([1]Raw_Data!J2440)</f>
        <v>Amazon</v>
      </c>
      <c r="K2442" s="3">
        <f t="shared" si="152"/>
        <v>2022</v>
      </c>
      <c r="L2442" s="6">
        <f t="shared" si="153"/>
        <v>44896</v>
      </c>
      <c r="M2442" s="3" t="str">
        <f t="shared" si="154"/>
        <v>11% to 15%</v>
      </c>
      <c r="N2442" s="3" t="str">
        <f t="shared" si="155"/>
        <v>OK</v>
      </c>
    </row>
    <row r="2443" spans="1:14" x14ac:dyDescent="0.3">
      <c r="A2443" s="2">
        <f>DATE(VALUE(RIGHT(TRIM([1]Raw_Data!A2441),4)),VALUE(MID(TRIM([1]Raw_Data!A2441),4,2)),VALUE(LEFT(TRIM([1]Raw_Data!A2441),2)))</f>
        <v>44900</v>
      </c>
      <c r="B2443" s="3" t="str">
        <f>TRIM([1]Raw_Data!B2441)</f>
        <v>Zinc</v>
      </c>
      <c r="C2443" s="3" t="str">
        <f>TRIM([1]Raw_Data!C2441)</f>
        <v>Mineral</v>
      </c>
      <c r="D2443" s="3">
        <f>[1]Raw_Data!D2441</f>
        <v>149</v>
      </c>
      <c r="E2443" s="4">
        <f>[1]Raw_Data!E2441</f>
        <v>12.8</v>
      </c>
      <c r="F2443" s="5">
        <f>[1]Raw_Data!F2441</f>
        <v>1907.2</v>
      </c>
      <c r="G2443" s="4">
        <f>[1]Raw_Data!G2441</f>
        <v>0.1</v>
      </c>
      <c r="H2443" s="3">
        <f>[1]Raw_Data!H2441</f>
        <v>0</v>
      </c>
      <c r="I2443" s="3" t="str">
        <f>TRIM([1]Raw_Data!I2441)</f>
        <v>USA</v>
      </c>
      <c r="J2443" s="3" t="str">
        <f>TRIM([1]Raw_Data!J2441)</f>
        <v>Amazon</v>
      </c>
      <c r="K2443" s="3">
        <f t="shared" si="152"/>
        <v>2022</v>
      </c>
      <c r="L2443" s="6">
        <f t="shared" si="153"/>
        <v>44896</v>
      </c>
      <c r="M2443" s="3" t="str">
        <f t="shared" si="154"/>
        <v>6% to 10%</v>
      </c>
      <c r="N2443" s="3" t="str">
        <f t="shared" si="155"/>
        <v>OK</v>
      </c>
    </row>
    <row r="2444" spans="1:14" x14ac:dyDescent="0.3">
      <c r="A2444" s="2">
        <f>DATE(VALUE(RIGHT(TRIM([1]Raw_Data!A2442),4)),VALUE(MID(TRIM([1]Raw_Data!A2442),4,2)),VALUE(LEFT(TRIM([1]Raw_Data!A2442),2)))</f>
        <v>44900</v>
      </c>
      <c r="B2444" s="3" t="str">
        <f>TRIM([1]Raw_Data!B2442)</f>
        <v>Collagen Peptides</v>
      </c>
      <c r="C2444" s="3" t="str">
        <f>TRIM([1]Raw_Data!C2442)</f>
        <v>Protein</v>
      </c>
      <c r="D2444" s="3">
        <f>[1]Raw_Data!D2442</f>
        <v>152</v>
      </c>
      <c r="E2444" s="4">
        <f>[1]Raw_Data!E2442</f>
        <v>36.68</v>
      </c>
      <c r="F2444" s="5">
        <f>[1]Raw_Data!F2442</f>
        <v>5575.36</v>
      </c>
      <c r="G2444" s="4">
        <f>[1]Raw_Data!G2442</f>
        <v>0.03</v>
      </c>
      <c r="H2444" s="3">
        <f>[1]Raw_Data!H2442</f>
        <v>3</v>
      </c>
      <c r="I2444" s="3" t="str">
        <f>TRIM([1]Raw_Data!I2442)</f>
        <v>UK</v>
      </c>
      <c r="J2444" s="3" t="str">
        <f>TRIM([1]Raw_Data!J2442)</f>
        <v>iHerb</v>
      </c>
      <c r="K2444" s="3">
        <f t="shared" si="152"/>
        <v>2022</v>
      </c>
      <c r="L2444" s="6">
        <f t="shared" si="153"/>
        <v>44896</v>
      </c>
      <c r="M2444" s="3" t="str">
        <f t="shared" si="154"/>
        <v>0% to 5%</v>
      </c>
      <c r="N2444" s="3" t="str">
        <f t="shared" si="155"/>
        <v>OK</v>
      </c>
    </row>
    <row r="2445" spans="1:14" x14ac:dyDescent="0.3">
      <c r="A2445" s="2">
        <f>DATE(VALUE(RIGHT(TRIM([1]Raw_Data!A2443),4)),VALUE(MID(TRIM([1]Raw_Data!A2443),4,2)),VALUE(LEFT(TRIM([1]Raw_Data!A2443),2)))</f>
        <v>44900</v>
      </c>
      <c r="B2445" s="3" t="str">
        <f>TRIM([1]Raw_Data!B2443)</f>
        <v>Magnesium</v>
      </c>
      <c r="C2445" s="3" t="str">
        <f>TRIM([1]Raw_Data!C2443)</f>
        <v>Mineral</v>
      </c>
      <c r="D2445" s="3">
        <f>[1]Raw_Data!D2443</f>
        <v>168</v>
      </c>
      <c r="E2445" s="4">
        <f>[1]Raw_Data!E2443</f>
        <v>27.17</v>
      </c>
      <c r="F2445" s="5">
        <f>[1]Raw_Data!F2443</f>
        <v>4564.5600000000004</v>
      </c>
      <c r="G2445" s="4">
        <f>[1]Raw_Data!G2443</f>
        <v>0.15</v>
      </c>
      <c r="H2445" s="3">
        <f>[1]Raw_Data!H2443</f>
        <v>0</v>
      </c>
      <c r="I2445" s="3" t="str">
        <f>TRIM([1]Raw_Data!I2443)</f>
        <v>UK</v>
      </c>
      <c r="J2445" s="3" t="str">
        <f>TRIM([1]Raw_Data!J2443)</f>
        <v>Walmart</v>
      </c>
      <c r="K2445" s="3">
        <f t="shared" si="152"/>
        <v>2022</v>
      </c>
      <c r="L2445" s="6">
        <f t="shared" si="153"/>
        <v>44896</v>
      </c>
      <c r="M2445" s="3" t="str">
        <f t="shared" si="154"/>
        <v>11% to 15%</v>
      </c>
      <c r="N2445" s="3" t="str">
        <f t="shared" si="155"/>
        <v>OK</v>
      </c>
    </row>
    <row r="2446" spans="1:14" x14ac:dyDescent="0.3">
      <c r="A2446" s="2">
        <f>DATE(VALUE(RIGHT(TRIM([1]Raw_Data!A2444),4)),VALUE(MID(TRIM([1]Raw_Data!A2444),4,2)),VALUE(LEFT(TRIM([1]Raw_Data!A2444),2)))</f>
        <v>44900</v>
      </c>
      <c r="B2446" s="3" t="str">
        <f>TRIM([1]Raw_Data!B2444)</f>
        <v>Ashwagandha</v>
      </c>
      <c r="C2446" s="3" t="str">
        <f>TRIM([1]Raw_Data!C2444)</f>
        <v>Herbal</v>
      </c>
      <c r="D2446" s="3">
        <f>[1]Raw_Data!D2444</f>
        <v>145</v>
      </c>
      <c r="E2446" s="4">
        <f>[1]Raw_Data!E2444</f>
        <v>55.78</v>
      </c>
      <c r="F2446" s="5">
        <f>[1]Raw_Data!F2444</f>
        <v>8088.1</v>
      </c>
      <c r="G2446" s="4">
        <f>[1]Raw_Data!G2444</f>
        <v>0.21</v>
      </c>
      <c r="H2446" s="3">
        <f>[1]Raw_Data!H2444</f>
        <v>2</v>
      </c>
      <c r="I2446" s="3" t="str">
        <f>TRIM([1]Raw_Data!I2444)</f>
        <v>Canada</v>
      </c>
      <c r="J2446" s="3" t="str">
        <f>TRIM([1]Raw_Data!J2444)</f>
        <v>Amazon</v>
      </c>
      <c r="K2446" s="3">
        <f t="shared" si="152"/>
        <v>2022</v>
      </c>
      <c r="L2446" s="6">
        <f t="shared" si="153"/>
        <v>44896</v>
      </c>
      <c r="M2446" s="3" t="str">
        <f t="shared" si="154"/>
        <v>21% to 25%</v>
      </c>
      <c r="N2446" s="3" t="str">
        <f t="shared" si="155"/>
        <v>OK</v>
      </c>
    </row>
    <row r="2447" spans="1:14" x14ac:dyDescent="0.3">
      <c r="A2447" s="2">
        <f>DATE(VALUE(RIGHT(TRIM([1]Raw_Data!A2445),4)),VALUE(MID(TRIM([1]Raw_Data!A2445),4,2)),VALUE(LEFT(TRIM([1]Raw_Data!A2445),2)))</f>
        <v>44900</v>
      </c>
      <c r="B2447" s="3" t="str">
        <f>TRIM([1]Raw_Data!B2445)</f>
        <v>Melatonin</v>
      </c>
      <c r="C2447" s="3" t="str">
        <f>TRIM([1]Raw_Data!C2445)</f>
        <v>Sleep Aid</v>
      </c>
      <c r="D2447" s="3">
        <f>[1]Raw_Data!D2445</f>
        <v>151</v>
      </c>
      <c r="E2447" s="4">
        <f>[1]Raw_Data!E2445</f>
        <v>56.62</v>
      </c>
      <c r="F2447" s="5">
        <f>[1]Raw_Data!F2445</f>
        <v>8549.6200000000008</v>
      </c>
      <c r="G2447" s="4">
        <f>[1]Raw_Data!G2445</f>
        <v>0.24</v>
      </c>
      <c r="H2447" s="3">
        <f>[1]Raw_Data!H2445</f>
        <v>0</v>
      </c>
      <c r="I2447" s="3" t="str">
        <f>TRIM([1]Raw_Data!I2445)</f>
        <v>Canada</v>
      </c>
      <c r="J2447" s="3" t="str">
        <f>TRIM([1]Raw_Data!J2445)</f>
        <v>Amazon</v>
      </c>
      <c r="K2447" s="3">
        <f t="shared" si="152"/>
        <v>2022</v>
      </c>
      <c r="L2447" s="6">
        <f t="shared" si="153"/>
        <v>44896</v>
      </c>
      <c r="M2447" s="3" t="str">
        <f t="shared" si="154"/>
        <v>21% to 25%</v>
      </c>
      <c r="N2447" s="3" t="str">
        <f t="shared" si="155"/>
        <v>OK</v>
      </c>
    </row>
    <row r="2448" spans="1:14" x14ac:dyDescent="0.3">
      <c r="A2448" s="2">
        <f>DATE(VALUE(RIGHT(TRIM([1]Raw_Data!A2446),4)),VALUE(MID(TRIM([1]Raw_Data!A2446),4,2)),VALUE(LEFT(TRIM([1]Raw_Data!A2446),2)))</f>
        <v>44900</v>
      </c>
      <c r="B2448" s="3" t="str">
        <f>TRIM([1]Raw_Data!B2446)</f>
        <v>Biotin</v>
      </c>
      <c r="C2448" s="3" t="str">
        <f>TRIM([1]Raw_Data!C2446)</f>
        <v>Vitamin</v>
      </c>
      <c r="D2448" s="3">
        <f>[1]Raw_Data!D2446</f>
        <v>136</v>
      </c>
      <c r="E2448" s="4">
        <f>[1]Raw_Data!E2446</f>
        <v>37.07</v>
      </c>
      <c r="F2448" s="5">
        <f>[1]Raw_Data!F2446</f>
        <v>5041.5200000000004</v>
      </c>
      <c r="G2448" s="4">
        <f>[1]Raw_Data!G2446</f>
        <v>0</v>
      </c>
      <c r="H2448" s="3">
        <f>[1]Raw_Data!H2446</f>
        <v>0</v>
      </c>
      <c r="I2448" s="3" t="str">
        <f>TRIM([1]Raw_Data!I2446)</f>
        <v>UK</v>
      </c>
      <c r="J2448" s="3" t="str">
        <f>TRIM([1]Raw_Data!J2446)</f>
        <v>Amazon</v>
      </c>
      <c r="K2448" s="3">
        <f t="shared" si="152"/>
        <v>2022</v>
      </c>
      <c r="L2448" s="6">
        <f t="shared" si="153"/>
        <v>44896</v>
      </c>
      <c r="M2448" s="3" t="str">
        <f t="shared" si="154"/>
        <v>0% to 5%</v>
      </c>
      <c r="N2448" s="3" t="str">
        <f t="shared" si="155"/>
        <v>OK</v>
      </c>
    </row>
    <row r="2449" spans="1:14" x14ac:dyDescent="0.3">
      <c r="A2449" s="2">
        <f>DATE(VALUE(RIGHT(TRIM([1]Raw_Data!A2447),4)),VALUE(MID(TRIM([1]Raw_Data!A2447),4,2)),VALUE(LEFT(TRIM([1]Raw_Data!A2447),2)))</f>
        <v>44900</v>
      </c>
      <c r="B2449" s="3" t="str">
        <f>TRIM([1]Raw_Data!B2447)</f>
        <v>Green Tea Extract</v>
      </c>
      <c r="C2449" s="3" t="str">
        <f>TRIM([1]Raw_Data!C2447)</f>
        <v>Fat Burner</v>
      </c>
      <c r="D2449" s="3">
        <f>[1]Raw_Data!D2447</f>
        <v>167</v>
      </c>
      <c r="E2449" s="4">
        <f>[1]Raw_Data!E2447</f>
        <v>27.86</v>
      </c>
      <c r="F2449" s="5">
        <f>[1]Raw_Data!F2447</f>
        <v>4652.62</v>
      </c>
      <c r="G2449" s="4">
        <f>[1]Raw_Data!G2447</f>
        <v>0.22</v>
      </c>
      <c r="H2449" s="3">
        <f>[1]Raw_Data!H2447</f>
        <v>2</v>
      </c>
      <c r="I2449" s="3" t="str">
        <f>TRIM([1]Raw_Data!I2447)</f>
        <v>USA</v>
      </c>
      <c r="J2449" s="3" t="str">
        <f>TRIM([1]Raw_Data!J2447)</f>
        <v>iHerb</v>
      </c>
      <c r="K2449" s="3">
        <f t="shared" si="152"/>
        <v>2022</v>
      </c>
      <c r="L2449" s="6">
        <f t="shared" si="153"/>
        <v>44896</v>
      </c>
      <c r="M2449" s="3" t="str">
        <f t="shared" si="154"/>
        <v>21% to 25%</v>
      </c>
      <c r="N2449" s="3" t="str">
        <f t="shared" si="155"/>
        <v>OK</v>
      </c>
    </row>
    <row r="2450" spans="1:14" x14ac:dyDescent="0.3">
      <c r="A2450" s="2">
        <f>DATE(VALUE(RIGHT(TRIM([1]Raw_Data!A2448),4)),VALUE(MID(TRIM([1]Raw_Data!A2448),4,2)),VALUE(LEFT(TRIM([1]Raw_Data!A2448),2)))</f>
        <v>44900</v>
      </c>
      <c r="B2450" s="3" t="str">
        <f>TRIM([1]Raw_Data!B2448)</f>
        <v>Iron Supplement</v>
      </c>
      <c r="C2450" s="3" t="str">
        <f>TRIM([1]Raw_Data!C2448)</f>
        <v>Mineral</v>
      </c>
      <c r="D2450" s="3">
        <f>[1]Raw_Data!D2448</f>
        <v>162</v>
      </c>
      <c r="E2450" s="4">
        <f>[1]Raw_Data!E2448</f>
        <v>15.67</v>
      </c>
      <c r="F2450" s="5">
        <f>[1]Raw_Data!F2448</f>
        <v>2538.54</v>
      </c>
      <c r="G2450" s="4">
        <f>[1]Raw_Data!G2448</f>
        <v>0.11</v>
      </c>
      <c r="H2450" s="3">
        <f>[1]Raw_Data!H2448</f>
        <v>1</v>
      </c>
      <c r="I2450" s="3" t="str">
        <f>TRIM([1]Raw_Data!I2448)</f>
        <v>UK</v>
      </c>
      <c r="J2450" s="3" t="str">
        <f>TRIM([1]Raw_Data!J2448)</f>
        <v>Amazon</v>
      </c>
      <c r="K2450" s="3">
        <f t="shared" si="152"/>
        <v>2022</v>
      </c>
      <c r="L2450" s="6">
        <f t="shared" si="153"/>
        <v>44896</v>
      </c>
      <c r="M2450" s="3" t="str">
        <f t="shared" si="154"/>
        <v>11% to 15%</v>
      </c>
      <c r="N2450" s="3" t="str">
        <f t="shared" si="155"/>
        <v>OK</v>
      </c>
    </row>
    <row r="2451" spans="1:14" x14ac:dyDescent="0.3">
      <c r="A2451" s="2">
        <f>DATE(VALUE(RIGHT(TRIM([1]Raw_Data!A2449),4)),VALUE(MID(TRIM([1]Raw_Data!A2449),4,2)),VALUE(LEFT(TRIM([1]Raw_Data!A2449),2)))</f>
        <v>44900</v>
      </c>
      <c r="B2451" s="3" t="str">
        <f>TRIM([1]Raw_Data!B2449)</f>
        <v>Electrolyte Powder</v>
      </c>
      <c r="C2451" s="3" t="str">
        <f>TRIM([1]Raw_Data!C2449)</f>
        <v>Hydration</v>
      </c>
      <c r="D2451" s="3">
        <f>[1]Raw_Data!D2449</f>
        <v>152</v>
      </c>
      <c r="E2451" s="4">
        <f>[1]Raw_Data!E2449</f>
        <v>59.57</v>
      </c>
      <c r="F2451" s="5">
        <f>[1]Raw_Data!F2449</f>
        <v>9054.64</v>
      </c>
      <c r="G2451" s="4">
        <f>[1]Raw_Data!G2449</f>
        <v>0.06</v>
      </c>
      <c r="H2451" s="3">
        <f>[1]Raw_Data!H2449</f>
        <v>0</v>
      </c>
      <c r="I2451" s="3" t="str">
        <f>TRIM([1]Raw_Data!I2449)</f>
        <v>UK</v>
      </c>
      <c r="J2451" s="3" t="str">
        <f>TRIM([1]Raw_Data!J2449)</f>
        <v>Walmart</v>
      </c>
      <c r="K2451" s="3">
        <f t="shared" si="152"/>
        <v>2022</v>
      </c>
      <c r="L2451" s="6">
        <f t="shared" si="153"/>
        <v>44896</v>
      </c>
      <c r="M2451" s="3" t="str">
        <f t="shared" si="154"/>
        <v>6% to 10%</v>
      </c>
      <c r="N2451" s="3" t="str">
        <f t="shared" si="155"/>
        <v>OK</v>
      </c>
    </row>
    <row r="2452" spans="1:14" x14ac:dyDescent="0.3">
      <c r="A2452" s="2">
        <f>DATE(VALUE(RIGHT(TRIM([1]Raw_Data!A2450),4)),VALUE(MID(TRIM([1]Raw_Data!A2450),4,2)),VALUE(LEFT(TRIM([1]Raw_Data!A2450),2)))</f>
        <v>44907</v>
      </c>
      <c r="B2452" s="3" t="str">
        <f>TRIM([1]Raw_Data!B2450)</f>
        <v>Whey Protein</v>
      </c>
      <c r="C2452" s="3" t="str">
        <f>TRIM([1]Raw_Data!C2450)</f>
        <v>Protein</v>
      </c>
      <c r="D2452" s="3">
        <f>[1]Raw_Data!D2450</f>
        <v>151</v>
      </c>
      <c r="E2452" s="4">
        <f>[1]Raw_Data!E2450</f>
        <v>31.99</v>
      </c>
      <c r="F2452" s="5">
        <f>[1]Raw_Data!F2450</f>
        <v>4830.49</v>
      </c>
      <c r="G2452" s="4">
        <f>[1]Raw_Data!G2450</f>
        <v>0.19</v>
      </c>
      <c r="H2452" s="3">
        <f>[1]Raw_Data!H2450</f>
        <v>1</v>
      </c>
      <c r="I2452" s="3" t="str">
        <f>TRIM([1]Raw_Data!I2450)</f>
        <v>UK</v>
      </c>
      <c r="J2452" s="3" t="str">
        <f>TRIM([1]Raw_Data!J2450)</f>
        <v>Walmart</v>
      </c>
      <c r="K2452" s="3">
        <f t="shared" si="152"/>
        <v>2022</v>
      </c>
      <c r="L2452" s="6">
        <f t="shared" si="153"/>
        <v>44896</v>
      </c>
      <c r="M2452" s="3" t="str">
        <f t="shared" si="154"/>
        <v>16% to 20%</v>
      </c>
      <c r="N2452" s="3" t="str">
        <f t="shared" si="155"/>
        <v>OK</v>
      </c>
    </row>
    <row r="2453" spans="1:14" x14ac:dyDescent="0.3">
      <c r="A2453" s="2">
        <f>DATE(VALUE(RIGHT(TRIM([1]Raw_Data!A2451),4)),VALUE(MID(TRIM([1]Raw_Data!A2451),4,2)),VALUE(LEFT(TRIM([1]Raw_Data!A2451),2)))</f>
        <v>44907</v>
      </c>
      <c r="B2453" s="3" t="str">
        <f>TRIM([1]Raw_Data!B2451)</f>
        <v>Vitamin C</v>
      </c>
      <c r="C2453" s="3" t="str">
        <f>TRIM([1]Raw_Data!C2451)</f>
        <v>Vitamin</v>
      </c>
      <c r="D2453" s="3">
        <f>[1]Raw_Data!D2451</f>
        <v>154</v>
      </c>
      <c r="E2453" s="4">
        <f>[1]Raw_Data!E2451</f>
        <v>11.25</v>
      </c>
      <c r="F2453" s="5">
        <f>[1]Raw_Data!F2451</f>
        <v>1732.5</v>
      </c>
      <c r="G2453" s="4">
        <f>[1]Raw_Data!G2451</f>
        <v>0.14000000000000001</v>
      </c>
      <c r="H2453" s="3">
        <f>[1]Raw_Data!H2451</f>
        <v>3</v>
      </c>
      <c r="I2453" s="3" t="str">
        <f>TRIM([1]Raw_Data!I2451)</f>
        <v>UK</v>
      </c>
      <c r="J2453" s="3" t="str">
        <f>TRIM([1]Raw_Data!J2451)</f>
        <v>Walmart</v>
      </c>
      <c r="K2453" s="3">
        <f t="shared" si="152"/>
        <v>2022</v>
      </c>
      <c r="L2453" s="6">
        <f t="shared" si="153"/>
        <v>44896</v>
      </c>
      <c r="M2453" s="3" t="str">
        <f t="shared" si="154"/>
        <v>11% to 15%</v>
      </c>
      <c r="N2453" s="3" t="str">
        <f t="shared" si="155"/>
        <v>OK</v>
      </c>
    </row>
    <row r="2454" spans="1:14" x14ac:dyDescent="0.3">
      <c r="A2454" s="2">
        <f>DATE(VALUE(RIGHT(TRIM([1]Raw_Data!A2452),4)),VALUE(MID(TRIM([1]Raw_Data!A2452),4,2)),VALUE(LEFT(TRIM([1]Raw_Data!A2452),2)))</f>
        <v>44907</v>
      </c>
      <c r="B2454" s="3" t="str">
        <f>TRIM([1]Raw_Data!B2452)</f>
        <v>Fish Oil</v>
      </c>
      <c r="C2454" s="3" t="str">
        <f>TRIM([1]Raw_Data!C2452)</f>
        <v>Omega</v>
      </c>
      <c r="D2454" s="3">
        <f>[1]Raw_Data!D2452</f>
        <v>172</v>
      </c>
      <c r="E2454" s="4">
        <f>[1]Raw_Data!E2452</f>
        <v>32.94</v>
      </c>
      <c r="F2454" s="5">
        <f>[1]Raw_Data!F2452</f>
        <v>5665.68</v>
      </c>
      <c r="G2454" s="4">
        <f>[1]Raw_Data!G2452</f>
        <v>0.25</v>
      </c>
      <c r="H2454" s="3">
        <f>[1]Raw_Data!H2452</f>
        <v>1</v>
      </c>
      <c r="I2454" s="3" t="str">
        <f>TRIM([1]Raw_Data!I2452)</f>
        <v>UK</v>
      </c>
      <c r="J2454" s="3" t="str">
        <f>TRIM([1]Raw_Data!J2452)</f>
        <v>Amazon</v>
      </c>
      <c r="K2454" s="3">
        <f t="shared" si="152"/>
        <v>2022</v>
      </c>
      <c r="L2454" s="6">
        <f t="shared" si="153"/>
        <v>44896</v>
      </c>
      <c r="M2454" s="3" t="str">
        <f t="shared" si="154"/>
        <v>21% to 25%</v>
      </c>
      <c r="N2454" s="3" t="str">
        <f t="shared" si="155"/>
        <v>OK</v>
      </c>
    </row>
    <row r="2455" spans="1:14" x14ac:dyDescent="0.3">
      <c r="A2455" s="2">
        <f>DATE(VALUE(RIGHT(TRIM([1]Raw_Data!A2453),4)),VALUE(MID(TRIM([1]Raw_Data!A2453),4,2)),VALUE(LEFT(TRIM([1]Raw_Data!A2453),2)))</f>
        <v>44907</v>
      </c>
      <c r="B2455" s="3" t="str">
        <f>TRIM([1]Raw_Data!B2453)</f>
        <v>Multivitamin</v>
      </c>
      <c r="C2455" s="3" t="str">
        <f>TRIM([1]Raw_Data!C2453)</f>
        <v>Vitamin</v>
      </c>
      <c r="D2455" s="3">
        <f>[1]Raw_Data!D2453</f>
        <v>166</v>
      </c>
      <c r="E2455" s="4">
        <f>[1]Raw_Data!E2453</f>
        <v>35.71</v>
      </c>
      <c r="F2455" s="5">
        <f>[1]Raw_Data!F2453</f>
        <v>5927.86</v>
      </c>
      <c r="G2455" s="4">
        <f>[1]Raw_Data!G2453</f>
        <v>0.21</v>
      </c>
      <c r="H2455" s="3">
        <f>[1]Raw_Data!H2453</f>
        <v>2</v>
      </c>
      <c r="I2455" s="3" t="str">
        <f>TRIM([1]Raw_Data!I2453)</f>
        <v>Canada</v>
      </c>
      <c r="J2455" s="3" t="str">
        <f>TRIM([1]Raw_Data!J2453)</f>
        <v>Amazon</v>
      </c>
      <c r="K2455" s="3">
        <f t="shared" si="152"/>
        <v>2022</v>
      </c>
      <c r="L2455" s="6">
        <f t="shared" si="153"/>
        <v>44896</v>
      </c>
      <c r="M2455" s="3" t="str">
        <f t="shared" si="154"/>
        <v>21% to 25%</v>
      </c>
      <c r="N2455" s="3" t="str">
        <f t="shared" si="155"/>
        <v>OK</v>
      </c>
    </row>
    <row r="2456" spans="1:14" x14ac:dyDescent="0.3">
      <c r="A2456" s="2">
        <f>DATE(VALUE(RIGHT(TRIM([1]Raw_Data!A2454),4)),VALUE(MID(TRIM([1]Raw_Data!A2454),4,2)),VALUE(LEFT(TRIM([1]Raw_Data!A2454),2)))</f>
        <v>44907</v>
      </c>
      <c r="B2456" s="3" t="str">
        <f>TRIM([1]Raw_Data!B2454)</f>
        <v>Pre-Workout</v>
      </c>
      <c r="C2456" s="3" t="str">
        <f>TRIM([1]Raw_Data!C2454)</f>
        <v>Performance</v>
      </c>
      <c r="D2456" s="3">
        <f>[1]Raw_Data!D2454</f>
        <v>141</v>
      </c>
      <c r="E2456" s="4">
        <f>[1]Raw_Data!E2454</f>
        <v>33.99</v>
      </c>
      <c r="F2456" s="5">
        <f>[1]Raw_Data!F2454</f>
        <v>4792.59</v>
      </c>
      <c r="G2456" s="4">
        <f>[1]Raw_Data!G2454</f>
        <v>0.21</v>
      </c>
      <c r="H2456" s="3">
        <f>[1]Raw_Data!H2454</f>
        <v>3</v>
      </c>
      <c r="I2456" s="3" t="str">
        <f>TRIM([1]Raw_Data!I2454)</f>
        <v>UK</v>
      </c>
      <c r="J2456" s="3" t="str">
        <f>TRIM([1]Raw_Data!J2454)</f>
        <v>Walmart</v>
      </c>
      <c r="K2456" s="3">
        <f t="shared" si="152"/>
        <v>2022</v>
      </c>
      <c r="L2456" s="6">
        <f t="shared" si="153"/>
        <v>44896</v>
      </c>
      <c r="M2456" s="3" t="str">
        <f t="shared" si="154"/>
        <v>21% to 25%</v>
      </c>
      <c r="N2456" s="3" t="str">
        <f t="shared" si="155"/>
        <v>OK</v>
      </c>
    </row>
    <row r="2457" spans="1:14" x14ac:dyDescent="0.3">
      <c r="A2457" s="2">
        <f>DATE(VALUE(RIGHT(TRIM([1]Raw_Data!A2455),4)),VALUE(MID(TRIM([1]Raw_Data!A2455),4,2)),VALUE(LEFT(TRIM([1]Raw_Data!A2455),2)))</f>
        <v>44907</v>
      </c>
      <c r="B2457" s="3" t="str">
        <f>TRIM([1]Raw_Data!B2455)</f>
        <v>BCAA</v>
      </c>
      <c r="C2457" s="3" t="str">
        <f>TRIM([1]Raw_Data!C2455)</f>
        <v>Amino Acid</v>
      </c>
      <c r="D2457" s="3">
        <f>[1]Raw_Data!D2455</f>
        <v>153</v>
      </c>
      <c r="E2457" s="4">
        <f>[1]Raw_Data!E2455</f>
        <v>48.74</v>
      </c>
      <c r="F2457" s="5">
        <f>[1]Raw_Data!F2455</f>
        <v>7457.22</v>
      </c>
      <c r="G2457" s="4">
        <f>[1]Raw_Data!G2455</f>
        <v>0.18</v>
      </c>
      <c r="H2457" s="3">
        <f>[1]Raw_Data!H2455</f>
        <v>1</v>
      </c>
      <c r="I2457" s="3" t="str">
        <f>TRIM([1]Raw_Data!I2455)</f>
        <v>UK</v>
      </c>
      <c r="J2457" s="3" t="str">
        <f>TRIM([1]Raw_Data!J2455)</f>
        <v>Walmart</v>
      </c>
      <c r="K2457" s="3">
        <f t="shared" si="152"/>
        <v>2022</v>
      </c>
      <c r="L2457" s="6">
        <f t="shared" si="153"/>
        <v>44896</v>
      </c>
      <c r="M2457" s="3" t="str">
        <f t="shared" si="154"/>
        <v>16% to 20%</v>
      </c>
      <c r="N2457" s="3" t="str">
        <f t="shared" si="155"/>
        <v>OK</v>
      </c>
    </row>
    <row r="2458" spans="1:14" x14ac:dyDescent="0.3">
      <c r="A2458" s="2">
        <f>DATE(VALUE(RIGHT(TRIM([1]Raw_Data!A2456),4)),VALUE(MID(TRIM([1]Raw_Data!A2456),4,2)),VALUE(LEFT(TRIM([1]Raw_Data!A2456),2)))</f>
        <v>44907</v>
      </c>
      <c r="B2458" s="3" t="str">
        <f>TRIM([1]Raw_Data!B2456)</f>
        <v>Creatine</v>
      </c>
      <c r="C2458" s="3" t="str">
        <f>TRIM([1]Raw_Data!C2456)</f>
        <v>Performance</v>
      </c>
      <c r="D2458" s="3">
        <f>[1]Raw_Data!D2456</f>
        <v>130</v>
      </c>
      <c r="E2458" s="4">
        <f>[1]Raw_Data!E2456</f>
        <v>32.78</v>
      </c>
      <c r="F2458" s="5">
        <f>[1]Raw_Data!F2456</f>
        <v>4261.3999999999996</v>
      </c>
      <c r="G2458" s="4">
        <f>[1]Raw_Data!G2456</f>
        <v>0.09</v>
      </c>
      <c r="H2458" s="3">
        <f>[1]Raw_Data!H2456</f>
        <v>2</v>
      </c>
      <c r="I2458" s="3" t="str">
        <f>TRIM([1]Raw_Data!I2456)</f>
        <v>Canada</v>
      </c>
      <c r="J2458" s="3" t="str">
        <f>TRIM([1]Raw_Data!J2456)</f>
        <v>Walmart</v>
      </c>
      <c r="K2458" s="3">
        <f t="shared" si="152"/>
        <v>2022</v>
      </c>
      <c r="L2458" s="6">
        <f t="shared" si="153"/>
        <v>44896</v>
      </c>
      <c r="M2458" s="3" t="str">
        <f t="shared" si="154"/>
        <v>6% to 10%</v>
      </c>
      <c r="N2458" s="3" t="str">
        <f t="shared" si="155"/>
        <v>OK</v>
      </c>
    </row>
    <row r="2459" spans="1:14" x14ac:dyDescent="0.3">
      <c r="A2459" s="2">
        <f>DATE(VALUE(RIGHT(TRIM([1]Raw_Data!A2457),4)),VALUE(MID(TRIM([1]Raw_Data!A2457),4,2)),VALUE(LEFT(TRIM([1]Raw_Data!A2457),2)))</f>
        <v>44907</v>
      </c>
      <c r="B2459" s="3" t="str">
        <f>TRIM([1]Raw_Data!B2457)</f>
        <v>Zinc</v>
      </c>
      <c r="C2459" s="3" t="str">
        <f>TRIM([1]Raw_Data!C2457)</f>
        <v>Mineral</v>
      </c>
      <c r="D2459" s="3">
        <f>[1]Raw_Data!D2457</f>
        <v>156</v>
      </c>
      <c r="E2459" s="4">
        <f>[1]Raw_Data!E2457</f>
        <v>51.85</v>
      </c>
      <c r="F2459" s="5">
        <f>[1]Raw_Data!F2457</f>
        <v>8088.6</v>
      </c>
      <c r="G2459" s="4">
        <f>[1]Raw_Data!G2457</f>
        <v>7.0000000000000007E-2</v>
      </c>
      <c r="H2459" s="3">
        <f>[1]Raw_Data!H2457</f>
        <v>0</v>
      </c>
      <c r="I2459" s="3" t="str">
        <f>TRIM([1]Raw_Data!I2457)</f>
        <v>USA</v>
      </c>
      <c r="J2459" s="3" t="str">
        <f>TRIM([1]Raw_Data!J2457)</f>
        <v>iHerb</v>
      </c>
      <c r="K2459" s="3">
        <f t="shared" si="152"/>
        <v>2022</v>
      </c>
      <c r="L2459" s="6">
        <f t="shared" si="153"/>
        <v>44896</v>
      </c>
      <c r="M2459" s="3" t="str">
        <f t="shared" si="154"/>
        <v>6% to 10%</v>
      </c>
      <c r="N2459" s="3" t="str">
        <f t="shared" si="155"/>
        <v>OK</v>
      </c>
    </row>
    <row r="2460" spans="1:14" x14ac:dyDescent="0.3">
      <c r="A2460" s="2">
        <f>DATE(VALUE(RIGHT(TRIM([1]Raw_Data!A2458),4)),VALUE(MID(TRIM([1]Raw_Data!A2458),4,2)),VALUE(LEFT(TRIM([1]Raw_Data!A2458),2)))</f>
        <v>44907</v>
      </c>
      <c r="B2460" s="3" t="str">
        <f>TRIM([1]Raw_Data!B2458)</f>
        <v>Collagen Peptides</v>
      </c>
      <c r="C2460" s="3" t="str">
        <f>TRIM([1]Raw_Data!C2458)</f>
        <v>Protein</v>
      </c>
      <c r="D2460" s="3">
        <f>[1]Raw_Data!D2458</f>
        <v>147</v>
      </c>
      <c r="E2460" s="4">
        <f>[1]Raw_Data!E2458</f>
        <v>58.27</v>
      </c>
      <c r="F2460" s="5">
        <f>[1]Raw_Data!F2458</f>
        <v>8565.69</v>
      </c>
      <c r="G2460" s="4">
        <f>[1]Raw_Data!G2458</f>
        <v>0.2</v>
      </c>
      <c r="H2460" s="3">
        <f>[1]Raw_Data!H2458</f>
        <v>4</v>
      </c>
      <c r="I2460" s="3" t="str">
        <f>TRIM([1]Raw_Data!I2458)</f>
        <v>UK</v>
      </c>
      <c r="J2460" s="3" t="str">
        <f>TRIM([1]Raw_Data!J2458)</f>
        <v>Walmart</v>
      </c>
      <c r="K2460" s="3">
        <f t="shared" si="152"/>
        <v>2022</v>
      </c>
      <c r="L2460" s="6">
        <f t="shared" si="153"/>
        <v>44896</v>
      </c>
      <c r="M2460" s="3" t="str">
        <f t="shared" si="154"/>
        <v>16% to 20%</v>
      </c>
      <c r="N2460" s="3" t="str">
        <f t="shared" si="155"/>
        <v>OK</v>
      </c>
    </row>
    <row r="2461" spans="1:14" x14ac:dyDescent="0.3">
      <c r="A2461" s="2">
        <f>DATE(VALUE(RIGHT(TRIM([1]Raw_Data!A2459),4)),VALUE(MID(TRIM([1]Raw_Data!A2459),4,2)),VALUE(LEFT(TRIM([1]Raw_Data!A2459),2)))</f>
        <v>44907</v>
      </c>
      <c r="B2461" s="3" t="str">
        <f>TRIM([1]Raw_Data!B2459)</f>
        <v>Magnesium</v>
      </c>
      <c r="C2461" s="3" t="str">
        <f>TRIM([1]Raw_Data!C2459)</f>
        <v>Mineral</v>
      </c>
      <c r="D2461" s="3">
        <f>[1]Raw_Data!D2459</f>
        <v>135</v>
      </c>
      <c r="E2461" s="4">
        <f>[1]Raw_Data!E2459</f>
        <v>37.89</v>
      </c>
      <c r="F2461" s="5">
        <f>[1]Raw_Data!F2459</f>
        <v>5115.1499999999996</v>
      </c>
      <c r="G2461" s="4">
        <f>[1]Raw_Data!G2459</f>
        <v>7.0000000000000007E-2</v>
      </c>
      <c r="H2461" s="3">
        <f>[1]Raw_Data!H2459</f>
        <v>2</v>
      </c>
      <c r="I2461" s="3" t="str">
        <f>TRIM([1]Raw_Data!I2459)</f>
        <v>UK</v>
      </c>
      <c r="J2461" s="3" t="str">
        <f>TRIM([1]Raw_Data!J2459)</f>
        <v>iHerb</v>
      </c>
      <c r="K2461" s="3">
        <f t="shared" si="152"/>
        <v>2022</v>
      </c>
      <c r="L2461" s="6">
        <f t="shared" si="153"/>
        <v>44896</v>
      </c>
      <c r="M2461" s="3" t="str">
        <f t="shared" si="154"/>
        <v>6% to 10%</v>
      </c>
      <c r="N2461" s="3" t="str">
        <f t="shared" si="155"/>
        <v>OK</v>
      </c>
    </row>
    <row r="2462" spans="1:14" x14ac:dyDescent="0.3">
      <c r="A2462" s="2">
        <f>DATE(VALUE(RIGHT(TRIM([1]Raw_Data!A2460),4)),VALUE(MID(TRIM([1]Raw_Data!A2460),4,2)),VALUE(LEFT(TRIM([1]Raw_Data!A2460),2)))</f>
        <v>44907</v>
      </c>
      <c r="B2462" s="3" t="str">
        <f>TRIM([1]Raw_Data!B2460)</f>
        <v>Ashwagandha</v>
      </c>
      <c r="C2462" s="3" t="str">
        <f>TRIM([1]Raw_Data!C2460)</f>
        <v>Herbal</v>
      </c>
      <c r="D2462" s="3">
        <f>[1]Raw_Data!D2460</f>
        <v>141</v>
      </c>
      <c r="E2462" s="4">
        <f>[1]Raw_Data!E2460</f>
        <v>35.06</v>
      </c>
      <c r="F2462" s="5">
        <f>[1]Raw_Data!F2460</f>
        <v>4943.46</v>
      </c>
      <c r="G2462" s="4">
        <f>[1]Raw_Data!G2460</f>
        <v>0.06</v>
      </c>
      <c r="H2462" s="3">
        <f>[1]Raw_Data!H2460</f>
        <v>2</v>
      </c>
      <c r="I2462" s="3" t="str">
        <f>TRIM([1]Raw_Data!I2460)</f>
        <v>Canada</v>
      </c>
      <c r="J2462" s="3" t="str">
        <f>TRIM([1]Raw_Data!J2460)</f>
        <v>Amazon</v>
      </c>
      <c r="K2462" s="3">
        <f t="shared" si="152"/>
        <v>2022</v>
      </c>
      <c r="L2462" s="6">
        <f t="shared" si="153"/>
        <v>44896</v>
      </c>
      <c r="M2462" s="3" t="str">
        <f t="shared" si="154"/>
        <v>6% to 10%</v>
      </c>
      <c r="N2462" s="3" t="str">
        <f t="shared" si="155"/>
        <v>OK</v>
      </c>
    </row>
    <row r="2463" spans="1:14" x14ac:dyDescent="0.3">
      <c r="A2463" s="2">
        <f>DATE(VALUE(RIGHT(TRIM([1]Raw_Data!A2461),4)),VALUE(MID(TRIM([1]Raw_Data!A2461),4,2)),VALUE(LEFT(TRIM([1]Raw_Data!A2461),2)))</f>
        <v>44907</v>
      </c>
      <c r="B2463" s="3" t="str">
        <f>TRIM([1]Raw_Data!B2461)</f>
        <v>Melatonin</v>
      </c>
      <c r="C2463" s="3" t="str">
        <f>TRIM([1]Raw_Data!C2461)</f>
        <v>Sleep Aid</v>
      </c>
      <c r="D2463" s="3">
        <f>[1]Raw_Data!D2461</f>
        <v>148</v>
      </c>
      <c r="E2463" s="4">
        <f>[1]Raw_Data!E2461</f>
        <v>28.14</v>
      </c>
      <c r="F2463" s="5">
        <f>[1]Raw_Data!F2461</f>
        <v>4164.72</v>
      </c>
      <c r="G2463" s="4">
        <f>[1]Raw_Data!G2461</f>
        <v>0</v>
      </c>
      <c r="H2463" s="3">
        <f>[1]Raw_Data!H2461</f>
        <v>1</v>
      </c>
      <c r="I2463" s="3" t="str">
        <f>TRIM([1]Raw_Data!I2461)</f>
        <v>UK</v>
      </c>
      <c r="J2463" s="3" t="str">
        <f>TRIM([1]Raw_Data!J2461)</f>
        <v>Amazon</v>
      </c>
      <c r="K2463" s="3">
        <f t="shared" si="152"/>
        <v>2022</v>
      </c>
      <c r="L2463" s="6">
        <f t="shared" si="153"/>
        <v>44896</v>
      </c>
      <c r="M2463" s="3" t="str">
        <f t="shared" si="154"/>
        <v>0% to 5%</v>
      </c>
      <c r="N2463" s="3" t="str">
        <f t="shared" si="155"/>
        <v>OK</v>
      </c>
    </row>
    <row r="2464" spans="1:14" x14ac:dyDescent="0.3">
      <c r="A2464" s="2">
        <f>DATE(VALUE(RIGHT(TRIM([1]Raw_Data!A2462),4)),VALUE(MID(TRIM([1]Raw_Data!A2462),4,2)),VALUE(LEFT(TRIM([1]Raw_Data!A2462),2)))</f>
        <v>44907</v>
      </c>
      <c r="B2464" s="3" t="str">
        <f>TRIM([1]Raw_Data!B2462)</f>
        <v>Biotin</v>
      </c>
      <c r="C2464" s="3" t="str">
        <f>TRIM([1]Raw_Data!C2462)</f>
        <v>Vitamin</v>
      </c>
      <c r="D2464" s="3">
        <f>[1]Raw_Data!D2462</f>
        <v>144</v>
      </c>
      <c r="E2464" s="4">
        <f>[1]Raw_Data!E2462</f>
        <v>25.4</v>
      </c>
      <c r="F2464" s="5">
        <f>[1]Raw_Data!F2462</f>
        <v>3657.6</v>
      </c>
      <c r="G2464" s="4">
        <f>[1]Raw_Data!G2462</f>
        <v>7.0000000000000007E-2</v>
      </c>
      <c r="H2464" s="3">
        <f>[1]Raw_Data!H2462</f>
        <v>1</v>
      </c>
      <c r="I2464" s="3" t="str">
        <f>TRIM([1]Raw_Data!I2462)</f>
        <v>USA</v>
      </c>
      <c r="J2464" s="3" t="str">
        <f>TRIM([1]Raw_Data!J2462)</f>
        <v>Amazon</v>
      </c>
      <c r="K2464" s="3">
        <f t="shared" si="152"/>
        <v>2022</v>
      </c>
      <c r="L2464" s="6">
        <f t="shared" si="153"/>
        <v>44896</v>
      </c>
      <c r="M2464" s="3" t="str">
        <f t="shared" si="154"/>
        <v>6% to 10%</v>
      </c>
      <c r="N2464" s="3" t="str">
        <f t="shared" si="155"/>
        <v>OK</v>
      </c>
    </row>
    <row r="2465" spans="1:14" x14ac:dyDescent="0.3">
      <c r="A2465" s="2">
        <f>DATE(VALUE(RIGHT(TRIM([1]Raw_Data!A2463),4)),VALUE(MID(TRIM([1]Raw_Data!A2463),4,2)),VALUE(LEFT(TRIM([1]Raw_Data!A2463),2)))</f>
        <v>44907</v>
      </c>
      <c r="B2465" s="3" t="str">
        <f>TRIM([1]Raw_Data!B2463)</f>
        <v>Green Tea Extract</v>
      </c>
      <c r="C2465" s="3" t="str">
        <f>TRIM([1]Raw_Data!C2463)</f>
        <v>Fat Burner</v>
      </c>
      <c r="D2465" s="3">
        <f>[1]Raw_Data!D2463</f>
        <v>134</v>
      </c>
      <c r="E2465" s="4">
        <f>[1]Raw_Data!E2463</f>
        <v>44.62</v>
      </c>
      <c r="F2465" s="5">
        <f>[1]Raw_Data!F2463</f>
        <v>5979.08</v>
      </c>
      <c r="G2465" s="4">
        <f>[1]Raw_Data!G2463</f>
        <v>0.16</v>
      </c>
      <c r="H2465" s="3">
        <f>[1]Raw_Data!H2463</f>
        <v>2</v>
      </c>
      <c r="I2465" s="3" t="str">
        <f>TRIM([1]Raw_Data!I2463)</f>
        <v>Canada</v>
      </c>
      <c r="J2465" s="3" t="str">
        <f>TRIM([1]Raw_Data!J2463)</f>
        <v>iHerb</v>
      </c>
      <c r="K2465" s="3">
        <f t="shared" si="152"/>
        <v>2022</v>
      </c>
      <c r="L2465" s="6">
        <f t="shared" si="153"/>
        <v>44896</v>
      </c>
      <c r="M2465" s="3" t="str">
        <f t="shared" si="154"/>
        <v>16% to 20%</v>
      </c>
      <c r="N2465" s="3" t="str">
        <f t="shared" si="155"/>
        <v>OK</v>
      </c>
    </row>
    <row r="2466" spans="1:14" x14ac:dyDescent="0.3">
      <c r="A2466" s="2">
        <f>DATE(VALUE(RIGHT(TRIM([1]Raw_Data!A2464),4)),VALUE(MID(TRIM([1]Raw_Data!A2464),4,2)),VALUE(LEFT(TRIM([1]Raw_Data!A2464),2)))</f>
        <v>44907</v>
      </c>
      <c r="B2466" s="3" t="str">
        <f>TRIM([1]Raw_Data!B2464)</f>
        <v>Iron Supplement</v>
      </c>
      <c r="C2466" s="3" t="str">
        <f>TRIM([1]Raw_Data!C2464)</f>
        <v>Mineral</v>
      </c>
      <c r="D2466" s="3">
        <f>[1]Raw_Data!D2464</f>
        <v>148</v>
      </c>
      <c r="E2466" s="4">
        <f>[1]Raw_Data!E2464</f>
        <v>50.52</v>
      </c>
      <c r="F2466" s="5">
        <f>[1]Raw_Data!F2464</f>
        <v>7476.96</v>
      </c>
      <c r="G2466" s="4">
        <f>[1]Raw_Data!G2464</f>
        <v>0.11</v>
      </c>
      <c r="H2466" s="3">
        <f>[1]Raw_Data!H2464</f>
        <v>2</v>
      </c>
      <c r="I2466" s="3" t="str">
        <f>TRIM([1]Raw_Data!I2464)</f>
        <v>USA</v>
      </c>
      <c r="J2466" s="3" t="str">
        <f>TRIM([1]Raw_Data!J2464)</f>
        <v>Amazon</v>
      </c>
      <c r="K2466" s="3">
        <f t="shared" si="152"/>
        <v>2022</v>
      </c>
      <c r="L2466" s="6">
        <f t="shared" si="153"/>
        <v>44896</v>
      </c>
      <c r="M2466" s="3" t="str">
        <f t="shared" si="154"/>
        <v>11% to 15%</v>
      </c>
      <c r="N2466" s="3" t="str">
        <f t="shared" si="155"/>
        <v>OK</v>
      </c>
    </row>
    <row r="2467" spans="1:14" x14ac:dyDescent="0.3">
      <c r="A2467" s="2">
        <f>DATE(VALUE(RIGHT(TRIM([1]Raw_Data!A2465),4)),VALUE(MID(TRIM([1]Raw_Data!A2465),4,2)),VALUE(LEFT(TRIM([1]Raw_Data!A2465),2)))</f>
        <v>44907</v>
      </c>
      <c r="B2467" s="3" t="str">
        <f>TRIM([1]Raw_Data!B2465)</f>
        <v>Electrolyte Powder</v>
      </c>
      <c r="C2467" s="3" t="str">
        <f>TRIM([1]Raw_Data!C2465)</f>
        <v>Hydration</v>
      </c>
      <c r="D2467" s="3">
        <f>[1]Raw_Data!D2465</f>
        <v>148</v>
      </c>
      <c r="E2467" s="4">
        <f>[1]Raw_Data!E2465</f>
        <v>48.01</v>
      </c>
      <c r="F2467" s="5">
        <f>[1]Raw_Data!F2465</f>
        <v>7105.48</v>
      </c>
      <c r="G2467" s="4">
        <f>[1]Raw_Data!G2465</f>
        <v>0.04</v>
      </c>
      <c r="H2467" s="3">
        <f>[1]Raw_Data!H2465</f>
        <v>1</v>
      </c>
      <c r="I2467" s="3" t="str">
        <f>TRIM([1]Raw_Data!I2465)</f>
        <v>UK</v>
      </c>
      <c r="J2467" s="3" t="str">
        <f>TRIM([1]Raw_Data!J2465)</f>
        <v>iHerb</v>
      </c>
      <c r="K2467" s="3">
        <f t="shared" si="152"/>
        <v>2022</v>
      </c>
      <c r="L2467" s="6">
        <f t="shared" si="153"/>
        <v>44896</v>
      </c>
      <c r="M2467" s="3" t="str">
        <f t="shared" si="154"/>
        <v>0% to 5%</v>
      </c>
      <c r="N2467" s="3" t="str">
        <f t="shared" si="155"/>
        <v>OK</v>
      </c>
    </row>
    <row r="2468" spans="1:14" x14ac:dyDescent="0.3">
      <c r="A2468" s="2">
        <f>DATE(VALUE(RIGHT(TRIM([1]Raw_Data!A2466),4)),VALUE(MID(TRIM([1]Raw_Data!A2466),4,2)),VALUE(LEFT(TRIM([1]Raw_Data!A2466),2)))</f>
        <v>44914</v>
      </c>
      <c r="B2468" s="3" t="str">
        <f>TRIM([1]Raw_Data!B2466)</f>
        <v>Whey Protein</v>
      </c>
      <c r="C2468" s="3" t="str">
        <f>TRIM([1]Raw_Data!C2466)</f>
        <v>Protein</v>
      </c>
      <c r="D2468" s="3">
        <f>[1]Raw_Data!D2466</f>
        <v>139</v>
      </c>
      <c r="E2468" s="4">
        <f>[1]Raw_Data!E2466</f>
        <v>21.52</v>
      </c>
      <c r="F2468" s="5">
        <f>[1]Raw_Data!F2466</f>
        <v>2991.28</v>
      </c>
      <c r="G2468" s="4">
        <f>[1]Raw_Data!G2466</f>
        <v>0.14000000000000001</v>
      </c>
      <c r="H2468" s="3">
        <f>[1]Raw_Data!H2466</f>
        <v>2</v>
      </c>
      <c r="I2468" s="3" t="str">
        <f>TRIM([1]Raw_Data!I2466)</f>
        <v>Canada</v>
      </c>
      <c r="J2468" s="3" t="str">
        <f>TRIM([1]Raw_Data!J2466)</f>
        <v>Walmart</v>
      </c>
      <c r="K2468" s="3">
        <f t="shared" si="152"/>
        <v>2022</v>
      </c>
      <c r="L2468" s="6">
        <f t="shared" si="153"/>
        <v>44896</v>
      </c>
      <c r="M2468" s="3" t="str">
        <f t="shared" si="154"/>
        <v>11% to 15%</v>
      </c>
      <c r="N2468" s="3" t="str">
        <f t="shared" si="155"/>
        <v>OK</v>
      </c>
    </row>
    <row r="2469" spans="1:14" x14ac:dyDescent="0.3">
      <c r="A2469" s="2">
        <f>DATE(VALUE(RIGHT(TRIM([1]Raw_Data!A2467),4)),VALUE(MID(TRIM([1]Raw_Data!A2467),4,2)),VALUE(LEFT(TRIM([1]Raw_Data!A2467),2)))</f>
        <v>44914</v>
      </c>
      <c r="B2469" s="3" t="str">
        <f>TRIM([1]Raw_Data!B2467)</f>
        <v>Vitamin C</v>
      </c>
      <c r="C2469" s="3" t="str">
        <f>TRIM([1]Raw_Data!C2467)</f>
        <v>Vitamin</v>
      </c>
      <c r="D2469" s="3">
        <f>[1]Raw_Data!D2467</f>
        <v>161</v>
      </c>
      <c r="E2469" s="4">
        <f>[1]Raw_Data!E2467</f>
        <v>59.44</v>
      </c>
      <c r="F2469" s="5">
        <f>[1]Raw_Data!F2467</f>
        <v>9569.84</v>
      </c>
      <c r="G2469" s="4">
        <f>[1]Raw_Data!G2467</f>
        <v>0.15</v>
      </c>
      <c r="H2469" s="3">
        <f>[1]Raw_Data!H2467</f>
        <v>1</v>
      </c>
      <c r="I2469" s="3" t="str">
        <f>TRIM([1]Raw_Data!I2467)</f>
        <v>Canada</v>
      </c>
      <c r="J2469" s="3" t="str">
        <f>TRIM([1]Raw_Data!J2467)</f>
        <v>Walmart</v>
      </c>
      <c r="K2469" s="3">
        <f t="shared" si="152"/>
        <v>2022</v>
      </c>
      <c r="L2469" s="6">
        <f t="shared" si="153"/>
        <v>44896</v>
      </c>
      <c r="M2469" s="3" t="str">
        <f t="shared" si="154"/>
        <v>11% to 15%</v>
      </c>
      <c r="N2469" s="3" t="str">
        <f t="shared" si="155"/>
        <v>OK</v>
      </c>
    </row>
    <row r="2470" spans="1:14" x14ac:dyDescent="0.3">
      <c r="A2470" s="2">
        <f>DATE(VALUE(RIGHT(TRIM([1]Raw_Data!A2468),4)),VALUE(MID(TRIM([1]Raw_Data!A2468),4,2)),VALUE(LEFT(TRIM([1]Raw_Data!A2468),2)))</f>
        <v>44914</v>
      </c>
      <c r="B2470" s="3" t="str">
        <f>TRIM([1]Raw_Data!B2468)</f>
        <v>Fish Oil</v>
      </c>
      <c r="C2470" s="3" t="str">
        <f>TRIM([1]Raw_Data!C2468)</f>
        <v>Omega</v>
      </c>
      <c r="D2470" s="3">
        <f>[1]Raw_Data!D2468</f>
        <v>164</v>
      </c>
      <c r="E2470" s="4">
        <f>[1]Raw_Data!E2468</f>
        <v>47.46</v>
      </c>
      <c r="F2470" s="5">
        <f>[1]Raw_Data!F2468</f>
        <v>7783.44</v>
      </c>
      <c r="G2470" s="4">
        <f>[1]Raw_Data!G2468</f>
        <v>0.05</v>
      </c>
      <c r="H2470" s="3">
        <f>[1]Raw_Data!H2468</f>
        <v>1</v>
      </c>
      <c r="I2470" s="3" t="str">
        <f>TRIM([1]Raw_Data!I2468)</f>
        <v>UK</v>
      </c>
      <c r="J2470" s="3" t="str">
        <f>TRIM([1]Raw_Data!J2468)</f>
        <v>iHerb</v>
      </c>
      <c r="K2470" s="3">
        <f t="shared" si="152"/>
        <v>2022</v>
      </c>
      <c r="L2470" s="6">
        <f t="shared" si="153"/>
        <v>44896</v>
      </c>
      <c r="M2470" s="3" t="str">
        <f t="shared" si="154"/>
        <v>0% to 5%</v>
      </c>
      <c r="N2470" s="3" t="str">
        <f t="shared" si="155"/>
        <v>OK</v>
      </c>
    </row>
    <row r="2471" spans="1:14" x14ac:dyDescent="0.3">
      <c r="A2471" s="2">
        <f>DATE(VALUE(RIGHT(TRIM([1]Raw_Data!A2469),4)),VALUE(MID(TRIM([1]Raw_Data!A2469),4,2)),VALUE(LEFT(TRIM([1]Raw_Data!A2469),2)))</f>
        <v>44914</v>
      </c>
      <c r="B2471" s="3" t="str">
        <f>TRIM([1]Raw_Data!B2469)</f>
        <v>Multivitamin</v>
      </c>
      <c r="C2471" s="3" t="str">
        <f>TRIM([1]Raw_Data!C2469)</f>
        <v>Vitamin</v>
      </c>
      <c r="D2471" s="3">
        <f>[1]Raw_Data!D2469</f>
        <v>165</v>
      </c>
      <c r="E2471" s="4">
        <f>[1]Raw_Data!E2469</f>
        <v>44.17</v>
      </c>
      <c r="F2471" s="5">
        <f>[1]Raw_Data!F2469</f>
        <v>7288.05</v>
      </c>
      <c r="G2471" s="4">
        <f>[1]Raw_Data!G2469</f>
        <v>0.15</v>
      </c>
      <c r="H2471" s="3">
        <f>[1]Raw_Data!H2469</f>
        <v>3</v>
      </c>
      <c r="I2471" s="3" t="str">
        <f>TRIM([1]Raw_Data!I2469)</f>
        <v>UK</v>
      </c>
      <c r="J2471" s="3" t="str">
        <f>TRIM([1]Raw_Data!J2469)</f>
        <v>iHerb</v>
      </c>
      <c r="K2471" s="3">
        <f t="shared" si="152"/>
        <v>2022</v>
      </c>
      <c r="L2471" s="6">
        <f t="shared" si="153"/>
        <v>44896</v>
      </c>
      <c r="M2471" s="3" t="str">
        <f t="shared" si="154"/>
        <v>11% to 15%</v>
      </c>
      <c r="N2471" s="3" t="str">
        <f t="shared" si="155"/>
        <v>OK</v>
      </c>
    </row>
    <row r="2472" spans="1:14" x14ac:dyDescent="0.3">
      <c r="A2472" s="2">
        <f>DATE(VALUE(RIGHT(TRIM([1]Raw_Data!A2470),4)),VALUE(MID(TRIM([1]Raw_Data!A2470),4,2)),VALUE(LEFT(TRIM([1]Raw_Data!A2470),2)))</f>
        <v>44914</v>
      </c>
      <c r="B2472" s="3" t="str">
        <f>TRIM([1]Raw_Data!B2470)</f>
        <v>Pre-Workout</v>
      </c>
      <c r="C2472" s="3" t="str">
        <f>TRIM([1]Raw_Data!C2470)</f>
        <v>Performance</v>
      </c>
      <c r="D2472" s="3">
        <f>[1]Raw_Data!D2470</f>
        <v>142</v>
      </c>
      <c r="E2472" s="4">
        <f>[1]Raw_Data!E2470</f>
        <v>16.16</v>
      </c>
      <c r="F2472" s="5">
        <f>[1]Raw_Data!F2470</f>
        <v>2294.7199999999998</v>
      </c>
      <c r="G2472" s="4">
        <f>[1]Raw_Data!G2470</f>
        <v>0.17</v>
      </c>
      <c r="H2472" s="3">
        <f>[1]Raw_Data!H2470</f>
        <v>2</v>
      </c>
      <c r="I2472" s="3" t="str">
        <f>TRIM([1]Raw_Data!I2470)</f>
        <v>UK</v>
      </c>
      <c r="J2472" s="3" t="str">
        <f>TRIM([1]Raw_Data!J2470)</f>
        <v>Amazon</v>
      </c>
      <c r="K2472" s="3">
        <f t="shared" si="152"/>
        <v>2022</v>
      </c>
      <c r="L2472" s="6">
        <f t="shared" si="153"/>
        <v>44896</v>
      </c>
      <c r="M2472" s="3" t="str">
        <f t="shared" si="154"/>
        <v>16% to 20%</v>
      </c>
      <c r="N2472" s="3" t="str">
        <f t="shared" si="155"/>
        <v>OK</v>
      </c>
    </row>
    <row r="2473" spans="1:14" x14ac:dyDescent="0.3">
      <c r="A2473" s="2">
        <f>DATE(VALUE(RIGHT(TRIM([1]Raw_Data!A2471),4)),VALUE(MID(TRIM([1]Raw_Data!A2471),4,2)),VALUE(LEFT(TRIM([1]Raw_Data!A2471),2)))</f>
        <v>44914</v>
      </c>
      <c r="B2473" s="3" t="str">
        <f>TRIM([1]Raw_Data!B2471)</f>
        <v>BCAA</v>
      </c>
      <c r="C2473" s="3" t="str">
        <f>TRIM([1]Raw_Data!C2471)</f>
        <v>Amino Acid</v>
      </c>
      <c r="D2473" s="3">
        <f>[1]Raw_Data!D2471</f>
        <v>147</v>
      </c>
      <c r="E2473" s="4">
        <f>[1]Raw_Data!E2471</f>
        <v>31</v>
      </c>
      <c r="F2473" s="5">
        <f>[1]Raw_Data!F2471</f>
        <v>4557</v>
      </c>
      <c r="G2473" s="4">
        <f>[1]Raw_Data!G2471</f>
        <v>0.05</v>
      </c>
      <c r="H2473" s="3">
        <f>[1]Raw_Data!H2471</f>
        <v>1</v>
      </c>
      <c r="I2473" s="3" t="str">
        <f>TRIM([1]Raw_Data!I2471)</f>
        <v>USA</v>
      </c>
      <c r="J2473" s="3" t="str">
        <f>TRIM([1]Raw_Data!J2471)</f>
        <v>iHerb</v>
      </c>
      <c r="K2473" s="3">
        <f t="shared" si="152"/>
        <v>2022</v>
      </c>
      <c r="L2473" s="6">
        <f t="shared" si="153"/>
        <v>44896</v>
      </c>
      <c r="M2473" s="3" t="str">
        <f t="shared" si="154"/>
        <v>0% to 5%</v>
      </c>
      <c r="N2473" s="3" t="str">
        <f t="shared" si="155"/>
        <v>OK</v>
      </c>
    </row>
    <row r="2474" spans="1:14" x14ac:dyDescent="0.3">
      <c r="A2474" s="2">
        <f>DATE(VALUE(RIGHT(TRIM([1]Raw_Data!A2472),4)),VALUE(MID(TRIM([1]Raw_Data!A2472),4,2)),VALUE(LEFT(TRIM([1]Raw_Data!A2472),2)))</f>
        <v>44914</v>
      </c>
      <c r="B2474" s="3" t="str">
        <f>TRIM([1]Raw_Data!B2472)</f>
        <v>Creatine</v>
      </c>
      <c r="C2474" s="3" t="str">
        <f>TRIM([1]Raw_Data!C2472)</f>
        <v>Performance</v>
      </c>
      <c r="D2474" s="3">
        <f>[1]Raw_Data!D2472</f>
        <v>146</v>
      </c>
      <c r="E2474" s="4">
        <f>[1]Raw_Data!E2472</f>
        <v>48.71</v>
      </c>
      <c r="F2474" s="5">
        <f>[1]Raw_Data!F2472</f>
        <v>7111.66</v>
      </c>
      <c r="G2474" s="4">
        <f>[1]Raw_Data!G2472</f>
        <v>0.15</v>
      </c>
      <c r="H2474" s="3">
        <f>[1]Raw_Data!H2472</f>
        <v>0</v>
      </c>
      <c r="I2474" s="3" t="str">
        <f>TRIM([1]Raw_Data!I2472)</f>
        <v>Canada</v>
      </c>
      <c r="J2474" s="3" t="str">
        <f>TRIM([1]Raw_Data!J2472)</f>
        <v>iHerb</v>
      </c>
      <c r="K2474" s="3">
        <f t="shared" si="152"/>
        <v>2022</v>
      </c>
      <c r="L2474" s="6">
        <f t="shared" si="153"/>
        <v>44896</v>
      </c>
      <c r="M2474" s="3" t="str">
        <f t="shared" si="154"/>
        <v>11% to 15%</v>
      </c>
      <c r="N2474" s="3" t="str">
        <f t="shared" si="155"/>
        <v>OK</v>
      </c>
    </row>
    <row r="2475" spans="1:14" x14ac:dyDescent="0.3">
      <c r="A2475" s="2">
        <f>DATE(VALUE(RIGHT(TRIM([1]Raw_Data!A2473),4)),VALUE(MID(TRIM([1]Raw_Data!A2473),4,2)),VALUE(LEFT(TRIM([1]Raw_Data!A2473),2)))</f>
        <v>44914</v>
      </c>
      <c r="B2475" s="3" t="str">
        <f>TRIM([1]Raw_Data!B2473)</f>
        <v>Zinc</v>
      </c>
      <c r="C2475" s="3" t="str">
        <f>TRIM([1]Raw_Data!C2473)</f>
        <v>Mineral</v>
      </c>
      <c r="D2475" s="3">
        <f>[1]Raw_Data!D2473</f>
        <v>173</v>
      </c>
      <c r="E2475" s="4">
        <f>[1]Raw_Data!E2473</f>
        <v>11.71</v>
      </c>
      <c r="F2475" s="5">
        <f>[1]Raw_Data!F2473</f>
        <v>2025.83</v>
      </c>
      <c r="G2475" s="4">
        <f>[1]Raw_Data!G2473</f>
        <v>0.2</v>
      </c>
      <c r="H2475" s="3">
        <f>[1]Raw_Data!H2473</f>
        <v>1</v>
      </c>
      <c r="I2475" s="3" t="str">
        <f>TRIM([1]Raw_Data!I2473)</f>
        <v>UK</v>
      </c>
      <c r="J2475" s="3" t="str">
        <f>TRIM([1]Raw_Data!J2473)</f>
        <v>Walmart</v>
      </c>
      <c r="K2475" s="3">
        <f t="shared" si="152"/>
        <v>2022</v>
      </c>
      <c r="L2475" s="6">
        <f t="shared" si="153"/>
        <v>44896</v>
      </c>
      <c r="M2475" s="3" t="str">
        <f t="shared" si="154"/>
        <v>16% to 20%</v>
      </c>
      <c r="N2475" s="3" t="str">
        <f t="shared" si="155"/>
        <v>OK</v>
      </c>
    </row>
    <row r="2476" spans="1:14" x14ac:dyDescent="0.3">
      <c r="A2476" s="2">
        <f>DATE(VALUE(RIGHT(TRIM([1]Raw_Data!A2474),4)),VALUE(MID(TRIM([1]Raw_Data!A2474),4,2)),VALUE(LEFT(TRIM([1]Raw_Data!A2474),2)))</f>
        <v>44914</v>
      </c>
      <c r="B2476" s="3" t="str">
        <f>TRIM([1]Raw_Data!B2474)</f>
        <v>Collagen Peptides</v>
      </c>
      <c r="C2476" s="3" t="str">
        <f>TRIM([1]Raw_Data!C2474)</f>
        <v>Protein</v>
      </c>
      <c r="D2476" s="3">
        <f>[1]Raw_Data!D2474</f>
        <v>153</v>
      </c>
      <c r="E2476" s="4">
        <f>[1]Raw_Data!E2474</f>
        <v>30.99</v>
      </c>
      <c r="F2476" s="5">
        <f>[1]Raw_Data!F2474</f>
        <v>4741.47</v>
      </c>
      <c r="G2476" s="4">
        <f>[1]Raw_Data!G2474</f>
        <v>0.22</v>
      </c>
      <c r="H2476" s="3">
        <f>[1]Raw_Data!H2474</f>
        <v>1</v>
      </c>
      <c r="I2476" s="3" t="str">
        <f>TRIM([1]Raw_Data!I2474)</f>
        <v>UK</v>
      </c>
      <c r="J2476" s="3" t="str">
        <f>TRIM([1]Raw_Data!J2474)</f>
        <v>Amazon</v>
      </c>
      <c r="K2476" s="3">
        <f t="shared" si="152"/>
        <v>2022</v>
      </c>
      <c r="L2476" s="6">
        <f t="shared" si="153"/>
        <v>44896</v>
      </c>
      <c r="M2476" s="3" t="str">
        <f t="shared" si="154"/>
        <v>21% to 25%</v>
      </c>
      <c r="N2476" s="3" t="str">
        <f t="shared" si="155"/>
        <v>OK</v>
      </c>
    </row>
    <row r="2477" spans="1:14" x14ac:dyDescent="0.3">
      <c r="A2477" s="2">
        <f>DATE(VALUE(RIGHT(TRIM([1]Raw_Data!A2475),4)),VALUE(MID(TRIM([1]Raw_Data!A2475),4,2)),VALUE(LEFT(TRIM([1]Raw_Data!A2475),2)))</f>
        <v>44914</v>
      </c>
      <c r="B2477" s="3" t="str">
        <f>TRIM([1]Raw_Data!B2475)</f>
        <v>Magnesium</v>
      </c>
      <c r="C2477" s="3" t="str">
        <f>TRIM([1]Raw_Data!C2475)</f>
        <v>Mineral</v>
      </c>
      <c r="D2477" s="3">
        <f>[1]Raw_Data!D2475</f>
        <v>171</v>
      </c>
      <c r="E2477" s="4">
        <f>[1]Raw_Data!E2475</f>
        <v>33.39</v>
      </c>
      <c r="F2477" s="5">
        <f>[1]Raw_Data!F2475</f>
        <v>5709.69</v>
      </c>
      <c r="G2477" s="4">
        <f>[1]Raw_Data!G2475</f>
        <v>0.02</v>
      </c>
      <c r="H2477" s="3">
        <f>[1]Raw_Data!H2475</f>
        <v>3</v>
      </c>
      <c r="I2477" s="3" t="str">
        <f>TRIM([1]Raw_Data!I2475)</f>
        <v>UK</v>
      </c>
      <c r="J2477" s="3" t="str">
        <f>TRIM([1]Raw_Data!J2475)</f>
        <v>iHerb</v>
      </c>
      <c r="K2477" s="3">
        <f t="shared" si="152"/>
        <v>2022</v>
      </c>
      <c r="L2477" s="6">
        <f t="shared" si="153"/>
        <v>44896</v>
      </c>
      <c r="M2477" s="3" t="str">
        <f t="shared" si="154"/>
        <v>0% to 5%</v>
      </c>
      <c r="N2477" s="3" t="str">
        <f t="shared" si="155"/>
        <v>OK</v>
      </c>
    </row>
    <row r="2478" spans="1:14" x14ac:dyDescent="0.3">
      <c r="A2478" s="2">
        <f>DATE(VALUE(RIGHT(TRIM([1]Raw_Data!A2476),4)),VALUE(MID(TRIM([1]Raw_Data!A2476),4,2)),VALUE(LEFT(TRIM([1]Raw_Data!A2476),2)))</f>
        <v>44914</v>
      </c>
      <c r="B2478" s="3" t="str">
        <f>TRIM([1]Raw_Data!B2476)</f>
        <v>Ashwagandha</v>
      </c>
      <c r="C2478" s="3" t="str">
        <f>TRIM([1]Raw_Data!C2476)</f>
        <v>Herbal</v>
      </c>
      <c r="D2478" s="3">
        <f>[1]Raw_Data!D2476</f>
        <v>128</v>
      </c>
      <c r="E2478" s="4">
        <f>[1]Raw_Data!E2476</f>
        <v>36.869999999999997</v>
      </c>
      <c r="F2478" s="5">
        <f>[1]Raw_Data!F2476</f>
        <v>4719.3599999999997</v>
      </c>
      <c r="G2478" s="4">
        <f>[1]Raw_Data!G2476</f>
        <v>0.04</v>
      </c>
      <c r="H2478" s="3">
        <f>[1]Raw_Data!H2476</f>
        <v>0</v>
      </c>
      <c r="I2478" s="3" t="str">
        <f>TRIM([1]Raw_Data!I2476)</f>
        <v>UK</v>
      </c>
      <c r="J2478" s="3" t="str">
        <f>TRIM([1]Raw_Data!J2476)</f>
        <v>Amazon</v>
      </c>
      <c r="K2478" s="3">
        <f t="shared" si="152"/>
        <v>2022</v>
      </c>
      <c r="L2478" s="6">
        <f t="shared" si="153"/>
        <v>44896</v>
      </c>
      <c r="M2478" s="3" t="str">
        <f t="shared" si="154"/>
        <v>0% to 5%</v>
      </c>
      <c r="N2478" s="3" t="str">
        <f t="shared" si="155"/>
        <v>OK</v>
      </c>
    </row>
    <row r="2479" spans="1:14" x14ac:dyDescent="0.3">
      <c r="A2479" s="2">
        <f>DATE(VALUE(RIGHT(TRIM([1]Raw_Data!A2477),4)),VALUE(MID(TRIM([1]Raw_Data!A2477),4,2)),VALUE(LEFT(TRIM([1]Raw_Data!A2477),2)))</f>
        <v>44914</v>
      </c>
      <c r="B2479" s="3" t="str">
        <f>TRIM([1]Raw_Data!B2477)</f>
        <v>Melatonin</v>
      </c>
      <c r="C2479" s="3" t="str">
        <f>TRIM([1]Raw_Data!C2477)</f>
        <v>Sleep Aid</v>
      </c>
      <c r="D2479" s="3">
        <f>[1]Raw_Data!D2477</f>
        <v>147</v>
      </c>
      <c r="E2479" s="4">
        <f>[1]Raw_Data!E2477</f>
        <v>18.03</v>
      </c>
      <c r="F2479" s="5">
        <f>[1]Raw_Data!F2477</f>
        <v>2650.41</v>
      </c>
      <c r="G2479" s="4">
        <f>[1]Raw_Data!G2477</f>
        <v>0.02</v>
      </c>
      <c r="H2479" s="3">
        <f>[1]Raw_Data!H2477</f>
        <v>0</v>
      </c>
      <c r="I2479" s="3" t="str">
        <f>TRIM([1]Raw_Data!I2477)</f>
        <v>USA</v>
      </c>
      <c r="J2479" s="3" t="str">
        <f>TRIM([1]Raw_Data!J2477)</f>
        <v>Amazon</v>
      </c>
      <c r="K2479" s="3">
        <f t="shared" si="152"/>
        <v>2022</v>
      </c>
      <c r="L2479" s="6">
        <f t="shared" si="153"/>
        <v>44896</v>
      </c>
      <c r="M2479" s="3" t="str">
        <f t="shared" si="154"/>
        <v>0% to 5%</v>
      </c>
      <c r="N2479" s="3" t="str">
        <f t="shared" si="155"/>
        <v>OK</v>
      </c>
    </row>
    <row r="2480" spans="1:14" x14ac:dyDescent="0.3">
      <c r="A2480" s="2">
        <f>DATE(VALUE(RIGHT(TRIM([1]Raw_Data!A2478),4)),VALUE(MID(TRIM([1]Raw_Data!A2478),4,2)),VALUE(LEFT(TRIM([1]Raw_Data!A2478),2)))</f>
        <v>44914</v>
      </c>
      <c r="B2480" s="3" t="str">
        <f>TRIM([1]Raw_Data!B2478)</f>
        <v>Biotin</v>
      </c>
      <c r="C2480" s="3" t="str">
        <f>TRIM([1]Raw_Data!C2478)</f>
        <v>Vitamin</v>
      </c>
      <c r="D2480" s="3">
        <f>[1]Raw_Data!D2478</f>
        <v>158</v>
      </c>
      <c r="E2480" s="4">
        <f>[1]Raw_Data!E2478</f>
        <v>32.630000000000003</v>
      </c>
      <c r="F2480" s="5">
        <f>[1]Raw_Data!F2478</f>
        <v>5155.54</v>
      </c>
      <c r="G2480" s="4">
        <f>[1]Raw_Data!G2478</f>
        <v>0.13</v>
      </c>
      <c r="H2480" s="3">
        <f>[1]Raw_Data!H2478</f>
        <v>0</v>
      </c>
      <c r="I2480" s="3" t="str">
        <f>TRIM([1]Raw_Data!I2478)</f>
        <v>USA</v>
      </c>
      <c r="J2480" s="3" t="str">
        <f>TRIM([1]Raw_Data!J2478)</f>
        <v>iHerb</v>
      </c>
      <c r="K2480" s="3">
        <f t="shared" si="152"/>
        <v>2022</v>
      </c>
      <c r="L2480" s="6">
        <f t="shared" si="153"/>
        <v>44896</v>
      </c>
      <c r="M2480" s="3" t="str">
        <f t="shared" si="154"/>
        <v>11% to 15%</v>
      </c>
      <c r="N2480" s="3" t="str">
        <f t="shared" si="155"/>
        <v>OK</v>
      </c>
    </row>
    <row r="2481" spans="1:14" x14ac:dyDescent="0.3">
      <c r="A2481" s="2">
        <f>DATE(VALUE(RIGHT(TRIM([1]Raw_Data!A2479),4)),VALUE(MID(TRIM([1]Raw_Data!A2479),4,2)),VALUE(LEFT(TRIM([1]Raw_Data!A2479),2)))</f>
        <v>44914</v>
      </c>
      <c r="B2481" s="3" t="str">
        <f>TRIM([1]Raw_Data!B2479)</f>
        <v>Green Tea Extract</v>
      </c>
      <c r="C2481" s="3" t="str">
        <f>TRIM([1]Raw_Data!C2479)</f>
        <v>Fat Burner</v>
      </c>
      <c r="D2481" s="3">
        <f>[1]Raw_Data!D2479</f>
        <v>127</v>
      </c>
      <c r="E2481" s="4">
        <f>[1]Raw_Data!E2479</f>
        <v>37.19</v>
      </c>
      <c r="F2481" s="5">
        <f>[1]Raw_Data!F2479</f>
        <v>4723.13</v>
      </c>
      <c r="G2481" s="4">
        <f>[1]Raw_Data!G2479</f>
        <v>0.18</v>
      </c>
      <c r="H2481" s="3">
        <f>[1]Raw_Data!H2479</f>
        <v>1</v>
      </c>
      <c r="I2481" s="3" t="str">
        <f>TRIM([1]Raw_Data!I2479)</f>
        <v>USA</v>
      </c>
      <c r="J2481" s="3" t="str">
        <f>TRIM([1]Raw_Data!J2479)</f>
        <v>Walmart</v>
      </c>
      <c r="K2481" s="3">
        <f t="shared" si="152"/>
        <v>2022</v>
      </c>
      <c r="L2481" s="6">
        <f t="shared" si="153"/>
        <v>44896</v>
      </c>
      <c r="M2481" s="3" t="str">
        <f t="shared" si="154"/>
        <v>16% to 20%</v>
      </c>
      <c r="N2481" s="3" t="str">
        <f t="shared" si="155"/>
        <v>OK</v>
      </c>
    </row>
    <row r="2482" spans="1:14" x14ac:dyDescent="0.3">
      <c r="A2482" s="2">
        <f>DATE(VALUE(RIGHT(TRIM([1]Raw_Data!A2480),4)),VALUE(MID(TRIM([1]Raw_Data!A2480),4,2)),VALUE(LEFT(TRIM([1]Raw_Data!A2480),2)))</f>
        <v>44914</v>
      </c>
      <c r="B2482" s="3" t="str">
        <f>TRIM([1]Raw_Data!B2480)</f>
        <v>Iron Supplement</v>
      </c>
      <c r="C2482" s="3" t="str">
        <f>TRIM([1]Raw_Data!C2480)</f>
        <v>Mineral</v>
      </c>
      <c r="D2482" s="3">
        <f>[1]Raw_Data!D2480</f>
        <v>146</v>
      </c>
      <c r="E2482" s="4">
        <f>[1]Raw_Data!E2480</f>
        <v>49.04</v>
      </c>
      <c r="F2482" s="5">
        <f>[1]Raw_Data!F2480</f>
        <v>7159.84</v>
      </c>
      <c r="G2482" s="4">
        <f>[1]Raw_Data!G2480</f>
        <v>0.09</v>
      </c>
      <c r="H2482" s="3">
        <f>[1]Raw_Data!H2480</f>
        <v>2</v>
      </c>
      <c r="I2482" s="3" t="str">
        <f>TRIM([1]Raw_Data!I2480)</f>
        <v>UK</v>
      </c>
      <c r="J2482" s="3" t="str">
        <f>TRIM([1]Raw_Data!J2480)</f>
        <v>Amazon</v>
      </c>
      <c r="K2482" s="3">
        <f t="shared" si="152"/>
        <v>2022</v>
      </c>
      <c r="L2482" s="6">
        <f t="shared" si="153"/>
        <v>44896</v>
      </c>
      <c r="M2482" s="3" t="str">
        <f t="shared" si="154"/>
        <v>6% to 10%</v>
      </c>
      <c r="N2482" s="3" t="str">
        <f t="shared" si="155"/>
        <v>OK</v>
      </c>
    </row>
    <row r="2483" spans="1:14" x14ac:dyDescent="0.3">
      <c r="A2483" s="2">
        <f>DATE(VALUE(RIGHT(TRIM([1]Raw_Data!A2481),4)),VALUE(MID(TRIM([1]Raw_Data!A2481),4,2)),VALUE(LEFT(TRIM([1]Raw_Data!A2481),2)))</f>
        <v>44914</v>
      </c>
      <c r="B2483" s="3" t="str">
        <f>TRIM([1]Raw_Data!B2481)</f>
        <v>Electrolyte Powder</v>
      </c>
      <c r="C2483" s="3" t="str">
        <f>TRIM([1]Raw_Data!C2481)</f>
        <v>Hydration</v>
      </c>
      <c r="D2483" s="3">
        <f>[1]Raw_Data!D2481</f>
        <v>150</v>
      </c>
      <c r="E2483" s="4">
        <f>[1]Raw_Data!E2481</f>
        <v>55.36</v>
      </c>
      <c r="F2483" s="5">
        <f>[1]Raw_Data!F2481</f>
        <v>8304</v>
      </c>
      <c r="G2483" s="4">
        <f>[1]Raw_Data!G2481</f>
        <v>0.23</v>
      </c>
      <c r="H2483" s="3">
        <f>[1]Raw_Data!H2481</f>
        <v>1</v>
      </c>
      <c r="I2483" s="3" t="str">
        <f>TRIM([1]Raw_Data!I2481)</f>
        <v>USA</v>
      </c>
      <c r="J2483" s="3" t="str">
        <f>TRIM([1]Raw_Data!J2481)</f>
        <v>Amazon</v>
      </c>
      <c r="K2483" s="3">
        <f t="shared" si="152"/>
        <v>2022</v>
      </c>
      <c r="L2483" s="6">
        <f t="shared" si="153"/>
        <v>44896</v>
      </c>
      <c r="M2483" s="3" t="str">
        <f t="shared" si="154"/>
        <v>21% to 25%</v>
      </c>
      <c r="N2483" s="3" t="str">
        <f t="shared" si="155"/>
        <v>OK</v>
      </c>
    </row>
    <row r="2484" spans="1:14" x14ac:dyDescent="0.3">
      <c r="A2484" s="2">
        <f>DATE(VALUE(RIGHT(TRIM([1]Raw_Data!A2482),4)),VALUE(MID(TRIM([1]Raw_Data!A2482),4,2)),VALUE(LEFT(TRIM([1]Raw_Data!A2482),2)))</f>
        <v>44921</v>
      </c>
      <c r="B2484" s="3" t="str">
        <f>TRIM([1]Raw_Data!B2482)</f>
        <v>Whey Protein</v>
      </c>
      <c r="C2484" s="3" t="str">
        <f>TRIM([1]Raw_Data!C2482)</f>
        <v>Protein</v>
      </c>
      <c r="D2484" s="3">
        <f>[1]Raw_Data!D2482</f>
        <v>150</v>
      </c>
      <c r="E2484" s="4">
        <f>[1]Raw_Data!E2482</f>
        <v>56.79</v>
      </c>
      <c r="F2484" s="5">
        <f>[1]Raw_Data!F2482</f>
        <v>8518.5</v>
      </c>
      <c r="G2484" s="4">
        <f>[1]Raw_Data!G2482</f>
        <v>0.11</v>
      </c>
      <c r="H2484" s="3">
        <f>[1]Raw_Data!H2482</f>
        <v>0</v>
      </c>
      <c r="I2484" s="3" t="str">
        <f>TRIM([1]Raw_Data!I2482)</f>
        <v>USA</v>
      </c>
      <c r="J2484" s="3" t="str">
        <f>TRIM([1]Raw_Data!J2482)</f>
        <v>Walmart</v>
      </c>
      <c r="K2484" s="3">
        <f t="shared" si="152"/>
        <v>2022</v>
      </c>
      <c r="L2484" s="6">
        <f t="shared" si="153"/>
        <v>44896</v>
      </c>
      <c r="M2484" s="3" t="str">
        <f t="shared" si="154"/>
        <v>11% to 15%</v>
      </c>
      <c r="N2484" s="3" t="str">
        <f t="shared" si="155"/>
        <v>OK</v>
      </c>
    </row>
    <row r="2485" spans="1:14" x14ac:dyDescent="0.3">
      <c r="A2485" s="2">
        <f>DATE(VALUE(RIGHT(TRIM([1]Raw_Data!A2483),4)),VALUE(MID(TRIM([1]Raw_Data!A2483),4,2)),VALUE(LEFT(TRIM([1]Raw_Data!A2483),2)))</f>
        <v>44921</v>
      </c>
      <c r="B2485" s="3" t="str">
        <f>TRIM([1]Raw_Data!B2483)</f>
        <v>Vitamin C</v>
      </c>
      <c r="C2485" s="3" t="str">
        <f>TRIM([1]Raw_Data!C2483)</f>
        <v>Vitamin</v>
      </c>
      <c r="D2485" s="3">
        <f>[1]Raw_Data!D2483</f>
        <v>148</v>
      </c>
      <c r="E2485" s="4">
        <f>[1]Raw_Data!E2483</f>
        <v>35.130000000000003</v>
      </c>
      <c r="F2485" s="5">
        <f>[1]Raw_Data!F2483</f>
        <v>5199.24</v>
      </c>
      <c r="G2485" s="4">
        <f>[1]Raw_Data!G2483</f>
        <v>0.14000000000000001</v>
      </c>
      <c r="H2485" s="3">
        <f>[1]Raw_Data!H2483</f>
        <v>1</v>
      </c>
      <c r="I2485" s="3" t="str">
        <f>TRIM([1]Raw_Data!I2483)</f>
        <v>UK</v>
      </c>
      <c r="J2485" s="3" t="str">
        <f>TRIM([1]Raw_Data!J2483)</f>
        <v>Amazon</v>
      </c>
      <c r="K2485" s="3">
        <f t="shared" si="152"/>
        <v>2022</v>
      </c>
      <c r="L2485" s="6">
        <f t="shared" si="153"/>
        <v>44896</v>
      </c>
      <c r="M2485" s="3" t="str">
        <f t="shared" si="154"/>
        <v>11% to 15%</v>
      </c>
      <c r="N2485" s="3" t="str">
        <f t="shared" si="155"/>
        <v>OK</v>
      </c>
    </row>
    <row r="2486" spans="1:14" x14ac:dyDescent="0.3">
      <c r="A2486" s="2">
        <f>DATE(VALUE(RIGHT(TRIM([1]Raw_Data!A2484),4)),VALUE(MID(TRIM([1]Raw_Data!A2484),4,2)),VALUE(LEFT(TRIM([1]Raw_Data!A2484),2)))</f>
        <v>44921</v>
      </c>
      <c r="B2486" s="3" t="str">
        <f>TRIM([1]Raw_Data!B2484)</f>
        <v>Fish Oil</v>
      </c>
      <c r="C2486" s="3" t="str">
        <f>TRIM([1]Raw_Data!C2484)</f>
        <v>Omega</v>
      </c>
      <c r="D2486" s="3">
        <f>[1]Raw_Data!D2484</f>
        <v>160</v>
      </c>
      <c r="E2486" s="4">
        <f>[1]Raw_Data!E2484</f>
        <v>28.34</v>
      </c>
      <c r="F2486" s="5">
        <f>[1]Raw_Data!F2484</f>
        <v>4534.3999999999996</v>
      </c>
      <c r="G2486" s="4">
        <f>[1]Raw_Data!G2484</f>
        <v>0.19</v>
      </c>
      <c r="H2486" s="3">
        <f>[1]Raw_Data!H2484</f>
        <v>1</v>
      </c>
      <c r="I2486" s="3" t="str">
        <f>TRIM([1]Raw_Data!I2484)</f>
        <v>USA</v>
      </c>
      <c r="J2486" s="3" t="str">
        <f>TRIM([1]Raw_Data!J2484)</f>
        <v>Walmart</v>
      </c>
      <c r="K2486" s="3">
        <f t="shared" si="152"/>
        <v>2022</v>
      </c>
      <c r="L2486" s="6">
        <f t="shared" si="153"/>
        <v>44896</v>
      </c>
      <c r="M2486" s="3" t="str">
        <f t="shared" si="154"/>
        <v>16% to 20%</v>
      </c>
      <c r="N2486" s="3" t="str">
        <f t="shared" si="155"/>
        <v>OK</v>
      </c>
    </row>
    <row r="2487" spans="1:14" x14ac:dyDescent="0.3">
      <c r="A2487" s="2">
        <f>DATE(VALUE(RIGHT(TRIM([1]Raw_Data!A2485),4)),VALUE(MID(TRIM([1]Raw_Data!A2485),4,2)),VALUE(LEFT(TRIM([1]Raw_Data!A2485),2)))</f>
        <v>44921</v>
      </c>
      <c r="B2487" s="3" t="str">
        <f>TRIM([1]Raw_Data!B2485)</f>
        <v>Multivitamin</v>
      </c>
      <c r="C2487" s="3" t="str">
        <f>TRIM([1]Raw_Data!C2485)</f>
        <v>Vitamin</v>
      </c>
      <c r="D2487" s="3">
        <f>[1]Raw_Data!D2485</f>
        <v>138</v>
      </c>
      <c r="E2487" s="4">
        <f>[1]Raw_Data!E2485</f>
        <v>27.25</v>
      </c>
      <c r="F2487" s="5">
        <f>[1]Raw_Data!F2485</f>
        <v>3760.5</v>
      </c>
      <c r="G2487" s="4">
        <f>[1]Raw_Data!G2485</f>
        <v>0.03</v>
      </c>
      <c r="H2487" s="3">
        <f>[1]Raw_Data!H2485</f>
        <v>6</v>
      </c>
      <c r="I2487" s="3" t="str">
        <f>TRIM([1]Raw_Data!I2485)</f>
        <v>USA</v>
      </c>
      <c r="J2487" s="3" t="str">
        <f>TRIM([1]Raw_Data!J2485)</f>
        <v>Walmart</v>
      </c>
      <c r="K2487" s="3">
        <f t="shared" si="152"/>
        <v>2022</v>
      </c>
      <c r="L2487" s="6">
        <f t="shared" si="153"/>
        <v>44896</v>
      </c>
      <c r="M2487" s="3" t="str">
        <f t="shared" si="154"/>
        <v>0% to 5%</v>
      </c>
      <c r="N2487" s="3" t="str">
        <f t="shared" si="155"/>
        <v>OK</v>
      </c>
    </row>
    <row r="2488" spans="1:14" x14ac:dyDescent="0.3">
      <c r="A2488" s="2">
        <f>DATE(VALUE(RIGHT(TRIM([1]Raw_Data!A2486),4)),VALUE(MID(TRIM([1]Raw_Data!A2486),4,2)),VALUE(LEFT(TRIM([1]Raw_Data!A2486),2)))</f>
        <v>44921</v>
      </c>
      <c r="B2488" s="3" t="str">
        <f>TRIM([1]Raw_Data!B2486)</f>
        <v>Pre-Workout</v>
      </c>
      <c r="C2488" s="3" t="str">
        <f>TRIM([1]Raw_Data!C2486)</f>
        <v>Performance</v>
      </c>
      <c r="D2488" s="3">
        <f>[1]Raw_Data!D2486</f>
        <v>122</v>
      </c>
      <c r="E2488" s="4">
        <f>[1]Raw_Data!E2486</f>
        <v>32.6</v>
      </c>
      <c r="F2488" s="5">
        <f>[1]Raw_Data!F2486</f>
        <v>3977.2</v>
      </c>
      <c r="G2488" s="4">
        <f>[1]Raw_Data!G2486</f>
        <v>0.08</v>
      </c>
      <c r="H2488" s="3">
        <f>[1]Raw_Data!H2486</f>
        <v>1</v>
      </c>
      <c r="I2488" s="3" t="str">
        <f>TRIM([1]Raw_Data!I2486)</f>
        <v>UK</v>
      </c>
      <c r="J2488" s="3" t="str">
        <f>TRIM([1]Raw_Data!J2486)</f>
        <v>Amazon</v>
      </c>
      <c r="K2488" s="3">
        <f t="shared" si="152"/>
        <v>2022</v>
      </c>
      <c r="L2488" s="6">
        <f t="shared" si="153"/>
        <v>44896</v>
      </c>
      <c r="M2488" s="3" t="str">
        <f t="shared" si="154"/>
        <v>6% to 10%</v>
      </c>
      <c r="N2488" s="3" t="str">
        <f t="shared" si="155"/>
        <v>OK</v>
      </c>
    </row>
    <row r="2489" spans="1:14" x14ac:dyDescent="0.3">
      <c r="A2489" s="2">
        <f>DATE(VALUE(RIGHT(TRIM([1]Raw_Data!A2487),4)),VALUE(MID(TRIM([1]Raw_Data!A2487),4,2)),VALUE(LEFT(TRIM([1]Raw_Data!A2487),2)))</f>
        <v>44921</v>
      </c>
      <c r="B2489" s="3" t="str">
        <f>TRIM([1]Raw_Data!B2487)</f>
        <v>BCAA</v>
      </c>
      <c r="C2489" s="3" t="str">
        <f>TRIM([1]Raw_Data!C2487)</f>
        <v>Amino Acid</v>
      </c>
      <c r="D2489" s="3">
        <f>[1]Raw_Data!D2487</f>
        <v>135</v>
      </c>
      <c r="E2489" s="4">
        <f>[1]Raw_Data!E2487</f>
        <v>26.62</v>
      </c>
      <c r="F2489" s="5">
        <f>[1]Raw_Data!F2487</f>
        <v>3593.7</v>
      </c>
      <c r="G2489" s="4">
        <f>[1]Raw_Data!G2487</f>
        <v>0.15</v>
      </c>
      <c r="H2489" s="3">
        <f>[1]Raw_Data!H2487</f>
        <v>2</v>
      </c>
      <c r="I2489" s="3" t="str">
        <f>TRIM([1]Raw_Data!I2487)</f>
        <v>Canada</v>
      </c>
      <c r="J2489" s="3" t="str">
        <f>TRIM([1]Raw_Data!J2487)</f>
        <v>Walmart</v>
      </c>
      <c r="K2489" s="3">
        <f t="shared" si="152"/>
        <v>2022</v>
      </c>
      <c r="L2489" s="6">
        <f t="shared" si="153"/>
        <v>44896</v>
      </c>
      <c r="M2489" s="3" t="str">
        <f t="shared" si="154"/>
        <v>11% to 15%</v>
      </c>
      <c r="N2489" s="3" t="str">
        <f t="shared" si="155"/>
        <v>OK</v>
      </c>
    </row>
    <row r="2490" spans="1:14" x14ac:dyDescent="0.3">
      <c r="A2490" s="2">
        <f>DATE(VALUE(RIGHT(TRIM([1]Raw_Data!A2488),4)),VALUE(MID(TRIM([1]Raw_Data!A2488),4,2)),VALUE(LEFT(TRIM([1]Raw_Data!A2488),2)))</f>
        <v>44921</v>
      </c>
      <c r="B2490" s="3" t="str">
        <f>TRIM([1]Raw_Data!B2488)</f>
        <v>Creatine</v>
      </c>
      <c r="C2490" s="3" t="str">
        <f>TRIM([1]Raw_Data!C2488)</f>
        <v>Performance</v>
      </c>
      <c r="D2490" s="3">
        <f>[1]Raw_Data!D2488</f>
        <v>167</v>
      </c>
      <c r="E2490" s="4">
        <f>[1]Raw_Data!E2488</f>
        <v>40.42</v>
      </c>
      <c r="F2490" s="5">
        <f>[1]Raw_Data!F2488</f>
        <v>6750.14</v>
      </c>
      <c r="G2490" s="4">
        <f>[1]Raw_Data!G2488</f>
        <v>0.1</v>
      </c>
      <c r="H2490" s="3">
        <f>[1]Raw_Data!H2488</f>
        <v>2</v>
      </c>
      <c r="I2490" s="3" t="str">
        <f>TRIM([1]Raw_Data!I2488)</f>
        <v>Canada</v>
      </c>
      <c r="J2490" s="3" t="str">
        <f>TRIM([1]Raw_Data!J2488)</f>
        <v>Amazon</v>
      </c>
      <c r="K2490" s="3">
        <f t="shared" si="152"/>
        <v>2022</v>
      </c>
      <c r="L2490" s="6">
        <f t="shared" si="153"/>
        <v>44896</v>
      </c>
      <c r="M2490" s="3" t="str">
        <f t="shared" si="154"/>
        <v>6% to 10%</v>
      </c>
      <c r="N2490" s="3" t="str">
        <f t="shared" si="155"/>
        <v>OK</v>
      </c>
    </row>
    <row r="2491" spans="1:14" x14ac:dyDescent="0.3">
      <c r="A2491" s="2">
        <f>DATE(VALUE(RIGHT(TRIM([1]Raw_Data!A2489),4)),VALUE(MID(TRIM([1]Raw_Data!A2489),4,2)),VALUE(LEFT(TRIM([1]Raw_Data!A2489),2)))</f>
        <v>44921</v>
      </c>
      <c r="B2491" s="3" t="str">
        <f>TRIM([1]Raw_Data!B2489)</f>
        <v>Zinc</v>
      </c>
      <c r="C2491" s="3" t="str">
        <f>TRIM([1]Raw_Data!C2489)</f>
        <v>Mineral</v>
      </c>
      <c r="D2491" s="3">
        <f>[1]Raw_Data!D2489</f>
        <v>160</v>
      </c>
      <c r="E2491" s="4">
        <f>[1]Raw_Data!E2489</f>
        <v>15.19</v>
      </c>
      <c r="F2491" s="5">
        <f>[1]Raw_Data!F2489</f>
        <v>2430.4</v>
      </c>
      <c r="G2491" s="4">
        <f>[1]Raw_Data!G2489</f>
        <v>0.1</v>
      </c>
      <c r="H2491" s="3">
        <f>[1]Raw_Data!H2489</f>
        <v>2</v>
      </c>
      <c r="I2491" s="3" t="str">
        <f>TRIM([1]Raw_Data!I2489)</f>
        <v>Canada</v>
      </c>
      <c r="J2491" s="3" t="str">
        <f>TRIM([1]Raw_Data!J2489)</f>
        <v>Walmart</v>
      </c>
      <c r="K2491" s="3">
        <f t="shared" si="152"/>
        <v>2022</v>
      </c>
      <c r="L2491" s="6">
        <f t="shared" si="153"/>
        <v>44896</v>
      </c>
      <c r="M2491" s="3" t="str">
        <f t="shared" si="154"/>
        <v>6% to 10%</v>
      </c>
      <c r="N2491" s="3" t="str">
        <f t="shared" si="155"/>
        <v>OK</v>
      </c>
    </row>
    <row r="2492" spans="1:14" x14ac:dyDescent="0.3">
      <c r="A2492" s="2">
        <f>DATE(VALUE(RIGHT(TRIM([1]Raw_Data!A2490),4)),VALUE(MID(TRIM([1]Raw_Data!A2490),4,2)),VALUE(LEFT(TRIM([1]Raw_Data!A2490),2)))</f>
        <v>44921</v>
      </c>
      <c r="B2492" s="3" t="str">
        <f>TRIM([1]Raw_Data!B2490)</f>
        <v>Collagen Peptides</v>
      </c>
      <c r="C2492" s="3" t="str">
        <f>TRIM([1]Raw_Data!C2490)</f>
        <v>Protein</v>
      </c>
      <c r="D2492" s="3">
        <f>[1]Raw_Data!D2490</f>
        <v>148</v>
      </c>
      <c r="E2492" s="4">
        <f>[1]Raw_Data!E2490</f>
        <v>30.57</v>
      </c>
      <c r="F2492" s="5">
        <f>[1]Raw_Data!F2490</f>
        <v>4524.3599999999997</v>
      </c>
      <c r="G2492" s="4">
        <f>[1]Raw_Data!G2490</f>
        <v>0.15</v>
      </c>
      <c r="H2492" s="3">
        <f>[1]Raw_Data!H2490</f>
        <v>7</v>
      </c>
      <c r="I2492" s="3" t="str">
        <f>TRIM([1]Raw_Data!I2490)</f>
        <v>Canada</v>
      </c>
      <c r="J2492" s="3" t="str">
        <f>TRIM([1]Raw_Data!J2490)</f>
        <v>iHerb</v>
      </c>
      <c r="K2492" s="3">
        <f t="shared" si="152"/>
        <v>2022</v>
      </c>
      <c r="L2492" s="6">
        <f t="shared" si="153"/>
        <v>44896</v>
      </c>
      <c r="M2492" s="3" t="str">
        <f t="shared" si="154"/>
        <v>11% to 15%</v>
      </c>
      <c r="N2492" s="3" t="str">
        <f t="shared" si="155"/>
        <v>OK</v>
      </c>
    </row>
    <row r="2493" spans="1:14" x14ac:dyDescent="0.3">
      <c r="A2493" s="2">
        <f>DATE(VALUE(RIGHT(TRIM([1]Raw_Data!A2491),4)),VALUE(MID(TRIM([1]Raw_Data!A2491),4,2)),VALUE(LEFT(TRIM([1]Raw_Data!A2491),2)))</f>
        <v>44921</v>
      </c>
      <c r="B2493" s="3" t="str">
        <f>TRIM([1]Raw_Data!B2491)</f>
        <v>Magnesium</v>
      </c>
      <c r="C2493" s="3" t="str">
        <f>TRIM([1]Raw_Data!C2491)</f>
        <v>Mineral</v>
      </c>
      <c r="D2493" s="3">
        <f>[1]Raw_Data!D2491</f>
        <v>150</v>
      </c>
      <c r="E2493" s="4">
        <f>[1]Raw_Data!E2491</f>
        <v>18.14</v>
      </c>
      <c r="F2493" s="5">
        <f>[1]Raw_Data!F2491</f>
        <v>2721</v>
      </c>
      <c r="G2493" s="4">
        <f>[1]Raw_Data!G2491</f>
        <v>0.01</v>
      </c>
      <c r="H2493" s="3">
        <f>[1]Raw_Data!H2491</f>
        <v>2</v>
      </c>
      <c r="I2493" s="3" t="str">
        <f>TRIM([1]Raw_Data!I2491)</f>
        <v>UK</v>
      </c>
      <c r="J2493" s="3" t="str">
        <f>TRIM([1]Raw_Data!J2491)</f>
        <v>Walmart</v>
      </c>
      <c r="K2493" s="3">
        <f t="shared" si="152"/>
        <v>2022</v>
      </c>
      <c r="L2493" s="6">
        <f t="shared" si="153"/>
        <v>44896</v>
      </c>
      <c r="M2493" s="3" t="str">
        <f t="shared" si="154"/>
        <v>0% to 5%</v>
      </c>
      <c r="N2493" s="3" t="str">
        <f t="shared" si="155"/>
        <v>OK</v>
      </c>
    </row>
    <row r="2494" spans="1:14" x14ac:dyDescent="0.3">
      <c r="A2494" s="2">
        <f>DATE(VALUE(RIGHT(TRIM([1]Raw_Data!A2492),4)),VALUE(MID(TRIM([1]Raw_Data!A2492),4,2)),VALUE(LEFT(TRIM([1]Raw_Data!A2492),2)))</f>
        <v>44921</v>
      </c>
      <c r="B2494" s="3" t="str">
        <f>TRIM([1]Raw_Data!B2492)</f>
        <v>Ashwagandha</v>
      </c>
      <c r="C2494" s="3" t="str">
        <f>TRIM([1]Raw_Data!C2492)</f>
        <v>Herbal</v>
      </c>
      <c r="D2494" s="3">
        <f>[1]Raw_Data!D2492</f>
        <v>151</v>
      </c>
      <c r="E2494" s="4">
        <f>[1]Raw_Data!E2492</f>
        <v>44.77</v>
      </c>
      <c r="F2494" s="5">
        <f>[1]Raw_Data!F2492</f>
        <v>6760.27</v>
      </c>
      <c r="G2494" s="4">
        <f>[1]Raw_Data!G2492</f>
        <v>0.19</v>
      </c>
      <c r="H2494" s="3">
        <f>[1]Raw_Data!H2492</f>
        <v>1</v>
      </c>
      <c r="I2494" s="3" t="str">
        <f>TRIM([1]Raw_Data!I2492)</f>
        <v>USA</v>
      </c>
      <c r="J2494" s="3" t="str">
        <f>TRIM([1]Raw_Data!J2492)</f>
        <v>iHerb</v>
      </c>
      <c r="K2494" s="3">
        <f t="shared" si="152"/>
        <v>2022</v>
      </c>
      <c r="L2494" s="6">
        <f t="shared" si="153"/>
        <v>44896</v>
      </c>
      <c r="M2494" s="3" t="str">
        <f t="shared" si="154"/>
        <v>16% to 20%</v>
      </c>
      <c r="N2494" s="3" t="str">
        <f t="shared" si="155"/>
        <v>OK</v>
      </c>
    </row>
    <row r="2495" spans="1:14" x14ac:dyDescent="0.3">
      <c r="A2495" s="2">
        <f>DATE(VALUE(RIGHT(TRIM([1]Raw_Data!A2493),4)),VALUE(MID(TRIM([1]Raw_Data!A2493),4,2)),VALUE(LEFT(TRIM([1]Raw_Data!A2493),2)))</f>
        <v>44921</v>
      </c>
      <c r="B2495" s="3" t="str">
        <f>TRIM([1]Raw_Data!B2493)</f>
        <v>Melatonin</v>
      </c>
      <c r="C2495" s="3" t="str">
        <f>TRIM([1]Raw_Data!C2493)</f>
        <v>Sleep Aid</v>
      </c>
      <c r="D2495" s="3">
        <f>[1]Raw_Data!D2493</f>
        <v>145</v>
      </c>
      <c r="E2495" s="4">
        <f>[1]Raw_Data!E2493</f>
        <v>32.64</v>
      </c>
      <c r="F2495" s="5">
        <f>[1]Raw_Data!F2493</f>
        <v>4732.8</v>
      </c>
      <c r="G2495" s="4">
        <f>[1]Raw_Data!G2493</f>
        <v>0.2</v>
      </c>
      <c r="H2495" s="3">
        <f>[1]Raw_Data!H2493</f>
        <v>2</v>
      </c>
      <c r="I2495" s="3" t="str">
        <f>TRIM([1]Raw_Data!I2493)</f>
        <v>USA</v>
      </c>
      <c r="J2495" s="3" t="str">
        <f>TRIM([1]Raw_Data!J2493)</f>
        <v>Walmart</v>
      </c>
      <c r="K2495" s="3">
        <f t="shared" si="152"/>
        <v>2022</v>
      </c>
      <c r="L2495" s="6">
        <f t="shared" si="153"/>
        <v>44896</v>
      </c>
      <c r="M2495" s="3" t="str">
        <f t="shared" si="154"/>
        <v>16% to 20%</v>
      </c>
      <c r="N2495" s="3" t="str">
        <f t="shared" si="155"/>
        <v>OK</v>
      </c>
    </row>
    <row r="2496" spans="1:14" x14ac:dyDescent="0.3">
      <c r="A2496" s="2">
        <f>DATE(VALUE(RIGHT(TRIM([1]Raw_Data!A2494),4)),VALUE(MID(TRIM([1]Raw_Data!A2494),4,2)),VALUE(LEFT(TRIM([1]Raw_Data!A2494),2)))</f>
        <v>44921</v>
      </c>
      <c r="B2496" s="3" t="str">
        <f>TRIM([1]Raw_Data!B2494)</f>
        <v>Biotin</v>
      </c>
      <c r="C2496" s="3" t="str">
        <f>TRIM([1]Raw_Data!C2494)</f>
        <v>Vitamin</v>
      </c>
      <c r="D2496" s="3">
        <f>[1]Raw_Data!D2494</f>
        <v>156</v>
      </c>
      <c r="E2496" s="4">
        <f>[1]Raw_Data!E2494</f>
        <v>56.96</v>
      </c>
      <c r="F2496" s="5">
        <f>[1]Raw_Data!F2494</f>
        <v>8885.76</v>
      </c>
      <c r="G2496" s="4">
        <f>[1]Raw_Data!G2494</f>
        <v>0.14000000000000001</v>
      </c>
      <c r="H2496" s="3">
        <f>[1]Raw_Data!H2494</f>
        <v>1</v>
      </c>
      <c r="I2496" s="3" t="str">
        <f>TRIM([1]Raw_Data!I2494)</f>
        <v>USA</v>
      </c>
      <c r="J2496" s="3" t="str">
        <f>TRIM([1]Raw_Data!J2494)</f>
        <v>Walmart</v>
      </c>
      <c r="K2496" s="3">
        <f t="shared" si="152"/>
        <v>2022</v>
      </c>
      <c r="L2496" s="6">
        <f t="shared" si="153"/>
        <v>44896</v>
      </c>
      <c r="M2496" s="3" t="str">
        <f t="shared" si="154"/>
        <v>11% to 15%</v>
      </c>
      <c r="N2496" s="3" t="str">
        <f t="shared" si="155"/>
        <v>OK</v>
      </c>
    </row>
    <row r="2497" spans="1:14" x14ac:dyDescent="0.3">
      <c r="A2497" s="2">
        <f>DATE(VALUE(RIGHT(TRIM([1]Raw_Data!A2495),4)),VALUE(MID(TRIM([1]Raw_Data!A2495),4,2)),VALUE(LEFT(TRIM([1]Raw_Data!A2495),2)))</f>
        <v>44921</v>
      </c>
      <c r="B2497" s="3" t="str">
        <f>TRIM([1]Raw_Data!B2495)</f>
        <v>Green Tea Extract</v>
      </c>
      <c r="C2497" s="3" t="str">
        <f>TRIM([1]Raw_Data!C2495)</f>
        <v>Fat Burner</v>
      </c>
      <c r="D2497" s="3">
        <f>[1]Raw_Data!D2495</f>
        <v>146</v>
      </c>
      <c r="E2497" s="4">
        <f>[1]Raw_Data!E2495</f>
        <v>42.54</v>
      </c>
      <c r="F2497" s="5">
        <f>[1]Raw_Data!F2495</f>
        <v>6210.84</v>
      </c>
      <c r="G2497" s="4">
        <f>[1]Raw_Data!G2495</f>
        <v>0.04</v>
      </c>
      <c r="H2497" s="3">
        <f>[1]Raw_Data!H2495</f>
        <v>0</v>
      </c>
      <c r="I2497" s="3" t="str">
        <f>TRIM([1]Raw_Data!I2495)</f>
        <v>UK</v>
      </c>
      <c r="J2497" s="3" t="str">
        <f>TRIM([1]Raw_Data!J2495)</f>
        <v>Amazon</v>
      </c>
      <c r="K2497" s="3">
        <f t="shared" si="152"/>
        <v>2022</v>
      </c>
      <c r="L2497" s="6">
        <f t="shared" si="153"/>
        <v>44896</v>
      </c>
      <c r="M2497" s="3" t="str">
        <f t="shared" si="154"/>
        <v>0% to 5%</v>
      </c>
      <c r="N2497" s="3" t="str">
        <f t="shared" si="155"/>
        <v>OK</v>
      </c>
    </row>
    <row r="2498" spans="1:14" x14ac:dyDescent="0.3">
      <c r="A2498" s="2">
        <f>DATE(VALUE(RIGHT(TRIM([1]Raw_Data!A2496),4)),VALUE(MID(TRIM([1]Raw_Data!A2496),4,2)),VALUE(LEFT(TRIM([1]Raw_Data!A2496),2)))</f>
        <v>44921</v>
      </c>
      <c r="B2498" s="3" t="str">
        <f>TRIM([1]Raw_Data!B2496)</f>
        <v>Iron Supplement</v>
      </c>
      <c r="C2498" s="3" t="str">
        <f>TRIM([1]Raw_Data!C2496)</f>
        <v>Mineral</v>
      </c>
      <c r="D2498" s="3">
        <f>[1]Raw_Data!D2496</f>
        <v>157</v>
      </c>
      <c r="E2498" s="4">
        <f>[1]Raw_Data!E2496</f>
        <v>34.979999999999997</v>
      </c>
      <c r="F2498" s="5">
        <f>[1]Raw_Data!F2496</f>
        <v>5491.86</v>
      </c>
      <c r="G2498" s="4">
        <f>[1]Raw_Data!G2496</f>
        <v>0.19</v>
      </c>
      <c r="H2498" s="3">
        <f>[1]Raw_Data!H2496</f>
        <v>2</v>
      </c>
      <c r="I2498" s="3" t="str">
        <f>TRIM([1]Raw_Data!I2496)</f>
        <v>Canada</v>
      </c>
      <c r="J2498" s="3" t="str">
        <f>TRIM([1]Raw_Data!J2496)</f>
        <v>Walmart</v>
      </c>
      <c r="K2498" s="3">
        <f t="shared" si="152"/>
        <v>2022</v>
      </c>
      <c r="L2498" s="6">
        <f t="shared" si="153"/>
        <v>44896</v>
      </c>
      <c r="M2498" s="3" t="str">
        <f t="shared" si="154"/>
        <v>16% to 20%</v>
      </c>
      <c r="N2498" s="3" t="str">
        <f t="shared" si="155"/>
        <v>OK</v>
      </c>
    </row>
    <row r="2499" spans="1:14" x14ac:dyDescent="0.3">
      <c r="A2499" s="2">
        <f>DATE(VALUE(RIGHT(TRIM([1]Raw_Data!A2497),4)),VALUE(MID(TRIM([1]Raw_Data!A2497),4,2)),VALUE(LEFT(TRIM([1]Raw_Data!A2497),2)))</f>
        <v>44921</v>
      </c>
      <c r="B2499" s="3" t="str">
        <f>TRIM([1]Raw_Data!B2497)</f>
        <v>Electrolyte Powder</v>
      </c>
      <c r="C2499" s="3" t="str">
        <f>TRIM([1]Raw_Data!C2497)</f>
        <v>Hydration</v>
      </c>
      <c r="D2499" s="3">
        <f>[1]Raw_Data!D2497</f>
        <v>129</v>
      </c>
      <c r="E2499" s="4">
        <f>[1]Raw_Data!E2497</f>
        <v>20.97</v>
      </c>
      <c r="F2499" s="5">
        <f>[1]Raw_Data!F2497</f>
        <v>2705.13</v>
      </c>
      <c r="G2499" s="4">
        <f>[1]Raw_Data!G2497</f>
        <v>0.06</v>
      </c>
      <c r="H2499" s="3">
        <f>[1]Raw_Data!H2497</f>
        <v>1</v>
      </c>
      <c r="I2499" s="3" t="str">
        <f>TRIM([1]Raw_Data!I2497)</f>
        <v>Canada</v>
      </c>
      <c r="J2499" s="3" t="str">
        <f>TRIM([1]Raw_Data!J2497)</f>
        <v>iHerb</v>
      </c>
      <c r="K2499" s="3">
        <f t="shared" si="152"/>
        <v>2022</v>
      </c>
      <c r="L2499" s="6">
        <f t="shared" si="153"/>
        <v>44896</v>
      </c>
      <c r="M2499" s="3" t="str">
        <f t="shared" si="154"/>
        <v>6% to 10%</v>
      </c>
      <c r="N2499" s="3" t="str">
        <f t="shared" si="155"/>
        <v>OK</v>
      </c>
    </row>
    <row r="2500" spans="1:14" x14ac:dyDescent="0.3">
      <c r="A2500" s="2">
        <f>DATE(VALUE(RIGHT(TRIM([1]Raw_Data!A2498),4)),VALUE(MID(TRIM([1]Raw_Data!A2498),4,2)),VALUE(LEFT(TRIM([1]Raw_Data!A2498),2)))</f>
        <v>44928</v>
      </c>
      <c r="B2500" s="3" t="str">
        <f>TRIM([1]Raw_Data!B2498)</f>
        <v>Whey Protein</v>
      </c>
      <c r="C2500" s="3" t="str">
        <f>TRIM([1]Raw_Data!C2498)</f>
        <v>Protein</v>
      </c>
      <c r="D2500" s="3">
        <f>[1]Raw_Data!D2498</f>
        <v>150</v>
      </c>
      <c r="E2500" s="4">
        <f>[1]Raw_Data!E2498</f>
        <v>13.38</v>
      </c>
      <c r="F2500" s="5">
        <f>[1]Raw_Data!F2498</f>
        <v>2007</v>
      </c>
      <c r="G2500" s="4">
        <f>[1]Raw_Data!G2498</f>
        <v>0.04</v>
      </c>
      <c r="H2500" s="3">
        <f>[1]Raw_Data!H2498</f>
        <v>5</v>
      </c>
      <c r="I2500" s="3" t="str">
        <f>TRIM([1]Raw_Data!I2498)</f>
        <v>UK</v>
      </c>
      <c r="J2500" s="3" t="str">
        <f>TRIM([1]Raw_Data!J2498)</f>
        <v>Walmart</v>
      </c>
      <c r="K2500" s="3">
        <f t="shared" ref="K2500:K2563" si="156">YEAR(A2500)</f>
        <v>2023</v>
      </c>
      <c r="L2500" s="6">
        <f t="shared" ref="L2500:L2563" si="157">DATE(YEAR(A2500),MONTH(A2500),1)</f>
        <v>44927</v>
      </c>
      <c r="M2500" s="3" t="str">
        <f t="shared" ref="M2500:M2563" si="158">IF(ROUND(G2500*100,0)&lt;=5,"0% to 5%",IF(ROUND(G2500*100,0)&lt;=10,"6% to 10%",IF(ROUND(G2500*100,0)&lt;=15,"11% to 15%",IF(ROUND(G2500*100,0)&lt;=20,"16% to 20%","21% to 25%"))))</f>
        <v>0% to 5%</v>
      </c>
      <c r="N2500" s="3" t="str">
        <f t="shared" ref="N2500:N2563" si="159">IF(ROUND(D2500*E2500,2)=ROUND(F2500,2),"OK","Check")</f>
        <v>OK</v>
      </c>
    </row>
    <row r="2501" spans="1:14" x14ac:dyDescent="0.3">
      <c r="A2501" s="2">
        <f>DATE(VALUE(RIGHT(TRIM([1]Raw_Data!A2499),4)),VALUE(MID(TRIM([1]Raw_Data!A2499),4,2)),VALUE(LEFT(TRIM([1]Raw_Data!A2499),2)))</f>
        <v>44928</v>
      </c>
      <c r="B2501" s="3" t="str">
        <f>TRIM([1]Raw_Data!B2499)</f>
        <v>Vitamin C</v>
      </c>
      <c r="C2501" s="3" t="str">
        <f>TRIM([1]Raw_Data!C2499)</f>
        <v>Vitamin</v>
      </c>
      <c r="D2501" s="3">
        <f>[1]Raw_Data!D2499</f>
        <v>149</v>
      </c>
      <c r="E2501" s="4">
        <f>[1]Raw_Data!E2499</f>
        <v>52.44</v>
      </c>
      <c r="F2501" s="5">
        <f>[1]Raw_Data!F2499</f>
        <v>7813.56</v>
      </c>
      <c r="G2501" s="4">
        <f>[1]Raw_Data!G2499</f>
        <v>0.13</v>
      </c>
      <c r="H2501" s="3">
        <f>[1]Raw_Data!H2499</f>
        <v>2</v>
      </c>
      <c r="I2501" s="3" t="str">
        <f>TRIM([1]Raw_Data!I2499)</f>
        <v>Canada</v>
      </c>
      <c r="J2501" s="3" t="str">
        <f>TRIM([1]Raw_Data!J2499)</f>
        <v>iHerb</v>
      </c>
      <c r="K2501" s="3">
        <f t="shared" si="156"/>
        <v>2023</v>
      </c>
      <c r="L2501" s="6">
        <f t="shared" si="157"/>
        <v>44927</v>
      </c>
      <c r="M2501" s="3" t="str">
        <f t="shared" si="158"/>
        <v>11% to 15%</v>
      </c>
      <c r="N2501" s="3" t="str">
        <f t="shared" si="159"/>
        <v>OK</v>
      </c>
    </row>
    <row r="2502" spans="1:14" x14ac:dyDescent="0.3">
      <c r="A2502" s="2">
        <f>DATE(VALUE(RIGHT(TRIM([1]Raw_Data!A2500),4)),VALUE(MID(TRIM([1]Raw_Data!A2500),4,2)),VALUE(LEFT(TRIM([1]Raw_Data!A2500),2)))</f>
        <v>44928</v>
      </c>
      <c r="B2502" s="3" t="str">
        <f>TRIM([1]Raw_Data!B2500)</f>
        <v>Fish Oil</v>
      </c>
      <c r="C2502" s="3" t="str">
        <f>TRIM([1]Raw_Data!C2500)</f>
        <v>Omega</v>
      </c>
      <c r="D2502" s="3">
        <f>[1]Raw_Data!D2500</f>
        <v>138</v>
      </c>
      <c r="E2502" s="4">
        <f>[1]Raw_Data!E2500</f>
        <v>23.62</v>
      </c>
      <c r="F2502" s="5">
        <f>[1]Raw_Data!F2500</f>
        <v>3259.56</v>
      </c>
      <c r="G2502" s="4">
        <f>[1]Raw_Data!G2500</f>
        <v>0.21</v>
      </c>
      <c r="H2502" s="3">
        <f>[1]Raw_Data!H2500</f>
        <v>0</v>
      </c>
      <c r="I2502" s="3" t="str">
        <f>TRIM([1]Raw_Data!I2500)</f>
        <v>Canada</v>
      </c>
      <c r="J2502" s="3" t="str">
        <f>TRIM([1]Raw_Data!J2500)</f>
        <v>iHerb</v>
      </c>
      <c r="K2502" s="3">
        <f t="shared" si="156"/>
        <v>2023</v>
      </c>
      <c r="L2502" s="6">
        <f t="shared" si="157"/>
        <v>44927</v>
      </c>
      <c r="M2502" s="3" t="str">
        <f t="shared" si="158"/>
        <v>21% to 25%</v>
      </c>
      <c r="N2502" s="3" t="str">
        <f t="shared" si="159"/>
        <v>OK</v>
      </c>
    </row>
    <row r="2503" spans="1:14" x14ac:dyDescent="0.3">
      <c r="A2503" s="2">
        <f>DATE(VALUE(RIGHT(TRIM([1]Raw_Data!A2501),4)),VALUE(MID(TRIM([1]Raw_Data!A2501),4,2)),VALUE(LEFT(TRIM([1]Raw_Data!A2501),2)))</f>
        <v>44928</v>
      </c>
      <c r="B2503" s="3" t="str">
        <f>TRIM([1]Raw_Data!B2501)</f>
        <v>Multivitamin</v>
      </c>
      <c r="C2503" s="3" t="str">
        <f>TRIM([1]Raw_Data!C2501)</f>
        <v>Vitamin</v>
      </c>
      <c r="D2503" s="3">
        <f>[1]Raw_Data!D2501</f>
        <v>160</v>
      </c>
      <c r="E2503" s="4">
        <f>[1]Raw_Data!E2501</f>
        <v>54.06</v>
      </c>
      <c r="F2503" s="5">
        <f>[1]Raw_Data!F2501</f>
        <v>8649.6</v>
      </c>
      <c r="G2503" s="4">
        <f>[1]Raw_Data!G2501</f>
        <v>0.08</v>
      </c>
      <c r="H2503" s="3">
        <f>[1]Raw_Data!H2501</f>
        <v>2</v>
      </c>
      <c r="I2503" s="3" t="str">
        <f>TRIM([1]Raw_Data!I2501)</f>
        <v>UK</v>
      </c>
      <c r="J2503" s="3" t="str">
        <f>TRIM([1]Raw_Data!J2501)</f>
        <v>iHerb</v>
      </c>
      <c r="K2503" s="3">
        <f t="shared" si="156"/>
        <v>2023</v>
      </c>
      <c r="L2503" s="6">
        <f t="shared" si="157"/>
        <v>44927</v>
      </c>
      <c r="M2503" s="3" t="str">
        <f t="shared" si="158"/>
        <v>6% to 10%</v>
      </c>
      <c r="N2503" s="3" t="str">
        <f t="shared" si="159"/>
        <v>OK</v>
      </c>
    </row>
    <row r="2504" spans="1:14" x14ac:dyDescent="0.3">
      <c r="A2504" s="2">
        <f>DATE(VALUE(RIGHT(TRIM([1]Raw_Data!A2502),4)),VALUE(MID(TRIM([1]Raw_Data!A2502),4,2)),VALUE(LEFT(TRIM([1]Raw_Data!A2502),2)))</f>
        <v>44928</v>
      </c>
      <c r="B2504" s="3" t="str">
        <f>TRIM([1]Raw_Data!B2502)</f>
        <v>Pre-Workout</v>
      </c>
      <c r="C2504" s="3" t="str">
        <f>TRIM([1]Raw_Data!C2502)</f>
        <v>Performance</v>
      </c>
      <c r="D2504" s="3">
        <f>[1]Raw_Data!D2502</f>
        <v>149</v>
      </c>
      <c r="E2504" s="4">
        <f>[1]Raw_Data!E2502</f>
        <v>42.27</v>
      </c>
      <c r="F2504" s="5">
        <f>[1]Raw_Data!F2502</f>
        <v>6298.23</v>
      </c>
      <c r="G2504" s="4">
        <f>[1]Raw_Data!G2502</f>
        <v>0.24</v>
      </c>
      <c r="H2504" s="3">
        <f>[1]Raw_Data!H2502</f>
        <v>0</v>
      </c>
      <c r="I2504" s="3" t="str">
        <f>TRIM([1]Raw_Data!I2502)</f>
        <v>Canada</v>
      </c>
      <c r="J2504" s="3" t="str">
        <f>TRIM([1]Raw_Data!J2502)</f>
        <v>Walmart</v>
      </c>
      <c r="K2504" s="3">
        <f t="shared" si="156"/>
        <v>2023</v>
      </c>
      <c r="L2504" s="6">
        <f t="shared" si="157"/>
        <v>44927</v>
      </c>
      <c r="M2504" s="3" t="str">
        <f t="shared" si="158"/>
        <v>21% to 25%</v>
      </c>
      <c r="N2504" s="3" t="str">
        <f t="shared" si="159"/>
        <v>OK</v>
      </c>
    </row>
    <row r="2505" spans="1:14" x14ac:dyDescent="0.3">
      <c r="A2505" s="2">
        <f>DATE(VALUE(RIGHT(TRIM([1]Raw_Data!A2503),4)),VALUE(MID(TRIM([1]Raw_Data!A2503),4,2)),VALUE(LEFT(TRIM([1]Raw_Data!A2503),2)))</f>
        <v>44928</v>
      </c>
      <c r="B2505" s="3" t="str">
        <f>TRIM([1]Raw_Data!B2503)</f>
        <v>BCAA</v>
      </c>
      <c r="C2505" s="3" t="str">
        <f>TRIM([1]Raw_Data!C2503)</f>
        <v>Amino Acid</v>
      </c>
      <c r="D2505" s="3">
        <f>[1]Raw_Data!D2503</f>
        <v>171</v>
      </c>
      <c r="E2505" s="4">
        <f>[1]Raw_Data!E2503</f>
        <v>50.37</v>
      </c>
      <c r="F2505" s="5">
        <f>[1]Raw_Data!F2503</f>
        <v>8613.27</v>
      </c>
      <c r="G2505" s="4">
        <f>[1]Raw_Data!G2503</f>
        <v>0.1</v>
      </c>
      <c r="H2505" s="3">
        <f>[1]Raw_Data!H2503</f>
        <v>1</v>
      </c>
      <c r="I2505" s="3" t="str">
        <f>TRIM([1]Raw_Data!I2503)</f>
        <v>Canada</v>
      </c>
      <c r="J2505" s="3" t="str">
        <f>TRIM([1]Raw_Data!J2503)</f>
        <v>Walmart</v>
      </c>
      <c r="K2505" s="3">
        <f t="shared" si="156"/>
        <v>2023</v>
      </c>
      <c r="L2505" s="6">
        <f t="shared" si="157"/>
        <v>44927</v>
      </c>
      <c r="M2505" s="3" t="str">
        <f t="shared" si="158"/>
        <v>6% to 10%</v>
      </c>
      <c r="N2505" s="3" t="str">
        <f t="shared" si="159"/>
        <v>OK</v>
      </c>
    </row>
    <row r="2506" spans="1:14" x14ac:dyDescent="0.3">
      <c r="A2506" s="2">
        <f>DATE(VALUE(RIGHT(TRIM([1]Raw_Data!A2504),4)),VALUE(MID(TRIM([1]Raw_Data!A2504),4,2)),VALUE(LEFT(TRIM([1]Raw_Data!A2504),2)))</f>
        <v>44928</v>
      </c>
      <c r="B2506" s="3" t="str">
        <f>TRIM([1]Raw_Data!B2504)</f>
        <v>Creatine</v>
      </c>
      <c r="C2506" s="3" t="str">
        <f>TRIM([1]Raw_Data!C2504)</f>
        <v>Performance</v>
      </c>
      <c r="D2506" s="3">
        <f>[1]Raw_Data!D2504</f>
        <v>166</v>
      </c>
      <c r="E2506" s="4">
        <f>[1]Raw_Data!E2504</f>
        <v>36.729999999999997</v>
      </c>
      <c r="F2506" s="5">
        <f>[1]Raw_Data!F2504</f>
        <v>6097.18</v>
      </c>
      <c r="G2506" s="4">
        <f>[1]Raw_Data!G2504</f>
        <v>0.01</v>
      </c>
      <c r="H2506" s="3">
        <f>[1]Raw_Data!H2504</f>
        <v>0</v>
      </c>
      <c r="I2506" s="3" t="str">
        <f>TRIM([1]Raw_Data!I2504)</f>
        <v>UK</v>
      </c>
      <c r="J2506" s="3" t="str">
        <f>TRIM([1]Raw_Data!J2504)</f>
        <v>Walmart</v>
      </c>
      <c r="K2506" s="3">
        <f t="shared" si="156"/>
        <v>2023</v>
      </c>
      <c r="L2506" s="6">
        <f t="shared" si="157"/>
        <v>44927</v>
      </c>
      <c r="M2506" s="3" t="str">
        <f t="shared" si="158"/>
        <v>0% to 5%</v>
      </c>
      <c r="N2506" s="3" t="str">
        <f t="shared" si="159"/>
        <v>OK</v>
      </c>
    </row>
    <row r="2507" spans="1:14" x14ac:dyDescent="0.3">
      <c r="A2507" s="2">
        <f>DATE(VALUE(RIGHT(TRIM([1]Raw_Data!A2505),4)),VALUE(MID(TRIM([1]Raw_Data!A2505),4,2)),VALUE(LEFT(TRIM([1]Raw_Data!A2505),2)))</f>
        <v>44928</v>
      </c>
      <c r="B2507" s="3" t="str">
        <f>TRIM([1]Raw_Data!B2505)</f>
        <v>Zinc</v>
      </c>
      <c r="C2507" s="3" t="str">
        <f>TRIM([1]Raw_Data!C2505)</f>
        <v>Mineral</v>
      </c>
      <c r="D2507" s="3">
        <f>[1]Raw_Data!D2505</f>
        <v>155</v>
      </c>
      <c r="E2507" s="4">
        <f>[1]Raw_Data!E2505</f>
        <v>39.130000000000003</v>
      </c>
      <c r="F2507" s="5">
        <f>[1]Raw_Data!F2505</f>
        <v>6065.15</v>
      </c>
      <c r="G2507" s="4">
        <f>[1]Raw_Data!G2505</f>
        <v>0.04</v>
      </c>
      <c r="H2507" s="3">
        <f>[1]Raw_Data!H2505</f>
        <v>1</v>
      </c>
      <c r="I2507" s="3" t="str">
        <f>TRIM([1]Raw_Data!I2505)</f>
        <v>UK</v>
      </c>
      <c r="J2507" s="3" t="str">
        <f>TRIM([1]Raw_Data!J2505)</f>
        <v>iHerb</v>
      </c>
      <c r="K2507" s="3">
        <f t="shared" si="156"/>
        <v>2023</v>
      </c>
      <c r="L2507" s="6">
        <f t="shared" si="157"/>
        <v>44927</v>
      </c>
      <c r="M2507" s="3" t="str">
        <f t="shared" si="158"/>
        <v>0% to 5%</v>
      </c>
      <c r="N2507" s="3" t="str">
        <f t="shared" si="159"/>
        <v>OK</v>
      </c>
    </row>
    <row r="2508" spans="1:14" x14ac:dyDescent="0.3">
      <c r="A2508" s="2">
        <f>DATE(VALUE(RIGHT(TRIM([1]Raw_Data!A2506),4)),VALUE(MID(TRIM([1]Raw_Data!A2506),4,2)),VALUE(LEFT(TRIM([1]Raw_Data!A2506),2)))</f>
        <v>44928</v>
      </c>
      <c r="B2508" s="3" t="str">
        <f>TRIM([1]Raw_Data!B2506)</f>
        <v>Collagen Peptides</v>
      </c>
      <c r="C2508" s="3" t="str">
        <f>TRIM([1]Raw_Data!C2506)</f>
        <v>Protein</v>
      </c>
      <c r="D2508" s="3">
        <f>[1]Raw_Data!D2506</f>
        <v>145</v>
      </c>
      <c r="E2508" s="4">
        <f>[1]Raw_Data!E2506</f>
        <v>53.52</v>
      </c>
      <c r="F2508" s="5">
        <f>[1]Raw_Data!F2506</f>
        <v>7760.4</v>
      </c>
      <c r="G2508" s="4">
        <f>[1]Raw_Data!G2506</f>
        <v>0.19</v>
      </c>
      <c r="H2508" s="3">
        <f>[1]Raw_Data!H2506</f>
        <v>0</v>
      </c>
      <c r="I2508" s="3" t="str">
        <f>TRIM([1]Raw_Data!I2506)</f>
        <v>UK</v>
      </c>
      <c r="J2508" s="3" t="str">
        <f>TRIM([1]Raw_Data!J2506)</f>
        <v>Amazon</v>
      </c>
      <c r="K2508" s="3">
        <f t="shared" si="156"/>
        <v>2023</v>
      </c>
      <c r="L2508" s="6">
        <f t="shared" si="157"/>
        <v>44927</v>
      </c>
      <c r="M2508" s="3" t="str">
        <f t="shared" si="158"/>
        <v>16% to 20%</v>
      </c>
      <c r="N2508" s="3" t="str">
        <f t="shared" si="159"/>
        <v>OK</v>
      </c>
    </row>
    <row r="2509" spans="1:14" x14ac:dyDescent="0.3">
      <c r="A2509" s="2">
        <f>DATE(VALUE(RIGHT(TRIM([1]Raw_Data!A2507),4)),VALUE(MID(TRIM([1]Raw_Data!A2507),4,2)),VALUE(LEFT(TRIM([1]Raw_Data!A2507),2)))</f>
        <v>44928</v>
      </c>
      <c r="B2509" s="3" t="str">
        <f>TRIM([1]Raw_Data!B2507)</f>
        <v>Magnesium</v>
      </c>
      <c r="C2509" s="3" t="str">
        <f>TRIM([1]Raw_Data!C2507)</f>
        <v>Mineral</v>
      </c>
      <c r="D2509" s="3">
        <f>[1]Raw_Data!D2507</f>
        <v>168</v>
      </c>
      <c r="E2509" s="4">
        <f>[1]Raw_Data!E2507</f>
        <v>47.19</v>
      </c>
      <c r="F2509" s="5">
        <f>[1]Raw_Data!F2507</f>
        <v>7927.92</v>
      </c>
      <c r="G2509" s="4">
        <f>[1]Raw_Data!G2507</f>
        <v>0.04</v>
      </c>
      <c r="H2509" s="3">
        <f>[1]Raw_Data!H2507</f>
        <v>2</v>
      </c>
      <c r="I2509" s="3" t="str">
        <f>TRIM([1]Raw_Data!I2507)</f>
        <v>Canada</v>
      </c>
      <c r="J2509" s="3" t="str">
        <f>TRIM([1]Raw_Data!J2507)</f>
        <v>Amazon</v>
      </c>
      <c r="K2509" s="3">
        <f t="shared" si="156"/>
        <v>2023</v>
      </c>
      <c r="L2509" s="6">
        <f t="shared" si="157"/>
        <v>44927</v>
      </c>
      <c r="M2509" s="3" t="str">
        <f t="shared" si="158"/>
        <v>0% to 5%</v>
      </c>
      <c r="N2509" s="3" t="str">
        <f t="shared" si="159"/>
        <v>OK</v>
      </c>
    </row>
    <row r="2510" spans="1:14" x14ac:dyDescent="0.3">
      <c r="A2510" s="2">
        <f>DATE(VALUE(RIGHT(TRIM([1]Raw_Data!A2508),4)),VALUE(MID(TRIM([1]Raw_Data!A2508),4,2)),VALUE(LEFT(TRIM([1]Raw_Data!A2508),2)))</f>
        <v>44928</v>
      </c>
      <c r="B2510" s="3" t="str">
        <f>TRIM([1]Raw_Data!B2508)</f>
        <v>Ashwagandha</v>
      </c>
      <c r="C2510" s="3" t="str">
        <f>TRIM([1]Raw_Data!C2508)</f>
        <v>Herbal</v>
      </c>
      <c r="D2510" s="3">
        <f>[1]Raw_Data!D2508</f>
        <v>140</v>
      </c>
      <c r="E2510" s="4">
        <f>[1]Raw_Data!E2508</f>
        <v>10.84</v>
      </c>
      <c r="F2510" s="5">
        <f>[1]Raw_Data!F2508</f>
        <v>1517.6</v>
      </c>
      <c r="G2510" s="4">
        <f>[1]Raw_Data!G2508</f>
        <v>0.04</v>
      </c>
      <c r="H2510" s="3">
        <f>[1]Raw_Data!H2508</f>
        <v>0</v>
      </c>
      <c r="I2510" s="3" t="str">
        <f>TRIM([1]Raw_Data!I2508)</f>
        <v>Canada</v>
      </c>
      <c r="J2510" s="3" t="str">
        <f>TRIM([1]Raw_Data!J2508)</f>
        <v>Walmart</v>
      </c>
      <c r="K2510" s="3">
        <f t="shared" si="156"/>
        <v>2023</v>
      </c>
      <c r="L2510" s="6">
        <f t="shared" si="157"/>
        <v>44927</v>
      </c>
      <c r="M2510" s="3" t="str">
        <f t="shared" si="158"/>
        <v>0% to 5%</v>
      </c>
      <c r="N2510" s="3" t="str">
        <f t="shared" si="159"/>
        <v>OK</v>
      </c>
    </row>
    <row r="2511" spans="1:14" x14ac:dyDescent="0.3">
      <c r="A2511" s="2">
        <f>DATE(VALUE(RIGHT(TRIM([1]Raw_Data!A2509),4)),VALUE(MID(TRIM([1]Raw_Data!A2509),4,2)),VALUE(LEFT(TRIM([1]Raw_Data!A2509),2)))</f>
        <v>44928</v>
      </c>
      <c r="B2511" s="3" t="str">
        <f>TRIM([1]Raw_Data!B2509)</f>
        <v>Melatonin</v>
      </c>
      <c r="C2511" s="3" t="str">
        <f>TRIM([1]Raw_Data!C2509)</f>
        <v>Sleep Aid</v>
      </c>
      <c r="D2511" s="3">
        <f>[1]Raw_Data!D2509</f>
        <v>140</v>
      </c>
      <c r="E2511" s="4">
        <f>[1]Raw_Data!E2509</f>
        <v>44.6</v>
      </c>
      <c r="F2511" s="5">
        <f>[1]Raw_Data!F2509</f>
        <v>6244</v>
      </c>
      <c r="G2511" s="4">
        <f>[1]Raw_Data!G2509</f>
        <v>0.01</v>
      </c>
      <c r="H2511" s="3">
        <f>[1]Raw_Data!H2509</f>
        <v>2</v>
      </c>
      <c r="I2511" s="3" t="str">
        <f>TRIM([1]Raw_Data!I2509)</f>
        <v>UK</v>
      </c>
      <c r="J2511" s="3" t="str">
        <f>TRIM([1]Raw_Data!J2509)</f>
        <v>Amazon</v>
      </c>
      <c r="K2511" s="3">
        <f t="shared" si="156"/>
        <v>2023</v>
      </c>
      <c r="L2511" s="6">
        <f t="shared" si="157"/>
        <v>44927</v>
      </c>
      <c r="M2511" s="3" t="str">
        <f t="shared" si="158"/>
        <v>0% to 5%</v>
      </c>
      <c r="N2511" s="3" t="str">
        <f t="shared" si="159"/>
        <v>OK</v>
      </c>
    </row>
    <row r="2512" spans="1:14" x14ac:dyDescent="0.3">
      <c r="A2512" s="2">
        <f>DATE(VALUE(RIGHT(TRIM([1]Raw_Data!A2510),4)),VALUE(MID(TRIM([1]Raw_Data!A2510),4,2)),VALUE(LEFT(TRIM([1]Raw_Data!A2510),2)))</f>
        <v>44928</v>
      </c>
      <c r="B2512" s="3" t="str">
        <f>TRIM([1]Raw_Data!B2510)</f>
        <v>Biotin</v>
      </c>
      <c r="C2512" s="3" t="str">
        <f>TRIM([1]Raw_Data!C2510)</f>
        <v>Vitamin</v>
      </c>
      <c r="D2512" s="3">
        <f>[1]Raw_Data!D2510</f>
        <v>173</v>
      </c>
      <c r="E2512" s="4">
        <f>[1]Raw_Data!E2510</f>
        <v>40.72</v>
      </c>
      <c r="F2512" s="5">
        <f>[1]Raw_Data!F2510</f>
        <v>7044.56</v>
      </c>
      <c r="G2512" s="4">
        <f>[1]Raw_Data!G2510</f>
        <v>0.01</v>
      </c>
      <c r="H2512" s="3">
        <f>[1]Raw_Data!H2510</f>
        <v>4</v>
      </c>
      <c r="I2512" s="3" t="str">
        <f>TRIM([1]Raw_Data!I2510)</f>
        <v>USA</v>
      </c>
      <c r="J2512" s="3" t="str">
        <f>TRIM([1]Raw_Data!J2510)</f>
        <v>Walmart</v>
      </c>
      <c r="K2512" s="3">
        <f t="shared" si="156"/>
        <v>2023</v>
      </c>
      <c r="L2512" s="6">
        <f t="shared" si="157"/>
        <v>44927</v>
      </c>
      <c r="M2512" s="3" t="str">
        <f t="shared" si="158"/>
        <v>0% to 5%</v>
      </c>
      <c r="N2512" s="3" t="str">
        <f t="shared" si="159"/>
        <v>OK</v>
      </c>
    </row>
    <row r="2513" spans="1:14" x14ac:dyDescent="0.3">
      <c r="A2513" s="2">
        <f>DATE(VALUE(RIGHT(TRIM([1]Raw_Data!A2511),4)),VALUE(MID(TRIM([1]Raw_Data!A2511),4,2)),VALUE(LEFT(TRIM([1]Raw_Data!A2511),2)))</f>
        <v>44928</v>
      </c>
      <c r="B2513" s="3" t="str">
        <f>TRIM([1]Raw_Data!B2511)</f>
        <v>Green Tea Extract</v>
      </c>
      <c r="C2513" s="3" t="str">
        <f>TRIM([1]Raw_Data!C2511)</f>
        <v>Fat Burner</v>
      </c>
      <c r="D2513" s="3">
        <f>[1]Raw_Data!D2511</f>
        <v>151</v>
      </c>
      <c r="E2513" s="4">
        <f>[1]Raw_Data!E2511</f>
        <v>27.12</v>
      </c>
      <c r="F2513" s="5">
        <f>[1]Raw_Data!F2511</f>
        <v>4095.12</v>
      </c>
      <c r="G2513" s="4">
        <f>[1]Raw_Data!G2511</f>
        <v>0.02</v>
      </c>
      <c r="H2513" s="3">
        <f>[1]Raw_Data!H2511</f>
        <v>1</v>
      </c>
      <c r="I2513" s="3" t="str">
        <f>TRIM([1]Raw_Data!I2511)</f>
        <v>UK</v>
      </c>
      <c r="J2513" s="3" t="str">
        <f>TRIM([1]Raw_Data!J2511)</f>
        <v>Amazon</v>
      </c>
      <c r="K2513" s="3">
        <f t="shared" si="156"/>
        <v>2023</v>
      </c>
      <c r="L2513" s="6">
        <f t="shared" si="157"/>
        <v>44927</v>
      </c>
      <c r="M2513" s="3" t="str">
        <f t="shared" si="158"/>
        <v>0% to 5%</v>
      </c>
      <c r="N2513" s="3" t="str">
        <f t="shared" si="159"/>
        <v>OK</v>
      </c>
    </row>
    <row r="2514" spans="1:14" x14ac:dyDescent="0.3">
      <c r="A2514" s="2">
        <f>DATE(VALUE(RIGHT(TRIM([1]Raw_Data!A2512),4)),VALUE(MID(TRIM([1]Raw_Data!A2512),4,2)),VALUE(LEFT(TRIM([1]Raw_Data!A2512),2)))</f>
        <v>44928</v>
      </c>
      <c r="B2514" s="3" t="str">
        <f>TRIM([1]Raw_Data!B2512)</f>
        <v>Iron Supplement</v>
      </c>
      <c r="C2514" s="3" t="str">
        <f>TRIM([1]Raw_Data!C2512)</f>
        <v>Mineral</v>
      </c>
      <c r="D2514" s="3">
        <f>[1]Raw_Data!D2512</f>
        <v>156</v>
      </c>
      <c r="E2514" s="4">
        <f>[1]Raw_Data!E2512</f>
        <v>29.19</v>
      </c>
      <c r="F2514" s="5">
        <f>[1]Raw_Data!F2512</f>
        <v>4553.6400000000003</v>
      </c>
      <c r="G2514" s="4">
        <f>[1]Raw_Data!G2512</f>
        <v>0.03</v>
      </c>
      <c r="H2514" s="3">
        <f>[1]Raw_Data!H2512</f>
        <v>1</v>
      </c>
      <c r="I2514" s="3" t="str">
        <f>TRIM([1]Raw_Data!I2512)</f>
        <v>USA</v>
      </c>
      <c r="J2514" s="3" t="str">
        <f>TRIM([1]Raw_Data!J2512)</f>
        <v>iHerb</v>
      </c>
      <c r="K2514" s="3">
        <f t="shared" si="156"/>
        <v>2023</v>
      </c>
      <c r="L2514" s="6">
        <f t="shared" si="157"/>
        <v>44927</v>
      </c>
      <c r="M2514" s="3" t="str">
        <f t="shared" si="158"/>
        <v>0% to 5%</v>
      </c>
      <c r="N2514" s="3" t="str">
        <f t="shared" si="159"/>
        <v>OK</v>
      </c>
    </row>
    <row r="2515" spans="1:14" x14ac:dyDescent="0.3">
      <c r="A2515" s="2">
        <f>DATE(VALUE(RIGHT(TRIM([1]Raw_Data!A2513),4)),VALUE(MID(TRIM([1]Raw_Data!A2513),4,2)),VALUE(LEFT(TRIM([1]Raw_Data!A2513),2)))</f>
        <v>44928</v>
      </c>
      <c r="B2515" s="3" t="str">
        <f>TRIM([1]Raw_Data!B2513)</f>
        <v>Electrolyte Powder</v>
      </c>
      <c r="C2515" s="3" t="str">
        <f>TRIM([1]Raw_Data!C2513)</f>
        <v>Hydration</v>
      </c>
      <c r="D2515" s="3">
        <f>[1]Raw_Data!D2513</f>
        <v>131</v>
      </c>
      <c r="E2515" s="4">
        <f>[1]Raw_Data!E2513</f>
        <v>16.760000000000002</v>
      </c>
      <c r="F2515" s="5">
        <f>[1]Raw_Data!F2513</f>
        <v>2195.56</v>
      </c>
      <c r="G2515" s="4">
        <f>[1]Raw_Data!G2513</f>
        <v>0.15</v>
      </c>
      <c r="H2515" s="3">
        <f>[1]Raw_Data!H2513</f>
        <v>1</v>
      </c>
      <c r="I2515" s="3" t="str">
        <f>TRIM([1]Raw_Data!I2513)</f>
        <v>UK</v>
      </c>
      <c r="J2515" s="3" t="str">
        <f>TRIM([1]Raw_Data!J2513)</f>
        <v>iHerb</v>
      </c>
      <c r="K2515" s="3">
        <f t="shared" si="156"/>
        <v>2023</v>
      </c>
      <c r="L2515" s="6">
        <f t="shared" si="157"/>
        <v>44927</v>
      </c>
      <c r="M2515" s="3" t="str">
        <f t="shared" si="158"/>
        <v>11% to 15%</v>
      </c>
      <c r="N2515" s="3" t="str">
        <f t="shared" si="159"/>
        <v>OK</v>
      </c>
    </row>
    <row r="2516" spans="1:14" x14ac:dyDescent="0.3">
      <c r="A2516" s="2">
        <f>DATE(VALUE(RIGHT(TRIM([1]Raw_Data!A2514),4)),VALUE(MID(TRIM([1]Raw_Data!A2514),4,2)),VALUE(LEFT(TRIM([1]Raw_Data!A2514),2)))</f>
        <v>44935</v>
      </c>
      <c r="B2516" s="3" t="str">
        <f>TRIM([1]Raw_Data!B2514)</f>
        <v>Whey Protein</v>
      </c>
      <c r="C2516" s="3" t="str">
        <f>TRIM([1]Raw_Data!C2514)</f>
        <v>Protein</v>
      </c>
      <c r="D2516" s="3">
        <f>[1]Raw_Data!D2514</f>
        <v>139</v>
      </c>
      <c r="E2516" s="4">
        <f>[1]Raw_Data!E2514</f>
        <v>32.85</v>
      </c>
      <c r="F2516" s="5">
        <f>[1]Raw_Data!F2514</f>
        <v>4566.1499999999996</v>
      </c>
      <c r="G2516" s="4">
        <f>[1]Raw_Data!G2514</f>
        <v>0.1</v>
      </c>
      <c r="H2516" s="3">
        <f>[1]Raw_Data!H2514</f>
        <v>1</v>
      </c>
      <c r="I2516" s="3" t="str">
        <f>TRIM([1]Raw_Data!I2514)</f>
        <v>USA</v>
      </c>
      <c r="J2516" s="3" t="str">
        <f>TRIM([1]Raw_Data!J2514)</f>
        <v>Amazon</v>
      </c>
      <c r="K2516" s="3">
        <f t="shared" si="156"/>
        <v>2023</v>
      </c>
      <c r="L2516" s="6">
        <f t="shared" si="157"/>
        <v>44927</v>
      </c>
      <c r="M2516" s="3" t="str">
        <f t="shared" si="158"/>
        <v>6% to 10%</v>
      </c>
      <c r="N2516" s="3" t="str">
        <f t="shared" si="159"/>
        <v>OK</v>
      </c>
    </row>
    <row r="2517" spans="1:14" x14ac:dyDescent="0.3">
      <c r="A2517" s="2">
        <f>DATE(VALUE(RIGHT(TRIM([1]Raw_Data!A2515),4)),VALUE(MID(TRIM([1]Raw_Data!A2515),4,2)),VALUE(LEFT(TRIM([1]Raw_Data!A2515),2)))</f>
        <v>44935</v>
      </c>
      <c r="B2517" s="3" t="str">
        <f>TRIM([1]Raw_Data!B2515)</f>
        <v>Vitamin C</v>
      </c>
      <c r="C2517" s="3" t="str">
        <f>TRIM([1]Raw_Data!C2515)</f>
        <v>Vitamin</v>
      </c>
      <c r="D2517" s="3">
        <f>[1]Raw_Data!D2515</f>
        <v>150</v>
      </c>
      <c r="E2517" s="4">
        <f>[1]Raw_Data!E2515</f>
        <v>37.950000000000003</v>
      </c>
      <c r="F2517" s="5">
        <f>[1]Raw_Data!F2515</f>
        <v>5692.5</v>
      </c>
      <c r="G2517" s="4">
        <f>[1]Raw_Data!G2515</f>
        <v>0.17</v>
      </c>
      <c r="H2517" s="3">
        <f>[1]Raw_Data!H2515</f>
        <v>0</v>
      </c>
      <c r="I2517" s="3" t="str">
        <f>TRIM([1]Raw_Data!I2515)</f>
        <v>USA</v>
      </c>
      <c r="J2517" s="3" t="str">
        <f>TRIM([1]Raw_Data!J2515)</f>
        <v>Walmart</v>
      </c>
      <c r="K2517" s="3">
        <f t="shared" si="156"/>
        <v>2023</v>
      </c>
      <c r="L2517" s="6">
        <f t="shared" si="157"/>
        <v>44927</v>
      </c>
      <c r="M2517" s="3" t="str">
        <f t="shared" si="158"/>
        <v>16% to 20%</v>
      </c>
      <c r="N2517" s="3" t="str">
        <f t="shared" si="159"/>
        <v>OK</v>
      </c>
    </row>
    <row r="2518" spans="1:14" x14ac:dyDescent="0.3">
      <c r="A2518" s="2">
        <f>DATE(VALUE(RIGHT(TRIM([1]Raw_Data!A2516),4)),VALUE(MID(TRIM([1]Raw_Data!A2516),4,2)),VALUE(LEFT(TRIM([1]Raw_Data!A2516),2)))</f>
        <v>44935</v>
      </c>
      <c r="B2518" s="3" t="str">
        <f>TRIM([1]Raw_Data!B2516)</f>
        <v>Fish Oil</v>
      </c>
      <c r="C2518" s="3" t="str">
        <f>TRIM([1]Raw_Data!C2516)</f>
        <v>Omega</v>
      </c>
      <c r="D2518" s="3">
        <f>[1]Raw_Data!D2516</f>
        <v>149</v>
      </c>
      <c r="E2518" s="4">
        <f>[1]Raw_Data!E2516</f>
        <v>19.32</v>
      </c>
      <c r="F2518" s="5">
        <f>[1]Raw_Data!F2516</f>
        <v>2878.68</v>
      </c>
      <c r="G2518" s="4">
        <f>[1]Raw_Data!G2516</f>
        <v>0.14000000000000001</v>
      </c>
      <c r="H2518" s="3">
        <f>[1]Raw_Data!H2516</f>
        <v>3</v>
      </c>
      <c r="I2518" s="3" t="str">
        <f>TRIM([1]Raw_Data!I2516)</f>
        <v>Canada</v>
      </c>
      <c r="J2518" s="3" t="str">
        <f>TRIM([1]Raw_Data!J2516)</f>
        <v>iHerb</v>
      </c>
      <c r="K2518" s="3">
        <f t="shared" si="156"/>
        <v>2023</v>
      </c>
      <c r="L2518" s="6">
        <f t="shared" si="157"/>
        <v>44927</v>
      </c>
      <c r="M2518" s="3" t="str">
        <f t="shared" si="158"/>
        <v>11% to 15%</v>
      </c>
      <c r="N2518" s="3" t="str">
        <f t="shared" si="159"/>
        <v>OK</v>
      </c>
    </row>
    <row r="2519" spans="1:14" x14ac:dyDescent="0.3">
      <c r="A2519" s="2">
        <f>DATE(VALUE(RIGHT(TRIM([1]Raw_Data!A2517),4)),VALUE(MID(TRIM([1]Raw_Data!A2517),4,2)),VALUE(LEFT(TRIM([1]Raw_Data!A2517),2)))</f>
        <v>44935</v>
      </c>
      <c r="B2519" s="3" t="str">
        <f>TRIM([1]Raw_Data!B2517)</f>
        <v>Multivitamin</v>
      </c>
      <c r="C2519" s="3" t="str">
        <f>TRIM([1]Raw_Data!C2517)</f>
        <v>Vitamin</v>
      </c>
      <c r="D2519" s="3">
        <f>[1]Raw_Data!D2517</f>
        <v>167</v>
      </c>
      <c r="E2519" s="4">
        <f>[1]Raw_Data!E2517</f>
        <v>30.96</v>
      </c>
      <c r="F2519" s="5">
        <f>[1]Raw_Data!F2517</f>
        <v>5170.32</v>
      </c>
      <c r="G2519" s="4">
        <f>[1]Raw_Data!G2517</f>
        <v>0.15</v>
      </c>
      <c r="H2519" s="3">
        <f>[1]Raw_Data!H2517</f>
        <v>0</v>
      </c>
      <c r="I2519" s="3" t="str">
        <f>TRIM([1]Raw_Data!I2517)</f>
        <v>UK</v>
      </c>
      <c r="J2519" s="3" t="str">
        <f>TRIM([1]Raw_Data!J2517)</f>
        <v>Walmart</v>
      </c>
      <c r="K2519" s="3">
        <f t="shared" si="156"/>
        <v>2023</v>
      </c>
      <c r="L2519" s="6">
        <f t="shared" si="157"/>
        <v>44927</v>
      </c>
      <c r="M2519" s="3" t="str">
        <f t="shared" si="158"/>
        <v>11% to 15%</v>
      </c>
      <c r="N2519" s="3" t="str">
        <f t="shared" si="159"/>
        <v>OK</v>
      </c>
    </row>
    <row r="2520" spans="1:14" x14ac:dyDescent="0.3">
      <c r="A2520" s="2">
        <f>DATE(VALUE(RIGHT(TRIM([1]Raw_Data!A2518),4)),VALUE(MID(TRIM([1]Raw_Data!A2518),4,2)),VALUE(LEFT(TRIM([1]Raw_Data!A2518),2)))</f>
        <v>44935</v>
      </c>
      <c r="B2520" s="3" t="str">
        <f>TRIM([1]Raw_Data!B2518)</f>
        <v>Pre-Workout</v>
      </c>
      <c r="C2520" s="3" t="str">
        <f>TRIM([1]Raw_Data!C2518)</f>
        <v>Performance</v>
      </c>
      <c r="D2520" s="3">
        <f>[1]Raw_Data!D2518</f>
        <v>160</v>
      </c>
      <c r="E2520" s="4">
        <f>[1]Raw_Data!E2518</f>
        <v>55.17</v>
      </c>
      <c r="F2520" s="5">
        <f>[1]Raw_Data!F2518</f>
        <v>8827.2000000000007</v>
      </c>
      <c r="G2520" s="4">
        <f>[1]Raw_Data!G2518</f>
        <v>0</v>
      </c>
      <c r="H2520" s="3">
        <f>[1]Raw_Data!H2518</f>
        <v>1</v>
      </c>
      <c r="I2520" s="3" t="str">
        <f>TRIM([1]Raw_Data!I2518)</f>
        <v>USA</v>
      </c>
      <c r="J2520" s="3" t="str">
        <f>TRIM([1]Raw_Data!J2518)</f>
        <v>Walmart</v>
      </c>
      <c r="K2520" s="3">
        <f t="shared" si="156"/>
        <v>2023</v>
      </c>
      <c r="L2520" s="6">
        <f t="shared" si="157"/>
        <v>44927</v>
      </c>
      <c r="M2520" s="3" t="str">
        <f t="shared" si="158"/>
        <v>0% to 5%</v>
      </c>
      <c r="N2520" s="3" t="str">
        <f t="shared" si="159"/>
        <v>OK</v>
      </c>
    </row>
    <row r="2521" spans="1:14" x14ac:dyDescent="0.3">
      <c r="A2521" s="2">
        <f>DATE(VALUE(RIGHT(TRIM([1]Raw_Data!A2519),4)),VALUE(MID(TRIM([1]Raw_Data!A2519),4,2)),VALUE(LEFT(TRIM([1]Raw_Data!A2519),2)))</f>
        <v>44935</v>
      </c>
      <c r="B2521" s="3" t="str">
        <f>TRIM([1]Raw_Data!B2519)</f>
        <v>BCAA</v>
      </c>
      <c r="C2521" s="3" t="str">
        <f>TRIM([1]Raw_Data!C2519)</f>
        <v>Amino Acid</v>
      </c>
      <c r="D2521" s="3">
        <f>[1]Raw_Data!D2519</f>
        <v>163</v>
      </c>
      <c r="E2521" s="4">
        <f>[1]Raw_Data!E2519</f>
        <v>54.72</v>
      </c>
      <c r="F2521" s="5">
        <f>[1]Raw_Data!F2519</f>
        <v>8919.36</v>
      </c>
      <c r="G2521" s="4">
        <f>[1]Raw_Data!G2519</f>
        <v>0.01</v>
      </c>
      <c r="H2521" s="3">
        <f>[1]Raw_Data!H2519</f>
        <v>2</v>
      </c>
      <c r="I2521" s="3" t="str">
        <f>TRIM([1]Raw_Data!I2519)</f>
        <v>USA</v>
      </c>
      <c r="J2521" s="3" t="str">
        <f>TRIM([1]Raw_Data!J2519)</f>
        <v>Amazon</v>
      </c>
      <c r="K2521" s="3">
        <f t="shared" si="156"/>
        <v>2023</v>
      </c>
      <c r="L2521" s="6">
        <f t="shared" si="157"/>
        <v>44927</v>
      </c>
      <c r="M2521" s="3" t="str">
        <f t="shared" si="158"/>
        <v>0% to 5%</v>
      </c>
      <c r="N2521" s="3" t="str">
        <f t="shared" si="159"/>
        <v>OK</v>
      </c>
    </row>
    <row r="2522" spans="1:14" x14ac:dyDescent="0.3">
      <c r="A2522" s="2">
        <f>DATE(VALUE(RIGHT(TRIM([1]Raw_Data!A2520),4)),VALUE(MID(TRIM([1]Raw_Data!A2520),4,2)),VALUE(LEFT(TRIM([1]Raw_Data!A2520),2)))</f>
        <v>44935</v>
      </c>
      <c r="B2522" s="3" t="str">
        <f>TRIM([1]Raw_Data!B2520)</f>
        <v>Creatine</v>
      </c>
      <c r="C2522" s="3" t="str">
        <f>TRIM([1]Raw_Data!C2520)</f>
        <v>Performance</v>
      </c>
      <c r="D2522" s="3">
        <f>[1]Raw_Data!D2520</f>
        <v>152</v>
      </c>
      <c r="E2522" s="4">
        <f>[1]Raw_Data!E2520</f>
        <v>35.68</v>
      </c>
      <c r="F2522" s="5">
        <f>[1]Raw_Data!F2520</f>
        <v>5423.36</v>
      </c>
      <c r="G2522" s="4">
        <f>[1]Raw_Data!G2520</f>
        <v>0.15</v>
      </c>
      <c r="H2522" s="3">
        <f>[1]Raw_Data!H2520</f>
        <v>0</v>
      </c>
      <c r="I2522" s="3" t="str">
        <f>TRIM([1]Raw_Data!I2520)</f>
        <v>UK</v>
      </c>
      <c r="J2522" s="3" t="str">
        <f>TRIM([1]Raw_Data!J2520)</f>
        <v>Amazon</v>
      </c>
      <c r="K2522" s="3">
        <f t="shared" si="156"/>
        <v>2023</v>
      </c>
      <c r="L2522" s="6">
        <f t="shared" si="157"/>
        <v>44927</v>
      </c>
      <c r="M2522" s="3" t="str">
        <f t="shared" si="158"/>
        <v>11% to 15%</v>
      </c>
      <c r="N2522" s="3" t="str">
        <f t="shared" si="159"/>
        <v>OK</v>
      </c>
    </row>
    <row r="2523" spans="1:14" x14ac:dyDescent="0.3">
      <c r="A2523" s="2">
        <f>DATE(VALUE(RIGHT(TRIM([1]Raw_Data!A2521),4)),VALUE(MID(TRIM([1]Raw_Data!A2521),4,2)),VALUE(LEFT(TRIM([1]Raw_Data!A2521),2)))</f>
        <v>44935</v>
      </c>
      <c r="B2523" s="3" t="str">
        <f>TRIM([1]Raw_Data!B2521)</f>
        <v>Zinc</v>
      </c>
      <c r="C2523" s="3" t="str">
        <f>TRIM([1]Raw_Data!C2521)</f>
        <v>Mineral</v>
      </c>
      <c r="D2523" s="3">
        <f>[1]Raw_Data!D2521</f>
        <v>141</v>
      </c>
      <c r="E2523" s="4">
        <f>[1]Raw_Data!E2521</f>
        <v>33.42</v>
      </c>
      <c r="F2523" s="5">
        <f>[1]Raw_Data!F2521</f>
        <v>4712.22</v>
      </c>
      <c r="G2523" s="4">
        <f>[1]Raw_Data!G2521</f>
        <v>0.21</v>
      </c>
      <c r="H2523" s="3">
        <f>[1]Raw_Data!H2521</f>
        <v>1</v>
      </c>
      <c r="I2523" s="3" t="str">
        <f>TRIM([1]Raw_Data!I2521)</f>
        <v>Canada</v>
      </c>
      <c r="J2523" s="3" t="str">
        <f>TRIM([1]Raw_Data!J2521)</f>
        <v>Walmart</v>
      </c>
      <c r="K2523" s="3">
        <f t="shared" si="156"/>
        <v>2023</v>
      </c>
      <c r="L2523" s="6">
        <f t="shared" si="157"/>
        <v>44927</v>
      </c>
      <c r="M2523" s="3" t="str">
        <f t="shared" si="158"/>
        <v>21% to 25%</v>
      </c>
      <c r="N2523" s="3" t="str">
        <f t="shared" si="159"/>
        <v>OK</v>
      </c>
    </row>
    <row r="2524" spans="1:14" x14ac:dyDescent="0.3">
      <c r="A2524" s="2">
        <f>DATE(VALUE(RIGHT(TRIM([1]Raw_Data!A2522),4)),VALUE(MID(TRIM([1]Raw_Data!A2522),4,2)),VALUE(LEFT(TRIM([1]Raw_Data!A2522),2)))</f>
        <v>44935</v>
      </c>
      <c r="B2524" s="3" t="str">
        <f>TRIM([1]Raw_Data!B2522)</f>
        <v>Collagen Peptides</v>
      </c>
      <c r="C2524" s="3" t="str">
        <f>TRIM([1]Raw_Data!C2522)</f>
        <v>Protein</v>
      </c>
      <c r="D2524" s="3">
        <f>[1]Raw_Data!D2522</f>
        <v>170</v>
      </c>
      <c r="E2524" s="4">
        <f>[1]Raw_Data!E2522</f>
        <v>48.54</v>
      </c>
      <c r="F2524" s="5">
        <f>[1]Raw_Data!F2522</f>
        <v>8251.7999999999993</v>
      </c>
      <c r="G2524" s="4">
        <f>[1]Raw_Data!G2522</f>
        <v>0.03</v>
      </c>
      <c r="H2524" s="3">
        <f>[1]Raw_Data!H2522</f>
        <v>0</v>
      </c>
      <c r="I2524" s="3" t="str">
        <f>TRIM([1]Raw_Data!I2522)</f>
        <v>USA</v>
      </c>
      <c r="J2524" s="3" t="str">
        <f>TRIM([1]Raw_Data!J2522)</f>
        <v>Walmart</v>
      </c>
      <c r="K2524" s="3">
        <f t="shared" si="156"/>
        <v>2023</v>
      </c>
      <c r="L2524" s="6">
        <f t="shared" si="157"/>
        <v>44927</v>
      </c>
      <c r="M2524" s="3" t="str">
        <f t="shared" si="158"/>
        <v>0% to 5%</v>
      </c>
      <c r="N2524" s="3" t="str">
        <f t="shared" si="159"/>
        <v>OK</v>
      </c>
    </row>
    <row r="2525" spans="1:14" x14ac:dyDescent="0.3">
      <c r="A2525" s="2">
        <f>DATE(VALUE(RIGHT(TRIM([1]Raw_Data!A2523),4)),VALUE(MID(TRIM([1]Raw_Data!A2523),4,2)),VALUE(LEFT(TRIM([1]Raw_Data!A2523),2)))</f>
        <v>44935</v>
      </c>
      <c r="B2525" s="3" t="str">
        <f>TRIM([1]Raw_Data!B2523)</f>
        <v>Magnesium</v>
      </c>
      <c r="C2525" s="3" t="str">
        <f>TRIM([1]Raw_Data!C2523)</f>
        <v>Mineral</v>
      </c>
      <c r="D2525" s="3">
        <f>[1]Raw_Data!D2523</f>
        <v>141</v>
      </c>
      <c r="E2525" s="4">
        <f>[1]Raw_Data!E2523</f>
        <v>50.97</v>
      </c>
      <c r="F2525" s="5">
        <f>[1]Raw_Data!F2523</f>
        <v>7186.77</v>
      </c>
      <c r="G2525" s="4">
        <f>[1]Raw_Data!G2523</f>
        <v>0.18</v>
      </c>
      <c r="H2525" s="3">
        <f>[1]Raw_Data!H2523</f>
        <v>4</v>
      </c>
      <c r="I2525" s="3" t="str">
        <f>TRIM([1]Raw_Data!I2523)</f>
        <v>UK</v>
      </c>
      <c r="J2525" s="3" t="str">
        <f>TRIM([1]Raw_Data!J2523)</f>
        <v>iHerb</v>
      </c>
      <c r="K2525" s="3">
        <f t="shared" si="156"/>
        <v>2023</v>
      </c>
      <c r="L2525" s="6">
        <f t="shared" si="157"/>
        <v>44927</v>
      </c>
      <c r="M2525" s="3" t="str">
        <f t="shared" si="158"/>
        <v>16% to 20%</v>
      </c>
      <c r="N2525" s="3" t="str">
        <f t="shared" si="159"/>
        <v>OK</v>
      </c>
    </row>
    <row r="2526" spans="1:14" x14ac:dyDescent="0.3">
      <c r="A2526" s="2">
        <f>DATE(VALUE(RIGHT(TRIM([1]Raw_Data!A2524),4)),VALUE(MID(TRIM([1]Raw_Data!A2524),4,2)),VALUE(LEFT(TRIM([1]Raw_Data!A2524),2)))</f>
        <v>44935</v>
      </c>
      <c r="B2526" s="3" t="str">
        <f>TRIM([1]Raw_Data!B2524)</f>
        <v>Ashwagandha</v>
      </c>
      <c r="C2526" s="3" t="str">
        <f>TRIM([1]Raw_Data!C2524)</f>
        <v>Herbal</v>
      </c>
      <c r="D2526" s="3">
        <f>[1]Raw_Data!D2524</f>
        <v>158</v>
      </c>
      <c r="E2526" s="4">
        <f>[1]Raw_Data!E2524</f>
        <v>44.95</v>
      </c>
      <c r="F2526" s="5">
        <f>[1]Raw_Data!F2524</f>
        <v>7102.1</v>
      </c>
      <c r="G2526" s="4">
        <f>[1]Raw_Data!G2524</f>
        <v>0.25</v>
      </c>
      <c r="H2526" s="3">
        <f>[1]Raw_Data!H2524</f>
        <v>2</v>
      </c>
      <c r="I2526" s="3" t="str">
        <f>TRIM([1]Raw_Data!I2524)</f>
        <v>USA</v>
      </c>
      <c r="J2526" s="3" t="str">
        <f>TRIM([1]Raw_Data!J2524)</f>
        <v>Amazon</v>
      </c>
      <c r="K2526" s="3">
        <f t="shared" si="156"/>
        <v>2023</v>
      </c>
      <c r="L2526" s="6">
        <f t="shared" si="157"/>
        <v>44927</v>
      </c>
      <c r="M2526" s="3" t="str">
        <f t="shared" si="158"/>
        <v>21% to 25%</v>
      </c>
      <c r="N2526" s="3" t="str">
        <f t="shared" si="159"/>
        <v>OK</v>
      </c>
    </row>
    <row r="2527" spans="1:14" x14ac:dyDescent="0.3">
      <c r="A2527" s="2">
        <f>DATE(VALUE(RIGHT(TRIM([1]Raw_Data!A2525),4)),VALUE(MID(TRIM([1]Raw_Data!A2525),4,2)),VALUE(LEFT(TRIM([1]Raw_Data!A2525),2)))</f>
        <v>44935</v>
      </c>
      <c r="B2527" s="3" t="str">
        <f>TRIM([1]Raw_Data!B2525)</f>
        <v>Melatonin</v>
      </c>
      <c r="C2527" s="3" t="str">
        <f>TRIM([1]Raw_Data!C2525)</f>
        <v>Sleep Aid</v>
      </c>
      <c r="D2527" s="3">
        <f>[1]Raw_Data!D2525</f>
        <v>133</v>
      </c>
      <c r="E2527" s="4">
        <f>[1]Raw_Data!E2525</f>
        <v>52.54</v>
      </c>
      <c r="F2527" s="5">
        <f>[1]Raw_Data!F2525</f>
        <v>6987.82</v>
      </c>
      <c r="G2527" s="4">
        <f>[1]Raw_Data!G2525</f>
        <v>0.24</v>
      </c>
      <c r="H2527" s="3">
        <f>[1]Raw_Data!H2525</f>
        <v>0</v>
      </c>
      <c r="I2527" s="3" t="str">
        <f>TRIM([1]Raw_Data!I2525)</f>
        <v>UK</v>
      </c>
      <c r="J2527" s="3" t="str">
        <f>TRIM([1]Raw_Data!J2525)</f>
        <v>iHerb</v>
      </c>
      <c r="K2527" s="3">
        <f t="shared" si="156"/>
        <v>2023</v>
      </c>
      <c r="L2527" s="6">
        <f t="shared" si="157"/>
        <v>44927</v>
      </c>
      <c r="M2527" s="3" t="str">
        <f t="shared" si="158"/>
        <v>21% to 25%</v>
      </c>
      <c r="N2527" s="3" t="str">
        <f t="shared" si="159"/>
        <v>OK</v>
      </c>
    </row>
    <row r="2528" spans="1:14" x14ac:dyDescent="0.3">
      <c r="A2528" s="2">
        <f>DATE(VALUE(RIGHT(TRIM([1]Raw_Data!A2526),4)),VALUE(MID(TRIM([1]Raw_Data!A2526),4,2)),VALUE(LEFT(TRIM([1]Raw_Data!A2526),2)))</f>
        <v>44935</v>
      </c>
      <c r="B2528" s="3" t="str">
        <f>TRIM([1]Raw_Data!B2526)</f>
        <v>Biotin</v>
      </c>
      <c r="C2528" s="3" t="str">
        <f>TRIM([1]Raw_Data!C2526)</f>
        <v>Vitamin</v>
      </c>
      <c r="D2528" s="3">
        <f>[1]Raw_Data!D2526</f>
        <v>150</v>
      </c>
      <c r="E2528" s="4">
        <f>[1]Raw_Data!E2526</f>
        <v>22.37</v>
      </c>
      <c r="F2528" s="5">
        <f>[1]Raw_Data!F2526</f>
        <v>3355.5</v>
      </c>
      <c r="G2528" s="4">
        <f>[1]Raw_Data!G2526</f>
        <v>0.15</v>
      </c>
      <c r="H2528" s="3">
        <f>[1]Raw_Data!H2526</f>
        <v>1</v>
      </c>
      <c r="I2528" s="3" t="str">
        <f>TRIM([1]Raw_Data!I2526)</f>
        <v>USA</v>
      </c>
      <c r="J2528" s="3" t="str">
        <f>TRIM([1]Raw_Data!J2526)</f>
        <v>Amazon</v>
      </c>
      <c r="K2528" s="3">
        <f t="shared" si="156"/>
        <v>2023</v>
      </c>
      <c r="L2528" s="6">
        <f t="shared" si="157"/>
        <v>44927</v>
      </c>
      <c r="M2528" s="3" t="str">
        <f t="shared" si="158"/>
        <v>11% to 15%</v>
      </c>
      <c r="N2528" s="3" t="str">
        <f t="shared" si="159"/>
        <v>OK</v>
      </c>
    </row>
    <row r="2529" spans="1:14" x14ac:dyDescent="0.3">
      <c r="A2529" s="2">
        <f>DATE(VALUE(RIGHT(TRIM([1]Raw_Data!A2527),4)),VALUE(MID(TRIM([1]Raw_Data!A2527),4,2)),VALUE(LEFT(TRIM([1]Raw_Data!A2527),2)))</f>
        <v>44935</v>
      </c>
      <c r="B2529" s="3" t="str">
        <f>TRIM([1]Raw_Data!B2527)</f>
        <v>Green Tea Extract</v>
      </c>
      <c r="C2529" s="3" t="str">
        <f>TRIM([1]Raw_Data!C2527)</f>
        <v>Fat Burner</v>
      </c>
      <c r="D2529" s="3">
        <f>[1]Raw_Data!D2527</f>
        <v>144</v>
      </c>
      <c r="E2529" s="4">
        <f>[1]Raw_Data!E2527</f>
        <v>36.46</v>
      </c>
      <c r="F2529" s="5">
        <f>[1]Raw_Data!F2527</f>
        <v>5250.24</v>
      </c>
      <c r="G2529" s="4">
        <f>[1]Raw_Data!G2527</f>
        <v>0.11</v>
      </c>
      <c r="H2529" s="3">
        <f>[1]Raw_Data!H2527</f>
        <v>1</v>
      </c>
      <c r="I2529" s="3" t="str">
        <f>TRIM([1]Raw_Data!I2527)</f>
        <v>Canada</v>
      </c>
      <c r="J2529" s="3" t="str">
        <f>TRIM([1]Raw_Data!J2527)</f>
        <v>iHerb</v>
      </c>
      <c r="K2529" s="3">
        <f t="shared" si="156"/>
        <v>2023</v>
      </c>
      <c r="L2529" s="6">
        <f t="shared" si="157"/>
        <v>44927</v>
      </c>
      <c r="M2529" s="3" t="str">
        <f t="shared" si="158"/>
        <v>11% to 15%</v>
      </c>
      <c r="N2529" s="3" t="str">
        <f t="shared" si="159"/>
        <v>OK</v>
      </c>
    </row>
    <row r="2530" spans="1:14" x14ac:dyDescent="0.3">
      <c r="A2530" s="2">
        <f>DATE(VALUE(RIGHT(TRIM([1]Raw_Data!A2528),4)),VALUE(MID(TRIM([1]Raw_Data!A2528),4,2)),VALUE(LEFT(TRIM([1]Raw_Data!A2528),2)))</f>
        <v>44935</v>
      </c>
      <c r="B2530" s="3" t="str">
        <f>TRIM([1]Raw_Data!B2528)</f>
        <v>Iron Supplement</v>
      </c>
      <c r="C2530" s="3" t="str">
        <f>TRIM([1]Raw_Data!C2528)</f>
        <v>Mineral</v>
      </c>
      <c r="D2530" s="3">
        <f>[1]Raw_Data!D2528</f>
        <v>143</v>
      </c>
      <c r="E2530" s="4">
        <f>[1]Raw_Data!E2528</f>
        <v>12.37</v>
      </c>
      <c r="F2530" s="5">
        <f>[1]Raw_Data!F2528</f>
        <v>1768.91</v>
      </c>
      <c r="G2530" s="4">
        <f>[1]Raw_Data!G2528</f>
        <v>0.05</v>
      </c>
      <c r="H2530" s="3">
        <f>[1]Raw_Data!H2528</f>
        <v>2</v>
      </c>
      <c r="I2530" s="3" t="str">
        <f>TRIM([1]Raw_Data!I2528)</f>
        <v>UK</v>
      </c>
      <c r="J2530" s="3" t="str">
        <f>TRIM([1]Raw_Data!J2528)</f>
        <v>Walmart</v>
      </c>
      <c r="K2530" s="3">
        <f t="shared" si="156"/>
        <v>2023</v>
      </c>
      <c r="L2530" s="6">
        <f t="shared" si="157"/>
        <v>44927</v>
      </c>
      <c r="M2530" s="3" t="str">
        <f t="shared" si="158"/>
        <v>0% to 5%</v>
      </c>
      <c r="N2530" s="3" t="str">
        <f t="shared" si="159"/>
        <v>OK</v>
      </c>
    </row>
    <row r="2531" spans="1:14" x14ac:dyDescent="0.3">
      <c r="A2531" s="2">
        <f>DATE(VALUE(RIGHT(TRIM([1]Raw_Data!A2529),4)),VALUE(MID(TRIM([1]Raw_Data!A2529),4,2)),VALUE(LEFT(TRIM([1]Raw_Data!A2529),2)))</f>
        <v>44935</v>
      </c>
      <c r="B2531" s="3" t="str">
        <f>TRIM([1]Raw_Data!B2529)</f>
        <v>Electrolyte Powder</v>
      </c>
      <c r="C2531" s="3" t="str">
        <f>TRIM([1]Raw_Data!C2529)</f>
        <v>Hydration</v>
      </c>
      <c r="D2531" s="3">
        <f>[1]Raw_Data!D2529</f>
        <v>161</v>
      </c>
      <c r="E2531" s="4">
        <f>[1]Raw_Data!E2529</f>
        <v>15.43</v>
      </c>
      <c r="F2531" s="5">
        <f>[1]Raw_Data!F2529</f>
        <v>2484.23</v>
      </c>
      <c r="G2531" s="4">
        <f>[1]Raw_Data!G2529</f>
        <v>0.19</v>
      </c>
      <c r="H2531" s="3">
        <f>[1]Raw_Data!H2529</f>
        <v>1</v>
      </c>
      <c r="I2531" s="3" t="str">
        <f>TRIM([1]Raw_Data!I2529)</f>
        <v>UK</v>
      </c>
      <c r="J2531" s="3" t="str">
        <f>TRIM([1]Raw_Data!J2529)</f>
        <v>iHerb</v>
      </c>
      <c r="K2531" s="3">
        <f t="shared" si="156"/>
        <v>2023</v>
      </c>
      <c r="L2531" s="6">
        <f t="shared" si="157"/>
        <v>44927</v>
      </c>
      <c r="M2531" s="3" t="str">
        <f t="shared" si="158"/>
        <v>16% to 20%</v>
      </c>
      <c r="N2531" s="3" t="str">
        <f t="shared" si="159"/>
        <v>OK</v>
      </c>
    </row>
    <row r="2532" spans="1:14" x14ac:dyDescent="0.3">
      <c r="A2532" s="2">
        <f>DATE(VALUE(RIGHT(TRIM([1]Raw_Data!A2530),4)),VALUE(MID(TRIM([1]Raw_Data!A2530),4,2)),VALUE(LEFT(TRIM([1]Raw_Data!A2530),2)))</f>
        <v>44942</v>
      </c>
      <c r="B2532" s="3" t="str">
        <f>TRIM([1]Raw_Data!B2530)</f>
        <v>Whey Protein</v>
      </c>
      <c r="C2532" s="3" t="str">
        <f>TRIM([1]Raw_Data!C2530)</f>
        <v>Protein</v>
      </c>
      <c r="D2532" s="3">
        <f>[1]Raw_Data!D2530</f>
        <v>178</v>
      </c>
      <c r="E2532" s="4">
        <f>[1]Raw_Data!E2530</f>
        <v>26.34</v>
      </c>
      <c r="F2532" s="5">
        <f>[1]Raw_Data!F2530</f>
        <v>4688.5200000000004</v>
      </c>
      <c r="G2532" s="4">
        <f>[1]Raw_Data!G2530</f>
        <v>7.0000000000000007E-2</v>
      </c>
      <c r="H2532" s="3">
        <f>[1]Raw_Data!H2530</f>
        <v>2</v>
      </c>
      <c r="I2532" s="3" t="str">
        <f>TRIM([1]Raw_Data!I2530)</f>
        <v>USA</v>
      </c>
      <c r="J2532" s="3" t="str">
        <f>TRIM([1]Raw_Data!J2530)</f>
        <v>Walmart</v>
      </c>
      <c r="K2532" s="3">
        <f t="shared" si="156"/>
        <v>2023</v>
      </c>
      <c r="L2532" s="6">
        <f t="shared" si="157"/>
        <v>44927</v>
      </c>
      <c r="M2532" s="3" t="str">
        <f t="shared" si="158"/>
        <v>6% to 10%</v>
      </c>
      <c r="N2532" s="3" t="str">
        <f t="shared" si="159"/>
        <v>OK</v>
      </c>
    </row>
    <row r="2533" spans="1:14" x14ac:dyDescent="0.3">
      <c r="A2533" s="2">
        <f>DATE(VALUE(RIGHT(TRIM([1]Raw_Data!A2531),4)),VALUE(MID(TRIM([1]Raw_Data!A2531),4,2)),VALUE(LEFT(TRIM([1]Raw_Data!A2531),2)))</f>
        <v>44942</v>
      </c>
      <c r="B2533" s="3" t="str">
        <f>TRIM([1]Raw_Data!B2531)</f>
        <v>Vitamin C</v>
      </c>
      <c r="C2533" s="3" t="str">
        <f>TRIM([1]Raw_Data!C2531)</f>
        <v>Vitamin</v>
      </c>
      <c r="D2533" s="3">
        <f>[1]Raw_Data!D2531</f>
        <v>129</v>
      </c>
      <c r="E2533" s="4">
        <f>[1]Raw_Data!E2531</f>
        <v>18.79</v>
      </c>
      <c r="F2533" s="5">
        <f>[1]Raw_Data!F2531</f>
        <v>2423.91</v>
      </c>
      <c r="G2533" s="4">
        <f>[1]Raw_Data!G2531</f>
        <v>0.19</v>
      </c>
      <c r="H2533" s="3">
        <f>[1]Raw_Data!H2531</f>
        <v>1</v>
      </c>
      <c r="I2533" s="3" t="str">
        <f>TRIM([1]Raw_Data!I2531)</f>
        <v>USA</v>
      </c>
      <c r="J2533" s="3" t="str">
        <f>TRIM([1]Raw_Data!J2531)</f>
        <v>iHerb</v>
      </c>
      <c r="K2533" s="3">
        <f t="shared" si="156"/>
        <v>2023</v>
      </c>
      <c r="L2533" s="6">
        <f t="shared" si="157"/>
        <v>44927</v>
      </c>
      <c r="M2533" s="3" t="str">
        <f t="shared" si="158"/>
        <v>16% to 20%</v>
      </c>
      <c r="N2533" s="3" t="str">
        <f t="shared" si="159"/>
        <v>OK</v>
      </c>
    </row>
    <row r="2534" spans="1:14" x14ac:dyDescent="0.3">
      <c r="A2534" s="2">
        <f>DATE(VALUE(RIGHT(TRIM([1]Raw_Data!A2532),4)),VALUE(MID(TRIM([1]Raw_Data!A2532),4,2)),VALUE(LEFT(TRIM([1]Raw_Data!A2532),2)))</f>
        <v>44942</v>
      </c>
      <c r="B2534" s="3" t="str">
        <f>TRIM([1]Raw_Data!B2532)</f>
        <v>Fish Oil</v>
      </c>
      <c r="C2534" s="3" t="str">
        <f>TRIM([1]Raw_Data!C2532)</f>
        <v>Omega</v>
      </c>
      <c r="D2534" s="3">
        <f>[1]Raw_Data!D2532</f>
        <v>147</v>
      </c>
      <c r="E2534" s="4">
        <f>[1]Raw_Data!E2532</f>
        <v>20.71</v>
      </c>
      <c r="F2534" s="5">
        <f>[1]Raw_Data!F2532</f>
        <v>3044.37</v>
      </c>
      <c r="G2534" s="4">
        <f>[1]Raw_Data!G2532</f>
        <v>0.14000000000000001</v>
      </c>
      <c r="H2534" s="3">
        <f>[1]Raw_Data!H2532</f>
        <v>4</v>
      </c>
      <c r="I2534" s="3" t="str">
        <f>TRIM([1]Raw_Data!I2532)</f>
        <v>USA</v>
      </c>
      <c r="J2534" s="3" t="str">
        <f>TRIM([1]Raw_Data!J2532)</f>
        <v>iHerb</v>
      </c>
      <c r="K2534" s="3">
        <f t="shared" si="156"/>
        <v>2023</v>
      </c>
      <c r="L2534" s="6">
        <f t="shared" si="157"/>
        <v>44927</v>
      </c>
      <c r="M2534" s="3" t="str">
        <f t="shared" si="158"/>
        <v>11% to 15%</v>
      </c>
      <c r="N2534" s="3" t="str">
        <f t="shared" si="159"/>
        <v>OK</v>
      </c>
    </row>
    <row r="2535" spans="1:14" x14ac:dyDescent="0.3">
      <c r="A2535" s="2">
        <f>DATE(VALUE(RIGHT(TRIM([1]Raw_Data!A2533),4)),VALUE(MID(TRIM([1]Raw_Data!A2533),4,2)),VALUE(LEFT(TRIM([1]Raw_Data!A2533),2)))</f>
        <v>44942</v>
      </c>
      <c r="B2535" s="3" t="str">
        <f>TRIM([1]Raw_Data!B2533)</f>
        <v>Multivitamin</v>
      </c>
      <c r="C2535" s="3" t="str">
        <f>TRIM([1]Raw_Data!C2533)</f>
        <v>Vitamin</v>
      </c>
      <c r="D2535" s="3">
        <f>[1]Raw_Data!D2533</f>
        <v>128</v>
      </c>
      <c r="E2535" s="4">
        <f>[1]Raw_Data!E2533</f>
        <v>22.15</v>
      </c>
      <c r="F2535" s="5">
        <f>[1]Raw_Data!F2533</f>
        <v>2835.2</v>
      </c>
      <c r="G2535" s="4">
        <f>[1]Raw_Data!G2533</f>
        <v>0.06</v>
      </c>
      <c r="H2535" s="3">
        <f>[1]Raw_Data!H2533</f>
        <v>1</v>
      </c>
      <c r="I2535" s="3" t="str">
        <f>TRIM([1]Raw_Data!I2533)</f>
        <v>UK</v>
      </c>
      <c r="J2535" s="3" t="str">
        <f>TRIM([1]Raw_Data!J2533)</f>
        <v>Amazon</v>
      </c>
      <c r="K2535" s="3">
        <f t="shared" si="156"/>
        <v>2023</v>
      </c>
      <c r="L2535" s="6">
        <f t="shared" si="157"/>
        <v>44927</v>
      </c>
      <c r="M2535" s="3" t="str">
        <f t="shared" si="158"/>
        <v>6% to 10%</v>
      </c>
      <c r="N2535" s="3" t="str">
        <f t="shared" si="159"/>
        <v>OK</v>
      </c>
    </row>
    <row r="2536" spans="1:14" x14ac:dyDescent="0.3">
      <c r="A2536" s="2">
        <f>DATE(VALUE(RIGHT(TRIM([1]Raw_Data!A2534),4)),VALUE(MID(TRIM([1]Raw_Data!A2534),4,2)),VALUE(LEFT(TRIM([1]Raw_Data!A2534),2)))</f>
        <v>44942</v>
      </c>
      <c r="B2536" s="3" t="str">
        <f>TRIM([1]Raw_Data!B2534)</f>
        <v>Pre-Workout</v>
      </c>
      <c r="C2536" s="3" t="str">
        <f>TRIM([1]Raw_Data!C2534)</f>
        <v>Performance</v>
      </c>
      <c r="D2536" s="3">
        <f>[1]Raw_Data!D2534</f>
        <v>138</v>
      </c>
      <c r="E2536" s="4">
        <f>[1]Raw_Data!E2534</f>
        <v>41.84</v>
      </c>
      <c r="F2536" s="5">
        <f>[1]Raw_Data!F2534</f>
        <v>5773.92</v>
      </c>
      <c r="G2536" s="4">
        <f>[1]Raw_Data!G2534</f>
        <v>0.13</v>
      </c>
      <c r="H2536" s="3">
        <f>[1]Raw_Data!H2534</f>
        <v>1</v>
      </c>
      <c r="I2536" s="3" t="str">
        <f>TRIM([1]Raw_Data!I2534)</f>
        <v>USA</v>
      </c>
      <c r="J2536" s="3" t="str">
        <f>TRIM([1]Raw_Data!J2534)</f>
        <v>Walmart</v>
      </c>
      <c r="K2536" s="3">
        <f t="shared" si="156"/>
        <v>2023</v>
      </c>
      <c r="L2536" s="6">
        <f t="shared" si="157"/>
        <v>44927</v>
      </c>
      <c r="M2536" s="3" t="str">
        <f t="shared" si="158"/>
        <v>11% to 15%</v>
      </c>
      <c r="N2536" s="3" t="str">
        <f t="shared" si="159"/>
        <v>OK</v>
      </c>
    </row>
    <row r="2537" spans="1:14" x14ac:dyDescent="0.3">
      <c r="A2537" s="2">
        <f>DATE(VALUE(RIGHT(TRIM([1]Raw_Data!A2535),4)),VALUE(MID(TRIM([1]Raw_Data!A2535),4,2)),VALUE(LEFT(TRIM([1]Raw_Data!A2535),2)))</f>
        <v>44942</v>
      </c>
      <c r="B2537" s="3" t="str">
        <f>TRIM([1]Raw_Data!B2535)</f>
        <v>BCAA</v>
      </c>
      <c r="C2537" s="3" t="str">
        <f>TRIM([1]Raw_Data!C2535)</f>
        <v>Amino Acid</v>
      </c>
      <c r="D2537" s="3">
        <f>[1]Raw_Data!D2535</f>
        <v>138</v>
      </c>
      <c r="E2537" s="4">
        <f>[1]Raw_Data!E2535</f>
        <v>30.06</v>
      </c>
      <c r="F2537" s="5">
        <f>[1]Raw_Data!F2535</f>
        <v>4148.28</v>
      </c>
      <c r="G2537" s="4">
        <f>[1]Raw_Data!G2535</f>
        <v>0.2</v>
      </c>
      <c r="H2537" s="3">
        <f>[1]Raw_Data!H2535</f>
        <v>2</v>
      </c>
      <c r="I2537" s="3" t="str">
        <f>TRIM([1]Raw_Data!I2535)</f>
        <v>UK</v>
      </c>
      <c r="J2537" s="3" t="str">
        <f>TRIM([1]Raw_Data!J2535)</f>
        <v>Amazon</v>
      </c>
      <c r="K2537" s="3">
        <f t="shared" si="156"/>
        <v>2023</v>
      </c>
      <c r="L2537" s="6">
        <f t="shared" si="157"/>
        <v>44927</v>
      </c>
      <c r="M2537" s="3" t="str">
        <f t="shared" si="158"/>
        <v>16% to 20%</v>
      </c>
      <c r="N2537" s="3" t="str">
        <f t="shared" si="159"/>
        <v>OK</v>
      </c>
    </row>
    <row r="2538" spans="1:14" x14ac:dyDescent="0.3">
      <c r="A2538" s="2">
        <f>DATE(VALUE(RIGHT(TRIM([1]Raw_Data!A2536),4)),VALUE(MID(TRIM([1]Raw_Data!A2536),4,2)),VALUE(LEFT(TRIM([1]Raw_Data!A2536),2)))</f>
        <v>44942</v>
      </c>
      <c r="B2538" s="3" t="str">
        <f>TRIM([1]Raw_Data!B2536)</f>
        <v>Creatine</v>
      </c>
      <c r="C2538" s="3" t="str">
        <f>TRIM([1]Raw_Data!C2536)</f>
        <v>Performance</v>
      </c>
      <c r="D2538" s="3">
        <f>[1]Raw_Data!D2536</f>
        <v>134</v>
      </c>
      <c r="E2538" s="4">
        <f>[1]Raw_Data!E2536</f>
        <v>55.41</v>
      </c>
      <c r="F2538" s="5">
        <f>[1]Raw_Data!F2536</f>
        <v>7424.94</v>
      </c>
      <c r="G2538" s="4">
        <f>[1]Raw_Data!G2536</f>
        <v>0.13</v>
      </c>
      <c r="H2538" s="3">
        <f>[1]Raw_Data!H2536</f>
        <v>3</v>
      </c>
      <c r="I2538" s="3" t="str">
        <f>TRIM([1]Raw_Data!I2536)</f>
        <v>Canada</v>
      </c>
      <c r="J2538" s="3" t="str">
        <f>TRIM([1]Raw_Data!J2536)</f>
        <v>Amazon</v>
      </c>
      <c r="K2538" s="3">
        <f t="shared" si="156"/>
        <v>2023</v>
      </c>
      <c r="L2538" s="6">
        <f t="shared" si="157"/>
        <v>44927</v>
      </c>
      <c r="M2538" s="3" t="str">
        <f t="shared" si="158"/>
        <v>11% to 15%</v>
      </c>
      <c r="N2538" s="3" t="str">
        <f t="shared" si="159"/>
        <v>OK</v>
      </c>
    </row>
    <row r="2539" spans="1:14" x14ac:dyDescent="0.3">
      <c r="A2539" s="2">
        <f>DATE(VALUE(RIGHT(TRIM([1]Raw_Data!A2537),4)),VALUE(MID(TRIM([1]Raw_Data!A2537),4,2)),VALUE(LEFT(TRIM([1]Raw_Data!A2537),2)))</f>
        <v>44942</v>
      </c>
      <c r="B2539" s="3" t="str">
        <f>TRIM([1]Raw_Data!B2537)</f>
        <v>Zinc</v>
      </c>
      <c r="C2539" s="3" t="str">
        <f>TRIM([1]Raw_Data!C2537)</f>
        <v>Mineral</v>
      </c>
      <c r="D2539" s="3">
        <f>[1]Raw_Data!D2537</f>
        <v>125</v>
      </c>
      <c r="E2539" s="4">
        <f>[1]Raw_Data!E2537</f>
        <v>36.97</v>
      </c>
      <c r="F2539" s="5">
        <f>[1]Raw_Data!F2537</f>
        <v>4621.25</v>
      </c>
      <c r="G2539" s="4">
        <f>[1]Raw_Data!G2537</f>
        <v>0.22</v>
      </c>
      <c r="H2539" s="3">
        <f>[1]Raw_Data!H2537</f>
        <v>0</v>
      </c>
      <c r="I2539" s="3" t="str">
        <f>TRIM([1]Raw_Data!I2537)</f>
        <v>UK</v>
      </c>
      <c r="J2539" s="3" t="str">
        <f>TRIM([1]Raw_Data!J2537)</f>
        <v>Walmart</v>
      </c>
      <c r="K2539" s="3">
        <f t="shared" si="156"/>
        <v>2023</v>
      </c>
      <c r="L2539" s="6">
        <f t="shared" si="157"/>
        <v>44927</v>
      </c>
      <c r="M2539" s="3" t="str">
        <f t="shared" si="158"/>
        <v>21% to 25%</v>
      </c>
      <c r="N2539" s="3" t="str">
        <f t="shared" si="159"/>
        <v>OK</v>
      </c>
    </row>
    <row r="2540" spans="1:14" x14ac:dyDescent="0.3">
      <c r="A2540" s="2">
        <f>DATE(VALUE(RIGHT(TRIM([1]Raw_Data!A2538),4)),VALUE(MID(TRIM([1]Raw_Data!A2538),4,2)),VALUE(LEFT(TRIM([1]Raw_Data!A2538),2)))</f>
        <v>44942</v>
      </c>
      <c r="B2540" s="3" t="str">
        <f>TRIM([1]Raw_Data!B2538)</f>
        <v>Collagen Peptides</v>
      </c>
      <c r="C2540" s="3" t="str">
        <f>TRIM([1]Raw_Data!C2538)</f>
        <v>Protein</v>
      </c>
      <c r="D2540" s="3">
        <f>[1]Raw_Data!D2538</f>
        <v>140</v>
      </c>
      <c r="E2540" s="4">
        <f>[1]Raw_Data!E2538</f>
        <v>53.29</v>
      </c>
      <c r="F2540" s="5">
        <f>[1]Raw_Data!F2538</f>
        <v>7460.6</v>
      </c>
      <c r="G2540" s="4">
        <f>[1]Raw_Data!G2538</f>
        <v>0.23</v>
      </c>
      <c r="H2540" s="3">
        <f>[1]Raw_Data!H2538</f>
        <v>5</v>
      </c>
      <c r="I2540" s="3" t="str">
        <f>TRIM([1]Raw_Data!I2538)</f>
        <v>UK</v>
      </c>
      <c r="J2540" s="3" t="str">
        <f>TRIM([1]Raw_Data!J2538)</f>
        <v>iHerb</v>
      </c>
      <c r="K2540" s="3">
        <f t="shared" si="156"/>
        <v>2023</v>
      </c>
      <c r="L2540" s="6">
        <f t="shared" si="157"/>
        <v>44927</v>
      </c>
      <c r="M2540" s="3" t="str">
        <f t="shared" si="158"/>
        <v>21% to 25%</v>
      </c>
      <c r="N2540" s="3" t="str">
        <f t="shared" si="159"/>
        <v>OK</v>
      </c>
    </row>
    <row r="2541" spans="1:14" x14ac:dyDescent="0.3">
      <c r="A2541" s="2">
        <f>DATE(VALUE(RIGHT(TRIM([1]Raw_Data!A2539),4)),VALUE(MID(TRIM([1]Raw_Data!A2539),4,2)),VALUE(LEFT(TRIM([1]Raw_Data!A2539),2)))</f>
        <v>44942</v>
      </c>
      <c r="B2541" s="3" t="str">
        <f>TRIM([1]Raw_Data!B2539)</f>
        <v>Magnesium</v>
      </c>
      <c r="C2541" s="3" t="str">
        <f>TRIM([1]Raw_Data!C2539)</f>
        <v>Mineral</v>
      </c>
      <c r="D2541" s="3">
        <f>[1]Raw_Data!D2539</f>
        <v>181</v>
      </c>
      <c r="E2541" s="4">
        <f>[1]Raw_Data!E2539</f>
        <v>12.39</v>
      </c>
      <c r="F2541" s="5">
        <f>[1]Raw_Data!F2539</f>
        <v>2242.59</v>
      </c>
      <c r="G2541" s="4">
        <f>[1]Raw_Data!G2539</f>
        <v>0.04</v>
      </c>
      <c r="H2541" s="3">
        <f>[1]Raw_Data!H2539</f>
        <v>1</v>
      </c>
      <c r="I2541" s="3" t="str">
        <f>TRIM([1]Raw_Data!I2539)</f>
        <v>UK</v>
      </c>
      <c r="J2541" s="3" t="str">
        <f>TRIM([1]Raw_Data!J2539)</f>
        <v>Walmart</v>
      </c>
      <c r="K2541" s="3">
        <f t="shared" si="156"/>
        <v>2023</v>
      </c>
      <c r="L2541" s="6">
        <f t="shared" si="157"/>
        <v>44927</v>
      </c>
      <c r="M2541" s="3" t="str">
        <f t="shared" si="158"/>
        <v>0% to 5%</v>
      </c>
      <c r="N2541" s="3" t="str">
        <f t="shared" si="159"/>
        <v>OK</v>
      </c>
    </row>
    <row r="2542" spans="1:14" x14ac:dyDescent="0.3">
      <c r="A2542" s="2">
        <f>DATE(VALUE(RIGHT(TRIM([1]Raw_Data!A2540),4)),VALUE(MID(TRIM([1]Raw_Data!A2540),4,2)),VALUE(LEFT(TRIM([1]Raw_Data!A2540),2)))</f>
        <v>44942</v>
      </c>
      <c r="B2542" s="3" t="str">
        <f>TRIM([1]Raw_Data!B2540)</f>
        <v>Ashwagandha</v>
      </c>
      <c r="C2542" s="3" t="str">
        <f>TRIM([1]Raw_Data!C2540)</f>
        <v>Herbal</v>
      </c>
      <c r="D2542" s="3">
        <f>[1]Raw_Data!D2540</f>
        <v>137</v>
      </c>
      <c r="E2542" s="4">
        <f>[1]Raw_Data!E2540</f>
        <v>55.87</v>
      </c>
      <c r="F2542" s="5">
        <f>[1]Raw_Data!F2540</f>
        <v>7654.19</v>
      </c>
      <c r="G2542" s="4">
        <f>[1]Raw_Data!G2540</f>
        <v>0.12</v>
      </c>
      <c r="H2542" s="3">
        <f>[1]Raw_Data!H2540</f>
        <v>0</v>
      </c>
      <c r="I2542" s="3" t="str">
        <f>TRIM([1]Raw_Data!I2540)</f>
        <v>USA</v>
      </c>
      <c r="J2542" s="3" t="str">
        <f>TRIM([1]Raw_Data!J2540)</f>
        <v>Walmart</v>
      </c>
      <c r="K2542" s="3">
        <f t="shared" si="156"/>
        <v>2023</v>
      </c>
      <c r="L2542" s="6">
        <f t="shared" si="157"/>
        <v>44927</v>
      </c>
      <c r="M2542" s="3" t="str">
        <f t="shared" si="158"/>
        <v>11% to 15%</v>
      </c>
      <c r="N2542" s="3" t="str">
        <f t="shared" si="159"/>
        <v>OK</v>
      </c>
    </row>
    <row r="2543" spans="1:14" x14ac:dyDescent="0.3">
      <c r="A2543" s="2">
        <f>DATE(VALUE(RIGHT(TRIM([1]Raw_Data!A2541),4)),VALUE(MID(TRIM([1]Raw_Data!A2541),4,2)),VALUE(LEFT(TRIM([1]Raw_Data!A2541),2)))</f>
        <v>44942</v>
      </c>
      <c r="B2543" s="3" t="str">
        <f>TRIM([1]Raw_Data!B2541)</f>
        <v>Melatonin</v>
      </c>
      <c r="C2543" s="3" t="str">
        <f>TRIM([1]Raw_Data!C2541)</f>
        <v>Sleep Aid</v>
      </c>
      <c r="D2543" s="3">
        <f>[1]Raw_Data!D2541</f>
        <v>148</v>
      </c>
      <c r="E2543" s="4">
        <f>[1]Raw_Data!E2541</f>
        <v>38.880000000000003</v>
      </c>
      <c r="F2543" s="5">
        <f>[1]Raw_Data!F2541</f>
        <v>5754.24</v>
      </c>
      <c r="G2543" s="4">
        <f>[1]Raw_Data!G2541</f>
        <v>0.11</v>
      </c>
      <c r="H2543" s="3">
        <f>[1]Raw_Data!H2541</f>
        <v>0</v>
      </c>
      <c r="I2543" s="3" t="str">
        <f>TRIM([1]Raw_Data!I2541)</f>
        <v>UK</v>
      </c>
      <c r="J2543" s="3" t="str">
        <f>TRIM([1]Raw_Data!J2541)</f>
        <v>iHerb</v>
      </c>
      <c r="K2543" s="3">
        <f t="shared" si="156"/>
        <v>2023</v>
      </c>
      <c r="L2543" s="6">
        <f t="shared" si="157"/>
        <v>44927</v>
      </c>
      <c r="M2543" s="3" t="str">
        <f t="shared" si="158"/>
        <v>11% to 15%</v>
      </c>
      <c r="N2543" s="3" t="str">
        <f t="shared" si="159"/>
        <v>OK</v>
      </c>
    </row>
    <row r="2544" spans="1:14" x14ac:dyDescent="0.3">
      <c r="A2544" s="2">
        <f>DATE(VALUE(RIGHT(TRIM([1]Raw_Data!A2542),4)),VALUE(MID(TRIM([1]Raw_Data!A2542),4,2)),VALUE(LEFT(TRIM([1]Raw_Data!A2542),2)))</f>
        <v>44942</v>
      </c>
      <c r="B2544" s="3" t="str">
        <f>TRIM([1]Raw_Data!B2542)</f>
        <v>Biotin</v>
      </c>
      <c r="C2544" s="3" t="str">
        <f>TRIM([1]Raw_Data!C2542)</f>
        <v>Vitamin</v>
      </c>
      <c r="D2544" s="3">
        <f>[1]Raw_Data!D2542</f>
        <v>149</v>
      </c>
      <c r="E2544" s="4">
        <f>[1]Raw_Data!E2542</f>
        <v>17.79</v>
      </c>
      <c r="F2544" s="5">
        <f>[1]Raw_Data!F2542</f>
        <v>2650.71</v>
      </c>
      <c r="G2544" s="4">
        <f>[1]Raw_Data!G2542</f>
        <v>0.05</v>
      </c>
      <c r="H2544" s="3">
        <f>[1]Raw_Data!H2542</f>
        <v>2</v>
      </c>
      <c r="I2544" s="3" t="str">
        <f>TRIM([1]Raw_Data!I2542)</f>
        <v>USA</v>
      </c>
      <c r="J2544" s="3" t="str">
        <f>TRIM([1]Raw_Data!J2542)</f>
        <v>iHerb</v>
      </c>
      <c r="K2544" s="3">
        <f t="shared" si="156"/>
        <v>2023</v>
      </c>
      <c r="L2544" s="6">
        <f t="shared" si="157"/>
        <v>44927</v>
      </c>
      <c r="M2544" s="3" t="str">
        <f t="shared" si="158"/>
        <v>0% to 5%</v>
      </c>
      <c r="N2544" s="3" t="str">
        <f t="shared" si="159"/>
        <v>OK</v>
      </c>
    </row>
    <row r="2545" spans="1:14" x14ac:dyDescent="0.3">
      <c r="A2545" s="2">
        <f>DATE(VALUE(RIGHT(TRIM([1]Raw_Data!A2543),4)),VALUE(MID(TRIM([1]Raw_Data!A2543),4,2)),VALUE(LEFT(TRIM([1]Raw_Data!A2543),2)))</f>
        <v>44942</v>
      </c>
      <c r="B2545" s="3" t="str">
        <f>TRIM([1]Raw_Data!B2543)</f>
        <v>Green Tea Extract</v>
      </c>
      <c r="C2545" s="3" t="str">
        <f>TRIM([1]Raw_Data!C2543)</f>
        <v>Fat Burner</v>
      </c>
      <c r="D2545" s="3">
        <f>[1]Raw_Data!D2543</f>
        <v>141</v>
      </c>
      <c r="E2545" s="4">
        <f>[1]Raw_Data!E2543</f>
        <v>23.58</v>
      </c>
      <c r="F2545" s="5">
        <f>[1]Raw_Data!F2543</f>
        <v>3324.78</v>
      </c>
      <c r="G2545" s="4">
        <f>[1]Raw_Data!G2543</f>
        <v>0.01</v>
      </c>
      <c r="H2545" s="3">
        <f>[1]Raw_Data!H2543</f>
        <v>1</v>
      </c>
      <c r="I2545" s="3" t="str">
        <f>TRIM([1]Raw_Data!I2543)</f>
        <v>Canada</v>
      </c>
      <c r="J2545" s="3" t="str">
        <f>TRIM([1]Raw_Data!J2543)</f>
        <v>iHerb</v>
      </c>
      <c r="K2545" s="3">
        <f t="shared" si="156"/>
        <v>2023</v>
      </c>
      <c r="L2545" s="6">
        <f t="shared" si="157"/>
        <v>44927</v>
      </c>
      <c r="M2545" s="3" t="str">
        <f t="shared" si="158"/>
        <v>0% to 5%</v>
      </c>
      <c r="N2545" s="3" t="str">
        <f t="shared" si="159"/>
        <v>OK</v>
      </c>
    </row>
    <row r="2546" spans="1:14" x14ac:dyDescent="0.3">
      <c r="A2546" s="2">
        <f>DATE(VALUE(RIGHT(TRIM([1]Raw_Data!A2544),4)),VALUE(MID(TRIM([1]Raw_Data!A2544),4,2)),VALUE(LEFT(TRIM([1]Raw_Data!A2544),2)))</f>
        <v>44942</v>
      </c>
      <c r="B2546" s="3" t="str">
        <f>TRIM([1]Raw_Data!B2544)</f>
        <v>Iron Supplement</v>
      </c>
      <c r="C2546" s="3" t="str">
        <f>TRIM([1]Raw_Data!C2544)</f>
        <v>Mineral</v>
      </c>
      <c r="D2546" s="3">
        <f>[1]Raw_Data!D2544</f>
        <v>138</v>
      </c>
      <c r="E2546" s="4">
        <f>[1]Raw_Data!E2544</f>
        <v>42.06</v>
      </c>
      <c r="F2546" s="5">
        <f>[1]Raw_Data!F2544</f>
        <v>5804.28</v>
      </c>
      <c r="G2546" s="4">
        <f>[1]Raw_Data!G2544</f>
        <v>0.23</v>
      </c>
      <c r="H2546" s="3">
        <f>[1]Raw_Data!H2544</f>
        <v>2</v>
      </c>
      <c r="I2546" s="3" t="str">
        <f>TRIM([1]Raw_Data!I2544)</f>
        <v>USA</v>
      </c>
      <c r="J2546" s="3" t="str">
        <f>TRIM([1]Raw_Data!J2544)</f>
        <v>Walmart</v>
      </c>
      <c r="K2546" s="3">
        <f t="shared" si="156"/>
        <v>2023</v>
      </c>
      <c r="L2546" s="6">
        <f t="shared" si="157"/>
        <v>44927</v>
      </c>
      <c r="M2546" s="3" t="str">
        <f t="shared" si="158"/>
        <v>21% to 25%</v>
      </c>
      <c r="N2546" s="3" t="str">
        <f t="shared" si="159"/>
        <v>OK</v>
      </c>
    </row>
    <row r="2547" spans="1:14" x14ac:dyDescent="0.3">
      <c r="A2547" s="2">
        <f>DATE(VALUE(RIGHT(TRIM([1]Raw_Data!A2545),4)),VALUE(MID(TRIM([1]Raw_Data!A2545),4,2)),VALUE(LEFT(TRIM([1]Raw_Data!A2545),2)))</f>
        <v>44942</v>
      </c>
      <c r="B2547" s="3" t="str">
        <f>TRIM([1]Raw_Data!B2545)</f>
        <v>Electrolyte Powder</v>
      </c>
      <c r="C2547" s="3" t="str">
        <f>TRIM([1]Raw_Data!C2545)</f>
        <v>Hydration</v>
      </c>
      <c r="D2547" s="3">
        <f>[1]Raw_Data!D2545</f>
        <v>137</v>
      </c>
      <c r="E2547" s="4">
        <f>[1]Raw_Data!E2545</f>
        <v>42.09</v>
      </c>
      <c r="F2547" s="5">
        <f>[1]Raw_Data!F2545</f>
        <v>5766.33</v>
      </c>
      <c r="G2547" s="4">
        <f>[1]Raw_Data!G2545</f>
        <v>0.17</v>
      </c>
      <c r="H2547" s="3">
        <f>[1]Raw_Data!H2545</f>
        <v>2</v>
      </c>
      <c r="I2547" s="3" t="str">
        <f>TRIM([1]Raw_Data!I2545)</f>
        <v>UK</v>
      </c>
      <c r="J2547" s="3" t="str">
        <f>TRIM([1]Raw_Data!J2545)</f>
        <v>Amazon</v>
      </c>
      <c r="K2547" s="3">
        <f t="shared" si="156"/>
        <v>2023</v>
      </c>
      <c r="L2547" s="6">
        <f t="shared" si="157"/>
        <v>44927</v>
      </c>
      <c r="M2547" s="3" t="str">
        <f t="shared" si="158"/>
        <v>16% to 20%</v>
      </c>
      <c r="N2547" s="3" t="str">
        <f t="shared" si="159"/>
        <v>OK</v>
      </c>
    </row>
    <row r="2548" spans="1:14" x14ac:dyDescent="0.3">
      <c r="A2548" s="2">
        <f>DATE(VALUE(RIGHT(TRIM([1]Raw_Data!A2546),4)),VALUE(MID(TRIM([1]Raw_Data!A2546),4,2)),VALUE(LEFT(TRIM([1]Raw_Data!A2546),2)))</f>
        <v>44949</v>
      </c>
      <c r="B2548" s="3" t="str">
        <f>TRIM([1]Raw_Data!B2546)</f>
        <v>Whey Protein</v>
      </c>
      <c r="C2548" s="3" t="str">
        <f>TRIM([1]Raw_Data!C2546)</f>
        <v>Protein</v>
      </c>
      <c r="D2548" s="3">
        <f>[1]Raw_Data!D2546</f>
        <v>153</v>
      </c>
      <c r="E2548" s="4">
        <f>[1]Raw_Data!E2546</f>
        <v>41.83</v>
      </c>
      <c r="F2548" s="5">
        <f>[1]Raw_Data!F2546</f>
        <v>6399.99</v>
      </c>
      <c r="G2548" s="4">
        <f>[1]Raw_Data!G2546</f>
        <v>7.0000000000000007E-2</v>
      </c>
      <c r="H2548" s="3">
        <f>[1]Raw_Data!H2546</f>
        <v>0</v>
      </c>
      <c r="I2548" s="3" t="str">
        <f>TRIM([1]Raw_Data!I2546)</f>
        <v>USA</v>
      </c>
      <c r="J2548" s="3" t="str">
        <f>TRIM([1]Raw_Data!J2546)</f>
        <v>iHerb</v>
      </c>
      <c r="K2548" s="3">
        <f t="shared" si="156"/>
        <v>2023</v>
      </c>
      <c r="L2548" s="6">
        <f t="shared" si="157"/>
        <v>44927</v>
      </c>
      <c r="M2548" s="3" t="str">
        <f t="shared" si="158"/>
        <v>6% to 10%</v>
      </c>
      <c r="N2548" s="3" t="str">
        <f t="shared" si="159"/>
        <v>OK</v>
      </c>
    </row>
    <row r="2549" spans="1:14" x14ac:dyDescent="0.3">
      <c r="A2549" s="2">
        <f>DATE(VALUE(RIGHT(TRIM([1]Raw_Data!A2547),4)),VALUE(MID(TRIM([1]Raw_Data!A2547),4,2)),VALUE(LEFT(TRIM([1]Raw_Data!A2547),2)))</f>
        <v>44949</v>
      </c>
      <c r="B2549" s="3" t="str">
        <f>TRIM([1]Raw_Data!B2547)</f>
        <v>Vitamin C</v>
      </c>
      <c r="C2549" s="3" t="str">
        <f>TRIM([1]Raw_Data!C2547)</f>
        <v>Vitamin</v>
      </c>
      <c r="D2549" s="3">
        <f>[1]Raw_Data!D2547</f>
        <v>154</v>
      </c>
      <c r="E2549" s="4">
        <f>[1]Raw_Data!E2547</f>
        <v>14</v>
      </c>
      <c r="F2549" s="5">
        <f>[1]Raw_Data!F2547</f>
        <v>2156</v>
      </c>
      <c r="G2549" s="4">
        <f>[1]Raw_Data!G2547</f>
        <v>0</v>
      </c>
      <c r="H2549" s="3">
        <f>[1]Raw_Data!H2547</f>
        <v>2</v>
      </c>
      <c r="I2549" s="3" t="str">
        <f>TRIM([1]Raw_Data!I2547)</f>
        <v>Canada</v>
      </c>
      <c r="J2549" s="3" t="str">
        <f>TRIM([1]Raw_Data!J2547)</f>
        <v>Walmart</v>
      </c>
      <c r="K2549" s="3">
        <f t="shared" si="156"/>
        <v>2023</v>
      </c>
      <c r="L2549" s="6">
        <f t="shared" si="157"/>
        <v>44927</v>
      </c>
      <c r="M2549" s="3" t="str">
        <f t="shared" si="158"/>
        <v>0% to 5%</v>
      </c>
      <c r="N2549" s="3" t="str">
        <f t="shared" si="159"/>
        <v>OK</v>
      </c>
    </row>
    <row r="2550" spans="1:14" x14ac:dyDescent="0.3">
      <c r="A2550" s="2">
        <f>DATE(VALUE(RIGHT(TRIM([1]Raw_Data!A2548),4)),VALUE(MID(TRIM([1]Raw_Data!A2548),4,2)),VALUE(LEFT(TRIM([1]Raw_Data!A2548),2)))</f>
        <v>44949</v>
      </c>
      <c r="B2550" s="3" t="str">
        <f>TRIM([1]Raw_Data!B2548)</f>
        <v>Fish Oil</v>
      </c>
      <c r="C2550" s="3" t="str">
        <f>TRIM([1]Raw_Data!C2548)</f>
        <v>Omega</v>
      </c>
      <c r="D2550" s="3">
        <f>[1]Raw_Data!D2548</f>
        <v>145</v>
      </c>
      <c r="E2550" s="4">
        <f>[1]Raw_Data!E2548</f>
        <v>28.76</v>
      </c>
      <c r="F2550" s="5">
        <f>[1]Raw_Data!F2548</f>
        <v>4170.2</v>
      </c>
      <c r="G2550" s="4">
        <f>[1]Raw_Data!G2548</f>
        <v>0.12</v>
      </c>
      <c r="H2550" s="3">
        <f>[1]Raw_Data!H2548</f>
        <v>1</v>
      </c>
      <c r="I2550" s="3" t="str">
        <f>TRIM([1]Raw_Data!I2548)</f>
        <v>UK</v>
      </c>
      <c r="J2550" s="3" t="str">
        <f>TRIM([1]Raw_Data!J2548)</f>
        <v>iHerb</v>
      </c>
      <c r="K2550" s="3">
        <f t="shared" si="156"/>
        <v>2023</v>
      </c>
      <c r="L2550" s="6">
        <f t="shared" si="157"/>
        <v>44927</v>
      </c>
      <c r="M2550" s="3" t="str">
        <f t="shared" si="158"/>
        <v>11% to 15%</v>
      </c>
      <c r="N2550" s="3" t="str">
        <f t="shared" si="159"/>
        <v>OK</v>
      </c>
    </row>
    <row r="2551" spans="1:14" x14ac:dyDescent="0.3">
      <c r="A2551" s="2">
        <f>DATE(VALUE(RIGHT(TRIM([1]Raw_Data!A2549),4)),VALUE(MID(TRIM([1]Raw_Data!A2549),4,2)),VALUE(LEFT(TRIM([1]Raw_Data!A2549),2)))</f>
        <v>44949</v>
      </c>
      <c r="B2551" s="3" t="str">
        <f>TRIM([1]Raw_Data!B2549)</f>
        <v>Multivitamin</v>
      </c>
      <c r="C2551" s="3" t="str">
        <f>TRIM([1]Raw_Data!C2549)</f>
        <v>Vitamin</v>
      </c>
      <c r="D2551" s="3">
        <f>[1]Raw_Data!D2549</f>
        <v>155</v>
      </c>
      <c r="E2551" s="4">
        <f>[1]Raw_Data!E2549</f>
        <v>58.19</v>
      </c>
      <c r="F2551" s="5">
        <f>[1]Raw_Data!F2549</f>
        <v>9019.4500000000007</v>
      </c>
      <c r="G2551" s="4">
        <f>[1]Raw_Data!G2549</f>
        <v>0.23</v>
      </c>
      <c r="H2551" s="3">
        <f>[1]Raw_Data!H2549</f>
        <v>3</v>
      </c>
      <c r="I2551" s="3" t="str">
        <f>TRIM([1]Raw_Data!I2549)</f>
        <v>Canada</v>
      </c>
      <c r="J2551" s="3" t="str">
        <f>TRIM([1]Raw_Data!J2549)</f>
        <v>iHerb</v>
      </c>
      <c r="K2551" s="3">
        <f t="shared" si="156"/>
        <v>2023</v>
      </c>
      <c r="L2551" s="6">
        <f t="shared" si="157"/>
        <v>44927</v>
      </c>
      <c r="M2551" s="3" t="str">
        <f t="shared" si="158"/>
        <v>21% to 25%</v>
      </c>
      <c r="N2551" s="3" t="str">
        <f t="shared" si="159"/>
        <v>OK</v>
      </c>
    </row>
    <row r="2552" spans="1:14" x14ac:dyDescent="0.3">
      <c r="A2552" s="2">
        <f>DATE(VALUE(RIGHT(TRIM([1]Raw_Data!A2550),4)),VALUE(MID(TRIM([1]Raw_Data!A2550),4,2)),VALUE(LEFT(TRIM([1]Raw_Data!A2550),2)))</f>
        <v>44949</v>
      </c>
      <c r="B2552" s="3" t="str">
        <f>TRIM([1]Raw_Data!B2550)</f>
        <v>Pre-Workout</v>
      </c>
      <c r="C2552" s="3" t="str">
        <f>TRIM([1]Raw_Data!C2550)</f>
        <v>Performance</v>
      </c>
      <c r="D2552" s="3">
        <f>[1]Raw_Data!D2550</f>
        <v>171</v>
      </c>
      <c r="E2552" s="4">
        <f>[1]Raw_Data!E2550</f>
        <v>36.82</v>
      </c>
      <c r="F2552" s="5">
        <f>[1]Raw_Data!F2550</f>
        <v>6296.22</v>
      </c>
      <c r="G2552" s="4">
        <f>[1]Raw_Data!G2550</f>
        <v>0.19</v>
      </c>
      <c r="H2552" s="3">
        <f>[1]Raw_Data!H2550</f>
        <v>2</v>
      </c>
      <c r="I2552" s="3" t="str">
        <f>TRIM([1]Raw_Data!I2550)</f>
        <v>UK</v>
      </c>
      <c r="J2552" s="3" t="str">
        <f>TRIM([1]Raw_Data!J2550)</f>
        <v>iHerb</v>
      </c>
      <c r="K2552" s="3">
        <f t="shared" si="156"/>
        <v>2023</v>
      </c>
      <c r="L2552" s="6">
        <f t="shared" si="157"/>
        <v>44927</v>
      </c>
      <c r="M2552" s="3" t="str">
        <f t="shared" si="158"/>
        <v>16% to 20%</v>
      </c>
      <c r="N2552" s="3" t="str">
        <f t="shared" si="159"/>
        <v>OK</v>
      </c>
    </row>
    <row r="2553" spans="1:14" x14ac:dyDescent="0.3">
      <c r="A2553" s="2">
        <f>DATE(VALUE(RIGHT(TRIM([1]Raw_Data!A2551),4)),VALUE(MID(TRIM([1]Raw_Data!A2551),4,2)),VALUE(LEFT(TRIM([1]Raw_Data!A2551),2)))</f>
        <v>44949</v>
      </c>
      <c r="B2553" s="3" t="str">
        <f>TRIM([1]Raw_Data!B2551)</f>
        <v>BCAA</v>
      </c>
      <c r="C2553" s="3" t="str">
        <f>TRIM([1]Raw_Data!C2551)</f>
        <v>Amino Acid</v>
      </c>
      <c r="D2553" s="3">
        <f>[1]Raw_Data!D2551</f>
        <v>168</v>
      </c>
      <c r="E2553" s="4">
        <f>[1]Raw_Data!E2551</f>
        <v>59.89</v>
      </c>
      <c r="F2553" s="5">
        <f>[1]Raw_Data!F2551</f>
        <v>10061.52</v>
      </c>
      <c r="G2553" s="4">
        <f>[1]Raw_Data!G2551</f>
        <v>0.09</v>
      </c>
      <c r="H2553" s="3">
        <f>[1]Raw_Data!H2551</f>
        <v>3</v>
      </c>
      <c r="I2553" s="3" t="str">
        <f>TRIM([1]Raw_Data!I2551)</f>
        <v>Canada</v>
      </c>
      <c r="J2553" s="3" t="str">
        <f>TRIM([1]Raw_Data!J2551)</f>
        <v>Amazon</v>
      </c>
      <c r="K2553" s="3">
        <f t="shared" si="156"/>
        <v>2023</v>
      </c>
      <c r="L2553" s="6">
        <f t="shared" si="157"/>
        <v>44927</v>
      </c>
      <c r="M2553" s="3" t="str">
        <f t="shared" si="158"/>
        <v>6% to 10%</v>
      </c>
      <c r="N2553" s="3" t="str">
        <f t="shared" si="159"/>
        <v>OK</v>
      </c>
    </row>
    <row r="2554" spans="1:14" x14ac:dyDescent="0.3">
      <c r="A2554" s="2">
        <f>DATE(VALUE(RIGHT(TRIM([1]Raw_Data!A2552),4)),VALUE(MID(TRIM([1]Raw_Data!A2552),4,2)),VALUE(LEFT(TRIM([1]Raw_Data!A2552),2)))</f>
        <v>44949</v>
      </c>
      <c r="B2554" s="3" t="str">
        <f>TRIM([1]Raw_Data!B2552)</f>
        <v>Creatine</v>
      </c>
      <c r="C2554" s="3" t="str">
        <f>TRIM([1]Raw_Data!C2552)</f>
        <v>Performance</v>
      </c>
      <c r="D2554" s="3">
        <f>[1]Raw_Data!D2552</f>
        <v>157</v>
      </c>
      <c r="E2554" s="4">
        <f>[1]Raw_Data!E2552</f>
        <v>26.29</v>
      </c>
      <c r="F2554" s="5">
        <f>[1]Raw_Data!F2552</f>
        <v>4127.53</v>
      </c>
      <c r="G2554" s="4">
        <f>[1]Raw_Data!G2552</f>
        <v>0.2</v>
      </c>
      <c r="H2554" s="3">
        <f>[1]Raw_Data!H2552</f>
        <v>3</v>
      </c>
      <c r="I2554" s="3" t="str">
        <f>TRIM([1]Raw_Data!I2552)</f>
        <v>UK</v>
      </c>
      <c r="J2554" s="3" t="str">
        <f>TRIM([1]Raw_Data!J2552)</f>
        <v>Walmart</v>
      </c>
      <c r="K2554" s="3">
        <f t="shared" si="156"/>
        <v>2023</v>
      </c>
      <c r="L2554" s="6">
        <f t="shared" si="157"/>
        <v>44927</v>
      </c>
      <c r="M2554" s="3" t="str">
        <f t="shared" si="158"/>
        <v>16% to 20%</v>
      </c>
      <c r="N2554" s="3" t="str">
        <f t="shared" si="159"/>
        <v>OK</v>
      </c>
    </row>
    <row r="2555" spans="1:14" x14ac:dyDescent="0.3">
      <c r="A2555" s="2">
        <f>DATE(VALUE(RIGHT(TRIM([1]Raw_Data!A2553),4)),VALUE(MID(TRIM([1]Raw_Data!A2553),4,2)),VALUE(LEFT(TRIM([1]Raw_Data!A2553),2)))</f>
        <v>44949</v>
      </c>
      <c r="B2555" s="3" t="str">
        <f>TRIM([1]Raw_Data!B2553)</f>
        <v>Zinc</v>
      </c>
      <c r="C2555" s="3" t="str">
        <f>TRIM([1]Raw_Data!C2553)</f>
        <v>Mineral</v>
      </c>
      <c r="D2555" s="3">
        <f>[1]Raw_Data!D2553</f>
        <v>139</v>
      </c>
      <c r="E2555" s="4">
        <f>[1]Raw_Data!E2553</f>
        <v>29.61</v>
      </c>
      <c r="F2555" s="5">
        <f>[1]Raw_Data!F2553</f>
        <v>4115.79</v>
      </c>
      <c r="G2555" s="4">
        <f>[1]Raw_Data!G2553</f>
        <v>0.25</v>
      </c>
      <c r="H2555" s="3">
        <f>[1]Raw_Data!H2553</f>
        <v>1</v>
      </c>
      <c r="I2555" s="3" t="str">
        <f>TRIM([1]Raw_Data!I2553)</f>
        <v>USA</v>
      </c>
      <c r="J2555" s="3" t="str">
        <f>TRIM([1]Raw_Data!J2553)</f>
        <v>Amazon</v>
      </c>
      <c r="K2555" s="3">
        <f t="shared" si="156"/>
        <v>2023</v>
      </c>
      <c r="L2555" s="6">
        <f t="shared" si="157"/>
        <v>44927</v>
      </c>
      <c r="M2555" s="3" t="str">
        <f t="shared" si="158"/>
        <v>21% to 25%</v>
      </c>
      <c r="N2555" s="3" t="str">
        <f t="shared" si="159"/>
        <v>OK</v>
      </c>
    </row>
    <row r="2556" spans="1:14" x14ac:dyDescent="0.3">
      <c r="A2556" s="2">
        <f>DATE(VALUE(RIGHT(TRIM([1]Raw_Data!A2554),4)),VALUE(MID(TRIM([1]Raw_Data!A2554),4,2)),VALUE(LEFT(TRIM([1]Raw_Data!A2554),2)))</f>
        <v>44949</v>
      </c>
      <c r="B2556" s="3" t="str">
        <f>TRIM([1]Raw_Data!B2554)</f>
        <v>Collagen Peptides</v>
      </c>
      <c r="C2556" s="3" t="str">
        <f>TRIM([1]Raw_Data!C2554)</f>
        <v>Protein</v>
      </c>
      <c r="D2556" s="3">
        <f>[1]Raw_Data!D2554</f>
        <v>140</v>
      </c>
      <c r="E2556" s="4">
        <f>[1]Raw_Data!E2554</f>
        <v>42.69</v>
      </c>
      <c r="F2556" s="5">
        <f>[1]Raw_Data!F2554</f>
        <v>5976.6</v>
      </c>
      <c r="G2556" s="4">
        <f>[1]Raw_Data!G2554</f>
        <v>0.02</v>
      </c>
      <c r="H2556" s="3">
        <f>[1]Raw_Data!H2554</f>
        <v>2</v>
      </c>
      <c r="I2556" s="3" t="str">
        <f>TRIM([1]Raw_Data!I2554)</f>
        <v>UK</v>
      </c>
      <c r="J2556" s="3" t="str">
        <f>TRIM([1]Raw_Data!J2554)</f>
        <v>Walmart</v>
      </c>
      <c r="K2556" s="3">
        <f t="shared" si="156"/>
        <v>2023</v>
      </c>
      <c r="L2556" s="6">
        <f t="shared" si="157"/>
        <v>44927</v>
      </c>
      <c r="M2556" s="3" t="str">
        <f t="shared" si="158"/>
        <v>0% to 5%</v>
      </c>
      <c r="N2556" s="3" t="str">
        <f t="shared" si="159"/>
        <v>OK</v>
      </c>
    </row>
    <row r="2557" spans="1:14" x14ac:dyDescent="0.3">
      <c r="A2557" s="2">
        <f>DATE(VALUE(RIGHT(TRIM([1]Raw_Data!A2555),4)),VALUE(MID(TRIM([1]Raw_Data!A2555),4,2)),VALUE(LEFT(TRIM([1]Raw_Data!A2555),2)))</f>
        <v>44949</v>
      </c>
      <c r="B2557" s="3" t="str">
        <f>TRIM([1]Raw_Data!B2555)</f>
        <v>Magnesium</v>
      </c>
      <c r="C2557" s="3" t="str">
        <f>TRIM([1]Raw_Data!C2555)</f>
        <v>Mineral</v>
      </c>
      <c r="D2557" s="3">
        <f>[1]Raw_Data!D2555</f>
        <v>173</v>
      </c>
      <c r="E2557" s="4">
        <f>[1]Raw_Data!E2555</f>
        <v>13.38</v>
      </c>
      <c r="F2557" s="5">
        <f>[1]Raw_Data!F2555</f>
        <v>2314.7399999999998</v>
      </c>
      <c r="G2557" s="4">
        <f>[1]Raw_Data!G2555</f>
        <v>0.25</v>
      </c>
      <c r="H2557" s="3">
        <f>[1]Raw_Data!H2555</f>
        <v>2</v>
      </c>
      <c r="I2557" s="3" t="str">
        <f>TRIM([1]Raw_Data!I2555)</f>
        <v>UK</v>
      </c>
      <c r="J2557" s="3" t="str">
        <f>TRIM([1]Raw_Data!J2555)</f>
        <v>iHerb</v>
      </c>
      <c r="K2557" s="3">
        <f t="shared" si="156"/>
        <v>2023</v>
      </c>
      <c r="L2557" s="6">
        <f t="shared" si="157"/>
        <v>44927</v>
      </c>
      <c r="M2557" s="3" t="str">
        <f t="shared" si="158"/>
        <v>21% to 25%</v>
      </c>
      <c r="N2557" s="3" t="str">
        <f t="shared" si="159"/>
        <v>OK</v>
      </c>
    </row>
    <row r="2558" spans="1:14" x14ac:dyDescent="0.3">
      <c r="A2558" s="2">
        <f>DATE(VALUE(RIGHT(TRIM([1]Raw_Data!A2556),4)),VALUE(MID(TRIM([1]Raw_Data!A2556),4,2)),VALUE(LEFT(TRIM([1]Raw_Data!A2556),2)))</f>
        <v>44949</v>
      </c>
      <c r="B2558" s="3" t="str">
        <f>TRIM([1]Raw_Data!B2556)</f>
        <v>Ashwagandha</v>
      </c>
      <c r="C2558" s="3" t="str">
        <f>TRIM([1]Raw_Data!C2556)</f>
        <v>Herbal</v>
      </c>
      <c r="D2558" s="3">
        <f>[1]Raw_Data!D2556</f>
        <v>136</v>
      </c>
      <c r="E2558" s="4">
        <f>[1]Raw_Data!E2556</f>
        <v>18.559999999999999</v>
      </c>
      <c r="F2558" s="5">
        <f>[1]Raw_Data!F2556</f>
        <v>2524.16</v>
      </c>
      <c r="G2558" s="4">
        <f>[1]Raw_Data!G2556</f>
        <v>0.21</v>
      </c>
      <c r="H2558" s="3">
        <f>[1]Raw_Data!H2556</f>
        <v>0</v>
      </c>
      <c r="I2558" s="3" t="str">
        <f>TRIM([1]Raw_Data!I2556)</f>
        <v>UK</v>
      </c>
      <c r="J2558" s="3" t="str">
        <f>TRIM([1]Raw_Data!J2556)</f>
        <v>iHerb</v>
      </c>
      <c r="K2558" s="3">
        <f t="shared" si="156"/>
        <v>2023</v>
      </c>
      <c r="L2558" s="6">
        <f t="shared" si="157"/>
        <v>44927</v>
      </c>
      <c r="M2558" s="3" t="str">
        <f t="shared" si="158"/>
        <v>21% to 25%</v>
      </c>
      <c r="N2558" s="3" t="str">
        <f t="shared" si="159"/>
        <v>OK</v>
      </c>
    </row>
    <row r="2559" spans="1:14" x14ac:dyDescent="0.3">
      <c r="A2559" s="2">
        <f>DATE(VALUE(RIGHT(TRIM([1]Raw_Data!A2557),4)),VALUE(MID(TRIM([1]Raw_Data!A2557),4,2)),VALUE(LEFT(TRIM([1]Raw_Data!A2557),2)))</f>
        <v>44949</v>
      </c>
      <c r="B2559" s="3" t="str">
        <f>TRIM([1]Raw_Data!B2557)</f>
        <v>Melatonin</v>
      </c>
      <c r="C2559" s="3" t="str">
        <f>TRIM([1]Raw_Data!C2557)</f>
        <v>Sleep Aid</v>
      </c>
      <c r="D2559" s="3">
        <f>[1]Raw_Data!D2557</f>
        <v>140</v>
      </c>
      <c r="E2559" s="4">
        <f>[1]Raw_Data!E2557</f>
        <v>39.31</v>
      </c>
      <c r="F2559" s="5">
        <f>[1]Raw_Data!F2557</f>
        <v>5503.4</v>
      </c>
      <c r="G2559" s="4">
        <f>[1]Raw_Data!G2557</f>
        <v>0.2</v>
      </c>
      <c r="H2559" s="3">
        <f>[1]Raw_Data!H2557</f>
        <v>2</v>
      </c>
      <c r="I2559" s="3" t="str">
        <f>TRIM([1]Raw_Data!I2557)</f>
        <v>USA</v>
      </c>
      <c r="J2559" s="3" t="str">
        <f>TRIM([1]Raw_Data!J2557)</f>
        <v>iHerb</v>
      </c>
      <c r="K2559" s="3">
        <f t="shared" si="156"/>
        <v>2023</v>
      </c>
      <c r="L2559" s="6">
        <f t="shared" si="157"/>
        <v>44927</v>
      </c>
      <c r="M2559" s="3" t="str">
        <f t="shared" si="158"/>
        <v>16% to 20%</v>
      </c>
      <c r="N2559" s="3" t="str">
        <f t="shared" si="159"/>
        <v>OK</v>
      </c>
    </row>
    <row r="2560" spans="1:14" x14ac:dyDescent="0.3">
      <c r="A2560" s="2">
        <f>DATE(VALUE(RIGHT(TRIM([1]Raw_Data!A2558),4)),VALUE(MID(TRIM([1]Raw_Data!A2558),4,2)),VALUE(LEFT(TRIM([1]Raw_Data!A2558),2)))</f>
        <v>44949</v>
      </c>
      <c r="B2560" s="3" t="str">
        <f>TRIM([1]Raw_Data!B2558)</f>
        <v>Biotin</v>
      </c>
      <c r="C2560" s="3" t="str">
        <f>TRIM([1]Raw_Data!C2558)</f>
        <v>Vitamin</v>
      </c>
      <c r="D2560" s="3">
        <f>[1]Raw_Data!D2558</f>
        <v>139</v>
      </c>
      <c r="E2560" s="4">
        <f>[1]Raw_Data!E2558</f>
        <v>42.21</v>
      </c>
      <c r="F2560" s="5">
        <f>[1]Raw_Data!F2558</f>
        <v>5867.19</v>
      </c>
      <c r="G2560" s="4">
        <f>[1]Raw_Data!G2558</f>
        <v>0.04</v>
      </c>
      <c r="H2560" s="3">
        <f>[1]Raw_Data!H2558</f>
        <v>4</v>
      </c>
      <c r="I2560" s="3" t="str">
        <f>TRIM([1]Raw_Data!I2558)</f>
        <v>UK</v>
      </c>
      <c r="J2560" s="3" t="str">
        <f>TRIM([1]Raw_Data!J2558)</f>
        <v>iHerb</v>
      </c>
      <c r="K2560" s="3">
        <f t="shared" si="156"/>
        <v>2023</v>
      </c>
      <c r="L2560" s="6">
        <f t="shared" si="157"/>
        <v>44927</v>
      </c>
      <c r="M2560" s="3" t="str">
        <f t="shared" si="158"/>
        <v>0% to 5%</v>
      </c>
      <c r="N2560" s="3" t="str">
        <f t="shared" si="159"/>
        <v>OK</v>
      </c>
    </row>
    <row r="2561" spans="1:14" x14ac:dyDescent="0.3">
      <c r="A2561" s="2">
        <f>DATE(VALUE(RIGHT(TRIM([1]Raw_Data!A2559),4)),VALUE(MID(TRIM([1]Raw_Data!A2559),4,2)),VALUE(LEFT(TRIM([1]Raw_Data!A2559),2)))</f>
        <v>44949</v>
      </c>
      <c r="B2561" s="3" t="str">
        <f>TRIM([1]Raw_Data!B2559)</f>
        <v>Green Tea Extract</v>
      </c>
      <c r="C2561" s="3" t="str">
        <f>TRIM([1]Raw_Data!C2559)</f>
        <v>Fat Burner</v>
      </c>
      <c r="D2561" s="3">
        <f>[1]Raw_Data!D2559</f>
        <v>150</v>
      </c>
      <c r="E2561" s="4">
        <f>[1]Raw_Data!E2559</f>
        <v>56.86</v>
      </c>
      <c r="F2561" s="5">
        <f>[1]Raw_Data!F2559</f>
        <v>8529</v>
      </c>
      <c r="G2561" s="4">
        <f>[1]Raw_Data!G2559</f>
        <v>0.15</v>
      </c>
      <c r="H2561" s="3">
        <f>[1]Raw_Data!H2559</f>
        <v>2</v>
      </c>
      <c r="I2561" s="3" t="str">
        <f>TRIM([1]Raw_Data!I2559)</f>
        <v>Canada</v>
      </c>
      <c r="J2561" s="3" t="str">
        <f>TRIM([1]Raw_Data!J2559)</f>
        <v>Amazon</v>
      </c>
      <c r="K2561" s="3">
        <f t="shared" si="156"/>
        <v>2023</v>
      </c>
      <c r="L2561" s="6">
        <f t="shared" si="157"/>
        <v>44927</v>
      </c>
      <c r="M2561" s="3" t="str">
        <f t="shared" si="158"/>
        <v>11% to 15%</v>
      </c>
      <c r="N2561" s="3" t="str">
        <f t="shared" si="159"/>
        <v>OK</v>
      </c>
    </row>
    <row r="2562" spans="1:14" x14ac:dyDescent="0.3">
      <c r="A2562" s="2">
        <f>DATE(VALUE(RIGHT(TRIM([1]Raw_Data!A2560),4)),VALUE(MID(TRIM([1]Raw_Data!A2560),4,2)),VALUE(LEFT(TRIM([1]Raw_Data!A2560),2)))</f>
        <v>44949</v>
      </c>
      <c r="B2562" s="3" t="str">
        <f>TRIM([1]Raw_Data!B2560)</f>
        <v>Iron Supplement</v>
      </c>
      <c r="C2562" s="3" t="str">
        <f>TRIM([1]Raw_Data!C2560)</f>
        <v>Mineral</v>
      </c>
      <c r="D2562" s="3">
        <f>[1]Raw_Data!D2560</f>
        <v>151</v>
      </c>
      <c r="E2562" s="4">
        <f>[1]Raw_Data!E2560</f>
        <v>11.66</v>
      </c>
      <c r="F2562" s="5">
        <f>[1]Raw_Data!F2560</f>
        <v>1760.66</v>
      </c>
      <c r="G2562" s="4">
        <f>[1]Raw_Data!G2560</f>
        <v>7.0000000000000007E-2</v>
      </c>
      <c r="H2562" s="3">
        <f>[1]Raw_Data!H2560</f>
        <v>1</v>
      </c>
      <c r="I2562" s="3" t="str">
        <f>TRIM([1]Raw_Data!I2560)</f>
        <v>UK</v>
      </c>
      <c r="J2562" s="3" t="str">
        <f>TRIM([1]Raw_Data!J2560)</f>
        <v>iHerb</v>
      </c>
      <c r="K2562" s="3">
        <f t="shared" si="156"/>
        <v>2023</v>
      </c>
      <c r="L2562" s="6">
        <f t="shared" si="157"/>
        <v>44927</v>
      </c>
      <c r="M2562" s="3" t="str">
        <f t="shared" si="158"/>
        <v>6% to 10%</v>
      </c>
      <c r="N2562" s="3" t="str">
        <f t="shared" si="159"/>
        <v>OK</v>
      </c>
    </row>
    <row r="2563" spans="1:14" x14ac:dyDescent="0.3">
      <c r="A2563" s="2">
        <f>DATE(VALUE(RIGHT(TRIM([1]Raw_Data!A2561),4)),VALUE(MID(TRIM([1]Raw_Data!A2561),4,2)),VALUE(LEFT(TRIM([1]Raw_Data!A2561),2)))</f>
        <v>44949</v>
      </c>
      <c r="B2563" s="3" t="str">
        <f>TRIM([1]Raw_Data!B2561)</f>
        <v>Electrolyte Powder</v>
      </c>
      <c r="C2563" s="3" t="str">
        <f>TRIM([1]Raw_Data!C2561)</f>
        <v>Hydration</v>
      </c>
      <c r="D2563" s="3">
        <f>[1]Raw_Data!D2561</f>
        <v>128</v>
      </c>
      <c r="E2563" s="4">
        <f>[1]Raw_Data!E2561</f>
        <v>29.68</v>
      </c>
      <c r="F2563" s="5">
        <f>[1]Raw_Data!F2561</f>
        <v>3799.04</v>
      </c>
      <c r="G2563" s="4">
        <f>[1]Raw_Data!G2561</f>
        <v>7.0000000000000007E-2</v>
      </c>
      <c r="H2563" s="3">
        <f>[1]Raw_Data!H2561</f>
        <v>0</v>
      </c>
      <c r="I2563" s="3" t="str">
        <f>TRIM([1]Raw_Data!I2561)</f>
        <v>Canada</v>
      </c>
      <c r="J2563" s="3" t="str">
        <f>TRIM([1]Raw_Data!J2561)</f>
        <v>iHerb</v>
      </c>
      <c r="K2563" s="3">
        <f t="shared" si="156"/>
        <v>2023</v>
      </c>
      <c r="L2563" s="6">
        <f t="shared" si="157"/>
        <v>44927</v>
      </c>
      <c r="M2563" s="3" t="str">
        <f t="shared" si="158"/>
        <v>6% to 10%</v>
      </c>
      <c r="N2563" s="3" t="str">
        <f t="shared" si="159"/>
        <v>OK</v>
      </c>
    </row>
    <row r="2564" spans="1:14" x14ac:dyDescent="0.3">
      <c r="A2564" s="2">
        <f>DATE(VALUE(RIGHT(TRIM([1]Raw_Data!A2562),4)),VALUE(MID(TRIM([1]Raw_Data!A2562),4,2)),VALUE(LEFT(TRIM([1]Raw_Data!A2562),2)))</f>
        <v>44956</v>
      </c>
      <c r="B2564" s="3" t="str">
        <f>TRIM([1]Raw_Data!B2562)</f>
        <v>Whey Protein</v>
      </c>
      <c r="C2564" s="3" t="str">
        <f>TRIM([1]Raw_Data!C2562)</f>
        <v>Protein</v>
      </c>
      <c r="D2564" s="3">
        <f>[1]Raw_Data!D2562</f>
        <v>158</v>
      </c>
      <c r="E2564" s="4">
        <f>[1]Raw_Data!E2562</f>
        <v>29.75</v>
      </c>
      <c r="F2564" s="5">
        <f>[1]Raw_Data!F2562</f>
        <v>4700.5</v>
      </c>
      <c r="G2564" s="4">
        <f>[1]Raw_Data!G2562</f>
        <v>0.14000000000000001</v>
      </c>
      <c r="H2564" s="3">
        <f>[1]Raw_Data!H2562</f>
        <v>1</v>
      </c>
      <c r="I2564" s="3" t="str">
        <f>TRIM([1]Raw_Data!I2562)</f>
        <v>UK</v>
      </c>
      <c r="J2564" s="3" t="str">
        <f>TRIM([1]Raw_Data!J2562)</f>
        <v>Amazon</v>
      </c>
      <c r="K2564" s="3">
        <f t="shared" ref="K2564:K2627" si="160">YEAR(A2564)</f>
        <v>2023</v>
      </c>
      <c r="L2564" s="6">
        <f t="shared" ref="L2564:L2627" si="161">DATE(YEAR(A2564),MONTH(A2564),1)</f>
        <v>44927</v>
      </c>
      <c r="M2564" s="3" t="str">
        <f t="shared" ref="M2564:M2627" si="162">IF(ROUND(G2564*100,0)&lt;=5,"0% to 5%",IF(ROUND(G2564*100,0)&lt;=10,"6% to 10%",IF(ROUND(G2564*100,0)&lt;=15,"11% to 15%",IF(ROUND(G2564*100,0)&lt;=20,"16% to 20%","21% to 25%"))))</f>
        <v>11% to 15%</v>
      </c>
      <c r="N2564" s="3" t="str">
        <f t="shared" ref="N2564:N2627" si="163">IF(ROUND(D2564*E2564,2)=ROUND(F2564,2),"OK","Check")</f>
        <v>OK</v>
      </c>
    </row>
    <row r="2565" spans="1:14" x14ac:dyDescent="0.3">
      <c r="A2565" s="2">
        <f>DATE(VALUE(RIGHT(TRIM([1]Raw_Data!A2563),4)),VALUE(MID(TRIM([1]Raw_Data!A2563),4,2)),VALUE(LEFT(TRIM([1]Raw_Data!A2563),2)))</f>
        <v>44956</v>
      </c>
      <c r="B2565" s="3" t="str">
        <f>TRIM([1]Raw_Data!B2563)</f>
        <v>Vitamin C</v>
      </c>
      <c r="C2565" s="3" t="str">
        <f>TRIM([1]Raw_Data!C2563)</f>
        <v>Vitamin</v>
      </c>
      <c r="D2565" s="3">
        <f>[1]Raw_Data!D2563</f>
        <v>154</v>
      </c>
      <c r="E2565" s="4">
        <f>[1]Raw_Data!E2563</f>
        <v>34.43</v>
      </c>
      <c r="F2565" s="5">
        <f>[1]Raw_Data!F2563</f>
        <v>5302.22</v>
      </c>
      <c r="G2565" s="4">
        <f>[1]Raw_Data!G2563</f>
        <v>0.16</v>
      </c>
      <c r="H2565" s="3">
        <f>[1]Raw_Data!H2563</f>
        <v>3</v>
      </c>
      <c r="I2565" s="3" t="str">
        <f>TRIM([1]Raw_Data!I2563)</f>
        <v>Canada</v>
      </c>
      <c r="J2565" s="3" t="str">
        <f>TRIM([1]Raw_Data!J2563)</f>
        <v>iHerb</v>
      </c>
      <c r="K2565" s="3">
        <f t="shared" si="160"/>
        <v>2023</v>
      </c>
      <c r="L2565" s="6">
        <f t="shared" si="161"/>
        <v>44927</v>
      </c>
      <c r="M2565" s="3" t="str">
        <f t="shared" si="162"/>
        <v>16% to 20%</v>
      </c>
      <c r="N2565" s="3" t="str">
        <f t="shared" si="163"/>
        <v>OK</v>
      </c>
    </row>
    <row r="2566" spans="1:14" x14ac:dyDescent="0.3">
      <c r="A2566" s="2">
        <f>DATE(VALUE(RIGHT(TRIM([1]Raw_Data!A2564),4)),VALUE(MID(TRIM([1]Raw_Data!A2564),4,2)),VALUE(LEFT(TRIM([1]Raw_Data!A2564),2)))</f>
        <v>44956</v>
      </c>
      <c r="B2566" s="3" t="str">
        <f>TRIM([1]Raw_Data!B2564)</f>
        <v>Fish Oil</v>
      </c>
      <c r="C2566" s="3" t="str">
        <f>TRIM([1]Raw_Data!C2564)</f>
        <v>Omega</v>
      </c>
      <c r="D2566" s="3">
        <f>[1]Raw_Data!D2564</f>
        <v>146</v>
      </c>
      <c r="E2566" s="4">
        <f>[1]Raw_Data!E2564</f>
        <v>39.880000000000003</v>
      </c>
      <c r="F2566" s="5">
        <f>[1]Raw_Data!F2564</f>
        <v>5822.48</v>
      </c>
      <c r="G2566" s="4">
        <f>[1]Raw_Data!G2564</f>
        <v>0.23</v>
      </c>
      <c r="H2566" s="3">
        <f>[1]Raw_Data!H2564</f>
        <v>1</v>
      </c>
      <c r="I2566" s="3" t="str">
        <f>TRIM([1]Raw_Data!I2564)</f>
        <v>USA</v>
      </c>
      <c r="J2566" s="3" t="str">
        <f>TRIM([1]Raw_Data!J2564)</f>
        <v>Walmart</v>
      </c>
      <c r="K2566" s="3">
        <f t="shared" si="160"/>
        <v>2023</v>
      </c>
      <c r="L2566" s="6">
        <f t="shared" si="161"/>
        <v>44927</v>
      </c>
      <c r="M2566" s="3" t="str">
        <f t="shared" si="162"/>
        <v>21% to 25%</v>
      </c>
      <c r="N2566" s="3" t="str">
        <f t="shared" si="163"/>
        <v>OK</v>
      </c>
    </row>
    <row r="2567" spans="1:14" x14ac:dyDescent="0.3">
      <c r="A2567" s="2">
        <f>DATE(VALUE(RIGHT(TRIM([1]Raw_Data!A2565),4)),VALUE(MID(TRIM([1]Raw_Data!A2565),4,2)),VALUE(LEFT(TRIM([1]Raw_Data!A2565),2)))</f>
        <v>44956</v>
      </c>
      <c r="B2567" s="3" t="str">
        <f>TRIM([1]Raw_Data!B2565)</f>
        <v>Multivitamin</v>
      </c>
      <c r="C2567" s="3" t="str">
        <f>TRIM([1]Raw_Data!C2565)</f>
        <v>Vitamin</v>
      </c>
      <c r="D2567" s="3">
        <f>[1]Raw_Data!D2565</f>
        <v>143</v>
      </c>
      <c r="E2567" s="4">
        <f>[1]Raw_Data!E2565</f>
        <v>12.46</v>
      </c>
      <c r="F2567" s="5">
        <f>[1]Raw_Data!F2565</f>
        <v>1781.78</v>
      </c>
      <c r="G2567" s="4">
        <f>[1]Raw_Data!G2565</f>
        <v>0.03</v>
      </c>
      <c r="H2567" s="3">
        <f>[1]Raw_Data!H2565</f>
        <v>0</v>
      </c>
      <c r="I2567" s="3" t="str">
        <f>TRIM([1]Raw_Data!I2565)</f>
        <v>UK</v>
      </c>
      <c r="J2567" s="3" t="str">
        <f>TRIM([1]Raw_Data!J2565)</f>
        <v>iHerb</v>
      </c>
      <c r="K2567" s="3">
        <f t="shared" si="160"/>
        <v>2023</v>
      </c>
      <c r="L2567" s="6">
        <f t="shared" si="161"/>
        <v>44927</v>
      </c>
      <c r="M2567" s="3" t="str">
        <f t="shared" si="162"/>
        <v>0% to 5%</v>
      </c>
      <c r="N2567" s="3" t="str">
        <f t="shared" si="163"/>
        <v>OK</v>
      </c>
    </row>
    <row r="2568" spans="1:14" x14ac:dyDescent="0.3">
      <c r="A2568" s="2">
        <f>DATE(VALUE(RIGHT(TRIM([1]Raw_Data!A2566),4)),VALUE(MID(TRIM([1]Raw_Data!A2566),4,2)),VALUE(LEFT(TRIM([1]Raw_Data!A2566),2)))</f>
        <v>44956</v>
      </c>
      <c r="B2568" s="3" t="str">
        <f>TRIM([1]Raw_Data!B2566)</f>
        <v>Pre-Workout</v>
      </c>
      <c r="C2568" s="3" t="str">
        <f>TRIM([1]Raw_Data!C2566)</f>
        <v>Performance</v>
      </c>
      <c r="D2568" s="3">
        <f>[1]Raw_Data!D2566</f>
        <v>164</v>
      </c>
      <c r="E2568" s="4">
        <f>[1]Raw_Data!E2566</f>
        <v>53.08</v>
      </c>
      <c r="F2568" s="5">
        <f>[1]Raw_Data!F2566</f>
        <v>8705.1200000000008</v>
      </c>
      <c r="G2568" s="4">
        <f>[1]Raw_Data!G2566</f>
        <v>0.11</v>
      </c>
      <c r="H2568" s="3">
        <f>[1]Raw_Data!H2566</f>
        <v>0</v>
      </c>
      <c r="I2568" s="3" t="str">
        <f>TRIM([1]Raw_Data!I2566)</f>
        <v>USA</v>
      </c>
      <c r="J2568" s="3" t="str">
        <f>TRIM([1]Raw_Data!J2566)</f>
        <v>iHerb</v>
      </c>
      <c r="K2568" s="3">
        <f t="shared" si="160"/>
        <v>2023</v>
      </c>
      <c r="L2568" s="6">
        <f t="shared" si="161"/>
        <v>44927</v>
      </c>
      <c r="M2568" s="3" t="str">
        <f t="shared" si="162"/>
        <v>11% to 15%</v>
      </c>
      <c r="N2568" s="3" t="str">
        <f t="shared" si="163"/>
        <v>OK</v>
      </c>
    </row>
    <row r="2569" spans="1:14" x14ac:dyDescent="0.3">
      <c r="A2569" s="2">
        <f>DATE(VALUE(RIGHT(TRIM([1]Raw_Data!A2567),4)),VALUE(MID(TRIM([1]Raw_Data!A2567),4,2)),VALUE(LEFT(TRIM([1]Raw_Data!A2567),2)))</f>
        <v>44956</v>
      </c>
      <c r="B2569" s="3" t="str">
        <f>TRIM([1]Raw_Data!B2567)</f>
        <v>BCAA</v>
      </c>
      <c r="C2569" s="3" t="str">
        <f>TRIM([1]Raw_Data!C2567)</f>
        <v>Amino Acid</v>
      </c>
      <c r="D2569" s="3">
        <f>[1]Raw_Data!D2567</f>
        <v>146</v>
      </c>
      <c r="E2569" s="4">
        <f>[1]Raw_Data!E2567</f>
        <v>41.22</v>
      </c>
      <c r="F2569" s="5">
        <f>[1]Raw_Data!F2567</f>
        <v>6018.12</v>
      </c>
      <c r="G2569" s="4">
        <f>[1]Raw_Data!G2567</f>
        <v>0.17</v>
      </c>
      <c r="H2569" s="3">
        <f>[1]Raw_Data!H2567</f>
        <v>1</v>
      </c>
      <c r="I2569" s="3" t="str">
        <f>TRIM([1]Raw_Data!I2567)</f>
        <v>UK</v>
      </c>
      <c r="J2569" s="3" t="str">
        <f>TRIM([1]Raw_Data!J2567)</f>
        <v>Amazon</v>
      </c>
      <c r="K2569" s="3">
        <f t="shared" si="160"/>
        <v>2023</v>
      </c>
      <c r="L2569" s="6">
        <f t="shared" si="161"/>
        <v>44927</v>
      </c>
      <c r="M2569" s="3" t="str">
        <f t="shared" si="162"/>
        <v>16% to 20%</v>
      </c>
      <c r="N2569" s="3" t="str">
        <f t="shared" si="163"/>
        <v>OK</v>
      </c>
    </row>
    <row r="2570" spans="1:14" x14ac:dyDescent="0.3">
      <c r="A2570" s="2">
        <f>DATE(VALUE(RIGHT(TRIM([1]Raw_Data!A2568),4)),VALUE(MID(TRIM([1]Raw_Data!A2568),4,2)),VALUE(LEFT(TRIM([1]Raw_Data!A2568),2)))</f>
        <v>44956</v>
      </c>
      <c r="B2570" s="3" t="str">
        <f>TRIM([1]Raw_Data!B2568)</f>
        <v>Creatine</v>
      </c>
      <c r="C2570" s="3" t="str">
        <f>TRIM([1]Raw_Data!C2568)</f>
        <v>Performance</v>
      </c>
      <c r="D2570" s="3">
        <f>[1]Raw_Data!D2568</f>
        <v>164</v>
      </c>
      <c r="E2570" s="4">
        <f>[1]Raw_Data!E2568</f>
        <v>51.5</v>
      </c>
      <c r="F2570" s="5">
        <f>[1]Raw_Data!F2568</f>
        <v>8446</v>
      </c>
      <c r="G2570" s="4">
        <f>[1]Raw_Data!G2568</f>
        <v>0.05</v>
      </c>
      <c r="H2570" s="3">
        <f>[1]Raw_Data!H2568</f>
        <v>3</v>
      </c>
      <c r="I2570" s="3" t="str">
        <f>TRIM([1]Raw_Data!I2568)</f>
        <v>USA</v>
      </c>
      <c r="J2570" s="3" t="str">
        <f>TRIM([1]Raw_Data!J2568)</f>
        <v>iHerb</v>
      </c>
      <c r="K2570" s="3">
        <f t="shared" si="160"/>
        <v>2023</v>
      </c>
      <c r="L2570" s="6">
        <f t="shared" si="161"/>
        <v>44927</v>
      </c>
      <c r="M2570" s="3" t="str">
        <f t="shared" si="162"/>
        <v>0% to 5%</v>
      </c>
      <c r="N2570" s="3" t="str">
        <f t="shared" si="163"/>
        <v>OK</v>
      </c>
    </row>
    <row r="2571" spans="1:14" x14ac:dyDescent="0.3">
      <c r="A2571" s="2">
        <f>DATE(VALUE(RIGHT(TRIM([1]Raw_Data!A2569),4)),VALUE(MID(TRIM([1]Raw_Data!A2569),4,2)),VALUE(LEFT(TRIM([1]Raw_Data!A2569),2)))</f>
        <v>44956</v>
      </c>
      <c r="B2571" s="3" t="str">
        <f>TRIM([1]Raw_Data!B2569)</f>
        <v>Zinc</v>
      </c>
      <c r="C2571" s="3" t="str">
        <f>TRIM([1]Raw_Data!C2569)</f>
        <v>Mineral</v>
      </c>
      <c r="D2571" s="3">
        <f>[1]Raw_Data!D2569</f>
        <v>143</v>
      </c>
      <c r="E2571" s="4">
        <f>[1]Raw_Data!E2569</f>
        <v>52.17</v>
      </c>
      <c r="F2571" s="5">
        <f>[1]Raw_Data!F2569</f>
        <v>7460.31</v>
      </c>
      <c r="G2571" s="4">
        <f>[1]Raw_Data!G2569</f>
        <v>0.24</v>
      </c>
      <c r="H2571" s="3">
        <f>[1]Raw_Data!H2569</f>
        <v>2</v>
      </c>
      <c r="I2571" s="3" t="str">
        <f>TRIM([1]Raw_Data!I2569)</f>
        <v>Canada</v>
      </c>
      <c r="J2571" s="3" t="str">
        <f>TRIM([1]Raw_Data!J2569)</f>
        <v>Walmart</v>
      </c>
      <c r="K2571" s="3">
        <f t="shared" si="160"/>
        <v>2023</v>
      </c>
      <c r="L2571" s="6">
        <f t="shared" si="161"/>
        <v>44927</v>
      </c>
      <c r="M2571" s="3" t="str">
        <f t="shared" si="162"/>
        <v>21% to 25%</v>
      </c>
      <c r="N2571" s="3" t="str">
        <f t="shared" si="163"/>
        <v>OK</v>
      </c>
    </row>
    <row r="2572" spans="1:14" x14ac:dyDescent="0.3">
      <c r="A2572" s="2">
        <f>DATE(VALUE(RIGHT(TRIM([1]Raw_Data!A2570),4)),VALUE(MID(TRIM([1]Raw_Data!A2570),4,2)),VALUE(LEFT(TRIM([1]Raw_Data!A2570),2)))</f>
        <v>44956</v>
      </c>
      <c r="B2572" s="3" t="str">
        <f>TRIM([1]Raw_Data!B2570)</f>
        <v>Collagen Peptides</v>
      </c>
      <c r="C2572" s="3" t="str">
        <f>TRIM([1]Raw_Data!C2570)</f>
        <v>Protein</v>
      </c>
      <c r="D2572" s="3">
        <f>[1]Raw_Data!D2570</f>
        <v>140</v>
      </c>
      <c r="E2572" s="4">
        <f>[1]Raw_Data!E2570</f>
        <v>33.33</v>
      </c>
      <c r="F2572" s="5">
        <f>[1]Raw_Data!F2570</f>
        <v>4666.2</v>
      </c>
      <c r="G2572" s="4">
        <f>[1]Raw_Data!G2570</f>
        <v>0.22</v>
      </c>
      <c r="H2572" s="3">
        <f>[1]Raw_Data!H2570</f>
        <v>0</v>
      </c>
      <c r="I2572" s="3" t="str">
        <f>TRIM([1]Raw_Data!I2570)</f>
        <v>USA</v>
      </c>
      <c r="J2572" s="3" t="str">
        <f>TRIM([1]Raw_Data!J2570)</f>
        <v>Amazon</v>
      </c>
      <c r="K2572" s="3">
        <f t="shared" si="160"/>
        <v>2023</v>
      </c>
      <c r="L2572" s="6">
        <f t="shared" si="161"/>
        <v>44927</v>
      </c>
      <c r="M2572" s="3" t="str">
        <f t="shared" si="162"/>
        <v>21% to 25%</v>
      </c>
      <c r="N2572" s="3" t="str">
        <f t="shared" si="163"/>
        <v>OK</v>
      </c>
    </row>
    <row r="2573" spans="1:14" x14ac:dyDescent="0.3">
      <c r="A2573" s="2">
        <f>DATE(VALUE(RIGHT(TRIM([1]Raw_Data!A2571),4)),VALUE(MID(TRIM([1]Raw_Data!A2571),4,2)),VALUE(LEFT(TRIM([1]Raw_Data!A2571),2)))</f>
        <v>44956</v>
      </c>
      <c r="B2573" s="3" t="str">
        <f>TRIM([1]Raw_Data!B2571)</f>
        <v>Magnesium</v>
      </c>
      <c r="C2573" s="3" t="str">
        <f>TRIM([1]Raw_Data!C2571)</f>
        <v>Mineral</v>
      </c>
      <c r="D2573" s="3">
        <f>[1]Raw_Data!D2571</f>
        <v>163</v>
      </c>
      <c r="E2573" s="4">
        <f>[1]Raw_Data!E2571</f>
        <v>50.43</v>
      </c>
      <c r="F2573" s="5">
        <f>[1]Raw_Data!F2571</f>
        <v>8220.09</v>
      </c>
      <c r="G2573" s="4">
        <f>[1]Raw_Data!G2571</f>
        <v>0.23</v>
      </c>
      <c r="H2573" s="3">
        <f>[1]Raw_Data!H2571</f>
        <v>1</v>
      </c>
      <c r="I2573" s="3" t="str">
        <f>TRIM([1]Raw_Data!I2571)</f>
        <v>Canada</v>
      </c>
      <c r="J2573" s="3" t="str">
        <f>TRIM([1]Raw_Data!J2571)</f>
        <v>Amazon</v>
      </c>
      <c r="K2573" s="3">
        <f t="shared" si="160"/>
        <v>2023</v>
      </c>
      <c r="L2573" s="6">
        <f t="shared" si="161"/>
        <v>44927</v>
      </c>
      <c r="M2573" s="3" t="str">
        <f t="shared" si="162"/>
        <v>21% to 25%</v>
      </c>
      <c r="N2573" s="3" t="str">
        <f t="shared" si="163"/>
        <v>OK</v>
      </c>
    </row>
    <row r="2574" spans="1:14" x14ac:dyDescent="0.3">
      <c r="A2574" s="2">
        <f>DATE(VALUE(RIGHT(TRIM([1]Raw_Data!A2572),4)),VALUE(MID(TRIM([1]Raw_Data!A2572),4,2)),VALUE(LEFT(TRIM([1]Raw_Data!A2572),2)))</f>
        <v>44956</v>
      </c>
      <c r="B2574" s="3" t="str">
        <f>TRIM([1]Raw_Data!B2572)</f>
        <v>Ashwagandha</v>
      </c>
      <c r="C2574" s="3" t="str">
        <f>TRIM([1]Raw_Data!C2572)</f>
        <v>Herbal</v>
      </c>
      <c r="D2574" s="3">
        <f>[1]Raw_Data!D2572</f>
        <v>145</v>
      </c>
      <c r="E2574" s="4">
        <f>[1]Raw_Data!E2572</f>
        <v>36.47</v>
      </c>
      <c r="F2574" s="5">
        <f>[1]Raw_Data!F2572</f>
        <v>5288.15</v>
      </c>
      <c r="G2574" s="4">
        <f>[1]Raw_Data!G2572</f>
        <v>0.17</v>
      </c>
      <c r="H2574" s="3">
        <f>[1]Raw_Data!H2572</f>
        <v>2</v>
      </c>
      <c r="I2574" s="3" t="str">
        <f>TRIM([1]Raw_Data!I2572)</f>
        <v>UK</v>
      </c>
      <c r="J2574" s="3" t="str">
        <f>TRIM([1]Raw_Data!J2572)</f>
        <v>iHerb</v>
      </c>
      <c r="K2574" s="3">
        <f t="shared" si="160"/>
        <v>2023</v>
      </c>
      <c r="L2574" s="6">
        <f t="shared" si="161"/>
        <v>44927</v>
      </c>
      <c r="M2574" s="3" t="str">
        <f t="shared" si="162"/>
        <v>16% to 20%</v>
      </c>
      <c r="N2574" s="3" t="str">
        <f t="shared" si="163"/>
        <v>OK</v>
      </c>
    </row>
    <row r="2575" spans="1:14" x14ac:dyDescent="0.3">
      <c r="A2575" s="2">
        <f>DATE(VALUE(RIGHT(TRIM([1]Raw_Data!A2573),4)),VALUE(MID(TRIM([1]Raw_Data!A2573),4,2)),VALUE(LEFT(TRIM([1]Raw_Data!A2573),2)))</f>
        <v>44956</v>
      </c>
      <c r="B2575" s="3" t="str">
        <f>TRIM([1]Raw_Data!B2573)</f>
        <v>Melatonin</v>
      </c>
      <c r="C2575" s="3" t="str">
        <f>TRIM([1]Raw_Data!C2573)</f>
        <v>Sleep Aid</v>
      </c>
      <c r="D2575" s="3">
        <f>[1]Raw_Data!D2573</f>
        <v>136</v>
      </c>
      <c r="E2575" s="4">
        <f>[1]Raw_Data!E2573</f>
        <v>19.79</v>
      </c>
      <c r="F2575" s="5">
        <f>[1]Raw_Data!F2573</f>
        <v>2691.44</v>
      </c>
      <c r="G2575" s="4">
        <f>[1]Raw_Data!G2573</f>
        <v>0.23</v>
      </c>
      <c r="H2575" s="3">
        <f>[1]Raw_Data!H2573</f>
        <v>0</v>
      </c>
      <c r="I2575" s="3" t="str">
        <f>TRIM([1]Raw_Data!I2573)</f>
        <v>UK</v>
      </c>
      <c r="J2575" s="3" t="str">
        <f>TRIM([1]Raw_Data!J2573)</f>
        <v>Walmart</v>
      </c>
      <c r="K2575" s="3">
        <f t="shared" si="160"/>
        <v>2023</v>
      </c>
      <c r="L2575" s="6">
        <f t="shared" si="161"/>
        <v>44927</v>
      </c>
      <c r="M2575" s="3" t="str">
        <f t="shared" si="162"/>
        <v>21% to 25%</v>
      </c>
      <c r="N2575" s="3" t="str">
        <f t="shared" si="163"/>
        <v>OK</v>
      </c>
    </row>
    <row r="2576" spans="1:14" x14ac:dyDescent="0.3">
      <c r="A2576" s="2">
        <f>DATE(VALUE(RIGHT(TRIM([1]Raw_Data!A2574),4)),VALUE(MID(TRIM([1]Raw_Data!A2574),4,2)),VALUE(LEFT(TRIM([1]Raw_Data!A2574),2)))</f>
        <v>44956</v>
      </c>
      <c r="B2576" s="3" t="str">
        <f>TRIM([1]Raw_Data!B2574)</f>
        <v>Biotin</v>
      </c>
      <c r="C2576" s="3" t="str">
        <f>TRIM([1]Raw_Data!C2574)</f>
        <v>Vitamin</v>
      </c>
      <c r="D2576" s="3">
        <f>[1]Raw_Data!D2574</f>
        <v>159</v>
      </c>
      <c r="E2576" s="4">
        <f>[1]Raw_Data!E2574</f>
        <v>25.89</v>
      </c>
      <c r="F2576" s="5">
        <f>[1]Raw_Data!F2574</f>
        <v>4116.51</v>
      </c>
      <c r="G2576" s="4">
        <f>[1]Raw_Data!G2574</f>
        <v>0.08</v>
      </c>
      <c r="H2576" s="3">
        <f>[1]Raw_Data!H2574</f>
        <v>2</v>
      </c>
      <c r="I2576" s="3" t="str">
        <f>TRIM([1]Raw_Data!I2574)</f>
        <v>Canada</v>
      </c>
      <c r="J2576" s="3" t="str">
        <f>TRIM([1]Raw_Data!J2574)</f>
        <v>iHerb</v>
      </c>
      <c r="K2576" s="3">
        <f t="shared" si="160"/>
        <v>2023</v>
      </c>
      <c r="L2576" s="6">
        <f t="shared" si="161"/>
        <v>44927</v>
      </c>
      <c r="M2576" s="3" t="str">
        <f t="shared" si="162"/>
        <v>6% to 10%</v>
      </c>
      <c r="N2576" s="3" t="str">
        <f t="shared" si="163"/>
        <v>OK</v>
      </c>
    </row>
    <row r="2577" spans="1:14" x14ac:dyDescent="0.3">
      <c r="A2577" s="2">
        <f>DATE(VALUE(RIGHT(TRIM([1]Raw_Data!A2575),4)),VALUE(MID(TRIM([1]Raw_Data!A2575),4,2)),VALUE(LEFT(TRIM([1]Raw_Data!A2575),2)))</f>
        <v>44956</v>
      </c>
      <c r="B2577" s="3" t="str">
        <f>TRIM([1]Raw_Data!B2575)</f>
        <v>Green Tea Extract</v>
      </c>
      <c r="C2577" s="3" t="str">
        <f>TRIM([1]Raw_Data!C2575)</f>
        <v>Fat Burner</v>
      </c>
      <c r="D2577" s="3">
        <f>[1]Raw_Data!D2575</f>
        <v>152</v>
      </c>
      <c r="E2577" s="4">
        <f>[1]Raw_Data!E2575</f>
        <v>25.37</v>
      </c>
      <c r="F2577" s="5">
        <f>[1]Raw_Data!F2575</f>
        <v>3856.24</v>
      </c>
      <c r="G2577" s="4">
        <f>[1]Raw_Data!G2575</f>
        <v>0.17</v>
      </c>
      <c r="H2577" s="3">
        <f>[1]Raw_Data!H2575</f>
        <v>2</v>
      </c>
      <c r="I2577" s="3" t="str">
        <f>TRIM([1]Raw_Data!I2575)</f>
        <v>Canada</v>
      </c>
      <c r="J2577" s="3" t="str">
        <f>TRIM([1]Raw_Data!J2575)</f>
        <v>iHerb</v>
      </c>
      <c r="K2577" s="3">
        <f t="shared" si="160"/>
        <v>2023</v>
      </c>
      <c r="L2577" s="6">
        <f t="shared" si="161"/>
        <v>44927</v>
      </c>
      <c r="M2577" s="3" t="str">
        <f t="shared" si="162"/>
        <v>16% to 20%</v>
      </c>
      <c r="N2577" s="3" t="str">
        <f t="shared" si="163"/>
        <v>OK</v>
      </c>
    </row>
    <row r="2578" spans="1:14" x14ac:dyDescent="0.3">
      <c r="A2578" s="2">
        <f>DATE(VALUE(RIGHT(TRIM([1]Raw_Data!A2576),4)),VALUE(MID(TRIM([1]Raw_Data!A2576),4,2)),VALUE(LEFT(TRIM([1]Raw_Data!A2576),2)))</f>
        <v>44956</v>
      </c>
      <c r="B2578" s="3" t="str">
        <f>TRIM([1]Raw_Data!B2576)</f>
        <v>Iron Supplement</v>
      </c>
      <c r="C2578" s="3" t="str">
        <f>TRIM([1]Raw_Data!C2576)</f>
        <v>Mineral</v>
      </c>
      <c r="D2578" s="3">
        <f>[1]Raw_Data!D2576</f>
        <v>135</v>
      </c>
      <c r="E2578" s="4">
        <f>[1]Raw_Data!E2576</f>
        <v>34.14</v>
      </c>
      <c r="F2578" s="5">
        <f>[1]Raw_Data!F2576</f>
        <v>4608.8999999999996</v>
      </c>
      <c r="G2578" s="4">
        <f>[1]Raw_Data!G2576</f>
        <v>0.09</v>
      </c>
      <c r="H2578" s="3">
        <f>[1]Raw_Data!H2576</f>
        <v>1</v>
      </c>
      <c r="I2578" s="3" t="str">
        <f>TRIM([1]Raw_Data!I2576)</f>
        <v>Canada</v>
      </c>
      <c r="J2578" s="3" t="str">
        <f>TRIM([1]Raw_Data!J2576)</f>
        <v>Walmart</v>
      </c>
      <c r="K2578" s="3">
        <f t="shared" si="160"/>
        <v>2023</v>
      </c>
      <c r="L2578" s="6">
        <f t="shared" si="161"/>
        <v>44927</v>
      </c>
      <c r="M2578" s="3" t="str">
        <f t="shared" si="162"/>
        <v>6% to 10%</v>
      </c>
      <c r="N2578" s="3" t="str">
        <f t="shared" si="163"/>
        <v>OK</v>
      </c>
    </row>
    <row r="2579" spans="1:14" x14ac:dyDescent="0.3">
      <c r="A2579" s="2">
        <f>DATE(VALUE(RIGHT(TRIM([1]Raw_Data!A2577),4)),VALUE(MID(TRIM([1]Raw_Data!A2577),4,2)),VALUE(LEFT(TRIM([1]Raw_Data!A2577),2)))</f>
        <v>44956</v>
      </c>
      <c r="B2579" s="3" t="str">
        <f>TRIM([1]Raw_Data!B2577)</f>
        <v>Electrolyte Powder</v>
      </c>
      <c r="C2579" s="3" t="str">
        <f>TRIM([1]Raw_Data!C2577)</f>
        <v>Hydration</v>
      </c>
      <c r="D2579" s="3">
        <f>[1]Raw_Data!D2577</f>
        <v>157</v>
      </c>
      <c r="E2579" s="4">
        <f>[1]Raw_Data!E2577</f>
        <v>45.47</v>
      </c>
      <c r="F2579" s="5">
        <f>[1]Raw_Data!F2577</f>
        <v>7138.79</v>
      </c>
      <c r="G2579" s="4">
        <f>[1]Raw_Data!G2577</f>
        <v>0.23</v>
      </c>
      <c r="H2579" s="3">
        <f>[1]Raw_Data!H2577</f>
        <v>2</v>
      </c>
      <c r="I2579" s="3" t="str">
        <f>TRIM([1]Raw_Data!I2577)</f>
        <v>UK</v>
      </c>
      <c r="J2579" s="3" t="str">
        <f>TRIM([1]Raw_Data!J2577)</f>
        <v>Walmart</v>
      </c>
      <c r="K2579" s="3">
        <f t="shared" si="160"/>
        <v>2023</v>
      </c>
      <c r="L2579" s="6">
        <f t="shared" si="161"/>
        <v>44927</v>
      </c>
      <c r="M2579" s="3" t="str">
        <f t="shared" si="162"/>
        <v>21% to 25%</v>
      </c>
      <c r="N2579" s="3" t="str">
        <f t="shared" si="163"/>
        <v>OK</v>
      </c>
    </row>
    <row r="2580" spans="1:14" x14ac:dyDescent="0.3">
      <c r="A2580" s="2">
        <f>DATE(VALUE(RIGHT(TRIM([1]Raw_Data!A2578),4)),VALUE(MID(TRIM([1]Raw_Data!A2578),4,2)),VALUE(LEFT(TRIM([1]Raw_Data!A2578),2)))</f>
        <v>44963</v>
      </c>
      <c r="B2580" s="3" t="str">
        <f>TRIM([1]Raw_Data!B2578)</f>
        <v>Whey Protein</v>
      </c>
      <c r="C2580" s="3" t="str">
        <f>TRIM([1]Raw_Data!C2578)</f>
        <v>Protein</v>
      </c>
      <c r="D2580" s="3">
        <f>[1]Raw_Data!D2578</f>
        <v>154</v>
      </c>
      <c r="E2580" s="4">
        <f>[1]Raw_Data!E2578</f>
        <v>53.22</v>
      </c>
      <c r="F2580" s="5">
        <f>[1]Raw_Data!F2578</f>
        <v>8195.8799999999992</v>
      </c>
      <c r="G2580" s="4">
        <f>[1]Raw_Data!G2578</f>
        <v>7.0000000000000007E-2</v>
      </c>
      <c r="H2580" s="3">
        <f>[1]Raw_Data!H2578</f>
        <v>2</v>
      </c>
      <c r="I2580" s="3" t="str">
        <f>TRIM([1]Raw_Data!I2578)</f>
        <v>UK</v>
      </c>
      <c r="J2580" s="3" t="str">
        <f>TRIM([1]Raw_Data!J2578)</f>
        <v>iHerb</v>
      </c>
      <c r="K2580" s="3">
        <f t="shared" si="160"/>
        <v>2023</v>
      </c>
      <c r="L2580" s="6">
        <f t="shared" si="161"/>
        <v>44958</v>
      </c>
      <c r="M2580" s="3" t="str">
        <f t="shared" si="162"/>
        <v>6% to 10%</v>
      </c>
      <c r="N2580" s="3" t="str">
        <f t="shared" si="163"/>
        <v>OK</v>
      </c>
    </row>
    <row r="2581" spans="1:14" x14ac:dyDescent="0.3">
      <c r="A2581" s="2">
        <f>DATE(VALUE(RIGHT(TRIM([1]Raw_Data!A2579),4)),VALUE(MID(TRIM([1]Raw_Data!A2579),4,2)),VALUE(LEFT(TRIM([1]Raw_Data!A2579),2)))</f>
        <v>44963</v>
      </c>
      <c r="B2581" s="3" t="str">
        <f>TRIM([1]Raw_Data!B2579)</f>
        <v>Vitamin C</v>
      </c>
      <c r="C2581" s="3" t="str">
        <f>TRIM([1]Raw_Data!C2579)</f>
        <v>Vitamin</v>
      </c>
      <c r="D2581" s="3">
        <f>[1]Raw_Data!D2579</f>
        <v>158</v>
      </c>
      <c r="E2581" s="4">
        <f>[1]Raw_Data!E2579</f>
        <v>13.02</v>
      </c>
      <c r="F2581" s="5">
        <f>[1]Raw_Data!F2579</f>
        <v>2057.16</v>
      </c>
      <c r="G2581" s="4">
        <f>[1]Raw_Data!G2579</f>
        <v>0.2</v>
      </c>
      <c r="H2581" s="3">
        <f>[1]Raw_Data!H2579</f>
        <v>0</v>
      </c>
      <c r="I2581" s="3" t="str">
        <f>TRIM([1]Raw_Data!I2579)</f>
        <v>USA</v>
      </c>
      <c r="J2581" s="3" t="str">
        <f>TRIM([1]Raw_Data!J2579)</f>
        <v>iHerb</v>
      </c>
      <c r="K2581" s="3">
        <f t="shared" si="160"/>
        <v>2023</v>
      </c>
      <c r="L2581" s="6">
        <f t="shared" si="161"/>
        <v>44958</v>
      </c>
      <c r="M2581" s="3" t="str">
        <f t="shared" si="162"/>
        <v>16% to 20%</v>
      </c>
      <c r="N2581" s="3" t="str">
        <f t="shared" si="163"/>
        <v>OK</v>
      </c>
    </row>
    <row r="2582" spans="1:14" x14ac:dyDescent="0.3">
      <c r="A2582" s="2">
        <f>DATE(VALUE(RIGHT(TRIM([1]Raw_Data!A2580),4)),VALUE(MID(TRIM([1]Raw_Data!A2580),4,2)),VALUE(LEFT(TRIM([1]Raw_Data!A2580),2)))</f>
        <v>44963</v>
      </c>
      <c r="B2582" s="3" t="str">
        <f>TRIM([1]Raw_Data!B2580)</f>
        <v>Fish Oil</v>
      </c>
      <c r="C2582" s="3" t="str">
        <f>TRIM([1]Raw_Data!C2580)</f>
        <v>Omega</v>
      </c>
      <c r="D2582" s="3">
        <f>[1]Raw_Data!D2580</f>
        <v>157</v>
      </c>
      <c r="E2582" s="4">
        <f>[1]Raw_Data!E2580</f>
        <v>53.12</v>
      </c>
      <c r="F2582" s="5">
        <f>[1]Raw_Data!F2580</f>
        <v>8339.84</v>
      </c>
      <c r="G2582" s="4">
        <f>[1]Raw_Data!G2580</f>
        <v>0.04</v>
      </c>
      <c r="H2582" s="3">
        <f>[1]Raw_Data!H2580</f>
        <v>1</v>
      </c>
      <c r="I2582" s="3" t="str">
        <f>TRIM([1]Raw_Data!I2580)</f>
        <v>UK</v>
      </c>
      <c r="J2582" s="3" t="str">
        <f>TRIM([1]Raw_Data!J2580)</f>
        <v>Walmart</v>
      </c>
      <c r="K2582" s="3">
        <f t="shared" si="160"/>
        <v>2023</v>
      </c>
      <c r="L2582" s="6">
        <f t="shared" si="161"/>
        <v>44958</v>
      </c>
      <c r="M2582" s="3" t="str">
        <f t="shared" si="162"/>
        <v>0% to 5%</v>
      </c>
      <c r="N2582" s="3" t="str">
        <f t="shared" si="163"/>
        <v>OK</v>
      </c>
    </row>
    <row r="2583" spans="1:14" x14ac:dyDescent="0.3">
      <c r="A2583" s="2">
        <f>DATE(VALUE(RIGHT(TRIM([1]Raw_Data!A2581),4)),VALUE(MID(TRIM([1]Raw_Data!A2581),4,2)),VALUE(LEFT(TRIM([1]Raw_Data!A2581),2)))</f>
        <v>44963</v>
      </c>
      <c r="B2583" s="3" t="str">
        <f>TRIM([1]Raw_Data!B2581)</f>
        <v>Multivitamin</v>
      </c>
      <c r="C2583" s="3" t="str">
        <f>TRIM([1]Raw_Data!C2581)</f>
        <v>Vitamin</v>
      </c>
      <c r="D2583" s="3">
        <f>[1]Raw_Data!D2581</f>
        <v>153</v>
      </c>
      <c r="E2583" s="4">
        <f>[1]Raw_Data!E2581</f>
        <v>27.04</v>
      </c>
      <c r="F2583" s="5">
        <f>[1]Raw_Data!F2581</f>
        <v>4137.12</v>
      </c>
      <c r="G2583" s="4">
        <f>[1]Raw_Data!G2581</f>
        <v>0.12</v>
      </c>
      <c r="H2583" s="3">
        <f>[1]Raw_Data!H2581</f>
        <v>1</v>
      </c>
      <c r="I2583" s="3" t="str">
        <f>TRIM([1]Raw_Data!I2581)</f>
        <v>UK</v>
      </c>
      <c r="J2583" s="3" t="str">
        <f>TRIM([1]Raw_Data!J2581)</f>
        <v>iHerb</v>
      </c>
      <c r="K2583" s="3">
        <f t="shared" si="160"/>
        <v>2023</v>
      </c>
      <c r="L2583" s="6">
        <f t="shared" si="161"/>
        <v>44958</v>
      </c>
      <c r="M2583" s="3" t="str">
        <f t="shared" si="162"/>
        <v>11% to 15%</v>
      </c>
      <c r="N2583" s="3" t="str">
        <f t="shared" si="163"/>
        <v>OK</v>
      </c>
    </row>
    <row r="2584" spans="1:14" x14ac:dyDescent="0.3">
      <c r="A2584" s="2">
        <f>DATE(VALUE(RIGHT(TRIM([1]Raw_Data!A2582),4)),VALUE(MID(TRIM([1]Raw_Data!A2582),4,2)),VALUE(LEFT(TRIM([1]Raw_Data!A2582),2)))</f>
        <v>44963</v>
      </c>
      <c r="B2584" s="3" t="str">
        <f>TRIM([1]Raw_Data!B2582)</f>
        <v>Pre-Workout</v>
      </c>
      <c r="C2584" s="3" t="str">
        <f>TRIM([1]Raw_Data!C2582)</f>
        <v>Performance</v>
      </c>
      <c r="D2584" s="3">
        <f>[1]Raw_Data!D2582</f>
        <v>148</v>
      </c>
      <c r="E2584" s="4">
        <f>[1]Raw_Data!E2582</f>
        <v>38.31</v>
      </c>
      <c r="F2584" s="5">
        <f>[1]Raw_Data!F2582</f>
        <v>5669.88</v>
      </c>
      <c r="G2584" s="4">
        <f>[1]Raw_Data!G2582</f>
        <v>0.06</v>
      </c>
      <c r="H2584" s="3">
        <f>[1]Raw_Data!H2582</f>
        <v>5</v>
      </c>
      <c r="I2584" s="3" t="str">
        <f>TRIM([1]Raw_Data!I2582)</f>
        <v>Canada</v>
      </c>
      <c r="J2584" s="3" t="str">
        <f>TRIM([1]Raw_Data!J2582)</f>
        <v>iHerb</v>
      </c>
      <c r="K2584" s="3">
        <f t="shared" si="160"/>
        <v>2023</v>
      </c>
      <c r="L2584" s="6">
        <f t="shared" si="161"/>
        <v>44958</v>
      </c>
      <c r="M2584" s="3" t="str">
        <f t="shared" si="162"/>
        <v>6% to 10%</v>
      </c>
      <c r="N2584" s="3" t="str">
        <f t="shared" si="163"/>
        <v>OK</v>
      </c>
    </row>
    <row r="2585" spans="1:14" x14ac:dyDescent="0.3">
      <c r="A2585" s="2">
        <f>DATE(VALUE(RIGHT(TRIM([1]Raw_Data!A2583),4)),VALUE(MID(TRIM([1]Raw_Data!A2583),4,2)),VALUE(LEFT(TRIM([1]Raw_Data!A2583),2)))</f>
        <v>44963</v>
      </c>
      <c r="B2585" s="3" t="str">
        <f>TRIM([1]Raw_Data!B2583)</f>
        <v>BCAA</v>
      </c>
      <c r="C2585" s="3" t="str">
        <f>TRIM([1]Raw_Data!C2583)</f>
        <v>Amino Acid</v>
      </c>
      <c r="D2585" s="3">
        <f>[1]Raw_Data!D2583</f>
        <v>150</v>
      </c>
      <c r="E2585" s="4">
        <f>[1]Raw_Data!E2583</f>
        <v>33.85</v>
      </c>
      <c r="F2585" s="5">
        <f>[1]Raw_Data!F2583</f>
        <v>5077.5</v>
      </c>
      <c r="G2585" s="4">
        <f>[1]Raw_Data!G2583</f>
        <v>0.22</v>
      </c>
      <c r="H2585" s="3">
        <f>[1]Raw_Data!H2583</f>
        <v>0</v>
      </c>
      <c r="I2585" s="3" t="str">
        <f>TRIM([1]Raw_Data!I2583)</f>
        <v>UK</v>
      </c>
      <c r="J2585" s="3" t="str">
        <f>TRIM([1]Raw_Data!J2583)</f>
        <v>Walmart</v>
      </c>
      <c r="K2585" s="3">
        <f t="shared" si="160"/>
        <v>2023</v>
      </c>
      <c r="L2585" s="6">
        <f t="shared" si="161"/>
        <v>44958</v>
      </c>
      <c r="M2585" s="3" t="str">
        <f t="shared" si="162"/>
        <v>21% to 25%</v>
      </c>
      <c r="N2585" s="3" t="str">
        <f t="shared" si="163"/>
        <v>OK</v>
      </c>
    </row>
    <row r="2586" spans="1:14" x14ac:dyDescent="0.3">
      <c r="A2586" s="2">
        <f>DATE(VALUE(RIGHT(TRIM([1]Raw_Data!A2584),4)),VALUE(MID(TRIM([1]Raw_Data!A2584),4,2)),VALUE(LEFT(TRIM([1]Raw_Data!A2584),2)))</f>
        <v>44963</v>
      </c>
      <c r="B2586" s="3" t="str">
        <f>TRIM([1]Raw_Data!B2584)</f>
        <v>Creatine</v>
      </c>
      <c r="C2586" s="3" t="str">
        <f>TRIM([1]Raw_Data!C2584)</f>
        <v>Performance</v>
      </c>
      <c r="D2586" s="3">
        <f>[1]Raw_Data!D2584</f>
        <v>156</v>
      </c>
      <c r="E2586" s="4">
        <f>[1]Raw_Data!E2584</f>
        <v>18.48</v>
      </c>
      <c r="F2586" s="5">
        <f>[1]Raw_Data!F2584</f>
        <v>2882.88</v>
      </c>
      <c r="G2586" s="4">
        <f>[1]Raw_Data!G2584</f>
        <v>0.2</v>
      </c>
      <c r="H2586" s="3">
        <f>[1]Raw_Data!H2584</f>
        <v>1</v>
      </c>
      <c r="I2586" s="3" t="str">
        <f>TRIM([1]Raw_Data!I2584)</f>
        <v>USA</v>
      </c>
      <c r="J2586" s="3" t="str">
        <f>TRIM([1]Raw_Data!J2584)</f>
        <v>Amazon</v>
      </c>
      <c r="K2586" s="3">
        <f t="shared" si="160"/>
        <v>2023</v>
      </c>
      <c r="L2586" s="6">
        <f t="shared" si="161"/>
        <v>44958</v>
      </c>
      <c r="M2586" s="3" t="str">
        <f t="shared" si="162"/>
        <v>16% to 20%</v>
      </c>
      <c r="N2586" s="3" t="str">
        <f t="shared" si="163"/>
        <v>OK</v>
      </c>
    </row>
    <row r="2587" spans="1:14" x14ac:dyDescent="0.3">
      <c r="A2587" s="2">
        <f>DATE(VALUE(RIGHT(TRIM([1]Raw_Data!A2585),4)),VALUE(MID(TRIM([1]Raw_Data!A2585),4,2)),VALUE(LEFT(TRIM([1]Raw_Data!A2585),2)))</f>
        <v>44963</v>
      </c>
      <c r="B2587" s="3" t="str">
        <f>TRIM([1]Raw_Data!B2585)</f>
        <v>Zinc</v>
      </c>
      <c r="C2587" s="3" t="str">
        <f>TRIM([1]Raw_Data!C2585)</f>
        <v>Mineral</v>
      </c>
      <c r="D2587" s="3">
        <f>[1]Raw_Data!D2585</f>
        <v>142</v>
      </c>
      <c r="E2587" s="4">
        <f>[1]Raw_Data!E2585</f>
        <v>41.93</v>
      </c>
      <c r="F2587" s="5">
        <f>[1]Raw_Data!F2585</f>
        <v>5954.06</v>
      </c>
      <c r="G2587" s="4">
        <f>[1]Raw_Data!G2585</f>
        <v>0.22</v>
      </c>
      <c r="H2587" s="3">
        <f>[1]Raw_Data!H2585</f>
        <v>2</v>
      </c>
      <c r="I2587" s="3" t="str">
        <f>TRIM([1]Raw_Data!I2585)</f>
        <v>UK</v>
      </c>
      <c r="J2587" s="3" t="str">
        <f>TRIM([1]Raw_Data!J2585)</f>
        <v>Walmart</v>
      </c>
      <c r="K2587" s="3">
        <f t="shared" si="160"/>
        <v>2023</v>
      </c>
      <c r="L2587" s="6">
        <f t="shared" si="161"/>
        <v>44958</v>
      </c>
      <c r="M2587" s="3" t="str">
        <f t="shared" si="162"/>
        <v>21% to 25%</v>
      </c>
      <c r="N2587" s="3" t="str">
        <f t="shared" si="163"/>
        <v>OK</v>
      </c>
    </row>
    <row r="2588" spans="1:14" x14ac:dyDescent="0.3">
      <c r="A2588" s="2">
        <f>DATE(VALUE(RIGHT(TRIM([1]Raw_Data!A2586),4)),VALUE(MID(TRIM([1]Raw_Data!A2586),4,2)),VALUE(LEFT(TRIM([1]Raw_Data!A2586),2)))</f>
        <v>44963</v>
      </c>
      <c r="B2588" s="3" t="str">
        <f>TRIM([1]Raw_Data!B2586)</f>
        <v>Collagen Peptides</v>
      </c>
      <c r="C2588" s="3" t="str">
        <f>TRIM([1]Raw_Data!C2586)</f>
        <v>Protein</v>
      </c>
      <c r="D2588" s="3">
        <f>[1]Raw_Data!D2586</f>
        <v>159</v>
      </c>
      <c r="E2588" s="4">
        <f>[1]Raw_Data!E2586</f>
        <v>12.74</v>
      </c>
      <c r="F2588" s="5">
        <f>[1]Raw_Data!F2586</f>
        <v>2025.66</v>
      </c>
      <c r="G2588" s="4">
        <f>[1]Raw_Data!G2586</f>
        <v>0.19</v>
      </c>
      <c r="H2588" s="3">
        <f>[1]Raw_Data!H2586</f>
        <v>2</v>
      </c>
      <c r="I2588" s="3" t="str">
        <f>TRIM([1]Raw_Data!I2586)</f>
        <v>USA</v>
      </c>
      <c r="J2588" s="3" t="str">
        <f>TRIM([1]Raw_Data!J2586)</f>
        <v>Amazon</v>
      </c>
      <c r="K2588" s="3">
        <f t="shared" si="160"/>
        <v>2023</v>
      </c>
      <c r="L2588" s="6">
        <f t="shared" si="161"/>
        <v>44958</v>
      </c>
      <c r="M2588" s="3" t="str">
        <f t="shared" si="162"/>
        <v>16% to 20%</v>
      </c>
      <c r="N2588" s="3" t="str">
        <f t="shared" si="163"/>
        <v>OK</v>
      </c>
    </row>
    <row r="2589" spans="1:14" x14ac:dyDescent="0.3">
      <c r="A2589" s="2">
        <f>DATE(VALUE(RIGHT(TRIM([1]Raw_Data!A2587),4)),VALUE(MID(TRIM([1]Raw_Data!A2587),4,2)),VALUE(LEFT(TRIM([1]Raw_Data!A2587),2)))</f>
        <v>44963</v>
      </c>
      <c r="B2589" s="3" t="str">
        <f>TRIM([1]Raw_Data!B2587)</f>
        <v>Magnesium</v>
      </c>
      <c r="C2589" s="3" t="str">
        <f>TRIM([1]Raw_Data!C2587)</f>
        <v>Mineral</v>
      </c>
      <c r="D2589" s="3">
        <f>[1]Raw_Data!D2587</f>
        <v>127</v>
      </c>
      <c r="E2589" s="4">
        <f>[1]Raw_Data!E2587</f>
        <v>14.12</v>
      </c>
      <c r="F2589" s="5">
        <f>[1]Raw_Data!F2587</f>
        <v>1793.24</v>
      </c>
      <c r="G2589" s="4">
        <f>[1]Raw_Data!G2587</f>
        <v>0.18</v>
      </c>
      <c r="H2589" s="3">
        <f>[1]Raw_Data!H2587</f>
        <v>1</v>
      </c>
      <c r="I2589" s="3" t="str">
        <f>TRIM([1]Raw_Data!I2587)</f>
        <v>Canada</v>
      </c>
      <c r="J2589" s="3" t="str">
        <f>TRIM([1]Raw_Data!J2587)</f>
        <v>Walmart</v>
      </c>
      <c r="K2589" s="3">
        <f t="shared" si="160"/>
        <v>2023</v>
      </c>
      <c r="L2589" s="6">
        <f t="shared" si="161"/>
        <v>44958</v>
      </c>
      <c r="M2589" s="3" t="str">
        <f t="shared" si="162"/>
        <v>16% to 20%</v>
      </c>
      <c r="N2589" s="3" t="str">
        <f t="shared" si="163"/>
        <v>OK</v>
      </c>
    </row>
    <row r="2590" spans="1:14" x14ac:dyDescent="0.3">
      <c r="A2590" s="2">
        <f>DATE(VALUE(RIGHT(TRIM([1]Raw_Data!A2588),4)),VALUE(MID(TRIM([1]Raw_Data!A2588),4,2)),VALUE(LEFT(TRIM([1]Raw_Data!A2588),2)))</f>
        <v>44963</v>
      </c>
      <c r="B2590" s="3" t="str">
        <f>TRIM([1]Raw_Data!B2588)</f>
        <v>Ashwagandha</v>
      </c>
      <c r="C2590" s="3" t="str">
        <f>TRIM([1]Raw_Data!C2588)</f>
        <v>Herbal</v>
      </c>
      <c r="D2590" s="3">
        <f>[1]Raw_Data!D2588</f>
        <v>179</v>
      </c>
      <c r="E2590" s="4">
        <f>[1]Raw_Data!E2588</f>
        <v>40.299999999999997</v>
      </c>
      <c r="F2590" s="5">
        <f>[1]Raw_Data!F2588</f>
        <v>7213.7</v>
      </c>
      <c r="G2590" s="4">
        <f>[1]Raw_Data!G2588</f>
        <v>0.05</v>
      </c>
      <c r="H2590" s="3">
        <f>[1]Raw_Data!H2588</f>
        <v>2</v>
      </c>
      <c r="I2590" s="3" t="str">
        <f>TRIM([1]Raw_Data!I2588)</f>
        <v>USA</v>
      </c>
      <c r="J2590" s="3" t="str">
        <f>TRIM([1]Raw_Data!J2588)</f>
        <v>Amazon</v>
      </c>
      <c r="K2590" s="3">
        <f t="shared" si="160"/>
        <v>2023</v>
      </c>
      <c r="L2590" s="6">
        <f t="shared" si="161"/>
        <v>44958</v>
      </c>
      <c r="M2590" s="3" t="str">
        <f t="shared" si="162"/>
        <v>0% to 5%</v>
      </c>
      <c r="N2590" s="3" t="str">
        <f t="shared" si="163"/>
        <v>OK</v>
      </c>
    </row>
    <row r="2591" spans="1:14" x14ac:dyDescent="0.3">
      <c r="A2591" s="2">
        <f>DATE(VALUE(RIGHT(TRIM([1]Raw_Data!A2589),4)),VALUE(MID(TRIM([1]Raw_Data!A2589),4,2)),VALUE(LEFT(TRIM([1]Raw_Data!A2589),2)))</f>
        <v>44963</v>
      </c>
      <c r="B2591" s="3" t="str">
        <f>TRIM([1]Raw_Data!B2589)</f>
        <v>Melatonin</v>
      </c>
      <c r="C2591" s="3" t="str">
        <f>TRIM([1]Raw_Data!C2589)</f>
        <v>Sleep Aid</v>
      </c>
      <c r="D2591" s="3">
        <f>[1]Raw_Data!D2589</f>
        <v>158</v>
      </c>
      <c r="E2591" s="4">
        <f>[1]Raw_Data!E2589</f>
        <v>50.75</v>
      </c>
      <c r="F2591" s="5">
        <f>[1]Raw_Data!F2589</f>
        <v>8018.5</v>
      </c>
      <c r="G2591" s="4">
        <f>[1]Raw_Data!G2589</f>
        <v>0.21</v>
      </c>
      <c r="H2591" s="3">
        <f>[1]Raw_Data!H2589</f>
        <v>0</v>
      </c>
      <c r="I2591" s="3" t="str">
        <f>TRIM([1]Raw_Data!I2589)</f>
        <v>Canada</v>
      </c>
      <c r="J2591" s="3" t="str">
        <f>TRIM([1]Raw_Data!J2589)</f>
        <v>Walmart</v>
      </c>
      <c r="K2591" s="3">
        <f t="shared" si="160"/>
        <v>2023</v>
      </c>
      <c r="L2591" s="6">
        <f t="shared" si="161"/>
        <v>44958</v>
      </c>
      <c r="M2591" s="3" t="str">
        <f t="shared" si="162"/>
        <v>21% to 25%</v>
      </c>
      <c r="N2591" s="3" t="str">
        <f t="shared" si="163"/>
        <v>OK</v>
      </c>
    </row>
    <row r="2592" spans="1:14" x14ac:dyDescent="0.3">
      <c r="A2592" s="2">
        <f>DATE(VALUE(RIGHT(TRIM([1]Raw_Data!A2590),4)),VALUE(MID(TRIM([1]Raw_Data!A2590),4,2)),VALUE(LEFT(TRIM([1]Raw_Data!A2590),2)))</f>
        <v>44963</v>
      </c>
      <c r="B2592" s="3" t="str">
        <f>TRIM([1]Raw_Data!B2590)</f>
        <v>Biotin</v>
      </c>
      <c r="C2592" s="3" t="str">
        <f>TRIM([1]Raw_Data!C2590)</f>
        <v>Vitamin</v>
      </c>
      <c r="D2592" s="3">
        <f>[1]Raw_Data!D2590</f>
        <v>144</v>
      </c>
      <c r="E2592" s="4">
        <f>[1]Raw_Data!E2590</f>
        <v>34.93</v>
      </c>
      <c r="F2592" s="5">
        <f>[1]Raw_Data!F2590</f>
        <v>5029.92</v>
      </c>
      <c r="G2592" s="4">
        <f>[1]Raw_Data!G2590</f>
        <v>0.05</v>
      </c>
      <c r="H2592" s="3">
        <f>[1]Raw_Data!H2590</f>
        <v>1</v>
      </c>
      <c r="I2592" s="3" t="str">
        <f>TRIM([1]Raw_Data!I2590)</f>
        <v>UK</v>
      </c>
      <c r="J2592" s="3" t="str">
        <f>TRIM([1]Raw_Data!J2590)</f>
        <v>Amazon</v>
      </c>
      <c r="K2592" s="3">
        <f t="shared" si="160"/>
        <v>2023</v>
      </c>
      <c r="L2592" s="6">
        <f t="shared" si="161"/>
        <v>44958</v>
      </c>
      <c r="M2592" s="3" t="str">
        <f t="shared" si="162"/>
        <v>0% to 5%</v>
      </c>
      <c r="N2592" s="3" t="str">
        <f t="shared" si="163"/>
        <v>OK</v>
      </c>
    </row>
    <row r="2593" spans="1:14" x14ac:dyDescent="0.3">
      <c r="A2593" s="2">
        <f>DATE(VALUE(RIGHT(TRIM([1]Raw_Data!A2591),4)),VALUE(MID(TRIM([1]Raw_Data!A2591),4,2)),VALUE(LEFT(TRIM([1]Raw_Data!A2591),2)))</f>
        <v>44963</v>
      </c>
      <c r="B2593" s="3" t="str">
        <f>TRIM([1]Raw_Data!B2591)</f>
        <v>Green Tea Extract</v>
      </c>
      <c r="C2593" s="3" t="str">
        <f>TRIM([1]Raw_Data!C2591)</f>
        <v>Fat Burner</v>
      </c>
      <c r="D2593" s="3">
        <f>[1]Raw_Data!D2591</f>
        <v>147</v>
      </c>
      <c r="E2593" s="4">
        <f>[1]Raw_Data!E2591</f>
        <v>50.49</v>
      </c>
      <c r="F2593" s="5">
        <f>[1]Raw_Data!F2591</f>
        <v>7422.03</v>
      </c>
      <c r="G2593" s="4">
        <f>[1]Raw_Data!G2591</f>
        <v>0.1</v>
      </c>
      <c r="H2593" s="3">
        <f>[1]Raw_Data!H2591</f>
        <v>0</v>
      </c>
      <c r="I2593" s="3" t="str">
        <f>TRIM([1]Raw_Data!I2591)</f>
        <v>UK</v>
      </c>
      <c r="J2593" s="3" t="str">
        <f>TRIM([1]Raw_Data!J2591)</f>
        <v>Amazon</v>
      </c>
      <c r="K2593" s="3">
        <f t="shared" si="160"/>
        <v>2023</v>
      </c>
      <c r="L2593" s="6">
        <f t="shared" si="161"/>
        <v>44958</v>
      </c>
      <c r="M2593" s="3" t="str">
        <f t="shared" si="162"/>
        <v>6% to 10%</v>
      </c>
      <c r="N2593" s="3" t="str">
        <f t="shared" si="163"/>
        <v>OK</v>
      </c>
    </row>
    <row r="2594" spans="1:14" x14ac:dyDescent="0.3">
      <c r="A2594" s="2">
        <f>DATE(VALUE(RIGHT(TRIM([1]Raw_Data!A2592),4)),VALUE(MID(TRIM([1]Raw_Data!A2592),4,2)),VALUE(LEFT(TRIM([1]Raw_Data!A2592),2)))</f>
        <v>44963</v>
      </c>
      <c r="B2594" s="3" t="str">
        <f>TRIM([1]Raw_Data!B2592)</f>
        <v>Iron Supplement</v>
      </c>
      <c r="C2594" s="3" t="str">
        <f>TRIM([1]Raw_Data!C2592)</f>
        <v>Mineral</v>
      </c>
      <c r="D2594" s="3">
        <f>[1]Raw_Data!D2592</f>
        <v>145</v>
      </c>
      <c r="E2594" s="4">
        <f>[1]Raw_Data!E2592</f>
        <v>43.14</v>
      </c>
      <c r="F2594" s="5">
        <f>[1]Raw_Data!F2592</f>
        <v>6255.3</v>
      </c>
      <c r="G2594" s="4">
        <f>[1]Raw_Data!G2592</f>
        <v>0.21</v>
      </c>
      <c r="H2594" s="3">
        <f>[1]Raw_Data!H2592</f>
        <v>2</v>
      </c>
      <c r="I2594" s="3" t="str">
        <f>TRIM([1]Raw_Data!I2592)</f>
        <v>UK</v>
      </c>
      <c r="J2594" s="3" t="str">
        <f>TRIM([1]Raw_Data!J2592)</f>
        <v>Walmart</v>
      </c>
      <c r="K2594" s="3">
        <f t="shared" si="160"/>
        <v>2023</v>
      </c>
      <c r="L2594" s="6">
        <f t="shared" si="161"/>
        <v>44958</v>
      </c>
      <c r="M2594" s="3" t="str">
        <f t="shared" si="162"/>
        <v>21% to 25%</v>
      </c>
      <c r="N2594" s="3" t="str">
        <f t="shared" si="163"/>
        <v>OK</v>
      </c>
    </row>
    <row r="2595" spans="1:14" x14ac:dyDescent="0.3">
      <c r="A2595" s="2">
        <f>DATE(VALUE(RIGHT(TRIM([1]Raw_Data!A2593),4)),VALUE(MID(TRIM([1]Raw_Data!A2593),4,2)),VALUE(LEFT(TRIM([1]Raw_Data!A2593),2)))</f>
        <v>44963</v>
      </c>
      <c r="B2595" s="3" t="str">
        <f>TRIM([1]Raw_Data!B2593)</f>
        <v>Electrolyte Powder</v>
      </c>
      <c r="C2595" s="3" t="str">
        <f>TRIM([1]Raw_Data!C2593)</f>
        <v>Hydration</v>
      </c>
      <c r="D2595" s="3">
        <f>[1]Raw_Data!D2593</f>
        <v>146</v>
      </c>
      <c r="E2595" s="4">
        <f>[1]Raw_Data!E2593</f>
        <v>19.309999999999999</v>
      </c>
      <c r="F2595" s="5">
        <f>[1]Raw_Data!F2593</f>
        <v>2819.26</v>
      </c>
      <c r="G2595" s="4">
        <f>[1]Raw_Data!G2593</f>
        <v>7.0000000000000007E-2</v>
      </c>
      <c r="H2595" s="3">
        <f>[1]Raw_Data!H2593</f>
        <v>2</v>
      </c>
      <c r="I2595" s="3" t="str">
        <f>TRIM([1]Raw_Data!I2593)</f>
        <v>Canada</v>
      </c>
      <c r="J2595" s="3" t="str">
        <f>TRIM([1]Raw_Data!J2593)</f>
        <v>Walmart</v>
      </c>
      <c r="K2595" s="3">
        <f t="shared" si="160"/>
        <v>2023</v>
      </c>
      <c r="L2595" s="6">
        <f t="shared" si="161"/>
        <v>44958</v>
      </c>
      <c r="M2595" s="3" t="str">
        <f t="shared" si="162"/>
        <v>6% to 10%</v>
      </c>
      <c r="N2595" s="3" t="str">
        <f t="shared" si="163"/>
        <v>OK</v>
      </c>
    </row>
    <row r="2596" spans="1:14" x14ac:dyDescent="0.3">
      <c r="A2596" s="2">
        <f>DATE(VALUE(RIGHT(TRIM([1]Raw_Data!A2594),4)),VALUE(MID(TRIM([1]Raw_Data!A2594),4,2)),VALUE(LEFT(TRIM([1]Raw_Data!A2594),2)))</f>
        <v>44970</v>
      </c>
      <c r="B2596" s="3" t="str">
        <f>TRIM([1]Raw_Data!B2594)</f>
        <v>Whey Protein</v>
      </c>
      <c r="C2596" s="3" t="str">
        <f>TRIM([1]Raw_Data!C2594)</f>
        <v>Protein</v>
      </c>
      <c r="D2596" s="3">
        <f>[1]Raw_Data!D2594</f>
        <v>168</v>
      </c>
      <c r="E2596" s="4">
        <f>[1]Raw_Data!E2594</f>
        <v>33.26</v>
      </c>
      <c r="F2596" s="5">
        <f>[1]Raw_Data!F2594</f>
        <v>5587.68</v>
      </c>
      <c r="G2596" s="4">
        <f>[1]Raw_Data!G2594</f>
        <v>0.02</v>
      </c>
      <c r="H2596" s="3">
        <f>[1]Raw_Data!H2594</f>
        <v>0</v>
      </c>
      <c r="I2596" s="3" t="str">
        <f>TRIM([1]Raw_Data!I2594)</f>
        <v>Canada</v>
      </c>
      <c r="J2596" s="3" t="str">
        <f>TRIM([1]Raw_Data!J2594)</f>
        <v>Amazon</v>
      </c>
      <c r="K2596" s="3">
        <f t="shared" si="160"/>
        <v>2023</v>
      </c>
      <c r="L2596" s="6">
        <f t="shared" si="161"/>
        <v>44958</v>
      </c>
      <c r="M2596" s="3" t="str">
        <f t="shared" si="162"/>
        <v>0% to 5%</v>
      </c>
      <c r="N2596" s="3" t="str">
        <f t="shared" si="163"/>
        <v>OK</v>
      </c>
    </row>
    <row r="2597" spans="1:14" x14ac:dyDescent="0.3">
      <c r="A2597" s="2">
        <f>DATE(VALUE(RIGHT(TRIM([1]Raw_Data!A2595),4)),VALUE(MID(TRIM([1]Raw_Data!A2595),4,2)),VALUE(LEFT(TRIM([1]Raw_Data!A2595),2)))</f>
        <v>44970</v>
      </c>
      <c r="B2597" s="3" t="str">
        <f>TRIM([1]Raw_Data!B2595)</f>
        <v>Vitamin C</v>
      </c>
      <c r="C2597" s="3" t="str">
        <f>TRIM([1]Raw_Data!C2595)</f>
        <v>Vitamin</v>
      </c>
      <c r="D2597" s="3">
        <f>[1]Raw_Data!D2595</f>
        <v>145</v>
      </c>
      <c r="E2597" s="4">
        <f>[1]Raw_Data!E2595</f>
        <v>40.46</v>
      </c>
      <c r="F2597" s="5">
        <f>[1]Raw_Data!F2595</f>
        <v>5866.7</v>
      </c>
      <c r="G2597" s="4">
        <f>[1]Raw_Data!G2595</f>
        <v>0</v>
      </c>
      <c r="H2597" s="3">
        <f>[1]Raw_Data!H2595</f>
        <v>5</v>
      </c>
      <c r="I2597" s="3" t="str">
        <f>TRIM([1]Raw_Data!I2595)</f>
        <v>USA</v>
      </c>
      <c r="J2597" s="3" t="str">
        <f>TRIM([1]Raw_Data!J2595)</f>
        <v>iHerb</v>
      </c>
      <c r="K2597" s="3">
        <f t="shared" si="160"/>
        <v>2023</v>
      </c>
      <c r="L2597" s="6">
        <f t="shared" si="161"/>
        <v>44958</v>
      </c>
      <c r="M2597" s="3" t="str">
        <f t="shared" si="162"/>
        <v>0% to 5%</v>
      </c>
      <c r="N2597" s="3" t="str">
        <f t="shared" si="163"/>
        <v>OK</v>
      </c>
    </row>
    <row r="2598" spans="1:14" x14ac:dyDescent="0.3">
      <c r="A2598" s="2">
        <f>DATE(VALUE(RIGHT(TRIM([1]Raw_Data!A2596),4)),VALUE(MID(TRIM([1]Raw_Data!A2596),4,2)),VALUE(LEFT(TRIM([1]Raw_Data!A2596),2)))</f>
        <v>44970</v>
      </c>
      <c r="B2598" s="3" t="str">
        <f>TRIM([1]Raw_Data!B2596)</f>
        <v>Fish Oil</v>
      </c>
      <c r="C2598" s="3" t="str">
        <f>TRIM([1]Raw_Data!C2596)</f>
        <v>Omega</v>
      </c>
      <c r="D2598" s="3">
        <f>[1]Raw_Data!D2596</f>
        <v>145</v>
      </c>
      <c r="E2598" s="4">
        <f>[1]Raw_Data!E2596</f>
        <v>36.75</v>
      </c>
      <c r="F2598" s="5">
        <f>[1]Raw_Data!F2596</f>
        <v>5328.75</v>
      </c>
      <c r="G2598" s="4">
        <f>[1]Raw_Data!G2596</f>
        <v>0.03</v>
      </c>
      <c r="H2598" s="3">
        <f>[1]Raw_Data!H2596</f>
        <v>2</v>
      </c>
      <c r="I2598" s="3" t="str">
        <f>TRIM([1]Raw_Data!I2596)</f>
        <v>UK</v>
      </c>
      <c r="J2598" s="3" t="str">
        <f>TRIM([1]Raw_Data!J2596)</f>
        <v>iHerb</v>
      </c>
      <c r="K2598" s="3">
        <f t="shared" si="160"/>
        <v>2023</v>
      </c>
      <c r="L2598" s="6">
        <f t="shared" si="161"/>
        <v>44958</v>
      </c>
      <c r="M2598" s="3" t="str">
        <f t="shared" si="162"/>
        <v>0% to 5%</v>
      </c>
      <c r="N2598" s="3" t="str">
        <f t="shared" si="163"/>
        <v>OK</v>
      </c>
    </row>
    <row r="2599" spans="1:14" x14ac:dyDescent="0.3">
      <c r="A2599" s="2">
        <f>DATE(VALUE(RIGHT(TRIM([1]Raw_Data!A2597),4)),VALUE(MID(TRIM([1]Raw_Data!A2597),4,2)),VALUE(LEFT(TRIM([1]Raw_Data!A2597),2)))</f>
        <v>44970</v>
      </c>
      <c r="B2599" s="3" t="str">
        <f>TRIM([1]Raw_Data!B2597)</f>
        <v>Multivitamin</v>
      </c>
      <c r="C2599" s="3" t="str">
        <f>TRIM([1]Raw_Data!C2597)</f>
        <v>Vitamin</v>
      </c>
      <c r="D2599" s="3">
        <f>[1]Raw_Data!D2597</f>
        <v>158</v>
      </c>
      <c r="E2599" s="4">
        <f>[1]Raw_Data!E2597</f>
        <v>35.729999999999997</v>
      </c>
      <c r="F2599" s="5">
        <f>[1]Raw_Data!F2597</f>
        <v>5645.34</v>
      </c>
      <c r="G2599" s="4">
        <f>[1]Raw_Data!G2597</f>
        <v>0.02</v>
      </c>
      <c r="H2599" s="3">
        <f>[1]Raw_Data!H2597</f>
        <v>2</v>
      </c>
      <c r="I2599" s="3" t="str">
        <f>TRIM([1]Raw_Data!I2597)</f>
        <v>UK</v>
      </c>
      <c r="J2599" s="3" t="str">
        <f>TRIM([1]Raw_Data!J2597)</f>
        <v>Walmart</v>
      </c>
      <c r="K2599" s="3">
        <f t="shared" si="160"/>
        <v>2023</v>
      </c>
      <c r="L2599" s="6">
        <f t="shared" si="161"/>
        <v>44958</v>
      </c>
      <c r="M2599" s="3" t="str">
        <f t="shared" si="162"/>
        <v>0% to 5%</v>
      </c>
      <c r="N2599" s="3" t="str">
        <f t="shared" si="163"/>
        <v>OK</v>
      </c>
    </row>
    <row r="2600" spans="1:14" x14ac:dyDescent="0.3">
      <c r="A2600" s="2">
        <f>DATE(VALUE(RIGHT(TRIM([1]Raw_Data!A2598),4)),VALUE(MID(TRIM([1]Raw_Data!A2598),4,2)),VALUE(LEFT(TRIM([1]Raw_Data!A2598),2)))</f>
        <v>44970</v>
      </c>
      <c r="B2600" s="3" t="str">
        <f>TRIM([1]Raw_Data!B2598)</f>
        <v>Pre-Workout</v>
      </c>
      <c r="C2600" s="3" t="str">
        <f>TRIM([1]Raw_Data!C2598)</f>
        <v>Performance</v>
      </c>
      <c r="D2600" s="3">
        <f>[1]Raw_Data!D2598</f>
        <v>170</v>
      </c>
      <c r="E2600" s="4">
        <f>[1]Raw_Data!E2598</f>
        <v>23.18</v>
      </c>
      <c r="F2600" s="5">
        <f>[1]Raw_Data!F2598</f>
        <v>3940.6</v>
      </c>
      <c r="G2600" s="4">
        <f>[1]Raw_Data!G2598</f>
        <v>0.23</v>
      </c>
      <c r="H2600" s="3">
        <f>[1]Raw_Data!H2598</f>
        <v>1</v>
      </c>
      <c r="I2600" s="3" t="str">
        <f>TRIM([1]Raw_Data!I2598)</f>
        <v>Canada</v>
      </c>
      <c r="J2600" s="3" t="str">
        <f>TRIM([1]Raw_Data!J2598)</f>
        <v>Walmart</v>
      </c>
      <c r="K2600" s="3">
        <f t="shared" si="160"/>
        <v>2023</v>
      </c>
      <c r="L2600" s="6">
        <f t="shared" si="161"/>
        <v>44958</v>
      </c>
      <c r="M2600" s="3" t="str">
        <f t="shared" si="162"/>
        <v>21% to 25%</v>
      </c>
      <c r="N2600" s="3" t="str">
        <f t="shared" si="163"/>
        <v>OK</v>
      </c>
    </row>
    <row r="2601" spans="1:14" x14ac:dyDescent="0.3">
      <c r="A2601" s="2">
        <f>DATE(VALUE(RIGHT(TRIM([1]Raw_Data!A2599),4)),VALUE(MID(TRIM([1]Raw_Data!A2599),4,2)),VALUE(LEFT(TRIM([1]Raw_Data!A2599),2)))</f>
        <v>44970</v>
      </c>
      <c r="B2601" s="3" t="str">
        <f>TRIM([1]Raw_Data!B2599)</f>
        <v>BCAA</v>
      </c>
      <c r="C2601" s="3" t="str">
        <f>TRIM([1]Raw_Data!C2599)</f>
        <v>Amino Acid</v>
      </c>
      <c r="D2601" s="3">
        <f>[1]Raw_Data!D2599</f>
        <v>155</v>
      </c>
      <c r="E2601" s="4">
        <f>[1]Raw_Data!E2599</f>
        <v>39.82</v>
      </c>
      <c r="F2601" s="5">
        <f>[1]Raw_Data!F2599</f>
        <v>6172.1</v>
      </c>
      <c r="G2601" s="4">
        <f>[1]Raw_Data!G2599</f>
        <v>0.1</v>
      </c>
      <c r="H2601" s="3">
        <f>[1]Raw_Data!H2599</f>
        <v>1</v>
      </c>
      <c r="I2601" s="3" t="str">
        <f>TRIM([1]Raw_Data!I2599)</f>
        <v>UK</v>
      </c>
      <c r="J2601" s="3" t="str">
        <f>TRIM([1]Raw_Data!J2599)</f>
        <v>iHerb</v>
      </c>
      <c r="K2601" s="3">
        <f t="shared" si="160"/>
        <v>2023</v>
      </c>
      <c r="L2601" s="6">
        <f t="shared" si="161"/>
        <v>44958</v>
      </c>
      <c r="M2601" s="3" t="str">
        <f t="shared" si="162"/>
        <v>6% to 10%</v>
      </c>
      <c r="N2601" s="3" t="str">
        <f t="shared" si="163"/>
        <v>OK</v>
      </c>
    </row>
    <row r="2602" spans="1:14" x14ac:dyDescent="0.3">
      <c r="A2602" s="2">
        <f>DATE(VALUE(RIGHT(TRIM([1]Raw_Data!A2600),4)),VALUE(MID(TRIM([1]Raw_Data!A2600),4,2)),VALUE(LEFT(TRIM([1]Raw_Data!A2600),2)))</f>
        <v>44970</v>
      </c>
      <c r="B2602" s="3" t="str">
        <f>TRIM([1]Raw_Data!B2600)</f>
        <v>Creatine</v>
      </c>
      <c r="C2602" s="3" t="str">
        <f>TRIM([1]Raw_Data!C2600)</f>
        <v>Performance</v>
      </c>
      <c r="D2602" s="3">
        <f>[1]Raw_Data!D2600</f>
        <v>159</v>
      </c>
      <c r="E2602" s="4">
        <f>[1]Raw_Data!E2600</f>
        <v>42.18</v>
      </c>
      <c r="F2602" s="5">
        <f>[1]Raw_Data!F2600</f>
        <v>6706.62</v>
      </c>
      <c r="G2602" s="4">
        <f>[1]Raw_Data!G2600</f>
        <v>0.06</v>
      </c>
      <c r="H2602" s="3">
        <f>[1]Raw_Data!H2600</f>
        <v>0</v>
      </c>
      <c r="I2602" s="3" t="str">
        <f>TRIM([1]Raw_Data!I2600)</f>
        <v>Canada</v>
      </c>
      <c r="J2602" s="3" t="str">
        <f>TRIM([1]Raw_Data!J2600)</f>
        <v>Walmart</v>
      </c>
      <c r="K2602" s="3">
        <f t="shared" si="160"/>
        <v>2023</v>
      </c>
      <c r="L2602" s="6">
        <f t="shared" si="161"/>
        <v>44958</v>
      </c>
      <c r="M2602" s="3" t="str">
        <f t="shared" si="162"/>
        <v>6% to 10%</v>
      </c>
      <c r="N2602" s="3" t="str">
        <f t="shared" si="163"/>
        <v>OK</v>
      </c>
    </row>
    <row r="2603" spans="1:14" x14ac:dyDescent="0.3">
      <c r="A2603" s="2">
        <f>DATE(VALUE(RIGHT(TRIM([1]Raw_Data!A2601),4)),VALUE(MID(TRIM([1]Raw_Data!A2601),4,2)),VALUE(LEFT(TRIM([1]Raw_Data!A2601),2)))</f>
        <v>44970</v>
      </c>
      <c r="B2603" s="3" t="str">
        <f>TRIM([1]Raw_Data!B2601)</f>
        <v>Zinc</v>
      </c>
      <c r="C2603" s="3" t="str">
        <f>TRIM([1]Raw_Data!C2601)</f>
        <v>Mineral</v>
      </c>
      <c r="D2603" s="3">
        <f>[1]Raw_Data!D2601</f>
        <v>162</v>
      </c>
      <c r="E2603" s="4">
        <f>[1]Raw_Data!E2601</f>
        <v>25.34</v>
      </c>
      <c r="F2603" s="5">
        <f>[1]Raw_Data!F2601</f>
        <v>4105.08</v>
      </c>
      <c r="G2603" s="4">
        <f>[1]Raw_Data!G2601</f>
        <v>0.03</v>
      </c>
      <c r="H2603" s="3">
        <f>[1]Raw_Data!H2601</f>
        <v>0</v>
      </c>
      <c r="I2603" s="3" t="str">
        <f>TRIM([1]Raw_Data!I2601)</f>
        <v>Canada</v>
      </c>
      <c r="J2603" s="3" t="str">
        <f>TRIM([1]Raw_Data!J2601)</f>
        <v>Walmart</v>
      </c>
      <c r="K2603" s="3">
        <f t="shared" si="160"/>
        <v>2023</v>
      </c>
      <c r="L2603" s="6">
        <f t="shared" si="161"/>
        <v>44958</v>
      </c>
      <c r="M2603" s="3" t="str">
        <f t="shared" si="162"/>
        <v>0% to 5%</v>
      </c>
      <c r="N2603" s="3" t="str">
        <f t="shared" si="163"/>
        <v>OK</v>
      </c>
    </row>
    <row r="2604" spans="1:14" x14ac:dyDescent="0.3">
      <c r="A2604" s="2">
        <f>DATE(VALUE(RIGHT(TRIM([1]Raw_Data!A2602),4)),VALUE(MID(TRIM([1]Raw_Data!A2602),4,2)),VALUE(LEFT(TRIM([1]Raw_Data!A2602),2)))</f>
        <v>44970</v>
      </c>
      <c r="B2604" s="3" t="str">
        <f>TRIM([1]Raw_Data!B2602)</f>
        <v>Collagen Peptides</v>
      </c>
      <c r="C2604" s="3" t="str">
        <f>TRIM([1]Raw_Data!C2602)</f>
        <v>Protein</v>
      </c>
      <c r="D2604" s="3">
        <f>[1]Raw_Data!D2602</f>
        <v>144</v>
      </c>
      <c r="E2604" s="4">
        <f>[1]Raw_Data!E2602</f>
        <v>55.94</v>
      </c>
      <c r="F2604" s="5">
        <f>[1]Raw_Data!F2602</f>
        <v>8055.36</v>
      </c>
      <c r="G2604" s="4">
        <f>[1]Raw_Data!G2602</f>
        <v>0.22</v>
      </c>
      <c r="H2604" s="3">
        <f>[1]Raw_Data!H2602</f>
        <v>3</v>
      </c>
      <c r="I2604" s="3" t="str">
        <f>TRIM([1]Raw_Data!I2602)</f>
        <v>UK</v>
      </c>
      <c r="J2604" s="3" t="str">
        <f>TRIM([1]Raw_Data!J2602)</f>
        <v>Walmart</v>
      </c>
      <c r="K2604" s="3">
        <f t="shared" si="160"/>
        <v>2023</v>
      </c>
      <c r="L2604" s="6">
        <f t="shared" si="161"/>
        <v>44958</v>
      </c>
      <c r="M2604" s="3" t="str">
        <f t="shared" si="162"/>
        <v>21% to 25%</v>
      </c>
      <c r="N2604" s="3" t="str">
        <f t="shared" si="163"/>
        <v>OK</v>
      </c>
    </row>
    <row r="2605" spans="1:14" x14ac:dyDescent="0.3">
      <c r="A2605" s="2">
        <f>DATE(VALUE(RIGHT(TRIM([1]Raw_Data!A2603),4)),VALUE(MID(TRIM([1]Raw_Data!A2603),4,2)),VALUE(LEFT(TRIM([1]Raw_Data!A2603),2)))</f>
        <v>44970</v>
      </c>
      <c r="B2605" s="3" t="str">
        <f>TRIM([1]Raw_Data!B2603)</f>
        <v>Magnesium</v>
      </c>
      <c r="C2605" s="3" t="str">
        <f>TRIM([1]Raw_Data!C2603)</f>
        <v>Mineral</v>
      </c>
      <c r="D2605" s="3">
        <f>[1]Raw_Data!D2603</f>
        <v>169</v>
      </c>
      <c r="E2605" s="4">
        <f>[1]Raw_Data!E2603</f>
        <v>20.97</v>
      </c>
      <c r="F2605" s="5">
        <f>[1]Raw_Data!F2603</f>
        <v>3543.93</v>
      </c>
      <c r="G2605" s="4">
        <f>[1]Raw_Data!G2603</f>
        <v>0.2</v>
      </c>
      <c r="H2605" s="3">
        <f>[1]Raw_Data!H2603</f>
        <v>1</v>
      </c>
      <c r="I2605" s="3" t="str">
        <f>TRIM([1]Raw_Data!I2603)</f>
        <v>Canada</v>
      </c>
      <c r="J2605" s="3" t="str">
        <f>TRIM([1]Raw_Data!J2603)</f>
        <v>Amazon</v>
      </c>
      <c r="K2605" s="3">
        <f t="shared" si="160"/>
        <v>2023</v>
      </c>
      <c r="L2605" s="6">
        <f t="shared" si="161"/>
        <v>44958</v>
      </c>
      <c r="M2605" s="3" t="str">
        <f t="shared" si="162"/>
        <v>16% to 20%</v>
      </c>
      <c r="N2605" s="3" t="str">
        <f t="shared" si="163"/>
        <v>OK</v>
      </c>
    </row>
    <row r="2606" spans="1:14" x14ac:dyDescent="0.3">
      <c r="A2606" s="2">
        <f>DATE(VALUE(RIGHT(TRIM([1]Raw_Data!A2604),4)),VALUE(MID(TRIM([1]Raw_Data!A2604),4,2)),VALUE(LEFT(TRIM([1]Raw_Data!A2604),2)))</f>
        <v>44970</v>
      </c>
      <c r="B2606" s="3" t="str">
        <f>TRIM([1]Raw_Data!B2604)</f>
        <v>Ashwagandha</v>
      </c>
      <c r="C2606" s="3" t="str">
        <f>TRIM([1]Raw_Data!C2604)</f>
        <v>Herbal</v>
      </c>
      <c r="D2606" s="3">
        <f>[1]Raw_Data!D2604</f>
        <v>141</v>
      </c>
      <c r="E2606" s="4">
        <f>[1]Raw_Data!E2604</f>
        <v>35.75</v>
      </c>
      <c r="F2606" s="5">
        <f>[1]Raw_Data!F2604</f>
        <v>5040.75</v>
      </c>
      <c r="G2606" s="4">
        <f>[1]Raw_Data!G2604</f>
        <v>0.08</v>
      </c>
      <c r="H2606" s="3">
        <f>[1]Raw_Data!H2604</f>
        <v>0</v>
      </c>
      <c r="I2606" s="3" t="str">
        <f>TRIM([1]Raw_Data!I2604)</f>
        <v>UK</v>
      </c>
      <c r="J2606" s="3" t="str">
        <f>TRIM([1]Raw_Data!J2604)</f>
        <v>Walmart</v>
      </c>
      <c r="K2606" s="3">
        <f t="shared" si="160"/>
        <v>2023</v>
      </c>
      <c r="L2606" s="6">
        <f t="shared" si="161"/>
        <v>44958</v>
      </c>
      <c r="M2606" s="3" t="str">
        <f t="shared" si="162"/>
        <v>6% to 10%</v>
      </c>
      <c r="N2606" s="3" t="str">
        <f t="shared" si="163"/>
        <v>OK</v>
      </c>
    </row>
    <row r="2607" spans="1:14" x14ac:dyDescent="0.3">
      <c r="A2607" s="2">
        <f>DATE(VALUE(RIGHT(TRIM([1]Raw_Data!A2605),4)),VALUE(MID(TRIM([1]Raw_Data!A2605),4,2)),VALUE(LEFT(TRIM([1]Raw_Data!A2605),2)))</f>
        <v>44970</v>
      </c>
      <c r="B2607" s="3" t="str">
        <f>TRIM([1]Raw_Data!B2605)</f>
        <v>Melatonin</v>
      </c>
      <c r="C2607" s="3" t="str">
        <f>TRIM([1]Raw_Data!C2605)</f>
        <v>Sleep Aid</v>
      </c>
      <c r="D2607" s="3">
        <f>[1]Raw_Data!D2605</f>
        <v>148</v>
      </c>
      <c r="E2607" s="4">
        <f>[1]Raw_Data!E2605</f>
        <v>38.53</v>
      </c>
      <c r="F2607" s="5">
        <f>[1]Raw_Data!F2605</f>
        <v>5702.44</v>
      </c>
      <c r="G2607" s="4">
        <f>[1]Raw_Data!G2605</f>
        <v>0.22</v>
      </c>
      <c r="H2607" s="3">
        <f>[1]Raw_Data!H2605</f>
        <v>0</v>
      </c>
      <c r="I2607" s="3" t="str">
        <f>TRIM([1]Raw_Data!I2605)</f>
        <v>Canada</v>
      </c>
      <c r="J2607" s="3" t="str">
        <f>TRIM([1]Raw_Data!J2605)</f>
        <v>Amazon</v>
      </c>
      <c r="K2607" s="3">
        <f t="shared" si="160"/>
        <v>2023</v>
      </c>
      <c r="L2607" s="6">
        <f t="shared" si="161"/>
        <v>44958</v>
      </c>
      <c r="M2607" s="3" t="str">
        <f t="shared" si="162"/>
        <v>21% to 25%</v>
      </c>
      <c r="N2607" s="3" t="str">
        <f t="shared" si="163"/>
        <v>OK</v>
      </c>
    </row>
    <row r="2608" spans="1:14" x14ac:dyDescent="0.3">
      <c r="A2608" s="2">
        <f>DATE(VALUE(RIGHT(TRIM([1]Raw_Data!A2606),4)),VALUE(MID(TRIM([1]Raw_Data!A2606),4,2)),VALUE(LEFT(TRIM([1]Raw_Data!A2606),2)))</f>
        <v>44970</v>
      </c>
      <c r="B2608" s="3" t="str">
        <f>TRIM([1]Raw_Data!B2606)</f>
        <v>Biotin</v>
      </c>
      <c r="C2608" s="3" t="str">
        <f>TRIM([1]Raw_Data!C2606)</f>
        <v>Vitamin</v>
      </c>
      <c r="D2608" s="3">
        <f>[1]Raw_Data!D2606</f>
        <v>136</v>
      </c>
      <c r="E2608" s="4">
        <f>[1]Raw_Data!E2606</f>
        <v>33.17</v>
      </c>
      <c r="F2608" s="5">
        <f>[1]Raw_Data!F2606</f>
        <v>4511.12</v>
      </c>
      <c r="G2608" s="4">
        <f>[1]Raw_Data!G2606</f>
        <v>0.17</v>
      </c>
      <c r="H2608" s="3">
        <f>[1]Raw_Data!H2606</f>
        <v>2</v>
      </c>
      <c r="I2608" s="3" t="str">
        <f>TRIM([1]Raw_Data!I2606)</f>
        <v>Canada</v>
      </c>
      <c r="J2608" s="3" t="str">
        <f>TRIM([1]Raw_Data!J2606)</f>
        <v>Walmart</v>
      </c>
      <c r="K2608" s="3">
        <f t="shared" si="160"/>
        <v>2023</v>
      </c>
      <c r="L2608" s="6">
        <f t="shared" si="161"/>
        <v>44958</v>
      </c>
      <c r="M2608" s="3" t="str">
        <f t="shared" si="162"/>
        <v>16% to 20%</v>
      </c>
      <c r="N2608" s="3" t="str">
        <f t="shared" si="163"/>
        <v>OK</v>
      </c>
    </row>
    <row r="2609" spans="1:14" x14ac:dyDescent="0.3">
      <c r="A2609" s="2">
        <f>DATE(VALUE(RIGHT(TRIM([1]Raw_Data!A2607),4)),VALUE(MID(TRIM([1]Raw_Data!A2607),4,2)),VALUE(LEFT(TRIM([1]Raw_Data!A2607),2)))</f>
        <v>44970</v>
      </c>
      <c r="B2609" s="3" t="str">
        <f>TRIM([1]Raw_Data!B2607)</f>
        <v>Green Tea Extract</v>
      </c>
      <c r="C2609" s="3" t="str">
        <f>TRIM([1]Raw_Data!C2607)</f>
        <v>Fat Burner</v>
      </c>
      <c r="D2609" s="3">
        <f>[1]Raw_Data!D2607</f>
        <v>146</v>
      </c>
      <c r="E2609" s="4">
        <f>[1]Raw_Data!E2607</f>
        <v>37.549999999999997</v>
      </c>
      <c r="F2609" s="5">
        <f>[1]Raw_Data!F2607</f>
        <v>5482.3</v>
      </c>
      <c r="G2609" s="4">
        <f>[1]Raw_Data!G2607</f>
        <v>0.03</v>
      </c>
      <c r="H2609" s="3">
        <f>[1]Raw_Data!H2607</f>
        <v>1</v>
      </c>
      <c r="I2609" s="3" t="str">
        <f>TRIM([1]Raw_Data!I2607)</f>
        <v>UK</v>
      </c>
      <c r="J2609" s="3" t="str">
        <f>TRIM([1]Raw_Data!J2607)</f>
        <v>iHerb</v>
      </c>
      <c r="K2609" s="3">
        <f t="shared" si="160"/>
        <v>2023</v>
      </c>
      <c r="L2609" s="6">
        <f t="shared" si="161"/>
        <v>44958</v>
      </c>
      <c r="M2609" s="3" t="str">
        <f t="shared" si="162"/>
        <v>0% to 5%</v>
      </c>
      <c r="N2609" s="3" t="str">
        <f t="shared" si="163"/>
        <v>OK</v>
      </c>
    </row>
    <row r="2610" spans="1:14" x14ac:dyDescent="0.3">
      <c r="A2610" s="2">
        <f>DATE(VALUE(RIGHT(TRIM([1]Raw_Data!A2608),4)),VALUE(MID(TRIM([1]Raw_Data!A2608),4,2)),VALUE(LEFT(TRIM([1]Raw_Data!A2608),2)))</f>
        <v>44970</v>
      </c>
      <c r="B2610" s="3" t="str">
        <f>TRIM([1]Raw_Data!B2608)</f>
        <v>Iron Supplement</v>
      </c>
      <c r="C2610" s="3" t="str">
        <f>TRIM([1]Raw_Data!C2608)</f>
        <v>Mineral</v>
      </c>
      <c r="D2610" s="3">
        <f>[1]Raw_Data!D2608</f>
        <v>139</v>
      </c>
      <c r="E2610" s="4">
        <f>[1]Raw_Data!E2608</f>
        <v>15.56</v>
      </c>
      <c r="F2610" s="5">
        <f>[1]Raw_Data!F2608</f>
        <v>2162.84</v>
      </c>
      <c r="G2610" s="4">
        <f>[1]Raw_Data!G2608</f>
        <v>0.01</v>
      </c>
      <c r="H2610" s="3">
        <f>[1]Raw_Data!H2608</f>
        <v>2</v>
      </c>
      <c r="I2610" s="3" t="str">
        <f>TRIM([1]Raw_Data!I2608)</f>
        <v>UK</v>
      </c>
      <c r="J2610" s="3" t="str">
        <f>TRIM([1]Raw_Data!J2608)</f>
        <v>Amazon</v>
      </c>
      <c r="K2610" s="3">
        <f t="shared" si="160"/>
        <v>2023</v>
      </c>
      <c r="L2610" s="6">
        <f t="shared" si="161"/>
        <v>44958</v>
      </c>
      <c r="M2610" s="3" t="str">
        <f t="shared" si="162"/>
        <v>0% to 5%</v>
      </c>
      <c r="N2610" s="3" t="str">
        <f t="shared" si="163"/>
        <v>OK</v>
      </c>
    </row>
    <row r="2611" spans="1:14" x14ac:dyDescent="0.3">
      <c r="A2611" s="2">
        <f>DATE(VALUE(RIGHT(TRIM([1]Raw_Data!A2609),4)),VALUE(MID(TRIM([1]Raw_Data!A2609),4,2)),VALUE(LEFT(TRIM([1]Raw_Data!A2609),2)))</f>
        <v>44970</v>
      </c>
      <c r="B2611" s="3" t="str">
        <f>TRIM([1]Raw_Data!B2609)</f>
        <v>Electrolyte Powder</v>
      </c>
      <c r="C2611" s="3" t="str">
        <f>TRIM([1]Raw_Data!C2609)</f>
        <v>Hydration</v>
      </c>
      <c r="D2611" s="3">
        <f>[1]Raw_Data!D2609</f>
        <v>154</v>
      </c>
      <c r="E2611" s="4">
        <f>[1]Raw_Data!E2609</f>
        <v>43.02</v>
      </c>
      <c r="F2611" s="5">
        <f>[1]Raw_Data!F2609</f>
        <v>6625.08</v>
      </c>
      <c r="G2611" s="4">
        <f>[1]Raw_Data!G2609</f>
        <v>0.03</v>
      </c>
      <c r="H2611" s="3">
        <f>[1]Raw_Data!H2609</f>
        <v>1</v>
      </c>
      <c r="I2611" s="3" t="str">
        <f>TRIM([1]Raw_Data!I2609)</f>
        <v>USA</v>
      </c>
      <c r="J2611" s="3" t="str">
        <f>TRIM([1]Raw_Data!J2609)</f>
        <v>iHerb</v>
      </c>
      <c r="K2611" s="3">
        <f t="shared" si="160"/>
        <v>2023</v>
      </c>
      <c r="L2611" s="6">
        <f t="shared" si="161"/>
        <v>44958</v>
      </c>
      <c r="M2611" s="3" t="str">
        <f t="shared" si="162"/>
        <v>0% to 5%</v>
      </c>
      <c r="N2611" s="3" t="str">
        <f t="shared" si="163"/>
        <v>OK</v>
      </c>
    </row>
    <row r="2612" spans="1:14" x14ac:dyDescent="0.3">
      <c r="A2612" s="2">
        <f>DATE(VALUE(RIGHT(TRIM([1]Raw_Data!A2610),4)),VALUE(MID(TRIM([1]Raw_Data!A2610),4,2)),VALUE(LEFT(TRIM([1]Raw_Data!A2610),2)))</f>
        <v>44977</v>
      </c>
      <c r="B2612" s="3" t="str">
        <f>TRIM([1]Raw_Data!B2610)</f>
        <v>Whey Protein</v>
      </c>
      <c r="C2612" s="3" t="str">
        <f>TRIM([1]Raw_Data!C2610)</f>
        <v>Protein</v>
      </c>
      <c r="D2612" s="3">
        <f>[1]Raw_Data!D2610</f>
        <v>134</v>
      </c>
      <c r="E2612" s="4">
        <f>[1]Raw_Data!E2610</f>
        <v>47.35</v>
      </c>
      <c r="F2612" s="5">
        <f>[1]Raw_Data!F2610</f>
        <v>6344.9</v>
      </c>
      <c r="G2612" s="4">
        <f>[1]Raw_Data!G2610</f>
        <v>0.05</v>
      </c>
      <c r="H2612" s="3">
        <f>[1]Raw_Data!H2610</f>
        <v>1</v>
      </c>
      <c r="I2612" s="3" t="str">
        <f>TRIM([1]Raw_Data!I2610)</f>
        <v>UK</v>
      </c>
      <c r="J2612" s="3" t="str">
        <f>TRIM([1]Raw_Data!J2610)</f>
        <v>iHerb</v>
      </c>
      <c r="K2612" s="3">
        <f t="shared" si="160"/>
        <v>2023</v>
      </c>
      <c r="L2612" s="6">
        <f t="shared" si="161"/>
        <v>44958</v>
      </c>
      <c r="M2612" s="3" t="str">
        <f t="shared" si="162"/>
        <v>0% to 5%</v>
      </c>
      <c r="N2612" s="3" t="str">
        <f t="shared" si="163"/>
        <v>OK</v>
      </c>
    </row>
    <row r="2613" spans="1:14" x14ac:dyDescent="0.3">
      <c r="A2613" s="2">
        <f>DATE(VALUE(RIGHT(TRIM([1]Raw_Data!A2611),4)),VALUE(MID(TRIM([1]Raw_Data!A2611),4,2)),VALUE(LEFT(TRIM([1]Raw_Data!A2611),2)))</f>
        <v>44977</v>
      </c>
      <c r="B2613" s="3" t="str">
        <f>TRIM([1]Raw_Data!B2611)</f>
        <v>Vitamin C</v>
      </c>
      <c r="C2613" s="3" t="str">
        <f>TRIM([1]Raw_Data!C2611)</f>
        <v>Vitamin</v>
      </c>
      <c r="D2613" s="3">
        <f>[1]Raw_Data!D2611</f>
        <v>162</v>
      </c>
      <c r="E2613" s="4">
        <f>[1]Raw_Data!E2611</f>
        <v>20.5</v>
      </c>
      <c r="F2613" s="5">
        <f>[1]Raw_Data!F2611</f>
        <v>3321</v>
      </c>
      <c r="G2613" s="4">
        <f>[1]Raw_Data!G2611</f>
        <v>0.2</v>
      </c>
      <c r="H2613" s="3">
        <f>[1]Raw_Data!H2611</f>
        <v>2</v>
      </c>
      <c r="I2613" s="3" t="str">
        <f>TRIM([1]Raw_Data!I2611)</f>
        <v>Canada</v>
      </c>
      <c r="J2613" s="3" t="str">
        <f>TRIM([1]Raw_Data!J2611)</f>
        <v>iHerb</v>
      </c>
      <c r="K2613" s="3">
        <f t="shared" si="160"/>
        <v>2023</v>
      </c>
      <c r="L2613" s="6">
        <f t="shared" si="161"/>
        <v>44958</v>
      </c>
      <c r="M2613" s="3" t="str">
        <f t="shared" si="162"/>
        <v>16% to 20%</v>
      </c>
      <c r="N2613" s="3" t="str">
        <f t="shared" si="163"/>
        <v>OK</v>
      </c>
    </row>
    <row r="2614" spans="1:14" x14ac:dyDescent="0.3">
      <c r="A2614" s="2">
        <f>DATE(VALUE(RIGHT(TRIM([1]Raw_Data!A2612),4)),VALUE(MID(TRIM([1]Raw_Data!A2612),4,2)),VALUE(LEFT(TRIM([1]Raw_Data!A2612),2)))</f>
        <v>44977</v>
      </c>
      <c r="B2614" s="3" t="str">
        <f>TRIM([1]Raw_Data!B2612)</f>
        <v>Fish Oil</v>
      </c>
      <c r="C2614" s="3" t="str">
        <f>TRIM([1]Raw_Data!C2612)</f>
        <v>Omega</v>
      </c>
      <c r="D2614" s="3">
        <f>[1]Raw_Data!D2612</f>
        <v>157</v>
      </c>
      <c r="E2614" s="4">
        <f>[1]Raw_Data!E2612</f>
        <v>38.18</v>
      </c>
      <c r="F2614" s="5">
        <f>[1]Raw_Data!F2612</f>
        <v>5994.26</v>
      </c>
      <c r="G2614" s="4">
        <f>[1]Raw_Data!G2612</f>
        <v>0.18</v>
      </c>
      <c r="H2614" s="3">
        <f>[1]Raw_Data!H2612</f>
        <v>1</v>
      </c>
      <c r="I2614" s="3" t="str">
        <f>TRIM([1]Raw_Data!I2612)</f>
        <v>USA</v>
      </c>
      <c r="J2614" s="3" t="str">
        <f>TRIM([1]Raw_Data!J2612)</f>
        <v>Amazon</v>
      </c>
      <c r="K2614" s="3">
        <f t="shared" si="160"/>
        <v>2023</v>
      </c>
      <c r="L2614" s="6">
        <f t="shared" si="161"/>
        <v>44958</v>
      </c>
      <c r="M2614" s="3" t="str">
        <f t="shared" si="162"/>
        <v>16% to 20%</v>
      </c>
      <c r="N2614" s="3" t="str">
        <f t="shared" si="163"/>
        <v>OK</v>
      </c>
    </row>
    <row r="2615" spans="1:14" x14ac:dyDescent="0.3">
      <c r="A2615" s="2">
        <f>DATE(VALUE(RIGHT(TRIM([1]Raw_Data!A2613),4)),VALUE(MID(TRIM([1]Raw_Data!A2613),4,2)),VALUE(LEFT(TRIM([1]Raw_Data!A2613),2)))</f>
        <v>44977</v>
      </c>
      <c r="B2615" s="3" t="str">
        <f>TRIM([1]Raw_Data!B2613)</f>
        <v>Multivitamin</v>
      </c>
      <c r="C2615" s="3" t="str">
        <f>TRIM([1]Raw_Data!C2613)</f>
        <v>Vitamin</v>
      </c>
      <c r="D2615" s="3">
        <f>[1]Raw_Data!D2613</f>
        <v>145</v>
      </c>
      <c r="E2615" s="4">
        <f>[1]Raw_Data!E2613</f>
        <v>25.44</v>
      </c>
      <c r="F2615" s="5">
        <f>[1]Raw_Data!F2613</f>
        <v>3688.8</v>
      </c>
      <c r="G2615" s="4">
        <f>[1]Raw_Data!G2613</f>
        <v>0.14000000000000001</v>
      </c>
      <c r="H2615" s="3">
        <f>[1]Raw_Data!H2613</f>
        <v>2</v>
      </c>
      <c r="I2615" s="3" t="str">
        <f>TRIM([1]Raw_Data!I2613)</f>
        <v>UK</v>
      </c>
      <c r="J2615" s="3" t="str">
        <f>TRIM([1]Raw_Data!J2613)</f>
        <v>iHerb</v>
      </c>
      <c r="K2615" s="3">
        <f t="shared" si="160"/>
        <v>2023</v>
      </c>
      <c r="L2615" s="6">
        <f t="shared" si="161"/>
        <v>44958</v>
      </c>
      <c r="M2615" s="3" t="str">
        <f t="shared" si="162"/>
        <v>11% to 15%</v>
      </c>
      <c r="N2615" s="3" t="str">
        <f t="shared" si="163"/>
        <v>OK</v>
      </c>
    </row>
    <row r="2616" spans="1:14" x14ac:dyDescent="0.3">
      <c r="A2616" s="2">
        <f>DATE(VALUE(RIGHT(TRIM([1]Raw_Data!A2614),4)),VALUE(MID(TRIM([1]Raw_Data!A2614),4,2)),VALUE(LEFT(TRIM([1]Raw_Data!A2614),2)))</f>
        <v>44977</v>
      </c>
      <c r="B2616" s="3" t="str">
        <f>TRIM([1]Raw_Data!B2614)</f>
        <v>Pre-Workout</v>
      </c>
      <c r="C2616" s="3" t="str">
        <f>TRIM([1]Raw_Data!C2614)</f>
        <v>Performance</v>
      </c>
      <c r="D2616" s="3">
        <f>[1]Raw_Data!D2614</f>
        <v>147</v>
      </c>
      <c r="E2616" s="4">
        <f>[1]Raw_Data!E2614</f>
        <v>50.28</v>
      </c>
      <c r="F2616" s="5">
        <f>[1]Raw_Data!F2614</f>
        <v>7391.16</v>
      </c>
      <c r="G2616" s="4">
        <f>[1]Raw_Data!G2614</f>
        <v>0.18</v>
      </c>
      <c r="H2616" s="3">
        <f>[1]Raw_Data!H2614</f>
        <v>1</v>
      </c>
      <c r="I2616" s="3" t="str">
        <f>TRIM([1]Raw_Data!I2614)</f>
        <v>UK</v>
      </c>
      <c r="J2616" s="3" t="str">
        <f>TRIM([1]Raw_Data!J2614)</f>
        <v>Walmart</v>
      </c>
      <c r="K2616" s="3">
        <f t="shared" si="160"/>
        <v>2023</v>
      </c>
      <c r="L2616" s="6">
        <f t="shared" si="161"/>
        <v>44958</v>
      </c>
      <c r="M2616" s="3" t="str">
        <f t="shared" si="162"/>
        <v>16% to 20%</v>
      </c>
      <c r="N2616" s="3" t="str">
        <f t="shared" si="163"/>
        <v>OK</v>
      </c>
    </row>
    <row r="2617" spans="1:14" x14ac:dyDescent="0.3">
      <c r="A2617" s="2">
        <f>DATE(VALUE(RIGHT(TRIM([1]Raw_Data!A2615),4)),VALUE(MID(TRIM([1]Raw_Data!A2615),4,2)),VALUE(LEFT(TRIM([1]Raw_Data!A2615),2)))</f>
        <v>44977</v>
      </c>
      <c r="B2617" s="3" t="str">
        <f>TRIM([1]Raw_Data!B2615)</f>
        <v>BCAA</v>
      </c>
      <c r="C2617" s="3" t="str">
        <f>TRIM([1]Raw_Data!C2615)</f>
        <v>Amino Acid</v>
      </c>
      <c r="D2617" s="3">
        <f>[1]Raw_Data!D2615</f>
        <v>144</v>
      </c>
      <c r="E2617" s="4">
        <f>[1]Raw_Data!E2615</f>
        <v>53.81</v>
      </c>
      <c r="F2617" s="5">
        <f>[1]Raw_Data!F2615</f>
        <v>7748.64</v>
      </c>
      <c r="G2617" s="4">
        <f>[1]Raw_Data!G2615</f>
        <v>0.22</v>
      </c>
      <c r="H2617" s="3">
        <f>[1]Raw_Data!H2615</f>
        <v>0</v>
      </c>
      <c r="I2617" s="3" t="str">
        <f>TRIM([1]Raw_Data!I2615)</f>
        <v>USA</v>
      </c>
      <c r="J2617" s="3" t="str">
        <f>TRIM([1]Raw_Data!J2615)</f>
        <v>iHerb</v>
      </c>
      <c r="K2617" s="3">
        <f t="shared" si="160"/>
        <v>2023</v>
      </c>
      <c r="L2617" s="6">
        <f t="shared" si="161"/>
        <v>44958</v>
      </c>
      <c r="M2617" s="3" t="str">
        <f t="shared" si="162"/>
        <v>21% to 25%</v>
      </c>
      <c r="N2617" s="3" t="str">
        <f t="shared" si="163"/>
        <v>OK</v>
      </c>
    </row>
    <row r="2618" spans="1:14" x14ac:dyDescent="0.3">
      <c r="A2618" s="2">
        <f>DATE(VALUE(RIGHT(TRIM([1]Raw_Data!A2616),4)),VALUE(MID(TRIM([1]Raw_Data!A2616),4,2)),VALUE(LEFT(TRIM([1]Raw_Data!A2616),2)))</f>
        <v>44977</v>
      </c>
      <c r="B2618" s="3" t="str">
        <f>TRIM([1]Raw_Data!B2616)</f>
        <v>Creatine</v>
      </c>
      <c r="C2618" s="3" t="str">
        <f>TRIM([1]Raw_Data!C2616)</f>
        <v>Performance</v>
      </c>
      <c r="D2618" s="3">
        <f>[1]Raw_Data!D2616</f>
        <v>147</v>
      </c>
      <c r="E2618" s="4">
        <f>[1]Raw_Data!E2616</f>
        <v>58.88</v>
      </c>
      <c r="F2618" s="5">
        <f>[1]Raw_Data!F2616</f>
        <v>8655.36</v>
      </c>
      <c r="G2618" s="4">
        <f>[1]Raw_Data!G2616</f>
        <v>0.17</v>
      </c>
      <c r="H2618" s="3">
        <f>[1]Raw_Data!H2616</f>
        <v>1</v>
      </c>
      <c r="I2618" s="3" t="str">
        <f>TRIM([1]Raw_Data!I2616)</f>
        <v>Canada</v>
      </c>
      <c r="J2618" s="3" t="str">
        <f>TRIM([1]Raw_Data!J2616)</f>
        <v>Amazon</v>
      </c>
      <c r="K2618" s="3">
        <f t="shared" si="160"/>
        <v>2023</v>
      </c>
      <c r="L2618" s="6">
        <f t="shared" si="161"/>
        <v>44958</v>
      </c>
      <c r="M2618" s="3" t="str">
        <f t="shared" si="162"/>
        <v>16% to 20%</v>
      </c>
      <c r="N2618" s="3" t="str">
        <f t="shared" si="163"/>
        <v>OK</v>
      </c>
    </row>
    <row r="2619" spans="1:14" x14ac:dyDescent="0.3">
      <c r="A2619" s="2">
        <f>DATE(VALUE(RIGHT(TRIM([1]Raw_Data!A2617),4)),VALUE(MID(TRIM([1]Raw_Data!A2617),4,2)),VALUE(LEFT(TRIM([1]Raw_Data!A2617),2)))</f>
        <v>44977</v>
      </c>
      <c r="B2619" s="3" t="str">
        <f>TRIM([1]Raw_Data!B2617)</f>
        <v>Zinc</v>
      </c>
      <c r="C2619" s="3" t="str">
        <f>TRIM([1]Raw_Data!C2617)</f>
        <v>Mineral</v>
      </c>
      <c r="D2619" s="3">
        <f>[1]Raw_Data!D2617</f>
        <v>131</v>
      </c>
      <c r="E2619" s="4">
        <f>[1]Raw_Data!E2617</f>
        <v>47.63</v>
      </c>
      <c r="F2619" s="5">
        <f>[1]Raw_Data!F2617</f>
        <v>6239.53</v>
      </c>
      <c r="G2619" s="4">
        <f>[1]Raw_Data!G2617</f>
        <v>0.12</v>
      </c>
      <c r="H2619" s="3">
        <f>[1]Raw_Data!H2617</f>
        <v>1</v>
      </c>
      <c r="I2619" s="3" t="str">
        <f>TRIM([1]Raw_Data!I2617)</f>
        <v>USA</v>
      </c>
      <c r="J2619" s="3" t="str">
        <f>TRIM([1]Raw_Data!J2617)</f>
        <v>Walmart</v>
      </c>
      <c r="K2619" s="3">
        <f t="shared" si="160"/>
        <v>2023</v>
      </c>
      <c r="L2619" s="6">
        <f t="shared" si="161"/>
        <v>44958</v>
      </c>
      <c r="M2619" s="3" t="str">
        <f t="shared" si="162"/>
        <v>11% to 15%</v>
      </c>
      <c r="N2619" s="3" t="str">
        <f t="shared" si="163"/>
        <v>OK</v>
      </c>
    </row>
    <row r="2620" spans="1:14" x14ac:dyDescent="0.3">
      <c r="A2620" s="2">
        <f>DATE(VALUE(RIGHT(TRIM([1]Raw_Data!A2618),4)),VALUE(MID(TRIM([1]Raw_Data!A2618),4,2)),VALUE(LEFT(TRIM([1]Raw_Data!A2618),2)))</f>
        <v>44977</v>
      </c>
      <c r="B2620" s="3" t="str">
        <f>TRIM([1]Raw_Data!B2618)</f>
        <v>Collagen Peptides</v>
      </c>
      <c r="C2620" s="3" t="str">
        <f>TRIM([1]Raw_Data!C2618)</f>
        <v>Protein</v>
      </c>
      <c r="D2620" s="3">
        <f>[1]Raw_Data!D2618</f>
        <v>168</v>
      </c>
      <c r="E2620" s="4">
        <f>[1]Raw_Data!E2618</f>
        <v>22.45</v>
      </c>
      <c r="F2620" s="5">
        <f>[1]Raw_Data!F2618</f>
        <v>3771.6</v>
      </c>
      <c r="G2620" s="4">
        <f>[1]Raw_Data!G2618</f>
        <v>0.23</v>
      </c>
      <c r="H2620" s="3">
        <f>[1]Raw_Data!H2618</f>
        <v>3</v>
      </c>
      <c r="I2620" s="3" t="str">
        <f>TRIM([1]Raw_Data!I2618)</f>
        <v>Canada</v>
      </c>
      <c r="J2620" s="3" t="str">
        <f>TRIM([1]Raw_Data!J2618)</f>
        <v>Amazon</v>
      </c>
      <c r="K2620" s="3">
        <f t="shared" si="160"/>
        <v>2023</v>
      </c>
      <c r="L2620" s="6">
        <f t="shared" si="161"/>
        <v>44958</v>
      </c>
      <c r="M2620" s="3" t="str">
        <f t="shared" si="162"/>
        <v>21% to 25%</v>
      </c>
      <c r="N2620" s="3" t="str">
        <f t="shared" si="163"/>
        <v>OK</v>
      </c>
    </row>
    <row r="2621" spans="1:14" x14ac:dyDescent="0.3">
      <c r="A2621" s="2">
        <f>DATE(VALUE(RIGHT(TRIM([1]Raw_Data!A2619),4)),VALUE(MID(TRIM([1]Raw_Data!A2619),4,2)),VALUE(LEFT(TRIM([1]Raw_Data!A2619),2)))</f>
        <v>44977</v>
      </c>
      <c r="B2621" s="3" t="str">
        <f>TRIM([1]Raw_Data!B2619)</f>
        <v>Magnesium</v>
      </c>
      <c r="C2621" s="3" t="str">
        <f>TRIM([1]Raw_Data!C2619)</f>
        <v>Mineral</v>
      </c>
      <c r="D2621" s="3">
        <f>[1]Raw_Data!D2619</f>
        <v>163</v>
      </c>
      <c r="E2621" s="4">
        <f>[1]Raw_Data!E2619</f>
        <v>17.16</v>
      </c>
      <c r="F2621" s="5">
        <f>[1]Raw_Data!F2619</f>
        <v>2797.08</v>
      </c>
      <c r="G2621" s="4">
        <f>[1]Raw_Data!G2619</f>
        <v>0.01</v>
      </c>
      <c r="H2621" s="3">
        <f>[1]Raw_Data!H2619</f>
        <v>1</v>
      </c>
      <c r="I2621" s="3" t="str">
        <f>TRIM([1]Raw_Data!I2619)</f>
        <v>USA</v>
      </c>
      <c r="J2621" s="3" t="str">
        <f>TRIM([1]Raw_Data!J2619)</f>
        <v>iHerb</v>
      </c>
      <c r="K2621" s="3">
        <f t="shared" si="160"/>
        <v>2023</v>
      </c>
      <c r="L2621" s="6">
        <f t="shared" si="161"/>
        <v>44958</v>
      </c>
      <c r="M2621" s="3" t="str">
        <f t="shared" si="162"/>
        <v>0% to 5%</v>
      </c>
      <c r="N2621" s="3" t="str">
        <f t="shared" si="163"/>
        <v>OK</v>
      </c>
    </row>
    <row r="2622" spans="1:14" x14ac:dyDescent="0.3">
      <c r="A2622" s="2">
        <f>DATE(VALUE(RIGHT(TRIM([1]Raw_Data!A2620),4)),VALUE(MID(TRIM([1]Raw_Data!A2620),4,2)),VALUE(LEFT(TRIM([1]Raw_Data!A2620),2)))</f>
        <v>44977</v>
      </c>
      <c r="B2622" s="3" t="str">
        <f>TRIM([1]Raw_Data!B2620)</f>
        <v>Ashwagandha</v>
      </c>
      <c r="C2622" s="3" t="str">
        <f>TRIM([1]Raw_Data!C2620)</f>
        <v>Herbal</v>
      </c>
      <c r="D2622" s="3">
        <f>[1]Raw_Data!D2620</f>
        <v>160</v>
      </c>
      <c r="E2622" s="4">
        <f>[1]Raw_Data!E2620</f>
        <v>46.46</v>
      </c>
      <c r="F2622" s="5">
        <f>[1]Raw_Data!F2620</f>
        <v>7433.6</v>
      </c>
      <c r="G2622" s="4">
        <f>[1]Raw_Data!G2620</f>
        <v>0.06</v>
      </c>
      <c r="H2622" s="3">
        <f>[1]Raw_Data!H2620</f>
        <v>1</v>
      </c>
      <c r="I2622" s="3" t="str">
        <f>TRIM([1]Raw_Data!I2620)</f>
        <v>USA</v>
      </c>
      <c r="J2622" s="3" t="str">
        <f>TRIM([1]Raw_Data!J2620)</f>
        <v>Walmart</v>
      </c>
      <c r="K2622" s="3">
        <f t="shared" si="160"/>
        <v>2023</v>
      </c>
      <c r="L2622" s="6">
        <f t="shared" si="161"/>
        <v>44958</v>
      </c>
      <c r="M2622" s="3" t="str">
        <f t="shared" si="162"/>
        <v>6% to 10%</v>
      </c>
      <c r="N2622" s="3" t="str">
        <f t="shared" si="163"/>
        <v>OK</v>
      </c>
    </row>
    <row r="2623" spans="1:14" x14ac:dyDescent="0.3">
      <c r="A2623" s="2">
        <f>DATE(VALUE(RIGHT(TRIM([1]Raw_Data!A2621),4)),VALUE(MID(TRIM([1]Raw_Data!A2621),4,2)),VALUE(LEFT(TRIM([1]Raw_Data!A2621),2)))</f>
        <v>44977</v>
      </c>
      <c r="B2623" s="3" t="str">
        <f>TRIM([1]Raw_Data!B2621)</f>
        <v>Melatonin</v>
      </c>
      <c r="C2623" s="3" t="str">
        <f>TRIM([1]Raw_Data!C2621)</f>
        <v>Sleep Aid</v>
      </c>
      <c r="D2623" s="3">
        <f>[1]Raw_Data!D2621</f>
        <v>146</v>
      </c>
      <c r="E2623" s="4">
        <f>[1]Raw_Data!E2621</f>
        <v>15.48</v>
      </c>
      <c r="F2623" s="5">
        <f>[1]Raw_Data!F2621</f>
        <v>2260.08</v>
      </c>
      <c r="G2623" s="4">
        <f>[1]Raw_Data!G2621</f>
        <v>0.12</v>
      </c>
      <c r="H2623" s="3">
        <f>[1]Raw_Data!H2621</f>
        <v>1</v>
      </c>
      <c r="I2623" s="3" t="str">
        <f>TRIM([1]Raw_Data!I2621)</f>
        <v>UK</v>
      </c>
      <c r="J2623" s="3" t="str">
        <f>TRIM([1]Raw_Data!J2621)</f>
        <v>Walmart</v>
      </c>
      <c r="K2623" s="3">
        <f t="shared" si="160"/>
        <v>2023</v>
      </c>
      <c r="L2623" s="6">
        <f t="shared" si="161"/>
        <v>44958</v>
      </c>
      <c r="M2623" s="3" t="str">
        <f t="shared" si="162"/>
        <v>11% to 15%</v>
      </c>
      <c r="N2623" s="3" t="str">
        <f t="shared" si="163"/>
        <v>OK</v>
      </c>
    </row>
    <row r="2624" spans="1:14" x14ac:dyDescent="0.3">
      <c r="A2624" s="2">
        <f>DATE(VALUE(RIGHT(TRIM([1]Raw_Data!A2622),4)),VALUE(MID(TRIM([1]Raw_Data!A2622),4,2)),VALUE(LEFT(TRIM([1]Raw_Data!A2622),2)))</f>
        <v>44977</v>
      </c>
      <c r="B2624" s="3" t="str">
        <f>TRIM([1]Raw_Data!B2622)</f>
        <v>Biotin</v>
      </c>
      <c r="C2624" s="3" t="str">
        <f>TRIM([1]Raw_Data!C2622)</f>
        <v>Vitamin</v>
      </c>
      <c r="D2624" s="3">
        <f>[1]Raw_Data!D2622</f>
        <v>157</v>
      </c>
      <c r="E2624" s="4">
        <f>[1]Raw_Data!E2622</f>
        <v>37.21</v>
      </c>
      <c r="F2624" s="5">
        <f>[1]Raw_Data!F2622</f>
        <v>5841.97</v>
      </c>
      <c r="G2624" s="4">
        <f>[1]Raw_Data!G2622</f>
        <v>0.01</v>
      </c>
      <c r="H2624" s="3">
        <f>[1]Raw_Data!H2622</f>
        <v>2</v>
      </c>
      <c r="I2624" s="3" t="str">
        <f>TRIM([1]Raw_Data!I2622)</f>
        <v>UK</v>
      </c>
      <c r="J2624" s="3" t="str">
        <f>TRIM([1]Raw_Data!J2622)</f>
        <v>Amazon</v>
      </c>
      <c r="K2624" s="3">
        <f t="shared" si="160"/>
        <v>2023</v>
      </c>
      <c r="L2624" s="6">
        <f t="shared" si="161"/>
        <v>44958</v>
      </c>
      <c r="M2624" s="3" t="str">
        <f t="shared" si="162"/>
        <v>0% to 5%</v>
      </c>
      <c r="N2624" s="3" t="str">
        <f t="shared" si="163"/>
        <v>OK</v>
      </c>
    </row>
    <row r="2625" spans="1:14" x14ac:dyDescent="0.3">
      <c r="A2625" s="2">
        <f>DATE(VALUE(RIGHT(TRIM([1]Raw_Data!A2623),4)),VALUE(MID(TRIM([1]Raw_Data!A2623),4,2)),VALUE(LEFT(TRIM([1]Raw_Data!A2623),2)))</f>
        <v>44977</v>
      </c>
      <c r="B2625" s="3" t="str">
        <f>TRIM([1]Raw_Data!B2623)</f>
        <v>Green Tea Extract</v>
      </c>
      <c r="C2625" s="3" t="str">
        <f>TRIM([1]Raw_Data!C2623)</f>
        <v>Fat Burner</v>
      </c>
      <c r="D2625" s="3">
        <f>[1]Raw_Data!D2623</f>
        <v>124</v>
      </c>
      <c r="E2625" s="4">
        <f>[1]Raw_Data!E2623</f>
        <v>44.25</v>
      </c>
      <c r="F2625" s="5">
        <f>[1]Raw_Data!F2623</f>
        <v>5487</v>
      </c>
      <c r="G2625" s="4">
        <f>[1]Raw_Data!G2623</f>
        <v>0.05</v>
      </c>
      <c r="H2625" s="3">
        <f>[1]Raw_Data!H2623</f>
        <v>2</v>
      </c>
      <c r="I2625" s="3" t="str">
        <f>TRIM([1]Raw_Data!I2623)</f>
        <v>Canada</v>
      </c>
      <c r="J2625" s="3" t="str">
        <f>TRIM([1]Raw_Data!J2623)</f>
        <v>iHerb</v>
      </c>
      <c r="K2625" s="3">
        <f t="shared" si="160"/>
        <v>2023</v>
      </c>
      <c r="L2625" s="6">
        <f t="shared" si="161"/>
        <v>44958</v>
      </c>
      <c r="M2625" s="3" t="str">
        <f t="shared" si="162"/>
        <v>0% to 5%</v>
      </c>
      <c r="N2625" s="3" t="str">
        <f t="shared" si="163"/>
        <v>OK</v>
      </c>
    </row>
    <row r="2626" spans="1:14" x14ac:dyDescent="0.3">
      <c r="A2626" s="2">
        <f>DATE(VALUE(RIGHT(TRIM([1]Raw_Data!A2624),4)),VALUE(MID(TRIM([1]Raw_Data!A2624),4,2)),VALUE(LEFT(TRIM([1]Raw_Data!A2624),2)))</f>
        <v>44977</v>
      </c>
      <c r="B2626" s="3" t="str">
        <f>TRIM([1]Raw_Data!B2624)</f>
        <v>Iron Supplement</v>
      </c>
      <c r="C2626" s="3" t="str">
        <f>TRIM([1]Raw_Data!C2624)</f>
        <v>Mineral</v>
      </c>
      <c r="D2626" s="3">
        <f>[1]Raw_Data!D2624</f>
        <v>170</v>
      </c>
      <c r="E2626" s="4">
        <f>[1]Raw_Data!E2624</f>
        <v>25.26</v>
      </c>
      <c r="F2626" s="5">
        <f>[1]Raw_Data!F2624</f>
        <v>4294.2</v>
      </c>
      <c r="G2626" s="4">
        <f>[1]Raw_Data!G2624</f>
        <v>0.15</v>
      </c>
      <c r="H2626" s="3">
        <f>[1]Raw_Data!H2624</f>
        <v>4</v>
      </c>
      <c r="I2626" s="3" t="str">
        <f>TRIM([1]Raw_Data!I2624)</f>
        <v>UK</v>
      </c>
      <c r="J2626" s="3" t="str">
        <f>TRIM([1]Raw_Data!J2624)</f>
        <v>Walmart</v>
      </c>
      <c r="K2626" s="3">
        <f t="shared" si="160"/>
        <v>2023</v>
      </c>
      <c r="L2626" s="6">
        <f t="shared" si="161"/>
        <v>44958</v>
      </c>
      <c r="M2626" s="3" t="str">
        <f t="shared" si="162"/>
        <v>11% to 15%</v>
      </c>
      <c r="N2626" s="3" t="str">
        <f t="shared" si="163"/>
        <v>OK</v>
      </c>
    </row>
    <row r="2627" spans="1:14" x14ac:dyDescent="0.3">
      <c r="A2627" s="2">
        <f>DATE(VALUE(RIGHT(TRIM([1]Raw_Data!A2625),4)),VALUE(MID(TRIM([1]Raw_Data!A2625),4,2)),VALUE(LEFT(TRIM([1]Raw_Data!A2625),2)))</f>
        <v>44977</v>
      </c>
      <c r="B2627" s="3" t="str">
        <f>TRIM([1]Raw_Data!B2625)</f>
        <v>Electrolyte Powder</v>
      </c>
      <c r="C2627" s="3" t="str">
        <f>TRIM([1]Raw_Data!C2625)</f>
        <v>Hydration</v>
      </c>
      <c r="D2627" s="3">
        <f>[1]Raw_Data!D2625</f>
        <v>143</v>
      </c>
      <c r="E2627" s="4">
        <f>[1]Raw_Data!E2625</f>
        <v>10.47</v>
      </c>
      <c r="F2627" s="5">
        <f>[1]Raw_Data!F2625</f>
        <v>1497.21</v>
      </c>
      <c r="G2627" s="4">
        <f>[1]Raw_Data!G2625</f>
        <v>0</v>
      </c>
      <c r="H2627" s="3">
        <f>[1]Raw_Data!H2625</f>
        <v>2</v>
      </c>
      <c r="I2627" s="3" t="str">
        <f>TRIM([1]Raw_Data!I2625)</f>
        <v>USA</v>
      </c>
      <c r="J2627" s="3" t="str">
        <f>TRIM([1]Raw_Data!J2625)</f>
        <v>Walmart</v>
      </c>
      <c r="K2627" s="3">
        <f t="shared" si="160"/>
        <v>2023</v>
      </c>
      <c r="L2627" s="6">
        <f t="shared" si="161"/>
        <v>44958</v>
      </c>
      <c r="M2627" s="3" t="str">
        <f t="shared" si="162"/>
        <v>0% to 5%</v>
      </c>
      <c r="N2627" s="3" t="str">
        <f t="shared" si="163"/>
        <v>OK</v>
      </c>
    </row>
    <row r="2628" spans="1:14" x14ac:dyDescent="0.3">
      <c r="A2628" s="2">
        <f>DATE(VALUE(RIGHT(TRIM([1]Raw_Data!A2626),4)),VALUE(MID(TRIM([1]Raw_Data!A2626),4,2)),VALUE(LEFT(TRIM([1]Raw_Data!A2626),2)))</f>
        <v>44984</v>
      </c>
      <c r="B2628" s="3" t="str">
        <f>TRIM([1]Raw_Data!B2626)</f>
        <v>Whey Protein</v>
      </c>
      <c r="C2628" s="3" t="str">
        <f>TRIM([1]Raw_Data!C2626)</f>
        <v>Protein</v>
      </c>
      <c r="D2628" s="3">
        <f>[1]Raw_Data!D2626</f>
        <v>160</v>
      </c>
      <c r="E2628" s="4">
        <f>[1]Raw_Data!E2626</f>
        <v>56.5</v>
      </c>
      <c r="F2628" s="5">
        <f>[1]Raw_Data!F2626</f>
        <v>9040</v>
      </c>
      <c r="G2628" s="4">
        <f>[1]Raw_Data!G2626</f>
        <v>0.03</v>
      </c>
      <c r="H2628" s="3">
        <f>[1]Raw_Data!H2626</f>
        <v>1</v>
      </c>
      <c r="I2628" s="3" t="str">
        <f>TRIM([1]Raw_Data!I2626)</f>
        <v>USA</v>
      </c>
      <c r="J2628" s="3" t="str">
        <f>TRIM([1]Raw_Data!J2626)</f>
        <v>Walmart</v>
      </c>
      <c r="K2628" s="3">
        <f t="shared" ref="K2628:K2691" si="164">YEAR(A2628)</f>
        <v>2023</v>
      </c>
      <c r="L2628" s="6">
        <f t="shared" ref="L2628:L2691" si="165">DATE(YEAR(A2628),MONTH(A2628),1)</f>
        <v>44958</v>
      </c>
      <c r="M2628" s="3" t="str">
        <f t="shared" ref="M2628:M2691" si="166">IF(ROUND(G2628*100,0)&lt;=5,"0% to 5%",IF(ROUND(G2628*100,0)&lt;=10,"6% to 10%",IF(ROUND(G2628*100,0)&lt;=15,"11% to 15%",IF(ROUND(G2628*100,0)&lt;=20,"16% to 20%","21% to 25%"))))</f>
        <v>0% to 5%</v>
      </c>
      <c r="N2628" s="3" t="str">
        <f t="shared" ref="N2628:N2691" si="167">IF(ROUND(D2628*E2628,2)=ROUND(F2628,2),"OK","Check")</f>
        <v>OK</v>
      </c>
    </row>
    <row r="2629" spans="1:14" x14ac:dyDescent="0.3">
      <c r="A2629" s="2">
        <f>DATE(VALUE(RIGHT(TRIM([1]Raw_Data!A2627),4)),VALUE(MID(TRIM([1]Raw_Data!A2627),4,2)),VALUE(LEFT(TRIM([1]Raw_Data!A2627),2)))</f>
        <v>44984</v>
      </c>
      <c r="B2629" s="3" t="str">
        <f>TRIM([1]Raw_Data!B2627)</f>
        <v>Vitamin C</v>
      </c>
      <c r="C2629" s="3" t="str">
        <f>TRIM([1]Raw_Data!C2627)</f>
        <v>Vitamin</v>
      </c>
      <c r="D2629" s="3">
        <f>[1]Raw_Data!D2627</f>
        <v>169</v>
      </c>
      <c r="E2629" s="4">
        <f>[1]Raw_Data!E2627</f>
        <v>44.11</v>
      </c>
      <c r="F2629" s="5">
        <f>[1]Raw_Data!F2627</f>
        <v>7454.59</v>
      </c>
      <c r="G2629" s="4">
        <f>[1]Raw_Data!G2627</f>
        <v>0.13</v>
      </c>
      <c r="H2629" s="3">
        <f>[1]Raw_Data!H2627</f>
        <v>0</v>
      </c>
      <c r="I2629" s="3" t="str">
        <f>TRIM([1]Raw_Data!I2627)</f>
        <v>UK</v>
      </c>
      <c r="J2629" s="3" t="str">
        <f>TRIM([1]Raw_Data!J2627)</f>
        <v>iHerb</v>
      </c>
      <c r="K2629" s="3">
        <f t="shared" si="164"/>
        <v>2023</v>
      </c>
      <c r="L2629" s="6">
        <f t="shared" si="165"/>
        <v>44958</v>
      </c>
      <c r="M2629" s="3" t="str">
        <f t="shared" si="166"/>
        <v>11% to 15%</v>
      </c>
      <c r="N2629" s="3" t="str">
        <f t="shared" si="167"/>
        <v>OK</v>
      </c>
    </row>
    <row r="2630" spans="1:14" x14ac:dyDescent="0.3">
      <c r="A2630" s="2">
        <f>DATE(VALUE(RIGHT(TRIM([1]Raw_Data!A2628),4)),VALUE(MID(TRIM([1]Raw_Data!A2628),4,2)),VALUE(LEFT(TRIM([1]Raw_Data!A2628),2)))</f>
        <v>44984</v>
      </c>
      <c r="B2630" s="3" t="str">
        <f>TRIM([1]Raw_Data!B2628)</f>
        <v>Fish Oil</v>
      </c>
      <c r="C2630" s="3" t="str">
        <f>TRIM([1]Raw_Data!C2628)</f>
        <v>Omega</v>
      </c>
      <c r="D2630" s="3">
        <f>[1]Raw_Data!D2628</f>
        <v>142</v>
      </c>
      <c r="E2630" s="4">
        <f>[1]Raw_Data!E2628</f>
        <v>52.62</v>
      </c>
      <c r="F2630" s="5">
        <f>[1]Raw_Data!F2628</f>
        <v>7472.04</v>
      </c>
      <c r="G2630" s="4">
        <f>[1]Raw_Data!G2628</f>
        <v>0.18</v>
      </c>
      <c r="H2630" s="3">
        <f>[1]Raw_Data!H2628</f>
        <v>2</v>
      </c>
      <c r="I2630" s="3" t="str">
        <f>TRIM([1]Raw_Data!I2628)</f>
        <v>UK</v>
      </c>
      <c r="J2630" s="3" t="str">
        <f>TRIM([1]Raw_Data!J2628)</f>
        <v>Amazon</v>
      </c>
      <c r="K2630" s="3">
        <f t="shared" si="164"/>
        <v>2023</v>
      </c>
      <c r="L2630" s="6">
        <f t="shared" si="165"/>
        <v>44958</v>
      </c>
      <c r="M2630" s="3" t="str">
        <f t="shared" si="166"/>
        <v>16% to 20%</v>
      </c>
      <c r="N2630" s="3" t="str">
        <f t="shared" si="167"/>
        <v>OK</v>
      </c>
    </row>
    <row r="2631" spans="1:14" x14ac:dyDescent="0.3">
      <c r="A2631" s="2">
        <f>DATE(VALUE(RIGHT(TRIM([1]Raw_Data!A2629),4)),VALUE(MID(TRIM([1]Raw_Data!A2629),4,2)),VALUE(LEFT(TRIM([1]Raw_Data!A2629),2)))</f>
        <v>44984</v>
      </c>
      <c r="B2631" s="3" t="str">
        <f>TRIM([1]Raw_Data!B2629)</f>
        <v>Multivitamin</v>
      </c>
      <c r="C2631" s="3" t="str">
        <f>TRIM([1]Raw_Data!C2629)</f>
        <v>Vitamin</v>
      </c>
      <c r="D2631" s="3">
        <f>[1]Raw_Data!D2629</f>
        <v>150</v>
      </c>
      <c r="E2631" s="4">
        <f>[1]Raw_Data!E2629</f>
        <v>15.96</v>
      </c>
      <c r="F2631" s="5">
        <f>[1]Raw_Data!F2629</f>
        <v>2394</v>
      </c>
      <c r="G2631" s="4">
        <f>[1]Raw_Data!G2629</f>
        <v>0.1</v>
      </c>
      <c r="H2631" s="3">
        <f>[1]Raw_Data!H2629</f>
        <v>0</v>
      </c>
      <c r="I2631" s="3" t="str">
        <f>TRIM([1]Raw_Data!I2629)</f>
        <v>Canada</v>
      </c>
      <c r="J2631" s="3" t="str">
        <f>TRIM([1]Raw_Data!J2629)</f>
        <v>Amazon</v>
      </c>
      <c r="K2631" s="3">
        <f t="shared" si="164"/>
        <v>2023</v>
      </c>
      <c r="L2631" s="6">
        <f t="shared" si="165"/>
        <v>44958</v>
      </c>
      <c r="M2631" s="3" t="str">
        <f t="shared" si="166"/>
        <v>6% to 10%</v>
      </c>
      <c r="N2631" s="3" t="str">
        <f t="shared" si="167"/>
        <v>OK</v>
      </c>
    </row>
    <row r="2632" spans="1:14" x14ac:dyDescent="0.3">
      <c r="A2632" s="2">
        <f>DATE(VALUE(RIGHT(TRIM([1]Raw_Data!A2630),4)),VALUE(MID(TRIM([1]Raw_Data!A2630),4,2)),VALUE(LEFT(TRIM([1]Raw_Data!A2630),2)))</f>
        <v>44984</v>
      </c>
      <c r="B2632" s="3" t="str">
        <f>TRIM([1]Raw_Data!B2630)</f>
        <v>Pre-Workout</v>
      </c>
      <c r="C2632" s="3" t="str">
        <f>TRIM([1]Raw_Data!C2630)</f>
        <v>Performance</v>
      </c>
      <c r="D2632" s="3">
        <f>[1]Raw_Data!D2630</f>
        <v>139</v>
      </c>
      <c r="E2632" s="4">
        <f>[1]Raw_Data!E2630</f>
        <v>30.93</v>
      </c>
      <c r="F2632" s="5">
        <f>[1]Raw_Data!F2630</f>
        <v>4299.2700000000004</v>
      </c>
      <c r="G2632" s="4">
        <f>[1]Raw_Data!G2630</f>
        <v>0.01</v>
      </c>
      <c r="H2632" s="3">
        <f>[1]Raw_Data!H2630</f>
        <v>1</v>
      </c>
      <c r="I2632" s="3" t="str">
        <f>TRIM([1]Raw_Data!I2630)</f>
        <v>Canada</v>
      </c>
      <c r="J2632" s="3" t="str">
        <f>TRIM([1]Raw_Data!J2630)</f>
        <v>iHerb</v>
      </c>
      <c r="K2632" s="3">
        <f t="shared" si="164"/>
        <v>2023</v>
      </c>
      <c r="L2632" s="6">
        <f t="shared" si="165"/>
        <v>44958</v>
      </c>
      <c r="M2632" s="3" t="str">
        <f t="shared" si="166"/>
        <v>0% to 5%</v>
      </c>
      <c r="N2632" s="3" t="str">
        <f t="shared" si="167"/>
        <v>OK</v>
      </c>
    </row>
    <row r="2633" spans="1:14" x14ac:dyDescent="0.3">
      <c r="A2633" s="2">
        <f>DATE(VALUE(RIGHT(TRIM([1]Raw_Data!A2631),4)),VALUE(MID(TRIM([1]Raw_Data!A2631),4,2)),VALUE(LEFT(TRIM([1]Raw_Data!A2631),2)))</f>
        <v>44984</v>
      </c>
      <c r="B2633" s="3" t="str">
        <f>TRIM([1]Raw_Data!B2631)</f>
        <v>BCAA</v>
      </c>
      <c r="C2633" s="3" t="str">
        <f>TRIM([1]Raw_Data!C2631)</f>
        <v>Amino Acid</v>
      </c>
      <c r="D2633" s="3">
        <f>[1]Raw_Data!D2631</f>
        <v>152</v>
      </c>
      <c r="E2633" s="4">
        <f>[1]Raw_Data!E2631</f>
        <v>57.16</v>
      </c>
      <c r="F2633" s="5">
        <f>[1]Raw_Data!F2631</f>
        <v>8688.32</v>
      </c>
      <c r="G2633" s="4">
        <f>[1]Raw_Data!G2631</f>
        <v>0.02</v>
      </c>
      <c r="H2633" s="3">
        <f>[1]Raw_Data!H2631</f>
        <v>3</v>
      </c>
      <c r="I2633" s="3" t="str">
        <f>TRIM([1]Raw_Data!I2631)</f>
        <v>USA</v>
      </c>
      <c r="J2633" s="3" t="str">
        <f>TRIM([1]Raw_Data!J2631)</f>
        <v>Walmart</v>
      </c>
      <c r="K2633" s="3">
        <f t="shared" si="164"/>
        <v>2023</v>
      </c>
      <c r="L2633" s="6">
        <f t="shared" si="165"/>
        <v>44958</v>
      </c>
      <c r="M2633" s="3" t="str">
        <f t="shared" si="166"/>
        <v>0% to 5%</v>
      </c>
      <c r="N2633" s="3" t="str">
        <f t="shared" si="167"/>
        <v>OK</v>
      </c>
    </row>
    <row r="2634" spans="1:14" x14ac:dyDescent="0.3">
      <c r="A2634" s="2">
        <f>DATE(VALUE(RIGHT(TRIM([1]Raw_Data!A2632),4)),VALUE(MID(TRIM([1]Raw_Data!A2632),4,2)),VALUE(LEFT(TRIM([1]Raw_Data!A2632),2)))</f>
        <v>44984</v>
      </c>
      <c r="B2634" s="3" t="str">
        <f>TRIM([1]Raw_Data!B2632)</f>
        <v>Creatine</v>
      </c>
      <c r="C2634" s="3" t="str">
        <f>TRIM([1]Raw_Data!C2632)</f>
        <v>Performance</v>
      </c>
      <c r="D2634" s="3">
        <f>[1]Raw_Data!D2632</f>
        <v>145</v>
      </c>
      <c r="E2634" s="4">
        <f>[1]Raw_Data!E2632</f>
        <v>30.09</v>
      </c>
      <c r="F2634" s="5">
        <f>[1]Raw_Data!F2632</f>
        <v>4363.05</v>
      </c>
      <c r="G2634" s="4">
        <f>[1]Raw_Data!G2632</f>
        <v>0.02</v>
      </c>
      <c r="H2634" s="3">
        <f>[1]Raw_Data!H2632</f>
        <v>2</v>
      </c>
      <c r="I2634" s="3" t="str">
        <f>TRIM([1]Raw_Data!I2632)</f>
        <v>UK</v>
      </c>
      <c r="J2634" s="3" t="str">
        <f>TRIM([1]Raw_Data!J2632)</f>
        <v>Amazon</v>
      </c>
      <c r="K2634" s="3">
        <f t="shared" si="164"/>
        <v>2023</v>
      </c>
      <c r="L2634" s="6">
        <f t="shared" si="165"/>
        <v>44958</v>
      </c>
      <c r="M2634" s="3" t="str">
        <f t="shared" si="166"/>
        <v>0% to 5%</v>
      </c>
      <c r="N2634" s="3" t="str">
        <f t="shared" si="167"/>
        <v>OK</v>
      </c>
    </row>
    <row r="2635" spans="1:14" x14ac:dyDescent="0.3">
      <c r="A2635" s="2">
        <f>DATE(VALUE(RIGHT(TRIM([1]Raw_Data!A2633),4)),VALUE(MID(TRIM([1]Raw_Data!A2633),4,2)),VALUE(LEFT(TRIM([1]Raw_Data!A2633),2)))</f>
        <v>44984</v>
      </c>
      <c r="B2635" s="3" t="str">
        <f>TRIM([1]Raw_Data!B2633)</f>
        <v>Zinc</v>
      </c>
      <c r="C2635" s="3" t="str">
        <f>TRIM([1]Raw_Data!C2633)</f>
        <v>Mineral</v>
      </c>
      <c r="D2635" s="3">
        <f>[1]Raw_Data!D2633</f>
        <v>123</v>
      </c>
      <c r="E2635" s="4">
        <f>[1]Raw_Data!E2633</f>
        <v>46.15</v>
      </c>
      <c r="F2635" s="5">
        <f>[1]Raw_Data!F2633</f>
        <v>5676.45</v>
      </c>
      <c r="G2635" s="4">
        <f>[1]Raw_Data!G2633</f>
        <v>0.1</v>
      </c>
      <c r="H2635" s="3">
        <f>[1]Raw_Data!H2633</f>
        <v>0</v>
      </c>
      <c r="I2635" s="3" t="str">
        <f>TRIM([1]Raw_Data!I2633)</f>
        <v>USA</v>
      </c>
      <c r="J2635" s="3" t="str">
        <f>TRIM([1]Raw_Data!J2633)</f>
        <v>iHerb</v>
      </c>
      <c r="K2635" s="3">
        <f t="shared" si="164"/>
        <v>2023</v>
      </c>
      <c r="L2635" s="6">
        <f t="shared" si="165"/>
        <v>44958</v>
      </c>
      <c r="M2635" s="3" t="str">
        <f t="shared" si="166"/>
        <v>6% to 10%</v>
      </c>
      <c r="N2635" s="3" t="str">
        <f t="shared" si="167"/>
        <v>OK</v>
      </c>
    </row>
    <row r="2636" spans="1:14" x14ac:dyDescent="0.3">
      <c r="A2636" s="2">
        <f>DATE(VALUE(RIGHT(TRIM([1]Raw_Data!A2634),4)),VALUE(MID(TRIM([1]Raw_Data!A2634),4,2)),VALUE(LEFT(TRIM([1]Raw_Data!A2634),2)))</f>
        <v>44984</v>
      </c>
      <c r="B2636" s="3" t="str">
        <f>TRIM([1]Raw_Data!B2634)</f>
        <v>Collagen Peptides</v>
      </c>
      <c r="C2636" s="3" t="str">
        <f>TRIM([1]Raw_Data!C2634)</f>
        <v>Protein</v>
      </c>
      <c r="D2636" s="3">
        <f>[1]Raw_Data!D2634</f>
        <v>160</v>
      </c>
      <c r="E2636" s="4">
        <f>[1]Raw_Data!E2634</f>
        <v>56.13</v>
      </c>
      <c r="F2636" s="5">
        <f>[1]Raw_Data!F2634</f>
        <v>8980.7999999999993</v>
      </c>
      <c r="G2636" s="4">
        <f>[1]Raw_Data!G2634</f>
        <v>0.09</v>
      </c>
      <c r="H2636" s="3">
        <f>[1]Raw_Data!H2634</f>
        <v>1</v>
      </c>
      <c r="I2636" s="3" t="str">
        <f>TRIM([1]Raw_Data!I2634)</f>
        <v>USA</v>
      </c>
      <c r="J2636" s="3" t="str">
        <f>TRIM([1]Raw_Data!J2634)</f>
        <v>iHerb</v>
      </c>
      <c r="K2636" s="3">
        <f t="shared" si="164"/>
        <v>2023</v>
      </c>
      <c r="L2636" s="6">
        <f t="shared" si="165"/>
        <v>44958</v>
      </c>
      <c r="M2636" s="3" t="str">
        <f t="shared" si="166"/>
        <v>6% to 10%</v>
      </c>
      <c r="N2636" s="3" t="str">
        <f t="shared" si="167"/>
        <v>OK</v>
      </c>
    </row>
    <row r="2637" spans="1:14" x14ac:dyDescent="0.3">
      <c r="A2637" s="2">
        <f>DATE(VALUE(RIGHT(TRIM([1]Raw_Data!A2635),4)),VALUE(MID(TRIM([1]Raw_Data!A2635),4,2)),VALUE(LEFT(TRIM([1]Raw_Data!A2635),2)))</f>
        <v>44984</v>
      </c>
      <c r="B2637" s="3" t="str">
        <f>TRIM([1]Raw_Data!B2635)</f>
        <v>Magnesium</v>
      </c>
      <c r="C2637" s="3" t="str">
        <f>TRIM([1]Raw_Data!C2635)</f>
        <v>Mineral</v>
      </c>
      <c r="D2637" s="3">
        <f>[1]Raw_Data!D2635</f>
        <v>145</v>
      </c>
      <c r="E2637" s="4">
        <f>[1]Raw_Data!E2635</f>
        <v>47.55</v>
      </c>
      <c r="F2637" s="5">
        <f>[1]Raw_Data!F2635</f>
        <v>6894.75</v>
      </c>
      <c r="G2637" s="4">
        <f>[1]Raw_Data!G2635</f>
        <v>0.08</v>
      </c>
      <c r="H2637" s="3">
        <f>[1]Raw_Data!H2635</f>
        <v>1</v>
      </c>
      <c r="I2637" s="3" t="str">
        <f>TRIM([1]Raw_Data!I2635)</f>
        <v>UK</v>
      </c>
      <c r="J2637" s="3" t="str">
        <f>TRIM([1]Raw_Data!J2635)</f>
        <v>iHerb</v>
      </c>
      <c r="K2637" s="3">
        <f t="shared" si="164"/>
        <v>2023</v>
      </c>
      <c r="L2637" s="6">
        <f t="shared" si="165"/>
        <v>44958</v>
      </c>
      <c r="M2637" s="3" t="str">
        <f t="shared" si="166"/>
        <v>6% to 10%</v>
      </c>
      <c r="N2637" s="3" t="str">
        <f t="shared" si="167"/>
        <v>OK</v>
      </c>
    </row>
    <row r="2638" spans="1:14" x14ac:dyDescent="0.3">
      <c r="A2638" s="2">
        <f>DATE(VALUE(RIGHT(TRIM([1]Raw_Data!A2636),4)),VALUE(MID(TRIM([1]Raw_Data!A2636),4,2)),VALUE(LEFT(TRIM([1]Raw_Data!A2636),2)))</f>
        <v>44984</v>
      </c>
      <c r="B2638" s="3" t="str">
        <f>TRIM([1]Raw_Data!B2636)</f>
        <v>Ashwagandha</v>
      </c>
      <c r="C2638" s="3" t="str">
        <f>TRIM([1]Raw_Data!C2636)</f>
        <v>Herbal</v>
      </c>
      <c r="D2638" s="3">
        <f>[1]Raw_Data!D2636</f>
        <v>147</v>
      </c>
      <c r="E2638" s="4">
        <f>[1]Raw_Data!E2636</f>
        <v>55.89</v>
      </c>
      <c r="F2638" s="5">
        <f>[1]Raw_Data!F2636</f>
        <v>8215.83</v>
      </c>
      <c r="G2638" s="4">
        <f>[1]Raw_Data!G2636</f>
        <v>0.17</v>
      </c>
      <c r="H2638" s="3">
        <f>[1]Raw_Data!H2636</f>
        <v>1</v>
      </c>
      <c r="I2638" s="3" t="str">
        <f>TRIM([1]Raw_Data!I2636)</f>
        <v>Canada</v>
      </c>
      <c r="J2638" s="3" t="str">
        <f>TRIM([1]Raw_Data!J2636)</f>
        <v>Walmart</v>
      </c>
      <c r="K2638" s="3">
        <f t="shared" si="164"/>
        <v>2023</v>
      </c>
      <c r="L2638" s="6">
        <f t="shared" si="165"/>
        <v>44958</v>
      </c>
      <c r="M2638" s="3" t="str">
        <f t="shared" si="166"/>
        <v>16% to 20%</v>
      </c>
      <c r="N2638" s="3" t="str">
        <f t="shared" si="167"/>
        <v>OK</v>
      </c>
    </row>
    <row r="2639" spans="1:14" x14ac:dyDescent="0.3">
      <c r="A2639" s="2">
        <f>DATE(VALUE(RIGHT(TRIM([1]Raw_Data!A2637),4)),VALUE(MID(TRIM([1]Raw_Data!A2637),4,2)),VALUE(LEFT(TRIM([1]Raw_Data!A2637),2)))</f>
        <v>44984</v>
      </c>
      <c r="B2639" s="3" t="str">
        <f>TRIM([1]Raw_Data!B2637)</f>
        <v>Melatonin</v>
      </c>
      <c r="C2639" s="3" t="str">
        <f>TRIM([1]Raw_Data!C2637)</f>
        <v>Sleep Aid</v>
      </c>
      <c r="D2639" s="3">
        <f>[1]Raw_Data!D2637</f>
        <v>161</v>
      </c>
      <c r="E2639" s="4">
        <f>[1]Raw_Data!E2637</f>
        <v>13.03</v>
      </c>
      <c r="F2639" s="5">
        <f>[1]Raw_Data!F2637</f>
        <v>2097.83</v>
      </c>
      <c r="G2639" s="4">
        <f>[1]Raw_Data!G2637</f>
        <v>0.02</v>
      </c>
      <c r="H2639" s="3">
        <f>[1]Raw_Data!H2637</f>
        <v>0</v>
      </c>
      <c r="I2639" s="3" t="str">
        <f>TRIM([1]Raw_Data!I2637)</f>
        <v>UK</v>
      </c>
      <c r="J2639" s="3" t="str">
        <f>TRIM([1]Raw_Data!J2637)</f>
        <v>Amazon</v>
      </c>
      <c r="K2639" s="3">
        <f t="shared" si="164"/>
        <v>2023</v>
      </c>
      <c r="L2639" s="6">
        <f t="shared" si="165"/>
        <v>44958</v>
      </c>
      <c r="M2639" s="3" t="str">
        <f t="shared" si="166"/>
        <v>0% to 5%</v>
      </c>
      <c r="N2639" s="3" t="str">
        <f t="shared" si="167"/>
        <v>OK</v>
      </c>
    </row>
    <row r="2640" spans="1:14" x14ac:dyDescent="0.3">
      <c r="A2640" s="2">
        <f>DATE(VALUE(RIGHT(TRIM([1]Raw_Data!A2638),4)),VALUE(MID(TRIM([1]Raw_Data!A2638),4,2)),VALUE(LEFT(TRIM([1]Raw_Data!A2638),2)))</f>
        <v>44984</v>
      </c>
      <c r="B2640" s="3" t="str">
        <f>TRIM([1]Raw_Data!B2638)</f>
        <v>Biotin</v>
      </c>
      <c r="C2640" s="3" t="str">
        <f>TRIM([1]Raw_Data!C2638)</f>
        <v>Vitamin</v>
      </c>
      <c r="D2640" s="3">
        <f>[1]Raw_Data!D2638</f>
        <v>148</v>
      </c>
      <c r="E2640" s="4">
        <f>[1]Raw_Data!E2638</f>
        <v>25.65</v>
      </c>
      <c r="F2640" s="5">
        <f>[1]Raw_Data!F2638</f>
        <v>3796.2</v>
      </c>
      <c r="G2640" s="4">
        <f>[1]Raw_Data!G2638</f>
        <v>0.1</v>
      </c>
      <c r="H2640" s="3">
        <f>[1]Raw_Data!H2638</f>
        <v>3</v>
      </c>
      <c r="I2640" s="3" t="str">
        <f>TRIM([1]Raw_Data!I2638)</f>
        <v>Canada</v>
      </c>
      <c r="J2640" s="3" t="str">
        <f>TRIM([1]Raw_Data!J2638)</f>
        <v>Walmart</v>
      </c>
      <c r="K2640" s="3">
        <f t="shared" si="164"/>
        <v>2023</v>
      </c>
      <c r="L2640" s="6">
        <f t="shared" si="165"/>
        <v>44958</v>
      </c>
      <c r="M2640" s="3" t="str">
        <f t="shared" si="166"/>
        <v>6% to 10%</v>
      </c>
      <c r="N2640" s="3" t="str">
        <f t="shared" si="167"/>
        <v>OK</v>
      </c>
    </row>
    <row r="2641" spans="1:14" x14ac:dyDescent="0.3">
      <c r="A2641" s="2">
        <f>DATE(VALUE(RIGHT(TRIM([1]Raw_Data!A2639),4)),VALUE(MID(TRIM([1]Raw_Data!A2639),4,2)),VALUE(LEFT(TRIM([1]Raw_Data!A2639),2)))</f>
        <v>44984</v>
      </c>
      <c r="B2641" s="3" t="str">
        <f>TRIM([1]Raw_Data!B2639)</f>
        <v>Green Tea Extract</v>
      </c>
      <c r="C2641" s="3" t="str">
        <f>TRIM([1]Raw_Data!C2639)</f>
        <v>Fat Burner</v>
      </c>
      <c r="D2641" s="3">
        <f>[1]Raw_Data!D2639</f>
        <v>164</v>
      </c>
      <c r="E2641" s="4">
        <f>[1]Raw_Data!E2639</f>
        <v>23.34</v>
      </c>
      <c r="F2641" s="5">
        <f>[1]Raw_Data!F2639</f>
        <v>3827.76</v>
      </c>
      <c r="G2641" s="4">
        <f>[1]Raw_Data!G2639</f>
        <v>0.03</v>
      </c>
      <c r="H2641" s="3">
        <f>[1]Raw_Data!H2639</f>
        <v>0</v>
      </c>
      <c r="I2641" s="3" t="str">
        <f>TRIM([1]Raw_Data!I2639)</f>
        <v>Canada</v>
      </c>
      <c r="J2641" s="3" t="str">
        <f>TRIM([1]Raw_Data!J2639)</f>
        <v>Walmart</v>
      </c>
      <c r="K2641" s="3">
        <f t="shared" si="164"/>
        <v>2023</v>
      </c>
      <c r="L2641" s="6">
        <f t="shared" si="165"/>
        <v>44958</v>
      </c>
      <c r="M2641" s="3" t="str">
        <f t="shared" si="166"/>
        <v>0% to 5%</v>
      </c>
      <c r="N2641" s="3" t="str">
        <f t="shared" si="167"/>
        <v>OK</v>
      </c>
    </row>
    <row r="2642" spans="1:14" x14ac:dyDescent="0.3">
      <c r="A2642" s="2">
        <f>DATE(VALUE(RIGHT(TRIM([1]Raw_Data!A2640),4)),VALUE(MID(TRIM([1]Raw_Data!A2640),4,2)),VALUE(LEFT(TRIM([1]Raw_Data!A2640),2)))</f>
        <v>44984</v>
      </c>
      <c r="B2642" s="3" t="str">
        <f>TRIM([1]Raw_Data!B2640)</f>
        <v>Iron Supplement</v>
      </c>
      <c r="C2642" s="3" t="str">
        <f>TRIM([1]Raw_Data!C2640)</f>
        <v>Mineral</v>
      </c>
      <c r="D2642" s="3">
        <f>[1]Raw_Data!D2640</f>
        <v>132</v>
      </c>
      <c r="E2642" s="4">
        <f>[1]Raw_Data!E2640</f>
        <v>37.590000000000003</v>
      </c>
      <c r="F2642" s="5">
        <f>[1]Raw_Data!F2640</f>
        <v>4961.88</v>
      </c>
      <c r="G2642" s="4">
        <f>[1]Raw_Data!G2640</f>
        <v>0.02</v>
      </c>
      <c r="H2642" s="3">
        <f>[1]Raw_Data!H2640</f>
        <v>0</v>
      </c>
      <c r="I2642" s="3" t="str">
        <f>TRIM([1]Raw_Data!I2640)</f>
        <v>Canada</v>
      </c>
      <c r="J2642" s="3" t="str">
        <f>TRIM([1]Raw_Data!J2640)</f>
        <v>Amazon</v>
      </c>
      <c r="K2642" s="3">
        <f t="shared" si="164"/>
        <v>2023</v>
      </c>
      <c r="L2642" s="6">
        <f t="shared" si="165"/>
        <v>44958</v>
      </c>
      <c r="M2642" s="3" t="str">
        <f t="shared" si="166"/>
        <v>0% to 5%</v>
      </c>
      <c r="N2642" s="3" t="str">
        <f t="shared" si="167"/>
        <v>OK</v>
      </c>
    </row>
    <row r="2643" spans="1:14" x14ac:dyDescent="0.3">
      <c r="A2643" s="2">
        <f>DATE(VALUE(RIGHT(TRIM([1]Raw_Data!A2641),4)),VALUE(MID(TRIM([1]Raw_Data!A2641),4,2)),VALUE(LEFT(TRIM([1]Raw_Data!A2641),2)))</f>
        <v>44984</v>
      </c>
      <c r="B2643" s="3" t="str">
        <f>TRIM([1]Raw_Data!B2641)</f>
        <v>Electrolyte Powder</v>
      </c>
      <c r="C2643" s="3" t="str">
        <f>TRIM([1]Raw_Data!C2641)</f>
        <v>Hydration</v>
      </c>
      <c r="D2643" s="3">
        <f>[1]Raw_Data!D2641</f>
        <v>137</v>
      </c>
      <c r="E2643" s="4">
        <f>[1]Raw_Data!E2641</f>
        <v>40.79</v>
      </c>
      <c r="F2643" s="5">
        <f>[1]Raw_Data!F2641</f>
        <v>5588.23</v>
      </c>
      <c r="G2643" s="4">
        <f>[1]Raw_Data!G2641</f>
        <v>0.14000000000000001</v>
      </c>
      <c r="H2643" s="3">
        <f>[1]Raw_Data!H2641</f>
        <v>0</v>
      </c>
      <c r="I2643" s="3" t="str">
        <f>TRIM([1]Raw_Data!I2641)</f>
        <v>USA</v>
      </c>
      <c r="J2643" s="3" t="str">
        <f>TRIM([1]Raw_Data!J2641)</f>
        <v>Walmart</v>
      </c>
      <c r="K2643" s="3">
        <f t="shared" si="164"/>
        <v>2023</v>
      </c>
      <c r="L2643" s="6">
        <f t="shared" si="165"/>
        <v>44958</v>
      </c>
      <c r="M2643" s="3" t="str">
        <f t="shared" si="166"/>
        <v>11% to 15%</v>
      </c>
      <c r="N2643" s="3" t="str">
        <f t="shared" si="167"/>
        <v>OK</v>
      </c>
    </row>
    <row r="2644" spans="1:14" x14ac:dyDescent="0.3">
      <c r="A2644" s="2">
        <f>DATE(VALUE(RIGHT(TRIM([1]Raw_Data!A2642),4)),VALUE(MID(TRIM([1]Raw_Data!A2642),4,2)),VALUE(LEFT(TRIM([1]Raw_Data!A2642),2)))</f>
        <v>44991</v>
      </c>
      <c r="B2644" s="3" t="str">
        <f>TRIM([1]Raw_Data!B2642)</f>
        <v>Whey Protein</v>
      </c>
      <c r="C2644" s="3" t="str">
        <f>TRIM([1]Raw_Data!C2642)</f>
        <v>Protein</v>
      </c>
      <c r="D2644" s="3">
        <f>[1]Raw_Data!D2642</f>
        <v>145</v>
      </c>
      <c r="E2644" s="4">
        <f>[1]Raw_Data!E2642</f>
        <v>21.32</v>
      </c>
      <c r="F2644" s="5">
        <f>[1]Raw_Data!F2642</f>
        <v>3091.4</v>
      </c>
      <c r="G2644" s="4">
        <f>[1]Raw_Data!G2642</f>
        <v>0.22</v>
      </c>
      <c r="H2644" s="3">
        <f>[1]Raw_Data!H2642</f>
        <v>4</v>
      </c>
      <c r="I2644" s="3" t="str">
        <f>TRIM([1]Raw_Data!I2642)</f>
        <v>UK</v>
      </c>
      <c r="J2644" s="3" t="str">
        <f>TRIM([1]Raw_Data!J2642)</f>
        <v>iHerb</v>
      </c>
      <c r="K2644" s="3">
        <f t="shared" si="164"/>
        <v>2023</v>
      </c>
      <c r="L2644" s="6">
        <f t="shared" si="165"/>
        <v>44986</v>
      </c>
      <c r="M2644" s="3" t="str">
        <f t="shared" si="166"/>
        <v>21% to 25%</v>
      </c>
      <c r="N2644" s="3" t="str">
        <f t="shared" si="167"/>
        <v>OK</v>
      </c>
    </row>
    <row r="2645" spans="1:14" x14ac:dyDescent="0.3">
      <c r="A2645" s="2">
        <f>DATE(VALUE(RIGHT(TRIM([1]Raw_Data!A2643),4)),VALUE(MID(TRIM([1]Raw_Data!A2643),4,2)),VALUE(LEFT(TRIM([1]Raw_Data!A2643),2)))</f>
        <v>44991</v>
      </c>
      <c r="B2645" s="3" t="str">
        <f>TRIM([1]Raw_Data!B2643)</f>
        <v>Vitamin C</v>
      </c>
      <c r="C2645" s="3" t="str">
        <f>TRIM([1]Raw_Data!C2643)</f>
        <v>Vitamin</v>
      </c>
      <c r="D2645" s="3">
        <f>[1]Raw_Data!D2643</f>
        <v>155</v>
      </c>
      <c r="E2645" s="4">
        <f>[1]Raw_Data!E2643</f>
        <v>42.14</v>
      </c>
      <c r="F2645" s="5">
        <f>[1]Raw_Data!F2643</f>
        <v>6531.7</v>
      </c>
      <c r="G2645" s="4">
        <f>[1]Raw_Data!G2643</f>
        <v>0.01</v>
      </c>
      <c r="H2645" s="3">
        <f>[1]Raw_Data!H2643</f>
        <v>6</v>
      </c>
      <c r="I2645" s="3" t="str">
        <f>TRIM([1]Raw_Data!I2643)</f>
        <v>USA</v>
      </c>
      <c r="J2645" s="3" t="str">
        <f>TRIM([1]Raw_Data!J2643)</f>
        <v>iHerb</v>
      </c>
      <c r="K2645" s="3">
        <f t="shared" si="164"/>
        <v>2023</v>
      </c>
      <c r="L2645" s="6">
        <f t="shared" si="165"/>
        <v>44986</v>
      </c>
      <c r="M2645" s="3" t="str">
        <f t="shared" si="166"/>
        <v>0% to 5%</v>
      </c>
      <c r="N2645" s="3" t="str">
        <f t="shared" si="167"/>
        <v>OK</v>
      </c>
    </row>
    <row r="2646" spans="1:14" x14ac:dyDescent="0.3">
      <c r="A2646" s="2">
        <f>DATE(VALUE(RIGHT(TRIM([1]Raw_Data!A2644),4)),VALUE(MID(TRIM([1]Raw_Data!A2644),4,2)),VALUE(LEFT(TRIM([1]Raw_Data!A2644),2)))</f>
        <v>44991</v>
      </c>
      <c r="B2646" s="3" t="str">
        <f>TRIM([1]Raw_Data!B2644)</f>
        <v>Fish Oil</v>
      </c>
      <c r="C2646" s="3" t="str">
        <f>TRIM([1]Raw_Data!C2644)</f>
        <v>Omega</v>
      </c>
      <c r="D2646" s="3">
        <f>[1]Raw_Data!D2644</f>
        <v>131</v>
      </c>
      <c r="E2646" s="4">
        <f>[1]Raw_Data!E2644</f>
        <v>22.64</v>
      </c>
      <c r="F2646" s="5">
        <f>[1]Raw_Data!F2644</f>
        <v>2965.84</v>
      </c>
      <c r="G2646" s="4">
        <f>[1]Raw_Data!G2644</f>
        <v>0.1</v>
      </c>
      <c r="H2646" s="3">
        <f>[1]Raw_Data!H2644</f>
        <v>2</v>
      </c>
      <c r="I2646" s="3" t="str">
        <f>TRIM([1]Raw_Data!I2644)</f>
        <v>USA</v>
      </c>
      <c r="J2646" s="3" t="str">
        <f>TRIM([1]Raw_Data!J2644)</f>
        <v>iHerb</v>
      </c>
      <c r="K2646" s="3">
        <f t="shared" si="164"/>
        <v>2023</v>
      </c>
      <c r="L2646" s="6">
        <f t="shared" si="165"/>
        <v>44986</v>
      </c>
      <c r="M2646" s="3" t="str">
        <f t="shared" si="166"/>
        <v>6% to 10%</v>
      </c>
      <c r="N2646" s="3" t="str">
        <f t="shared" si="167"/>
        <v>OK</v>
      </c>
    </row>
    <row r="2647" spans="1:14" x14ac:dyDescent="0.3">
      <c r="A2647" s="2">
        <f>DATE(VALUE(RIGHT(TRIM([1]Raw_Data!A2645),4)),VALUE(MID(TRIM([1]Raw_Data!A2645),4,2)),VALUE(LEFT(TRIM([1]Raw_Data!A2645),2)))</f>
        <v>44991</v>
      </c>
      <c r="B2647" s="3" t="str">
        <f>TRIM([1]Raw_Data!B2645)</f>
        <v>Multivitamin</v>
      </c>
      <c r="C2647" s="3" t="str">
        <f>TRIM([1]Raw_Data!C2645)</f>
        <v>Vitamin</v>
      </c>
      <c r="D2647" s="3">
        <f>[1]Raw_Data!D2645</f>
        <v>148</v>
      </c>
      <c r="E2647" s="4">
        <f>[1]Raw_Data!E2645</f>
        <v>26.72</v>
      </c>
      <c r="F2647" s="5">
        <f>[1]Raw_Data!F2645</f>
        <v>3954.56</v>
      </c>
      <c r="G2647" s="4">
        <f>[1]Raw_Data!G2645</f>
        <v>0.09</v>
      </c>
      <c r="H2647" s="3">
        <f>[1]Raw_Data!H2645</f>
        <v>4</v>
      </c>
      <c r="I2647" s="3" t="str">
        <f>TRIM([1]Raw_Data!I2645)</f>
        <v>USA</v>
      </c>
      <c r="J2647" s="3" t="str">
        <f>TRIM([1]Raw_Data!J2645)</f>
        <v>Amazon</v>
      </c>
      <c r="K2647" s="3">
        <f t="shared" si="164"/>
        <v>2023</v>
      </c>
      <c r="L2647" s="6">
        <f t="shared" si="165"/>
        <v>44986</v>
      </c>
      <c r="M2647" s="3" t="str">
        <f t="shared" si="166"/>
        <v>6% to 10%</v>
      </c>
      <c r="N2647" s="3" t="str">
        <f t="shared" si="167"/>
        <v>OK</v>
      </c>
    </row>
    <row r="2648" spans="1:14" x14ac:dyDescent="0.3">
      <c r="A2648" s="2">
        <f>DATE(VALUE(RIGHT(TRIM([1]Raw_Data!A2646),4)),VALUE(MID(TRIM([1]Raw_Data!A2646),4,2)),VALUE(LEFT(TRIM([1]Raw_Data!A2646),2)))</f>
        <v>44991</v>
      </c>
      <c r="B2648" s="3" t="str">
        <f>TRIM([1]Raw_Data!B2646)</f>
        <v>Pre-Workout</v>
      </c>
      <c r="C2648" s="3" t="str">
        <f>TRIM([1]Raw_Data!C2646)</f>
        <v>Performance</v>
      </c>
      <c r="D2648" s="3">
        <f>[1]Raw_Data!D2646</f>
        <v>162</v>
      </c>
      <c r="E2648" s="4">
        <f>[1]Raw_Data!E2646</f>
        <v>19.989999999999998</v>
      </c>
      <c r="F2648" s="5">
        <f>[1]Raw_Data!F2646</f>
        <v>3238.38</v>
      </c>
      <c r="G2648" s="4">
        <f>[1]Raw_Data!G2646</f>
        <v>0.2</v>
      </c>
      <c r="H2648" s="3">
        <f>[1]Raw_Data!H2646</f>
        <v>0</v>
      </c>
      <c r="I2648" s="3" t="str">
        <f>TRIM([1]Raw_Data!I2646)</f>
        <v>USA</v>
      </c>
      <c r="J2648" s="3" t="str">
        <f>TRIM([1]Raw_Data!J2646)</f>
        <v>Walmart</v>
      </c>
      <c r="K2648" s="3">
        <f t="shared" si="164"/>
        <v>2023</v>
      </c>
      <c r="L2648" s="6">
        <f t="shared" si="165"/>
        <v>44986</v>
      </c>
      <c r="M2648" s="3" t="str">
        <f t="shared" si="166"/>
        <v>16% to 20%</v>
      </c>
      <c r="N2648" s="3" t="str">
        <f t="shared" si="167"/>
        <v>OK</v>
      </c>
    </row>
    <row r="2649" spans="1:14" x14ac:dyDescent="0.3">
      <c r="A2649" s="2">
        <f>DATE(VALUE(RIGHT(TRIM([1]Raw_Data!A2647),4)),VALUE(MID(TRIM([1]Raw_Data!A2647),4,2)),VALUE(LEFT(TRIM([1]Raw_Data!A2647),2)))</f>
        <v>44991</v>
      </c>
      <c r="B2649" s="3" t="str">
        <f>TRIM([1]Raw_Data!B2647)</f>
        <v>BCAA</v>
      </c>
      <c r="C2649" s="3" t="str">
        <f>TRIM([1]Raw_Data!C2647)</f>
        <v>Amino Acid</v>
      </c>
      <c r="D2649" s="3">
        <f>[1]Raw_Data!D2647</f>
        <v>139</v>
      </c>
      <c r="E2649" s="4">
        <f>[1]Raw_Data!E2647</f>
        <v>54.02</v>
      </c>
      <c r="F2649" s="5">
        <f>[1]Raw_Data!F2647</f>
        <v>7508.78</v>
      </c>
      <c r="G2649" s="4">
        <f>[1]Raw_Data!G2647</f>
        <v>0.03</v>
      </c>
      <c r="H2649" s="3">
        <f>[1]Raw_Data!H2647</f>
        <v>0</v>
      </c>
      <c r="I2649" s="3" t="str">
        <f>TRIM([1]Raw_Data!I2647)</f>
        <v>USA</v>
      </c>
      <c r="J2649" s="3" t="str">
        <f>TRIM([1]Raw_Data!J2647)</f>
        <v>Walmart</v>
      </c>
      <c r="K2649" s="3">
        <f t="shared" si="164"/>
        <v>2023</v>
      </c>
      <c r="L2649" s="6">
        <f t="shared" si="165"/>
        <v>44986</v>
      </c>
      <c r="M2649" s="3" t="str">
        <f t="shared" si="166"/>
        <v>0% to 5%</v>
      </c>
      <c r="N2649" s="3" t="str">
        <f t="shared" si="167"/>
        <v>OK</v>
      </c>
    </row>
    <row r="2650" spans="1:14" x14ac:dyDescent="0.3">
      <c r="A2650" s="2">
        <f>DATE(VALUE(RIGHT(TRIM([1]Raw_Data!A2648),4)),VALUE(MID(TRIM([1]Raw_Data!A2648),4,2)),VALUE(LEFT(TRIM([1]Raw_Data!A2648),2)))</f>
        <v>44991</v>
      </c>
      <c r="B2650" s="3" t="str">
        <f>TRIM([1]Raw_Data!B2648)</f>
        <v>Creatine</v>
      </c>
      <c r="C2650" s="3" t="str">
        <f>TRIM([1]Raw_Data!C2648)</f>
        <v>Performance</v>
      </c>
      <c r="D2650" s="3">
        <f>[1]Raw_Data!D2648</f>
        <v>150</v>
      </c>
      <c r="E2650" s="4">
        <f>[1]Raw_Data!E2648</f>
        <v>38.44</v>
      </c>
      <c r="F2650" s="5">
        <f>[1]Raw_Data!F2648</f>
        <v>5766</v>
      </c>
      <c r="G2650" s="4">
        <f>[1]Raw_Data!G2648</f>
        <v>0.11</v>
      </c>
      <c r="H2650" s="3">
        <f>[1]Raw_Data!H2648</f>
        <v>1</v>
      </c>
      <c r="I2650" s="3" t="str">
        <f>TRIM([1]Raw_Data!I2648)</f>
        <v>UK</v>
      </c>
      <c r="J2650" s="3" t="str">
        <f>TRIM([1]Raw_Data!J2648)</f>
        <v>Walmart</v>
      </c>
      <c r="K2650" s="3">
        <f t="shared" si="164"/>
        <v>2023</v>
      </c>
      <c r="L2650" s="6">
        <f t="shared" si="165"/>
        <v>44986</v>
      </c>
      <c r="M2650" s="3" t="str">
        <f t="shared" si="166"/>
        <v>11% to 15%</v>
      </c>
      <c r="N2650" s="3" t="str">
        <f t="shared" si="167"/>
        <v>OK</v>
      </c>
    </row>
    <row r="2651" spans="1:14" x14ac:dyDescent="0.3">
      <c r="A2651" s="2">
        <f>DATE(VALUE(RIGHT(TRIM([1]Raw_Data!A2649),4)),VALUE(MID(TRIM([1]Raw_Data!A2649),4,2)),VALUE(LEFT(TRIM([1]Raw_Data!A2649),2)))</f>
        <v>44991</v>
      </c>
      <c r="B2651" s="3" t="str">
        <f>TRIM([1]Raw_Data!B2649)</f>
        <v>Zinc</v>
      </c>
      <c r="C2651" s="3" t="str">
        <f>TRIM([1]Raw_Data!C2649)</f>
        <v>Mineral</v>
      </c>
      <c r="D2651" s="3">
        <f>[1]Raw_Data!D2649</f>
        <v>132</v>
      </c>
      <c r="E2651" s="4">
        <f>[1]Raw_Data!E2649</f>
        <v>51.05</v>
      </c>
      <c r="F2651" s="5">
        <f>[1]Raw_Data!F2649</f>
        <v>6738.6</v>
      </c>
      <c r="G2651" s="4">
        <f>[1]Raw_Data!G2649</f>
        <v>0.22</v>
      </c>
      <c r="H2651" s="3">
        <f>[1]Raw_Data!H2649</f>
        <v>0</v>
      </c>
      <c r="I2651" s="3" t="str">
        <f>TRIM([1]Raw_Data!I2649)</f>
        <v>Canada</v>
      </c>
      <c r="J2651" s="3" t="str">
        <f>TRIM([1]Raw_Data!J2649)</f>
        <v>Walmart</v>
      </c>
      <c r="K2651" s="3">
        <f t="shared" si="164"/>
        <v>2023</v>
      </c>
      <c r="L2651" s="6">
        <f t="shared" si="165"/>
        <v>44986</v>
      </c>
      <c r="M2651" s="3" t="str">
        <f t="shared" si="166"/>
        <v>21% to 25%</v>
      </c>
      <c r="N2651" s="3" t="str">
        <f t="shared" si="167"/>
        <v>OK</v>
      </c>
    </row>
    <row r="2652" spans="1:14" x14ac:dyDescent="0.3">
      <c r="A2652" s="2">
        <f>DATE(VALUE(RIGHT(TRIM([1]Raw_Data!A2650),4)),VALUE(MID(TRIM([1]Raw_Data!A2650),4,2)),VALUE(LEFT(TRIM([1]Raw_Data!A2650),2)))</f>
        <v>44991</v>
      </c>
      <c r="B2652" s="3" t="str">
        <f>TRIM([1]Raw_Data!B2650)</f>
        <v>Collagen Peptides</v>
      </c>
      <c r="C2652" s="3" t="str">
        <f>TRIM([1]Raw_Data!C2650)</f>
        <v>Protein</v>
      </c>
      <c r="D2652" s="3">
        <f>[1]Raw_Data!D2650</f>
        <v>133</v>
      </c>
      <c r="E2652" s="4">
        <f>[1]Raw_Data!E2650</f>
        <v>40.409999999999997</v>
      </c>
      <c r="F2652" s="5">
        <f>[1]Raw_Data!F2650</f>
        <v>5374.53</v>
      </c>
      <c r="G2652" s="4">
        <f>[1]Raw_Data!G2650</f>
        <v>0.18</v>
      </c>
      <c r="H2652" s="3">
        <f>[1]Raw_Data!H2650</f>
        <v>1</v>
      </c>
      <c r="I2652" s="3" t="str">
        <f>TRIM([1]Raw_Data!I2650)</f>
        <v>UK</v>
      </c>
      <c r="J2652" s="3" t="str">
        <f>TRIM([1]Raw_Data!J2650)</f>
        <v>iHerb</v>
      </c>
      <c r="K2652" s="3">
        <f t="shared" si="164"/>
        <v>2023</v>
      </c>
      <c r="L2652" s="6">
        <f t="shared" si="165"/>
        <v>44986</v>
      </c>
      <c r="M2652" s="3" t="str">
        <f t="shared" si="166"/>
        <v>16% to 20%</v>
      </c>
      <c r="N2652" s="3" t="str">
        <f t="shared" si="167"/>
        <v>OK</v>
      </c>
    </row>
    <row r="2653" spans="1:14" x14ac:dyDescent="0.3">
      <c r="A2653" s="2">
        <f>DATE(VALUE(RIGHT(TRIM([1]Raw_Data!A2651),4)),VALUE(MID(TRIM([1]Raw_Data!A2651),4,2)),VALUE(LEFT(TRIM([1]Raw_Data!A2651),2)))</f>
        <v>44991</v>
      </c>
      <c r="B2653" s="3" t="str">
        <f>TRIM([1]Raw_Data!B2651)</f>
        <v>Magnesium</v>
      </c>
      <c r="C2653" s="3" t="str">
        <f>TRIM([1]Raw_Data!C2651)</f>
        <v>Mineral</v>
      </c>
      <c r="D2653" s="3">
        <f>[1]Raw_Data!D2651</f>
        <v>156</v>
      </c>
      <c r="E2653" s="4">
        <f>[1]Raw_Data!E2651</f>
        <v>56.77</v>
      </c>
      <c r="F2653" s="5">
        <f>[1]Raw_Data!F2651</f>
        <v>8856.1200000000008</v>
      </c>
      <c r="G2653" s="4">
        <f>[1]Raw_Data!G2651</f>
        <v>0.02</v>
      </c>
      <c r="H2653" s="3">
        <f>[1]Raw_Data!H2651</f>
        <v>0</v>
      </c>
      <c r="I2653" s="3" t="str">
        <f>TRIM([1]Raw_Data!I2651)</f>
        <v>UK</v>
      </c>
      <c r="J2653" s="3" t="str">
        <f>TRIM([1]Raw_Data!J2651)</f>
        <v>Walmart</v>
      </c>
      <c r="K2653" s="3">
        <f t="shared" si="164"/>
        <v>2023</v>
      </c>
      <c r="L2653" s="6">
        <f t="shared" si="165"/>
        <v>44986</v>
      </c>
      <c r="M2653" s="3" t="str">
        <f t="shared" si="166"/>
        <v>0% to 5%</v>
      </c>
      <c r="N2653" s="3" t="str">
        <f t="shared" si="167"/>
        <v>OK</v>
      </c>
    </row>
    <row r="2654" spans="1:14" x14ac:dyDescent="0.3">
      <c r="A2654" s="2">
        <f>DATE(VALUE(RIGHT(TRIM([1]Raw_Data!A2652),4)),VALUE(MID(TRIM([1]Raw_Data!A2652),4,2)),VALUE(LEFT(TRIM([1]Raw_Data!A2652),2)))</f>
        <v>44991</v>
      </c>
      <c r="B2654" s="3" t="str">
        <f>TRIM([1]Raw_Data!B2652)</f>
        <v>Ashwagandha</v>
      </c>
      <c r="C2654" s="3" t="str">
        <f>TRIM([1]Raw_Data!C2652)</f>
        <v>Herbal</v>
      </c>
      <c r="D2654" s="3">
        <f>[1]Raw_Data!D2652</f>
        <v>127</v>
      </c>
      <c r="E2654" s="4">
        <f>[1]Raw_Data!E2652</f>
        <v>49.63</v>
      </c>
      <c r="F2654" s="5">
        <f>[1]Raw_Data!F2652</f>
        <v>6303.01</v>
      </c>
      <c r="G2654" s="4">
        <f>[1]Raw_Data!G2652</f>
        <v>0.14000000000000001</v>
      </c>
      <c r="H2654" s="3">
        <f>[1]Raw_Data!H2652</f>
        <v>0</v>
      </c>
      <c r="I2654" s="3" t="str">
        <f>TRIM([1]Raw_Data!I2652)</f>
        <v>USA</v>
      </c>
      <c r="J2654" s="3" t="str">
        <f>TRIM([1]Raw_Data!J2652)</f>
        <v>Amazon</v>
      </c>
      <c r="K2654" s="3">
        <f t="shared" si="164"/>
        <v>2023</v>
      </c>
      <c r="L2654" s="6">
        <f t="shared" si="165"/>
        <v>44986</v>
      </c>
      <c r="M2654" s="3" t="str">
        <f t="shared" si="166"/>
        <v>11% to 15%</v>
      </c>
      <c r="N2654" s="3" t="str">
        <f t="shared" si="167"/>
        <v>OK</v>
      </c>
    </row>
    <row r="2655" spans="1:14" x14ac:dyDescent="0.3">
      <c r="A2655" s="2">
        <f>DATE(VALUE(RIGHT(TRIM([1]Raw_Data!A2653),4)),VALUE(MID(TRIM([1]Raw_Data!A2653),4,2)),VALUE(LEFT(TRIM([1]Raw_Data!A2653),2)))</f>
        <v>44991</v>
      </c>
      <c r="B2655" s="3" t="str">
        <f>TRIM([1]Raw_Data!B2653)</f>
        <v>Melatonin</v>
      </c>
      <c r="C2655" s="3" t="str">
        <f>TRIM([1]Raw_Data!C2653)</f>
        <v>Sleep Aid</v>
      </c>
      <c r="D2655" s="3">
        <f>[1]Raw_Data!D2653</f>
        <v>141</v>
      </c>
      <c r="E2655" s="4">
        <f>[1]Raw_Data!E2653</f>
        <v>38.04</v>
      </c>
      <c r="F2655" s="5">
        <f>[1]Raw_Data!F2653</f>
        <v>5363.64</v>
      </c>
      <c r="G2655" s="4">
        <f>[1]Raw_Data!G2653</f>
        <v>0.06</v>
      </c>
      <c r="H2655" s="3">
        <f>[1]Raw_Data!H2653</f>
        <v>0</v>
      </c>
      <c r="I2655" s="3" t="str">
        <f>TRIM([1]Raw_Data!I2653)</f>
        <v>USA</v>
      </c>
      <c r="J2655" s="3" t="str">
        <f>TRIM([1]Raw_Data!J2653)</f>
        <v>Walmart</v>
      </c>
      <c r="K2655" s="3">
        <f t="shared" si="164"/>
        <v>2023</v>
      </c>
      <c r="L2655" s="6">
        <f t="shared" si="165"/>
        <v>44986</v>
      </c>
      <c r="M2655" s="3" t="str">
        <f t="shared" si="166"/>
        <v>6% to 10%</v>
      </c>
      <c r="N2655" s="3" t="str">
        <f t="shared" si="167"/>
        <v>OK</v>
      </c>
    </row>
    <row r="2656" spans="1:14" x14ac:dyDescent="0.3">
      <c r="A2656" s="2">
        <f>DATE(VALUE(RIGHT(TRIM([1]Raw_Data!A2654),4)),VALUE(MID(TRIM([1]Raw_Data!A2654),4,2)),VALUE(LEFT(TRIM([1]Raw_Data!A2654),2)))</f>
        <v>44991</v>
      </c>
      <c r="B2656" s="3" t="str">
        <f>TRIM([1]Raw_Data!B2654)</f>
        <v>Biotin</v>
      </c>
      <c r="C2656" s="3" t="str">
        <f>TRIM([1]Raw_Data!C2654)</f>
        <v>Vitamin</v>
      </c>
      <c r="D2656" s="3">
        <f>[1]Raw_Data!D2654</f>
        <v>159</v>
      </c>
      <c r="E2656" s="4">
        <f>[1]Raw_Data!E2654</f>
        <v>32.619999999999997</v>
      </c>
      <c r="F2656" s="5">
        <f>[1]Raw_Data!F2654</f>
        <v>5186.58</v>
      </c>
      <c r="G2656" s="4">
        <f>[1]Raw_Data!G2654</f>
        <v>0.03</v>
      </c>
      <c r="H2656" s="3">
        <f>[1]Raw_Data!H2654</f>
        <v>3</v>
      </c>
      <c r="I2656" s="3" t="str">
        <f>TRIM([1]Raw_Data!I2654)</f>
        <v>Canada</v>
      </c>
      <c r="J2656" s="3" t="str">
        <f>TRIM([1]Raw_Data!J2654)</f>
        <v>iHerb</v>
      </c>
      <c r="K2656" s="3">
        <f t="shared" si="164"/>
        <v>2023</v>
      </c>
      <c r="L2656" s="6">
        <f t="shared" si="165"/>
        <v>44986</v>
      </c>
      <c r="M2656" s="3" t="str">
        <f t="shared" si="166"/>
        <v>0% to 5%</v>
      </c>
      <c r="N2656" s="3" t="str">
        <f t="shared" si="167"/>
        <v>OK</v>
      </c>
    </row>
    <row r="2657" spans="1:14" x14ac:dyDescent="0.3">
      <c r="A2657" s="2">
        <f>DATE(VALUE(RIGHT(TRIM([1]Raw_Data!A2655),4)),VALUE(MID(TRIM([1]Raw_Data!A2655),4,2)),VALUE(LEFT(TRIM([1]Raw_Data!A2655),2)))</f>
        <v>44991</v>
      </c>
      <c r="B2657" s="3" t="str">
        <f>TRIM([1]Raw_Data!B2655)</f>
        <v>Green Tea Extract</v>
      </c>
      <c r="C2657" s="3" t="str">
        <f>TRIM([1]Raw_Data!C2655)</f>
        <v>Fat Burner</v>
      </c>
      <c r="D2657" s="3">
        <f>[1]Raw_Data!D2655</f>
        <v>152</v>
      </c>
      <c r="E2657" s="4">
        <f>[1]Raw_Data!E2655</f>
        <v>34.770000000000003</v>
      </c>
      <c r="F2657" s="5">
        <f>[1]Raw_Data!F2655</f>
        <v>5285.04</v>
      </c>
      <c r="G2657" s="4">
        <f>[1]Raw_Data!G2655</f>
        <v>0.24</v>
      </c>
      <c r="H2657" s="3">
        <f>[1]Raw_Data!H2655</f>
        <v>3</v>
      </c>
      <c r="I2657" s="3" t="str">
        <f>TRIM([1]Raw_Data!I2655)</f>
        <v>Canada</v>
      </c>
      <c r="J2657" s="3" t="str">
        <f>TRIM([1]Raw_Data!J2655)</f>
        <v>Walmart</v>
      </c>
      <c r="K2657" s="3">
        <f t="shared" si="164"/>
        <v>2023</v>
      </c>
      <c r="L2657" s="6">
        <f t="shared" si="165"/>
        <v>44986</v>
      </c>
      <c r="M2657" s="3" t="str">
        <f t="shared" si="166"/>
        <v>21% to 25%</v>
      </c>
      <c r="N2657" s="3" t="str">
        <f t="shared" si="167"/>
        <v>OK</v>
      </c>
    </row>
    <row r="2658" spans="1:14" x14ac:dyDescent="0.3">
      <c r="A2658" s="2">
        <f>DATE(VALUE(RIGHT(TRIM([1]Raw_Data!A2656),4)),VALUE(MID(TRIM([1]Raw_Data!A2656),4,2)),VALUE(LEFT(TRIM([1]Raw_Data!A2656),2)))</f>
        <v>44991</v>
      </c>
      <c r="B2658" s="3" t="str">
        <f>TRIM([1]Raw_Data!B2656)</f>
        <v>Iron Supplement</v>
      </c>
      <c r="C2658" s="3" t="str">
        <f>TRIM([1]Raw_Data!C2656)</f>
        <v>Mineral</v>
      </c>
      <c r="D2658" s="3">
        <f>[1]Raw_Data!D2656</f>
        <v>153</v>
      </c>
      <c r="E2658" s="4">
        <f>[1]Raw_Data!E2656</f>
        <v>26.15</v>
      </c>
      <c r="F2658" s="5">
        <f>[1]Raw_Data!F2656</f>
        <v>4000.95</v>
      </c>
      <c r="G2658" s="4">
        <f>[1]Raw_Data!G2656</f>
        <v>0.09</v>
      </c>
      <c r="H2658" s="3">
        <f>[1]Raw_Data!H2656</f>
        <v>0</v>
      </c>
      <c r="I2658" s="3" t="str">
        <f>TRIM([1]Raw_Data!I2656)</f>
        <v>UK</v>
      </c>
      <c r="J2658" s="3" t="str">
        <f>TRIM([1]Raw_Data!J2656)</f>
        <v>Amazon</v>
      </c>
      <c r="K2658" s="3">
        <f t="shared" si="164"/>
        <v>2023</v>
      </c>
      <c r="L2658" s="6">
        <f t="shared" si="165"/>
        <v>44986</v>
      </c>
      <c r="M2658" s="3" t="str">
        <f t="shared" si="166"/>
        <v>6% to 10%</v>
      </c>
      <c r="N2658" s="3" t="str">
        <f t="shared" si="167"/>
        <v>OK</v>
      </c>
    </row>
    <row r="2659" spans="1:14" x14ac:dyDescent="0.3">
      <c r="A2659" s="2">
        <f>DATE(VALUE(RIGHT(TRIM([1]Raw_Data!A2657),4)),VALUE(MID(TRIM([1]Raw_Data!A2657),4,2)),VALUE(LEFT(TRIM([1]Raw_Data!A2657),2)))</f>
        <v>44991</v>
      </c>
      <c r="B2659" s="3" t="str">
        <f>TRIM([1]Raw_Data!B2657)</f>
        <v>Electrolyte Powder</v>
      </c>
      <c r="C2659" s="3" t="str">
        <f>TRIM([1]Raw_Data!C2657)</f>
        <v>Hydration</v>
      </c>
      <c r="D2659" s="3">
        <f>[1]Raw_Data!D2657</f>
        <v>153</v>
      </c>
      <c r="E2659" s="4">
        <f>[1]Raw_Data!E2657</f>
        <v>48.68</v>
      </c>
      <c r="F2659" s="5">
        <f>[1]Raw_Data!F2657</f>
        <v>7448.04</v>
      </c>
      <c r="G2659" s="4">
        <f>[1]Raw_Data!G2657</f>
        <v>0.04</v>
      </c>
      <c r="H2659" s="3">
        <f>[1]Raw_Data!H2657</f>
        <v>1</v>
      </c>
      <c r="I2659" s="3" t="str">
        <f>TRIM([1]Raw_Data!I2657)</f>
        <v>Canada</v>
      </c>
      <c r="J2659" s="3" t="str">
        <f>TRIM([1]Raw_Data!J2657)</f>
        <v>Walmart</v>
      </c>
      <c r="K2659" s="3">
        <f t="shared" si="164"/>
        <v>2023</v>
      </c>
      <c r="L2659" s="6">
        <f t="shared" si="165"/>
        <v>44986</v>
      </c>
      <c r="M2659" s="3" t="str">
        <f t="shared" si="166"/>
        <v>0% to 5%</v>
      </c>
      <c r="N2659" s="3" t="str">
        <f t="shared" si="167"/>
        <v>OK</v>
      </c>
    </row>
    <row r="2660" spans="1:14" x14ac:dyDescent="0.3">
      <c r="A2660" s="2">
        <f>DATE(VALUE(RIGHT(TRIM([1]Raw_Data!A2658),4)),VALUE(MID(TRIM([1]Raw_Data!A2658),4,2)),VALUE(LEFT(TRIM([1]Raw_Data!A2658),2)))</f>
        <v>44998</v>
      </c>
      <c r="B2660" s="3" t="str">
        <f>TRIM([1]Raw_Data!B2658)</f>
        <v>Whey Protein</v>
      </c>
      <c r="C2660" s="3" t="str">
        <f>TRIM([1]Raw_Data!C2658)</f>
        <v>Protein</v>
      </c>
      <c r="D2660" s="3">
        <f>[1]Raw_Data!D2658</f>
        <v>137</v>
      </c>
      <c r="E2660" s="4">
        <f>[1]Raw_Data!E2658</f>
        <v>17.899999999999999</v>
      </c>
      <c r="F2660" s="5">
        <f>[1]Raw_Data!F2658</f>
        <v>2452.3000000000002</v>
      </c>
      <c r="G2660" s="4">
        <f>[1]Raw_Data!G2658</f>
        <v>0.23</v>
      </c>
      <c r="H2660" s="3">
        <f>[1]Raw_Data!H2658</f>
        <v>0</v>
      </c>
      <c r="I2660" s="3" t="str">
        <f>TRIM([1]Raw_Data!I2658)</f>
        <v>USA</v>
      </c>
      <c r="J2660" s="3" t="str">
        <f>TRIM([1]Raw_Data!J2658)</f>
        <v>Amazon</v>
      </c>
      <c r="K2660" s="3">
        <f t="shared" si="164"/>
        <v>2023</v>
      </c>
      <c r="L2660" s="6">
        <f t="shared" si="165"/>
        <v>44986</v>
      </c>
      <c r="M2660" s="3" t="str">
        <f t="shared" si="166"/>
        <v>21% to 25%</v>
      </c>
      <c r="N2660" s="3" t="str">
        <f t="shared" si="167"/>
        <v>OK</v>
      </c>
    </row>
    <row r="2661" spans="1:14" x14ac:dyDescent="0.3">
      <c r="A2661" s="2">
        <f>DATE(VALUE(RIGHT(TRIM([1]Raw_Data!A2659),4)),VALUE(MID(TRIM([1]Raw_Data!A2659),4,2)),VALUE(LEFT(TRIM([1]Raw_Data!A2659),2)))</f>
        <v>44998</v>
      </c>
      <c r="B2661" s="3" t="str">
        <f>TRIM([1]Raw_Data!B2659)</f>
        <v>Vitamin C</v>
      </c>
      <c r="C2661" s="3" t="str">
        <f>TRIM([1]Raw_Data!C2659)</f>
        <v>Vitamin</v>
      </c>
      <c r="D2661" s="3">
        <f>[1]Raw_Data!D2659</f>
        <v>142</v>
      </c>
      <c r="E2661" s="4">
        <f>[1]Raw_Data!E2659</f>
        <v>32.92</v>
      </c>
      <c r="F2661" s="5">
        <f>[1]Raw_Data!F2659</f>
        <v>4674.6400000000003</v>
      </c>
      <c r="G2661" s="4">
        <f>[1]Raw_Data!G2659</f>
        <v>0.01</v>
      </c>
      <c r="H2661" s="3">
        <f>[1]Raw_Data!H2659</f>
        <v>1</v>
      </c>
      <c r="I2661" s="3" t="str">
        <f>TRIM([1]Raw_Data!I2659)</f>
        <v>UK</v>
      </c>
      <c r="J2661" s="3" t="str">
        <f>TRIM([1]Raw_Data!J2659)</f>
        <v>Walmart</v>
      </c>
      <c r="K2661" s="3">
        <f t="shared" si="164"/>
        <v>2023</v>
      </c>
      <c r="L2661" s="6">
        <f t="shared" si="165"/>
        <v>44986</v>
      </c>
      <c r="M2661" s="3" t="str">
        <f t="shared" si="166"/>
        <v>0% to 5%</v>
      </c>
      <c r="N2661" s="3" t="str">
        <f t="shared" si="167"/>
        <v>OK</v>
      </c>
    </row>
    <row r="2662" spans="1:14" x14ac:dyDescent="0.3">
      <c r="A2662" s="2">
        <f>DATE(VALUE(RIGHT(TRIM([1]Raw_Data!A2660),4)),VALUE(MID(TRIM([1]Raw_Data!A2660),4,2)),VALUE(LEFT(TRIM([1]Raw_Data!A2660),2)))</f>
        <v>44998</v>
      </c>
      <c r="B2662" s="3" t="str">
        <f>TRIM([1]Raw_Data!B2660)</f>
        <v>Fish Oil</v>
      </c>
      <c r="C2662" s="3" t="str">
        <f>TRIM([1]Raw_Data!C2660)</f>
        <v>Omega</v>
      </c>
      <c r="D2662" s="3">
        <f>[1]Raw_Data!D2660</f>
        <v>153</v>
      </c>
      <c r="E2662" s="4">
        <f>[1]Raw_Data!E2660</f>
        <v>38.19</v>
      </c>
      <c r="F2662" s="5">
        <f>[1]Raw_Data!F2660</f>
        <v>5843.07</v>
      </c>
      <c r="G2662" s="4">
        <f>[1]Raw_Data!G2660</f>
        <v>0.02</v>
      </c>
      <c r="H2662" s="3">
        <f>[1]Raw_Data!H2660</f>
        <v>2</v>
      </c>
      <c r="I2662" s="3" t="str">
        <f>TRIM([1]Raw_Data!I2660)</f>
        <v>UK</v>
      </c>
      <c r="J2662" s="3" t="str">
        <f>TRIM([1]Raw_Data!J2660)</f>
        <v>Amazon</v>
      </c>
      <c r="K2662" s="3">
        <f t="shared" si="164"/>
        <v>2023</v>
      </c>
      <c r="L2662" s="6">
        <f t="shared" si="165"/>
        <v>44986</v>
      </c>
      <c r="M2662" s="3" t="str">
        <f t="shared" si="166"/>
        <v>0% to 5%</v>
      </c>
      <c r="N2662" s="3" t="str">
        <f t="shared" si="167"/>
        <v>OK</v>
      </c>
    </row>
    <row r="2663" spans="1:14" x14ac:dyDescent="0.3">
      <c r="A2663" s="2">
        <f>DATE(VALUE(RIGHT(TRIM([1]Raw_Data!A2661),4)),VALUE(MID(TRIM([1]Raw_Data!A2661),4,2)),VALUE(LEFT(TRIM([1]Raw_Data!A2661),2)))</f>
        <v>44998</v>
      </c>
      <c r="B2663" s="3" t="str">
        <f>TRIM([1]Raw_Data!B2661)</f>
        <v>Multivitamin</v>
      </c>
      <c r="C2663" s="3" t="str">
        <f>TRIM([1]Raw_Data!C2661)</f>
        <v>Vitamin</v>
      </c>
      <c r="D2663" s="3">
        <f>[1]Raw_Data!D2661</f>
        <v>172</v>
      </c>
      <c r="E2663" s="4">
        <f>[1]Raw_Data!E2661</f>
        <v>27.09</v>
      </c>
      <c r="F2663" s="5">
        <f>[1]Raw_Data!F2661</f>
        <v>4659.4799999999996</v>
      </c>
      <c r="G2663" s="4">
        <f>[1]Raw_Data!G2661</f>
        <v>0.08</v>
      </c>
      <c r="H2663" s="3">
        <f>[1]Raw_Data!H2661</f>
        <v>0</v>
      </c>
      <c r="I2663" s="3" t="str">
        <f>TRIM([1]Raw_Data!I2661)</f>
        <v>USA</v>
      </c>
      <c r="J2663" s="3" t="str">
        <f>TRIM([1]Raw_Data!J2661)</f>
        <v>Amazon</v>
      </c>
      <c r="K2663" s="3">
        <f t="shared" si="164"/>
        <v>2023</v>
      </c>
      <c r="L2663" s="6">
        <f t="shared" si="165"/>
        <v>44986</v>
      </c>
      <c r="M2663" s="3" t="str">
        <f t="shared" si="166"/>
        <v>6% to 10%</v>
      </c>
      <c r="N2663" s="3" t="str">
        <f t="shared" si="167"/>
        <v>OK</v>
      </c>
    </row>
    <row r="2664" spans="1:14" x14ac:dyDescent="0.3">
      <c r="A2664" s="2">
        <f>DATE(VALUE(RIGHT(TRIM([1]Raw_Data!A2662),4)),VALUE(MID(TRIM([1]Raw_Data!A2662),4,2)),VALUE(LEFT(TRIM([1]Raw_Data!A2662),2)))</f>
        <v>44998</v>
      </c>
      <c r="B2664" s="3" t="str">
        <f>TRIM([1]Raw_Data!B2662)</f>
        <v>Pre-Workout</v>
      </c>
      <c r="C2664" s="3" t="str">
        <f>TRIM([1]Raw_Data!C2662)</f>
        <v>Performance</v>
      </c>
      <c r="D2664" s="3">
        <f>[1]Raw_Data!D2662</f>
        <v>155</v>
      </c>
      <c r="E2664" s="4">
        <f>[1]Raw_Data!E2662</f>
        <v>32.97</v>
      </c>
      <c r="F2664" s="5">
        <f>[1]Raw_Data!F2662</f>
        <v>5110.3500000000004</v>
      </c>
      <c r="G2664" s="4">
        <f>[1]Raw_Data!G2662</f>
        <v>0.23</v>
      </c>
      <c r="H2664" s="3">
        <f>[1]Raw_Data!H2662</f>
        <v>0</v>
      </c>
      <c r="I2664" s="3" t="str">
        <f>TRIM([1]Raw_Data!I2662)</f>
        <v>USA</v>
      </c>
      <c r="J2664" s="3" t="str">
        <f>TRIM([1]Raw_Data!J2662)</f>
        <v>Amazon</v>
      </c>
      <c r="K2664" s="3">
        <f t="shared" si="164"/>
        <v>2023</v>
      </c>
      <c r="L2664" s="6">
        <f t="shared" si="165"/>
        <v>44986</v>
      </c>
      <c r="M2664" s="3" t="str">
        <f t="shared" si="166"/>
        <v>21% to 25%</v>
      </c>
      <c r="N2664" s="3" t="str">
        <f t="shared" si="167"/>
        <v>OK</v>
      </c>
    </row>
    <row r="2665" spans="1:14" x14ac:dyDescent="0.3">
      <c r="A2665" s="2">
        <f>DATE(VALUE(RIGHT(TRIM([1]Raw_Data!A2663),4)),VALUE(MID(TRIM([1]Raw_Data!A2663),4,2)),VALUE(LEFT(TRIM([1]Raw_Data!A2663),2)))</f>
        <v>44998</v>
      </c>
      <c r="B2665" s="3" t="str">
        <f>TRIM([1]Raw_Data!B2663)</f>
        <v>BCAA</v>
      </c>
      <c r="C2665" s="3" t="str">
        <f>TRIM([1]Raw_Data!C2663)</f>
        <v>Amino Acid</v>
      </c>
      <c r="D2665" s="3">
        <f>[1]Raw_Data!D2663</f>
        <v>139</v>
      </c>
      <c r="E2665" s="4">
        <f>[1]Raw_Data!E2663</f>
        <v>35.14</v>
      </c>
      <c r="F2665" s="5">
        <f>[1]Raw_Data!F2663</f>
        <v>4884.46</v>
      </c>
      <c r="G2665" s="4">
        <f>[1]Raw_Data!G2663</f>
        <v>0.08</v>
      </c>
      <c r="H2665" s="3">
        <f>[1]Raw_Data!H2663</f>
        <v>0</v>
      </c>
      <c r="I2665" s="3" t="str">
        <f>TRIM([1]Raw_Data!I2663)</f>
        <v>UK</v>
      </c>
      <c r="J2665" s="3" t="str">
        <f>TRIM([1]Raw_Data!J2663)</f>
        <v>iHerb</v>
      </c>
      <c r="K2665" s="3">
        <f t="shared" si="164"/>
        <v>2023</v>
      </c>
      <c r="L2665" s="6">
        <f t="shared" si="165"/>
        <v>44986</v>
      </c>
      <c r="M2665" s="3" t="str">
        <f t="shared" si="166"/>
        <v>6% to 10%</v>
      </c>
      <c r="N2665" s="3" t="str">
        <f t="shared" si="167"/>
        <v>OK</v>
      </c>
    </row>
    <row r="2666" spans="1:14" x14ac:dyDescent="0.3">
      <c r="A2666" s="2">
        <f>DATE(VALUE(RIGHT(TRIM([1]Raw_Data!A2664),4)),VALUE(MID(TRIM([1]Raw_Data!A2664),4,2)),VALUE(LEFT(TRIM([1]Raw_Data!A2664),2)))</f>
        <v>44998</v>
      </c>
      <c r="B2666" s="3" t="str">
        <f>TRIM([1]Raw_Data!B2664)</f>
        <v>Creatine</v>
      </c>
      <c r="C2666" s="3" t="str">
        <f>TRIM([1]Raw_Data!C2664)</f>
        <v>Performance</v>
      </c>
      <c r="D2666" s="3">
        <f>[1]Raw_Data!D2664</f>
        <v>159</v>
      </c>
      <c r="E2666" s="4">
        <f>[1]Raw_Data!E2664</f>
        <v>44.38</v>
      </c>
      <c r="F2666" s="5">
        <f>[1]Raw_Data!F2664</f>
        <v>7056.42</v>
      </c>
      <c r="G2666" s="4">
        <f>[1]Raw_Data!G2664</f>
        <v>0.09</v>
      </c>
      <c r="H2666" s="3">
        <f>[1]Raw_Data!H2664</f>
        <v>1</v>
      </c>
      <c r="I2666" s="3" t="str">
        <f>TRIM([1]Raw_Data!I2664)</f>
        <v>Canada</v>
      </c>
      <c r="J2666" s="3" t="str">
        <f>TRIM([1]Raw_Data!J2664)</f>
        <v>Walmart</v>
      </c>
      <c r="K2666" s="3">
        <f t="shared" si="164"/>
        <v>2023</v>
      </c>
      <c r="L2666" s="6">
        <f t="shared" si="165"/>
        <v>44986</v>
      </c>
      <c r="M2666" s="3" t="str">
        <f t="shared" si="166"/>
        <v>6% to 10%</v>
      </c>
      <c r="N2666" s="3" t="str">
        <f t="shared" si="167"/>
        <v>OK</v>
      </c>
    </row>
    <row r="2667" spans="1:14" x14ac:dyDescent="0.3">
      <c r="A2667" s="2">
        <f>DATE(VALUE(RIGHT(TRIM([1]Raw_Data!A2665),4)),VALUE(MID(TRIM([1]Raw_Data!A2665),4,2)),VALUE(LEFT(TRIM([1]Raw_Data!A2665),2)))</f>
        <v>44998</v>
      </c>
      <c r="B2667" s="3" t="str">
        <f>TRIM([1]Raw_Data!B2665)</f>
        <v>Zinc</v>
      </c>
      <c r="C2667" s="3" t="str">
        <f>TRIM([1]Raw_Data!C2665)</f>
        <v>Mineral</v>
      </c>
      <c r="D2667" s="3">
        <f>[1]Raw_Data!D2665</f>
        <v>173</v>
      </c>
      <c r="E2667" s="4">
        <f>[1]Raw_Data!E2665</f>
        <v>35.01</v>
      </c>
      <c r="F2667" s="5">
        <f>[1]Raw_Data!F2665</f>
        <v>6056.73</v>
      </c>
      <c r="G2667" s="4">
        <f>[1]Raw_Data!G2665</f>
        <v>0.21</v>
      </c>
      <c r="H2667" s="3">
        <f>[1]Raw_Data!H2665</f>
        <v>2</v>
      </c>
      <c r="I2667" s="3" t="str">
        <f>TRIM([1]Raw_Data!I2665)</f>
        <v>Canada</v>
      </c>
      <c r="J2667" s="3" t="str">
        <f>TRIM([1]Raw_Data!J2665)</f>
        <v>Walmart</v>
      </c>
      <c r="K2667" s="3">
        <f t="shared" si="164"/>
        <v>2023</v>
      </c>
      <c r="L2667" s="6">
        <f t="shared" si="165"/>
        <v>44986</v>
      </c>
      <c r="M2667" s="3" t="str">
        <f t="shared" si="166"/>
        <v>21% to 25%</v>
      </c>
      <c r="N2667" s="3" t="str">
        <f t="shared" si="167"/>
        <v>OK</v>
      </c>
    </row>
    <row r="2668" spans="1:14" x14ac:dyDescent="0.3">
      <c r="A2668" s="2">
        <f>DATE(VALUE(RIGHT(TRIM([1]Raw_Data!A2666),4)),VALUE(MID(TRIM([1]Raw_Data!A2666),4,2)),VALUE(LEFT(TRIM([1]Raw_Data!A2666),2)))</f>
        <v>44998</v>
      </c>
      <c r="B2668" s="3" t="str">
        <f>TRIM([1]Raw_Data!B2666)</f>
        <v>Collagen Peptides</v>
      </c>
      <c r="C2668" s="3" t="str">
        <f>TRIM([1]Raw_Data!C2666)</f>
        <v>Protein</v>
      </c>
      <c r="D2668" s="3">
        <f>[1]Raw_Data!D2666</f>
        <v>142</v>
      </c>
      <c r="E2668" s="4">
        <f>[1]Raw_Data!E2666</f>
        <v>44.01</v>
      </c>
      <c r="F2668" s="5">
        <f>[1]Raw_Data!F2666</f>
        <v>6249.42</v>
      </c>
      <c r="G2668" s="4">
        <f>[1]Raw_Data!G2666</f>
        <v>0.22</v>
      </c>
      <c r="H2668" s="3">
        <f>[1]Raw_Data!H2666</f>
        <v>0</v>
      </c>
      <c r="I2668" s="3" t="str">
        <f>TRIM([1]Raw_Data!I2666)</f>
        <v>Canada</v>
      </c>
      <c r="J2668" s="3" t="str">
        <f>TRIM([1]Raw_Data!J2666)</f>
        <v>Walmart</v>
      </c>
      <c r="K2668" s="3">
        <f t="shared" si="164"/>
        <v>2023</v>
      </c>
      <c r="L2668" s="6">
        <f t="shared" si="165"/>
        <v>44986</v>
      </c>
      <c r="M2668" s="3" t="str">
        <f t="shared" si="166"/>
        <v>21% to 25%</v>
      </c>
      <c r="N2668" s="3" t="str">
        <f t="shared" si="167"/>
        <v>OK</v>
      </c>
    </row>
    <row r="2669" spans="1:14" x14ac:dyDescent="0.3">
      <c r="A2669" s="2">
        <f>DATE(VALUE(RIGHT(TRIM([1]Raw_Data!A2667),4)),VALUE(MID(TRIM([1]Raw_Data!A2667),4,2)),VALUE(LEFT(TRIM([1]Raw_Data!A2667),2)))</f>
        <v>44998</v>
      </c>
      <c r="B2669" s="3" t="str">
        <f>TRIM([1]Raw_Data!B2667)</f>
        <v>Magnesium</v>
      </c>
      <c r="C2669" s="3" t="str">
        <f>TRIM([1]Raw_Data!C2667)</f>
        <v>Mineral</v>
      </c>
      <c r="D2669" s="3">
        <f>[1]Raw_Data!D2667</f>
        <v>127</v>
      </c>
      <c r="E2669" s="4">
        <f>[1]Raw_Data!E2667</f>
        <v>21.64</v>
      </c>
      <c r="F2669" s="5">
        <f>[1]Raw_Data!F2667</f>
        <v>2748.28</v>
      </c>
      <c r="G2669" s="4">
        <f>[1]Raw_Data!G2667</f>
        <v>7.0000000000000007E-2</v>
      </c>
      <c r="H2669" s="3">
        <f>[1]Raw_Data!H2667</f>
        <v>0</v>
      </c>
      <c r="I2669" s="3" t="str">
        <f>TRIM([1]Raw_Data!I2667)</f>
        <v>Canada</v>
      </c>
      <c r="J2669" s="3" t="str">
        <f>TRIM([1]Raw_Data!J2667)</f>
        <v>iHerb</v>
      </c>
      <c r="K2669" s="3">
        <f t="shared" si="164"/>
        <v>2023</v>
      </c>
      <c r="L2669" s="6">
        <f t="shared" si="165"/>
        <v>44986</v>
      </c>
      <c r="M2669" s="3" t="str">
        <f t="shared" si="166"/>
        <v>6% to 10%</v>
      </c>
      <c r="N2669" s="3" t="str">
        <f t="shared" si="167"/>
        <v>OK</v>
      </c>
    </row>
    <row r="2670" spans="1:14" x14ac:dyDescent="0.3">
      <c r="A2670" s="2">
        <f>DATE(VALUE(RIGHT(TRIM([1]Raw_Data!A2668),4)),VALUE(MID(TRIM([1]Raw_Data!A2668),4,2)),VALUE(LEFT(TRIM([1]Raw_Data!A2668),2)))</f>
        <v>44998</v>
      </c>
      <c r="B2670" s="3" t="str">
        <f>TRIM([1]Raw_Data!B2668)</f>
        <v>Ashwagandha</v>
      </c>
      <c r="C2670" s="3" t="str">
        <f>TRIM([1]Raw_Data!C2668)</f>
        <v>Herbal</v>
      </c>
      <c r="D2670" s="3">
        <f>[1]Raw_Data!D2668</f>
        <v>138</v>
      </c>
      <c r="E2670" s="4">
        <f>[1]Raw_Data!E2668</f>
        <v>56.7</v>
      </c>
      <c r="F2670" s="5">
        <f>[1]Raw_Data!F2668</f>
        <v>7824.6</v>
      </c>
      <c r="G2670" s="4">
        <f>[1]Raw_Data!G2668</f>
        <v>0.04</v>
      </c>
      <c r="H2670" s="3">
        <f>[1]Raw_Data!H2668</f>
        <v>0</v>
      </c>
      <c r="I2670" s="3" t="str">
        <f>TRIM([1]Raw_Data!I2668)</f>
        <v>Canada</v>
      </c>
      <c r="J2670" s="3" t="str">
        <f>TRIM([1]Raw_Data!J2668)</f>
        <v>Walmart</v>
      </c>
      <c r="K2670" s="3">
        <f t="shared" si="164"/>
        <v>2023</v>
      </c>
      <c r="L2670" s="6">
        <f t="shared" si="165"/>
        <v>44986</v>
      </c>
      <c r="M2670" s="3" t="str">
        <f t="shared" si="166"/>
        <v>0% to 5%</v>
      </c>
      <c r="N2670" s="3" t="str">
        <f t="shared" si="167"/>
        <v>OK</v>
      </c>
    </row>
    <row r="2671" spans="1:14" x14ac:dyDescent="0.3">
      <c r="A2671" s="2">
        <f>DATE(VALUE(RIGHT(TRIM([1]Raw_Data!A2669),4)),VALUE(MID(TRIM([1]Raw_Data!A2669),4,2)),VALUE(LEFT(TRIM([1]Raw_Data!A2669),2)))</f>
        <v>44998</v>
      </c>
      <c r="B2671" s="3" t="str">
        <f>TRIM([1]Raw_Data!B2669)</f>
        <v>Melatonin</v>
      </c>
      <c r="C2671" s="3" t="str">
        <f>TRIM([1]Raw_Data!C2669)</f>
        <v>Sleep Aid</v>
      </c>
      <c r="D2671" s="3">
        <f>[1]Raw_Data!D2669</f>
        <v>160</v>
      </c>
      <c r="E2671" s="4">
        <f>[1]Raw_Data!E2669</f>
        <v>15.24</v>
      </c>
      <c r="F2671" s="5">
        <f>[1]Raw_Data!F2669</f>
        <v>2438.4</v>
      </c>
      <c r="G2671" s="4">
        <f>[1]Raw_Data!G2669</f>
        <v>0.21</v>
      </c>
      <c r="H2671" s="3">
        <f>[1]Raw_Data!H2669</f>
        <v>1</v>
      </c>
      <c r="I2671" s="3" t="str">
        <f>TRIM([1]Raw_Data!I2669)</f>
        <v>Canada</v>
      </c>
      <c r="J2671" s="3" t="str">
        <f>TRIM([1]Raw_Data!J2669)</f>
        <v>Walmart</v>
      </c>
      <c r="K2671" s="3">
        <f t="shared" si="164"/>
        <v>2023</v>
      </c>
      <c r="L2671" s="6">
        <f t="shared" si="165"/>
        <v>44986</v>
      </c>
      <c r="M2671" s="3" t="str">
        <f t="shared" si="166"/>
        <v>21% to 25%</v>
      </c>
      <c r="N2671" s="3" t="str">
        <f t="shared" si="167"/>
        <v>OK</v>
      </c>
    </row>
    <row r="2672" spans="1:14" x14ac:dyDescent="0.3">
      <c r="A2672" s="2">
        <f>DATE(VALUE(RIGHT(TRIM([1]Raw_Data!A2670),4)),VALUE(MID(TRIM([1]Raw_Data!A2670),4,2)),VALUE(LEFT(TRIM([1]Raw_Data!A2670),2)))</f>
        <v>44998</v>
      </c>
      <c r="B2672" s="3" t="str">
        <f>TRIM([1]Raw_Data!B2670)</f>
        <v>Biotin</v>
      </c>
      <c r="C2672" s="3" t="str">
        <f>TRIM([1]Raw_Data!C2670)</f>
        <v>Vitamin</v>
      </c>
      <c r="D2672" s="3">
        <f>[1]Raw_Data!D2670</f>
        <v>141</v>
      </c>
      <c r="E2672" s="4">
        <f>[1]Raw_Data!E2670</f>
        <v>51.11</v>
      </c>
      <c r="F2672" s="5">
        <f>[1]Raw_Data!F2670</f>
        <v>7206.51</v>
      </c>
      <c r="G2672" s="4">
        <f>[1]Raw_Data!G2670</f>
        <v>0.19</v>
      </c>
      <c r="H2672" s="3">
        <f>[1]Raw_Data!H2670</f>
        <v>3</v>
      </c>
      <c r="I2672" s="3" t="str">
        <f>TRIM([1]Raw_Data!I2670)</f>
        <v>UK</v>
      </c>
      <c r="J2672" s="3" t="str">
        <f>TRIM([1]Raw_Data!J2670)</f>
        <v>iHerb</v>
      </c>
      <c r="K2672" s="3">
        <f t="shared" si="164"/>
        <v>2023</v>
      </c>
      <c r="L2672" s="6">
        <f t="shared" si="165"/>
        <v>44986</v>
      </c>
      <c r="M2672" s="3" t="str">
        <f t="shared" si="166"/>
        <v>16% to 20%</v>
      </c>
      <c r="N2672" s="3" t="str">
        <f t="shared" si="167"/>
        <v>OK</v>
      </c>
    </row>
    <row r="2673" spans="1:14" x14ac:dyDescent="0.3">
      <c r="A2673" s="2">
        <f>DATE(VALUE(RIGHT(TRIM([1]Raw_Data!A2671),4)),VALUE(MID(TRIM([1]Raw_Data!A2671),4,2)),VALUE(LEFT(TRIM([1]Raw_Data!A2671),2)))</f>
        <v>44998</v>
      </c>
      <c r="B2673" s="3" t="str">
        <f>TRIM([1]Raw_Data!B2671)</f>
        <v>Green Tea Extract</v>
      </c>
      <c r="C2673" s="3" t="str">
        <f>TRIM([1]Raw_Data!C2671)</f>
        <v>Fat Burner</v>
      </c>
      <c r="D2673" s="3">
        <f>[1]Raw_Data!D2671</f>
        <v>172</v>
      </c>
      <c r="E2673" s="4">
        <f>[1]Raw_Data!E2671</f>
        <v>31.19</v>
      </c>
      <c r="F2673" s="5">
        <f>[1]Raw_Data!F2671</f>
        <v>5364.68</v>
      </c>
      <c r="G2673" s="4">
        <f>[1]Raw_Data!G2671</f>
        <v>0</v>
      </c>
      <c r="H2673" s="3">
        <f>[1]Raw_Data!H2671</f>
        <v>3</v>
      </c>
      <c r="I2673" s="3" t="str">
        <f>TRIM([1]Raw_Data!I2671)</f>
        <v>USA</v>
      </c>
      <c r="J2673" s="3" t="str">
        <f>TRIM([1]Raw_Data!J2671)</f>
        <v>Amazon</v>
      </c>
      <c r="K2673" s="3">
        <f t="shared" si="164"/>
        <v>2023</v>
      </c>
      <c r="L2673" s="6">
        <f t="shared" si="165"/>
        <v>44986</v>
      </c>
      <c r="M2673" s="3" t="str">
        <f t="shared" si="166"/>
        <v>0% to 5%</v>
      </c>
      <c r="N2673" s="3" t="str">
        <f t="shared" si="167"/>
        <v>OK</v>
      </c>
    </row>
    <row r="2674" spans="1:14" x14ac:dyDescent="0.3">
      <c r="A2674" s="2">
        <f>DATE(VALUE(RIGHT(TRIM([1]Raw_Data!A2672),4)),VALUE(MID(TRIM([1]Raw_Data!A2672),4,2)),VALUE(LEFT(TRIM([1]Raw_Data!A2672),2)))</f>
        <v>44998</v>
      </c>
      <c r="B2674" s="3" t="str">
        <f>TRIM([1]Raw_Data!B2672)</f>
        <v>Iron Supplement</v>
      </c>
      <c r="C2674" s="3" t="str">
        <f>TRIM([1]Raw_Data!C2672)</f>
        <v>Mineral</v>
      </c>
      <c r="D2674" s="3">
        <f>[1]Raw_Data!D2672</f>
        <v>136</v>
      </c>
      <c r="E2674" s="4">
        <f>[1]Raw_Data!E2672</f>
        <v>26.47</v>
      </c>
      <c r="F2674" s="5">
        <f>[1]Raw_Data!F2672</f>
        <v>3599.92</v>
      </c>
      <c r="G2674" s="4">
        <f>[1]Raw_Data!G2672</f>
        <v>0.09</v>
      </c>
      <c r="H2674" s="3">
        <f>[1]Raw_Data!H2672</f>
        <v>0</v>
      </c>
      <c r="I2674" s="3" t="str">
        <f>TRIM([1]Raw_Data!I2672)</f>
        <v>Canada</v>
      </c>
      <c r="J2674" s="3" t="str">
        <f>TRIM([1]Raw_Data!J2672)</f>
        <v>iHerb</v>
      </c>
      <c r="K2674" s="3">
        <f t="shared" si="164"/>
        <v>2023</v>
      </c>
      <c r="L2674" s="6">
        <f t="shared" si="165"/>
        <v>44986</v>
      </c>
      <c r="M2674" s="3" t="str">
        <f t="shared" si="166"/>
        <v>6% to 10%</v>
      </c>
      <c r="N2674" s="3" t="str">
        <f t="shared" si="167"/>
        <v>OK</v>
      </c>
    </row>
    <row r="2675" spans="1:14" x14ac:dyDescent="0.3">
      <c r="A2675" s="2">
        <f>DATE(VALUE(RIGHT(TRIM([1]Raw_Data!A2673),4)),VALUE(MID(TRIM([1]Raw_Data!A2673),4,2)),VALUE(LEFT(TRIM([1]Raw_Data!A2673),2)))</f>
        <v>44998</v>
      </c>
      <c r="B2675" s="3" t="str">
        <f>TRIM([1]Raw_Data!B2673)</f>
        <v>Electrolyte Powder</v>
      </c>
      <c r="C2675" s="3" t="str">
        <f>TRIM([1]Raw_Data!C2673)</f>
        <v>Hydration</v>
      </c>
      <c r="D2675" s="3">
        <f>[1]Raw_Data!D2673</f>
        <v>144</v>
      </c>
      <c r="E2675" s="4">
        <f>[1]Raw_Data!E2673</f>
        <v>11.28</v>
      </c>
      <c r="F2675" s="5">
        <f>[1]Raw_Data!F2673</f>
        <v>1624.32</v>
      </c>
      <c r="G2675" s="4">
        <f>[1]Raw_Data!G2673</f>
        <v>0.1</v>
      </c>
      <c r="H2675" s="3">
        <f>[1]Raw_Data!H2673</f>
        <v>0</v>
      </c>
      <c r="I2675" s="3" t="str">
        <f>TRIM([1]Raw_Data!I2673)</f>
        <v>UK</v>
      </c>
      <c r="J2675" s="3" t="str">
        <f>TRIM([1]Raw_Data!J2673)</f>
        <v>Walmart</v>
      </c>
      <c r="K2675" s="3">
        <f t="shared" si="164"/>
        <v>2023</v>
      </c>
      <c r="L2675" s="6">
        <f t="shared" si="165"/>
        <v>44986</v>
      </c>
      <c r="M2675" s="3" t="str">
        <f t="shared" si="166"/>
        <v>6% to 10%</v>
      </c>
      <c r="N2675" s="3" t="str">
        <f t="shared" si="167"/>
        <v>OK</v>
      </c>
    </row>
    <row r="2676" spans="1:14" x14ac:dyDescent="0.3">
      <c r="A2676" s="2">
        <f>DATE(VALUE(RIGHT(TRIM([1]Raw_Data!A2674),4)),VALUE(MID(TRIM([1]Raw_Data!A2674),4,2)),VALUE(LEFT(TRIM([1]Raw_Data!A2674),2)))</f>
        <v>45005</v>
      </c>
      <c r="B2676" s="3" t="str">
        <f>TRIM([1]Raw_Data!B2674)</f>
        <v>Whey Protein</v>
      </c>
      <c r="C2676" s="3" t="str">
        <f>TRIM([1]Raw_Data!C2674)</f>
        <v>Protein</v>
      </c>
      <c r="D2676" s="3">
        <f>[1]Raw_Data!D2674</f>
        <v>145</v>
      </c>
      <c r="E2676" s="4">
        <f>[1]Raw_Data!E2674</f>
        <v>22.61</v>
      </c>
      <c r="F2676" s="5">
        <f>[1]Raw_Data!F2674</f>
        <v>3278.45</v>
      </c>
      <c r="G2676" s="4">
        <f>[1]Raw_Data!G2674</f>
        <v>0.22</v>
      </c>
      <c r="H2676" s="3">
        <f>[1]Raw_Data!H2674</f>
        <v>1</v>
      </c>
      <c r="I2676" s="3" t="str">
        <f>TRIM([1]Raw_Data!I2674)</f>
        <v>Canada</v>
      </c>
      <c r="J2676" s="3" t="str">
        <f>TRIM([1]Raw_Data!J2674)</f>
        <v>Amazon</v>
      </c>
      <c r="K2676" s="3">
        <f t="shared" si="164"/>
        <v>2023</v>
      </c>
      <c r="L2676" s="6">
        <f t="shared" si="165"/>
        <v>44986</v>
      </c>
      <c r="M2676" s="3" t="str">
        <f t="shared" si="166"/>
        <v>21% to 25%</v>
      </c>
      <c r="N2676" s="3" t="str">
        <f t="shared" si="167"/>
        <v>OK</v>
      </c>
    </row>
    <row r="2677" spans="1:14" x14ac:dyDescent="0.3">
      <c r="A2677" s="2">
        <f>DATE(VALUE(RIGHT(TRIM([1]Raw_Data!A2675),4)),VALUE(MID(TRIM([1]Raw_Data!A2675),4,2)),VALUE(LEFT(TRIM([1]Raw_Data!A2675),2)))</f>
        <v>45005</v>
      </c>
      <c r="B2677" s="3" t="str">
        <f>TRIM([1]Raw_Data!B2675)</f>
        <v>Vitamin C</v>
      </c>
      <c r="C2677" s="3" t="str">
        <f>TRIM([1]Raw_Data!C2675)</f>
        <v>Vitamin</v>
      </c>
      <c r="D2677" s="3">
        <f>[1]Raw_Data!D2675</f>
        <v>141</v>
      </c>
      <c r="E2677" s="4">
        <f>[1]Raw_Data!E2675</f>
        <v>17.11</v>
      </c>
      <c r="F2677" s="5">
        <f>[1]Raw_Data!F2675</f>
        <v>2412.5100000000002</v>
      </c>
      <c r="G2677" s="4">
        <f>[1]Raw_Data!G2675</f>
        <v>0.06</v>
      </c>
      <c r="H2677" s="3">
        <f>[1]Raw_Data!H2675</f>
        <v>1</v>
      </c>
      <c r="I2677" s="3" t="str">
        <f>TRIM([1]Raw_Data!I2675)</f>
        <v>UK</v>
      </c>
      <c r="J2677" s="3" t="str">
        <f>TRIM([1]Raw_Data!J2675)</f>
        <v>Walmart</v>
      </c>
      <c r="K2677" s="3">
        <f t="shared" si="164"/>
        <v>2023</v>
      </c>
      <c r="L2677" s="6">
        <f t="shared" si="165"/>
        <v>44986</v>
      </c>
      <c r="M2677" s="3" t="str">
        <f t="shared" si="166"/>
        <v>6% to 10%</v>
      </c>
      <c r="N2677" s="3" t="str">
        <f t="shared" si="167"/>
        <v>OK</v>
      </c>
    </row>
    <row r="2678" spans="1:14" x14ac:dyDescent="0.3">
      <c r="A2678" s="2">
        <f>DATE(VALUE(RIGHT(TRIM([1]Raw_Data!A2676),4)),VALUE(MID(TRIM([1]Raw_Data!A2676),4,2)),VALUE(LEFT(TRIM([1]Raw_Data!A2676),2)))</f>
        <v>45005</v>
      </c>
      <c r="B2678" s="3" t="str">
        <f>TRIM([1]Raw_Data!B2676)</f>
        <v>Fish Oil</v>
      </c>
      <c r="C2678" s="3" t="str">
        <f>TRIM([1]Raw_Data!C2676)</f>
        <v>Omega</v>
      </c>
      <c r="D2678" s="3">
        <f>[1]Raw_Data!D2676</f>
        <v>140</v>
      </c>
      <c r="E2678" s="4">
        <f>[1]Raw_Data!E2676</f>
        <v>34.57</v>
      </c>
      <c r="F2678" s="5">
        <f>[1]Raw_Data!F2676</f>
        <v>4839.8</v>
      </c>
      <c r="G2678" s="4">
        <f>[1]Raw_Data!G2676</f>
        <v>0.19</v>
      </c>
      <c r="H2678" s="3">
        <f>[1]Raw_Data!H2676</f>
        <v>4</v>
      </c>
      <c r="I2678" s="3" t="str">
        <f>TRIM([1]Raw_Data!I2676)</f>
        <v>USA</v>
      </c>
      <c r="J2678" s="3" t="str">
        <f>TRIM([1]Raw_Data!J2676)</f>
        <v>Walmart</v>
      </c>
      <c r="K2678" s="3">
        <f t="shared" si="164"/>
        <v>2023</v>
      </c>
      <c r="L2678" s="6">
        <f t="shared" si="165"/>
        <v>44986</v>
      </c>
      <c r="M2678" s="3" t="str">
        <f t="shared" si="166"/>
        <v>16% to 20%</v>
      </c>
      <c r="N2678" s="3" t="str">
        <f t="shared" si="167"/>
        <v>OK</v>
      </c>
    </row>
    <row r="2679" spans="1:14" x14ac:dyDescent="0.3">
      <c r="A2679" s="2">
        <f>DATE(VALUE(RIGHT(TRIM([1]Raw_Data!A2677),4)),VALUE(MID(TRIM([1]Raw_Data!A2677),4,2)),VALUE(LEFT(TRIM([1]Raw_Data!A2677),2)))</f>
        <v>45005</v>
      </c>
      <c r="B2679" s="3" t="str">
        <f>TRIM([1]Raw_Data!B2677)</f>
        <v>Multivitamin</v>
      </c>
      <c r="C2679" s="3" t="str">
        <f>TRIM([1]Raw_Data!C2677)</f>
        <v>Vitamin</v>
      </c>
      <c r="D2679" s="3">
        <f>[1]Raw_Data!D2677</f>
        <v>133</v>
      </c>
      <c r="E2679" s="4">
        <f>[1]Raw_Data!E2677</f>
        <v>25.98</v>
      </c>
      <c r="F2679" s="5">
        <f>[1]Raw_Data!F2677</f>
        <v>3455.34</v>
      </c>
      <c r="G2679" s="4">
        <f>[1]Raw_Data!G2677</f>
        <v>0.04</v>
      </c>
      <c r="H2679" s="3">
        <f>[1]Raw_Data!H2677</f>
        <v>2</v>
      </c>
      <c r="I2679" s="3" t="str">
        <f>TRIM([1]Raw_Data!I2677)</f>
        <v>USA</v>
      </c>
      <c r="J2679" s="3" t="str">
        <f>TRIM([1]Raw_Data!J2677)</f>
        <v>Walmart</v>
      </c>
      <c r="K2679" s="3">
        <f t="shared" si="164"/>
        <v>2023</v>
      </c>
      <c r="L2679" s="6">
        <f t="shared" si="165"/>
        <v>44986</v>
      </c>
      <c r="M2679" s="3" t="str">
        <f t="shared" si="166"/>
        <v>0% to 5%</v>
      </c>
      <c r="N2679" s="3" t="str">
        <f t="shared" si="167"/>
        <v>OK</v>
      </c>
    </row>
    <row r="2680" spans="1:14" x14ac:dyDescent="0.3">
      <c r="A2680" s="2">
        <f>DATE(VALUE(RIGHT(TRIM([1]Raw_Data!A2678),4)),VALUE(MID(TRIM([1]Raw_Data!A2678),4,2)),VALUE(LEFT(TRIM([1]Raw_Data!A2678),2)))</f>
        <v>45005</v>
      </c>
      <c r="B2680" s="3" t="str">
        <f>TRIM([1]Raw_Data!B2678)</f>
        <v>Pre-Workout</v>
      </c>
      <c r="C2680" s="3" t="str">
        <f>TRIM([1]Raw_Data!C2678)</f>
        <v>Performance</v>
      </c>
      <c r="D2680" s="3">
        <f>[1]Raw_Data!D2678</f>
        <v>160</v>
      </c>
      <c r="E2680" s="4">
        <f>[1]Raw_Data!E2678</f>
        <v>36.89</v>
      </c>
      <c r="F2680" s="5">
        <f>[1]Raw_Data!F2678</f>
        <v>5902.4</v>
      </c>
      <c r="G2680" s="4">
        <f>[1]Raw_Data!G2678</f>
        <v>0.01</v>
      </c>
      <c r="H2680" s="3">
        <f>[1]Raw_Data!H2678</f>
        <v>2</v>
      </c>
      <c r="I2680" s="3" t="str">
        <f>TRIM([1]Raw_Data!I2678)</f>
        <v>USA</v>
      </c>
      <c r="J2680" s="3" t="str">
        <f>TRIM([1]Raw_Data!J2678)</f>
        <v>Walmart</v>
      </c>
      <c r="K2680" s="3">
        <f t="shared" si="164"/>
        <v>2023</v>
      </c>
      <c r="L2680" s="6">
        <f t="shared" si="165"/>
        <v>44986</v>
      </c>
      <c r="M2680" s="3" t="str">
        <f t="shared" si="166"/>
        <v>0% to 5%</v>
      </c>
      <c r="N2680" s="3" t="str">
        <f t="shared" si="167"/>
        <v>OK</v>
      </c>
    </row>
    <row r="2681" spans="1:14" x14ac:dyDescent="0.3">
      <c r="A2681" s="2">
        <f>DATE(VALUE(RIGHT(TRIM([1]Raw_Data!A2679),4)),VALUE(MID(TRIM([1]Raw_Data!A2679),4,2)),VALUE(LEFT(TRIM([1]Raw_Data!A2679),2)))</f>
        <v>45005</v>
      </c>
      <c r="B2681" s="3" t="str">
        <f>TRIM([1]Raw_Data!B2679)</f>
        <v>BCAA</v>
      </c>
      <c r="C2681" s="3" t="str">
        <f>TRIM([1]Raw_Data!C2679)</f>
        <v>Amino Acid</v>
      </c>
      <c r="D2681" s="3">
        <f>[1]Raw_Data!D2679</f>
        <v>161</v>
      </c>
      <c r="E2681" s="4">
        <f>[1]Raw_Data!E2679</f>
        <v>23.27</v>
      </c>
      <c r="F2681" s="5">
        <f>[1]Raw_Data!F2679</f>
        <v>3746.47</v>
      </c>
      <c r="G2681" s="4">
        <f>[1]Raw_Data!G2679</f>
        <v>0.17</v>
      </c>
      <c r="H2681" s="3">
        <f>[1]Raw_Data!H2679</f>
        <v>1</v>
      </c>
      <c r="I2681" s="3" t="str">
        <f>TRIM([1]Raw_Data!I2679)</f>
        <v>Canada</v>
      </c>
      <c r="J2681" s="3" t="str">
        <f>TRIM([1]Raw_Data!J2679)</f>
        <v>iHerb</v>
      </c>
      <c r="K2681" s="3">
        <f t="shared" si="164"/>
        <v>2023</v>
      </c>
      <c r="L2681" s="6">
        <f t="shared" si="165"/>
        <v>44986</v>
      </c>
      <c r="M2681" s="3" t="str">
        <f t="shared" si="166"/>
        <v>16% to 20%</v>
      </c>
      <c r="N2681" s="3" t="str">
        <f t="shared" si="167"/>
        <v>OK</v>
      </c>
    </row>
    <row r="2682" spans="1:14" x14ac:dyDescent="0.3">
      <c r="A2682" s="2">
        <f>DATE(VALUE(RIGHT(TRIM([1]Raw_Data!A2680),4)),VALUE(MID(TRIM([1]Raw_Data!A2680),4,2)),VALUE(LEFT(TRIM([1]Raw_Data!A2680),2)))</f>
        <v>45005</v>
      </c>
      <c r="B2682" s="3" t="str">
        <f>TRIM([1]Raw_Data!B2680)</f>
        <v>Creatine</v>
      </c>
      <c r="C2682" s="3" t="str">
        <f>TRIM([1]Raw_Data!C2680)</f>
        <v>Performance</v>
      </c>
      <c r="D2682" s="3">
        <f>[1]Raw_Data!D2680</f>
        <v>152</v>
      </c>
      <c r="E2682" s="4">
        <f>[1]Raw_Data!E2680</f>
        <v>29.06</v>
      </c>
      <c r="F2682" s="5">
        <f>[1]Raw_Data!F2680</f>
        <v>4417.12</v>
      </c>
      <c r="G2682" s="4">
        <f>[1]Raw_Data!G2680</f>
        <v>0.18</v>
      </c>
      <c r="H2682" s="3">
        <f>[1]Raw_Data!H2680</f>
        <v>3</v>
      </c>
      <c r="I2682" s="3" t="str">
        <f>TRIM([1]Raw_Data!I2680)</f>
        <v>UK</v>
      </c>
      <c r="J2682" s="3" t="str">
        <f>TRIM([1]Raw_Data!J2680)</f>
        <v>iHerb</v>
      </c>
      <c r="K2682" s="3">
        <f t="shared" si="164"/>
        <v>2023</v>
      </c>
      <c r="L2682" s="6">
        <f t="shared" si="165"/>
        <v>44986</v>
      </c>
      <c r="M2682" s="3" t="str">
        <f t="shared" si="166"/>
        <v>16% to 20%</v>
      </c>
      <c r="N2682" s="3" t="str">
        <f t="shared" si="167"/>
        <v>OK</v>
      </c>
    </row>
    <row r="2683" spans="1:14" x14ac:dyDescent="0.3">
      <c r="A2683" s="2">
        <f>DATE(VALUE(RIGHT(TRIM([1]Raw_Data!A2681),4)),VALUE(MID(TRIM([1]Raw_Data!A2681),4,2)),VALUE(LEFT(TRIM([1]Raw_Data!A2681),2)))</f>
        <v>45005</v>
      </c>
      <c r="B2683" s="3" t="str">
        <f>TRIM([1]Raw_Data!B2681)</f>
        <v>Zinc</v>
      </c>
      <c r="C2683" s="3" t="str">
        <f>TRIM([1]Raw_Data!C2681)</f>
        <v>Mineral</v>
      </c>
      <c r="D2683" s="3">
        <f>[1]Raw_Data!D2681</f>
        <v>150</v>
      </c>
      <c r="E2683" s="4">
        <f>[1]Raw_Data!E2681</f>
        <v>52.78</v>
      </c>
      <c r="F2683" s="5">
        <f>[1]Raw_Data!F2681</f>
        <v>7917</v>
      </c>
      <c r="G2683" s="4">
        <f>[1]Raw_Data!G2681</f>
        <v>0.12</v>
      </c>
      <c r="H2683" s="3">
        <f>[1]Raw_Data!H2681</f>
        <v>3</v>
      </c>
      <c r="I2683" s="3" t="str">
        <f>TRIM([1]Raw_Data!I2681)</f>
        <v>USA</v>
      </c>
      <c r="J2683" s="3" t="str">
        <f>TRIM([1]Raw_Data!J2681)</f>
        <v>iHerb</v>
      </c>
      <c r="K2683" s="3">
        <f t="shared" si="164"/>
        <v>2023</v>
      </c>
      <c r="L2683" s="6">
        <f t="shared" si="165"/>
        <v>44986</v>
      </c>
      <c r="M2683" s="3" t="str">
        <f t="shared" si="166"/>
        <v>11% to 15%</v>
      </c>
      <c r="N2683" s="3" t="str">
        <f t="shared" si="167"/>
        <v>OK</v>
      </c>
    </row>
    <row r="2684" spans="1:14" x14ac:dyDescent="0.3">
      <c r="A2684" s="2">
        <f>DATE(VALUE(RIGHT(TRIM([1]Raw_Data!A2682),4)),VALUE(MID(TRIM([1]Raw_Data!A2682),4,2)),VALUE(LEFT(TRIM([1]Raw_Data!A2682),2)))</f>
        <v>45005</v>
      </c>
      <c r="B2684" s="3" t="str">
        <f>TRIM([1]Raw_Data!B2682)</f>
        <v>Collagen Peptides</v>
      </c>
      <c r="C2684" s="3" t="str">
        <f>TRIM([1]Raw_Data!C2682)</f>
        <v>Protein</v>
      </c>
      <c r="D2684" s="3">
        <f>[1]Raw_Data!D2682</f>
        <v>137</v>
      </c>
      <c r="E2684" s="4">
        <f>[1]Raw_Data!E2682</f>
        <v>42.87</v>
      </c>
      <c r="F2684" s="5">
        <f>[1]Raw_Data!F2682</f>
        <v>5873.19</v>
      </c>
      <c r="G2684" s="4">
        <f>[1]Raw_Data!G2682</f>
        <v>0.22</v>
      </c>
      <c r="H2684" s="3">
        <f>[1]Raw_Data!H2682</f>
        <v>3</v>
      </c>
      <c r="I2684" s="3" t="str">
        <f>TRIM([1]Raw_Data!I2682)</f>
        <v>Canada</v>
      </c>
      <c r="J2684" s="3" t="str">
        <f>TRIM([1]Raw_Data!J2682)</f>
        <v>Walmart</v>
      </c>
      <c r="K2684" s="3">
        <f t="shared" si="164"/>
        <v>2023</v>
      </c>
      <c r="L2684" s="6">
        <f t="shared" si="165"/>
        <v>44986</v>
      </c>
      <c r="M2684" s="3" t="str">
        <f t="shared" si="166"/>
        <v>21% to 25%</v>
      </c>
      <c r="N2684" s="3" t="str">
        <f t="shared" si="167"/>
        <v>OK</v>
      </c>
    </row>
    <row r="2685" spans="1:14" x14ac:dyDescent="0.3">
      <c r="A2685" s="2">
        <f>DATE(VALUE(RIGHT(TRIM([1]Raw_Data!A2683),4)),VALUE(MID(TRIM([1]Raw_Data!A2683),4,2)),VALUE(LEFT(TRIM([1]Raw_Data!A2683),2)))</f>
        <v>45005</v>
      </c>
      <c r="B2685" s="3" t="str">
        <f>TRIM([1]Raw_Data!B2683)</f>
        <v>Magnesium</v>
      </c>
      <c r="C2685" s="3" t="str">
        <f>TRIM([1]Raw_Data!C2683)</f>
        <v>Mineral</v>
      </c>
      <c r="D2685" s="3">
        <f>[1]Raw_Data!D2683</f>
        <v>155</v>
      </c>
      <c r="E2685" s="4">
        <f>[1]Raw_Data!E2683</f>
        <v>26.57</v>
      </c>
      <c r="F2685" s="5">
        <f>[1]Raw_Data!F2683</f>
        <v>4118.3500000000004</v>
      </c>
      <c r="G2685" s="4">
        <f>[1]Raw_Data!G2683</f>
        <v>0.25</v>
      </c>
      <c r="H2685" s="3">
        <f>[1]Raw_Data!H2683</f>
        <v>1</v>
      </c>
      <c r="I2685" s="3" t="str">
        <f>TRIM([1]Raw_Data!I2683)</f>
        <v>UK</v>
      </c>
      <c r="J2685" s="3" t="str">
        <f>TRIM([1]Raw_Data!J2683)</f>
        <v>Amazon</v>
      </c>
      <c r="K2685" s="3">
        <f t="shared" si="164"/>
        <v>2023</v>
      </c>
      <c r="L2685" s="6">
        <f t="shared" si="165"/>
        <v>44986</v>
      </c>
      <c r="M2685" s="3" t="str">
        <f t="shared" si="166"/>
        <v>21% to 25%</v>
      </c>
      <c r="N2685" s="3" t="str">
        <f t="shared" si="167"/>
        <v>OK</v>
      </c>
    </row>
    <row r="2686" spans="1:14" x14ac:dyDescent="0.3">
      <c r="A2686" s="2">
        <f>DATE(VALUE(RIGHT(TRIM([1]Raw_Data!A2684),4)),VALUE(MID(TRIM([1]Raw_Data!A2684),4,2)),VALUE(LEFT(TRIM([1]Raw_Data!A2684),2)))</f>
        <v>45005</v>
      </c>
      <c r="B2686" s="3" t="str">
        <f>TRIM([1]Raw_Data!B2684)</f>
        <v>Ashwagandha</v>
      </c>
      <c r="C2686" s="3" t="str">
        <f>TRIM([1]Raw_Data!C2684)</f>
        <v>Herbal</v>
      </c>
      <c r="D2686" s="3">
        <f>[1]Raw_Data!D2684</f>
        <v>159</v>
      </c>
      <c r="E2686" s="4">
        <f>[1]Raw_Data!E2684</f>
        <v>40.43</v>
      </c>
      <c r="F2686" s="5">
        <f>[1]Raw_Data!F2684</f>
        <v>6428.37</v>
      </c>
      <c r="G2686" s="4">
        <f>[1]Raw_Data!G2684</f>
        <v>0.1</v>
      </c>
      <c r="H2686" s="3">
        <f>[1]Raw_Data!H2684</f>
        <v>4</v>
      </c>
      <c r="I2686" s="3" t="str">
        <f>TRIM([1]Raw_Data!I2684)</f>
        <v>USA</v>
      </c>
      <c r="J2686" s="3" t="str">
        <f>TRIM([1]Raw_Data!J2684)</f>
        <v>Walmart</v>
      </c>
      <c r="K2686" s="3">
        <f t="shared" si="164"/>
        <v>2023</v>
      </c>
      <c r="L2686" s="6">
        <f t="shared" si="165"/>
        <v>44986</v>
      </c>
      <c r="M2686" s="3" t="str">
        <f t="shared" si="166"/>
        <v>6% to 10%</v>
      </c>
      <c r="N2686" s="3" t="str">
        <f t="shared" si="167"/>
        <v>OK</v>
      </c>
    </row>
    <row r="2687" spans="1:14" x14ac:dyDescent="0.3">
      <c r="A2687" s="2">
        <f>DATE(VALUE(RIGHT(TRIM([1]Raw_Data!A2685),4)),VALUE(MID(TRIM([1]Raw_Data!A2685),4,2)),VALUE(LEFT(TRIM([1]Raw_Data!A2685),2)))</f>
        <v>45005</v>
      </c>
      <c r="B2687" s="3" t="str">
        <f>TRIM([1]Raw_Data!B2685)</f>
        <v>Melatonin</v>
      </c>
      <c r="C2687" s="3" t="str">
        <f>TRIM([1]Raw_Data!C2685)</f>
        <v>Sleep Aid</v>
      </c>
      <c r="D2687" s="3">
        <f>[1]Raw_Data!D2685</f>
        <v>152</v>
      </c>
      <c r="E2687" s="4">
        <f>[1]Raw_Data!E2685</f>
        <v>10.38</v>
      </c>
      <c r="F2687" s="5">
        <f>[1]Raw_Data!F2685</f>
        <v>1577.76</v>
      </c>
      <c r="G2687" s="4">
        <f>[1]Raw_Data!G2685</f>
        <v>0.14000000000000001</v>
      </c>
      <c r="H2687" s="3">
        <f>[1]Raw_Data!H2685</f>
        <v>2</v>
      </c>
      <c r="I2687" s="3" t="str">
        <f>TRIM([1]Raw_Data!I2685)</f>
        <v>UK</v>
      </c>
      <c r="J2687" s="3" t="str">
        <f>TRIM([1]Raw_Data!J2685)</f>
        <v>Amazon</v>
      </c>
      <c r="K2687" s="3">
        <f t="shared" si="164"/>
        <v>2023</v>
      </c>
      <c r="L2687" s="6">
        <f t="shared" si="165"/>
        <v>44986</v>
      </c>
      <c r="M2687" s="3" t="str">
        <f t="shared" si="166"/>
        <v>11% to 15%</v>
      </c>
      <c r="N2687" s="3" t="str">
        <f t="shared" si="167"/>
        <v>OK</v>
      </c>
    </row>
    <row r="2688" spans="1:14" x14ac:dyDescent="0.3">
      <c r="A2688" s="2">
        <f>DATE(VALUE(RIGHT(TRIM([1]Raw_Data!A2686),4)),VALUE(MID(TRIM([1]Raw_Data!A2686),4,2)),VALUE(LEFT(TRIM([1]Raw_Data!A2686),2)))</f>
        <v>45005</v>
      </c>
      <c r="B2688" s="3" t="str">
        <f>TRIM([1]Raw_Data!B2686)</f>
        <v>Biotin</v>
      </c>
      <c r="C2688" s="3" t="str">
        <f>TRIM([1]Raw_Data!C2686)</f>
        <v>Vitamin</v>
      </c>
      <c r="D2688" s="3">
        <f>[1]Raw_Data!D2686</f>
        <v>149</v>
      </c>
      <c r="E2688" s="4">
        <f>[1]Raw_Data!E2686</f>
        <v>58.73</v>
      </c>
      <c r="F2688" s="5">
        <f>[1]Raw_Data!F2686</f>
        <v>8750.77</v>
      </c>
      <c r="G2688" s="4">
        <f>[1]Raw_Data!G2686</f>
        <v>0.06</v>
      </c>
      <c r="H2688" s="3">
        <f>[1]Raw_Data!H2686</f>
        <v>1</v>
      </c>
      <c r="I2688" s="3" t="str">
        <f>TRIM([1]Raw_Data!I2686)</f>
        <v>UK</v>
      </c>
      <c r="J2688" s="3" t="str">
        <f>TRIM([1]Raw_Data!J2686)</f>
        <v>Amazon</v>
      </c>
      <c r="K2688" s="3">
        <f t="shared" si="164"/>
        <v>2023</v>
      </c>
      <c r="L2688" s="6">
        <f t="shared" si="165"/>
        <v>44986</v>
      </c>
      <c r="M2688" s="3" t="str">
        <f t="shared" si="166"/>
        <v>6% to 10%</v>
      </c>
      <c r="N2688" s="3" t="str">
        <f t="shared" si="167"/>
        <v>OK</v>
      </c>
    </row>
    <row r="2689" spans="1:14" x14ac:dyDescent="0.3">
      <c r="A2689" s="2">
        <f>DATE(VALUE(RIGHT(TRIM([1]Raw_Data!A2687),4)),VALUE(MID(TRIM([1]Raw_Data!A2687),4,2)),VALUE(LEFT(TRIM([1]Raw_Data!A2687),2)))</f>
        <v>45005</v>
      </c>
      <c r="B2689" s="3" t="str">
        <f>TRIM([1]Raw_Data!B2687)</f>
        <v>Green Tea Extract</v>
      </c>
      <c r="C2689" s="3" t="str">
        <f>TRIM([1]Raw_Data!C2687)</f>
        <v>Fat Burner</v>
      </c>
      <c r="D2689" s="3">
        <f>[1]Raw_Data!D2687</f>
        <v>125</v>
      </c>
      <c r="E2689" s="4">
        <f>[1]Raw_Data!E2687</f>
        <v>29</v>
      </c>
      <c r="F2689" s="5">
        <f>[1]Raw_Data!F2687</f>
        <v>3625</v>
      </c>
      <c r="G2689" s="4">
        <f>[1]Raw_Data!G2687</f>
        <v>0.01</v>
      </c>
      <c r="H2689" s="3">
        <f>[1]Raw_Data!H2687</f>
        <v>1</v>
      </c>
      <c r="I2689" s="3" t="str">
        <f>TRIM([1]Raw_Data!I2687)</f>
        <v>UK</v>
      </c>
      <c r="J2689" s="3" t="str">
        <f>TRIM([1]Raw_Data!J2687)</f>
        <v>Amazon</v>
      </c>
      <c r="K2689" s="3">
        <f t="shared" si="164"/>
        <v>2023</v>
      </c>
      <c r="L2689" s="6">
        <f t="shared" si="165"/>
        <v>44986</v>
      </c>
      <c r="M2689" s="3" t="str">
        <f t="shared" si="166"/>
        <v>0% to 5%</v>
      </c>
      <c r="N2689" s="3" t="str">
        <f t="shared" si="167"/>
        <v>OK</v>
      </c>
    </row>
    <row r="2690" spans="1:14" x14ac:dyDescent="0.3">
      <c r="A2690" s="2">
        <f>DATE(VALUE(RIGHT(TRIM([1]Raw_Data!A2688),4)),VALUE(MID(TRIM([1]Raw_Data!A2688),4,2)),VALUE(LEFT(TRIM([1]Raw_Data!A2688),2)))</f>
        <v>45005</v>
      </c>
      <c r="B2690" s="3" t="str">
        <f>TRIM([1]Raw_Data!B2688)</f>
        <v>Iron Supplement</v>
      </c>
      <c r="C2690" s="3" t="str">
        <f>TRIM([1]Raw_Data!C2688)</f>
        <v>Mineral</v>
      </c>
      <c r="D2690" s="3">
        <f>[1]Raw_Data!D2688</f>
        <v>139</v>
      </c>
      <c r="E2690" s="4">
        <f>[1]Raw_Data!E2688</f>
        <v>59.37</v>
      </c>
      <c r="F2690" s="5">
        <f>[1]Raw_Data!F2688</f>
        <v>8252.43</v>
      </c>
      <c r="G2690" s="4">
        <f>[1]Raw_Data!G2688</f>
        <v>0.2</v>
      </c>
      <c r="H2690" s="3">
        <f>[1]Raw_Data!H2688</f>
        <v>5</v>
      </c>
      <c r="I2690" s="3" t="str">
        <f>TRIM([1]Raw_Data!I2688)</f>
        <v>Canada</v>
      </c>
      <c r="J2690" s="3" t="str">
        <f>TRIM([1]Raw_Data!J2688)</f>
        <v>Walmart</v>
      </c>
      <c r="K2690" s="3">
        <f t="shared" si="164"/>
        <v>2023</v>
      </c>
      <c r="L2690" s="6">
        <f t="shared" si="165"/>
        <v>44986</v>
      </c>
      <c r="M2690" s="3" t="str">
        <f t="shared" si="166"/>
        <v>16% to 20%</v>
      </c>
      <c r="N2690" s="3" t="str">
        <f t="shared" si="167"/>
        <v>OK</v>
      </c>
    </row>
    <row r="2691" spans="1:14" x14ac:dyDescent="0.3">
      <c r="A2691" s="2">
        <f>DATE(VALUE(RIGHT(TRIM([1]Raw_Data!A2689),4)),VALUE(MID(TRIM([1]Raw_Data!A2689),4,2)),VALUE(LEFT(TRIM([1]Raw_Data!A2689),2)))</f>
        <v>45005</v>
      </c>
      <c r="B2691" s="3" t="str">
        <f>TRIM([1]Raw_Data!B2689)</f>
        <v>Electrolyte Powder</v>
      </c>
      <c r="C2691" s="3" t="str">
        <f>TRIM([1]Raw_Data!C2689)</f>
        <v>Hydration</v>
      </c>
      <c r="D2691" s="3">
        <f>[1]Raw_Data!D2689</f>
        <v>157</v>
      </c>
      <c r="E2691" s="4">
        <f>[1]Raw_Data!E2689</f>
        <v>32.06</v>
      </c>
      <c r="F2691" s="5">
        <f>[1]Raw_Data!F2689</f>
        <v>5033.42</v>
      </c>
      <c r="G2691" s="4">
        <f>[1]Raw_Data!G2689</f>
        <v>0.2</v>
      </c>
      <c r="H2691" s="3">
        <f>[1]Raw_Data!H2689</f>
        <v>1</v>
      </c>
      <c r="I2691" s="3" t="str">
        <f>TRIM([1]Raw_Data!I2689)</f>
        <v>USA</v>
      </c>
      <c r="J2691" s="3" t="str">
        <f>TRIM([1]Raw_Data!J2689)</f>
        <v>Amazon</v>
      </c>
      <c r="K2691" s="3">
        <f t="shared" si="164"/>
        <v>2023</v>
      </c>
      <c r="L2691" s="6">
        <f t="shared" si="165"/>
        <v>44986</v>
      </c>
      <c r="M2691" s="3" t="str">
        <f t="shared" si="166"/>
        <v>16% to 20%</v>
      </c>
      <c r="N2691" s="3" t="str">
        <f t="shared" si="167"/>
        <v>OK</v>
      </c>
    </row>
    <row r="2692" spans="1:14" x14ac:dyDescent="0.3">
      <c r="A2692" s="2">
        <f>DATE(VALUE(RIGHT(TRIM([1]Raw_Data!A2690),4)),VALUE(MID(TRIM([1]Raw_Data!A2690),4,2)),VALUE(LEFT(TRIM([1]Raw_Data!A2690),2)))</f>
        <v>45012</v>
      </c>
      <c r="B2692" s="3" t="str">
        <f>TRIM([1]Raw_Data!B2690)</f>
        <v>Whey Protein</v>
      </c>
      <c r="C2692" s="3" t="str">
        <f>TRIM([1]Raw_Data!C2690)</f>
        <v>Protein</v>
      </c>
      <c r="D2692" s="3">
        <f>[1]Raw_Data!D2690</f>
        <v>157</v>
      </c>
      <c r="E2692" s="4">
        <f>[1]Raw_Data!E2690</f>
        <v>22.67</v>
      </c>
      <c r="F2692" s="5">
        <f>[1]Raw_Data!F2690</f>
        <v>3559.19</v>
      </c>
      <c r="G2692" s="4">
        <f>[1]Raw_Data!G2690</f>
        <v>0.22</v>
      </c>
      <c r="H2692" s="3">
        <f>[1]Raw_Data!H2690</f>
        <v>1</v>
      </c>
      <c r="I2692" s="3" t="str">
        <f>TRIM([1]Raw_Data!I2690)</f>
        <v>UK</v>
      </c>
      <c r="J2692" s="3" t="str">
        <f>TRIM([1]Raw_Data!J2690)</f>
        <v>Walmart</v>
      </c>
      <c r="K2692" s="3">
        <f t="shared" ref="K2692:K2755" si="168">YEAR(A2692)</f>
        <v>2023</v>
      </c>
      <c r="L2692" s="6">
        <f t="shared" ref="L2692:L2755" si="169">DATE(YEAR(A2692),MONTH(A2692),1)</f>
        <v>44986</v>
      </c>
      <c r="M2692" s="3" t="str">
        <f t="shared" ref="M2692:M2755" si="170">IF(ROUND(G2692*100,0)&lt;=5,"0% to 5%",IF(ROUND(G2692*100,0)&lt;=10,"6% to 10%",IF(ROUND(G2692*100,0)&lt;=15,"11% to 15%",IF(ROUND(G2692*100,0)&lt;=20,"16% to 20%","21% to 25%"))))</f>
        <v>21% to 25%</v>
      </c>
      <c r="N2692" s="3" t="str">
        <f t="shared" ref="N2692:N2755" si="171">IF(ROUND(D2692*E2692,2)=ROUND(F2692,2),"OK","Check")</f>
        <v>OK</v>
      </c>
    </row>
    <row r="2693" spans="1:14" x14ac:dyDescent="0.3">
      <c r="A2693" s="2">
        <f>DATE(VALUE(RIGHT(TRIM([1]Raw_Data!A2691),4)),VALUE(MID(TRIM([1]Raw_Data!A2691),4,2)),VALUE(LEFT(TRIM([1]Raw_Data!A2691),2)))</f>
        <v>45012</v>
      </c>
      <c r="B2693" s="3" t="str">
        <f>TRIM([1]Raw_Data!B2691)</f>
        <v>Vitamin C</v>
      </c>
      <c r="C2693" s="3" t="str">
        <f>TRIM([1]Raw_Data!C2691)</f>
        <v>Vitamin</v>
      </c>
      <c r="D2693" s="3">
        <f>[1]Raw_Data!D2691</f>
        <v>139</v>
      </c>
      <c r="E2693" s="4">
        <f>[1]Raw_Data!E2691</f>
        <v>30.89</v>
      </c>
      <c r="F2693" s="5">
        <f>[1]Raw_Data!F2691</f>
        <v>4293.71</v>
      </c>
      <c r="G2693" s="4">
        <f>[1]Raw_Data!G2691</f>
        <v>0.19</v>
      </c>
      <c r="H2693" s="3">
        <f>[1]Raw_Data!H2691</f>
        <v>1</v>
      </c>
      <c r="I2693" s="3" t="str">
        <f>TRIM([1]Raw_Data!I2691)</f>
        <v>Canada</v>
      </c>
      <c r="J2693" s="3" t="str">
        <f>TRIM([1]Raw_Data!J2691)</f>
        <v>iHerb</v>
      </c>
      <c r="K2693" s="3">
        <f t="shared" si="168"/>
        <v>2023</v>
      </c>
      <c r="L2693" s="6">
        <f t="shared" si="169"/>
        <v>44986</v>
      </c>
      <c r="M2693" s="3" t="str">
        <f t="shared" si="170"/>
        <v>16% to 20%</v>
      </c>
      <c r="N2693" s="3" t="str">
        <f t="shared" si="171"/>
        <v>OK</v>
      </c>
    </row>
    <row r="2694" spans="1:14" x14ac:dyDescent="0.3">
      <c r="A2694" s="2">
        <f>DATE(VALUE(RIGHT(TRIM([1]Raw_Data!A2692),4)),VALUE(MID(TRIM([1]Raw_Data!A2692),4,2)),VALUE(LEFT(TRIM([1]Raw_Data!A2692),2)))</f>
        <v>45012</v>
      </c>
      <c r="B2694" s="3" t="str">
        <f>TRIM([1]Raw_Data!B2692)</f>
        <v>Fish Oil</v>
      </c>
      <c r="C2694" s="3" t="str">
        <f>TRIM([1]Raw_Data!C2692)</f>
        <v>Omega</v>
      </c>
      <c r="D2694" s="3">
        <f>[1]Raw_Data!D2692</f>
        <v>146</v>
      </c>
      <c r="E2694" s="4">
        <f>[1]Raw_Data!E2692</f>
        <v>39.22</v>
      </c>
      <c r="F2694" s="5">
        <f>[1]Raw_Data!F2692</f>
        <v>5726.12</v>
      </c>
      <c r="G2694" s="4">
        <f>[1]Raw_Data!G2692</f>
        <v>0.1</v>
      </c>
      <c r="H2694" s="3">
        <f>[1]Raw_Data!H2692</f>
        <v>0</v>
      </c>
      <c r="I2694" s="3" t="str">
        <f>TRIM([1]Raw_Data!I2692)</f>
        <v>Canada</v>
      </c>
      <c r="J2694" s="3" t="str">
        <f>TRIM([1]Raw_Data!J2692)</f>
        <v>iHerb</v>
      </c>
      <c r="K2694" s="3">
        <f t="shared" si="168"/>
        <v>2023</v>
      </c>
      <c r="L2694" s="6">
        <f t="shared" si="169"/>
        <v>44986</v>
      </c>
      <c r="M2694" s="3" t="str">
        <f t="shared" si="170"/>
        <v>6% to 10%</v>
      </c>
      <c r="N2694" s="3" t="str">
        <f t="shared" si="171"/>
        <v>OK</v>
      </c>
    </row>
    <row r="2695" spans="1:14" x14ac:dyDescent="0.3">
      <c r="A2695" s="2">
        <f>DATE(VALUE(RIGHT(TRIM([1]Raw_Data!A2693),4)),VALUE(MID(TRIM([1]Raw_Data!A2693),4,2)),VALUE(LEFT(TRIM([1]Raw_Data!A2693),2)))</f>
        <v>45012</v>
      </c>
      <c r="B2695" s="3" t="str">
        <f>TRIM([1]Raw_Data!B2693)</f>
        <v>Multivitamin</v>
      </c>
      <c r="C2695" s="3" t="str">
        <f>TRIM([1]Raw_Data!C2693)</f>
        <v>Vitamin</v>
      </c>
      <c r="D2695" s="3">
        <f>[1]Raw_Data!D2693</f>
        <v>168</v>
      </c>
      <c r="E2695" s="4">
        <f>[1]Raw_Data!E2693</f>
        <v>53.16</v>
      </c>
      <c r="F2695" s="5">
        <f>[1]Raw_Data!F2693</f>
        <v>8930.8799999999992</v>
      </c>
      <c r="G2695" s="4">
        <f>[1]Raw_Data!G2693</f>
        <v>0.09</v>
      </c>
      <c r="H2695" s="3">
        <f>[1]Raw_Data!H2693</f>
        <v>2</v>
      </c>
      <c r="I2695" s="3" t="str">
        <f>TRIM([1]Raw_Data!I2693)</f>
        <v>UK</v>
      </c>
      <c r="J2695" s="3" t="str">
        <f>TRIM([1]Raw_Data!J2693)</f>
        <v>iHerb</v>
      </c>
      <c r="K2695" s="3">
        <f t="shared" si="168"/>
        <v>2023</v>
      </c>
      <c r="L2695" s="6">
        <f t="shared" si="169"/>
        <v>44986</v>
      </c>
      <c r="M2695" s="3" t="str">
        <f t="shared" si="170"/>
        <v>6% to 10%</v>
      </c>
      <c r="N2695" s="3" t="str">
        <f t="shared" si="171"/>
        <v>OK</v>
      </c>
    </row>
    <row r="2696" spans="1:14" x14ac:dyDescent="0.3">
      <c r="A2696" s="2">
        <f>DATE(VALUE(RIGHT(TRIM([1]Raw_Data!A2694),4)),VALUE(MID(TRIM([1]Raw_Data!A2694),4,2)),VALUE(LEFT(TRIM([1]Raw_Data!A2694),2)))</f>
        <v>45012</v>
      </c>
      <c r="B2696" s="3" t="str">
        <f>TRIM([1]Raw_Data!B2694)</f>
        <v>Pre-Workout</v>
      </c>
      <c r="C2696" s="3" t="str">
        <f>TRIM([1]Raw_Data!C2694)</f>
        <v>Performance</v>
      </c>
      <c r="D2696" s="3">
        <f>[1]Raw_Data!D2694</f>
        <v>171</v>
      </c>
      <c r="E2696" s="4">
        <f>[1]Raw_Data!E2694</f>
        <v>38.35</v>
      </c>
      <c r="F2696" s="5">
        <f>[1]Raw_Data!F2694</f>
        <v>6557.85</v>
      </c>
      <c r="G2696" s="4">
        <f>[1]Raw_Data!G2694</f>
        <v>0.19</v>
      </c>
      <c r="H2696" s="3">
        <f>[1]Raw_Data!H2694</f>
        <v>3</v>
      </c>
      <c r="I2696" s="3" t="str">
        <f>TRIM([1]Raw_Data!I2694)</f>
        <v>USA</v>
      </c>
      <c r="J2696" s="3" t="str">
        <f>TRIM([1]Raw_Data!J2694)</f>
        <v>iHerb</v>
      </c>
      <c r="K2696" s="3">
        <f t="shared" si="168"/>
        <v>2023</v>
      </c>
      <c r="L2696" s="6">
        <f t="shared" si="169"/>
        <v>44986</v>
      </c>
      <c r="M2696" s="3" t="str">
        <f t="shared" si="170"/>
        <v>16% to 20%</v>
      </c>
      <c r="N2696" s="3" t="str">
        <f t="shared" si="171"/>
        <v>OK</v>
      </c>
    </row>
    <row r="2697" spans="1:14" x14ac:dyDescent="0.3">
      <c r="A2697" s="2">
        <f>DATE(VALUE(RIGHT(TRIM([1]Raw_Data!A2695),4)),VALUE(MID(TRIM([1]Raw_Data!A2695),4,2)),VALUE(LEFT(TRIM([1]Raw_Data!A2695),2)))</f>
        <v>45012</v>
      </c>
      <c r="B2697" s="3" t="str">
        <f>TRIM([1]Raw_Data!B2695)</f>
        <v>BCAA</v>
      </c>
      <c r="C2697" s="3" t="str">
        <f>TRIM([1]Raw_Data!C2695)</f>
        <v>Amino Acid</v>
      </c>
      <c r="D2697" s="3">
        <f>[1]Raw_Data!D2695</f>
        <v>151</v>
      </c>
      <c r="E2697" s="4">
        <f>[1]Raw_Data!E2695</f>
        <v>47.88</v>
      </c>
      <c r="F2697" s="5">
        <f>[1]Raw_Data!F2695</f>
        <v>7229.88</v>
      </c>
      <c r="G2697" s="4">
        <f>[1]Raw_Data!G2695</f>
        <v>0.21</v>
      </c>
      <c r="H2697" s="3">
        <f>[1]Raw_Data!H2695</f>
        <v>2</v>
      </c>
      <c r="I2697" s="3" t="str">
        <f>TRIM([1]Raw_Data!I2695)</f>
        <v>USA</v>
      </c>
      <c r="J2697" s="3" t="str">
        <f>TRIM([1]Raw_Data!J2695)</f>
        <v>iHerb</v>
      </c>
      <c r="K2697" s="3">
        <f t="shared" si="168"/>
        <v>2023</v>
      </c>
      <c r="L2697" s="6">
        <f t="shared" si="169"/>
        <v>44986</v>
      </c>
      <c r="M2697" s="3" t="str">
        <f t="shared" si="170"/>
        <v>21% to 25%</v>
      </c>
      <c r="N2697" s="3" t="str">
        <f t="shared" si="171"/>
        <v>OK</v>
      </c>
    </row>
    <row r="2698" spans="1:14" x14ac:dyDescent="0.3">
      <c r="A2698" s="2">
        <f>DATE(VALUE(RIGHT(TRIM([1]Raw_Data!A2696),4)),VALUE(MID(TRIM([1]Raw_Data!A2696),4,2)),VALUE(LEFT(TRIM([1]Raw_Data!A2696),2)))</f>
        <v>45012</v>
      </c>
      <c r="B2698" s="3" t="str">
        <f>TRIM([1]Raw_Data!B2696)</f>
        <v>Creatine</v>
      </c>
      <c r="C2698" s="3" t="str">
        <f>TRIM([1]Raw_Data!C2696)</f>
        <v>Performance</v>
      </c>
      <c r="D2698" s="3">
        <f>[1]Raw_Data!D2696</f>
        <v>148</v>
      </c>
      <c r="E2698" s="4">
        <f>[1]Raw_Data!E2696</f>
        <v>28.13</v>
      </c>
      <c r="F2698" s="5">
        <f>[1]Raw_Data!F2696</f>
        <v>4163.24</v>
      </c>
      <c r="G2698" s="4">
        <f>[1]Raw_Data!G2696</f>
        <v>0.03</v>
      </c>
      <c r="H2698" s="3">
        <f>[1]Raw_Data!H2696</f>
        <v>0</v>
      </c>
      <c r="I2698" s="3" t="str">
        <f>TRIM([1]Raw_Data!I2696)</f>
        <v>USA</v>
      </c>
      <c r="J2698" s="3" t="str">
        <f>TRIM([1]Raw_Data!J2696)</f>
        <v>Walmart</v>
      </c>
      <c r="K2698" s="3">
        <f t="shared" si="168"/>
        <v>2023</v>
      </c>
      <c r="L2698" s="6">
        <f t="shared" si="169"/>
        <v>44986</v>
      </c>
      <c r="M2698" s="3" t="str">
        <f t="shared" si="170"/>
        <v>0% to 5%</v>
      </c>
      <c r="N2698" s="3" t="str">
        <f t="shared" si="171"/>
        <v>OK</v>
      </c>
    </row>
    <row r="2699" spans="1:14" x14ac:dyDescent="0.3">
      <c r="A2699" s="2">
        <f>DATE(VALUE(RIGHT(TRIM([1]Raw_Data!A2697),4)),VALUE(MID(TRIM([1]Raw_Data!A2697),4,2)),VALUE(LEFT(TRIM([1]Raw_Data!A2697),2)))</f>
        <v>45012</v>
      </c>
      <c r="B2699" s="3" t="str">
        <f>TRIM([1]Raw_Data!B2697)</f>
        <v>Zinc</v>
      </c>
      <c r="C2699" s="3" t="str">
        <f>TRIM([1]Raw_Data!C2697)</f>
        <v>Mineral</v>
      </c>
      <c r="D2699" s="3">
        <f>[1]Raw_Data!D2697</f>
        <v>142</v>
      </c>
      <c r="E2699" s="4">
        <f>[1]Raw_Data!E2697</f>
        <v>44.43</v>
      </c>
      <c r="F2699" s="5">
        <f>[1]Raw_Data!F2697</f>
        <v>6309.06</v>
      </c>
      <c r="G2699" s="4">
        <f>[1]Raw_Data!G2697</f>
        <v>0.02</v>
      </c>
      <c r="H2699" s="3">
        <f>[1]Raw_Data!H2697</f>
        <v>0</v>
      </c>
      <c r="I2699" s="3" t="str">
        <f>TRIM([1]Raw_Data!I2697)</f>
        <v>USA</v>
      </c>
      <c r="J2699" s="3" t="str">
        <f>TRIM([1]Raw_Data!J2697)</f>
        <v>Amazon</v>
      </c>
      <c r="K2699" s="3">
        <f t="shared" si="168"/>
        <v>2023</v>
      </c>
      <c r="L2699" s="6">
        <f t="shared" si="169"/>
        <v>44986</v>
      </c>
      <c r="M2699" s="3" t="str">
        <f t="shared" si="170"/>
        <v>0% to 5%</v>
      </c>
      <c r="N2699" s="3" t="str">
        <f t="shared" si="171"/>
        <v>OK</v>
      </c>
    </row>
    <row r="2700" spans="1:14" x14ac:dyDescent="0.3">
      <c r="A2700" s="2">
        <f>DATE(VALUE(RIGHT(TRIM([1]Raw_Data!A2698),4)),VALUE(MID(TRIM([1]Raw_Data!A2698),4,2)),VALUE(LEFT(TRIM([1]Raw_Data!A2698),2)))</f>
        <v>45012</v>
      </c>
      <c r="B2700" s="3" t="str">
        <f>TRIM([1]Raw_Data!B2698)</f>
        <v>Collagen Peptides</v>
      </c>
      <c r="C2700" s="3" t="str">
        <f>TRIM([1]Raw_Data!C2698)</f>
        <v>Protein</v>
      </c>
      <c r="D2700" s="3">
        <f>[1]Raw_Data!D2698</f>
        <v>131</v>
      </c>
      <c r="E2700" s="4">
        <f>[1]Raw_Data!E2698</f>
        <v>23.39</v>
      </c>
      <c r="F2700" s="5">
        <f>[1]Raw_Data!F2698</f>
        <v>3064.09</v>
      </c>
      <c r="G2700" s="4">
        <f>[1]Raw_Data!G2698</f>
        <v>0.14000000000000001</v>
      </c>
      <c r="H2700" s="3">
        <f>[1]Raw_Data!H2698</f>
        <v>4</v>
      </c>
      <c r="I2700" s="3" t="str">
        <f>TRIM([1]Raw_Data!I2698)</f>
        <v>USA</v>
      </c>
      <c r="J2700" s="3" t="str">
        <f>TRIM([1]Raw_Data!J2698)</f>
        <v>Walmart</v>
      </c>
      <c r="K2700" s="3">
        <f t="shared" si="168"/>
        <v>2023</v>
      </c>
      <c r="L2700" s="6">
        <f t="shared" si="169"/>
        <v>44986</v>
      </c>
      <c r="M2700" s="3" t="str">
        <f t="shared" si="170"/>
        <v>11% to 15%</v>
      </c>
      <c r="N2700" s="3" t="str">
        <f t="shared" si="171"/>
        <v>OK</v>
      </c>
    </row>
    <row r="2701" spans="1:14" x14ac:dyDescent="0.3">
      <c r="A2701" s="2">
        <f>DATE(VALUE(RIGHT(TRIM([1]Raw_Data!A2699),4)),VALUE(MID(TRIM([1]Raw_Data!A2699),4,2)),VALUE(LEFT(TRIM([1]Raw_Data!A2699),2)))</f>
        <v>45012</v>
      </c>
      <c r="B2701" s="3" t="str">
        <f>TRIM([1]Raw_Data!B2699)</f>
        <v>Magnesium</v>
      </c>
      <c r="C2701" s="3" t="str">
        <f>TRIM([1]Raw_Data!C2699)</f>
        <v>Mineral</v>
      </c>
      <c r="D2701" s="3">
        <f>[1]Raw_Data!D2699</f>
        <v>166</v>
      </c>
      <c r="E2701" s="4">
        <f>[1]Raw_Data!E2699</f>
        <v>18.8</v>
      </c>
      <c r="F2701" s="5">
        <f>[1]Raw_Data!F2699</f>
        <v>3120.8</v>
      </c>
      <c r="G2701" s="4">
        <f>[1]Raw_Data!G2699</f>
        <v>7.0000000000000007E-2</v>
      </c>
      <c r="H2701" s="3">
        <f>[1]Raw_Data!H2699</f>
        <v>0</v>
      </c>
      <c r="I2701" s="3" t="str">
        <f>TRIM([1]Raw_Data!I2699)</f>
        <v>UK</v>
      </c>
      <c r="J2701" s="3" t="str">
        <f>TRIM([1]Raw_Data!J2699)</f>
        <v>Amazon</v>
      </c>
      <c r="K2701" s="3">
        <f t="shared" si="168"/>
        <v>2023</v>
      </c>
      <c r="L2701" s="6">
        <f t="shared" si="169"/>
        <v>44986</v>
      </c>
      <c r="M2701" s="3" t="str">
        <f t="shared" si="170"/>
        <v>6% to 10%</v>
      </c>
      <c r="N2701" s="3" t="str">
        <f t="shared" si="171"/>
        <v>OK</v>
      </c>
    </row>
    <row r="2702" spans="1:14" x14ac:dyDescent="0.3">
      <c r="A2702" s="2">
        <f>DATE(VALUE(RIGHT(TRIM([1]Raw_Data!A2700),4)),VALUE(MID(TRIM([1]Raw_Data!A2700),4,2)),VALUE(LEFT(TRIM([1]Raw_Data!A2700),2)))</f>
        <v>45012</v>
      </c>
      <c r="B2702" s="3" t="str">
        <f>TRIM([1]Raw_Data!B2700)</f>
        <v>Ashwagandha</v>
      </c>
      <c r="C2702" s="3" t="str">
        <f>TRIM([1]Raw_Data!C2700)</f>
        <v>Herbal</v>
      </c>
      <c r="D2702" s="3">
        <f>[1]Raw_Data!D2700</f>
        <v>161</v>
      </c>
      <c r="E2702" s="4">
        <f>[1]Raw_Data!E2700</f>
        <v>37.83</v>
      </c>
      <c r="F2702" s="5">
        <f>[1]Raw_Data!F2700</f>
        <v>6090.63</v>
      </c>
      <c r="G2702" s="4">
        <f>[1]Raw_Data!G2700</f>
        <v>0.06</v>
      </c>
      <c r="H2702" s="3">
        <f>[1]Raw_Data!H2700</f>
        <v>1</v>
      </c>
      <c r="I2702" s="3" t="str">
        <f>TRIM([1]Raw_Data!I2700)</f>
        <v>UK</v>
      </c>
      <c r="J2702" s="3" t="str">
        <f>TRIM([1]Raw_Data!J2700)</f>
        <v>iHerb</v>
      </c>
      <c r="K2702" s="3">
        <f t="shared" si="168"/>
        <v>2023</v>
      </c>
      <c r="L2702" s="6">
        <f t="shared" si="169"/>
        <v>44986</v>
      </c>
      <c r="M2702" s="3" t="str">
        <f t="shared" si="170"/>
        <v>6% to 10%</v>
      </c>
      <c r="N2702" s="3" t="str">
        <f t="shared" si="171"/>
        <v>OK</v>
      </c>
    </row>
    <row r="2703" spans="1:14" x14ac:dyDescent="0.3">
      <c r="A2703" s="2">
        <f>DATE(VALUE(RIGHT(TRIM([1]Raw_Data!A2701),4)),VALUE(MID(TRIM([1]Raw_Data!A2701),4,2)),VALUE(LEFT(TRIM([1]Raw_Data!A2701),2)))</f>
        <v>45012</v>
      </c>
      <c r="B2703" s="3" t="str">
        <f>TRIM([1]Raw_Data!B2701)</f>
        <v>Melatonin</v>
      </c>
      <c r="C2703" s="3" t="str">
        <f>TRIM([1]Raw_Data!C2701)</f>
        <v>Sleep Aid</v>
      </c>
      <c r="D2703" s="3">
        <f>[1]Raw_Data!D2701</f>
        <v>164</v>
      </c>
      <c r="E2703" s="4">
        <f>[1]Raw_Data!E2701</f>
        <v>53.55</v>
      </c>
      <c r="F2703" s="5">
        <f>[1]Raw_Data!F2701</f>
        <v>8782.2000000000007</v>
      </c>
      <c r="G2703" s="4">
        <f>[1]Raw_Data!G2701</f>
        <v>0.16</v>
      </c>
      <c r="H2703" s="3">
        <f>[1]Raw_Data!H2701</f>
        <v>4</v>
      </c>
      <c r="I2703" s="3" t="str">
        <f>TRIM([1]Raw_Data!I2701)</f>
        <v>UK</v>
      </c>
      <c r="J2703" s="3" t="str">
        <f>TRIM([1]Raw_Data!J2701)</f>
        <v>Walmart</v>
      </c>
      <c r="K2703" s="3">
        <f t="shared" si="168"/>
        <v>2023</v>
      </c>
      <c r="L2703" s="6">
        <f t="shared" si="169"/>
        <v>44986</v>
      </c>
      <c r="M2703" s="3" t="str">
        <f t="shared" si="170"/>
        <v>16% to 20%</v>
      </c>
      <c r="N2703" s="3" t="str">
        <f t="shared" si="171"/>
        <v>OK</v>
      </c>
    </row>
    <row r="2704" spans="1:14" x14ac:dyDescent="0.3">
      <c r="A2704" s="2">
        <f>DATE(VALUE(RIGHT(TRIM([1]Raw_Data!A2702),4)),VALUE(MID(TRIM([1]Raw_Data!A2702),4,2)),VALUE(LEFT(TRIM([1]Raw_Data!A2702),2)))</f>
        <v>45012</v>
      </c>
      <c r="B2704" s="3" t="str">
        <f>TRIM([1]Raw_Data!B2702)</f>
        <v>Biotin</v>
      </c>
      <c r="C2704" s="3" t="str">
        <f>TRIM([1]Raw_Data!C2702)</f>
        <v>Vitamin</v>
      </c>
      <c r="D2704" s="3">
        <f>[1]Raw_Data!D2702</f>
        <v>142</v>
      </c>
      <c r="E2704" s="4">
        <f>[1]Raw_Data!E2702</f>
        <v>44.51</v>
      </c>
      <c r="F2704" s="5">
        <f>[1]Raw_Data!F2702</f>
        <v>6320.42</v>
      </c>
      <c r="G2704" s="4">
        <f>[1]Raw_Data!G2702</f>
        <v>0.1</v>
      </c>
      <c r="H2704" s="3">
        <f>[1]Raw_Data!H2702</f>
        <v>3</v>
      </c>
      <c r="I2704" s="3" t="str">
        <f>TRIM([1]Raw_Data!I2702)</f>
        <v>USA</v>
      </c>
      <c r="J2704" s="3" t="str">
        <f>TRIM([1]Raw_Data!J2702)</f>
        <v>iHerb</v>
      </c>
      <c r="K2704" s="3">
        <f t="shared" si="168"/>
        <v>2023</v>
      </c>
      <c r="L2704" s="6">
        <f t="shared" si="169"/>
        <v>44986</v>
      </c>
      <c r="M2704" s="3" t="str">
        <f t="shared" si="170"/>
        <v>6% to 10%</v>
      </c>
      <c r="N2704" s="3" t="str">
        <f t="shared" si="171"/>
        <v>OK</v>
      </c>
    </row>
    <row r="2705" spans="1:14" x14ac:dyDescent="0.3">
      <c r="A2705" s="2">
        <f>DATE(VALUE(RIGHT(TRIM([1]Raw_Data!A2703),4)),VALUE(MID(TRIM([1]Raw_Data!A2703),4,2)),VALUE(LEFT(TRIM([1]Raw_Data!A2703),2)))</f>
        <v>45012</v>
      </c>
      <c r="B2705" s="3" t="str">
        <f>TRIM([1]Raw_Data!B2703)</f>
        <v>Green Tea Extract</v>
      </c>
      <c r="C2705" s="3" t="str">
        <f>TRIM([1]Raw_Data!C2703)</f>
        <v>Fat Burner</v>
      </c>
      <c r="D2705" s="3">
        <f>[1]Raw_Data!D2703</f>
        <v>146</v>
      </c>
      <c r="E2705" s="4">
        <f>[1]Raw_Data!E2703</f>
        <v>52.64</v>
      </c>
      <c r="F2705" s="5">
        <f>[1]Raw_Data!F2703</f>
        <v>7685.44</v>
      </c>
      <c r="G2705" s="4">
        <f>[1]Raw_Data!G2703</f>
        <v>0.16</v>
      </c>
      <c r="H2705" s="3">
        <f>[1]Raw_Data!H2703</f>
        <v>0</v>
      </c>
      <c r="I2705" s="3" t="str">
        <f>TRIM([1]Raw_Data!I2703)</f>
        <v>USA</v>
      </c>
      <c r="J2705" s="3" t="str">
        <f>TRIM([1]Raw_Data!J2703)</f>
        <v>iHerb</v>
      </c>
      <c r="K2705" s="3">
        <f t="shared" si="168"/>
        <v>2023</v>
      </c>
      <c r="L2705" s="6">
        <f t="shared" si="169"/>
        <v>44986</v>
      </c>
      <c r="M2705" s="3" t="str">
        <f t="shared" si="170"/>
        <v>16% to 20%</v>
      </c>
      <c r="N2705" s="3" t="str">
        <f t="shared" si="171"/>
        <v>OK</v>
      </c>
    </row>
    <row r="2706" spans="1:14" x14ac:dyDescent="0.3">
      <c r="A2706" s="2">
        <f>DATE(VALUE(RIGHT(TRIM([1]Raw_Data!A2704),4)),VALUE(MID(TRIM([1]Raw_Data!A2704),4,2)),VALUE(LEFT(TRIM([1]Raw_Data!A2704),2)))</f>
        <v>45012</v>
      </c>
      <c r="B2706" s="3" t="str">
        <f>TRIM([1]Raw_Data!B2704)</f>
        <v>Iron Supplement</v>
      </c>
      <c r="C2706" s="3" t="str">
        <f>TRIM([1]Raw_Data!C2704)</f>
        <v>Mineral</v>
      </c>
      <c r="D2706" s="3">
        <f>[1]Raw_Data!D2704</f>
        <v>151</v>
      </c>
      <c r="E2706" s="4">
        <f>[1]Raw_Data!E2704</f>
        <v>48.93</v>
      </c>
      <c r="F2706" s="5">
        <f>[1]Raw_Data!F2704</f>
        <v>7388.43</v>
      </c>
      <c r="G2706" s="4">
        <f>[1]Raw_Data!G2704</f>
        <v>0.08</v>
      </c>
      <c r="H2706" s="3">
        <f>[1]Raw_Data!H2704</f>
        <v>1</v>
      </c>
      <c r="I2706" s="3" t="str">
        <f>TRIM([1]Raw_Data!I2704)</f>
        <v>UK</v>
      </c>
      <c r="J2706" s="3" t="str">
        <f>TRIM([1]Raw_Data!J2704)</f>
        <v>iHerb</v>
      </c>
      <c r="K2706" s="3">
        <f t="shared" si="168"/>
        <v>2023</v>
      </c>
      <c r="L2706" s="6">
        <f t="shared" si="169"/>
        <v>44986</v>
      </c>
      <c r="M2706" s="3" t="str">
        <f t="shared" si="170"/>
        <v>6% to 10%</v>
      </c>
      <c r="N2706" s="3" t="str">
        <f t="shared" si="171"/>
        <v>OK</v>
      </c>
    </row>
    <row r="2707" spans="1:14" x14ac:dyDescent="0.3">
      <c r="A2707" s="2">
        <f>DATE(VALUE(RIGHT(TRIM([1]Raw_Data!A2705),4)),VALUE(MID(TRIM([1]Raw_Data!A2705),4,2)),VALUE(LEFT(TRIM([1]Raw_Data!A2705),2)))</f>
        <v>45012</v>
      </c>
      <c r="B2707" s="3" t="str">
        <f>TRIM([1]Raw_Data!B2705)</f>
        <v>Electrolyte Powder</v>
      </c>
      <c r="C2707" s="3" t="str">
        <f>TRIM([1]Raw_Data!C2705)</f>
        <v>Hydration</v>
      </c>
      <c r="D2707" s="3">
        <f>[1]Raw_Data!D2705</f>
        <v>162</v>
      </c>
      <c r="E2707" s="4">
        <f>[1]Raw_Data!E2705</f>
        <v>17.93</v>
      </c>
      <c r="F2707" s="5">
        <f>[1]Raw_Data!F2705</f>
        <v>2904.66</v>
      </c>
      <c r="G2707" s="4">
        <f>[1]Raw_Data!G2705</f>
        <v>0.1</v>
      </c>
      <c r="H2707" s="3">
        <f>[1]Raw_Data!H2705</f>
        <v>1</v>
      </c>
      <c r="I2707" s="3" t="str">
        <f>TRIM([1]Raw_Data!I2705)</f>
        <v>UK</v>
      </c>
      <c r="J2707" s="3" t="str">
        <f>TRIM([1]Raw_Data!J2705)</f>
        <v>iHerb</v>
      </c>
      <c r="K2707" s="3">
        <f t="shared" si="168"/>
        <v>2023</v>
      </c>
      <c r="L2707" s="6">
        <f t="shared" si="169"/>
        <v>44986</v>
      </c>
      <c r="M2707" s="3" t="str">
        <f t="shared" si="170"/>
        <v>6% to 10%</v>
      </c>
      <c r="N2707" s="3" t="str">
        <f t="shared" si="171"/>
        <v>OK</v>
      </c>
    </row>
    <row r="2708" spans="1:14" x14ac:dyDescent="0.3">
      <c r="A2708" s="2">
        <f>DATE(VALUE(RIGHT(TRIM([1]Raw_Data!A2706),4)),VALUE(MID(TRIM([1]Raw_Data!A2706),4,2)),VALUE(LEFT(TRIM([1]Raw_Data!A2706),2)))</f>
        <v>45019</v>
      </c>
      <c r="B2708" s="3" t="str">
        <f>TRIM([1]Raw_Data!B2706)</f>
        <v>Whey Protein</v>
      </c>
      <c r="C2708" s="3" t="str">
        <f>TRIM([1]Raw_Data!C2706)</f>
        <v>Protein</v>
      </c>
      <c r="D2708" s="3">
        <f>[1]Raw_Data!D2706</f>
        <v>174</v>
      </c>
      <c r="E2708" s="4">
        <f>[1]Raw_Data!E2706</f>
        <v>24.85</v>
      </c>
      <c r="F2708" s="5">
        <f>[1]Raw_Data!F2706</f>
        <v>4323.8999999999996</v>
      </c>
      <c r="G2708" s="4">
        <f>[1]Raw_Data!G2706</f>
        <v>0.06</v>
      </c>
      <c r="H2708" s="3">
        <f>[1]Raw_Data!H2706</f>
        <v>3</v>
      </c>
      <c r="I2708" s="3" t="str">
        <f>TRIM([1]Raw_Data!I2706)</f>
        <v>Canada</v>
      </c>
      <c r="J2708" s="3" t="str">
        <f>TRIM([1]Raw_Data!J2706)</f>
        <v>Walmart</v>
      </c>
      <c r="K2708" s="3">
        <f t="shared" si="168"/>
        <v>2023</v>
      </c>
      <c r="L2708" s="6">
        <f t="shared" si="169"/>
        <v>45017</v>
      </c>
      <c r="M2708" s="3" t="str">
        <f t="shared" si="170"/>
        <v>6% to 10%</v>
      </c>
      <c r="N2708" s="3" t="str">
        <f t="shared" si="171"/>
        <v>OK</v>
      </c>
    </row>
    <row r="2709" spans="1:14" x14ac:dyDescent="0.3">
      <c r="A2709" s="2">
        <f>DATE(VALUE(RIGHT(TRIM([1]Raw_Data!A2707),4)),VALUE(MID(TRIM([1]Raw_Data!A2707),4,2)),VALUE(LEFT(TRIM([1]Raw_Data!A2707),2)))</f>
        <v>45019</v>
      </c>
      <c r="B2709" s="3" t="str">
        <f>TRIM([1]Raw_Data!B2707)</f>
        <v>Vitamin C</v>
      </c>
      <c r="C2709" s="3" t="str">
        <f>TRIM([1]Raw_Data!C2707)</f>
        <v>Vitamin</v>
      </c>
      <c r="D2709" s="3">
        <f>[1]Raw_Data!D2707</f>
        <v>156</v>
      </c>
      <c r="E2709" s="4">
        <f>[1]Raw_Data!E2707</f>
        <v>28.85</v>
      </c>
      <c r="F2709" s="5">
        <f>[1]Raw_Data!F2707</f>
        <v>4500.6000000000004</v>
      </c>
      <c r="G2709" s="4">
        <f>[1]Raw_Data!G2707</f>
        <v>0.13</v>
      </c>
      <c r="H2709" s="3">
        <f>[1]Raw_Data!H2707</f>
        <v>1</v>
      </c>
      <c r="I2709" s="3" t="str">
        <f>TRIM([1]Raw_Data!I2707)</f>
        <v>UK</v>
      </c>
      <c r="J2709" s="3" t="str">
        <f>TRIM([1]Raw_Data!J2707)</f>
        <v>Walmart</v>
      </c>
      <c r="K2709" s="3">
        <f t="shared" si="168"/>
        <v>2023</v>
      </c>
      <c r="L2709" s="6">
        <f t="shared" si="169"/>
        <v>45017</v>
      </c>
      <c r="M2709" s="3" t="str">
        <f t="shared" si="170"/>
        <v>11% to 15%</v>
      </c>
      <c r="N2709" s="3" t="str">
        <f t="shared" si="171"/>
        <v>OK</v>
      </c>
    </row>
    <row r="2710" spans="1:14" x14ac:dyDescent="0.3">
      <c r="A2710" s="2">
        <f>DATE(VALUE(RIGHT(TRIM([1]Raw_Data!A2708),4)),VALUE(MID(TRIM([1]Raw_Data!A2708),4,2)),VALUE(LEFT(TRIM([1]Raw_Data!A2708),2)))</f>
        <v>45019</v>
      </c>
      <c r="B2710" s="3" t="str">
        <f>TRIM([1]Raw_Data!B2708)</f>
        <v>Fish Oil</v>
      </c>
      <c r="C2710" s="3" t="str">
        <f>TRIM([1]Raw_Data!C2708)</f>
        <v>Omega</v>
      </c>
      <c r="D2710" s="3">
        <f>[1]Raw_Data!D2708</f>
        <v>167</v>
      </c>
      <c r="E2710" s="4">
        <f>[1]Raw_Data!E2708</f>
        <v>55.43</v>
      </c>
      <c r="F2710" s="5">
        <f>[1]Raw_Data!F2708</f>
        <v>9256.81</v>
      </c>
      <c r="G2710" s="4">
        <f>[1]Raw_Data!G2708</f>
        <v>0.11</v>
      </c>
      <c r="H2710" s="3">
        <f>[1]Raw_Data!H2708</f>
        <v>2</v>
      </c>
      <c r="I2710" s="3" t="str">
        <f>TRIM([1]Raw_Data!I2708)</f>
        <v>USA</v>
      </c>
      <c r="J2710" s="3" t="str">
        <f>TRIM([1]Raw_Data!J2708)</f>
        <v>Amazon</v>
      </c>
      <c r="K2710" s="3">
        <f t="shared" si="168"/>
        <v>2023</v>
      </c>
      <c r="L2710" s="6">
        <f t="shared" si="169"/>
        <v>45017</v>
      </c>
      <c r="M2710" s="3" t="str">
        <f t="shared" si="170"/>
        <v>11% to 15%</v>
      </c>
      <c r="N2710" s="3" t="str">
        <f t="shared" si="171"/>
        <v>OK</v>
      </c>
    </row>
    <row r="2711" spans="1:14" x14ac:dyDescent="0.3">
      <c r="A2711" s="2">
        <f>DATE(VALUE(RIGHT(TRIM([1]Raw_Data!A2709),4)),VALUE(MID(TRIM([1]Raw_Data!A2709),4,2)),VALUE(LEFT(TRIM([1]Raw_Data!A2709),2)))</f>
        <v>45019</v>
      </c>
      <c r="B2711" s="3" t="str">
        <f>TRIM([1]Raw_Data!B2709)</f>
        <v>Multivitamin</v>
      </c>
      <c r="C2711" s="3" t="str">
        <f>TRIM([1]Raw_Data!C2709)</f>
        <v>Vitamin</v>
      </c>
      <c r="D2711" s="3">
        <f>[1]Raw_Data!D2709</f>
        <v>124</v>
      </c>
      <c r="E2711" s="4">
        <f>[1]Raw_Data!E2709</f>
        <v>33.85</v>
      </c>
      <c r="F2711" s="5">
        <f>[1]Raw_Data!F2709</f>
        <v>4197.3999999999996</v>
      </c>
      <c r="G2711" s="4">
        <f>[1]Raw_Data!G2709</f>
        <v>0.11</v>
      </c>
      <c r="H2711" s="3">
        <f>[1]Raw_Data!H2709</f>
        <v>1</v>
      </c>
      <c r="I2711" s="3" t="str">
        <f>TRIM([1]Raw_Data!I2709)</f>
        <v>Canada</v>
      </c>
      <c r="J2711" s="3" t="str">
        <f>TRIM([1]Raw_Data!J2709)</f>
        <v>Amazon</v>
      </c>
      <c r="K2711" s="3">
        <f t="shared" si="168"/>
        <v>2023</v>
      </c>
      <c r="L2711" s="6">
        <f t="shared" si="169"/>
        <v>45017</v>
      </c>
      <c r="M2711" s="3" t="str">
        <f t="shared" si="170"/>
        <v>11% to 15%</v>
      </c>
      <c r="N2711" s="3" t="str">
        <f t="shared" si="171"/>
        <v>OK</v>
      </c>
    </row>
    <row r="2712" spans="1:14" x14ac:dyDescent="0.3">
      <c r="A2712" s="2">
        <f>DATE(VALUE(RIGHT(TRIM([1]Raw_Data!A2710),4)),VALUE(MID(TRIM([1]Raw_Data!A2710),4,2)),VALUE(LEFT(TRIM([1]Raw_Data!A2710),2)))</f>
        <v>45019</v>
      </c>
      <c r="B2712" s="3" t="str">
        <f>TRIM([1]Raw_Data!B2710)</f>
        <v>Pre-Workout</v>
      </c>
      <c r="C2712" s="3" t="str">
        <f>TRIM([1]Raw_Data!C2710)</f>
        <v>Performance</v>
      </c>
      <c r="D2712" s="3">
        <f>[1]Raw_Data!D2710</f>
        <v>176</v>
      </c>
      <c r="E2712" s="4">
        <f>[1]Raw_Data!E2710</f>
        <v>32.590000000000003</v>
      </c>
      <c r="F2712" s="5">
        <f>[1]Raw_Data!F2710</f>
        <v>5735.84</v>
      </c>
      <c r="G2712" s="4">
        <f>[1]Raw_Data!G2710</f>
        <v>0.05</v>
      </c>
      <c r="H2712" s="3">
        <f>[1]Raw_Data!H2710</f>
        <v>3</v>
      </c>
      <c r="I2712" s="3" t="str">
        <f>TRIM([1]Raw_Data!I2710)</f>
        <v>Canada</v>
      </c>
      <c r="J2712" s="3" t="str">
        <f>TRIM([1]Raw_Data!J2710)</f>
        <v>Amazon</v>
      </c>
      <c r="K2712" s="3">
        <f t="shared" si="168"/>
        <v>2023</v>
      </c>
      <c r="L2712" s="6">
        <f t="shared" si="169"/>
        <v>45017</v>
      </c>
      <c r="M2712" s="3" t="str">
        <f t="shared" si="170"/>
        <v>0% to 5%</v>
      </c>
      <c r="N2712" s="3" t="str">
        <f t="shared" si="171"/>
        <v>OK</v>
      </c>
    </row>
    <row r="2713" spans="1:14" x14ac:dyDescent="0.3">
      <c r="A2713" s="2">
        <f>DATE(VALUE(RIGHT(TRIM([1]Raw_Data!A2711),4)),VALUE(MID(TRIM([1]Raw_Data!A2711),4,2)),VALUE(LEFT(TRIM([1]Raw_Data!A2711),2)))</f>
        <v>45019</v>
      </c>
      <c r="B2713" s="3" t="str">
        <f>TRIM([1]Raw_Data!B2711)</f>
        <v>BCAA</v>
      </c>
      <c r="C2713" s="3" t="str">
        <f>TRIM([1]Raw_Data!C2711)</f>
        <v>Amino Acid</v>
      </c>
      <c r="D2713" s="3">
        <f>[1]Raw_Data!D2711</f>
        <v>132</v>
      </c>
      <c r="E2713" s="4">
        <f>[1]Raw_Data!E2711</f>
        <v>44.86</v>
      </c>
      <c r="F2713" s="5">
        <f>[1]Raw_Data!F2711</f>
        <v>5921.52</v>
      </c>
      <c r="G2713" s="4">
        <f>[1]Raw_Data!G2711</f>
        <v>0.09</v>
      </c>
      <c r="H2713" s="3">
        <f>[1]Raw_Data!H2711</f>
        <v>3</v>
      </c>
      <c r="I2713" s="3" t="str">
        <f>TRIM([1]Raw_Data!I2711)</f>
        <v>Canada</v>
      </c>
      <c r="J2713" s="3" t="str">
        <f>TRIM([1]Raw_Data!J2711)</f>
        <v>Amazon</v>
      </c>
      <c r="K2713" s="3">
        <f t="shared" si="168"/>
        <v>2023</v>
      </c>
      <c r="L2713" s="6">
        <f t="shared" si="169"/>
        <v>45017</v>
      </c>
      <c r="M2713" s="3" t="str">
        <f t="shared" si="170"/>
        <v>6% to 10%</v>
      </c>
      <c r="N2713" s="3" t="str">
        <f t="shared" si="171"/>
        <v>OK</v>
      </c>
    </row>
    <row r="2714" spans="1:14" x14ac:dyDescent="0.3">
      <c r="A2714" s="2">
        <f>DATE(VALUE(RIGHT(TRIM([1]Raw_Data!A2712),4)),VALUE(MID(TRIM([1]Raw_Data!A2712),4,2)),VALUE(LEFT(TRIM([1]Raw_Data!A2712),2)))</f>
        <v>45019</v>
      </c>
      <c r="B2714" s="3" t="str">
        <f>TRIM([1]Raw_Data!B2712)</f>
        <v>Creatine</v>
      </c>
      <c r="C2714" s="3" t="str">
        <f>TRIM([1]Raw_Data!C2712)</f>
        <v>Performance</v>
      </c>
      <c r="D2714" s="3">
        <f>[1]Raw_Data!D2712</f>
        <v>152</v>
      </c>
      <c r="E2714" s="4">
        <f>[1]Raw_Data!E2712</f>
        <v>39.229999999999997</v>
      </c>
      <c r="F2714" s="5">
        <f>[1]Raw_Data!F2712</f>
        <v>5962.96</v>
      </c>
      <c r="G2714" s="4">
        <f>[1]Raw_Data!G2712</f>
        <v>0.11</v>
      </c>
      <c r="H2714" s="3">
        <f>[1]Raw_Data!H2712</f>
        <v>1</v>
      </c>
      <c r="I2714" s="3" t="str">
        <f>TRIM([1]Raw_Data!I2712)</f>
        <v>USA</v>
      </c>
      <c r="J2714" s="3" t="str">
        <f>TRIM([1]Raw_Data!J2712)</f>
        <v>Amazon</v>
      </c>
      <c r="K2714" s="3">
        <f t="shared" si="168"/>
        <v>2023</v>
      </c>
      <c r="L2714" s="6">
        <f t="shared" si="169"/>
        <v>45017</v>
      </c>
      <c r="M2714" s="3" t="str">
        <f t="shared" si="170"/>
        <v>11% to 15%</v>
      </c>
      <c r="N2714" s="3" t="str">
        <f t="shared" si="171"/>
        <v>OK</v>
      </c>
    </row>
    <row r="2715" spans="1:14" x14ac:dyDescent="0.3">
      <c r="A2715" s="2">
        <f>DATE(VALUE(RIGHT(TRIM([1]Raw_Data!A2713),4)),VALUE(MID(TRIM([1]Raw_Data!A2713),4,2)),VALUE(LEFT(TRIM([1]Raw_Data!A2713),2)))</f>
        <v>45019</v>
      </c>
      <c r="B2715" s="3" t="str">
        <f>TRIM([1]Raw_Data!B2713)</f>
        <v>Zinc</v>
      </c>
      <c r="C2715" s="3" t="str">
        <f>TRIM([1]Raw_Data!C2713)</f>
        <v>Mineral</v>
      </c>
      <c r="D2715" s="3">
        <f>[1]Raw_Data!D2713</f>
        <v>127</v>
      </c>
      <c r="E2715" s="4">
        <f>[1]Raw_Data!E2713</f>
        <v>19.89</v>
      </c>
      <c r="F2715" s="5">
        <f>[1]Raw_Data!F2713</f>
        <v>2526.0300000000002</v>
      </c>
      <c r="G2715" s="4">
        <f>[1]Raw_Data!G2713</f>
        <v>0.14000000000000001</v>
      </c>
      <c r="H2715" s="3">
        <f>[1]Raw_Data!H2713</f>
        <v>1</v>
      </c>
      <c r="I2715" s="3" t="str">
        <f>TRIM([1]Raw_Data!I2713)</f>
        <v>Canada</v>
      </c>
      <c r="J2715" s="3" t="str">
        <f>TRIM([1]Raw_Data!J2713)</f>
        <v>Walmart</v>
      </c>
      <c r="K2715" s="3">
        <f t="shared" si="168"/>
        <v>2023</v>
      </c>
      <c r="L2715" s="6">
        <f t="shared" si="169"/>
        <v>45017</v>
      </c>
      <c r="M2715" s="3" t="str">
        <f t="shared" si="170"/>
        <v>11% to 15%</v>
      </c>
      <c r="N2715" s="3" t="str">
        <f t="shared" si="171"/>
        <v>OK</v>
      </c>
    </row>
    <row r="2716" spans="1:14" x14ac:dyDescent="0.3">
      <c r="A2716" s="2">
        <f>DATE(VALUE(RIGHT(TRIM([1]Raw_Data!A2714),4)),VALUE(MID(TRIM([1]Raw_Data!A2714),4,2)),VALUE(LEFT(TRIM([1]Raw_Data!A2714),2)))</f>
        <v>45019</v>
      </c>
      <c r="B2716" s="3" t="str">
        <f>TRIM([1]Raw_Data!B2714)</f>
        <v>Collagen Peptides</v>
      </c>
      <c r="C2716" s="3" t="str">
        <f>TRIM([1]Raw_Data!C2714)</f>
        <v>Protein</v>
      </c>
      <c r="D2716" s="3">
        <f>[1]Raw_Data!D2714</f>
        <v>154</v>
      </c>
      <c r="E2716" s="4">
        <f>[1]Raw_Data!E2714</f>
        <v>31.06</v>
      </c>
      <c r="F2716" s="5">
        <f>[1]Raw_Data!F2714</f>
        <v>4783.24</v>
      </c>
      <c r="G2716" s="4">
        <f>[1]Raw_Data!G2714</f>
        <v>0.21</v>
      </c>
      <c r="H2716" s="3">
        <f>[1]Raw_Data!H2714</f>
        <v>1</v>
      </c>
      <c r="I2716" s="3" t="str">
        <f>TRIM([1]Raw_Data!I2714)</f>
        <v>USA</v>
      </c>
      <c r="J2716" s="3" t="str">
        <f>TRIM([1]Raw_Data!J2714)</f>
        <v>Amazon</v>
      </c>
      <c r="K2716" s="3">
        <f t="shared" si="168"/>
        <v>2023</v>
      </c>
      <c r="L2716" s="6">
        <f t="shared" si="169"/>
        <v>45017</v>
      </c>
      <c r="M2716" s="3" t="str">
        <f t="shared" si="170"/>
        <v>21% to 25%</v>
      </c>
      <c r="N2716" s="3" t="str">
        <f t="shared" si="171"/>
        <v>OK</v>
      </c>
    </row>
    <row r="2717" spans="1:14" x14ac:dyDescent="0.3">
      <c r="A2717" s="2">
        <f>DATE(VALUE(RIGHT(TRIM([1]Raw_Data!A2715),4)),VALUE(MID(TRIM([1]Raw_Data!A2715),4,2)),VALUE(LEFT(TRIM([1]Raw_Data!A2715),2)))</f>
        <v>45019</v>
      </c>
      <c r="B2717" s="3" t="str">
        <f>TRIM([1]Raw_Data!B2715)</f>
        <v>Magnesium</v>
      </c>
      <c r="C2717" s="3" t="str">
        <f>TRIM([1]Raw_Data!C2715)</f>
        <v>Mineral</v>
      </c>
      <c r="D2717" s="3">
        <f>[1]Raw_Data!D2715</f>
        <v>155</v>
      </c>
      <c r="E2717" s="4">
        <f>[1]Raw_Data!E2715</f>
        <v>42.67</v>
      </c>
      <c r="F2717" s="5">
        <f>[1]Raw_Data!F2715</f>
        <v>6613.85</v>
      </c>
      <c r="G2717" s="4">
        <f>[1]Raw_Data!G2715</f>
        <v>0.21</v>
      </c>
      <c r="H2717" s="3">
        <f>[1]Raw_Data!H2715</f>
        <v>4</v>
      </c>
      <c r="I2717" s="3" t="str">
        <f>TRIM([1]Raw_Data!I2715)</f>
        <v>Canada</v>
      </c>
      <c r="J2717" s="3" t="str">
        <f>TRIM([1]Raw_Data!J2715)</f>
        <v>iHerb</v>
      </c>
      <c r="K2717" s="3">
        <f t="shared" si="168"/>
        <v>2023</v>
      </c>
      <c r="L2717" s="6">
        <f t="shared" si="169"/>
        <v>45017</v>
      </c>
      <c r="M2717" s="3" t="str">
        <f t="shared" si="170"/>
        <v>21% to 25%</v>
      </c>
      <c r="N2717" s="3" t="str">
        <f t="shared" si="171"/>
        <v>OK</v>
      </c>
    </row>
    <row r="2718" spans="1:14" x14ac:dyDescent="0.3">
      <c r="A2718" s="2">
        <f>DATE(VALUE(RIGHT(TRIM([1]Raw_Data!A2716),4)),VALUE(MID(TRIM([1]Raw_Data!A2716),4,2)),VALUE(LEFT(TRIM([1]Raw_Data!A2716),2)))</f>
        <v>45019</v>
      </c>
      <c r="B2718" s="3" t="str">
        <f>TRIM([1]Raw_Data!B2716)</f>
        <v>Ashwagandha</v>
      </c>
      <c r="C2718" s="3" t="str">
        <f>TRIM([1]Raw_Data!C2716)</f>
        <v>Herbal</v>
      </c>
      <c r="D2718" s="3">
        <f>[1]Raw_Data!D2716</f>
        <v>153</v>
      </c>
      <c r="E2718" s="4">
        <f>[1]Raw_Data!E2716</f>
        <v>38.19</v>
      </c>
      <c r="F2718" s="5">
        <f>[1]Raw_Data!F2716</f>
        <v>5843.07</v>
      </c>
      <c r="G2718" s="4">
        <f>[1]Raw_Data!G2716</f>
        <v>0.04</v>
      </c>
      <c r="H2718" s="3">
        <f>[1]Raw_Data!H2716</f>
        <v>3</v>
      </c>
      <c r="I2718" s="3" t="str">
        <f>TRIM([1]Raw_Data!I2716)</f>
        <v>USA</v>
      </c>
      <c r="J2718" s="3" t="str">
        <f>TRIM([1]Raw_Data!J2716)</f>
        <v>iHerb</v>
      </c>
      <c r="K2718" s="3">
        <f t="shared" si="168"/>
        <v>2023</v>
      </c>
      <c r="L2718" s="6">
        <f t="shared" si="169"/>
        <v>45017</v>
      </c>
      <c r="M2718" s="3" t="str">
        <f t="shared" si="170"/>
        <v>0% to 5%</v>
      </c>
      <c r="N2718" s="3" t="str">
        <f t="shared" si="171"/>
        <v>OK</v>
      </c>
    </row>
    <row r="2719" spans="1:14" x14ac:dyDescent="0.3">
      <c r="A2719" s="2">
        <f>DATE(VALUE(RIGHT(TRIM([1]Raw_Data!A2717),4)),VALUE(MID(TRIM([1]Raw_Data!A2717),4,2)),VALUE(LEFT(TRIM([1]Raw_Data!A2717),2)))</f>
        <v>45019</v>
      </c>
      <c r="B2719" s="3" t="str">
        <f>TRIM([1]Raw_Data!B2717)</f>
        <v>Melatonin</v>
      </c>
      <c r="C2719" s="3" t="str">
        <f>TRIM([1]Raw_Data!C2717)</f>
        <v>Sleep Aid</v>
      </c>
      <c r="D2719" s="3">
        <f>[1]Raw_Data!D2717</f>
        <v>170</v>
      </c>
      <c r="E2719" s="4">
        <f>[1]Raw_Data!E2717</f>
        <v>24.02</v>
      </c>
      <c r="F2719" s="5">
        <f>[1]Raw_Data!F2717</f>
        <v>4083.4</v>
      </c>
      <c r="G2719" s="4">
        <f>[1]Raw_Data!G2717</f>
        <v>0.04</v>
      </c>
      <c r="H2719" s="3">
        <f>[1]Raw_Data!H2717</f>
        <v>2</v>
      </c>
      <c r="I2719" s="3" t="str">
        <f>TRIM([1]Raw_Data!I2717)</f>
        <v>Canada</v>
      </c>
      <c r="J2719" s="3" t="str">
        <f>TRIM([1]Raw_Data!J2717)</f>
        <v>iHerb</v>
      </c>
      <c r="K2719" s="3">
        <f t="shared" si="168"/>
        <v>2023</v>
      </c>
      <c r="L2719" s="6">
        <f t="shared" si="169"/>
        <v>45017</v>
      </c>
      <c r="M2719" s="3" t="str">
        <f t="shared" si="170"/>
        <v>0% to 5%</v>
      </c>
      <c r="N2719" s="3" t="str">
        <f t="shared" si="171"/>
        <v>OK</v>
      </c>
    </row>
    <row r="2720" spans="1:14" x14ac:dyDescent="0.3">
      <c r="A2720" s="2">
        <f>DATE(VALUE(RIGHT(TRIM([1]Raw_Data!A2718),4)),VALUE(MID(TRIM([1]Raw_Data!A2718),4,2)),VALUE(LEFT(TRIM([1]Raw_Data!A2718),2)))</f>
        <v>45019</v>
      </c>
      <c r="B2720" s="3" t="str">
        <f>TRIM([1]Raw_Data!B2718)</f>
        <v>Biotin</v>
      </c>
      <c r="C2720" s="3" t="str">
        <f>TRIM([1]Raw_Data!C2718)</f>
        <v>Vitamin</v>
      </c>
      <c r="D2720" s="3">
        <f>[1]Raw_Data!D2718</f>
        <v>143</v>
      </c>
      <c r="E2720" s="4">
        <f>[1]Raw_Data!E2718</f>
        <v>43.55</v>
      </c>
      <c r="F2720" s="5">
        <f>[1]Raw_Data!F2718</f>
        <v>6227.65</v>
      </c>
      <c r="G2720" s="4">
        <f>[1]Raw_Data!G2718</f>
        <v>0.16</v>
      </c>
      <c r="H2720" s="3">
        <f>[1]Raw_Data!H2718</f>
        <v>1</v>
      </c>
      <c r="I2720" s="3" t="str">
        <f>TRIM([1]Raw_Data!I2718)</f>
        <v>Canada</v>
      </c>
      <c r="J2720" s="3" t="str">
        <f>TRIM([1]Raw_Data!J2718)</f>
        <v>Amazon</v>
      </c>
      <c r="K2720" s="3">
        <f t="shared" si="168"/>
        <v>2023</v>
      </c>
      <c r="L2720" s="6">
        <f t="shared" si="169"/>
        <v>45017</v>
      </c>
      <c r="M2720" s="3" t="str">
        <f t="shared" si="170"/>
        <v>16% to 20%</v>
      </c>
      <c r="N2720" s="3" t="str">
        <f t="shared" si="171"/>
        <v>OK</v>
      </c>
    </row>
    <row r="2721" spans="1:14" x14ac:dyDescent="0.3">
      <c r="A2721" s="2">
        <f>DATE(VALUE(RIGHT(TRIM([1]Raw_Data!A2719),4)),VALUE(MID(TRIM([1]Raw_Data!A2719),4,2)),VALUE(LEFT(TRIM([1]Raw_Data!A2719),2)))</f>
        <v>45019</v>
      </c>
      <c r="B2721" s="3" t="str">
        <f>TRIM([1]Raw_Data!B2719)</f>
        <v>Green Tea Extract</v>
      </c>
      <c r="C2721" s="3" t="str">
        <f>TRIM([1]Raw_Data!C2719)</f>
        <v>Fat Burner</v>
      </c>
      <c r="D2721" s="3">
        <f>[1]Raw_Data!D2719</f>
        <v>151</v>
      </c>
      <c r="E2721" s="4">
        <f>[1]Raw_Data!E2719</f>
        <v>12.81</v>
      </c>
      <c r="F2721" s="5">
        <f>[1]Raw_Data!F2719</f>
        <v>1934.31</v>
      </c>
      <c r="G2721" s="4">
        <f>[1]Raw_Data!G2719</f>
        <v>0.16</v>
      </c>
      <c r="H2721" s="3">
        <f>[1]Raw_Data!H2719</f>
        <v>2</v>
      </c>
      <c r="I2721" s="3" t="str">
        <f>TRIM([1]Raw_Data!I2719)</f>
        <v>Canada</v>
      </c>
      <c r="J2721" s="3" t="str">
        <f>TRIM([1]Raw_Data!J2719)</f>
        <v>iHerb</v>
      </c>
      <c r="K2721" s="3">
        <f t="shared" si="168"/>
        <v>2023</v>
      </c>
      <c r="L2721" s="6">
        <f t="shared" si="169"/>
        <v>45017</v>
      </c>
      <c r="M2721" s="3" t="str">
        <f t="shared" si="170"/>
        <v>16% to 20%</v>
      </c>
      <c r="N2721" s="3" t="str">
        <f t="shared" si="171"/>
        <v>OK</v>
      </c>
    </row>
    <row r="2722" spans="1:14" x14ac:dyDescent="0.3">
      <c r="A2722" s="2">
        <f>DATE(VALUE(RIGHT(TRIM([1]Raw_Data!A2720),4)),VALUE(MID(TRIM([1]Raw_Data!A2720),4,2)),VALUE(LEFT(TRIM([1]Raw_Data!A2720),2)))</f>
        <v>45019</v>
      </c>
      <c r="B2722" s="3" t="str">
        <f>TRIM([1]Raw_Data!B2720)</f>
        <v>Iron Supplement</v>
      </c>
      <c r="C2722" s="3" t="str">
        <f>TRIM([1]Raw_Data!C2720)</f>
        <v>Mineral</v>
      </c>
      <c r="D2722" s="3">
        <f>[1]Raw_Data!D2720</f>
        <v>161</v>
      </c>
      <c r="E2722" s="4">
        <f>[1]Raw_Data!E2720</f>
        <v>21.31</v>
      </c>
      <c r="F2722" s="5">
        <f>[1]Raw_Data!F2720</f>
        <v>3430.91</v>
      </c>
      <c r="G2722" s="4">
        <f>[1]Raw_Data!G2720</f>
        <v>0.24</v>
      </c>
      <c r="H2722" s="3">
        <f>[1]Raw_Data!H2720</f>
        <v>6</v>
      </c>
      <c r="I2722" s="3" t="str">
        <f>TRIM([1]Raw_Data!I2720)</f>
        <v>USA</v>
      </c>
      <c r="J2722" s="3" t="str">
        <f>TRIM([1]Raw_Data!J2720)</f>
        <v>Walmart</v>
      </c>
      <c r="K2722" s="3">
        <f t="shared" si="168"/>
        <v>2023</v>
      </c>
      <c r="L2722" s="6">
        <f t="shared" si="169"/>
        <v>45017</v>
      </c>
      <c r="M2722" s="3" t="str">
        <f t="shared" si="170"/>
        <v>21% to 25%</v>
      </c>
      <c r="N2722" s="3" t="str">
        <f t="shared" si="171"/>
        <v>OK</v>
      </c>
    </row>
    <row r="2723" spans="1:14" x14ac:dyDescent="0.3">
      <c r="A2723" s="2">
        <f>DATE(VALUE(RIGHT(TRIM([1]Raw_Data!A2721),4)),VALUE(MID(TRIM([1]Raw_Data!A2721),4,2)),VALUE(LEFT(TRIM([1]Raw_Data!A2721),2)))</f>
        <v>45019</v>
      </c>
      <c r="B2723" s="3" t="str">
        <f>TRIM([1]Raw_Data!B2721)</f>
        <v>Electrolyte Powder</v>
      </c>
      <c r="C2723" s="3" t="str">
        <f>TRIM([1]Raw_Data!C2721)</f>
        <v>Hydration</v>
      </c>
      <c r="D2723" s="3">
        <f>[1]Raw_Data!D2721</f>
        <v>142</v>
      </c>
      <c r="E2723" s="4">
        <f>[1]Raw_Data!E2721</f>
        <v>26.91</v>
      </c>
      <c r="F2723" s="5">
        <f>[1]Raw_Data!F2721</f>
        <v>3821.22</v>
      </c>
      <c r="G2723" s="4">
        <f>[1]Raw_Data!G2721</f>
        <v>0.24</v>
      </c>
      <c r="H2723" s="3">
        <f>[1]Raw_Data!H2721</f>
        <v>0</v>
      </c>
      <c r="I2723" s="3" t="str">
        <f>TRIM([1]Raw_Data!I2721)</f>
        <v>UK</v>
      </c>
      <c r="J2723" s="3" t="str">
        <f>TRIM([1]Raw_Data!J2721)</f>
        <v>iHerb</v>
      </c>
      <c r="K2723" s="3">
        <f t="shared" si="168"/>
        <v>2023</v>
      </c>
      <c r="L2723" s="6">
        <f t="shared" si="169"/>
        <v>45017</v>
      </c>
      <c r="M2723" s="3" t="str">
        <f t="shared" si="170"/>
        <v>21% to 25%</v>
      </c>
      <c r="N2723" s="3" t="str">
        <f t="shared" si="171"/>
        <v>OK</v>
      </c>
    </row>
    <row r="2724" spans="1:14" x14ac:dyDescent="0.3">
      <c r="A2724" s="2">
        <f>DATE(VALUE(RIGHT(TRIM([1]Raw_Data!A2722),4)),VALUE(MID(TRIM([1]Raw_Data!A2722),4,2)),VALUE(LEFT(TRIM([1]Raw_Data!A2722),2)))</f>
        <v>45026</v>
      </c>
      <c r="B2724" s="3" t="str">
        <f>TRIM([1]Raw_Data!B2722)</f>
        <v>Whey Protein</v>
      </c>
      <c r="C2724" s="3" t="str">
        <f>TRIM([1]Raw_Data!C2722)</f>
        <v>Protein</v>
      </c>
      <c r="D2724" s="3">
        <f>[1]Raw_Data!D2722</f>
        <v>150</v>
      </c>
      <c r="E2724" s="4">
        <f>[1]Raw_Data!E2722</f>
        <v>26.3</v>
      </c>
      <c r="F2724" s="5">
        <f>[1]Raw_Data!F2722</f>
        <v>3945</v>
      </c>
      <c r="G2724" s="4">
        <f>[1]Raw_Data!G2722</f>
        <v>0.16</v>
      </c>
      <c r="H2724" s="3">
        <f>[1]Raw_Data!H2722</f>
        <v>0</v>
      </c>
      <c r="I2724" s="3" t="str">
        <f>TRIM([1]Raw_Data!I2722)</f>
        <v>Canada</v>
      </c>
      <c r="J2724" s="3" t="str">
        <f>TRIM([1]Raw_Data!J2722)</f>
        <v>Walmart</v>
      </c>
      <c r="K2724" s="3">
        <f t="shared" si="168"/>
        <v>2023</v>
      </c>
      <c r="L2724" s="6">
        <f t="shared" si="169"/>
        <v>45017</v>
      </c>
      <c r="M2724" s="3" t="str">
        <f t="shared" si="170"/>
        <v>16% to 20%</v>
      </c>
      <c r="N2724" s="3" t="str">
        <f t="shared" si="171"/>
        <v>OK</v>
      </c>
    </row>
    <row r="2725" spans="1:14" x14ac:dyDescent="0.3">
      <c r="A2725" s="2">
        <f>DATE(VALUE(RIGHT(TRIM([1]Raw_Data!A2723),4)),VALUE(MID(TRIM([1]Raw_Data!A2723),4,2)),VALUE(LEFT(TRIM([1]Raw_Data!A2723),2)))</f>
        <v>45026</v>
      </c>
      <c r="B2725" s="3" t="str">
        <f>TRIM([1]Raw_Data!B2723)</f>
        <v>Vitamin C</v>
      </c>
      <c r="C2725" s="3" t="str">
        <f>TRIM([1]Raw_Data!C2723)</f>
        <v>Vitamin</v>
      </c>
      <c r="D2725" s="3">
        <f>[1]Raw_Data!D2723</f>
        <v>162</v>
      </c>
      <c r="E2725" s="4">
        <f>[1]Raw_Data!E2723</f>
        <v>27.98</v>
      </c>
      <c r="F2725" s="5">
        <f>[1]Raw_Data!F2723</f>
        <v>4532.76</v>
      </c>
      <c r="G2725" s="4">
        <f>[1]Raw_Data!G2723</f>
        <v>0.08</v>
      </c>
      <c r="H2725" s="3">
        <f>[1]Raw_Data!H2723</f>
        <v>1</v>
      </c>
      <c r="I2725" s="3" t="str">
        <f>TRIM([1]Raw_Data!I2723)</f>
        <v>USA</v>
      </c>
      <c r="J2725" s="3" t="str">
        <f>TRIM([1]Raw_Data!J2723)</f>
        <v>iHerb</v>
      </c>
      <c r="K2725" s="3">
        <f t="shared" si="168"/>
        <v>2023</v>
      </c>
      <c r="L2725" s="6">
        <f t="shared" si="169"/>
        <v>45017</v>
      </c>
      <c r="M2725" s="3" t="str">
        <f t="shared" si="170"/>
        <v>6% to 10%</v>
      </c>
      <c r="N2725" s="3" t="str">
        <f t="shared" si="171"/>
        <v>OK</v>
      </c>
    </row>
    <row r="2726" spans="1:14" x14ac:dyDescent="0.3">
      <c r="A2726" s="2">
        <f>DATE(VALUE(RIGHT(TRIM([1]Raw_Data!A2724),4)),VALUE(MID(TRIM([1]Raw_Data!A2724),4,2)),VALUE(LEFT(TRIM([1]Raw_Data!A2724),2)))</f>
        <v>45026</v>
      </c>
      <c r="B2726" s="3" t="str">
        <f>TRIM([1]Raw_Data!B2724)</f>
        <v>Fish Oil</v>
      </c>
      <c r="C2726" s="3" t="str">
        <f>TRIM([1]Raw_Data!C2724)</f>
        <v>Omega</v>
      </c>
      <c r="D2726" s="3">
        <f>[1]Raw_Data!D2724</f>
        <v>135</v>
      </c>
      <c r="E2726" s="4">
        <f>[1]Raw_Data!E2724</f>
        <v>14.18</v>
      </c>
      <c r="F2726" s="5">
        <f>[1]Raw_Data!F2724</f>
        <v>1914.3</v>
      </c>
      <c r="G2726" s="4">
        <f>[1]Raw_Data!G2724</f>
        <v>0.21</v>
      </c>
      <c r="H2726" s="3">
        <f>[1]Raw_Data!H2724</f>
        <v>0</v>
      </c>
      <c r="I2726" s="3" t="str">
        <f>TRIM([1]Raw_Data!I2724)</f>
        <v>UK</v>
      </c>
      <c r="J2726" s="3" t="str">
        <f>TRIM([1]Raw_Data!J2724)</f>
        <v>Walmart</v>
      </c>
      <c r="K2726" s="3">
        <f t="shared" si="168"/>
        <v>2023</v>
      </c>
      <c r="L2726" s="6">
        <f t="shared" si="169"/>
        <v>45017</v>
      </c>
      <c r="M2726" s="3" t="str">
        <f t="shared" si="170"/>
        <v>21% to 25%</v>
      </c>
      <c r="N2726" s="3" t="str">
        <f t="shared" si="171"/>
        <v>OK</v>
      </c>
    </row>
    <row r="2727" spans="1:14" x14ac:dyDescent="0.3">
      <c r="A2727" s="2">
        <f>DATE(VALUE(RIGHT(TRIM([1]Raw_Data!A2725),4)),VALUE(MID(TRIM([1]Raw_Data!A2725),4,2)),VALUE(LEFT(TRIM([1]Raw_Data!A2725),2)))</f>
        <v>45026</v>
      </c>
      <c r="B2727" s="3" t="str">
        <f>TRIM([1]Raw_Data!B2725)</f>
        <v>Multivitamin</v>
      </c>
      <c r="C2727" s="3" t="str">
        <f>TRIM([1]Raw_Data!C2725)</f>
        <v>Vitamin</v>
      </c>
      <c r="D2727" s="3">
        <f>[1]Raw_Data!D2725</f>
        <v>142</v>
      </c>
      <c r="E2727" s="4">
        <f>[1]Raw_Data!E2725</f>
        <v>37.75</v>
      </c>
      <c r="F2727" s="5">
        <f>[1]Raw_Data!F2725</f>
        <v>5360.5</v>
      </c>
      <c r="G2727" s="4">
        <f>[1]Raw_Data!G2725</f>
        <v>0.03</v>
      </c>
      <c r="H2727" s="3">
        <f>[1]Raw_Data!H2725</f>
        <v>3</v>
      </c>
      <c r="I2727" s="3" t="str">
        <f>TRIM([1]Raw_Data!I2725)</f>
        <v>USA</v>
      </c>
      <c r="J2727" s="3" t="str">
        <f>TRIM([1]Raw_Data!J2725)</f>
        <v>Amazon</v>
      </c>
      <c r="K2727" s="3">
        <f t="shared" si="168"/>
        <v>2023</v>
      </c>
      <c r="L2727" s="6">
        <f t="shared" si="169"/>
        <v>45017</v>
      </c>
      <c r="M2727" s="3" t="str">
        <f t="shared" si="170"/>
        <v>0% to 5%</v>
      </c>
      <c r="N2727" s="3" t="str">
        <f t="shared" si="171"/>
        <v>OK</v>
      </c>
    </row>
    <row r="2728" spans="1:14" x14ac:dyDescent="0.3">
      <c r="A2728" s="2">
        <f>DATE(VALUE(RIGHT(TRIM([1]Raw_Data!A2726),4)),VALUE(MID(TRIM([1]Raw_Data!A2726),4,2)),VALUE(LEFT(TRIM([1]Raw_Data!A2726),2)))</f>
        <v>45026</v>
      </c>
      <c r="B2728" s="3" t="str">
        <f>TRIM([1]Raw_Data!B2726)</f>
        <v>Pre-Workout</v>
      </c>
      <c r="C2728" s="3" t="str">
        <f>TRIM([1]Raw_Data!C2726)</f>
        <v>Performance</v>
      </c>
      <c r="D2728" s="3">
        <f>[1]Raw_Data!D2726</f>
        <v>148</v>
      </c>
      <c r="E2728" s="4">
        <f>[1]Raw_Data!E2726</f>
        <v>35.049999999999997</v>
      </c>
      <c r="F2728" s="5">
        <f>[1]Raw_Data!F2726</f>
        <v>5187.3999999999996</v>
      </c>
      <c r="G2728" s="4">
        <f>[1]Raw_Data!G2726</f>
        <v>0.15</v>
      </c>
      <c r="H2728" s="3">
        <f>[1]Raw_Data!H2726</f>
        <v>1</v>
      </c>
      <c r="I2728" s="3" t="str">
        <f>TRIM([1]Raw_Data!I2726)</f>
        <v>Canada</v>
      </c>
      <c r="J2728" s="3" t="str">
        <f>TRIM([1]Raw_Data!J2726)</f>
        <v>Amazon</v>
      </c>
      <c r="K2728" s="3">
        <f t="shared" si="168"/>
        <v>2023</v>
      </c>
      <c r="L2728" s="6">
        <f t="shared" si="169"/>
        <v>45017</v>
      </c>
      <c r="M2728" s="3" t="str">
        <f t="shared" si="170"/>
        <v>11% to 15%</v>
      </c>
      <c r="N2728" s="3" t="str">
        <f t="shared" si="171"/>
        <v>OK</v>
      </c>
    </row>
    <row r="2729" spans="1:14" x14ac:dyDescent="0.3">
      <c r="A2729" s="2">
        <f>DATE(VALUE(RIGHT(TRIM([1]Raw_Data!A2727),4)),VALUE(MID(TRIM([1]Raw_Data!A2727),4,2)),VALUE(LEFT(TRIM([1]Raw_Data!A2727),2)))</f>
        <v>45026</v>
      </c>
      <c r="B2729" s="3" t="str">
        <f>TRIM([1]Raw_Data!B2727)</f>
        <v>BCAA</v>
      </c>
      <c r="C2729" s="3" t="str">
        <f>TRIM([1]Raw_Data!C2727)</f>
        <v>Amino Acid</v>
      </c>
      <c r="D2729" s="3">
        <f>[1]Raw_Data!D2727</f>
        <v>138</v>
      </c>
      <c r="E2729" s="4">
        <f>[1]Raw_Data!E2727</f>
        <v>32.01</v>
      </c>
      <c r="F2729" s="5">
        <f>[1]Raw_Data!F2727</f>
        <v>4417.38</v>
      </c>
      <c r="G2729" s="4">
        <f>[1]Raw_Data!G2727</f>
        <v>0.1</v>
      </c>
      <c r="H2729" s="3">
        <f>[1]Raw_Data!H2727</f>
        <v>2</v>
      </c>
      <c r="I2729" s="3" t="str">
        <f>TRIM([1]Raw_Data!I2727)</f>
        <v>USA</v>
      </c>
      <c r="J2729" s="3" t="str">
        <f>TRIM([1]Raw_Data!J2727)</f>
        <v>Walmart</v>
      </c>
      <c r="K2729" s="3">
        <f t="shared" si="168"/>
        <v>2023</v>
      </c>
      <c r="L2729" s="6">
        <f t="shared" si="169"/>
        <v>45017</v>
      </c>
      <c r="M2729" s="3" t="str">
        <f t="shared" si="170"/>
        <v>6% to 10%</v>
      </c>
      <c r="N2729" s="3" t="str">
        <f t="shared" si="171"/>
        <v>OK</v>
      </c>
    </row>
    <row r="2730" spans="1:14" x14ac:dyDescent="0.3">
      <c r="A2730" s="2">
        <f>DATE(VALUE(RIGHT(TRIM([1]Raw_Data!A2728),4)),VALUE(MID(TRIM([1]Raw_Data!A2728),4,2)),VALUE(LEFT(TRIM([1]Raw_Data!A2728),2)))</f>
        <v>45026</v>
      </c>
      <c r="B2730" s="3" t="str">
        <f>TRIM([1]Raw_Data!B2728)</f>
        <v>Creatine</v>
      </c>
      <c r="C2730" s="3" t="str">
        <f>TRIM([1]Raw_Data!C2728)</f>
        <v>Performance</v>
      </c>
      <c r="D2730" s="3">
        <f>[1]Raw_Data!D2728</f>
        <v>157</v>
      </c>
      <c r="E2730" s="4">
        <f>[1]Raw_Data!E2728</f>
        <v>26.94</v>
      </c>
      <c r="F2730" s="5">
        <f>[1]Raw_Data!F2728</f>
        <v>4229.58</v>
      </c>
      <c r="G2730" s="4">
        <f>[1]Raw_Data!G2728</f>
        <v>0.1</v>
      </c>
      <c r="H2730" s="3">
        <f>[1]Raw_Data!H2728</f>
        <v>0</v>
      </c>
      <c r="I2730" s="3" t="str">
        <f>TRIM([1]Raw_Data!I2728)</f>
        <v>USA</v>
      </c>
      <c r="J2730" s="3" t="str">
        <f>TRIM([1]Raw_Data!J2728)</f>
        <v>Amazon</v>
      </c>
      <c r="K2730" s="3">
        <f t="shared" si="168"/>
        <v>2023</v>
      </c>
      <c r="L2730" s="6">
        <f t="shared" si="169"/>
        <v>45017</v>
      </c>
      <c r="M2730" s="3" t="str">
        <f t="shared" si="170"/>
        <v>6% to 10%</v>
      </c>
      <c r="N2730" s="3" t="str">
        <f t="shared" si="171"/>
        <v>OK</v>
      </c>
    </row>
    <row r="2731" spans="1:14" x14ac:dyDescent="0.3">
      <c r="A2731" s="2">
        <f>DATE(VALUE(RIGHT(TRIM([1]Raw_Data!A2729),4)),VALUE(MID(TRIM([1]Raw_Data!A2729),4,2)),VALUE(LEFT(TRIM([1]Raw_Data!A2729),2)))</f>
        <v>45026</v>
      </c>
      <c r="B2731" s="3" t="str">
        <f>TRIM([1]Raw_Data!B2729)</f>
        <v>Zinc</v>
      </c>
      <c r="C2731" s="3" t="str">
        <f>TRIM([1]Raw_Data!C2729)</f>
        <v>Mineral</v>
      </c>
      <c r="D2731" s="3">
        <f>[1]Raw_Data!D2729</f>
        <v>140</v>
      </c>
      <c r="E2731" s="4">
        <f>[1]Raw_Data!E2729</f>
        <v>59.81</v>
      </c>
      <c r="F2731" s="5">
        <f>[1]Raw_Data!F2729</f>
        <v>8373.4</v>
      </c>
      <c r="G2731" s="4">
        <f>[1]Raw_Data!G2729</f>
        <v>0.18</v>
      </c>
      <c r="H2731" s="3">
        <f>[1]Raw_Data!H2729</f>
        <v>0</v>
      </c>
      <c r="I2731" s="3" t="str">
        <f>TRIM([1]Raw_Data!I2729)</f>
        <v>UK</v>
      </c>
      <c r="J2731" s="3" t="str">
        <f>TRIM([1]Raw_Data!J2729)</f>
        <v>Amazon</v>
      </c>
      <c r="K2731" s="3">
        <f t="shared" si="168"/>
        <v>2023</v>
      </c>
      <c r="L2731" s="6">
        <f t="shared" si="169"/>
        <v>45017</v>
      </c>
      <c r="M2731" s="3" t="str">
        <f t="shared" si="170"/>
        <v>16% to 20%</v>
      </c>
      <c r="N2731" s="3" t="str">
        <f t="shared" si="171"/>
        <v>OK</v>
      </c>
    </row>
    <row r="2732" spans="1:14" x14ac:dyDescent="0.3">
      <c r="A2732" s="2">
        <f>DATE(VALUE(RIGHT(TRIM([1]Raw_Data!A2730),4)),VALUE(MID(TRIM([1]Raw_Data!A2730),4,2)),VALUE(LEFT(TRIM([1]Raw_Data!A2730),2)))</f>
        <v>45026</v>
      </c>
      <c r="B2732" s="3" t="str">
        <f>TRIM([1]Raw_Data!B2730)</f>
        <v>Collagen Peptides</v>
      </c>
      <c r="C2732" s="3" t="str">
        <f>TRIM([1]Raw_Data!C2730)</f>
        <v>Protein</v>
      </c>
      <c r="D2732" s="3">
        <f>[1]Raw_Data!D2730</f>
        <v>148</v>
      </c>
      <c r="E2732" s="4">
        <f>[1]Raw_Data!E2730</f>
        <v>56.17</v>
      </c>
      <c r="F2732" s="5">
        <f>[1]Raw_Data!F2730</f>
        <v>8313.16</v>
      </c>
      <c r="G2732" s="4">
        <f>[1]Raw_Data!G2730</f>
        <v>0.15</v>
      </c>
      <c r="H2732" s="3">
        <f>[1]Raw_Data!H2730</f>
        <v>0</v>
      </c>
      <c r="I2732" s="3" t="str">
        <f>TRIM([1]Raw_Data!I2730)</f>
        <v>USA</v>
      </c>
      <c r="J2732" s="3" t="str">
        <f>TRIM([1]Raw_Data!J2730)</f>
        <v>iHerb</v>
      </c>
      <c r="K2732" s="3">
        <f t="shared" si="168"/>
        <v>2023</v>
      </c>
      <c r="L2732" s="6">
        <f t="shared" si="169"/>
        <v>45017</v>
      </c>
      <c r="M2732" s="3" t="str">
        <f t="shared" si="170"/>
        <v>11% to 15%</v>
      </c>
      <c r="N2732" s="3" t="str">
        <f t="shared" si="171"/>
        <v>OK</v>
      </c>
    </row>
    <row r="2733" spans="1:14" x14ac:dyDescent="0.3">
      <c r="A2733" s="2">
        <f>DATE(VALUE(RIGHT(TRIM([1]Raw_Data!A2731),4)),VALUE(MID(TRIM([1]Raw_Data!A2731),4,2)),VALUE(LEFT(TRIM([1]Raw_Data!A2731),2)))</f>
        <v>45026</v>
      </c>
      <c r="B2733" s="3" t="str">
        <f>TRIM([1]Raw_Data!B2731)</f>
        <v>Magnesium</v>
      </c>
      <c r="C2733" s="3" t="str">
        <f>TRIM([1]Raw_Data!C2731)</f>
        <v>Mineral</v>
      </c>
      <c r="D2733" s="3">
        <f>[1]Raw_Data!D2731</f>
        <v>153</v>
      </c>
      <c r="E2733" s="4">
        <f>[1]Raw_Data!E2731</f>
        <v>26.87</v>
      </c>
      <c r="F2733" s="5">
        <f>[1]Raw_Data!F2731</f>
        <v>4111.1099999999997</v>
      </c>
      <c r="G2733" s="4">
        <f>[1]Raw_Data!G2731</f>
        <v>0.1</v>
      </c>
      <c r="H2733" s="3">
        <f>[1]Raw_Data!H2731</f>
        <v>2</v>
      </c>
      <c r="I2733" s="3" t="str">
        <f>TRIM([1]Raw_Data!I2731)</f>
        <v>UK</v>
      </c>
      <c r="J2733" s="3" t="str">
        <f>TRIM([1]Raw_Data!J2731)</f>
        <v>iHerb</v>
      </c>
      <c r="K2733" s="3">
        <f t="shared" si="168"/>
        <v>2023</v>
      </c>
      <c r="L2733" s="6">
        <f t="shared" si="169"/>
        <v>45017</v>
      </c>
      <c r="M2733" s="3" t="str">
        <f t="shared" si="170"/>
        <v>6% to 10%</v>
      </c>
      <c r="N2733" s="3" t="str">
        <f t="shared" si="171"/>
        <v>OK</v>
      </c>
    </row>
    <row r="2734" spans="1:14" x14ac:dyDescent="0.3">
      <c r="A2734" s="2">
        <f>DATE(VALUE(RIGHT(TRIM([1]Raw_Data!A2732),4)),VALUE(MID(TRIM([1]Raw_Data!A2732),4,2)),VALUE(LEFT(TRIM([1]Raw_Data!A2732),2)))</f>
        <v>45026</v>
      </c>
      <c r="B2734" s="3" t="str">
        <f>TRIM([1]Raw_Data!B2732)</f>
        <v>Ashwagandha</v>
      </c>
      <c r="C2734" s="3" t="str">
        <f>TRIM([1]Raw_Data!C2732)</f>
        <v>Herbal</v>
      </c>
      <c r="D2734" s="3">
        <f>[1]Raw_Data!D2732</f>
        <v>172</v>
      </c>
      <c r="E2734" s="4">
        <f>[1]Raw_Data!E2732</f>
        <v>49.49</v>
      </c>
      <c r="F2734" s="5">
        <f>[1]Raw_Data!F2732</f>
        <v>8512.2800000000007</v>
      </c>
      <c r="G2734" s="4">
        <f>[1]Raw_Data!G2732</f>
        <v>0.04</v>
      </c>
      <c r="H2734" s="3">
        <f>[1]Raw_Data!H2732</f>
        <v>1</v>
      </c>
      <c r="I2734" s="3" t="str">
        <f>TRIM([1]Raw_Data!I2732)</f>
        <v>USA</v>
      </c>
      <c r="J2734" s="3" t="str">
        <f>TRIM([1]Raw_Data!J2732)</f>
        <v>Amazon</v>
      </c>
      <c r="K2734" s="3">
        <f t="shared" si="168"/>
        <v>2023</v>
      </c>
      <c r="L2734" s="6">
        <f t="shared" si="169"/>
        <v>45017</v>
      </c>
      <c r="M2734" s="3" t="str">
        <f t="shared" si="170"/>
        <v>0% to 5%</v>
      </c>
      <c r="N2734" s="3" t="str">
        <f t="shared" si="171"/>
        <v>OK</v>
      </c>
    </row>
    <row r="2735" spans="1:14" x14ac:dyDescent="0.3">
      <c r="A2735" s="2">
        <f>DATE(VALUE(RIGHT(TRIM([1]Raw_Data!A2733),4)),VALUE(MID(TRIM([1]Raw_Data!A2733),4,2)),VALUE(LEFT(TRIM([1]Raw_Data!A2733),2)))</f>
        <v>45026</v>
      </c>
      <c r="B2735" s="3" t="str">
        <f>TRIM([1]Raw_Data!B2733)</f>
        <v>Melatonin</v>
      </c>
      <c r="C2735" s="3" t="str">
        <f>TRIM([1]Raw_Data!C2733)</f>
        <v>Sleep Aid</v>
      </c>
      <c r="D2735" s="3">
        <f>[1]Raw_Data!D2733</f>
        <v>151</v>
      </c>
      <c r="E2735" s="4">
        <f>[1]Raw_Data!E2733</f>
        <v>41.75</v>
      </c>
      <c r="F2735" s="5">
        <f>[1]Raw_Data!F2733</f>
        <v>6304.25</v>
      </c>
      <c r="G2735" s="4">
        <f>[1]Raw_Data!G2733</f>
        <v>7.0000000000000007E-2</v>
      </c>
      <c r="H2735" s="3">
        <f>[1]Raw_Data!H2733</f>
        <v>2</v>
      </c>
      <c r="I2735" s="3" t="str">
        <f>TRIM([1]Raw_Data!I2733)</f>
        <v>Canada</v>
      </c>
      <c r="J2735" s="3" t="str">
        <f>TRIM([1]Raw_Data!J2733)</f>
        <v>Walmart</v>
      </c>
      <c r="K2735" s="3">
        <f t="shared" si="168"/>
        <v>2023</v>
      </c>
      <c r="L2735" s="6">
        <f t="shared" si="169"/>
        <v>45017</v>
      </c>
      <c r="M2735" s="3" t="str">
        <f t="shared" si="170"/>
        <v>6% to 10%</v>
      </c>
      <c r="N2735" s="3" t="str">
        <f t="shared" si="171"/>
        <v>OK</v>
      </c>
    </row>
    <row r="2736" spans="1:14" x14ac:dyDescent="0.3">
      <c r="A2736" s="2">
        <f>DATE(VALUE(RIGHT(TRIM([1]Raw_Data!A2734),4)),VALUE(MID(TRIM([1]Raw_Data!A2734),4,2)),VALUE(LEFT(TRIM([1]Raw_Data!A2734),2)))</f>
        <v>45026</v>
      </c>
      <c r="B2736" s="3" t="str">
        <f>TRIM([1]Raw_Data!B2734)</f>
        <v>Biotin</v>
      </c>
      <c r="C2736" s="3" t="str">
        <f>TRIM([1]Raw_Data!C2734)</f>
        <v>Vitamin</v>
      </c>
      <c r="D2736" s="3">
        <f>[1]Raw_Data!D2734</f>
        <v>162</v>
      </c>
      <c r="E2736" s="4">
        <f>[1]Raw_Data!E2734</f>
        <v>19.04</v>
      </c>
      <c r="F2736" s="5">
        <f>[1]Raw_Data!F2734</f>
        <v>3084.48</v>
      </c>
      <c r="G2736" s="4">
        <f>[1]Raw_Data!G2734</f>
        <v>0.16</v>
      </c>
      <c r="H2736" s="3">
        <f>[1]Raw_Data!H2734</f>
        <v>5</v>
      </c>
      <c r="I2736" s="3" t="str">
        <f>TRIM([1]Raw_Data!I2734)</f>
        <v>UK</v>
      </c>
      <c r="J2736" s="3" t="str">
        <f>TRIM([1]Raw_Data!J2734)</f>
        <v>Amazon</v>
      </c>
      <c r="K2736" s="3">
        <f t="shared" si="168"/>
        <v>2023</v>
      </c>
      <c r="L2736" s="6">
        <f t="shared" si="169"/>
        <v>45017</v>
      </c>
      <c r="M2736" s="3" t="str">
        <f t="shared" si="170"/>
        <v>16% to 20%</v>
      </c>
      <c r="N2736" s="3" t="str">
        <f t="shared" si="171"/>
        <v>OK</v>
      </c>
    </row>
    <row r="2737" spans="1:14" x14ac:dyDescent="0.3">
      <c r="A2737" s="2">
        <f>DATE(VALUE(RIGHT(TRIM([1]Raw_Data!A2735),4)),VALUE(MID(TRIM([1]Raw_Data!A2735),4,2)),VALUE(LEFT(TRIM([1]Raw_Data!A2735),2)))</f>
        <v>45026</v>
      </c>
      <c r="B2737" s="3" t="str">
        <f>TRIM([1]Raw_Data!B2735)</f>
        <v>Green Tea Extract</v>
      </c>
      <c r="C2737" s="3" t="str">
        <f>TRIM([1]Raw_Data!C2735)</f>
        <v>Fat Burner</v>
      </c>
      <c r="D2737" s="3">
        <f>[1]Raw_Data!D2735</f>
        <v>154</v>
      </c>
      <c r="E2737" s="4">
        <f>[1]Raw_Data!E2735</f>
        <v>10.86</v>
      </c>
      <c r="F2737" s="5">
        <f>[1]Raw_Data!F2735</f>
        <v>1672.44</v>
      </c>
      <c r="G2737" s="4">
        <f>[1]Raw_Data!G2735</f>
        <v>0.08</v>
      </c>
      <c r="H2737" s="3">
        <f>[1]Raw_Data!H2735</f>
        <v>0</v>
      </c>
      <c r="I2737" s="3" t="str">
        <f>TRIM([1]Raw_Data!I2735)</f>
        <v>USA</v>
      </c>
      <c r="J2737" s="3" t="str">
        <f>TRIM([1]Raw_Data!J2735)</f>
        <v>Amazon</v>
      </c>
      <c r="K2737" s="3">
        <f t="shared" si="168"/>
        <v>2023</v>
      </c>
      <c r="L2737" s="6">
        <f t="shared" si="169"/>
        <v>45017</v>
      </c>
      <c r="M2737" s="3" t="str">
        <f t="shared" si="170"/>
        <v>6% to 10%</v>
      </c>
      <c r="N2737" s="3" t="str">
        <f t="shared" si="171"/>
        <v>OK</v>
      </c>
    </row>
    <row r="2738" spans="1:14" x14ac:dyDescent="0.3">
      <c r="A2738" s="2">
        <f>DATE(VALUE(RIGHT(TRIM([1]Raw_Data!A2736),4)),VALUE(MID(TRIM([1]Raw_Data!A2736),4,2)),VALUE(LEFT(TRIM([1]Raw_Data!A2736),2)))</f>
        <v>45026</v>
      </c>
      <c r="B2738" s="3" t="str">
        <f>TRIM([1]Raw_Data!B2736)</f>
        <v>Iron Supplement</v>
      </c>
      <c r="C2738" s="3" t="str">
        <f>TRIM([1]Raw_Data!C2736)</f>
        <v>Mineral</v>
      </c>
      <c r="D2738" s="3">
        <f>[1]Raw_Data!D2736</f>
        <v>162</v>
      </c>
      <c r="E2738" s="4">
        <f>[1]Raw_Data!E2736</f>
        <v>22.93</v>
      </c>
      <c r="F2738" s="5">
        <f>[1]Raw_Data!F2736</f>
        <v>3714.66</v>
      </c>
      <c r="G2738" s="4">
        <f>[1]Raw_Data!G2736</f>
        <v>0.08</v>
      </c>
      <c r="H2738" s="3">
        <f>[1]Raw_Data!H2736</f>
        <v>1</v>
      </c>
      <c r="I2738" s="3" t="str">
        <f>TRIM([1]Raw_Data!I2736)</f>
        <v>UK</v>
      </c>
      <c r="J2738" s="3" t="str">
        <f>TRIM([1]Raw_Data!J2736)</f>
        <v>iHerb</v>
      </c>
      <c r="K2738" s="3">
        <f t="shared" si="168"/>
        <v>2023</v>
      </c>
      <c r="L2738" s="6">
        <f t="shared" si="169"/>
        <v>45017</v>
      </c>
      <c r="M2738" s="3" t="str">
        <f t="shared" si="170"/>
        <v>6% to 10%</v>
      </c>
      <c r="N2738" s="3" t="str">
        <f t="shared" si="171"/>
        <v>OK</v>
      </c>
    </row>
    <row r="2739" spans="1:14" x14ac:dyDescent="0.3">
      <c r="A2739" s="2">
        <f>DATE(VALUE(RIGHT(TRIM([1]Raw_Data!A2737),4)),VALUE(MID(TRIM([1]Raw_Data!A2737),4,2)),VALUE(LEFT(TRIM([1]Raw_Data!A2737),2)))</f>
        <v>45026</v>
      </c>
      <c r="B2739" s="3" t="str">
        <f>TRIM([1]Raw_Data!B2737)</f>
        <v>Electrolyte Powder</v>
      </c>
      <c r="C2739" s="3" t="str">
        <f>TRIM([1]Raw_Data!C2737)</f>
        <v>Hydration</v>
      </c>
      <c r="D2739" s="3">
        <f>[1]Raw_Data!D2737</f>
        <v>170</v>
      </c>
      <c r="E2739" s="4">
        <f>[1]Raw_Data!E2737</f>
        <v>42.81</v>
      </c>
      <c r="F2739" s="5">
        <f>[1]Raw_Data!F2737</f>
        <v>7277.7</v>
      </c>
      <c r="G2739" s="4">
        <f>[1]Raw_Data!G2737</f>
        <v>0.1</v>
      </c>
      <c r="H2739" s="3">
        <f>[1]Raw_Data!H2737</f>
        <v>2</v>
      </c>
      <c r="I2739" s="3" t="str">
        <f>TRIM([1]Raw_Data!I2737)</f>
        <v>Canada</v>
      </c>
      <c r="J2739" s="3" t="str">
        <f>TRIM([1]Raw_Data!J2737)</f>
        <v>Amazon</v>
      </c>
      <c r="K2739" s="3">
        <f t="shared" si="168"/>
        <v>2023</v>
      </c>
      <c r="L2739" s="6">
        <f t="shared" si="169"/>
        <v>45017</v>
      </c>
      <c r="M2739" s="3" t="str">
        <f t="shared" si="170"/>
        <v>6% to 10%</v>
      </c>
      <c r="N2739" s="3" t="str">
        <f t="shared" si="171"/>
        <v>OK</v>
      </c>
    </row>
    <row r="2740" spans="1:14" x14ac:dyDescent="0.3">
      <c r="A2740" s="2">
        <f>DATE(VALUE(RIGHT(TRIM([1]Raw_Data!A2738),4)),VALUE(MID(TRIM([1]Raw_Data!A2738),4,2)),VALUE(LEFT(TRIM([1]Raw_Data!A2738),2)))</f>
        <v>45033</v>
      </c>
      <c r="B2740" s="3" t="str">
        <f>TRIM([1]Raw_Data!B2738)</f>
        <v>Whey Protein</v>
      </c>
      <c r="C2740" s="3" t="str">
        <f>TRIM([1]Raw_Data!C2738)</f>
        <v>Protein</v>
      </c>
      <c r="D2740" s="3">
        <f>[1]Raw_Data!D2738</f>
        <v>146</v>
      </c>
      <c r="E2740" s="4">
        <f>[1]Raw_Data!E2738</f>
        <v>41.72</v>
      </c>
      <c r="F2740" s="5">
        <f>[1]Raw_Data!F2738</f>
        <v>6091.12</v>
      </c>
      <c r="G2740" s="4">
        <f>[1]Raw_Data!G2738</f>
        <v>0.15</v>
      </c>
      <c r="H2740" s="3">
        <f>[1]Raw_Data!H2738</f>
        <v>1</v>
      </c>
      <c r="I2740" s="3" t="str">
        <f>TRIM([1]Raw_Data!I2738)</f>
        <v>UK</v>
      </c>
      <c r="J2740" s="3" t="str">
        <f>TRIM([1]Raw_Data!J2738)</f>
        <v>Amazon</v>
      </c>
      <c r="K2740" s="3">
        <f t="shared" si="168"/>
        <v>2023</v>
      </c>
      <c r="L2740" s="6">
        <f t="shared" si="169"/>
        <v>45017</v>
      </c>
      <c r="M2740" s="3" t="str">
        <f t="shared" si="170"/>
        <v>11% to 15%</v>
      </c>
      <c r="N2740" s="3" t="str">
        <f t="shared" si="171"/>
        <v>OK</v>
      </c>
    </row>
    <row r="2741" spans="1:14" x14ac:dyDescent="0.3">
      <c r="A2741" s="2">
        <f>DATE(VALUE(RIGHT(TRIM([1]Raw_Data!A2739),4)),VALUE(MID(TRIM([1]Raw_Data!A2739),4,2)),VALUE(LEFT(TRIM([1]Raw_Data!A2739),2)))</f>
        <v>45033</v>
      </c>
      <c r="B2741" s="3" t="str">
        <f>TRIM([1]Raw_Data!B2739)</f>
        <v>Vitamin C</v>
      </c>
      <c r="C2741" s="3" t="str">
        <f>TRIM([1]Raw_Data!C2739)</f>
        <v>Vitamin</v>
      </c>
      <c r="D2741" s="3">
        <f>[1]Raw_Data!D2739</f>
        <v>135</v>
      </c>
      <c r="E2741" s="4">
        <f>[1]Raw_Data!E2739</f>
        <v>30.76</v>
      </c>
      <c r="F2741" s="5">
        <f>[1]Raw_Data!F2739</f>
        <v>4152.6000000000004</v>
      </c>
      <c r="G2741" s="4">
        <f>[1]Raw_Data!G2739</f>
        <v>0.16</v>
      </c>
      <c r="H2741" s="3">
        <f>[1]Raw_Data!H2739</f>
        <v>3</v>
      </c>
      <c r="I2741" s="3" t="str">
        <f>TRIM([1]Raw_Data!I2739)</f>
        <v>UK</v>
      </c>
      <c r="J2741" s="3" t="str">
        <f>TRIM([1]Raw_Data!J2739)</f>
        <v>Amazon</v>
      </c>
      <c r="K2741" s="3">
        <f t="shared" si="168"/>
        <v>2023</v>
      </c>
      <c r="L2741" s="6">
        <f t="shared" si="169"/>
        <v>45017</v>
      </c>
      <c r="M2741" s="3" t="str">
        <f t="shared" si="170"/>
        <v>16% to 20%</v>
      </c>
      <c r="N2741" s="3" t="str">
        <f t="shared" si="171"/>
        <v>OK</v>
      </c>
    </row>
    <row r="2742" spans="1:14" x14ac:dyDescent="0.3">
      <c r="A2742" s="2">
        <f>DATE(VALUE(RIGHT(TRIM([1]Raw_Data!A2740),4)),VALUE(MID(TRIM([1]Raw_Data!A2740),4,2)),VALUE(LEFT(TRIM([1]Raw_Data!A2740),2)))</f>
        <v>45033</v>
      </c>
      <c r="B2742" s="3" t="str">
        <f>TRIM([1]Raw_Data!B2740)</f>
        <v>Fish Oil</v>
      </c>
      <c r="C2742" s="3" t="str">
        <f>TRIM([1]Raw_Data!C2740)</f>
        <v>Omega</v>
      </c>
      <c r="D2742" s="3">
        <f>[1]Raw_Data!D2740</f>
        <v>116</v>
      </c>
      <c r="E2742" s="4">
        <f>[1]Raw_Data!E2740</f>
        <v>19.690000000000001</v>
      </c>
      <c r="F2742" s="5">
        <f>[1]Raw_Data!F2740</f>
        <v>2284.04</v>
      </c>
      <c r="G2742" s="4">
        <f>[1]Raw_Data!G2740</f>
        <v>0.13</v>
      </c>
      <c r="H2742" s="3">
        <f>[1]Raw_Data!H2740</f>
        <v>1</v>
      </c>
      <c r="I2742" s="3" t="str">
        <f>TRIM([1]Raw_Data!I2740)</f>
        <v>Canada</v>
      </c>
      <c r="J2742" s="3" t="str">
        <f>TRIM([1]Raw_Data!J2740)</f>
        <v>Amazon</v>
      </c>
      <c r="K2742" s="3">
        <f t="shared" si="168"/>
        <v>2023</v>
      </c>
      <c r="L2742" s="6">
        <f t="shared" si="169"/>
        <v>45017</v>
      </c>
      <c r="M2742" s="3" t="str">
        <f t="shared" si="170"/>
        <v>11% to 15%</v>
      </c>
      <c r="N2742" s="3" t="str">
        <f t="shared" si="171"/>
        <v>OK</v>
      </c>
    </row>
    <row r="2743" spans="1:14" x14ac:dyDescent="0.3">
      <c r="A2743" s="2">
        <f>DATE(VALUE(RIGHT(TRIM([1]Raw_Data!A2741),4)),VALUE(MID(TRIM([1]Raw_Data!A2741),4,2)),VALUE(LEFT(TRIM([1]Raw_Data!A2741),2)))</f>
        <v>45033</v>
      </c>
      <c r="B2743" s="3" t="str">
        <f>TRIM([1]Raw_Data!B2741)</f>
        <v>Multivitamin</v>
      </c>
      <c r="C2743" s="3" t="str">
        <f>TRIM([1]Raw_Data!C2741)</f>
        <v>Vitamin</v>
      </c>
      <c r="D2743" s="3">
        <f>[1]Raw_Data!D2741</f>
        <v>158</v>
      </c>
      <c r="E2743" s="4">
        <f>[1]Raw_Data!E2741</f>
        <v>39.72</v>
      </c>
      <c r="F2743" s="5">
        <f>[1]Raw_Data!F2741</f>
        <v>6275.76</v>
      </c>
      <c r="G2743" s="4">
        <f>[1]Raw_Data!G2741</f>
        <v>0.22</v>
      </c>
      <c r="H2743" s="3">
        <f>[1]Raw_Data!H2741</f>
        <v>3</v>
      </c>
      <c r="I2743" s="3" t="str">
        <f>TRIM([1]Raw_Data!I2741)</f>
        <v>UK</v>
      </c>
      <c r="J2743" s="3" t="str">
        <f>TRIM([1]Raw_Data!J2741)</f>
        <v>iHerb</v>
      </c>
      <c r="K2743" s="3">
        <f t="shared" si="168"/>
        <v>2023</v>
      </c>
      <c r="L2743" s="6">
        <f t="shared" si="169"/>
        <v>45017</v>
      </c>
      <c r="M2743" s="3" t="str">
        <f t="shared" si="170"/>
        <v>21% to 25%</v>
      </c>
      <c r="N2743" s="3" t="str">
        <f t="shared" si="171"/>
        <v>OK</v>
      </c>
    </row>
    <row r="2744" spans="1:14" x14ac:dyDescent="0.3">
      <c r="A2744" s="2">
        <f>DATE(VALUE(RIGHT(TRIM([1]Raw_Data!A2742),4)),VALUE(MID(TRIM([1]Raw_Data!A2742),4,2)),VALUE(LEFT(TRIM([1]Raw_Data!A2742),2)))</f>
        <v>45033</v>
      </c>
      <c r="B2744" s="3" t="str">
        <f>TRIM([1]Raw_Data!B2742)</f>
        <v>Pre-Workout</v>
      </c>
      <c r="C2744" s="3" t="str">
        <f>TRIM([1]Raw_Data!C2742)</f>
        <v>Performance</v>
      </c>
      <c r="D2744" s="3">
        <f>[1]Raw_Data!D2742</f>
        <v>169</v>
      </c>
      <c r="E2744" s="4">
        <f>[1]Raw_Data!E2742</f>
        <v>19.88</v>
      </c>
      <c r="F2744" s="5">
        <f>[1]Raw_Data!F2742</f>
        <v>3359.72</v>
      </c>
      <c r="G2744" s="4">
        <f>[1]Raw_Data!G2742</f>
        <v>0</v>
      </c>
      <c r="H2744" s="3">
        <f>[1]Raw_Data!H2742</f>
        <v>2</v>
      </c>
      <c r="I2744" s="3" t="str">
        <f>TRIM([1]Raw_Data!I2742)</f>
        <v>Canada</v>
      </c>
      <c r="J2744" s="3" t="str">
        <f>TRIM([1]Raw_Data!J2742)</f>
        <v>Walmart</v>
      </c>
      <c r="K2744" s="3">
        <f t="shared" si="168"/>
        <v>2023</v>
      </c>
      <c r="L2744" s="6">
        <f t="shared" si="169"/>
        <v>45017</v>
      </c>
      <c r="M2744" s="3" t="str">
        <f t="shared" si="170"/>
        <v>0% to 5%</v>
      </c>
      <c r="N2744" s="3" t="str">
        <f t="shared" si="171"/>
        <v>OK</v>
      </c>
    </row>
    <row r="2745" spans="1:14" x14ac:dyDescent="0.3">
      <c r="A2745" s="2">
        <f>DATE(VALUE(RIGHT(TRIM([1]Raw_Data!A2743),4)),VALUE(MID(TRIM([1]Raw_Data!A2743),4,2)),VALUE(LEFT(TRIM([1]Raw_Data!A2743),2)))</f>
        <v>45033</v>
      </c>
      <c r="B2745" s="3" t="str">
        <f>TRIM([1]Raw_Data!B2743)</f>
        <v>BCAA</v>
      </c>
      <c r="C2745" s="3" t="str">
        <f>TRIM([1]Raw_Data!C2743)</f>
        <v>Amino Acid</v>
      </c>
      <c r="D2745" s="3">
        <f>[1]Raw_Data!D2743</f>
        <v>174</v>
      </c>
      <c r="E2745" s="4">
        <f>[1]Raw_Data!E2743</f>
        <v>41.85</v>
      </c>
      <c r="F2745" s="5">
        <f>[1]Raw_Data!F2743</f>
        <v>7281.9</v>
      </c>
      <c r="G2745" s="4">
        <f>[1]Raw_Data!G2743</f>
        <v>0.19</v>
      </c>
      <c r="H2745" s="3">
        <f>[1]Raw_Data!H2743</f>
        <v>4</v>
      </c>
      <c r="I2745" s="3" t="str">
        <f>TRIM([1]Raw_Data!I2743)</f>
        <v>UK</v>
      </c>
      <c r="J2745" s="3" t="str">
        <f>TRIM([1]Raw_Data!J2743)</f>
        <v>Walmart</v>
      </c>
      <c r="K2745" s="3">
        <f t="shared" si="168"/>
        <v>2023</v>
      </c>
      <c r="L2745" s="6">
        <f t="shared" si="169"/>
        <v>45017</v>
      </c>
      <c r="M2745" s="3" t="str">
        <f t="shared" si="170"/>
        <v>16% to 20%</v>
      </c>
      <c r="N2745" s="3" t="str">
        <f t="shared" si="171"/>
        <v>OK</v>
      </c>
    </row>
    <row r="2746" spans="1:14" x14ac:dyDescent="0.3">
      <c r="A2746" s="2">
        <f>DATE(VALUE(RIGHT(TRIM([1]Raw_Data!A2744),4)),VALUE(MID(TRIM([1]Raw_Data!A2744),4,2)),VALUE(LEFT(TRIM([1]Raw_Data!A2744),2)))</f>
        <v>45033</v>
      </c>
      <c r="B2746" s="3" t="str">
        <f>TRIM([1]Raw_Data!B2744)</f>
        <v>Creatine</v>
      </c>
      <c r="C2746" s="3" t="str">
        <f>TRIM([1]Raw_Data!C2744)</f>
        <v>Performance</v>
      </c>
      <c r="D2746" s="3">
        <f>[1]Raw_Data!D2744</f>
        <v>144</v>
      </c>
      <c r="E2746" s="4">
        <f>[1]Raw_Data!E2744</f>
        <v>37.15</v>
      </c>
      <c r="F2746" s="5">
        <f>[1]Raw_Data!F2744</f>
        <v>5349.6</v>
      </c>
      <c r="G2746" s="4">
        <f>[1]Raw_Data!G2744</f>
        <v>0.1</v>
      </c>
      <c r="H2746" s="3">
        <f>[1]Raw_Data!H2744</f>
        <v>0</v>
      </c>
      <c r="I2746" s="3" t="str">
        <f>TRIM([1]Raw_Data!I2744)</f>
        <v>USA</v>
      </c>
      <c r="J2746" s="3" t="str">
        <f>TRIM([1]Raw_Data!J2744)</f>
        <v>iHerb</v>
      </c>
      <c r="K2746" s="3">
        <f t="shared" si="168"/>
        <v>2023</v>
      </c>
      <c r="L2746" s="6">
        <f t="shared" si="169"/>
        <v>45017</v>
      </c>
      <c r="M2746" s="3" t="str">
        <f t="shared" si="170"/>
        <v>6% to 10%</v>
      </c>
      <c r="N2746" s="3" t="str">
        <f t="shared" si="171"/>
        <v>OK</v>
      </c>
    </row>
    <row r="2747" spans="1:14" x14ac:dyDescent="0.3">
      <c r="A2747" s="2">
        <f>DATE(VALUE(RIGHT(TRIM([1]Raw_Data!A2745),4)),VALUE(MID(TRIM([1]Raw_Data!A2745),4,2)),VALUE(LEFT(TRIM([1]Raw_Data!A2745),2)))</f>
        <v>45033</v>
      </c>
      <c r="B2747" s="3" t="str">
        <f>TRIM([1]Raw_Data!B2745)</f>
        <v>Zinc</v>
      </c>
      <c r="C2747" s="3" t="str">
        <f>TRIM([1]Raw_Data!C2745)</f>
        <v>Mineral</v>
      </c>
      <c r="D2747" s="3">
        <f>[1]Raw_Data!D2745</f>
        <v>159</v>
      </c>
      <c r="E2747" s="4">
        <f>[1]Raw_Data!E2745</f>
        <v>47.35</v>
      </c>
      <c r="F2747" s="5">
        <f>[1]Raw_Data!F2745</f>
        <v>7528.65</v>
      </c>
      <c r="G2747" s="4">
        <f>[1]Raw_Data!G2745</f>
        <v>0.09</v>
      </c>
      <c r="H2747" s="3">
        <f>[1]Raw_Data!H2745</f>
        <v>1</v>
      </c>
      <c r="I2747" s="3" t="str">
        <f>TRIM([1]Raw_Data!I2745)</f>
        <v>UK</v>
      </c>
      <c r="J2747" s="3" t="str">
        <f>TRIM([1]Raw_Data!J2745)</f>
        <v>Walmart</v>
      </c>
      <c r="K2747" s="3">
        <f t="shared" si="168"/>
        <v>2023</v>
      </c>
      <c r="L2747" s="6">
        <f t="shared" si="169"/>
        <v>45017</v>
      </c>
      <c r="M2747" s="3" t="str">
        <f t="shared" si="170"/>
        <v>6% to 10%</v>
      </c>
      <c r="N2747" s="3" t="str">
        <f t="shared" si="171"/>
        <v>OK</v>
      </c>
    </row>
    <row r="2748" spans="1:14" x14ac:dyDescent="0.3">
      <c r="A2748" s="2">
        <f>DATE(VALUE(RIGHT(TRIM([1]Raw_Data!A2746),4)),VALUE(MID(TRIM([1]Raw_Data!A2746),4,2)),VALUE(LEFT(TRIM([1]Raw_Data!A2746),2)))</f>
        <v>45033</v>
      </c>
      <c r="B2748" s="3" t="str">
        <f>TRIM([1]Raw_Data!B2746)</f>
        <v>Collagen Peptides</v>
      </c>
      <c r="C2748" s="3" t="str">
        <f>TRIM([1]Raw_Data!C2746)</f>
        <v>Protein</v>
      </c>
      <c r="D2748" s="3">
        <f>[1]Raw_Data!D2746</f>
        <v>145</v>
      </c>
      <c r="E2748" s="4">
        <f>[1]Raw_Data!E2746</f>
        <v>38.119999999999997</v>
      </c>
      <c r="F2748" s="5">
        <f>[1]Raw_Data!F2746</f>
        <v>5527.4</v>
      </c>
      <c r="G2748" s="4">
        <f>[1]Raw_Data!G2746</f>
        <v>0.03</v>
      </c>
      <c r="H2748" s="3">
        <f>[1]Raw_Data!H2746</f>
        <v>0</v>
      </c>
      <c r="I2748" s="3" t="str">
        <f>TRIM([1]Raw_Data!I2746)</f>
        <v>USA</v>
      </c>
      <c r="J2748" s="3" t="str">
        <f>TRIM([1]Raw_Data!J2746)</f>
        <v>Amazon</v>
      </c>
      <c r="K2748" s="3">
        <f t="shared" si="168"/>
        <v>2023</v>
      </c>
      <c r="L2748" s="6">
        <f t="shared" si="169"/>
        <v>45017</v>
      </c>
      <c r="M2748" s="3" t="str">
        <f t="shared" si="170"/>
        <v>0% to 5%</v>
      </c>
      <c r="N2748" s="3" t="str">
        <f t="shared" si="171"/>
        <v>OK</v>
      </c>
    </row>
    <row r="2749" spans="1:14" x14ac:dyDescent="0.3">
      <c r="A2749" s="2">
        <f>DATE(VALUE(RIGHT(TRIM([1]Raw_Data!A2747),4)),VALUE(MID(TRIM([1]Raw_Data!A2747),4,2)),VALUE(LEFT(TRIM([1]Raw_Data!A2747),2)))</f>
        <v>45033</v>
      </c>
      <c r="B2749" s="3" t="str">
        <f>TRIM([1]Raw_Data!B2747)</f>
        <v>Magnesium</v>
      </c>
      <c r="C2749" s="3" t="str">
        <f>TRIM([1]Raw_Data!C2747)</f>
        <v>Mineral</v>
      </c>
      <c r="D2749" s="3">
        <f>[1]Raw_Data!D2747</f>
        <v>160</v>
      </c>
      <c r="E2749" s="4">
        <f>[1]Raw_Data!E2747</f>
        <v>57.95</v>
      </c>
      <c r="F2749" s="5">
        <f>[1]Raw_Data!F2747</f>
        <v>9272</v>
      </c>
      <c r="G2749" s="4">
        <f>[1]Raw_Data!G2747</f>
        <v>0.13</v>
      </c>
      <c r="H2749" s="3">
        <f>[1]Raw_Data!H2747</f>
        <v>5</v>
      </c>
      <c r="I2749" s="3" t="str">
        <f>TRIM([1]Raw_Data!I2747)</f>
        <v>UK</v>
      </c>
      <c r="J2749" s="3" t="str">
        <f>TRIM([1]Raw_Data!J2747)</f>
        <v>iHerb</v>
      </c>
      <c r="K2749" s="3">
        <f t="shared" si="168"/>
        <v>2023</v>
      </c>
      <c r="L2749" s="6">
        <f t="shared" si="169"/>
        <v>45017</v>
      </c>
      <c r="M2749" s="3" t="str">
        <f t="shared" si="170"/>
        <v>11% to 15%</v>
      </c>
      <c r="N2749" s="3" t="str">
        <f t="shared" si="171"/>
        <v>OK</v>
      </c>
    </row>
    <row r="2750" spans="1:14" x14ac:dyDescent="0.3">
      <c r="A2750" s="2">
        <f>DATE(VALUE(RIGHT(TRIM([1]Raw_Data!A2748),4)),VALUE(MID(TRIM([1]Raw_Data!A2748),4,2)),VALUE(LEFT(TRIM([1]Raw_Data!A2748),2)))</f>
        <v>45033</v>
      </c>
      <c r="B2750" s="3" t="str">
        <f>TRIM([1]Raw_Data!B2748)</f>
        <v>Ashwagandha</v>
      </c>
      <c r="C2750" s="3" t="str">
        <f>TRIM([1]Raw_Data!C2748)</f>
        <v>Herbal</v>
      </c>
      <c r="D2750" s="3">
        <f>[1]Raw_Data!D2748</f>
        <v>125</v>
      </c>
      <c r="E2750" s="4">
        <f>[1]Raw_Data!E2748</f>
        <v>27.47</v>
      </c>
      <c r="F2750" s="5">
        <f>[1]Raw_Data!F2748</f>
        <v>3433.75</v>
      </c>
      <c r="G2750" s="4">
        <f>[1]Raw_Data!G2748</f>
        <v>0.21</v>
      </c>
      <c r="H2750" s="3">
        <f>[1]Raw_Data!H2748</f>
        <v>1</v>
      </c>
      <c r="I2750" s="3" t="str">
        <f>TRIM([1]Raw_Data!I2748)</f>
        <v>Canada</v>
      </c>
      <c r="J2750" s="3" t="str">
        <f>TRIM([1]Raw_Data!J2748)</f>
        <v>Walmart</v>
      </c>
      <c r="K2750" s="3">
        <f t="shared" si="168"/>
        <v>2023</v>
      </c>
      <c r="L2750" s="6">
        <f t="shared" si="169"/>
        <v>45017</v>
      </c>
      <c r="M2750" s="3" t="str">
        <f t="shared" si="170"/>
        <v>21% to 25%</v>
      </c>
      <c r="N2750" s="3" t="str">
        <f t="shared" si="171"/>
        <v>OK</v>
      </c>
    </row>
    <row r="2751" spans="1:14" x14ac:dyDescent="0.3">
      <c r="A2751" s="2">
        <f>DATE(VALUE(RIGHT(TRIM([1]Raw_Data!A2749),4)),VALUE(MID(TRIM([1]Raw_Data!A2749),4,2)),VALUE(LEFT(TRIM([1]Raw_Data!A2749),2)))</f>
        <v>45033</v>
      </c>
      <c r="B2751" s="3" t="str">
        <f>TRIM([1]Raw_Data!B2749)</f>
        <v>Melatonin</v>
      </c>
      <c r="C2751" s="3" t="str">
        <f>TRIM([1]Raw_Data!C2749)</f>
        <v>Sleep Aid</v>
      </c>
      <c r="D2751" s="3">
        <f>[1]Raw_Data!D2749</f>
        <v>141</v>
      </c>
      <c r="E2751" s="4">
        <f>[1]Raw_Data!E2749</f>
        <v>28.73</v>
      </c>
      <c r="F2751" s="5">
        <f>[1]Raw_Data!F2749</f>
        <v>4050.93</v>
      </c>
      <c r="G2751" s="4">
        <f>[1]Raw_Data!G2749</f>
        <v>0</v>
      </c>
      <c r="H2751" s="3">
        <f>[1]Raw_Data!H2749</f>
        <v>1</v>
      </c>
      <c r="I2751" s="3" t="str">
        <f>TRIM([1]Raw_Data!I2749)</f>
        <v>USA</v>
      </c>
      <c r="J2751" s="3" t="str">
        <f>TRIM([1]Raw_Data!J2749)</f>
        <v>iHerb</v>
      </c>
      <c r="K2751" s="3">
        <f t="shared" si="168"/>
        <v>2023</v>
      </c>
      <c r="L2751" s="6">
        <f t="shared" si="169"/>
        <v>45017</v>
      </c>
      <c r="M2751" s="3" t="str">
        <f t="shared" si="170"/>
        <v>0% to 5%</v>
      </c>
      <c r="N2751" s="3" t="str">
        <f t="shared" si="171"/>
        <v>OK</v>
      </c>
    </row>
    <row r="2752" spans="1:14" x14ac:dyDescent="0.3">
      <c r="A2752" s="2">
        <f>DATE(VALUE(RIGHT(TRIM([1]Raw_Data!A2750),4)),VALUE(MID(TRIM([1]Raw_Data!A2750),4,2)),VALUE(LEFT(TRIM([1]Raw_Data!A2750),2)))</f>
        <v>45033</v>
      </c>
      <c r="B2752" s="3" t="str">
        <f>TRIM([1]Raw_Data!B2750)</f>
        <v>Biotin</v>
      </c>
      <c r="C2752" s="3" t="str">
        <f>TRIM([1]Raw_Data!C2750)</f>
        <v>Vitamin</v>
      </c>
      <c r="D2752" s="3">
        <f>[1]Raw_Data!D2750</f>
        <v>156</v>
      </c>
      <c r="E2752" s="4">
        <f>[1]Raw_Data!E2750</f>
        <v>31.6</v>
      </c>
      <c r="F2752" s="5">
        <f>[1]Raw_Data!F2750</f>
        <v>4929.6000000000004</v>
      </c>
      <c r="G2752" s="4">
        <f>[1]Raw_Data!G2750</f>
        <v>0.01</v>
      </c>
      <c r="H2752" s="3">
        <f>[1]Raw_Data!H2750</f>
        <v>2</v>
      </c>
      <c r="I2752" s="3" t="str">
        <f>TRIM([1]Raw_Data!I2750)</f>
        <v>USA</v>
      </c>
      <c r="J2752" s="3" t="str">
        <f>TRIM([1]Raw_Data!J2750)</f>
        <v>Amazon</v>
      </c>
      <c r="K2752" s="3">
        <f t="shared" si="168"/>
        <v>2023</v>
      </c>
      <c r="L2752" s="6">
        <f t="shared" si="169"/>
        <v>45017</v>
      </c>
      <c r="M2752" s="3" t="str">
        <f t="shared" si="170"/>
        <v>0% to 5%</v>
      </c>
      <c r="N2752" s="3" t="str">
        <f t="shared" si="171"/>
        <v>OK</v>
      </c>
    </row>
    <row r="2753" spans="1:14" x14ac:dyDescent="0.3">
      <c r="A2753" s="2">
        <f>DATE(VALUE(RIGHT(TRIM([1]Raw_Data!A2751),4)),VALUE(MID(TRIM([1]Raw_Data!A2751),4,2)),VALUE(LEFT(TRIM([1]Raw_Data!A2751),2)))</f>
        <v>45033</v>
      </c>
      <c r="B2753" s="3" t="str">
        <f>TRIM([1]Raw_Data!B2751)</f>
        <v>Green Tea Extract</v>
      </c>
      <c r="C2753" s="3" t="str">
        <f>TRIM([1]Raw_Data!C2751)</f>
        <v>Fat Burner</v>
      </c>
      <c r="D2753" s="3">
        <f>[1]Raw_Data!D2751</f>
        <v>160</v>
      </c>
      <c r="E2753" s="4">
        <f>[1]Raw_Data!E2751</f>
        <v>31.01</v>
      </c>
      <c r="F2753" s="5">
        <f>[1]Raw_Data!F2751</f>
        <v>4961.6000000000004</v>
      </c>
      <c r="G2753" s="4">
        <f>[1]Raw_Data!G2751</f>
        <v>0.02</v>
      </c>
      <c r="H2753" s="3">
        <f>[1]Raw_Data!H2751</f>
        <v>1</v>
      </c>
      <c r="I2753" s="3" t="str">
        <f>TRIM([1]Raw_Data!I2751)</f>
        <v>Canada</v>
      </c>
      <c r="J2753" s="3" t="str">
        <f>TRIM([1]Raw_Data!J2751)</f>
        <v>iHerb</v>
      </c>
      <c r="K2753" s="3">
        <f t="shared" si="168"/>
        <v>2023</v>
      </c>
      <c r="L2753" s="6">
        <f t="shared" si="169"/>
        <v>45017</v>
      </c>
      <c r="M2753" s="3" t="str">
        <f t="shared" si="170"/>
        <v>0% to 5%</v>
      </c>
      <c r="N2753" s="3" t="str">
        <f t="shared" si="171"/>
        <v>OK</v>
      </c>
    </row>
    <row r="2754" spans="1:14" x14ac:dyDescent="0.3">
      <c r="A2754" s="2">
        <f>DATE(VALUE(RIGHT(TRIM([1]Raw_Data!A2752),4)),VALUE(MID(TRIM([1]Raw_Data!A2752),4,2)),VALUE(LEFT(TRIM([1]Raw_Data!A2752),2)))</f>
        <v>45033</v>
      </c>
      <c r="B2754" s="3" t="str">
        <f>TRIM([1]Raw_Data!B2752)</f>
        <v>Iron Supplement</v>
      </c>
      <c r="C2754" s="3" t="str">
        <f>TRIM([1]Raw_Data!C2752)</f>
        <v>Mineral</v>
      </c>
      <c r="D2754" s="3">
        <f>[1]Raw_Data!D2752</f>
        <v>136</v>
      </c>
      <c r="E2754" s="4">
        <f>[1]Raw_Data!E2752</f>
        <v>36.46</v>
      </c>
      <c r="F2754" s="5">
        <f>[1]Raw_Data!F2752</f>
        <v>4958.5600000000004</v>
      </c>
      <c r="G2754" s="4">
        <f>[1]Raw_Data!G2752</f>
        <v>0.24</v>
      </c>
      <c r="H2754" s="3">
        <f>[1]Raw_Data!H2752</f>
        <v>0</v>
      </c>
      <c r="I2754" s="3" t="str">
        <f>TRIM([1]Raw_Data!I2752)</f>
        <v>Canada</v>
      </c>
      <c r="J2754" s="3" t="str">
        <f>TRIM([1]Raw_Data!J2752)</f>
        <v>iHerb</v>
      </c>
      <c r="K2754" s="3">
        <f t="shared" si="168"/>
        <v>2023</v>
      </c>
      <c r="L2754" s="6">
        <f t="shared" si="169"/>
        <v>45017</v>
      </c>
      <c r="M2754" s="3" t="str">
        <f t="shared" si="170"/>
        <v>21% to 25%</v>
      </c>
      <c r="N2754" s="3" t="str">
        <f t="shared" si="171"/>
        <v>OK</v>
      </c>
    </row>
    <row r="2755" spans="1:14" x14ac:dyDescent="0.3">
      <c r="A2755" s="2">
        <f>DATE(VALUE(RIGHT(TRIM([1]Raw_Data!A2753),4)),VALUE(MID(TRIM([1]Raw_Data!A2753),4,2)),VALUE(LEFT(TRIM([1]Raw_Data!A2753),2)))</f>
        <v>45033</v>
      </c>
      <c r="B2755" s="3" t="str">
        <f>TRIM([1]Raw_Data!B2753)</f>
        <v>Electrolyte Powder</v>
      </c>
      <c r="C2755" s="3" t="str">
        <f>TRIM([1]Raw_Data!C2753)</f>
        <v>Hydration</v>
      </c>
      <c r="D2755" s="3">
        <f>[1]Raw_Data!D2753</f>
        <v>153</v>
      </c>
      <c r="E2755" s="4">
        <f>[1]Raw_Data!E2753</f>
        <v>35.81</v>
      </c>
      <c r="F2755" s="5">
        <f>[1]Raw_Data!F2753</f>
        <v>5478.93</v>
      </c>
      <c r="G2755" s="4">
        <f>[1]Raw_Data!G2753</f>
        <v>0.22</v>
      </c>
      <c r="H2755" s="3">
        <f>[1]Raw_Data!H2753</f>
        <v>0</v>
      </c>
      <c r="I2755" s="3" t="str">
        <f>TRIM([1]Raw_Data!I2753)</f>
        <v>Canada</v>
      </c>
      <c r="J2755" s="3" t="str">
        <f>TRIM([1]Raw_Data!J2753)</f>
        <v>Amazon</v>
      </c>
      <c r="K2755" s="3">
        <f t="shared" si="168"/>
        <v>2023</v>
      </c>
      <c r="L2755" s="6">
        <f t="shared" si="169"/>
        <v>45017</v>
      </c>
      <c r="M2755" s="3" t="str">
        <f t="shared" si="170"/>
        <v>21% to 25%</v>
      </c>
      <c r="N2755" s="3" t="str">
        <f t="shared" si="171"/>
        <v>OK</v>
      </c>
    </row>
    <row r="2756" spans="1:14" x14ac:dyDescent="0.3">
      <c r="A2756" s="2">
        <f>DATE(VALUE(RIGHT(TRIM([1]Raw_Data!A2754),4)),VALUE(MID(TRIM([1]Raw_Data!A2754),4,2)),VALUE(LEFT(TRIM([1]Raw_Data!A2754),2)))</f>
        <v>45040</v>
      </c>
      <c r="B2756" s="3" t="str">
        <f>TRIM([1]Raw_Data!B2754)</f>
        <v>Whey Protein</v>
      </c>
      <c r="C2756" s="3" t="str">
        <f>TRIM([1]Raw_Data!C2754)</f>
        <v>Protein</v>
      </c>
      <c r="D2756" s="3">
        <f>[1]Raw_Data!D2754</f>
        <v>144</v>
      </c>
      <c r="E2756" s="4">
        <f>[1]Raw_Data!E2754</f>
        <v>22.57</v>
      </c>
      <c r="F2756" s="5">
        <f>[1]Raw_Data!F2754</f>
        <v>3250.08</v>
      </c>
      <c r="G2756" s="4">
        <f>[1]Raw_Data!G2754</f>
        <v>0.08</v>
      </c>
      <c r="H2756" s="3">
        <f>[1]Raw_Data!H2754</f>
        <v>2</v>
      </c>
      <c r="I2756" s="3" t="str">
        <f>TRIM([1]Raw_Data!I2754)</f>
        <v>USA</v>
      </c>
      <c r="J2756" s="3" t="str">
        <f>TRIM([1]Raw_Data!J2754)</f>
        <v>Walmart</v>
      </c>
      <c r="K2756" s="3">
        <f t="shared" ref="K2756:K2819" si="172">YEAR(A2756)</f>
        <v>2023</v>
      </c>
      <c r="L2756" s="6">
        <f t="shared" ref="L2756:L2819" si="173">DATE(YEAR(A2756),MONTH(A2756),1)</f>
        <v>45017</v>
      </c>
      <c r="M2756" s="3" t="str">
        <f t="shared" ref="M2756:M2819" si="174">IF(ROUND(G2756*100,0)&lt;=5,"0% to 5%",IF(ROUND(G2756*100,0)&lt;=10,"6% to 10%",IF(ROUND(G2756*100,0)&lt;=15,"11% to 15%",IF(ROUND(G2756*100,0)&lt;=20,"16% to 20%","21% to 25%"))))</f>
        <v>6% to 10%</v>
      </c>
      <c r="N2756" s="3" t="str">
        <f t="shared" ref="N2756:N2819" si="175">IF(ROUND(D2756*E2756,2)=ROUND(F2756,2),"OK","Check")</f>
        <v>OK</v>
      </c>
    </row>
    <row r="2757" spans="1:14" x14ac:dyDescent="0.3">
      <c r="A2757" s="2">
        <f>DATE(VALUE(RIGHT(TRIM([1]Raw_Data!A2755),4)),VALUE(MID(TRIM([1]Raw_Data!A2755),4,2)),VALUE(LEFT(TRIM([1]Raw_Data!A2755),2)))</f>
        <v>45040</v>
      </c>
      <c r="B2757" s="3" t="str">
        <f>TRIM([1]Raw_Data!B2755)</f>
        <v>Vitamin C</v>
      </c>
      <c r="C2757" s="3" t="str">
        <f>TRIM([1]Raw_Data!C2755)</f>
        <v>Vitamin</v>
      </c>
      <c r="D2757" s="3">
        <f>[1]Raw_Data!D2755</f>
        <v>137</v>
      </c>
      <c r="E2757" s="4">
        <f>[1]Raw_Data!E2755</f>
        <v>34.119999999999997</v>
      </c>
      <c r="F2757" s="5">
        <f>[1]Raw_Data!F2755</f>
        <v>4674.4399999999996</v>
      </c>
      <c r="G2757" s="4">
        <f>[1]Raw_Data!G2755</f>
        <v>0.11</v>
      </c>
      <c r="H2757" s="3">
        <f>[1]Raw_Data!H2755</f>
        <v>4</v>
      </c>
      <c r="I2757" s="3" t="str">
        <f>TRIM([1]Raw_Data!I2755)</f>
        <v>USA</v>
      </c>
      <c r="J2757" s="3" t="str">
        <f>TRIM([1]Raw_Data!J2755)</f>
        <v>Amazon</v>
      </c>
      <c r="K2757" s="3">
        <f t="shared" si="172"/>
        <v>2023</v>
      </c>
      <c r="L2757" s="6">
        <f t="shared" si="173"/>
        <v>45017</v>
      </c>
      <c r="M2757" s="3" t="str">
        <f t="shared" si="174"/>
        <v>11% to 15%</v>
      </c>
      <c r="N2757" s="3" t="str">
        <f t="shared" si="175"/>
        <v>OK</v>
      </c>
    </row>
    <row r="2758" spans="1:14" x14ac:dyDescent="0.3">
      <c r="A2758" s="2">
        <f>DATE(VALUE(RIGHT(TRIM([1]Raw_Data!A2756),4)),VALUE(MID(TRIM([1]Raw_Data!A2756),4,2)),VALUE(LEFT(TRIM([1]Raw_Data!A2756),2)))</f>
        <v>45040</v>
      </c>
      <c r="B2758" s="3" t="str">
        <f>TRIM([1]Raw_Data!B2756)</f>
        <v>Fish Oil</v>
      </c>
      <c r="C2758" s="3" t="str">
        <f>TRIM([1]Raw_Data!C2756)</f>
        <v>Omega</v>
      </c>
      <c r="D2758" s="3">
        <f>[1]Raw_Data!D2756</f>
        <v>153</v>
      </c>
      <c r="E2758" s="4">
        <f>[1]Raw_Data!E2756</f>
        <v>31.52</v>
      </c>
      <c r="F2758" s="5">
        <f>[1]Raw_Data!F2756</f>
        <v>4822.5600000000004</v>
      </c>
      <c r="G2758" s="4">
        <f>[1]Raw_Data!G2756</f>
        <v>0.11</v>
      </c>
      <c r="H2758" s="3">
        <f>[1]Raw_Data!H2756</f>
        <v>3</v>
      </c>
      <c r="I2758" s="3" t="str">
        <f>TRIM([1]Raw_Data!I2756)</f>
        <v>UK</v>
      </c>
      <c r="J2758" s="3" t="str">
        <f>TRIM([1]Raw_Data!J2756)</f>
        <v>Walmart</v>
      </c>
      <c r="K2758" s="3">
        <f t="shared" si="172"/>
        <v>2023</v>
      </c>
      <c r="L2758" s="6">
        <f t="shared" si="173"/>
        <v>45017</v>
      </c>
      <c r="M2758" s="3" t="str">
        <f t="shared" si="174"/>
        <v>11% to 15%</v>
      </c>
      <c r="N2758" s="3" t="str">
        <f t="shared" si="175"/>
        <v>OK</v>
      </c>
    </row>
    <row r="2759" spans="1:14" x14ac:dyDescent="0.3">
      <c r="A2759" s="2">
        <f>DATE(VALUE(RIGHT(TRIM([1]Raw_Data!A2757),4)),VALUE(MID(TRIM([1]Raw_Data!A2757),4,2)),VALUE(LEFT(TRIM([1]Raw_Data!A2757),2)))</f>
        <v>45040</v>
      </c>
      <c r="B2759" s="3" t="str">
        <f>TRIM([1]Raw_Data!B2757)</f>
        <v>Multivitamin</v>
      </c>
      <c r="C2759" s="3" t="str">
        <f>TRIM([1]Raw_Data!C2757)</f>
        <v>Vitamin</v>
      </c>
      <c r="D2759" s="3">
        <f>[1]Raw_Data!D2757</f>
        <v>168</v>
      </c>
      <c r="E2759" s="4">
        <f>[1]Raw_Data!E2757</f>
        <v>19.96</v>
      </c>
      <c r="F2759" s="5">
        <f>[1]Raw_Data!F2757</f>
        <v>3353.28</v>
      </c>
      <c r="G2759" s="4">
        <f>[1]Raw_Data!G2757</f>
        <v>0.12</v>
      </c>
      <c r="H2759" s="3">
        <f>[1]Raw_Data!H2757</f>
        <v>3</v>
      </c>
      <c r="I2759" s="3" t="str">
        <f>TRIM([1]Raw_Data!I2757)</f>
        <v>UK</v>
      </c>
      <c r="J2759" s="3" t="str">
        <f>TRIM([1]Raw_Data!J2757)</f>
        <v>Walmart</v>
      </c>
      <c r="K2759" s="3">
        <f t="shared" si="172"/>
        <v>2023</v>
      </c>
      <c r="L2759" s="6">
        <f t="shared" si="173"/>
        <v>45017</v>
      </c>
      <c r="M2759" s="3" t="str">
        <f t="shared" si="174"/>
        <v>11% to 15%</v>
      </c>
      <c r="N2759" s="3" t="str">
        <f t="shared" si="175"/>
        <v>OK</v>
      </c>
    </row>
    <row r="2760" spans="1:14" x14ac:dyDescent="0.3">
      <c r="A2760" s="2">
        <f>DATE(VALUE(RIGHT(TRIM([1]Raw_Data!A2758),4)),VALUE(MID(TRIM([1]Raw_Data!A2758),4,2)),VALUE(LEFT(TRIM([1]Raw_Data!A2758),2)))</f>
        <v>45040</v>
      </c>
      <c r="B2760" s="3" t="str">
        <f>TRIM([1]Raw_Data!B2758)</f>
        <v>Pre-Workout</v>
      </c>
      <c r="C2760" s="3" t="str">
        <f>TRIM([1]Raw_Data!C2758)</f>
        <v>Performance</v>
      </c>
      <c r="D2760" s="3">
        <f>[1]Raw_Data!D2758</f>
        <v>143</v>
      </c>
      <c r="E2760" s="4">
        <f>[1]Raw_Data!E2758</f>
        <v>45.41</v>
      </c>
      <c r="F2760" s="5">
        <f>[1]Raw_Data!F2758</f>
        <v>6493.63</v>
      </c>
      <c r="G2760" s="4">
        <f>[1]Raw_Data!G2758</f>
        <v>0.19</v>
      </c>
      <c r="H2760" s="3">
        <f>[1]Raw_Data!H2758</f>
        <v>1</v>
      </c>
      <c r="I2760" s="3" t="str">
        <f>TRIM([1]Raw_Data!I2758)</f>
        <v>UK</v>
      </c>
      <c r="J2760" s="3" t="str">
        <f>TRIM([1]Raw_Data!J2758)</f>
        <v>iHerb</v>
      </c>
      <c r="K2760" s="3">
        <f t="shared" si="172"/>
        <v>2023</v>
      </c>
      <c r="L2760" s="6">
        <f t="shared" si="173"/>
        <v>45017</v>
      </c>
      <c r="M2760" s="3" t="str">
        <f t="shared" si="174"/>
        <v>16% to 20%</v>
      </c>
      <c r="N2760" s="3" t="str">
        <f t="shared" si="175"/>
        <v>OK</v>
      </c>
    </row>
    <row r="2761" spans="1:14" x14ac:dyDescent="0.3">
      <c r="A2761" s="2">
        <f>DATE(VALUE(RIGHT(TRIM([1]Raw_Data!A2759),4)),VALUE(MID(TRIM([1]Raw_Data!A2759),4,2)),VALUE(LEFT(TRIM([1]Raw_Data!A2759),2)))</f>
        <v>45040</v>
      </c>
      <c r="B2761" s="3" t="str">
        <f>TRIM([1]Raw_Data!B2759)</f>
        <v>BCAA</v>
      </c>
      <c r="C2761" s="3" t="str">
        <f>TRIM([1]Raw_Data!C2759)</f>
        <v>Amino Acid</v>
      </c>
      <c r="D2761" s="3">
        <f>[1]Raw_Data!D2759</f>
        <v>146</v>
      </c>
      <c r="E2761" s="4">
        <f>[1]Raw_Data!E2759</f>
        <v>40.57</v>
      </c>
      <c r="F2761" s="5">
        <f>[1]Raw_Data!F2759</f>
        <v>5923.22</v>
      </c>
      <c r="G2761" s="4">
        <f>[1]Raw_Data!G2759</f>
        <v>0.18</v>
      </c>
      <c r="H2761" s="3">
        <f>[1]Raw_Data!H2759</f>
        <v>1</v>
      </c>
      <c r="I2761" s="3" t="str">
        <f>TRIM([1]Raw_Data!I2759)</f>
        <v>UK</v>
      </c>
      <c r="J2761" s="3" t="str">
        <f>TRIM([1]Raw_Data!J2759)</f>
        <v>Amazon</v>
      </c>
      <c r="K2761" s="3">
        <f t="shared" si="172"/>
        <v>2023</v>
      </c>
      <c r="L2761" s="6">
        <f t="shared" si="173"/>
        <v>45017</v>
      </c>
      <c r="M2761" s="3" t="str">
        <f t="shared" si="174"/>
        <v>16% to 20%</v>
      </c>
      <c r="N2761" s="3" t="str">
        <f t="shared" si="175"/>
        <v>OK</v>
      </c>
    </row>
    <row r="2762" spans="1:14" x14ac:dyDescent="0.3">
      <c r="A2762" s="2">
        <f>DATE(VALUE(RIGHT(TRIM([1]Raw_Data!A2760),4)),VALUE(MID(TRIM([1]Raw_Data!A2760),4,2)),VALUE(LEFT(TRIM([1]Raw_Data!A2760),2)))</f>
        <v>45040</v>
      </c>
      <c r="B2762" s="3" t="str">
        <f>TRIM([1]Raw_Data!B2760)</f>
        <v>Creatine</v>
      </c>
      <c r="C2762" s="3" t="str">
        <f>TRIM([1]Raw_Data!C2760)</f>
        <v>Performance</v>
      </c>
      <c r="D2762" s="3">
        <f>[1]Raw_Data!D2760</f>
        <v>156</v>
      </c>
      <c r="E2762" s="4">
        <f>[1]Raw_Data!E2760</f>
        <v>22.25</v>
      </c>
      <c r="F2762" s="5">
        <f>[1]Raw_Data!F2760</f>
        <v>3471</v>
      </c>
      <c r="G2762" s="4">
        <f>[1]Raw_Data!G2760</f>
        <v>0.18</v>
      </c>
      <c r="H2762" s="3">
        <f>[1]Raw_Data!H2760</f>
        <v>1</v>
      </c>
      <c r="I2762" s="3" t="str">
        <f>TRIM([1]Raw_Data!I2760)</f>
        <v>Canada</v>
      </c>
      <c r="J2762" s="3" t="str">
        <f>TRIM([1]Raw_Data!J2760)</f>
        <v>iHerb</v>
      </c>
      <c r="K2762" s="3">
        <f t="shared" si="172"/>
        <v>2023</v>
      </c>
      <c r="L2762" s="6">
        <f t="shared" si="173"/>
        <v>45017</v>
      </c>
      <c r="M2762" s="3" t="str">
        <f t="shared" si="174"/>
        <v>16% to 20%</v>
      </c>
      <c r="N2762" s="3" t="str">
        <f t="shared" si="175"/>
        <v>OK</v>
      </c>
    </row>
    <row r="2763" spans="1:14" x14ac:dyDescent="0.3">
      <c r="A2763" s="2">
        <f>DATE(VALUE(RIGHT(TRIM([1]Raw_Data!A2761),4)),VALUE(MID(TRIM([1]Raw_Data!A2761),4,2)),VALUE(LEFT(TRIM([1]Raw_Data!A2761),2)))</f>
        <v>45040</v>
      </c>
      <c r="B2763" s="3" t="str">
        <f>TRIM([1]Raw_Data!B2761)</f>
        <v>Zinc</v>
      </c>
      <c r="C2763" s="3" t="str">
        <f>TRIM([1]Raw_Data!C2761)</f>
        <v>Mineral</v>
      </c>
      <c r="D2763" s="3">
        <f>[1]Raw_Data!D2761</f>
        <v>157</v>
      </c>
      <c r="E2763" s="4">
        <f>[1]Raw_Data!E2761</f>
        <v>39.94</v>
      </c>
      <c r="F2763" s="5">
        <f>[1]Raw_Data!F2761</f>
        <v>6270.58</v>
      </c>
      <c r="G2763" s="4">
        <f>[1]Raw_Data!G2761</f>
        <v>0.11</v>
      </c>
      <c r="H2763" s="3">
        <f>[1]Raw_Data!H2761</f>
        <v>2</v>
      </c>
      <c r="I2763" s="3" t="str">
        <f>TRIM([1]Raw_Data!I2761)</f>
        <v>USA</v>
      </c>
      <c r="J2763" s="3" t="str">
        <f>TRIM([1]Raw_Data!J2761)</f>
        <v>Walmart</v>
      </c>
      <c r="K2763" s="3">
        <f t="shared" si="172"/>
        <v>2023</v>
      </c>
      <c r="L2763" s="6">
        <f t="shared" si="173"/>
        <v>45017</v>
      </c>
      <c r="M2763" s="3" t="str">
        <f t="shared" si="174"/>
        <v>11% to 15%</v>
      </c>
      <c r="N2763" s="3" t="str">
        <f t="shared" si="175"/>
        <v>OK</v>
      </c>
    </row>
    <row r="2764" spans="1:14" x14ac:dyDescent="0.3">
      <c r="A2764" s="2">
        <f>DATE(VALUE(RIGHT(TRIM([1]Raw_Data!A2762),4)),VALUE(MID(TRIM([1]Raw_Data!A2762),4,2)),VALUE(LEFT(TRIM([1]Raw_Data!A2762),2)))</f>
        <v>45040</v>
      </c>
      <c r="B2764" s="3" t="str">
        <f>TRIM([1]Raw_Data!B2762)</f>
        <v>Collagen Peptides</v>
      </c>
      <c r="C2764" s="3" t="str">
        <f>TRIM([1]Raw_Data!C2762)</f>
        <v>Protein</v>
      </c>
      <c r="D2764" s="3">
        <f>[1]Raw_Data!D2762</f>
        <v>142</v>
      </c>
      <c r="E2764" s="4">
        <f>[1]Raw_Data!E2762</f>
        <v>50.3</v>
      </c>
      <c r="F2764" s="5">
        <f>[1]Raw_Data!F2762</f>
        <v>7142.6</v>
      </c>
      <c r="G2764" s="4">
        <f>[1]Raw_Data!G2762</f>
        <v>0.06</v>
      </c>
      <c r="H2764" s="3">
        <f>[1]Raw_Data!H2762</f>
        <v>1</v>
      </c>
      <c r="I2764" s="3" t="str">
        <f>TRIM([1]Raw_Data!I2762)</f>
        <v>Canada</v>
      </c>
      <c r="J2764" s="3" t="str">
        <f>TRIM([1]Raw_Data!J2762)</f>
        <v>Amazon</v>
      </c>
      <c r="K2764" s="3">
        <f t="shared" si="172"/>
        <v>2023</v>
      </c>
      <c r="L2764" s="6">
        <f t="shared" si="173"/>
        <v>45017</v>
      </c>
      <c r="M2764" s="3" t="str">
        <f t="shared" si="174"/>
        <v>6% to 10%</v>
      </c>
      <c r="N2764" s="3" t="str">
        <f t="shared" si="175"/>
        <v>OK</v>
      </c>
    </row>
    <row r="2765" spans="1:14" x14ac:dyDescent="0.3">
      <c r="A2765" s="2">
        <f>DATE(VALUE(RIGHT(TRIM([1]Raw_Data!A2763),4)),VALUE(MID(TRIM([1]Raw_Data!A2763),4,2)),VALUE(LEFT(TRIM([1]Raw_Data!A2763),2)))</f>
        <v>45040</v>
      </c>
      <c r="B2765" s="3" t="str">
        <f>TRIM([1]Raw_Data!B2763)</f>
        <v>Magnesium</v>
      </c>
      <c r="C2765" s="3" t="str">
        <f>TRIM([1]Raw_Data!C2763)</f>
        <v>Mineral</v>
      </c>
      <c r="D2765" s="3">
        <f>[1]Raw_Data!D2763</f>
        <v>156</v>
      </c>
      <c r="E2765" s="4">
        <f>[1]Raw_Data!E2763</f>
        <v>45.2</v>
      </c>
      <c r="F2765" s="5">
        <f>[1]Raw_Data!F2763</f>
        <v>7051.2</v>
      </c>
      <c r="G2765" s="4">
        <f>[1]Raw_Data!G2763</f>
        <v>0.17</v>
      </c>
      <c r="H2765" s="3">
        <f>[1]Raw_Data!H2763</f>
        <v>1</v>
      </c>
      <c r="I2765" s="3" t="str">
        <f>TRIM([1]Raw_Data!I2763)</f>
        <v>Canada</v>
      </c>
      <c r="J2765" s="3" t="str">
        <f>TRIM([1]Raw_Data!J2763)</f>
        <v>iHerb</v>
      </c>
      <c r="K2765" s="3">
        <f t="shared" si="172"/>
        <v>2023</v>
      </c>
      <c r="L2765" s="6">
        <f t="shared" si="173"/>
        <v>45017</v>
      </c>
      <c r="M2765" s="3" t="str">
        <f t="shared" si="174"/>
        <v>16% to 20%</v>
      </c>
      <c r="N2765" s="3" t="str">
        <f t="shared" si="175"/>
        <v>OK</v>
      </c>
    </row>
    <row r="2766" spans="1:14" x14ac:dyDescent="0.3">
      <c r="A2766" s="2">
        <f>DATE(VALUE(RIGHT(TRIM([1]Raw_Data!A2764),4)),VALUE(MID(TRIM([1]Raw_Data!A2764),4,2)),VALUE(LEFT(TRIM([1]Raw_Data!A2764),2)))</f>
        <v>45040</v>
      </c>
      <c r="B2766" s="3" t="str">
        <f>TRIM([1]Raw_Data!B2764)</f>
        <v>Ashwagandha</v>
      </c>
      <c r="C2766" s="3" t="str">
        <f>TRIM([1]Raw_Data!C2764)</f>
        <v>Herbal</v>
      </c>
      <c r="D2766" s="3">
        <f>[1]Raw_Data!D2764</f>
        <v>146</v>
      </c>
      <c r="E2766" s="4">
        <f>[1]Raw_Data!E2764</f>
        <v>17.84</v>
      </c>
      <c r="F2766" s="5">
        <f>[1]Raw_Data!F2764</f>
        <v>2604.64</v>
      </c>
      <c r="G2766" s="4">
        <f>[1]Raw_Data!G2764</f>
        <v>0.17</v>
      </c>
      <c r="H2766" s="3">
        <f>[1]Raw_Data!H2764</f>
        <v>0</v>
      </c>
      <c r="I2766" s="3" t="str">
        <f>TRIM([1]Raw_Data!I2764)</f>
        <v>USA</v>
      </c>
      <c r="J2766" s="3" t="str">
        <f>TRIM([1]Raw_Data!J2764)</f>
        <v>Amazon</v>
      </c>
      <c r="K2766" s="3">
        <f t="shared" si="172"/>
        <v>2023</v>
      </c>
      <c r="L2766" s="6">
        <f t="shared" si="173"/>
        <v>45017</v>
      </c>
      <c r="M2766" s="3" t="str">
        <f t="shared" si="174"/>
        <v>16% to 20%</v>
      </c>
      <c r="N2766" s="3" t="str">
        <f t="shared" si="175"/>
        <v>OK</v>
      </c>
    </row>
    <row r="2767" spans="1:14" x14ac:dyDescent="0.3">
      <c r="A2767" s="2">
        <f>DATE(VALUE(RIGHT(TRIM([1]Raw_Data!A2765),4)),VALUE(MID(TRIM([1]Raw_Data!A2765),4,2)),VALUE(LEFT(TRIM([1]Raw_Data!A2765),2)))</f>
        <v>45040</v>
      </c>
      <c r="B2767" s="3" t="str">
        <f>TRIM([1]Raw_Data!B2765)</f>
        <v>Melatonin</v>
      </c>
      <c r="C2767" s="3" t="str">
        <f>TRIM([1]Raw_Data!C2765)</f>
        <v>Sleep Aid</v>
      </c>
      <c r="D2767" s="3">
        <f>[1]Raw_Data!D2765</f>
        <v>174</v>
      </c>
      <c r="E2767" s="4">
        <f>[1]Raw_Data!E2765</f>
        <v>52.88</v>
      </c>
      <c r="F2767" s="5">
        <f>[1]Raw_Data!F2765</f>
        <v>9201.1200000000008</v>
      </c>
      <c r="G2767" s="4">
        <f>[1]Raw_Data!G2765</f>
        <v>0.23</v>
      </c>
      <c r="H2767" s="3">
        <f>[1]Raw_Data!H2765</f>
        <v>1</v>
      </c>
      <c r="I2767" s="3" t="str">
        <f>TRIM([1]Raw_Data!I2765)</f>
        <v>Canada</v>
      </c>
      <c r="J2767" s="3" t="str">
        <f>TRIM([1]Raw_Data!J2765)</f>
        <v>iHerb</v>
      </c>
      <c r="K2767" s="3">
        <f t="shared" si="172"/>
        <v>2023</v>
      </c>
      <c r="L2767" s="6">
        <f t="shared" si="173"/>
        <v>45017</v>
      </c>
      <c r="M2767" s="3" t="str">
        <f t="shared" si="174"/>
        <v>21% to 25%</v>
      </c>
      <c r="N2767" s="3" t="str">
        <f t="shared" si="175"/>
        <v>OK</v>
      </c>
    </row>
    <row r="2768" spans="1:14" x14ac:dyDescent="0.3">
      <c r="A2768" s="2">
        <f>DATE(VALUE(RIGHT(TRIM([1]Raw_Data!A2766),4)),VALUE(MID(TRIM([1]Raw_Data!A2766),4,2)),VALUE(LEFT(TRIM([1]Raw_Data!A2766),2)))</f>
        <v>45040</v>
      </c>
      <c r="B2768" s="3" t="str">
        <f>TRIM([1]Raw_Data!B2766)</f>
        <v>Biotin</v>
      </c>
      <c r="C2768" s="3" t="str">
        <f>TRIM([1]Raw_Data!C2766)</f>
        <v>Vitamin</v>
      </c>
      <c r="D2768" s="3">
        <f>[1]Raw_Data!D2766</f>
        <v>164</v>
      </c>
      <c r="E2768" s="4">
        <f>[1]Raw_Data!E2766</f>
        <v>11.08</v>
      </c>
      <c r="F2768" s="5">
        <f>[1]Raw_Data!F2766</f>
        <v>1817.12</v>
      </c>
      <c r="G2768" s="4">
        <f>[1]Raw_Data!G2766</f>
        <v>0.2</v>
      </c>
      <c r="H2768" s="3">
        <f>[1]Raw_Data!H2766</f>
        <v>0</v>
      </c>
      <c r="I2768" s="3" t="str">
        <f>TRIM([1]Raw_Data!I2766)</f>
        <v>USA</v>
      </c>
      <c r="J2768" s="3" t="str">
        <f>TRIM([1]Raw_Data!J2766)</f>
        <v>Walmart</v>
      </c>
      <c r="K2768" s="3">
        <f t="shared" si="172"/>
        <v>2023</v>
      </c>
      <c r="L2768" s="6">
        <f t="shared" si="173"/>
        <v>45017</v>
      </c>
      <c r="M2768" s="3" t="str">
        <f t="shared" si="174"/>
        <v>16% to 20%</v>
      </c>
      <c r="N2768" s="3" t="str">
        <f t="shared" si="175"/>
        <v>OK</v>
      </c>
    </row>
    <row r="2769" spans="1:14" x14ac:dyDescent="0.3">
      <c r="A2769" s="2">
        <f>DATE(VALUE(RIGHT(TRIM([1]Raw_Data!A2767),4)),VALUE(MID(TRIM([1]Raw_Data!A2767),4,2)),VALUE(LEFT(TRIM([1]Raw_Data!A2767),2)))</f>
        <v>45040</v>
      </c>
      <c r="B2769" s="3" t="str">
        <f>TRIM([1]Raw_Data!B2767)</f>
        <v>Green Tea Extract</v>
      </c>
      <c r="C2769" s="3" t="str">
        <f>TRIM([1]Raw_Data!C2767)</f>
        <v>Fat Burner</v>
      </c>
      <c r="D2769" s="3">
        <f>[1]Raw_Data!D2767</f>
        <v>160</v>
      </c>
      <c r="E2769" s="4">
        <f>[1]Raw_Data!E2767</f>
        <v>43.69</v>
      </c>
      <c r="F2769" s="5">
        <f>[1]Raw_Data!F2767</f>
        <v>6990.4</v>
      </c>
      <c r="G2769" s="4">
        <f>[1]Raw_Data!G2767</f>
        <v>0.01</v>
      </c>
      <c r="H2769" s="3">
        <f>[1]Raw_Data!H2767</f>
        <v>3</v>
      </c>
      <c r="I2769" s="3" t="str">
        <f>TRIM([1]Raw_Data!I2767)</f>
        <v>USA</v>
      </c>
      <c r="J2769" s="3" t="str">
        <f>TRIM([1]Raw_Data!J2767)</f>
        <v>Walmart</v>
      </c>
      <c r="K2769" s="3">
        <f t="shared" si="172"/>
        <v>2023</v>
      </c>
      <c r="L2769" s="6">
        <f t="shared" si="173"/>
        <v>45017</v>
      </c>
      <c r="M2769" s="3" t="str">
        <f t="shared" si="174"/>
        <v>0% to 5%</v>
      </c>
      <c r="N2769" s="3" t="str">
        <f t="shared" si="175"/>
        <v>OK</v>
      </c>
    </row>
    <row r="2770" spans="1:14" x14ac:dyDescent="0.3">
      <c r="A2770" s="2">
        <f>DATE(VALUE(RIGHT(TRIM([1]Raw_Data!A2768),4)),VALUE(MID(TRIM([1]Raw_Data!A2768),4,2)),VALUE(LEFT(TRIM([1]Raw_Data!A2768),2)))</f>
        <v>45040</v>
      </c>
      <c r="B2770" s="3" t="str">
        <f>TRIM([1]Raw_Data!B2768)</f>
        <v>Iron Supplement</v>
      </c>
      <c r="C2770" s="3" t="str">
        <f>TRIM([1]Raw_Data!C2768)</f>
        <v>Mineral</v>
      </c>
      <c r="D2770" s="3">
        <f>[1]Raw_Data!D2768</f>
        <v>137</v>
      </c>
      <c r="E2770" s="4">
        <f>[1]Raw_Data!E2768</f>
        <v>21.22</v>
      </c>
      <c r="F2770" s="5">
        <f>[1]Raw_Data!F2768</f>
        <v>2907.14</v>
      </c>
      <c r="G2770" s="4">
        <f>[1]Raw_Data!G2768</f>
        <v>0.02</v>
      </c>
      <c r="H2770" s="3">
        <f>[1]Raw_Data!H2768</f>
        <v>1</v>
      </c>
      <c r="I2770" s="3" t="str">
        <f>TRIM([1]Raw_Data!I2768)</f>
        <v>Canada</v>
      </c>
      <c r="J2770" s="3" t="str">
        <f>TRIM([1]Raw_Data!J2768)</f>
        <v>Walmart</v>
      </c>
      <c r="K2770" s="3">
        <f t="shared" si="172"/>
        <v>2023</v>
      </c>
      <c r="L2770" s="6">
        <f t="shared" si="173"/>
        <v>45017</v>
      </c>
      <c r="M2770" s="3" t="str">
        <f t="shared" si="174"/>
        <v>0% to 5%</v>
      </c>
      <c r="N2770" s="3" t="str">
        <f t="shared" si="175"/>
        <v>OK</v>
      </c>
    </row>
    <row r="2771" spans="1:14" x14ac:dyDescent="0.3">
      <c r="A2771" s="2">
        <f>DATE(VALUE(RIGHT(TRIM([1]Raw_Data!A2769),4)),VALUE(MID(TRIM([1]Raw_Data!A2769),4,2)),VALUE(LEFT(TRIM([1]Raw_Data!A2769),2)))</f>
        <v>45040</v>
      </c>
      <c r="B2771" s="3" t="str">
        <f>TRIM([1]Raw_Data!B2769)</f>
        <v>Electrolyte Powder</v>
      </c>
      <c r="C2771" s="3" t="str">
        <f>TRIM([1]Raw_Data!C2769)</f>
        <v>Hydration</v>
      </c>
      <c r="D2771" s="3">
        <f>[1]Raw_Data!D2769</f>
        <v>137</v>
      </c>
      <c r="E2771" s="4">
        <f>[1]Raw_Data!E2769</f>
        <v>21.88</v>
      </c>
      <c r="F2771" s="5">
        <f>[1]Raw_Data!F2769</f>
        <v>2997.56</v>
      </c>
      <c r="G2771" s="4">
        <f>[1]Raw_Data!G2769</f>
        <v>0.09</v>
      </c>
      <c r="H2771" s="3">
        <f>[1]Raw_Data!H2769</f>
        <v>1</v>
      </c>
      <c r="I2771" s="3" t="str">
        <f>TRIM([1]Raw_Data!I2769)</f>
        <v>USA</v>
      </c>
      <c r="J2771" s="3" t="str">
        <f>TRIM([1]Raw_Data!J2769)</f>
        <v>Walmart</v>
      </c>
      <c r="K2771" s="3">
        <f t="shared" si="172"/>
        <v>2023</v>
      </c>
      <c r="L2771" s="6">
        <f t="shared" si="173"/>
        <v>45017</v>
      </c>
      <c r="M2771" s="3" t="str">
        <f t="shared" si="174"/>
        <v>6% to 10%</v>
      </c>
      <c r="N2771" s="3" t="str">
        <f t="shared" si="175"/>
        <v>OK</v>
      </c>
    </row>
    <row r="2772" spans="1:14" x14ac:dyDescent="0.3">
      <c r="A2772" s="2">
        <f>DATE(VALUE(RIGHT(TRIM([1]Raw_Data!A2770),4)),VALUE(MID(TRIM([1]Raw_Data!A2770),4,2)),VALUE(LEFT(TRIM([1]Raw_Data!A2770),2)))</f>
        <v>45047</v>
      </c>
      <c r="B2772" s="3" t="str">
        <f>TRIM([1]Raw_Data!B2770)</f>
        <v>Whey Protein</v>
      </c>
      <c r="C2772" s="3" t="str">
        <f>TRIM([1]Raw_Data!C2770)</f>
        <v>Protein</v>
      </c>
      <c r="D2772" s="3">
        <f>[1]Raw_Data!D2770</f>
        <v>142</v>
      </c>
      <c r="E2772" s="4">
        <f>[1]Raw_Data!E2770</f>
        <v>50.78</v>
      </c>
      <c r="F2772" s="5">
        <f>[1]Raw_Data!F2770</f>
        <v>7210.76</v>
      </c>
      <c r="G2772" s="4">
        <f>[1]Raw_Data!G2770</f>
        <v>0.04</v>
      </c>
      <c r="H2772" s="3">
        <f>[1]Raw_Data!H2770</f>
        <v>0</v>
      </c>
      <c r="I2772" s="3" t="str">
        <f>TRIM([1]Raw_Data!I2770)</f>
        <v>USA</v>
      </c>
      <c r="J2772" s="3" t="str">
        <f>TRIM([1]Raw_Data!J2770)</f>
        <v>iHerb</v>
      </c>
      <c r="K2772" s="3">
        <f t="shared" si="172"/>
        <v>2023</v>
      </c>
      <c r="L2772" s="6">
        <f t="shared" si="173"/>
        <v>45047</v>
      </c>
      <c r="M2772" s="3" t="str">
        <f t="shared" si="174"/>
        <v>0% to 5%</v>
      </c>
      <c r="N2772" s="3" t="str">
        <f t="shared" si="175"/>
        <v>OK</v>
      </c>
    </row>
    <row r="2773" spans="1:14" x14ac:dyDescent="0.3">
      <c r="A2773" s="2">
        <f>DATE(VALUE(RIGHT(TRIM([1]Raw_Data!A2771),4)),VALUE(MID(TRIM([1]Raw_Data!A2771),4,2)),VALUE(LEFT(TRIM([1]Raw_Data!A2771),2)))</f>
        <v>45047</v>
      </c>
      <c r="B2773" s="3" t="str">
        <f>TRIM([1]Raw_Data!B2771)</f>
        <v>Vitamin C</v>
      </c>
      <c r="C2773" s="3" t="str">
        <f>TRIM([1]Raw_Data!C2771)</f>
        <v>Vitamin</v>
      </c>
      <c r="D2773" s="3">
        <f>[1]Raw_Data!D2771</f>
        <v>144</v>
      </c>
      <c r="E2773" s="4">
        <f>[1]Raw_Data!E2771</f>
        <v>37.130000000000003</v>
      </c>
      <c r="F2773" s="5">
        <f>[1]Raw_Data!F2771</f>
        <v>5346.72</v>
      </c>
      <c r="G2773" s="4">
        <f>[1]Raw_Data!G2771</f>
        <v>0.09</v>
      </c>
      <c r="H2773" s="3">
        <f>[1]Raw_Data!H2771</f>
        <v>2</v>
      </c>
      <c r="I2773" s="3" t="str">
        <f>TRIM([1]Raw_Data!I2771)</f>
        <v>UK</v>
      </c>
      <c r="J2773" s="3" t="str">
        <f>TRIM([1]Raw_Data!J2771)</f>
        <v>iHerb</v>
      </c>
      <c r="K2773" s="3">
        <f t="shared" si="172"/>
        <v>2023</v>
      </c>
      <c r="L2773" s="6">
        <f t="shared" si="173"/>
        <v>45047</v>
      </c>
      <c r="M2773" s="3" t="str">
        <f t="shared" si="174"/>
        <v>6% to 10%</v>
      </c>
      <c r="N2773" s="3" t="str">
        <f t="shared" si="175"/>
        <v>OK</v>
      </c>
    </row>
    <row r="2774" spans="1:14" x14ac:dyDescent="0.3">
      <c r="A2774" s="2">
        <f>DATE(VALUE(RIGHT(TRIM([1]Raw_Data!A2772),4)),VALUE(MID(TRIM([1]Raw_Data!A2772),4,2)),VALUE(LEFT(TRIM([1]Raw_Data!A2772),2)))</f>
        <v>45047</v>
      </c>
      <c r="B2774" s="3" t="str">
        <f>TRIM([1]Raw_Data!B2772)</f>
        <v>Fish Oil</v>
      </c>
      <c r="C2774" s="3" t="str">
        <f>TRIM([1]Raw_Data!C2772)</f>
        <v>Omega</v>
      </c>
      <c r="D2774" s="3">
        <f>[1]Raw_Data!D2772</f>
        <v>146</v>
      </c>
      <c r="E2774" s="4">
        <f>[1]Raw_Data!E2772</f>
        <v>58.31</v>
      </c>
      <c r="F2774" s="5">
        <f>[1]Raw_Data!F2772</f>
        <v>8513.26</v>
      </c>
      <c r="G2774" s="4">
        <f>[1]Raw_Data!G2772</f>
        <v>0.13</v>
      </c>
      <c r="H2774" s="3">
        <f>[1]Raw_Data!H2772</f>
        <v>5</v>
      </c>
      <c r="I2774" s="3" t="str">
        <f>TRIM([1]Raw_Data!I2772)</f>
        <v>UK</v>
      </c>
      <c r="J2774" s="3" t="str">
        <f>TRIM([1]Raw_Data!J2772)</f>
        <v>Amazon</v>
      </c>
      <c r="K2774" s="3">
        <f t="shared" si="172"/>
        <v>2023</v>
      </c>
      <c r="L2774" s="6">
        <f t="shared" si="173"/>
        <v>45047</v>
      </c>
      <c r="M2774" s="3" t="str">
        <f t="shared" si="174"/>
        <v>11% to 15%</v>
      </c>
      <c r="N2774" s="3" t="str">
        <f t="shared" si="175"/>
        <v>OK</v>
      </c>
    </row>
    <row r="2775" spans="1:14" x14ac:dyDescent="0.3">
      <c r="A2775" s="2">
        <f>DATE(VALUE(RIGHT(TRIM([1]Raw_Data!A2773),4)),VALUE(MID(TRIM([1]Raw_Data!A2773),4,2)),VALUE(LEFT(TRIM([1]Raw_Data!A2773),2)))</f>
        <v>45047</v>
      </c>
      <c r="B2775" s="3" t="str">
        <f>TRIM([1]Raw_Data!B2773)</f>
        <v>Multivitamin</v>
      </c>
      <c r="C2775" s="3" t="str">
        <f>TRIM([1]Raw_Data!C2773)</f>
        <v>Vitamin</v>
      </c>
      <c r="D2775" s="3">
        <f>[1]Raw_Data!D2773</f>
        <v>143</v>
      </c>
      <c r="E2775" s="4">
        <f>[1]Raw_Data!E2773</f>
        <v>18.28</v>
      </c>
      <c r="F2775" s="5">
        <f>[1]Raw_Data!F2773</f>
        <v>2614.04</v>
      </c>
      <c r="G2775" s="4">
        <f>[1]Raw_Data!G2773</f>
        <v>0.1</v>
      </c>
      <c r="H2775" s="3">
        <f>[1]Raw_Data!H2773</f>
        <v>1</v>
      </c>
      <c r="I2775" s="3" t="str">
        <f>TRIM([1]Raw_Data!I2773)</f>
        <v>UK</v>
      </c>
      <c r="J2775" s="3" t="str">
        <f>TRIM([1]Raw_Data!J2773)</f>
        <v>Walmart</v>
      </c>
      <c r="K2775" s="3">
        <f t="shared" si="172"/>
        <v>2023</v>
      </c>
      <c r="L2775" s="6">
        <f t="shared" si="173"/>
        <v>45047</v>
      </c>
      <c r="M2775" s="3" t="str">
        <f t="shared" si="174"/>
        <v>6% to 10%</v>
      </c>
      <c r="N2775" s="3" t="str">
        <f t="shared" si="175"/>
        <v>OK</v>
      </c>
    </row>
    <row r="2776" spans="1:14" x14ac:dyDescent="0.3">
      <c r="A2776" s="2">
        <f>DATE(VALUE(RIGHT(TRIM([1]Raw_Data!A2774),4)),VALUE(MID(TRIM([1]Raw_Data!A2774),4,2)),VALUE(LEFT(TRIM([1]Raw_Data!A2774),2)))</f>
        <v>45047</v>
      </c>
      <c r="B2776" s="3" t="str">
        <f>TRIM([1]Raw_Data!B2774)</f>
        <v>Pre-Workout</v>
      </c>
      <c r="C2776" s="3" t="str">
        <f>TRIM([1]Raw_Data!C2774)</f>
        <v>Performance</v>
      </c>
      <c r="D2776" s="3">
        <f>[1]Raw_Data!D2774</f>
        <v>131</v>
      </c>
      <c r="E2776" s="4">
        <f>[1]Raw_Data!E2774</f>
        <v>26.91</v>
      </c>
      <c r="F2776" s="5">
        <f>[1]Raw_Data!F2774</f>
        <v>3525.21</v>
      </c>
      <c r="G2776" s="4">
        <f>[1]Raw_Data!G2774</f>
        <v>0.03</v>
      </c>
      <c r="H2776" s="3">
        <f>[1]Raw_Data!H2774</f>
        <v>1</v>
      </c>
      <c r="I2776" s="3" t="str">
        <f>TRIM([1]Raw_Data!I2774)</f>
        <v>Canada</v>
      </c>
      <c r="J2776" s="3" t="str">
        <f>TRIM([1]Raw_Data!J2774)</f>
        <v>Amazon</v>
      </c>
      <c r="K2776" s="3">
        <f t="shared" si="172"/>
        <v>2023</v>
      </c>
      <c r="L2776" s="6">
        <f t="shared" si="173"/>
        <v>45047</v>
      </c>
      <c r="M2776" s="3" t="str">
        <f t="shared" si="174"/>
        <v>0% to 5%</v>
      </c>
      <c r="N2776" s="3" t="str">
        <f t="shared" si="175"/>
        <v>OK</v>
      </c>
    </row>
    <row r="2777" spans="1:14" x14ac:dyDescent="0.3">
      <c r="A2777" s="2">
        <f>DATE(VALUE(RIGHT(TRIM([1]Raw_Data!A2775),4)),VALUE(MID(TRIM([1]Raw_Data!A2775),4,2)),VALUE(LEFT(TRIM([1]Raw_Data!A2775),2)))</f>
        <v>45047</v>
      </c>
      <c r="B2777" s="3" t="str">
        <f>TRIM([1]Raw_Data!B2775)</f>
        <v>BCAA</v>
      </c>
      <c r="C2777" s="3" t="str">
        <f>TRIM([1]Raw_Data!C2775)</f>
        <v>Amino Acid</v>
      </c>
      <c r="D2777" s="3">
        <f>[1]Raw_Data!D2775</f>
        <v>167</v>
      </c>
      <c r="E2777" s="4">
        <f>[1]Raw_Data!E2775</f>
        <v>45.7</v>
      </c>
      <c r="F2777" s="5">
        <f>[1]Raw_Data!F2775</f>
        <v>7631.9</v>
      </c>
      <c r="G2777" s="4">
        <f>[1]Raw_Data!G2775</f>
        <v>0.15</v>
      </c>
      <c r="H2777" s="3">
        <f>[1]Raw_Data!H2775</f>
        <v>1</v>
      </c>
      <c r="I2777" s="3" t="str">
        <f>TRIM([1]Raw_Data!I2775)</f>
        <v>UK</v>
      </c>
      <c r="J2777" s="3" t="str">
        <f>TRIM([1]Raw_Data!J2775)</f>
        <v>Amazon</v>
      </c>
      <c r="K2777" s="3">
        <f t="shared" si="172"/>
        <v>2023</v>
      </c>
      <c r="L2777" s="6">
        <f t="shared" si="173"/>
        <v>45047</v>
      </c>
      <c r="M2777" s="3" t="str">
        <f t="shared" si="174"/>
        <v>11% to 15%</v>
      </c>
      <c r="N2777" s="3" t="str">
        <f t="shared" si="175"/>
        <v>OK</v>
      </c>
    </row>
    <row r="2778" spans="1:14" x14ac:dyDescent="0.3">
      <c r="A2778" s="2">
        <f>DATE(VALUE(RIGHT(TRIM([1]Raw_Data!A2776),4)),VALUE(MID(TRIM([1]Raw_Data!A2776),4,2)),VALUE(LEFT(TRIM([1]Raw_Data!A2776),2)))</f>
        <v>45047</v>
      </c>
      <c r="B2778" s="3" t="str">
        <f>TRIM([1]Raw_Data!B2776)</f>
        <v>Creatine</v>
      </c>
      <c r="C2778" s="3" t="str">
        <f>TRIM([1]Raw_Data!C2776)</f>
        <v>Performance</v>
      </c>
      <c r="D2778" s="3">
        <f>[1]Raw_Data!D2776</f>
        <v>140</v>
      </c>
      <c r="E2778" s="4">
        <f>[1]Raw_Data!E2776</f>
        <v>39.61</v>
      </c>
      <c r="F2778" s="5">
        <f>[1]Raw_Data!F2776</f>
        <v>5545.4</v>
      </c>
      <c r="G2778" s="4">
        <f>[1]Raw_Data!G2776</f>
        <v>0.09</v>
      </c>
      <c r="H2778" s="3">
        <f>[1]Raw_Data!H2776</f>
        <v>0</v>
      </c>
      <c r="I2778" s="3" t="str">
        <f>TRIM([1]Raw_Data!I2776)</f>
        <v>Canada</v>
      </c>
      <c r="J2778" s="3" t="str">
        <f>TRIM([1]Raw_Data!J2776)</f>
        <v>Walmart</v>
      </c>
      <c r="K2778" s="3">
        <f t="shared" si="172"/>
        <v>2023</v>
      </c>
      <c r="L2778" s="6">
        <f t="shared" si="173"/>
        <v>45047</v>
      </c>
      <c r="M2778" s="3" t="str">
        <f t="shared" si="174"/>
        <v>6% to 10%</v>
      </c>
      <c r="N2778" s="3" t="str">
        <f t="shared" si="175"/>
        <v>OK</v>
      </c>
    </row>
    <row r="2779" spans="1:14" x14ac:dyDescent="0.3">
      <c r="A2779" s="2">
        <f>DATE(VALUE(RIGHT(TRIM([1]Raw_Data!A2777),4)),VALUE(MID(TRIM([1]Raw_Data!A2777),4,2)),VALUE(LEFT(TRIM([1]Raw_Data!A2777),2)))</f>
        <v>45047</v>
      </c>
      <c r="B2779" s="3" t="str">
        <f>TRIM([1]Raw_Data!B2777)</f>
        <v>Zinc</v>
      </c>
      <c r="C2779" s="3" t="str">
        <f>TRIM([1]Raw_Data!C2777)</f>
        <v>Mineral</v>
      </c>
      <c r="D2779" s="3">
        <f>[1]Raw_Data!D2777</f>
        <v>133</v>
      </c>
      <c r="E2779" s="4">
        <f>[1]Raw_Data!E2777</f>
        <v>32.020000000000003</v>
      </c>
      <c r="F2779" s="5">
        <f>[1]Raw_Data!F2777</f>
        <v>4258.66</v>
      </c>
      <c r="G2779" s="4">
        <f>[1]Raw_Data!G2777</f>
        <v>0.16</v>
      </c>
      <c r="H2779" s="3">
        <f>[1]Raw_Data!H2777</f>
        <v>1</v>
      </c>
      <c r="I2779" s="3" t="str">
        <f>TRIM([1]Raw_Data!I2777)</f>
        <v>Canada</v>
      </c>
      <c r="J2779" s="3" t="str">
        <f>TRIM([1]Raw_Data!J2777)</f>
        <v>Amazon</v>
      </c>
      <c r="K2779" s="3">
        <f t="shared" si="172"/>
        <v>2023</v>
      </c>
      <c r="L2779" s="6">
        <f t="shared" si="173"/>
        <v>45047</v>
      </c>
      <c r="M2779" s="3" t="str">
        <f t="shared" si="174"/>
        <v>16% to 20%</v>
      </c>
      <c r="N2779" s="3" t="str">
        <f t="shared" si="175"/>
        <v>OK</v>
      </c>
    </row>
    <row r="2780" spans="1:14" x14ac:dyDescent="0.3">
      <c r="A2780" s="2">
        <f>DATE(VALUE(RIGHT(TRIM([1]Raw_Data!A2778),4)),VALUE(MID(TRIM([1]Raw_Data!A2778),4,2)),VALUE(LEFT(TRIM([1]Raw_Data!A2778),2)))</f>
        <v>45047</v>
      </c>
      <c r="B2780" s="3" t="str">
        <f>TRIM([1]Raw_Data!B2778)</f>
        <v>Collagen Peptides</v>
      </c>
      <c r="C2780" s="3" t="str">
        <f>TRIM([1]Raw_Data!C2778)</f>
        <v>Protein</v>
      </c>
      <c r="D2780" s="3">
        <f>[1]Raw_Data!D2778</f>
        <v>166</v>
      </c>
      <c r="E2780" s="4">
        <f>[1]Raw_Data!E2778</f>
        <v>34.04</v>
      </c>
      <c r="F2780" s="5">
        <f>[1]Raw_Data!F2778</f>
        <v>5650.64</v>
      </c>
      <c r="G2780" s="4">
        <f>[1]Raw_Data!G2778</f>
        <v>0.23</v>
      </c>
      <c r="H2780" s="3">
        <f>[1]Raw_Data!H2778</f>
        <v>2</v>
      </c>
      <c r="I2780" s="3" t="str">
        <f>TRIM([1]Raw_Data!I2778)</f>
        <v>USA</v>
      </c>
      <c r="J2780" s="3" t="str">
        <f>TRIM([1]Raw_Data!J2778)</f>
        <v>Amazon</v>
      </c>
      <c r="K2780" s="3">
        <f t="shared" si="172"/>
        <v>2023</v>
      </c>
      <c r="L2780" s="6">
        <f t="shared" si="173"/>
        <v>45047</v>
      </c>
      <c r="M2780" s="3" t="str">
        <f t="shared" si="174"/>
        <v>21% to 25%</v>
      </c>
      <c r="N2780" s="3" t="str">
        <f t="shared" si="175"/>
        <v>OK</v>
      </c>
    </row>
    <row r="2781" spans="1:14" x14ac:dyDescent="0.3">
      <c r="A2781" s="2">
        <f>DATE(VALUE(RIGHT(TRIM([1]Raw_Data!A2779),4)),VALUE(MID(TRIM([1]Raw_Data!A2779),4,2)),VALUE(LEFT(TRIM([1]Raw_Data!A2779),2)))</f>
        <v>45047</v>
      </c>
      <c r="B2781" s="3" t="str">
        <f>TRIM([1]Raw_Data!B2779)</f>
        <v>Magnesium</v>
      </c>
      <c r="C2781" s="3" t="str">
        <f>TRIM([1]Raw_Data!C2779)</f>
        <v>Mineral</v>
      </c>
      <c r="D2781" s="3">
        <f>[1]Raw_Data!D2779</f>
        <v>132</v>
      </c>
      <c r="E2781" s="4">
        <f>[1]Raw_Data!E2779</f>
        <v>49.36</v>
      </c>
      <c r="F2781" s="5">
        <f>[1]Raw_Data!F2779</f>
        <v>6515.52</v>
      </c>
      <c r="G2781" s="4">
        <f>[1]Raw_Data!G2779</f>
        <v>0.21</v>
      </c>
      <c r="H2781" s="3">
        <f>[1]Raw_Data!H2779</f>
        <v>1</v>
      </c>
      <c r="I2781" s="3" t="str">
        <f>TRIM([1]Raw_Data!I2779)</f>
        <v>UK</v>
      </c>
      <c r="J2781" s="3" t="str">
        <f>TRIM([1]Raw_Data!J2779)</f>
        <v>Amazon</v>
      </c>
      <c r="K2781" s="3">
        <f t="shared" si="172"/>
        <v>2023</v>
      </c>
      <c r="L2781" s="6">
        <f t="shared" si="173"/>
        <v>45047</v>
      </c>
      <c r="M2781" s="3" t="str">
        <f t="shared" si="174"/>
        <v>21% to 25%</v>
      </c>
      <c r="N2781" s="3" t="str">
        <f t="shared" si="175"/>
        <v>OK</v>
      </c>
    </row>
    <row r="2782" spans="1:14" x14ac:dyDescent="0.3">
      <c r="A2782" s="2">
        <f>DATE(VALUE(RIGHT(TRIM([1]Raw_Data!A2780),4)),VALUE(MID(TRIM([1]Raw_Data!A2780),4,2)),VALUE(LEFT(TRIM([1]Raw_Data!A2780),2)))</f>
        <v>45047</v>
      </c>
      <c r="B2782" s="3" t="str">
        <f>TRIM([1]Raw_Data!B2780)</f>
        <v>Ashwagandha</v>
      </c>
      <c r="C2782" s="3" t="str">
        <f>TRIM([1]Raw_Data!C2780)</f>
        <v>Herbal</v>
      </c>
      <c r="D2782" s="3">
        <f>[1]Raw_Data!D2780</f>
        <v>152</v>
      </c>
      <c r="E2782" s="4">
        <f>[1]Raw_Data!E2780</f>
        <v>31.96</v>
      </c>
      <c r="F2782" s="5">
        <f>[1]Raw_Data!F2780</f>
        <v>4857.92</v>
      </c>
      <c r="G2782" s="4">
        <f>[1]Raw_Data!G2780</f>
        <v>0.17</v>
      </c>
      <c r="H2782" s="3">
        <f>[1]Raw_Data!H2780</f>
        <v>0</v>
      </c>
      <c r="I2782" s="3" t="str">
        <f>TRIM([1]Raw_Data!I2780)</f>
        <v>UK</v>
      </c>
      <c r="J2782" s="3" t="str">
        <f>TRIM([1]Raw_Data!J2780)</f>
        <v>Amazon</v>
      </c>
      <c r="K2782" s="3">
        <f t="shared" si="172"/>
        <v>2023</v>
      </c>
      <c r="L2782" s="6">
        <f t="shared" si="173"/>
        <v>45047</v>
      </c>
      <c r="M2782" s="3" t="str">
        <f t="shared" si="174"/>
        <v>16% to 20%</v>
      </c>
      <c r="N2782" s="3" t="str">
        <f t="shared" si="175"/>
        <v>OK</v>
      </c>
    </row>
    <row r="2783" spans="1:14" x14ac:dyDescent="0.3">
      <c r="A2783" s="2">
        <f>DATE(VALUE(RIGHT(TRIM([1]Raw_Data!A2781),4)),VALUE(MID(TRIM([1]Raw_Data!A2781),4,2)),VALUE(LEFT(TRIM([1]Raw_Data!A2781),2)))</f>
        <v>45047</v>
      </c>
      <c r="B2783" s="3" t="str">
        <f>TRIM([1]Raw_Data!B2781)</f>
        <v>Melatonin</v>
      </c>
      <c r="C2783" s="3" t="str">
        <f>TRIM([1]Raw_Data!C2781)</f>
        <v>Sleep Aid</v>
      </c>
      <c r="D2783" s="3">
        <f>[1]Raw_Data!D2781</f>
        <v>155</v>
      </c>
      <c r="E2783" s="4">
        <f>[1]Raw_Data!E2781</f>
        <v>18.05</v>
      </c>
      <c r="F2783" s="5">
        <f>[1]Raw_Data!F2781</f>
        <v>2797.75</v>
      </c>
      <c r="G2783" s="4">
        <f>[1]Raw_Data!G2781</f>
        <v>0.1</v>
      </c>
      <c r="H2783" s="3">
        <f>[1]Raw_Data!H2781</f>
        <v>2</v>
      </c>
      <c r="I2783" s="3" t="str">
        <f>TRIM([1]Raw_Data!I2781)</f>
        <v>Canada</v>
      </c>
      <c r="J2783" s="3" t="str">
        <f>TRIM([1]Raw_Data!J2781)</f>
        <v>Walmart</v>
      </c>
      <c r="K2783" s="3">
        <f t="shared" si="172"/>
        <v>2023</v>
      </c>
      <c r="L2783" s="6">
        <f t="shared" si="173"/>
        <v>45047</v>
      </c>
      <c r="M2783" s="3" t="str">
        <f t="shared" si="174"/>
        <v>6% to 10%</v>
      </c>
      <c r="N2783" s="3" t="str">
        <f t="shared" si="175"/>
        <v>OK</v>
      </c>
    </row>
    <row r="2784" spans="1:14" x14ac:dyDescent="0.3">
      <c r="A2784" s="2">
        <f>DATE(VALUE(RIGHT(TRIM([1]Raw_Data!A2782),4)),VALUE(MID(TRIM([1]Raw_Data!A2782),4,2)),VALUE(LEFT(TRIM([1]Raw_Data!A2782),2)))</f>
        <v>45047</v>
      </c>
      <c r="B2784" s="3" t="str">
        <f>TRIM([1]Raw_Data!B2782)</f>
        <v>Biotin</v>
      </c>
      <c r="C2784" s="3" t="str">
        <f>TRIM([1]Raw_Data!C2782)</f>
        <v>Vitamin</v>
      </c>
      <c r="D2784" s="3">
        <f>[1]Raw_Data!D2782</f>
        <v>155</v>
      </c>
      <c r="E2784" s="4">
        <f>[1]Raw_Data!E2782</f>
        <v>40.659999999999997</v>
      </c>
      <c r="F2784" s="5">
        <f>[1]Raw_Data!F2782</f>
        <v>6302.3</v>
      </c>
      <c r="G2784" s="4">
        <f>[1]Raw_Data!G2782</f>
        <v>0.2</v>
      </c>
      <c r="H2784" s="3">
        <f>[1]Raw_Data!H2782</f>
        <v>0</v>
      </c>
      <c r="I2784" s="3" t="str">
        <f>TRIM([1]Raw_Data!I2782)</f>
        <v>USA</v>
      </c>
      <c r="J2784" s="3" t="str">
        <f>TRIM([1]Raw_Data!J2782)</f>
        <v>Walmart</v>
      </c>
      <c r="K2784" s="3">
        <f t="shared" si="172"/>
        <v>2023</v>
      </c>
      <c r="L2784" s="6">
        <f t="shared" si="173"/>
        <v>45047</v>
      </c>
      <c r="M2784" s="3" t="str">
        <f t="shared" si="174"/>
        <v>16% to 20%</v>
      </c>
      <c r="N2784" s="3" t="str">
        <f t="shared" si="175"/>
        <v>OK</v>
      </c>
    </row>
    <row r="2785" spans="1:14" x14ac:dyDescent="0.3">
      <c r="A2785" s="2">
        <f>DATE(VALUE(RIGHT(TRIM([1]Raw_Data!A2783),4)),VALUE(MID(TRIM([1]Raw_Data!A2783),4,2)),VALUE(LEFT(TRIM([1]Raw_Data!A2783),2)))</f>
        <v>45047</v>
      </c>
      <c r="B2785" s="3" t="str">
        <f>TRIM([1]Raw_Data!B2783)</f>
        <v>Green Tea Extract</v>
      </c>
      <c r="C2785" s="3" t="str">
        <f>TRIM([1]Raw_Data!C2783)</f>
        <v>Fat Burner</v>
      </c>
      <c r="D2785" s="3">
        <f>[1]Raw_Data!D2783</f>
        <v>148</v>
      </c>
      <c r="E2785" s="4">
        <f>[1]Raw_Data!E2783</f>
        <v>37.31</v>
      </c>
      <c r="F2785" s="5">
        <f>[1]Raw_Data!F2783</f>
        <v>5521.88</v>
      </c>
      <c r="G2785" s="4">
        <f>[1]Raw_Data!G2783</f>
        <v>0.16</v>
      </c>
      <c r="H2785" s="3">
        <f>[1]Raw_Data!H2783</f>
        <v>1</v>
      </c>
      <c r="I2785" s="3" t="str">
        <f>TRIM([1]Raw_Data!I2783)</f>
        <v>UK</v>
      </c>
      <c r="J2785" s="3" t="str">
        <f>TRIM([1]Raw_Data!J2783)</f>
        <v>iHerb</v>
      </c>
      <c r="K2785" s="3">
        <f t="shared" si="172"/>
        <v>2023</v>
      </c>
      <c r="L2785" s="6">
        <f t="shared" si="173"/>
        <v>45047</v>
      </c>
      <c r="M2785" s="3" t="str">
        <f t="shared" si="174"/>
        <v>16% to 20%</v>
      </c>
      <c r="N2785" s="3" t="str">
        <f t="shared" si="175"/>
        <v>OK</v>
      </c>
    </row>
    <row r="2786" spans="1:14" x14ac:dyDescent="0.3">
      <c r="A2786" s="2">
        <f>DATE(VALUE(RIGHT(TRIM([1]Raw_Data!A2784),4)),VALUE(MID(TRIM([1]Raw_Data!A2784),4,2)),VALUE(LEFT(TRIM([1]Raw_Data!A2784),2)))</f>
        <v>45047</v>
      </c>
      <c r="B2786" s="3" t="str">
        <f>TRIM([1]Raw_Data!B2784)</f>
        <v>Iron Supplement</v>
      </c>
      <c r="C2786" s="3" t="str">
        <f>TRIM([1]Raw_Data!C2784)</f>
        <v>Mineral</v>
      </c>
      <c r="D2786" s="3">
        <f>[1]Raw_Data!D2784</f>
        <v>150</v>
      </c>
      <c r="E2786" s="4">
        <f>[1]Raw_Data!E2784</f>
        <v>17.989999999999998</v>
      </c>
      <c r="F2786" s="5">
        <f>[1]Raw_Data!F2784</f>
        <v>2698.5</v>
      </c>
      <c r="G2786" s="4">
        <f>[1]Raw_Data!G2784</f>
        <v>0.1</v>
      </c>
      <c r="H2786" s="3">
        <f>[1]Raw_Data!H2784</f>
        <v>0</v>
      </c>
      <c r="I2786" s="3" t="str">
        <f>TRIM([1]Raw_Data!I2784)</f>
        <v>USA</v>
      </c>
      <c r="J2786" s="3" t="str">
        <f>TRIM([1]Raw_Data!J2784)</f>
        <v>iHerb</v>
      </c>
      <c r="K2786" s="3">
        <f t="shared" si="172"/>
        <v>2023</v>
      </c>
      <c r="L2786" s="6">
        <f t="shared" si="173"/>
        <v>45047</v>
      </c>
      <c r="M2786" s="3" t="str">
        <f t="shared" si="174"/>
        <v>6% to 10%</v>
      </c>
      <c r="N2786" s="3" t="str">
        <f t="shared" si="175"/>
        <v>OK</v>
      </c>
    </row>
    <row r="2787" spans="1:14" x14ac:dyDescent="0.3">
      <c r="A2787" s="2">
        <f>DATE(VALUE(RIGHT(TRIM([1]Raw_Data!A2785),4)),VALUE(MID(TRIM([1]Raw_Data!A2785),4,2)),VALUE(LEFT(TRIM([1]Raw_Data!A2785),2)))</f>
        <v>45047</v>
      </c>
      <c r="B2787" s="3" t="str">
        <f>TRIM([1]Raw_Data!B2785)</f>
        <v>Electrolyte Powder</v>
      </c>
      <c r="C2787" s="3" t="str">
        <f>TRIM([1]Raw_Data!C2785)</f>
        <v>Hydration</v>
      </c>
      <c r="D2787" s="3">
        <f>[1]Raw_Data!D2785</f>
        <v>144</v>
      </c>
      <c r="E2787" s="4">
        <f>[1]Raw_Data!E2785</f>
        <v>36.69</v>
      </c>
      <c r="F2787" s="5">
        <f>[1]Raw_Data!F2785</f>
        <v>5283.36</v>
      </c>
      <c r="G2787" s="4">
        <f>[1]Raw_Data!G2785</f>
        <v>0.2</v>
      </c>
      <c r="H2787" s="3">
        <f>[1]Raw_Data!H2785</f>
        <v>2</v>
      </c>
      <c r="I2787" s="3" t="str">
        <f>TRIM([1]Raw_Data!I2785)</f>
        <v>USA</v>
      </c>
      <c r="J2787" s="3" t="str">
        <f>TRIM([1]Raw_Data!J2785)</f>
        <v>Walmart</v>
      </c>
      <c r="K2787" s="3">
        <f t="shared" si="172"/>
        <v>2023</v>
      </c>
      <c r="L2787" s="6">
        <f t="shared" si="173"/>
        <v>45047</v>
      </c>
      <c r="M2787" s="3" t="str">
        <f t="shared" si="174"/>
        <v>16% to 20%</v>
      </c>
      <c r="N2787" s="3" t="str">
        <f t="shared" si="175"/>
        <v>OK</v>
      </c>
    </row>
    <row r="2788" spans="1:14" x14ac:dyDescent="0.3">
      <c r="A2788" s="2">
        <f>DATE(VALUE(RIGHT(TRIM([1]Raw_Data!A2786),4)),VALUE(MID(TRIM([1]Raw_Data!A2786),4,2)),VALUE(LEFT(TRIM([1]Raw_Data!A2786),2)))</f>
        <v>45054</v>
      </c>
      <c r="B2788" s="3" t="str">
        <f>TRIM([1]Raw_Data!B2786)</f>
        <v>Whey Protein</v>
      </c>
      <c r="C2788" s="3" t="str">
        <f>TRIM([1]Raw_Data!C2786)</f>
        <v>Protein</v>
      </c>
      <c r="D2788" s="3">
        <f>[1]Raw_Data!D2786</f>
        <v>159</v>
      </c>
      <c r="E2788" s="4">
        <f>[1]Raw_Data!E2786</f>
        <v>55.15</v>
      </c>
      <c r="F2788" s="5">
        <f>[1]Raw_Data!F2786</f>
        <v>8768.85</v>
      </c>
      <c r="G2788" s="4">
        <f>[1]Raw_Data!G2786</f>
        <v>0.23</v>
      </c>
      <c r="H2788" s="3">
        <f>[1]Raw_Data!H2786</f>
        <v>1</v>
      </c>
      <c r="I2788" s="3" t="str">
        <f>TRIM([1]Raw_Data!I2786)</f>
        <v>UK</v>
      </c>
      <c r="J2788" s="3" t="str">
        <f>TRIM([1]Raw_Data!J2786)</f>
        <v>Amazon</v>
      </c>
      <c r="K2788" s="3">
        <f t="shared" si="172"/>
        <v>2023</v>
      </c>
      <c r="L2788" s="6">
        <f t="shared" si="173"/>
        <v>45047</v>
      </c>
      <c r="M2788" s="3" t="str">
        <f t="shared" si="174"/>
        <v>21% to 25%</v>
      </c>
      <c r="N2788" s="3" t="str">
        <f t="shared" si="175"/>
        <v>OK</v>
      </c>
    </row>
    <row r="2789" spans="1:14" x14ac:dyDescent="0.3">
      <c r="A2789" s="2">
        <f>DATE(VALUE(RIGHT(TRIM([1]Raw_Data!A2787),4)),VALUE(MID(TRIM([1]Raw_Data!A2787),4,2)),VALUE(LEFT(TRIM([1]Raw_Data!A2787),2)))</f>
        <v>45054</v>
      </c>
      <c r="B2789" s="3" t="str">
        <f>TRIM([1]Raw_Data!B2787)</f>
        <v>Vitamin C</v>
      </c>
      <c r="C2789" s="3" t="str">
        <f>TRIM([1]Raw_Data!C2787)</f>
        <v>Vitamin</v>
      </c>
      <c r="D2789" s="3">
        <f>[1]Raw_Data!D2787</f>
        <v>143</v>
      </c>
      <c r="E2789" s="4">
        <f>[1]Raw_Data!E2787</f>
        <v>19.14</v>
      </c>
      <c r="F2789" s="5">
        <f>[1]Raw_Data!F2787</f>
        <v>2737.02</v>
      </c>
      <c r="G2789" s="4">
        <f>[1]Raw_Data!G2787</f>
        <v>0.22</v>
      </c>
      <c r="H2789" s="3">
        <f>[1]Raw_Data!H2787</f>
        <v>2</v>
      </c>
      <c r="I2789" s="3" t="str">
        <f>TRIM([1]Raw_Data!I2787)</f>
        <v>USA</v>
      </c>
      <c r="J2789" s="3" t="str">
        <f>TRIM([1]Raw_Data!J2787)</f>
        <v>Amazon</v>
      </c>
      <c r="K2789" s="3">
        <f t="shared" si="172"/>
        <v>2023</v>
      </c>
      <c r="L2789" s="6">
        <f t="shared" si="173"/>
        <v>45047</v>
      </c>
      <c r="M2789" s="3" t="str">
        <f t="shared" si="174"/>
        <v>21% to 25%</v>
      </c>
      <c r="N2789" s="3" t="str">
        <f t="shared" si="175"/>
        <v>OK</v>
      </c>
    </row>
    <row r="2790" spans="1:14" x14ac:dyDescent="0.3">
      <c r="A2790" s="2">
        <f>DATE(VALUE(RIGHT(TRIM([1]Raw_Data!A2788),4)),VALUE(MID(TRIM([1]Raw_Data!A2788),4,2)),VALUE(LEFT(TRIM([1]Raw_Data!A2788),2)))</f>
        <v>45054</v>
      </c>
      <c r="B2790" s="3" t="str">
        <f>TRIM([1]Raw_Data!B2788)</f>
        <v>Fish Oil</v>
      </c>
      <c r="C2790" s="3" t="str">
        <f>TRIM([1]Raw_Data!C2788)</f>
        <v>Omega</v>
      </c>
      <c r="D2790" s="3">
        <f>[1]Raw_Data!D2788</f>
        <v>159</v>
      </c>
      <c r="E2790" s="4">
        <f>[1]Raw_Data!E2788</f>
        <v>12.41</v>
      </c>
      <c r="F2790" s="5">
        <f>[1]Raw_Data!F2788</f>
        <v>1973.19</v>
      </c>
      <c r="G2790" s="4">
        <f>[1]Raw_Data!G2788</f>
        <v>0.13</v>
      </c>
      <c r="H2790" s="3">
        <f>[1]Raw_Data!H2788</f>
        <v>2</v>
      </c>
      <c r="I2790" s="3" t="str">
        <f>TRIM([1]Raw_Data!I2788)</f>
        <v>Canada</v>
      </c>
      <c r="J2790" s="3" t="str">
        <f>TRIM([1]Raw_Data!J2788)</f>
        <v>Walmart</v>
      </c>
      <c r="K2790" s="3">
        <f t="shared" si="172"/>
        <v>2023</v>
      </c>
      <c r="L2790" s="6">
        <f t="shared" si="173"/>
        <v>45047</v>
      </c>
      <c r="M2790" s="3" t="str">
        <f t="shared" si="174"/>
        <v>11% to 15%</v>
      </c>
      <c r="N2790" s="3" t="str">
        <f t="shared" si="175"/>
        <v>OK</v>
      </c>
    </row>
    <row r="2791" spans="1:14" x14ac:dyDescent="0.3">
      <c r="A2791" s="2">
        <f>DATE(VALUE(RIGHT(TRIM([1]Raw_Data!A2789),4)),VALUE(MID(TRIM([1]Raw_Data!A2789),4,2)),VALUE(LEFT(TRIM([1]Raw_Data!A2789),2)))</f>
        <v>45054</v>
      </c>
      <c r="B2791" s="3" t="str">
        <f>TRIM([1]Raw_Data!B2789)</f>
        <v>Multivitamin</v>
      </c>
      <c r="C2791" s="3" t="str">
        <f>TRIM([1]Raw_Data!C2789)</f>
        <v>Vitamin</v>
      </c>
      <c r="D2791" s="3">
        <f>[1]Raw_Data!D2789</f>
        <v>151</v>
      </c>
      <c r="E2791" s="4">
        <f>[1]Raw_Data!E2789</f>
        <v>50.89</v>
      </c>
      <c r="F2791" s="5">
        <f>[1]Raw_Data!F2789</f>
        <v>7684.39</v>
      </c>
      <c r="G2791" s="4">
        <f>[1]Raw_Data!G2789</f>
        <v>0.09</v>
      </c>
      <c r="H2791" s="3">
        <f>[1]Raw_Data!H2789</f>
        <v>3</v>
      </c>
      <c r="I2791" s="3" t="str">
        <f>TRIM([1]Raw_Data!I2789)</f>
        <v>Canada</v>
      </c>
      <c r="J2791" s="3" t="str">
        <f>TRIM([1]Raw_Data!J2789)</f>
        <v>iHerb</v>
      </c>
      <c r="K2791" s="3">
        <f t="shared" si="172"/>
        <v>2023</v>
      </c>
      <c r="L2791" s="6">
        <f t="shared" si="173"/>
        <v>45047</v>
      </c>
      <c r="M2791" s="3" t="str">
        <f t="shared" si="174"/>
        <v>6% to 10%</v>
      </c>
      <c r="N2791" s="3" t="str">
        <f t="shared" si="175"/>
        <v>OK</v>
      </c>
    </row>
    <row r="2792" spans="1:14" x14ac:dyDescent="0.3">
      <c r="A2792" s="2">
        <f>DATE(VALUE(RIGHT(TRIM([1]Raw_Data!A2790),4)),VALUE(MID(TRIM([1]Raw_Data!A2790),4,2)),VALUE(LEFT(TRIM([1]Raw_Data!A2790),2)))</f>
        <v>45054</v>
      </c>
      <c r="B2792" s="3" t="str">
        <f>TRIM([1]Raw_Data!B2790)</f>
        <v>Pre-Workout</v>
      </c>
      <c r="C2792" s="3" t="str">
        <f>TRIM([1]Raw_Data!C2790)</f>
        <v>Performance</v>
      </c>
      <c r="D2792" s="3">
        <f>[1]Raw_Data!D2790</f>
        <v>136</v>
      </c>
      <c r="E2792" s="4">
        <f>[1]Raw_Data!E2790</f>
        <v>12.17</v>
      </c>
      <c r="F2792" s="5">
        <f>[1]Raw_Data!F2790</f>
        <v>1655.12</v>
      </c>
      <c r="G2792" s="4">
        <f>[1]Raw_Data!G2790</f>
        <v>0.09</v>
      </c>
      <c r="H2792" s="3">
        <f>[1]Raw_Data!H2790</f>
        <v>1</v>
      </c>
      <c r="I2792" s="3" t="str">
        <f>TRIM([1]Raw_Data!I2790)</f>
        <v>Canada</v>
      </c>
      <c r="J2792" s="3" t="str">
        <f>TRIM([1]Raw_Data!J2790)</f>
        <v>iHerb</v>
      </c>
      <c r="K2792" s="3">
        <f t="shared" si="172"/>
        <v>2023</v>
      </c>
      <c r="L2792" s="6">
        <f t="shared" si="173"/>
        <v>45047</v>
      </c>
      <c r="M2792" s="3" t="str">
        <f t="shared" si="174"/>
        <v>6% to 10%</v>
      </c>
      <c r="N2792" s="3" t="str">
        <f t="shared" si="175"/>
        <v>OK</v>
      </c>
    </row>
    <row r="2793" spans="1:14" x14ac:dyDescent="0.3">
      <c r="A2793" s="2">
        <f>DATE(VALUE(RIGHT(TRIM([1]Raw_Data!A2791),4)),VALUE(MID(TRIM([1]Raw_Data!A2791),4,2)),VALUE(LEFT(TRIM([1]Raw_Data!A2791),2)))</f>
        <v>45054</v>
      </c>
      <c r="B2793" s="3" t="str">
        <f>TRIM([1]Raw_Data!B2791)</f>
        <v>BCAA</v>
      </c>
      <c r="C2793" s="3" t="str">
        <f>TRIM([1]Raw_Data!C2791)</f>
        <v>Amino Acid</v>
      </c>
      <c r="D2793" s="3">
        <f>[1]Raw_Data!D2791</f>
        <v>162</v>
      </c>
      <c r="E2793" s="4">
        <f>[1]Raw_Data!E2791</f>
        <v>31.84</v>
      </c>
      <c r="F2793" s="5">
        <f>[1]Raw_Data!F2791</f>
        <v>5158.08</v>
      </c>
      <c r="G2793" s="4">
        <f>[1]Raw_Data!G2791</f>
        <v>0.16</v>
      </c>
      <c r="H2793" s="3">
        <f>[1]Raw_Data!H2791</f>
        <v>0</v>
      </c>
      <c r="I2793" s="3" t="str">
        <f>TRIM([1]Raw_Data!I2791)</f>
        <v>Canada</v>
      </c>
      <c r="J2793" s="3" t="str">
        <f>TRIM([1]Raw_Data!J2791)</f>
        <v>iHerb</v>
      </c>
      <c r="K2793" s="3">
        <f t="shared" si="172"/>
        <v>2023</v>
      </c>
      <c r="L2793" s="6">
        <f t="shared" si="173"/>
        <v>45047</v>
      </c>
      <c r="M2793" s="3" t="str">
        <f t="shared" si="174"/>
        <v>16% to 20%</v>
      </c>
      <c r="N2793" s="3" t="str">
        <f t="shared" si="175"/>
        <v>OK</v>
      </c>
    </row>
    <row r="2794" spans="1:14" x14ac:dyDescent="0.3">
      <c r="A2794" s="2">
        <f>DATE(VALUE(RIGHT(TRIM([1]Raw_Data!A2792),4)),VALUE(MID(TRIM([1]Raw_Data!A2792),4,2)),VALUE(LEFT(TRIM([1]Raw_Data!A2792),2)))</f>
        <v>45054</v>
      </c>
      <c r="B2794" s="3" t="str">
        <f>TRIM([1]Raw_Data!B2792)</f>
        <v>Creatine</v>
      </c>
      <c r="C2794" s="3" t="str">
        <f>TRIM([1]Raw_Data!C2792)</f>
        <v>Performance</v>
      </c>
      <c r="D2794" s="3">
        <f>[1]Raw_Data!D2792</f>
        <v>137</v>
      </c>
      <c r="E2794" s="4">
        <f>[1]Raw_Data!E2792</f>
        <v>42.07</v>
      </c>
      <c r="F2794" s="5">
        <f>[1]Raw_Data!F2792</f>
        <v>5763.59</v>
      </c>
      <c r="G2794" s="4">
        <f>[1]Raw_Data!G2792</f>
        <v>0.19</v>
      </c>
      <c r="H2794" s="3">
        <f>[1]Raw_Data!H2792</f>
        <v>1</v>
      </c>
      <c r="I2794" s="3" t="str">
        <f>TRIM([1]Raw_Data!I2792)</f>
        <v>UK</v>
      </c>
      <c r="J2794" s="3" t="str">
        <f>TRIM([1]Raw_Data!J2792)</f>
        <v>Amazon</v>
      </c>
      <c r="K2794" s="3">
        <f t="shared" si="172"/>
        <v>2023</v>
      </c>
      <c r="L2794" s="6">
        <f t="shared" si="173"/>
        <v>45047</v>
      </c>
      <c r="M2794" s="3" t="str">
        <f t="shared" si="174"/>
        <v>16% to 20%</v>
      </c>
      <c r="N2794" s="3" t="str">
        <f t="shared" si="175"/>
        <v>OK</v>
      </c>
    </row>
    <row r="2795" spans="1:14" x14ac:dyDescent="0.3">
      <c r="A2795" s="2">
        <f>DATE(VALUE(RIGHT(TRIM([1]Raw_Data!A2793),4)),VALUE(MID(TRIM([1]Raw_Data!A2793),4,2)),VALUE(LEFT(TRIM([1]Raw_Data!A2793),2)))</f>
        <v>45054</v>
      </c>
      <c r="B2795" s="3" t="str">
        <f>TRIM([1]Raw_Data!B2793)</f>
        <v>Zinc</v>
      </c>
      <c r="C2795" s="3" t="str">
        <f>TRIM([1]Raw_Data!C2793)</f>
        <v>Mineral</v>
      </c>
      <c r="D2795" s="3">
        <f>[1]Raw_Data!D2793</f>
        <v>158</v>
      </c>
      <c r="E2795" s="4">
        <f>[1]Raw_Data!E2793</f>
        <v>58.17</v>
      </c>
      <c r="F2795" s="5">
        <f>[1]Raw_Data!F2793</f>
        <v>9190.86</v>
      </c>
      <c r="G2795" s="4">
        <f>[1]Raw_Data!G2793</f>
        <v>0.05</v>
      </c>
      <c r="H2795" s="3">
        <f>[1]Raw_Data!H2793</f>
        <v>2</v>
      </c>
      <c r="I2795" s="3" t="str">
        <f>TRIM([1]Raw_Data!I2793)</f>
        <v>USA</v>
      </c>
      <c r="J2795" s="3" t="str">
        <f>TRIM([1]Raw_Data!J2793)</f>
        <v>Walmart</v>
      </c>
      <c r="K2795" s="3">
        <f t="shared" si="172"/>
        <v>2023</v>
      </c>
      <c r="L2795" s="6">
        <f t="shared" si="173"/>
        <v>45047</v>
      </c>
      <c r="M2795" s="3" t="str">
        <f t="shared" si="174"/>
        <v>0% to 5%</v>
      </c>
      <c r="N2795" s="3" t="str">
        <f t="shared" si="175"/>
        <v>OK</v>
      </c>
    </row>
    <row r="2796" spans="1:14" x14ac:dyDescent="0.3">
      <c r="A2796" s="2">
        <f>DATE(VALUE(RIGHT(TRIM([1]Raw_Data!A2794),4)),VALUE(MID(TRIM([1]Raw_Data!A2794),4,2)),VALUE(LEFT(TRIM([1]Raw_Data!A2794),2)))</f>
        <v>45054</v>
      </c>
      <c r="B2796" s="3" t="str">
        <f>TRIM([1]Raw_Data!B2794)</f>
        <v>Collagen Peptides</v>
      </c>
      <c r="C2796" s="3" t="str">
        <f>TRIM([1]Raw_Data!C2794)</f>
        <v>Protein</v>
      </c>
      <c r="D2796" s="3">
        <f>[1]Raw_Data!D2794</f>
        <v>138</v>
      </c>
      <c r="E2796" s="4">
        <f>[1]Raw_Data!E2794</f>
        <v>27.31</v>
      </c>
      <c r="F2796" s="5">
        <f>[1]Raw_Data!F2794</f>
        <v>3768.78</v>
      </c>
      <c r="G2796" s="4">
        <f>[1]Raw_Data!G2794</f>
        <v>0.13</v>
      </c>
      <c r="H2796" s="3">
        <f>[1]Raw_Data!H2794</f>
        <v>0</v>
      </c>
      <c r="I2796" s="3" t="str">
        <f>TRIM([1]Raw_Data!I2794)</f>
        <v>Canada</v>
      </c>
      <c r="J2796" s="3" t="str">
        <f>TRIM([1]Raw_Data!J2794)</f>
        <v>Walmart</v>
      </c>
      <c r="K2796" s="3">
        <f t="shared" si="172"/>
        <v>2023</v>
      </c>
      <c r="L2796" s="6">
        <f t="shared" si="173"/>
        <v>45047</v>
      </c>
      <c r="M2796" s="3" t="str">
        <f t="shared" si="174"/>
        <v>11% to 15%</v>
      </c>
      <c r="N2796" s="3" t="str">
        <f t="shared" si="175"/>
        <v>OK</v>
      </c>
    </row>
    <row r="2797" spans="1:14" x14ac:dyDescent="0.3">
      <c r="A2797" s="2">
        <f>DATE(VALUE(RIGHT(TRIM([1]Raw_Data!A2795),4)),VALUE(MID(TRIM([1]Raw_Data!A2795),4,2)),VALUE(LEFT(TRIM([1]Raw_Data!A2795),2)))</f>
        <v>45054</v>
      </c>
      <c r="B2797" s="3" t="str">
        <f>TRIM([1]Raw_Data!B2795)</f>
        <v>Magnesium</v>
      </c>
      <c r="C2797" s="3" t="str">
        <f>TRIM([1]Raw_Data!C2795)</f>
        <v>Mineral</v>
      </c>
      <c r="D2797" s="3">
        <f>[1]Raw_Data!D2795</f>
        <v>122</v>
      </c>
      <c r="E2797" s="4">
        <f>[1]Raw_Data!E2795</f>
        <v>26.79</v>
      </c>
      <c r="F2797" s="5">
        <f>[1]Raw_Data!F2795</f>
        <v>3268.38</v>
      </c>
      <c r="G2797" s="4">
        <f>[1]Raw_Data!G2795</f>
        <v>0.05</v>
      </c>
      <c r="H2797" s="3">
        <f>[1]Raw_Data!H2795</f>
        <v>1</v>
      </c>
      <c r="I2797" s="3" t="str">
        <f>TRIM([1]Raw_Data!I2795)</f>
        <v>Canada</v>
      </c>
      <c r="J2797" s="3" t="str">
        <f>TRIM([1]Raw_Data!J2795)</f>
        <v>Walmart</v>
      </c>
      <c r="K2797" s="3">
        <f t="shared" si="172"/>
        <v>2023</v>
      </c>
      <c r="L2797" s="6">
        <f t="shared" si="173"/>
        <v>45047</v>
      </c>
      <c r="M2797" s="3" t="str">
        <f t="shared" si="174"/>
        <v>0% to 5%</v>
      </c>
      <c r="N2797" s="3" t="str">
        <f t="shared" si="175"/>
        <v>OK</v>
      </c>
    </row>
    <row r="2798" spans="1:14" x14ac:dyDescent="0.3">
      <c r="A2798" s="2">
        <f>DATE(VALUE(RIGHT(TRIM([1]Raw_Data!A2796),4)),VALUE(MID(TRIM([1]Raw_Data!A2796),4,2)),VALUE(LEFT(TRIM([1]Raw_Data!A2796),2)))</f>
        <v>45054</v>
      </c>
      <c r="B2798" s="3" t="str">
        <f>TRIM([1]Raw_Data!B2796)</f>
        <v>Ashwagandha</v>
      </c>
      <c r="C2798" s="3" t="str">
        <f>TRIM([1]Raw_Data!C2796)</f>
        <v>Herbal</v>
      </c>
      <c r="D2798" s="3">
        <f>[1]Raw_Data!D2796</f>
        <v>153</v>
      </c>
      <c r="E2798" s="4">
        <f>[1]Raw_Data!E2796</f>
        <v>31.16</v>
      </c>
      <c r="F2798" s="5">
        <f>[1]Raw_Data!F2796</f>
        <v>4767.4799999999996</v>
      </c>
      <c r="G2798" s="4">
        <f>[1]Raw_Data!G2796</f>
        <v>0.23</v>
      </c>
      <c r="H2798" s="3">
        <f>[1]Raw_Data!H2796</f>
        <v>1</v>
      </c>
      <c r="I2798" s="3" t="str">
        <f>TRIM([1]Raw_Data!I2796)</f>
        <v>Canada</v>
      </c>
      <c r="J2798" s="3" t="str">
        <f>TRIM([1]Raw_Data!J2796)</f>
        <v>iHerb</v>
      </c>
      <c r="K2798" s="3">
        <f t="shared" si="172"/>
        <v>2023</v>
      </c>
      <c r="L2798" s="6">
        <f t="shared" si="173"/>
        <v>45047</v>
      </c>
      <c r="M2798" s="3" t="str">
        <f t="shared" si="174"/>
        <v>21% to 25%</v>
      </c>
      <c r="N2798" s="3" t="str">
        <f t="shared" si="175"/>
        <v>OK</v>
      </c>
    </row>
    <row r="2799" spans="1:14" x14ac:dyDescent="0.3">
      <c r="A2799" s="2">
        <f>DATE(VALUE(RIGHT(TRIM([1]Raw_Data!A2797),4)),VALUE(MID(TRIM([1]Raw_Data!A2797),4,2)),VALUE(LEFT(TRIM([1]Raw_Data!A2797),2)))</f>
        <v>45054</v>
      </c>
      <c r="B2799" s="3" t="str">
        <f>TRIM([1]Raw_Data!B2797)</f>
        <v>Melatonin</v>
      </c>
      <c r="C2799" s="3" t="str">
        <f>TRIM([1]Raw_Data!C2797)</f>
        <v>Sleep Aid</v>
      </c>
      <c r="D2799" s="3">
        <f>[1]Raw_Data!D2797</f>
        <v>153</v>
      </c>
      <c r="E2799" s="4">
        <f>[1]Raw_Data!E2797</f>
        <v>46.66</v>
      </c>
      <c r="F2799" s="5">
        <f>[1]Raw_Data!F2797</f>
        <v>7138.98</v>
      </c>
      <c r="G2799" s="4">
        <f>[1]Raw_Data!G2797</f>
        <v>0.14000000000000001</v>
      </c>
      <c r="H2799" s="3">
        <f>[1]Raw_Data!H2797</f>
        <v>1</v>
      </c>
      <c r="I2799" s="3" t="str">
        <f>TRIM([1]Raw_Data!I2797)</f>
        <v>UK</v>
      </c>
      <c r="J2799" s="3" t="str">
        <f>TRIM([1]Raw_Data!J2797)</f>
        <v>Walmart</v>
      </c>
      <c r="K2799" s="3">
        <f t="shared" si="172"/>
        <v>2023</v>
      </c>
      <c r="L2799" s="6">
        <f t="shared" si="173"/>
        <v>45047</v>
      </c>
      <c r="M2799" s="3" t="str">
        <f t="shared" si="174"/>
        <v>11% to 15%</v>
      </c>
      <c r="N2799" s="3" t="str">
        <f t="shared" si="175"/>
        <v>OK</v>
      </c>
    </row>
    <row r="2800" spans="1:14" x14ac:dyDescent="0.3">
      <c r="A2800" s="2">
        <f>DATE(VALUE(RIGHT(TRIM([1]Raw_Data!A2798),4)),VALUE(MID(TRIM([1]Raw_Data!A2798),4,2)),VALUE(LEFT(TRIM([1]Raw_Data!A2798),2)))</f>
        <v>45054</v>
      </c>
      <c r="B2800" s="3" t="str">
        <f>TRIM([1]Raw_Data!B2798)</f>
        <v>Biotin</v>
      </c>
      <c r="C2800" s="3" t="str">
        <f>TRIM([1]Raw_Data!C2798)</f>
        <v>Vitamin</v>
      </c>
      <c r="D2800" s="3">
        <f>[1]Raw_Data!D2798</f>
        <v>135</v>
      </c>
      <c r="E2800" s="4">
        <f>[1]Raw_Data!E2798</f>
        <v>34.46</v>
      </c>
      <c r="F2800" s="5">
        <f>[1]Raw_Data!F2798</f>
        <v>4652.1000000000004</v>
      </c>
      <c r="G2800" s="4">
        <f>[1]Raw_Data!G2798</f>
        <v>0.02</v>
      </c>
      <c r="H2800" s="3">
        <f>[1]Raw_Data!H2798</f>
        <v>1</v>
      </c>
      <c r="I2800" s="3" t="str">
        <f>TRIM([1]Raw_Data!I2798)</f>
        <v>USA</v>
      </c>
      <c r="J2800" s="3" t="str">
        <f>TRIM([1]Raw_Data!J2798)</f>
        <v>Walmart</v>
      </c>
      <c r="K2800" s="3">
        <f t="shared" si="172"/>
        <v>2023</v>
      </c>
      <c r="L2800" s="6">
        <f t="shared" si="173"/>
        <v>45047</v>
      </c>
      <c r="M2800" s="3" t="str">
        <f t="shared" si="174"/>
        <v>0% to 5%</v>
      </c>
      <c r="N2800" s="3" t="str">
        <f t="shared" si="175"/>
        <v>OK</v>
      </c>
    </row>
    <row r="2801" spans="1:14" x14ac:dyDescent="0.3">
      <c r="A2801" s="2">
        <f>DATE(VALUE(RIGHT(TRIM([1]Raw_Data!A2799),4)),VALUE(MID(TRIM([1]Raw_Data!A2799),4,2)),VALUE(LEFT(TRIM([1]Raw_Data!A2799),2)))</f>
        <v>45054</v>
      </c>
      <c r="B2801" s="3" t="str">
        <f>TRIM([1]Raw_Data!B2799)</f>
        <v>Green Tea Extract</v>
      </c>
      <c r="C2801" s="3" t="str">
        <f>TRIM([1]Raw_Data!C2799)</f>
        <v>Fat Burner</v>
      </c>
      <c r="D2801" s="3">
        <f>[1]Raw_Data!D2799</f>
        <v>150</v>
      </c>
      <c r="E2801" s="4">
        <f>[1]Raw_Data!E2799</f>
        <v>13.81</v>
      </c>
      <c r="F2801" s="5">
        <f>[1]Raw_Data!F2799</f>
        <v>2071.5</v>
      </c>
      <c r="G2801" s="4">
        <f>[1]Raw_Data!G2799</f>
        <v>0.09</v>
      </c>
      <c r="H2801" s="3">
        <f>[1]Raw_Data!H2799</f>
        <v>3</v>
      </c>
      <c r="I2801" s="3" t="str">
        <f>TRIM([1]Raw_Data!I2799)</f>
        <v>Canada</v>
      </c>
      <c r="J2801" s="3" t="str">
        <f>TRIM([1]Raw_Data!J2799)</f>
        <v>Amazon</v>
      </c>
      <c r="K2801" s="3">
        <f t="shared" si="172"/>
        <v>2023</v>
      </c>
      <c r="L2801" s="6">
        <f t="shared" si="173"/>
        <v>45047</v>
      </c>
      <c r="M2801" s="3" t="str">
        <f t="shared" si="174"/>
        <v>6% to 10%</v>
      </c>
      <c r="N2801" s="3" t="str">
        <f t="shared" si="175"/>
        <v>OK</v>
      </c>
    </row>
    <row r="2802" spans="1:14" x14ac:dyDescent="0.3">
      <c r="A2802" s="2">
        <f>DATE(VALUE(RIGHT(TRIM([1]Raw_Data!A2800),4)),VALUE(MID(TRIM([1]Raw_Data!A2800),4,2)),VALUE(LEFT(TRIM([1]Raw_Data!A2800),2)))</f>
        <v>45054</v>
      </c>
      <c r="B2802" s="3" t="str">
        <f>TRIM([1]Raw_Data!B2800)</f>
        <v>Iron Supplement</v>
      </c>
      <c r="C2802" s="3" t="str">
        <f>TRIM([1]Raw_Data!C2800)</f>
        <v>Mineral</v>
      </c>
      <c r="D2802" s="3">
        <f>[1]Raw_Data!D2800</f>
        <v>155</v>
      </c>
      <c r="E2802" s="4">
        <f>[1]Raw_Data!E2800</f>
        <v>52.27</v>
      </c>
      <c r="F2802" s="5">
        <f>[1]Raw_Data!F2800</f>
        <v>8101.85</v>
      </c>
      <c r="G2802" s="4">
        <f>[1]Raw_Data!G2800</f>
        <v>0.12</v>
      </c>
      <c r="H2802" s="3">
        <f>[1]Raw_Data!H2800</f>
        <v>1</v>
      </c>
      <c r="I2802" s="3" t="str">
        <f>TRIM([1]Raw_Data!I2800)</f>
        <v>USA</v>
      </c>
      <c r="J2802" s="3" t="str">
        <f>TRIM([1]Raw_Data!J2800)</f>
        <v>Walmart</v>
      </c>
      <c r="K2802" s="3">
        <f t="shared" si="172"/>
        <v>2023</v>
      </c>
      <c r="L2802" s="6">
        <f t="shared" si="173"/>
        <v>45047</v>
      </c>
      <c r="M2802" s="3" t="str">
        <f t="shared" si="174"/>
        <v>11% to 15%</v>
      </c>
      <c r="N2802" s="3" t="str">
        <f t="shared" si="175"/>
        <v>OK</v>
      </c>
    </row>
    <row r="2803" spans="1:14" x14ac:dyDescent="0.3">
      <c r="A2803" s="2">
        <f>DATE(VALUE(RIGHT(TRIM([1]Raw_Data!A2801),4)),VALUE(MID(TRIM([1]Raw_Data!A2801),4,2)),VALUE(LEFT(TRIM([1]Raw_Data!A2801),2)))</f>
        <v>45054</v>
      </c>
      <c r="B2803" s="3" t="str">
        <f>TRIM([1]Raw_Data!B2801)</f>
        <v>Electrolyte Powder</v>
      </c>
      <c r="C2803" s="3" t="str">
        <f>TRIM([1]Raw_Data!C2801)</f>
        <v>Hydration</v>
      </c>
      <c r="D2803" s="3">
        <f>[1]Raw_Data!D2801</f>
        <v>145</v>
      </c>
      <c r="E2803" s="4">
        <f>[1]Raw_Data!E2801</f>
        <v>26.28</v>
      </c>
      <c r="F2803" s="5">
        <f>[1]Raw_Data!F2801</f>
        <v>3810.6</v>
      </c>
      <c r="G2803" s="4">
        <f>[1]Raw_Data!G2801</f>
        <v>0.01</v>
      </c>
      <c r="H2803" s="3">
        <f>[1]Raw_Data!H2801</f>
        <v>0</v>
      </c>
      <c r="I2803" s="3" t="str">
        <f>TRIM([1]Raw_Data!I2801)</f>
        <v>USA</v>
      </c>
      <c r="J2803" s="3" t="str">
        <f>TRIM([1]Raw_Data!J2801)</f>
        <v>Amazon</v>
      </c>
      <c r="K2803" s="3">
        <f t="shared" si="172"/>
        <v>2023</v>
      </c>
      <c r="L2803" s="6">
        <f t="shared" si="173"/>
        <v>45047</v>
      </c>
      <c r="M2803" s="3" t="str">
        <f t="shared" si="174"/>
        <v>0% to 5%</v>
      </c>
      <c r="N2803" s="3" t="str">
        <f t="shared" si="175"/>
        <v>OK</v>
      </c>
    </row>
    <row r="2804" spans="1:14" x14ac:dyDescent="0.3">
      <c r="A2804" s="2">
        <f>DATE(VALUE(RIGHT(TRIM([1]Raw_Data!A2802),4)),VALUE(MID(TRIM([1]Raw_Data!A2802),4,2)),VALUE(LEFT(TRIM([1]Raw_Data!A2802),2)))</f>
        <v>45061</v>
      </c>
      <c r="B2804" s="3" t="str">
        <f>TRIM([1]Raw_Data!B2802)</f>
        <v>Whey Protein</v>
      </c>
      <c r="C2804" s="3" t="str">
        <f>TRIM([1]Raw_Data!C2802)</f>
        <v>Protein</v>
      </c>
      <c r="D2804" s="3">
        <f>[1]Raw_Data!D2802</f>
        <v>146</v>
      </c>
      <c r="E2804" s="4">
        <f>[1]Raw_Data!E2802</f>
        <v>53.57</v>
      </c>
      <c r="F2804" s="5">
        <f>[1]Raw_Data!F2802</f>
        <v>7821.22</v>
      </c>
      <c r="G2804" s="4">
        <f>[1]Raw_Data!G2802</f>
        <v>0.13</v>
      </c>
      <c r="H2804" s="3">
        <f>[1]Raw_Data!H2802</f>
        <v>1</v>
      </c>
      <c r="I2804" s="3" t="str">
        <f>TRIM([1]Raw_Data!I2802)</f>
        <v>Canada</v>
      </c>
      <c r="J2804" s="3" t="str">
        <f>TRIM([1]Raw_Data!J2802)</f>
        <v>Walmart</v>
      </c>
      <c r="K2804" s="3">
        <f t="shared" si="172"/>
        <v>2023</v>
      </c>
      <c r="L2804" s="6">
        <f t="shared" si="173"/>
        <v>45047</v>
      </c>
      <c r="M2804" s="3" t="str">
        <f t="shared" si="174"/>
        <v>11% to 15%</v>
      </c>
      <c r="N2804" s="3" t="str">
        <f t="shared" si="175"/>
        <v>OK</v>
      </c>
    </row>
    <row r="2805" spans="1:14" x14ac:dyDescent="0.3">
      <c r="A2805" s="2">
        <f>DATE(VALUE(RIGHT(TRIM([1]Raw_Data!A2803),4)),VALUE(MID(TRIM([1]Raw_Data!A2803),4,2)),VALUE(LEFT(TRIM([1]Raw_Data!A2803),2)))</f>
        <v>45061</v>
      </c>
      <c r="B2805" s="3" t="str">
        <f>TRIM([1]Raw_Data!B2803)</f>
        <v>Vitamin C</v>
      </c>
      <c r="C2805" s="3" t="str">
        <f>TRIM([1]Raw_Data!C2803)</f>
        <v>Vitamin</v>
      </c>
      <c r="D2805" s="3">
        <f>[1]Raw_Data!D2803</f>
        <v>135</v>
      </c>
      <c r="E2805" s="4">
        <f>[1]Raw_Data!E2803</f>
        <v>42.17</v>
      </c>
      <c r="F2805" s="5">
        <f>[1]Raw_Data!F2803</f>
        <v>5692.95</v>
      </c>
      <c r="G2805" s="4">
        <f>[1]Raw_Data!G2803</f>
        <v>0.06</v>
      </c>
      <c r="H2805" s="3">
        <f>[1]Raw_Data!H2803</f>
        <v>0</v>
      </c>
      <c r="I2805" s="3" t="str">
        <f>TRIM([1]Raw_Data!I2803)</f>
        <v>USA</v>
      </c>
      <c r="J2805" s="3" t="str">
        <f>TRIM([1]Raw_Data!J2803)</f>
        <v>iHerb</v>
      </c>
      <c r="K2805" s="3">
        <f t="shared" si="172"/>
        <v>2023</v>
      </c>
      <c r="L2805" s="6">
        <f t="shared" si="173"/>
        <v>45047</v>
      </c>
      <c r="M2805" s="3" t="str">
        <f t="shared" si="174"/>
        <v>6% to 10%</v>
      </c>
      <c r="N2805" s="3" t="str">
        <f t="shared" si="175"/>
        <v>OK</v>
      </c>
    </row>
    <row r="2806" spans="1:14" x14ac:dyDescent="0.3">
      <c r="A2806" s="2">
        <f>DATE(VALUE(RIGHT(TRIM([1]Raw_Data!A2804),4)),VALUE(MID(TRIM([1]Raw_Data!A2804),4,2)),VALUE(LEFT(TRIM([1]Raw_Data!A2804),2)))</f>
        <v>45061</v>
      </c>
      <c r="B2806" s="3" t="str">
        <f>TRIM([1]Raw_Data!B2804)</f>
        <v>Fish Oil</v>
      </c>
      <c r="C2806" s="3" t="str">
        <f>TRIM([1]Raw_Data!C2804)</f>
        <v>Omega</v>
      </c>
      <c r="D2806" s="3">
        <f>[1]Raw_Data!D2804</f>
        <v>155</v>
      </c>
      <c r="E2806" s="4">
        <f>[1]Raw_Data!E2804</f>
        <v>45.92</v>
      </c>
      <c r="F2806" s="5">
        <f>[1]Raw_Data!F2804</f>
        <v>7117.6</v>
      </c>
      <c r="G2806" s="4">
        <f>[1]Raw_Data!G2804</f>
        <v>0.09</v>
      </c>
      <c r="H2806" s="3">
        <f>[1]Raw_Data!H2804</f>
        <v>2</v>
      </c>
      <c r="I2806" s="3" t="str">
        <f>TRIM([1]Raw_Data!I2804)</f>
        <v>UK</v>
      </c>
      <c r="J2806" s="3" t="str">
        <f>TRIM([1]Raw_Data!J2804)</f>
        <v>Amazon</v>
      </c>
      <c r="K2806" s="3">
        <f t="shared" si="172"/>
        <v>2023</v>
      </c>
      <c r="L2806" s="6">
        <f t="shared" si="173"/>
        <v>45047</v>
      </c>
      <c r="M2806" s="3" t="str">
        <f t="shared" si="174"/>
        <v>6% to 10%</v>
      </c>
      <c r="N2806" s="3" t="str">
        <f t="shared" si="175"/>
        <v>OK</v>
      </c>
    </row>
    <row r="2807" spans="1:14" x14ac:dyDescent="0.3">
      <c r="A2807" s="2">
        <f>DATE(VALUE(RIGHT(TRIM([1]Raw_Data!A2805),4)),VALUE(MID(TRIM([1]Raw_Data!A2805),4,2)),VALUE(LEFT(TRIM([1]Raw_Data!A2805),2)))</f>
        <v>45061</v>
      </c>
      <c r="B2807" s="3" t="str">
        <f>TRIM([1]Raw_Data!B2805)</f>
        <v>Multivitamin</v>
      </c>
      <c r="C2807" s="3" t="str">
        <f>TRIM([1]Raw_Data!C2805)</f>
        <v>Vitamin</v>
      </c>
      <c r="D2807" s="3">
        <f>[1]Raw_Data!D2805</f>
        <v>159</v>
      </c>
      <c r="E2807" s="4">
        <f>[1]Raw_Data!E2805</f>
        <v>31.16</v>
      </c>
      <c r="F2807" s="5">
        <f>[1]Raw_Data!F2805</f>
        <v>4954.4399999999996</v>
      </c>
      <c r="G2807" s="4">
        <f>[1]Raw_Data!G2805</f>
        <v>0.15</v>
      </c>
      <c r="H2807" s="3">
        <f>[1]Raw_Data!H2805</f>
        <v>1</v>
      </c>
      <c r="I2807" s="3" t="str">
        <f>TRIM([1]Raw_Data!I2805)</f>
        <v>USA</v>
      </c>
      <c r="J2807" s="3" t="str">
        <f>TRIM([1]Raw_Data!J2805)</f>
        <v>Walmart</v>
      </c>
      <c r="K2807" s="3">
        <f t="shared" si="172"/>
        <v>2023</v>
      </c>
      <c r="L2807" s="6">
        <f t="shared" si="173"/>
        <v>45047</v>
      </c>
      <c r="M2807" s="3" t="str">
        <f t="shared" si="174"/>
        <v>11% to 15%</v>
      </c>
      <c r="N2807" s="3" t="str">
        <f t="shared" si="175"/>
        <v>OK</v>
      </c>
    </row>
    <row r="2808" spans="1:14" x14ac:dyDescent="0.3">
      <c r="A2808" s="2">
        <f>DATE(VALUE(RIGHT(TRIM([1]Raw_Data!A2806),4)),VALUE(MID(TRIM([1]Raw_Data!A2806),4,2)),VALUE(LEFT(TRIM([1]Raw_Data!A2806),2)))</f>
        <v>45061</v>
      </c>
      <c r="B2808" s="3" t="str">
        <f>TRIM([1]Raw_Data!B2806)</f>
        <v>Pre-Workout</v>
      </c>
      <c r="C2808" s="3" t="str">
        <f>TRIM([1]Raw_Data!C2806)</f>
        <v>Performance</v>
      </c>
      <c r="D2808" s="3">
        <f>[1]Raw_Data!D2806</f>
        <v>173</v>
      </c>
      <c r="E2808" s="4">
        <f>[1]Raw_Data!E2806</f>
        <v>14.2</v>
      </c>
      <c r="F2808" s="5">
        <f>[1]Raw_Data!F2806</f>
        <v>2456.6</v>
      </c>
      <c r="G2808" s="4">
        <f>[1]Raw_Data!G2806</f>
        <v>0.22</v>
      </c>
      <c r="H2808" s="3">
        <f>[1]Raw_Data!H2806</f>
        <v>1</v>
      </c>
      <c r="I2808" s="3" t="str">
        <f>TRIM([1]Raw_Data!I2806)</f>
        <v>USA</v>
      </c>
      <c r="J2808" s="3" t="str">
        <f>TRIM([1]Raw_Data!J2806)</f>
        <v>iHerb</v>
      </c>
      <c r="K2808" s="3">
        <f t="shared" si="172"/>
        <v>2023</v>
      </c>
      <c r="L2808" s="6">
        <f t="shared" si="173"/>
        <v>45047</v>
      </c>
      <c r="M2808" s="3" t="str">
        <f t="shared" si="174"/>
        <v>21% to 25%</v>
      </c>
      <c r="N2808" s="3" t="str">
        <f t="shared" si="175"/>
        <v>OK</v>
      </c>
    </row>
    <row r="2809" spans="1:14" x14ac:dyDescent="0.3">
      <c r="A2809" s="2">
        <f>DATE(VALUE(RIGHT(TRIM([1]Raw_Data!A2807),4)),VALUE(MID(TRIM([1]Raw_Data!A2807),4,2)),VALUE(LEFT(TRIM([1]Raw_Data!A2807),2)))</f>
        <v>45061</v>
      </c>
      <c r="B2809" s="3" t="str">
        <f>TRIM([1]Raw_Data!B2807)</f>
        <v>BCAA</v>
      </c>
      <c r="C2809" s="3" t="str">
        <f>TRIM([1]Raw_Data!C2807)</f>
        <v>Amino Acid</v>
      </c>
      <c r="D2809" s="3">
        <f>[1]Raw_Data!D2807</f>
        <v>140</v>
      </c>
      <c r="E2809" s="4">
        <f>[1]Raw_Data!E2807</f>
        <v>38.86</v>
      </c>
      <c r="F2809" s="5">
        <f>[1]Raw_Data!F2807</f>
        <v>5440.4</v>
      </c>
      <c r="G2809" s="4">
        <f>[1]Raw_Data!G2807</f>
        <v>0.14000000000000001</v>
      </c>
      <c r="H2809" s="3">
        <f>[1]Raw_Data!H2807</f>
        <v>1</v>
      </c>
      <c r="I2809" s="3" t="str">
        <f>TRIM([1]Raw_Data!I2807)</f>
        <v>Canada</v>
      </c>
      <c r="J2809" s="3" t="str">
        <f>TRIM([1]Raw_Data!J2807)</f>
        <v>iHerb</v>
      </c>
      <c r="K2809" s="3">
        <f t="shared" si="172"/>
        <v>2023</v>
      </c>
      <c r="L2809" s="6">
        <f t="shared" si="173"/>
        <v>45047</v>
      </c>
      <c r="M2809" s="3" t="str">
        <f t="shared" si="174"/>
        <v>11% to 15%</v>
      </c>
      <c r="N2809" s="3" t="str">
        <f t="shared" si="175"/>
        <v>OK</v>
      </c>
    </row>
    <row r="2810" spans="1:14" x14ac:dyDescent="0.3">
      <c r="A2810" s="2">
        <f>DATE(VALUE(RIGHT(TRIM([1]Raw_Data!A2808),4)),VALUE(MID(TRIM([1]Raw_Data!A2808),4,2)),VALUE(LEFT(TRIM([1]Raw_Data!A2808),2)))</f>
        <v>45061</v>
      </c>
      <c r="B2810" s="3" t="str">
        <f>TRIM([1]Raw_Data!B2808)</f>
        <v>Creatine</v>
      </c>
      <c r="C2810" s="3" t="str">
        <f>TRIM([1]Raw_Data!C2808)</f>
        <v>Performance</v>
      </c>
      <c r="D2810" s="3">
        <f>[1]Raw_Data!D2808</f>
        <v>158</v>
      </c>
      <c r="E2810" s="4">
        <f>[1]Raw_Data!E2808</f>
        <v>49.1</v>
      </c>
      <c r="F2810" s="5">
        <f>[1]Raw_Data!F2808</f>
        <v>7757.8</v>
      </c>
      <c r="G2810" s="4">
        <f>[1]Raw_Data!G2808</f>
        <v>0.04</v>
      </c>
      <c r="H2810" s="3">
        <f>[1]Raw_Data!H2808</f>
        <v>2</v>
      </c>
      <c r="I2810" s="3" t="str">
        <f>TRIM([1]Raw_Data!I2808)</f>
        <v>Canada</v>
      </c>
      <c r="J2810" s="3" t="str">
        <f>TRIM([1]Raw_Data!J2808)</f>
        <v>Amazon</v>
      </c>
      <c r="K2810" s="3">
        <f t="shared" si="172"/>
        <v>2023</v>
      </c>
      <c r="L2810" s="6">
        <f t="shared" si="173"/>
        <v>45047</v>
      </c>
      <c r="M2810" s="3" t="str">
        <f t="shared" si="174"/>
        <v>0% to 5%</v>
      </c>
      <c r="N2810" s="3" t="str">
        <f t="shared" si="175"/>
        <v>OK</v>
      </c>
    </row>
    <row r="2811" spans="1:14" x14ac:dyDescent="0.3">
      <c r="A2811" s="2">
        <f>DATE(VALUE(RIGHT(TRIM([1]Raw_Data!A2809),4)),VALUE(MID(TRIM([1]Raw_Data!A2809),4,2)),VALUE(LEFT(TRIM([1]Raw_Data!A2809),2)))</f>
        <v>45061</v>
      </c>
      <c r="B2811" s="3" t="str">
        <f>TRIM([1]Raw_Data!B2809)</f>
        <v>Zinc</v>
      </c>
      <c r="C2811" s="3" t="str">
        <f>TRIM([1]Raw_Data!C2809)</f>
        <v>Mineral</v>
      </c>
      <c r="D2811" s="3">
        <f>[1]Raw_Data!D2809</f>
        <v>156</v>
      </c>
      <c r="E2811" s="4">
        <f>[1]Raw_Data!E2809</f>
        <v>34.08</v>
      </c>
      <c r="F2811" s="5">
        <f>[1]Raw_Data!F2809</f>
        <v>5316.48</v>
      </c>
      <c r="G2811" s="4">
        <f>[1]Raw_Data!G2809</f>
        <v>0.17</v>
      </c>
      <c r="H2811" s="3">
        <f>[1]Raw_Data!H2809</f>
        <v>0</v>
      </c>
      <c r="I2811" s="3" t="str">
        <f>TRIM([1]Raw_Data!I2809)</f>
        <v>UK</v>
      </c>
      <c r="J2811" s="3" t="str">
        <f>TRIM([1]Raw_Data!J2809)</f>
        <v>Amazon</v>
      </c>
      <c r="K2811" s="3">
        <f t="shared" si="172"/>
        <v>2023</v>
      </c>
      <c r="L2811" s="6">
        <f t="shared" si="173"/>
        <v>45047</v>
      </c>
      <c r="M2811" s="3" t="str">
        <f t="shared" si="174"/>
        <v>16% to 20%</v>
      </c>
      <c r="N2811" s="3" t="str">
        <f t="shared" si="175"/>
        <v>OK</v>
      </c>
    </row>
    <row r="2812" spans="1:14" x14ac:dyDescent="0.3">
      <c r="A2812" s="2">
        <f>DATE(VALUE(RIGHT(TRIM([1]Raw_Data!A2810),4)),VALUE(MID(TRIM([1]Raw_Data!A2810),4,2)),VALUE(LEFT(TRIM([1]Raw_Data!A2810),2)))</f>
        <v>45061</v>
      </c>
      <c r="B2812" s="3" t="str">
        <f>TRIM([1]Raw_Data!B2810)</f>
        <v>Collagen Peptides</v>
      </c>
      <c r="C2812" s="3" t="str">
        <f>TRIM([1]Raw_Data!C2810)</f>
        <v>Protein</v>
      </c>
      <c r="D2812" s="3">
        <f>[1]Raw_Data!D2810</f>
        <v>165</v>
      </c>
      <c r="E2812" s="4">
        <f>[1]Raw_Data!E2810</f>
        <v>17.440000000000001</v>
      </c>
      <c r="F2812" s="5">
        <f>[1]Raw_Data!F2810</f>
        <v>2877.6</v>
      </c>
      <c r="G2812" s="4">
        <f>[1]Raw_Data!G2810</f>
        <v>0.14000000000000001</v>
      </c>
      <c r="H2812" s="3">
        <f>[1]Raw_Data!H2810</f>
        <v>2</v>
      </c>
      <c r="I2812" s="3" t="str">
        <f>TRIM([1]Raw_Data!I2810)</f>
        <v>UK</v>
      </c>
      <c r="J2812" s="3" t="str">
        <f>TRIM([1]Raw_Data!J2810)</f>
        <v>Amazon</v>
      </c>
      <c r="K2812" s="3">
        <f t="shared" si="172"/>
        <v>2023</v>
      </c>
      <c r="L2812" s="6">
        <f t="shared" si="173"/>
        <v>45047</v>
      </c>
      <c r="M2812" s="3" t="str">
        <f t="shared" si="174"/>
        <v>11% to 15%</v>
      </c>
      <c r="N2812" s="3" t="str">
        <f t="shared" si="175"/>
        <v>OK</v>
      </c>
    </row>
    <row r="2813" spans="1:14" x14ac:dyDescent="0.3">
      <c r="A2813" s="2">
        <f>DATE(VALUE(RIGHT(TRIM([1]Raw_Data!A2811),4)),VALUE(MID(TRIM([1]Raw_Data!A2811),4,2)),VALUE(LEFT(TRIM([1]Raw_Data!A2811),2)))</f>
        <v>45061</v>
      </c>
      <c r="B2813" s="3" t="str">
        <f>TRIM([1]Raw_Data!B2811)</f>
        <v>Magnesium</v>
      </c>
      <c r="C2813" s="3" t="str">
        <f>TRIM([1]Raw_Data!C2811)</f>
        <v>Mineral</v>
      </c>
      <c r="D2813" s="3">
        <f>[1]Raw_Data!D2811</f>
        <v>149</v>
      </c>
      <c r="E2813" s="4">
        <f>[1]Raw_Data!E2811</f>
        <v>26.42</v>
      </c>
      <c r="F2813" s="5">
        <f>[1]Raw_Data!F2811</f>
        <v>3936.58</v>
      </c>
      <c r="G2813" s="4">
        <f>[1]Raw_Data!G2811</f>
        <v>0.12</v>
      </c>
      <c r="H2813" s="3">
        <f>[1]Raw_Data!H2811</f>
        <v>3</v>
      </c>
      <c r="I2813" s="3" t="str">
        <f>TRIM([1]Raw_Data!I2811)</f>
        <v>UK</v>
      </c>
      <c r="J2813" s="3" t="str">
        <f>TRIM([1]Raw_Data!J2811)</f>
        <v>Amazon</v>
      </c>
      <c r="K2813" s="3">
        <f t="shared" si="172"/>
        <v>2023</v>
      </c>
      <c r="L2813" s="6">
        <f t="shared" si="173"/>
        <v>45047</v>
      </c>
      <c r="M2813" s="3" t="str">
        <f t="shared" si="174"/>
        <v>11% to 15%</v>
      </c>
      <c r="N2813" s="3" t="str">
        <f t="shared" si="175"/>
        <v>OK</v>
      </c>
    </row>
    <row r="2814" spans="1:14" x14ac:dyDescent="0.3">
      <c r="A2814" s="2">
        <f>DATE(VALUE(RIGHT(TRIM([1]Raw_Data!A2812),4)),VALUE(MID(TRIM([1]Raw_Data!A2812),4,2)),VALUE(LEFT(TRIM([1]Raw_Data!A2812),2)))</f>
        <v>45061</v>
      </c>
      <c r="B2814" s="3" t="str">
        <f>TRIM([1]Raw_Data!B2812)</f>
        <v>Ashwagandha</v>
      </c>
      <c r="C2814" s="3" t="str">
        <f>TRIM([1]Raw_Data!C2812)</f>
        <v>Herbal</v>
      </c>
      <c r="D2814" s="3">
        <f>[1]Raw_Data!D2812</f>
        <v>141</v>
      </c>
      <c r="E2814" s="4">
        <f>[1]Raw_Data!E2812</f>
        <v>24.88</v>
      </c>
      <c r="F2814" s="5">
        <f>[1]Raw_Data!F2812</f>
        <v>3508.08</v>
      </c>
      <c r="G2814" s="4">
        <f>[1]Raw_Data!G2812</f>
        <v>0.11</v>
      </c>
      <c r="H2814" s="3">
        <f>[1]Raw_Data!H2812</f>
        <v>1</v>
      </c>
      <c r="I2814" s="3" t="str">
        <f>TRIM([1]Raw_Data!I2812)</f>
        <v>USA</v>
      </c>
      <c r="J2814" s="3" t="str">
        <f>TRIM([1]Raw_Data!J2812)</f>
        <v>iHerb</v>
      </c>
      <c r="K2814" s="3">
        <f t="shared" si="172"/>
        <v>2023</v>
      </c>
      <c r="L2814" s="6">
        <f t="shared" si="173"/>
        <v>45047</v>
      </c>
      <c r="M2814" s="3" t="str">
        <f t="shared" si="174"/>
        <v>11% to 15%</v>
      </c>
      <c r="N2814" s="3" t="str">
        <f t="shared" si="175"/>
        <v>OK</v>
      </c>
    </row>
    <row r="2815" spans="1:14" x14ac:dyDescent="0.3">
      <c r="A2815" s="2">
        <f>DATE(VALUE(RIGHT(TRIM([1]Raw_Data!A2813),4)),VALUE(MID(TRIM([1]Raw_Data!A2813),4,2)),VALUE(LEFT(TRIM([1]Raw_Data!A2813),2)))</f>
        <v>45061</v>
      </c>
      <c r="B2815" s="3" t="str">
        <f>TRIM([1]Raw_Data!B2813)</f>
        <v>Melatonin</v>
      </c>
      <c r="C2815" s="3" t="str">
        <f>TRIM([1]Raw_Data!C2813)</f>
        <v>Sleep Aid</v>
      </c>
      <c r="D2815" s="3">
        <f>[1]Raw_Data!D2813</f>
        <v>145</v>
      </c>
      <c r="E2815" s="4">
        <f>[1]Raw_Data!E2813</f>
        <v>48.13</v>
      </c>
      <c r="F2815" s="5">
        <f>[1]Raw_Data!F2813</f>
        <v>6978.85</v>
      </c>
      <c r="G2815" s="4">
        <f>[1]Raw_Data!G2813</f>
        <v>0.18</v>
      </c>
      <c r="H2815" s="3">
        <f>[1]Raw_Data!H2813</f>
        <v>2</v>
      </c>
      <c r="I2815" s="3" t="str">
        <f>TRIM([1]Raw_Data!I2813)</f>
        <v>USA</v>
      </c>
      <c r="J2815" s="3" t="str">
        <f>TRIM([1]Raw_Data!J2813)</f>
        <v>Amazon</v>
      </c>
      <c r="K2815" s="3">
        <f t="shared" si="172"/>
        <v>2023</v>
      </c>
      <c r="L2815" s="6">
        <f t="shared" si="173"/>
        <v>45047</v>
      </c>
      <c r="M2815" s="3" t="str">
        <f t="shared" si="174"/>
        <v>16% to 20%</v>
      </c>
      <c r="N2815" s="3" t="str">
        <f t="shared" si="175"/>
        <v>OK</v>
      </c>
    </row>
    <row r="2816" spans="1:14" x14ac:dyDescent="0.3">
      <c r="A2816" s="2">
        <f>DATE(VALUE(RIGHT(TRIM([1]Raw_Data!A2814),4)),VALUE(MID(TRIM([1]Raw_Data!A2814),4,2)),VALUE(LEFT(TRIM([1]Raw_Data!A2814),2)))</f>
        <v>45061</v>
      </c>
      <c r="B2816" s="3" t="str">
        <f>TRIM([1]Raw_Data!B2814)</f>
        <v>Biotin</v>
      </c>
      <c r="C2816" s="3" t="str">
        <f>TRIM([1]Raw_Data!C2814)</f>
        <v>Vitamin</v>
      </c>
      <c r="D2816" s="3">
        <f>[1]Raw_Data!D2814</f>
        <v>114</v>
      </c>
      <c r="E2816" s="4">
        <f>[1]Raw_Data!E2814</f>
        <v>49.47</v>
      </c>
      <c r="F2816" s="5">
        <f>[1]Raw_Data!F2814</f>
        <v>5639.58</v>
      </c>
      <c r="G2816" s="4">
        <f>[1]Raw_Data!G2814</f>
        <v>0.13</v>
      </c>
      <c r="H2816" s="3">
        <f>[1]Raw_Data!H2814</f>
        <v>1</v>
      </c>
      <c r="I2816" s="3" t="str">
        <f>TRIM([1]Raw_Data!I2814)</f>
        <v>USA</v>
      </c>
      <c r="J2816" s="3" t="str">
        <f>TRIM([1]Raw_Data!J2814)</f>
        <v>iHerb</v>
      </c>
      <c r="K2816" s="3">
        <f t="shared" si="172"/>
        <v>2023</v>
      </c>
      <c r="L2816" s="6">
        <f t="shared" si="173"/>
        <v>45047</v>
      </c>
      <c r="M2816" s="3" t="str">
        <f t="shared" si="174"/>
        <v>11% to 15%</v>
      </c>
      <c r="N2816" s="3" t="str">
        <f t="shared" si="175"/>
        <v>OK</v>
      </c>
    </row>
    <row r="2817" spans="1:14" x14ac:dyDescent="0.3">
      <c r="A2817" s="2">
        <f>DATE(VALUE(RIGHT(TRIM([1]Raw_Data!A2815),4)),VALUE(MID(TRIM([1]Raw_Data!A2815),4,2)),VALUE(LEFT(TRIM([1]Raw_Data!A2815),2)))</f>
        <v>45061</v>
      </c>
      <c r="B2817" s="3" t="str">
        <f>TRIM([1]Raw_Data!B2815)</f>
        <v>Green Tea Extract</v>
      </c>
      <c r="C2817" s="3" t="str">
        <f>TRIM([1]Raw_Data!C2815)</f>
        <v>Fat Burner</v>
      </c>
      <c r="D2817" s="3">
        <f>[1]Raw_Data!D2815</f>
        <v>123</v>
      </c>
      <c r="E2817" s="4">
        <f>[1]Raw_Data!E2815</f>
        <v>41.92</v>
      </c>
      <c r="F2817" s="5">
        <f>[1]Raw_Data!F2815</f>
        <v>5156.16</v>
      </c>
      <c r="G2817" s="4">
        <f>[1]Raw_Data!G2815</f>
        <v>0.21</v>
      </c>
      <c r="H2817" s="3">
        <f>[1]Raw_Data!H2815</f>
        <v>3</v>
      </c>
      <c r="I2817" s="3" t="str">
        <f>TRIM([1]Raw_Data!I2815)</f>
        <v>Canada</v>
      </c>
      <c r="J2817" s="3" t="str">
        <f>TRIM([1]Raw_Data!J2815)</f>
        <v>iHerb</v>
      </c>
      <c r="K2817" s="3">
        <f t="shared" si="172"/>
        <v>2023</v>
      </c>
      <c r="L2817" s="6">
        <f t="shared" si="173"/>
        <v>45047</v>
      </c>
      <c r="M2817" s="3" t="str">
        <f t="shared" si="174"/>
        <v>21% to 25%</v>
      </c>
      <c r="N2817" s="3" t="str">
        <f t="shared" si="175"/>
        <v>OK</v>
      </c>
    </row>
    <row r="2818" spans="1:14" x14ac:dyDescent="0.3">
      <c r="A2818" s="2">
        <f>DATE(VALUE(RIGHT(TRIM([1]Raw_Data!A2816),4)),VALUE(MID(TRIM([1]Raw_Data!A2816),4,2)),VALUE(LEFT(TRIM([1]Raw_Data!A2816),2)))</f>
        <v>45061</v>
      </c>
      <c r="B2818" s="3" t="str">
        <f>TRIM([1]Raw_Data!B2816)</f>
        <v>Iron Supplement</v>
      </c>
      <c r="C2818" s="3" t="str">
        <f>TRIM([1]Raw_Data!C2816)</f>
        <v>Mineral</v>
      </c>
      <c r="D2818" s="3">
        <f>[1]Raw_Data!D2816</f>
        <v>150</v>
      </c>
      <c r="E2818" s="4">
        <f>[1]Raw_Data!E2816</f>
        <v>51.65</v>
      </c>
      <c r="F2818" s="5">
        <f>[1]Raw_Data!F2816</f>
        <v>7747.5</v>
      </c>
      <c r="G2818" s="4">
        <f>[1]Raw_Data!G2816</f>
        <v>0.13</v>
      </c>
      <c r="H2818" s="3">
        <f>[1]Raw_Data!H2816</f>
        <v>1</v>
      </c>
      <c r="I2818" s="3" t="str">
        <f>TRIM([1]Raw_Data!I2816)</f>
        <v>UK</v>
      </c>
      <c r="J2818" s="3" t="str">
        <f>TRIM([1]Raw_Data!J2816)</f>
        <v>iHerb</v>
      </c>
      <c r="K2818" s="3">
        <f t="shared" si="172"/>
        <v>2023</v>
      </c>
      <c r="L2818" s="6">
        <f t="shared" si="173"/>
        <v>45047</v>
      </c>
      <c r="M2818" s="3" t="str">
        <f t="shared" si="174"/>
        <v>11% to 15%</v>
      </c>
      <c r="N2818" s="3" t="str">
        <f t="shared" si="175"/>
        <v>OK</v>
      </c>
    </row>
    <row r="2819" spans="1:14" x14ac:dyDescent="0.3">
      <c r="A2819" s="2">
        <f>DATE(VALUE(RIGHT(TRIM([1]Raw_Data!A2817),4)),VALUE(MID(TRIM([1]Raw_Data!A2817),4,2)),VALUE(LEFT(TRIM([1]Raw_Data!A2817),2)))</f>
        <v>45061</v>
      </c>
      <c r="B2819" s="3" t="str">
        <f>TRIM([1]Raw_Data!B2817)</f>
        <v>Electrolyte Powder</v>
      </c>
      <c r="C2819" s="3" t="str">
        <f>TRIM([1]Raw_Data!C2817)</f>
        <v>Hydration</v>
      </c>
      <c r="D2819" s="3">
        <f>[1]Raw_Data!D2817</f>
        <v>169</v>
      </c>
      <c r="E2819" s="4">
        <f>[1]Raw_Data!E2817</f>
        <v>55.45</v>
      </c>
      <c r="F2819" s="5">
        <f>[1]Raw_Data!F2817</f>
        <v>9371.0499999999993</v>
      </c>
      <c r="G2819" s="4">
        <f>[1]Raw_Data!G2817</f>
        <v>0.05</v>
      </c>
      <c r="H2819" s="3">
        <f>[1]Raw_Data!H2817</f>
        <v>2</v>
      </c>
      <c r="I2819" s="3" t="str">
        <f>TRIM([1]Raw_Data!I2817)</f>
        <v>UK</v>
      </c>
      <c r="J2819" s="3" t="str">
        <f>TRIM([1]Raw_Data!J2817)</f>
        <v>Amazon</v>
      </c>
      <c r="K2819" s="3">
        <f t="shared" si="172"/>
        <v>2023</v>
      </c>
      <c r="L2819" s="6">
        <f t="shared" si="173"/>
        <v>45047</v>
      </c>
      <c r="M2819" s="3" t="str">
        <f t="shared" si="174"/>
        <v>0% to 5%</v>
      </c>
      <c r="N2819" s="3" t="str">
        <f t="shared" si="175"/>
        <v>OK</v>
      </c>
    </row>
    <row r="2820" spans="1:14" x14ac:dyDescent="0.3">
      <c r="A2820" s="2">
        <f>DATE(VALUE(RIGHT(TRIM([1]Raw_Data!A2818),4)),VALUE(MID(TRIM([1]Raw_Data!A2818),4,2)),VALUE(LEFT(TRIM([1]Raw_Data!A2818),2)))</f>
        <v>45068</v>
      </c>
      <c r="B2820" s="3" t="str">
        <f>TRIM([1]Raw_Data!B2818)</f>
        <v>Whey Protein</v>
      </c>
      <c r="C2820" s="3" t="str">
        <f>TRIM([1]Raw_Data!C2818)</f>
        <v>Protein</v>
      </c>
      <c r="D2820" s="3">
        <f>[1]Raw_Data!D2818</f>
        <v>164</v>
      </c>
      <c r="E2820" s="4">
        <f>[1]Raw_Data!E2818</f>
        <v>49.73</v>
      </c>
      <c r="F2820" s="5">
        <f>[1]Raw_Data!F2818</f>
        <v>8155.72</v>
      </c>
      <c r="G2820" s="4">
        <f>[1]Raw_Data!G2818</f>
        <v>0.05</v>
      </c>
      <c r="H2820" s="3">
        <f>[1]Raw_Data!H2818</f>
        <v>3</v>
      </c>
      <c r="I2820" s="3" t="str">
        <f>TRIM([1]Raw_Data!I2818)</f>
        <v>USA</v>
      </c>
      <c r="J2820" s="3" t="str">
        <f>TRIM([1]Raw_Data!J2818)</f>
        <v>Walmart</v>
      </c>
      <c r="K2820" s="3">
        <f t="shared" ref="K2820:K2883" si="176">YEAR(A2820)</f>
        <v>2023</v>
      </c>
      <c r="L2820" s="6">
        <f t="shared" ref="L2820:L2883" si="177">DATE(YEAR(A2820),MONTH(A2820),1)</f>
        <v>45047</v>
      </c>
      <c r="M2820" s="3" t="str">
        <f t="shared" ref="M2820:M2883" si="178">IF(ROUND(G2820*100,0)&lt;=5,"0% to 5%",IF(ROUND(G2820*100,0)&lt;=10,"6% to 10%",IF(ROUND(G2820*100,0)&lt;=15,"11% to 15%",IF(ROUND(G2820*100,0)&lt;=20,"16% to 20%","21% to 25%"))))</f>
        <v>0% to 5%</v>
      </c>
      <c r="N2820" s="3" t="str">
        <f t="shared" ref="N2820:N2883" si="179">IF(ROUND(D2820*E2820,2)=ROUND(F2820,2),"OK","Check")</f>
        <v>OK</v>
      </c>
    </row>
    <row r="2821" spans="1:14" x14ac:dyDescent="0.3">
      <c r="A2821" s="2">
        <f>DATE(VALUE(RIGHT(TRIM([1]Raw_Data!A2819),4)),VALUE(MID(TRIM([1]Raw_Data!A2819),4,2)),VALUE(LEFT(TRIM([1]Raw_Data!A2819),2)))</f>
        <v>45068</v>
      </c>
      <c r="B2821" s="3" t="str">
        <f>TRIM([1]Raw_Data!B2819)</f>
        <v>Vitamin C</v>
      </c>
      <c r="C2821" s="3" t="str">
        <f>TRIM([1]Raw_Data!C2819)</f>
        <v>Vitamin</v>
      </c>
      <c r="D2821" s="3">
        <f>[1]Raw_Data!D2819</f>
        <v>154</v>
      </c>
      <c r="E2821" s="4">
        <f>[1]Raw_Data!E2819</f>
        <v>33.67</v>
      </c>
      <c r="F2821" s="5">
        <f>[1]Raw_Data!F2819</f>
        <v>5185.18</v>
      </c>
      <c r="G2821" s="4">
        <f>[1]Raw_Data!G2819</f>
        <v>0.17</v>
      </c>
      <c r="H2821" s="3">
        <f>[1]Raw_Data!H2819</f>
        <v>2</v>
      </c>
      <c r="I2821" s="3" t="str">
        <f>TRIM([1]Raw_Data!I2819)</f>
        <v>USA</v>
      </c>
      <c r="J2821" s="3" t="str">
        <f>TRIM([1]Raw_Data!J2819)</f>
        <v>Amazon</v>
      </c>
      <c r="K2821" s="3">
        <f t="shared" si="176"/>
        <v>2023</v>
      </c>
      <c r="L2821" s="6">
        <f t="shared" si="177"/>
        <v>45047</v>
      </c>
      <c r="M2821" s="3" t="str">
        <f t="shared" si="178"/>
        <v>16% to 20%</v>
      </c>
      <c r="N2821" s="3" t="str">
        <f t="shared" si="179"/>
        <v>OK</v>
      </c>
    </row>
    <row r="2822" spans="1:14" x14ac:dyDescent="0.3">
      <c r="A2822" s="2">
        <f>DATE(VALUE(RIGHT(TRIM([1]Raw_Data!A2820),4)),VALUE(MID(TRIM([1]Raw_Data!A2820),4,2)),VALUE(LEFT(TRIM([1]Raw_Data!A2820),2)))</f>
        <v>45068</v>
      </c>
      <c r="B2822" s="3" t="str">
        <f>TRIM([1]Raw_Data!B2820)</f>
        <v>Fish Oil</v>
      </c>
      <c r="C2822" s="3" t="str">
        <f>TRIM([1]Raw_Data!C2820)</f>
        <v>Omega</v>
      </c>
      <c r="D2822" s="3">
        <f>[1]Raw_Data!D2820</f>
        <v>147</v>
      </c>
      <c r="E2822" s="4">
        <f>[1]Raw_Data!E2820</f>
        <v>35.96</v>
      </c>
      <c r="F2822" s="5">
        <f>[1]Raw_Data!F2820</f>
        <v>5286.12</v>
      </c>
      <c r="G2822" s="4">
        <f>[1]Raw_Data!G2820</f>
        <v>0.13</v>
      </c>
      <c r="H2822" s="3">
        <f>[1]Raw_Data!H2820</f>
        <v>0</v>
      </c>
      <c r="I2822" s="3" t="str">
        <f>TRIM([1]Raw_Data!I2820)</f>
        <v>UK</v>
      </c>
      <c r="J2822" s="3" t="str">
        <f>TRIM([1]Raw_Data!J2820)</f>
        <v>Amazon</v>
      </c>
      <c r="K2822" s="3">
        <f t="shared" si="176"/>
        <v>2023</v>
      </c>
      <c r="L2822" s="6">
        <f t="shared" si="177"/>
        <v>45047</v>
      </c>
      <c r="M2822" s="3" t="str">
        <f t="shared" si="178"/>
        <v>11% to 15%</v>
      </c>
      <c r="N2822" s="3" t="str">
        <f t="shared" si="179"/>
        <v>OK</v>
      </c>
    </row>
    <row r="2823" spans="1:14" x14ac:dyDescent="0.3">
      <c r="A2823" s="2">
        <f>DATE(VALUE(RIGHT(TRIM([1]Raw_Data!A2821),4)),VALUE(MID(TRIM([1]Raw_Data!A2821),4,2)),VALUE(LEFT(TRIM([1]Raw_Data!A2821),2)))</f>
        <v>45068</v>
      </c>
      <c r="B2823" s="3" t="str">
        <f>TRIM([1]Raw_Data!B2821)</f>
        <v>Multivitamin</v>
      </c>
      <c r="C2823" s="3" t="str">
        <f>TRIM([1]Raw_Data!C2821)</f>
        <v>Vitamin</v>
      </c>
      <c r="D2823" s="3">
        <f>[1]Raw_Data!D2821</f>
        <v>171</v>
      </c>
      <c r="E2823" s="4">
        <f>[1]Raw_Data!E2821</f>
        <v>36.42</v>
      </c>
      <c r="F2823" s="5">
        <f>[1]Raw_Data!F2821</f>
        <v>6227.82</v>
      </c>
      <c r="G2823" s="4">
        <f>[1]Raw_Data!G2821</f>
        <v>0.2</v>
      </c>
      <c r="H2823" s="3">
        <f>[1]Raw_Data!H2821</f>
        <v>1</v>
      </c>
      <c r="I2823" s="3" t="str">
        <f>TRIM([1]Raw_Data!I2821)</f>
        <v>UK</v>
      </c>
      <c r="J2823" s="3" t="str">
        <f>TRIM([1]Raw_Data!J2821)</f>
        <v>Amazon</v>
      </c>
      <c r="K2823" s="3">
        <f t="shared" si="176"/>
        <v>2023</v>
      </c>
      <c r="L2823" s="6">
        <f t="shared" si="177"/>
        <v>45047</v>
      </c>
      <c r="M2823" s="3" t="str">
        <f t="shared" si="178"/>
        <v>16% to 20%</v>
      </c>
      <c r="N2823" s="3" t="str">
        <f t="shared" si="179"/>
        <v>OK</v>
      </c>
    </row>
    <row r="2824" spans="1:14" x14ac:dyDescent="0.3">
      <c r="A2824" s="2">
        <f>DATE(VALUE(RIGHT(TRIM([1]Raw_Data!A2822),4)),VALUE(MID(TRIM([1]Raw_Data!A2822),4,2)),VALUE(LEFT(TRIM([1]Raw_Data!A2822),2)))</f>
        <v>45068</v>
      </c>
      <c r="B2824" s="3" t="str">
        <f>TRIM([1]Raw_Data!B2822)</f>
        <v>Pre-Workout</v>
      </c>
      <c r="C2824" s="3" t="str">
        <f>TRIM([1]Raw_Data!C2822)</f>
        <v>Performance</v>
      </c>
      <c r="D2824" s="3">
        <f>[1]Raw_Data!D2822</f>
        <v>151</v>
      </c>
      <c r="E2824" s="4">
        <f>[1]Raw_Data!E2822</f>
        <v>47.98</v>
      </c>
      <c r="F2824" s="5">
        <f>[1]Raw_Data!F2822</f>
        <v>7244.98</v>
      </c>
      <c r="G2824" s="4">
        <f>[1]Raw_Data!G2822</f>
        <v>0.14000000000000001</v>
      </c>
      <c r="H2824" s="3">
        <f>[1]Raw_Data!H2822</f>
        <v>3</v>
      </c>
      <c r="I2824" s="3" t="str">
        <f>TRIM([1]Raw_Data!I2822)</f>
        <v>Canada</v>
      </c>
      <c r="J2824" s="3" t="str">
        <f>TRIM([1]Raw_Data!J2822)</f>
        <v>Amazon</v>
      </c>
      <c r="K2824" s="3">
        <f t="shared" si="176"/>
        <v>2023</v>
      </c>
      <c r="L2824" s="6">
        <f t="shared" si="177"/>
        <v>45047</v>
      </c>
      <c r="M2824" s="3" t="str">
        <f t="shared" si="178"/>
        <v>11% to 15%</v>
      </c>
      <c r="N2824" s="3" t="str">
        <f t="shared" si="179"/>
        <v>OK</v>
      </c>
    </row>
    <row r="2825" spans="1:14" x14ac:dyDescent="0.3">
      <c r="A2825" s="2">
        <f>DATE(VALUE(RIGHT(TRIM([1]Raw_Data!A2823),4)),VALUE(MID(TRIM([1]Raw_Data!A2823),4,2)),VALUE(LEFT(TRIM([1]Raw_Data!A2823),2)))</f>
        <v>45068</v>
      </c>
      <c r="B2825" s="3" t="str">
        <f>TRIM([1]Raw_Data!B2823)</f>
        <v>BCAA</v>
      </c>
      <c r="C2825" s="3" t="str">
        <f>TRIM([1]Raw_Data!C2823)</f>
        <v>Amino Acid</v>
      </c>
      <c r="D2825" s="3">
        <f>[1]Raw_Data!D2823</f>
        <v>168</v>
      </c>
      <c r="E2825" s="4">
        <f>[1]Raw_Data!E2823</f>
        <v>46.27</v>
      </c>
      <c r="F2825" s="5">
        <f>[1]Raw_Data!F2823</f>
        <v>7773.36</v>
      </c>
      <c r="G2825" s="4">
        <f>[1]Raw_Data!G2823</f>
        <v>0.14000000000000001</v>
      </c>
      <c r="H2825" s="3">
        <f>[1]Raw_Data!H2823</f>
        <v>1</v>
      </c>
      <c r="I2825" s="3" t="str">
        <f>TRIM([1]Raw_Data!I2823)</f>
        <v>UK</v>
      </c>
      <c r="J2825" s="3" t="str">
        <f>TRIM([1]Raw_Data!J2823)</f>
        <v>Walmart</v>
      </c>
      <c r="K2825" s="3">
        <f t="shared" si="176"/>
        <v>2023</v>
      </c>
      <c r="L2825" s="6">
        <f t="shared" si="177"/>
        <v>45047</v>
      </c>
      <c r="M2825" s="3" t="str">
        <f t="shared" si="178"/>
        <v>11% to 15%</v>
      </c>
      <c r="N2825" s="3" t="str">
        <f t="shared" si="179"/>
        <v>OK</v>
      </c>
    </row>
    <row r="2826" spans="1:14" x14ac:dyDescent="0.3">
      <c r="A2826" s="2">
        <f>DATE(VALUE(RIGHT(TRIM([1]Raw_Data!A2824),4)),VALUE(MID(TRIM([1]Raw_Data!A2824),4,2)),VALUE(LEFT(TRIM([1]Raw_Data!A2824),2)))</f>
        <v>45068</v>
      </c>
      <c r="B2826" s="3" t="str">
        <f>TRIM([1]Raw_Data!B2824)</f>
        <v>Creatine</v>
      </c>
      <c r="C2826" s="3" t="str">
        <f>TRIM([1]Raw_Data!C2824)</f>
        <v>Performance</v>
      </c>
      <c r="D2826" s="3">
        <f>[1]Raw_Data!D2824</f>
        <v>155</v>
      </c>
      <c r="E2826" s="4">
        <f>[1]Raw_Data!E2824</f>
        <v>30.83</v>
      </c>
      <c r="F2826" s="5">
        <f>[1]Raw_Data!F2824</f>
        <v>4778.6499999999996</v>
      </c>
      <c r="G2826" s="4">
        <f>[1]Raw_Data!G2824</f>
        <v>0.08</v>
      </c>
      <c r="H2826" s="3">
        <f>[1]Raw_Data!H2824</f>
        <v>1</v>
      </c>
      <c r="I2826" s="3" t="str">
        <f>TRIM([1]Raw_Data!I2824)</f>
        <v>Canada</v>
      </c>
      <c r="J2826" s="3" t="str">
        <f>TRIM([1]Raw_Data!J2824)</f>
        <v>Amazon</v>
      </c>
      <c r="K2826" s="3">
        <f t="shared" si="176"/>
        <v>2023</v>
      </c>
      <c r="L2826" s="6">
        <f t="shared" si="177"/>
        <v>45047</v>
      </c>
      <c r="M2826" s="3" t="str">
        <f t="shared" si="178"/>
        <v>6% to 10%</v>
      </c>
      <c r="N2826" s="3" t="str">
        <f t="shared" si="179"/>
        <v>OK</v>
      </c>
    </row>
    <row r="2827" spans="1:14" x14ac:dyDescent="0.3">
      <c r="A2827" s="2">
        <f>DATE(VALUE(RIGHT(TRIM([1]Raw_Data!A2825),4)),VALUE(MID(TRIM([1]Raw_Data!A2825),4,2)),VALUE(LEFT(TRIM([1]Raw_Data!A2825),2)))</f>
        <v>45068</v>
      </c>
      <c r="B2827" s="3" t="str">
        <f>TRIM([1]Raw_Data!B2825)</f>
        <v>Zinc</v>
      </c>
      <c r="C2827" s="3" t="str">
        <f>TRIM([1]Raw_Data!C2825)</f>
        <v>Mineral</v>
      </c>
      <c r="D2827" s="3">
        <f>[1]Raw_Data!D2825</f>
        <v>148</v>
      </c>
      <c r="E2827" s="4">
        <f>[1]Raw_Data!E2825</f>
        <v>34.92</v>
      </c>
      <c r="F2827" s="5">
        <f>[1]Raw_Data!F2825</f>
        <v>5168.16</v>
      </c>
      <c r="G2827" s="4">
        <f>[1]Raw_Data!G2825</f>
        <v>0.12</v>
      </c>
      <c r="H2827" s="3">
        <f>[1]Raw_Data!H2825</f>
        <v>2</v>
      </c>
      <c r="I2827" s="3" t="str">
        <f>TRIM([1]Raw_Data!I2825)</f>
        <v>UK</v>
      </c>
      <c r="J2827" s="3" t="str">
        <f>TRIM([1]Raw_Data!J2825)</f>
        <v>iHerb</v>
      </c>
      <c r="K2827" s="3">
        <f t="shared" si="176"/>
        <v>2023</v>
      </c>
      <c r="L2827" s="6">
        <f t="shared" si="177"/>
        <v>45047</v>
      </c>
      <c r="M2827" s="3" t="str">
        <f t="shared" si="178"/>
        <v>11% to 15%</v>
      </c>
      <c r="N2827" s="3" t="str">
        <f t="shared" si="179"/>
        <v>OK</v>
      </c>
    </row>
    <row r="2828" spans="1:14" x14ac:dyDescent="0.3">
      <c r="A2828" s="2">
        <f>DATE(VALUE(RIGHT(TRIM([1]Raw_Data!A2826),4)),VALUE(MID(TRIM([1]Raw_Data!A2826),4,2)),VALUE(LEFT(TRIM([1]Raw_Data!A2826),2)))</f>
        <v>45068</v>
      </c>
      <c r="B2828" s="3" t="str">
        <f>TRIM([1]Raw_Data!B2826)</f>
        <v>Collagen Peptides</v>
      </c>
      <c r="C2828" s="3" t="str">
        <f>TRIM([1]Raw_Data!C2826)</f>
        <v>Protein</v>
      </c>
      <c r="D2828" s="3">
        <f>[1]Raw_Data!D2826</f>
        <v>145</v>
      </c>
      <c r="E2828" s="4">
        <f>[1]Raw_Data!E2826</f>
        <v>53.91</v>
      </c>
      <c r="F2828" s="5">
        <f>[1]Raw_Data!F2826</f>
        <v>7816.95</v>
      </c>
      <c r="G2828" s="4">
        <f>[1]Raw_Data!G2826</f>
        <v>0.24</v>
      </c>
      <c r="H2828" s="3">
        <f>[1]Raw_Data!H2826</f>
        <v>2</v>
      </c>
      <c r="I2828" s="3" t="str">
        <f>TRIM([1]Raw_Data!I2826)</f>
        <v>USA</v>
      </c>
      <c r="J2828" s="3" t="str">
        <f>TRIM([1]Raw_Data!J2826)</f>
        <v>Walmart</v>
      </c>
      <c r="K2828" s="3">
        <f t="shared" si="176"/>
        <v>2023</v>
      </c>
      <c r="L2828" s="6">
        <f t="shared" si="177"/>
        <v>45047</v>
      </c>
      <c r="M2828" s="3" t="str">
        <f t="shared" si="178"/>
        <v>21% to 25%</v>
      </c>
      <c r="N2828" s="3" t="str">
        <f t="shared" si="179"/>
        <v>OK</v>
      </c>
    </row>
    <row r="2829" spans="1:14" x14ac:dyDescent="0.3">
      <c r="A2829" s="2">
        <f>DATE(VALUE(RIGHT(TRIM([1]Raw_Data!A2827),4)),VALUE(MID(TRIM([1]Raw_Data!A2827),4,2)),VALUE(LEFT(TRIM([1]Raw_Data!A2827),2)))</f>
        <v>45068</v>
      </c>
      <c r="B2829" s="3" t="str">
        <f>TRIM([1]Raw_Data!B2827)</f>
        <v>Magnesium</v>
      </c>
      <c r="C2829" s="3" t="str">
        <f>TRIM([1]Raw_Data!C2827)</f>
        <v>Mineral</v>
      </c>
      <c r="D2829" s="3">
        <f>[1]Raw_Data!D2827</f>
        <v>158</v>
      </c>
      <c r="E2829" s="4">
        <f>[1]Raw_Data!E2827</f>
        <v>17.36</v>
      </c>
      <c r="F2829" s="5">
        <f>[1]Raw_Data!F2827</f>
        <v>2742.88</v>
      </c>
      <c r="G2829" s="4">
        <f>[1]Raw_Data!G2827</f>
        <v>0.04</v>
      </c>
      <c r="H2829" s="3">
        <f>[1]Raw_Data!H2827</f>
        <v>0</v>
      </c>
      <c r="I2829" s="3" t="str">
        <f>TRIM([1]Raw_Data!I2827)</f>
        <v>USA</v>
      </c>
      <c r="J2829" s="3" t="str">
        <f>TRIM([1]Raw_Data!J2827)</f>
        <v>Walmart</v>
      </c>
      <c r="K2829" s="3">
        <f t="shared" si="176"/>
        <v>2023</v>
      </c>
      <c r="L2829" s="6">
        <f t="shared" si="177"/>
        <v>45047</v>
      </c>
      <c r="M2829" s="3" t="str">
        <f t="shared" si="178"/>
        <v>0% to 5%</v>
      </c>
      <c r="N2829" s="3" t="str">
        <f t="shared" si="179"/>
        <v>OK</v>
      </c>
    </row>
    <row r="2830" spans="1:14" x14ac:dyDescent="0.3">
      <c r="A2830" s="2">
        <f>DATE(VALUE(RIGHT(TRIM([1]Raw_Data!A2828),4)),VALUE(MID(TRIM([1]Raw_Data!A2828),4,2)),VALUE(LEFT(TRIM([1]Raw_Data!A2828),2)))</f>
        <v>45068</v>
      </c>
      <c r="B2830" s="3" t="str">
        <f>TRIM([1]Raw_Data!B2828)</f>
        <v>Ashwagandha</v>
      </c>
      <c r="C2830" s="3" t="str">
        <f>TRIM([1]Raw_Data!C2828)</f>
        <v>Herbal</v>
      </c>
      <c r="D2830" s="3">
        <f>[1]Raw_Data!D2828</f>
        <v>151</v>
      </c>
      <c r="E2830" s="4">
        <f>[1]Raw_Data!E2828</f>
        <v>51.41</v>
      </c>
      <c r="F2830" s="5">
        <f>[1]Raw_Data!F2828</f>
        <v>7762.91</v>
      </c>
      <c r="G2830" s="4">
        <f>[1]Raw_Data!G2828</f>
        <v>0.2</v>
      </c>
      <c r="H2830" s="3">
        <f>[1]Raw_Data!H2828</f>
        <v>3</v>
      </c>
      <c r="I2830" s="3" t="str">
        <f>TRIM([1]Raw_Data!I2828)</f>
        <v>USA</v>
      </c>
      <c r="J2830" s="3" t="str">
        <f>TRIM([1]Raw_Data!J2828)</f>
        <v>iHerb</v>
      </c>
      <c r="K2830" s="3">
        <f t="shared" si="176"/>
        <v>2023</v>
      </c>
      <c r="L2830" s="6">
        <f t="shared" si="177"/>
        <v>45047</v>
      </c>
      <c r="M2830" s="3" t="str">
        <f t="shared" si="178"/>
        <v>16% to 20%</v>
      </c>
      <c r="N2830" s="3" t="str">
        <f t="shared" si="179"/>
        <v>OK</v>
      </c>
    </row>
    <row r="2831" spans="1:14" x14ac:dyDescent="0.3">
      <c r="A2831" s="2">
        <f>DATE(VALUE(RIGHT(TRIM([1]Raw_Data!A2829),4)),VALUE(MID(TRIM([1]Raw_Data!A2829),4,2)),VALUE(LEFT(TRIM([1]Raw_Data!A2829),2)))</f>
        <v>45068</v>
      </c>
      <c r="B2831" s="3" t="str">
        <f>TRIM([1]Raw_Data!B2829)</f>
        <v>Melatonin</v>
      </c>
      <c r="C2831" s="3" t="str">
        <f>TRIM([1]Raw_Data!C2829)</f>
        <v>Sleep Aid</v>
      </c>
      <c r="D2831" s="3">
        <f>[1]Raw_Data!D2829</f>
        <v>127</v>
      </c>
      <c r="E2831" s="4">
        <f>[1]Raw_Data!E2829</f>
        <v>44.34</v>
      </c>
      <c r="F2831" s="5">
        <f>[1]Raw_Data!F2829</f>
        <v>5631.18</v>
      </c>
      <c r="G2831" s="4">
        <f>[1]Raw_Data!G2829</f>
        <v>0.23</v>
      </c>
      <c r="H2831" s="3">
        <f>[1]Raw_Data!H2829</f>
        <v>1</v>
      </c>
      <c r="I2831" s="3" t="str">
        <f>TRIM([1]Raw_Data!I2829)</f>
        <v>UK</v>
      </c>
      <c r="J2831" s="3" t="str">
        <f>TRIM([1]Raw_Data!J2829)</f>
        <v>Amazon</v>
      </c>
      <c r="K2831" s="3">
        <f t="shared" si="176"/>
        <v>2023</v>
      </c>
      <c r="L2831" s="6">
        <f t="shared" si="177"/>
        <v>45047</v>
      </c>
      <c r="M2831" s="3" t="str">
        <f t="shared" si="178"/>
        <v>21% to 25%</v>
      </c>
      <c r="N2831" s="3" t="str">
        <f t="shared" si="179"/>
        <v>OK</v>
      </c>
    </row>
    <row r="2832" spans="1:14" x14ac:dyDescent="0.3">
      <c r="A2832" s="2">
        <f>DATE(VALUE(RIGHT(TRIM([1]Raw_Data!A2830),4)),VALUE(MID(TRIM([1]Raw_Data!A2830),4,2)),VALUE(LEFT(TRIM([1]Raw_Data!A2830),2)))</f>
        <v>45068</v>
      </c>
      <c r="B2832" s="3" t="str">
        <f>TRIM([1]Raw_Data!B2830)</f>
        <v>Biotin</v>
      </c>
      <c r="C2832" s="3" t="str">
        <f>TRIM([1]Raw_Data!C2830)</f>
        <v>Vitamin</v>
      </c>
      <c r="D2832" s="3">
        <f>[1]Raw_Data!D2830</f>
        <v>153</v>
      </c>
      <c r="E2832" s="4">
        <f>[1]Raw_Data!E2830</f>
        <v>26.6</v>
      </c>
      <c r="F2832" s="5">
        <f>[1]Raw_Data!F2830</f>
        <v>4069.8</v>
      </c>
      <c r="G2832" s="4">
        <f>[1]Raw_Data!G2830</f>
        <v>0.02</v>
      </c>
      <c r="H2832" s="3">
        <f>[1]Raw_Data!H2830</f>
        <v>1</v>
      </c>
      <c r="I2832" s="3" t="str">
        <f>TRIM([1]Raw_Data!I2830)</f>
        <v>USA</v>
      </c>
      <c r="J2832" s="3" t="str">
        <f>TRIM([1]Raw_Data!J2830)</f>
        <v>Amazon</v>
      </c>
      <c r="K2832" s="3">
        <f t="shared" si="176"/>
        <v>2023</v>
      </c>
      <c r="L2832" s="6">
        <f t="shared" si="177"/>
        <v>45047</v>
      </c>
      <c r="M2832" s="3" t="str">
        <f t="shared" si="178"/>
        <v>0% to 5%</v>
      </c>
      <c r="N2832" s="3" t="str">
        <f t="shared" si="179"/>
        <v>OK</v>
      </c>
    </row>
    <row r="2833" spans="1:14" x14ac:dyDescent="0.3">
      <c r="A2833" s="2">
        <f>DATE(VALUE(RIGHT(TRIM([1]Raw_Data!A2831),4)),VALUE(MID(TRIM([1]Raw_Data!A2831),4,2)),VALUE(LEFT(TRIM([1]Raw_Data!A2831),2)))</f>
        <v>45068</v>
      </c>
      <c r="B2833" s="3" t="str">
        <f>TRIM([1]Raw_Data!B2831)</f>
        <v>Green Tea Extract</v>
      </c>
      <c r="C2833" s="3" t="str">
        <f>TRIM([1]Raw_Data!C2831)</f>
        <v>Fat Burner</v>
      </c>
      <c r="D2833" s="3">
        <f>[1]Raw_Data!D2831</f>
        <v>163</v>
      </c>
      <c r="E2833" s="4">
        <f>[1]Raw_Data!E2831</f>
        <v>36.369999999999997</v>
      </c>
      <c r="F2833" s="5">
        <f>[1]Raw_Data!F2831</f>
        <v>5928.31</v>
      </c>
      <c r="G2833" s="4">
        <f>[1]Raw_Data!G2831</f>
        <v>0.05</v>
      </c>
      <c r="H2833" s="3">
        <f>[1]Raw_Data!H2831</f>
        <v>0</v>
      </c>
      <c r="I2833" s="3" t="str">
        <f>TRIM([1]Raw_Data!I2831)</f>
        <v>UK</v>
      </c>
      <c r="J2833" s="3" t="str">
        <f>TRIM([1]Raw_Data!J2831)</f>
        <v>Walmart</v>
      </c>
      <c r="K2833" s="3">
        <f t="shared" si="176"/>
        <v>2023</v>
      </c>
      <c r="L2833" s="6">
        <f t="shared" si="177"/>
        <v>45047</v>
      </c>
      <c r="M2833" s="3" t="str">
        <f t="shared" si="178"/>
        <v>0% to 5%</v>
      </c>
      <c r="N2833" s="3" t="str">
        <f t="shared" si="179"/>
        <v>OK</v>
      </c>
    </row>
    <row r="2834" spans="1:14" x14ac:dyDescent="0.3">
      <c r="A2834" s="2">
        <f>DATE(VALUE(RIGHT(TRIM([1]Raw_Data!A2832),4)),VALUE(MID(TRIM([1]Raw_Data!A2832),4,2)),VALUE(LEFT(TRIM([1]Raw_Data!A2832),2)))</f>
        <v>45068</v>
      </c>
      <c r="B2834" s="3" t="str">
        <f>TRIM([1]Raw_Data!B2832)</f>
        <v>Iron Supplement</v>
      </c>
      <c r="C2834" s="3" t="str">
        <f>TRIM([1]Raw_Data!C2832)</f>
        <v>Mineral</v>
      </c>
      <c r="D2834" s="3">
        <f>[1]Raw_Data!D2832</f>
        <v>150</v>
      </c>
      <c r="E2834" s="4">
        <f>[1]Raw_Data!E2832</f>
        <v>39.369999999999997</v>
      </c>
      <c r="F2834" s="5">
        <f>[1]Raw_Data!F2832</f>
        <v>5905.5</v>
      </c>
      <c r="G2834" s="4">
        <f>[1]Raw_Data!G2832</f>
        <v>0.01</v>
      </c>
      <c r="H2834" s="3">
        <f>[1]Raw_Data!H2832</f>
        <v>0</v>
      </c>
      <c r="I2834" s="3" t="str">
        <f>TRIM([1]Raw_Data!I2832)</f>
        <v>UK</v>
      </c>
      <c r="J2834" s="3" t="str">
        <f>TRIM([1]Raw_Data!J2832)</f>
        <v>Walmart</v>
      </c>
      <c r="K2834" s="3">
        <f t="shared" si="176"/>
        <v>2023</v>
      </c>
      <c r="L2834" s="6">
        <f t="shared" si="177"/>
        <v>45047</v>
      </c>
      <c r="M2834" s="3" t="str">
        <f t="shared" si="178"/>
        <v>0% to 5%</v>
      </c>
      <c r="N2834" s="3" t="str">
        <f t="shared" si="179"/>
        <v>OK</v>
      </c>
    </row>
    <row r="2835" spans="1:14" x14ac:dyDescent="0.3">
      <c r="A2835" s="2">
        <f>DATE(VALUE(RIGHT(TRIM([1]Raw_Data!A2833),4)),VALUE(MID(TRIM([1]Raw_Data!A2833),4,2)),VALUE(LEFT(TRIM([1]Raw_Data!A2833),2)))</f>
        <v>45068</v>
      </c>
      <c r="B2835" s="3" t="str">
        <f>TRIM([1]Raw_Data!B2833)</f>
        <v>Electrolyte Powder</v>
      </c>
      <c r="C2835" s="3" t="str">
        <f>TRIM([1]Raw_Data!C2833)</f>
        <v>Hydration</v>
      </c>
      <c r="D2835" s="3">
        <f>[1]Raw_Data!D2833</f>
        <v>152</v>
      </c>
      <c r="E2835" s="4">
        <f>[1]Raw_Data!E2833</f>
        <v>11.45</v>
      </c>
      <c r="F2835" s="5">
        <f>[1]Raw_Data!F2833</f>
        <v>1740.4</v>
      </c>
      <c r="G2835" s="4">
        <f>[1]Raw_Data!G2833</f>
        <v>0.14000000000000001</v>
      </c>
      <c r="H2835" s="3">
        <f>[1]Raw_Data!H2833</f>
        <v>3</v>
      </c>
      <c r="I2835" s="3" t="str">
        <f>TRIM([1]Raw_Data!I2833)</f>
        <v>Canada</v>
      </c>
      <c r="J2835" s="3" t="str">
        <f>TRIM([1]Raw_Data!J2833)</f>
        <v>Walmart</v>
      </c>
      <c r="K2835" s="3">
        <f t="shared" si="176"/>
        <v>2023</v>
      </c>
      <c r="L2835" s="6">
        <f t="shared" si="177"/>
        <v>45047</v>
      </c>
      <c r="M2835" s="3" t="str">
        <f t="shared" si="178"/>
        <v>11% to 15%</v>
      </c>
      <c r="N2835" s="3" t="str">
        <f t="shared" si="179"/>
        <v>OK</v>
      </c>
    </row>
    <row r="2836" spans="1:14" x14ac:dyDescent="0.3">
      <c r="A2836" s="2">
        <f>DATE(VALUE(RIGHT(TRIM([1]Raw_Data!A2834),4)),VALUE(MID(TRIM([1]Raw_Data!A2834),4,2)),VALUE(LEFT(TRIM([1]Raw_Data!A2834),2)))</f>
        <v>45075</v>
      </c>
      <c r="B2836" s="3" t="str">
        <f>TRIM([1]Raw_Data!B2834)</f>
        <v>Whey Protein</v>
      </c>
      <c r="C2836" s="3" t="str">
        <f>TRIM([1]Raw_Data!C2834)</f>
        <v>Protein</v>
      </c>
      <c r="D2836" s="3">
        <f>[1]Raw_Data!D2834</f>
        <v>158</v>
      </c>
      <c r="E2836" s="4">
        <f>[1]Raw_Data!E2834</f>
        <v>39.619999999999997</v>
      </c>
      <c r="F2836" s="5">
        <f>[1]Raw_Data!F2834</f>
        <v>6259.96</v>
      </c>
      <c r="G2836" s="4">
        <f>[1]Raw_Data!G2834</f>
        <v>0.17</v>
      </c>
      <c r="H2836" s="3">
        <f>[1]Raw_Data!H2834</f>
        <v>0</v>
      </c>
      <c r="I2836" s="3" t="str">
        <f>TRIM([1]Raw_Data!I2834)</f>
        <v>USA</v>
      </c>
      <c r="J2836" s="3" t="str">
        <f>TRIM([1]Raw_Data!J2834)</f>
        <v>iHerb</v>
      </c>
      <c r="K2836" s="3">
        <f t="shared" si="176"/>
        <v>2023</v>
      </c>
      <c r="L2836" s="6">
        <f t="shared" si="177"/>
        <v>45047</v>
      </c>
      <c r="M2836" s="3" t="str">
        <f t="shared" si="178"/>
        <v>16% to 20%</v>
      </c>
      <c r="N2836" s="3" t="str">
        <f t="shared" si="179"/>
        <v>OK</v>
      </c>
    </row>
    <row r="2837" spans="1:14" x14ac:dyDescent="0.3">
      <c r="A2837" s="2">
        <f>DATE(VALUE(RIGHT(TRIM([1]Raw_Data!A2835),4)),VALUE(MID(TRIM([1]Raw_Data!A2835),4,2)),VALUE(LEFT(TRIM([1]Raw_Data!A2835),2)))</f>
        <v>45075</v>
      </c>
      <c r="B2837" s="3" t="str">
        <f>TRIM([1]Raw_Data!B2835)</f>
        <v>Vitamin C</v>
      </c>
      <c r="C2837" s="3" t="str">
        <f>TRIM([1]Raw_Data!C2835)</f>
        <v>Vitamin</v>
      </c>
      <c r="D2837" s="3">
        <f>[1]Raw_Data!D2835</f>
        <v>165</v>
      </c>
      <c r="E2837" s="4">
        <f>[1]Raw_Data!E2835</f>
        <v>47.25</v>
      </c>
      <c r="F2837" s="5">
        <f>[1]Raw_Data!F2835</f>
        <v>7796.25</v>
      </c>
      <c r="G2837" s="4">
        <f>[1]Raw_Data!G2835</f>
        <v>0.16</v>
      </c>
      <c r="H2837" s="3">
        <f>[1]Raw_Data!H2835</f>
        <v>2</v>
      </c>
      <c r="I2837" s="3" t="str">
        <f>TRIM([1]Raw_Data!I2835)</f>
        <v>USA</v>
      </c>
      <c r="J2837" s="3" t="str">
        <f>TRIM([1]Raw_Data!J2835)</f>
        <v>iHerb</v>
      </c>
      <c r="K2837" s="3">
        <f t="shared" si="176"/>
        <v>2023</v>
      </c>
      <c r="L2837" s="6">
        <f t="shared" si="177"/>
        <v>45047</v>
      </c>
      <c r="M2837" s="3" t="str">
        <f t="shared" si="178"/>
        <v>16% to 20%</v>
      </c>
      <c r="N2837" s="3" t="str">
        <f t="shared" si="179"/>
        <v>OK</v>
      </c>
    </row>
    <row r="2838" spans="1:14" x14ac:dyDescent="0.3">
      <c r="A2838" s="2">
        <f>DATE(VALUE(RIGHT(TRIM([1]Raw_Data!A2836),4)),VALUE(MID(TRIM([1]Raw_Data!A2836),4,2)),VALUE(LEFT(TRIM([1]Raw_Data!A2836),2)))</f>
        <v>45075</v>
      </c>
      <c r="B2838" s="3" t="str">
        <f>TRIM([1]Raw_Data!B2836)</f>
        <v>Fish Oil</v>
      </c>
      <c r="C2838" s="3" t="str">
        <f>TRIM([1]Raw_Data!C2836)</f>
        <v>Omega</v>
      </c>
      <c r="D2838" s="3">
        <f>[1]Raw_Data!D2836</f>
        <v>162</v>
      </c>
      <c r="E2838" s="4">
        <f>[1]Raw_Data!E2836</f>
        <v>26.39</v>
      </c>
      <c r="F2838" s="5">
        <f>[1]Raw_Data!F2836</f>
        <v>4275.18</v>
      </c>
      <c r="G2838" s="4">
        <f>[1]Raw_Data!G2836</f>
        <v>0.09</v>
      </c>
      <c r="H2838" s="3">
        <f>[1]Raw_Data!H2836</f>
        <v>3</v>
      </c>
      <c r="I2838" s="3" t="str">
        <f>TRIM([1]Raw_Data!I2836)</f>
        <v>UK</v>
      </c>
      <c r="J2838" s="3" t="str">
        <f>TRIM([1]Raw_Data!J2836)</f>
        <v>iHerb</v>
      </c>
      <c r="K2838" s="3">
        <f t="shared" si="176"/>
        <v>2023</v>
      </c>
      <c r="L2838" s="6">
        <f t="shared" si="177"/>
        <v>45047</v>
      </c>
      <c r="M2838" s="3" t="str">
        <f t="shared" si="178"/>
        <v>6% to 10%</v>
      </c>
      <c r="N2838" s="3" t="str">
        <f t="shared" si="179"/>
        <v>OK</v>
      </c>
    </row>
    <row r="2839" spans="1:14" x14ac:dyDescent="0.3">
      <c r="A2839" s="2">
        <f>DATE(VALUE(RIGHT(TRIM([1]Raw_Data!A2837),4)),VALUE(MID(TRIM([1]Raw_Data!A2837),4,2)),VALUE(LEFT(TRIM([1]Raw_Data!A2837),2)))</f>
        <v>45075</v>
      </c>
      <c r="B2839" s="3" t="str">
        <f>TRIM([1]Raw_Data!B2837)</f>
        <v>Multivitamin</v>
      </c>
      <c r="C2839" s="3" t="str">
        <f>TRIM([1]Raw_Data!C2837)</f>
        <v>Vitamin</v>
      </c>
      <c r="D2839" s="3">
        <f>[1]Raw_Data!D2837</f>
        <v>179</v>
      </c>
      <c r="E2839" s="4">
        <f>[1]Raw_Data!E2837</f>
        <v>59.7</v>
      </c>
      <c r="F2839" s="5">
        <f>[1]Raw_Data!F2837</f>
        <v>10686.3</v>
      </c>
      <c r="G2839" s="4">
        <f>[1]Raw_Data!G2837</f>
        <v>0.17</v>
      </c>
      <c r="H2839" s="3">
        <f>[1]Raw_Data!H2837</f>
        <v>0</v>
      </c>
      <c r="I2839" s="3" t="str">
        <f>TRIM([1]Raw_Data!I2837)</f>
        <v>UK</v>
      </c>
      <c r="J2839" s="3" t="str">
        <f>TRIM([1]Raw_Data!J2837)</f>
        <v>iHerb</v>
      </c>
      <c r="K2839" s="3">
        <f t="shared" si="176"/>
        <v>2023</v>
      </c>
      <c r="L2839" s="6">
        <f t="shared" si="177"/>
        <v>45047</v>
      </c>
      <c r="M2839" s="3" t="str">
        <f t="shared" si="178"/>
        <v>16% to 20%</v>
      </c>
      <c r="N2839" s="3" t="str">
        <f t="shared" si="179"/>
        <v>OK</v>
      </c>
    </row>
    <row r="2840" spans="1:14" x14ac:dyDescent="0.3">
      <c r="A2840" s="2">
        <f>DATE(VALUE(RIGHT(TRIM([1]Raw_Data!A2838),4)),VALUE(MID(TRIM([1]Raw_Data!A2838),4,2)),VALUE(LEFT(TRIM([1]Raw_Data!A2838),2)))</f>
        <v>45075</v>
      </c>
      <c r="B2840" s="3" t="str">
        <f>TRIM([1]Raw_Data!B2838)</f>
        <v>Pre-Workout</v>
      </c>
      <c r="C2840" s="3" t="str">
        <f>TRIM([1]Raw_Data!C2838)</f>
        <v>Performance</v>
      </c>
      <c r="D2840" s="3">
        <f>[1]Raw_Data!D2838</f>
        <v>163</v>
      </c>
      <c r="E2840" s="4">
        <f>[1]Raw_Data!E2838</f>
        <v>32.299999999999997</v>
      </c>
      <c r="F2840" s="5">
        <f>[1]Raw_Data!F2838</f>
        <v>5264.9</v>
      </c>
      <c r="G2840" s="4">
        <f>[1]Raw_Data!G2838</f>
        <v>0.08</v>
      </c>
      <c r="H2840" s="3">
        <f>[1]Raw_Data!H2838</f>
        <v>1</v>
      </c>
      <c r="I2840" s="3" t="str">
        <f>TRIM([1]Raw_Data!I2838)</f>
        <v>Canada</v>
      </c>
      <c r="J2840" s="3" t="str">
        <f>TRIM([1]Raw_Data!J2838)</f>
        <v>Walmart</v>
      </c>
      <c r="K2840" s="3">
        <f t="shared" si="176"/>
        <v>2023</v>
      </c>
      <c r="L2840" s="6">
        <f t="shared" si="177"/>
        <v>45047</v>
      </c>
      <c r="M2840" s="3" t="str">
        <f t="shared" si="178"/>
        <v>6% to 10%</v>
      </c>
      <c r="N2840" s="3" t="str">
        <f t="shared" si="179"/>
        <v>OK</v>
      </c>
    </row>
    <row r="2841" spans="1:14" x14ac:dyDescent="0.3">
      <c r="A2841" s="2">
        <f>DATE(VALUE(RIGHT(TRIM([1]Raw_Data!A2839),4)),VALUE(MID(TRIM([1]Raw_Data!A2839),4,2)),VALUE(LEFT(TRIM([1]Raw_Data!A2839),2)))</f>
        <v>45075</v>
      </c>
      <c r="B2841" s="3" t="str">
        <f>TRIM([1]Raw_Data!B2839)</f>
        <v>BCAA</v>
      </c>
      <c r="C2841" s="3" t="str">
        <f>TRIM([1]Raw_Data!C2839)</f>
        <v>Amino Acid</v>
      </c>
      <c r="D2841" s="3">
        <f>[1]Raw_Data!D2839</f>
        <v>148</v>
      </c>
      <c r="E2841" s="4">
        <f>[1]Raw_Data!E2839</f>
        <v>41.67</v>
      </c>
      <c r="F2841" s="5">
        <f>[1]Raw_Data!F2839</f>
        <v>6167.16</v>
      </c>
      <c r="G2841" s="4">
        <f>[1]Raw_Data!G2839</f>
        <v>0.2</v>
      </c>
      <c r="H2841" s="3">
        <f>[1]Raw_Data!H2839</f>
        <v>1</v>
      </c>
      <c r="I2841" s="3" t="str">
        <f>TRIM([1]Raw_Data!I2839)</f>
        <v>USA</v>
      </c>
      <c r="J2841" s="3" t="str">
        <f>TRIM([1]Raw_Data!J2839)</f>
        <v>iHerb</v>
      </c>
      <c r="K2841" s="3">
        <f t="shared" si="176"/>
        <v>2023</v>
      </c>
      <c r="L2841" s="6">
        <f t="shared" si="177"/>
        <v>45047</v>
      </c>
      <c r="M2841" s="3" t="str">
        <f t="shared" si="178"/>
        <v>16% to 20%</v>
      </c>
      <c r="N2841" s="3" t="str">
        <f t="shared" si="179"/>
        <v>OK</v>
      </c>
    </row>
    <row r="2842" spans="1:14" x14ac:dyDescent="0.3">
      <c r="A2842" s="2">
        <f>DATE(VALUE(RIGHT(TRIM([1]Raw_Data!A2840),4)),VALUE(MID(TRIM([1]Raw_Data!A2840),4,2)),VALUE(LEFT(TRIM([1]Raw_Data!A2840),2)))</f>
        <v>45075</v>
      </c>
      <c r="B2842" s="3" t="str">
        <f>TRIM([1]Raw_Data!B2840)</f>
        <v>Creatine</v>
      </c>
      <c r="C2842" s="3" t="str">
        <f>TRIM([1]Raw_Data!C2840)</f>
        <v>Performance</v>
      </c>
      <c r="D2842" s="3">
        <f>[1]Raw_Data!D2840</f>
        <v>139</v>
      </c>
      <c r="E2842" s="4">
        <f>[1]Raw_Data!E2840</f>
        <v>43.52</v>
      </c>
      <c r="F2842" s="5">
        <f>[1]Raw_Data!F2840</f>
        <v>6049.28</v>
      </c>
      <c r="G2842" s="4">
        <f>[1]Raw_Data!G2840</f>
        <v>0.23</v>
      </c>
      <c r="H2842" s="3">
        <f>[1]Raw_Data!H2840</f>
        <v>0</v>
      </c>
      <c r="I2842" s="3" t="str">
        <f>TRIM([1]Raw_Data!I2840)</f>
        <v>Canada</v>
      </c>
      <c r="J2842" s="3" t="str">
        <f>TRIM([1]Raw_Data!J2840)</f>
        <v>Walmart</v>
      </c>
      <c r="K2842" s="3">
        <f t="shared" si="176"/>
        <v>2023</v>
      </c>
      <c r="L2842" s="6">
        <f t="shared" si="177"/>
        <v>45047</v>
      </c>
      <c r="M2842" s="3" t="str">
        <f t="shared" si="178"/>
        <v>21% to 25%</v>
      </c>
      <c r="N2842" s="3" t="str">
        <f t="shared" si="179"/>
        <v>OK</v>
      </c>
    </row>
    <row r="2843" spans="1:14" x14ac:dyDescent="0.3">
      <c r="A2843" s="2">
        <f>DATE(VALUE(RIGHT(TRIM([1]Raw_Data!A2841),4)),VALUE(MID(TRIM([1]Raw_Data!A2841),4,2)),VALUE(LEFT(TRIM([1]Raw_Data!A2841),2)))</f>
        <v>45075</v>
      </c>
      <c r="B2843" s="3" t="str">
        <f>TRIM([1]Raw_Data!B2841)</f>
        <v>Zinc</v>
      </c>
      <c r="C2843" s="3" t="str">
        <f>TRIM([1]Raw_Data!C2841)</f>
        <v>Mineral</v>
      </c>
      <c r="D2843" s="3">
        <f>[1]Raw_Data!D2841</f>
        <v>165</v>
      </c>
      <c r="E2843" s="4">
        <f>[1]Raw_Data!E2841</f>
        <v>41.07</v>
      </c>
      <c r="F2843" s="5">
        <f>[1]Raw_Data!F2841</f>
        <v>6776.55</v>
      </c>
      <c r="G2843" s="4">
        <f>[1]Raw_Data!G2841</f>
        <v>0.02</v>
      </c>
      <c r="H2843" s="3">
        <f>[1]Raw_Data!H2841</f>
        <v>1</v>
      </c>
      <c r="I2843" s="3" t="str">
        <f>TRIM([1]Raw_Data!I2841)</f>
        <v>Canada</v>
      </c>
      <c r="J2843" s="3" t="str">
        <f>TRIM([1]Raw_Data!J2841)</f>
        <v>iHerb</v>
      </c>
      <c r="K2843" s="3">
        <f t="shared" si="176"/>
        <v>2023</v>
      </c>
      <c r="L2843" s="6">
        <f t="shared" si="177"/>
        <v>45047</v>
      </c>
      <c r="M2843" s="3" t="str">
        <f t="shared" si="178"/>
        <v>0% to 5%</v>
      </c>
      <c r="N2843" s="3" t="str">
        <f t="shared" si="179"/>
        <v>OK</v>
      </c>
    </row>
    <row r="2844" spans="1:14" x14ac:dyDescent="0.3">
      <c r="A2844" s="2">
        <f>DATE(VALUE(RIGHT(TRIM([1]Raw_Data!A2842),4)),VALUE(MID(TRIM([1]Raw_Data!A2842),4,2)),VALUE(LEFT(TRIM([1]Raw_Data!A2842),2)))</f>
        <v>45075</v>
      </c>
      <c r="B2844" s="3" t="str">
        <f>TRIM([1]Raw_Data!B2842)</f>
        <v>Collagen Peptides</v>
      </c>
      <c r="C2844" s="3" t="str">
        <f>TRIM([1]Raw_Data!C2842)</f>
        <v>Protein</v>
      </c>
      <c r="D2844" s="3">
        <f>[1]Raw_Data!D2842</f>
        <v>139</v>
      </c>
      <c r="E2844" s="4">
        <f>[1]Raw_Data!E2842</f>
        <v>35.200000000000003</v>
      </c>
      <c r="F2844" s="5">
        <f>[1]Raw_Data!F2842</f>
        <v>4892.8</v>
      </c>
      <c r="G2844" s="4">
        <f>[1]Raw_Data!G2842</f>
        <v>0.2</v>
      </c>
      <c r="H2844" s="3">
        <f>[1]Raw_Data!H2842</f>
        <v>2</v>
      </c>
      <c r="I2844" s="3" t="str">
        <f>TRIM([1]Raw_Data!I2842)</f>
        <v>USA</v>
      </c>
      <c r="J2844" s="3" t="str">
        <f>TRIM([1]Raw_Data!J2842)</f>
        <v>Amazon</v>
      </c>
      <c r="K2844" s="3">
        <f t="shared" si="176"/>
        <v>2023</v>
      </c>
      <c r="L2844" s="6">
        <f t="shared" si="177"/>
        <v>45047</v>
      </c>
      <c r="M2844" s="3" t="str">
        <f t="shared" si="178"/>
        <v>16% to 20%</v>
      </c>
      <c r="N2844" s="3" t="str">
        <f t="shared" si="179"/>
        <v>OK</v>
      </c>
    </row>
    <row r="2845" spans="1:14" x14ac:dyDescent="0.3">
      <c r="A2845" s="2">
        <f>DATE(VALUE(RIGHT(TRIM([1]Raw_Data!A2843),4)),VALUE(MID(TRIM([1]Raw_Data!A2843),4,2)),VALUE(LEFT(TRIM([1]Raw_Data!A2843),2)))</f>
        <v>45075</v>
      </c>
      <c r="B2845" s="3" t="str">
        <f>TRIM([1]Raw_Data!B2843)</f>
        <v>Magnesium</v>
      </c>
      <c r="C2845" s="3" t="str">
        <f>TRIM([1]Raw_Data!C2843)</f>
        <v>Mineral</v>
      </c>
      <c r="D2845" s="3">
        <f>[1]Raw_Data!D2843</f>
        <v>153</v>
      </c>
      <c r="E2845" s="4">
        <f>[1]Raw_Data!E2843</f>
        <v>31.37</v>
      </c>
      <c r="F2845" s="5">
        <f>[1]Raw_Data!F2843</f>
        <v>4799.6099999999997</v>
      </c>
      <c r="G2845" s="4">
        <f>[1]Raw_Data!G2843</f>
        <v>0.24</v>
      </c>
      <c r="H2845" s="3">
        <f>[1]Raw_Data!H2843</f>
        <v>2</v>
      </c>
      <c r="I2845" s="3" t="str">
        <f>TRIM([1]Raw_Data!I2843)</f>
        <v>Canada</v>
      </c>
      <c r="J2845" s="3" t="str">
        <f>TRIM([1]Raw_Data!J2843)</f>
        <v>Amazon</v>
      </c>
      <c r="K2845" s="3">
        <f t="shared" si="176"/>
        <v>2023</v>
      </c>
      <c r="L2845" s="6">
        <f t="shared" si="177"/>
        <v>45047</v>
      </c>
      <c r="M2845" s="3" t="str">
        <f t="shared" si="178"/>
        <v>21% to 25%</v>
      </c>
      <c r="N2845" s="3" t="str">
        <f t="shared" si="179"/>
        <v>OK</v>
      </c>
    </row>
    <row r="2846" spans="1:14" x14ac:dyDescent="0.3">
      <c r="A2846" s="2">
        <f>DATE(VALUE(RIGHT(TRIM([1]Raw_Data!A2844),4)),VALUE(MID(TRIM([1]Raw_Data!A2844),4,2)),VALUE(LEFT(TRIM([1]Raw_Data!A2844),2)))</f>
        <v>45075</v>
      </c>
      <c r="B2846" s="3" t="str">
        <f>TRIM([1]Raw_Data!B2844)</f>
        <v>Ashwagandha</v>
      </c>
      <c r="C2846" s="3" t="str">
        <f>TRIM([1]Raw_Data!C2844)</f>
        <v>Herbal</v>
      </c>
      <c r="D2846" s="3">
        <f>[1]Raw_Data!D2844</f>
        <v>141</v>
      </c>
      <c r="E2846" s="4">
        <f>[1]Raw_Data!E2844</f>
        <v>40.57</v>
      </c>
      <c r="F2846" s="5">
        <f>[1]Raw_Data!F2844</f>
        <v>5720.37</v>
      </c>
      <c r="G2846" s="4">
        <f>[1]Raw_Data!G2844</f>
        <v>0.13</v>
      </c>
      <c r="H2846" s="3">
        <f>[1]Raw_Data!H2844</f>
        <v>0</v>
      </c>
      <c r="I2846" s="3" t="str">
        <f>TRIM([1]Raw_Data!I2844)</f>
        <v>UK</v>
      </c>
      <c r="J2846" s="3" t="str">
        <f>TRIM([1]Raw_Data!J2844)</f>
        <v>Amazon</v>
      </c>
      <c r="K2846" s="3">
        <f t="shared" si="176"/>
        <v>2023</v>
      </c>
      <c r="L2846" s="6">
        <f t="shared" si="177"/>
        <v>45047</v>
      </c>
      <c r="M2846" s="3" t="str">
        <f t="shared" si="178"/>
        <v>11% to 15%</v>
      </c>
      <c r="N2846" s="3" t="str">
        <f t="shared" si="179"/>
        <v>OK</v>
      </c>
    </row>
    <row r="2847" spans="1:14" x14ac:dyDescent="0.3">
      <c r="A2847" s="2">
        <f>DATE(VALUE(RIGHT(TRIM([1]Raw_Data!A2845),4)),VALUE(MID(TRIM([1]Raw_Data!A2845),4,2)),VALUE(LEFT(TRIM([1]Raw_Data!A2845),2)))</f>
        <v>45075</v>
      </c>
      <c r="B2847" s="3" t="str">
        <f>TRIM([1]Raw_Data!B2845)</f>
        <v>Melatonin</v>
      </c>
      <c r="C2847" s="3" t="str">
        <f>TRIM([1]Raw_Data!C2845)</f>
        <v>Sleep Aid</v>
      </c>
      <c r="D2847" s="3">
        <f>[1]Raw_Data!D2845</f>
        <v>163</v>
      </c>
      <c r="E2847" s="4">
        <f>[1]Raw_Data!E2845</f>
        <v>43.09</v>
      </c>
      <c r="F2847" s="5">
        <f>[1]Raw_Data!F2845</f>
        <v>7023.67</v>
      </c>
      <c r="G2847" s="4">
        <f>[1]Raw_Data!G2845</f>
        <v>0.02</v>
      </c>
      <c r="H2847" s="3">
        <f>[1]Raw_Data!H2845</f>
        <v>1</v>
      </c>
      <c r="I2847" s="3" t="str">
        <f>TRIM([1]Raw_Data!I2845)</f>
        <v>Canada</v>
      </c>
      <c r="J2847" s="3" t="str">
        <f>TRIM([1]Raw_Data!J2845)</f>
        <v>Walmart</v>
      </c>
      <c r="K2847" s="3">
        <f t="shared" si="176"/>
        <v>2023</v>
      </c>
      <c r="L2847" s="6">
        <f t="shared" si="177"/>
        <v>45047</v>
      </c>
      <c r="M2847" s="3" t="str">
        <f t="shared" si="178"/>
        <v>0% to 5%</v>
      </c>
      <c r="N2847" s="3" t="str">
        <f t="shared" si="179"/>
        <v>OK</v>
      </c>
    </row>
    <row r="2848" spans="1:14" x14ac:dyDescent="0.3">
      <c r="A2848" s="2">
        <f>DATE(VALUE(RIGHT(TRIM([1]Raw_Data!A2846),4)),VALUE(MID(TRIM([1]Raw_Data!A2846),4,2)),VALUE(LEFT(TRIM([1]Raw_Data!A2846),2)))</f>
        <v>45075</v>
      </c>
      <c r="B2848" s="3" t="str">
        <f>TRIM([1]Raw_Data!B2846)</f>
        <v>Biotin</v>
      </c>
      <c r="C2848" s="3" t="str">
        <f>TRIM([1]Raw_Data!C2846)</f>
        <v>Vitamin</v>
      </c>
      <c r="D2848" s="3">
        <f>[1]Raw_Data!D2846</f>
        <v>174</v>
      </c>
      <c r="E2848" s="4">
        <f>[1]Raw_Data!E2846</f>
        <v>24.28</v>
      </c>
      <c r="F2848" s="5">
        <f>[1]Raw_Data!F2846</f>
        <v>4224.72</v>
      </c>
      <c r="G2848" s="4">
        <f>[1]Raw_Data!G2846</f>
        <v>0.04</v>
      </c>
      <c r="H2848" s="3">
        <f>[1]Raw_Data!H2846</f>
        <v>1</v>
      </c>
      <c r="I2848" s="3" t="str">
        <f>TRIM([1]Raw_Data!I2846)</f>
        <v>USA</v>
      </c>
      <c r="J2848" s="3" t="str">
        <f>TRIM([1]Raw_Data!J2846)</f>
        <v>iHerb</v>
      </c>
      <c r="K2848" s="3">
        <f t="shared" si="176"/>
        <v>2023</v>
      </c>
      <c r="L2848" s="6">
        <f t="shared" si="177"/>
        <v>45047</v>
      </c>
      <c r="M2848" s="3" t="str">
        <f t="shared" si="178"/>
        <v>0% to 5%</v>
      </c>
      <c r="N2848" s="3" t="str">
        <f t="shared" si="179"/>
        <v>OK</v>
      </c>
    </row>
    <row r="2849" spans="1:14" x14ac:dyDescent="0.3">
      <c r="A2849" s="2">
        <f>DATE(VALUE(RIGHT(TRIM([1]Raw_Data!A2847),4)),VALUE(MID(TRIM([1]Raw_Data!A2847),4,2)),VALUE(LEFT(TRIM([1]Raw_Data!A2847),2)))</f>
        <v>45075</v>
      </c>
      <c r="B2849" s="3" t="str">
        <f>TRIM([1]Raw_Data!B2847)</f>
        <v>Green Tea Extract</v>
      </c>
      <c r="C2849" s="3" t="str">
        <f>TRIM([1]Raw_Data!C2847)</f>
        <v>Fat Burner</v>
      </c>
      <c r="D2849" s="3">
        <f>[1]Raw_Data!D2847</f>
        <v>145</v>
      </c>
      <c r="E2849" s="4">
        <f>[1]Raw_Data!E2847</f>
        <v>58.32</v>
      </c>
      <c r="F2849" s="5">
        <f>[1]Raw_Data!F2847</f>
        <v>8456.4</v>
      </c>
      <c r="G2849" s="4">
        <f>[1]Raw_Data!G2847</f>
        <v>0.09</v>
      </c>
      <c r="H2849" s="3">
        <f>[1]Raw_Data!H2847</f>
        <v>0</v>
      </c>
      <c r="I2849" s="3" t="str">
        <f>TRIM([1]Raw_Data!I2847)</f>
        <v>UK</v>
      </c>
      <c r="J2849" s="3" t="str">
        <f>TRIM([1]Raw_Data!J2847)</f>
        <v>iHerb</v>
      </c>
      <c r="K2849" s="3">
        <f t="shared" si="176"/>
        <v>2023</v>
      </c>
      <c r="L2849" s="6">
        <f t="shared" si="177"/>
        <v>45047</v>
      </c>
      <c r="M2849" s="3" t="str">
        <f t="shared" si="178"/>
        <v>6% to 10%</v>
      </c>
      <c r="N2849" s="3" t="str">
        <f t="shared" si="179"/>
        <v>OK</v>
      </c>
    </row>
    <row r="2850" spans="1:14" x14ac:dyDescent="0.3">
      <c r="A2850" s="2">
        <f>DATE(VALUE(RIGHT(TRIM([1]Raw_Data!A2848),4)),VALUE(MID(TRIM([1]Raw_Data!A2848),4,2)),VALUE(LEFT(TRIM([1]Raw_Data!A2848),2)))</f>
        <v>45075</v>
      </c>
      <c r="B2850" s="3" t="str">
        <f>TRIM([1]Raw_Data!B2848)</f>
        <v>Iron Supplement</v>
      </c>
      <c r="C2850" s="3" t="str">
        <f>TRIM([1]Raw_Data!C2848)</f>
        <v>Mineral</v>
      </c>
      <c r="D2850" s="3">
        <f>[1]Raw_Data!D2848</f>
        <v>168</v>
      </c>
      <c r="E2850" s="4">
        <f>[1]Raw_Data!E2848</f>
        <v>57.64</v>
      </c>
      <c r="F2850" s="5">
        <f>[1]Raw_Data!F2848</f>
        <v>9683.52</v>
      </c>
      <c r="G2850" s="4">
        <f>[1]Raw_Data!G2848</f>
        <v>0.17</v>
      </c>
      <c r="H2850" s="3">
        <f>[1]Raw_Data!H2848</f>
        <v>4</v>
      </c>
      <c r="I2850" s="3" t="str">
        <f>TRIM([1]Raw_Data!I2848)</f>
        <v>USA</v>
      </c>
      <c r="J2850" s="3" t="str">
        <f>TRIM([1]Raw_Data!J2848)</f>
        <v>Amazon</v>
      </c>
      <c r="K2850" s="3">
        <f t="shared" si="176"/>
        <v>2023</v>
      </c>
      <c r="L2850" s="6">
        <f t="shared" si="177"/>
        <v>45047</v>
      </c>
      <c r="M2850" s="3" t="str">
        <f t="shared" si="178"/>
        <v>16% to 20%</v>
      </c>
      <c r="N2850" s="3" t="str">
        <f t="shared" si="179"/>
        <v>OK</v>
      </c>
    </row>
    <row r="2851" spans="1:14" x14ac:dyDescent="0.3">
      <c r="A2851" s="2">
        <f>DATE(VALUE(RIGHT(TRIM([1]Raw_Data!A2849),4)),VALUE(MID(TRIM([1]Raw_Data!A2849),4,2)),VALUE(LEFT(TRIM([1]Raw_Data!A2849),2)))</f>
        <v>45075</v>
      </c>
      <c r="B2851" s="3" t="str">
        <f>TRIM([1]Raw_Data!B2849)</f>
        <v>Electrolyte Powder</v>
      </c>
      <c r="C2851" s="3" t="str">
        <f>TRIM([1]Raw_Data!C2849)</f>
        <v>Hydration</v>
      </c>
      <c r="D2851" s="3">
        <f>[1]Raw_Data!D2849</f>
        <v>138</v>
      </c>
      <c r="E2851" s="4">
        <f>[1]Raw_Data!E2849</f>
        <v>34.409999999999997</v>
      </c>
      <c r="F2851" s="5">
        <f>[1]Raw_Data!F2849</f>
        <v>4748.58</v>
      </c>
      <c r="G2851" s="4">
        <f>[1]Raw_Data!G2849</f>
        <v>0.11</v>
      </c>
      <c r="H2851" s="3">
        <f>[1]Raw_Data!H2849</f>
        <v>1</v>
      </c>
      <c r="I2851" s="3" t="str">
        <f>TRIM([1]Raw_Data!I2849)</f>
        <v>Canada</v>
      </c>
      <c r="J2851" s="3" t="str">
        <f>TRIM([1]Raw_Data!J2849)</f>
        <v>iHerb</v>
      </c>
      <c r="K2851" s="3">
        <f t="shared" si="176"/>
        <v>2023</v>
      </c>
      <c r="L2851" s="6">
        <f t="shared" si="177"/>
        <v>45047</v>
      </c>
      <c r="M2851" s="3" t="str">
        <f t="shared" si="178"/>
        <v>11% to 15%</v>
      </c>
      <c r="N2851" s="3" t="str">
        <f t="shared" si="179"/>
        <v>OK</v>
      </c>
    </row>
    <row r="2852" spans="1:14" x14ac:dyDescent="0.3">
      <c r="A2852" s="2">
        <f>DATE(VALUE(RIGHT(TRIM([1]Raw_Data!A2850),4)),VALUE(MID(TRIM([1]Raw_Data!A2850),4,2)),VALUE(LEFT(TRIM([1]Raw_Data!A2850),2)))</f>
        <v>45082</v>
      </c>
      <c r="B2852" s="3" t="str">
        <f>TRIM([1]Raw_Data!B2850)</f>
        <v>Whey Protein</v>
      </c>
      <c r="C2852" s="3" t="str">
        <f>TRIM([1]Raw_Data!C2850)</f>
        <v>Protein</v>
      </c>
      <c r="D2852" s="3">
        <f>[1]Raw_Data!D2850</f>
        <v>156</v>
      </c>
      <c r="E2852" s="4">
        <f>[1]Raw_Data!E2850</f>
        <v>46.72</v>
      </c>
      <c r="F2852" s="5">
        <f>[1]Raw_Data!F2850</f>
        <v>7288.32</v>
      </c>
      <c r="G2852" s="4">
        <f>[1]Raw_Data!G2850</f>
        <v>0.18</v>
      </c>
      <c r="H2852" s="3">
        <f>[1]Raw_Data!H2850</f>
        <v>1</v>
      </c>
      <c r="I2852" s="3" t="str">
        <f>TRIM([1]Raw_Data!I2850)</f>
        <v>Canada</v>
      </c>
      <c r="J2852" s="3" t="str">
        <f>TRIM([1]Raw_Data!J2850)</f>
        <v>Amazon</v>
      </c>
      <c r="K2852" s="3">
        <f t="shared" si="176"/>
        <v>2023</v>
      </c>
      <c r="L2852" s="6">
        <f t="shared" si="177"/>
        <v>45078</v>
      </c>
      <c r="M2852" s="3" t="str">
        <f t="shared" si="178"/>
        <v>16% to 20%</v>
      </c>
      <c r="N2852" s="3" t="str">
        <f t="shared" si="179"/>
        <v>OK</v>
      </c>
    </row>
    <row r="2853" spans="1:14" x14ac:dyDescent="0.3">
      <c r="A2853" s="2">
        <f>DATE(VALUE(RIGHT(TRIM([1]Raw_Data!A2851),4)),VALUE(MID(TRIM([1]Raw_Data!A2851),4,2)),VALUE(LEFT(TRIM([1]Raw_Data!A2851),2)))</f>
        <v>45082</v>
      </c>
      <c r="B2853" s="3" t="str">
        <f>TRIM([1]Raw_Data!B2851)</f>
        <v>Vitamin C</v>
      </c>
      <c r="C2853" s="3" t="str">
        <f>TRIM([1]Raw_Data!C2851)</f>
        <v>Vitamin</v>
      </c>
      <c r="D2853" s="3">
        <f>[1]Raw_Data!D2851</f>
        <v>172</v>
      </c>
      <c r="E2853" s="4">
        <f>[1]Raw_Data!E2851</f>
        <v>23.37</v>
      </c>
      <c r="F2853" s="5">
        <f>[1]Raw_Data!F2851</f>
        <v>4019.64</v>
      </c>
      <c r="G2853" s="4">
        <f>[1]Raw_Data!G2851</f>
        <v>0.02</v>
      </c>
      <c r="H2853" s="3">
        <f>[1]Raw_Data!H2851</f>
        <v>3</v>
      </c>
      <c r="I2853" s="3" t="str">
        <f>TRIM([1]Raw_Data!I2851)</f>
        <v>Canada</v>
      </c>
      <c r="J2853" s="3" t="str">
        <f>TRIM([1]Raw_Data!J2851)</f>
        <v>Walmart</v>
      </c>
      <c r="K2853" s="3">
        <f t="shared" si="176"/>
        <v>2023</v>
      </c>
      <c r="L2853" s="6">
        <f t="shared" si="177"/>
        <v>45078</v>
      </c>
      <c r="M2853" s="3" t="str">
        <f t="shared" si="178"/>
        <v>0% to 5%</v>
      </c>
      <c r="N2853" s="3" t="str">
        <f t="shared" si="179"/>
        <v>OK</v>
      </c>
    </row>
    <row r="2854" spans="1:14" x14ac:dyDescent="0.3">
      <c r="A2854" s="2">
        <f>DATE(VALUE(RIGHT(TRIM([1]Raw_Data!A2852),4)),VALUE(MID(TRIM([1]Raw_Data!A2852),4,2)),VALUE(LEFT(TRIM([1]Raw_Data!A2852),2)))</f>
        <v>45082</v>
      </c>
      <c r="B2854" s="3" t="str">
        <f>TRIM([1]Raw_Data!B2852)</f>
        <v>Fish Oil</v>
      </c>
      <c r="C2854" s="3" t="str">
        <f>TRIM([1]Raw_Data!C2852)</f>
        <v>Omega</v>
      </c>
      <c r="D2854" s="3">
        <f>[1]Raw_Data!D2852</f>
        <v>154</v>
      </c>
      <c r="E2854" s="4">
        <f>[1]Raw_Data!E2852</f>
        <v>18.190000000000001</v>
      </c>
      <c r="F2854" s="5">
        <f>[1]Raw_Data!F2852</f>
        <v>2801.26</v>
      </c>
      <c r="G2854" s="4">
        <f>[1]Raw_Data!G2852</f>
        <v>0.01</v>
      </c>
      <c r="H2854" s="3">
        <f>[1]Raw_Data!H2852</f>
        <v>0</v>
      </c>
      <c r="I2854" s="3" t="str">
        <f>TRIM([1]Raw_Data!I2852)</f>
        <v>Canada</v>
      </c>
      <c r="J2854" s="3" t="str">
        <f>TRIM([1]Raw_Data!J2852)</f>
        <v>Walmart</v>
      </c>
      <c r="K2854" s="3">
        <f t="shared" si="176"/>
        <v>2023</v>
      </c>
      <c r="L2854" s="6">
        <f t="shared" si="177"/>
        <v>45078</v>
      </c>
      <c r="M2854" s="3" t="str">
        <f t="shared" si="178"/>
        <v>0% to 5%</v>
      </c>
      <c r="N2854" s="3" t="str">
        <f t="shared" si="179"/>
        <v>OK</v>
      </c>
    </row>
    <row r="2855" spans="1:14" x14ac:dyDescent="0.3">
      <c r="A2855" s="2">
        <f>DATE(VALUE(RIGHT(TRIM([1]Raw_Data!A2853),4)),VALUE(MID(TRIM([1]Raw_Data!A2853),4,2)),VALUE(LEFT(TRIM([1]Raw_Data!A2853),2)))</f>
        <v>45082</v>
      </c>
      <c r="B2855" s="3" t="str">
        <f>TRIM([1]Raw_Data!B2853)</f>
        <v>Multivitamin</v>
      </c>
      <c r="C2855" s="3" t="str">
        <f>TRIM([1]Raw_Data!C2853)</f>
        <v>Vitamin</v>
      </c>
      <c r="D2855" s="3">
        <f>[1]Raw_Data!D2853</f>
        <v>148</v>
      </c>
      <c r="E2855" s="4">
        <f>[1]Raw_Data!E2853</f>
        <v>22.95</v>
      </c>
      <c r="F2855" s="5">
        <f>[1]Raw_Data!F2853</f>
        <v>3396.6</v>
      </c>
      <c r="G2855" s="4">
        <f>[1]Raw_Data!G2853</f>
        <v>0.22</v>
      </c>
      <c r="H2855" s="3">
        <f>[1]Raw_Data!H2853</f>
        <v>1</v>
      </c>
      <c r="I2855" s="3" t="str">
        <f>TRIM([1]Raw_Data!I2853)</f>
        <v>Canada</v>
      </c>
      <c r="J2855" s="3" t="str">
        <f>TRIM([1]Raw_Data!J2853)</f>
        <v>Walmart</v>
      </c>
      <c r="K2855" s="3">
        <f t="shared" si="176"/>
        <v>2023</v>
      </c>
      <c r="L2855" s="6">
        <f t="shared" si="177"/>
        <v>45078</v>
      </c>
      <c r="M2855" s="3" t="str">
        <f t="shared" si="178"/>
        <v>21% to 25%</v>
      </c>
      <c r="N2855" s="3" t="str">
        <f t="shared" si="179"/>
        <v>OK</v>
      </c>
    </row>
    <row r="2856" spans="1:14" x14ac:dyDescent="0.3">
      <c r="A2856" s="2">
        <f>DATE(VALUE(RIGHT(TRIM([1]Raw_Data!A2854),4)),VALUE(MID(TRIM([1]Raw_Data!A2854),4,2)),VALUE(LEFT(TRIM([1]Raw_Data!A2854),2)))</f>
        <v>45082</v>
      </c>
      <c r="B2856" s="3" t="str">
        <f>TRIM([1]Raw_Data!B2854)</f>
        <v>Pre-Workout</v>
      </c>
      <c r="C2856" s="3" t="str">
        <f>TRIM([1]Raw_Data!C2854)</f>
        <v>Performance</v>
      </c>
      <c r="D2856" s="3">
        <f>[1]Raw_Data!D2854</f>
        <v>158</v>
      </c>
      <c r="E2856" s="4">
        <f>[1]Raw_Data!E2854</f>
        <v>28.26</v>
      </c>
      <c r="F2856" s="5">
        <f>[1]Raw_Data!F2854</f>
        <v>4465.08</v>
      </c>
      <c r="G2856" s="4">
        <f>[1]Raw_Data!G2854</f>
        <v>0.12</v>
      </c>
      <c r="H2856" s="3">
        <f>[1]Raw_Data!H2854</f>
        <v>0</v>
      </c>
      <c r="I2856" s="3" t="str">
        <f>TRIM([1]Raw_Data!I2854)</f>
        <v>USA</v>
      </c>
      <c r="J2856" s="3" t="str">
        <f>TRIM([1]Raw_Data!J2854)</f>
        <v>iHerb</v>
      </c>
      <c r="K2856" s="3">
        <f t="shared" si="176"/>
        <v>2023</v>
      </c>
      <c r="L2856" s="6">
        <f t="shared" si="177"/>
        <v>45078</v>
      </c>
      <c r="M2856" s="3" t="str">
        <f t="shared" si="178"/>
        <v>11% to 15%</v>
      </c>
      <c r="N2856" s="3" t="str">
        <f t="shared" si="179"/>
        <v>OK</v>
      </c>
    </row>
    <row r="2857" spans="1:14" x14ac:dyDescent="0.3">
      <c r="A2857" s="2">
        <f>DATE(VALUE(RIGHT(TRIM([1]Raw_Data!A2855),4)),VALUE(MID(TRIM([1]Raw_Data!A2855),4,2)),VALUE(LEFT(TRIM([1]Raw_Data!A2855),2)))</f>
        <v>45082</v>
      </c>
      <c r="B2857" s="3" t="str">
        <f>TRIM([1]Raw_Data!B2855)</f>
        <v>BCAA</v>
      </c>
      <c r="C2857" s="3" t="str">
        <f>TRIM([1]Raw_Data!C2855)</f>
        <v>Amino Acid</v>
      </c>
      <c r="D2857" s="3">
        <f>[1]Raw_Data!D2855</f>
        <v>133</v>
      </c>
      <c r="E2857" s="4">
        <f>[1]Raw_Data!E2855</f>
        <v>56.97</v>
      </c>
      <c r="F2857" s="5">
        <f>[1]Raw_Data!F2855</f>
        <v>7577.01</v>
      </c>
      <c r="G2857" s="4">
        <f>[1]Raw_Data!G2855</f>
        <v>0.02</v>
      </c>
      <c r="H2857" s="3">
        <f>[1]Raw_Data!H2855</f>
        <v>1</v>
      </c>
      <c r="I2857" s="3" t="str">
        <f>TRIM([1]Raw_Data!I2855)</f>
        <v>Canada</v>
      </c>
      <c r="J2857" s="3" t="str">
        <f>TRIM([1]Raw_Data!J2855)</f>
        <v>Walmart</v>
      </c>
      <c r="K2857" s="3">
        <f t="shared" si="176"/>
        <v>2023</v>
      </c>
      <c r="L2857" s="6">
        <f t="shared" si="177"/>
        <v>45078</v>
      </c>
      <c r="M2857" s="3" t="str">
        <f t="shared" si="178"/>
        <v>0% to 5%</v>
      </c>
      <c r="N2857" s="3" t="str">
        <f t="shared" si="179"/>
        <v>OK</v>
      </c>
    </row>
    <row r="2858" spans="1:14" x14ac:dyDescent="0.3">
      <c r="A2858" s="2">
        <f>DATE(VALUE(RIGHT(TRIM([1]Raw_Data!A2856),4)),VALUE(MID(TRIM([1]Raw_Data!A2856),4,2)),VALUE(LEFT(TRIM([1]Raw_Data!A2856),2)))</f>
        <v>45082</v>
      </c>
      <c r="B2858" s="3" t="str">
        <f>TRIM([1]Raw_Data!B2856)</f>
        <v>Creatine</v>
      </c>
      <c r="C2858" s="3" t="str">
        <f>TRIM([1]Raw_Data!C2856)</f>
        <v>Performance</v>
      </c>
      <c r="D2858" s="3">
        <f>[1]Raw_Data!D2856</f>
        <v>181</v>
      </c>
      <c r="E2858" s="4">
        <f>[1]Raw_Data!E2856</f>
        <v>42.18</v>
      </c>
      <c r="F2858" s="5">
        <f>[1]Raw_Data!F2856</f>
        <v>7634.58</v>
      </c>
      <c r="G2858" s="4">
        <f>[1]Raw_Data!G2856</f>
        <v>0.24</v>
      </c>
      <c r="H2858" s="3">
        <f>[1]Raw_Data!H2856</f>
        <v>5</v>
      </c>
      <c r="I2858" s="3" t="str">
        <f>TRIM([1]Raw_Data!I2856)</f>
        <v>USA</v>
      </c>
      <c r="J2858" s="3" t="str">
        <f>TRIM([1]Raw_Data!J2856)</f>
        <v>Amazon</v>
      </c>
      <c r="K2858" s="3">
        <f t="shared" si="176"/>
        <v>2023</v>
      </c>
      <c r="L2858" s="6">
        <f t="shared" si="177"/>
        <v>45078</v>
      </c>
      <c r="M2858" s="3" t="str">
        <f t="shared" si="178"/>
        <v>21% to 25%</v>
      </c>
      <c r="N2858" s="3" t="str">
        <f t="shared" si="179"/>
        <v>OK</v>
      </c>
    </row>
    <row r="2859" spans="1:14" x14ac:dyDescent="0.3">
      <c r="A2859" s="2">
        <f>DATE(VALUE(RIGHT(TRIM([1]Raw_Data!A2857),4)),VALUE(MID(TRIM([1]Raw_Data!A2857),4,2)),VALUE(LEFT(TRIM([1]Raw_Data!A2857),2)))</f>
        <v>45082</v>
      </c>
      <c r="B2859" s="3" t="str">
        <f>TRIM([1]Raw_Data!B2857)</f>
        <v>Zinc</v>
      </c>
      <c r="C2859" s="3" t="str">
        <f>TRIM([1]Raw_Data!C2857)</f>
        <v>Mineral</v>
      </c>
      <c r="D2859" s="3">
        <f>[1]Raw_Data!D2857</f>
        <v>149</v>
      </c>
      <c r="E2859" s="4">
        <f>[1]Raw_Data!E2857</f>
        <v>20.100000000000001</v>
      </c>
      <c r="F2859" s="5">
        <f>[1]Raw_Data!F2857</f>
        <v>2994.9</v>
      </c>
      <c r="G2859" s="4">
        <f>[1]Raw_Data!G2857</f>
        <v>0.22</v>
      </c>
      <c r="H2859" s="3">
        <f>[1]Raw_Data!H2857</f>
        <v>3</v>
      </c>
      <c r="I2859" s="3" t="str">
        <f>TRIM([1]Raw_Data!I2857)</f>
        <v>UK</v>
      </c>
      <c r="J2859" s="3" t="str">
        <f>TRIM([1]Raw_Data!J2857)</f>
        <v>Amazon</v>
      </c>
      <c r="K2859" s="3">
        <f t="shared" si="176"/>
        <v>2023</v>
      </c>
      <c r="L2859" s="6">
        <f t="shared" si="177"/>
        <v>45078</v>
      </c>
      <c r="M2859" s="3" t="str">
        <f t="shared" si="178"/>
        <v>21% to 25%</v>
      </c>
      <c r="N2859" s="3" t="str">
        <f t="shared" si="179"/>
        <v>OK</v>
      </c>
    </row>
    <row r="2860" spans="1:14" x14ac:dyDescent="0.3">
      <c r="A2860" s="2">
        <f>DATE(VALUE(RIGHT(TRIM([1]Raw_Data!A2858),4)),VALUE(MID(TRIM([1]Raw_Data!A2858),4,2)),VALUE(LEFT(TRIM([1]Raw_Data!A2858),2)))</f>
        <v>45082</v>
      </c>
      <c r="B2860" s="3" t="str">
        <f>TRIM([1]Raw_Data!B2858)</f>
        <v>Collagen Peptides</v>
      </c>
      <c r="C2860" s="3" t="str">
        <f>TRIM([1]Raw_Data!C2858)</f>
        <v>Protein</v>
      </c>
      <c r="D2860" s="3">
        <f>[1]Raw_Data!D2858</f>
        <v>154</v>
      </c>
      <c r="E2860" s="4">
        <f>[1]Raw_Data!E2858</f>
        <v>47</v>
      </c>
      <c r="F2860" s="5">
        <f>[1]Raw_Data!F2858</f>
        <v>7238</v>
      </c>
      <c r="G2860" s="4">
        <f>[1]Raw_Data!G2858</f>
        <v>0.17</v>
      </c>
      <c r="H2860" s="3">
        <f>[1]Raw_Data!H2858</f>
        <v>3</v>
      </c>
      <c r="I2860" s="3" t="str">
        <f>TRIM([1]Raw_Data!I2858)</f>
        <v>Canada</v>
      </c>
      <c r="J2860" s="3" t="str">
        <f>TRIM([1]Raw_Data!J2858)</f>
        <v>Walmart</v>
      </c>
      <c r="K2860" s="3">
        <f t="shared" si="176"/>
        <v>2023</v>
      </c>
      <c r="L2860" s="6">
        <f t="shared" si="177"/>
        <v>45078</v>
      </c>
      <c r="M2860" s="3" t="str">
        <f t="shared" si="178"/>
        <v>16% to 20%</v>
      </c>
      <c r="N2860" s="3" t="str">
        <f t="shared" si="179"/>
        <v>OK</v>
      </c>
    </row>
    <row r="2861" spans="1:14" x14ac:dyDescent="0.3">
      <c r="A2861" s="2">
        <f>DATE(VALUE(RIGHT(TRIM([1]Raw_Data!A2859),4)),VALUE(MID(TRIM([1]Raw_Data!A2859),4,2)),VALUE(LEFT(TRIM([1]Raw_Data!A2859),2)))</f>
        <v>45082</v>
      </c>
      <c r="B2861" s="3" t="str">
        <f>TRIM([1]Raw_Data!B2859)</f>
        <v>Magnesium</v>
      </c>
      <c r="C2861" s="3" t="str">
        <f>TRIM([1]Raw_Data!C2859)</f>
        <v>Mineral</v>
      </c>
      <c r="D2861" s="3">
        <f>[1]Raw_Data!D2859</f>
        <v>157</v>
      </c>
      <c r="E2861" s="4">
        <f>[1]Raw_Data!E2859</f>
        <v>21.85</v>
      </c>
      <c r="F2861" s="5">
        <f>[1]Raw_Data!F2859</f>
        <v>3430.45</v>
      </c>
      <c r="G2861" s="4">
        <f>[1]Raw_Data!G2859</f>
        <v>0.19</v>
      </c>
      <c r="H2861" s="3">
        <f>[1]Raw_Data!H2859</f>
        <v>1</v>
      </c>
      <c r="I2861" s="3" t="str">
        <f>TRIM([1]Raw_Data!I2859)</f>
        <v>USA</v>
      </c>
      <c r="J2861" s="3" t="str">
        <f>TRIM([1]Raw_Data!J2859)</f>
        <v>iHerb</v>
      </c>
      <c r="K2861" s="3">
        <f t="shared" si="176"/>
        <v>2023</v>
      </c>
      <c r="L2861" s="6">
        <f t="shared" si="177"/>
        <v>45078</v>
      </c>
      <c r="M2861" s="3" t="str">
        <f t="shared" si="178"/>
        <v>16% to 20%</v>
      </c>
      <c r="N2861" s="3" t="str">
        <f t="shared" si="179"/>
        <v>OK</v>
      </c>
    </row>
    <row r="2862" spans="1:14" x14ac:dyDescent="0.3">
      <c r="A2862" s="2">
        <f>DATE(VALUE(RIGHT(TRIM([1]Raw_Data!A2860),4)),VALUE(MID(TRIM([1]Raw_Data!A2860),4,2)),VALUE(LEFT(TRIM([1]Raw_Data!A2860),2)))</f>
        <v>45082</v>
      </c>
      <c r="B2862" s="3" t="str">
        <f>TRIM([1]Raw_Data!B2860)</f>
        <v>Ashwagandha</v>
      </c>
      <c r="C2862" s="3" t="str">
        <f>TRIM([1]Raw_Data!C2860)</f>
        <v>Herbal</v>
      </c>
      <c r="D2862" s="3">
        <f>[1]Raw_Data!D2860</f>
        <v>142</v>
      </c>
      <c r="E2862" s="4">
        <f>[1]Raw_Data!E2860</f>
        <v>44.84</v>
      </c>
      <c r="F2862" s="5">
        <f>[1]Raw_Data!F2860</f>
        <v>6367.28</v>
      </c>
      <c r="G2862" s="4">
        <f>[1]Raw_Data!G2860</f>
        <v>0.23</v>
      </c>
      <c r="H2862" s="3">
        <f>[1]Raw_Data!H2860</f>
        <v>0</v>
      </c>
      <c r="I2862" s="3" t="str">
        <f>TRIM([1]Raw_Data!I2860)</f>
        <v>UK</v>
      </c>
      <c r="J2862" s="3" t="str">
        <f>TRIM([1]Raw_Data!J2860)</f>
        <v>Amazon</v>
      </c>
      <c r="K2862" s="3">
        <f t="shared" si="176"/>
        <v>2023</v>
      </c>
      <c r="L2862" s="6">
        <f t="shared" si="177"/>
        <v>45078</v>
      </c>
      <c r="M2862" s="3" t="str">
        <f t="shared" si="178"/>
        <v>21% to 25%</v>
      </c>
      <c r="N2862" s="3" t="str">
        <f t="shared" si="179"/>
        <v>OK</v>
      </c>
    </row>
    <row r="2863" spans="1:14" x14ac:dyDescent="0.3">
      <c r="A2863" s="2">
        <f>DATE(VALUE(RIGHT(TRIM([1]Raw_Data!A2861),4)),VALUE(MID(TRIM([1]Raw_Data!A2861),4,2)),VALUE(LEFT(TRIM([1]Raw_Data!A2861),2)))</f>
        <v>45082</v>
      </c>
      <c r="B2863" s="3" t="str">
        <f>TRIM([1]Raw_Data!B2861)</f>
        <v>Melatonin</v>
      </c>
      <c r="C2863" s="3" t="str">
        <f>TRIM([1]Raw_Data!C2861)</f>
        <v>Sleep Aid</v>
      </c>
      <c r="D2863" s="3">
        <f>[1]Raw_Data!D2861</f>
        <v>155</v>
      </c>
      <c r="E2863" s="4">
        <f>[1]Raw_Data!E2861</f>
        <v>55.18</v>
      </c>
      <c r="F2863" s="5">
        <f>[1]Raw_Data!F2861</f>
        <v>8552.9</v>
      </c>
      <c r="G2863" s="4">
        <f>[1]Raw_Data!G2861</f>
        <v>0.02</v>
      </c>
      <c r="H2863" s="3">
        <f>[1]Raw_Data!H2861</f>
        <v>2</v>
      </c>
      <c r="I2863" s="3" t="str">
        <f>TRIM([1]Raw_Data!I2861)</f>
        <v>Canada</v>
      </c>
      <c r="J2863" s="3" t="str">
        <f>TRIM([1]Raw_Data!J2861)</f>
        <v>Walmart</v>
      </c>
      <c r="K2863" s="3">
        <f t="shared" si="176"/>
        <v>2023</v>
      </c>
      <c r="L2863" s="6">
        <f t="shared" si="177"/>
        <v>45078</v>
      </c>
      <c r="M2863" s="3" t="str">
        <f t="shared" si="178"/>
        <v>0% to 5%</v>
      </c>
      <c r="N2863" s="3" t="str">
        <f t="shared" si="179"/>
        <v>OK</v>
      </c>
    </row>
    <row r="2864" spans="1:14" x14ac:dyDescent="0.3">
      <c r="A2864" s="2">
        <f>DATE(VALUE(RIGHT(TRIM([1]Raw_Data!A2862),4)),VALUE(MID(TRIM([1]Raw_Data!A2862),4,2)),VALUE(LEFT(TRIM([1]Raw_Data!A2862),2)))</f>
        <v>45082</v>
      </c>
      <c r="B2864" s="3" t="str">
        <f>TRIM([1]Raw_Data!B2862)</f>
        <v>Biotin</v>
      </c>
      <c r="C2864" s="3" t="str">
        <f>TRIM([1]Raw_Data!C2862)</f>
        <v>Vitamin</v>
      </c>
      <c r="D2864" s="3">
        <f>[1]Raw_Data!D2862</f>
        <v>161</v>
      </c>
      <c r="E2864" s="4">
        <f>[1]Raw_Data!E2862</f>
        <v>57.71</v>
      </c>
      <c r="F2864" s="5">
        <f>[1]Raw_Data!F2862</f>
        <v>9291.31</v>
      </c>
      <c r="G2864" s="4">
        <f>[1]Raw_Data!G2862</f>
        <v>0.21</v>
      </c>
      <c r="H2864" s="3">
        <f>[1]Raw_Data!H2862</f>
        <v>1</v>
      </c>
      <c r="I2864" s="3" t="str">
        <f>TRIM([1]Raw_Data!I2862)</f>
        <v>UK</v>
      </c>
      <c r="J2864" s="3" t="str">
        <f>TRIM([1]Raw_Data!J2862)</f>
        <v>Walmart</v>
      </c>
      <c r="K2864" s="3">
        <f t="shared" si="176"/>
        <v>2023</v>
      </c>
      <c r="L2864" s="6">
        <f t="shared" si="177"/>
        <v>45078</v>
      </c>
      <c r="M2864" s="3" t="str">
        <f t="shared" si="178"/>
        <v>21% to 25%</v>
      </c>
      <c r="N2864" s="3" t="str">
        <f t="shared" si="179"/>
        <v>OK</v>
      </c>
    </row>
    <row r="2865" spans="1:14" x14ac:dyDescent="0.3">
      <c r="A2865" s="2">
        <f>DATE(VALUE(RIGHT(TRIM([1]Raw_Data!A2863),4)),VALUE(MID(TRIM([1]Raw_Data!A2863),4,2)),VALUE(LEFT(TRIM([1]Raw_Data!A2863),2)))</f>
        <v>45082</v>
      </c>
      <c r="B2865" s="3" t="str">
        <f>TRIM([1]Raw_Data!B2863)</f>
        <v>Green Tea Extract</v>
      </c>
      <c r="C2865" s="3" t="str">
        <f>TRIM([1]Raw_Data!C2863)</f>
        <v>Fat Burner</v>
      </c>
      <c r="D2865" s="3">
        <f>[1]Raw_Data!D2863</f>
        <v>142</v>
      </c>
      <c r="E2865" s="4">
        <f>[1]Raw_Data!E2863</f>
        <v>58.36</v>
      </c>
      <c r="F2865" s="5">
        <f>[1]Raw_Data!F2863</f>
        <v>8287.1200000000008</v>
      </c>
      <c r="G2865" s="4">
        <f>[1]Raw_Data!G2863</f>
        <v>0.02</v>
      </c>
      <c r="H2865" s="3">
        <f>[1]Raw_Data!H2863</f>
        <v>1</v>
      </c>
      <c r="I2865" s="3" t="str">
        <f>TRIM([1]Raw_Data!I2863)</f>
        <v>Canada</v>
      </c>
      <c r="J2865" s="3" t="str">
        <f>TRIM([1]Raw_Data!J2863)</f>
        <v>Amazon</v>
      </c>
      <c r="K2865" s="3">
        <f t="shared" si="176"/>
        <v>2023</v>
      </c>
      <c r="L2865" s="6">
        <f t="shared" si="177"/>
        <v>45078</v>
      </c>
      <c r="M2865" s="3" t="str">
        <f t="shared" si="178"/>
        <v>0% to 5%</v>
      </c>
      <c r="N2865" s="3" t="str">
        <f t="shared" si="179"/>
        <v>OK</v>
      </c>
    </row>
    <row r="2866" spans="1:14" x14ac:dyDescent="0.3">
      <c r="A2866" s="2">
        <f>DATE(VALUE(RIGHT(TRIM([1]Raw_Data!A2864),4)),VALUE(MID(TRIM([1]Raw_Data!A2864),4,2)),VALUE(LEFT(TRIM([1]Raw_Data!A2864),2)))</f>
        <v>45082</v>
      </c>
      <c r="B2866" s="3" t="str">
        <f>TRIM([1]Raw_Data!B2864)</f>
        <v>Iron Supplement</v>
      </c>
      <c r="C2866" s="3" t="str">
        <f>TRIM([1]Raw_Data!C2864)</f>
        <v>Mineral</v>
      </c>
      <c r="D2866" s="3">
        <f>[1]Raw_Data!D2864</f>
        <v>152</v>
      </c>
      <c r="E2866" s="4">
        <f>[1]Raw_Data!E2864</f>
        <v>28.87</v>
      </c>
      <c r="F2866" s="5">
        <f>[1]Raw_Data!F2864</f>
        <v>4388.24</v>
      </c>
      <c r="G2866" s="4">
        <f>[1]Raw_Data!G2864</f>
        <v>0.08</v>
      </c>
      <c r="H2866" s="3">
        <f>[1]Raw_Data!H2864</f>
        <v>1</v>
      </c>
      <c r="I2866" s="3" t="str">
        <f>TRIM([1]Raw_Data!I2864)</f>
        <v>UK</v>
      </c>
      <c r="J2866" s="3" t="str">
        <f>TRIM([1]Raw_Data!J2864)</f>
        <v>iHerb</v>
      </c>
      <c r="K2866" s="3">
        <f t="shared" si="176"/>
        <v>2023</v>
      </c>
      <c r="L2866" s="6">
        <f t="shared" si="177"/>
        <v>45078</v>
      </c>
      <c r="M2866" s="3" t="str">
        <f t="shared" si="178"/>
        <v>6% to 10%</v>
      </c>
      <c r="N2866" s="3" t="str">
        <f t="shared" si="179"/>
        <v>OK</v>
      </c>
    </row>
    <row r="2867" spans="1:14" x14ac:dyDescent="0.3">
      <c r="A2867" s="2">
        <f>DATE(VALUE(RIGHT(TRIM([1]Raw_Data!A2865),4)),VALUE(MID(TRIM([1]Raw_Data!A2865),4,2)),VALUE(LEFT(TRIM([1]Raw_Data!A2865),2)))</f>
        <v>45082</v>
      </c>
      <c r="B2867" s="3" t="str">
        <f>TRIM([1]Raw_Data!B2865)</f>
        <v>Electrolyte Powder</v>
      </c>
      <c r="C2867" s="3" t="str">
        <f>TRIM([1]Raw_Data!C2865)</f>
        <v>Hydration</v>
      </c>
      <c r="D2867" s="3">
        <f>[1]Raw_Data!D2865</f>
        <v>156</v>
      </c>
      <c r="E2867" s="4">
        <f>[1]Raw_Data!E2865</f>
        <v>16.84</v>
      </c>
      <c r="F2867" s="5">
        <f>[1]Raw_Data!F2865</f>
        <v>2627.04</v>
      </c>
      <c r="G2867" s="4">
        <f>[1]Raw_Data!G2865</f>
        <v>0.2</v>
      </c>
      <c r="H2867" s="3">
        <f>[1]Raw_Data!H2865</f>
        <v>2</v>
      </c>
      <c r="I2867" s="3" t="str">
        <f>TRIM([1]Raw_Data!I2865)</f>
        <v>Canada</v>
      </c>
      <c r="J2867" s="3" t="str">
        <f>TRIM([1]Raw_Data!J2865)</f>
        <v>iHerb</v>
      </c>
      <c r="K2867" s="3">
        <f t="shared" si="176"/>
        <v>2023</v>
      </c>
      <c r="L2867" s="6">
        <f t="shared" si="177"/>
        <v>45078</v>
      </c>
      <c r="M2867" s="3" t="str">
        <f t="shared" si="178"/>
        <v>16% to 20%</v>
      </c>
      <c r="N2867" s="3" t="str">
        <f t="shared" si="179"/>
        <v>OK</v>
      </c>
    </row>
    <row r="2868" spans="1:14" x14ac:dyDescent="0.3">
      <c r="A2868" s="2">
        <f>DATE(VALUE(RIGHT(TRIM([1]Raw_Data!A2866),4)),VALUE(MID(TRIM([1]Raw_Data!A2866),4,2)),VALUE(LEFT(TRIM([1]Raw_Data!A2866),2)))</f>
        <v>45089</v>
      </c>
      <c r="B2868" s="3" t="str">
        <f>TRIM([1]Raw_Data!B2866)</f>
        <v>Whey Protein</v>
      </c>
      <c r="C2868" s="3" t="str">
        <f>TRIM([1]Raw_Data!C2866)</f>
        <v>Protein</v>
      </c>
      <c r="D2868" s="3">
        <f>[1]Raw_Data!D2866</f>
        <v>167</v>
      </c>
      <c r="E2868" s="4">
        <f>[1]Raw_Data!E2866</f>
        <v>54.69</v>
      </c>
      <c r="F2868" s="5">
        <f>[1]Raw_Data!F2866</f>
        <v>9133.23</v>
      </c>
      <c r="G2868" s="4">
        <f>[1]Raw_Data!G2866</f>
        <v>0.22</v>
      </c>
      <c r="H2868" s="3">
        <f>[1]Raw_Data!H2866</f>
        <v>1</v>
      </c>
      <c r="I2868" s="3" t="str">
        <f>TRIM([1]Raw_Data!I2866)</f>
        <v>UK</v>
      </c>
      <c r="J2868" s="3" t="str">
        <f>TRIM([1]Raw_Data!J2866)</f>
        <v>Walmart</v>
      </c>
      <c r="K2868" s="3">
        <f t="shared" si="176"/>
        <v>2023</v>
      </c>
      <c r="L2868" s="6">
        <f t="shared" si="177"/>
        <v>45078</v>
      </c>
      <c r="M2868" s="3" t="str">
        <f t="shared" si="178"/>
        <v>21% to 25%</v>
      </c>
      <c r="N2868" s="3" t="str">
        <f t="shared" si="179"/>
        <v>OK</v>
      </c>
    </row>
    <row r="2869" spans="1:14" x14ac:dyDescent="0.3">
      <c r="A2869" s="2">
        <f>DATE(VALUE(RIGHT(TRIM([1]Raw_Data!A2867),4)),VALUE(MID(TRIM([1]Raw_Data!A2867),4,2)),VALUE(LEFT(TRIM([1]Raw_Data!A2867),2)))</f>
        <v>45089</v>
      </c>
      <c r="B2869" s="3" t="str">
        <f>TRIM([1]Raw_Data!B2867)</f>
        <v>Vitamin C</v>
      </c>
      <c r="C2869" s="3" t="str">
        <f>TRIM([1]Raw_Data!C2867)</f>
        <v>Vitamin</v>
      </c>
      <c r="D2869" s="3">
        <f>[1]Raw_Data!D2867</f>
        <v>146</v>
      </c>
      <c r="E2869" s="4">
        <f>[1]Raw_Data!E2867</f>
        <v>45.76</v>
      </c>
      <c r="F2869" s="5">
        <f>[1]Raw_Data!F2867</f>
        <v>6680.96</v>
      </c>
      <c r="G2869" s="4">
        <f>[1]Raw_Data!G2867</f>
        <v>0.23</v>
      </c>
      <c r="H2869" s="3">
        <f>[1]Raw_Data!H2867</f>
        <v>2</v>
      </c>
      <c r="I2869" s="3" t="str">
        <f>TRIM([1]Raw_Data!I2867)</f>
        <v>Canada</v>
      </c>
      <c r="J2869" s="3" t="str">
        <f>TRIM([1]Raw_Data!J2867)</f>
        <v>Amazon</v>
      </c>
      <c r="K2869" s="3">
        <f t="shared" si="176"/>
        <v>2023</v>
      </c>
      <c r="L2869" s="6">
        <f t="shared" si="177"/>
        <v>45078</v>
      </c>
      <c r="M2869" s="3" t="str">
        <f t="shared" si="178"/>
        <v>21% to 25%</v>
      </c>
      <c r="N2869" s="3" t="str">
        <f t="shared" si="179"/>
        <v>OK</v>
      </c>
    </row>
    <row r="2870" spans="1:14" x14ac:dyDescent="0.3">
      <c r="A2870" s="2">
        <f>DATE(VALUE(RIGHT(TRIM([1]Raw_Data!A2868),4)),VALUE(MID(TRIM([1]Raw_Data!A2868),4,2)),VALUE(LEFT(TRIM([1]Raw_Data!A2868),2)))</f>
        <v>45089</v>
      </c>
      <c r="B2870" s="3" t="str">
        <f>TRIM([1]Raw_Data!B2868)</f>
        <v>Fish Oil</v>
      </c>
      <c r="C2870" s="3" t="str">
        <f>TRIM([1]Raw_Data!C2868)</f>
        <v>Omega</v>
      </c>
      <c r="D2870" s="3">
        <f>[1]Raw_Data!D2868</f>
        <v>154</v>
      </c>
      <c r="E2870" s="4">
        <f>[1]Raw_Data!E2868</f>
        <v>24.57</v>
      </c>
      <c r="F2870" s="5">
        <f>[1]Raw_Data!F2868</f>
        <v>3783.78</v>
      </c>
      <c r="G2870" s="4">
        <f>[1]Raw_Data!G2868</f>
        <v>0.24</v>
      </c>
      <c r="H2870" s="3">
        <f>[1]Raw_Data!H2868</f>
        <v>1</v>
      </c>
      <c r="I2870" s="3" t="str">
        <f>TRIM([1]Raw_Data!I2868)</f>
        <v>USA</v>
      </c>
      <c r="J2870" s="3" t="str">
        <f>TRIM([1]Raw_Data!J2868)</f>
        <v>Amazon</v>
      </c>
      <c r="K2870" s="3">
        <f t="shared" si="176"/>
        <v>2023</v>
      </c>
      <c r="L2870" s="6">
        <f t="shared" si="177"/>
        <v>45078</v>
      </c>
      <c r="M2870" s="3" t="str">
        <f t="shared" si="178"/>
        <v>21% to 25%</v>
      </c>
      <c r="N2870" s="3" t="str">
        <f t="shared" si="179"/>
        <v>OK</v>
      </c>
    </row>
    <row r="2871" spans="1:14" x14ac:dyDescent="0.3">
      <c r="A2871" s="2">
        <f>DATE(VALUE(RIGHT(TRIM([1]Raw_Data!A2869),4)),VALUE(MID(TRIM([1]Raw_Data!A2869),4,2)),VALUE(LEFT(TRIM([1]Raw_Data!A2869),2)))</f>
        <v>45089</v>
      </c>
      <c r="B2871" s="3" t="str">
        <f>TRIM([1]Raw_Data!B2869)</f>
        <v>Multivitamin</v>
      </c>
      <c r="C2871" s="3" t="str">
        <f>TRIM([1]Raw_Data!C2869)</f>
        <v>Vitamin</v>
      </c>
      <c r="D2871" s="3">
        <f>[1]Raw_Data!D2869</f>
        <v>131</v>
      </c>
      <c r="E2871" s="4">
        <f>[1]Raw_Data!E2869</f>
        <v>46.7</v>
      </c>
      <c r="F2871" s="5">
        <f>[1]Raw_Data!F2869</f>
        <v>6117.7</v>
      </c>
      <c r="G2871" s="4">
        <f>[1]Raw_Data!G2869</f>
        <v>7.0000000000000007E-2</v>
      </c>
      <c r="H2871" s="3">
        <f>[1]Raw_Data!H2869</f>
        <v>1</v>
      </c>
      <c r="I2871" s="3" t="str">
        <f>TRIM([1]Raw_Data!I2869)</f>
        <v>UK</v>
      </c>
      <c r="J2871" s="3" t="str">
        <f>TRIM([1]Raw_Data!J2869)</f>
        <v>Walmart</v>
      </c>
      <c r="K2871" s="3">
        <f t="shared" si="176"/>
        <v>2023</v>
      </c>
      <c r="L2871" s="6">
        <f t="shared" si="177"/>
        <v>45078</v>
      </c>
      <c r="M2871" s="3" t="str">
        <f t="shared" si="178"/>
        <v>6% to 10%</v>
      </c>
      <c r="N2871" s="3" t="str">
        <f t="shared" si="179"/>
        <v>OK</v>
      </c>
    </row>
    <row r="2872" spans="1:14" x14ac:dyDescent="0.3">
      <c r="A2872" s="2">
        <f>DATE(VALUE(RIGHT(TRIM([1]Raw_Data!A2870),4)),VALUE(MID(TRIM([1]Raw_Data!A2870),4,2)),VALUE(LEFT(TRIM([1]Raw_Data!A2870),2)))</f>
        <v>45089</v>
      </c>
      <c r="B2872" s="3" t="str">
        <f>TRIM([1]Raw_Data!B2870)</f>
        <v>Pre-Workout</v>
      </c>
      <c r="C2872" s="3" t="str">
        <f>TRIM([1]Raw_Data!C2870)</f>
        <v>Performance</v>
      </c>
      <c r="D2872" s="3">
        <f>[1]Raw_Data!D2870</f>
        <v>149</v>
      </c>
      <c r="E2872" s="4">
        <f>[1]Raw_Data!E2870</f>
        <v>49.47</v>
      </c>
      <c r="F2872" s="5">
        <f>[1]Raw_Data!F2870</f>
        <v>7371.03</v>
      </c>
      <c r="G2872" s="4">
        <f>[1]Raw_Data!G2870</f>
        <v>0.08</v>
      </c>
      <c r="H2872" s="3">
        <f>[1]Raw_Data!H2870</f>
        <v>3</v>
      </c>
      <c r="I2872" s="3" t="str">
        <f>TRIM([1]Raw_Data!I2870)</f>
        <v>USA</v>
      </c>
      <c r="J2872" s="3" t="str">
        <f>TRIM([1]Raw_Data!J2870)</f>
        <v>Amazon</v>
      </c>
      <c r="K2872" s="3">
        <f t="shared" si="176"/>
        <v>2023</v>
      </c>
      <c r="L2872" s="6">
        <f t="shared" si="177"/>
        <v>45078</v>
      </c>
      <c r="M2872" s="3" t="str">
        <f t="shared" si="178"/>
        <v>6% to 10%</v>
      </c>
      <c r="N2872" s="3" t="str">
        <f t="shared" si="179"/>
        <v>OK</v>
      </c>
    </row>
    <row r="2873" spans="1:14" x14ac:dyDescent="0.3">
      <c r="A2873" s="2">
        <f>DATE(VALUE(RIGHT(TRIM([1]Raw_Data!A2871),4)),VALUE(MID(TRIM([1]Raw_Data!A2871),4,2)),VALUE(LEFT(TRIM([1]Raw_Data!A2871),2)))</f>
        <v>45089</v>
      </c>
      <c r="B2873" s="3" t="str">
        <f>TRIM([1]Raw_Data!B2871)</f>
        <v>BCAA</v>
      </c>
      <c r="C2873" s="3" t="str">
        <f>TRIM([1]Raw_Data!C2871)</f>
        <v>Amino Acid</v>
      </c>
      <c r="D2873" s="3">
        <f>[1]Raw_Data!D2871</f>
        <v>162</v>
      </c>
      <c r="E2873" s="4">
        <f>[1]Raw_Data!E2871</f>
        <v>26.24</v>
      </c>
      <c r="F2873" s="5">
        <f>[1]Raw_Data!F2871</f>
        <v>4250.88</v>
      </c>
      <c r="G2873" s="4">
        <f>[1]Raw_Data!G2871</f>
        <v>0.13</v>
      </c>
      <c r="H2873" s="3">
        <f>[1]Raw_Data!H2871</f>
        <v>1</v>
      </c>
      <c r="I2873" s="3" t="str">
        <f>TRIM([1]Raw_Data!I2871)</f>
        <v>Canada</v>
      </c>
      <c r="J2873" s="3" t="str">
        <f>TRIM([1]Raw_Data!J2871)</f>
        <v>Amazon</v>
      </c>
      <c r="K2873" s="3">
        <f t="shared" si="176"/>
        <v>2023</v>
      </c>
      <c r="L2873" s="6">
        <f t="shared" si="177"/>
        <v>45078</v>
      </c>
      <c r="M2873" s="3" t="str">
        <f t="shared" si="178"/>
        <v>11% to 15%</v>
      </c>
      <c r="N2873" s="3" t="str">
        <f t="shared" si="179"/>
        <v>OK</v>
      </c>
    </row>
    <row r="2874" spans="1:14" x14ac:dyDescent="0.3">
      <c r="A2874" s="2">
        <f>DATE(VALUE(RIGHT(TRIM([1]Raw_Data!A2872),4)),VALUE(MID(TRIM([1]Raw_Data!A2872),4,2)),VALUE(LEFT(TRIM([1]Raw_Data!A2872),2)))</f>
        <v>45089</v>
      </c>
      <c r="B2874" s="3" t="str">
        <f>TRIM([1]Raw_Data!B2872)</f>
        <v>Creatine</v>
      </c>
      <c r="C2874" s="3" t="str">
        <f>TRIM([1]Raw_Data!C2872)</f>
        <v>Performance</v>
      </c>
      <c r="D2874" s="3">
        <f>[1]Raw_Data!D2872</f>
        <v>144</v>
      </c>
      <c r="E2874" s="4">
        <f>[1]Raw_Data!E2872</f>
        <v>34.18</v>
      </c>
      <c r="F2874" s="5">
        <f>[1]Raw_Data!F2872</f>
        <v>4921.92</v>
      </c>
      <c r="G2874" s="4">
        <f>[1]Raw_Data!G2872</f>
        <v>0.21</v>
      </c>
      <c r="H2874" s="3">
        <f>[1]Raw_Data!H2872</f>
        <v>0</v>
      </c>
      <c r="I2874" s="3" t="str">
        <f>TRIM([1]Raw_Data!I2872)</f>
        <v>Canada</v>
      </c>
      <c r="J2874" s="3" t="str">
        <f>TRIM([1]Raw_Data!J2872)</f>
        <v>Amazon</v>
      </c>
      <c r="K2874" s="3">
        <f t="shared" si="176"/>
        <v>2023</v>
      </c>
      <c r="L2874" s="6">
        <f t="shared" si="177"/>
        <v>45078</v>
      </c>
      <c r="M2874" s="3" t="str">
        <f t="shared" si="178"/>
        <v>21% to 25%</v>
      </c>
      <c r="N2874" s="3" t="str">
        <f t="shared" si="179"/>
        <v>OK</v>
      </c>
    </row>
    <row r="2875" spans="1:14" x14ac:dyDescent="0.3">
      <c r="A2875" s="2">
        <f>DATE(VALUE(RIGHT(TRIM([1]Raw_Data!A2873),4)),VALUE(MID(TRIM([1]Raw_Data!A2873),4,2)),VALUE(LEFT(TRIM([1]Raw_Data!A2873),2)))</f>
        <v>45089</v>
      </c>
      <c r="B2875" s="3" t="str">
        <f>TRIM([1]Raw_Data!B2873)</f>
        <v>Zinc</v>
      </c>
      <c r="C2875" s="3" t="str">
        <f>TRIM([1]Raw_Data!C2873)</f>
        <v>Mineral</v>
      </c>
      <c r="D2875" s="3">
        <f>[1]Raw_Data!D2873</f>
        <v>153</v>
      </c>
      <c r="E2875" s="4">
        <f>[1]Raw_Data!E2873</f>
        <v>36.159999999999997</v>
      </c>
      <c r="F2875" s="5">
        <f>[1]Raw_Data!F2873</f>
        <v>5532.48</v>
      </c>
      <c r="G2875" s="4">
        <f>[1]Raw_Data!G2873</f>
        <v>0.05</v>
      </c>
      <c r="H2875" s="3">
        <f>[1]Raw_Data!H2873</f>
        <v>2</v>
      </c>
      <c r="I2875" s="3" t="str">
        <f>TRIM([1]Raw_Data!I2873)</f>
        <v>UK</v>
      </c>
      <c r="J2875" s="3" t="str">
        <f>TRIM([1]Raw_Data!J2873)</f>
        <v>iHerb</v>
      </c>
      <c r="K2875" s="3">
        <f t="shared" si="176"/>
        <v>2023</v>
      </c>
      <c r="L2875" s="6">
        <f t="shared" si="177"/>
        <v>45078</v>
      </c>
      <c r="M2875" s="3" t="str">
        <f t="shared" si="178"/>
        <v>0% to 5%</v>
      </c>
      <c r="N2875" s="3" t="str">
        <f t="shared" si="179"/>
        <v>OK</v>
      </c>
    </row>
    <row r="2876" spans="1:14" x14ac:dyDescent="0.3">
      <c r="A2876" s="2">
        <f>DATE(VALUE(RIGHT(TRIM([1]Raw_Data!A2874),4)),VALUE(MID(TRIM([1]Raw_Data!A2874),4,2)),VALUE(LEFT(TRIM([1]Raw_Data!A2874),2)))</f>
        <v>45089</v>
      </c>
      <c r="B2876" s="3" t="str">
        <f>TRIM([1]Raw_Data!B2874)</f>
        <v>Collagen Peptides</v>
      </c>
      <c r="C2876" s="3" t="str">
        <f>TRIM([1]Raw_Data!C2874)</f>
        <v>Protein</v>
      </c>
      <c r="D2876" s="3">
        <f>[1]Raw_Data!D2874</f>
        <v>129</v>
      </c>
      <c r="E2876" s="4">
        <f>[1]Raw_Data!E2874</f>
        <v>38.54</v>
      </c>
      <c r="F2876" s="5">
        <f>[1]Raw_Data!F2874</f>
        <v>4971.66</v>
      </c>
      <c r="G2876" s="4">
        <f>[1]Raw_Data!G2874</f>
        <v>0.23</v>
      </c>
      <c r="H2876" s="3">
        <f>[1]Raw_Data!H2874</f>
        <v>1</v>
      </c>
      <c r="I2876" s="3" t="str">
        <f>TRIM([1]Raw_Data!I2874)</f>
        <v>UK</v>
      </c>
      <c r="J2876" s="3" t="str">
        <f>TRIM([1]Raw_Data!J2874)</f>
        <v>Walmart</v>
      </c>
      <c r="K2876" s="3">
        <f t="shared" si="176"/>
        <v>2023</v>
      </c>
      <c r="L2876" s="6">
        <f t="shared" si="177"/>
        <v>45078</v>
      </c>
      <c r="M2876" s="3" t="str">
        <f t="shared" si="178"/>
        <v>21% to 25%</v>
      </c>
      <c r="N2876" s="3" t="str">
        <f t="shared" si="179"/>
        <v>OK</v>
      </c>
    </row>
    <row r="2877" spans="1:14" x14ac:dyDescent="0.3">
      <c r="A2877" s="2">
        <f>DATE(VALUE(RIGHT(TRIM([1]Raw_Data!A2875),4)),VALUE(MID(TRIM([1]Raw_Data!A2875),4,2)),VALUE(LEFT(TRIM([1]Raw_Data!A2875),2)))</f>
        <v>45089</v>
      </c>
      <c r="B2877" s="3" t="str">
        <f>TRIM([1]Raw_Data!B2875)</f>
        <v>Magnesium</v>
      </c>
      <c r="C2877" s="3" t="str">
        <f>TRIM([1]Raw_Data!C2875)</f>
        <v>Mineral</v>
      </c>
      <c r="D2877" s="3">
        <f>[1]Raw_Data!D2875</f>
        <v>134</v>
      </c>
      <c r="E2877" s="4">
        <f>[1]Raw_Data!E2875</f>
        <v>14.57</v>
      </c>
      <c r="F2877" s="5">
        <f>[1]Raw_Data!F2875</f>
        <v>1952.38</v>
      </c>
      <c r="G2877" s="4">
        <f>[1]Raw_Data!G2875</f>
        <v>0.05</v>
      </c>
      <c r="H2877" s="3">
        <f>[1]Raw_Data!H2875</f>
        <v>0</v>
      </c>
      <c r="I2877" s="3" t="str">
        <f>TRIM([1]Raw_Data!I2875)</f>
        <v>USA</v>
      </c>
      <c r="J2877" s="3" t="str">
        <f>TRIM([1]Raw_Data!J2875)</f>
        <v>iHerb</v>
      </c>
      <c r="K2877" s="3">
        <f t="shared" si="176"/>
        <v>2023</v>
      </c>
      <c r="L2877" s="6">
        <f t="shared" si="177"/>
        <v>45078</v>
      </c>
      <c r="M2877" s="3" t="str">
        <f t="shared" si="178"/>
        <v>0% to 5%</v>
      </c>
      <c r="N2877" s="3" t="str">
        <f t="shared" si="179"/>
        <v>OK</v>
      </c>
    </row>
    <row r="2878" spans="1:14" x14ac:dyDescent="0.3">
      <c r="A2878" s="2">
        <f>DATE(VALUE(RIGHT(TRIM([1]Raw_Data!A2876),4)),VALUE(MID(TRIM([1]Raw_Data!A2876),4,2)),VALUE(LEFT(TRIM([1]Raw_Data!A2876),2)))</f>
        <v>45089</v>
      </c>
      <c r="B2878" s="3" t="str">
        <f>TRIM([1]Raw_Data!B2876)</f>
        <v>Ashwagandha</v>
      </c>
      <c r="C2878" s="3" t="str">
        <f>TRIM([1]Raw_Data!C2876)</f>
        <v>Herbal</v>
      </c>
      <c r="D2878" s="3">
        <f>[1]Raw_Data!D2876</f>
        <v>150</v>
      </c>
      <c r="E2878" s="4">
        <f>[1]Raw_Data!E2876</f>
        <v>33.47</v>
      </c>
      <c r="F2878" s="5">
        <f>[1]Raw_Data!F2876</f>
        <v>5020.5</v>
      </c>
      <c r="G2878" s="4">
        <f>[1]Raw_Data!G2876</f>
        <v>0.23</v>
      </c>
      <c r="H2878" s="3">
        <f>[1]Raw_Data!H2876</f>
        <v>2</v>
      </c>
      <c r="I2878" s="3" t="str">
        <f>TRIM([1]Raw_Data!I2876)</f>
        <v>Canada</v>
      </c>
      <c r="J2878" s="3" t="str">
        <f>TRIM([1]Raw_Data!J2876)</f>
        <v>iHerb</v>
      </c>
      <c r="K2878" s="3">
        <f t="shared" si="176"/>
        <v>2023</v>
      </c>
      <c r="L2878" s="6">
        <f t="shared" si="177"/>
        <v>45078</v>
      </c>
      <c r="M2878" s="3" t="str">
        <f t="shared" si="178"/>
        <v>21% to 25%</v>
      </c>
      <c r="N2878" s="3" t="str">
        <f t="shared" si="179"/>
        <v>OK</v>
      </c>
    </row>
    <row r="2879" spans="1:14" x14ac:dyDescent="0.3">
      <c r="A2879" s="2">
        <f>DATE(VALUE(RIGHT(TRIM([1]Raw_Data!A2877),4)),VALUE(MID(TRIM([1]Raw_Data!A2877),4,2)),VALUE(LEFT(TRIM([1]Raw_Data!A2877),2)))</f>
        <v>45089</v>
      </c>
      <c r="B2879" s="3" t="str">
        <f>TRIM([1]Raw_Data!B2877)</f>
        <v>Melatonin</v>
      </c>
      <c r="C2879" s="3" t="str">
        <f>TRIM([1]Raw_Data!C2877)</f>
        <v>Sleep Aid</v>
      </c>
      <c r="D2879" s="3">
        <f>[1]Raw_Data!D2877</f>
        <v>128</v>
      </c>
      <c r="E2879" s="4">
        <f>[1]Raw_Data!E2877</f>
        <v>43.68</v>
      </c>
      <c r="F2879" s="5">
        <f>[1]Raw_Data!F2877</f>
        <v>5591.04</v>
      </c>
      <c r="G2879" s="4">
        <f>[1]Raw_Data!G2877</f>
        <v>0.22</v>
      </c>
      <c r="H2879" s="3">
        <f>[1]Raw_Data!H2877</f>
        <v>0</v>
      </c>
      <c r="I2879" s="3" t="str">
        <f>TRIM([1]Raw_Data!I2877)</f>
        <v>USA</v>
      </c>
      <c r="J2879" s="3" t="str">
        <f>TRIM([1]Raw_Data!J2877)</f>
        <v>Amazon</v>
      </c>
      <c r="K2879" s="3">
        <f t="shared" si="176"/>
        <v>2023</v>
      </c>
      <c r="L2879" s="6">
        <f t="shared" si="177"/>
        <v>45078</v>
      </c>
      <c r="M2879" s="3" t="str">
        <f t="shared" si="178"/>
        <v>21% to 25%</v>
      </c>
      <c r="N2879" s="3" t="str">
        <f t="shared" si="179"/>
        <v>OK</v>
      </c>
    </row>
    <row r="2880" spans="1:14" x14ac:dyDescent="0.3">
      <c r="A2880" s="2">
        <f>DATE(VALUE(RIGHT(TRIM([1]Raw_Data!A2878),4)),VALUE(MID(TRIM([1]Raw_Data!A2878),4,2)),VALUE(LEFT(TRIM([1]Raw_Data!A2878),2)))</f>
        <v>45089</v>
      </c>
      <c r="B2880" s="3" t="str">
        <f>TRIM([1]Raw_Data!B2878)</f>
        <v>Biotin</v>
      </c>
      <c r="C2880" s="3" t="str">
        <f>TRIM([1]Raw_Data!C2878)</f>
        <v>Vitamin</v>
      </c>
      <c r="D2880" s="3">
        <f>[1]Raw_Data!D2878</f>
        <v>162</v>
      </c>
      <c r="E2880" s="4">
        <f>[1]Raw_Data!E2878</f>
        <v>37.299999999999997</v>
      </c>
      <c r="F2880" s="5">
        <f>[1]Raw_Data!F2878</f>
        <v>6042.6</v>
      </c>
      <c r="G2880" s="4">
        <f>[1]Raw_Data!G2878</f>
        <v>0.24</v>
      </c>
      <c r="H2880" s="3">
        <f>[1]Raw_Data!H2878</f>
        <v>2</v>
      </c>
      <c r="I2880" s="3" t="str">
        <f>TRIM([1]Raw_Data!I2878)</f>
        <v>UK</v>
      </c>
      <c r="J2880" s="3" t="str">
        <f>TRIM([1]Raw_Data!J2878)</f>
        <v>iHerb</v>
      </c>
      <c r="K2880" s="3">
        <f t="shared" si="176"/>
        <v>2023</v>
      </c>
      <c r="L2880" s="6">
        <f t="shared" si="177"/>
        <v>45078</v>
      </c>
      <c r="M2880" s="3" t="str">
        <f t="shared" si="178"/>
        <v>21% to 25%</v>
      </c>
      <c r="N2880" s="3" t="str">
        <f t="shared" si="179"/>
        <v>OK</v>
      </c>
    </row>
    <row r="2881" spans="1:14" x14ac:dyDescent="0.3">
      <c r="A2881" s="2">
        <f>DATE(VALUE(RIGHT(TRIM([1]Raw_Data!A2879),4)),VALUE(MID(TRIM([1]Raw_Data!A2879),4,2)),VALUE(LEFT(TRIM([1]Raw_Data!A2879),2)))</f>
        <v>45089</v>
      </c>
      <c r="B2881" s="3" t="str">
        <f>TRIM([1]Raw_Data!B2879)</f>
        <v>Green Tea Extract</v>
      </c>
      <c r="C2881" s="3" t="str">
        <f>TRIM([1]Raw_Data!C2879)</f>
        <v>Fat Burner</v>
      </c>
      <c r="D2881" s="3">
        <f>[1]Raw_Data!D2879</f>
        <v>165</v>
      </c>
      <c r="E2881" s="4">
        <f>[1]Raw_Data!E2879</f>
        <v>37.72</v>
      </c>
      <c r="F2881" s="5">
        <f>[1]Raw_Data!F2879</f>
        <v>6223.8</v>
      </c>
      <c r="G2881" s="4">
        <f>[1]Raw_Data!G2879</f>
        <v>0.15</v>
      </c>
      <c r="H2881" s="3">
        <f>[1]Raw_Data!H2879</f>
        <v>1</v>
      </c>
      <c r="I2881" s="3" t="str">
        <f>TRIM([1]Raw_Data!I2879)</f>
        <v>Canada</v>
      </c>
      <c r="J2881" s="3" t="str">
        <f>TRIM([1]Raw_Data!J2879)</f>
        <v>Walmart</v>
      </c>
      <c r="K2881" s="3">
        <f t="shared" si="176"/>
        <v>2023</v>
      </c>
      <c r="L2881" s="6">
        <f t="shared" si="177"/>
        <v>45078</v>
      </c>
      <c r="M2881" s="3" t="str">
        <f t="shared" si="178"/>
        <v>11% to 15%</v>
      </c>
      <c r="N2881" s="3" t="str">
        <f t="shared" si="179"/>
        <v>OK</v>
      </c>
    </row>
    <row r="2882" spans="1:14" x14ac:dyDescent="0.3">
      <c r="A2882" s="2">
        <f>DATE(VALUE(RIGHT(TRIM([1]Raw_Data!A2880),4)),VALUE(MID(TRIM([1]Raw_Data!A2880),4,2)),VALUE(LEFT(TRIM([1]Raw_Data!A2880),2)))</f>
        <v>45089</v>
      </c>
      <c r="B2882" s="3" t="str">
        <f>TRIM([1]Raw_Data!B2880)</f>
        <v>Iron Supplement</v>
      </c>
      <c r="C2882" s="3" t="str">
        <f>TRIM([1]Raw_Data!C2880)</f>
        <v>Mineral</v>
      </c>
      <c r="D2882" s="3">
        <f>[1]Raw_Data!D2880</f>
        <v>152</v>
      </c>
      <c r="E2882" s="4">
        <f>[1]Raw_Data!E2880</f>
        <v>17.170000000000002</v>
      </c>
      <c r="F2882" s="5">
        <f>[1]Raw_Data!F2880</f>
        <v>2609.84</v>
      </c>
      <c r="G2882" s="4">
        <f>[1]Raw_Data!G2880</f>
        <v>0.09</v>
      </c>
      <c r="H2882" s="3">
        <f>[1]Raw_Data!H2880</f>
        <v>2</v>
      </c>
      <c r="I2882" s="3" t="str">
        <f>TRIM([1]Raw_Data!I2880)</f>
        <v>USA</v>
      </c>
      <c r="J2882" s="3" t="str">
        <f>TRIM([1]Raw_Data!J2880)</f>
        <v>iHerb</v>
      </c>
      <c r="K2882" s="3">
        <f t="shared" si="176"/>
        <v>2023</v>
      </c>
      <c r="L2882" s="6">
        <f t="shared" si="177"/>
        <v>45078</v>
      </c>
      <c r="M2882" s="3" t="str">
        <f t="shared" si="178"/>
        <v>6% to 10%</v>
      </c>
      <c r="N2882" s="3" t="str">
        <f t="shared" si="179"/>
        <v>OK</v>
      </c>
    </row>
    <row r="2883" spans="1:14" x14ac:dyDescent="0.3">
      <c r="A2883" s="2">
        <f>DATE(VALUE(RIGHT(TRIM([1]Raw_Data!A2881),4)),VALUE(MID(TRIM([1]Raw_Data!A2881),4,2)),VALUE(LEFT(TRIM([1]Raw_Data!A2881),2)))</f>
        <v>45089</v>
      </c>
      <c r="B2883" s="3" t="str">
        <f>TRIM([1]Raw_Data!B2881)</f>
        <v>Electrolyte Powder</v>
      </c>
      <c r="C2883" s="3" t="str">
        <f>TRIM([1]Raw_Data!C2881)</f>
        <v>Hydration</v>
      </c>
      <c r="D2883" s="3">
        <f>[1]Raw_Data!D2881</f>
        <v>170</v>
      </c>
      <c r="E2883" s="4">
        <f>[1]Raw_Data!E2881</f>
        <v>42.14</v>
      </c>
      <c r="F2883" s="5">
        <f>[1]Raw_Data!F2881</f>
        <v>7163.8</v>
      </c>
      <c r="G2883" s="4">
        <f>[1]Raw_Data!G2881</f>
        <v>0.03</v>
      </c>
      <c r="H2883" s="3">
        <f>[1]Raw_Data!H2881</f>
        <v>3</v>
      </c>
      <c r="I2883" s="3" t="str">
        <f>TRIM([1]Raw_Data!I2881)</f>
        <v>UK</v>
      </c>
      <c r="J2883" s="3" t="str">
        <f>TRIM([1]Raw_Data!J2881)</f>
        <v>iHerb</v>
      </c>
      <c r="K2883" s="3">
        <f t="shared" si="176"/>
        <v>2023</v>
      </c>
      <c r="L2883" s="6">
        <f t="shared" si="177"/>
        <v>45078</v>
      </c>
      <c r="M2883" s="3" t="str">
        <f t="shared" si="178"/>
        <v>0% to 5%</v>
      </c>
      <c r="N2883" s="3" t="str">
        <f t="shared" si="179"/>
        <v>OK</v>
      </c>
    </row>
    <row r="2884" spans="1:14" x14ac:dyDescent="0.3">
      <c r="A2884" s="2">
        <f>DATE(VALUE(RIGHT(TRIM([1]Raw_Data!A2882),4)),VALUE(MID(TRIM([1]Raw_Data!A2882),4,2)),VALUE(LEFT(TRIM([1]Raw_Data!A2882),2)))</f>
        <v>45096</v>
      </c>
      <c r="B2884" s="3" t="str">
        <f>TRIM([1]Raw_Data!B2882)</f>
        <v>Whey Protein</v>
      </c>
      <c r="C2884" s="3" t="str">
        <f>TRIM([1]Raw_Data!C2882)</f>
        <v>Protein</v>
      </c>
      <c r="D2884" s="3">
        <f>[1]Raw_Data!D2882</f>
        <v>152</v>
      </c>
      <c r="E2884" s="4">
        <f>[1]Raw_Data!E2882</f>
        <v>49.72</v>
      </c>
      <c r="F2884" s="5">
        <f>[1]Raw_Data!F2882</f>
        <v>7557.44</v>
      </c>
      <c r="G2884" s="4">
        <f>[1]Raw_Data!G2882</f>
        <v>0.06</v>
      </c>
      <c r="H2884" s="3">
        <f>[1]Raw_Data!H2882</f>
        <v>1</v>
      </c>
      <c r="I2884" s="3" t="str">
        <f>TRIM([1]Raw_Data!I2882)</f>
        <v>USA</v>
      </c>
      <c r="J2884" s="3" t="str">
        <f>TRIM([1]Raw_Data!J2882)</f>
        <v>Amazon</v>
      </c>
      <c r="K2884" s="3">
        <f t="shared" ref="K2884:K2947" si="180">YEAR(A2884)</f>
        <v>2023</v>
      </c>
      <c r="L2884" s="6">
        <f t="shared" ref="L2884:L2947" si="181">DATE(YEAR(A2884),MONTH(A2884),1)</f>
        <v>45078</v>
      </c>
      <c r="M2884" s="3" t="str">
        <f t="shared" ref="M2884:M2947" si="182">IF(ROUND(G2884*100,0)&lt;=5,"0% to 5%",IF(ROUND(G2884*100,0)&lt;=10,"6% to 10%",IF(ROUND(G2884*100,0)&lt;=15,"11% to 15%",IF(ROUND(G2884*100,0)&lt;=20,"16% to 20%","21% to 25%"))))</f>
        <v>6% to 10%</v>
      </c>
      <c r="N2884" s="3" t="str">
        <f t="shared" ref="N2884:N2947" si="183">IF(ROUND(D2884*E2884,2)=ROUND(F2884,2),"OK","Check")</f>
        <v>OK</v>
      </c>
    </row>
    <row r="2885" spans="1:14" x14ac:dyDescent="0.3">
      <c r="A2885" s="2">
        <f>DATE(VALUE(RIGHT(TRIM([1]Raw_Data!A2883),4)),VALUE(MID(TRIM([1]Raw_Data!A2883),4,2)),VALUE(LEFT(TRIM([1]Raw_Data!A2883),2)))</f>
        <v>45096</v>
      </c>
      <c r="B2885" s="3" t="str">
        <f>TRIM([1]Raw_Data!B2883)</f>
        <v>Vitamin C</v>
      </c>
      <c r="C2885" s="3" t="str">
        <f>TRIM([1]Raw_Data!C2883)</f>
        <v>Vitamin</v>
      </c>
      <c r="D2885" s="3">
        <f>[1]Raw_Data!D2883</f>
        <v>182</v>
      </c>
      <c r="E2885" s="4">
        <f>[1]Raw_Data!E2883</f>
        <v>44.15</v>
      </c>
      <c r="F2885" s="5">
        <f>[1]Raw_Data!F2883</f>
        <v>8035.3</v>
      </c>
      <c r="G2885" s="4">
        <f>[1]Raw_Data!G2883</f>
        <v>0.24</v>
      </c>
      <c r="H2885" s="3">
        <f>[1]Raw_Data!H2883</f>
        <v>1</v>
      </c>
      <c r="I2885" s="3" t="str">
        <f>TRIM([1]Raw_Data!I2883)</f>
        <v>USA</v>
      </c>
      <c r="J2885" s="3" t="str">
        <f>TRIM([1]Raw_Data!J2883)</f>
        <v>Amazon</v>
      </c>
      <c r="K2885" s="3">
        <f t="shared" si="180"/>
        <v>2023</v>
      </c>
      <c r="L2885" s="6">
        <f t="shared" si="181"/>
        <v>45078</v>
      </c>
      <c r="M2885" s="3" t="str">
        <f t="shared" si="182"/>
        <v>21% to 25%</v>
      </c>
      <c r="N2885" s="3" t="str">
        <f t="shared" si="183"/>
        <v>OK</v>
      </c>
    </row>
    <row r="2886" spans="1:14" x14ac:dyDescent="0.3">
      <c r="A2886" s="2">
        <f>DATE(VALUE(RIGHT(TRIM([1]Raw_Data!A2884),4)),VALUE(MID(TRIM([1]Raw_Data!A2884),4,2)),VALUE(LEFT(TRIM([1]Raw_Data!A2884),2)))</f>
        <v>45096</v>
      </c>
      <c r="B2886" s="3" t="str">
        <f>TRIM([1]Raw_Data!B2884)</f>
        <v>Fish Oil</v>
      </c>
      <c r="C2886" s="3" t="str">
        <f>TRIM([1]Raw_Data!C2884)</f>
        <v>Omega</v>
      </c>
      <c r="D2886" s="3">
        <f>[1]Raw_Data!D2884</f>
        <v>159</v>
      </c>
      <c r="E2886" s="4">
        <f>[1]Raw_Data!E2884</f>
        <v>26.7</v>
      </c>
      <c r="F2886" s="5">
        <f>[1]Raw_Data!F2884</f>
        <v>4245.3</v>
      </c>
      <c r="G2886" s="4">
        <f>[1]Raw_Data!G2884</f>
        <v>0.01</v>
      </c>
      <c r="H2886" s="3">
        <f>[1]Raw_Data!H2884</f>
        <v>3</v>
      </c>
      <c r="I2886" s="3" t="str">
        <f>TRIM([1]Raw_Data!I2884)</f>
        <v>Canada</v>
      </c>
      <c r="J2886" s="3" t="str">
        <f>TRIM([1]Raw_Data!J2884)</f>
        <v>Amazon</v>
      </c>
      <c r="K2886" s="3">
        <f t="shared" si="180"/>
        <v>2023</v>
      </c>
      <c r="L2886" s="6">
        <f t="shared" si="181"/>
        <v>45078</v>
      </c>
      <c r="M2886" s="3" t="str">
        <f t="shared" si="182"/>
        <v>0% to 5%</v>
      </c>
      <c r="N2886" s="3" t="str">
        <f t="shared" si="183"/>
        <v>OK</v>
      </c>
    </row>
    <row r="2887" spans="1:14" x14ac:dyDescent="0.3">
      <c r="A2887" s="2">
        <f>DATE(VALUE(RIGHT(TRIM([1]Raw_Data!A2885),4)),VALUE(MID(TRIM([1]Raw_Data!A2885),4,2)),VALUE(LEFT(TRIM([1]Raw_Data!A2885),2)))</f>
        <v>45096</v>
      </c>
      <c r="B2887" s="3" t="str">
        <f>TRIM([1]Raw_Data!B2885)</f>
        <v>Multivitamin</v>
      </c>
      <c r="C2887" s="3" t="str">
        <f>TRIM([1]Raw_Data!C2885)</f>
        <v>Vitamin</v>
      </c>
      <c r="D2887" s="3">
        <f>[1]Raw_Data!D2885</f>
        <v>164</v>
      </c>
      <c r="E2887" s="4">
        <f>[1]Raw_Data!E2885</f>
        <v>27.63</v>
      </c>
      <c r="F2887" s="5">
        <f>[1]Raw_Data!F2885</f>
        <v>4531.32</v>
      </c>
      <c r="G2887" s="4">
        <f>[1]Raw_Data!G2885</f>
        <v>0.02</v>
      </c>
      <c r="H2887" s="3">
        <f>[1]Raw_Data!H2885</f>
        <v>2</v>
      </c>
      <c r="I2887" s="3" t="str">
        <f>TRIM([1]Raw_Data!I2885)</f>
        <v>Canada</v>
      </c>
      <c r="J2887" s="3" t="str">
        <f>TRIM([1]Raw_Data!J2885)</f>
        <v>Amazon</v>
      </c>
      <c r="K2887" s="3">
        <f t="shared" si="180"/>
        <v>2023</v>
      </c>
      <c r="L2887" s="6">
        <f t="shared" si="181"/>
        <v>45078</v>
      </c>
      <c r="M2887" s="3" t="str">
        <f t="shared" si="182"/>
        <v>0% to 5%</v>
      </c>
      <c r="N2887" s="3" t="str">
        <f t="shared" si="183"/>
        <v>OK</v>
      </c>
    </row>
    <row r="2888" spans="1:14" x14ac:dyDescent="0.3">
      <c r="A2888" s="2">
        <f>DATE(VALUE(RIGHT(TRIM([1]Raw_Data!A2886),4)),VALUE(MID(TRIM([1]Raw_Data!A2886),4,2)),VALUE(LEFT(TRIM([1]Raw_Data!A2886),2)))</f>
        <v>45096</v>
      </c>
      <c r="B2888" s="3" t="str">
        <f>TRIM([1]Raw_Data!B2886)</f>
        <v>Pre-Workout</v>
      </c>
      <c r="C2888" s="3" t="str">
        <f>TRIM([1]Raw_Data!C2886)</f>
        <v>Performance</v>
      </c>
      <c r="D2888" s="3">
        <f>[1]Raw_Data!D2886</f>
        <v>158</v>
      </c>
      <c r="E2888" s="4">
        <f>[1]Raw_Data!E2886</f>
        <v>46.53</v>
      </c>
      <c r="F2888" s="5">
        <f>[1]Raw_Data!F2886</f>
        <v>7351.74</v>
      </c>
      <c r="G2888" s="4">
        <f>[1]Raw_Data!G2886</f>
        <v>0.21</v>
      </c>
      <c r="H2888" s="3">
        <f>[1]Raw_Data!H2886</f>
        <v>2</v>
      </c>
      <c r="I2888" s="3" t="str">
        <f>TRIM([1]Raw_Data!I2886)</f>
        <v>Canada</v>
      </c>
      <c r="J2888" s="3" t="str">
        <f>TRIM([1]Raw_Data!J2886)</f>
        <v>iHerb</v>
      </c>
      <c r="K2888" s="3">
        <f t="shared" si="180"/>
        <v>2023</v>
      </c>
      <c r="L2888" s="6">
        <f t="shared" si="181"/>
        <v>45078</v>
      </c>
      <c r="M2888" s="3" t="str">
        <f t="shared" si="182"/>
        <v>21% to 25%</v>
      </c>
      <c r="N2888" s="3" t="str">
        <f t="shared" si="183"/>
        <v>OK</v>
      </c>
    </row>
    <row r="2889" spans="1:14" x14ac:dyDescent="0.3">
      <c r="A2889" s="2">
        <f>DATE(VALUE(RIGHT(TRIM([1]Raw_Data!A2887),4)),VALUE(MID(TRIM([1]Raw_Data!A2887),4,2)),VALUE(LEFT(TRIM([1]Raw_Data!A2887),2)))</f>
        <v>45096</v>
      </c>
      <c r="B2889" s="3" t="str">
        <f>TRIM([1]Raw_Data!B2887)</f>
        <v>BCAA</v>
      </c>
      <c r="C2889" s="3" t="str">
        <f>TRIM([1]Raw_Data!C2887)</f>
        <v>Amino Acid</v>
      </c>
      <c r="D2889" s="3">
        <f>[1]Raw_Data!D2887</f>
        <v>155</v>
      </c>
      <c r="E2889" s="4">
        <f>[1]Raw_Data!E2887</f>
        <v>55.11</v>
      </c>
      <c r="F2889" s="5">
        <f>[1]Raw_Data!F2887</f>
        <v>8542.0499999999993</v>
      </c>
      <c r="G2889" s="4">
        <f>[1]Raw_Data!G2887</f>
        <v>0.16</v>
      </c>
      <c r="H2889" s="3">
        <f>[1]Raw_Data!H2887</f>
        <v>1</v>
      </c>
      <c r="I2889" s="3" t="str">
        <f>TRIM([1]Raw_Data!I2887)</f>
        <v>USA</v>
      </c>
      <c r="J2889" s="3" t="str">
        <f>TRIM([1]Raw_Data!J2887)</f>
        <v>Amazon</v>
      </c>
      <c r="K2889" s="3">
        <f t="shared" si="180"/>
        <v>2023</v>
      </c>
      <c r="L2889" s="6">
        <f t="shared" si="181"/>
        <v>45078</v>
      </c>
      <c r="M2889" s="3" t="str">
        <f t="shared" si="182"/>
        <v>16% to 20%</v>
      </c>
      <c r="N2889" s="3" t="str">
        <f t="shared" si="183"/>
        <v>OK</v>
      </c>
    </row>
    <row r="2890" spans="1:14" x14ac:dyDescent="0.3">
      <c r="A2890" s="2">
        <f>DATE(VALUE(RIGHT(TRIM([1]Raw_Data!A2888),4)),VALUE(MID(TRIM([1]Raw_Data!A2888),4,2)),VALUE(LEFT(TRIM([1]Raw_Data!A2888),2)))</f>
        <v>45096</v>
      </c>
      <c r="B2890" s="3" t="str">
        <f>TRIM([1]Raw_Data!B2888)</f>
        <v>Creatine</v>
      </c>
      <c r="C2890" s="3" t="str">
        <f>TRIM([1]Raw_Data!C2888)</f>
        <v>Performance</v>
      </c>
      <c r="D2890" s="3">
        <f>[1]Raw_Data!D2888</f>
        <v>129</v>
      </c>
      <c r="E2890" s="4">
        <f>[1]Raw_Data!E2888</f>
        <v>37.19</v>
      </c>
      <c r="F2890" s="5">
        <f>[1]Raw_Data!F2888</f>
        <v>4797.51</v>
      </c>
      <c r="G2890" s="4">
        <f>[1]Raw_Data!G2888</f>
        <v>7.0000000000000007E-2</v>
      </c>
      <c r="H2890" s="3">
        <f>[1]Raw_Data!H2888</f>
        <v>0</v>
      </c>
      <c r="I2890" s="3" t="str">
        <f>TRIM([1]Raw_Data!I2888)</f>
        <v>Canada</v>
      </c>
      <c r="J2890" s="3" t="str">
        <f>TRIM([1]Raw_Data!J2888)</f>
        <v>iHerb</v>
      </c>
      <c r="K2890" s="3">
        <f t="shared" si="180"/>
        <v>2023</v>
      </c>
      <c r="L2890" s="6">
        <f t="shared" si="181"/>
        <v>45078</v>
      </c>
      <c r="M2890" s="3" t="str">
        <f t="shared" si="182"/>
        <v>6% to 10%</v>
      </c>
      <c r="N2890" s="3" t="str">
        <f t="shared" si="183"/>
        <v>OK</v>
      </c>
    </row>
    <row r="2891" spans="1:14" x14ac:dyDescent="0.3">
      <c r="A2891" s="2">
        <f>DATE(VALUE(RIGHT(TRIM([1]Raw_Data!A2889),4)),VALUE(MID(TRIM([1]Raw_Data!A2889),4,2)),VALUE(LEFT(TRIM([1]Raw_Data!A2889),2)))</f>
        <v>45096</v>
      </c>
      <c r="B2891" s="3" t="str">
        <f>TRIM([1]Raw_Data!B2889)</f>
        <v>Zinc</v>
      </c>
      <c r="C2891" s="3" t="str">
        <f>TRIM([1]Raw_Data!C2889)</f>
        <v>Mineral</v>
      </c>
      <c r="D2891" s="3">
        <f>[1]Raw_Data!D2889</f>
        <v>151</v>
      </c>
      <c r="E2891" s="4">
        <f>[1]Raw_Data!E2889</f>
        <v>50.02</v>
      </c>
      <c r="F2891" s="5">
        <f>[1]Raw_Data!F2889</f>
        <v>7553.02</v>
      </c>
      <c r="G2891" s="4">
        <f>[1]Raw_Data!G2889</f>
        <v>0.12</v>
      </c>
      <c r="H2891" s="3">
        <f>[1]Raw_Data!H2889</f>
        <v>2</v>
      </c>
      <c r="I2891" s="3" t="str">
        <f>TRIM([1]Raw_Data!I2889)</f>
        <v>USA</v>
      </c>
      <c r="J2891" s="3" t="str">
        <f>TRIM([1]Raw_Data!J2889)</f>
        <v>Walmart</v>
      </c>
      <c r="K2891" s="3">
        <f t="shared" si="180"/>
        <v>2023</v>
      </c>
      <c r="L2891" s="6">
        <f t="shared" si="181"/>
        <v>45078</v>
      </c>
      <c r="M2891" s="3" t="str">
        <f t="shared" si="182"/>
        <v>11% to 15%</v>
      </c>
      <c r="N2891" s="3" t="str">
        <f t="shared" si="183"/>
        <v>OK</v>
      </c>
    </row>
    <row r="2892" spans="1:14" x14ac:dyDescent="0.3">
      <c r="A2892" s="2">
        <f>DATE(VALUE(RIGHT(TRIM([1]Raw_Data!A2890),4)),VALUE(MID(TRIM([1]Raw_Data!A2890),4,2)),VALUE(LEFT(TRIM([1]Raw_Data!A2890),2)))</f>
        <v>45096</v>
      </c>
      <c r="B2892" s="3" t="str">
        <f>TRIM([1]Raw_Data!B2890)</f>
        <v>Collagen Peptides</v>
      </c>
      <c r="C2892" s="3" t="str">
        <f>TRIM([1]Raw_Data!C2890)</f>
        <v>Protein</v>
      </c>
      <c r="D2892" s="3">
        <f>[1]Raw_Data!D2890</f>
        <v>135</v>
      </c>
      <c r="E2892" s="4">
        <f>[1]Raw_Data!E2890</f>
        <v>30.5</v>
      </c>
      <c r="F2892" s="5">
        <f>[1]Raw_Data!F2890</f>
        <v>4117.5</v>
      </c>
      <c r="G2892" s="4">
        <f>[1]Raw_Data!G2890</f>
        <v>0.2</v>
      </c>
      <c r="H2892" s="3">
        <f>[1]Raw_Data!H2890</f>
        <v>2</v>
      </c>
      <c r="I2892" s="3" t="str">
        <f>TRIM([1]Raw_Data!I2890)</f>
        <v>Canada</v>
      </c>
      <c r="J2892" s="3" t="str">
        <f>TRIM([1]Raw_Data!J2890)</f>
        <v>Walmart</v>
      </c>
      <c r="K2892" s="3">
        <f t="shared" si="180"/>
        <v>2023</v>
      </c>
      <c r="L2892" s="6">
        <f t="shared" si="181"/>
        <v>45078</v>
      </c>
      <c r="M2892" s="3" t="str">
        <f t="shared" si="182"/>
        <v>16% to 20%</v>
      </c>
      <c r="N2892" s="3" t="str">
        <f t="shared" si="183"/>
        <v>OK</v>
      </c>
    </row>
    <row r="2893" spans="1:14" x14ac:dyDescent="0.3">
      <c r="A2893" s="2">
        <f>DATE(VALUE(RIGHT(TRIM([1]Raw_Data!A2891),4)),VALUE(MID(TRIM([1]Raw_Data!A2891),4,2)),VALUE(LEFT(TRIM([1]Raw_Data!A2891),2)))</f>
        <v>45096</v>
      </c>
      <c r="B2893" s="3" t="str">
        <f>TRIM([1]Raw_Data!B2891)</f>
        <v>Magnesium</v>
      </c>
      <c r="C2893" s="3" t="str">
        <f>TRIM([1]Raw_Data!C2891)</f>
        <v>Mineral</v>
      </c>
      <c r="D2893" s="3">
        <f>[1]Raw_Data!D2891</f>
        <v>139</v>
      </c>
      <c r="E2893" s="4">
        <f>[1]Raw_Data!E2891</f>
        <v>22.17</v>
      </c>
      <c r="F2893" s="5">
        <f>[1]Raw_Data!F2891</f>
        <v>3081.63</v>
      </c>
      <c r="G2893" s="4">
        <f>[1]Raw_Data!G2891</f>
        <v>0.25</v>
      </c>
      <c r="H2893" s="3">
        <f>[1]Raw_Data!H2891</f>
        <v>4</v>
      </c>
      <c r="I2893" s="3" t="str">
        <f>TRIM([1]Raw_Data!I2891)</f>
        <v>USA</v>
      </c>
      <c r="J2893" s="3" t="str">
        <f>TRIM([1]Raw_Data!J2891)</f>
        <v>Amazon</v>
      </c>
      <c r="K2893" s="3">
        <f t="shared" si="180"/>
        <v>2023</v>
      </c>
      <c r="L2893" s="6">
        <f t="shared" si="181"/>
        <v>45078</v>
      </c>
      <c r="M2893" s="3" t="str">
        <f t="shared" si="182"/>
        <v>21% to 25%</v>
      </c>
      <c r="N2893" s="3" t="str">
        <f t="shared" si="183"/>
        <v>OK</v>
      </c>
    </row>
    <row r="2894" spans="1:14" x14ac:dyDescent="0.3">
      <c r="A2894" s="2">
        <f>DATE(VALUE(RIGHT(TRIM([1]Raw_Data!A2892),4)),VALUE(MID(TRIM([1]Raw_Data!A2892),4,2)),VALUE(LEFT(TRIM([1]Raw_Data!A2892),2)))</f>
        <v>45096</v>
      </c>
      <c r="B2894" s="3" t="str">
        <f>TRIM([1]Raw_Data!B2892)</f>
        <v>Ashwagandha</v>
      </c>
      <c r="C2894" s="3" t="str">
        <f>TRIM([1]Raw_Data!C2892)</f>
        <v>Herbal</v>
      </c>
      <c r="D2894" s="3">
        <f>[1]Raw_Data!D2892</f>
        <v>152</v>
      </c>
      <c r="E2894" s="4">
        <f>[1]Raw_Data!E2892</f>
        <v>50.07</v>
      </c>
      <c r="F2894" s="5">
        <f>[1]Raw_Data!F2892</f>
        <v>7610.64</v>
      </c>
      <c r="G2894" s="4">
        <f>[1]Raw_Data!G2892</f>
        <v>0.18</v>
      </c>
      <c r="H2894" s="3">
        <f>[1]Raw_Data!H2892</f>
        <v>2</v>
      </c>
      <c r="I2894" s="3" t="str">
        <f>TRIM([1]Raw_Data!I2892)</f>
        <v>UK</v>
      </c>
      <c r="J2894" s="3" t="str">
        <f>TRIM([1]Raw_Data!J2892)</f>
        <v>iHerb</v>
      </c>
      <c r="K2894" s="3">
        <f t="shared" si="180"/>
        <v>2023</v>
      </c>
      <c r="L2894" s="6">
        <f t="shared" si="181"/>
        <v>45078</v>
      </c>
      <c r="M2894" s="3" t="str">
        <f t="shared" si="182"/>
        <v>16% to 20%</v>
      </c>
      <c r="N2894" s="3" t="str">
        <f t="shared" si="183"/>
        <v>OK</v>
      </c>
    </row>
    <row r="2895" spans="1:14" x14ac:dyDescent="0.3">
      <c r="A2895" s="2">
        <f>DATE(VALUE(RIGHT(TRIM([1]Raw_Data!A2893),4)),VALUE(MID(TRIM([1]Raw_Data!A2893),4,2)),VALUE(LEFT(TRIM([1]Raw_Data!A2893),2)))</f>
        <v>45096</v>
      </c>
      <c r="B2895" s="3" t="str">
        <f>TRIM([1]Raw_Data!B2893)</f>
        <v>Melatonin</v>
      </c>
      <c r="C2895" s="3" t="str">
        <f>TRIM([1]Raw_Data!C2893)</f>
        <v>Sleep Aid</v>
      </c>
      <c r="D2895" s="3">
        <f>[1]Raw_Data!D2893</f>
        <v>155</v>
      </c>
      <c r="E2895" s="4">
        <f>[1]Raw_Data!E2893</f>
        <v>43.49</v>
      </c>
      <c r="F2895" s="5">
        <f>[1]Raw_Data!F2893</f>
        <v>6740.95</v>
      </c>
      <c r="G2895" s="4">
        <f>[1]Raw_Data!G2893</f>
        <v>0.18</v>
      </c>
      <c r="H2895" s="3">
        <f>[1]Raw_Data!H2893</f>
        <v>1</v>
      </c>
      <c r="I2895" s="3" t="str">
        <f>TRIM([1]Raw_Data!I2893)</f>
        <v>Canada</v>
      </c>
      <c r="J2895" s="3" t="str">
        <f>TRIM([1]Raw_Data!J2893)</f>
        <v>Amazon</v>
      </c>
      <c r="K2895" s="3">
        <f t="shared" si="180"/>
        <v>2023</v>
      </c>
      <c r="L2895" s="6">
        <f t="shared" si="181"/>
        <v>45078</v>
      </c>
      <c r="M2895" s="3" t="str">
        <f t="shared" si="182"/>
        <v>16% to 20%</v>
      </c>
      <c r="N2895" s="3" t="str">
        <f t="shared" si="183"/>
        <v>OK</v>
      </c>
    </row>
    <row r="2896" spans="1:14" x14ac:dyDescent="0.3">
      <c r="A2896" s="2">
        <f>DATE(VALUE(RIGHT(TRIM([1]Raw_Data!A2894),4)),VALUE(MID(TRIM([1]Raw_Data!A2894),4,2)),VALUE(LEFT(TRIM([1]Raw_Data!A2894),2)))</f>
        <v>45096</v>
      </c>
      <c r="B2896" s="3" t="str">
        <f>TRIM([1]Raw_Data!B2894)</f>
        <v>Biotin</v>
      </c>
      <c r="C2896" s="3" t="str">
        <f>TRIM([1]Raw_Data!C2894)</f>
        <v>Vitamin</v>
      </c>
      <c r="D2896" s="3">
        <f>[1]Raw_Data!D2894</f>
        <v>145</v>
      </c>
      <c r="E2896" s="4">
        <f>[1]Raw_Data!E2894</f>
        <v>35.29</v>
      </c>
      <c r="F2896" s="5">
        <f>[1]Raw_Data!F2894</f>
        <v>5117.05</v>
      </c>
      <c r="G2896" s="4">
        <f>[1]Raw_Data!G2894</f>
        <v>0.11</v>
      </c>
      <c r="H2896" s="3">
        <f>[1]Raw_Data!H2894</f>
        <v>6</v>
      </c>
      <c r="I2896" s="3" t="str">
        <f>TRIM([1]Raw_Data!I2894)</f>
        <v>USA</v>
      </c>
      <c r="J2896" s="3" t="str">
        <f>TRIM([1]Raw_Data!J2894)</f>
        <v>Amazon</v>
      </c>
      <c r="K2896" s="3">
        <f t="shared" si="180"/>
        <v>2023</v>
      </c>
      <c r="L2896" s="6">
        <f t="shared" si="181"/>
        <v>45078</v>
      </c>
      <c r="M2896" s="3" t="str">
        <f t="shared" si="182"/>
        <v>11% to 15%</v>
      </c>
      <c r="N2896" s="3" t="str">
        <f t="shared" si="183"/>
        <v>OK</v>
      </c>
    </row>
    <row r="2897" spans="1:14" x14ac:dyDescent="0.3">
      <c r="A2897" s="2">
        <f>DATE(VALUE(RIGHT(TRIM([1]Raw_Data!A2895),4)),VALUE(MID(TRIM([1]Raw_Data!A2895),4,2)),VALUE(LEFT(TRIM([1]Raw_Data!A2895),2)))</f>
        <v>45096</v>
      </c>
      <c r="B2897" s="3" t="str">
        <f>TRIM([1]Raw_Data!B2895)</f>
        <v>Green Tea Extract</v>
      </c>
      <c r="C2897" s="3" t="str">
        <f>TRIM([1]Raw_Data!C2895)</f>
        <v>Fat Burner</v>
      </c>
      <c r="D2897" s="3">
        <f>[1]Raw_Data!D2895</f>
        <v>154</v>
      </c>
      <c r="E2897" s="4">
        <f>[1]Raw_Data!E2895</f>
        <v>26.7</v>
      </c>
      <c r="F2897" s="5">
        <f>[1]Raw_Data!F2895</f>
        <v>4111.8</v>
      </c>
      <c r="G2897" s="4">
        <f>[1]Raw_Data!G2895</f>
        <v>0.21</v>
      </c>
      <c r="H2897" s="3">
        <f>[1]Raw_Data!H2895</f>
        <v>2</v>
      </c>
      <c r="I2897" s="3" t="str">
        <f>TRIM([1]Raw_Data!I2895)</f>
        <v>Canada</v>
      </c>
      <c r="J2897" s="3" t="str">
        <f>TRIM([1]Raw_Data!J2895)</f>
        <v>Amazon</v>
      </c>
      <c r="K2897" s="3">
        <f t="shared" si="180"/>
        <v>2023</v>
      </c>
      <c r="L2897" s="6">
        <f t="shared" si="181"/>
        <v>45078</v>
      </c>
      <c r="M2897" s="3" t="str">
        <f t="shared" si="182"/>
        <v>21% to 25%</v>
      </c>
      <c r="N2897" s="3" t="str">
        <f t="shared" si="183"/>
        <v>OK</v>
      </c>
    </row>
    <row r="2898" spans="1:14" x14ac:dyDescent="0.3">
      <c r="A2898" s="2">
        <f>DATE(VALUE(RIGHT(TRIM([1]Raw_Data!A2896),4)),VALUE(MID(TRIM([1]Raw_Data!A2896),4,2)),VALUE(LEFT(TRIM([1]Raw_Data!A2896),2)))</f>
        <v>45096</v>
      </c>
      <c r="B2898" s="3" t="str">
        <f>TRIM([1]Raw_Data!B2896)</f>
        <v>Iron Supplement</v>
      </c>
      <c r="C2898" s="3" t="str">
        <f>TRIM([1]Raw_Data!C2896)</f>
        <v>Mineral</v>
      </c>
      <c r="D2898" s="3">
        <f>[1]Raw_Data!D2896</f>
        <v>157</v>
      </c>
      <c r="E2898" s="4">
        <f>[1]Raw_Data!E2896</f>
        <v>37.43</v>
      </c>
      <c r="F2898" s="5">
        <f>[1]Raw_Data!F2896</f>
        <v>5876.51</v>
      </c>
      <c r="G2898" s="4">
        <f>[1]Raw_Data!G2896</f>
        <v>0.16</v>
      </c>
      <c r="H2898" s="3">
        <f>[1]Raw_Data!H2896</f>
        <v>2</v>
      </c>
      <c r="I2898" s="3" t="str">
        <f>TRIM([1]Raw_Data!I2896)</f>
        <v>UK</v>
      </c>
      <c r="J2898" s="3" t="str">
        <f>TRIM([1]Raw_Data!J2896)</f>
        <v>Walmart</v>
      </c>
      <c r="K2898" s="3">
        <f t="shared" si="180"/>
        <v>2023</v>
      </c>
      <c r="L2898" s="6">
        <f t="shared" si="181"/>
        <v>45078</v>
      </c>
      <c r="M2898" s="3" t="str">
        <f t="shared" si="182"/>
        <v>16% to 20%</v>
      </c>
      <c r="N2898" s="3" t="str">
        <f t="shared" si="183"/>
        <v>OK</v>
      </c>
    </row>
    <row r="2899" spans="1:14" x14ac:dyDescent="0.3">
      <c r="A2899" s="2">
        <f>DATE(VALUE(RIGHT(TRIM([1]Raw_Data!A2897),4)),VALUE(MID(TRIM([1]Raw_Data!A2897),4,2)),VALUE(LEFT(TRIM([1]Raw_Data!A2897),2)))</f>
        <v>45096</v>
      </c>
      <c r="B2899" s="3" t="str">
        <f>TRIM([1]Raw_Data!B2897)</f>
        <v>Electrolyte Powder</v>
      </c>
      <c r="C2899" s="3" t="str">
        <f>TRIM([1]Raw_Data!C2897)</f>
        <v>Hydration</v>
      </c>
      <c r="D2899" s="3">
        <f>[1]Raw_Data!D2897</f>
        <v>170</v>
      </c>
      <c r="E2899" s="4">
        <f>[1]Raw_Data!E2897</f>
        <v>58.55</v>
      </c>
      <c r="F2899" s="5">
        <f>[1]Raw_Data!F2897</f>
        <v>9953.5</v>
      </c>
      <c r="G2899" s="4">
        <f>[1]Raw_Data!G2897</f>
        <v>0.17</v>
      </c>
      <c r="H2899" s="3">
        <f>[1]Raw_Data!H2897</f>
        <v>5</v>
      </c>
      <c r="I2899" s="3" t="str">
        <f>TRIM([1]Raw_Data!I2897)</f>
        <v>UK</v>
      </c>
      <c r="J2899" s="3" t="str">
        <f>TRIM([1]Raw_Data!J2897)</f>
        <v>iHerb</v>
      </c>
      <c r="K2899" s="3">
        <f t="shared" si="180"/>
        <v>2023</v>
      </c>
      <c r="L2899" s="6">
        <f t="shared" si="181"/>
        <v>45078</v>
      </c>
      <c r="M2899" s="3" t="str">
        <f t="shared" si="182"/>
        <v>16% to 20%</v>
      </c>
      <c r="N2899" s="3" t="str">
        <f t="shared" si="183"/>
        <v>OK</v>
      </c>
    </row>
    <row r="2900" spans="1:14" x14ac:dyDescent="0.3">
      <c r="A2900" s="2">
        <f>DATE(VALUE(RIGHT(TRIM([1]Raw_Data!A2898),4)),VALUE(MID(TRIM([1]Raw_Data!A2898),4,2)),VALUE(LEFT(TRIM([1]Raw_Data!A2898),2)))</f>
        <v>45103</v>
      </c>
      <c r="B2900" s="3" t="str">
        <f>TRIM([1]Raw_Data!B2898)</f>
        <v>Whey Protein</v>
      </c>
      <c r="C2900" s="3" t="str">
        <f>TRIM([1]Raw_Data!C2898)</f>
        <v>Protein</v>
      </c>
      <c r="D2900" s="3">
        <f>[1]Raw_Data!D2898</f>
        <v>163</v>
      </c>
      <c r="E2900" s="4">
        <f>[1]Raw_Data!E2898</f>
        <v>31.37</v>
      </c>
      <c r="F2900" s="5">
        <f>[1]Raw_Data!F2898</f>
        <v>5113.3100000000004</v>
      </c>
      <c r="G2900" s="4">
        <f>[1]Raw_Data!G2898</f>
        <v>0.06</v>
      </c>
      <c r="H2900" s="3">
        <f>[1]Raw_Data!H2898</f>
        <v>0</v>
      </c>
      <c r="I2900" s="3" t="str">
        <f>TRIM([1]Raw_Data!I2898)</f>
        <v>Canada</v>
      </c>
      <c r="J2900" s="3" t="str">
        <f>TRIM([1]Raw_Data!J2898)</f>
        <v>iHerb</v>
      </c>
      <c r="K2900" s="3">
        <f t="shared" si="180"/>
        <v>2023</v>
      </c>
      <c r="L2900" s="6">
        <f t="shared" si="181"/>
        <v>45078</v>
      </c>
      <c r="M2900" s="3" t="str">
        <f t="shared" si="182"/>
        <v>6% to 10%</v>
      </c>
      <c r="N2900" s="3" t="str">
        <f t="shared" si="183"/>
        <v>OK</v>
      </c>
    </row>
    <row r="2901" spans="1:14" x14ac:dyDescent="0.3">
      <c r="A2901" s="2">
        <f>DATE(VALUE(RIGHT(TRIM([1]Raw_Data!A2899),4)),VALUE(MID(TRIM([1]Raw_Data!A2899),4,2)),VALUE(LEFT(TRIM([1]Raw_Data!A2899),2)))</f>
        <v>45103</v>
      </c>
      <c r="B2901" s="3" t="str">
        <f>TRIM([1]Raw_Data!B2899)</f>
        <v>Vitamin C</v>
      </c>
      <c r="C2901" s="3" t="str">
        <f>TRIM([1]Raw_Data!C2899)</f>
        <v>Vitamin</v>
      </c>
      <c r="D2901" s="3">
        <f>[1]Raw_Data!D2899</f>
        <v>138</v>
      </c>
      <c r="E2901" s="4">
        <f>[1]Raw_Data!E2899</f>
        <v>45.99</v>
      </c>
      <c r="F2901" s="5">
        <f>[1]Raw_Data!F2899</f>
        <v>6346.62</v>
      </c>
      <c r="G2901" s="4">
        <f>[1]Raw_Data!G2899</f>
        <v>0.11</v>
      </c>
      <c r="H2901" s="3">
        <f>[1]Raw_Data!H2899</f>
        <v>1</v>
      </c>
      <c r="I2901" s="3" t="str">
        <f>TRIM([1]Raw_Data!I2899)</f>
        <v>UK</v>
      </c>
      <c r="J2901" s="3" t="str">
        <f>TRIM([1]Raw_Data!J2899)</f>
        <v>Amazon</v>
      </c>
      <c r="K2901" s="3">
        <f t="shared" si="180"/>
        <v>2023</v>
      </c>
      <c r="L2901" s="6">
        <f t="shared" si="181"/>
        <v>45078</v>
      </c>
      <c r="M2901" s="3" t="str">
        <f t="shared" si="182"/>
        <v>11% to 15%</v>
      </c>
      <c r="N2901" s="3" t="str">
        <f t="shared" si="183"/>
        <v>OK</v>
      </c>
    </row>
    <row r="2902" spans="1:14" x14ac:dyDescent="0.3">
      <c r="A2902" s="2">
        <f>DATE(VALUE(RIGHT(TRIM([1]Raw_Data!A2900),4)),VALUE(MID(TRIM([1]Raw_Data!A2900),4,2)),VALUE(LEFT(TRIM([1]Raw_Data!A2900),2)))</f>
        <v>45103</v>
      </c>
      <c r="B2902" s="3" t="str">
        <f>TRIM([1]Raw_Data!B2900)</f>
        <v>Fish Oil</v>
      </c>
      <c r="C2902" s="3" t="str">
        <f>TRIM([1]Raw_Data!C2900)</f>
        <v>Omega</v>
      </c>
      <c r="D2902" s="3">
        <f>[1]Raw_Data!D2900</f>
        <v>160</v>
      </c>
      <c r="E2902" s="4">
        <f>[1]Raw_Data!E2900</f>
        <v>58.76</v>
      </c>
      <c r="F2902" s="5">
        <f>[1]Raw_Data!F2900</f>
        <v>9401.6</v>
      </c>
      <c r="G2902" s="4">
        <f>[1]Raw_Data!G2900</f>
        <v>0.16</v>
      </c>
      <c r="H2902" s="3">
        <f>[1]Raw_Data!H2900</f>
        <v>1</v>
      </c>
      <c r="I2902" s="3" t="str">
        <f>TRIM([1]Raw_Data!I2900)</f>
        <v>Canada</v>
      </c>
      <c r="J2902" s="3" t="str">
        <f>TRIM([1]Raw_Data!J2900)</f>
        <v>Walmart</v>
      </c>
      <c r="K2902" s="3">
        <f t="shared" si="180"/>
        <v>2023</v>
      </c>
      <c r="L2902" s="6">
        <f t="shared" si="181"/>
        <v>45078</v>
      </c>
      <c r="M2902" s="3" t="str">
        <f t="shared" si="182"/>
        <v>16% to 20%</v>
      </c>
      <c r="N2902" s="3" t="str">
        <f t="shared" si="183"/>
        <v>OK</v>
      </c>
    </row>
    <row r="2903" spans="1:14" x14ac:dyDescent="0.3">
      <c r="A2903" s="2">
        <f>DATE(VALUE(RIGHT(TRIM([1]Raw_Data!A2901),4)),VALUE(MID(TRIM([1]Raw_Data!A2901),4,2)),VALUE(LEFT(TRIM([1]Raw_Data!A2901),2)))</f>
        <v>45103</v>
      </c>
      <c r="B2903" s="3" t="str">
        <f>TRIM([1]Raw_Data!B2901)</f>
        <v>Multivitamin</v>
      </c>
      <c r="C2903" s="3" t="str">
        <f>TRIM([1]Raw_Data!C2901)</f>
        <v>Vitamin</v>
      </c>
      <c r="D2903" s="3">
        <f>[1]Raw_Data!D2901</f>
        <v>143</v>
      </c>
      <c r="E2903" s="4">
        <f>[1]Raw_Data!E2901</f>
        <v>20.65</v>
      </c>
      <c r="F2903" s="5">
        <f>[1]Raw_Data!F2901</f>
        <v>2952.95</v>
      </c>
      <c r="G2903" s="4">
        <f>[1]Raw_Data!G2901</f>
        <v>0.1</v>
      </c>
      <c r="H2903" s="3">
        <f>[1]Raw_Data!H2901</f>
        <v>5</v>
      </c>
      <c r="I2903" s="3" t="str">
        <f>TRIM([1]Raw_Data!I2901)</f>
        <v>USA</v>
      </c>
      <c r="J2903" s="3" t="str">
        <f>TRIM([1]Raw_Data!J2901)</f>
        <v>iHerb</v>
      </c>
      <c r="K2903" s="3">
        <f t="shared" si="180"/>
        <v>2023</v>
      </c>
      <c r="L2903" s="6">
        <f t="shared" si="181"/>
        <v>45078</v>
      </c>
      <c r="M2903" s="3" t="str">
        <f t="shared" si="182"/>
        <v>6% to 10%</v>
      </c>
      <c r="N2903" s="3" t="str">
        <f t="shared" si="183"/>
        <v>OK</v>
      </c>
    </row>
    <row r="2904" spans="1:14" x14ac:dyDescent="0.3">
      <c r="A2904" s="2">
        <f>DATE(VALUE(RIGHT(TRIM([1]Raw_Data!A2902),4)),VALUE(MID(TRIM([1]Raw_Data!A2902),4,2)),VALUE(LEFT(TRIM([1]Raw_Data!A2902),2)))</f>
        <v>45103</v>
      </c>
      <c r="B2904" s="3" t="str">
        <f>TRIM([1]Raw_Data!B2902)</f>
        <v>Pre-Workout</v>
      </c>
      <c r="C2904" s="3" t="str">
        <f>TRIM([1]Raw_Data!C2902)</f>
        <v>Performance</v>
      </c>
      <c r="D2904" s="3">
        <f>[1]Raw_Data!D2902</f>
        <v>138</v>
      </c>
      <c r="E2904" s="4">
        <f>[1]Raw_Data!E2902</f>
        <v>27.62</v>
      </c>
      <c r="F2904" s="5">
        <f>[1]Raw_Data!F2902</f>
        <v>3811.56</v>
      </c>
      <c r="G2904" s="4">
        <f>[1]Raw_Data!G2902</f>
        <v>0.11</v>
      </c>
      <c r="H2904" s="3">
        <f>[1]Raw_Data!H2902</f>
        <v>0</v>
      </c>
      <c r="I2904" s="3" t="str">
        <f>TRIM([1]Raw_Data!I2902)</f>
        <v>UK</v>
      </c>
      <c r="J2904" s="3" t="str">
        <f>TRIM([1]Raw_Data!J2902)</f>
        <v>Walmart</v>
      </c>
      <c r="K2904" s="3">
        <f t="shared" si="180"/>
        <v>2023</v>
      </c>
      <c r="L2904" s="6">
        <f t="shared" si="181"/>
        <v>45078</v>
      </c>
      <c r="M2904" s="3" t="str">
        <f t="shared" si="182"/>
        <v>11% to 15%</v>
      </c>
      <c r="N2904" s="3" t="str">
        <f t="shared" si="183"/>
        <v>OK</v>
      </c>
    </row>
    <row r="2905" spans="1:14" x14ac:dyDescent="0.3">
      <c r="A2905" s="2">
        <f>DATE(VALUE(RIGHT(TRIM([1]Raw_Data!A2903),4)),VALUE(MID(TRIM([1]Raw_Data!A2903),4,2)),VALUE(LEFT(TRIM([1]Raw_Data!A2903),2)))</f>
        <v>45103</v>
      </c>
      <c r="B2905" s="3" t="str">
        <f>TRIM([1]Raw_Data!B2903)</f>
        <v>BCAA</v>
      </c>
      <c r="C2905" s="3" t="str">
        <f>TRIM([1]Raw_Data!C2903)</f>
        <v>Amino Acid</v>
      </c>
      <c r="D2905" s="3">
        <f>[1]Raw_Data!D2903</f>
        <v>147</v>
      </c>
      <c r="E2905" s="4">
        <f>[1]Raw_Data!E2903</f>
        <v>36.65</v>
      </c>
      <c r="F2905" s="5">
        <f>[1]Raw_Data!F2903</f>
        <v>5387.55</v>
      </c>
      <c r="G2905" s="4">
        <f>[1]Raw_Data!G2903</f>
        <v>0.02</v>
      </c>
      <c r="H2905" s="3">
        <f>[1]Raw_Data!H2903</f>
        <v>2</v>
      </c>
      <c r="I2905" s="3" t="str">
        <f>TRIM([1]Raw_Data!I2903)</f>
        <v>UK</v>
      </c>
      <c r="J2905" s="3" t="str">
        <f>TRIM([1]Raw_Data!J2903)</f>
        <v>Amazon</v>
      </c>
      <c r="K2905" s="3">
        <f t="shared" si="180"/>
        <v>2023</v>
      </c>
      <c r="L2905" s="6">
        <f t="shared" si="181"/>
        <v>45078</v>
      </c>
      <c r="M2905" s="3" t="str">
        <f t="shared" si="182"/>
        <v>0% to 5%</v>
      </c>
      <c r="N2905" s="3" t="str">
        <f t="shared" si="183"/>
        <v>OK</v>
      </c>
    </row>
    <row r="2906" spans="1:14" x14ac:dyDescent="0.3">
      <c r="A2906" s="2">
        <f>DATE(VALUE(RIGHT(TRIM([1]Raw_Data!A2904),4)),VALUE(MID(TRIM([1]Raw_Data!A2904),4,2)),VALUE(LEFT(TRIM([1]Raw_Data!A2904),2)))</f>
        <v>45103</v>
      </c>
      <c r="B2906" s="3" t="str">
        <f>TRIM([1]Raw_Data!B2904)</f>
        <v>Creatine</v>
      </c>
      <c r="C2906" s="3" t="str">
        <f>TRIM([1]Raw_Data!C2904)</f>
        <v>Performance</v>
      </c>
      <c r="D2906" s="3">
        <f>[1]Raw_Data!D2904</f>
        <v>152</v>
      </c>
      <c r="E2906" s="4">
        <f>[1]Raw_Data!E2904</f>
        <v>30.93</v>
      </c>
      <c r="F2906" s="5">
        <f>[1]Raw_Data!F2904</f>
        <v>4701.3599999999997</v>
      </c>
      <c r="G2906" s="4">
        <f>[1]Raw_Data!G2904</f>
        <v>0.1</v>
      </c>
      <c r="H2906" s="3">
        <f>[1]Raw_Data!H2904</f>
        <v>0</v>
      </c>
      <c r="I2906" s="3" t="str">
        <f>TRIM([1]Raw_Data!I2904)</f>
        <v>USA</v>
      </c>
      <c r="J2906" s="3" t="str">
        <f>TRIM([1]Raw_Data!J2904)</f>
        <v>Amazon</v>
      </c>
      <c r="K2906" s="3">
        <f t="shared" si="180"/>
        <v>2023</v>
      </c>
      <c r="L2906" s="6">
        <f t="shared" si="181"/>
        <v>45078</v>
      </c>
      <c r="M2906" s="3" t="str">
        <f t="shared" si="182"/>
        <v>6% to 10%</v>
      </c>
      <c r="N2906" s="3" t="str">
        <f t="shared" si="183"/>
        <v>OK</v>
      </c>
    </row>
    <row r="2907" spans="1:14" x14ac:dyDescent="0.3">
      <c r="A2907" s="2">
        <f>DATE(VALUE(RIGHT(TRIM([1]Raw_Data!A2905),4)),VALUE(MID(TRIM([1]Raw_Data!A2905),4,2)),VALUE(LEFT(TRIM([1]Raw_Data!A2905),2)))</f>
        <v>45103</v>
      </c>
      <c r="B2907" s="3" t="str">
        <f>TRIM([1]Raw_Data!B2905)</f>
        <v>Zinc</v>
      </c>
      <c r="C2907" s="3" t="str">
        <f>TRIM([1]Raw_Data!C2905)</f>
        <v>Mineral</v>
      </c>
      <c r="D2907" s="3">
        <f>[1]Raw_Data!D2905</f>
        <v>151</v>
      </c>
      <c r="E2907" s="4">
        <f>[1]Raw_Data!E2905</f>
        <v>33.409999999999997</v>
      </c>
      <c r="F2907" s="5">
        <f>[1]Raw_Data!F2905</f>
        <v>5044.91</v>
      </c>
      <c r="G2907" s="4">
        <f>[1]Raw_Data!G2905</f>
        <v>0.19</v>
      </c>
      <c r="H2907" s="3">
        <f>[1]Raw_Data!H2905</f>
        <v>3</v>
      </c>
      <c r="I2907" s="3" t="str">
        <f>TRIM([1]Raw_Data!I2905)</f>
        <v>USA</v>
      </c>
      <c r="J2907" s="3" t="str">
        <f>TRIM([1]Raw_Data!J2905)</f>
        <v>Amazon</v>
      </c>
      <c r="K2907" s="3">
        <f t="shared" si="180"/>
        <v>2023</v>
      </c>
      <c r="L2907" s="6">
        <f t="shared" si="181"/>
        <v>45078</v>
      </c>
      <c r="M2907" s="3" t="str">
        <f t="shared" si="182"/>
        <v>16% to 20%</v>
      </c>
      <c r="N2907" s="3" t="str">
        <f t="shared" si="183"/>
        <v>OK</v>
      </c>
    </row>
    <row r="2908" spans="1:14" x14ac:dyDescent="0.3">
      <c r="A2908" s="2">
        <f>DATE(VALUE(RIGHT(TRIM([1]Raw_Data!A2906),4)),VALUE(MID(TRIM([1]Raw_Data!A2906),4,2)),VALUE(LEFT(TRIM([1]Raw_Data!A2906),2)))</f>
        <v>45103</v>
      </c>
      <c r="B2908" s="3" t="str">
        <f>TRIM([1]Raw_Data!B2906)</f>
        <v>Collagen Peptides</v>
      </c>
      <c r="C2908" s="3" t="str">
        <f>TRIM([1]Raw_Data!C2906)</f>
        <v>Protein</v>
      </c>
      <c r="D2908" s="3">
        <f>[1]Raw_Data!D2906</f>
        <v>159</v>
      </c>
      <c r="E2908" s="4">
        <f>[1]Raw_Data!E2906</f>
        <v>41.1</v>
      </c>
      <c r="F2908" s="5">
        <f>[1]Raw_Data!F2906</f>
        <v>6534.9</v>
      </c>
      <c r="G2908" s="4">
        <f>[1]Raw_Data!G2906</f>
        <v>0.02</v>
      </c>
      <c r="H2908" s="3">
        <f>[1]Raw_Data!H2906</f>
        <v>2</v>
      </c>
      <c r="I2908" s="3" t="str">
        <f>TRIM([1]Raw_Data!I2906)</f>
        <v>Canada</v>
      </c>
      <c r="J2908" s="3" t="str">
        <f>TRIM([1]Raw_Data!J2906)</f>
        <v>Walmart</v>
      </c>
      <c r="K2908" s="3">
        <f t="shared" si="180"/>
        <v>2023</v>
      </c>
      <c r="L2908" s="6">
        <f t="shared" si="181"/>
        <v>45078</v>
      </c>
      <c r="M2908" s="3" t="str">
        <f t="shared" si="182"/>
        <v>0% to 5%</v>
      </c>
      <c r="N2908" s="3" t="str">
        <f t="shared" si="183"/>
        <v>OK</v>
      </c>
    </row>
    <row r="2909" spans="1:14" x14ac:dyDescent="0.3">
      <c r="A2909" s="2">
        <f>DATE(VALUE(RIGHT(TRIM([1]Raw_Data!A2907),4)),VALUE(MID(TRIM([1]Raw_Data!A2907),4,2)),VALUE(LEFT(TRIM([1]Raw_Data!A2907),2)))</f>
        <v>45103</v>
      </c>
      <c r="B2909" s="3" t="str">
        <f>TRIM([1]Raw_Data!B2907)</f>
        <v>Magnesium</v>
      </c>
      <c r="C2909" s="3" t="str">
        <f>TRIM([1]Raw_Data!C2907)</f>
        <v>Mineral</v>
      </c>
      <c r="D2909" s="3">
        <f>[1]Raw_Data!D2907</f>
        <v>146</v>
      </c>
      <c r="E2909" s="4">
        <f>[1]Raw_Data!E2907</f>
        <v>53.1</v>
      </c>
      <c r="F2909" s="5">
        <f>[1]Raw_Data!F2907</f>
        <v>7752.6</v>
      </c>
      <c r="G2909" s="4">
        <f>[1]Raw_Data!G2907</f>
        <v>0.15</v>
      </c>
      <c r="H2909" s="3">
        <f>[1]Raw_Data!H2907</f>
        <v>1</v>
      </c>
      <c r="I2909" s="3" t="str">
        <f>TRIM([1]Raw_Data!I2907)</f>
        <v>Canada</v>
      </c>
      <c r="J2909" s="3" t="str">
        <f>TRIM([1]Raw_Data!J2907)</f>
        <v>Walmart</v>
      </c>
      <c r="K2909" s="3">
        <f t="shared" si="180"/>
        <v>2023</v>
      </c>
      <c r="L2909" s="6">
        <f t="shared" si="181"/>
        <v>45078</v>
      </c>
      <c r="M2909" s="3" t="str">
        <f t="shared" si="182"/>
        <v>11% to 15%</v>
      </c>
      <c r="N2909" s="3" t="str">
        <f t="shared" si="183"/>
        <v>OK</v>
      </c>
    </row>
    <row r="2910" spans="1:14" x14ac:dyDescent="0.3">
      <c r="A2910" s="2">
        <f>DATE(VALUE(RIGHT(TRIM([1]Raw_Data!A2908),4)),VALUE(MID(TRIM([1]Raw_Data!A2908),4,2)),VALUE(LEFT(TRIM([1]Raw_Data!A2908),2)))</f>
        <v>45103</v>
      </c>
      <c r="B2910" s="3" t="str">
        <f>TRIM([1]Raw_Data!B2908)</f>
        <v>Ashwagandha</v>
      </c>
      <c r="C2910" s="3" t="str">
        <f>TRIM([1]Raw_Data!C2908)</f>
        <v>Herbal</v>
      </c>
      <c r="D2910" s="3">
        <f>[1]Raw_Data!D2908</f>
        <v>172</v>
      </c>
      <c r="E2910" s="4">
        <f>[1]Raw_Data!E2908</f>
        <v>58.58</v>
      </c>
      <c r="F2910" s="5">
        <f>[1]Raw_Data!F2908</f>
        <v>10075.76</v>
      </c>
      <c r="G2910" s="4">
        <f>[1]Raw_Data!G2908</f>
        <v>0.03</v>
      </c>
      <c r="H2910" s="3">
        <f>[1]Raw_Data!H2908</f>
        <v>2</v>
      </c>
      <c r="I2910" s="3" t="str">
        <f>TRIM([1]Raw_Data!I2908)</f>
        <v>UK</v>
      </c>
      <c r="J2910" s="3" t="str">
        <f>TRIM([1]Raw_Data!J2908)</f>
        <v>Amazon</v>
      </c>
      <c r="K2910" s="3">
        <f t="shared" si="180"/>
        <v>2023</v>
      </c>
      <c r="L2910" s="6">
        <f t="shared" si="181"/>
        <v>45078</v>
      </c>
      <c r="M2910" s="3" t="str">
        <f t="shared" si="182"/>
        <v>0% to 5%</v>
      </c>
      <c r="N2910" s="3" t="str">
        <f t="shared" si="183"/>
        <v>OK</v>
      </c>
    </row>
    <row r="2911" spans="1:14" x14ac:dyDescent="0.3">
      <c r="A2911" s="2">
        <f>DATE(VALUE(RIGHT(TRIM([1]Raw_Data!A2909),4)),VALUE(MID(TRIM([1]Raw_Data!A2909),4,2)),VALUE(LEFT(TRIM([1]Raw_Data!A2909),2)))</f>
        <v>45103</v>
      </c>
      <c r="B2911" s="3" t="str">
        <f>TRIM([1]Raw_Data!B2909)</f>
        <v>Melatonin</v>
      </c>
      <c r="C2911" s="3" t="str">
        <f>TRIM([1]Raw_Data!C2909)</f>
        <v>Sleep Aid</v>
      </c>
      <c r="D2911" s="3">
        <f>[1]Raw_Data!D2909</f>
        <v>162</v>
      </c>
      <c r="E2911" s="4">
        <f>[1]Raw_Data!E2909</f>
        <v>14.55</v>
      </c>
      <c r="F2911" s="5">
        <f>[1]Raw_Data!F2909</f>
        <v>2357.1</v>
      </c>
      <c r="G2911" s="4">
        <f>[1]Raw_Data!G2909</f>
        <v>0.15</v>
      </c>
      <c r="H2911" s="3">
        <f>[1]Raw_Data!H2909</f>
        <v>2</v>
      </c>
      <c r="I2911" s="3" t="str">
        <f>TRIM([1]Raw_Data!I2909)</f>
        <v>Canada</v>
      </c>
      <c r="J2911" s="3" t="str">
        <f>TRIM([1]Raw_Data!J2909)</f>
        <v>Walmart</v>
      </c>
      <c r="K2911" s="3">
        <f t="shared" si="180"/>
        <v>2023</v>
      </c>
      <c r="L2911" s="6">
        <f t="shared" si="181"/>
        <v>45078</v>
      </c>
      <c r="M2911" s="3" t="str">
        <f t="shared" si="182"/>
        <v>11% to 15%</v>
      </c>
      <c r="N2911" s="3" t="str">
        <f t="shared" si="183"/>
        <v>OK</v>
      </c>
    </row>
    <row r="2912" spans="1:14" x14ac:dyDescent="0.3">
      <c r="A2912" s="2">
        <f>DATE(VALUE(RIGHT(TRIM([1]Raw_Data!A2910),4)),VALUE(MID(TRIM([1]Raw_Data!A2910),4,2)),VALUE(LEFT(TRIM([1]Raw_Data!A2910),2)))</f>
        <v>45103</v>
      </c>
      <c r="B2912" s="3" t="str">
        <f>TRIM([1]Raw_Data!B2910)</f>
        <v>Biotin</v>
      </c>
      <c r="C2912" s="3" t="str">
        <f>TRIM([1]Raw_Data!C2910)</f>
        <v>Vitamin</v>
      </c>
      <c r="D2912" s="3">
        <f>[1]Raw_Data!D2910</f>
        <v>158</v>
      </c>
      <c r="E2912" s="4">
        <f>[1]Raw_Data!E2910</f>
        <v>48.54</v>
      </c>
      <c r="F2912" s="5">
        <f>[1]Raw_Data!F2910</f>
        <v>7669.32</v>
      </c>
      <c r="G2912" s="4">
        <f>[1]Raw_Data!G2910</f>
        <v>0.17</v>
      </c>
      <c r="H2912" s="3">
        <f>[1]Raw_Data!H2910</f>
        <v>1</v>
      </c>
      <c r="I2912" s="3" t="str">
        <f>TRIM([1]Raw_Data!I2910)</f>
        <v>UK</v>
      </c>
      <c r="J2912" s="3" t="str">
        <f>TRIM([1]Raw_Data!J2910)</f>
        <v>Amazon</v>
      </c>
      <c r="K2912" s="3">
        <f t="shared" si="180"/>
        <v>2023</v>
      </c>
      <c r="L2912" s="6">
        <f t="shared" si="181"/>
        <v>45078</v>
      </c>
      <c r="M2912" s="3" t="str">
        <f t="shared" si="182"/>
        <v>16% to 20%</v>
      </c>
      <c r="N2912" s="3" t="str">
        <f t="shared" si="183"/>
        <v>OK</v>
      </c>
    </row>
    <row r="2913" spans="1:14" x14ac:dyDescent="0.3">
      <c r="A2913" s="2">
        <f>DATE(VALUE(RIGHT(TRIM([1]Raw_Data!A2911),4)),VALUE(MID(TRIM([1]Raw_Data!A2911),4,2)),VALUE(LEFT(TRIM([1]Raw_Data!A2911),2)))</f>
        <v>45103</v>
      </c>
      <c r="B2913" s="3" t="str">
        <f>TRIM([1]Raw_Data!B2911)</f>
        <v>Green Tea Extract</v>
      </c>
      <c r="C2913" s="3" t="str">
        <f>TRIM([1]Raw_Data!C2911)</f>
        <v>Fat Burner</v>
      </c>
      <c r="D2913" s="3">
        <f>[1]Raw_Data!D2911</f>
        <v>147</v>
      </c>
      <c r="E2913" s="4">
        <f>[1]Raw_Data!E2911</f>
        <v>57.67</v>
      </c>
      <c r="F2913" s="5">
        <f>[1]Raw_Data!F2911</f>
        <v>8477.49</v>
      </c>
      <c r="G2913" s="4">
        <f>[1]Raw_Data!G2911</f>
        <v>0.02</v>
      </c>
      <c r="H2913" s="3">
        <f>[1]Raw_Data!H2911</f>
        <v>1</v>
      </c>
      <c r="I2913" s="3" t="str">
        <f>TRIM([1]Raw_Data!I2911)</f>
        <v>Canada</v>
      </c>
      <c r="J2913" s="3" t="str">
        <f>TRIM([1]Raw_Data!J2911)</f>
        <v>Walmart</v>
      </c>
      <c r="K2913" s="3">
        <f t="shared" si="180"/>
        <v>2023</v>
      </c>
      <c r="L2913" s="6">
        <f t="shared" si="181"/>
        <v>45078</v>
      </c>
      <c r="M2913" s="3" t="str">
        <f t="shared" si="182"/>
        <v>0% to 5%</v>
      </c>
      <c r="N2913" s="3" t="str">
        <f t="shared" si="183"/>
        <v>OK</v>
      </c>
    </row>
    <row r="2914" spans="1:14" x14ac:dyDescent="0.3">
      <c r="A2914" s="2">
        <f>DATE(VALUE(RIGHT(TRIM([1]Raw_Data!A2912),4)),VALUE(MID(TRIM([1]Raw_Data!A2912),4,2)),VALUE(LEFT(TRIM([1]Raw_Data!A2912),2)))</f>
        <v>45103</v>
      </c>
      <c r="B2914" s="3" t="str">
        <f>TRIM([1]Raw_Data!B2912)</f>
        <v>Iron Supplement</v>
      </c>
      <c r="C2914" s="3" t="str">
        <f>TRIM([1]Raw_Data!C2912)</f>
        <v>Mineral</v>
      </c>
      <c r="D2914" s="3">
        <f>[1]Raw_Data!D2912</f>
        <v>143</v>
      </c>
      <c r="E2914" s="4">
        <f>[1]Raw_Data!E2912</f>
        <v>35.29</v>
      </c>
      <c r="F2914" s="5">
        <f>[1]Raw_Data!F2912</f>
        <v>5046.47</v>
      </c>
      <c r="G2914" s="4">
        <f>[1]Raw_Data!G2912</f>
        <v>0.15</v>
      </c>
      <c r="H2914" s="3">
        <f>[1]Raw_Data!H2912</f>
        <v>0</v>
      </c>
      <c r="I2914" s="3" t="str">
        <f>TRIM([1]Raw_Data!I2912)</f>
        <v>UK</v>
      </c>
      <c r="J2914" s="3" t="str">
        <f>TRIM([1]Raw_Data!J2912)</f>
        <v>Walmart</v>
      </c>
      <c r="K2914" s="3">
        <f t="shared" si="180"/>
        <v>2023</v>
      </c>
      <c r="L2914" s="6">
        <f t="shared" si="181"/>
        <v>45078</v>
      </c>
      <c r="M2914" s="3" t="str">
        <f t="shared" si="182"/>
        <v>11% to 15%</v>
      </c>
      <c r="N2914" s="3" t="str">
        <f t="shared" si="183"/>
        <v>OK</v>
      </c>
    </row>
    <row r="2915" spans="1:14" x14ac:dyDescent="0.3">
      <c r="A2915" s="2">
        <f>DATE(VALUE(RIGHT(TRIM([1]Raw_Data!A2913),4)),VALUE(MID(TRIM([1]Raw_Data!A2913),4,2)),VALUE(LEFT(TRIM([1]Raw_Data!A2913),2)))</f>
        <v>45103</v>
      </c>
      <c r="B2915" s="3" t="str">
        <f>TRIM([1]Raw_Data!B2913)</f>
        <v>Electrolyte Powder</v>
      </c>
      <c r="C2915" s="3" t="str">
        <f>TRIM([1]Raw_Data!C2913)</f>
        <v>Hydration</v>
      </c>
      <c r="D2915" s="3">
        <f>[1]Raw_Data!D2913</f>
        <v>161</v>
      </c>
      <c r="E2915" s="4">
        <f>[1]Raw_Data!E2913</f>
        <v>58.28</v>
      </c>
      <c r="F2915" s="5">
        <f>[1]Raw_Data!F2913</f>
        <v>9383.08</v>
      </c>
      <c r="G2915" s="4">
        <f>[1]Raw_Data!G2913</f>
        <v>0.05</v>
      </c>
      <c r="H2915" s="3">
        <f>[1]Raw_Data!H2913</f>
        <v>2</v>
      </c>
      <c r="I2915" s="3" t="str">
        <f>TRIM([1]Raw_Data!I2913)</f>
        <v>USA</v>
      </c>
      <c r="J2915" s="3" t="str">
        <f>TRIM([1]Raw_Data!J2913)</f>
        <v>Amazon</v>
      </c>
      <c r="K2915" s="3">
        <f t="shared" si="180"/>
        <v>2023</v>
      </c>
      <c r="L2915" s="6">
        <f t="shared" si="181"/>
        <v>45078</v>
      </c>
      <c r="M2915" s="3" t="str">
        <f t="shared" si="182"/>
        <v>0% to 5%</v>
      </c>
      <c r="N2915" s="3" t="str">
        <f t="shared" si="183"/>
        <v>OK</v>
      </c>
    </row>
    <row r="2916" spans="1:14" x14ac:dyDescent="0.3">
      <c r="A2916" s="2">
        <f>DATE(VALUE(RIGHT(TRIM([1]Raw_Data!A2914),4)),VALUE(MID(TRIM([1]Raw_Data!A2914),4,2)),VALUE(LEFT(TRIM([1]Raw_Data!A2914),2)))</f>
        <v>45110</v>
      </c>
      <c r="B2916" s="3" t="str">
        <f>TRIM([1]Raw_Data!B2914)</f>
        <v>Whey Protein</v>
      </c>
      <c r="C2916" s="3" t="str">
        <f>TRIM([1]Raw_Data!C2914)</f>
        <v>Protein</v>
      </c>
      <c r="D2916" s="3">
        <f>[1]Raw_Data!D2914</f>
        <v>147</v>
      </c>
      <c r="E2916" s="4">
        <f>[1]Raw_Data!E2914</f>
        <v>38.28</v>
      </c>
      <c r="F2916" s="5">
        <f>[1]Raw_Data!F2914</f>
        <v>5627.16</v>
      </c>
      <c r="G2916" s="4">
        <f>[1]Raw_Data!G2914</f>
        <v>0.2</v>
      </c>
      <c r="H2916" s="3">
        <f>[1]Raw_Data!H2914</f>
        <v>0</v>
      </c>
      <c r="I2916" s="3" t="str">
        <f>TRIM([1]Raw_Data!I2914)</f>
        <v>Canada</v>
      </c>
      <c r="J2916" s="3" t="str">
        <f>TRIM([1]Raw_Data!J2914)</f>
        <v>Amazon</v>
      </c>
      <c r="K2916" s="3">
        <f t="shared" si="180"/>
        <v>2023</v>
      </c>
      <c r="L2916" s="6">
        <f t="shared" si="181"/>
        <v>45108</v>
      </c>
      <c r="M2916" s="3" t="str">
        <f t="shared" si="182"/>
        <v>16% to 20%</v>
      </c>
      <c r="N2916" s="3" t="str">
        <f t="shared" si="183"/>
        <v>OK</v>
      </c>
    </row>
    <row r="2917" spans="1:14" x14ac:dyDescent="0.3">
      <c r="A2917" s="2">
        <f>DATE(VALUE(RIGHT(TRIM([1]Raw_Data!A2915),4)),VALUE(MID(TRIM([1]Raw_Data!A2915),4,2)),VALUE(LEFT(TRIM([1]Raw_Data!A2915),2)))</f>
        <v>45110</v>
      </c>
      <c r="B2917" s="3" t="str">
        <f>TRIM([1]Raw_Data!B2915)</f>
        <v>Vitamin C</v>
      </c>
      <c r="C2917" s="3" t="str">
        <f>TRIM([1]Raw_Data!C2915)</f>
        <v>Vitamin</v>
      </c>
      <c r="D2917" s="3">
        <f>[1]Raw_Data!D2915</f>
        <v>159</v>
      </c>
      <c r="E2917" s="4">
        <f>[1]Raw_Data!E2915</f>
        <v>29.45</v>
      </c>
      <c r="F2917" s="5">
        <f>[1]Raw_Data!F2915</f>
        <v>4682.55</v>
      </c>
      <c r="G2917" s="4">
        <f>[1]Raw_Data!G2915</f>
        <v>0.19</v>
      </c>
      <c r="H2917" s="3">
        <f>[1]Raw_Data!H2915</f>
        <v>1</v>
      </c>
      <c r="I2917" s="3" t="str">
        <f>TRIM([1]Raw_Data!I2915)</f>
        <v>Canada</v>
      </c>
      <c r="J2917" s="3" t="str">
        <f>TRIM([1]Raw_Data!J2915)</f>
        <v>Walmart</v>
      </c>
      <c r="K2917" s="3">
        <f t="shared" si="180"/>
        <v>2023</v>
      </c>
      <c r="L2917" s="6">
        <f t="shared" si="181"/>
        <v>45108</v>
      </c>
      <c r="M2917" s="3" t="str">
        <f t="shared" si="182"/>
        <v>16% to 20%</v>
      </c>
      <c r="N2917" s="3" t="str">
        <f t="shared" si="183"/>
        <v>OK</v>
      </c>
    </row>
    <row r="2918" spans="1:14" x14ac:dyDescent="0.3">
      <c r="A2918" s="2">
        <f>DATE(VALUE(RIGHT(TRIM([1]Raw_Data!A2916),4)),VALUE(MID(TRIM([1]Raw_Data!A2916),4,2)),VALUE(LEFT(TRIM([1]Raw_Data!A2916),2)))</f>
        <v>45110</v>
      </c>
      <c r="B2918" s="3" t="str">
        <f>TRIM([1]Raw_Data!B2916)</f>
        <v>Fish Oil</v>
      </c>
      <c r="C2918" s="3" t="str">
        <f>TRIM([1]Raw_Data!C2916)</f>
        <v>Omega</v>
      </c>
      <c r="D2918" s="3">
        <f>[1]Raw_Data!D2916</f>
        <v>168</v>
      </c>
      <c r="E2918" s="4">
        <f>[1]Raw_Data!E2916</f>
        <v>24.62</v>
      </c>
      <c r="F2918" s="5">
        <f>[1]Raw_Data!F2916</f>
        <v>4136.16</v>
      </c>
      <c r="G2918" s="4">
        <f>[1]Raw_Data!G2916</f>
        <v>0.14000000000000001</v>
      </c>
      <c r="H2918" s="3">
        <f>[1]Raw_Data!H2916</f>
        <v>1</v>
      </c>
      <c r="I2918" s="3" t="str">
        <f>TRIM([1]Raw_Data!I2916)</f>
        <v>USA</v>
      </c>
      <c r="J2918" s="3" t="str">
        <f>TRIM([1]Raw_Data!J2916)</f>
        <v>Amazon</v>
      </c>
      <c r="K2918" s="3">
        <f t="shared" si="180"/>
        <v>2023</v>
      </c>
      <c r="L2918" s="6">
        <f t="shared" si="181"/>
        <v>45108</v>
      </c>
      <c r="M2918" s="3" t="str">
        <f t="shared" si="182"/>
        <v>11% to 15%</v>
      </c>
      <c r="N2918" s="3" t="str">
        <f t="shared" si="183"/>
        <v>OK</v>
      </c>
    </row>
    <row r="2919" spans="1:14" x14ac:dyDescent="0.3">
      <c r="A2919" s="2">
        <f>DATE(VALUE(RIGHT(TRIM([1]Raw_Data!A2917),4)),VALUE(MID(TRIM([1]Raw_Data!A2917),4,2)),VALUE(LEFT(TRIM([1]Raw_Data!A2917),2)))</f>
        <v>45110</v>
      </c>
      <c r="B2919" s="3" t="str">
        <f>TRIM([1]Raw_Data!B2917)</f>
        <v>Multivitamin</v>
      </c>
      <c r="C2919" s="3" t="str">
        <f>TRIM([1]Raw_Data!C2917)</f>
        <v>Vitamin</v>
      </c>
      <c r="D2919" s="3">
        <f>[1]Raw_Data!D2917</f>
        <v>147</v>
      </c>
      <c r="E2919" s="4">
        <f>[1]Raw_Data!E2917</f>
        <v>52.82</v>
      </c>
      <c r="F2919" s="5">
        <f>[1]Raw_Data!F2917</f>
        <v>7764.54</v>
      </c>
      <c r="G2919" s="4">
        <f>[1]Raw_Data!G2917</f>
        <v>0.13</v>
      </c>
      <c r="H2919" s="3">
        <f>[1]Raw_Data!H2917</f>
        <v>1</v>
      </c>
      <c r="I2919" s="3" t="str">
        <f>TRIM([1]Raw_Data!I2917)</f>
        <v>USA</v>
      </c>
      <c r="J2919" s="3" t="str">
        <f>TRIM([1]Raw_Data!J2917)</f>
        <v>Amazon</v>
      </c>
      <c r="K2919" s="3">
        <f t="shared" si="180"/>
        <v>2023</v>
      </c>
      <c r="L2919" s="6">
        <f t="shared" si="181"/>
        <v>45108</v>
      </c>
      <c r="M2919" s="3" t="str">
        <f t="shared" si="182"/>
        <v>11% to 15%</v>
      </c>
      <c r="N2919" s="3" t="str">
        <f t="shared" si="183"/>
        <v>OK</v>
      </c>
    </row>
    <row r="2920" spans="1:14" x14ac:dyDescent="0.3">
      <c r="A2920" s="2">
        <f>DATE(VALUE(RIGHT(TRIM([1]Raw_Data!A2918),4)),VALUE(MID(TRIM([1]Raw_Data!A2918),4,2)),VALUE(LEFT(TRIM([1]Raw_Data!A2918),2)))</f>
        <v>45110</v>
      </c>
      <c r="B2920" s="3" t="str">
        <f>TRIM([1]Raw_Data!B2918)</f>
        <v>Pre-Workout</v>
      </c>
      <c r="C2920" s="3" t="str">
        <f>TRIM([1]Raw_Data!C2918)</f>
        <v>Performance</v>
      </c>
      <c r="D2920" s="3">
        <f>[1]Raw_Data!D2918</f>
        <v>140</v>
      </c>
      <c r="E2920" s="4">
        <f>[1]Raw_Data!E2918</f>
        <v>35.79</v>
      </c>
      <c r="F2920" s="5">
        <f>[1]Raw_Data!F2918</f>
        <v>5010.6000000000004</v>
      </c>
      <c r="G2920" s="4">
        <f>[1]Raw_Data!G2918</f>
        <v>0.19</v>
      </c>
      <c r="H2920" s="3">
        <f>[1]Raw_Data!H2918</f>
        <v>0</v>
      </c>
      <c r="I2920" s="3" t="str">
        <f>TRIM([1]Raw_Data!I2918)</f>
        <v>USA</v>
      </c>
      <c r="J2920" s="3" t="str">
        <f>TRIM([1]Raw_Data!J2918)</f>
        <v>iHerb</v>
      </c>
      <c r="K2920" s="3">
        <f t="shared" si="180"/>
        <v>2023</v>
      </c>
      <c r="L2920" s="6">
        <f t="shared" si="181"/>
        <v>45108</v>
      </c>
      <c r="M2920" s="3" t="str">
        <f t="shared" si="182"/>
        <v>16% to 20%</v>
      </c>
      <c r="N2920" s="3" t="str">
        <f t="shared" si="183"/>
        <v>OK</v>
      </c>
    </row>
    <row r="2921" spans="1:14" x14ac:dyDescent="0.3">
      <c r="A2921" s="2">
        <f>DATE(VALUE(RIGHT(TRIM([1]Raw_Data!A2919),4)),VALUE(MID(TRIM([1]Raw_Data!A2919),4,2)),VALUE(LEFT(TRIM([1]Raw_Data!A2919),2)))</f>
        <v>45110</v>
      </c>
      <c r="B2921" s="3" t="str">
        <f>TRIM([1]Raw_Data!B2919)</f>
        <v>BCAA</v>
      </c>
      <c r="C2921" s="3" t="str">
        <f>TRIM([1]Raw_Data!C2919)</f>
        <v>Amino Acid</v>
      </c>
      <c r="D2921" s="3">
        <f>[1]Raw_Data!D2919</f>
        <v>139</v>
      </c>
      <c r="E2921" s="4">
        <f>[1]Raw_Data!E2919</f>
        <v>28.02</v>
      </c>
      <c r="F2921" s="5">
        <f>[1]Raw_Data!F2919</f>
        <v>3894.78</v>
      </c>
      <c r="G2921" s="4">
        <f>[1]Raw_Data!G2919</f>
        <v>0.1</v>
      </c>
      <c r="H2921" s="3">
        <f>[1]Raw_Data!H2919</f>
        <v>2</v>
      </c>
      <c r="I2921" s="3" t="str">
        <f>TRIM([1]Raw_Data!I2919)</f>
        <v>Canada</v>
      </c>
      <c r="J2921" s="3" t="str">
        <f>TRIM([1]Raw_Data!J2919)</f>
        <v>Walmart</v>
      </c>
      <c r="K2921" s="3">
        <f t="shared" si="180"/>
        <v>2023</v>
      </c>
      <c r="L2921" s="6">
        <f t="shared" si="181"/>
        <v>45108</v>
      </c>
      <c r="M2921" s="3" t="str">
        <f t="shared" si="182"/>
        <v>6% to 10%</v>
      </c>
      <c r="N2921" s="3" t="str">
        <f t="shared" si="183"/>
        <v>OK</v>
      </c>
    </row>
    <row r="2922" spans="1:14" x14ac:dyDescent="0.3">
      <c r="A2922" s="2">
        <f>DATE(VALUE(RIGHT(TRIM([1]Raw_Data!A2920),4)),VALUE(MID(TRIM([1]Raw_Data!A2920),4,2)),VALUE(LEFT(TRIM([1]Raw_Data!A2920),2)))</f>
        <v>45110</v>
      </c>
      <c r="B2922" s="3" t="str">
        <f>TRIM([1]Raw_Data!B2920)</f>
        <v>Creatine</v>
      </c>
      <c r="C2922" s="3" t="str">
        <f>TRIM([1]Raw_Data!C2920)</f>
        <v>Performance</v>
      </c>
      <c r="D2922" s="3">
        <f>[1]Raw_Data!D2920</f>
        <v>144</v>
      </c>
      <c r="E2922" s="4">
        <f>[1]Raw_Data!E2920</f>
        <v>41.2</v>
      </c>
      <c r="F2922" s="5">
        <f>[1]Raw_Data!F2920</f>
        <v>5932.8</v>
      </c>
      <c r="G2922" s="4">
        <f>[1]Raw_Data!G2920</f>
        <v>0.06</v>
      </c>
      <c r="H2922" s="3">
        <f>[1]Raw_Data!H2920</f>
        <v>2</v>
      </c>
      <c r="I2922" s="3" t="str">
        <f>TRIM([1]Raw_Data!I2920)</f>
        <v>USA</v>
      </c>
      <c r="J2922" s="3" t="str">
        <f>TRIM([1]Raw_Data!J2920)</f>
        <v>Amazon</v>
      </c>
      <c r="K2922" s="3">
        <f t="shared" si="180"/>
        <v>2023</v>
      </c>
      <c r="L2922" s="6">
        <f t="shared" si="181"/>
        <v>45108</v>
      </c>
      <c r="M2922" s="3" t="str">
        <f t="shared" si="182"/>
        <v>6% to 10%</v>
      </c>
      <c r="N2922" s="3" t="str">
        <f t="shared" si="183"/>
        <v>OK</v>
      </c>
    </row>
    <row r="2923" spans="1:14" x14ac:dyDescent="0.3">
      <c r="A2923" s="2">
        <f>DATE(VALUE(RIGHT(TRIM([1]Raw_Data!A2921),4)),VALUE(MID(TRIM([1]Raw_Data!A2921),4,2)),VALUE(LEFT(TRIM([1]Raw_Data!A2921),2)))</f>
        <v>45110</v>
      </c>
      <c r="B2923" s="3" t="str">
        <f>TRIM([1]Raw_Data!B2921)</f>
        <v>Zinc</v>
      </c>
      <c r="C2923" s="3" t="str">
        <f>TRIM([1]Raw_Data!C2921)</f>
        <v>Mineral</v>
      </c>
      <c r="D2923" s="3">
        <f>[1]Raw_Data!D2921</f>
        <v>152</v>
      </c>
      <c r="E2923" s="4">
        <f>[1]Raw_Data!E2921</f>
        <v>50.49</v>
      </c>
      <c r="F2923" s="5">
        <f>[1]Raw_Data!F2921</f>
        <v>7674.48</v>
      </c>
      <c r="G2923" s="4">
        <f>[1]Raw_Data!G2921</f>
        <v>0.06</v>
      </c>
      <c r="H2923" s="3">
        <f>[1]Raw_Data!H2921</f>
        <v>3</v>
      </c>
      <c r="I2923" s="3" t="str">
        <f>TRIM([1]Raw_Data!I2921)</f>
        <v>Canada</v>
      </c>
      <c r="J2923" s="3" t="str">
        <f>TRIM([1]Raw_Data!J2921)</f>
        <v>Amazon</v>
      </c>
      <c r="K2923" s="3">
        <f t="shared" si="180"/>
        <v>2023</v>
      </c>
      <c r="L2923" s="6">
        <f t="shared" si="181"/>
        <v>45108</v>
      </c>
      <c r="M2923" s="3" t="str">
        <f t="shared" si="182"/>
        <v>6% to 10%</v>
      </c>
      <c r="N2923" s="3" t="str">
        <f t="shared" si="183"/>
        <v>OK</v>
      </c>
    </row>
    <row r="2924" spans="1:14" x14ac:dyDescent="0.3">
      <c r="A2924" s="2">
        <f>DATE(VALUE(RIGHT(TRIM([1]Raw_Data!A2922),4)),VALUE(MID(TRIM([1]Raw_Data!A2922),4,2)),VALUE(LEFT(TRIM([1]Raw_Data!A2922),2)))</f>
        <v>45110</v>
      </c>
      <c r="B2924" s="3" t="str">
        <f>TRIM([1]Raw_Data!B2922)</f>
        <v>Collagen Peptides</v>
      </c>
      <c r="C2924" s="3" t="str">
        <f>TRIM([1]Raw_Data!C2922)</f>
        <v>Protein</v>
      </c>
      <c r="D2924" s="3">
        <f>[1]Raw_Data!D2922</f>
        <v>152</v>
      </c>
      <c r="E2924" s="4">
        <f>[1]Raw_Data!E2922</f>
        <v>53.75</v>
      </c>
      <c r="F2924" s="5">
        <f>[1]Raw_Data!F2922</f>
        <v>8170</v>
      </c>
      <c r="G2924" s="4">
        <f>[1]Raw_Data!G2922</f>
        <v>0.2</v>
      </c>
      <c r="H2924" s="3">
        <f>[1]Raw_Data!H2922</f>
        <v>2</v>
      </c>
      <c r="I2924" s="3" t="str">
        <f>TRIM([1]Raw_Data!I2922)</f>
        <v>Canada</v>
      </c>
      <c r="J2924" s="3" t="str">
        <f>TRIM([1]Raw_Data!J2922)</f>
        <v>Walmart</v>
      </c>
      <c r="K2924" s="3">
        <f t="shared" si="180"/>
        <v>2023</v>
      </c>
      <c r="L2924" s="6">
        <f t="shared" si="181"/>
        <v>45108</v>
      </c>
      <c r="M2924" s="3" t="str">
        <f t="shared" si="182"/>
        <v>16% to 20%</v>
      </c>
      <c r="N2924" s="3" t="str">
        <f t="shared" si="183"/>
        <v>OK</v>
      </c>
    </row>
    <row r="2925" spans="1:14" x14ac:dyDescent="0.3">
      <c r="A2925" s="2">
        <f>DATE(VALUE(RIGHT(TRIM([1]Raw_Data!A2923),4)),VALUE(MID(TRIM([1]Raw_Data!A2923),4,2)),VALUE(LEFT(TRIM([1]Raw_Data!A2923),2)))</f>
        <v>45110</v>
      </c>
      <c r="B2925" s="3" t="str">
        <f>TRIM([1]Raw_Data!B2923)</f>
        <v>Magnesium</v>
      </c>
      <c r="C2925" s="3" t="str">
        <f>TRIM([1]Raw_Data!C2923)</f>
        <v>Mineral</v>
      </c>
      <c r="D2925" s="3">
        <f>[1]Raw_Data!D2923</f>
        <v>160</v>
      </c>
      <c r="E2925" s="4">
        <f>[1]Raw_Data!E2923</f>
        <v>37.369999999999997</v>
      </c>
      <c r="F2925" s="5">
        <f>[1]Raw_Data!F2923</f>
        <v>5979.2</v>
      </c>
      <c r="G2925" s="4">
        <f>[1]Raw_Data!G2923</f>
        <v>0.02</v>
      </c>
      <c r="H2925" s="3">
        <f>[1]Raw_Data!H2923</f>
        <v>0</v>
      </c>
      <c r="I2925" s="3" t="str">
        <f>TRIM([1]Raw_Data!I2923)</f>
        <v>USA</v>
      </c>
      <c r="J2925" s="3" t="str">
        <f>TRIM([1]Raw_Data!J2923)</f>
        <v>iHerb</v>
      </c>
      <c r="K2925" s="3">
        <f t="shared" si="180"/>
        <v>2023</v>
      </c>
      <c r="L2925" s="6">
        <f t="shared" si="181"/>
        <v>45108</v>
      </c>
      <c r="M2925" s="3" t="str">
        <f t="shared" si="182"/>
        <v>0% to 5%</v>
      </c>
      <c r="N2925" s="3" t="str">
        <f t="shared" si="183"/>
        <v>OK</v>
      </c>
    </row>
    <row r="2926" spans="1:14" x14ac:dyDescent="0.3">
      <c r="A2926" s="2">
        <f>DATE(VALUE(RIGHT(TRIM([1]Raw_Data!A2924),4)),VALUE(MID(TRIM([1]Raw_Data!A2924),4,2)),VALUE(LEFT(TRIM([1]Raw_Data!A2924),2)))</f>
        <v>45110</v>
      </c>
      <c r="B2926" s="3" t="str">
        <f>TRIM([1]Raw_Data!B2924)</f>
        <v>Ashwagandha</v>
      </c>
      <c r="C2926" s="3" t="str">
        <f>TRIM([1]Raw_Data!C2924)</f>
        <v>Herbal</v>
      </c>
      <c r="D2926" s="3">
        <f>[1]Raw_Data!D2924</f>
        <v>163</v>
      </c>
      <c r="E2926" s="4">
        <f>[1]Raw_Data!E2924</f>
        <v>18.47</v>
      </c>
      <c r="F2926" s="5">
        <f>[1]Raw_Data!F2924</f>
        <v>3010.61</v>
      </c>
      <c r="G2926" s="4">
        <f>[1]Raw_Data!G2924</f>
        <v>0.2</v>
      </c>
      <c r="H2926" s="3">
        <f>[1]Raw_Data!H2924</f>
        <v>0</v>
      </c>
      <c r="I2926" s="3" t="str">
        <f>TRIM([1]Raw_Data!I2924)</f>
        <v>Canada</v>
      </c>
      <c r="J2926" s="3" t="str">
        <f>TRIM([1]Raw_Data!J2924)</f>
        <v>Amazon</v>
      </c>
      <c r="K2926" s="3">
        <f t="shared" si="180"/>
        <v>2023</v>
      </c>
      <c r="L2926" s="6">
        <f t="shared" si="181"/>
        <v>45108</v>
      </c>
      <c r="M2926" s="3" t="str">
        <f t="shared" si="182"/>
        <v>16% to 20%</v>
      </c>
      <c r="N2926" s="3" t="str">
        <f t="shared" si="183"/>
        <v>OK</v>
      </c>
    </row>
    <row r="2927" spans="1:14" x14ac:dyDescent="0.3">
      <c r="A2927" s="2">
        <f>DATE(VALUE(RIGHT(TRIM([1]Raw_Data!A2925),4)),VALUE(MID(TRIM([1]Raw_Data!A2925),4,2)),VALUE(LEFT(TRIM([1]Raw_Data!A2925),2)))</f>
        <v>45110</v>
      </c>
      <c r="B2927" s="3" t="str">
        <f>TRIM([1]Raw_Data!B2925)</f>
        <v>Melatonin</v>
      </c>
      <c r="C2927" s="3" t="str">
        <f>TRIM([1]Raw_Data!C2925)</f>
        <v>Sleep Aid</v>
      </c>
      <c r="D2927" s="3">
        <f>[1]Raw_Data!D2925</f>
        <v>142</v>
      </c>
      <c r="E2927" s="4">
        <f>[1]Raw_Data!E2925</f>
        <v>39.770000000000003</v>
      </c>
      <c r="F2927" s="5">
        <f>[1]Raw_Data!F2925</f>
        <v>5647.34</v>
      </c>
      <c r="G2927" s="4">
        <f>[1]Raw_Data!G2925</f>
        <v>0.19</v>
      </c>
      <c r="H2927" s="3">
        <f>[1]Raw_Data!H2925</f>
        <v>1</v>
      </c>
      <c r="I2927" s="3" t="str">
        <f>TRIM([1]Raw_Data!I2925)</f>
        <v>UK</v>
      </c>
      <c r="J2927" s="3" t="str">
        <f>TRIM([1]Raw_Data!J2925)</f>
        <v>Walmart</v>
      </c>
      <c r="K2927" s="3">
        <f t="shared" si="180"/>
        <v>2023</v>
      </c>
      <c r="L2927" s="6">
        <f t="shared" si="181"/>
        <v>45108</v>
      </c>
      <c r="M2927" s="3" t="str">
        <f t="shared" si="182"/>
        <v>16% to 20%</v>
      </c>
      <c r="N2927" s="3" t="str">
        <f t="shared" si="183"/>
        <v>OK</v>
      </c>
    </row>
    <row r="2928" spans="1:14" x14ac:dyDescent="0.3">
      <c r="A2928" s="2">
        <f>DATE(VALUE(RIGHT(TRIM([1]Raw_Data!A2926),4)),VALUE(MID(TRIM([1]Raw_Data!A2926),4,2)),VALUE(LEFT(TRIM([1]Raw_Data!A2926),2)))</f>
        <v>45110</v>
      </c>
      <c r="B2928" s="3" t="str">
        <f>TRIM([1]Raw_Data!B2926)</f>
        <v>Biotin</v>
      </c>
      <c r="C2928" s="3" t="str">
        <f>TRIM([1]Raw_Data!C2926)</f>
        <v>Vitamin</v>
      </c>
      <c r="D2928" s="3">
        <f>[1]Raw_Data!D2926</f>
        <v>150</v>
      </c>
      <c r="E2928" s="4">
        <f>[1]Raw_Data!E2926</f>
        <v>34.93</v>
      </c>
      <c r="F2928" s="5">
        <f>[1]Raw_Data!F2926</f>
        <v>5239.5</v>
      </c>
      <c r="G2928" s="4">
        <f>[1]Raw_Data!G2926</f>
        <v>0.15</v>
      </c>
      <c r="H2928" s="3">
        <f>[1]Raw_Data!H2926</f>
        <v>3</v>
      </c>
      <c r="I2928" s="3" t="str">
        <f>TRIM([1]Raw_Data!I2926)</f>
        <v>Canada</v>
      </c>
      <c r="J2928" s="3" t="str">
        <f>TRIM([1]Raw_Data!J2926)</f>
        <v>iHerb</v>
      </c>
      <c r="K2928" s="3">
        <f t="shared" si="180"/>
        <v>2023</v>
      </c>
      <c r="L2928" s="6">
        <f t="shared" si="181"/>
        <v>45108</v>
      </c>
      <c r="M2928" s="3" t="str">
        <f t="shared" si="182"/>
        <v>11% to 15%</v>
      </c>
      <c r="N2928" s="3" t="str">
        <f t="shared" si="183"/>
        <v>OK</v>
      </c>
    </row>
    <row r="2929" spans="1:14" x14ac:dyDescent="0.3">
      <c r="A2929" s="2">
        <f>DATE(VALUE(RIGHT(TRIM([1]Raw_Data!A2927),4)),VALUE(MID(TRIM([1]Raw_Data!A2927),4,2)),VALUE(LEFT(TRIM([1]Raw_Data!A2927),2)))</f>
        <v>45110</v>
      </c>
      <c r="B2929" s="3" t="str">
        <f>TRIM([1]Raw_Data!B2927)</f>
        <v>Green Tea Extract</v>
      </c>
      <c r="C2929" s="3" t="str">
        <f>TRIM([1]Raw_Data!C2927)</f>
        <v>Fat Burner</v>
      </c>
      <c r="D2929" s="3">
        <f>[1]Raw_Data!D2927</f>
        <v>146</v>
      </c>
      <c r="E2929" s="4">
        <f>[1]Raw_Data!E2927</f>
        <v>10.18</v>
      </c>
      <c r="F2929" s="5">
        <f>[1]Raw_Data!F2927</f>
        <v>1486.28</v>
      </c>
      <c r="G2929" s="4">
        <f>[1]Raw_Data!G2927</f>
        <v>0.15</v>
      </c>
      <c r="H2929" s="3">
        <f>[1]Raw_Data!H2927</f>
        <v>0</v>
      </c>
      <c r="I2929" s="3" t="str">
        <f>TRIM([1]Raw_Data!I2927)</f>
        <v>UK</v>
      </c>
      <c r="J2929" s="3" t="str">
        <f>TRIM([1]Raw_Data!J2927)</f>
        <v>Amazon</v>
      </c>
      <c r="K2929" s="3">
        <f t="shared" si="180"/>
        <v>2023</v>
      </c>
      <c r="L2929" s="6">
        <f t="shared" si="181"/>
        <v>45108</v>
      </c>
      <c r="M2929" s="3" t="str">
        <f t="shared" si="182"/>
        <v>11% to 15%</v>
      </c>
      <c r="N2929" s="3" t="str">
        <f t="shared" si="183"/>
        <v>OK</v>
      </c>
    </row>
    <row r="2930" spans="1:14" x14ac:dyDescent="0.3">
      <c r="A2930" s="2">
        <f>DATE(VALUE(RIGHT(TRIM([1]Raw_Data!A2928),4)),VALUE(MID(TRIM([1]Raw_Data!A2928),4,2)),VALUE(LEFT(TRIM([1]Raw_Data!A2928),2)))</f>
        <v>45110</v>
      </c>
      <c r="B2930" s="3" t="str">
        <f>TRIM([1]Raw_Data!B2928)</f>
        <v>Iron Supplement</v>
      </c>
      <c r="C2930" s="3" t="str">
        <f>TRIM([1]Raw_Data!C2928)</f>
        <v>Mineral</v>
      </c>
      <c r="D2930" s="3">
        <f>[1]Raw_Data!D2928</f>
        <v>150</v>
      </c>
      <c r="E2930" s="4">
        <f>[1]Raw_Data!E2928</f>
        <v>37.5</v>
      </c>
      <c r="F2930" s="5">
        <f>[1]Raw_Data!F2928</f>
        <v>5625</v>
      </c>
      <c r="G2930" s="4">
        <f>[1]Raw_Data!G2928</f>
        <v>7.0000000000000007E-2</v>
      </c>
      <c r="H2930" s="3">
        <f>[1]Raw_Data!H2928</f>
        <v>2</v>
      </c>
      <c r="I2930" s="3" t="str">
        <f>TRIM([1]Raw_Data!I2928)</f>
        <v>UK</v>
      </c>
      <c r="J2930" s="3" t="str">
        <f>TRIM([1]Raw_Data!J2928)</f>
        <v>Amazon</v>
      </c>
      <c r="K2930" s="3">
        <f t="shared" si="180"/>
        <v>2023</v>
      </c>
      <c r="L2930" s="6">
        <f t="shared" si="181"/>
        <v>45108</v>
      </c>
      <c r="M2930" s="3" t="str">
        <f t="shared" si="182"/>
        <v>6% to 10%</v>
      </c>
      <c r="N2930" s="3" t="str">
        <f t="shared" si="183"/>
        <v>OK</v>
      </c>
    </row>
    <row r="2931" spans="1:14" x14ac:dyDescent="0.3">
      <c r="A2931" s="2">
        <f>DATE(VALUE(RIGHT(TRIM([1]Raw_Data!A2929),4)),VALUE(MID(TRIM([1]Raw_Data!A2929),4,2)),VALUE(LEFT(TRIM([1]Raw_Data!A2929),2)))</f>
        <v>45110</v>
      </c>
      <c r="B2931" s="3" t="str">
        <f>TRIM([1]Raw_Data!B2929)</f>
        <v>Electrolyte Powder</v>
      </c>
      <c r="C2931" s="3" t="str">
        <f>TRIM([1]Raw_Data!C2929)</f>
        <v>Hydration</v>
      </c>
      <c r="D2931" s="3">
        <f>[1]Raw_Data!D2929</f>
        <v>141</v>
      </c>
      <c r="E2931" s="4">
        <f>[1]Raw_Data!E2929</f>
        <v>40.51</v>
      </c>
      <c r="F2931" s="5">
        <f>[1]Raw_Data!F2929</f>
        <v>5711.91</v>
      </c>
      <c r="G2931" s="4">
        <f>[1]Raw_Data!G2929</f>
        <v>0.04</v>
      </c>
      <c r="H2931" s="3">
        <f>[1]Raw_Data!H2929</f>
        <v>3</v>
      </c>
      <c r="I2931" s="3" t="str">
        <f>TRIM([1]Raw_Data!I2929)</f>
        <v>Canada</v>
      </c>
      <c r="J2931" s="3" t="str">
        <f>TRIM([1]Raw_Data!J2929)</f>
        <v>iHerb</v>
      </c>
      <c r="K2931" s="3">
        <f t="shared" si="180"/>
        <v>2023</v>
      </c>
      <c r="L2931" s="6">
        <f t="shared" si="181"/>
        <v>45108</v>
      </c>
      <c r="M2931" s="3" t="str">
        <f t="shared" si="182"/>
        <v>0% to 5%</v>
      </c>
      <c r="N2931" s="3" t="str">
        <f t="shared" si="183"/>
        <v>OK</v>
      </c>
    </row>
    <row r="2932" spans="1:14" x14ac:dyDescent="0.3">
      <c r="A2932" s="2">
        <f>DATE(VALUE(RIGHT(TRIM([1]Raw_Data!A2930),4)),VALUE(MID(TRIM([1]Raw_Data!A2930),4,2)),VALUE(LEFT(TRIM([1]Raw_Data!A2930),2)))</f>
        <v>45117</v>
      </c>
      <c r="B2932" s="3" t="str">
        <f>TRIM([1]Raw_Data!B2930)</f>
        <v>Whey Protein</v>
      </c>
      <c r="C2932" s="3" t="str">
        <f>TRIM([1]Raw_Data!C2930)</f>
        <v>Protein</v>
      </c>
      <c r="D2932" s="3">
        <f>[1]Raw_Data!D2930</f>
        <v>138</v>
      </c>
      <c r="E2932" s="4">
        <f>[1]Raw_Data!E2930</f>
        <v>46.62</v>
      </c>
      <c r="F2932" s="5">
        <f>[1]Raw_Data!F2930</f>
        <v>6433.56</v>
      </c>
      <c r="G2932" s="4">
        <f>[1]Raw_Data!G2930</f>
        <v>0.17</v>
      </c>
      <c r="H2932" s="3">
        <f>[1]Raw_Data!H2930</f>
        <v>2</v>
      </c>
      <c r="I2932" s="3" t="str">
        <f>TRIM([1]Raw_Data!I2930)</f>
        <v>Canada</v>
      </c>
      <c r="J2932" s="3" t="str">
        <f>TRIM([1]Raw_Data!J2930)</f>
        <v>iHerb</v>
      </c>
      <c r="K2932" s="3">
        <f t="shared" si="180"/>
        <v>2023</v>
      </c>
      <c r="L2932" s="6">
        <f t="shared" si="181"/>
        <v>45108</v>
      </c>
      <c r="M2932" s="3" t="str">
        <f t="shared" si="182"/>
        <v>16% to 20%</v>
      </c>
      <c r="N2932" s="3" t="str">
        <f t="shared" si="183"/>
        <v>OK</v>
      </c>
    </row>
    <row r="2933" spans="1:14" x14ac:dyDescent="0.3">
      <c r="A2933" s="2">
        <f>DATE(VALUE(RIGHT(TRIM([1]Raw_Data!A2931),4)),VALUE(MID(TRIM([1]Raw_Data!A2931),4,2)),VALUE(LEFT(TRIM([1]Raw_Data!A2931),2)))</f>
        <v>45117</v>
      </c>
      <c r="B2933" s="3" t="str">
        <f>TRIM([1]Raw_Data!B2931)</f>
        <v>Vitamin C</v>
      </c>
      <c r="C2933" s="3" t="str">
        <f>TRIM([1]Raw_Data!C2931)</f>
        <v>Vitamin</v>
      </c>
      <c r="D2933" s="3">
        <f>[1]Raw_Data!D2931</f>
        <v>141</v>
      </c>
      <c r="E2933" s="4">
        <f>[1]Raw_Data!E2931</f>
        <v>42.96</v>
      </c>
      <c r="F2933" s="5">
        <f>[1]Raw_Data!F2931</f>
        <v>6057.36</v>
      </c>
      <c r="G2933" s="4">
        <f>[1]Raw_Data!G2931</f>
        <v>0.11</v>
      </c>
      <c r="H2933" s="3">
        <f>[1]Raw_Data!H2931</f>
        <v>2</v>
      </c>
      <c r="I2933" s="3" t="str">
        <f>TRIM([1]Raw_Data!I2931)</f>
        <v>Canada</v>
      </c>
      <c r="J2933" s="3" t="str">
        <f>TRIM([1]Raw_Data!J2931)</f>
        <v>Amazon</v>
      </c>
      <c r="K2933" s="3">
        <f t="shared" si="180"/>
        <v>2023</v>
      </c>
      <c r="L2933" s="6">
        <f t="shared" si="181"/>
        <v>45108</v>
      </c>
      <c r="M2933" s="3" t="str">
        <f t="shared" si="182"/>
        <v>11% to 15%</v>
      </c>
      <c r="N2933" s="3" t="str">
        <f t="shared" si="183"/>
        <v>OK</v>
      </c>
    </row>
    <row r="2934" spans="1:14" x14ac:dyDescent="0.3">
      <c r="A2934" s="2">
        <f>DATE(VALUE(RIGHT(TRIM([1]Raw_Data!A2932),4)),VALUE(MID(TRIM([1]Raw_Data!A2932),4,2)),VALUE(LEFT(TRIM([1]Raw_Data!A2932),2)))</f>
        <v>45117</v>
      </c>
      <c r="B2934" s="3" t="str">
        <f>TRIM([1]Raw_Data!B2932)</f>
        <v>Fish Oil</v>
      </c>
      <c r="C2934" s="3" t="str">
        <f>TRIM([1]Raw_Data!C2932)</f>
        <v>Omega</v>
      </c>
      <c r="D2934" s="3">
        <f>[1]Raw_Data!D2932</f>
        <v>155</v>
      </c>
      <c r="E2934" s="4">
        <f>[1]Raw_Data!E2932</f>
        <v>49.05</v>
      </c>
      <c r="F2934" s="5">
        <f>[1]Raw_Data!F2932</f>
        <v>7602.75</v>
      </c>
      <c r="G2934" s="4">
        <f>[1]Raw_Data!G2932</f>
        <v>0.18</v>
      </c>
      <c r="H2934" s="3">
        <f>[1]Raw_Data!H2932</f>
        <v>2</v>
      </c>
      <c r="I2934" s="3" t="str">
        <f>TRIM([1]Raw_Data!I2932)</f>
        <v>Canada</v>
      </c>
      <c r="J2934" s="3" t="str">
        <f>TRIM([1]Raw_Data!J2932)</f>
        <v>iHerb</v>
      </c>
      <c r="K2934" s="3">
        <f t="shared" si="180"/>
        <v>2023</v>
      </c>
      <c r="L2934" s="6">
        <f t="shared" si="181"/>
        <v>45108</v>
      </c>
      <c r="M2934" s="3" t="str">
        <f t="shared" si="182"/>
        <v>16% to 20%</v>
      </c>
      <c r="N2934" s="3" t="str">
        <f t="shared" si="183"/>
        <v>OK</v>
      </c>
    </row>
    <row r="2935" spans="1:14" x14ac:dyDescent="0.3">
      <c r="A2935" s="2">
        <f>DATE(VALUE(RIGHT(TRIM([1]Raw_Data!A2933),4)),VALUE(MID(TRIM([1]Raw_Data!A2933),4,2)),VALUE(LEFT(TRIM([1]Raw_Data!A2933),2)))</f>
        <v>45117</v>
      </c>
      <c r="B2935" s="3" t="str">
        <f>TRIM([1]Raw_Data!B2933)</f>
        <v>Multivitamin</v>
      </c>
      <c r="C2935" s="3" t="str">
        <f>TRIM([1]Raw_Data!C2933)</f>
        <v>Vitamin</v>
      </c>
      <c r="D2935" s="3">
        <f>[1]Raw_Data!D2933</f>
        <v>136</v>
      </c>
      <c r="E2935" s="4">
        <f>[1]Raw_Data!E2933</f>
        <v>29.66</v>
      </c>
      <c r="F2935" s="5">
        <f>[1]Raw_Data!F2933</f>
        <v>4033.76</v>
      </c>
      <c r="G2935" s="4">
        <f>[1]Raw_Data!G2933</f>
        <v>7.0000000000000007E-2</v>
      </c>
      <c r="H2935" s="3">
        <f>[1]Raw_Data!H2933</f>
        <v>0</v>
      </c>
      <c r="I2935" s="3" t="str">
        <f>TRIM([1]Raw_Data!I2933)</f>
        <v>UK</v>
      </c>
      <c r="J2935" s="3" t="str">
        <f>TRIM([1]Raw_Data!J2933)</f>
        <v>Amazon</v>
      </c>
      <c r="K2935" s="3">
        <f t="shared" si="180"/>
        <v>2023</v>
      </c>
      <c r="L2935" s="6">
        <f t="shared" si="181"/>
        <v>45108</v>
      </c>
      <c r="M2935" s="3" t="str">
        <f t="shared" si="182"/>
        <v>6% to 10%</v>
      </c>
      <c r="N2935" s="3" t="str">
        <f t="shared" si="183"/>
        <v>OK</v>
      </c>
    </row>
    <row r="2936" spans="1:14" x14ac:dyDescent="0.3">
      <c r="A2936" s="2">
        <f>DATE(VALUE(RIGHT(TRIM([1]Raw_Data!A2934),4)),VALUE(MID(TRIM([1]Raw_Data!A2934),4,2)),VALUE(LEFT(TRIM([1]Raw_Data!A2934),2)))</f>
        <v>45117</v>
      </c>
      <c r="B2936" s="3" t="str">
        <f>TRIM([1]Raw_Data!B2934)</f>
        <v>Pre-Workout</v>
      </c>
      <c r="C2936" s="3" t="str">
        <f>TRIM([1]Raw_Data!C2934)</f>
        <v>Performance</v>
      </c>
      <c r="D2936" s="3">
        <f>[1]Raw_Data!D2934</f>
        <v>162</v>
      </c>
      <c r="E2936" s="4">
        <f>[1]Raw_Data!E2934</f>
        <v>38.270000000000003</v>
      </c>
      <c r="F2936" s="5">
        <f>[1]Raw_Data!F2934</f>
        <v>6199.74</v>
      </c>
      <c r="G2936" s="4">
        <f>[1]Raw_Data!G2934</f>
        <v>0.06</v>
      </c>
      <c r="H2936" s="3">
        <f>[1]Raw_Data!H2934</f>
        <v>3</v>
      </c>
      <c r="I2936" s="3" t="str">
        <f>TRIM([1]Raw_Data!I2934)</f>
        <v>UK</v>
      </c>
      <c r="J2936" s="3" t="str">
        <f>TRIM([1]Raw_Data!J2934)</f>
        <v>iHerb</v>
      </c>
      <c r="K2936" s="3">
        <f t="shared" si="180"/>
        <v>2023</v>
      </c>
      <c r="L2936" s="6">
        <f t="shared" si="181"/>
        <v>45108</v>
      </c>
      <c r="M2936" s="3" t="str">
        <f t="shared" si="182"/>
        <v>6% to 10%</v>
      </c>
      <c r="N2936" s="3" t="str">
        <f t="shared" si="183"/>
        <v>OK</v>
      </c>
    </row>
    <row r="2937" spans="1:14" x14ac:dyDescent="0.3">
      <c r="A2937" s="2">
        <f>DATE(VALUE(RIGHT(TRIM([1]Raw_Data!A2935),4)),VALUE(MID(TRIM([1]Raw_Data!A2935),4,2)),VALUE(LEFT(TRIM([1]Raw_Data!A2935),2)))</f>
        <v>45117</v>
      </c>
      <c r="B2937" s="3" t="str">
        <f>TRIM([1]Raw_Data!B2935)</f>
        <v>BCAA</v>
      </c>
      <c r="C2937" s="3" t="str">
        <f>TRIM([1]Raw_Data!C2935)</f>
        <v>Amino Acid</v>
      </c>
      <c r="D2937" s="3">
        <f>[1]Raw_Data!D2935</f>
        <v>138</v>
      </c>
      <c r="E2937" s="4">
        <f>[1]Raw_Data!E2935</f>
        <v>58.33</v>
      </c>
      <c r="F2937" s="5">
        <f>[1]Raw_Data!F2935</f>
        <v>8049.54</v>
      </c>
      <c r="G2937" s="4">
        <f>[1]Raw_Data!G2935</f>
        <v>0.18</v>
      </c>
      <c r="H2937" s="3">
        <f>[1]Raw_Data!H2935</f>
        <v>5</v>
      </c>
      <c r="I2937" s="3" t="str">
        <f>TRIM([1]Raw_Data!I2935)</f>
        <v>UK</v>
      </c>
      <c r="J2937" s="3" t="str">
        <f>TRIM([1]Raw_Data!J2935)</f>
        <v>Amazon</v>
      </c>
      <c r="K2937" s="3">
        <f t="shared" si="180"/>
        <v>2023</v>
      </c>
      <c r="L2937" s="6">
        <f t="shared" si="181"/>
        <v>45108</v>
      </c>
      <c r="M2937" s="3" t="str">
        <f t="shared" si="182"/>
        <v>16% to 20%</v>
      </c>
      <c r="N2937" s="3" t="str">
        <f t="shared" si="183"/>
        <v>OK</v>
      </c>
    </row>
    <row r="2938" spans="1:14" x14ac:dyDescent="0.3">
      <c r="A2938" s="2">
        <f>DATE(VALUE(RIGHT(TRIM([1]Raw_Data!A2936),4)),VALUE(MID(TRIM([1]Raw_Data!A2936),4,2)),VALUE(LEFT(TRIM([1]Raw_Data!A2936),2)))</f>
        <v>45117</v>
      </c>
      <c r="B2938" s="3" t="str">
        <f>TRIM([1]Raw_Data!B2936)</f>
        <v>Creatine</v>
      </c>
      <c r="C2938" s="3" t="str">
        <f>TRIM([1]Raw_Data!C2936)</f>
        <v>Performance</v>
      </c>
      <c r="D2938" s="3">
        <f>[1]Raw_Data!D2936</f>
        <v>155</v>
      </c>
      <c r="E2938" s="4">
        <f>[1]Raw_Data!E2936</f>
        <v>20.190000000000001</v>
      </c>
      <c r="F2938" s="5">
        <f>[1]Raw_Data!F2936</f>
        <v>3129.45</v>
      </c>
      <c r="G2938" s="4">
        <f>[1]Raw_Data!G2936</f>
        <v>0.08</v>
      </c>
      <c r="H2938" s="3">
        <f>[1]Raw_Data!H2936</f>
        <v>0</v>
      </c>
      <c r="I2938" s="3" t="str">
        <f>TRIM([1]Raw_Data!I2936)</f>
        <v>UK</v>
      </c>
      <c r="J2938" s="3" t="str">
        <f>TRIM([1]Raw_Data!J2936)</f>
        <v>Walmart</v>
      </c>
      <c r="K2938" s="3">
        <f t="shared" si="180"/>
        <v>2023</v>
      </c>
      <c r="L2938" s="6">
        <f t="shared" si="181"/>
        <v>45108</v>
      </c>
      <c r="M2938" s="3" t="str">
        <f t="shared" si="182"/>
        <v>6% to 10%</v>
      </c>
      <c r="N2938" s="3" t="str">
        <f t="shared" si="183"/>
        <v>OK</v>
      </c>
    </row>
    <row r="2939" spans="1:14" x14ac:dyDescent="0.3">
      <c r="A2939" s="2">
        <f>DATE(VALUE(RIGHT(TRIM([1]Raw_Data!A2937),4)),VALUE(MID(TRIM([1]Raw_Data!A2937),4,2)),VALUE(LEFT(TRIM([1]Raw_Data!A2937),2)))</f>
        <v>45117</v>
      </c>
      <c r="B2939" s="3" t="str">
        <f>TRIM([1]Raw_Data!B2937)</f>
        <v>Zinc</v>
      </c>
      <c r="C2939" s="3" t="str">
        <f>TRIM([1]Raw_Data!C2937)</f>
        <v>Mineral</v>
      </c>
      <c r="D2939" s="3">
        <f>[1]Raw_Data!D2937</f>
        <v>157</v>
      </c>
      <c r="E2939" s="4">
        <f>[1]Raw_Data!E2937</f>
        <v>50.76</v>
      </c>
      <c r="F2939" s="5">
        <f>[1]Raw_Data!F2937</f>
        <v>7969.32</v>
      </c>
      <c r="G2939" s="4">
        <f>[1]Raw_Data!G2937</f>
        <v>0.09</v>
      </c>
      <c r="H2939" s="3">
        <f>[1]Raw_Data!H2937</f>
        <v>1</v>
      </c>
      <c r="I2939" s="3" t="str">
        <f>TRIM([1]Raw_Data!I2937)</f>
        <v>UK</v>
      </c>
      <c r="J2939" s="3" t="str">
        <f>TRIM([1]Raw_Data!J2937)</f>
        <v>Walmart</v>
      </c>
      <c r="K2939" s="3">
        <f t="shared" si="180"/>
        <v>2023</v>
      </c>
      <c r="L2939" s="6">
        <f t="shared" si="181"/>
        <v>45108</v>
      </c>
      <c r="M2939" s="3" t="str">
        <f t="shared" si="182"/>
        <v>6% to 10%</v>
      </c>
      <c r="N2939" s="3" t="str">
        <f t="shared" si="183"/>
        <v>OK</v>
      </c>
    </row>
    <row r="2940" spans="1:14" x14ac:dyDescent="0.3">
      <c r="A2940" s="2">
        <f>DATE(VALUE(RIGHT(TRIM([1]Raw_Data!A2938),4)),VALUE(MID(TRIM([1]Raw_Data!A2938),4,2)),VALUE(LEFT(TRIM([1]Raw_Data!A2938),2)))</f>
        <v>45117</v>
      </c>
      <c r="B2940" s="3" t="str">
        <f>TRIM([1]Raw_Data!B2938)</f>
        <v>Collagen Peptides</v>
      </c>
      <c r="C2940" s="3" t="str">
        <f>TRIM([1]Raw_Data!C2938)</f>
        <v>Protein</v>
      </c>
      <c r="D2940" s="3">
        <f>[1]Raw_Data!D2938</f>
        <v>185</v>
      </c>
      <c r="E2940" s="4">
        <f>[1]Raw_Data!E2938</f>
        <v>46.06</v>
      </c>
      <c r="F2940" s="5">
        <f>[1]Raw_Data!F2938</f>
        <v>8521.1</v>
      </c>
      <c r="G2940" s="4">
        <f>[1]Raw_Data!G2938</f>
        <v>0.19</v>
      </c>
      <c r="H2940" s="3">
        <f>[1]Raw_Data!H2938</f>
        <v>1</v>
      </c>
      <c r="I2940" s="3" t="str">
        <f>TRIM([1]Raw_Data!I2938)</f>
        <v>Canada</v>
      </c>
      <c r="J2940" s="3" t="str">
        <f>TRIM([1]Raw_Data!J2938)</f>
        <v>iHerb</v>
      </c>
      <c r="K2940" s="3">
        <f t="shared" si="180"/>
        <v>2023</v>
      </c>
      <c r="L2940" s="6">
        <f t="shared" si="181"/>
        <v>45108</v>
      </c>
      <c r="M2940" s="3" t="str">
        <f t="shared" si="182"/>
        <v>16% to 20%</v>
      </c>
      <c r="N2940" s="3" t="str">
        <f t="shared" si="183"/>
        <v>OK</v>
      </c>
    </row>
    <row r="2941" spans="1:14" x14ac:dyDescent="0.3">
      <c r="A2941" s="2">
        <f>DATE(VALUE(RIGHT(TRIM([1]Raw_Data!A2939),4)),VALUE(MID(TRIM([1]Raw_Data!A2939),4,2)),VALUE(LEFT(TRIM([1]Raw_Data!A2939),2)))</f>
        <v>45117</v>
      </c>
      <c r="B2941" s="3" t="str">
        <f>TRIM([1]Raw_Data!B2939)</f>
        <v>Magnesium</v>
      </c>
      <c r="C2941" s="3" t="str">
        <f>TRIM([1]Raw_Data!C2939)</f>
        <v>Mineral</v>
      </c>
      <c r="D2941" s="3">
        <f>[1]Raw_Data!D2939</f>
        <v>150</v>
      </c>
      <c r="E2941" s="4">
        <f>[1]Raw_Data!E2939</f>
        <v>48.6</v>
      </c>
      <c r="F2941" s="5">
        <f>[1]Raw_Data!F2939</f>
        <v>7290</v>
      </c>
      <c r="G2941" s="4">
        <f>[1]Raw_Data!G2939</f>
        <v>0.16</v>
      </c>
      <c r="H2941" s="3">
        <f>[1]Raw_Data!H2939</f>
        <v>1</v>
      </c>
      <c r="I2941" s="3" t="str">
        <f>TRIM([1]Raw_Data!I2939)</f>
        <v>UK</v>
      </c>
      <c r="J2941" s="3" t="str">
        <f>TRIM([1]Raw_Data!J2939)</f>
        <v>iHerb</v>
      </c>
      <c r="K2941" s="3">
        <f t="shared" si="180"/>
        <v>2023</v>
      </c>
      <c r="L2941" s="6">
        <f t="shared" si="181"/>
        <v>45108</v>
      </c>
      <c r="M2941" s="3" t="str">
        <f t="shared" si="182"/>
        <v>16% to 20%</v>
      </c>
      <c r="N2941" s="3" t="str">
        <f t="shared" si="183"/>
        <v>OK</v>
      </c>
    </row>
    <row r="2942" spans="1:14" x14ac:dyDescent="0.3">
      <c r="A2942" s="2">
        <f>DATE(VALUE(RIGHT(TRIM([1]Raw_Data!A2940),4)),VALUE(MID(TRIM([1]Raw_Data!A2940),4,2)),VALUE(LEFT(TRIM([1]Raw_Data!A2940),2)))</f>
        <v>45117</v>
      </c>
      <c r="B2942" s="3" t="str">
        <f>TRIM([1]Raw_Data!B2940)</f>
        <v>Ashwagandha</v>
      </c>
      <c r="C2942" s="3" t="str">
        <f>TRIM([1]Raw_Data!C2940)</f>
        <v>Herbal</v>
      </c>
      <c r="D2942" s="3">
        <f>[1]Raw_Data!D2940</f>
        <v>161</v>
      </c>
      <c r="E2942" s="4">
        <f>[1]Raw_Data!E2940</f>
        <v>47.68</v>
      </c>
      <c r="F2942" s="5">
        <f>[1]Raw_Data!F2940</f>
        <v>7676.48</v>
      </c>
      <c r="G2942" s="4">
        <f>[1]Raw_Data!G2940</f>
        <v>0.22</v>
      </c>
      <c r="H2942" s="3">
        <f>[1]Raw_Data!H2940</f>
        <v>3</v>
      </c>
      <c r="I2942" s="3" t="str">
        <f>TRIM([1]Raw_Data!I2940)</f>
        <v>UK</v>
      </c>
      <c r="J2942" s="3" t="str">
        <f>TRIM([1]Raw_Data!J2940)</f>
        <v>iHerb</v>
      </c>
      <c r="K2942" s="3">
        <f t="shared" si="180"/>
        <v>2023</v>
      </c>
      <c r="L2942" s="6">
        <f t="shared" si="181"/>
        <v>45108</v>
      </c>
      <c r="M2942" s="3" t="str">
        <f t="shared" si="182"/>
        <v>21% to 25%</v>
      </c>
      <c r="N2942" s="3" t="str">
        <f t="shared" si="183"/>
        <v>OK</v>
      </c>
    </row>
    <row r="2943" spans="1:14" x14ac:dyDescent="0.3">
      <c r="A2943" s="2">
        <f>DATE(VALUE(RIGHT(TRIM([1]Raw_Data!A2941),4)),VALUE(MID(TRIM([1]Raw_Data!A2941),4,2)),VALUE(LEFT(TRIM([1]Raw_Data!A2941),2)))</f>
        <v>45117</v>
      </c>
      <c r="B2943" s="3" t="str">
        <f>TRIM([1]Raw_Data!B2941)</f>
        <v>Melatonin</v>
      </c>
      <c r="C2943" s="3" t="str">
        <f>TRIM([1]Raw_Data!C2941)</f>
        <v>Sleep Aid</v>
      </c>
      <c r="D2943" s="3">
        <f>[1]Raw_Data!D2941</f>
        <v>161</v>
      </c>
      <c r="E2943" s="4">
        <f>[1]Raw_Data!E2941</f>
        <v>59.09</v>
      </c>
      <c r="F2943" s="5">
        <f>[1]Raw_Data!F2941</f>
        <v>9513.49</v>
      </c>
      <c r="G2943" s="4">
        <f>[1]Raw_Data!G2941</f>
        <v>0.09</v>
      </c>
      <c r="H2943" s="3">
        <f>[1]Raw_Data!H2941</f>
        <v>2</v>
      </c>
      <c r="I2943" s="3" t="str">
        <f>TRIM([1]Raw_Data!I2941)</f>
        <v>UK</v>
      </c>
      <c r="J2943" s="3" t="str">
        <f>TRIM([1]Raw_Data!J2941)</f>
        <v>Amazon</v>
      </c>
      <c r="K2943" s="3">
        <f t="shared" si="180"/>
        <v>2023</v>
      </c>
      <c r="L2943" s="6">
        <f t="shared" si="181"/>
        <v>45108</v>
      </c>
      <c r="M2943" s="3" t="str">
        <f t="shared" si="182"/>
        <v>6% to 10%</v>
      </c>
      <c r="N2943" s="3" t="str">
        <f t="shared" si="183"/>
        <v>OK</v>
      </c>
    </row>
    <row r="2944" spans="1:14" x14ac:dyDescent="0.3">
      <c r="A2944" s="2">
        <f>DATE(VALUE(RIGHT(TRIM([1]Raw_Data!A2942),4)),VALUE(MID(TRIM([1]Raw_Data!A2942),4,2)),VALUE(LEFT(TRIM([1]Raw_Data!A2942),2)))</f>
        <v>45117</v>
      </c>
      <c r="B2944" s="3" t="str">
        <f>TRIM([1]Raw_Data!B2942)</f>
        <v>Biotin</v>
      </c>
      <c r="C2944" s="3" t="str">
        <f>TRIM([1]Raw_Data!C2942)</f>
        <v>Vitamin</v>
      </c>
      <c r="D2944" s="3">
        <f>[1]Raw_Data!D2942</f>
        <v>157</v>
      </c>
      <c r="E2944" s="4">
        <f>[1]Raw_Data!E2942</f>
        <v>13.29</v>
      </c>
      <c r="F2944" s="5">
        <f>[1]Raw_Data!F2942</f>
        <v>2086.5300000000002</v>
      </c>
      <c r="G2944" s="4">
        <f>[1]Raw_Data!G2942</f>
        <v>0.19</v>
      </c>
      <c r="H2944" s="3">
        <f>[1]Raw_Data!H2942</f>
        <v>2</v>
      </c>
      <c r="I2944" s="3" t="str">
        <f>TRIM([1]Raw_Data!I2942)</f>
        <v>USA</v>
      </c>
      <c r="J2944" s="3" t="str">
        <f>TRIM([1]Raw_Data!J2942)</f>
        <v>Walmart</v>
      </c>
      <c r="K2944" s="3">
        <f t="shared" si="180"/>
        <v>2023</v>
      </c>
      <c r="L2944" s="6">
        <f t="shared" si="181"/>
        <v>45108</v>
      </c>
      <c r="M2944" s="3" t="str">
        <f t="shared" si="182"/>
        <v>16% to 20%</v>
      </c>
      <c r="N2944" s="3" t="str">
        <f t="shared" si="183"/>
        <v>OK</v>
      </c>
    </row>
    <row r="2945" spans="1:14" x14ac:dyDescent="0.3">
      <c r="A2945" s="2">
        <f>DATE(VALUE(RIGHT(TRIM([1]Raw_Data!A2943),4)),VALUE(MID(TRIM([1]Raw_Data!A2943),4,2)),VALUE(LEFT(TRIM([1]Raw_Data!A2943),2)))</f>
        <v>45117</v>
      </c>
      <c r="B2945" s="3" t="str">
        <f>TRIM([1]Raw_Data!B2943)</f>
        <v>Green Tea Extract</v>
      </c>
      <c r="C2945" s="3" t="str">
        <f>TRIM([1]Raw_Data!C2943)</f>
        <v>Fat Burner</v>
      </c>
      <c r="D2945" s="3">
        <f>[1]Raw_Data!D2943</f>
        <v>156</v>
      </c>
      <c r="E2945" s="4">
        <f>[1]Raw_Data!E2943</f>
        <v>34.479999999999997</v>
      </c>
      <c r="F2945" s="5">
        <f>[1]Raw_Data!F2943</f>
        <v>5378.88</v>
      </c>
      <c r="G2945" s="4">
        <f>[1]Raw_Data!G2943</f>
        <v>0.03</v>
      </c>
      <c r="H2945" s="3">
        <f>[1]Raw_Data!H2943</f>
        <v>1</v>
      </c>
      <c r="I2945" s="3" t="str">
        <f>TRIM([1]Raw_Data!I2943)</f>
        <v>USA</v>
      </c>
      <c r="J2945" s="3" t="str">
        <f>TRIM([1]Raw_Data!J2943)</f>
        <v>iHerb</v>
      </c>
      <c r="K2945" s="3">
        <f t="shared" si="180"/>
        <v>2023</v>
      </c>
      <c r="L2945" s="6">
        <f t="shared" si="181"/>
        <v>45108</v>
      </c>
      <c r="M2945" s="3" t="str">
        <f t="shared" si="182"/>
        <v>0% to 5%</v>
      </c>
      <c r="N2945" s="3" t="str">
        <f t="shared" si="183"/>
        <v>OK</v>
      </c>
    </row>
    <row r="2946" spans="1:14" x14ac:dyDescent="0.3">
      <c r="A2946" s="2">
        <f>DATE(VALUE(RIGHT(TRIM([1]Raw_Data!A2944),4)),VALUE(MID(TRIM([1]Raw_Data!A2944),4,2)),VALUE(LEFT(TRIM([1]Raw_Data!A2944),2)))</f>
        <v>45117</v>
      </c>
      <c r="B2946" s="3" t="str">
        <f>TRIM([1]Raw_Data!B2944)</f>
        <v>Iron Supplement</v>
      </c>
      <c r="C2946" s="3" t="str">
        <f>TRIM([1]Raw_Data!C2944)</f>
        <v>Mineral</v>
      </c>
      <c r="D2946" s="3">
        <f>[1]Raw_Data!D2944</f>
        <v>140</v>
      </c>
      <c r="E2946" s="4">
        <f>[1]Raw_Data!E2944</f>
        <v>18.13</v>
      </c>
      <c r="F2946" s="5">
        <f>[1]Raw_Data!F2944</f>
        <v>2538.1999999999998</v>
      </c>
      <c r="G2946" s="4">
        <f>[1]Raw_Data!G2944</f>
        <v>0.06</v>
      </c>
      <c r="H2946" s="3">
        <f>[1]Raw_Data!H2944</f>
        <v>0</v>
      </c>
      <c r="I2946" s="3" t="str">
        <f>TRIM([1]Raw_Data!I2944)</f>
        <v>UK</v>
      </c>
      <c r="J2946" s="3" t="str">
        <f>TRIM([1]Raw_Data!J2944)</f>
        <v>Amazon</v>
      </c>
      <c r="K2946" s="3">
        <f t="shared" si="180"/>
        <v>2023</v>
      </c>
      <c r="L2946" s="6">
        <f t="shared" si="181"/>
        <v>45108</v>
      </c>
      <c r="M2946" s="3" t="str">
        <f t="shared" si="182"/>
        <v>6% to 10%</v>
      </c>
      <c r="N2946" s="3" t="str">
        <f t="shared" si="183"/>
        <v>OK</v>
      </c>
    </row>
    <row r="2947" spans="1:14" x14ac:dyDescent="0.3">
      <c r="A2947" s="2">
        <f>DATE(VALUE(RIGHT(TRIM([1]Raw_Data!A2945),4)),VALUE(MID(TRIM([1]Raw_Data!A2945),4,2)),VALUE(LEFT(TRIM([1]Raw_Data!A2945),2)))</f>
        <v>45117</v>
      </c>
      <c r="B2947" s="3" t="str">
        <f>TRIM([1]Raw_Data!B2945)</f>
        <v>Electrolyte Powder</v>
      </c>
      <c r="C2947" s="3" t="str">
        <f>TRIM([1]Raw_Data!C2945)</f>
        <v>Hydration</v>
      </c>
      <c r="D2947" s="3">
        <f>[1]Raw_Data!D2945</f>
        <v>171</v>
      </c>
      <c r="E2947" s="4">
        <f>[1]Raw_Data!E2945</f>
        <v>29.84</v>
      </c>
      <c r="F2947" s="5">
        <f>[1]Raw_Data!F2945</f>
        <v>5102.6400000000003</v>
      </c>
      <c r="G2947" s="4">
        <f>[1]Raw_Data!G2945</f>
        <v>0.13</v>
      </c>
      <c r="H2947" s="3">
        <f>[1]Raw_Data!H2945</f>
        <v>2</v>
      </c>
      <c r="I2947" s="3" t="str">
        <f>TRIM([1]Raw_Data!I2945)</f>
        <v>UK</v>
      </c>
      <c r="J2947" s="3" t="str">
        <f>TRIM([1]Raw_Data!J2945)</f>
        <v>iHerb</v>
      </c>
      <c r="K2947" s="3">
        <f t="shared" si="180"/>
        <v>2023</v>
      </c>
      <c r="L2947" s="6">
        <f t="shared" si="181"/>
        <v>45108</v>
      </c>
      <c r="M2947" s="3" t="str">
        <f t="shared" si="182"/>
        <v>11% to 15%</v>
      </c>
      <c r="N2947" s="3" t="str">
        <f t="shared" si="183"/>
        <v>OK</v>
      </c>
    </row>
    <row r="2948" spans="1:14" x14ac:dyDescent="0.3">
      <c r="A2948" s="2">
        <f>DATE(VALUE(RIGHT(TRIM([1]Raw_Data!A2946),4)),VALUE(MID(TRIM([1]Raw_Data!A2946),4,2)),VALUE(LEFT(TRIM([1]Raw_Data!A2946),2)))</f>
        <v>45124</v>
      </c>
      <c r="B2948" s="3" t="str">
        <f>TRIM([1]Raw_Data!B2946)</f>
        <v>Whey Protein</v>
      </c>
      <c r="C2948" s="3" t="str">
        <f>TRIM([1]Raw_Data!C2946)</f>
        <v>Protein</v>
      </c>
      <c r="D2948" s="3">
        <f>[1]Raw_Data!D2946</f>
        <v>171</v>
      </c>
      <c r="E2948" s="4">
        <f>[1]Raw_Data!E2946</f>
        <v>24.78</v>
      </c>
      <c r="F2948" s="5">
        <f>[1]Raw_Data!F2946</f>
        <v>4237.38</v>
      </c>
      <c r="G2948" s="4">
        <f>[1]Raw_Data!G2946</f>
        <v>0.24</v>
      </c>
      <c r="H2948" s="3">
        <f>[1]Raw_Data!H2946</f>
        <v>1</v>
      </c>
      <c r="I2948" s="3" t="str">
        <f>TRIM([1]Raw_Data!I2946)</f>
        <v>USA</v>
      </c>
      <c r="J2948" s="3" t="str">
        <f>TRIM([1]Raw_Data!J2946)</f>
        <v>Amazon</v>
      </c>
      <c r="K2948" s="3">
        <f t="shared" ref="K2948:K3011" si="184">YEAR(A2948)</f>
        <v>2023</v>
      </c>
      <c r="L2948" s="6">
        <f t="shared" ref="L2948:L3011" si="185">DATE(YEAR(A2948),MONTH(A2948),1)</f>
        <v>45108</v>
      </c>
      <c r="M2948" s="3" t="str">
        <f t="shared" ref="M2948:M3011" si="186">IF(ROUND(G2948*100,0)&lt;=5,"0% to 5%",IF(ROUND(G2948*100,0)&lt;=10,"6% to 10%",IF(ROUND(G2948*100,0)&lt;=15,"11% to 15%",IF(ROUND(G2948*100,0)&lt;=20,"16% to 20%","21% to 25%"))))</f>
        <v>21% to 25%</v>
      </c>
      <c r="N2948" s="3" t="str">
        <f t="shared" ref="N2948:N3011" si="187">IF(ROUND(D2948*E2948,2)=ROUND(F2948,2),"OK","Check")</f>
        <v>OK</v>
      </c>
    </row>
    <row r="2949" spans="1:14" x14ac:dyDescent="0.3">
      <c r="A2949" s="2">
        <f>DATE(VALUE(RIGHT(TRIM([1]Raw_Data!A2947),4)),VALUE(MID(TRIM([1]Raw_Data!A2947),4,2)),VALUE(LEFT(TRIM([1]Raw_Data!A2947),2)))</f>
        <v>45124</v>
      </c>
      <c r="B2949" s="3" t="str">
        <f>TRIM([1]Raw_Data!B2947)</f>
        <v>Vitamin C</v>
      </c>
      <c r="C2949" s="3" t="str">
        <f>TRIM([1]Raw_Data!C2947)</f>
        <v>Vitamin</v>
      </c>
      <c r="D2949" s="3">
        <f>[1]Raw_Data!D2947</f>
        <v>142</v>
      </c>
      <c r="E2949" s="4">
        <f>[1]Raw_Data!E2947</f>
        <v>59.79</v>
      </c>
      <c r="F2949" s="5">
        <f>[1]Raw_Data!F2947</f>
        <v>8490.18</v>
      </c>
      <c r="G2949" s="4">
        <f>[1]Raw_Data!G2947</f>
        <v>0.15</v>
      </c>
      <c r="H2949" s="3">
        <f>[1]Raw_Data!H2947</f>
        <v>0</v>
      </c>
      <c r="I2949" s="3" t="str">
        <f>TRIM([1]Raw_Data!I2947)</f>
        <v>Canada</v>
      </c>
      <c r="J2949" s="3" t="str">
        <f>TRIM([1]Raw_Data!J2947)</f>
        <v>Amazon</v>
      </c>
      <c r="K2949" s="3">
        <f t="shared" si="184"/>
        <v>2023</v>
      </c>
      <c r="L2949" s="6">
        <f t="shared" si="185"/>
        <v>45108</v>
      </c>
      <c r="M2949" s="3" t="str">
        <f t="shared" si="186"/>
        <v>11% to 15%</v>
      </c>
      <c r="N2949" s="3" t="str">
        <f t="shared" si="187"/>
        <v>OK</v>
      </c>
    </row>
    <row r="2950" spans="1:14" x14ac:dyDescent="0.3">
      <c r="A2950" s="2">
        <f>DATE(VALUE(RIGHT(TRIM([1]Raw_Data!A2948),4)),VALUE(MID(TRIM([1]Raw_Data!A2948),4,2)),VALUE(LEFT(TRIM([1]Raw_Data!A2948),2)))</f>
        <v>45124</v>
      </c>
      <c r="B2950" s="3" t="str">
        <f>TRIM([1]Raw_Data!B2948)</f>
        <v>Fish Oil</v>
      </c>
      <c r="C2950" s="3" t="str">
        <f>TRIM([1]Raw_Data!C2948)</f>
        <v>Omega</v>
      </c>
      <c r="D2950" s="3">
        <f>[1]Raw_Data!D2948</f>
        <v>129</v>
      </c>
      <c r="E2950" s="4">
        <f>[1]Raw_Data!E2948</f>
        <v>30.31</v>
      </c>
      <c r="F2950" s="5">
        <f>[1]Raw_Data!F2948</f>
        <v>3909.99</v>
      </c>
      <c r="G2950" s="4">
        <f>[1]Raw_Data!G2948</f>
        <v>0.15</v>
      </c>
      <c r="H2950" s="3">
        <f>[1]Raw_Data!H2948</f>
        <v>1</v>
      </c>
      <c r="I2950" s="3" t="str">
        <f>TRIM([1]Raw_Data!I2948)</f>
        <v>Canada</v>
      </c>
      <c r="J2950" s="3" t="str">
        <f>TRIM([1]Raw_Data!J2948)</f>
        <v>Amazon</v>
      </c>
      <c r="K2950" s="3">
        <f t="shared" si="184"/>
        <v>2023</v>
      </c>
      <c r="L2950" s="6">
        <f t="shared" si="185"/>
        <v>45108</v>
      </c>
      <c r="M2950" s="3" t="str">
        <f t="shared" si="186"/>
        <v>11% to 15%</v>
      </c>
      <c r="N2950" s="3" t="str">
        <f t="shared" si="187"/>
        <v>OK</v>
      </c>
    </row>
    <row r="2951" spans="1:14" x14ac:dyDescent="0.3">
      <c r="A2951" s="2">
        <f>DATE(VALUE(RIGHT(TRIM([1]Raw_Data!A2949),4)),VALUE(MID(TRIM([1]Raw_Data!A2949),4,2)),VALUE(LEFT(TRIM([1]Raw_Data!A2949),2)))</f>
        <v>45124</v>
      </c>
      <c r="B2951" s="3" t="str">
        <f>TRIM([1]Raw_Data!B2949)</f>
        <v>Multivitamin</v>
      </c>
      <c r="C2951" s="3" t="str">
        <f>TRIM([1]Raw_Data!C2949)</f>
        <v>Vitamin</v>
      </c>
      <c r="D2951" s="3">
        <f>[1]Raw_Data!D2949</f>
        <v>173</v>
      </c>
      <c r="E2951" s="4">
        <f>[1]Raw_Data!E2949</f>
        <v>44.69</v>
      </c>
      <c r="F2951" s="5">
        <f>[1]Raw_Data!F2949</f>
        <v>7731.37</v>
      </c>
      <c r="G2951" s="4">
        <f>[1]Raw_Data!G2949</f>
        <v>0.22</v>
      </c>
      <c r="H2951" s="3">
        <f>[1]Raw_Data!H2949</f>
        <v>0</v>
      </c>
      <c r="I2951" s="3" t="str">
        <f>TRIM([1]Raw_Data!I2949)</f>
        <v>USA</v>
      </c>
      <c r="J2951" s="3" t="str">
        <f>TRIM([1]Raw_Data!J2949)</f>
        <v>iHerb</v>
      </c>
      <c r="K2951" s="3">
        <f t="shared" si="184"/>
        <v>2023</v>
      </c>
      <c r="L2951" s="6">
        <f t="shared" si="185"/>
        <v>45108</v>
      </c>
      <c r="M2951" s="3" t="str">
        <f t="shared" si="186"/>
        <v>21% to 25%</v>
      </c>
      <c r="N2951" s="3" t="str">
        <f t="shared" si="187"/>
        <v>OK</v>
      </c>
    </row>
    <row r="2952" spans="1:14" x14ac:dyDescent="0.3">
      <c r="A2952" s="2">
        <f>DATE(VALUE(RIGHT(TRIM([1]Raw_Data!A2950),4)),VALUE(MID(TRIM([1]Raw_Data!A2950),4,2)),VALUE(LEFT(TRIM([1]Raw_Data!A2950),2)))</f>
        <v>45124</v>
      </c>
      <c r="B2952" s="3" t="str">
        <f>TRIM([1]Raw_Data!B2950)</f>
        <v>Pre-Workout</v>
      </c>
      <c r="C2952" s="3" t="str">
        <f>TRIM([1]Raw_Data!C2950)</f>
        <v>Performance</v>
      </c>
      <c r="D2952" s="3">
        <f>[1]Raw_Data!D2950</f>
        <v>140</v>
      </c>
      <c r="E2952" s="4">
        <f>[1]Raw_Data!E2950</f>
        <v>16.98</v>
      </c>
      <c r="F2952" s="5">
        <f>[1]Raw_Data!F2950</f>
        <v>2377.1999999999998</v>
      </c>
      <c r="G2952" s="4">
        <f>[1]Raw_Data!G2950</f>
        <v>0.13</v>
      </c>
      <c r="H2952" s="3">
        <f>[1]Raw_Data!H2950</f>
        <v>1</v>
      </c>
      <c r="I2952" s="3" t="str">
        <f>TRIM([1]Raw_Data!I2950)</f>
        <v>UK</v>
      </c>
      <c r="J2952" s="3" t="str">
        <f>TRIM([1]Raw_Data!J2950)</f>
        <v>iHerb</v>
      </c>
      <c r="K2952" s="3">
        <f t="shared" si="184"/>
        <v>2023</v>
      </c>
      <c r="L2952" s="6">
        <f t="shared" si="185"/>
        <v>45108</v>
      </c>
      <c r="M2952" s="3" t="str">
        <f t="shared" si="186"/>
        <v>11% to 15%</v>
      </c>
      <c r="N2952" s="3" t="str">
        <f t="shared" si="187"/>
        <v>OK</v>
      </c>
    </row>
    <row r="2953" spans="1:14" x14ac:dyDescent="0.3">
      <c r="A2953" s="2">
        <f>DATE(VALUE(RIGHT(TRIM([1]Raw_Data!A2951),4)),VALUE(MID(TRIM([1]Raw_Data!A2951),4,2)),VALUE(LEFT(TRIM([1]Raw_Data!A2951),2)))</f>
        <v>45124</v>
      </c>
      <c r="B2953" s="3" t="str">
        <f>TRIM([1]Raw_Data!B2951)</f>
        <v>BCAA</v>
      </c>
      <c r="C2953" s="3" t="str">
        <f>TRIM([1]Raw_Data!C2951)</f>
        <v>Amino Acid</v>
      </c>
      <c r="D2953" s="3">
        <f>[1]Raw_Data!D2951</f>
        <v>147</v>
      </c>
      <c r="E2953" s="4">
        <f>[1]Raw_Data!E2951</f>
        <v>17.84</v>
      </c>
      <c r="F2953" s="5">
        <f>[1]Raw_Data!F2951</f>
        <v>2622.48</v>
      </c>
      <c r="G2953" s="4">
        <f>[1]Raw_Data!G2951</f>
        <v>0.14000000000000001</v>
      </c>
      <c r="H2953" s="3">
        <f>[1]Raw_Data!H2951</f>
        <v>0</v>
      </c>
      <c r="I2953" s="3" t="str">
        <f>TRIM([1]Raw_Data!I2951)</f>
        <v>Canada</v>
      </c>
      <c r="J2953" s="3" t="str">
        <f>TRIM([1]Raw_Data!J2951)</f>
        <v>Walmart</v>
      </c>
      <c r="K2953" s="3">
        <f t="shared" si="184"/>
        <v>2023</v>
      </c>
      <c r="L2953" s="6">
        <f t="shared" si="185"/>
        <v>45108</v>
      </c>
      <c r="M2953" s="3" t="str">
        <f t="shared" si="186"/>
        <v>11% to 15%</v>
      </c>
      <c r="N2953" s="3" t="str">
        <f t="shared" si="187"/>
        <v>OK</v>
      </c>
    </row>
    <row r="2954" spans="1:14" x14ac:dyDescent="0.3">
      <c r="A2954" s="2">
        <f>DATE(VALUE(RIGHT(TRIM([1]Raw_Data!A2952),4)),VALUE(MID(TRIM([1]Raw_Data!A2952),4,2)),VALUE(LEFT(TRIM([1]Raw_Data!A2952),2)))</f>
        <v>45124</v>
      </c>
      <c r="B2954" s="3" t="str">
        <f>TRIM([1]Raw_Data!B2952)</f>
        <v>Creatine</v>
      </c>
      <c r="C2954" s="3" t="str">
        <f>TRIM([1]Raw_Data!C2952)</f>
        <v>Performance</v>
      </c>
      <c r="D2954" s="3">
        <f>[1]Raw_Data!D2952</f>
        <v>143</v>
      </c>
      <c r="E2954" s="4">
        <f>[1]Raw_Data!E2952</f>
        <v>57.33</v>
      </c>
      <c r="F2954" s="5">
        <f>[1]Raw_Data!F2952</f>
        <v>8198.19</v>
      </c>
      <c r="G2954" s="4">
        <f>[1]Raw_Data!G2952</f>
        <v>0.1</v>
      </c>
      <c r="H2954" s="3">
        <f>[1]Raw_Data!H2952</f>
        <v>0</v>
      </c>
      <c r="I2954" s="3" t="str">
        <f>TRIM([1]Raw_Data!I2952)</f>
        <v>UK</v>
      </c>
      <c r="J2954" s="3" t="str">
        <f>TRIM([1]Raw_Data!J2952)</f>
        <v>iHerb</v>
      </c>
      <c r="K2954" s="3">
        <f t="shared" si="184"/>
        <v>2023</v>
      </c>
      <c r="L2954" s="6">
        <f t="shared" si="185"/>
        <v>45108</v>
      </c>
      <c r="M2954" s="3" t="str">
        <f t="shared" si="186"/>
        <v>6% to 10%</v>
      </c>
      <c r="N2954" s="3" t="str">
        <f t="shared" si="187"/>
        <v>OK</v>
      </c>
    </row>
    <row r="2955" spans="1:14" x14ac:dyDescent="0.3">
      <c r="A2955" s="2">
        <f>DATE(VALUE(RIGHT(TRIM([1]Raw_Data!A2953),4)),VALUE(MID(TRIM([1]Raw_Data!A2953),4,2)),VALUE(LEFT(TRIM([1]Raw_Data!A2953),2)))</f>
        <v>45124</v>
      </c>
      <c r="B2955" s="3" t="str">
        <f>TRIM([1]Raw_Data!B2953)</f>
        <v>Zinc</v>
      </c>
      <c r="C2955" s="3" t="str">
        <f>TRIM([1]Raw_Data!C2953)</f>
        <v>Mineral</v>
      </c>
      <c r="D2955" s="3">
        <f>[1]Raw_Data!D2953</f>
        <v>146</v>
      </c>
      <c r="E2955" s="4">
        <f>[1]Raw_Data!E2953</f>
        <v>21.5</v>
      </c>
      <c r="F2955" s="5">
        <f>[1]Raw_Data!F2953</f>
        <v>3139</v>
      </c>
      <c r="G2955" s="4">
        <f>[1]Raw_Data!G2953</f>
        <v>0.15</v>
      </c>
      <c r="H2955" s="3">
        <f>[1]Raw_Data!H2953</f>
        <v>0</v>
      </c>
      <c r="I2955" s="3" t="str">
        <f>TRIM([1]Raw_Data!I2953)</f>
        <v>UK</v>
      </c>
      <c r="J2955" s="3" t="str">
        <f>TRIM([1]Raw_Data!J2953)</f>
        <v>Amazon</v>
      </c>
      <c r="K2955" s="3">
        <f t="shared" si="184"/>
        <v>2023</v>
      </c>
      <c r="L2955" s="6">
        <f t="shared" si="185"/>
        <v>45108</v>
      </c>
      <c r="M2955" s="3" t="str">
        <f t="shared" si="186"/>
        <v>11% to 15%</v>
      </c>
      <c r="N2955" s="3" t="str">
        <f t="shared" si="187"/>
        <v>OK</v>
      </c>
    </row>
    <row r="2956" spans="1:14" x14ac:dyDescent="0.3">
      <c r="A2956" s="2">
        <f>DATE(VALUE(RIGHT(TRIM([1]Raw_Data!A2954),4)),VALUE(MID(TRIM([1]Raw_Data!A2954),4,2)),VALUE(LEFT(TRIM([1]Raw_Data!A2954),2)))</f>
        <v>45124</v>
      </c>
      <c r="B2956" s="3" t="str">
        <f>TRIM([1]Raw_Data!B2954)</f>
        <v>Collagen Peptides</v>
      </c>
      <c r="C2956" s="3" t="str">
        <f>TRIM([1]Raw_Data!C2954)</f>
        <v>Protein</v>
      </c>
      <c r="D2956" s="3">
        <f>[1]Raw_Data!D2954</f>
        <v>149</v>
      </c>
      <c r="E2956" s="4">
        <f>[1]Raw_Data!E2954</f>
        <v>31.09</v>
      </c>
      <c r="F2956" s="5">
        <f>[1]Raw_Data!F2954</f>
        <v>4632.41</v>
      </c>
      <c r="G2956" s="4">
        <f>[1]Raw_Data!G2954</f>
        <v>0</v>
      </c>
      <c r="H2956" s="3">
        <f>[1]Raw_Data!H2954</f>
        <v>5</v>
      </c>
      <c r="I2956" s="3" t="str">
        <f>TRIM([1]Raw_Data!I2954)</f>
        <v>UK</v>
      </c>
      <c r="J2956" s="3" t="str">
        <f>TRIM([1]Raw_Data!J2954)</f>
        <v>Amazon</v>
      </c>
      <c r="K2956" s="3">
        <f t="shared" si="184"/>
        <v>2023</v>
      </c>
      <c r="L2956" s="6">
        <f t="shared" si="185"/>
        <v>45108</v>
      </c>
      <c r="M2956" s="3" t="str">
        <f t="shared" si="186"/>
        <v>0% to 5%</v>
      </c>
      <c r="N2956" s="3" t="str">
        <f t="shared" si="187"/>
        <v>OK</v>
      </c>
    </row>
    <row r="2957" spans="1:14" x14ac:dyDescent="0.3">
      <c r="A2957" s="2">
        <f>DATE(VALUE(RIGHT(TRIM([1]Raw_Data!A2955),4)),VALUE(MID(TRIM([1]Raw_Data!A2955),4,2)),VALUE(LEFT(TRIM([1]Raw_Data!A2955),2)))</f>
        <v>45124</v>
      </c>
      <c r="B2957" s="3" t="str">
        <f>TRIM([1]Raw_Data!B2955)</f>
        <v>Magnesium</v>
      </c>
      <c r="C2957" s="3" t="str">
        <f>TRIM([1]Raw_Data!C2955)</f>
        <v>Mineral</v>
      </c>
      <c r="D2957" s="3">
        <f>[1]Raw_Data!D2955</f>
        <v>145</v>
      </c>
      <c r="E2957" s="4">
        <f>[1]Raw_Data!E2955</f>
        <v>26.28</v>
      </c>
      <c r="F2957" s="5">
        <f>[1]Raw_Data!F2955</f>
        <v>3810.6</v>
      </c>
      <c r="G2957" s="4">
        <f>[1]Raw_Data!G2955</f>
        <v>0.12</v>
      </c>
      <c r="H2957" s="3">
        <f>[1]Raw_Data!H2955</f>
        <v>1</v>
      </c>
      <c r="I2957" s="3" t="str">
        <f>TRIM([1]Raw_Data!I2955)</f>
        <v>Canada</v>
      </c>
      <c r="J2957" s="3" t="str">
        <f>TRIM([1]Raw_Data!J2955)</f>
        <v>Amazon</v>
      </c>
      <c r="K2957" s="3">
        <f t="shared" si="184"/>
        <v>2023</v>
      </c>
      <c r="L2957" s="6">
        <f t="shared" si="185"/>
        <v>45108</v>
      </c>
      <c r="M2957" s="3" t="str">
        <f t="shared" si="186"/>
        <v>11% to 15%</v>
      </c>
      <c r="N2957" s="3" t="str">
        <f t="shared" si="187"/>
        <v>OK</v>
      </c>
    </row>
    <row r="2958" spans="1:14" x14ac:dyDescent="0.3">
      <c r="A2958" s="2">
        <f>DATE(VALUE(RIGHT(TRIM([1]Raw_Data!A2956),4)),VALUE(MID(TRIM([1]Raw_Data!A2956),4,2)),VALUE(LEFT(TRIM([1]Raw_Data!A2956),2)))</f>
        <v>45124</v>
      </c>
      <c r="B2958" s="3" t="str">
        <f>TRIM([1]Raw_Data!B2956)</f>
        <v>Ashwagandha</v>
      </c>
      <c r="C2958" s="3" t="str">
        <f>TRIM([1]Raw_Data!C2956)</f>
        <v>Herbal</v>
      </c>
      <c r="D2958" s="3">
        <f>[1]Raw_Data!D2956</f>
        <v>144</v>
      </c>
      <c r="E2958" s="4">
        <f>[1]Raw_Data!E2956</f>
        <v>28</v>
      </c>
      <c r="F2958" s="5">
        <f>[1]Raw_Data!F2956</f>
        <v>4032</v>
      </c>
      <c r="G2958" s="4">
        <f>[1]Raw_Data!G2956</f>
        <v>0.22</v>
      </c>
      <c r="H2958" s="3">
        <f>[1]Raw_Data!H2956</f>
        <v>2</v>
      </c>
      <c r="I2958" s="3" t="str">
        <f>TRIM([1]Raw_Data!I2956)</f>
        <v>Canada</v>
      </c>
      <c r="J2958" s="3" t="str">
        <f>TRIM([1]Raw_Data!J2956)</f>
        <v>iHerb</v>
      </c>
      <c r="K2958" s="3">
        <f t="shared" si="184"/>
        <v>2023</v>
      </c>
      <c r="L2958" s="6">
        <f t="shared" si="185"/>
        <v>45108</v>
      </c>
      <c r="M2958" s="3" t="str">
        <f t="shared" si="186"/>
        <v>21% to 25%</v>
      </c>
      <c r="N2958" s="3" t="str">
        <f t="shared" si="187"/>
        <v>OK</v>
      </c>
    </row>
    <row r="2959" spans="1:14" x14ac:dyDescent="0.3">
      <c r="A2959" s="2">
        <f>DATE(VALUE(RIGHT(TRIM([1]Raw_Data!A2957),4)),VALUE(MID(TRIM([1]Raw_Data!A2957),4,2)),VALUE(LEFT(TRIM([1]Raw_Data!A2957),2)))</f>
        <v>45124</v>
      </c>
      <c r="B2959" s="3" t="str">
        <f>TRIM([1]Raw_Data!B2957)</f>
        <v>Melatonin</v>
      </c>
      <c r="C2959" s="3" t="str">
        <f>TRIM([1]Raw_Data!C2957)</f>
        <v>Sleep Aid</v>
      </c>
      <c r="D2959" s="3">
        <f>[1]Raw_Data!D2957</f>
        <v>135</v>
      </c>
      <c r="E2959" s="4">
        <f>[1]Raw_Data!E2957</f>
        <v>54.61</v>
      </c>
      <c r="F2959" s="5">
        <f>[1]Raw_Data!F2957</f>
        <v>7372.35</v>
      </c>
      <c r="G2959" s="4">
        <f>[1]Raw_Data!G2957</f>
        <v>0.18</v>
      </c>
      <c r="H2959" s="3">
        <f>[1]Raw_Data!H2957</f>
        <v>0</v>
      </c>
      <c r="I2959" s="3" t="str">
        <f>TRIM([1]Raw_Data!I2957)</f>
        <v>USA</v>
      </c>
      <c r="J2959" s="3" t="str">
        <f>TRIM([1]Raw_Data!J2957)</f>
        <v>Walmart</v>
      </c>
      <c r="K2959" s="3">
        <f t="shared" si="184"/>
        <v>2023</v>
      </c>
      <c r="L2959" s="6">
        <f t="shared" si="185"/>
        <v>45108</v>
      </c>
      <c r="M2959" s="3" t="str">
        <f t="shared" si="186"/>
        <v>16% to 20%</v>
      </c>
      <c r="N2959" s="3" t="str">
        <f t="shared" si="187"/>
        <v>OK</v>
      </c>
    </row>
    <row r="2960" spans="1:14" x14ac:dyDescent="0.3">
      <c r="A2960" s="2">
        <f>DATE(VALUE(RIGHT(TRIM([1]Raw_Data!A2958),4)),VALUE(MID(TRIM([1]Raw_Data!A2958),4,2)),VALUE(LEFT(TRIM([1]Raw_Data!A2958),2)))</f>
        <v>45124</v>
      </c>
      <c r="B2960" s="3" t="str">
        <f>TRIM([1]Raw_Data!B2958)</f>
        <v>Biotin</v>
      </c>
      <c r="C2960" s="3" t="str">
        <f>TRIM([1]Raw_Data!C2958)</f>
        <v>Vitamin</v>
      </c>
      <c r="D2960" s="3">
        <f>[1]Raw_Data!D2958</f>
        <v>166</v>
      </c>
      <c r="E2960" s="4">
        <f>[1]Raw_Data!E2958</f>
        <v>32.700000000000003</v>
      </c>
      <c r="F2960" s="5">
        <f>[1]Raw_Data!F2958</f>
        <v>5428.2</v>
      </c>
      <c r="G2960" s="4">
        <f>[1]Raw_Data!G2958</f>
        <v>0.13</v>
      </c>
      <c r="H2960" s="3">
        <f>[1]Raw_Data!H2958</f>
        <v>3</v>
      </c>
      <c r="I2960" s="3" t="str">
        <f>TRIM([1]Raw_Data!I2958)</f>
        <v>UK</v>
      </c>
      <c r="J2960" s="3" t="str">
        <f>TRIM([1]Raw_Data!J2958)</f>
        <v>iHerb</v>
      </c>
      <c r="K2960" s="3">
        <f t="shared" si="184"/>
        <v>2023</v>
      </c>
      <c r="L2960" s="6">
        <f t="shared" si="185"/>
        <v>45108</v>
      </c>
      <c r="M2960" s="3" t="str">
        <f t="shared" si="186"/>
        <v>11% to 15%</v>
      </c>
      <c r="N2960" s="3" t="str">
        <f t="shared" si="187"/>
        <v>OK</v>
      </c>
    </row>
    <row r="2961" spans="1:14" x14ac:dyDescent="0.3">
      <c r="A2961" s="2">
        <f>DATE(VALUE(RIGHT(TRIM([1]Raw_Data!A2959),4)),VALUE(MID(TRIM([1]Raw_Data!A2959),4,2)),VALUE(LEFT(TRIM([1]Raw_Data!A2959),2)))</f>
        <v>45124</v>
      </c>
      <c r="B2961" s="3" t="str">
        <f>TRIM([1]Raw_Data!B2959)</f>
        <v>Green Tea Extract</v>
      </c>
      <c r="C2961" s="3" t="str">
        <f>TRIM([1]Raw_Data!C2959)</f>
        <v>Fat Burner</v>
      </c>
      <c r="D2961" s="3">
        <f>[1]Raw_Data!D2959</f>
        <v>124</v>
      </c>
      <c r="E2961" s="4">
        <f>[1]Raw_Data!E2959</f>
        <v>35.75</v>
      </c>
      <c r="F2961" s="5">
        <f>[1]Raw_Data!F2959</f>
        <v>4433</v>
      </c>
      <c r="G2961" s="4">
        <f>[1]Raw_Data!G2959</f>
        <v>0.12</v>
      </c>
      <c r="H2961" s="3">
        <f>[1]Raw_Data!H2959</f>
        <v>1</v>
      </c>
      <c r="I2961" s="3" t="str">
        <f>TRIM([1]Raw_Data!I2959)</f>
        <v>USA</v>
      </c>
      <c r="J2961" s="3" t="str">
        <f>TRIM([1]Raw_Data!J2959)</f>
        <v>Amazon</v>
      </c>
      <c r="K2961" s="3">
        <f t="shared" si="184"/>
        <v>2023</v>
      </c>
      <c r="L2961" s="6">
        <f t="shared" si="185"/>
        <v>45108</v>
      </c>
      <c r="M2961" s="3" t="str">
        <f t="shared" si="186"/>
        <v>11% to 15%</v>
      </c>
      <c r="N2961" s="3" t="str">
        <f t="shared" si="187"/>
        <v>OK</v>
      </c>
    </row>
    <row r="2962" spans="1:14" x14ac:dyDescent="0.3">
      <c r="A2962" s="2">
        <f>DATE(VALUE(RIGHT(TRIM([1]Raw_Data!A2960),4)),VALUE(MID(TRIM([1]Raw_Data!A2960),4,2)),VALUE(LEFT(TRIM([1]Raw_Data!A2960),2)))</f>
        <v>45124</v>
      </c>
      <c r="B2962" s="3" t="str">
        <f>TRIM([1]Raw_Data!B2960)</f>
        <v>Iron Supplement</v>
      </c>
      <c r="C2962" s="3" t="str">
        <f>TRIM([1]Raw_Data!C2960)</f>
        <v>Mineral</v>
      </c>
      <c r="D2962" s="3">
        <f>[1]Raw_Data!D2960</f>
        <v>149</v>
      </c>
      <c r="E2962" s="4">
        <f>[1]Raw_Data!E2960</f>
        <v>22.03</v>
      </c>
      <c r="F2962" s="5">
        <f>[1]Raw_Data!F2960</f>
        <v>3282.47</v>
      </c>
      <c r="G2962" s="4">
        <f>[1]Raw_Data!G2960</f>
        <v>7.0000000000000007E-2</v>
      </c>
      <c r="H2962" s="3">
        <f>[1]Raw_Data!H2960</f>
        <v>3</v>
      </c>
      <c r="I2962" s="3" t="str">
        <f>TRIM([1]Raw_Data!I2960)</f>
        <v>USA</v>
      </c>
      <c r="J2962" s="3" t="str">
        <f>TRIM([1]Raw_Data!J2960)</f>
        <v>Walmart</v>
      </c>
      <c r="K2962" s="3">
        <f t="shared" si="184"/>
        <v>2023</v>
      </c>
      <c r="L2962" s="6">
        <f t="shared" si="185"/>
        <v>45108</v>
      </c>
      <c r="M2962" s="3" t="str">
        <f t="shared" si="186"/>
        <v>6% to 10%</v>
      </c>
      <c r="N2962" s="3" t="str">
        <f t="shared" si="187"/>
        <v>OK</v>
      </c>
    </row>
    <row r="2963" spans="1:14" x14ac:dyDescent="0.3">
      <c r="A2963" s="2">
        <f>DATE(VALUE(RIGHT(TRIM([1]Raw_Data!A2961),4)),VALUE(MID(TRIM([1]Raw_Data!A2961),4,2)),VALUE(LEFT(TRIM([1]Raw_Data!A2961),2)))</f>
        <v>45124</v>
      </c>
      <c r="B2963" s="3" t="str">
        <f>TRIM([1]Raw_Data!B2961)</f>
        <v>Electrolyte Powder</v>
      </c>
      <c r="C2963" s="3" t="str">
        <f>TRIM([1]Raw_Data!C2961)</f>
        <v>Hydration</v>
      </c>
      <c r="D2963" s="3">
        <f>[1]Raw_Data!D2961</f>
        <v>128</v>
      </c>
      <c r="E2963" s="4">
        <f>[1]Raw_Data!E2961</f>
        <v>44.09</v>
      </c>
      <c r="F2963" s="5">
        <f>[1]Raw_Data!F2961</f>
        <v>5643.52</v>
      </c>
      <c r="G2963" s="4">
        <f>[1]Raw_Data!G2961</f>
        <v>0.13</v>
      </c>
      <c r="H2963" s="3">
        <f>[1]Raw_Data!H2961</f>
        <v>2</v>
      </c>
      <c r="I2963" s="3" t="str">
        <f>TRIM([1]Raw_Data!I2961)</f>
        <v>Canada</v>
      </c>
      <c r="J2963" s="3" t="str">
        <f>TRIM([1]Raw_Data!J2961)</f>
        <v>Walmart</v>
      </c>
      <c r="K2963" s="3">
        <f t="shared" si="184"/>
        <v>2023</v>
      </c>
      <c r="L2963" s="6">
        <f t="shared" si="185"/>
        <v>45108</v>
      </c>
      <c r="M2963" s="3" t="str">
        <f t="shared" si="186"/>
        <v>11% to 15%</v>
      </c>
      <c r="N2963" s="3" t="str">
        <f t="shared" si="187"/>
        <v>OK</v>
      </c>
    </row>
    <row r="2964" spans="1:14" x14ac:dyDescent="0.3">
      <c r="A2964" s="2">
        <f>DATE(VALUE(RIGHT(TRIM([1]Raw_Data!A2962),4)),VALUE(MID(TRIM([1]Raw_Data!A2962),4,2)),VALUE(LEFT(TRIM([1]Raw_Data!A2962),2)))</f>
        <v>45131</v>
      </c>
      <c r="B2964" s="3" t="str">
        <f>TRIM([1]Raw_Data!B2962)</f>
        <v>Whey Protein</v>
      </c>
      <c r="C2964" s="3" t="str">
        <f>TRIM([1]Raw_Data!C2962)</f>
        <v>Protein</v>
      </c>
      <c r="D2964" s="3">
        <f>[1]Raw_Data!D2962</f>
        <v>137</v>
      </c>
      <c r="E2964" s="4">
        <f>[1]Raw_Data!E2962</f>
        <v>17</v>
      </c>
      <c r="F2964" s="5">
        <f>[1]Raw_Data!F2962</f>
        <v>2329</v>
      </c>
      <c r="G2964" s="4">
        <f>[1]Raw_Data!G2962</f>
        <v>0.1</v>
      </c>
      <c r="H2964" s="3">
        <f>[1]Raw_Data!H2962</f>
        <v>0</v>
      </c>
      <c r="I2964" s="3" t="str">
        <f>TRIM([1]Raw_Data!I2962)</f>
        <v>Canada</v>
      </c>
      <c r="J2964" s="3" t="str">
        <f>TRIM([1]Raw_Data!J2962)</f>
        <v>Walmart</v>
      </c>
      <c r="K2964" s="3">
        <f t="shared" si="184"/>
        <v>2023</v>
      </c>
      <c r="L2964" s="6">
        <f t="shared" si="185"/>
        <v>45108</v>
      </c>
      <c r="M2964" s="3" t="str">
        <f t="shared" si="186"/>
        <v>6% to 10%</v>
      </c>
      <c r="N2964" s="3" t="str">
        <f t="shared" si="187"/>
        <v>OK</v>
      </c>
    </row>
    <row r="2965" spans="1:14" x14ac:dyDescent="0.3">
      <c r="A2965" s="2">
        <f>DATE(VALUE(RIGHT(TRIM([1]Raw_Data!A2963),4)),VALUE(MID(TRIM([1]Raw_Data!A2963),4,2)),VALUE(LEFT(TRIM([1]Raw_Data!A2963),2)))</f>
        <v>45131</v>
      </c>
      <c r="B2965" s="3" t="str">
        <f>TRIM([1]Raw_Data!B2963)</f>
        <v>Vitamin C</v>
      </c>
      <c r="C2965" s="3" t="str">
        <f>TRIM([1]Raw_Data!C2963)</f>
        <v>Vitamin</v>
      </c>
      <c r="D2965" s="3">
        <f>[1]Raw_Data!D2963</f>
        <v>152</v>
      </c>
      <c r="E2965" s="4">
        <f>[1]Raw_Data!E2963</f>
        <v>57.06</v>
      </c>
      <c r="F2965" s="5">
        <f>[1]Raw_Data!F2963</f>
        <v>8673.1200000000008</v>
      </c>
      <c r="G2965" s="4">
        <f>[1]Raw_Data!G2963</f>
        <v>0.18</v>
      </c>
      <c r="H2965" s="3">
        <f>[1]Raw_Data!H2963</f>
        <v>1</v>
      </c>
      <c r="I2965" s="3" t="str">
        <f>TRIM([1]Raw_Data!I2963)</f>
        <v>USA</v>
      </c>
      <c r="J2965" s="3" t="str">
        <f>TRIM([1]Raw_Data!J2963)</f>
        <v>Walmart</v>
      </c>
      <c r="K2965" s="3">
        <f t="shared" si="184"/>
        <v>2023</v>
      </c>
      <c r="L2965" s="6">
        <f t="shared" si="185"/>
        <v>45108</v>
      </c>
      <c r="M2965" s="3" t="str">
        <f t="shared" si="186"/>
        <v>16% to 20%</v>
      </c>
      <c r="N2965" s="3" t="str">
        <f t="shared" si="187"/>
        <v>OK</v>
      </c>
    </row>
    <row r="2966" spans="1:14" x14ac:dyDescent="0.3">
      <c r="A2966" s="2">
        <f>DATE(VALUE(RIGHT(TRIM([1]Raw_Data!A2964),4)),VALUE(MID(TRIM([1]Raw_Data!A2964),4,2)),VALUE(LEFT(TRIM([1]Raw_Data!A2964),2)))</f>
        <v>45131</v>
      </c>
      <c r="B2966" s="3" t="str">
        <f>TRIM([1]Raw_Data!B2964)</f>
        <v>Fish Oil</v>
      </c>
      <c r="C2966" s="3" t="str">
        <f>TRIM([1]Raw_Data!C2964)</f>
        <v>Omega</v>
      </c>
      <c r="D2966" s="3">
        <f>[1]Raw_Data!D2964</f>
        <v>173</v>
      </c>
      <c r="E2966" s="4">
        <f>[1]Raw_Data!E2964</f>
        <v>38.06</v>
      </c>
      <c r="F2966" s="5">
        <f>[1]Raw_Data!F2964</f>
        <v>6584.38</v>
      </c>
      <c r="G2966" s="4">
        <f>[1]Raw_Data!G2964</f>
        <v>0.15</v>
      </c>
      <c r="H2966" s="3">
        <f>[1]Raw_Data!H2964</f>
        <v>1</v>
      </c>
      <c r="I2966" s="3" t="str">
        <f>TRIM([1]Raw_Data!I2964)</f>
        <v>UK</v>
      </c>
      <c r="J2966" s="3" t="str">
        <f>TRIM([1]Raw_Data!J2964)</f>
        <v>Walmart</v>
      </c>
      <c r="K2966" s="3">
        <f t="shared" si="184"/>
        <v>2023</v>
      </c>
      <c r="L2966" s="6">
        <f t="shared" si="185"/>
        <v>45108</v>
      </c>
      <c r="M2966" s="3" t="str">
        <f t="shared" si="186"/>
        <v>11% to 15%</v>
      </c>
      <c r="N2966" s="3" t="str">
        <f t="shared" si="187"/>
        <v>OK</v>
      </c>
    </row>
    <row r="2967" spans="1:14" x14ac:dyDescent="0.3">
      <c r="A2967" s="2">
        <f>DATE(VALUE(RIGHT(TRIM([1]Raw_Data!A2965),4)),VALUE(MID(TRIM([1]Raw_Data!A2965),4,2)),VALUE(LEFT(TRIM([1]Raw_Data!A2965),2)))</f>
        <v>45131</v>
      </c>
      <c r="B2967" s="3" t="str">
        <f>TRIM([1]Raw_Data!B2965)</f>
        <v>Multivitamin</v>
      </c>
      <c r="C2967" s="3" t="str">
        <f>TRIM([1]Raw_Data!C2965)</f>
        <v>Vitamin</v>
      </c>
      <c r="D2967" s="3">
        <f>[1]Raw_Data!D2965</f>
        <v>164</v>
      </c>
      <c r="E2967" s="4">
        <f>[1]Raw_Data!E2965</f>
        <v>37.74</v>
      </c>
      <c r="F2967" s="5">
        <f>[1]Raw_Data!F2965</f>
        <v>6189.36</v>
      </c>
      <c r="G2967" s="4">
        <f>[1]Raw_Data!G2965</f>
        <v>0.18</v>
      </c>
      <c r="H2967" s="3">
        <f>[1]Raw_Data!H2965</f>
        <v>3</v>
      </c>
      <c r="I2967" s="3" t="str">
        <f>TRIM([1]Raw_Data!I2965)</f>
        <v>Canada</v>
      </c>
      <c r="J2967" s="3" t="str">
        <f>TRIM([1]Raw_Data!J2965)</f>
        <v>Walmart</v>
      </c>
      <c r="K2967" s="3">
        <f t="shared" si="184"/>
        <v>2023</v>
      </c>
      <c r="L2967" s="6">
        <f t="shared" si="185"/>
        <v>45108</v>
      </c>
      <c r="M2967" s="3" t="str">
        <f t="shared" si="186"/>
        <v>16% to 20%</v>
      </c>
      <c r="N2967" s="3" t="str">
        <f t="shared" si="187"/>
        <v>OK</v>
      </c>
    </row>
    <row r="2968" spans="1:14" x14ac:dyDescent="0.3">
      <c r="A2968" s="2">
        <f>DATE(VALUE(RIGHT(TRIM([1]Raw_Data!A2966),4)),VALUE(MID(TRIM([1]Raw_Data!A2966),4,2)),VALUE(LEFT(TRIM([1]Raw_Data!A2966),2)))</f>
        <v>45131</v>
      </c>
      <c r="B2968" s="3" t="str">
        <f>TRIM([1]Raw_Data!B2966)</f>
        <v>Pre-Workout</v>
      </c>
      <c r="C2968" s="3" t="str">
        <f>TRIM([1]Raw_Data!C2966)</f>
        <v>Performance</v>
      </c>
      <c r="D2968" s="3">
        <f>[1]Raw_Data!D2966</f>
        <v>167</v>
      </c>
      <c r="E2968" s="4">
        <f>[1]Raw_Data!E2966</f>
        <v>42.16</v>
      </c>
      <c r="F2968" s="5">
        <f>[1]Raw_Data!F2966</f>
        <v>7040.72</v>
      </c>
      <c r="G2968" s="4">
        <f>[1]Raw_Data!G2966</f>
        <v>0.1</v>
      </c>
      <c r="H2968" s="3">
        <f>[1]Raw_Data!H2966</f>
        <v>1</v>
      </c>
      <c r="I2968" s="3" t="str">
        <f>TRIM([1]Raw_Data!I2966)</f>
        <v>USA</v>
      </c>
      <c r="J2968" s="3" t="str">
        <f>TRIM([1]Raw_Data!J2966)</f>
        <v>iHerb</v>
      </c>
      <c r="K2968" s="3">
        <f t="shared" si="184"/>
        <v>2023</v>
      </c>
      <c r="L2968" s="6">
        <f t="shared" si="185"/>
        <v>45108</v>
      </c>
      <c r="M2968" s="3" t="str">
        <f t="shared" si="186"/>
        <v>6% to 10%</v>
      </c>
      <c r="N2968" s="3" t="str">
        <f t="shared" si="187"/>
        <v>OK</v>
      </c>
    </row>
    <row r="2969" spans="1:14" x14ac:dyDescent="0.3">
      <c r="A2969" s="2">
        <f>DATE(VALUE(RIGHT(TRIM([1]Raw_Data!A2967),4)),VALUE(MID(TRIM([1]Raw_Data!A2967),4,2)),VALUE(LEFT(TRIM([1]Raw_Data!A2967),2)))</f>
        <v>45131</v>
      </c>
      <c r="B2969" s="3" t="str">
        <f>TRIM([1]Raw_Data!B2967)</f>
        <v>BCAA</v>
      </c>
      <c r="C2969" s="3" t="str">
        <f>TRIM([1]Raw_Data!C2967)</f>
        <v>Amino Acid</v>
      </c>
      <c r="D2969" s="3">
        <f>[1]Raw_Data!D2967</f>
        <v>169</v>
      </c>
      <c r="E2969" s="4">
        <f>[1]Raw_Data!E2967</f>
        <v>54.77</v>
      </c>
      <c r="F2969" s="5">
        <f>[1]Raw_Data!F2967</f>
        <v>9256.1299999999992</v>
      </c>
      <c r="G2969" s="4">
        <f>[1]Raw_Data!G2967</f>
        <v>0.03</v>
      </c>
      <c r="H2969" s="3">
        <f>[1]Raw_Data!H2967</f>
        <v>3</v>
      </c>
      <c r="I2969" s="3" t="str">
        <f>TRIM([1]Raw_Data!I2967)</f>
        <v>USA</v>
      </c>
      <c r="J2969" s="3" t="str">
        <f>TRIM([1]Raw_Data!J2967)</f>
        <v>Amazon</v>
      </c>
      <c r="K2969" s="3">
        <f t="shared" si="184"/>
        <v>2023</v>
      </c>
      <c r="L2969" s="6">
        <f t="shared" si="185"/>
        <v>45108</v>
      </c>
      <c r="M2969" s="3" t="str">
        <f t="shared" si="186"/>
        <v>0% to 5%</v>
      </c>
      <c r="N2969" s="3" t="str">
        <f t="shared" si="187"/>
        <v>OK</v>
      </c>
    </row>
    <row r="2970" spans="1:14" x14ac:dyDescent="0.3">
      <c r="A2970" s="2">
        <f>DATE(VALUE(RIGHT(TRIM([1]Raw_Data!A2968),4)),VALUE(MID(TRIM([1]Raw_Data!A2968),4,2)),VALUE(LEFT(TRIM([1]Raw_Data!A2968),2)))</f>
        <v>45131</v>
      </c>
      <c r="B2970" s="3" t="str">
        <f>TRIM([1]Raw_Data!B2968)</f>
        <v>Creatine</v>
      </c>
      <c r="C2970" s="3" t="str">
        <f>TRIM([1]Raw_Data!C2968)</f>
        <v>Performance</v>
      </c>
      <c r="D2970" s="3">
        <f>[1]Raw_Data!D2968</f>
        <v>177</v>
      </c>
      <c r="E2970" s="4">
        <f>[1]Raw_Data!E2968</f>
        <v>35.93</v>
      </c>
      <c r="F2970" s="5">
        <f>[1]Raw_Data!F2968</f>
        <v>6359.61</v>
      </c>
      <c r="G2970" s="4">
        <f>[1]Raw_Data!G2968</f>
        <v>0.19</v>
      </c>
      <c r="H2970" s="3">
        <f>[1]Raw_Data!H2968</f>
        <v>2</v>
      </c>
      <c r="I2970" s="3" t="str">
        <f>TRIM([1]Raw_Data!I2968)</f>
        <v>USA</v>
      </c>
      <c r="J2970" s="3" t="str">
        <f>TRIM([1]Raw_Data!J2968)</f>
        <v>iHerb</v>
      </c>
      <c r="K2970" s="3">
        <f t="shared" si="184"/>
        <v>2023</v>
      </c>
      <c r="L2970" s="6">
        <f t="shared" si="185"/>
        <v>45108</v>
      </c>
      <c r="M2970" s="3" t="str">
        <f t="shared" si="186"/>
        <v>16% to 20%</v>
      </c>
      <c r="N2970" s="3" t="str">
        <f t="shared" si="187"/>
        <v>OK</v>
      </c>
    </row>
    <row r="2971" spans="1:14" x14ac:dyDescent="0.3">
      <c r="A2971" s="2">
        <f>DATE(VALUE(RIGHT(TRIM([1]Raw_Data!A2969),4)),VALUE(MID(TRIM([1]Raw_Data!A2969),4,2)),VALUE(LEFT(TRIM([1]Raw_Data!A2969),2)))</f>
        <v>45131</v>
      </c>
      <c r="B2971" s="3" t="str">
        <f>TRIM([1]Raw_Data!B2969)</f>
        <v>Zinc</v>
      </c>
      <c r="C2971" s="3" t="str">
        <f>TRIM([1]Raw_Data!C2969)</f>
        <v>Mineral</v>
      </c>
      <c r="D2971" s="3">
        <f>[1]Raw_Data!D2969</f>
        <v>158</v>
      </c>
      <c r="E2971" s="4">
        <f>[1]Raw_Data!E2969</f>
        <v>34.71</v>
      </c>
      <c r="F2971" s="5">
        <f>[1]Raw_Data!F2969</f>
        <v>5484.18</v>
      </c>
      <c r="G2971" s="4">
        <f>[1]Raw_Data!G2969</f>
        <v>0.21</v>
      </c>
      <c r="H2971" s="3">
        <f>[1]Raw_Data!H2969</f>
        <v>2</v>
      </c>
      <c r="I2971" s="3" t="str">
        <f>TRIM([1]Raw_Data!I2969)</f>
        <v>UK</v>
      </c>
      <c r="J2971" s="3" t="str">
        <f>TRIM([1]Raw_Data!J2969)</f>
        <v>iHerb</v>
      </c>
      <c r="K2971" s="3">
        <f t="shared" si="184"/>
        <v>2023</v>
      </c>
      <c r="L2971" s="6">
        <f t="shared" si="185"/>
        <v>45108</v>
      </c>
      <c r="M2971" s="3" t="str">
        <f t="shared" si="186"/>
        <v>21% to 25%</v>
      </c>
      <c r="N2971" s="3" t="str">
        <f t="shared" si="187"/>
        <v>OK</v>
      </c>
    </row>
    <row r="2972" spans="1:14" x14ac:dyDescent="0.3">
      <c r="A2972" s="2">
        <f>DATE(VALUE(RIGHT(TRIM([1]Raw_Data!A2970),4)),VALUE(MID(TRIM([1]Raw_Data!A2970),4,2)),VALUE(LEFT(TRIM([1]Raw_Data!A2970),2)))</f>
        <v>45131</v>
      </c>
      <c r="B2972" s="3" t="str">
        <f>TRIM([1]Raw_Data!B2970)</f>
        <v>Collagen Peptides</v>
      </c>
      <c r="C2972" s="3" t="str">
        <f>TRIM([1]Raw_Data!C2970)</f>
        <v>Protein</v>
      </c>
      <c r="D2972" s="3">
        <f>[1]Raw_Data!D2970</f>
        <v>147</v>
      </c>
      <c r="E2972" s="4">
        <f>[1]Raw_Data!E2970</f>
        <v>29.67</v>
      </c>
      <c r="F2972" s="5">
        <f>[1]Raw_Data!F2970</f>
        <v>4361.49</v>
      </c>
      <c r="G2972" s="4">
        <f>[1]Raw_Data!G2970</f>
        <v>0.18</v>
      </c>
      <c r="H2972" s="3">
        <f>[1]Raw_Data!H2970</f>
        <v>3</v>
      </c>
      <c r="I2972" s="3" t="str">
        <f>TRIM([1]Raw_Data!I2970)</f>
        <v>Canada</v>
      </c>
      <c r="J2972" s="3" t="str">
        <f>TRIM([1]Raw_Data!J2970)</f>
        <v>Walmart</v>
      </c>
      <c r="K2972" s="3">
        <f t="shared" si="184"/>
        <v>2023</v>
      </c>
      <c r="L2972" s="6">
        <f t="shared" si="185"/>
        <v>45108</v>
      </c>
      <c r="M2972" s="3" t="str">
        <f t="shared" si="186"/>
        <v>16% to 20%</v>
      </c>
      <c r="N2972" s="3" t="str">
        <f t="shared" si="187"/>
        <v>OK</v>
      </c>
    </row>
    <row r="2973" spans="1:14" x14ac:dyDescent="0.3">
      <c r="A2973" s="2">
        <f>DATE(VALUE(RIGHT(TRIM([1]Raw_Data!A2971),4)),VALUE(MID(TRIM([1]Raw_Data!A2971),4,2)),VALUE(LEFT(TRIM([1]Raw_Data!A2971),2)))</f>
        <v>45131</v>
      </c>
      <c r="B2973" s="3" t="str">
        <f>TRIM([1]Raw_Data!B2971)</f>
        <v>Magnesium</v>
      </c>
      <c r="C2973" s="3" t="str">
        <f>TRIM([1]Raw_Data!C2971)</f>
        <v>Mineral</v>
      </c>
      <c r="D2973" s="3">
        <f>[1]Raw_Data!D2971</f>
        <v>141</v>
      </c>
      <c r="E2973" s="4">
        <f>[1]Raw_Data!E2971</f>
        <v>17.7</v>
      </c>
      <c r="F2973" s="5">
        <f>[1]Raw_Data!F2971</f>
        <v>2495.6999999999998</v>
      </c>
      <c r="G2973" s="4">
        <f>[1]Raw_Data!G2971</f>
        <v>0.17</v>
      </c>
      <c r="H2973" s="3">
        <f>[1]Raw_Data!H2971</f>
        <v>4</v>
      </c>
      <c r="I2973" s="3" t="str">
        <f>TRIM([1]Raw_Data!I2971)</f>
        <v>UK</v>
      </c>
      <c r="J2973" s="3" t="str">
        <f>TRIM([1]Raw_Data!J2971)</f>
        <v>Amazon</v>
      </c>
      <c r="K2973" s="3">
        <f t="shared" si="184"/>
        <v>2023</v>
      </c>
      <c r="L2973" s="6">
        <f t="shared" si="185"/>
        <v>45108</v>
      </c>
      <c r="M2973" s="3" t="str">
        <f t="shared" si="186"/>
        <v>16% to 20%</v>
      </c>
      <c r="N2973" s="3" t="str">
        <f t="shared" si="187"/>
        <v>OK</v>
      </c>
    </row>
    <row r="2974" spans="1:14" x14ac:dyDescent="0.3">
      <c r="A2974" s="2">
        <f>DATE(VALUE(RIGHT(TRIM([1]Raw_Data!A2972),4)),VALUE(MID(TRIM([1]Raw_Data!A2972),4,2)),VALUE(LEFT(TRIM([1]Raw_Data!A2972),2)))</f>
        <v>45131</v>
      </c>
      <c r="B2974" s="3" t="str">
        <f>TRIM([1]Raw_Data!B2972)</f>
        <v>Ashwagandha</v>
      </c>
      <c r="C2974" s="3" t="str">
        <f>TRIM([1]Raw_Data!C2972)</f>
        <v>Herbal</v>
      </c>
      <c r="D2974" s="3">
        <f>[1]Raw_Data!D2972</f>
        <v>155</v>
      </c>
      <c r="E2974" s="4">
        <f>[1]Raw_Data!E2972</f>
        <v>37.67</v>
      </c>
      <c r="F2974" s="5">
        <f>[1]Raw_Data!F2972</f>
        <v>5838.85</v>
      </c>
      <c r="G2974" s="4">
        <f>[1]Raw_Data!G2972</f>
        <v>0.02</v>
      </c>
      <c r="H2974" s="3">
        <f>[1]Raw_Data!H2972</f>
        <v>2</v>
      </c>
      <c r="I2974" s="3" t="str">
        <f>TRIM([1]Raw_Data!I2972)</f>
        <v>Canada</v>
      </c>
      <c r="J2974" s="3" t="str">
        <f>TRIM([1]Raw_Data!J2972)</f>
        <v>iHerb</v>
      </c>
      <c r="K2974" s="3">
        <f t="shared" si="184"/>
        <v>2023</v>
      </c>
      <c r="L2974" s="6">
        <f t="shared" si="185"/>
        <v>45108</v>
      </c>
      <c r="M2974" s="3" t="str">
        <f t="shared" si="186"/>
        <v>0% to 5%</v>
      </c>
      <c r="N2974" s="3" t="str">
        <f t="shared" si="187"/>
        <v>OK</v>
      </c>
    </row>
    <row r="2975" spans="1:14" x14ac:dyDescent="0.3">
      <c r="A2975" s="2">
        <f>DATE(VALUE(RIGHT(TRIM([1]Raw_Data!A2973),4)),VALUE(MID(TRIM([1]Raw_Data!A2973),4,2)),VALUE(LEFT(TRIM([1]Raw_Data!A2973),2)))</f>
        <v>45131</v>
      </c>
      <c r="B2975" s="3" t="str">
        <f>TRIM([1]Raw_Data!B2973)</f>
        <v>Melatonin</v>
      </c>
      <c r="C2975" s="3" t="str">
        <f>TRIM([1]Raw_Data!C2973)</f>
        <v>Sleep Aid</v>
      </c>
      <c r="D2975" s="3">
        <f>[1]Raw_Data!D2973</f>
        <v>154</v>
      </c>
      <c r="E2975" s="4">
        <f>[1]Raw_Data!E2973</f>
        <v>54.94</v>
      </c>
      <c r="F2975" s="5">
        <f>[1]Raw_Data!F2973</f>
        <v>8460.76</v>
      </c>
      <c r="G2975" s="4">
        <f>[1]Raw_Data!G2973</f>
        <v>0.2</v>
      </c>
      <c r="H2975" s="3">
        <f>[1]Raw_Data!H2973</f>
        <v>2</v>
      </c>
      <c r="I2975" s="3" t="str">
        <f>TRIM([1]Raw_Data!I2973)</f>
        <v>Canada</v>
      </c>
      <c r="J2975" s="3" t="str">
        <f>TRIM([1]Raw_Data!J2973)</f>
        <v>Amazon</v>
      </c>
      <c r="K2975" s="3">
        <f t="shared" si="184"/>
        <v>2023</v>
      </c>
      <c r="L2975" s="6">
        <f t="shared" si="185"/>
        <v>45108</v>
      </c>
      <c r="M2975" s="3" t="str">
        <f t="shared" si="186"/>
        <v>16% to 20%</v>
      </c>
      <c r="N2975" s="3" t="str">
        <f t="shared" si="187"/>
        <v>OK</v>
      </c>
    </row>
    <row r="2976" spans="1:14" x14ac:dyDescent="0.3">
      <c r="A2976" s="2">
        <f>DATE(VALUE(RIGHT(TRIM([1]Raw_Data!A2974),4)),VALUE(MID(TRIM([1]Raw_Data!A2974),4,2)),VALUE(LEFT(TRIM([1]Raw_Data!A2974),2)))</f>
        <v>45131</v>
      </c>
      <c r="B2976" s="3" t="str">
        <f>TRIM([1]Raw_Data!B2974)</f>
        <v>Biotin</v>
      </c>
      <c r="C2976" s="3" t="str">
        <f>TRIM([1]Raw_Data!C2974)</f>
        <v>Vitamin</v>
      </c>
      <c r="D2976" s="3">
        <f>[1]Raw_Data!D2974</f>
        <v>153</v>
      </c>
      <c r="E2976" s="4">
        <f>[1]Raw_Data!E2974</f>
        <v>32.96</v>
      </c>
      <c r="F2976" s="5">
        <f>[1]Raw_Data!F2974</f>
        <v>5042.88</v>
      </c>
      <c r="G2976" s="4">
        <f>[1]Raw_Data!G2974</f>
        <v>0.2</v>
      </c>
      <c r="H2976" s="3">
        <f>[1]Raw_Data!H2974</f>
        <v>0</v>
      </c>
      <c r="I2976" s="3" t="str">
        <f>TRIM([1]Raw_Data!I2974)</f>
        <v>Canada</v>
      </c>
      <c r="J2976" s="3" t="str">
        <f>TRIM([1]Raw_Data!J2974)</f>
        <v>Amazon</v>
      </c>
      <c r="K2976" s="3">
        <f t="shared" si="184"/>
        <v>2023</v>
      </c>
      <c r="L2976" s="6">
        <f t="shared" si="185"/>
        <v>45108</v>
      </c>
      <c r="M2976" s="3" t="str">
        <f t="shared" si="186"/>
        <v>16% to 20%</v>
      </c>
      <c r="N2976" s="3" t="str">
        <f t="shared" si="187"/>
        <v>OK</v>
      </c>
    </row>
    <row r="2977" spans="1:14" x14ac:dyDescent="0.3">
      <c r="A2977" s="2">
        <f>DATE(VALUE(RIGHT(TRIM([1]Raw_Data!A2975),4)),VALUE(MID(TRIM([1]Raw_Data!A2975),4,2)),VALUE(LEFT(TRIM([1]Raw_Data!A2975),2)))</f>
        <v>45131</v>
      </c>
      <c r="B2977" s="3" t="str">
        <f>TRIM([1]Raw_Data!B2975)</f>
        <v>Green Tea Extract</v>
      </c>
      <c r="C2977" s="3" t="str">
        <f>TRIM([1]Raw_Data!C2975)</f>
        <v>Fat Burner</v>
      </c>
      <c r="D2977" s="3">
        <f>[1]Raw_Data!D2975</f>
        <v>124</v>
      </c>
      <c r="E2977" s="4">
        <f>[1]Raw_Data!E2975</f>
        <v>46.55</v>
      </c>
      <c r="F2977" s="5">
        <f>[1]Raw_Data!F2975</f>
        <v>5772.2</v>
      </c>
      <c r="G2977" s="4">
        <f>[1]Raw_Data!G2975</f>
        <v>0.13</v>
      </c>
      <c r="H2977" s="3">
        <f>[1]Raw_Data!H2975</f>
        <v>1</v>
      </c>
      <c r="I2977" s="3" t="str">
        <f>TRIM([1]Raw_Data!I2975)</f>
        <v>USA</v>
      </c>
      <c r="J2977" s="3" t="str">
        <f>TRIM([1]Raw_Data!J2975)</f>
        <v>iHerb</v>
      </c>
      <c r="K2977" s="3">
        <f t="shared" si="184"/>
        <v>2023</v>
      </c>
      <c r="L2977" s="6">
        <f t="shared" si="185"/>
        <v>45108</v>
      </c>
      <c r="M2977" s="3" t="str">
        <f t="shared" si="186"/>
        <v>11% to 15%</v>
      </c>
      <c r="N2977" s="3" t="str">
        <f t="shared" si="187"/>
        <v>OK</v>
      </c>
    </row>
    <row r="2978" spans="1:14" x14ac:dyDescent="0.3">
      <c r="A2978" s="2">
        <f>DATE(VALUE(RIGHT(TRIM([1]Raw_Data!A2976),4)),VALUE(MID(TRIM([1]Raw_Data!A2976),4,2)),VALUE(LEFT(TRIM([1]Raw_Data!A2976),2)))</f>
        <v>45131</v>
      </c>
      <c r="B2978" s="3" t="str">
        <f>TRIM([1]Raw_Data!B2976)</f>
        <v>Iron Supplement</v>
      </c>
      <c r="C2978" s="3" t="str">
        <f>TRIM([1]Raw_Data!C2976)</f>
        <v>Mineral</v>
      </c>
      <c r="D2978" s="3">
        <f>[1]Raw_Data!D2976</f>
        <v>132</v>
      </c>
      <c r="E2978" s="4">
        <f>[1]Raw_Data!E2976</f>
        <v>26.05</v>
      </c>
      <c r="F2978" s="5">
        <f>[1]Raw_Data!F2976</f>
        <v>3438.6</v>
      </c>
      <c r="G2978" s="4">
        <f>[1]Raw_Data!G2976</f>
        <v>7.0000000000000007E-2</v>
      </c>
      <c r="H2978" s="3">
        <f>[1]Raw_Data!H2976</f>
        <v>2</v>
      </c>
      <c r="I2978" s="3" t="str">
        <f>TRIM([1]Raw_Data!I2976)</f>
        <v>USA</v>
      </c>
      <c r="J2978" s="3" t="str">
        <f>TRIM([1]Raw_Data!J2976)</f>
        <v>Walmart</v>
      </c>
      <c r="K2978" s="3">
        <f t="shared" si="184"/>
        <v>2023</v>
      </c>
      <c r="L2978" s="6">
        <f t="shared" si="185"/>
        <v>45108</v>
      </c>
      <c r="M2978" s="3" t="str">
        <f t="shared" si="186"/>
        <v>6% to 10%</v>
      </c>
      <c r="N2978" s="3" t="str">
        <f t="shared" si="187"/>
        <v>OK</v>
      </c>
    </row>
    <row r="2979" spans="1:14" x14ac:dyDescent="0.3">
      <c r="A2979" s="2">
        <f>DATE(VALUE(RIGHT(TRIM([1]Raw_Data!A2977),4)),VALUE(MID(TRIM([1]Raw_Data!A2977),4,2)),VALUE(LEFT(TRIM([1]Raw_Data!A2977),2)))</f>
        <v>45131</v>
      </c>
      <c r="B2979" s="3" t="str">
        <f>TRIM([1]Raw_Data!B2977)</f>
        <v>Electrolyte Powder</v>
      </c>
      <c r="C2979" s="3" t="str">
        <f>TRIM([1]Raw_Data!C2977)</f>
        <v>Hydration</v>
      </c>
      <c r="D2979" s="3">
        <f>[1]Raw_Data!D2977</f>
        <v>152</v>
      </c>
      <c r="E2979" s="4">
        <f>[1]Raw_Data!E2977</f>
        <v>42.07</v>
      </c>
      <c r="F2979" s="5">
        <f>[1]Raw_Data!F2977</f>
        <v>6394.64</v>
      </c>
      <c r="G2979" s="4">
        <f>[1]Raw_Data!G2977</f>
        <v>7.0000000000000007E-2</v>
      </c>
      <c r="H2979" s="3">
        <f>[1]Raw_Data!H2977</f>
        <v>2</v>
      </c>
      <c r="I2979" s="3" t="str">
        <f>TRIM([1]Raw_Data!I2977)</f>
        <v>Canada</v>
      </c>
      <c r="J2979" s="3" t="str">
        <f>TRIM([1]Raw_Data!J2977)</f>
        <v>iHerb</v>
      </c>
      <c r="K2979" s="3">
        <f t="shared" si="184"/>
        <v>2023</v>
      </c>
      <c r="L2979" s="6">
        <f t="shared" si="185"/>
        <v>45108</v>
      </c>
      <c r="M2979" s="3" t="str">
        <f t="shared" si="186"/>
        <v>6% to 10%</v>
      </c>
      <c r="N2979" s="3" t="str">
        <f t="shared" si="187"/>
        <v>OK</v>
      </c>
    </row>
    <row r="2980" spans="1:14" x14ac:dyDescent="0.3">
      <c r="A2980" s="2">
        <f>DATE(VALUE(RIGHT(TRIM([1]Raw_Data!A2978),4)),VALUE(MID(TRIM([1]Raw_Data!A2978),4,2)),VALUE(LEFT(TRIM([1]Raw_Data!A2978),2)))</f>
        <v>45138</v>
      </c>
      <c r="B2980" s="3" t="str">
        <f>TRIM([1]Raw_Data!B2978)</f>
        <v>Whey Protein</v>
      </c>
      <c r="C2980" s="3" t="str">
        <f>TRIM([1]Raw_Data!C2978)</f>
        <v>Protein</v>
      </c>
      <c r="D2980" s="3">
        <f>[1]Raw_Data!D2978</f>
        <v>140</v>
      </c>
      <c r="E2980" s="4">
        <f>[1]Raw_Data!E2978</f>
        <v>49.12</v>
      </c>
      <c r="F2980" s="5">
        <f>[1]Raw_Data!F2978</f>
        <v>6876.8</v>
      </c>
      <c r="G2980" s="4">
        <f>[1]Raw_Data!G2978</f>
        <v>0.18</v>
      </c>
      <c r="H2980" s="3">
        <f>[1]Raw_Data!H2978</f>
        <v>0</v>
      </c>
      <c r="I2980" s="3" t="str">
        <f>TRIM([1]Raw_Data!I2978)</f>
        <v>USA</v>
      </c>
      <c r="J2980" s="3" t="str">
        <f>TRIM([1]Raw_Data!J2978)</f>
        <v>Walmart</v>
      </c>
      <c r="K2980" s="3">
        <f t="shared" si="184"/>
        <v>2023</v>
      </c>
      <c r="L2980" s="6">
        <f t="shared" si="185"/>
        <v>45108</v>
      </c>
      <c r="M2980" s="3" t="str">
        <f t="shared" si="186"/>
        <v>16% to 20%</v>
      </c>
      <c r="N2980" s="3" t="str">
        <f t="shared" si="187"/>
        <v>OK</v>
      </c>
    </row>
    <row r="2981" spans="1:14" x14ac:dyDescent="0.3">
      <c r="A2981" s="2">
        <f>DATE(VALUE(RIGHT(TRIM([1]Raw_Data!A2979),4)),VALUE(MID(TRIM([1]Raw_Data!A2979),4,2)),VALUE(LEFT(TRIM([1]Raw_Data!A2979),2)))</f>
        <v>45138</v>
      </c>
      <c r="B2981" s="3" t="str">
        <f>TRIM([1]Raw_Data!B2979)</f>
        <v>Vitamin C</v>
      </c>
      <c r="C2981" s="3" t="str">
        <f>TRIM([1]Raw_Data!C2979)</f>
        <v>Vitamin</v>
      </c>
      <c r="D2981" s="3">
        <f>[1]Raw_Data!D2979</f>
        <v>133</v>
      </c>
      <c r="E2981" s="4">
        <f>[1]Raw_Data!E2979</f>
        <v>48.83</v>
      </c>
      <c r="F2981" s="5">
        <f>[1]Raw_Data!F2979</f>
        <v>6494.39</v>
      </c>
      <c r="G2981" s="4">
        <f>[1]Raw_Data!G2979</f>
        <v>0.08</v>
      </c>
      <c r="H2981" s="3">
        <f>[1]Raw_Data!H2979</f>
        <v>2</v>
      </c>
      <c r="I2981" s="3" t="str">
        <f>TRIM([1]Raw_Data!I2979)</f>
        <v>UK</v>
      </c>
      <c r="J2981" s="3" t="str">
        <f>TRIM([1]Raw_Data!J2979)</f>
        <v>Amazon</v>
      </c>
      <c r="K2981" s="3">
        <f t="shared" si="184"/>
        <v>2023</v>
      </c>
      <c r="L2981" s="6">
        <f t="shared" si="185"/>
        <v>45108</v>
      </c>
      <c r="M2981" s="3" t="str">
        <f t="shared" si="186"/>
        <v>6% to 10%</v>
      </c>
      <c r="N2981" s="3" t="str">
        <f t="shared" si="187"/>
        <v>OK</v>
      </c>
    </row>
    <row r="2982" spans="1:14" x14ac:dyDescent="0.3">
      <c r="A2982" s="2">
        <f>DATE(VALUE(RIGHT(TRIM([1]Raw_Data!A2980),4)),VALUE(MID(TRIM([1]Raw_Data!A2980),4,2)),VALUE(LEFT(TRIM([1]Raw_Data!A2980),2)))</f>
        <v>45138</v>
      </c>
      <c r="B2982" s="3" t="str">
        <f>TRIM([1]Raw_Data!B2980)</f>
        <v>Fish Oil</v>
      </c>
      <c r="C2982" s="3" t="str">
        <f>TRIM([1]Raw_Data!C2980)</f>
        <v>Omega</v>
      </c>
      <c r="D2982" s="3">
        <f>[1]Raw_Data!D2980</f>
        <v>133</v>
      </c>
      <c r="E2982" s="4">
        <f>[1]Raw_Data!E2980</f>
        <v>10.94</v>
      </c>
      <c r="F2982" s="5">
        <f>[1]Raw_Data!F2980</f>
        <v>1455.02</v>
      </c>
      <c r="G2982" s="4">
        <f>[1]Raw_Data!G2980</f>
        <v>0.1</v>
      </c>
      <c r="H2982" s="3">
        <f>[1]Raw_Data!H2980</f>
        <v>0</v>
      </c>
      <c r="I2982" s="3" t="str">
        <f>TRIM([1]Raw_Data!I2980)</f>
        <v>Canada</v>
      </c>
      <c r="J2982" s="3" t="str">
        <f>TRIM([1]Raw_Data!J2980)</f>
        <v>iHerb</v>
      </c>
      <c r="K2982" s="3">
        <f t="shared" si="184"/>
        <v>2023</v>
      </c>
      <c r="L2982" s="6">
        <f t="shared" si="185"/>
        <v>45108</v>
      </c>
      <c r="M2982" s="3" t="str">
        <f t="shared" si="186"/>
        <v>6% to 10%</v>
      </c>
      <c r="N2982" s="3" t="str">
        <f t="shared" si="187"/>
        <v>OK</v>
      </c>
    </row>
    <row r="2983" spans="1:14" x14ac:dyDescent="0.3">
      <c r="A2983" s="2">
        <f>DATE(VALUE(RIGHT(TRIM([1]Raw_Data!A2981),4)),VALUE(MID(TRIM([1]Raw_Data!A2981),4,2)),VALUE(LEFT(TRIM([1]Raw_Data!A2981),2)))</f>
        <v>45138</v>
      </c>
      <c r="B2983" s="3" t="str">
        <f>TRIM([1]Raw_Data!B2981)</f>
        <v>Multivitamin</v>
      </c>
      <c r="C2983" s="3" t="str">
        <f>TRIM([1]Raw_Data!C2981)</f>
        <v>Vitamin</v>
      </c>
      <c r="D2983" s="3">
        <f>[1]Raw_Data!D2981</f>
        <v>149</v>
      </c>
      <c r="E2983" s="4">
        <f>[1]Raw_Data!E2981</f>
        <v>32.22</v>
      </c>
      <c r="F2983" s="5">
        <f>[1]Raw_Data!F2981</f>
        <v>4800.78</v>
      </c>
      <c r="G2983" s="4">
        <f>[1]Raw_Data!G2981</f>
        <v>0.01</v>
      </c>
      <c r="H2983" s="3">
        <f>[1]Raw_Data!H2981</f>
        <v>1</v>
      </c>
      <c r="I2983" s="3" t="str">
        <f>TRIM([1]Raw_Data!I2981)</f>
        <v>Canada</v>
      </c>
      <c r="J2983" s="3" t="str">
        <f>TRIM([1]Raw_Data!J2981)</f>
        <v>iHerb</v>
      </c>
      <c r="K2983" s="3">
        <f t="shared" si="184"/>
        <v>2023</v>
      </c>
      <c r="L2983" s="6">
        <f t="shared" si="185"/>
        <v>45108</v>
      </c>
      <c r="M2983" s="3" t="str">
        <f t="shared" si="186"/>
        <v>0% to 5%</v>
      </c>
      <c r="N2983" s="3" t="str">
        <f t="shared" si="187"/>
        <v>OK</v>
      </c>
    </row>
    <row r="2984" spans="1:14" x14ac:dyDescent="0.3">
      <c r="A2984" s="2">
        <f>DATE(VALUE(RIGHT(TRIM([1]Raw_Data!A2982),4)),VALUE(MID(TRIM([1]Raw_Data!A2982),4,2)),VALUE(LEFT(TRIM([1]Raw_Data!A2982),2)))</f>
        <v>45138</v>
      </c>
      <c r="B2984" s="3" t="str">
        <f>TRIM([1]Raw_Data!B2982)</f>
        <v>Pre-Workout</v>
      </c>
      <c r="C2984" s="3" t="str">
        <f>TRIM([1]Raw_Data!C2982)</f>
        <v>Performance</v>
      </c>
      <c r="D2984" s="3">
        <f>[1]Raw_Data!D2982</f>
        <v>160</v>
      </c>
      <c r="E2984" s="4">
        <f>[1]Raw_Data!E2982</f>
        <v>45.76</v>
      </c>
      <c r="F2984" s="5">
        <f>[1]Raw_Data!F2982</f>
        <v>7321.6</v>
      </c>
      <c r="G2984" s="4">
        <f>[1]Raw_Data!G2982</f>
        <v>0.09</v>
      </c>
      <c r="H2984" s="3">
        <f>[1]Raw_Data!H2982</f>
        <v>1</v>
      </c>
      <c r="I2984" s="3" t="str">
        <f>TRIM([1]Raw_Data!I2982)</f>
        <v>UK</v>
      </c>
      <c r="J2984" s="3" t="str">
        <f>TRIM([1]Raw_Data!J2982)</f>
        <v>Walmart</v>
      </c>
      <c r="K2984" s="3">
        <f t="shared" si="184"/>
        <v>2023</v>
      </c>
      <c r="L2984" s="6">
        <f t="shared" si="185"/>
        <v>45108</v>
      </c>
      <c r="M2984" s="3" t="str">
        <f t="shared" si="186"/>
        <v>6% to 10%</v>
      </c>
      <c r="N2984" s="3" t="str">
        <f t="shared" si="187"/>
        <v>OK</v>
      </c>
    </row>
    <row r="2985" spans="1:14" x14ac:dyDescent="0.3">
      <c r="A2985" s="2">
        <f>DATE(VALUE(RIGHT(TRIM([1]Raw_Data!A2983),4)),VALUE(MID(TRIM([1]Raw_Data!A2983),4,2)),VALUE(LEFT(TRIM([1]Raw_Data!A2983),2)))</f>
        <v>45138</v>
      </c>
      <c r="B2985" s="3" t="str">
        <f>TRIM([1]Raw_Data!B2983)</f>
        <v>BCAA</v>
      </c>
      <c r="C2985" s="3" t="str">
        <f>TRIM([1]Raw_Data!C2983)</f>
        <v>Amino Acid</v>
      </c>
      <c r="D2985" s="3">
        <f>[1]Raw_Data!D2983</f>
        <v>152</v>
      </c>
      <c r="E2985" s="4">
        <f>[1]Raw_Data!E2983</f>
        <v>15.44</v>
      </c>
      <c r="F2985" s="5">
        <f>[1]Raw_Data!F2983</f>
        <v>2346.88</v>
      </c>
      <c r="G2985" s="4">
        <f>[1]Raw_Data!G2983</f>
        <v>0.01</v>
      </c>
      <c r="H2985" s="3">
        <f>[1]Raw_Data!H2983</f>
        <v>2</v>
      </c>
      <c r="I2985" s="3" t="str">
        <f>TRIM([1]Raw_Data!I2983)</f>
        <v>USA</v>
      </c>
      <c r="J2985" s="3" t="str">
        <f>TRIM([1]Raw_Data!J2983)</f>
        <v>iHerb</v>
      </c>
      <c r="K2985" s="3">
        <f t="shared" si="184"/>
        <v>2023</v>
      </c>
      <c r="L2985" s="6">
        <f t="shared" si="185"/>
        <v>45108</v>
      </c>
      <c r="M2985" s="3" t="str">
        <f t="shared" si="186"/>
        <v>0% to 5%</v>
      </c>
      <c r="N2985" s="3" t="str">
        <f t="shared" si="187"/>
        <v>OK</v>
      </c>
    </row>
    <row r="2986" spans="1:14" x14ac:dyDescent="0.3">
      <c r="A2986" s="2">
        <f>DATE(VALUE(RIGHT(TRIM([1]Raw_Data!A2984),4)),VALUE(MID(TRIM([1]Raw_Data!A2984),4,2)),VALUE(LEFT(TRIM([1]Raw_Data!A2984),2)))</f>
        <v>45138</v>
      </c>
      <c r="B2986" s="3" t="str">
        <f>TRIM([1]Raw_Data!B2984)</f>
        <v>Creatine</v>
      </c>
      <c r="C2986" s="3" t="str">
        <f>TRIM([1]Raw_Data!C2984)</f>
        <v>Performance</v>
      </c>
      <c r="D2986" s="3">
        <f>[1]Raw_Data!D2984</f>
        <v>149</v>
      </c>
      <c r="E2986" s="4">
        <f>[1]Raw_Data!E2984</f>
        <v>42.25</v>
      </c>
      <c r="F2986" s="5">
        <f>[1]Raw_Data!F2984</f>
        <v>6295.25</v>
      </c>
      <c r="G2986" s="4">
        <f>[1]Raw_Data!G2984</f>
        <v>0.14000000000000001</v>
      </c>
      <c r="H2986" s="3">
        <f>[1]Raw_Data!H2984</f>
        <v>2</v>
      </c>
      <c r="I2986" s="3" t="str">
        <f>TRIM([1]Raw_Data!I2984)</f>
        <v>Canada</v>
      </c>
      <c r="J2986" s="3" t="str">
        <f>TRIM([1]Raw_Data!J2984)</f>
        <v>Amazon</v>
      </c>
      <c r="K2986" s="3">
        <f t="shared" si="184"/>
        <v>2023</v>
      </c>
      <c r="L2986" s="6">
        <f t="shared" si="185"/>
        <v>45108</v>
      </c>
      <c r="M2986" s="3" t="str">
        <f t="shared" si="186"/>
        <v>11% to 15%</v>
      </c>
      <c r="N2986" s="3" t="str">
        <f t="shared" si="187"/>
        <v>OK</v>
      </c>
    </row>
    <row r="2987" spans="1:14" x14ac:dyDescent="0.3">
      <c r="A2987" s="2">
        <f>DATE(VALUE(RIGHT(TRIM([1]Raw_Data!A2985),4)),VALUE(MID(TRIM([1]Raw_Data!A2985),4,2)),VALUE(LEFT(TRIM([1]Raw_Data!A2985),2)))</f>
        <v>45138</v>
      </c>
      <c r="B2987" s="3" t="str">
        <f>TRIM([1]Raw_Data!B2985)</f>
        <v>Zinc</v>
      </c>
      <c r="C2987" s="3" t="str">
        <f>TRIM([1]Raw_Data!C2985)</f>
        <v>Mineral</v>
      </c>
      <c r="D2987" s="3">
        <f>[1]Raw_Data!D2985</f>
        <v>166</v>
      </c>
      <c r="E2987" s="4">
        <f>[1]Raw_Data!E2985</f>
        <v>34.840000000000003</v>
      </c>
      <c r="F2987" s="5">
        <f>[1]Raw_Data!F2985</f>
        <v>5783.44</v>
      </c>
      <c r="G2987" s="4">
        <f>[1]Raw_Data!G2985</f>
        <v>0.12</v>
      </c>
      <c r="H2987" s="3">
        <f>[1]Raw_Data!H2985</f>
        <v>2</v>
      </c>
      <c r="I2987" s="3" t="str">
        <f>TRIM([1]Raw_Data!I2985)</f>
        <v>USA</v>
      </c>
      <c r="J2987" s="3" t="str">
        <f>TRIM([1]Raw_Data!J2985)</f>
        <v>Walmart</v>
      </c>
      <c r="K2987" s="3">
        <f t="shared" si="184"/>
        <v>2023</v>
      </c>
      <c r="L2987" s="6">
        <f t="shared" si="185"/>
        <v>45108</v>
      </c>
      <c r="M2987" s="3" t="str">
        <f t="shared" si="186"/>
        <v>11% to 15%</v>
      </c>
      <c r="N2987" s="3" t="str">
        <f t="shared" si="187"/>
        <v>OK</v>
      </c>
    </row>
    <row r="2988" spans="1:14" x14ac:dyDescent="0.3">
      <c r="A2988" s="2">
        <f>DATE(VALUE(RIGHT(TRIM([1]Raw_Data!A2986),4)),VALUE(MID(TRIM([1]Raw_Data!A2986),4,2)),VALUE(LEFT(TRIM([1]Raw_Data!A2986),2)))</f>
        <v>45138</v>
      </c>
      <c r="B2988" s="3" t="str">
        <f>TRIM([1]Raw_Data!B2986)</f>
        <v>Collagen Peptides</v>
      </c>
      <c r="C2988" s="3" t="str">
        <f>TRIM([1]Raw_Data!C2986)</f>
        <v>Protein</v>
      </c>
      <c r="D2988" s="3">
        <f>[1]Raw_Data!D2986</f>
        <v>148</v>
      </c>
      <c r="E2988" s="4">
        <f>[1]Raw_Data!E2986</f>
        <v>10.82</v>
      </c>
      <c r="F2988" s="5">
        <f>[1]Raw_Data!F2986</f>
        <v>1601.36</v>
      </c>
      <c r="G2988" s="4">
        <f>[1]Raw_Data!G2986</f>
        <v>0.04</v>
      </c>
      <c r="H2988" s="3">
        <f>[1]Raw_Data!H2986</f>
        <v>1</v>
      </c>
      <c r="I2988" s="3" t="str">
        <f>TRIM([1]Raw_Data!I2986)</f>
        <v>UK</v>
      </c>
      <c r="J2988" s="3" t="str">
        <f>TRIM([1]Raw_Data!J2986)</f>
        <v>Walmart</v>
      </c>
      <c r="K2988" s="3">
        <f t="shared" si="184"/>
        <v>2023</v>
      </c>
      <c r="L2988" s="6">
        <f t="shared" si="185"/>
        <v>45108</v>
      </c>
      <c r="M2988" s="3" t="str">
        <f t="shared" si="186"/>
        <v>0% to 5%</v>
      </c>
      <c r="N2988" s="3" t="str">
        <f t="shared" si="187"/>
        <v>OK</v>
      </c>
    </row>
    <row r="2989" spans="1:14" x14ac:dyDescent="0.3">
      <c r="A2989" s="2">
        <f>DATE(VALUE(RIGHT(TRIM([1]Raw_Data!A2987),4)),VALUE(MID(TRIM([1]Raw_Data!A2987),4,2)),VALUE(LEFT(TRIM([1]Raw_Data!A2987),2)))</f>
        <v>45138</v>
      </c>
      <c r="B2989" s="3" t="str">
        <f>TRIM([1]Raw_Data!B2987)</f>
        <v>Magnesium</v>
      </c>
      <c r="C2989" s="3" t="str">
        <f>TRIM([1]Raw_Data!C2987)</f>
        <v>Mineral</v>
      </c>
      <c r="D2989" s="3">
        <f>[1]Raw_Data!D2987</f>
        <v>163</v>
      </c>
      <c r="E2989" s="4">
        <f>[1]Raw_Data!E2987</f>
        <v>36.130000000000003</v>
      </c>
      <c r="F2989" s="5">
        <f>[1]Raw_Data!F2987</f>
        <v>5889.19</v>
      </c>
      <c r="G2989" s="4">
        <f>[1]Raw_Data!G2987</f>
        <v>0.09</v>
      </c>
      <c r="H2989" s="3">
        <f>[1]Raw_Data!H2987</f>
        <v>0</v>
      </c>
      <c r="I2989" s="3" t="str">
        <f>TRIM([1]Raw_Data!I2987)</f>
        <v>USA</v>
      </c>
      <c r="J2989" s="3" t="str">
        <f>TRIM([1]Raw_Data!J2987)</f>
        <v>Walmart</v>
      </c>
      <c r="K2989" s="3">
        <f t="shared" si="184"/>
        <v>2023</v>
      </c>
      <c r="L2989" s="6">
        <f t="shared" si="185"/>
        <v>45108</v>
      </c>
      <c r="M2989" s="3" t="str">
        <f t="shared" si="186"/>
        <v>6% to 10%</v>
      </c>
      <c r="N2989" s="3" t="str">
        <f t="shared" si="187"/>
        <v>OK</v>
      </c>
    </row>
    <row r="2990" spans="1:14" x14ac:dyDescent="0.3">
      <c r="A2990" s="2">
        <f>DATE(VALUE(RIGHT(TRIM([1]Raw_Data!A2988),4)),VALUE(MID(TRIM([1]Raw_Data!A2988),4,2)),VALUE(LEFT(TRIM([1]Raw_Data!A2988),2)))</f>
        <v>45138</v>
      </c>
      <c r="B2990" s="3" t="str">
        <f>TRIM([1]Raw_Data!B2988)</f>
        <v>Ashwagandha</v>
      </c>
      <c r="C2990" s="3" t="str">
        <f>TRIM([1]Raw_Data!C2988)</f>
        <v>Herbal</v>
      </c>
      <c r="D2990" s="3">
        <f>[1]Raw_Data!D2988</f>
        <v>129</v>
      </c>
      <c r="E2990" s="4">
        <f>[1]Raw_Data!E2988</f>
        <v>27.38</v>
      </c>
      <c r="F2990" s="5">
        <f>[1]Raw_Data!F2988</f>
        <v>3532.02</v>
      </c>
      <c r="G2990" s="4">
        <f>[1]Raw_Data!G2988</f>
        <v>0.25</v>
      </c>
      <c r="H2990" s="3">
        <f>[1]Raw_Data!H2988</f>
        <v>1</v>
      </c>
      <c r="I2990" s="3" t="str">
        <f>TRIM([1]Raw_Data!I2988)</f>
        <v>UK</v>
      </c>
      <c r="J2990" s="3" t="str">
        <f>TRIM([1]Raw_Data!J2988)</f>
        <v>iHerb</v>
      </c>
      <c r="K2990" s="3">
        <f t="shared" si="184"/>
        <v>2023</v>
      </c>
      <c r="L2990" s="6">
        <f t="shared" si="185"/>
        <v>45108</v>
      </c>
      <c r="M2990" s="3" t="str">
        <f t="shared" si="186"/>
        <v>21% to 25%</v>
      </c>
      <c r="N2990" s="3" t="str">
        <f t="shared" si="187"/>
        <v>OK</v>
      </c>
    </row>
    <row r="2991" spans="1:14" x14ac:dyDescent="0.3">
      <c r="A2991" s="2">
        <f>DATE(VALUE(RIGHT(TRIM([1]Raw_Data!A2989),4)),VALUE(MID(TRIM([1]Raw_Data!A2989),4,2)),VALUE(LEFT(TRIM([1]Raw_Data!A2989),2)))</f>
        <v>45138</v>
      </c>
      <c r="B2991" s="3" t="str">
        <f>TRIM([1]Raw_Data!B2989)</f>
        <v>Melatonin</v>
      </c>
      <c r="C2991" s="3" t="str">
        <f>TRIM([1]Raw_Data!C2989)</f>
        <v>Sleep Aid</v>
      </c>
      <c r="D2991" s="3">
        <f>[1]Raw_Data!D2989</f>
        <v>140</v>
      </c>
      <c r="E2991" s="4">
        <f>[1]Raw_Data!E2989</f>
        <v>51.76</v>
      </c>
      <c r="F2991" s="5">
        <f>[1]Raw_Data!F2989</f>
        <v>7246.4</v>
      </c>
      <c r="G2991" s="4">
        <f>[1]Raw_Data!G2989</f>
        <v>0.05</v>
      </c>
      <c r="H2991" s="3">
        <f>[1]Raw_Data!H2989</f>
        <v>2</v>
      </c>
      <c r="I2991" s="3" t="str">
        <f>TRIM([1]Raw_Data!I2989)</f>
        <v>UK</v>
      </c>
      <c r="J2991" s="3" t="str">
        <f>TRIM([1]Raw_Data!J2989)</f>
        <v>Walmart</v>
      </c>
      <c r="K2991" s="3">
        <f t="shared" si="184"/>
        <v>2023</v>
      </c>
      <c r="L2991" s="6">
        <f t="shared" si="185"/>
        <v>45108</v>
      </c>
      <c r="M2991" s="3" t="str">
        <f t="shared" si="186"/>
        <v>0% to 5%</v>
      </c>
      <c r="N2991" s="3" t="str">
        <f t="shared" si="187"/>
        <v>OK</v>
      </c>
    </row>
    <row r="2992" spans="1:14" x14ac:dyDescent="0.3">
      <c r="A2992" s="2">
        <f>DATE(VALUE(RIGHT(TRIM([1]Raw_Data!A2990),4)),VALUE(MID(TRIM([1]Raw_Data!A2990),4,2)),VALUE(LEFT(TRIM([1]Raw_Data!A2990),2)))</f>
        <v>45138</v>
      </c>
      <c r="B2992" s="3" t="str">
        <f>TRIM([1]Raw_Data!B2990)</f>
        <v>Biotin</v>
      </c>
      <c r="C2992" s="3" t="str">
        <f>TRIM([1]Raw_Data!C2990)</f>
        <v>Vitamin</v>
      </c>
      <c r="D2992" s="3">
        <f>[1]Raw_Data!D2990</f>
        <v>129</v>
      </c>
      <c r="E2992" s="4">
        <f>[1]Raw_Data!E2990</f>
        <v>34.54</v>
      </c>
      <c r="F2992" s="5">
        <f>[1]Raw_Data!F2990</f>
        <v>4455.66</v>
      </c>
      <c r="G2992" s="4">
        <f>[1]Raw_Data!G2990</f>
        <v>0.11</v>
      </c>
      <c r="H2992" s="3">
        <f>[1]Raw_Data!H2990</f>
        <v>4</v>
      </c>
      <c r="I2992" s="3" t="str">
        <f>TRIM([1]Raw_Data!I2990)</f>
        <v>UK</v>
      </c>
      <c r="J2992" s="3" t="str">
        <f>TRIM([1]Raw_Data!J2990)</f>
        <v>iHerb</v>
      </c>
      <c r="K2992" s="3">
        <f t="shared" si="184"/>
        <v>2023</v>
      </c>
      <c r="L2992" s="6">
        <f t="shared" si="185"/>
        <v>45108</v>
      </c>
      <c r="M2992" s="3" t="str">
        <f t="shared" si="186"/>
        <v>11% to 15%</v>
      </c>
      <c r="N2992" s="3" t="str">
        <f t="shared" si="187"/>
        <v>OK</v>
      </c>
    </row>
    <row r="2993" spans="1:14" x14ac:dyDescent="0.3">
      <c r="A2993" s="2">
        <f>DATE(VALUE(RIGHT(TRIM([1]Raw_Data!A2991),4)),VALUE(MID(TRIM([1]Raw_Data!A2991),4,2)),VALUE(LEFT(TRIM([1]Raw_Data!A2991),2)))</f>
        <v>45138</v>
      </c>
      <c r="B2993" s="3" t="str">
        <f>TRIM([1]Raw_Data!B2991)</f>
        <v>Green Tea Extract</v>
      </c>
      <c r="C2993" s="3" t="str">
        <f>TRIM([1]Raw_Data!C2991)</f>
        <v>Fat Burner</v>
      </c>
      <c r="D2993" s="3">
        <f>[1]Raw_Data!D2991</f>
        <v>134</v>
      </c>
      <c r="E2993" s="4">
        <f>[1]Raw_Data!E2991</f>
        <v>36.46</v>
      </c>
      <c r="F2993" s="5">
        <f>[1]Raw_Data!F2991</f>
        <v>4885.6400000000003</v>
      </c>
      <c r="G2993" s="4">
        <f>[1]Raw_Data!G2991</f>
        <v>0.13</v>
      </c>
      <c r="H2993" s="3">
        <f>[1]Raw_Data!H2991</f>
        <v>1</v>
      </c>
      <c r="I2993" s="3" t="str">
        <f>TRIM([1]Raw_Data!I2991)</f>
        <v>Canada</v>
      </c>
      <c r="J2993" s="3" t="str">
        <f>TRIM([1]Raw_Data!J2991)</f>
        <v>Amazon</v>
      </c>
      <c r="K2993" s="3">
        <f t="shared" si="184"/>
        <v>2023</v>
      </c>
      <c r="L2993" s="6">
        <f t="shared" si="185"/>
        <v>45108</v>
      </c>
      <c r="M2993" s="3" t="str">
        <f t="shared" si="186"/>
        <v>11% to 15%</v>
      </c>
      <c r="N2993" s="3" t="str">
        <f t="shared" si="187"/>
        <v>OK</v>
      </c>
    </row>
    <row r="2994" spans="1:14" x14ac:dyDescent="0.3">
      <c r="A2994" s="2">
        <f>DATE(VALUE(RIGHT(TRIM([1]Raw_Data!A2992),4)),VALUE(MID(TRIM([1]Raw_Data!A2992),4,2)),VALUE(LEFT(TRIM([1]Raw_Data!A2992),2)))</f>
        <v>45138</v>
      </c>
      <c r="B2994" s="3" t="str">
        <f>TRIM([1]Raw_Data!B2992)</f>
        <v>Iron Supplement</v>
      </c>
      <c r="C2994" s="3" t="str">
        <f>TRIM([1]Raw_Data!C2992)</f>
        <v>Mineral</v>
      </c>
      <c r="D2994" s="3">
        <f>[1]Raw_Data!D2992</f>
        <v>158</v>
      </c>
      <c r="E2994" s="4">
        <f>[1]Raw_Data!E2992</f>
        <v>38.51</v>
      </c>
      <c r="F2994" s="5">
        <f>[1]Raw_Data!F2992</f>
        <v>6084.58</v>
      </c>
      <c r="G2994" s="4">
        <f>[1]Raw_Data!G2992</f>
        <v>0.14000000000000001</v>
      </c>
      <c r="H2994" s="3">
        <f>[1]Raw_Data!H2992</f>
        <v>2</v>
      </c>
      <c r="I2994" s="3" t="str">
        <f>TRIM([1]Raw_Data!I2992)</f>
        <v>USA</v>
      </c>
      <c r="J2994" s="3" t="str">
        <f>TRIM([1]Raw_Data!J2992)</f>
        <v>iHerb</v>
      </c>
      <c r="K2994" s="3">
        <f t="shared" si="184"/>
        <v>2023</v>
      </c>
      <c r="L2994" s="6">
        <f t="shared" si="185"/>
        <v>45108</v>
      </c>
      <c r="M2994" s="3" t="str">
        <f t="shared" si="186"/>
        <v>11% to 15%</v>
      </c>
      <c r="N2994" s="3" t="str">
        <f t="shared" si="187"/>
        <v>OK</v>
      </c>
    </row>
    <row r="2995" spans="1:14" x14ac:dyDescent="0.3">
      <c r="A2995" s="2">
        <f>DATE(VALUE(RIGHT(TRIM([1]Raw_Data!A2993),4)),VALUE(MID(TRIM([1]Raw_Data!A2993),4,2)),VALUE(LEFT(TRIM([1]Raw_Data!A2993),2)))</f>
        <v>45138</v>
      </c>
      <c r="B2995" s="3" t="str">
        <f>TRIM([1]Raw_Data!B2993)</f>
        <v>Electrolyte Powder</v>
      </c>
      <c r="C2995" s="3" t="str">
        <f>TRIM([1]Raw_Data!C2993)</f>
        <v>Hydration</v>
      </c>
      <c r="D2995" s="3">
        <f>[1]Raw_Data!D2993</f>
        <v>130</v>
      </c>
      <c r="E2995" s="4">
        <f>[1]Raw_Data!E2993</f>
        <v>24.04</v>
      </c>
      <c r="F2995" s="5">
        <f>[1]Raw_Data!F2993</f>
        <v>3125.2</v>
      </c>
      <c r="G2995" s="4">
        <f>[1]Raw_Data!G2993</f>
        <v>0.13</v>
      </c>
      <c r="H2995" s="3">
        <f>[1]Raw_Data!H2993</f>
        <v>2</v>
      </c>
      <c r="I2995" s="3" t="str">
        <f>TRIM([1]Raw_Data!I2993)</f>
        <v>Canada</v>
      </c>
      <c r="J2995" s="3" t="str">
        <f>TRIM([1]Raw_Data!J2993)</f>
        <v>Amazon</v>
      </c>
      <c r="K2995" s="3">
        <f t="shared" si="184"/>
        <v>2023</v>
      </c>
      <c r="L2995" s="6">
        <f t="shared" si="185"/>
        <v>45108</v>
      </c>
      <c r="M2995" s="3" t="str">
        <f t="shared" si="186"/>
        <v>11% to 15%</v>
      </c>
      <c r="N2995" s="3" t="str">
        <f t="shared" si="187"/>
        <v>OK</v>
      </c>
    </row>
    <row r="2996" spans="1:14" x14ac:dyDescent="0.3">
      <c r="A2996" s="2">
        <f>DATE(VALUE(RIGHT(TRIM([1]Raw_Data!A2994),4)),VALUE(MID(TRIM([1]Raw_Data!A2994),4,2)),VALUE(LEFT(TRIM([1]Raw_Data!A2994),2)))</f>
        <v>45145</v>
      </c>
      <c r="B2996" s="3" t="str">
        <f>TRIM([1]Raw_Data!B2994)</f>
        <v>Whey Protein</v>
      </c>
      <c r="C2996" s="3" t="str">
        <f>TRIM([1]Raw_Data!C2994)</f>
        <v>Protein</v>
      </c>
      <c r="D2996" s="3">
        <f>[1]Raw_Data!D2994</f>
        <v>158</v>
      </c>
      <c r="E2996" s="4">
        <f>[1]Raw_Data!E2994</f>
        <v>39.56</v>
      </c>
      <c r="F2996" s="5">
        <f>[1]Raw_Data!F2994</f>
        <v>6250.48</v>
      </c>
      <c r="G2996" s="4">
        <f>[1]Raw_Data!G2994</f>
        <v>0.24</v>
      </c>
      <c r="H2996" s="3">
        <f>[1]Raw_Data!H2994</f>
        <v>0</v>
      </c>
      <c r="I2996" s="3" t="str">
        <f>TRIM([1]Raw_Data!I2994)</f>
        <v>USA</v>
      </c>
      <c r="J2996" s="3" t="str">
        <f>TRIM([1]Raw_Data!J2994)</f>
        <v>Walmart</v>
      </c>
      <c r="K2996" s="3">
        <f t="shared" si="184"/>
        <v>2023</v>
      </c>
      <c r="L2996" s="6">
        <f t="shared" si="185"/>
        <v>45139</v>
      </c>
      <c r="M2996" s="3" t="str">
        <f t="shared" si="186"/>
        <v>21% to 25%</v>
      </c>
      <c r="N2996" s="3" t="str">
        <f t="shared" si="187"/>
        <v>OK</v>
      </c>
    </row>
    <row r="2997" spans="1:14" x14ac:dyDescent="0.3">
      <c r="A2997" s="2">
        <f>DATE(VALUE(RIGHT(TRIM([1]Raw_Data!A2995),4)),VALUE(MID(TRIM([1]Raw_Data!A2995),4,2)),VALUE(LEFT(TRIM([1]Raw_Data!A2995),2)))</f>
        <v>45145</v>
      </c>
      <c r="B2997" s="3" t="str">
        <f>TRIM([1]Raw_Data!B2995)</f>
        <v>Vitamin C</v>
      </c>
      <c r="C2997" s="3" t="str">
        <f>TRIM([1]Raw_Data!C2995)</f>
        <v>Vitamin</v>
      </c>
      <c r="D2997" s="3">
        <f>[1]Raw_Data!D2995</f>
        <v>165</v>
      </c>
      <c r="E2997" s="4">
        <f>[1]Raw_Data!E2995</f>
        <v>48.7</v>
      </c>
      <c r="F2997" s="5">
        <f>[1]Raw_Data!F2995</f>
        <v>8035.5</v>
      </c>
      <c r="G2997" s="4">
        <f>[1]Raw_Data!G2995</f>
        <v>7.0000000000000007E-2</v>
      </c>
      <c r="H2997" s="3">
        <f>[1]Raw_Data!H2995</f>
        <v>1</v>
      </c>
      <c r="I2997" s="3" t="str">
        <f>TRIM([1]Raw_Data!I2995)</f>
        <v>Canada</v>
      </c>
      <c r="J2997" s="3" t="str">
        <f>TRIM([1]Raw_Data!J2995)</f>
        <v>Amazon</v>
      </c>
      <c r="K2997" s="3">
        <f t="shared" si="184"/>
        <v>2023</v>
      </c>
      <c r="L2997" s="6">
        <f t="shared" si="185"/>
        <v>45139</v>
      </c>
      <c r="M2997" s="3" t="str">
        <f t="shared" si="186"/>
        <v>6% to 10%</v>
      </c>
      <c r="N2997" s="3" t="str">
        <f t="shared" si="187"/>
        <v>OK</v>
      </c>
    </row>
    <row r="2998" spans="1:14" x14ac:dyDescent="0.3">
      <c r="A2998" s="2">
        <f>DATE(VALUE(RIGHT(TRIM([1]Raw_Data!A2996),4)),VALUE(MID(TRIM([1]Raw_Data!A2996),4,2)),VALUE(LEFT(TRIM([1]Raw_Data!A2996),2)))</f>
        <v>45145</v>
      </c>
      <c r="B2998" s="3" t="str">
        <f>TRIM([1]Raw_Data!B2996)</f>
        <v>Fish Oil</v>
      </c>
      <c r="C2998" s="3" t="str">
        <f>TRIM([1]Raw_Data!C2996)</f>
        <v>Omega</v>
      </c>
      <c r="D2998" s="3">
        <f>[1]Raw_Data!D2996</f>
        <v>169</v>
      </c>
      <c r="E2998" s="4">
        <f>[1]Raw_Data!E2996</f>
        <v>13.15</v>
      </c>
      <c r="F2998" s="5">
        <f>[1]Raw_Data!F2996</f>
        <v>2222.35</v>
      </c>
      <c r="G2998" s="4">
        <f>[1]Raw_Data!G2996</f>
        <v>0.15</v>
      </c>
      <c r="H2998" s="3">
        <f>[1]Raw_Data!H2996</f>
        <v>0</v>
      </c>
      <c r="I2998" s="3" t="str">
        <f>TRIM([1]Raw_Data!I2996)</f>
        <v>UK</v>
      </c>
      <c r="J2998" s="3" t="str">
        <f>TRIM([1]Raw_Data!J2996)</f>
        <v>Amazon</v>
      </c>
      <c r="K2998" s="3">
        <f t="shared" si="184"/>
        <v>2023</v>
      </c>
      <c r="L2998" s="6">
        <f t="shared" si="185"/>
        <v>45139</v>
      </c>
      <c r="M2998" s="3" t="str">
        <f t="shared" si="186"/>
        <v>11% to 15%</v>
      </c>
      <c r="N2998" s="3" t="str">
        <f t="shared" si="187"/>
        <v>OK</v>
      </c>
    </row>
    <row r="2999" spans="1:14" x14ac:dyDescent="0.3">
      <c r="A2999" s="2">
        <f>DATE(VALUE(RIGHT(TRIM([1]Raw_Data!A2997),4)),VALUE(MID(TRIM([1]Raw_Data!A2997),4,2)),VALUE(LEFT(TRIM([1]Raw_Data!A2997),2)))</f>
        <v>45145</v>
      </c>
      <c r="B2999" s="3" t="str">
        <f>TRIM([1]Raw_Data!B2997)</f>
        <v>Multivitamin</v>
      </c>
      <c r="C2999" s="3" t="str">
        <f>TRIM([1]Raw_Data!C2997)</f>
        <v>Vitamin</v>
      </c>
      <c r="D2999" s="3">
        <f>[1]Raw_Data!D2997</f>
        <v>162</v>
      </c>
      <c r="E2999" s="4">
        <f>[1]Raw_Data!E2997</f>
        <v>53.74</v>
      </c>
      <c r="F2999" s="5">
        <f>[1]Raw_Data!F2997</f>
        <v>8705.8799999999992</v>
      </c>
      <c r="G2999" s="4">
        <f>[1]Raw_Data!G2997</f>
        <v>0.2</v>
      </c>
      <c r="H2999" s="3">
        <f>[1]Raw_Data!H2997</f>
        <v>0</v>
      </c>
      <c r="I2999" s="3" t="str">
        <f>TRIM([1]Raw_Data!I2997)</f>
        <v>UK</v>
      </c>
      <c r="J2999" s="3" t="str">
        <f>TRIM([1]Raw_Data!J2997)</f>
        <v>Walmart</v>
      </c>
      <c r="K2999" s="3">
        <f t="shared" si="184"/>
        <v>2023</v>
      </c>
      <c r="L2999" s="6">
        <f t="shared" si="185"/>
        <v>45139</v>
      </c>
      <c r="M2999" s="3" t="str">
        <f t="shared" si="186"/>
        <v>16% to 20%</v>
      </c>
      <c r="N2999" s="3" t="str">
        <f t="shared" si="187"/>
        <v>OK</v>
      </c>
    </row>
    <row r="3000" spans="1:14" x14ac:dyDescent="0.3">
      <c r="A3000" s="2">
        <f>DATE(VALUE(RIGHT(TRIM([1]Raw_Data!A2998),4)),VALUE(MID(TRIM([1]Raw_Data!A2998),4,2)),VALUE(LEFT(TRIM([1]Raw_Data!A2998),2)))</f>
        <v>45145</v>
      </c>
      <c r="B3000" s="3" t="str">
        <f>TRIM([1]Raw_Data!B2998)</f>
        <v>Pre-Workout</v>
      </c>
      <c r="C3000" s="3" t="str">
        <f>TRIM([1]Raw_Data!C2998)</f>
        <v>Performance</v>
      </c>
      <c r="D3000" s="3">
        <f>[1]Raw_Data!D2998</f>
        <v>146</v>
      </c>
      <c r="E3000" s="4">
        <f>[1]Raw_Data!E2998</f>
        <v>30.87</v>
      </c>
      <c r="F3000" s="5">
        <f>[1]Raw_Data!F2998</f>
        <v>4507.0200000000004</v>
      </c>
      <c r="G3000" s="4">
        <f>[1]Raw_Data!G2998</f>
        <v>0.24</v>
      </c>
      <c r="H3000" s="3">
        <f>[1]Raw_Data!H2998</f>
        <v>2</v>
      </c>
      <c r="I3000" s="3" t="str">
        <f>TRIM([1]Raw_Data!I2998)</f>
        <v>Canada</v>
      </c>
      <c r="J3000" s="3" t="str">
        <f>TRIM([1]Raw_Data!J2998)</f>
        <v>iHerb</v>
      </c>
      <c r="K3000" s="3">
        <f t="shared" si="184"/>
        <v>2023</v>
      </c>
      <c r="L3000" s="6">
        <f t="shared" si="185"/>
        <v>45139</v>
      </c>
      <c r="M3000" s="3" t="str">
        <f t="shared" si="186"/>
        <v>21% to 25%</v>
      </c>
      <c r="N3000" s="3" t="str">
        <f t="shared" si="187"/>
        <v>OK</v>
      </c>
    </row>
    <row r="3001" spans="1:14" x14ac:dyDescent="0.3">
      <c r="A3001" s="2">
        <f>DATE(VALUE(RIGHT(TRIM([1]Raw_Data!A2999),4)),VALUE(MID(TRIM([1]Raw_Data!A2999),4,2)),VALUE(LEFT(TRIM([1]Raw_Data!A2999),2)))</f>
        <v>45145</v>
      </c>
      <c r="B3001" s="3" t="str">
        <f>TRIM([1]Raw_Data!B2999)</f>
        <v>BCAA</v>
      </c>
      <c r="C3001" s="3" t="str">
        <f>TRIM([1]Raw_Data!C2999)</f>
        <v>Amino Acid</v>
      </c>
      <c r="D3001" s="3">
        <f>[1]Raw_Data!D2999</f>
        <v>131</v>
      </c>
      <c r="E3001" s="4">
        <f>[1]Raw_Data!E2999</f>
        <v>46.72</v>
      </c>
      <c r="F3001" s="5">
        <f>[1]Raw_Data!F2999</f>
        <v>6120.32</v>
      </c>
      <c r="G3001" s="4">
        <f>[1]Raw_Data!G2999</f>
        <v>0.22</v>
      </c>
      <c r="H3001" s="3">
        <f>[1]Raw_Data!H2999</f>
        <v>1</v>
      </c>
      <c r="I3001" s="3" t="str">
        <f>TRIM([1]Raw_Data!I2999)</f>
        <v>USA</v>
      </c>
      <c r="J3001" s="3" t="str">
        <f>TRIM([1]Raw_Data!J2999)</f>
        <v>Amazon</v>
      </c>
      <c r="K3001" s="3">
        <f t="shared" si="184"/>
        <v>2023</v>
      </c>
      <c r="L3001" s="6">
        <f t="shared" si="185"/>
        <v>45139</v>
      </c>
      <c r="M3001" s="3" t="str">
        <f t="shared" si="186"/>
        <v>21% to 25%</v>
      </c>
      <c r="N3001" s="3" t="str">
        <f t="shared" si="187"/>
        <v>OK</v>
      </c>
    </row>
    <row r="3002" spans="1:14" x14ac:dyDescent="0.3">
      <c r="A3002" s="2">
        <f>DATE(VALUE(RIGHT(TRIM([1]Raw_Data!A3000),4)),VALUE(MID(TRIM([1]Raw_Data!A3000),4,2)),VALUE(LEFT(TRIM([1]Raw_Data!A3000),2)))</f>
        <v>45145</v>
      </c>
      <c r="B3002" s="3" t="str">
        <f>TRIM([1]Raw_Data!B3000)</f>
        <v>Creatine</v>
      </c>
      <c r="C3002" s="3" t="str">
        <f>TRIM([1]Raw_Data!C3000)</f>
        <v>Performance</v>
      </c>
      <c r="D3002" s="3">
        <f>[1]Raw_Data!D3000</f>
        <v>142</v>
      </c>
      <c r="E3002" s="4">
        <f>[1]Raw_Data!E3000</f>
        <v>27.14</v>
      </c>
      <c r="F3002" s="5">
        <f>[1]Raw_Data!F3000</f>
        <v>3853.88</v>
      </c>
      <c r="G3002" s="4">
        <f>[1]Raw_Data!G3000</f>
        <v>0.08</v>
      </c>
      <c r="H3002" s="3">
        <f>[1]Raw_Data!H3000</f>
        <v>1</v>
      </c>
      <c r="I3002" s="3" t="str">
        <f>TRIM([1]Raw_Data!I3000)</f>
        <v>UK</v>
      </c>
      <c r="J3002" s="3" t="str">
        <f>TRIM([1]Raw_Data!J3000)</f>
        <v>iHerb</v>
      </c>
      <c r="K3002" s="3">
        <f t="shared" si="184"/>
        <v>2023</v>
      </c>
      <c r="L3002" s="6">
        <f t="shared" si="185"/>
        <v>45139</v>
      </c>
      <c r="M3002" s="3" t="str">
        <f t="shared" si="186"/>
        <v>6% to 10%</v>
      </c>
      <c r="N3002" s="3" t="str">
        <f t="shared" si="187"/>
        <v>OK</v>
      </c>
    </row>
    <row r="3003" spans="1:14" x14ac:dyDescent="0.3">
      <c r="A3003" s="2">
        <f>DATE(VALUE(RIGHT(TRIM([1]Raw_Data!A3001),4)),VALUE(MID(TRIM([1]Raw_Data!A3001),4,2)),VALUE(LEFT(TRIM([1]Raw_Data!A3001),2)))</f>
        <v>45145</v>
      </c>
      <c r="B3003" s="3" t="str">
        <f>TRIM([1]Raw_Data!B3001)</f>
        <v>Zinc</v>
      </c>
      <c r="C3003" s="3" t="str">
        <f>TRIM([1]Raw_Data!C3001)</f>
        <v>Mineral</v>
      </c>
      <c r="D3003" s="3">
        <f>[1]Raw_Data!D3001</f>
        <v>154</v>
      </c>
      <c r="E3003" s="4">
        <f>[1]Raw_Data!E3001</f>
        <v>25.35</v>
      </c>
      <c r="F3003" s="5">
        <f>[1]Raw_Data!F3001</f>
        <v>3903.9</v>
      </c>
      <c r="G3003" s="4">
        <f>[1]Raw_Data!G3001</f>
        <v>0.05</v>
      </c>
      <c r="H3003" s="3">
        <f>[1]Raw_Data!H3001</f>
        <v>3</v>
      </c>
      <c r="I3003" s="3" t="str">
        <f>TRIM([1]Raw_Data!I3001)</f>
        <v>UK</v>
      </c>
      <c r="J3003" s="3" t="str">
        <f>TRIM([1]Raw_Data!J3001)</f>
        <v>Amazon</v>
      </c>
      <c r="K3003" s="3">
        <f t="shared" si="184"/>
        <v>2023</v>
      </c>
      <c r="L3003" s="6">
        <f t="shared" si="185"/>
        <v>45139</v>
      </c>
      <c r="M3003" s="3" t="str">
        <f t="shared" si="186"/>
        <v>0% to 5%</v>
      </c>
      <c r="N3003" s="3" t="str">
        <f t="shared" si="187"/>
        <v>OK</v>
      </c>
    </row>
    <row r="3004" spans="1:14" x14ac:dyDescent="0.3">
      <c r="A3004" s="2">
        <f>DATE(VALUE(RIGHT(TRIM([1]Raw_Data!A3002),4)),VALUE(MID(TRIM([1]Raw_Data!A3002),4,2)),VALUE(LEFT(TRIM([1]Raw_Data!A3002),2)))</f>
        <v>45145</v>
      </c>
      <c r="B3004" s="3" t="str">
        <f>TRIM([1]Raw_Data!B3002)</f>
        <v>Collagen Peptides</v>
      </c>
      <c r="C3004" s="3" t="str">
        <f>TRIM([1]Raw_Data!C3002)</f>
        <v>Protein</v>
      </c>
      <c r="D3004" s="3">
        <f>[1]Raw_Data!D3002</f>
        <v>136</v>
      </c>
      <c r="E3004" s="4">
        <f>[1]Raw_Data!E3002</f>
        <v>37.07</v>
      </c>
      <c r="F3004" s="5">
        <f>[1]Raw_Data!F3002</f>
        <v>5041.5200000000004</v>
      </c>
      <c r="G3004" s="4">
        <f>[1]Raw_Data!G3002</f>
        <v>0.15</v>
      </c>
      <c r="H3004" s="3">
        <f>[1]Raw_Data!H3002</f>
        <v>1</v>
      </c>
      <c r="I3004" s="3" t="str">
        <f>TRIM([1]Raw_Data!I3002)</f>
        <v>USA</v>
      </c>
      <c r="J3004" s="3" t="str">
        <f>TRIM([1]Raw_Data!J3002)</f>
        <v>Amazon</v>
      </c>
      <c r="K3004" s="3">
        <f t="shared" si="184"/>
        <v>2023</v>
      </c>
      <c r="L3004" s="6">
        <f t="shared" si="185"/>
        <v>45139</v>
      </c>
      <c r="M3004" s="3" t="str">
        <f t="shared" si="186"/>
        <v>11% to 15%</v>
      </c>
      <c r="N3004" s="3" t="str">
        <f t="shared" si="187"/>
        <v>OK</v>
      </c>
    </row>
    <row r="3005" spans="1:14" x14ac:dyDescent="0.3">
      <c r="A3005" s="2">
        <f>DATE(VALUE(RIGHT(TRIM([1]Raw_Data!A3003),4)),VALUE(MID(TRIM([1]Raw_Data!A3003),4,2)),VALUE(LEFT(TRIM([1]Raw_Data!A3003),2)))</f>
        <v>45145</v>
      </c>
      <c r="B3005" s="3" t="str">
        <f>TRIM([1]Raw_Data!B3003)</f>
        <v>Magnesium</v>
      </c>
      <c r="C3005" s="3" t="str">
        <f>TRIM([1]Raw_Data!C3003)</f>
        <v>Mineral</v>
      </c>
      <c r="D3005" s="3">
        <f>[1]Raw_Data!D3003</f>
        <v>153</v>
      </c>
      <c r="E3005" s="4">
        <f>[1]Raw_Data!E3003</f>
        <v>33.979999999999997</v>
      </c>
      <c r="F3005" s="5">
        <f>[1]Raw_Data!F3003</f>
        <v>5198.9399999999996</v>
      </c>
      <c r="G3005" s="4">
        <f>[1]Raw_Data!G3003</f>
        <v>0.16</v>
      </c>
      <c r="H3005" s="3">
        <f>[1]Raw_Data!H3003</f>
        <v>1</v>
      </c>
      <c r="I3005" s="3" t="str">
        <f>TRIM([1]Raw_Data!I3003)</f>
        <v>UK</v>
      </c>
      <c r="J3005" s="3" t="str">
        <f>TRIM([1]Raw_Data!J3003)</f>
        <v>iHerb</v>
      </c>
      <c r="K3005" s="3">
        <f t="shared" si="184"/>
        <v>2023</v>
      </c>
      <c r="L3005" s="6">
        <f t="shared" si="185"/>
        <v>45139</v>
      </c>
      <c r="M3005" s="3" t="str">
        <f t="shared" si="186"/>
        <v>16% to 20%</v>
      </c>
      <c r="N3005" s="3" t="str">
        <f t="shared" si="187"/>
        <v>OK</v>
      </c>
    </row>
    <row r="3006" spans="1:14" x14ac:dyDescent="0.3">
      <c r="A3006" s="2">
        <f>DATE(VALUE(RIGHT(TRIM([1]Raw_Data!A3004),4)),VALUE(MID(TRIM([1]Raw_Data!A3004),4,2)),VALUE(LEFT(TRIM([1]Raw_Data!A3004),2)))</f>
        <v>45145</v>
      </c>
      <c r="B3006" s="3" t="str">
        <f>TRIM([1]Raw_Data!B3004)</f>
        <v>Ashwagandha</v>
      </c>
      <c r="C3006" s="3" t="str">
        <f>TRIM([1]Raw_Data!C3004)</f>
        <v>Herbal</v>
      </c>
      <c r="D3006" s="3">
        <f>[1]Raw_Data!D3004</f>
        <v>156</v>
      </c>
      <c r="E3006" s="4">
        <f>[1]Raw_Data!E3004</f>
        <v>26.68</v>
      </c>
      <c r="F3006" s="5">
        <f>[1]Raw_Data!F3004</f>
        <v>4162.08</v>
      </c>
      <c r="G3006" s="4">
        <f>[1]Raw_Data!G3004</f>
        <v>0.08</v>
      </c>
      <c r="H3006" s="3">
        <f>[1]Raw_Data!H3004</f>
        <v>1</v>
      </c>
      <c r="I3006" s="3" t="str">
        <f>TRIM([1]Raw_Data!I3004)</f>
        <v>UK</v>
      </c>
      <c r="J3006" s="3" t="str">
        <f>TRIM([1]Raw_Data!J3004)</f>
        <v>Amazon</v>
      </c>
      <c r="K3006" s="3">
        <f t="shared" si="184"/>
        <v>2023</v>
      </c>
      <c r="L3006" s="6">
        <f t="shared" si="185"/>
        <v>45139</v>
      </c>
      <c r="M3006" s="3" t="str">
        <f t="shared" si="186"/>
        <v>6% to 10%</v>
      </c>
      <c r="N3006" s="3" t="str">
        <f t="shared" si="187"/>
        <v>OK</v>
      </c>
    </row>
    <row r="3007" spans="1:14" x14ac:dyDescent="0.3">
      <c r="A3007" s="2">
        <f>DATE(VALUE(RIGHT(TRIM([1]Raw_Data!A3005),4)),VALUE(MID(TRIM([1]Raw_Data!A3005),4,2)),VALUE(LEFT(TRIM([1]Raw_Data!A3005),2)))</f>
        <v>45145</v>
      </c>
      <c r="B3007" s="3" t="str">
        <f>TRIM([1]Raw_Data!B3005)</f>
        <v>Melatonin</v>
      </c>
      <c r="C3007" s="3" t="str">
        <f>TRIM([1]Raw_Data!C3005)</f>
        <v>Sleep Aid</v>
      </c>
      <c r="D3007" s="3">
        <f>[1]Raw_Data!D3005</f>
        <v>164</v>
      </c>
      <c r="E3007" s="4">
        <f>[1]Raw_Data!E3005</f>
        <v>12.3</v>
      </c>
      <c r="F3007" s="5">
        <f>[1]Raw_Data!F3005</f>
        <v>2017.2</v>
      </c>
      <c r="G3007" s="4">
        <f>[1]Raw_Data!G3005</f>
        <v>0.25</v>
      </c>
      <c r="H3007" s="3">
        <f>[1]Raw_Data!H3005</f>
        <v>1</v>
      </c>
      <c r="I3007" s="3" t="str">
        <f>TRIM([1]Raw_Data!I3005)</f>
        <v>USA</v>
      </c>
      <c r="J3007" s="3" t="str">
        <f>TRIM([1]Raw_Data!J3005)</f>
        <v>iHerb</v>
      </c>
      <c r="K3007" s="3">
        <f t="shared" si="184"/>
        <v>2023</v>
      </c>
      <c r="L3007" s="6">
        <f t="shared" si="185"/>
        <v>45139</v>
      </c>
      <c r="M3007" s="3" t="str">
        <f t="shared" si="186"/>
        <v>21% to 25%</v>
      </c>
      <c r="N3007" s="3" t="str">
        <f t="shared" si="187"/>
        <v>OK</v>
      </c>
    </row>
    <row r="3008" spans="1:14" x14ac:dyDescent="0.3">
      <c r="A3008" s="2">
        <f>DATE(VALUE(RIGHT(TRIM([1]Raw_Data!A3006),4)),VALUE(MID(TRIM([1]Raw_Data!A3006),4,2)),VALUE(LEFT(TRIM([1]Raw_Data!A3006),2)))</f>
        <v>45145</v>
      </c>
      <c r="B3008" s="3" t="str">
        <f>TRIM([1]Raw_Data!B3006)</f>
        <v>Biotin</v>
      </c>
      <c r="C3008" s="3" t="str">
        <f>TRIM([1]Raw_Data!C3006)</f>
        <v>Vitamin</v>
      </c>
      <c r="D3008" s="3">
        <f>[1]Raw_Data!D3006</f>
        <v>134</v>
      </c>
      <c r="E3008" s="4">
        <f>[1]Raw_Data!E3006</f>
        <v>46.93</v>
      </c>
      <c r="F3008" s="5">
        <f>[1]Raw_Data!F3006</f>
        <v>6288.62</v>
      </c>
      <c r="G3008" s="4">
        <f>[1]Raw_Data!G3006</f>
        <v>7.0000000000000007E-2</v>
      </c>
      <c r="H3008" s="3">
        <f>[1]Raw_Data!H3006</f>
        <v>1</v>
      </c>
      <c r="I3008" s="3" t="str">
        <f>TRIM([1]Raw_Data!I3006)</f>
        <v>Canada</v>
      </c>
      <c r="J3008" s="3" t="str">
        <f>TRIM([1]Raw_Data!J3006)</f>
        <v>iHerb</v>
      </c>
      <c r="K3008" s="3">
        <f t="shared" si="184"/>
        <v>2023</v>
      </c>
      <c r="L3008" s="6">
        <f t="shared" si="185"/>
        <v>45139</v>
      </c>
      <c r="M3008" s="3" t="str">
        <f t="shared" si="186"/>
        <v>6% to 10%</v>
      </c>
      <c r="N3008" s="3" t="str">
        <f t="shared" si="187"/>
        <v>OK</v>
      </c>
    </row>
    <row r="3009" spans="1:14" x14ac:dyDescent="0.3">
      <c r="A3009" s="2">
        <f>DATE(VALUE(RIGHT(TRIM([1]Raw_Data!A3007),4)),VALUE(MID(TRIM([1]Raw_Data!A3007),4,2)),VALUE(LEFT(TRIM([1]Raw_Data!A3007),2)))</f>
        <v>45145</v>
      </c>
      <c r="B3009" s="3" t="str">
        <f>TRIM([1]Raw_Data!B3007)</f>
        <v>Green Tea Extract</v>
      </c>
      <c r="C3009" s="3" t="str">
        <f>TRIM([1]Raw_Data!C3007)</f>
        <v>Fat Burner</v>
      </c>
      <c r="D3009" s="3">
        <f>[1]Raw_Data!D3007</f>
        <v>147</v>
      </c>
      <c r="E3009" s="4">
        <f>[1]Raw_Data!E3007</f>
        <v>26.51</v>
      </c>
      <c r="F3009" s="5">
        <f>[1]Raw_Data!F3007</f>
        <v>3896.97</v>
      </c>
      <c r="G3009" s="4">
        <f>[1]Raw_Data!G3007</f>
        <v>0.18</v>
      </c>
      <c r="H3009" s="3">
        <f>[1]Raw_Data!H3007</f>
        <v>2</v>
      </c>
      <c r="I3009" s="3" t="str">
        <f>TRIM([1]Raw_Data!I3007)</f>
        <v>Canada</v>
      </c>
      <c r="J3009" s="3" t="str">
        <f>TRIM([1]Raw_Data!J3007)</f>
        <v>Walmart</v>
      </c>
      <c r="K3009" s="3">
        <f t="shared" si="184"/>
        <v>2023</v>
      </c>
      <c r="L3009" s="6">
        <f t="shared" si="185"/>
        <v>45139</v>
      </c>
      <c r="M3009" s="3" t="str">
        <f t="shared" si="186"/>
        <v>16% to 20%</v>
      </c>
      <c r="N3009" s="3" t="str">
        <f t="shared" si="187"/>
        <v>OK</v>
      </c>
    </row>
    <row r="3010" spans="1:14" x14ac:dyDescent="0.3">
      <c r="A3010" s="2">
        <f>DATE(VALUE(RIGHT(TRIM([1]Raw_Data!A3008),4)),VALUE(MID(TRIM([1]Raw_Data!A3008),4,2)),VALUE(LEFT(TRIM([1]Raw_Data!A3008),2)))</f>
        <v>45145</v>
      </c>
      <c r="B3010" s="3" t="str">
        <f>TRIM([1]Raw_Data!B3008)</f>
        <v>Iron Supplement</v>
      </c>
      <c r="C3010" s="3" t="str">
        <f>TRIM([1]Raw_Data!C3008)</f>
        <v>Mineral</v>
      </c>
      <c r="D3010" s="3">
        <f>[1]Raw_Data!D3008</f>
        <v>133</v>
      </c>
      <c r="E3010" s="4">
        <f>[1]Raw_Data!E3008</f>
        <v>42.04</v>
      </c>
      <c r="F3010" s="5">
        <f>[1]Raw_Data!F3008</f>
        <v>5591.32</v>
      </c>
      <c r="G3010" s="4">
        <f>[1]Raw_Data!G3008</f>
        <v>0.2</v>
      </c>
      <c r="H3010" s="3">
        <f>[1]Raw_Data!H3008</f>
        <v>1</v>
      </c>
      <c r="I3010" s="3" t="str">
        <f>TRIM([1]Raw_Data!I3008)</f>
        <v>USA</v>
      </c>
      <c r="J3010" s="3" t="str">
        <f>TRIM([1]Raw_Data!J3008)</f>
        <v>Amazon</v>
      </c>
      <c r="K3010" s="3">
        <f t="shared" si="184"/>
        <v>2023</v>
      </c>
      <c r="L3010" s="6">
        <f t="shared" si="185"/>
        <v>45139</v>
      </c>
      <c r="M3010" s="3" t="str">
        <f t="shared" si="186"/>
        <v>16% to 20%</v>
      </c>
      <c r="N3010" s="3" t="str">
        <f t="shared" si="187"/>
        <v>OK</v>
      </c>
    </row>
    <row r="3011" spans="1:14" x14ac:dyDescent="0.3">
      <c r="A3011" s="2">
        <f>DATE(VALUE(RIGHT(TRIM([1]Raw_Data!A3009),4)),VALUE(MID(TRIM([1]Raw_Data!A3009),4,2)),VALUE(LEFT(TRIM([1]Raw_Data!A3009),2)))</f>
        <v>45145</v>
      </c>
      <c r="B3011" s="3" t="str">
        <f>TRIM([1]Raw_Data!B3009)</f>
        <v>Electrolyte Powder</v>
      </c>
      <c r="C3011" s="3" t="str">
        <f>TRIM([1]Raw_Data!C3009)</f>
        <v>Hydration</v>
      </c>
      <c r="D3011" s="3">
        <f>[1]Raw_Data!D3009</f>
        <v>153</v>
      </c>
      <c r="E3011" s="4">
        <f>[1]Raw_Data!E3009</f>
        <v>25.57</v>
      </c>
      <c r="F3011" s="5">
        <f>[1]Raw_Data!F3009</f>
        <v>3912.21</v>
      </c>
      <c r="G3011" s="4">
        <f>[1]Raw_Data!G3009</f>
        <v>0.01</v>
      </c>
      <c r="H3011" s="3">
        <f>[1]Raw_Data!H3009</f>
        <v>2</v>
      </c>
      <c r="I3011" s="3" t="str">
        <f>TRIM([1]Raw_Data!I3009)</f>
        <v>UK</v>
      </c>
      <c r="J3011" s="3" t="str">
        <f>TRIM([1]Raw_Data!J3009)</f>
        <v>Amazon</v>
      </c>
      <c r="K3011" s="3">
        <f t="shared" si="184"/>
        <v>2023</v>
      </c>
      <c r="L3011" s="6">
        <f t="shared" si="185"/>
        <v>45139</v>
      </c>
      <c r="M3011" s="3" t="str">
        <f t="shared" si="186"/>
        <v>0% to 5%</v>
      </c>
      <c r="N3011" s="3" t="str">
        <f t="shared" si="187"/>
        <v>OK</v>
      </c>
    </row>
    <row r="3012" spans="1:14" x14ac:dyDescent="0.3">
      <c r="A3012" s="2">
        <f>DATE(VALUE(RIGHT(TRIM([1]Raw_Data!A3010),4)),VALUE(MID(TRIM([1]Raw_Data!A3010),4,2)),VALUE(LEFT(TRIM([1]Raw_Data!A3010),2)))</f>
        <v>45152</v>
      </c>
      <c r="B3012" s="3" t="str">
        <f>TRIM([1]Raw_Data!B3010)</f>
        <v>Whey Protein</v>
      </c>
      <c r="C3012" s="3" t="str">
        <f>TRIM([1]Raw_Data!C3010)</f>
        <v>Protein</v>
      </c>
      <c r="D3012" s="3">
        <f>[1]Raw_Data!D3010</f>
        <v>146</v>
      </c>
      <c r="E3012" s="4">
        <f>[1]Raw_Data!E3010</f>
        <v>45.42</v>
      </c>
      <c r="F3012" s="5">
        <f>[1]Raw_Data!F3010</f>
        <v>6631.32</v>
      </c>
      <c r="G3012" s="4">
        <f>[1]Raw_Data!G3010</f>
        <v>0.21</v>
      </c>
      <c r="H3012" s="3">
        <f>[1]Raw_Data!H3010</f>
        <v>1</v>
      </c>
      <c r="I3012" s="3" t="str">
        <f>TRIM([1]Raw_Data!I3010)</f>
        <v>Canada</v>
      </c>
      <c r="J3012" s="3" t="str">
        <f>TRIM([1]Raw_Data!J3010)</f>
        <v>Walmart</v>
      </c>
      <c r="K3012" s="3">
        <f t="shared" ref="K3012:K3075" si="188">YEAR(A3012)</f>
        <v>2023</v>
      </c>
      <c r="L3012" s="6">
        <f t="shared" ref="L3012:L3075" si="189">DATE(YEAR(A3012),MONTH(A3012),1)</f>
        <v>45139</v>
      </c>
      <c r="M3012" s="3" t="str">
        <f t="shared" ref="M3012:M3075" si="190">IF(ROUND(G3012*100,0)&lt;=5,"0% to 5%",IF(ROUND(G3012*100,0)&lt;=10,"6% to 10%",IF(ROUND(G3012*100,0)&lt;=15,"11% to 15%",IF(ROUND(G3012*100,0)&lt;=20,"16% to 20%","21% to 25%"))))</f>
        <v>21% to 25%</v>
      </c>
      <c r="N3012" s="3" t="str">
        <f t="shared" ref="N3012:N3075" si="191">IF(ROUND(D3012*E3012,2)=ROUND(F3012,2),"OK","Check")</f>
        <v>OK</v>
      </c>
    </row>
    <row r="3013" spans="1:14" x14ac:dyDescent="0.3">
      <c r="A3013" s="2">
        <f>DATE(VALUE(RIGHT(TRIM([1]Raw_Data!A3011),4)),VALUE(MID(TRIM([1]Raw_Data!A3011),4,2)),VALUE(LEFT(TRIM([1]Raw_Data!A3011),2)))</f>
        <v>45152</v>
      </c>
      <c r="B3013" s="3" t="str">
        <f>TRIM([1]Raw_Data!B3011)</f>
        <v>Vitamin C</v>
      </c>
      <c r="C3013" s="3" t="str">
        <f>TRIM([1]Raw_Data!C3011)</f>
        <v>Vitamin</v>
      </c>
      <c r="D3013" s="3">
        <f>[1]Raw_Data!D3011</f>
        <v>158</v>
      </c>
      <c r="E3013" s="4">
        <f>[1]Raw_Data!E3011</f>
        <v>10.66</v>
      </c>
      <c r="F3013" s="5">
        <f>[1]Raw_Data!F3011</f>
        <v>1684.28</v>
      </c>
      <c r="G3013" s="4">
        <f>[1]Raw_Data!G3011</f>
        <v>0.09</v>
      </c>
      <c r="H3013" s="3">
        <f>[1]Raw_Data!H3011</f>
        <v>2</v>
      </c>
      <c r="I3013" s="3" t="str">
        <f>TRIM([1]Raw_Data!I3011)</f>
        <v>USA</v>
      </c>
      <c r="J3013" s="3" t="str">
        <f>TRIM([1]Raw_Data!J3011)</f>
        <v>Amazon</v>
      </c>
      <c r="K3013" s="3">
        <f t="shared" si="188"/>
        <v>2023</v>
      </c>
      <c r="L3013" s="6">
        <f t="shared" si="189"/>
        <v>45139</v>
      </c>
      <c r="M3013" s="3" t="str">
        <f t="shared" si="190"/>
        <v>6% to 10%</v>
      </c>
      <c r="N3013" s="3" t="str">
        <f t="shared" si="191"/>
        <v>OK</v>
      </c>
    </row>
    <row r="3014" spans="1:14" x14ac:dyDescent="0.3">
      <c r="A3014" s="2">
        <f>DATE(VALUE(RIGHT(TRIM([1]Raw_Data!A3012),4)),VALUE(MID(TRIM([1]Raw_Data!A3012),4,2)),VALUE(LEFT(TRIM([1]Raw_Data!A3012),2)))</f>
        <v>45152</v>
      </c>
      <c r="B3014" s="3" t="str">
        <f>TRIM([1]Raw_Data!B3012)</f>
        <v>Fish Oil</v>
      </c>
      <c r="C3014" s="3" t="str">
        <f>TRIM([1]Raw_Data!C3012)</f>
        <v>Omega</v>
      </c>
      <c r="D3014" s="3">
        <f>[1]Raw_Data!D3012</f>
        <v>129</v>
      </c>
      <c r="E3014" s="4">
        <f>[1]Raw_Data!E3012</f>
        <v>31.45</v>
      </c>
      <c r="F3014" s="5">
        <f>[1]Raw_Data!F3012</f>
        <v>4057.05</v>
      </c>
      <c r="G3014" s="4">
        <f>[1]Raw_Data!G3012</f>
        <v>0</v>
      </c>
      <c r="H3014" s="3">
        <f>[1]Raw_Data!H3012</f>
        <v>0</v>
      </c>
      <c r="I3014" s="3" t="str">
        <f>TRIM([1]Raw_Data!I3012)</f>
        <v>Canada</v>
      </c>
      <c r="J3014" s="3" t="str">
        <f>TRIM([1]Raw_Data!J3012)</f>
        <v>Amazon</v>
      </c>
      <c r="K3014" s="3">
        <f t="shared" si="188"/>
        <v>2023</v>
      </c>
      <c r="L3014" s="6">
        <f t="shared" si="189"/>
        <v>45139</v>
      </c>
      <c r="M3014" s="3" t="str">
        <f t="shared" si="190"/>
        <v>0% to 5%</v>
      </c>
      <c r="N3014" s="3" t="str">
        <f t="shared" si="191"/>
        <v>OK</v>
      </c>
    </row>
    <row r="3015" spans="1:14" x14ac:dyDescent="0.3">
      <c r="A3015" s="2">
        <f>DATE(VALUE(RIGHT(TRIM([1]Raw_Data!A3013),4)),VALUE(MID(TRIM([1]Raw_Data!A3013),4,2)),VALUE(LEFT(TRIM([1]Raw_Data!A3013),2)))</f>
        <v>45152</v>
      </c>
      <c r="B3015" s="3" t="str">
        <f>TRIM([1]Raw_Data!B3013)</f>
        <v>Multivitamin</v>
      </c>
      <c r="C3015" s="3" t="str">
        <f>TRIM([1]Raw_Data!C3013)</f>
        <v>Vitamin</v>
      </c>
      <c r="D3015" s="3">
        <f>[1]Raw_Data!D3013</f>
        <v>142</v>
      </c>
      <c r="E3015" s="4">
        <f>[1]Raw_Data!E3013</f>
        <v>41.58</v>
      </c>
      <c r="F3015" s="5">
        <f>[1]Raw_Data!F3013</f>
        <v>5904.36</v>
      </c>
      <c r="G3015" s="4">
        <f>[1]Raw_Data!G3013</f>
        <v>0.06</v>
      </c>
      <c r="H3015" s="3">
        <f>[1]Raw_Data!H3013</f>
        <v>1</v>
      </c>
      <c r="I3015" s="3" t="str">
        <f>TRIM([1]Raw_Data!I3013)</f>
        <v>USA</v>
      </c>
      <c r="J3015" s="3" t="str">
        <f>TRIM([1]Raw_Data!J3013)</f>
        <v>Amazon</v>
      </c>
      <c r="K3015" s="3">
        <f t="shared" si="188"/>
        <v>2023</v>
      </c>
      <c r="L3015" s="6">
        <f t="shared" si="189"/>
        <v>45139</v>
      </c>
      <c r="M3015" s="3" t="str">
        <f t="shared" si="190"/>
        <v>6% to 10%</v>
      </c>
      <c r="N3015" s="3" t="str">
        <f t="shared" si="191"/>
        <v>OK</v>
      </c>
    </row>
    <row r="3016" spans="1:14" x14ac:dyDescent="0.3">
      <c r="A3016" s="2">
        <f>DATE(VALUE(RIGHT(TRIM([1]Raw_Data!A3014),4)),VALUE(MID(TRIM([1]Raw_Data!A3014),4,2)),VALUE(LEFT(TRIM([1]Raw_Data!A3014),2)))</f>
        <v>45152</v>
      </c>
      <c r="B3016" s="3" t="str">
        <f>TRIM([1]Raw_Data!B3014)</f>
        <v>Pre-Workout</v>
      </c>
      <c r="C3016" s="3" t="str">
        <f>TRIM([1]Raw_Data!C3014)</f>
        <v>Performance</v>
      </c>
      <c r="D3016" s="3">
        <f>[1]Raw_Data!D3014</f>
        <v>168</v>
      </c>
      <c r="E3016" s="4">
        <f>[1]Raw_Data!E3014</f>
        <v>29.61</v>
      </c>
      <c r="F3016" s="5">
        <f>[1]Raw_Data!F3014</f>
        <v>4974.4799999999996</v>
      </c>
      <c r="G3016" s="4">
        <f>[1]Raw_Data!G3014</f>
        <v>0.18</v>
      </c>
      <c r="H3016" s="3">
        <f>[1]Raw_Data!H3014</f>
        <v>3</v>
      </c>
      <c r="I3016" s="3" t="str">
        <f>TRIM([1]Raw_Data!I3014)</f>
        <v>USA</v>
      </c>
      <c r="J3016" s="3" t="str">
        <f>TRIM([1]Raw_Data!J3014)</f>
        <v>Amazon</v>
      </c>
      <c r="K3016" s="3">
        <f t="shared" si="188"/>
        <v>2023</v>
      </c>
      <c r="L3016" s="6">
        <f t="shared" si="189"/>
        <v>45139</v>
      </c>
      <c r="M3016" s="3" t="str">
        <f t="shared" si="190"/>
        <v>16% to 20%</v>
      </c>
      <c r="N3016" s="3" t="str">
        <f t="shared" si="191"/>
        <v>OK</v>
      </c>
    </row>
    <row r="3017" spans="1:14" x14ac:dyDescent="0.3">
      <c r="A3017" s="2">
        <f>DATE(VALUE(RIGHT(TRIM([1]Raw_Data!A3015),4)),VALUE(MID(TRIM([1]Raw_Data!A3015),4,2)),VALUE(LEFT(TRIM([1]Raw_Data!A3015),2)))</f>
        <v>45152</v>
      </c>
      <c r="B3017" s="3" t="str">
        <f>TRIM([1]Raw_Data!B3015)</f>
        <v>BCAA</v>
      </c>
      <c r="C3017" s="3" t="str">
        <f>TRIM([1]Raw_Data!C3015)</f>
        <v>Amino Acid</v>
      </c>
      <c r="D3017" s="3">
        <f>[1]Raw_Data!D3015</f>
        <v>154</v>
      </c>
      <c r="E3017" s="4">
        <f>[1]Raw_Data!E3015</f>
        <v>48.62</v>
      </c>
      <c r="F3017" s="5">
        <f>[1]Raw_Data!F3015</f>
        <v>7487.48</v>
      </c>
      <c r="G3017" s="4">
        <f>[1]Raw_Data!G3015</f>
        <v>0.24</v>
      </c>
      <c r="H3017" s="3">
        <f>[1]Raw_Data!H3015</f>
        <v>4</v>
      </c>
      <c r="I3017" s="3" t="str">
        <f>TRIM([1]Raw_Data!I3015)</f>
        <v>Canada</v>
      </c>
      <c r="J3017" s="3" t="str">
        <f>TRIM([1]Raw_Data!J3015)</f>
        <v>iHerb</v>
      </c>
      <c r="K3017" s="3">
        <f t="shared" si="188"/>
        <v>2023</v>
      </c>
      <c r="L3017" s="6">
        <f t="shared" si="189"/>
        <v>45139</v>
      </c>
      <c r="M3017" s="3" t="str">
        <f t="shared" si="190"/>
        <v>21% to 25%</v>
      </c>
      <c r="N3017" s="3" t="str">
        <f t="shared" si="191"/>
        <v>OK</v>
      </c>
    </row>
    <row r="3018" spans="1:14" x14ac:dyDescent="0.3">
      <c r="A3018" s="2">
        <f>DATE(VALUE(RIGHT(TRIM([1]Raw_Data!A3016),4)),VALUE(MID(TRIM([1]Raw_Data!A3016),4,2)),VALUE(LEFT(TRIM([1]Raw_Data!A3016),2)))</f>
        <v>45152</v>
      </c>
      <c r="B3018" s="3" t="str">
        <f>TRIM([1]Raw_Data!B3016)</f>
        <v>Creatine</v>
      </c>
      <c r="C3018" s="3" t="str">
        <f>TRIM([1]Raw_Data!C3016)</f>
        <v>Performance</v>
      </c>
      <c r="D3018" s="3">
        <f>[1]Raw_Data!D3016</f>
        <v>141</v>
      </c>
      <c r="E3018" s="4">
        <f>[1]Raw_Data!E3016</f>
        <v>57.87</v>
      </c>
      <c r="F3018" s="5">
        <f>[1]Raw_Data!F3016</f>
        <v>8159.67</v>
      </c>
      <c r="G3018" s="4">
        <f>[1]Raw_Data!G3016</f>
        <v>0.11</v>
      </c>
      <c r="H3018" s="3">
        <f>[1]Raw_Data!H3016</f>
        <v>0</v>
      </c>
      <c r="I3018" s="3" t="str">
        <f>TRIM([1]Raw_Data!I3016)</f>
        <v>UK</v>
      </c>
      <c r="J3018" s="3" t="str">
        <f>TRIM([1]Raw_Data!J3016)</f>
        <v>Amazon</v>
      </c>
      <c r="K3018" s="3">
        <f t="shared" si="188"/>
        <v>2023</v>
      </c>
      <c r="L3018" s="6">
        <f t="shared" si="189"/>
        <v>45139</v>
      </c>
      <c r="M3018" s="3" t="str">
        <f t="shared" si="190"/>
        <v>11% to 15%</v>
      </c>
      <c r="N3018" s="3" t="str">
        <f t="shared" si="191"/>
        <v>OK</v>
      </c>
    </row>
    <row r="3019" spans="1:14" x14ac:dyDescent="0.3">
      <c r="A3019" s="2">
        <f>DATE(VALUE(RIGHT(TRIM([1]Raw_Data!A3017),4)),VALUE(MID(TRIM([1]Raw_Data!A3017),4,2)),VALUE(LEFT(TRIM([1]Raw_Data!A3017),2)))</f>
        <v>45152</v>
      </c>
      <c r="B3019" s="3" t="str">
        <f>TRIM([1]Raw_Data!B3017)</f>
        <v>Zinc</v>
      </c>
      <c r="C3019" s="3" t="str">
        <f>TRIM([1]Raw_Data!C3017)</f>
        <v>Mineral</v>
      </c>
      <c r="D3019" s="3">
        <f>[1]Raw_Data!D3017</f>
        <v>158</v>
      </c>
      <c r="E3019" s="4">
        <f>[1]Raw_Data!E3017</f>
        <v>23.36</v>
      </c>
      <c r="F3019" s="5">
        <f>[1]Raw_Data!F3017</f>
        <v>3690.88</v>
      </c>
      <c r="G3019" s="4">
        <f>[1]Raw_Data!G3017</f>
        <v>0.22</v>
      </c>
      <c r="H3019" s="3">
        <f>[1]Raw_Data!H3017</f>
        <v>0</v>
      </c>
      <c r="I3019" s="3" t="str">
        <f>TRIM([1]Raw_Data!I3017)</f>
        <v>USA</v>
      </c>
      <c r="J3019" s="3" t="str">
        <f>TRIM([1]Raw_Data!J3017)</f>
        <v>Amazon</v>
      </c>
      <c r="K3019" s="3">
        <f t="shared" si="188"/>
        <v>2023</v>
      </c>
      <c r="L3019" s="6">
        <f t="shared" si="189"/>
        <v>45139</v>
      </c>
      <c r="M3019" s="3" t="str">
        <f t="shared" si="190"/>
        <v>21% to 25%</v>
      </c>
      <c r="N3019" s="3" t="str">
        <f t="shared" si="191"/>
        <v>OK</v>
      </c>
    </row>
    <row r="3020" spans="1:14" x14ac:dyDescent="0.3">
      <c r="A3020" s="2">
        <f>DATE(VALUE(RIGHT(TRIM([1]Raw_Data!A3018),4)),VALUE(MID(TRIM([1]Raw_Data!A3018),4,2)),VALUE(LEFT(TRIM([1]Raw_Data!A3018),2)))</f>
        <v>45152</v>
      </c>
      <c r="B3020" s="3" t="str">
        <f>TRIM([1]Raw_Data!B3018)</f>
        <v>Collagen Peptides</v>
      </c>
      <c r="C3020" s="3" t="str">
        <f>TRIM([1]Raw_Data!C3018)</f>
        <v>Protein</v>
      </c>
      <c r="D3020" s="3">
        <f>[1]Raw_Data!D3018</f>
        <v>126</v>
      </c>
      <c r="E3020" s="4">
        <f>[1]Raw_Data!E3018</f>
        <v>40.35</v>
      </c>
      <c r="F3020" s="5">
        <f>[1]Raw_Data!F3018</f>
        <v>5084.1000000000004</v>
      </c>
      <c r="G3020" s="4">
        <f>[1]Raw_Data!G3018</f>
        <v>0.03</v>
      </c>
      <c r="H3020" s="3">
        <f>[1]Raw_Data!H3018</f>
        <v>1</v>
      </c>
      <c r="I3020" s="3" t="str">
        <f>TRIM([1]Raw_Data!I3018)</f>
        <v>UK</v>
      </c>
      <c r="J3020" s="3" t="str">
        <f>TRIM([1]Raw_Data!J3018)</f>
        <v>Amazon</v>
      </c>
      <c r="K3020" s="3">
        <f t="shared" si="188"/>
        <v>2023</v>
      </c>
      <c r="L3020" s="6">
        <f t="shared" si="189"/>
        <v>45139</v>
      </c>
      <c r="M3020" s="3" t="str">
        <f t="shared" si="190"/>
        <v>0% to 5%</v>
      </c>
      <c r="N3020" s="3" t="str">
        <f t="shared" si="191"/>
        <v>OK</v>
      </c>
    </row>
    <row r="3021" spans="1:14" x14ac:dyDescent="0.3">
      <c r="A3021" s="2">
        <f>DATE(VALUE(RIGHT(TRIM([1]Raw_Data!A3019),4)),VALUE(MID(TRIM([1]Raw_Data!A3019),4,2)),VALUE(LEFT(TRIM([1]Raw_Data!A3019),2)))</f>
        <v>45152</v>
      </c>
      <c r="B3021" s="3" t="str">
        <f>TRIM([1]Raw_Data!B3019)</f>
        <v>Magnesium</v>
      </c>
      <c r="C3021" s="3" t="str">
        <f>TRIM([1]Raw_Data!C3019)</f>
        <v>Mineral</v>
      </c>
      <c r="D3021" s="3">
        <f>[1]Raw_Data!D3019</f>
        <v>154</v>
      </c>
      <c r="E3021" s="4">
        <f>[1]Raw_Data!E3019</f>
        <v>21.49</v>
      </c>
      <c r="F3021" s="5">
        <f>[1]Raw_Data!F3019</f>
        <v>3309.46</v>
      </c>
      <c r="G3021" s="4">
        <f>[1]Raw_Data!G3019</f>
        <v>0.2</v>
      </c>
      <c r="H3021" s="3">
        <f>[1]Raw_Data!H3019</f>
        <v>1</v>
      </c>
      <c r="I3021" s="3" t="str">
        <f>TRIM([1]Raw_Data!I3019)</f>
        <v>Canada</v>
      </c>
      <c r="J3021" s="3" t="str">
        <f>TRIM([1]Raw_Data!J3019)</f>
        <v>Amazon</v>
      </c>
      <c r="K3021" s="3">
        <f t="shared" si="188"/>
        <v>2023</v>
      </c>
      <c r="L3021" s="6">
        <f t="shared" si="189"/>
        <v>45139</v>
      </c>
      <c r="M3021" s="3" t="str">
        <f t="shared" si="190"/>
        <v>16% to 20%</v>
      </c>
      <c r="N3021" s="3" t="str">
        <f t="shared" si="191"/>
        <v>OK</v>
      </c>
    </row>
    <row r="3022" spans="1:14" x14ac:dyDescent="0.3">
      <c r="A3022" s="2">
        <f>DATE(VALUE(RIGHT(TRIM([1]Raw_Data!A3020),4)),VALUE(MID(TRIM([1]Raw_Data!A3020),4,2)),VALUE(LEFT(TRIM([1]Raw_Data!A3020),2)))</f>
        <v>45152</v>
      </c>
      <c r="B3022" s="3" t="str">
        <f>TRIM([1]Raw_Data!B3020)</f>
        <v>Ashwagandha</v>
      </c>
      <c r="C3022" s="3" t="str">
        <f>TRIM([1]Raw_Data!C3020)</f>
        <v>Herbal</v>
      </c>
      <c r="D3022" s="3">
        <f>[1]Raw_Data!D3020</f>
        <v>156</v>
      </c>
      <c r="E3022" s="4">
        <f>[1]Raw_Data!E3020</f>
        <v>15.73</v>
      </c>
      <c r="F3022" s="5">
        <f>[1]Raw_Data!F3020</f>
        <v>2453.88</v>
      </c>
      <c r="G3022" s="4">
        <f>[1]Raw_Data!G3020</f>
        <v>0.18</v>
      </c>
      <c r="H3022" s="3">
        <f>[1]Raw_Data!H3020</f>
        <v>1</v>
      </c>
      <c r="I3022" s="3" t="str">
        <f>TRIM([1]Raw_Data!I3020)</f>
        <v>Canada</v>
      </c>
      <c r="J3022" s="3" t="str">
        <f>TRIM([1]Raw_Data!J3020)</f>
        <v>Walmart</v>
      </c>
      <c r="K3022" s="3">
        <f t="shared" si="188"/>
        <v>2023</v>
      </c>
      <c r="L3022" s="6">
        <f t="shared" si="189"/>
        <v>45139</v>
      </c>
      <c r="M3022" s="3" t="str">
        <f t="shared" si="190"/>
        <v>16% to 20%</v>
      </c>
      <c r="N3022" s="3" t="str">
        <f t="shared" si="191"/>
        <v>OK</v>
      </c>
    </row>
    <row r="3023" spans="1:14" x14ac:dyDescent="0.3">
      <c r="A3023" s="2">
        <f>DATE(VALUE(RIGHT(TRIM([1]Raw_Data!A3021),4)),VALUE(MID(TRIM([1]Raw_Data!A3021),4,2)),VALUE(LEFT(TRIM([1]Raw_Data!A3021),2)))</f>
        <v>45152</v>
      </c>
      <c r="B3023" s="3" t="str">
        <f>TRIM([1]Raw_Data!B3021)</f>
        <v>Melatonin</v>
      </c>
      <c r="C3023" s="3" t="str">
        <f>TRIM([1]Raw_Data!C3021)</f>
        <v>Sleep Aid</v>
      </c>
      <c r="D3023" s="3">
        <f>[1]Raw_Data!D3021</f>
        <v>137</v>
      </c>
      <c r="E3023" s="4">
        <f>[1]Raw_Data!E3021</f>
        <v>42.66</v>
      </c>
      <c r="F3023" s="5">
        <f>[1]Raw_Data!F3021</f>
        <v>5844.42</v>
      </c>
      <c r="G3023" s="4">
        <f>[1]Raw_Data!G3021</f>
        <v>0.06</v>
      </c>
      <c r="H3023" s="3">
        <f>[1]Raw_Data!H3021</f>
        <v>0</v>
      </c>
      <c r="I3023" s="3" t="str">
        <f>TRIM([1]Raw_Data!I3021)</f>
        <v>USA</v>
      </c>
      <c r="J3023" s="3" t="str">
        <f>TRIM([1]Raw_Data!J3021)</f>
        <v>iHerb</v>
      </c>
      <c r="K3023" s="3">
        <f t="shared" si="188"/>
        <v>2023</v>
      </c>
      <c r="L3023" s="6">
        <f t="shared" si="189"/>
        <v>45139</v>
      </c>
      <c r="M3023" s="3" t="str">
        <f t="shared" si="190"/>
        <v>6% to 10%</v>
      </c>
      <c r="N3023" s="3" t="str">
        <f t="shared" si="191"/>
        <v>OK</v>
      </c>
    </row>
    <row r="3024" spans="1:14" x14ac:dyDescent="0.3">
      <c r="A3024" s="2">
        <f>DATE(VALUE(RIGHT(TRIM([1]Raw_Data!A3022),4)),VALUE(MID(TRIM([1]Raw_Data!A3022),4,2)),VALUE(LEFT(TRIM([1]Raw_Data!A3022),2)))</f>
        <v>45152</v>
      </c>
      <c r="B3024" s="3" t="str">
        <f>TRIM([1]Raw_Data!B3022)</f>
        <v>Biotin</v>
      </c>
      <c r="C3024" s="3" t="str">
        <f>TRIM([1]Raw_Data!C3022)</f>
        <v>Vitamin</v>
      </c>
      <c r="D3024" s="3">
        <f>[1]Raw_Data!D3022</f>
        <v>147</v>
      </c>
      <c r="E3024" s="4">
        <f>[1]Raw_Data!E3022</f>
        <v>12.68</v>
      </c>
      <c r="F3024" s="5">
        <f>[1]Raw_Data!F3022</f>
        <v>1863.96</v>
      </c>
      <c r="G3024" s="4">
        <f>[1]Raw_Data!G3022</f>
        <v>0.11</v>
      </c>
      <c r="H3024" s="3">
        <f>[1]Raw_Data!H3022</f>
        <v>2</v>
      </c>
      <c r="I3024" s="3" t="str">
        <f>TRIM([1]Raw_Data!I3022)</f>
        <v>UK</v>
      </c>
      <c r="J3024" s="3" t="str">
        <f>TRIM([1]Raw_Data!J3022)</f>
        <v>iHerb</v>
      </c>
      <c r="K3024" s="3">
        <f t="shared" si="188"/>
        <v>2023</v>
      </c>
      <c r="L3024" s="6">
        <f t="shared" si="189"/>
        <v>45139</v>
      </c>
      <c r="M3024" s="3" t="str">
        <f t="shared" si="190"/>
        <v>11% to 15%</v>
      </c>
      <c r="N3024" s="3" t="str">
        <f t="shared" si="191"/>
        <v>OK</v>
      </c>
    </row>
    <row r="3025" spans="1:14" x14ac:dyDescent="0.3">
      <c r="A3025" s="2">
        <f>DATE(VALUE(RIGHT(TRIM([1]Raw_Data!A3023),4)),VALUE(MID(TRIM([1]Raw_Data!A3023),4,2)),VALUE(LEFT(TRIM([1]Raw_Data!A3023),2)))</f>
        <v>45152</v>
      </c>
      <c r="B3025" s="3" t="str">
        <f>TRIM([1]Raw_Data!B3023)</f>
        <v>Green Tea Extract</v>
      </c>
      <c r="C3025" s="3" t="str">
        <f>TRIM([1]Raw_Data!C3023)</f>
        <v>Fat Burner</v>
      </c>
      <c r="D3025" s="3">
        <f>[1]Raw_Data!D3023</f>
        <v>158</v>
      </c>
      <c r="E3025" s="4">
        <f>[1]Raw_Data!E3023</f>
        <v>10.48</v>
      </c>
      <c r="F3025" s="5">
        <f>[1]Raw_Data!F3023</f>
        <v>1655.84</v>
      </c>
      <c r="G3025" s="4">
        <f>[1]Raw_Data!G3023</f>
        <v>0.24</v>
      </c>
      <c r="H3025" s="3">
        <f>[1]Raw_Data!H3023</f>
        <v>1</v>
      </c>
      <c r="I3025" s="3" t="str">
        <f>TRIM([1]Raw_Data!I3023)</f>
        <v>Canada</v>
      </c>
      <c r="J3025" s="3" t="str">
        <f>TRIM([1]Raw_Data!J3023)</f>
        <v>Amazon</v>
      </c>
      <c r="K3025" s="3">
        <f t="shared" si="188"/>
        <v>2023</v>
      </c>
      <c r="L3025" s="6">
        <f t="shared" si="189"/>
        <v>45139</v>
      </c>
      <c r="M3025" s="3" t="str">
        <f t="shared" si="190"/>
        <v>21% to 25%</v>
      </c>
      <c r="N3025" s="3" t="str">
        <f t="shared" si="191"/>
        <v>OK</v>
      </c>
    </row>
    <row r="3026" spans="1:14" x14ac:dyDescent="0.3">
      <c r="A3026" s="2">
        <f>DATE(VALUE(RIGHT(TRIM([1]Raw_Data!A3024),4)),VALUE(MID(TRIM([1]Raw_Data!A3024),4,2)),VALUE(LEFT(TRIM([1]Raw_Data!A3024),2)))</f>
        <v>45152</v>
      </c>
      <c r="B3026" s="3" t="str">
        <f>TRIM([1]Raw_Data!B3024)</f>
        <v>Iron Supplement</v>
      </c>
      <c r="C3026" s="3" t="str">
        <f>TRIM([1]Raw_Data!C3024)</f>
        <v>Mineral</v>
      </c>
      <c r="D3026" s="3">
        <f>[1]Raw_Data!D3024</f>
        <v>149</v>
      </c>
      <c r="E3026" s="4">
        <f>[1]Raw_Data!E3024</f>
        <v>27.79</v>
      </c>
      <c r="F3026" s="5">
        <f>[1]Raw_Data!F3024</f>
        <v>4140.71</v>
      </c>
      <c r="G3026" s="4">
        <f>[1]Raw_Data!G3024</f>
        <v>0.21</v>
      </c>
      <c r="H3026" s="3">
        <f>[1]Raw_Data!H3024</f>
        <v>2</v>
      </c>
      <c r="I3026" s="3" t="str">
        <f>TRIM([1]Raw_Data!I3024)</f>
        <v>USA</v>
      </c>
      <c r="J3026" s="3" t="str">
        <f>TRIM([1]Raw_Data!J3024)</f>
        <v>Amazon</v>
      </c>
      <c r="K3026" s="3">
        <f t="shared" si="188"/>
        <v>2023</v>
      </c>
      <c r="L3026" s="6">
        <f t="shared" si="189"/>
        <v>45139</v>
      </c>
      <c r="M3026" s="3" t="str">
        <f t="shared" si="190"/>
        <v>21% to 25%</v>
      </c>
      <c r="N3026" s="3" t="str">
        <f t="shared" si="191"/>
        <v>OK</v>
      </c>
    </row>
    <row r="3027" spans="1:14" x14ac:dyDescent="0.3">
      <c r="A3027" s="2">
        <f>DATE(VALUE(RIGHT(TRIM([1]Raw_Data!A3025),4)),VALUE(MID(TRIM([1]Raw_Data!A3025),4,2)),VALUE(LEFT(TRIM([1]Raw_Data!A3025),2)))</f>
        <v>45152</v>
      </c>
      <c r="B3027" s="3" t="str">
        <f>TRIM([1]Raw_Data!B3025)</f>
        <v>Electrolyte Powder</v>
      </c>
      <c r="C3027" s="3" t="str">
        <f>TRIM([1]Raw_Data!C3025)</f>
        <v>Hydration</v>
      </c>
      <c r="D3027" s="3">
        <f>[1]Raw_Data!D3025</f>
        <v>149</v>
      </c>
      <c r="E3027" s="4">
        <f>[1]Raw_Data!E3025</f>
        <v>59.83</v>
      </c>
      <c r="F3027" s="5">
        <f>[1]Raw_Data!F3025</f>
        <v>8914.67</v>
      </c>
      <c r="G3027" s="4">
        <f>[1]Raw_Data!G3025</f>
        <v>0.14000000000000001</v>
      </c>
      <c r="H3027" s="3">
        <f>[1]Raw_Data!H3025</f>
        <v>2</v>
      </c>
      <c r="I3027" s="3" t="str">
        <f>TRIM([1]Raw_Data!I3025)</f>
        <v>Canada</v>
      </c>
      <c r="J3027" s="3" t="str">
        <f>TRIM([1]Raw_Data!J3025)</f>
        <v>Amazon</v>
      </c>
      <c r="K3027" s="3">
        <f t="shared" si="188"/>
        <v>2023</v>
      </c>
      <c r="L3027" s="6">
        <f t="shared" si="189"/>
        <v>45139</v>
      </c>
      <c r="M3027" s="3" t="str">
        <f t="shared" si="190"/>
        <v>11% to 15%</v>
      </c>
      <c r="N3027" s="3" t="str">
        <f t="shared" si="191"/>
        <v>OK</v>
      </c>
    </row>
    <row r="3028" spans="1:14" x14ac:dyDescent="0.3">
      <c r="A3028" s="2">
        <f>DATE(VALUE(RIGHT(TRIM([1]Raw_Data!A3026),4)),VALUE(MID(TRIM([1]Raw_Data!A3026),4,2)),VALUE(LEFT(TRIM([1]Raw_Data!A3026),2)))</f>
        <v>45159</v>
      </c>
      <c r="B3028" s="3" t="str">
        <f>TRIM([1]Raw_Data!B3026)</f>
        <v>Whey Protein</v>
      </c>
      <c r="C3028" s="3" t="str">
        <f>TRIM([1]Raw_Data!C3026)</f>
        <v>Protein</v>
      </c>
      <c r="D3028" s="3">
        <f>[1]Raw_Data!D3026</f>
        <v>147</v>
      </c>
      <c r="E3028" s="4">
        <f>[1]Raw_Data!E3026</f>
        <v>57.13</v>
      </c>
      <c r="F3028" s="5">
        <f>[1]Raw_Data!F3026</f>
        <v>8398.11</v>
      </c>
      <c r="G3028" s="4">
        <f>[1]Raw_Data!G3026</f>
        <v>0.04</v>
      </c>
      <c r="H3028" s="3">
        <f>[1]Raw_Data!H3026</f>
        <v>1</v>
      </c>
      <c r="I3028" s="3" t="str">
        <f>TRIM([1]Raw_Data!I3026)</f>
        <v>Canada</v>
      </c>
      <c r="J3028" s="3" t="str">
        <f>TRIM([1]Raw_Data!J3026)</f>
        <v>Walmart</v>
      </c>
      <c r="K3028" s="3">
        <f t="shared" si="188"/>
        <v>2023</v>
      </c>
      <c r="L3028" s="6">
        <f t="shared" si="189"/>
        <v>45139</v>
      </c>
      <c r="M3028" s="3" t="str">
        <f t="shared" si="190"/>
        <v>0% to 5%</v>
      </c>
      <c r="N3028" s="3" t="str">
        <f t="shared" si="191"/>
        <v>OK</v>
      </c>
    </row>
    <row r="3029" spans="1:14" x14ac:dyDescent="0.3">
      <c r="A3029" s="2">
        <f>DATE(VALUE(RIGHT(TRIM([1]Raw_Data!A3027),4)),VALUE(MID(TRIM([1]Raw_Data!A3027),4,2)),VALUE(LEFT(TRIM([1]Raw_Data!A3027),2)))</f>
        <v>45159</v>
      </c>
      <c r="B3029" s="3" t="str">
        <f>TRIM([1]Raw_Data!B3027)</f>
        <v>Vitamin C</v>
      </c>
      <c r="C3029" s="3" t="str">
        <f>TRIM([1]Raw_Data!C3027)</f>
        <v>Vitamin</v>
      </c>
      <c r="D3029" s="3">
        <f>[1]Raw_Data!D3027</f>
        <v>135</v>
      </c>
      <c r="E3029" s="4">
        <f>[1]Raw_Data!E3027</f>
        <v>13.1</v>
      </c>
      <c r="F3029" s="5">
        <f>[1]Raw_Data!F3027</f>
        <v>1768.5</v>
      </c>
      <c r="G3029" s="4">
        <f>[1]Raw_Data!G3027</f>
        <v>0.02</v>
      </c>
      <c r="H3029" s="3">
        <f>[1]Raw_Data!H3027</f>
        <v>1</v>
      </c>
      <c r="I3029" s="3" t="str">
        <f>TRIM([1]Raw_Data!I3027)</f>
        <v>USA</v>
      </c>
      <c r="J3029" s="3" t="str">
        <f>TRIM([1]Raw_Data!J3027)</f>
        <v>iHerb</v>
      </c>
      <c r="K3029" s="3">
        <f t="shared" si="188"/>
        <v>2023</v>
      </c>
      <c r="L3029" s="6">
        <f t="shared" si="189"/>
        <v>45139</v>
      </c>
      <c r="M3029" s="3" t="str">
        <f t="shared" si="190"/>
        <v>0% to 5%</v>
      </c>
      <c r="N3029" s="3" t="str">
        <f t="shared" si="191"/>
        <v>OK</v>
      </c>
    </row>
    <row r="3030" spans="1:14" x14ac:dyDescent="0.3">
      <c r="A3030" s="2">
        <f>DATE(VALUE(RIGHT(TRIM([1]Raw_Data!A3028),4)),VALUE(MID(TRIM([1]Raw_Data!A3028),4,2)),VALUE(LEFT(TRIM([1]Raw_Data!A3028),2)))</f>
        <v>45159</v>
      </c>
      <c r="B3030" s="3" t="str">
        <f>TRIM([1]Raw_Data!B3028)</f>
        <v>Fish Oil</v>
      </c>
      <c r="C3030" s="3" t="str">
        <f>TRIM([1]Raw_Data!C3028)</f>
        <v>Omega</v>
      </c>
      <c r="D3030" s="3">
        <f>[1]Raw_Data!D3028</f>
        <v>150</v>
      </c>
      <c r="E3030" s="4">
        <f>[1]Raw_Data!E3028</f>
        <v>12.24</v>
      </c>
      <c r="F3030" s="5">
        <f>[1]Raw_Data!F3028</f>
        <v>1836</v>
      </c>
      <c r="G3030" s="4">
        <f>[1]Raw_Data!G3028</f>
        <v>0.24</v>
      </c>
      <c r="H3030" s="3">
        <f>[1]Raw_Data!H3028</f>
        <v>4</v>
      </c>
      <c r="I3030" s="3" t="str">
        <f>TRIM([1]Raw_Data!I3028)</f>
        <v>Canada</v>
      </c>
      <c r="J3030" s="3" t="str">
        <f>TRIM([1]Raw_Data!J3028)</f>
        <v>Amazon</v>
      </c>
      <c r="K3030" s="3">
        <f t="shared" si="188"/>
        <v>2023</v>
      </c>
      <c r="L3030" s="6">
        <f t="shared" si="189"/>
        <v>45139</v>
      </c>
      <c r="M3030" s="3" t="str">
        <f t="shared" si="190"/>
        <v>21% to 25%</v>
      </c>
      <c r="N3030" s="3" t="str">
        <f t="shared" si="191"/>
        <v>OK</v>
      </c>
    </row>
    <row r="3031" spans="1:14" x14ac:dyDescent="0.3">
      <c r="A3031" s="2">
        <f>DATE(VALUE(RIGHT(TRIM([1]Raw_Data!A3029),4)),VALUE(MID(TRIM([1]Raw_Data!A3029),4,2)),VALUE(LEFT(TRIM([1]Raw_Data!A3029),2)))</f>
        <v>45159</v>
      </c>
      <c r="B3031" s="3" t="str">
        <f>TRIM([1]Raw_Data!B3029)</f>
        <v>Multivitamin</v>
      </c>
      <c r="C3031" s="3" t="str">
        <f>TRIM([1]Raw_Data!C3029)</f>
        <v>Vitamin</v>
      </c>
      <c r="D3031" s="3">
        <f>[1]Raw_Data!D3029</f>
        <v>142</v>
      </c>
      <c r="E3031" s="4">
        <f>[1]Raw_Data!E3029</f>
        <v>38.93</v>
      </c>
      <c r="F3031" s="5">
        <f>[1]Raw_Data!F3029</f>
        <v>5528.06</v>
      </c>
      <c r="G3031" s="4">
        <f>[1]Raw_Data!G3029</f>
        <v>0.06</v>
      </c>
      <c r="H3031" s="3">
        <f>[1]Raw_Data!H3029</f>
        <v>1</v>
      </c>
      <c r="I3031" s="3" t="str">
        <f>TRIM([1]Raw_Data!I3029)</f>
        <v>Canada</v>
      </c>
      <c r="J3031" s="3" t="str">
        <f>TRIM([1]Raw_Data!J3029)</f>
        <v>iHerb</v>
      </c>
      <c r="K3031" s="3">
        <f t="shared" si="188"/>
        <v>2023</v>
      </c>
      <c r="L3031" s="6">
        <f t="shared" si="189"/>
        <v>45139</v>
      </c>
      <c r="M3031" s="3" t="str">
        <f t="shared" si="190"/>
        <v>6% to 10%</v>
      </c>
      <c r="N3031" s="3" t="str">
        <f t="shared" si="191"/>
        <v>OK</v>
      </c>
    </row>
    <row r="3032" spans="1:14" x14ac:dyDescent="0.3">
      <c r="A3032" s="2">
        <f>DATE(VALUE(RIGHT(TRIM([1]Raw_Data!A3030),4)),VALUE(MID(TRIM([1]Raw_Data!A3030),4,2)),VALUE(LEFT(TRIM([1]Raw_Data!A3030),2)))</f>
        <v>45159</v>
      </c>
      <c r="B3032" s="3" t="str">
        <f>TRIM([1]Raw_Data!B3030)</f>
        <v>Pre-Workout</v>
      </c>
      <c r="C3032" s="3" t="str">
        <f>TRIM([1]Raw_Data!C3030)</f>
        <v>Performance</v>
      </c>
      <c r="D3032" s="3">
        <f>[1]Raw_Data!D3030</f>
        <v>150</v>
      </c>
      <c r="E3032" s="4">
        <f>[1]Raw_Data!E3030</f>
        <v>24.56</v>
      </c>
      <c r="F3032" s="5">
        <f>[1]Raw_Data!F3030</f>
        <v>3684</v>
      </c>
      <c r="G3032" s="4">
        <f>[1]Raw_Data!G3030</f>
        <v>0.2</v>
      </c>
      <c r="H3032" s="3">
        <f>[1]Raw_Data!H3030</f>
        <v>1</v>
      </c>
      <c r="I3032" s="3" t="str">
        <f>TRIM([1]Raw_Data!I3030)</f>
        <v>Canada</v>
      </c>
      <c r="J3032" s="3" t="str">
        <f>TRIM([1]Raw_Data!J3030)</f>
        <v>Amazon</v>
      </c>
      <c r="K3032" s="3">
        <f t="shared" si="188"/>
        <v>2023</v>
      </c>
      <c r="L3032" s="6">
        <f t="shared" si="189"/>
        <v>45139</v>
      </c>
      <c r="M3032" s="3" t="str">
        <f t="shared" si="190"/>
        <v>16% to 20%</v>
      </c>
      <c r="N3032" s="3" t="str">
        <f t="shared" si="191"/>
        <v>OK</v>
      </c>
    </row>
    <row r="3033" spans="1:14" x14ac:dyDescent="0.3">
      <c r="A3033" s="2">
        <f>DATE(VALUE(RIGHT(TRIM([1]Raw_Data!A3031),4)),VALUE(MID(TRIM([1]Raw_Data!A3031),4,2)),VALUE(LEFT(TRIM([1]Raw_Data!A3031),2)))</f>
        <v>45159</v>
      </c>
      <c r="B3033" s="3" t="str">
        <f>TRIM([1]Raw_Data!B3031)</f>
        <v>BCAA</v>
      </c>
      <c r="C3033" s="3" t="str">
        <f>TRIM([1]Raw_Data!C3031)</f>
        <v>Amino Acid</v>
      </c>
      <c r="D3033" s="3">
        <f>[1]Raw_Data!D3031</f>
        <v>156</v>
      </c>
      <c r="E3033" s="4">
        <f>[1]Raw_Data!E3031</f>
        <v>36.68</v>
      </c>
      <c r="F3033" s="5">
        <f>[1]Raw_Data!F3031</f>
        <v>5722.08</v>
      </c>
      <c r="G3033" s="4">
        <f>[1]Raw_Data!G3031</f>
        <v>0.08</v>
      </c>
      <c r="H3033" s="3">
        <f>[1]Raw_Data!H3031</f>
        <v>1</v>
      </c>
      <c r="I3033" s="3" t="str">
        <f>TRIM([1]Raw_Data!I3031)</f>
        <v>UK</v>
      </c>
      <c r="J3033" s="3" t="str">
        <f>TRIM([1]Raw_Data!J3031)</f>
        <v>iHerb</v>
      </c>
      <c r="K3033" s="3">
        <f t="shared" si="188"/>
        <v>2023</v>
      </c>
      <c r="L3033" s="6">
        <f t="shared" si="189"/>
        <v>45139</v>
      </c>
      <c r="M3033" s="3" t="str">
        <f t="shared" si="190"/>
        <v>6% to 10%</v>
      </c>
      <c r="N3033" s="3" t="str">
        <f t="shared" si="191"/>
        <v>OK</v>
      </c>
    </row>
    <row r="3034" spans="1:14" x14ac:dyDescent="0.3">
      <c r="A3034" s="2">
        <f>DATE(VALUE(RIGHT(TRIM([1]Raw_Data!A3032),4)),VALUE(MID(TRIM([1]Raw_Data!A3032),4,2)),VALUE(LEFT(TRIM([1]Raw_Data!A3032),2)))</f>
        <v>45159</v>
      </c>
      <c r="B3034" s="3" t="str">
        <f>TRIM([1]Raw_Data!B3032)</f>
        <v>Creatine</v>
      </c>
      <c r="C3034" s="3" t="str">
        <f>TRIM([1]Raw_Data!C3032)</f>
        <v>Performance</v>
      </c>
      <c r="D3034" s="3">
        <f>[1]Raw_Data!D3032</f>
        <v>161</v>
      </c>
      <c r="E3034" s="4">
        <f>[1]Raw_Data!E3032</f>
        <v>27.71</v>
      </c>
      <c r="F3034" s="5">
        <f>[1]Raw_Data!F3032</f>
        <v>4461.3100000000004</v>
      </c>
      <c r="G3034" s="4">
        <f>[1]Raw_Data!G3032</f>
        <v>0.17</v>
      </c>
      <c r="H3034" s="3">
        <f>[1]Raw_Data!H3032</f>
        <v>4</v>
      </c>
      <c r="I3034" s="3" t="str">
        <f>TRIM([1]Raw_Data!I3032)</f>
        <v>USA</v>
      </c>
      <c r="J3034" s="3" t="str">
        <f>TRIM([1]Raw_Data!J3032)</f>
        <v>Walmart</v>
      </c>
      <c r="K3034" s="3">
        <f t="shared" si="188"/>
        <v>2023</v>
      </c>
      <c r="L3034" s="6">
        <f t="shared" si="189"/>
        <v>45139</v>
      </c>
      <c r="M3034" s="3" t="str">
        <f t="shared" si="190"/>
        <v>16% to 20%</v>
      </c>
      <c r="N3034" s="3" t="str">
        <f t="shared" si="191"/>
        <v>OK</v>
      </c>
    </row>
    <row r="3035" spans="1:14" x14ac:dyDescent="0.3">
      <c r="A3035" s="2">
        <f>DATE(VALUE(RIGHT(TRIM([1]Raw_Data!A3033),4)),VALUE(MID(TRIM([1]Raw_Data!A3033),4,2)),VALUE(LEFT(TRIM([1]Raw_Data!A3033),2)))</f>
        <v>45159</v>
      </c>
      <c r="B3035" s="3" t="str">
        <f>TRIM([1]Raw_Data!B3033)</f>
        <v>Zinc</v>
      </c>
      <c r="C3035" s="3" t="str">
        <f>TRIM([1]Raw_Data!C3033)</f>
        <v>Mineral</v>
      </c>
      <c r="D3035" s="3">
        <f>[1]Raw_Data!D3033</f>
        <v>154</v>
      </c>
      <c r="E3035" s="4">
        <f>[1]Raw_Data!E3033</f>
        <v>43.99</v>
      </c>
      <c r="F3035" s="5">
        <f>[1]Raw_Data!F3033</f>
        <v>6774.46</v>
      </c>
      <c r="G3035" s="4">
        <f>[1]Raw_Data!G3033</f>
        <v>0.03</v>
      </c>
      <c r="H3035" s="3">
        <f>[1]Raw_Data!H3033</f>
        <v>3</v>
      </c>
      <c r="I3035" s="3" t="str">
        <f>TRIM([1]Raw_Data!I3033)</f>
        <v>Canada</v>
      </c>
      <c r="J3035" s="3" t="str">
        <f>TRIM([1]Raw_Data!J3033)</f>
        <v>Amazon</v>
      </c>
      <c r="K3035" s="3">
        <f t="shared" si="188"/>
        <v>2023</v>
      </c>
      <c r="L3035" s="6">
        <f t="shared" si="189"/>
        <v>45139</v>
      </c>
      <c r="M3035" s="3" t="str">
        <f t="shared" si="190"/>
        <v>0% to 5%</v>
      </c>
      <c r="N3035" s="3" t="str">
        <f t="shared" si="191"/>
        <v>OK</v>
      </c>
    </row>
    <row r="3036" spans="1:14" x14ac:dyDescent="0.3">
      <c r="A3036" s="2">
        <f>DATE(VALUE(RIGHT(TRIM([1]Raw_Data!A3034),4)),VALUE(MID(TRIM([1]Raw_Data!A3034),4,2)),VALUE(LEFT(TRIM([1]Raw_Data!A3034),2)))</f>
        <v>45159</v>
      </c>
      <c r="B3036" s="3" t="str">
        <f>TRIM([1]Raw_Data!B3034)</f>
        <v>Collagen Peptides</v>
      </c>
      <c r="C3036" s="3" t="str">
        <f>TRIM([1]Raw_Data!C3034)</f>
        <v>Protein</v>
      </c>
      <c r="D3036" s="3">
        <f>[1]Raw_Data!D3034</f>
        <v>151</v>
      </c>
      <c r="E3036" s="4">
        <f>[1]Raw_Data!E3034</f>
        <v>12.85</v>
      </c>
      <c r="F3036" s="5">
        <f>[1]Raw_Data!F3034</f>
        <v>1940.35</v>
      </c>
      <c r="G3036" s="4">
        <f>[1]Raw_Data!G3034</f>
        <v>0.1</v>
      </c>
      <c r="H3036" s="3">
        <f>[1]Raw_Data!H3034</f>
        <v>3</v>
      </c>
      <c r="I3036" s="3" t="str">
        <f>TRIM([1]Raw_Data!I3034)</f>
        <v>Canada</v>
      </c>
      <c r="J3036" s="3" t="str">
        <f>TRIM([1]Raw_Data!J3034)</f>
        <v>Amazon</v>
      </c>
      <c r="K3036" s="3">
        <f t="shared" si="188"/>
        <v>2023</v>
      </c>
      <c r="L3036" s="6">
        <f t="shared" si="189"/>
        <v>45139</v>
      </c>
      <c r="M3036" s="3" t="str">
        <f t="shared" si="190"/>
        <v>6% to 10%</v>
      </c>
      <c r="N3036" s="3" t="str">
        <f t="shared" si="191"/>
        <v>OK</v>
      </c>
    </row>
    <row r="3037" spans="1:14" x14ac:dyDescent="0.3">
      <c r="A3037" s="2">
        <f>DATE(VALUE(RIGHT(TRIM([1]Raw_Data!A3035),4)),VALUE(MID(TRIM([1]Raw_Data!A3035),4,2)),VALUE(LEFT(TRIM([1]Raw_Data!A3035),2)))</f>
        <v>45159</v>
      </c>
      <c r="B3037" s="3" t="str">
        <f>TRIM([1]Raw_Data!B3035)</f>
        <v>Magnesium</v>
      </c>
      <c r="C3037" s="3" t="str">
        <f>TRIM([1]Raw_Data!C3035)</f>
        <v>Mineral</v>
      </c>
      <c r="D3037" s="3">
        <f>[1]Raw_Data!D3035</f>
        <v>173</v>
      </c>
      <c r="E3037" s="4">
        <f>[1]Raw_Data!E3035</f>
        <v>31.41</v>
      </c>
      <c r="F3037" s="5">
        <f>[1]Raw_Data!F3035</f>
        <v>5433.93</v>
      </c>
      <c r="G3037" s="4">
        <f>[1]Raw_Data!G3035</f>
        <v>0.14000000000000001</v>
      </c>
      <c r="H3037" s="3">
        <f>[1]Raw_Data!H3035</f>
        <v>1</v>
      </c>
      <c r="I3037" s="3" t="str">
        <f>TRIM([1]Raw_Data!I3035)</f>
        <v>UK</v>
      </c>
      <c r="J3037" s="3" t="str">
        <f>TRIM([1]Raw_Data!J3035)</f>
        <v>Walmart</v>
      </c>
      <c r="K3037" s="3">
        <f t="shared" si="188"/>
        <v>2023</v>
      </c>
      <c r="L3037" s="6">
        <f t="shared" si="189"/>
        <v>45139</v>
      </c>
      <c r="M3037" s="3" t="str">
        <f t="shared" si="190"/>
        <v>11% to 15%</v>
      </c>
      <c r="N3037" s="3" t="str">
        <f t="shared" si="191"/>
        <v>OK</v>
      </c>
    </row>
    <row r="3038" spans="1:14" x14ac:dyDescent="0.3">
      <c r="A3038" s="2">
        <f>DATE(VALUE(RIGHT(TRIM([1]Raw_Data!A3036),4)),VALUE(MID(TRIM([1]Raw_Data!A3036),4,2)),VALUE(LEFT(TRIM([1]Raw_Data!A3036),2)))</f>
        <v>45159</v>
      </c>
      <c r="B3038" s="3" t="str">
        <f>TRIM([1]Raw_Data!B3036)</f>
        <v>Ashwagandha</v>
      </c>
      <c r="C3038" s="3" t="str">
        <f>TRIM([1]Raw_Data!C3036)</f>
        <v>Herbal</v>
      </c>
      <c r="D3038" s="3">
        <f>[1]Raw_Data!D3036</f>
        <v>136</v>
      </c>
      <c r="E3038" s="4">
        <f>[1]Raw_Data!E3036</f>
        <v>40.49</v>
      </c>
      <c r="F3038" s="5">
        <f>[1]Raw_Data!F3036</f>
        <v>5506.64</v>
      </c>
      <c r="G3038" s="4">
        <f>[1]Raw_Data!G3036</f>
        <v>0.23</v>
      </c>
      <c r="H3038" s="3">
        <f>[1]Raw_Data!H3036</f>
        <v>0</v>
      </c>
      <c r="I3038" s="3" t="str">
        <f>TRIM([1]Raw_Data!I3036)</f>
        <v>UK</v>
      </c>
      <c r="J3038" s="3" t="str">
        <f>TRIM([1]Raw_Data!J3036)</f>
        <v>Walmart</v>
      </c>
      <c r="K3038" s="3">
        <f t="shared" si="188"/>
        <v>2023</v>
      </c>
      <c r="L3038" s="6">
        <f t="shared" si="189"/>
        <v>45139</v>
      </c>
      <c r="M3038" s="3" t="str">
        <f t="shared" si="190"/>
        <v>21% to 25%</v>
      </c>
      <c r="N3038" s="3" t="str">
        <f t="shared" si="191"/>
        <v>OK</v>
      </c>
    </row>
    <row r="3039" spans="1:14" x14ac:dyDescent="0.3">
      <c r="A3039" s="2">
        <f>DATE(VALUE(RIGHT(TRIM([1]Raw_Data!A3037),4)),VALUE(MID(TRIM([1]Raw_Data!A3037),4,2)),VALUE(LEFT(TRIM([1]Raw_Data!A3037),2)))</f>
        <v>45159</v>
      </c>
      <c r="B3039" s="3" t="str">
        <f>TRIM([1]Raw_Data!B3037)</f>
        <v>Melatonin</v>
      </c>
      <c r="C3039" s="3" t="str">
        <f>TRIM([1]Raw_Data!C3037)</f>
        <v>Sleep Aid</v>
      </c>
      <c r="D3039" s="3">
        <f>[1]Raw_Data!D3037</f>
        <v>139</v>
      </c>
      <c r="E3039" s="4">
        <f>[1]Raw_Data!E3037</f>
        <v>50.44</v>
      </c>
      <c r="F3039" s="5">
        <f>[1]Raw_Data!F3037</f>
        <v>7011.16</v>
      </c>
      <c r="G3039" s="4">
        <f>[1]Raw_Data!G3037</f>
        <v>7.0000000000000007E-2</v>
      </c>
      <c r="H3039" s="3">
        <f>[1]Raw_Data!H3037</f>
        <v>3</v>
      </c>
      <c r="I3039" s="3" t="str">
        <f>TRIM([1]Raw_Data!I3037)</f>
        <v>USA</v>
      </c>
      <c r="J3039" s="3" t="str">
        <f>TRIM([1]Raw_Data!J3037)</f>
        <v>iHerb</v>
      </c>
      <c r="K3039" s="3">
        <f t="shared" si="188"/>
        <v>2023</v>
      </c>
      <c r="L3039" s="6">
        <f t="shared" si="189"/>
        <v>45139</v>
      </c>
      <c r="M3039" s="3" t="str">
        <f t="shared" si="190"/>
        <v>6% to 10%</v>
      </c>
      <c r="N3039" s="3" t="str">
        <f t="shared" si="191"/>
        <v>OK</v>
      </c>
    </row>
    <row r="3040" spans="1:14" x14ac:dyDescent="0.3">
      <c r="A3040" s="2">
        <f>DATE(VALUE(RIGHT(TRIM([1]Raw_Data!A3038),4)),VALUE(MID(TRIM([1]Raw_Data!A3038),4,2)),VALUE(LEFT(TRIM([1]Raw_Data!A3038),2)))</f>
        <v>45159</v>
      </c>
      <c r="B3040" s="3" t="str">
        <f>TRIM([1]Raw_Data!B3038)</f>
        <v>Biotin</v>
      </c>
      <c r="C3040" s="3" t="str">
        <f>TRIM([1]Raw_Data!C3038)</f>
        <v>Vitamin</v>
      </c>
      <c r="D3040" s="3">
        <f>[1]Raw_Data!D3038</f>
        <v>152</v>
      </c>
      <c r="E3040" s="4">
        <f>[1]Raw_Data!E3038</f>
        <v>28.38</v>
      </c>
      <c r="F3040" s="5">
        <f>[1]Raw_Data!F3038</f>
        <v>4313.76</v>
      </c>
      <c r="G3040" s="4">
        <f>[1]Raw_Data!G3038</f>
        <v>0.2</v>
      </c>
      <c r="H3040" s="3">
        <f>[1]Raw_Data!H3038</f>
        <v>0</v>
      </c>
      <c r="I3040" s="3" t="str">
        <f>TRIM([1]Raw_Data!I3038)</f>
        <v>UK</v>
      </c>
      <c r="J3040" s="3" t="str">
        <f>TRIM([1]Raw_Data!J3038)</f>
        <v>Walmart</v>
      </c>
      <c r="K3040" s="3">
        <f t="shared" si="188"/>
        <v>2023</v>
      </c>
      <c r="L3040" s="6">
        <f t="shared" si="189"/>
        <v>45139</v>
      </c>
      <c r="M3040" s="3" t="str">
        <f t="shared" si="190"/>
        <v>16% to 20%</v>
      </c>
      <c r="N3040" s="3" t="str">
        <f t="shared" si="191"/>
        <v>OK</v>
      </c>
    </row>
    <row r="3041" spans="1:14" x14ac:dyDescent="0.3">
      <c r="A3041" s="2">
        <f>DATE(VALUE(RIGHT(TRIM([1]Raw_Data!A3039),4)),VALUE(MID(TRIM([1]Raw_Data!A3039),4,2)),VALUE(LEFT(TRIM([1]Raw_Data!A3039),2)))</f>
        <v>45159</v>
      </c>
      <c r="B3041" s="3" t="str">
        <f>TRIM([1]Raw_Data!B3039)</f>
        <v>Green Tea Extract</v>
      </c>
      <c r="C3041" s="3" t="str">
        <f>TRIM([1]Raw_Data!C3039)</f>
        <v>Fat Burner</v>
      </c>
      <c r="D3041" s="3">
        <f>[1]Raw_Data!D3039</f>
        <v>122</v>
      </c>
      <c r="E3041" s="4">
        <f>[1]Raw_Data!E3039</f>
        <v>52.68</v>
      </c>
      <c r="F3041" s="5">
        <f>[1]Raw_Data!F3039</f>
        <v>6426.96</v>
      </c>
      <c r="G3041" s="4">
        <f>[1]Raw_Data!G3039</f>
        <v>0.19</v>
      </c>
      <c r="H3041" s="3">
        <f>[1]Raw_Data!H3039</f>
        <v>1</v>
      </c>
      <c r="I3041" s="3" t="str">
        <f>TRIM([1]Raw_Data!I3039)</f>
        <v>UK</v>
      </c>
      <c r="J3041" s="3" t="str">
        <f>TRIM([1]Raw_Data!J3039)</f>
        <v>iHerb</v>
      </c>
      <c r="K3041" s="3">
        <f t="shared" si="188"/>
        <v>2023</v>
      </c>
      <c r="L3041" s="6">
        <f t="shared" si="189"/>
        <v>45139</v>
      </c>
      <c r="M3041" s="3" t="str">
        <f t="shared" si="190"/>
        <v>16% to 20%</v>
      </c>
      <c r="N3041" s="3" t="str">
        <f t="shared" si="191"/>
        <v>OK</v>
      </c>
    </row>
    <row r="3042" spans="1:14" x14ac:dyDescent="0.3">
      <c r="A3042" s="2">
        <f>DATE(VALUE(RIGHT(TRIM([1]Raw_Data!A3040),4)),VALUE(MID(TRIM([1]Raw_Data!A3040),4,2)),VALUE(LEFT(TRIM([1]Raw_Data!A3040),2)))</f>
        <v>45159</v>
      </c>
      <c r="B3042" s="3" t="str">
        <f>TRIM([1]Raw_Data!B3040)</f>
        <v>Iron Supplement</v>
      </c>
      <c r="C3042" s="3" t="str">
        <f>TRIM([1]Raw_Data!C3040)</f>
        <v>Mineral</v>
      </c>
      <c r="D3042" s="3">
        <f>[1]Raw_Data!D3040</f>
        <v>152</v>
      </c>
      <c r="E3042" s="4">
        <f>[1]Raw_Data!E3040</f>
        <v>52.03</v>
      </c>
      <c r="F3042" s="5">
        <f>[1]Raw_Data!F3040</f>
        <v>7908.56</v>
      </c>
      <c r="G3042" s="4">
        <f>[1]Raw_Data!G3040</f>
        <v>0.2</v>
      </c>
      <c r="H3042" s="3">
        <f>[1]Raw_Data!H3040</f>
        <v>2</v>
      </c>
      <c r="I3042" s="3" t="str">
        <f>TRIM([1]Raw_Data!I3040)</f>
        <v>UK</v>
      </c>
      <c r="J3042" s="3" t="str">
        <f>TRIM([1]Raw_Data!J3040)</f>
        <v>iHerb</v>
      </c>
      <c r="K3042" s="3">
        <f t="shared" si="188"/>
        <v>2023</v>
      </c>
      <c r="L3042" s="6">
        <f t="shared" si="189"/>
        <v>45139</v>
      </c>
      <c r="M3042" s="3" t="str">
        <f t="shared" si="190"/>
        <v>16% to 20%</v>
      </c>
      <c r="N3042" s="3" t="str">
        <f t="shared" si="191"/>
        <v>OK</v>
      </c>
    </row>
    <row r="3043" spans="1:14" x14ac:dyDescent="0.3">
      <c r="A3043" s="2">
        <f>DATE(VALUE(RIGHT(TRIM([1]Raw_Data!A3041),4)),VALUE(MID(TRIM([1]Raw_Data!A3041),4,2)),VALUE(LEFT(TRIM([1]Raw_Data!A3041),2)))</f>
        <v>45159</v>
      </c>
      <c r="B3043" s="3" t="str">
        <f>TRIM([1]Raw_Data!B3041)</f>
        <v>Electrolyte Powder</v>
      </c>
      <c r="C3043" s="3" t="str">
        <f>TRIM([1]Raw_Data!C3041)</f>
        <v>Hydration</v>
      </c>
      <c r="D3043" s="3">
        <f>[1]Raw_Data!D3041</f>
        <v>149</v>
      </c>
      <c r="E3043" s="4">
        <f>[1]Raw_Data!E3041</f>
        <v>53.95</v>
      </c>
      <c r="F3043" s="5">
        <f>[1]Raw_Data!F3041</f>
        <v>8038.55</v>
      </c>
      <c r="G3043" s="4">
        <f>[1]Raw_Data!G3041</f>
        <v>0.16</v>
      </c>
      <c r="H3043" s="3">
        <f>[1]Raw_Data!H3041</f>
        <v>1</v>
      </c>
      <c r="I3043" s="3" t="str">
        <f>TRIM([1]Raw_Data!I3041)</f>
        <v>Canada</v>
      </c>
      <c r="J3043" s="3" t="str">
        <f>TRIM([1]Raw_Data!J3041)</f>
        <v>Amazon</v>
      </c>
      <c r="K3043" s="3">
        <f t="shared" si="188"/>
        <v>2023</v>
      </c>
      <c r="L3043" s="6">
        <f t="shared" si="189"/>
        <v>45139</v>
      </c>
      <c r="M3043" s="3" t="str">
        <f t="shared" si="190"/>
        <v>16% to 20%</v>
      </c>
      <c r="N3043" s="3" t="str">
        <f t="shared" si="191"/>
        <v>OK</v>
      </c>
    </row>
    <row r="3044" spans="1:14" x14ac:dyDescent="0.3">
      <c r="A3044" s="2">
        <f>DATE(VALUE(RIGHT(TRIM([1]Raw_Data!A3042),4)),VALUE(MID(TRIM([1]Raw_Data!A3042),4,2)),VALUE(LEFT(TRIM([1]Raw_Data!A3042),2)))</f>
        <v>45166</v>
      </c>
      <c r="B3044" s="3" t="str">
        <f>TRIM([1]Raw_Data!B3042)</f>
        <v>Whey Protein</v>
      </c>
      <c r="C3044" s="3" t="str">
        <f>TRIM([1]Raw_Data!C3042)</f>
        <v>Protein</v>
      </c>
      <c r="D3044" s="3">
        <f>[1]Raw_Data!D3042</f>
        <v>154</v>
      </c>
      <c r="E3044" s="4">
        <f>[1]Raw_Data!E3042</f>
        <v>29.71</v>
      </c>
      <c r="F3044" s="5">
        <f>[1]Raw_Data!F3042</f>
        <v>4575.34</v>
      </c>
      <c r="G3044" s="4">
        <f>[1]Raw_Data!G3042</f>
        <v>0.08</v>
      </c>
      <c r="H3044" s="3">
        <f>[1]Raw_Data!H3042</f>
        <v>1</v>
      </c>
      <c r="I3044" s="3" t="str">
        <f>TRIM([1]Raw_Data!I3042)</f>
        <v>USA</v>
      </c>
      <c r="J3044" s="3" t="str">
        <f>TRIM([1]Raw_Data!J3042)</f>
        <v>Walmart</v>
      </c>
      <c r="K3044" s="3">
        <f t="shared" si="188"/>
        <v>2023</v>
      </c>
      <c r="L3044" s="6">
        <f t="shared" si="189"/>
        <v>45139</v>
      </c>
      <c r="M3044" s="3" t="str">
        <f t="shared" si="190"/>
        <v>6% to 10%</v>
      </c>
      <c r="N3044" s="3" t="str">
        <f t="shared" si="191"/>
        <v>OK</v>
      </c>
    </row>
    <row r="3045" spans="1:14" x14ac:dyDescent="0.3">
      <c r="A3045" s="2">
        <f>DATE(VALUE(RIGHT(TRIM([1]Raw_Data!A3043),4)),VALUE(MID(TRIM([1]Raw_Data!A3043),4,2)),VALUE(LEFT(TRIM([1]Raw_Data!A3043),2)))</f>
        <v>45166</v>
      </c>
      <c r="B3045" s="3" t="str">
        <f>TRIM([1]Raw_Data!B3043)</f>
        <v>Vitamin C</v>
      </c>
      <c r="C3045" s="3" t="str">
        <f>TRIM([1]Raw_Data!C3043)</f>
        <v>Vitamin</v>
      </c>
      <c r="D3045" s="3">
        <f>[1]Raw_Data!D3043</f>
        <v>153</v>
      </c>
      <c r="E3045" s="4">
        <f>[1]Raw_Data!E3043</f>
        <v>23.18</v>
      </c>
      <c r="F3045" s="5">
        <f>[1]Raw_Data!F3043</f>
        <v>3546.54</v>
      </c>
      <c r="G3045" s="4">
        <f>[1]Raw_Data!G3043</f>
        <v>0.19</v>
      </c>
      <c r="H3045" s="3">
        <f>[1]Raw_Data!H3043</f>
        <v>1</v>
      </c>
      <c r="I3045" s="3" t="str">
        <f>TRIM([1]Raw_Data!I3043)</f>
        <v>Canada</v>
      </c>
      <c r="J3045" s="3" t="str">
        <f>TRIM([1]Raw_Data!J3043)</f>
        <v>Walmart</v>
      </c>
      <c r="K3045" s="3">
        <f t="shared" si="188"/>
        <v>2023</v>
      </c>
      <c r="L3045" s="6">
        <f t="shared" si="189"/>
        <v>45139</v>
      </c>
      <c r="M3045" s="3" t="str">
        <f t="shared" si="190"/>
        <v>16% to 20%</v>
      </c>
      <c r="N3045" s="3" t="str">
        <f t="shared" si="191"/>
        <v>OK</v>
      </c>
    </row>
    <row r="3046" spans="1:14" x14ac:dyDescent="0.3">
      <c r="A3046" s="2">
        <f>DATE(VALUE(RIGHT(TRIM([1]Raw_Data!A3044),4)),VALUE(MID(TRIM([1]Raw_Data!A3044),4,2)),VALUE(LEFT(TRIM([1]Raw_Data!A3044),2)))</f>
        <v>45166</v>
      </c>
      <c r="B3046" s="3" t="str">
        <f>TRIM([1]Raw_Data!B3044)</f>
        <v>Fish Oil</v>
      </c>
      <c r="C3046" s="3" t="str">
        <f>TRIM([1]Raw_Data!C3044)</f>
        <v>Omega</v>
      </c>
      <c r="D3046" s="3">
        <f>[1]Raw_Data!D3044</f>
        <v>127</v>
      </c>
      <c r="E3046" s="4">
        <f>[1]Raw_Data!E3044</f>
        <v>54.25</v>
      </c>
      <c r="F3046" s="5">
        <f>[1]Raw_Data!F3044</f>
        <v>6889.75</v>
      </c>
      <c r="G3046" s="4">
        <f>[1]Raw_Data!G3044</f>
        <v>0.19</v>
      </c>
      <c r="H3046" s="3">
        <f>[1]Raw_Data!H3044</f>
        <v>1</v>
      </c>
      <c r="I3046" s="3" t="str">
        <f>TRIM([1]Raw_Data!I3044)</f>
        <v>UK</v>
      </c>
      <c r="J3046" s="3" t="str">
        <f>TRIM([1]Raw_Data!J3044)</f>
        <v>Amazon</v>
      </c>
      <c r="K3046" s="3">
        <f t="shared" si="188"/>
        <v>2023</v>
      </c>
      <c r="L3046" s="6">
        <f t="shared" si="189"/>
        <v>45139</v>
      </c>
      <c r="M3046" s="3" t="str">
        <f t="shared" si="190"/>
        <v>16% to 20%</v>
      </c>
      <c r="N3046" s="3" t="str">
        <f t="shared" si="191"/>
        <v>OK</v>
      </c>
    </row>
    <row r="3047" spans="1:14" x14ac:dyDescent="0.3">
      <c r="A3047" s="2">
        <f>DATE(VALUE(RIGHT(TRIM([1]Raw_Data!A3045),4)),VALUE(MID(TRIM([1]Raw_Data!A3045),4,2)),VALUE(LEFT(TRIM([1]Raw_Data!A3045),2)))</f>
        <v>45166</v>
      </c>
      <c r="B3047" s="3" t="str">
        <f>TRIM([1]Raw_Data!B3045)</f>
        <v>Multivitamin</v>
      </c>
      <c r="C3047" s="3" t="str">
        <f>TRIM([1]Raw_Data!C3045)</f>
        <v>Vitamin</v>
      </c>
      <c r="D3047" s="3">
        <f>[1]Raw_Data!D3045</f>
        <v>174</v>
      </c>
      <c r="E3047" s="4">
        <f>[1]Raw_Data!E3045</f>
        <v>58.06</v>
      </c>
      <c r="F3047" s="5">
        <f>[1]Raw_Data!F3045</f>
        <v>10102.44</v>
      </c>
      <c r="G3047" s="4">
        <f>[1]Raw_Data!G3045</f>
        <v>0.06</v>
      </c>
      <c r="H3047" s="3">
        <f>[1]Raw_Data!H3045</f>
        <v>0</v>
      </c>
      <c r="I3047" s="3" t="str">
        <f>TRIM([1]Raw_Data!I3045)</f>
        <v>USA</v>
      </c>
      <c r="J3047" s="3" t="str">
        <f>TRIM([1]Raw_Data!J3045)</f>
        <v>Amazon</v>
      </c>
      <c r="K3047" s="3">
        <f t="shared" si="188"/>
        <v>2023</v>
      </c>
      <c r="L3047" s="6">
        <f t="shared" si="189"/>
        <v>45139</v>
      </c>
      <c r="M3047" s="3" t="str">
        <f t="shared" si="190"/>
        <v>6% to 10%</v>
      </c>
      <c r="N3047" s="3" t="str">
        <f t="shared" si="191"/>
        <v>OK</v>
      </c>
    </row>
    <row r="3048" spans="1:14" x14ac:dyDescent="0.3">
      <c r="A3048" s="2">
        <f>DATE(VALUE(RIGHT(TRIM([1]Raw_Data!A3046),4)),VALUE(MID(TRIM([1]Raw_Data!A3046),4,2)),VALUE(LEFT(TRIM([1]Raw_Data!A3046),2)))</f>
        <v>45166</v>
      </c>
      <c r="B3048" s="3" t="str">
        <f>TRIM([1]Raw_Data!B3046)</f>
        <v>Pre-Workout</v>
      </c>
      <c r="C3048" s="3" t="str">
        <f>TRIM([1]Raw_Data!C3046)</f>
        <v>Performance</v>
      </c>
      <c r="D3048" s="3">
        <f>[1]Raw_Data!D3046</f>
        <v>148</v>
      </c>
      <c r="E3048" s="4">
        <f>[1]Raw_Data!E3046</f>
        <v>36.950000000000003</v>
      </c>
      <c r="F3048" s="5">
        <f>[1]Raw_Data!F3046</f>
        <v>5468.6</v>
      </c>
      <c r="G3048" s="4">
        <f>[1]Raw_Data!G3046</f>
        <v>0.2</v>
      </c>
      <c r="H3048" s="3">
        <f>[1]Raw_Data!H3046</f>
        <v>3</v>
      </c>
      <c r="I3048" s="3" t="str">
        <f>TRIM([1]Raw_Data!I3046)</f>
        <v>Canada</v>
      </c>
      <c r="J3048" s="3" t="str">
        <f>TRIM([1]Raw_Data!J3046)</f>
        <v>Amazon</v>
      </c>
      <c r="K3048" s="3">
        <f t="shared" si="188"/>
        <v>2023</v>
      </c>
      <c r="L3048" s="6">
        <f t="shared" si="189"/>
        <v>45139</v>
      </c>
      <c r="M3048" s="3" t="str">
        <f t="shared" si="190"/>
        <v>16% to 20%</v>
      </c>
      <c r="N3048" s="3" t="str">
        <f t="shared" si="191"/>
        <v>OK</v>
      </c>
    </row>
    <row r="3049" spans="1:14" x14ac:dyDescent="0.3">
      <c r="A3049" s="2">
        <f>DATE(VALUE(RIGHT(TRIM([1]Raw_Data!A3047),4)),VALUE(MID(TRIM([1]Raw_Data!A3047),4,2)),VALUE(LEFT(TRIM([1]Raw_Data!A3047),2)))</f>
        <v>45166</v>
      </c>
      <c r="B3049" s="3" t="str">
        <f>TRIM([1]Raw_Data!B3047)</f>
        <v>BCAA</v>
      </c>
      <c r="C3049" s="3" t="str">
        <f>TRIM([1]Raw_Data!C3047)</f>
        <v>Amino Acid</v>
      </c>
      <c r="D3049" s="3">
        <f>[1]Raw_Data!D3047</f>
        <v>146</v>
      </c>
      <c r="E3049" s="4">
        <f>[1]Raw_Data!E3047</f>
        <v>17.41</v>
      </c>
      <c r="F3049" s="5">
        <f>[1]Raw_Data!F3047</f>
        <v>2541.86</v>
      </c>
      <c r="G3049" s="4">
        <f>[1]Raw_Data!G3047</f>
        <v>0.01</v>
      </c>
      <c r="H3049" s="3">
        <f>[1]Raw_Data!H3047</f>
        <v>2</v>
      </c>
      <c r="I3049" s="3" t="str">
        <f>TRIM([1]Raw_Data!I3047)</f>
        <v>USA</v>
      </c>
      <c r="J3049" s="3" t="str">
        <f>TRIM([1]Raw_Data!J3047)</f>
        <v>iHerb</v>
      </c>
      <c r="K3049" s="3">
        <f t="shared" si="188"/>
        <v>2023</v>
      </c>
      <c r="L3049" s="6">
        <f t="shared" si="189"/>
        <v>45139</v>
      </c>
      <c r="M3049" s="3" t="str">
        <f t="shared" si="190"/>
        <v>0% to 5%</v>
      </c>
      <c r="N3049" s="3" t="str">
        <f t="shared" si="191"/>
        <v>OK</v>
      </c>
    </row>
    <row r="3050" spans="1:14" x14ac:dyDescent="0.3">
      <c r="A3050" s="2">
        <f>DATE(VALUE(RIGHT(TRIM([1]Raw_Data!A3048),4)),VALUE(MID(TRIM([1]Raw_Data!A3048),4,2)),VALUE(LEFT(TRIM([1]Raw_Data!A3048),2)))</f>
        <v>45166</v>
      </c>
      <c r="B3050" s="3" t="str">
        <f>TRIM([1]Raw_Data!B3048)</f>
        <v>Creatine</v>
      </c>
      <c r="C3050" s="3" t="str">
        <f>TRIM([1]Raw_Data!C3048)</f>
        <v>Performance</v>
      </c>
      <c r="D3050" s="3">
        <f>[1]Raw_Data!D3048</f>
        <v>126</v>
      </c>
      <c r="E3050" s="4">
        <f>[1]Raw_Data!E3048</f>
        <v>36.950000000000003</v>
      </c>
      <c r="F3050" s="5">
        <f>[1]Raw_Data!F3048</f>
        <v>4655.7</v>
      </c>
      <c r="G3050" s="4">
        <f>[1]Raw_Data!G3048</f>
        <v>0.05</v>
      </c>
      <c r="H3050" s="3">
        <f>[1]Raw_Data!H3048</f>
        <v>1</v>
      </c>
      <c r="I3050" s="3" t="str">
        <f>TRIM([1]Raw_Data!I3048)</f>
        <v>Canada</v>
      </c>
      <c r="J3050" s="3" t="str">
        <f>TRIM([1]Raw_Data!J3048)</f>
        <v>iHerb</v>
      </c>
      <c r="K3050" s="3">
        <f t="shared" si="188"/>
        <v>2023</v>
      </c>
      <c r="L3050" s="6">
        <f t="shared" si="189"/>
        <v>45139</v>
      </c>
      <c r="M3050" s="3" t="str">
        <f t="shared" si="190"/>
        <v>0% to 5%</v>
      </c>
      <c r="N3050" s="3" t="str">
        <f t="shared" si="191"/>
        <v>OK</v>
      </c>
    </row>
    <row r="3051" spans="1:14" x14ac:dyDescent="0.3">
      <c r="A3051" s="2">
        <f>DATE(VALUE(RIGHT(TRIM([1]Raw_Data!A3049),4)),VALUE(MID(TRIM([1]Raw_Data!A3049),4,2)),VALUE(LEFT(TRIM([1]Raw_Data!A3049),2)))</f>
        <v>45166</v>
      </c>
      <c r="B3051" s="3" t="str">
        <f>TRIM([1]Raw_Data!B3049)</f>
        <v>Zinc</v>
      </c>
      <c r="C3051" s="3" t="str">
        <f>TRIM([1]Raw_Data!C3049)</f>
        <v>Mineral</v>
      </c>
      <c r="D3051" s="3">
        <f>[1]Raw_Data!D3049</f>
        <v>137</v>
      </c>
      <c r="E3051" s="4">
        <f>[1]Raw_Data!E3049</f>
        <v>49.98</v>
      </c>
      <c r="F3051" s="5">
        <f>[1]Raw_Data!F3049</f>
        <v>6847.26</v>
      </c>
      <c r="G3051" s="4">
        <f>[1]Raw_Data!G3049</f>
        <v>0.12</v>
      </c>
      <c r="H3051" s="3">
        <f>[1]Raw_Data!H3049</f>
        <v>0</v>
      </c>
      <c r="I3051" s="3" t="str">
        <f>TRIM([1]Raw_Data!I3049)</f>
        <v>USA</v>
      </c>
      <c r="J3051" s="3" t="str">
        <f>TRIM([1]Raw_Data!J3049)</f>
        <v>Amazon</v>
      </c>
      <c r="K3051" s="3">
        <f t="shared" si="188"/>
        <v>2023</v>
      </c>
      <c r="L3051" s="6">
        <f t="shared" si="189"/>
        <v>45139</v>
      </c>
      <c r="M3051" s="3" t="str">
        <f t="shared" si="190"/>
        <v>11% to 15%</v>
      </c>
      <c r="N3051" s="3" t="str">
        <f t="shared" si="191"/>
        <v>OK</v>
      </c>
    </row>
    <row r="3052" spans="1:14" x14ac:dyDescent="0.3">
      <c r="A3052" s="2">
        <f>DATE(VALUE(RIGHT(TRIM([1]Raw_Data!A3050),4)),VALUE(MID(TRIM([1]Raw_Data!A3050),4,2)),VALUE(LEFT(TRIM([1]Raw_Data!A3050),2)))</f>
        <v>45166</v>
      </c>
      <c r="B3052" s="3" t="str">
        <f>TRIM([1]Raw_Data!B3050)</f>
        <v>Collagen Peptides</v>
      </c>
      <c r="C3052" s="3" t="str">
        <f>TRIM([1]Raw_Data!C3050)</f>
        <v>Protein</v>
      </c>
      <c r="D3052" s="3">
        <f>[1]Raw_Data!D3050</f>
        <v>158</v>
      </c>
      <c r="E3052" s="4">
        <f>[1]Raw_Data!E3050</f>
        <v>46.93</v>
      </c>
      <c r="F3052" s="5">
        <f>[1]Raw_Data!F3050</f>
        <v>7414.94</v>
      </c>
      <c r="G3052" s="4">
        <f>[1]Raw_Data!G3050</f>
        <v>0.12</v>
      </c>
      <c r="H3052" s="3">
        <f>[1]Raw_Data!H3050</f>
        <v>1</v>
      </c>
      <c r="I3052" s="3" t="str">
        <f>TRIM([1]Raw_Data!I3050)</f>
        <v>UK</v>
      </c>
      <c r="J3052" s="3" t="str">
        <f>TRIM([1]Raw_Data!J3050)</f>
        <v>iHerb</v>
      </c>
      <c r="K3052" s="3">
        <f t="shared" si="188"/>
        <v>2023</v>
      </c>
      <c r="L3052" s="6">
        <f t="shared" si="189"/>
        <v>45139</v>
      </c>
      <c r="M3052" s="3" t="str">
        <f t="shared" si="190"/>
        <v>11% to 15%</v>
      </c>
      <c r="N3052" s="3" t="str">
        <f t="shared" si="191"/>
        <v>OK</v>
      </c>
    </row>
    <row r="3053" spans="1:14" x14ac:dyDescent="0.3">
      <c r="A3053" s="2">
        <f>DATE(VALUE(RIGHT(TRIM([1]Raw_Data!A3051),4)),VALUE(MID(TRIM([1]Raw_Data!A3051),4,2)),VALUE(LEFT(TRIM([1]Raw_Data!A3051),2)))</f>
        <v>45166</v>
      </c>
      <c r="B3053" s="3" t="str">
        <f>TRIM([1]Raw_Data!B3051)</f>
        <v>Magnesium</v>
      </c>
      <c r="C3053" s="3" t="str">
        <f>TRIM([1]Raw_Data!C3051)</f>
        <v>Mineral</v>
      </c>
      <c r="D3053" s="3">
        <f>[1]Raw_Data!D3051</f>
        <v>165</v>
      </c>
      <c r="E3053" s="4">
        <f>[1]Raw_Data!E3051</f>
        <v>11.65</v>
      </c>
      <c r="F3053" s="5">
        <f>[1]Raw_Data!F3051</f>
        <v>1922.25</v>
      </c>
      <c r="G3053" s="4">
        <f>[1]Raw_Data!G3051</f>
        <v>7.0000000000000007E-2</v>
      </c>
      <c r="H3053" s="3">
        <f>[1]Raw_Data!H3051</f>
        <v>3</v>
      </c>
      <c r="I3053" s="3" t="str">
        <f>TRIM([1]Raw_Data!I3051)</f>
        <v>USA</v>
      </c>
      <c r="J3053" s="3" t="str">
        <f>TRIM([1]Raw_Data!J3051)</f>
        <v>Amazon</v>
      </c>
      <c r="K3053" s="3">
        <f t="shared" si="188"/>
        <v>2023</v>
      </c>
      <c r="L3053" s="6">
        <f t="shared" si="189"/>
        <v>45139</v>
      </c>
      <c r="M3053" s="3" t="str">
        <f t="shared" si="190"/>
        <v>6% to 10%</v>
      </c>
      <c r="N3053" s="3" t="str">
        <f t="shared" si="191"/>
        <v>OK</v>
      </c>
    </row>
    <row r="3054" spans="1:14" x14ac:dyDescent="0.3">
      <c r="A3054" s="2">
        <f>DATE(VALUE(RIGHT(TRIM([1]Raw_Data!A3052),4)),VALUE(MID(TRIM([1]Raw_Data!A3052),4,2)),VALUE(LEFT(TRIM([1]Raw_Data!A3052),2)))</f>
        <v>45166</v>
      </c>
      <c r="B3054" s="3" t="str">
        <f>TRIM([1]Raw_Data!B3052)</f>
        <v>Ashwagandha</v>
      </c>
      <c r="C3054" s="3" t="str">
        <f>TRIM([1]Raw_Data!C3052)</f>
        <v>Herbal</v>
      </c>
      <c r="D3054" s="3">
        <f>[1]Raw_Data!D3052</f>
        <v>158</v>
      </c>
      <c r="E3054" s="4">
        <f>[1]Raw_Data!E3052</f>
        <v>48.03</v>
      </c>
      <c r="F3054" s="5">
        <f>[1]Raw_Data!F3052</f>
        <v>7588.74</v>
      </c>
      <c r="G3054" s="4">
        <f>[1]Raw_Data!G3052</f>
        <v>0.18</v>
      </c>
      <c r="H3054" s="3">
        <f>[1]Raw_Data!H3052</f>
        <v>2</v>
      </c>
      <c r="I3054" s="3" t="str">
        <f>TRIM([1]Raw_Data!I3052)</f>
        <v>USA</v>
      </c>
      <c r="J3054" s="3" t="str">
        <f>TRIM([1]Raw_Data!J3052)</f>
        <v>iHerb</v>
      </c>
      <c r="K3054" s="3">
        <f t="shared" si="188"/>
        <v>2023</v>
      </c>
      <c r="L3054" s="6">
        <f t="shared" si="189"/>
        <v>45139</v>
      </c>
      <c r="M3054" s="3" t="str">
        <f t="shared" si="190"/>
        <v>16% to 20%</v>
      </c>
      <c r="N3054" s="3" t="str">
        <f t="shared" si="191"/>
        <v>OK</v>
      </c>
    </row>
    <row r="3055" spans="1:14" x14ac:dyDescent="0.3">
      <c r="A3055" s="2">
        <f>DATE(VALUE(RIGHT(TRIM([1]Raw_Data!A3053),4)),VALUE(MID(TRIM([1]Raw_Data!A3053),4,2)),VALUE(LEFT(TRIM([1]Raw_Data!A3053),2)))</f>
        <v>45166</v>
      </c>
      <c r="B3055" s="3" t="str">
        <f>TRIM([1]Raw_Data!B3053)</f>
        <v>Melatonin</v>
      </c>
      <c r="C3055" s="3" t="str">
        <f>TRIM([1]Raw_Data!C3053)</f>
        <v>Sleep Aid</v>
      </c>
      <c r="D3055" s="3">
        <f>[1]Raw_Data!D3053</f>
        <v>163</v>
      </c>
      <c r="E3055" s="4">
        <f>[1]Raw_Data!E3053</f>
        <v>30.12</v>
      </c>
      <c r="F3055" s="5">
        <f>[1]Raw_Data!F3053</f>
        <v>4909.5600000000004</v>
      </c>
      <c r="G3055" s="4">
        <f>[1]Raw_Data!G3053</f>
        <v>0.12</v>
      </c>
      <c r="H3055" s="3">
        <f>[1]Raw_Data!H3053</f>
        <v>2</v>
      </c>
      <c r="I3055" s="3" t="str">
        <f>TRIM([1]Raw_Data!I3053)</f>
        <v>UK</v>
      </c>
      <c r="J3055" s="3" t="str">
        <f>TRIM([1]Raw_Data!J3053)</f>
        <v>Walmart</v>
      </c>
      <c r="K3055" s="3">
        <f t="shared" si="188"/>
        <v>2023</v>
      </c>
      <c r="L3055" s="6">
        <f t="shared" si="189"/>
        <v>45139</v>
      </c>
      <c r="M3055" s="3" t="str">
        <f t="shared" si="190"/>
        <v>11% to 15%</v>
      </c>
      <c r="N3055" s="3" t="str">
        <f t="shared" si="191"/>
        <v>OK</v>
      </c>
    </row>
    <row r="3056" spans="1:14" x14ac:dyDescent="0.3">
      <c r="A3056" s="2">
        <f>DATE(VALUE(RIGHT(TRIM([1]Raw_Data!A3054),4)),VALUE(MID(TRIM([1]Raw_Data!A3054),4,2)),VALUE(LEFT(TRIM([1]Raw_Data!A3054),2)))</f>
        <v>45166</v>
      </c>
      <c r="B3056" s="3" t="str">
        <f>TRIM([1]Raw_Data!B3054)</f>
        <v>Biotin</v>
      </c>
      <c r="C3056" s="3" t="str">
        <f>TRIM([1]Raw_Data!C3054)</f>
        <v>Vitamin</v>
      </c>
      <c r="D3056" s="3">
        <f>[1]Raw_Data!D3054</f>
        <v>166</v>
      </c>
      <c r="E3056" s="4">
        <f>[1]Raw_Data!E3054</f>
        <v>27.1</v>
      </c>
      <c r="F3056" s="5">
        <f>[1]Raw_Data!F3054</f>
        <v>4498.6000000000004</v>
      </c>
      <c r="G3056" s="4">
        <f>[1]Raw_Data!G3054</f>
        <v>0.23</v>
      </c>
      <c r="H3056" s="3">
        <f>[1]Raw_Data!H3054</f>
        <v>2</v>
      </c>
      <c r="I3056" s="3" t="str">
        <f>TRIM([1]Raw_Data!I3054)</f>
        <v>Canada</v>
      </c>
      <c r="J3056" s="3" t="str">
        <f>TRIM([1]Raw_Data!J3054)</f>
        <v>Walmart</v>
      </c>
      <c r="K3056" s="3">
        <f t="shared" si="188"/>
        <v>2023</v>
      </c>
      <c r="L3056" s="6">
        <f t="shared" si="189"/>
        <v>45139</v>
      </c>
      <c r="M3056" s="3" t="str">
        <f t="shared" si="190"/>
        <v>21% to 25%</v>
      </c>
      <c r="N3056" s="3" t="str">
        <f t="shared" si="191"/>
        <v>OK</v>
      </c>
    </row>
    <row r="3057" spans="1:14" x14ac:dyDescent="0.3">
      <c r="A3057" s="2">
        <f>DATE(VALUE(RIGHT(TRIM([1]Raw_Data!A3055),4)),VALUE(MID(TRIM([1]Raw_Data!A3055),4,2)),VALUE(LEFT(TRIM([1]Raw_Data!A3055),2)))</f>
        <v>45166</v>
      </c>
      <c r="B3057" s="3" t="str">
        <f>TRIM([1]Raw_Data!B3055)</f>
        <v>Green Tea Extract</v>
      </c>
      <c r="C3057" s="3" t="str">
        <f>TRIM([1]Raw_Data!C3055)</f>
        <v>Fat Burner</v>
      </c>
      <c r="D3057" s="3">
        <f>[1]Raw_Data!D3055</f>
        <v>137</v>
      </c>
      <c r="E3057" s="4">
        <f>[1]Raw_Data!E3055</f>
        <v>59.54</v>
      </c>
      <c r="F3057" s="5">
        <f>[1]Raw_Data!F3055</f>
        <v>8156.98</v>
      </c>
      <c r="G3057" s="4">
        <f>[1]Raw_Data!G3055</f>
        <v>0.21</v>
      </c>
      <c r="H3057" s="3">
        <f>[1]Raw_Data!H3055</f>
        <v>2</v>
      </c>
      <c r="I3057" s="3" t="str">
        <f>TRIM([1]Raw_Data!I3055)</f>
        <v>UK</v>
      </c>
      <c r="J3057" s="3" t="str">
        <f>TRIM([1]Raw_Data!J3055)</f>
        <v>Walmart</v>
      </c>
      <c r="K3057" s="3">
        <f t="shared" si="188"/>
        <v>2023</v>
      </c>
      <c r="L3057" s="6">
        <f t="shared" si="189"/>
        <v>45139</v>
      </c>
      <c r="M3057" s="3" t="str">
        <f t="shared" si="190"/>
        <v>21% to 25%</v>
      </c>
      <c r="N3057" s="3" t="str">
        <f t="shared" si="191"/>
        <v>OK</v>
      </c>
    </row>
    <row r="3058" spans="1:14" x14ac:dyDescent="0.3">
      <c r="A3058" s="2">
        <f>DATE(VALUE(RIGHT(TRIM([1]Raw_Data!A3056),4)),VALUE(MID(TRIM([1]Raw_Data!A3056),4,2)),VALUE(LEFT(TRIM([1]Raw_Data!A3056),2)))</f>
        <v>45166</v>
      </c>
      <c r="B3058" s="3" t="str">
        <f>TRIM([1]Raw_Data!B3056)</f>
        <v>Iron Supplement</v>
      </c>
      <c r="C3058" s="3" t="str">
        <f>TRIM([1]Raw_Data!C3056)</f>
        <v>Mineral</v>
      </c>
      <c r="D3058" s="3">
        <f>[1]Raw_Data!D3056</f>
        <v>139</v>
      </c>
      <c r="E3058" s="4">
        <f>[1]Raw_Data!E3056</f>
        <v>36.29</v>
      </c>
      <c r="F3058" s="5">
        <f>[1]Raw_Data!F3056</f>
        <v>5044.3100000000004</v>
      </c>
      <c r="G3058" s="4">
        <f>[1]Raw_Data!G3056</f>
        <v>0.22</v>
      </c>
      <c r="H3058" s="3">
        <f>[1]Raw_Data!H3056</f>
        <v>1</v>
      </c>
      <c r="I3058" s="3" t="str">
        <f>TRIM([1]Raw_Data!I3056)</f>
        <v>Canada</v>
      </c>
      <c r="J3058" s="3" t="str">
        <f>TRIM([1]Raw_Data!J3056)</f>
        <v>Amazon</v>
      </c>
      <c r="K3058" s="3">
        <f t="shared" si="188"/>
        <v>2023</v>
      </c>
      <c r="L3058" s="6">
        <f t="shared" si="189"/>
        <v>45139</v>
      </c>
      <c r="M3058" s="3" t="str">
        <f t="shared" si="190"/>
        <v>21% to 25%</v>
      </c>
      <c r="N3058" s="3" t="str">
        <f t="shared" si="191"/>
        <v>OK</v>
      </c>
    </row>
    <row r="3059" spans="1:14" x14ac:dyDescent="0.3">
      <c r="A3059" s="2">
        <f>DATE(VALUE(RIGHT(TRIM([1]Raw_Data!A3057),4)),VALUE(MID(TRIM([1]Raw_Data!A3057),4,2)),VALUE(LEFT(TRIM([1]Raw_Data!A3057),2)))</f>
        <v>45166</v>
      </c>
      <c r="B3059" s="3" t="str">
        <f>TRIM([1]Raw_Data!B3057)</f>
        <v>Electrolyte Powder</v>
      </c>
      <c r="C3059" s="3" t="str">
        <f>TRIM([1]Raw_Data!C3057)</f>
        <v>Hydration</v>
      </c>
      <c r="D3059" s="3">
        <f>[1]Raw_Data!D3057</f>
        <v>126</v>
      </c>
      <c r="E3059" s="4">
        <f>[1]Raw_Data!E3057</f>
        <v>23.49</v>
      </c>
      <c r="F3059" s="5">
        <f>[1]Raw_Data!F3057</f>
        <v>2959.74</v>
      </c>
      <c r="G3059" s="4">
        <f>[1]Raw_Data!G3057</f>
        <v>0.18</v>
      </c>
      <c r="H3059" s="3">
        <f>[1]Raw_Data!H3057</f>
        <v>3</v>
      </c>
      <c r="I3059" s="3" t="str">
        <f>TRIM([1]Raw_Data!I3057)</f>
        <v>Canada</v>
      </c>
      <c r="J3059" s="3" t="str">
        <f>TRIM([1]Raw_Data!J3057)</f>
        <v>Walmart</v>
      </c>
      <c r="K3059" s="3">
        <f t="shared" si="188"/>
        <v>2023</v>
      </c>
      <c r="L3059" s="6">
        <f t="shared" si="189"/>
        <v>45139</v>
      </c>
      <c r="M3059" s="3" t="str">
        <f t="shared" si="190"/>
        <v>16% to 20%</v>
      </c>
      <c r="N3059" s="3" t="str">
        <f t="shared" si="191"/>
        <v>OK</v>
      </c>
    </row>
    <row r="3060" spans="1:14" x14ac:dyDescent="0.3">
      <c r="A3060" s="2">
        <f>DATE(VALUE(RIGHT(TRIM([1]Raw_Data!A3058),4)),VALUE(MID(TRIM([1]Raw_Data!A3058),4,2)),VALUE(LEFT(TRIM([1]Raw_Data!A3058),2)))</f>
        <v>45173</v>
      </c>
      <c r="B3060" s="3" t="str">
        <f>TRIM([1]Raw_Data!B3058)</f>
        <v>Whey Protein</v>
      </c>
      <c r="C3060" s="3" t="str">
        <f>TRIM([1]Raw_Data!C3058)</f>
        <v>Protein</v>
      </c>
      <c r="D3060" s="3">
        <f>[1]Raw_Data!D3058</f>
        <v>157</v>
      </c>
      <c r="E3060" s="4">
        <f>[1]Raw_Data!E3058</f>
        <v>32.65</v>
      </c>
      <c r="F3060" s="5">
        <f>[1]Raw_Data!F3058</f>
        <v>5126.05</v>
      </c>
      <c r="G3060" s="4">
        <f>[1]Raw_Data!G3058</f>
        <v>0.19</v>
      </c>
      <c r="H3060" s="3">
        <f>[1]Raw_Data!H3058</f>
        <v>3</v>
      </c>
      <c r="I3060" s="3" t="str">
        <f>TRIM([1]Raw_Data!I3058)</f>
        <v>UK</v>
      </c>
      <c r="J3060" s="3" t="str">
        <f>TRIM([1]Raw_Data!J3058)</f>
        <v>Walmart</v>
      </c>
      <c r="K3060" s="3">
        <f t="shared" si="188"/>
        <v>2023</v>
      </c>
      <c r="L3060" s="6">
        <f t="shared" si="189"/>
        <v>45170</v>
      </c>
      <c r="M3060" s="3" t="str">
        <f t="shared" si="190"/>
        <v>16% to 20%</v>
      </c>
      <c r="N3060" s="3" t="str">
        <f t="shared" si="191"/>
        <v>OK</v>
      </c>
    </row>
    <row r="3061" spans="1:14" x14ac:dyDescent="0.3">
      <c r="A3061" s="2">
        <f>DATE(VALUE(RIGHT(TRIM([1]Raw_Data!A3059),4)),VALUE(MID(TRIM([1]Raw_Data!A3059),4,2)),VALUE(LEFT(TRIM([1]Raw_Data!A3059),2)))</f>
        <v>45173</v>
      </c>
      <c r="B3061" s="3" t="str">
        <f>TRIM([1]Raw_Data!B3059)</f>
        <v>Vitamin C</v>
      </c>
      <c r="C3061" s="3" t="str">
        <f>TRIM([1]Raw_Data!C3059)</f>
        <v>Vitamin</v>
      </c>
      <c r="D3061" s="3">
        <f>[1]Raw_Data!D3059</f>
        <v>158</v>
      </c>
      <c r="E3061" s="4">
        <f>[1]Raw_Data!E3059</f>
        <v>41.29</v>
      </c>
      <c r="F3061" s="5">
        <f>[1]Raw_Data!F3059</f>
        <v>6523.82</v>
      </c>
      <c r="G3061" s="4">
        <f>[1]Raw_Data!G3059</f>
        <v>0.18</v>
      </c>
      <c r="H3061" s="3">
        <f>[1]Raw_Data!H3059</f>
        <v>1</v>
      </c>
      <c r="I3061" s="3" t="str">
        <f>TRIM([1]Raw_Data!I3059)</f>
        <v>UK</v>
      </c>
      <c r="J3061" s="3" t="str">
        <f>TRIM([1]Raw_Data!J3059)</f>
        <v>Amazon</v>
      </c>
      <c r="K3061" s="3">
        <f t="shared" si="188"/>
        <v>2023</v>
      </c>
      <c r="L3061" s="6">
        <f t="shared" si="189"/>
        <v>45170</v>
      </c>
      <c r="M3061" s="3" t="str">
        <f t="shared" si="190"/>
        <v>16% to 20%</v>
      </c>
      <c r="N3061" s="3" t="str">
        <f t="shared" si="191"/>
        <v>OK</v>
      </c>
    </row>
    <row r="3062" spans="1:14" x14ac:dyDescent="0.3">
      <c r="A3062" s="2">
        <f>DATE(VALUE(RIGHT(TRIM([1]Raw_Data!A3060),4)),VALUE(MID(TRIM([1]Raw_Data!A3060),4,2)),VALUE(LEFT(TRIM([1]Raw_Data!A3060),2)))</f>
        <v>45173</v>
      </c>
      <c r="B3062" s="3" t="str">
        <f>TRIM([1]Raw_Data!B3060)</f>
        <v>Fish Oil</v>
      </c>
      <c r="C3062" s="3" t="str">
        <f>TRIM([1]Raw_Data!C3060)</f>
        <v>Omega</v>
      </c>
      <c r="D3062" s="3">
        <f>[1]Raw_Data!D3060</f>
        <v>149</v>
      </c>
      <c r="E3062" s="4">
        <f>[1]Raw_Data!E3060</f>
        <v>46.85</v>
      </c>
      <c r="F3062" s="5">
        <f>[1]Raw_Data!F3060</f>
        <v>6980.65</v>
      </c>
      <c r="G3062" s="4">
        <f>[1]Raw_Data!G3060</f>
        <v>0.17</v>
      </c>
      <c r="H3062" s="3">
        <f>[1]Raw_Data!H3060</f>
        <v>1</v>
      </c>
      <c r="I3062" s="3" t="str">
        <f>TRIM([1]Raw_Data!I3060)</f>
        <v>Canada</v>
      </c>
      <c r="J3062" s="3" t="str">
        <f>TRIM([1]Raw_Data!J3060)</f>
        <v>iHerb</v>
      </c>
      <c r="K3062" s="3">
        <f t="shared" si="188"/>
        <v>2023</v>
      </c>
      <c r="L3062" s="6">
        <f t="shared" si="189"/>
        <v>45170</v>
      </c>
      <c r="M3062" s="3" t="str">
        <f t="shared" si="190"/>
        <v>16% to 20%</v>
      </c>
      <c r="N3062" s="3" t="str">
        <f t="shared" si="191"/>
        <v>OK</v>
      </c>
    </row>
    <row r="3063" spans="1:14" x14ac:dyDescent="0.3">
      <c r="A3063" s="2">
        <f>DATE(VALUE(RIGHT(TRIM([1]Raw_Data!A3061),4)),VALUE(MID(TRIM([1]Raw_Data!A3061),4,2)),VALUE(LEFT(TRIM([1]Raw_Data!A3061),2)))</f>
        <v>45173</v>
      </c>
      <c r="B3063" s="3" t="str">
        <f>TRIM([1]Raw_Data!B3061)</f>
        <v>Multivitamin</v>
      </c>
      <c r="C3063" s="3" t="str">
        <f>TRIM([1]Raw_Data!C3061)</f>
        <v>Vitamin</v>
      </c>
      <c r="D3063" s="3">
        <f>[1]Raw_Data!D3061</f>
        <v>167</v>
      </c>
      <c r="E3063" s="4">
        <f>[1]Raw_Data!E3061</f>
        <v>13.06</v>
      </c>
      <c r="F3063" s="5">
        <f>[1]Raw_Data!F3061</f>
        <v>2181.02</v>
      </c>
      <c r="G3063" s="4">
        <f>[1]Raw_Data!G3061</f>
        <v>0.21</v>
      </c>
      <c r="H3063" s="3">
        <f>[1]Raw_Data!H3061</f>
        <v>2</v>
      </c>
      <c r="I3063" s="3" t="str">
        <f>TRIM([1]Raw_Data!I3061)</f>
        <v>UK</v>
      </c>
      <c r="J3063" s="3" t="str">
        <f>TRIM([1]Raw_Data!J3061)</f>
        <v>Amazon</v>
      </c>
      <c r="K3063" s="3">
        <f t="shared" si="188"/>
        <v>2023</v>
      </c>
      <c r="L3063" s="6">
        <f t="shared" si="189"/>
        <v>45170</v>
      </c>
      <c r="M3063" s="3" t="str">
        <f t="shared" si="190"/>
        <v>21% to 25%</v>
      </c>
      <c r="N3063" s="3" t="str">
        <f t="shared" si="191"/>
        <v>OK</v>
      </c>
    </row>
    <row r="3064" spans="1:14" x14ac:dyDescent="0.3">
      <c r="A3064" s="2">
        <f>DATE(VALUE(RIGHT(TRIM([1]Raw_Data!A3062),4)),VALUE(MID(TRIM([1]Raw_Data!A3062),4,2)),VALUE(LEFT(TRIM([1]Raw_Data!A3062),2)))</f>
        <v>45173</v>
      </c>
      <c r="B3064" s="3" t="str">
        <f>TRIM([1]Raw_Data!B3062)</f>
        <v>Pre-Workout</v>
      </c>
      <c r="C3064" s="3" t="str">
        <f>TRIM([1]Raw_Data!C3062)</f>
        <v>Performance</v>
      </c>
      <c r="D3064" s="3">
        <f>[1]Raw_Data!D3062</f>
        <v>164</v>
      </c>
      <c r="E3064" s="4">
        <f>[1]Raw_Data!E3062</f>
        <v>11.54</v>
      </c>
      <c r="F3064" s="5">
        <f>[1]Raw_Data!F3062</f>
        <v>1892.56</v>
      </c>
      <c r="G3064" s="4">
        <f>[1]Raw_Data!G3062</f>
        <v>0.23</v>
      </c>
      <c r="H3064" s="3">
        <f>[1]Raw_Data!H3062</f>
        <v>0</v>
      </c>
      <c r="I3064" s="3" t="str">
        <f>TRIM([1]Raw_Data!I3062)</f>
        <v>USA</v>
      </c>
      <c r="J3064" s="3" t="str">
        <f>TRIM([1]Raw_Data!J3062)</f>
        <v>Walmart</v>
      </c>
      <c r="K3064" s="3">
        <f t="shared" si="188"/>
        <v>2023</v>
      </c>
      <c r="L3064" s="6">
        <f t="shared" si="189"/>
        <v>45170</v>
      </c>
      <c r="M3064" s="3" t="str">
        <f t="shared" si="190"/>
        <v>21% to 25%</v>
      </c>
      <c r="N3064" s="3" t="str">
        <f t="shared" si="191"/>
        <v>OK</v>
      </c>
    </row>
    <row r="3065" spans="1:14" x14ac:dyDescent="0.3">
      <c r="A3065" s="2">
        <f>DATE(VALUE(RIGHT(TRIM([1]Raw_Data!A3063),4)),VALUE(MID(TRIM([1]Raw_Data!A3063),4,2)),VALUE(LEFT(TRIM([1]Raw_Data!A3063),2)))</f>
        <v>45173</v>
      </c>
      <c r="B3065" s="3" t="str">
        <f>TRIM([1]Raw_Data!B3063)</f>
        <v>BCAA</v>
      </c>
      <c r="C3065" s="3" t="str">
        <f>TRIM([1]Raw_Data!C3063)</f>
        <v>Amino Acid</v>
      </c>
      <c r="D3065" s="3">
        <f>[1]Raw_Data!D3063</f>
        <v>162</v>
      </c>
      <c r="E3065" s="4">
        <f>[1]Raw_Data!E3063</f>
        <v>45.44</v>
      </c>
      <c r="F3065" s="5">
        <f>[1]Raw_Data!F3063</f>
        <v>7361.28</v>
      </c>
      <c r="G3065" s="4">
        <f>[1]Raw_Data!G3063</f>
        <v>0.03</v>
      </c>
      <c r="H3065" s="3">
        <f>[1]Raw_Data!H3063</f>
        <v>2</v>
      </c>
      <c r="I3065" s="3" t="str">
        <f>TRIM([1]Raw_Data!I3063)</f>
        <v>UK</v>
      </c>
      <c r="J3065" s="3" t="str">
        <f>TRIM([1]Raw_Data!J3063)</f>
        <v>iHerb</v>
      </c>
      <c r="K3065" s="3">
        <f t="shared" si="188"/>
        <v>2023</v>
      </c>
      <c r="L3065" s="6">
        <f t="shared" si="189"/>
        <v>45170</v>
      </c>
      <c r="M3065" s="3" t="str">
        <f t="shared" si="190"/>
        <v>0% to 5%</v>
      </c>
      <c r="N3065" s="3" t="str">
        <f t="shared" si="191"/>
        <v>OK</v>
      </c>
    </row>
    <row r="3066" spans="1:14" x14ac:dyDescent="0.3">
      <c r="A3066" s="2">
        <f>DATE(VALUE(RIGHT(TRIM([1]Raw_Data!A3064),4)),VALUE(MID(TRIM([1]Raw_Data!A3064),4,2)),VALUE(LEFT(TRIM([1]Raw_Data!A3064),2)))</f>
        <v>45173</v>
      </c>
      <c r="B3066" s="3" t="str">
        <f>TRIM([1]Raw_Data!B3064)</f>
        <v>Creatine</v>
      </c>
      <c r="C3066" s="3" t="str">
        <f>TRIM([1]Raw_Data!C3064)</f>
        <v>Performance</v>
      </c>
      <c r="D3066" s="3">
        <f>[1]Raw_Data!D3064</f>
        <v>167</v>
      </c>
      <c r="E3066" s="4">
        <f>[1]Raw_Data!E3064</f>
        <v>30.68</v>
      </c>
      <c r="F3066" s="5">
        <f>[1]Raw_Data!F3064</f>
        <v>5123.5600000000004</v>
      </c>
      <c r="G3066" s="4">
        <f>[1]Raw_Data!G3064</f>
        <v>0.11</v>
      </c>
      <c r="H3066" s="3">
        <f>[1]Raw_Data!H3064</f>
        <v>0</v>
      </c>
      <c r="I3066" s="3" t="str">
        <f>TRIM([1]Raw_Data!I3064)</f>
        <v>UK</v>
      </c>
      <c r="J3066" s="3" t="str">
        <f>TRIM([1]Raw_Data!J3064)</f>
        <v>Walmart</v>
      </c>
      <c r="K3066" s="3">
        <f t="shared" si="188"/>
        <v>2023</v>
      </c>
      <c r="L3066" s="6">
        <f t="shared" si="189"/>
        <v>45170</v>
      </c>
      <c r="M3066" s="3" t="str">
        <f t="shared" si="190"/>
        <v>11% to 15%</v>
      </c>
      <c r="N3066" s="3" t="str">
        <f t="shared" si="191"/>
        <v>OK</v>
      </c>
    </row>
    <row r="3067" spans="1:14" x14ac:dyDescent="0.3">
      <c r="A3067" s="2">
        <f>DATE(VALUE(RIGHT(TRIM([1]Raw_Data!A3065),4)),VALUE(MID(TRIM([1]Raw_Data!A3065),4,2)),VALUE(LEFT(TRIM([1]Raw_Data!A3065),2)))</f>
        <v>45173</v>
      </c>
      <c r="B3067" s="3" t="str">
        <f>TRIM([1]Raw_Data!B3065)</f>
        <v>Zinc</v>
      </c>
      <c r="C3067" s="3" t="str">
        <f>TRIM([1]Raw_Data!C3065)</f>
        <v>Mineral</v>
      </c>
      <c r="D3067" s="3">
        <f>[1]Raw_Data!D3065</f>
        <v>168</v>
      </c>
      <c r="E3067" s="4">
        <f>[1]Raw_Data!E3065</f>
        <v>59.9</v>
      </c>
      <c r="F3067" s="5">
        <f>[1]Raw_Data!F3065</f>
        <v>10063.200000000001</v>
      </c>
      <c r="G3067" s="4">
        <f>[1]Raw_Data!G3065</f>
        <v>0.15</v>
      </c>
      <c r="H3067" s="3">
        <f>[1]Raw_Data!H3065</f>
        <v>2</v>
      </c>
      <c r="I3067" s="3" t="str">
        <f>TRIM([1]Raw_Data!I3065)</f>
        <v>USA</v>
      </c>
      <c r="J3067" s="3" t="str">
        <f>TRIM([1]Raw_Data!J3065)</f>
        <v>Amazon</v>
      </c>
      <c r="K3067" s="3">
        <f t="shared" si="188"/>
        <v>2023</v>
      </c>
      <c r="L3067" s="6">
        <f t="shared" si="189"/>
        <v>45170</v>
      </c>
      <c r="M3067" s="3" t="str">
        <f t="shared" si="190"/>
        <v>11% to 15%</v>
      </c>
      <c r="N3067" s="3" t="str">
        <f t="shared" si="191"/>
        <v>OK</v>
      </c>
    </row>
    <row r="3068" spans="1:14" x14ac:dyDescent="0.3">
      <c r="A3068" s="2">
        <f>DATE(VALUE(RIGHT(TRIM([1]Raw_Data!A3066),4)),VALUE(MID(TRIM([1]Raw_Data!A3066),4,2)),VALUE(LEFT(TRIM([1]Raw_Data!A3066),2)))</f>
        <v>45173</v>
      </c>
      <c r="B3068" s="3" t="str">
        <f>TRIM([1]Raw_Data!B3066)</f>
        <v>Collagen Peptides</v>
      </c>
      <c r="C3068" s="3" t="str">
        <f>TRIM([1]Raw_Data!C3066)</f>
        <v>Protein</v>
      </c>
      <c r="D3068" s="3">
        <f>[1]Raw_Data!D3066</f>
        <v>138</v>
      </c>
      <c r="E3068" s="4">
        <f>[1]Raw_Data!E3066</f>
        <v>42.49</v>
      </c>
      <c r="F3068" s="5">
        <f>[1]Raw_Data!F3066</f>
        <v>5863.62</v>
      </c>
      <c r="G3068" s="4">
        <f>[1]Raw_Data!G3066</f>
        <v>0.23</v>
      </c>
      <c r="H3068" s="3">
        <f>[1]Raw_Data!H3066</f>
        <v>2</v>
      </c>
      <c r="I3068" s="3" t="str">
        <f>TRIM([1]Raw_Data!I3066)</f>
        <v>Canada</v>
      </c>
      <c r="J3068" s="3" t="str">
        <f>TRIM([1]Raw_Data!J3066)</f>
        <v>iHerb</v>
      </c>
      <c r="K3068" s="3">
        <f t="shared" si="188"/>
        <v>2023</v>
      </c>
      <c r="L3068" s="6">
        <f t="shared" si="189"/>
        <v>45170</v>
      </c>
      <c r="M3068" s="3" t="str">
        <f t="shared" si="190"/>
        <v>21% to 25%</v>
      </c>
      <c r="N3068" s="3" t="str">
        <f t="shared" si="191"/>
        <v>OK</v>
      </c>
    </row>
    <row r="3069" spans="1:14" x14ac:dyDescent="0.3">
      <c r="A3069" s="2">
        <f>DATE(VALUE(RIGHT(TRIM([1]Raw_Data!A3067),4)),VALUE(MID(TRIM([1]Raw_Data!A3067),4,2)),VALUE(LEFT(TRIM([1]Raw_Data!A3067),2)))</f>
        <v>45173</v>
      </c>
      <c r="B3069" s="3" t="str">
        <f>TRIM([1]Raw_Data!B3067)</f>
        <v>Magnesium</v>
      </c>
      <c r="C3069" s="3" t="str">
        <f>TRIM([1]Raw_Data!C3067)</f>
        <v>Mineral</v>
      </c>
      <c r="D3069" s="3">
        <f>[1]Raw_Data!D3067</f>
        <v>174</v>
      </c>
      <c r="E3069" s="4">
        <f>[1]Raw_Data!E3067</f>
        <v>53.43</v>
      </c>
      <c r="F3069" s="5">
        <f>[1]Raw_Data!F3067</f>
        <v>9296.82</v>
      </c>
      <c r="G3069" s="4">
        <f>[1]Raw_Data!G3067</f>
        <v>0.02</v>
      </c>
      <c r="H3069" s="3">
        <f>[1]Raw_Data!H3067</f>
        <v>3</v>
      </c>
      <c r="I3069" s="3" t="str">
        <f>TRIM([1]Raw_Data!I3067)</f>
        <v>USA</v>
      </c>
      <c r="J3069" s="3" t="str">
        <f>TRIM([1]Raw_Data!J3067)</f>
        <v>Walmart</v>
      </c>
      <c r="K3069" s="3">
        <f t="shared" si="188"/>
        <v>2023</v>
      </c>
      <c r="L3069" s="6">
        <f t="shared" si="189"/>
        <v>45170</v>
      </c>
      <c r="M3069" s="3" t="str">
        <f t="shared" si="190"/>
        <v>0% to 5%</v>
      </c>
      <c r="N3069" s="3" t="str">
        <f t="shared" si="191"/>
        <v>OK</v>
      </c>
    </row>
    <row r="3070" spans="1:14" x14ac:dyDescent="0.3">
      <c r="A3070" s="2">
        <f>DATE(VALUE(RIGHT(TRIM([1]Raw_Data!A3068),4)),VALUE(MID(TRIM([1]Raw_Data!A3068),4,2)),VALUE(LEFT(TRIM([1]Raw_Data!A3068),2)))</f>
        <v>45173</v>
      </c>
      <c r="B3070" s="3" t="str">
        <f>TRIM([1]Raw_Data!B3068)</f>
        <v>Ashwagandha</v>
      </c>
      <c r="C3070" s="3" t="str">
        <f>TRIM([1]Raw_Data!C3068)</f>
        <v>Herbal</v>
      </c>
      <c r="D3070" s="3">
        <f>[1]Raw_Data!D3068</f>
        <v>154</v>
      </c>
      <c r="E3070" s="4">
        <f>[1]Raw_Data!E3068</f>
        <v>12.83</v>
      </c>
      <c r="F3070" s="5">
        <f>[1]Raw_Data!F3068</f>
        <v>1975.82</v>
      </c>
      <c r="G3070" s="4">
        <f>[1]Raw_Data!G3068</f>
        <v>0.17</v>
      </c>
      <c r="H3070" s="3">
        <f>[1]Raw_Data!H3068</f>
        <v>1</v>
      </c>
      <c r="I3070" s="3" t="str">
        <f>TRIM([1]Raw_Data!I3068)</f>
        <v>UK</v>
      </c>
      <c r="J3070" s="3" t="str">
        <f>TRIM([1]Raw_Data!J3068)</f>
        <v>Amazon</v>
      </c>
      <c r="K3070" s="3">
        <f t="shared" si="188"/>
        <v>2023</v>
      </c>
      <c r="L3070" s="6">
        <f t="shared" si="189"/>
        <v>45170</v>
      </c>
      <c r="M3070" s="3" t="str">
        <f t="shared" si="190"/>
        <v>16% to 20%</v>
      </c>
      <c r="N3070" s="3" t="str">
        <f t="shared" si="191"/>
        <v>OK</v>
      </c>
    </row>
    <row r="3071" spans="1:14" x14ac:dyDescent="0.3">
      <c r="A3071" s="2">
        <f>DATE(VALUE(RIGHT(TRIM([1]Raw_Data!A3069),4)),VALUE(MID(TRIM([1]Raw_Data!A3069),4,2)),VALUE(LEFT(TRIM([1]Raw_Data!A3069),2)))</f>
        <v>45173</v>
      </c>
      <c r="B3071" s="3" t="str">
        <f>TRIM([1]Raw_Data!B3069)</f>
        <v>Melatonin</v>
      </c>
      <c r="C3071" s="3" t="str">
        <f>TRIM([1]Raw_Data!C3069)</f>
        <v>Sleep Aid</v>
      </c>
      <c r="D3071" s="3">
        <f>[1]Raw_Data!D3069</f>
        <v>149</v>
      </c>
      <c r="E3071" s="4">
        <f>[1]Raw_Data!E3069</f>
        <v>55.59</v>
      </c>
      <c r="F3071" s="5">
        <f>[1]Raw_Data!F3069</f>
        <v>8282.91</v>
      </c>
      <c r="G3071" s="4">
        <f>[1]Raw_Data!G3069</f>
        <v>0.21</v>
      </c>
      <c r="H3071" s="3">
        <f>[1]Raw_Data!H3069</f>
        <v>1</v>
      </c>
      <c r="I3071" s="3" t="str">
        <f>TRIM([1]Raw_Data!I3069)</f>
        <v>USA</v>
      </c>
      <c r="J3071" s="3" t="str">
        <f>TRIM([1]Raw_Data!J3069)</f>
        <v>Walmart</v>
      </c>
      <c r="K3071" s="3">
        <f t="shared" si="188"/>
        <v>2023</v>
      </c>
      <c r="L3071" s="6">
        <f t="shared" si="189"/>
        <v>45170</v>
      </c>
      <c r="M3071" s="3" t="str">
        <f t="shared" si="190"/>
        <v>21% to 25%</v>
      </c>
      <c r="N3071" s="3" t="str">
        <f t="shared" si="191"/>
        <v>OK</v>
      </c>
    </row>
    <row r="3072" spans="1:14" x14ac:dyDescent="0.3">
      <c r="A3072" s="2">
        <f>DATE(VALUE(RIGHT(TRIM([1]Raw_Data!A3070),4)),VALUE(MID(TRIM([1]Raw_Data!A3070),4,2)),VALUE(LEFT(TRIM([1]Raw_Data!A3070),2)))</f>
        <v>45173</v>
      </c>
      <c r="B3072" s="3" t="str">
        <f>TRIM([1]Raw_Data!B3070)</f>
        <v>Biotin</v>
      </c>
      <c r="C3072" s="3" t="str">
        <f>TRIM([1]Raw_Data!C3070)</f>
        <v>Vitamin</v>
      </c>
      <c r="D3072" s="3">
        <f>[1]Raw_Data!D3070</f>
        <v>146</v>
      </c>
      <c r="E3072" s="4">
        <f>[1]Raw_Data!E3070</f>
        <v>28.62</v>
      </c>
      <c r="F3072" s="5">
        <f>[1]Raw_Data!F3070</f>
        <v>4178.5200000000004</v>
      </c>
      <c r="G3072" s="4">
        <f>[1]Raw_Data!G3070</f>
        <v>0.03</v>
      </c>
      <c r="H3072" s="3">
        <f>[1]Raw_Data!H3070</f>
        <v>4</v>
      </c>
      <c r="I3072" s="3" t="str">
        <f>TRIM([1]Raw_Data!I3070)</f>
        <v>UK</v>
      </c>
      <c r="J3072" s="3" t="str">
        <f>TRIM([1]Raw_Data!J3070)</f>
        <v>Amazon</v>
      </c>
      <c r="K3072" s="3">
        <f t="shared" si="188"/>
        <v>2023</v>
      </c>
      <c r="L3072" s="6">
        <f t="shared" si="189"/>
        <v>45170</v>
      </c>
      <c r="M3072" s="3" t="str">
        <f t="shared" si="190"/>
        <v>0% to 5%</v>
      </c>
      <c r="N3072" s="3" t="str">
        <f t="shared" si="191"/>
        <v>OK</v>
      </c>
    </row>
    <row r="3073" spans="1:14" x14ac:dyDescent="0.3">
      <c r="A3073" s="2">
        <f>DATE(VALUE(RIGHT(TRIM([1]Raw_Data!A3071),4)),VALUE(MID(TRIM([1]Raw_Data!A3071),4,2)),VALUE(LEFT(TRIM([1]Raw_Data!A3071),2)))</f>
        <v>45173</v>
      </c>
      <c r="B3073" s="3" t="str">
        <f>TRIM([1]Raw_Data!B3071)</f>
        <v>Green Tea Extract</v>
      </c>
      <c r="C3073" s="3" t="str">
        <f>TRIM([1]Raw_Data!C3071)</f>
        <v>Fat Burner</v>
      </c>
      <c r="D3073" s="3">
        <f>[1]Raw_Data!D3071</f>
        <v>153</v>
      </c>
      <c r="E3073" s="4">
        <f>[1]Raw_Data!E3071</f>
        <v>27.64</v>
      </c>
      <c r="F3073" s="5">
        <f>[1]Raw_Data!F3071</f>
        <v>4228.92</v>
      </c>
      <c r="G3073" s="4">
        <f>[1]Raw_Data!G3071</f>
        <v>0.14000000000000001</v>
      </c>
      <c r="H3073" s="3">
        <f>[1]Raw_Data!H3071</f>
        <v>1</v>
      </c>
      <c r="I3073" s="3" t="str">
        <f>TRIM([1]Raw_Data!I3071)</f>
        <v>Canada</v>
      </c>
      <c r="J3073" s="3" t="str">
        <f>TRIM([1]Raw_Data!J3071)</f>
        <v>Walmart</v>
      </c>
      <c r="K3073" s="3">
        <f t="shared" si="188"/>
        <v>2023</v>
      </c>
      <c r="L3073" s="6">
        <f t="shared" si="189"/>
        <v>45170</v>
      </c>
      <c r="M3073" s="3" t="str">
        <f t="shared" si="190"/>
        <v>11% to 15%</v>
      </c>
      <c r="N3073" s="3" t="str">
        <f t="shared" si="191"/>
        <v>OK</v>
      </c>
    </row>
    <row r="3074" spans="1:14" x14ac:dyDescent="0.3">
      <c r="A3074" s="2">
        <f>DATE(VALUE(RIGHT(TRIM([1]Raw_Data!A3072),4)),VALUE(MID(TRIM([1]Raw_Data!A3072),4,2)),VALUE(LEFT(TRIM([1]Raw_Data!A3072),2)))</f>
        <v>45173</v>
      </c>
      <c r="B3074" s="3" t="str">
        <f>TRIM([1]Raw_Data!B3072)</f>
        <v>Iron Supplement</v>
      </c>
      <c r="C3074" s="3" t="str">
        <f>TRIM([1]Raw_Data!C3072)</f>
        <v>Mineral</v>
      </c>
      <c r="D3074" s="3">
        <f>[1]Raw_Data!D3072</f>
        <v>142</v>
      </c>
      <c r="E3074" s="4">
        <f>[1]Raw_Data!E3072</f>
        <v>13.82</v>
      </c>
      <c r="F3074" s="5">
        <f>[1]Raw_Data!F3072</f>
        <v>1962.44</v>
      </c>
      <c r="G3074" s="4">
        <f>[1]Raw_Data!G3072</f>
        <v>0.15</v>
      </c>
      <c r="H3074" s="3">
        <f>[1]Raw_Data!H3072</f>
        <v>0</v>
      </c>
      <c r="I3074" s="3" t="str">
        <f>TRIM([1]Raw_Data!I3072)</f>
        <v>Canada</v>
      </c>
      <c r="J3074" s="3" t="str">
        <f>TRIM([1]Raw_Data!J3072)</f>
        <v>Amazon</v>
      </c>
      <c r="K3074" s="3">
        <f t="shared" si="188"/>
        <v>2023</v>
      </c>
      <c r="L3074" s="6">
        <f t="shared" si="189"/>
        <v>45170</v>
      </c>
      <c r="M3074" s="3" t="str">
        <f t="shared" si="190"/>
        <v>11% to 15%</v>
      </c>
      <c r="N3074" s="3" t="str">
        <f t="shared" si="191"/>
        <v>OK</v>
      </c>
    </row>
    <row r="3075" spans="1:14" x14ac:dyDescent="0.3">
      <c r="A3075" s="2">
        <f>DATE(VALUE(RIGHT(TRIM([1]Raw_Data!A3073),4)),VALUE(MID(TRIM([1]Raw_Data!A3073),4,2)),VALUE(LEFT(TRIM([1]Raw_Data!A3073),2)))</f>
        <v>45173</v>
      </c>
      <c r="B3075" s="3" t="str">
        <f>TRIM([1]Raw_Data!B3073)</f>
        <v>Electrolyte Powder</v>
      </c>
      <c r="C3075" s="3" t="str">
        <f>TRIM([1]Raw_Data!C3073)</f>
        <v>Hydration</v>
      </c>
      <c r="D3075" s="3">
        <f>[1]Raw_Data!D3073</f>
        <v>119</v>
      </c>
      <c r="E3075" s="4">
        <f>[1]Raw_Data!E3073</f>
        <v>41.14</v>
      </c>
      <c r="F3075" s="5">
        <f>[1]Raw_Data!F3073</f>
        <v>4895.66</v>
      </c>
      <c r="G3075" s="4">
        <f>[1]Raw_Data!G3073</f>
        <v>0.03</v>
      </c>
      <c r="H3075" s="3">
        <f>[1]Raw_Data!H3073</f>
        <v>1</v>
      </c>
      <c r="I3075" s="3" t="str">
        <f>TRIM([1]Raw_Data!I3073)</f>
        <v>UK</v>
      </c>
      <c r="J3075" s="3" t="str">
        <f>TRIM([1]Raw_Data!J3073)</f>
        <v>Amazon</v>
      </c>
      <c r="K3075" s="3">
        <f t="shared" si="188"/>
        <v>2023</v>
      </c>
      <c r="L3075" s="6">
        <f t="shared" si="189"/>
        <v>45170</v>
      </c>
      <c r="M3075" s="3" t="str">
        <f t="shared" si="190"/>
        <v>0% to 5%</v>
      </c>
      <c r="N3075" s="3" t="str">
        <f t="shared" si="191"/>
        <v>OK</v>
      </c>
    </row>
    <row r="3076" spans="1:14" x14ac:dyDescent="0.3">
      <c r="A3076" s="2">
        <f>DATE(VALUE(RIGHT(TRIM([1]Raw_Data!A3074),4)),VALUE(MID(TRIM([1]Raw_Data!A3074),4,2)),VALUE(LEFT(TRIM([1]Raw_Data!A3074),2)))</f>
        <v>45180</v>
      </c>
      <c r="B3076" s="3" t="str">
        <f>TRIM([1]Raw_Data!B3074)</f>
        <v>Whey Protein</v>
      </c>
      <c r="C3076" s="3" t="str">
        <f>TRIM([1]Raw_Data!C3074)</f>
        <v>Protein</v>
      </c>
      <c r="D3076" s="3">
        <f>[1]Raw_Data!D3074</f>
        <v>147</v>
      </c>
      <c r="E3076" s="4">
        <f>[1]Raw_Data!E3074</f>
        <v>35.299999999999997</v>
      </c>
      <c r="F3076" s="5">
        <f>[1]Raw_Data!F3074</f>
        <v>5189.1000000000004</v>
      </c>
      <c r="G3076" s="4">
        <f>[1]Raw_Data!G3074</f>
        <v>0.02</v>
      </c>
      <c r="H3076" s="3">
        <f>[1]Raw_Data!H3074</f>
        <v>0</v>
      </c>
      <c r="I3076" s="3" t="str">
        <f>TRIM([1]Raw_Data!I3074)</f>
        <v>USA</v>
      </c>
      <c r="J3076" s="3" t="str">
        <f>TRIM([1]Raw_Data!J3074)</f>
        <v>iHerb</v>
      </c>
      <c r="K3076" s="3">
        <f t="shared" ref="K3076:K3139" si="192">YEAR(A3076)</f>
        <v>2023</v>
      </c>
      <c r="L3076" s="6">
        <f t="shared" ref="L3076:L3139" si="193">DATE(YEAR(A3076),MONTH(A3076),1)</f>
        <v>45170</v>
      </c>
      <c r="M3076" s="3" t="str">
        <f t="shared" ref="M3076:M3139" si="194">IF(ROUND(G3076*100,0)&lt;=5,"0% to 5%",IF(ROUND(G3076*100,0)&lt;=10,"6% to 10%",IF(ROUND(G3076*100,0)&lt;=15,"11% to 15%",IF(ROUND(G3076*100,0)&lt;=20,"16% to 20%","21% to 25%"))))</f>
        <v>0% to 5%</v>
      </c>
      <c r="N3076" s="3" t="str">
        <f t="shared" ref="N3076:N3139" si="195">IF(ROUND(D3076*E3076,2)=ROUND(F3076,2),"OK","Check")</f>
        <v>OK</v>
      </c>
    </row>
    <row r="3077" spans="1:14" x14ac:dyDescent="0.3">
      <c r="A3077" s="2">
        <f>DATE(VALUE(RIGHT(TRIM([1]Raw_Data!A3075),4)),VALUE(MID(TRIM([1]Raw_Data!A3075),4,2)),VALUE(LEFT(TRIM([1]Raw_Data!A3075),2)))</f>
        <v>45180</v>
      </c>
      <c r="B3077" s="3" t="str">
        <f>TRIM([1]Raw_Data!B3075)</f>
        <v>Vitamin C</v>
      </c>
      <c r="C3077" s="3" t="str">
        <f>TRIM([1]Raw_Data!C3075)</f>
        <v>Vitamin</v>
      </c>
      <c r="D3077" s="3">
        <f>[1]Raw_Data!D3075</f>
        <v>151</v>
      </c>
      <c r="E3077" s="4">
        <f>[1]Raw_Data!E3075</f>
        <v>14.77</v>
      </c>
      <c r="F3077" s="5">
        <f>[1]Raw_Data!F3075</f>
        <v>2230.27</v>
      </c>
      <c r="G3077" s="4">
        <f>[1]Raw_Data!G3075</f>
        <v>0.11</v>
      </c>
      <c r="H3077" s="3">
        <f>[1]Raw_Data!H3075</f>
        <v>3</v>
      </c>
      <c r="I3077" s="3" t="str">
        <f>TRIM([1]Raw_Data!I3075)</f>
        <v>UK</v>
      </c>
      <c r="J3077" s="3" t="str">
        <f>TRIM([1]Raw_Data!J3075)</f>
        <v>Walmart</v>
      </c>
      <c r="K3077" s="3">
        <f t="shared" si="192"/>
        <v>2023</v>
      </c>
      <c r="L3077" s="6">
        <f t="shared" si="193"/>
        <v>45170</v>
      </c>
      <c r="M3077" s="3" t="str">
        <f t="shared" si="194"/>
        <v>11% to 15%</v>
      </c>
      <c r="N3077" s="3" t="str">
        <f t="shared" si="195"/>
        <v>OK</v>
      </c>
    </row>
    <row r="3078" spans="1:14" x14ac:dyDescent="0.3">
      <c r="A3078" s="2">
        <f>DATE(VALUE(RIGHT(TRIM([1]Raw_Data!A3076),4)),VALUE(MID(TRIM([1]Raw_Data!A3076),4,2)),VALUE(LEFT(TRIM([1]Raw_Data!A3076),2)))</f>
        <v>45180</v>
      </c>
      <c r="B3078" s="3" t="str">
        <f>TRIM([1]Raw_Data!B3076)</f>
        <v>Fish Oil</v>
      </c>
      <c r="C3078" s="3" t="str">
        <f>TRIM([1]Raw_Data!C3076)</f>
        <v>Omega</v>
      </c>
      <c r="D3078" s="3">
        <f>[1]Raw_Data!D3076</f>
        <v>158</v>
      </c>
      <c r="E3078" s="4">
        <f>[1]Raw_Data!E3076</f>
        <v>53.6</v>
      </c>
      <c r="F3078" s="5">
        <f>[1]Raw_Data!F3076</f>
        <v>8468.7999999999993</v>
      </c>
      <c r="G3078" s="4">
        <f>[1]Raw_Data!G3076</f>
        <v>0.24</v>
      </c>
      <c r="H3078" s="3">
        <f>[1]Raw_Data!H3076</f>
        <v>2</v>
      </c>
      <c r="I3078" s="3" t="str">
        <f>TRIM([1]Raw_Data!I3076)</f>
        <v>Canada</v>
      </c>
      <c r="J3078" s="3" t="str">
        <f>TRIM([1]Raw_Data!J3076)</f>
        <v>iHerb</v>
      </c>
      <c r="K3078" s="3">
        <f t="shared" si="192"/>
        <v>2023</v>
      </c>
      <c r="L3078" s="6">
        <f t="shared" si="193"/>
        <v>45170</v>
      </c>
      <c r="M3078" s="3" t="str">
        <f t="shared" si="194"/>
        <v>21% to 25%</v>
      </c>
      <c r="N3078" s="3" t="str">
        <f t="shared" si="195"/>
        <v>OK</v>
      </c>
    </row>
    <row r="3079" spans="1:14" x14ac:dyDescent="0.3">
      <c r="A3079" s="2">
        <f>DATE(VALUE(RIGHT(TRIM([1]Raw_Data!A3077),4)),VALUE(MID(TRIM([1]Raw_Data!A3077),4,2)),VALUE(LEFT(TRIM([1]Raw_Data!A3077),2)))</f>
        <v>45180</v>
      </c>
      <c r="B3079" s="3" t="str">
        <f>TRIM([1]Raw_Data!B3077)</f>
        <v>Multivitamin</v>
      </c>
      <c r="C3079" s="3" t="str">
        <f>TRIM([1]Raw_Data!C3077)</f>
        <v>Vitamin</v>
      </c>
      <c r="D3079" s="3">
        <f>[1]Raw_Data!D3077</f>
        <v>154</v>
      </c>
      <c r="E3079" s="4">
        <f>[1]Raw_Data!E3077</f>
        <v>19.079999999999998</v>
      </c>
      <c r="F3079" s="5">
        <f>[1]Raw_Data!F3077</f>
        <v>2938.32</v>
      </c>
      <c r="G3079" s="4">
        <f>[1]Raw_Data!G3077</f>
        <v>0.17</v>
      </c>
      <c r="H3079" s="3">
        <f>[1]Raw_Data!H3077</f>
        <v>5</v>
      </c>
      <c r="I3079" s="3" t="str">
        <f>TRIM([1]Raw_Data!I3077)</f>
        <v>USA</v>
      </c>
      <c r="J3079" s="3" t="str">
        <f>TRIM([1]Raw_Data!J3077)</f>
        <v>iHerb</v>
      </c>
      <c r="K3079" s="3">
        <f t="shared" si="192"/>
        <v>2023</v>
      </c>
      <c r="L3079" s="6">
        <f t="shared" si="193"/>
        <v>45170</v>
      </c>
      <c r="M3079" s="3" t="str">
        <f t="shared" si="194"/>
        <v>16% to 20%</v>
      </c>
      <c r="N3079" s="3" t="str">
        <f t="shared" si="195"/>
        <v>OK</v>
      </c>
    </row>
    <row r="3080" spans="1:14" x14ac:dyDescent="0.3">
      <c r="A3080" s="2">
        <f>DATE(VALUE(RIGHT(TRIM([1]Raw_Data!A3078),4)),VALUE(MID(TRIM([1]Raw_Data!A3078),4,2)),VALUE(LEFT(TRIM([1]Raw_Data!A3078),2)))</f>
        <v>45180</v>
      </c>
      <c r="B3080" s="3" t="str">
        <f>TRIM([1]Raw_Data!B3078)</f>
        <v>Pre-Workout</v>
      </c>
      <c r="C3080" s="3" t="str">
        <f>TRIM([1]Raw_Data!C3078)</f>
        <v>Performance</v>
      </c>
      <c r="D3080" s="3">
        <f>[1]Raw_Data!D3078</f>
        <v>149</v>
      </c>
      <c r="E3080" s="4">
        <f>[1]Raw_Data!E3078</f>
        <v>34.75</v>
      </c>
      <c r="F3080" s="5">
        <f>[1]Raw_Data!F3078</f>
        <v>5177.75</v>
      </c>
      <c r="G3080" s="4">
        <f>[1]Raw_Data!G3078</f>
        <v>0.11</v>
      </c>
      <c r="H3080" s="3">
        <f>[1]Raw_Data!H3078</f>
        <v>1</v>
      </c>
      <c r="I3080" s="3" t="str">
        <f>TRIM([1]Raw_Data!I3078)</f>
        <v>USA</v>
      </c>
      <c r="J3080" s="3" t="str">
        <f>TRIM([1]Raw_Data!J3078)</f>
        <v>Walmart</v>
      </c>
      <c r="K3080" s="3">
        <f t="shared" si="192"/>
        <v>2023</v>
      </c>
      <c r="L3080" s="6">
        <f t="shared" si="193"/>
        <v>45170</v>
      </c>
      <c r="M3080" s="3" t="str">
        <f t="shared" si="194"/>
        <v>11% to 15%</v>
      </c>
      <c r="N3080" s="3" t="str">
        <f t="shared" si="195"/>
        <v>OK</v>
      </c>
    </row>
    <row r="3081" spans="1:14" x14ac:dyDescent="0.3">
      <c r="A3081" s="2">
        <f>DATE(VALUE(RIGHT(TRIM([1]Raw_Data!A3079),4)),VALUE(MID(TRIM([1]Raw_Data!A3079),4,2)),VALUE(LEFT(TRIM([1]Raw_Data!A3079),2)))</f>
        <v>45180</v>
      </c>
      <c r="B3081" s="3" t="str">
        <f>TRIM([1]Raw_Data!B3079)</f>
        <v>BCAA</v>
      </c>
      <c r="C3081" s="3" t="str">
        <f>TRIM([1]Raw_Data!C3079)</f>
        <v>Amino Acid</v>
      </c>
      <c r="D3081" s="3">
        <f>[1]Raw_Data!D3079</f>
        <v>150</v>
      </c>
      <c r="E3081" s="4">
        <f>[1]Raw_Data!E3079</f>
        <v>47.44</v>
      </c>
      <c r="F3081" s="5">
        <f>[1]Raw_Data!F3079</f>
        <v>7116</v>
      </c>
      <c r="G3081" s="4">
        <f>[1]Raw_Data!G3079</f>
        <v>0.22</v>
      </c>
      <c r="H3081" s="3">
        <f>[1]Raw_Data!H3079</f>
        <v>3</v>
      </c>
      <c r="I3081" s="3" t="str">
        <f>TRIM([1]Raw_Data!I3079)</f>
        <v>UK</v>
      </c>
      <c r="J3081" s="3" t="str">
        <f>TRIM([1]Raw_Data!J3079)</f>
        <v>Walmart</v>
      </c>
      <c r="K3081" s="3">
        <f t="shared" si="192"/>
        <v>2023</v>
      </c>
      <c r="L3081" s="6">
        <f t="shared" si="193"/>
        <v>45170</v>
      </c>
      <c r="M3081" s="3" t="str">
        <f t="shared" si="194"/>
        <v>21% to 25%</v>
      </c>
      <c r="N3081" s="3" t="str">
        <f t="shared" si="195"/>
        <v>OK</v>
      </c>
    </row>
    <row r="3082" spans="1:14" x14ac:dyDescent="0.3">
      <c r="A3082" s="2">
        <f>DATE(VALUE(RIGHT(TRIM([1]Raw_Data!A3080),4)),VALUE(MID(TRIM([1]Raw_Data!A3080),4,2)),VALUE(LEFT(TRIM([1]Raw_Data!A3080),2)))</f>
        <v>45180</v>
      </c>
      <c r="B3082" s="3" t="str">
        <f>TRIM([1]Raw_Data!B3080)</f>
        <v>Creatine</v>
      </c>
      <c r="C3082" s="3" t="str">
        <f>TRIM([1]Raw_Data!C3080)</f>
        <v>Performance</v>
      </c>
      <c r="D3082" s="3">
        <f>[1]Raw_Data!D3080</f>
        <v>144</v>
      </c>
      <c r="E3082" s="4">
        <f>[1]Raw_Data!E3080</f>
        <v>46.34</v>
      </c>
      <c r="F3082" s="5">
        <f>[1]Raw_Data!F3080</f>
        <v>6672.96</v>
      </c>
      <c r="G3082" s="4">
        <f>[1]Raw_Data!G3080</f>
        <v>0.08</v>
      </c>
      <c r="H3082" s="3">
        <f>[1]Raw_Data!H3080</f>
        <v>0</v>
      </c>
      <c r="I3082" s="3" t="str">
        <f>TRIM([1]Raw_Data!I3080)</f>
        <v>Canada</v>
      </c>
      <c r="J3082" s="3" t="str">
        <f>TRIM([1]Raw_Data!J3080)</f>
        <v>Amazon</v>
      </c>
      <c r="K3082" s="3">
        <f t="shared" si="192"/>
        <v>2023</v>
      </c>
      <c r="L3082" s="6">
        <f t="shared" si="193"/>
        <v>45170</v>
      </c>
      <c r="M3082" s="3" t="str">
        <f t="shared" si="194"/>
        <v>6% to 10%</v>
      </c>
      <c r="N3082" s="3" t="str">
        <f t="shared" si="195"/>
        <v>OK</v>
      </c>
    </row>
    <row r="3083" spans="1:14" x14ac:dyDescent="0.3">
      <c r="A3083" s="2">
        <f>DATE(VALUE(RIGHT(TRIM([1]Raw_Data!A3081),4)),VALUE(MID(TRIM([1]Raw_Data!A3081),4,2)),VALUE(LEFT(TRIM([1]Raw_Data!A3081),2)))</f>
        <v>45180</v>
      </c>
      <c r="B3083" s="3" t="str">
        <f>TRIM([1]Raw_Data!B3081)</f>
        <v>Zinc</v>
      </c>
      <c r="C3083" s="3" t="str">
        <f>TRIM([1]Raw_Data!C3081)</f>
        <v>Mineral</v>
      </c>
      <c r="D3083" s="3">
        <f>[1]Raw_Data!D3081</f>
        <v>145</v>
      </c>
      <c r="E3083" s="4">
        <f>[1]Raw_Data!E3081</f>
        <v>26.35</v>
      </c>
      <c r="F3083" s="5">
        <f>[1]Raw_Data!F3081</f>
        <v>3820.75</v>
      </c>
      <c r="G3083" s="4">
        <f>[1]Raw_Data!G3081</f>
        <v>0.16</v>
      </c>
      <c r="H3083" s="3">
        <f>[1]Raw_Data!H3081</f>
        <v>2</v>
      </c>
      <c r="I3083" s="3" t="str">
        <f>TRIM([1]Raw_Data!I3081)</f>
        <v>UK</v>
      </c>
      <c r="J3083" s="3" t="str">
        <f>TRIM([1]Raw_Data!J3081)</f>
        <v>iHerb</v>
      </c>
      <c r="K3083" s="3">
        <f t="shared" si="192"/>
        <v>2023</v>
      </c>
      <c r="L3083" s="6">
        <f t="shared" si="193"/>
        <v>45170</v>
      </c>
      <c r="M3083" s="3" t="str">
        <f t="shared" si="194"/>
        <v>16% to 20%</v>
      </c>
      <c r="N3083" s="3" t="str">
        <f t="shared" si="195"/>
        <v>OK</v>
      </c>
    </row>
    <row r="3084" spans="1:14" x14ac:dyDescent="0.3">
      <c r="A3084" s="2">
        <f>DATE(VALUE(RIGHT(TRIM([1]Raw_Data!A3082),4)),VALUE(MID(TRIM([1]Raw_Data!A3082),4,2)),VALUE(LEFT(TRIM([1]Raw_Data!A3082),2)))</f>
        <v>45180</v>
      </c>
      <c r="B3084" s="3" t="str">
        <f>TRIM([1]Raw_Data!B3082)</f>
        <v>Collagen Peptides</v>
      </c>
      <c r="C3084" s="3" t="str">
        <f>TRIM([1]Raw_Data!C3082)</f>
        <v>Protein</v>
      </c>
      <c r="D3084" s="3">
        <f>[1]Raw_Data!D3082</f>
        <v>148</v>
      </c>
      <c r="E3084" s="4">
        <f>[1]Raw_Data!E3082</f>
        <v>25.95</v>
      </c>
      <c r="F3084" s="5">
        <f>[1]Raw_Data!F3082</f>
        <v>3840.6</v>
      </c>
      <c r="G3084" s="4">
        <f>[1]Raw_Data!G3082</f>
        <v>0.11</v>
      </c>
      <c r="H3084" s="3">
        <f>[1]Raw_Data!H3082</f>
        <v>2</v>
      </c>
      <c r="I3084" s="3" t="str">
        <f>TRIM([1]Raw_Data!I3082)</f>
        <v>USA</v>
      </c>
      <c r="J3084" s="3" t="str">
        <f>TRIM([1]Raw_Data!J3082)</f>
        <v>Amazon</v>
      </c>
      <c r="K3084" s="3">
        <f t="shared" si="192"/>
        <v>2023</v>
      </c>
      <c r="L3084" s="6">
        <f t="shared" si="193"/>
        <v>45170</v>
      </c>
      <c r="M3084" s="3" t="str">
        <f t="shared" si="194"/>
        <v>11% to 15%</v>
      </c>
      <c r="N3084" s="3" t="str">
        <f t="shared" si="195"/>
        <v>OK</v>
      </c>
    </row>
    <row r="3085" spans="1:14" x14ac:dyDescent="0.3">
      <c r="A3085" s="2">
        <f>DATE(VALUE(RIGHT(TRIM([1]Raw_Data!A3083),4)),VALUE(MID(TRIM([1]Raw_Data!A3083),4,2)),VALUE(LEFT(TRIM([1]Raw_Data!A3083),2)))</f>
        <v>45180</v>
      </c>
      <c r="B3085" s="3" t="str">
        <f>TRIM([1]Raw_Data!B3083)</f>
        <v>Magnesium</v>
      </c>
      <c r="C3085" s="3" t="str">
        <f>TRIM([1]Raw_Data!C3083)</f>
        <v>Mineral</v>
      </c>
      <c r="D3085" s="3">
        <f>[1]Raw_Data!D3083</f>
        <v>161</v>
      </c>
      <c r="E3085" s="4">
        <f>[1]Raw_Data!E3083</f>
        <v>46.59</v>
      </c>
      <c r="F3085" s="5">
        <f>[1]Raw_Data!F3083</f>
        <v>7500.99</v>
      </c>
      <c r="G3085" s="4">
        <f>[1]Raw_Data!G3083</f>
        <v>0.2</v>
      </c>
      <c r="H3085" s="3">
        <f>[1]Raw_Data!H3083</f>
        <v>3</v>
      </c>
      <c r="I3085" s="3" t="str">
        <f>TRIM([1]Raw_Data!I3083)</f>
        <v>USA</v>
      </c>
      <c r="J3085" s="3" t="str">
        <f>TRIM([1]Raw_Data!J3083)</f>
        <v>iHerb</v>
      </c>
      <c r="K3085" s="3">
        <f t="shared" si="192"/>
        <v>2023</v>
      </c>
      <c r="L3085" s="6">
        <f t="shared" si="193"/>
        <v>45170</v>
      </c>
      <c r="M3085" s="3" t="str">
        <f t="shared" si="194"/>
        <v>16% to 20%</v>
      </c>
      <c r="N3085" s="3" t="str">
        <f t="shared" si="195"/>
        <v>OK</v>
      </c>
    </row>
    <row r="3086" spans="1:14" x14ac:dyDescent="0.3">
      <c r="A3086" s="2">
        <f>DATE(VALUE(RIGHT(TRIM([1]Raw_Data!A3084),4)),VALUE(MID(TRIM([1]Raw_Data!A3084),4,2)),VALUE(LEFT(TRIM([1]Raw_Data!A3084),2)))</f>
        <v>45180</v>
      </c>
      <c r="B3086" s="3" t="str">
        <f>TRIM([1]Raw_Data!B3084)</f>
        <v>Ashwagandha</v>
      </c>
      <c r="C3086" s="3" t="str">
        <f>TRIM([1]Raw_Data!C3084)</f>
        <v>Herbal</v>
      </c>
      <c r="D3086" s="3">
        <f>[1]Raw_Data!D3084</f>
        <v>157</v>
      </c>
      <c r="E3086" s="4">
        <f>[1]Raw_Data!E3084</f>
        <v>59.18</v>
      </c>
      <c r="F3086" s="5">
        <f>[1]Raw_Data!F3084</f>
        <v>9291.26</v>
      </c>
      <c r="G3086" s="4">
        <f>[1]Raw_Data!G3084</f>
        <v>0.14000000000000001</v>
      </c>
      <c r="H3086" s="3">
        <f>[1]Raw_Data!H3084</f>
        <v>0</v>
      </c>
      <c r="I3086" s="3" t="str">
        <f>TRIM([1]Raw_Data!I3084)</f>
        <v>UK</v>
      </c>
      <c r="J3086" s="3" t="str">
        <f>TRIM([1]Raw_Data!J3084)</f>
        <v>Amazon</v>
      </c>
      <c r="K3086" s="3">
        <f t="shared" si="192"/>
        <v>2023</v>
      </c>
      <c r="L3086" s="6">
        <f t="shared" si="193"/>
        <v>45170</v>
      </c>
      <c r="M3086" s="3" t="str">
        <f t="shared" si="194"/>
        <v>11% to 15%</v>
      </c>
      <c r="N3086" s="3" t="str">
        <f t="shared" si="195"/>
        <v>OK</v>
      </c>
    </row>
    <row r="3087" spans="1:14" x14ac:dyDescent="0.3">
      <c r="A3087" s="2">
        <f>DATE(VALUE(RIGHT(TRIM([1]Raw_Data!A3085),4)),VALUE(MID(TRIM([1]Raw_Data!A3085),4,2)),VALUE(LEFT(TRIM([1]Raw_Data!A3085),2)))</f>
        <v>45180</v>
      </c>
      <c r="B3087" s="3" t="str">
        <f>TRIM([1]Raw_Data!B3085)</f>
        <v>Melatonin</v>
      </c>
      <c r="C3087" s="3" t="str">
        <f>TRIM([1]Raw_Data!C3085)</f>
        <v>Sleep Aid</v>
      </c>
      <c r="D3087" s="3">
        <f>[1]Raw_Data!D3085</f>
        <v>142</v>
      </c>
      <c r="E3087" s="4">
        <f>[1]Raw_Data!E3085</f>
        <v>56.24</v>
      </c>
      <c r="F3087" s="5">
        <f>[1]Raw_Data!F3085</f>
        <v>7986.08</v>
      </c>
      <c r="G3087" s="4">
        <f>[1]Raw_Data!G3085</f>
        <v>0.04</v>
      </c>
      <c r="H3087" s="3">
        <f>[1]Raw_Data!H3085</f>
        <v>0</v>
      </c>
      <c r="I3087" s="3" t="str">
        <f>TRIM([1]Raw_Data!I3085)</f>
        <v>UK</v>
      </c>
      <c r="J3087" s="3" t="str">
        <f>TRIM([1]Raw_Data!J3085)</f>
        <v>iHerb</v>
      </c>
      <c r="K3087" s="3">
        <f t="shared" si="192"/>
        <v>2023</v>
      </c>
      <c r="L3087" s="6">
        <f t="shared" si="193"/>
        <v>45170</v>
      </c>
      <c r="M3087" s="3" t="str">
        <f t="shared" si="194"/>
        <v>0% to 5%</v>
      </c>
      <c r="N3087" s="3" t="str">
        <f t="shared" si="195"/>
        <v>OK</v>
      </c>
    </row>
    <row r="3088" spans="1:14" x14ac:dyDescent="0.3">
      <c r="A3088" s="2">
        <f>DATE(VALUE(RIGHT(TRIM([1]Raw_Data!A3086),4)),VALUE(MID(TRIM([1]Raw_Data!A3086),4,2)),VALUE(LEFT(TRIM([1]Raw_Data!A3086),2)))</f>
        <v>45180</v>
      </c>
      <c r="B3088" s="3" t="str">
        <f>TRIM([1]Raw_Data!B3086)</f>
        <v>Biotin</v>
      </c>
      <c r="C3088" s="3" t="str">
        <f>TRIM([1]Raw_Data!C3086)</f>
        <v>Vitamin</v>
      </c>
      <c r="D3088" s="3">
        <f>[1]Raw_Data!D3086</f>
        <v>142</v>
      </c>
      <c r="E3088" s="4">
        <f>[1]Raw_Data!E3086</f>
        <v>43.01</v>
      </c>
      <c r="F3088" s="5">
        <f>[1]Raw_Data!F3086</f>
        <v>6107.42</v>
      </c>
      <c r="G3088" s="4">
        <f>[1]Raw_Data!G3086</f>
        <v>0.08</v>
      </c>
      <c r="H3088" s="3">
        <f>[1]Raw_Data!H3086</f>
        <v>3</v>
      </c>
      <c r="I3088" s="3" t="str">
        <f>TRIM([1]Raw_Data!I3086)</f>
        <v>Canada</v>
      </c>
      <c r="J3088" s="3" t="str">
        <f>TRIM([1]Raw_Data!J3086)</f>
        <v>Walmart</v>
      </c>
      <c r="K3088" s="3">
        <f t="shared" si="192"/>
        <v>2023</v>
      </c>
      <c r="L3088" s="6">
        <f t="shared" si="193"/>
        <v>45170</v>
      </c>
      <c r="M3088" s="3" t="str">
        <f t="shared" si="194"/>
        <v>6% to 10%</v>
      </c>
      <c r="N3088" s="3" t="str">
        <f t="shared" si="195"/>
        <v>OK</v>
      </c>
    </row>
    <row r="3089" spans="1:14" x14ac:dyDescent="0.3">
      <c r="A3089" s="2">
        <f>DATE(VALUE(RIGHT(TRIM([1]Raw_Data!A3087),4)),VALUE(MID(TRIM([1]Raw_Data!A3087),4,2)),VALUE(LEFT(TRIM([1]Raw_Data!A3087),2)))</f>
        <v>45180</v>
      </c>
      <c r="B3089" s="3" t="str">
        <f>TRIM([1]Raw_Data!B3087)</f>
        <v>Green Tea Extract</v>
      </c>
      <c r="C3089" s="3" t="str">
        <f>TRIM([1]Raw_Data!C3087)</f>
        <v>Fat Burner</v>
      </c>
      <c r="D3089" s="3">
        <f>[1]Raw_Data!D3087</f>
        <v>132</v>
      </c>
      <c r="E3089" s="4">
        <f>[1]Raw_Data!E3087</f>
        <v>20.420000000000002</v>
      </c>
      <c r="F3089" s="5">
        <f>[1]Raw_Data!F3087</f>
        <v>2695.44</v>
      </c>
      <c r="G3089" s="4">
        <f>[1]Raw_Data!G3087</f>
        <v>7.0000000000000007E-2</v>
      </c>
      <c r="H3089" s="3">
        <f>[1]Raw_Data!H3087</f>
        <v>0</v>
      </c>
      <c r="I3089" s="3" t="str">
        <f>TRIM([1]Raw_Data!I3087)</f>
        <v>USA</v>
      </c>
      <c r="J3089" s="3" t="str">
        <f>TRIM([1]Raw_Data!J3087)</f>
        <v>Amazon</v>
      </c>
      <c r="K3089" s="3">
        <f t="shared" si="192"/>
        <v>2023</v>
      </c>
      <c r="L3089" s="6">
        <f t="shared" si="193"/>
        <v>45170</v>
      </c>
      <c r="M3089" s="3" t="str">
        <f t="shared" si="194"/>
        <v>6% to 10%</v>
      </c>
      <c r="N3089" s="3" t="str">
        <f t="shared" si="195"/>
        <v>OK</v>
      </c>
    </row>
    <row r="3090" spans="1:14" x14ac:dyDescent="0.3">
      <c r="A3090" s="2">
        <f>DATE(VALUE(RIGHT(TRIM([1]Raw_Data!A3088),4)),VALUE(MID(TRIM([1]Raw_Data!A3088),4,2)),VALUE(LEFT(TRIM([1]Raw_Data!A3088),2)))</f>
        <v>45180</v>
      </c>
      <c r="B3090" s="3" t="str">
        <f>TRIM([1]Raw_Data!B3088)</f>
        <v>Iron Supplement</v>
      </c>
      <c r="C3090" s="3" t="str">
        <f>TRIM([1]Raw_Data!C3088)</f>
        <v>Mineral</v>
      </c>
      <c r="D3090" s="3">
        <f>[1]Raw_Data!D3088</f>
        <v>126</v>
      </c>
      <c r="E3090" s="4">
        <f>[1]Raw_Data!E3088</f>
        <v>18.21</v>
      </c>
      <c r="F3090" s="5">
        <f>[1]Raw_Data!F3088</f>
        <v>2294.46</v>
      </c>
      <c r="G3090" s="4">
        <f>[1]Raw_Data!G3088</f>
        <v>0.23</v>
      </c>
      <c r="H3090" s="3">
        <f>[1]Raw_Data!H3088</f>
        <v>1</v>
      </c>
      <c r="I3090" s="3" t="str">
        <f>TRIM([1]Raw_Data!I3088)</f>
        <v>Canada</v>
      </c>
      <c r="J3090" s="3" t="str">
        <f>TRIM([1]Raw_Data!J3088)</f>
        <v>Amazon</v>
      </c>
      <c r="K3090" s="3">
        <f t="shared" si="192"/>
        <v>2023</v>
      </c>
      <c r="L3090" s="6">
        <f t="shared" si="193"/>
        <v>45170</v>
      </c>
      <c r="M3090" s="3" t="str">
        <f t="shared" si="194"/>
        <v>21% to 25%</v>
      </c>
      <c r="N3090" s="3" t="str">
        <f t="shared" si="195"/>
        <v>OK</v>
      </c>
    </row>
    <row r="3091" spans="1:14" x14ac:dyDescent="0.3">
      <c r="A3091" s="2">
        <f>DATE(VALUE(RIGHT(TRIM([1]Raw_Data!A3089),4)),VALUE(MID(TRIM([1]Raw_Data!A3089),4,2)),VALUE(LEFT(TRIM([1]Raw_Data!A3089),2)))</f>
        <v>45180</v>
      </c>
      <c r="B3091" s="3" t="str">
        <f>TRIM([1]Raw_Data!B3089)</f>
        <v>Electrolyte Powder</v>
      </c>
      <c r="C3091" s="3" t="str">
        <f>TRIM([1]Raw_Data!C3089)</f>
        <v>Hydration</v>
      </c>
      <c r="D3091" s="3">
        <f>[1]Raw_Data!D3089</f>
        <v>156</v>
      </c>
      <c r="E3091" s="4">
        <f>[1]Raw_Data!E3089</f>
        <v>22.02</v>
      </c>
      <c r="F3091" s="5">
        <f>[1]Raw_Data!F3089</f>
        <v>3435.12</v>
      </c>
      <c r="G3091" s="4">
        <f>[1]Raw_Data!G3089</f>
        <v>0.14000000000000001</v>
      </c>
      <c r="H3091" s="3">
        <f>[1]Raw_Data!H3089</f>
        <v>2</v>
      </c>
      <c r="I3091" s="3" t="str">
        <f>TRIM([1]Raw_Data!I3089)</f>
        <v>Canada</v>
      </c>
      <c r="J3091" s="3" t="str">
        <f>TRIM([1]Raw_Data!J3089)</f>
        <v>Walmart</v>
      </c>
      <c r="K3091" s="3">
        <f t="shared" si="192"/>
        <v>2023</v>
      </c>
      <c r="L3091" s="6">
        <f t="shared" si="193"/>
        <v>45170</v>
      </c>
      <c r="M3091" s="3" t="str">
        <f t="shared" si="194"/>
        <v>11% to 15%</v>
      </c>
      <c r="N3091" s="3" t="str">
        <f t="shared" si="195"/>
        <v>OK</v>
      </c>
    </row>
    <row r="3092" spans="1:14" x14ac:dyDescent="0.3">
      <c r="A3092" s="2">
        <f>DATE(VALUE(RIGHT(TRIM([1]Raw_Data!A3090),4)),VALUE(MID(TRIM([1]Raw_Data!A3090),4,2)),VALUE(LEFT(TRIM([1]Raw_Data!A3090),2)))</f>
        <v>45187</v>
      </c>
      <c r="B3092" s="3" t="str">
        <f>TRIM([1]Raw_Data!B3090)</f>
        <v>Whey Protein</v>
      </c>
      <c r="C3092" s="3" t="str">
        <f>TRIM([1]Raw_Data!C3090)</f>
        <v>Protein</v>
      </c>
      <c r="D3092" s="3">
        <f>[1]Raw_Data!D3090</f>
        <v>160</v>
      </c>
      <c r="E3092" s="4">
        <f>[1]Raw_Data!E3090</f>
        <v>43.53</v>
      </c>
      <c r="F3092" s="5">
        <f>[1]Raw_Data!F3090</f>
        <v>6964.8</v>
      </c>
      <c r="G3092" s="4">
        <f>[1]Raw_Data!G3090</f>
        <v>0.11</v>
      </c>
      <c r="H3092" s="3">
        <f>[1]Raw_Data!H3090</f>
        <v>3</v>
      </c>
      <c r="I3092" s="3" t="str">
        <f>TRIM([1]Raw_Data!I3090)</f>
        <v>Canada</v>
      </c>
      <c r="J3092" s="3" t="str">
        <f>TRIM([1]Raw_Data!J3090)</f>
        <v>Amazon</v>
      </c>
      <c r="K3092" s="3">
        <f t="shared" si="192"/>
        <v>2023</v>
      </c>
      <c r="L3092" s="6">
        <f t="shared" si="193"/>
        <v>45170</v>
      </c>
      <c r="M3092" s="3" t="str">
        <f t="shared" si="194"/>
        <v>11% to 15%</v>
      </c>
      <c r="N3092" s="3" t="str">
        <f t="shared" si="195"/>
        <v>OK</v>
      </c>
    </row>
    <row r="3093" spans="1:14" x14ac:dyDescent="0.3">
      <c r="A3093" s="2">
        <f>DATE(VALUE(RIGHT(TRIM([1]Raw_Data!A3091),4)),VALUE(MID(TRIM([1]Raw_Data!A3091),4,2)),VALUE(LEFT(TRIM([1]Raw_Data!A3091),2)))</f>
        <v>45187</v>
      </c>
      <c r="B3093" s="3" t="str">
        <f>TRIM([1]Raw_Data!B3091)</f>
        <v>Vitamin C</v>
      </c>
      <c r="C3093" s="3" t="str">
        <f>TRIM([1]Raw_Data!C3091)</f>
        <v>Vitamin</v>
      </c>
      <c r="D3093" s="3">
        <f>[1]Raw_Data!D3091</f>
        <v>163</v>
      </c>
      <c r="E3093" s="4">
        <f>[1]Raw_Data!E3091</f>
        <v>26.03</v>
      </c>
      <c r="F3093" s="5">
        <f>[1]Raw_Data!F3091</f>
        <v>4242.8900000000003</v>
      </c>
      <c r="G3093" s="4">
        <f>[1]Raw_Data!G3091</f>
        <v>0.14000000000000001</v>
      </c>
      <c r="H3093" s="3">
        <f>[1]Raw_Data!H3091</f>
        <v>2</v>
      </c>
      <c r="I3093" s="3" t="str">
        <f>TRIM([1]Raw_Data!I3091)</f>
        <v>Canada</v>
      </c>
      <c r="J3093" s="3" t="str">
        <f>TRIM([1]Raw_Data!J3091)</f>
        <v>Walmart</v>
      </c>
      <c r="K3093" s="3">
        <f t="shared" si="192"/>
        <v>2023</v>
      </c>
      <c r="L3093" s="6">
        <f t="shared" si="193"/>
        <v>45170</v>
      </c>
      <c r="M3093" s="3" t="str">
        <f t="shared" si="194"/>
        <v>11% to 15%</v>
      </c>
      <c r="N3093" s="3" t="str">
        <f t="shared" si="195"/>
        <v>OK</v>
      </c>
    </row>
    <row r="3094" spans="1:14" x14ac:dyDescent="0.3">
      <c r="A3094" s="2">
        <f>DATE(VALUE(RIGHT(TRIM([1]Raw_Data!A3092),4)),VALUE(MID(TRIM([1]Raw_Data!A3092),4,2)),VALUE(LEFT(TRIM([1]Raw_Data!A3092),2)))</f>
        <v>45187</v>
      </c>
      <c r="B3094" s="3" t="str">
        <f>TRIM([1]Raw_Data!B3092)</f>
        <v>Fish Oil</v>
      </c>
      <c r="C3094" s="3" t="str">
        <f>TRIM([1]Raw_Data!C3092)</f>
        <v>Omega</v>
      </c>
      <c r="D3094" s="3">
        <f>[1]Raw_Data!D3092</f>
        <v>152</v>
      </c>
      <c r="E3094" s="4">
        <f>[1]Raw_Data!E3092</f>
        <v>24.13</v>
      </c>
      <c r="F3094" s="5">
        <f>[1]Raw_Data!F3092</f>
        <v>3667.76</v>
      </c>
      <c r="G3094" s="4">
        <f>[1]Raw_Data!G3092</f>
        <v>0.05</v>
      </c>
      <c r="H3094" s="3">
        <f>[1]Raw_Data!H3092</f>
        <v>0</v>
      </c>
      <c r="I3094" s="3" t="str">
        <f>TRIM([1]Raw_Data!I3092)</f>
        <v>UK</v>
      </c>
      <c r="J3094" s="3" t="str">
        <f>TRIM([1]Raw_Data!J3092)</f>
        <v>iHerb</v>
      </c>
      <c r="K3094" s="3">
        <f t="shared" si="192"/>
        <v>2023</v>
      </c>
      <c r="L3094" s="6">
        <f t="shared" si="193"/>
        <v>45170</v>
      </c>
      <c r="M3094" s="3" t="str">
        <f t="shared" si="194"/>
        <v>0% to 5%</v>
      </c>
      <c r="N3094" s="3" t="str">
        <f t="shared" si="195"/>
        <v>OK</v>
      </c>
    </row>
    <row r="3095" spans="1:14" x14ac:dyDescent="0.3">
      <c r="A3095" s="2">
        <f>DATE(VALUE(RIGHT(TRIM([1]Raw_Data!A3093),4)),VALUE(MID(TRIM([1]Raw_Data!A3093),4,2)),VALUE(LEFT(TRIM([1]Raw_Data!A3093),2)))</f>
        <v>45187</v>
      </c>
      <c r="B3095" s="3" t="str">
        <f>TRIM([1]Raw_Data!B3093)</f>
        <v>Multivitamin</v>
      </c>
      <c r="C3095" s="3" t="str">
        <f>TRIM([1]Raw_Data!C3093)</f>
        <v>Vitamin</v>
      </c>
      <c r="D3095" s="3">
        <f>[1]Raw_Data!D3093</f>
        <v>153</v>
      </c>
      <c r="E3095" s="4">
        <f>[1]Raw_Data!E3093</f>
        <v>26.31</v>
      </c>
      <c r="F3095" s="5">
        <f>[1]Raw_Data!F3093</f>
        <v>4025.43</v>
      </c>
      <c r="G3095" s="4">
        <f>[1]Raw_Data!G3093</f>
        <v>0.15</v>
      </c>
      <c r="H3095" s="3">
        <f>[1]Raw_Data!H3093</f>
        <v>0</v>
      </c>
      <c r="I3095" s="3" t="str">
        <f>TRIM([1]Raw_Data!I3093)</f>
        <v>USA</v>
      </c>
      <c r="J3095" s="3" t="str">
        <f>TRIM([1]Raw_Data!J3093)</f>
        <v>iHerb</v>
      </c>
      <c r="K3095" s="3">
        <f t="shared" si="192"/>
        <v>2023</v>
      </c>
      <c r="L3095" s="6">
        <f t="shared" si="193"/>
        <v>45170</v>
      </c>
      <c r="M3095" s="3" t="str">
        <f t="shared" si="194"/>
        <v>11% to 15%</v>
      </c>
      <c r="N3095" s="3" t="str">
        <f t="shared" si="195"/>
        <v>OK</v>
      </c>
    </row>
    <row r="3096" spans="1:14" x14ac:dyDescent="0.3">
      <c r="A3096" s="2">
        <f>DATE(VALUE(RIGHT(TRIM([1]Raw_Data!A3094),4)),VALUE(MID(TRIM([1]Raw_Data!A3094),4,2)),VALUE(LEFT(TRIM([1]Raw_Data!A3094),2)))</f>
        <v>45187</v>
      </c>
      <c r="B3096" s="3" t="str">
        <f>TRIM([1]Raw_Data!B3094)</f>
        <v>Pre-Workout</v>
      </c>
      <c r="C3096" s="3" t="str">
        <f>TRIM([1]Raw_Data!C3094)</f>
        <v>Performance</v>
      </c>
      <c r="D3096" s="3">
        <f>[1]Raw_Data!D3094</f>
        <v>131</v>
      </c>
      <c r="E3096" s="4">
        <f>[1]Raw_Data!E3094</f>
        <v>28.4</v>
      </c>
      <c r="F3096" s="5">
        <f>[1]Raw_Data!F3094</f>
        <v>3720.4</v>
      </c>
      <c r="G3096" s="4">
        <f>[1]Raw_Data!G3094</f>
        <v>0.17</v>
      </c>
      <c r="H3096" s="3">
        <f>[1]Raw_Data!H3094</f>
        <v>2</v>
      </c>
      <c r="I3096" s="3" t="str">
        <f>TRIM([1]Raw_Data!I3094)</f>
        <v>USA</v>
      </c>
      <c r="J3096" s="3" t="str">
        <f>TRIM([1]Raw_Data!J3094)</f>
        <v>Walmart</v>
      </c>
      <c r="K3096" s="3">
        <f t="shared" si="192"/>
        <v>2023</v>
      </c>
      <c r="L3096" s="6">
        <f t="shared" si="193"/>
        <v>45170</v>
      </c>
      <c r="M3096" s="3" t="str">
        <f t="shared" si="194"/>
        <v>16% to 20%</v>
      </c>
      <c r="N3096" s="3" t="str">
        <f t="shared" si="195"/>
        <v>OK</v>
      </c>
    </row>
    <row r="3097" spans="1:14" x14ac:dyDescent="0.3">
      <c r="A3097" s="2">
        <f>DATE(VALUE(RIGHT(TRIM([1]Raw_Data!A3095),4)),VALUE(MID(TRIM([1]Raw_Data!A3095),4,2)),VALUE(LEFT(TRIM([1]Raw_Data!A3095),2)))</f>
        <v>45187</v>
      </c>
      <c r="B3097" s="3" t="str">
        <f>TRIM([1]Raw_Data!B3095)</f>
        <v>BCAA</v>
      </c>
      <c r="C3097" s="3" t="str">
        <f>TRIM([1]Raw_Data!C3095)</f>
        <v>Amino Acid</v>
      </c>
      <c r="D3097" s="3">
        <f>[1]Raw_Data!D3095</f>
        <v>165</v>
      </c>
      <c r="E3097" s="4">
        <f>[1]Raw_Data!E3095</f>
        <v>34.31</v>
      </c>
      <c r="F3097" s="5">
        <f>[1]Raw_Data!F3095</f>
        <v>5661.15</v>
      </c>
      <c r="G3097" s="4">
        <f>[1]Raw_Data!G3095</f>
        <v>0.18</v>
      </c>
      <c r="H3097" s="3">
        <f>[1]Raw_Data!H3095</f>
        <v>3</v>
      </c>
      <c r="I3097" s="3" t="str">
        <f>TRIM([1]Raw_Data!I3095)</f>
        <v>USA</v>
      </c>
      <c r="J3097" s="3" t="str">
        <f>TRIM([1]Raw_Data!J3095)</f>
        <v>Walmart</v>
      </c>
      <c r="K3097" s="3">
        <f t="shared" si="192"/>
        <v>2023</v>
      </c>
      <c r="L3097" s="6">
        <f t="shared" si="193"/>
        <v>45170</v>
      </c>
      <c r="M3097" s="3" t="str">
        <f t="shared" si="194"/>
        <v>16% to 20%</v>
      </c>
      <c r="N3097" s="3" t="str">
        <f t="shared" si="195"/>
        <v>OK</v>
      </c>
    </row>
    <row r="3098" spans="1:14" x14ac:dyDescent="0.3">
      <c r="A3098" s="2">
        <f>DATE(VALUE(RIGHT(TRIM([1]Raw_Data!A3096),4)),VALUE(MID(TRIM([1]Raw_Data!A3096),4,2)),VALUE(LEFT(TRIM([1]Raw_Data!A3096),2)))</f>
        <v>45187</v>
      </c>
      <c r="B3098" s="3" t="str">
        <f>TRIM([1]Raw_Data!B3096)</f>
        <v>Creatine</v>
      </c>
      <c r="C3098" s="3" t="str">
        <f>TRIM([1]Raw_Data!C3096)</f>
        <v>Performance</v>
      </c>
      <c r="D3098" s="3">
        <f>[1]Raw_Data!D3096</f>
        <v>161</v>
      </c>
      <c r="E3098" s="4">
        <f>[1]Raw_Data!E3096</f>
        <v>19.63</v>
      </c>
      <c r="F3098" s="5">
        <f>[1]Raw_Data!F3096</f>
        <v>3160.43</v>
      </c>
      <c r="G3098" s="4">
        <f>[1]Raw_Data!G3096</f>
        <v>0.15</v>
      </c>
      <c r="H3098" s="3">
        <f>[1]Raw_Data!H3096</f>
        <v>2</v>
      </c>
      <c r="I3098" s="3" t="str">
        <f>TRIM([1]Raw_Data!I3096)</f>
        <v>Canada</v>
      </c>
      <c r="J3098" s="3" t="str">
        <f>TRIM([1]Raw_Data!J3096)</f>
        <v>iHerb</v>
      </c>
      <c r="K3098" s="3">
        <f t="shared" si="192"/>
        <v>2023</v>
      </c>
      <c r="L3098" s="6">
        <f t="shared" si="193"/>
        <v>45170</v>
      </c>
      <c r="M3098" s="3" t="str">
        <f t="shared" si="194"/>
        <v>11% to 15%</v>
      </c>
      <c r="N3098" s="3" t="str">
        <f t="shared" si="195"/>
        <v>OK</v>
      </c>
    </row>
    <row r="3099" spans="1:14" x14ac:dyDescent="0.3">
      <c r="A3099" s="2">
        <f>DATE(VALUE(RIGHT(TRIM([1]Raw_Data!A3097),4)),VALUE(MID(TRIM([1]Raw_Data!A3097),4,2)),VALUE(LEFT(TRIM([1]Raw_Data!A3097),2)))</f>
        <v>45187</v>
      </c>
      <c r="B3099" s="3" t="str">
        <f>TRIM([1]Raw_Data!B3097)</f>
        <v>Zinc</v>
      </c>
      <c r="C3099" s="3" t="str">
        <f>TRIM([1]Raw_Data!C3097)</f>
        <v>Mineral</v>
      </c>
      <c r="D3099" s="3">
        <f>[1]Raw_Data!D3097</f>
        <v>143</v>
      </c>
      <c r="E3099" s="4">
        <f>[1]Raw_Data!E3097</f>
        <v>45.84</v>
      </c>
      <c r="F3099" s="5">
        <f>[1]Raw_Data!F3097</f>
        <v>6555.12</v>
      </c>
      <c r="G3099" s="4">
        <f>[1]Raw_Data!G3097</f>
        <v>7.0000000000000007E-2</v>
      </c>
      <c r="H3099" s="3">
        <f>[1]Raw_Data!H3097</f>
        <v>0</v>
      </c>
      <c r="I3099" s="3" t="str">
        <f>TRIM([1]Raw_Data!I3097)</f>
        <v>UK</v>
      </c>
      <c r="J3099" s="3" t="str">
        <f>TRIM([1]Raw_Data!J3097)</f>
        <v>Amazon</v>
      </c>
      <c r="K3099" s="3">
        <f t="shared" si="192"/>
        <v>2023</v>
      </c>
      <c r="L3099" s="6">
        <f t="shared" si="193"/>
        <v>45170</v>
      </c>
      <c r="M3099" s="3" t="str">
        <f t="shared" si="194"/>
        <v>6% to 10%</v>
      </c>
      <c r="N3099" s="3" t="str">
        <f t="shared" si="195"/>
        <v>OK</v>
      </c>
    </row>
    <row r="3100" spans="1:14" x14ac:dyDescent="0.3">
      <c r="A3100" s="2">
        <f>DATE(VALUE(RIGHT(TRIM([1]Raw_Data!A3098),4)),VALUE(MID(TRIM([1]Raw_Data!A3098),4,2)),VALUE(LEFT(TRIM([1]Raw_Data!A3098),2)))</f>
        <v>45187</v>
      </c>
      <c r="B3100" s="3" t="str">
        <f>TRIM([1]Raw_Data!B3098)</f>
        <v>Collagen Peptides</v>
      </c>
      <c r="C3100" s="3" t="str">
        <f>TRIM([1]Raw_Data!C3098)</f>
        <v>Protein</v>
      </c>
      <c r="D3100" s="3">
        <f>[1]Raw_Data!D3098</f>
        <v>135</v>
      </c>
      <c r="E3100" s="4">
        <f>[1]Raw_Data!E3098</f>
        <v>39.630000000000003</v>
      </c>
      <c r="F3100" s="5">
        <f>[1]Raw_Data!F3098</f>
        <v>5350.05</v>
      </c>
      <c r="G3100" s="4">
        <f>[1]Raw_Data!G3098</f>
        <v>0.09</v>
      </c>
      <c r="H3100" s="3">
        <f>[1]Raw_Data!H3098</f>
        <v>0</v>
      </c>
      <c r="I3100" s="3" t="str">
        <f>TRIM([1]Raw_Data!I3098)</f>
        <v>USA</v>
      </c>
      <c r="J3100" s="3" t="str">
        <f>TRIM([1]Raw_Data!J3098)</f>
        <v>iHerb</v>
      </c>
      <c r="K3100" s="3">
        <f t="shared" si="192"/>
        <v>2023</v>
      </c>
      <c r="L3100" s="6">
        <f t="shared" si="193"/>
        <v>45170</v>
      </c>
      <c r="M3100" s="3" t="str">
        <f t="shared" si="194"/>
        <v>6% to 10%</v>
      </c>
      <c r="N3100" s="3" t="str">
        <f t="shared" si="195"/>
        <v>OK</v>
      </c>
    </row>
    <row r="3101" spans="1:14" x14ac:dyDescent="0.3">
      <c r="A3101" s="2">
        <f>DATE(VALUE(RIGHT(TRIM([1]Raw_Data!A3099),4)),VALUE(MID(TRIM([1]Raw_Data!A3099),4,2)),VALUE(LEFT(TRIM([1]Raw_Data!A3099),2)))</f>
        <v>45187</v>
      </c>
      <c r="B3101" s="3" t="str">
        <f>TRIM([1]Raw_Data!B3099)</f>
        <v>Magnesium</v>
      </c>
      <c r="C3101" s="3" t="str">
        <f>TRIM([1]Raw_Data!C3099)</f>
        <v>Mineral</v>
      </c>
      <c r="D3101" s="3">
        <f>[1]Raw_Data!D3099</f>
        <v>131</v>
      </c>
      <c r="E3101" s="4">
        <f>[1]Raw_Data!E3099</f>
        <v>42.99</v>
      </c>
      <c r="F3101" s="5">
        <f>[1]Raw_Data!F3099</f>
        <v>5631.69</v>
      </c>
      <c r="G3101" s="4">
        <f>[1]Raw_Data!G3099</f>
        <v>0.02</v>
      </c>
      <c r="H3101" s="3">
        <f>[1]Raw_Data!H3099</f>
        <v>1</v>
      </c>
      <c r="I3101" s="3" t="str">
        <f>TRIM([1]Raw_Data!I3099)</f>
        <v>UK</v>
      </c>
      <c r="J3101" s="3" t="str">
        <f>TRIM([1]Raw_Data!J3099)</f>
        <v>iHerb</v>
      </c>
      <c r="K3101" s="3">
        <f t="shared" si="192"/>
        <v>2023</v>
      </c>
      <c r="L3101" s="6">
        <f t="shared" si="193"/>
        <v>45170</v>
      </c>
      <c r="M3101" s="3" t="str">
        <f t="shared" si="194"/>
        <v>0% to 5%</v>
      </c>
      <c r="N3101" s="3" t="str">
        <f t="shared" si="195"/>
        <v>OK</v>
      </c>
    </row>
    <row r="3102" spans="1:14" x14ac:dyDescent="0.3">
      <c r="A3102" s="2">
        <f>DATE(VALUE(RIGHT(TRIM([1]Raw_Data!A3100),4)),VALUE(MID(TRIM([1]Raw_Data!A3100),4,2)),VALUE(LEFT(TRIM([1]Raw_Data!A3100),2)))</f>
        <v>45187</v>
      </c>
      <c r="B3102" s="3" t="str">
        <f>TRIM([1]Raw_Data!B3100)</f>
        <v>Ashwagandha</v>
      </c>
      <c r="C3102" s="3" t="str">
        <f>TRIM([1]Raw_Data!C3100)</f>
        <v>Herbal</v>
      </c>
      <c r="D3102" s="3">
        <f>[1]Raw_Data!D3100</f>
        <v>133</v>
      </c>
      <c r="E3102" s="4">
        <f>[1]Raw_Data!E3100</f>
        <v>18.61</v>
      </c>
      <c r="F3102" s="5">
        <f>[1]Raw_Data!F3100</f>
        <v>2475.13</v>
      </c>
      <c r="G3102" s="4">
        <f>[1]Raw_Data!G3100</f>
        <v>0.02</v>
      </c>
      <c r="H3102" s="3">
        <f>[1]Raw_Data!H3100</f>
        <v>2</v>
      </c>
      <c r="I3102" s="3" t="str">
        <f>TRIM([1]Raw_Data!I3100)</f>
        <v>Canada</v>
      </c>
      <c r="J3102" s="3" t="str">
        <f>TRIM([1]Raw_Data!J3100)</f>
        <v>Walmart</v>
      </c>
      <c r="K3102" s="3">
        <f t="shared" si="192"/>
        <v>2023</v>
      </c>
      <c r="L3102" s="6">
        <f t="shared" si="193"/>
        <v>45170</v>
      </c>
      <c r="M3102" s="3" t="str">
        <f t="shared" si="194"/>
        <v>0% to 5%</v>
      </c>
      <c r="N3102" s="3" t="str">
        <f t="shared" si="195"/>
        <v>OK</v>
      </c>
    </row>
    <row r="3103" spans="1:14" x14ac:dyDescent="0.3">
      <c r="A3103" s="2">
        <f>DATE(VALUE(RIGHT(TRIM([1]Raw_Data!A3101),4)),VALUE(MID(TRIM([1]Raw_Data!A3101),4,2)),VALUE(LEFT(TRIM([1]Raw_Data!A3101),2)))</f>
        <v>45187</v>
      </c>
      <c r="B3103" s="3" t="str">
        <f>TRIM([1]Raw_Data!B3101)</f>
        <v>Melatonin</v>
      </c>
      <c r="C3103" s="3" t="str">
        <f>TRIM([1]Raw_Data!C3101)</f>
        <v>Sleep Aid</v>
      </c>
      <c r="D3103" s="3">
        <f>[1]Raw_Data!D3101</f>
        <v>149</v>
      </c>
      <c r="E3103" s="4">
        <f>[1]Raw_Data!E3101</f>
        <v>14.94</v>
      </c>
      <c r="F3103" s="5">
        <f>[1]Raw_Data!F3101</f>
        <v>2226.06</v>
      </c>
      <c r="G3103" s="4">
        <f>[1]Raw_Data!G3101</f>
        <v>0.04</v>
      </c>
      <c r="H3103" s="3">
        <f>[1]Raw_Data!H3101</f>
        <v>1</v>
      </c>
      <c r="I3103" s="3" t="str">
        <f>TRIM([1]Raw_Data!I3101)</f>
        <v>USA</v>
      </c>
      <c r="J3103" s="3" t="str">
        <f>TRIM([1]Raw_Data!J3101)</f>
        <v>Walmart</v>
      </c>
      <c r="K3103" s="3">
        <f t="shared" si="192"/>
        <v>2023</v>
      </c>
      <c r="L3103" s="6">
        <f t="shared" si="193"/>
        <v>45170</v>
      </c>
      <c r="M3103" s="3" t="str">
        <f t="shared" si="194"/>
        <v>0% to 5%</v>
      </c>
      <c r="N3103" s="3" t="str">
        <f t="shared" si="195"/>
        <v>OK</v>
      </c>
    </row>
    <row r="3104" spans="1:14" x14ac:dyDescent="0.3">
      <c r="A3104" s="2">
        <f>DATE(VALUE(RIGHT(TRIM([1]Raw_Data!A3102),4)),VALUE(MID(TRIM([1]Raw_Data!A3102),4,2)),VALUE(LEFT(TRIM([1]Raw_Data!A3102),2)))</f>
        <v>45187</v>
      </c>
      <c r="B3104" s="3" t="str">
        <f>TRIM([1]Raw_Data!B3102)</f>
        <v>Biotin</v>
      </c>
      <c r="C3104" s="3" t="str">
        <f>TRIM([1]Raw_Data!C3102)</f>
        <v>Vitamin</v>
      </c>
      <c r="D3104" s="3">
        <f>[1]Raw_Data!D3102</f>
        <v>160</v>
      </c>
      <c r="E3104" s="4">
        <f>[1]Raw_Data!E3102</f>
        <v>30.42</v>
      </c>
      <c r="F3104" s="5">
        <f>[1]Raw_Data!F3102</f>
        <v>4867.2</v>
      </c>
      <c r="G3104" s="4">
        <f>[1]Raw_Data!G3102</f>
        <v>0.08</v>
      </c>
      <c r="H3104" s="3">
        <f>[1]Raw_Data!H3102</f>
        <v>0</v>
      </c>
      <c r="I3104" s="3" t="str">
        <f>TRIM([1]Raw_Data!I3102)</f>
        <v>USA</v>
      </c>
      <c r="J3104" s="3" t="str">
        <f>TRIM([1]Raw_Data!J3102)</f>
        <v>iHerb</v>
      </c>
      <c r="K3104" s="3">
        <f t="shared" si="192"/>
        <v>2023</v>
      </c>
      <c r="L3104" s="6">
        <f t="shared" si="193"/>
        <v>45170</v>
      </c>
      <c r="M3104" s="3" t="str">
        <f t="shared" si="194"/>
        <v>6% to 10%</v>
      </c>
      <c r="N3104" s="3" t="str">
        <f t="shared" si="195"/>
        <v>OK</v>
      </c>
    </row>
    <row r="3105" spans="1:14" x14ac:dyDescent="0.3">
      <c r="A3105" s="2">
        <f>DATE(VALUE(RIGHT(TRIM([1]Raw_Data!A3103),4)),VALUE(MID(TRIM([1]Raw_Data!A3103),4,2)),VALUE(LEFT(TRIM([1]Raw_Data!A3103),2)))</f>
        <v>45187</v>
      </c>
      <c r="B3105" s="3" t="str">
        <f>TRIM([1]Raw_Data!B3103)</f>
        <v>Green Tea Extract</v>
      </c>
      <c r="C3105" s="3" t="str">
        <f>TRIM([1]Raw_Data!C3103)</f>
        <v>Fat Burner</v>
      </c>
      <c r="D3105" s="3">
        <f>[1]Raw_Data!D3103</f>
        <v>175</v>
      </c>
      <c r="E3105" s="4">
        <f>[1]Raw_Data!E3103</f>
        <v>49.39</v>
      </c>
      <c r="F3105" s="5">
        <f>[1]Raw_Data!F3103</f>
        <v>8643.25</v>
      </c>
      <c r="G3105" s="4">
        <f>[1]Raw_Data!G3103</f>
        <v>0.16</v>
      </c>
      <c r="H3105" s="3">
        <f>[1]Raw_Data!H3103</f>
        <v>2</v>
      </c>
      <c r="I3105" s="3" t="str">
        <f>TRIM([1]Raw_Data!I3103)</f>
        <v>USA</v>
      </c>
      <c r="J3105" s="3" t="str">
        <f>TRIM([1]Raw_Data!J3103)</f>
        <v>iHerb</v>
      </c>
      <c r="K3105" s="3">
        <f t="shared" si="192"/>
        <v>2023</v>
      </c>
      <c r="L3105" s="6">
        <f t="shared" si="193"/>
        <v>45170</v>
      </c>
      <c r="M3105" s="3" t="str">
        <f t="shared" si="194"/>
        <v>16% to 20%</v>
      </c>
      <c r="N3105" s="3" t="str">
        <f t="shared" si="195"/>
        <v>OK</v>
      </c>
    </row>
    <row r="3106" spans="1:14" x14ac:dyDescent="0.3">
      <c r="A3106" s="2">
        <f>DATE(VALUE(RIGHT(TRIM([1]Raw_Data!A3104),4)),VALUE(MID(TRIM([1]Raw_Data!A3104),4,2)),VALUE(LEFT(TRIM([1]Raw_Data!A3104),2)))</f>
        <v>45187</v>
      </c>
      <c r="B3106" s="3" t="str">
        <f>TRIM([1]Raw_Data!B3104)</f>
        <v>Iron Supplement</v>
      </c>
      <c r="C3106" s="3" t="str">
        <f>TRIM([1]Raw_Data!C3104)</f>
        <v>Mineral</v>
      </c>
      <c r="D3106" s="3">
        <f>[1]Raw_Data!D3104</f>
        <v>130</v>
      </c>
      <c r="E3106" s="4">
        <f>[1]Raw_Data!E3104</f>
        <v>17.77</v>
      </c>
      <c r="F3106" s="5">
        <f>[1]Raw_Data!F3104</f>
        <v>2310.1</v>
      </c>
      <c r="G3106" s="4">
        <f>[1]Raw_Data!G3104</f>
        <v>0.1</v>
      </c>
      <c r="H3106" s="3">
        <f>[1]Raw_Data!H3104</f>
        <v>2</v>
      </c>
      <c r="I3106" s="3" t="str">
        <f>TRIM([1]Raw_Data!I3104)</f>
        <v>USA</v>
      </c>
      <c r="J3106" s="3" t="str">
        <f>TRIM([1]Raw_Data!J3104)</f>
        <v>Amazon</v>
      </c>
      <c r="K3106" s="3">
        <f t="shared" si="192"/>
        <v>2023</v>
      </c>
      <c r="L3106" s="6">
        <f t="shared" si="193"/>
        <v>45170</v>
      </c>
      <c r="M3106" s="3" t="str">
        <f t="shared" si="194"/>
        <v>6% to 10%</v>
      </c>
      <c r="N3106" s="3" t="str">
        <f t="shared" si="195"/>
        <v>OK</v>
      </c>
    </row>
    <row r="3107" spans="1:14" x14ac:dyDescent="0.3">
      <c r="A3107" s="2">
        <f>DATE(VALUE(RIGHT(TRIM([1]Raw_Data!A3105),4)),VALUE(MID(TRIM([1]Raw_Data!A3105),4,2)),VALUE(LEFT(TRIM([1]Raw_Data!A3105),2)))</f>
        <v>45187</v>
      </c>
      <c r="B3107" s="3" t="str">
        <f>TRIM([1]Raw_Data!B3105)</f>
        <v>Electrolyte Powder</v>
      </c>
      <c r="C3107" s="3" t="str">
        <f>TRIM([1]Raw_Data!C3105)</f>
        <v>Hydration</v>
      </c>
      <c r="D3107" s="3">
        <f>[1]Raw_Data!D3105</f>
        <v>161</v>
      </c>
      <c r="E3107" s="4">
        <f>[1]Raw_Data!E3105</f>
        <v>43.58</v>
      </c>
      <c r="F3107" s="5">
        <f>[1]Raw_Data!F3105</f>
        <v>7016.38</v>
      </c>
      <c r="G3107" s="4">
        <f>[1]Raw_Data!G3105</f>
        <v>0.04</v>
      </c>
      <c r="H3107" s="3">
        <f>[1]Raw_Data!H3105</f>
        <v>1</v>
      </c>
      <c r="I3107" s="3" t="str">
        <f>TRIM([1]Raw_Data!I3105)</f>
        <v>Canada</v>
      </c>
      <c r="J3107" s="3" t="str">
        <f>TRIM([1]Raw_Data!J3105)</f>
        <v>Walmart</v>
      </c>
      <c r="K3107" s="3">
        <f t="shared" si="192"/>
        <v>2023</v>
      </c>
      <c r="L3107" s="6">
        <f t="shared" si="193"/>
        <v>45170</v>
      </c>
      <c r="M3107" s="3" t="str">
        <f t="shared" si="194"/>
        <v>0% to 5%</v>
      </c>
      <c r="N3107" s="3" t="str">
        <f t="shared" si="195"/>
        <v>OK</v>
      </c>
    </row>
    <row r="3108" spans="1:14" x14ac:dyDescent="0.3">
      <c r="A3108" s="2">
        <f>DATE(VALUE(RIGHT(TRIM([1]Raw_Data!A3106),4)),VALUE(MID(TRIM([1]Raw_Data!A3106),4,2)),VALUE(LEFT(TRIM([1]Raw_Data!A3106),2)))</f>
        <v>45194</v>
      </c>
      <c r="B3108" s="3" t="str">
        <f>TRIM([1]Raw_Data!B3106)</f>
        <v>Whey Protein</v>
      </c>
      <c r="C3108" s="3" t="str">
        <f>TRIM([1]Raw_Data!C3106)</f>
        <v>Protein</v>
      </c>
      <c r="D3108" s="3">
        <f>[1]Raw_Data!D3106</f>
        <v>178</v>
      </c>
      <c r="E3108" s="4">
        <f>[1]Raw_Data!E3106</f>
        <v>14.38</v>
      </c>
      <c r="F3108" s="5">
        <f>[1]Raw_Data!F3106</f>
        <v>2559.64</v>
      </c>
      <c r="G3108" s="4">
        <f>[1]Raw_Data!G3106</f>
        <v>0.12</v>
      </c>
      <c r="H3108" s="3">
        <f>[1]Raw_Data!H3106</f>
        <v>3</v>
      </c>
      <c r="I3108" s="3" t="str">
        <f>TRIM([1]Raw_Data!I3106)</f>
        <v>UK</v>
      </c>
      <c r="J3108" s="3" t="str">
        <f>TRIM([1]Raw_Data!J3106)</f>
        <v>Walmart</v>
      </c>
      <c r="K3108" s="3">
        <f t="shared" si="192"/>
        <v>2023</v>
      </c>
      <c r="L3108" s="6">
        <f t="shared" si="193"/>
        <v>45170</v>
      </c>
      <c r="M3108" s="3" t="str">
        <f t="shared" si="194"/>
        <v>11% to 15%</v>
      </c>
      <c r="N3108" s="3" t="str">
        <f t="shared" si="195"/>
        <v>OK</v>
      </c>
    </row>
    <row r="3109" spans="1:14" x14ac:dyDescent="0.3">
      <c r="A3109" s="2">
        <f>DATE(VALUE(RIGHT(TRIM([1]Raw_Data!A3107),4)),VALUE(MID(TRIM([1]Raw_Data!A3107),4,2)),VALUE(LEFT(TRIM([1]Raw_Data!A3107),2)))</f>
        <v>45194</v>
      </c>
      <c r="B3109" s="3" t="str">
        <f>TRIM([1]Raw_Data!B3107)</f>
        <v>Vitamin C</v>
      </c>
      <c r="C3109" s="3" t="str">
        <f>TRIM([1]Raw_Data!C3107)</f>
        <v>Vitamin</v>
      </c>
      <c r="D3109" s="3">
        <f>[1]Raw_Data!D3107</f>
        <v>152</v>
      </c>
      <c r="E3109" s="4">
        <f>[1]Raw_Data!E3107</f>
        <v>58.71</v>
      </c>
      <c r="F3109" s="5">
        <f>[1]Raw_Data!F3107</f>
        <v>8923.92</v>
      </c>
      <c r="G3109" s="4">
        <f>[1]Raw_Data!G3107</f>
        <v>0.21</v>
      </c>
      <c r="H3109" s="3">
        <f>[1]Raw_Data!H3107</f>
        <v>0</v>
      </c>
      <c r="I3109" s="3" t="str">
        <f>TRIM([1]Raw_Data!I3107)</f>
        <v>Canada</v>
      </c>
      <c r="J3109" s="3" t="str">
        <f>TRIM([1]Raw_Data!J3107)</f>
        <v>Amazon</v>
      </c>
      <c r="K3109" s="3">
        <f t="shared" si="192"/>
        <v>2023</v>
      </c>
      <c r="L3109" s="6">
        <f t="shared" si="193"/>
        <v>45170</v>
      </c>
      <c r="M3109" s="3" t="str">
        <f t="shared" si="194"/>
        <v>21% to 25%</v>
      </c>
      <c r="N3109" s="3" t="str">
        <f t="shared" si="195"/>
        <v>OK</v>
      </c>
    </row>
    <row r="3110" spans="1:14" x14ac:dyDescent="0.3">
      <c r="A3110" s="2">
        <f>DATE(VALUE(RIGHT(TRIM([1]Raw_Data!A3108),4)),VALUE(MID(TRIM([1]Raw_Data!A3108),4,2)),VALUE(LEFT(TRIM([1]Raw_Data!A3108),2)))</f>
        <v>45194</v>
      </c>
      <c r="B3110" s="3" t="str">
        <f>TRIM([1]Raw_Data!B3108)</f>
        <v>Fish Oil</v>
      </c>
      <c r="C3110" s="3" t="str">
        <f>TRIM([1]Raw_Data!C3108)</f>
        <v>Omega</v>
      </c>
      <c r="D3110" s="3">
        <f>[1]Raw_Data!D3108</f>
        <v>171</v>
      </c>
      <c r="E3110" s="4">
        <f>[1]Raw_Data!E3108</f>
        <v>28.59</v>
      </c>
      <c r="F3110" s="5">
        <f>[1]Raw_Data!F3108</f>
        <v>4888.8900000000003</v>
      </c>
      <c r="G3110" s="4">
        <f>[1]Raw_Data!G3108</f>
        <v>0.12</v>
      </c>
      <c r="H3110" s="3">
        <f>[1]Raw_Data!H3108</f>
        <v>3</v>
      </c>
      <c r="I3110" s="3" t="str">
        <f>TRIM([1]Raw_Data!I3108)</f>
        <v>USA</v>
      </c>
      <c r="J3110" s="3" t="str">
        <f>TRIM([1]Raw_Data!J3108)</f>
        <v>Amazon</v>
      </c>
      <c r="K3110" s="3">
        <f t="shared" si="192"/>
        <v>2023</v>
      </c>
      <c r="L3110" s="6">
        <f t="shared" si="193"/>
        <v>45170</v>
      </c>
      <c r="M3110" s="3" t="str">
        <f t="shared" si="194"/>
        <v>11% to 15%</v>
      </c>
      <c r="N3110" s="3" t="str">
        <f t="shared" si="195"/>
        <v>OK</v>
      </c>
    </row>
    <row r="3111" spans="1:14" x14ac:dyDescent="0.3">
      <c r="A3111" s="2">
        <f>DATE(VALUE(RIGHT(TRIM([1]Raw_Data!A3109),4)),VALUE(MID(TRIM([1]Raw_Data!A3109),4,2)),VALUE(LEFT(TRIM([1]Raw_Data!A3109),2)))</f>
        <v>45194</v>
      </c>
      <c r="B3111" s="3" t="str">
        <f>TRIM([1]Raw_Data!B3109)</f>
        <v>Multivitamin</v>
      </c>
      <c r="C3111" s="3" t="str">
        <f>TRIM([1]Raw_Data!C3109)</f>
        <v>Vitamin</v>
      </c>
      <c r="D3111" s="3">
        <f>[1]Raw_Data!D3109</f>
        <v>156</v>
      </c>
      <c r="E3111" s="4">
        <f>[1]Raw_Data!E3109</f>
        <v>57.88</v>
      </c>
      <c r="F3111" s="5">
        <f>[1]Raw_Data!F3109</f>
        <v>9029.2800000000007</v>
      </c>
      <c r="G3111" s="4">
        <f>[1]Raw_Data!G3109</f>
        <v>0.04</v>
      </c>
      <c r="H3111" s="3">
        <f>[1]Raw_Data!H3109</f>
        <v>2</v>
      </c>
      <c r="I3111" s="3" t="str">
        <f>TRIM([1]Raw_Data!I3109)</f>
        <v>Canada</v>
      </c>
      <c r="J3111" s="3" t="str">
        <f>TRIM([1]Raw_Data!J3109)</f>
        <v>Amazon</v>
      </c>
      <c r="K3111" s="3">
        <f t="shared" si="192"/>
        <v>2023</v>
      </c>
      <c r="L3111" s="6">
        <f t="shared" si="193"/>
        <v>45170</v>
      </c>
      <c r="M3111" s="3" t="str">
        <f t="shared" si="194"/>
        <v>0% to 5%</v>
      </c>
      <c r="N3111" s="3" t="str">
        <f t="shared" si="195"/>
        <v>OK</v>
      </c>
    </row>
    <row r="3112" spans="1:14" x14ac:dyDescent="0.3">
      <c r="A3112" s="2">
        <f>DATE(VALUE(RIGHT(TRIM([1]Raw_Data!A3110),4)),VALUE(MID(TRIM([1]Raw_Data!A3110),4,2)),VALUE(LEFT(TRIM([1]Raw_Data!A3110),2)))</f>
        <v>45194</v>
      </c>
      <c r="B3112" s="3" t="str">
        <f>TRIM([1]Raw_Data!B3110)</f>
        <v>Pre-Workout</v>
      </c>
      <c r="C3112" s="3" t="str">
        <f>TRIM([1]Raw_Data!C3110)</f>
        <v>Performance</v>
      </c>
      <c r="D3112" s="3">
        <f>[1]Raw_Data!D3110</f>
        <v>155</v>
      </c>
      <c r="E3112" s="4">
        <f>[1]Raw_Data!E3110</f>
        <v>18.54</v>
      </c>
      <c r="F3112" s="5">
        <f>[1]Raw_Data!F3110</f>
        <v>2873.7</v>
      </c>
      <c r="G3112" s="4">
        <f>[1]Raw_Data!G3110</f>
        <v>0.22</v>
      </c>
      <c r="H3112" s="3">
        <f>[1]Raw_Data!H3110</f>
        <v>1</v>
      </c>
      <c r="I3112" s="3" t="str">
        <f>TRIM([1]Raw_Data!I3110)</f>
        <v>USA</v>
      </c>
      <c r="J3112" s="3" t="str">
        <f>TRIM([1]Raw_Data!J3110)</f>
        <v>iHerb</v>
      </c>
      <c r="K3112" s="3">
        <f t="shared" si="192"/>
        <v>2023</v>
      </c>
      <c r="L3112" s="6">
        <f t="shared" si="193"/>
        <v>45170</v>
      </c>
      <c r="M3112" s="3" t="str">
        <f t="shared" si="194"/>
        <v>21% to 25%</v>
      </c>
      <c r="N3112" s="3" t="str">
        <f t="shared" si="195"/>
        <v>OK</v>
      </c>
    </row>
    <row r="3113" spans="1:14" x14ac:dyDescent="0.3">
      <c r="A3113" s="2">
        <f>DATE(VALUE(RIGHT(TRIM([1]Raw_Data!A3111),4)),VALUE(MID(TRIM([1]Raw_Data!A3111),4,2)),VALUE(LEFT(TRIM([1]Raw_Data!A3111),2)))</f>
        <v>45194</v>
      </c>
      <c r="B3113" s="3" t="str">
        <f>TRIM([1]Raw_Data!B3111)</f>
        <v>BCAA</v>
      </c>
      <c r="C3113" s="3" t="str">
        <f>TRIM([1]Raw_Data!C3111)</f>
        <v>Amino Acid</v>
      </c>
      <c r="D3113" s="3">
        <f>[1]Raw_Data!D3111</f>
        <v>156</v>
      </c>
      <c r="E3113" s="4">
        <f>[1]Raw_Data!E3111</f>
        <v>46.37</v>
      </c>
      <c r="F3113" s="5">
        <f>[1]Raw_Data!F3111</f>
        <v>7233.72</v>
      </c>
      <c r="G3113" s="4">
        <f>[1]Raw_Data!G3111</f>
        <v>0.12</v>
      </c>
      <c r="H3113" s="3">
        <f>[1]Raw_Data!H3111</f>
        <v>1</v>
      </c>
      <c r="I3113" s="3" t="str">
        <f>TRIM([1]Raw_Data!I3111)</f>
        <v>UK</v>
      </c>
      <c r="J3113" s="3" t="str">
        <f>TRIM([1]Raw_Data!J3111)</f>
        <v>Walmart</v>
      </c>
      <c r="K3113" s="3">
        <f t="shared" si="192"/>
        <v>2023</v>
      </c>
      <c r="L3113" s="6">
        <f t="shared" si="193"/>
        <v>45170</v>
      </c>
      <c r="M3113" s="3" t="str">
        <f t="shared" si="194"/>
        <v>11% to 15%</v>
      </c>
      <c r="N3113" s="3" t="str">
        <f t="shared" si="195"/>
        <v>OK</v>
      </c>
    </row>
    <row r="3114" spans="1:14" x14ac:dyDescent="0.3">
      <c r="A3114" s="2">
        <f>DATE(VALUE(RIGHT(TRIM([1]Raw_Data!A3112),4)),VALUE(MID(TRIM([1]Raw_Data!A3112),4,2)),VALUE(LEFT(TRIM([1]Raw_Data!A3112),2)))</f>
        <v>45194</v>
      </c>
      <c r="B3114" s="3" t="str">
        <f>TRIM([1]Raw_Data!B3112)</f>
        <v>Creatine</v>
      </c>
      <c r="C3114" s="3" t="str">
        <f>TRIM([1]Raw_Data!C3112)</f>
        <v>Performance</v>
      </c>
      <c r="D3114" s="3">
        <f>[1]Raw_Data!D3112</f>
        <v>145</v>
      </c>
      <c r="E3114" s="4">
        <f>[1]Raw_Data!E3112</f>
        <v>33.4</v>
      </c>
      <c r="F3114" s="5">
        <f>[1]Raw_Data!F3112</f>
        <v>4843</v>
      </c>
      <c r="G3114" s="4">
        <f>[1]Raw_Data!G3112</f>
        <v>0.05</v>
      </c>
      <c r="H3114" s="3">
        <f>[1]Raw_Data!H3112</f>
        <v>3</v>
      </c>
      <c r="I3114" s="3" t="str">
        <f>TRIM([1]Raw_Data!I3112)</f>
        <v>UK</v>
      </c>
      <c r="J3114" s="3" t="str">
        <f>TRIM([1]Raw_Data!J3112)</f>
        <v>Amazon</v>
      </c>
      <c r="K3114" s="3">
        <f t="shared" si="192"/>
        <v>2023</v>
      </c>
      <c r="L3114" s="6">
        <f t="shared" si="193"/>
        <v>45170</v>
      </c>
      <c r="M3114" s="3" t="str">
        <f t="shared" si="194"/>
        <v>0% to 5%</v>
      </c>
      <c r="N3114" s="3" t="str">
        <f t="shared" si="195"/>
        <v>OK</v>
      </c>
    </row>
    <row r="3115" spans="1:14" x14ac:dyDescent="0.3">
      <c r="A3115" s="2">
        <f>DATE(VALUE(RIGHT(TRIM([1]Raw_Data!A3113),4)),VALUE(MID(TRIM([1]Raw_Data!A3113),4,2)),VALUE(LEFT(TRIM([1]Raw_Data!A3113),2)))</f>
        <v>45194</v>
      </c>
      <c r="B3115" s="3" t="str">
        <f>TRIM([1]Raw_Data!B3113)</f>
        <v>Zinc</v>
      </c>
      <c r="C3115" s="3" t="str">
        <f>TRIM([1]Raw_Data!C3113)</f>
        <v>Mineral</v>
      </c>
      <c r="D3115" s="3">
        <f>[1]Raw_Data!D3113</f>
        <v>162</v>
      </c>
      <c r="E3115" s="4">
        <f>[1]Raw_Data!E3113</f>
        <v>59.95</v>
      </c>
      <c r="F3115" s="5">
        <f>[1]Raw_Data!F3113</f>
        <v>9711.9</v>
      </c>
      <c r="G3115" s="4">
        <f>[1]Raw_Data!G3113</f>
        <v>0.17</v>
      </c>
      <c r="H3115" s="3">
        <f>[1]Raw_Data!H3113</f>
        <v>0</v>
      </c>
      <c r="I3115" s="3" t="str">
        <f>TRIM([1]Raw_Data!I3113)</f>
        <v>UK</v>
      </c>
      <c r="J3115" s="3" t="str">
        <f>TRIM([1]Raw_Data!J3113)</f>
        <v>iHerb</v>
      </c>
      <c r="K3115" s="3">
        <f t="shared" si="192"/>
        <v>2023</v>
      </c>
      <c r="L3115" s="6">
        <f t="shared" si="193"/>
        <v>45170</v>
      </c>
      <c r="M3115" s="3" t="str">
        <f t="shared" si="194"/>
        <v>16% to 20%</v>
      </c>
      <c r="N3115" s="3" t="str">
        <f t="shared" si="195"/>
        <v>OK</v>
      </c>
    </row>
    <row r="3116" spans="1:14" x14ac:dyDescent="0.3">
      <c r="A3116" s="2">
        <f>DATE(VALUE(RIGHT(TRIM([1]Raw_Data!A3114),4)),VALUE(MID(TRIM([1]Raw_Data!A3114),4,2)),VALUE(LEFT(TRIM([1]Raw_Data!A3114),2)))</f>
        <v>45194</v>
      </c>
      <c r="B3116" s="3" t="str">
        <f>TRIM([1]Raw_Data!B3114)</f>
        <v>Collagen Peptides</v>
      </c>
      <c r="C3116" s="3" t="str">
        <f>TRIM([1]Raw_Data!C3114)</f>
        <v>Protein</v>
      </c>
      <c r="D3116" s="3">
        <f>[1]Raw_Data!D3114</f>
        <v>140</v>
      </c>
      <c r="E3116" s="4">
        <f>[1]Raw_Data!E3114</f>
        <v>48.99</v>
      </c>
      <c r="F3116" s="5">
        <f>[1]Raw_Data!F3114</f>
        <v>6858.6</v>
      </c>
      <c r="G3116" s="4">
        <f>[1]Raw_Data!G3114</f>
        <v>0.06</v>
      </c>
      <c r="H3116" s="3">
        <f>[1]Raw_Data!H3114</f>
        <v>1</v>
      </c>
      <c r="I3116" s="3" t="str">
        <f>TRIM([1]Raw_Data!I3114)</f>
        <v>USA</v>
      </c>
      <c r="J3116" s="3" t="str">
        <f>TRIM([1]Raw_Data!J3114)</f>
        <v>iHerb</v>
      </c>
      <c r="K3116" s="3">
        <f t="shared" si="192"/>
        <v>2023</v>
      </c>
      <c r="L3116" s="6">
        <f t="shared" si="193"/>
        <v>45170</v>
      </c>
      <c r="M3116" s="3" t="str">
        <f t="shared" si="194"/>
        <v>6% to 10%</v>
      </c>
      <c r="N3116" s="3" t="str">
        <f t="shared" si="195"/>
        <v>OK</v>
      </c>
    </row>
    <row r="3117" spans="1:14" x14ac:dyDescent="0.3">
      <c r="A3117" s="2">
        <f>DATE(VALUE(RIGHT(TRIM([1]Raw_Data!A3115),4)),VALUE(MID(TRIM([1]Raw_Data!A3115),4,2)),VALUE(LEFT(TRIM([1]Raw_Data!A3115),2)))</f>
        <v>45194</v>
      </c>
      <c r="B3117" s="3" t="str">
        <f>TRIM([1]Raw_Data!B3115)</f>
        <v>Magnesium</v>
      </c>
      <c r="C3117" s="3" t="str">
        <f>TRIM([1]Raw_Data!C3115)</f>
        <v>Mineral</v>
      </c>
      <c r="D3117" s="3">
        <f>[1]Raw_Data!D3115</f>
        <v>143</v>
      </c>
      <c r="E3117" s="4">
        <f>[1]Raw_Data!E3115</f>
        <v>18.59</v>
      </c>
      <c r="F3117" s="5">
        <f>[1]Raw_Data!F3115</f>
        <v>2658.37</v>
      </c>
      <c r="G3117" s="4">
        <f>[1]Raw_Data!G3115</f>
        <v>0.03</v>
      </c>
      <c r="H3117" s="3">
        <f>[1]Raw_Data!H3115</f>
        <v>2</v>
      </c>
      <c r="I3117" s="3" t="str">
        <f>TRIM([1]Raw_Data!I3115)</f>
        <v>USA</v>
      </c>
      <c r="J3117" s="3" t="str">
        <f>TRIM([1]Raw_Data!J3115)</f>
        <v>iHerb</v>
      </c>
      <c r="K3117" s="3">
        <f t="shared" si="192"/>
        <v>2023</v>
      </c>
      <c r="L3117" s="6">
        <f t="shared" si="193"/>
        <v>45170</v>
      </c>
      <c r="M3117" s="3" t="str">
        <f t="shared" si="194"/>
        <v>0% to 5%</v>
      </c>
      <c r="N3117" s="3" t="str">
        <f t="shared" si="195"/>
        <v>OK</v>
      </c>
    </row>
    <row r="3118" spans="1:14" x14ac:dyDescent="0.3">
      <c r="A3118" s="2">
        <f>DATE(VALUE(RIGHT(TRIM([1]Raw_Data!A3116),4)),VALUE(MID(TRIM([1]Raw_Data!A3116),4,2)),VALUE(LEFT(TRIM([1]Raw_Data!A3116),2)))</f>
        <v>45194</v>
      </c>
      <c r="B3118" s="3" t="str">
        <f>TRIM([1]Raw_Data!B3116)</f>
        <v>Ashwagandha</v>
      </c>
      <c r="C3118" s="3" t="str">
        <f>TRIM([1]Raw_Data!C3116)</f>
        <v>Herbal</v>
      </c>
      <c r="D3118" s="3">
        <f>[1]Raw_Data!D3116</f>
        <v>161</v>
      </c>
      <c r="E3118" s="4">
        <f>[1]Raw_Data!E3116</f>
        <v>28.19</v>
      </c>
      <c r="F3118" s="5">
        <f>[1]Raw_Data!F3116</f>
        <v>4538.59</v>
      </c>
      <c r="G3118" s="4">
        <f>[1]Raw_Data!G3116</f>
        <v>0.11</v>
      </c>
      <c r="H3118" s="3">
        <f>[1]Raw_Data!H3116</f>
        <v>1</v>
      </c>
      <c r="I3118" s="3" t="str">
        <f>TRIM([1]Raw_Data!I3116)</f>
        <v>Canada</v>
      </c>
      <c r="J3118" s="3" t="str">
        <f>TRIM([1]Raw_Data!J3116)</f>
        <v>Amazon</v>
      </c>
      <c r="K3118" s="3">
        <f t="shared" si="192"/>
        <v>2023</v>
      </c>
      <c r="L3118" s="6">
        <f t="shared" si="193"/>
        <v>45170</v>
      </c>
      <c r="M3118" s="3" t="str">
        <f t="shared" si="194"/>
        <v>11% to 15%</v>
      </c>
      <c r="N3118" s="3" t="str">
        <f t="shared" si="195"/>
        <v>OK</v>
      </c>
    </row>
    <row r="3119" spans="1:14" x14ac:dyDescent="0.3">
      <c r="A3119" s="2">
        <f>DATE(VALUE(RIGHT(TRIM([1]Raw_Data!A3117),4)),VALUE(MID(TRIM([1]Raw_Data!A3117),4,2)),VALUE(LEFT(TRIM([1]Raw_Data!A3117),2)))</f>
        <v>45194</v>
      </c>
      <c r="B3119" s="3" t="str">
        <f>TRIM([1]Raw_Data!B3117)</f>
        <v>Melatonin</v>
      </c>
      <c r="C3119" s="3" t="str">
        <f>TRIM([1]Raw_Data!C3117)</f>
        <v>Sleep Aid</v>
      </c>
      <c r="D3119" s="3">
        <f>[1]Raw_Data!D3117</f>
        <v>139</v>
      </c>
      <c r="E3119" s="4">
        <f>[1]Raw_Data!E3117</f>
        <v>37.200000000000003</v>
      </c>
      <c r="F3119" s="5">
        <f>[1]Raw_Data!F3117</f>
        <v>5170.8</v>
      </c>
      <c r="G3119" s="4">
        <f>[1]Raw_Data!G3117</f>
        <v>0.15</v>
      </c>
      <c r="H3119" s="3">
        <f>[1]Raw_Data!H3117</f>
        <v>1</v>
      </c>
      <c r="I3119" s="3" t="str">
        <f>TRIM([1]Raw_Data!I3117)</f>
        <v>Canada</v>
      </c>
      <c r="J3119" s="3" t="str">
        <f>TRIM([1]Raw_Data!J3117)</f>
        <v>Amazon</v>
      </c>
      <c r="K3119" s="3">
        <f t="shared" si="192"/>
        <v>2023</v>
      </c>
      <c r="L3119" s="6">
        <f t="shared" si="193"/>
        <v>45170</v>
      </c>
      <c r="M3119" s="3" t="str">
        <f t="shared" si="194"/>
        <v>11% to 15%</v>
      </c>
      <c r="N3119" s="3" t="str">
        <f t="shared" si="195"/>
        <v>OK</v>
      </c>
    </row>
    <row r="3120" spans="1:14" x14ac:dyDescent="0.3">
      <c r="A3120" s="2">
        <f>DATE(VALUE(RIGHT(TRIM([1]Raw_Data!A3118),4)),VALUE(MID(TRIM([1]Raw_Data!A3118),4,2)),VALUE(LEFT(TRIM([1]Raw_Data!A3118),2)))</f>
        <v>45194</v>
      </c>
      <c r="B3120" s="3" t="str">
        <f>TRIM([1]Raw_Data!B3118)</f>
        <v>Biotin</v>
      </c>
      <c r="C3120" s="3" t="str">
        <f>TRIM([1]Raw_Data!C3118)</f>
        <v>Vitamin</v>
      </c>
      <c r="D3120" s="3">
        <f>[1]Raw_Data!D3118</f>
        <v>162</v>
      </c>
      <c r="E3120" s="4">
        <f>[1]Raw_Data!E3118</f>
        <v>35.26</v>
      </c>
      <c r="F3120" s="5">
        <f>[1]Raw_Data!F3118</f>
        <v>5712.12</v>
      </c>
      <c r="G3120" s="4">
        <f>[1]Raw_Data!G3118</f>
        <v>0.21</v>
      </c>
      <c r="H3120" s="3">
        <f>[1]Raw_Data!H3118</f>
        <v>2</v>
      </c>
      <c r="I3120" s="3" t="str">
        <f>TRIM([1]Raw_Data!I3118)</f>
        <v>USA</v>
      </c>
      <c r="J3120" s="3" t="str">
        <f>TRIM([1]Raw_Data!J3118)</f>
        <v>Walmart</v>
      </c>
      <c r="K3120" s="3">
        <f t="shared" si="192"/>
        <v>2023</v>
      </c>
      <c r="L3120" s="6">
        <f t="shared" si="193"/>
        <v>45170</v>
      </c>
      <c r="M3120" s="3" t="str">
        <f t="shared" si="194"/>
        <v>21% to 25%</v>
      </c>
      <c r="N3120" s="3" t="str">
        <f t="shared" si="195"/>
        <v>OK</v>
      </c>
    </row>
    <row r="3121" spans="1:14" x14ac:dyDescent="0.3">
      <c r="A3121" s="2">
        <f>DATE(VALUE(RIGHT(TRIM([1]Raw_Data!A3119),4)),VALUE(MID(TRIM([1]Raw_Data!A3119),4,2)),VALUE(LEFT(TRIM([1]Raw_Data!A3119),2)))</f>
        <v>45194</v>
      </c>
      <c r="B3121" s="3" t="str">
        <f>TRIM([1]Raw_Data!B3119)</f>
        <v>Green Tea Extract</v>
      </c>
      <c r="C3121" s="3" t="str">
        <f>TRIM([1]Raw_Data!C3119)</f>
        <v>Fat Burner</v>
      </c>
      <c r="D3121" s="3">
        <f>[1]Raw_Data!D3119</f>
        <v>141</v>
      </c>
      <c r="E3121" s="4">
        <f>[1]Raw_Data!E3119</f>
        <v>54.45</v>
      </c>
      <c r="F3121" s="5">
        <f>[1]Raw_Data!F3119</f>
        <v>7677.45</v>
      </c>
      <c r="G3121" s="4">
        <f>[1]Raw_Data!G3119</f>
        <v>0.19</v>
      </c>
      <c r="H3121" s="3">
        <f>[1]Raw_Data!H3119</f>
        <v>3</v>
      </c>
      <c r="I3121" s="3" t="str">
        <f>TRIM([1]Raw_Data!I3119)</f>
        <v>UK</v>
      </c>
      <c r="J3121" s="3" t="str">
        <f>TRIM([1]Raw_Data!J3119)</f>
        <v>Amazon</v>
      </c>
      <c r="K3121" s="3">
        <f t="shared" si="192"/>
        <v>2023</v>
      </c>
      <c r="L3121" s="6">
        <f t="shared" si="193"/>
        <v>45170</v>
      </c>
      <c r="M3121" s="3" t="str">
        <f t="shared" si="194"/>
        <v>16% to 20%</v>
      </c>
      <c r="N3121" s="3" t="str">
        <f t="shared" si="195"/>
        <v>OK</v>
      </c>
    </row>
    <row r="3122" spans="1:14" x14ac:dyDescent="0.3">
      <c r="A3122" s="2">
        <f>DATE(VALUE(RIGHT(TRIM([1]Raw_Data!A3120),4)),VALUE(MID(TRIM([1]Raw_Data!A3120),4,2)),VALUE(LEFT(TRIM([1]Raw_Data!A3120),2)))</f>
        <v>45194</v>
      </c>
      <c r="B3122" s="3" t="str">
        <f>TRIM([1]Raw_Data!B3120)</f>
        <v>Iron Supplement</v>
      </c>
      <c r="C3122" s="3" t="str">
        <f>TRIM([1]Raw_Data!C3120)</f>
        <v>Mineral</v>
      </c>
      <c r="D3122" s="3">
        <f>[1]Raw_Data!D3120</f>
        <v>126</v>
      </c>
      <c r="E3122" s="4">
        <f>[1]Raw_Data!E3120</f>
        <v>17.23</v>
      </c>
      <c r="F3122" s="5">
        <f>[1]Raw_Data!F3120</f>
        <v>2170.98</v>
      </c>
      <c r="G3122" s="4">
        <f>[1]Raw_Data!G3120</f>
        <v>0.13</v>
      </c>
      <c r="H3122" s="3">
        <f>[1]Raw_Data!H3120</f>
        <v>0</v>
      </c>
      <c r="I3122" s="3" t="str">
        <f>TRIM([1]Raw_Data!I3120)</f>
        <v>UK</v>
      </c>
      <c r="J3122" s="3" t="str">
        <f>TRIM([1]Raw_Data!J3120)</f>
        <v>Amazon</v>
      </c>
      <c r="K3122" s="3">
        <f t="shared" si="192"/>
        <v>2023</v>
      </c>
      <c r="L3122" s="6">
        <f t="shared" si="193"/>
        <v>45170</v>
      </c>
      <c r="M3122" s="3" t="str">
        <f t="shared" si="194"/>
        <v>11% to 15%</v>
      </c>
      <c r="N3122" s="3" t="str">
        <f t="shared" si="195"/>
        <v>OK</v>
      </c>
    </row>
    <row r="3123" spans="1:14" x14ac:dyDescent="0.3">
      <c r="A3123" s="2">
        <f>DATE(VALUE(RIGHT(TRIM([1]Raw_Data!A3121),4)),VALUE(MID(TRIM([1]Raw_Data!A3121),4,2)),VALUE(LEFT(TRIM([1]Raw_Data!A3121),2)))</f>
        <v>45194</v>
      </c>
      <c r="B3123" s="3" t="str">
        <f>TRIM([1]Raw_Data!B3121)</f>
        <v>Electrolyte Powder</v>
      </c>
      <c r="C3123" s="3" t="str">
        <f>TRIM([1]Raw_Data!C3121)</f>
        <v>Hydration</v>
      </c>
      <c r="D3123" s="3">
        <f>[1]Raw_Data!D3121</f>
        <v>134</v>
      </c>
      <c r="E3123" s="4">
        <f>[1]Raw_Data!E3121</f>
        <v>41.51</v>
      </c>
      <c r="F3123" s="5">
        <f>[1]Raw_Data!F3121</f>
        <v>5562.34</v>
      </c>
      <c r="G3123" s="4">
        <f>[1]Raw_Data!G3121</f>
        <v>0.09</v>
      </c>
      <c r="H3123" s="3">
        <f>[1]Raw_Data!H3121</f>
        <v>0</v>
      </c>
      <c r="I3123" s="3" t="str">
        <f>TRIM([1]Raw_Data!I3121)</f>
        <v>Canada</v>
      </c>
      <c r="J3123" s="3" t="str">
        <f>TRIM([1]Raw_Data!J3121)</f>
        <v>Walmart</v>
      </c>
      <c r="K3123" s="3">
        <f t="shared" si="192"/>
        <v>2023</v>
      </c>
      <c r="L3123" s="6">
        <f t="shared" si="193"/>
        <v>45170</v>
      </c>
      <c r="M3123" s="3" t="str">
        <f t="shared" si="194"/>
        <v>6% to 10%</v>
      </c>
      <c r="N3123" s="3" t="str">
        <f t="shared" si="195"/>
        <v>OK</v>
      </c>
    </row>
    <row r="3124" spans="1:14" x14ac:dyDescent="0.3">
      <c r="A3124" s="2">
        <f>DATE(VALUE(RIGHT(TRIM([1]Raw_Data!A3122),4)),VALUE(MID(TRIM([1]Raw_Data!A3122),4,2)),VALUE(LEFT(TRIM([1]Raw_Data!A3122),2)))</f>
        <v>45201</v>
      </c>
      <c r="B3124" s="3" t="str">
        <f>TRIM([1]Raw_Data!B3122)</f>
        <v>Whey Protein</v>
      </c>
      <c r="C3124" s="3" t="str">
        <f>TRIM([1]Raw_Data!C3122)</f>
        <v>Protein</v>
      </c>
      <c r="D3124" s="3">
        <f>[1]Raw_Data!D3122</f>
        <v>143</v>
      </c>
      <c r="E3124" s="4">
        <f>[1]Raw_Data!E3122</f>
        <v>57.08</v>
      </c>
      <c r="F3124" s="5">
        <f>[1]Raw_Data!F3122</f>
        <v>8162.44</v>
      </c>
      <c r="G3124" s="4">
        <f>[1]Raw_Data!G3122</f>
        <v>0.08</v>
      </c>
      <c r="H3124" s="3">
        <f>[1]Raw_Data!H3122</f>
        <v>1</v>
      </c>
      <c r="I3124" s="3" t="str">
        <f>TRIM([1]Raw_Data!I3122)</f>
        <v>UK</v>
      </c>
      <c r="J3124" s="3" t="str">
        <f>TRIM([1]Raw_Data!J3122)</f>
        <v>Walmart</v>
      </c>
      <c r="K3124" s="3">
        <f t="shared" si="192"/>
        <v>2023</v>
      </c>
      <c r="L3124" s="6">
        <f t="shared" si="193"/>
        <v>45200</v>
      </c>
      <c r="M3124" s="3" t="str">
        <f t="shared" si="194"/>
        <v>6% to 10%</v>
      </c>
      <c r="N3124" s="3" t="str">
        <f t="shared" si="195"/>
        <v>OK</v>
      </c>
    </row>
    <row r="3125" spans="1:14" x14ac:dyDescent="0.3">
      <c r="A3125" s="2">
        <f>DATE(VALUE(RIGHT(TRIM([1]Raw_Data!A3123),4)),VALUE(MID(TRIM([1]Raw_Data!A3123),4,2)),VALUE(LEFT(TRIM([1]Raw_Data!A3123),2)))</f>
        <v>45201</v>
      </c>
      <c r="B3125" s="3" t="str">
        <f>TRIM([1]Raw_Data!B3123)</f>
        <v>Vitamin C</v>
      </c>
      <c r="C3125" s="3" t="str">
        <f>TRIM([1]Raw_Data!C3123)</f>
        <v>Vitamin</v>
      </c>
      <c r="D3125" s="3">
        <f>[1]Raw_Data!D3123</f>
        <v>164</v>
      </c>
      <c r="E3125" s="4">
        <f>[1]Raw_Data!E3123</f>
        <v>45.51</v>
      </c>
      <c r="F3125" s="5">
        <f>[1]Raw_Data!F3123</f>
        <v>7463.64</v>
      </c>
      <c r="G3125" s="4">
        <f>[1]Raw_Data!G3123</f>
        <v>0.16</v>
      </c>
      <c r="H3125" s="3">
        <f>[1]Raw_Data!H3123</f>
        <v>4</v>
      </c>
      <c r="I3125" s="3" t="str">
        <f>TRIM([1]Raw_Data!I3123)</f>
        <v>Canada</v>
      </c>
      <c r="J3125" s="3" t="str">
        <f>TRIM([1]Raw_Data!J3123)</f>
        <v>iHerb</v>
      </c>
      <c r="K3125" s="3">
        <f t="shared" si="192"/>
        <v>2023</v>
      </c>
      <c r="L3125" s="6">
        <f t="shared" si="193"/>
        <v>45200</v>
      </c>
      <c r="M3125" s="3" t="str">
        <f t="shared" si="194"/>
        <v>16% to 20%</v>
      </c>
      <c r="N3125" s="3" t="str">
        <f t="shared" si="195"/>
        <v>OK</v>
      </c>
    </row>
    <row r="3126" spans="1:14" x14ac:dyDescent="0.3">
      <c r="A3126" s="2">
        <f>DATE(VALUE(RIGHT(TRIM([1]Raw_Data!A3124),4)),VALUE(MID(TRIM([1]Raw_Data!A3124),4,2)),VALUE(LEFT(TRIM([1]Raw_Data!A3124),2)))</f>
        <v>45201</v>
      </c>
      <c r="B3126" s="3" t="str">
        <f>TRIM([1]Raw_Data!B3124)</f>
        <v>Fish Oil</v>
      </c>
      <c r="C3126" s="3" t="str">
        <f>TRIM([1]Raw_Data!C3124)</f>
        <v>Omega</v>
      </c>
      <c r="D3126" s="3">
        <f>[1]Raw_Data!D3124</f>
        <v>163</v>
      </c>
      <c r="E3126" s="4">
        <f>[1]Raw_Data!E3124</f>
        <v>43.12</v>
      </c>
      <c r="F3126" s="5">
        <f>[1]Raw_Data!F3124</f>
        <v>7028.56</v>
      </c>
      <c r="G3126" s="4">
        <f>[1]Raw_Data!G3124</f>
        <v>0.16</v>
      </c>
      <c r="H3126" s="3">
        <f>[1]Raw_Data!H3124</f>
        <v>0</v>
      </c>
      <c r="I3126" s="3" t="str">
        <f>TRIM([1]Raw_Data!I3124)</f>
        <v>Canada</v>
      </c>
      <c r="J3126" s="3" t="str">
        <f>TRIM([1]Raw_Data!J3124)</f>
        <v>iHerb</v>
      </c>
      <c r="K3126" s="3">
        <f t="shared" si="192"/>
        <v>2023</v>
      </c>
      <c r="L3126" s="6">
        <f t="shared" si="193"/>
        <v>45200</v>
      </c>
      <c r="M3126" s="3" t="str">
        <f t="shared" si="194"/>
        <v>16% to 20%</v>
      </c>
      <c r="N3126" s="3" t="str">
        <f t="shared" si="195"/>
        <v>OK</v>
      </c>
    </row>
    <row r="3127" spans="1:14" x14ac:dyDescent="0.3">
      <c r="A3127" s="2">
        <f>DATE(VALUE(RIGHT(TRIM([1]Raw_Data!A3125),4)),VALUE(MID(TRIM([1]Raw_Data!A3125),4,2)),VALUE(LEFT(TRIM([1]Raw_Data!A3125),2)))</f>
        <v>45201</v>
      </c>
      <c r="B3127" s="3" t="str">
        <f>TRIM([1]Raw_Data!B3125)</f>
        <v>Multivitamin</v>
      </c>
      <c r="C3127" s="3" t="str">
        <f>TRIM([1]Raw_Data!C3125)</f>
        <v>Vitamin</v>
      </c>
      <c r="D3127" s="3">
        <f>[1]Raw_Data!D3125</f>
        <v>151</v>
      </c>
      <c r="E3127" s="4">
        <f>[1]Raw_Data!E3125</f>
        <v>48.1</v>
      </c>
      <c r="F3127" s="5">
        <f>[1]Raw_Data!F3125</f>
        <v>7263.1</v>
      </c>
      <c r="G3127" s="4">
        <f>[1]Raw_Data!G3125</f>
        <v>0.13</v>
      </c>
      <c r="H3127" s="3">
        <f>[1]Raw_Data!H3125</f>
        <v>0</v>
      </c>
      <c r="I3127" s="3" t="str">
        <f>TRIM([1]Raw_Data!I3125)</f>
        <v>USA</v>
      </c>
      <c r="J3127" s="3" t="str">
        <f>TRIM([1]Raw_Data!J3125)</f>
        <v>Amazon</v>
      </c>
      <c r="K3127" s="3">
        <f t="shared" si="192"/>
        <v>2023</v>
      </c>
      <c r="L3127" s="6">
        <f t="shared" si="193"/>
        <v>45200</v>
      </c>
      <c r="M3127" s="3" t="str">
        <f t="shared" si="194"/>
        <v>11% to 15%</v>
      </c>
      <c r="N3127" s="3" t="str">
        <f t="shared" si="195"/>
        <v>OK</v>
      </c>
    </row>
    <row r="3128" spans="1:14" x14ac:dyDescent="0.3">
      <c r="A3128" s="2">
        <f>DATE(VALUE(RIGHT(TRIM([1]Raw_Data!A3126),4)),VALUE(MID(TRIM([1]Raw_Data!A3126),4,2)),VALUE(LEFT(TRIM([1]Raw_Data!A3126),2)))</f>
        <v>45201</v>
      </c>
      <c r="B3128" s="3" t="str">
        <f>TRIM([1]Raw_Data!B3126)</f>
        <v>Pre-Workout</v>
      </c>
      <c r="C3128" s="3" t="str">
        <f>TRIM([1]Raw_Data!C3126)</f>
        <v>Performance</v>
      </c>
      <c r="D3128" s="3">
        <f>[1]Raw_Data!D3126</f>
        <v>159</v>
      </c>
      <c r="E3128" s="4">
        <f>[1]Raw_Data!E3126</f>
        <v>18.260000000000002</v>
      </c>
      <c r="F3128" s="5">
        <f>[1]Raw_Data!F3126</f>
        <v>2903.34</v>
      </c>
      <c r="G3128" s="4">
        <f>[1]Raw_Data!G3126</f>
        <v>0.24</v>
      </c>
      <c r="H3128" s="3">
        <f>[1]Raw_Data!H3126</f>
        <v>1</v>
      </c>
      <c r="I3128" s="3" t="str">
        <f>TRIM([1]Raw_Data!I3126)</f>
        <v>Canada</v>
      </c>
      <c r="J3128" s="3" t="str">
        <f>TRIM([1]Raw_Data!J3126)</f>
        <v>Walmart</v>
      </c>
      <c r="K3128" s="3">
        <f t="shared" si="192"/>
        <v>2023</v>
      </c>
      <c r="L3128" s="6">
        <f t="shared" si="193"/>
        <v>45200</v>
      </c>
      <c r="M3128" s="3" t="str">
        <f t="shared" si="194"/>
        <v>21% to 25%</v>
      </c>
      <c r="N3128" s="3" t="str">
        <f t="shared" si="195"/>
        <v>OK</v>
      </c>
    </row>
    <row r="3129" spans="1:14" x14ac:dyDescent="0.3">
      <c r="A3129" s="2">
        <f>DATE(VALUE(RIGHT(TRIM([1]Raw_Data!A3127),4)),VALUE(MID(TRIM([1]Raw_Data!A3127),4,2)),VALUE(LEFT(TRIM([1]Raw_Data!A3127),2)))</f>
        <v>45201</v>
      </c>
      <c r="B3129" s="3" t="str">
        <f>TRIM([1]Raw_Data!B3127)</f>
        <v>BCAA</v>
      </c>
      <c r="C3129" s="3" t="str">
        <f>TRIM([1]Raw_Data!C3127)</f>
        <v>Amino Acid</v>
      </c>
      <c r="D3129" s="3">
        <f>[1]Raw_Data!D3127</f>
        <v>148</v>
      </c>
      <c r="E3129" s="4">
        <f>[1]Raw_Data!E3127</f>
        <v>40.159999999999997</v>
      </c>
      <c r="F3129" s="5">
        <f>[1]Raw_Data!F3127</f>
        <v>5943.68</v>
      </c>
      <c r="G3129" s="4">
        <f>[1]Raw_Data!G3127</f>
        <v>0.09</v>
      </c>
      <c r="H3129" s="3">
        <f>[1]Raw_Data!H3127</f>
        <v>1</v>
      </c>
      <c r="I3129" s="3" t="str">
        <f>TRIM([1]Raw_Data!I3127)</f>
        <v>UK</v>
      </c>
      <c r="J3129" s="3" t="str">
        <f>TRIM([1]Raw_Data!J3127)</f>
        <v>Walmart</v>
      </c>
      <c r="K3129" s="3">
        <f t="shared" si="192"/>
        <v>2023</v>
      </c>
      <c r="L3129" s="6">
        <f t="shared" si="193"/>
        <v>45200</v>
      </c>
      <c r="M3129" s="3" t="str">
        <f t="shared" si="194"/>
        <v>6% to 10%</v>
      </c>
      <c r="N3129" s="3" t="str">
        <f t="shared" si="195"/>
        <v>OK</v>
      </c>
    </row>
    <row r="3130" spans="1:14" x14ac:dyDescent="0.3">
      <c r="A3130" s="2">
        <f>DATE(VALUE(RIGHT(TRIM([1]Raw_Data!A3128),4)),VALUE(MID(TRIM([1]Raw_Data!A3128),4,2)),VALUE(LEFT(TRIM([1]Raw_Data!A3128),2)))</f>
        <v>45201</v>
      </c>
      <c r="B3130" s="3" t="str">
        <f>TRIM([1]Raw_Data!B3128)</f>
        <v>Creatine</v>
      </c>
      <c r="C3130" s="3" t="str">
        <f>TRIM([1]Raw_Data!C3128)</f>
        <v>Performance</v>
      </c>
      <c r="D3130" s="3">
        <f>[1]Raw_Data!D3128</f>
        <v>163</v>
      </c>
      <c r="E3130" s="4">
        <f>[1]Raw_Data!E3128</f>
        <v>49.9</v>
      </c>
      <c r="F3130" s="5">
        <f>[1]Raw_Data!F3128</f>
        <v>8133.7</v>
      </c>
      <c r="G3130" s="4">
        <f>[1]Raw_Data!G3128</f>
        <v>0.14000000000000001</v>
      </c>
      <c r="H3130" s="3">
        <f>[1]Raw_Data!H3128</f>
        <v>5</v>
      </c>
      <c r="I3130" s="3" t="str">
        <f>TRIM([1]Raw_Data!I3128)</f>
        <v>Canada</v>
      </c>
      <c r="J3130" s="3" t="str">
        <f>TRIM([1]Raw_Data!J3128)</f>
        <v>Walmart</v>
      </c>
      <c r="K3130" s="3">
        <f t="shared" si="192"/>
        <v>2023</v>
      </c>
      <c r="L3130" s="6">
        <f t="shared" si="193"/>
        <v>45200</v>
      </c>
      <c r="M3130" s="3" t="str">
        <f t="shared" si="194"/>
        <v>11% to 15%</v>
      </c>
      <c r="N3130" s="3" t="str">
        <f t="shared" si="195"/>
        <v>OK</v>
      </c>
    </row>
    <row r="3131" spans="1:14" x14ac:dyDescent="0.3">
      <c r="A3131" s="2">
        <f>DATE(VALUE(RIGHT(TRIM([1]Raw_Data!A3129),4)),VALUE(MID(TRIM([1]Raw_Data!A3129),4,2)),VALUE(LEFT(TRIM([1]Raw_Data!A3129),2)))</f>
        <v>45201</v>
      </c>
      <c r="B3131" s="3" t="str">
        <f>TRIM([1]Raw_Data!B3129)</f>
        <v>Zinc</v>
      </c>
      <c r="C3131" s="3" t="str">
        <f>TRIM([1]Raw_Data!C3129)</f>
        <v>Mineral</v>
      </c>
      <c r="D3131" s="3">
        <f>[1]Raw_Data!D3129</f>
        <v>153</v>
      </c>
      <c r="E3131" s="4">
        <f>[1]Raw_Data!E3129</f>
        <v>12.53</v>
      </c>
      <c r="F3131" s="5">
        <f>[1]Raw_Data!F3129</f>
        <v>1917.09</v>
      </c>
      <c r="G3131" s="4">
        <f>[1]Raw_Data!G3129</f>
        <v>0.22</v>
      </c>
      <c r="H3131" s="3">
        <f>[1]Raw_Data!H3129</f>
        <v>3</v>
      </c>
      <c r="I3131" s="3" t="str">
        <f>TRIM([1]Raw_Data!I3129)</f>
        <v>UK</v>
      </c>
      <c r="J3131" s="3" t="str">
        <f>TRIM([1]Raw_Data!J3129)</f>
        <v>iHerb</v>
      </c>
      <c r="K3131" s="3">
        <f t="shared" si="192"/>
        <v>2023</v>
      </c>
      <c r="L3131" s="6">
        <f t="shared" si="193"/>
        <v>45200</v>
      </c>
      <c r="M3131" s="3" t="str">
        <f t="shared" si="194"/>
        <v>21% to 25%</v>
      </c>
      <c r="N3131" s="3" t="str">
        <f t="shared" si="195"/>
        <v>OK</v>
      </c>
    </row>
    <row r="3132" spans="1:14" x14ac:dyDescent="0.3">
      <c r="A3132" s="2">
        <f>DATE(VALUE(RIGHT(TRIM([1]Raw_Data!A3130),4)),VALUE(MID(TRIM([1]Raw_Data!A3130),4,2)),VALUE(LEFT(TRIM([1]Raw_Data!A3130),2)))</f>
        <v>45201</v>
      </c>
      <c r="B3132" s="3" t="str">
        <f>TRIM([1]Raw_Data!B3130)</f>
        <v>Collagen Peptides</v>
      </c>
      <c r="C3132" s="3" t="str">
        <f>TRIM([1]Raw_Data!C3130)</f>
        <v>Protein</v>
      </c>
      <c r="D3132" s="3">
        <f>[1]Raw_Data!D3130</f>
        <v>144</v>
      </c>
      <c r="E3132" s="4">
        <f>[1]Raw_Data!E3130</f>
        <v>34.479999999999997</v>
      </c>
      <c r="F3132" s="5">
        <f>[1]Raw_Data!F3130</f>
        <v>4965.12</v>
      </c>
      <c r="G3132" s="4">
        <f>[1]Raw_Data!G3130</f>
        <v>0.24</v>
      </c>
      <c r="H3132" s="3">
        <f>[1]Raw_Data!H3130</f>
        <v>4</v>
      </c>
      <c r="I3132" s="3" t="str">
        <f>TRIM([1]Raw_Data!I3130)</f>
        <v>Canada</v>
      </c>
      <c r="J3132" s="3" t="str">
        <f>TRIM([1]Raw_Data!J3130)</f>
        <v>Amazon</v>
      </c>
      <c r="K3132" s="3">
        <f t="shared" si="192"/>
        <v>2023</v>
      </c>
      <c r="L3132" s="6">
        <f t="shared" si="193"/>
        <v>45200</v>
      </c>
      <c r="M3132" s="3" t="str">
        <f t="shared" si="194"/>
        <v>21% to 25%</v>
      </c>
      <c r="N3132" s="3" t="str">
        <f t="shared" si="195"/>
        <v>OK</v>
      </c>
    </row>
    <row r="3133" spans="1:14" x14ac:dyDescent="0.3">
      <c r="A3133" s="2">
        <f>DATE(VALUE(RIGHT(TRIM([1]Raw_Data!A3131),4)),VALUE(MID(TRIM([1]Raw_Data!A3131),4,2)),VALUE(LEFT(TRIM([1]Raw_Data!A3131),2)))</f>
        <v>45201</v>
      </c>
      <c r="B3133" s="3" t="str">
        <f>TRIM([1]Raw_Data!B3131)</f>
        <v>Magnesium</v>
      </c>
      <c r="C3133" s="3" t="str">
        <f>TRIM([1]Raw_Data!C3131)</f>
        <v>Mineral</v>
      </c>
      <c r="D3133" s="3">
        <f>[1]Raw_Data!D3131</f>
        <v>170</v>
      </c>
      <c r="E3133" s="4">
        <f>[1]Raw_Data!E3131</f>
        <v>51.55</v>
      </c>
      <c r="F3133" s="5">
        <f>[1]Raw_Data!F3131</f>
        <v>8763.5</v>
      </c>
      <c r="G3133" s="4">
        <f>[1]Raw_Data!G3131</f>
        <v>0.18</v>
      </c>
      <c r="H3133" s="3">
        <f>[1]Raw_Data!H3131</f>
        <v>4</v>
      </c>
      <c r="I3133" s="3" t="str">
        <f>TRIM([1]Raw_Data!I3131)</f>
        <v>UK</v>
      </c>
      <c r="J3133" s="3" t="str">
        <f>TRIM([1]Raw_Data!J3131)</f>
        <v>Amazon</v>
      </c>
      <c r="K3133" s="3">
        <f t="shared" si="192"/>
        <v>2023</v>
      </c>
      <c r="L3133" s="6">
        <f t="shared" si="193"/>
        <v>45200</v>
      </c>
      <c r="M3133" s="3" t="str">
        <f t="shared" si="194"/>
        <v>16% to 20%</v>
      </c>
      <c r="N3133" s="3" t="str">
        <f t="shared" si="195"/>
        <v>OK</v>
      </c>
    </row>
    <row r="3134" spans="1:14" x14ac:dyDescent="0.3">
      <c r="A3134" s="2">
        <f>DATE(VALUE(RIGHT(TRIM([1]Raw_Data!A3132),4)),VALUE(MID(TRIM([1]Raw_Data!A3132),4,2)),VALUE(LEFT(TRIM([1]Raw_Data!A3132),2)))</f>
        <v>45201</v>
      </c>
      <c r="B3134" s="3" t="str">
        <f>TRIM([1]Raw_Data!B3132)</f>
        <v>Ashwagandha</v>
      </c>
      <c r="C3134" s="3" t="str">
        <f>TRIM([1]Raw_Data!C3132)</f>
        <v>Herbal</v>
      </c>
      <c r="D3134" s="3">
        <f>[1]Raw_Data!D3132</f>
        <v>152</v>
      </c>
      <c r="E3134" s="4">
        <f>[1]Raw_Data!E3132</f>
        <v>39.869999999999997</v>
      </c>
      <c r="F3134" s="5">
        <f>[1]Raw_Data!F3132</f>
        <v>6060.24</v>
      </c>
      <c r="G3134" s="4">
        <f>[1]Raw_Data!G3132</f>
        <v>0.17</v>
      </c>
      <c r="H3134" s="3">
        <f>[1]Raw_Data!H3132</f>
        <v>1</v>
      </c>
      <c r="I3134" s="3" t="str">
        <f>TRIM([1]Raw_Data!I3132)</f>
        <v>USA</v>
      </c>
      <c r="J3134" s="3" t="str">
        <f>TRIM([1]Raw_Data!J3132)</f>
        <v>Walmart</v>
      </c>
      <c r="K3134" s="3">
        <f t="shared" si="192"/>
        <v>2023</v>
      </c>
      <c r="L3134" s="6">
        <f t="shared" si="193"/>
        <v>45200</v>
      </c>
      <c r="M3134" s="3" t="str">
        <f t="shared" si="194"/>
        <v>16% to 20%</v>
      </c>
      <c r="N3134" s="3" t="str">
        <f t="shared" si="195"/>
        <v>OK</v>
      </c>
    </row>
    <row r="3135" spans="1:14" x14ac:dyDescent="0.3">
      <c r="A3135" s="2">
        <f>DATE(VALUE(RIGHT(TRIM([1]Raw_Data!A3133),4)),VALUE(MID(TRIM([1]Raw_Data!A3133),4,2)),VALUE(LEFT(TRIM([1]Raw_Data!A3133),2)))</f>
        <v>45201</v>
      </c>
      <c r="B3135" s="3" t="str">
        <f>TRIM([1]Raw_Data!B3133)</f>
        <v>Melatonin</v>
      </c>
      <c r="C3135" s="3" t="str">
        <f>TRIM([1]Raw_Data!C3133)</f>
        <v>Sleep Aid</v>
      </c>
      <c r="D3135" s="3">
        <f>[1]Raw_Data!D3133</f>
        <v>146</v>
      </c>
      <c r="E3135" s="4">
        <f>[1]Raw_Data!E3133</f>
        <v>28.71</v>
      </c>
      <c r="F3135" s="5">
        <f>[1]Raw_Data!F3133</f>
        <v>4191.66</v>
      </c>
      <c r="G3135" s="4">
        <f>[1]Raw_Data!G3133</f>
        <v>0.09</v>
      </c>
      <c r="H3135" s="3">
        <f>[1]Raw_Data!H3133</f>
        <v>0</v>
      </c>
      <c r="I3135" s="3" t="str">
        <f>TRIM([1]Raw_Data!I3133)</f>
        <v>USA</v>
      </c>
      <c r="J3135" s="3" t="str">
        <f>TRIM([1]Raw_Data!J3133)</f>
        <v>Walmart</v>
      </c>
      <c r="K3135" s="3">
        <f t="shared" si="192"/>
        <v>2023</v>
      </c>
      <c r="L3135" s="6">
        <f t="shared" si="193"/>
        <v>45200</v>
      </c>
      <c r="M3135" s="3" t="str">
        <f t="shared" si="194"/>
        <v>6% to 10%</v>
      </c>
      <c r="N3135" s="3" t="str">
        <f t="shared" si="195"/>
        <v>OK</v>
      </c>
    </row>
    <row r="3136" spans="1:14" x14ac:dyDescent="0.3">
      <c r="A3136" s="2">
        <f>DATE(VALUE(RIGHT(TRIM([1]Raw_Data!A3134),4)),VALUE(MID(TRIM([1]Raw_Data!A3134),4,2)),VALUE(LEFT(TRIM([1]Raw_Data!A3134),2)))</f>
        <v>45201</v>
      </c>
      <c r="B3136" s="3" t="str">
        <f>TRIM([1]Raw_Data!B3134)</f>
        <v>Biotin</v>
      </c>
      <c r="C3136" s="3" t="str">
        <f>TRIM([1]Raw_Data!C3134)</f>
        <v>Vitamin</v>
      </c>
      <c r="D3136" s="3">
        <f>[1]Raw_Data!D3134</f>
        <v>175</v>
      </c>
      <c r="E3136" s="4">
        <f>[1]Raw_Data!E3134</f>
        <v>10.06</v>
      </c>
      <c r="F3136" s="5">
        <f>[1]Raw_Data!F3134</f>
        <v>1760.5</v>
      </c>
      <c r="G3136" s="4">
        <f>[1]Raw_Data!G3134</f>
        <v>0.19</v>
      </c>
      <c r="H3136" s="3">
        <f>[1]Raw_Data!H3134</f>
        <v>2</v>
      </c>
      <c r="I3136" s="3" t="str">
        <f>TRIM([1]Raw_Data!I3134)</f>
        <v>UK</v>
      </c>
      <c r="J3136" s="3" t="str">
        <f>TRIM([1]Raw_Data!J3134)</f>
        <v>iHerb</v>
      </c>
      <c r="K3136" s="3">
        <f t="shared" si="192"/>
        <v>2023</v>
      </c>
      <c r="L3136" s="6">
        <f t="shared" si="193"/>
        <v>45200</v>
      </c>
      <c r="M3136" s="3" t="str">
        <f t="shared" si="194"/>
        <v>16% to 20%</v>
      </c>
      <c r="N3136" s="3" t="str">
        <f t="shared" si="195"/>
        <v>OK</v>
      </c>
    </row>
    <row r="3137" spans="1:14" x14ac:dyDescent="0.3">
      <c r="A3137" s="2">
        <f>DATE(VALUE(RIGHT(TRIM([1]Raw_Data!A3135),4)),VALUE(MID(TRIM([1]Raw_Data!A3135),4,2)),VALUE(LEFT(TRIM([1]Raw_Data!A3135),2)))</f>
        <v>45201</v>
      </c>
      <c r="B3137" s="3" t="str">
        <f>TRIM([1]Raw_Data!B3135)</f>
        <v>Green Tea Extract</v>
      </c>
      <c r="C3137" s="3" t="str">
        <f>TRIM([1]Raw_Data!C3135)</f>
        <v>Fat Burner</v>
      </c>
      <c r="D3137" s="3">
        <f>[1]Raw_Data!D3135</f>
        <v>154</v>
      </c>
      <c r="E3137" s="4">
        <f>[1]Raw_Data!E3135</f>
        <v>48.9</v>
      </c>
      <c r="F3137" s="5">
        <f>[1]Raw_Data!F3135</f>
        <v>7530.6</v>
      </c>
      <c r="G3137" s="4">
        <f>[1]Raw_Data!G3135</f>
        <v>0.11</v>
      </c>
      <c r="H3137" s="3">
        <f>[1]Raw_Data!H3135</f>
        <v>0</v>
      </c>
      <c r="I3137" s="3" t="str">
        <f>TRIM([1]Raw_Data!I3135)</f>
        <v>USA</v>
      </c>
      <c r="J3137" s="3" t="str">
        <f>TRIM([1]Raw_Data!J3135)</f>
        <v>Amazon</v>
      </c>
      <c r="K3137" s="3">
        <f t="shared" si="192"/>
        <v>2023</v>
      </c>
      <c r="L3137" s="6">
        <f t="shared" si="193"/>
        <v>45200</v>
      </c>
      <c r="M3137" s="3" t="str">
        <f t="shared" si="194"/>
        <v>11% to 15%</v>
      </c>
      <c r="N3137" s="3" t="str">
        <f t="shared" si="195"/>
        <v>OK</v>
      </c>
    </row>
    <row r="3138" spans="1:14" x14ac:dyDescent="0.3">
      <c r="A3138" s="2">
        <f>DATE(VALUE(RIGHT(TRIM([1]Raw_Data!A3136),4)),VALUE(MID(TRIM([1]Raw_Data!A3136),4,2)),VALUE(LEFT(TRIM([1]Raw_Data!A3136),2)))</f>
        <v>45201</v>
      </c>
      <c r="B3138" s="3" t="str">
        <f>TRIM([1]Raw_Data!B3136)</f>
        <v>Iron Supplement</v>
      </c>
      <c r="C3138" s="3" t="str">
        <f>TRIM([1]Raw_Data!C3136)</f>
        <v>Mineral</v>
      </c>
      <c r="D3138" s="3">
        <f>[1]Raw_Data!D3136</f>
        <v>158</v>
      </c>
      <c r="E3138" s="4">
        <f>[1]Raw_Data!E3136</f>
        <v>26.45</v>
      </c>
      <c r="F3138" s="5">
        <f>[1]Raw_Data!F3136</f>
        <v>4179.1000000000004</v>
      </c>
      <c r="G3138" s="4">
        <f>[1]Raw_Data!G3136</f>
        <v>0.11</v>
      </c>
      <c r="H3138" s="3">
        <f>[1]Raw_Data!H3136</f>
        <v>0</v>
      </c>
      <c r="I3138" s="3" t="str">
        <f>TRIM([1]Raw_Data!I3136)</f>
        <v>USA</v>
      </c>
      <c r="J3138" s="3" t="str">
        <f>TRIM([1]Raw_Data!J3136)</f>
        <v>Amazon</v>
      </c>
      <c r="K3138" s="3">
        <f t="shared" si="192"/>
        <v>2023</v>
      </c>
      <c r="L3138" s="6">
        <f t="shared" si="193"/>
        <v>45200</v>
      </c>
      <c r="M3138" s="3" t="str">
        <f t="shared" si="194"/>
        <v>11% to 15%</v>
      </c>
      <c r="N3138" s="3" t="str">
        <f t="shared" si="195"/>
        <v>OK</v>
      </c>
    </row>
    <row r="3139" spans="1:14" x14ac:dyDescent="0.3">
      <c r="A3139" s="2">
        <f>DATE(VALUE(RIGHT(TRIM([1]Raw_Data!A3137),4)),VALUE(MID(TRIM([1]Raw_Data!A3137),4,2)),VALUE(LEFT(TRIM([1]Raw_Data!A3137),2)))</f>
        <v>45201</v>
      </c>
      <c r="B3139" s="3" t="str">
        <f>TRIM([1]Raw_Data!B3137)</f>
        <v>Electrolyte Powder</v>
      </c>
      <c r="C3139" s="3" t="str">
        <f>TRIM([1]Raw_Data!C3137)</f>
        <v>Hydration</v>
      </c>
      <c r="D3139" s="3">
        <f>[1]Raw_Data!D3137</f>
        <v>148</v>
      </c>
      <c r="E3139" s="4">
        <f>[1]Raw_Data!E3137</f>
        <v>37.950000000000003</v>
      </c>
      <c r="F3139" s="5">
        <f>[1]Raw_Data!F3137</f>
        <v>5616.6</v>
      </c>
      <c r="G3139" s="4">
        <f>[1]Raw_Data!G3137</f>
        <v>0.17</v>
      </c>
      <c r="H3139" s="3">
        <f>[1]Raw_Data!H3137</f>
        <v>0</v>
      </c>
      <c r="I3139" s="3" t="str">
        <f>TRIM([1]Raw_Data!I3137)</f>
        <v>UK</v>
      </c>
      <c r="J3139" s="3" t="str">
        <f>TRIM([1]Raw_Data!J3137)</f>
        <v>iHerb</v>
      </c>
      <c r="K3139" s="3">
        <f t="shared" si="192"/>
        <v>2023</v>
      </c>
      <c r="L3139" s="6">
        <f t="shared" si="193"/>
        <v>45200</v>
      </c>
      <c r="M3139" s="3" t="str">
        <f t="shared" si="194"/>
        <v>16% to 20%</v>
      </c>
      <c r="N3139" s="3" t="str">
        <f t="shared" si="195"/>
        <v>OK</v>
      </c>
    </row>
    <row r="3140" spans="1:14" x14ac:dyDescent="0.3">
      <c r="A3140" s="2">
        <f>DATE(VALUE(RIGHT(TRIM([1]Raw_Data!A3138),4)),VALUE(MID(TRIM([1]Raw_Data!A3138),4,2)),VALUE(LEFT(TRIM([1]Raw_Data!A3138),2)))</f>
        <v>45208</v>
      </c>
      <c r="B3140" s="3" t="str">
        <f>TRIM([1]Raw_Data!B3138)</f>
        <v>Whey Protein</v>
      </c>
      <c r="C3140" s="3" t="str">
        <f>TRIM([1]Raw_Data!C3138)</f>
        <v>Protein</v>
      </c>
      <c r="D3140" s="3">
        <f>[1]Raw_Data!D3138</f>
        <v>166</v>
      </c>
      <c r="E3140" s="4">
        <f>[1]Raw_Data!E3138</f>
        <v>21.27</v>
      </c>
      <c r="F3140" s="5">
        <f>[1]Raw_Data!F3138</f>
        <v>3530.82</v>
      </c>
      <c r="G3140" s="4">
        <f>[1]Raw_Data!G3138</f>
        <v>0.17</v>
      </c>
      <c r="H3140" s="3">
        <f>[1]Raw_Data!H3138</f>
        <v>1</v>
      </c>
      <c r="I3140" s="3" t="str">
        <f>TRIM([1]Raw_Data!I3138)</f>
        <v>Canada</v>
      </c>
      <c r="J3140" s="3" t="str">
        <f>TRIM([1]Raw_Data!J3138)</f>
        <v>iHerb</v>
      </c>
      <c r="K3140" s="3">
        <f t="shared" ref="K3140:K3203" si="196">YEAR(A3140)</f>
        <v>2023</v>
      </c>
      <c r="L3140" s="6">
        <f t="shared" ref="L3140:L3203" si="197">DATE(YEAR(A3140),MONTH(A3140),1)</f>
        <v>45200</v>
      </c>
      <c r="M3140" s="3" t="str">
        <f t="shared" ref="M3140:M3203" si="198">IF(ROUND(G3140*100,0)&lt;=5,"0% to 5%",IF(ROUND(G3140*100,0)&lt;=10,"6% to 10%",IF(ROUND(G3140*100,0)&lt;=15,"11% to 15%",IF(ROUND(G3140*100,0)&lt;=20,"16% to 20%","21% to 25%"))))</f>
        <v>16% to 20%</v>
      </c>
      <c r="N3140" s="3" t="str">
        <f t="shared" ref="N3140:N3203" si="199">IF(ROUND(D3140*E3140,2)=ROUND(F3140,2),"OK","Check")</f>
        <v>OK</v>
      </c>
    </row>
    <row r="3141" spans="1:14" x14ac:dyDescent="0.3">
      <c r="A3141" s="2">
        <f>DATE(VALUE(RIGHT(TRIM([1]Raw_Data!A3139),4)),VALUE(MID(TRIM([1]Raw_Data!A3139),4,2)),VALUE(LEFT(TRIM([1]Raw_Data!A3139),2)))</f>
        <v>45208</v>
      </c>
      <c r="B3141" s="3" t="str">
        <f>TRIM([1]Raw_Data!B3139)</f>
        <v>Vitamin C</v>
      </c>
      <c r="C3141" s="3" t="str">
        <f>TRIM([1]Raw_Data!C3139)</f>
        <v>Vitamin</v>
      </c>
      <c r="D3141" s="3">
        <f>[1]Raw_Data!D3139</f>
        <v>150</v>
      </c>
      <c r="E3141" s="4">
        <f>[1]Raw_Data!E3139</f>
        <v>50.29</v>
      </c>
      <c r="F3141" s="5">
        <f>[1]Raw_Data!F3139</f>
        <v>7543.5</v>
      </c>
      <c r="G3141" s="4">
        <f>[1]Raw_Data!G3139</f>
        <v>0.15</v>
      </c>
      <c r="H3141" s="3">
        <f>[1]Raw_Data!H3139</f>
        <v>0</v>
      </c>
      <c r="I3141" s="3" t="str">
        <f>TRIM([1]Raw_Data!I3139)</f>
        <v>Canada</v>
      </c>
      <c r="J3141" s="3" t="str">
        <f>TRIM([1]Raw_Data!J3139)</f>
        <v>Walmart</v>
      </c>
      <c r="K3141" s="3">
        <f t="shared" si="196"/>
        <v>2023</v>
      </c>
      <c r="L3141" s="6">
        <f t="shared" si="197"/>
        <v>45200</v>
      </c>
      <c r="M3141" s="3" t="str">
        <f t="shared" si="198"/>
        <v>11% to 15%</v>
      </c>
      <c r="N3141" s="3" t="str">
        <f t="shared" si="199"/>
        <v>OK</v>
      </c>
    </row>
    <row r="3142" spans="1:14" x14ac:dyDescent="0.3">
      <c r="A3142" s="2">
        <f>DATE(VALUE(RIGHT(TRIM([1]Raw_Data!A3140),4)),VALUE(MID(TRIM([1]Raw_Data!A3140),4,2)),VALUE(LEFT(TRIM([1]Raw_Data!A3140),2)))</f>
        <v>45208</v>
      </c>
      <c r="B3142" s="3" t="str">
        <f>TRIM([1]Raw_Data!B3140)</f>
        <v>Fish Oil</v>
      </c>
      <c r="C3142" s="3" t="str">
        <f>TRIM([1]Raw_Data!C3140)</f>
        <v>Omega</v>
      </c>
      <c r="D3142" s="3">
        <f>[1]Raw_Data!D3140</f>
        <v>145</v>
      </c>
      <c r="E3142" s="4">
        <f>[1]Raw_Data!E3140</f>
        <v>38.42</v>
      </c>
      <c r="F3142" s="5">
        <f>[1]Raw_Data!F3140</f>
        <v>5570.9</v>
      </c>
      <c r="G3142" s="4">
        <f>[1]Raw_Data!G3140</f>
        <v>0.03</v>
      </c>
      <c r="H3142" s="3">
        <f>[1]Raw_Data!H3140</f>
        <v>1</v>
      </c>
      <c r="I3142" s="3" t="str">
        <f>TRIM([1]Raw_Data!I3140)</f>
        <v>UK</v>
      </c>
      <c r="J3142" s="3" t="str">
        <f>TRIM([1]Raw_Data!J3140)</f>
        <v>Amazon</v>
      </c>
      <c r="K3142" s="3">
        <f t="shared" si="196"/>
        <v>2023</v>
      </c>
      <c r="L3142" s="6">
        <f t="shared" si="197"/>
        <v>45200</v>
      </c>
      <c r="M3142" s="3" t="str">
        <f t="shared" si="198"/>
        <v>0% to 5%</v>
      </c>
      <c r="N3142" s="3" t="str">
        <f t="shared" si="199"/>
        <v>OK</v>
      </c>
    </row>
    <row r="3143" spans="1:14" x14ac:dyDescent="0.3">
      <c r="A3143" s="2">
        <f>DATE(VALUE(RIGHT(TRIM([1]Raw_Data!A3141),4)),VALUE(MID(TRIM([1]Raw_Data!A3141),4,2)),VALUE(LEFT(TRIM([1]Raw_Data!A3141),2)))</f>
        <v>45208</v>
      </c>
      <c r="B3143" s="3" t="str">
        <f>TRIM([1]Raw_Data!B3141)</f>
        <v>Multivitamin</v>
      </c>
      <c r="C3143" s="3" t="str">
        <f>TRIM([1]Raw_Data!C3141)</f>
        <v>Vitamin</v>
      </c>
      <c r="D3143" s="3">
        <f>[1]Raw_Data!D3141</f>
        <v>140</v>
      </c>
      <c r="E3143" s="4">
        <f>[1]Raw_Data!E3141</f>
        <v>52.17</v>
      </c>
      <c r="F3143" s="5">
        <f>[1]Raw_Data!F3141</f>
        <v>7303.8</v>
      </c>
      <c r="G3143" s="4">
        <f>[1]Raw_Data!G3141</f>
        <v>0.11</v>
      </c>
      <c r="H3143" s="3">
        <f>[1]Raw_Data!H3141</f>
        <v>1</v>
      </c>
      <c r="I3143" s="3" t="str">
        <f>TRIM([1]Raw_Data!I3141)</f>
        <v>Canada</v>
      </c>
      <c r="J3143" s="3" t="str">
        <f>TRIM([1]Raw_Data!J3141)</f>
        <v>Amazon</v>
      </c>
      <c r="K3143" s="3">
        <f t="shared" si="196"/>
        <v>2023</v>
      </c>
      <c r="L3143" s="6">
        <f t="shared" si="197"/>
        <v>45200</v>
      </c>
      <c r="M3143" s="3" t="str">
        <f t="shared" si="198"/>
        <v>11% to 15%</v>
      </c>
      <c r="N3143" s="3" t="str">
        <f t="shared" si="199"/>
        <v>OK</v>
      </c>
    </row>
    <row r="3144" spans="1:14" x14ac:dyDescent="0.3">
      <c r="A3144" s="2">
        <f>DATE(VALUE(RIGHT(TRIM([1]Raw_Data!A3142),4)),VALUE(MID(TRIM([1]Raw_Data!A3142),4,2)),VALUE(LEFT(TRIM([1]Raw_Data!A3142),2)))</f>
        <v>45208</v>
      </c>
      <c r="B3144" s="3" t="str">
        <f>TRIM([1]Raw_Data!B3142)</f>
        <v>Pre-Workout</v>
      </c>
      <c r="C3144" s="3" t="str">
        <f>TRIM([1]Raw_Data!C3142)</f>
        <v>Performance</v>
      </c>
      <c r="D3144" s="3">
        <f>[1]Raw_Data!D3142</f>
        <v>169</v>
      </c>
      <c r="E3144" s="4">
        <f>[1]Raw_Data!E3142</f>
        <v>38.31</v>
      </c>
      <c r="F3144" s="5">
        <f>[1]Raw_Data!F3142</f>
        <v>6474.39</v>
      </c>
      <c r="G3144" s="4">
        <f>[1]Raw_Data!G3142</f>
        <v>7.0000000000000007E-2</v>
      </c>
      <c r="H3144" s="3">
        <f>[1]Raw_Data!H3142</f>
        <v>2</v>
      </c>
      <c r="I3144" s="3" t="str">
        <f>TRIM([1]Raw_Data!I3142)</f>
        <v>Canada</v>
      </c>
      <c r="J3144" s="3" t="str">
        <f>TRIM([1]Raw_Data!J3142)</f>
        <v>Walmart</v>
      </c>
      <c r="K3144" s="3">
        <f t="shared" si="196"/>
        <v>2023</v>
      </c>
      <c r="L3144" s="6">
        <f t="shared" si="197"/>
        <v>45200</v>
      </c>
      <c r="M3144" s="3" t="str">
        <f t="shared" si="198"/>
        <v>6% to 10%</v>
      </c>
      <c r="N3144" s="3" t="str">
        <f t="shared" si="199"/>
        <v>OK</v>
      </c>
    </row>
    <row r="3145" spans="1:14" x14ac:dyDescent="0.3">
      <c r="A3145" s="2">
        <f>DATE(VALUE(RIGHT(TRIM([1]Raw_Data!A3143),4)),VALUE(MID(TRIM([1]Raw_Data!A3143),4,2)),VALUE(LEFT(TRIM([1]Raw_Data!A3143),2)))</f>
        <v>45208</v>
      </c>
      <c r="B3145" s="3" t="str">
        <f>TRIM([1]Raw_Data!B3143)</f>
        <v>BCAA</v>
      </c>
      <c r="C3145" s="3" t="str">
        <f>TRIM([1]Raw_Data!C3143)</f>
        <v>Amino Acid</v>
      </c>
      <c r="D3145" s="3">
        <f>[1]Raw_Data!D3143</f>
        <v>153</v>
      </c>
      <c r="E3145" s="4">
        <f>[1]Raw_Data!E3143</f>
        <v>59.53</v>
      </c>
      <c r="F3145" s="5">
        <f>[1]Raw_Data!F3143</f>
        <v>9108.09</v>
      </c>
      <c r="G3145" s="4">
        <f>[1]Raw_Data!G3143</f>
        <v>0.22</v>
      </c>
      <c r="H3145" s="3">
        <f>[1]Raw_Data!H3143</f>
        <v>2</v>
      </c>
      <c r="I3145" s="3" t="str">
        <f>TRIM([1]Raw_Data!I3143)</f>
        <v>Canada</v>
      </c>
      <c r="J3145" s="3" t="str">
        <f>TRIM([1]Raw_Data!J3143)</f>
        <v>Amazon</v>
      </c>
      <c r="K3145" s="3">
        <f t="shared" si="196"/>
        <v>2023</v>
      </c>
      <c r="L3145" s="6">
        <f t="shared" si="197"/>
        <v>45200</v>
      </c>
      <c r="M3145" s="3" t="str">
        <f t="shared" si="198"/>
        <v>21% to 25%</v>
      </c>
      <c r="N3145" s="3" t="str">
        <f t="shared" si="199"/>
        <v>OK</v>
      </c>
    </row>
    <row r="3146" spans="1:14" x14ac:dyDescent="0.3">
      <c r="A3146" s="2">
        <f>DATE(VALUE(RIGHT(TRIM([1]Raw_Data!A3144),4)),VALUE(MID(TRIM([1]Raw_Data!A3144),4,2)),VALUE(LEFT(TRIM([1]Raw_Data!A3144),2)))</f>
        <v>45208</v>
      </c>
      <c r="B3146" s="3" t="str">
        <f>TRIM([1]Raw_Data!B3144)</f>
        <v>Creatine</v>
      </c>
      <c r="C3146" s="3" t="str">
        <f>TRIM([1]Raw_Data!C3144)</f>
        <v>Performance</v>
      </c>
      <c r="D3146" s="3">
        <f>[1]Raw_Data!D3144</f>
        <v>151</v>
      </c>
      <c r="E3146" s="4">
        <f>[1]Raw_Data!E3144</f>
        <v>19.239999999999998</v>
      </c>
      <c r="F3146" s="5">
        <f>[1]Raw_Data!F3144</f>
        <v>2905.24</v>
      </c>
      <c r="G3146" s="4">
        <f>[1]Raw_Data!G3144</f>
        <v>0.08</v>
      </c>
      <c r="H3146" s="3">
        <f>[1]Raw_Data!H3144</f>
        <v>2</v>
      </c>
      <c r="I3146" s="3" t="str">
        <f>TRIM([1]Raw_Data!I3144)</f>
        <v>UK</v>
      </c>
      <c r="J3146" s="3" t="str">
        <f>TRIM([1]Raw_Data!J3144)</f>
        <v>iHerb</v>
      </c>
      <c r="K3146" s="3">
        <f t="shared" si="196"/>
        <v>2023</v>
      </c>
      <c r="L3146" s="6">
        <f t="shared" si="197"/>
        <v>45200</v>
      </c>
      <c r="M3146" s="3" t="str">
        <f t="shared" si="198"/>
        <v>6% to 10%</v>
      </c>
      <c r="N3146" s="3" t="str">
        <f t="shared" si="199"/>
        <v>OK</v>
      </c>
    </row>
    <row r="3147" spans="1:14" x14ac:dyDescent="0.3">
      <c r="A3147" s="2">
        <f>DATE(VALUE(RIGHT(TRIM([1]Raw_Data!A3145),4)),VALUE(MID(TRIM([1]Raw_Data!A3145),4,2)),VALUE(LEFT(TRIM([1]Raw_Data!A3145),2)))</f>
        <v>45208</v>
      </c>
      <c r="B3147" s="3" t="str">
        <f>TRIM([1]Raw_Data!B3145)</f>
        <v>Zinc</v>
      </c>
      <c r="C3147" s="3" t="str">
        <f>TRIM([1]Raw_Data!C3145)</f>
        <v>Mineral</v>
      </c>
      <c r="D3147" s="3">
        <f>[1]Raw_Data!D3145</f>
        <v>148</v>
      </c>
      <c r="E3147" s="4">
        <f>[1]Raw_Data!E3145</f>
        <v>17.399999999999999</v>
      </c>
      <c r="F3147" s="5">
        <f>[1]Raw_Data!F3145</f>
        <v>2575.1999999999998</v>
      </c>
      <c r="G3147" s="4">
        <f>[1]Raw_Data!G3145</f>
        <v>0.13</v>
      </c>
      <c r="H3147" s="3">
        <f>[1]Raw_Data!H3145</f>
        <v>2</v>
      </c>
      <c r="I3147" s="3" t="str">
        <f>TRIM([1]Raw_Data!I3145)</f>
        <v>UK</v>
      </c>
      <c r="J3147" s="3" t="str">
        <f>TRIM([1]Raw_Data!J3145)</f>
        <v>Walmart</v>
      </c>
      <c r="K3147" s="3">
        <f t="shared" si="196"/>
        <v>2023</v>
      </c>
      <c r="L3147" s="6">
        <f t="shared" si="197"/>
        <v>45200</v>
      </c>
      <c r="M3147" s="3" t="str">
        <f t="shared" si="198"/>
        <v>11% to 15%</v>
      </c>
      <c r="N3147" s="3" t="str">
        <f t="shared" si="199"/>
        <v>OK</v>
      </c>
    </row>
    <row r="3148" spans="1:14" x14ac:dyDescent="0.3">
      <c r="A3148" s="2">
        <f>DATE(VALUE(RIGHT(TRIM([1]Raw_Data!A3146),4)),VALUE(MID(TRIM([1]Raw_Data!A3146),4,2)),VALUE(LEFT(TRIM([1]Raw_Data!A3146),2)))</f>
        <v>45208</v>
      </c>
      <c r="B3148" s="3" t="str">
        <f>TRIM([1]Raw_Data!B3146)</f>
        <v>Collagen Peptides</v>
      </c>
      <c r="C3148" s="3" t="str">
        <f>TRIM([1]Raw_Data!C3146)</f>
        <v>Protein</v>
      </c>
      <c r="D3148" s="3">
        <f>[1]Raw_Data!D3146</f>
        <v>151</v>
      </c>
      <c r="E3148" s="4">
        <f>[1]Raw_Data!E3146</f>
        <v>59.48</v>
      </c>
      <c r="F3148" s="5">
        <f>[1]Raw_Data!F3146</f>
        <v>8981.48</v>
      </c>
      <c r="G3148" s="4">
        <f>[1]Raw_Data!G3146</f>
        <v>0.03</v>
      </c>
      <c r="H3148" s="3">
        <f>[1]Raw_Data!H3146</f>
        <v>0</v>
      </c>
      <c r="I3148" s="3" t="str">
        <f>TRIM([1]Raw_Data!I3146)</f>
        <v>Canada</v>
      </c>
      <c r="J3148" s="3" t="str">
        <f>TRIM([1]Raw_Data!J3146)</f>
        <v>Walmart</v>
      </c>
      <c r="K3148" s="3">
        <f t="shared" si="196"/>
        <v>2023</v>
      </c>
      <c r="L3148" s="6">
        <f t="shared" si="197"/>
        <v>45200</v>
      </c>
      <c r="M3148" s="3" t="str">
        <f t="shared" si="198"/>
        <v>0% to 5%</v>
      </c>
      <c r="N3148" s="3" t="str">
        <f t="shared" si="199"/>
        <v>OK</v>
      </c>
    </row>
    <row r="3149" spans="1:14" x14ac:dyDescent="0.3">
      <c r="A3149" s="2">
        <f>DATE(VALUE(RIGHT(TRIM([1]Raw_Data!A3147),4)),VALUE(MID(TRIM([1]Raw_Data!A3147),4,2)),VALUE(LEFT(TRIM([1]Raw_Data!A3147),2)))</f>
        <v>45208</v>
      </c>
      <c r="B3149" s="3" t="str">
        <f>TRIM([1]Raw_Data!B3147)</f>
        <v>Magnesium</v>
      </c>
      <c r="C3149" s="3" t="str">
        <f>TRIM([1]Raw_Data!C3147)</f>
        <v>Mineral</v>
      </c>
      <c r="D3149" s="3">
        <f>[1]Raw_Data!D3147</f>
        <v>134</v>
      </c>
      <c r="E3149" s="4">
        <f>[1]Raw_Data!E3147</f>
        <v>28.63</v>
      </c>
      <c r="F3149" s="5">
        <f>[1]Raw_Data!F3147</f>
        <v>3836.42</v>
      </c>
      <c r="G3149" s="4">
        <f>[1]Raw_Data!G3147</f>
        <v>0.18</v>
      </c>
      <c r="H3149" s="3">
        <f>[1]Raw_Data!H3147</f>
        <v>1</v>
      </c>
      <c r="I3149" s="3" t="str">
        <f>TRIM([1]Raw_Data!I3147)</f>
        <v>Canada</v>
      </c>
      <c r="J3149" s="3" t="str">
        <f>TRIM([1]Raw_Data!J3147)</f>
        <v>Amazon</v>
      </c>
      <c r="K3149" s="3">
        <f t="shared" si="196"/>
        <v>2023</v>
      </c>
      <c r="L3149" s="6">
        <f t="shared" si="197"/>
        <v>45200</v>
      </c>
      <c r="M3149" s="3" t="str">
        <f t="shared" si="198"/>
        <v>16% to 20%</v>
      </c>
      <c r="N3149" s="3" t="str">
        <f t="shared" si="199"/>
        <v>OK</v>
      </c>
    </row>
    <row r="3150" spans="1:14" x14ac:dyDescent="0.3">
      <c r="A3150" s="2">
        <f>DATE(VALUE(RIGHT(TRIM([1]Raw_Data!A3148),4)),VALUE(MID(TRIM([1]Raw_Data!A3148),4,2)),VALUE(LEFT(TRIM([1]Raw_Data!A3148),2)))</f>
        <v>45208</v>
      </c>
      <c r="B3150" s="3" t="str">
        <f>TRIM([1]Raw_Data!B3148)</f>
        <v>Ashwagandha</v>
      </c>
      <c r="C3150" s="3" t="str">
        <f>TRIM([1]Raw_Data!C3148)</f>
        <v>Herbal</v>
      </c>
      <c r="D3150" s="3">
        <f>[1]Raw_Data!D3148</f>
        <v>155</v>
      </c>
      <c r="E3150" s="4">
        <f>[1]Raw_Data!E3148</f>
        <v>37.409999999999997</v>
      </c>
      <c r="F3150" s="5">
        <f>[1]Raw_Data!F3148</f>
        <v>5798.55</v>
      </c>
      <c r="G3150" s="4">
        <f>[1]Raw_Data!G3148</f>
        <v>0.13</v>
      </c>
      <c r="H3150" s="3">
        <f>[1]Raw_Data!H3148</f>
        <v>0</v>
      </c>
      <c r="I3150" s="3" t="str">
        <f>TRIM([1]Raw_Data!I3148)</f>
        <v>UK</v>
      </c>
      <c r="J3150" s="3" t="str">
        <f>TRIM([1]Raw_Data!J3148)</f>
        <v>Amazon</v>
      </c>
      <c r="K3150" s="3">
        <f t="shared" si="196"/>
        <v>2023</v>
      </c>
      <c r="L3150" s="6">
        <f t="shared" si="197"/>
        <v>45200</v>
      </c>
      <c r="M3150" s="3" t="str">
        <f t="shared" si="198"/>
        <v>11% to 15%</v>
      </c>
      <c r="N3150" s="3" t="str">
        <f t="shared" si="199"/>
        <v>OK</v>
      </c>
    </row>
    <row r="3151" spans="1:14" x14ac:dyDescent="0.3">
      <c r="A3151" s="2">
        <f>DATE(VALUE(RIGHT(TRIM([1]Raw_Data!A3149),4)),VALUE(MID(TRIM([1]Raw_Data!A3149),4,2)),VALUE(LEFT(TRIM([1]Raw_Data!A3149),2)))</f>
        <v>45208</v>
      </c>
      <c r="B3151" s="3" t="str">
        <f>TRIM([1]Raw_Data!B3149)</f>
        <v>Melatonin</v>
      </c>
      <c r="C3151" s="3" t="str">
        <f>TRIM([1]Raw_Data!C3149)</f>
        <v>Sleep Aid</v>
      </c>
      <c r="D3151" s="3">
        <f>[1]Raw_Data!D3149</f>
        <v>147</v>
      </c>
      <c r="E3151" s="4">
        <f>[1]Raw_Data!E3149</f>
        <v>33.1</v>
      </c>
      <c r="F3151" s="5">
        <f>[1]Raw_Data!F3149</f>
        <v>4865.7</v>
      </c>
      <c r="G3151" s="4">
        <f>[1]Raw_Data!G3149</f>
        <v>0.23</v>
      </c>
      <c r="H3151" s="3">
        <f>[1]Raw_Data!H3149</f>
        <v>3</v>
      </c>
      <c r="I3151" s="3" t="str">
        <f>TRIM([1]Raw_Data!I3149)</f>
        <v>USA</v>
      </c>
      <c r="J3151" s="3" t="str">
        <f>TRIM([1]Raw_Data!J3149)</f>
        <v>iHerb</v>
      </c>
      <c r="K3151" s="3">
        <f t="shared" si="196"/>
        <v>2023</v>
      </c>
      <c r="L3151" s="6">
        <f t="shared" si="197"/>
        <v>45200</v>
      </c>
      <c r="M3151" s="3" t="str">
        <f t="shared" si="198"/>
        <v>21% to 25%</v>
      </c>
      <c r="N3151" s="3" t="str">
        <f t="shared" si="199"/>
        <v>OK</v>
      </c>
    </row>
    <row r="3152" spans="1:14" x14ac:dyDescent="0.3">
      <c r="A3152" s="2">
        <f>DATE(VALUE(RIGHT(TRIM([1]Raw_Data!A3150),4)),VALUE(MID(TRIM([1]Raw_Data!A3150),4,2)),VALUE(LEFT(TRIM([1]Raw_Data!A3150),2)))</f>
        <v>45208</v>
      </c>
      <c r="B3152" s="3" t="str">
        <f>TRIM([1]Raw_Data!B3150)</f>
        <v>Biotin</v>
      </c>
      <c r="C3152" s="3" t="str">
        <f>TRIM([1]Raw_Data!C3150)</f>
        <v>Vitamin</v>
      </c>
      <c r="D3152" s="3">
        <f>[1]Raw_Data!D3150</f>
        <v>163</v>
      </c>
      <c r="E3152" s="4">
        <f>[1]Raw_Data!E3150</f>
        <v>45.86</v>
      </c>
      <c r="F3152" s="5">
        <f>[1]Raw_Data!F3150</f>
        <v>7475.18</v>
      </c>
      <c r="G3152" s="4">
        <f>[1]Raw_Data!G3150</f>
        <v>0.1</v>
      </c>
      <c r="H3152" s="3">
        <f>[1]Raw_Data!H3150</f>
        <v>1</v>
      </c>
      <c r="I3152" s="3" t="str">
        <f>TRIM([1]Raw_Data!I3150)</f>
        <v>USA</v>
      </c>
      <c r="J3152" s="3" t="str">
        <f>TRIM([1]Raw_Data!J3150)</f>
        <v>Amazon</v>
      </c>
      <c r="K3152" s="3">
        <f t="shared" si="196"/>
        <v>2023</v>
      </c>
      <c r="L3152" s="6">
        <f t="shared" si="197"/>
        <v>45200</v>
      </c>
      <c r="M3152" s="3" t="str">
        <f t="shared" si="198"/>
        <v>6% to 10%</v>
      </c>
      <c r="N3152" s="3" t="str">
        <f t="shared" si="199"/>
        <v>OK</v>
      </c>
    </row>
    <row r="3153" spans="1:14" x14ac:dyDescent="0.3">
      <c r="A3153" s="2">
        <f>DATE(VALUE(RIGHT(TRIM([1]Raw_Data!A3151),4)),VALUE(MID(TRIM([1]Raw_Data!A3151),4,2)),VALUE(LEFT(TRIM([1]Raw_Data!A3151),2)))</f>
        <v>45208</v>
      </c>
      <c r="B3153" s="3" t="str">
        <f>TRIM([1]Raw_Data!B3151)</f>
        <v>Green Tea Extract</v>
      </c>
      <c r="C3153" s="3" t="str">
        <f>TRIM([1]Raw_Data!C3151)</f>
        <v>Fat Burner</v>
      </c>
      <c r="D3153" s="3">
        <f>[1]Raw_Data!D3151</f>
        <v>144</v>
      </c>
      <c r="E3153" s="4">
        <f>[1]Raw_Data!E3151</f>
        <v>26.59</v>
      </c>
      <c r="F3153" s="5">
        <f>[1]Raw_Data!F3151</f>
        <v>3828.96</v>
      </c>
      <c r="G3153" s="4">
        <f>[1]Raw_Data!G3151</f>
        <v>0.12</v>
      </c>
      <c r="H3153" s="3">
        <f>[1]Raw_Data!H3151</f>
        <v>4</v>
      </c>
      <c r="I3153" s="3" t="str">
        <f>TRIM([1]Raw_Data!I3151)</f>
        <v>Canada</v>
      </c>
      <c r="J3153" s="3" t="str">
        <f>TRIM([1]Raw_Data!J3151)</f>
        <v>Amazon</v>
      </c>
      <c r="K3153" s="3">
        <f t="shared" si="196"/>
        <v>2023</v>
      </c>
      <c r="L3153" s="6">
        <f t="shared" si="197"/>
        <v>45200</v>
      </c>
      <c r="M3153" s="3" t="str">
        <f t="shared" si="198"/>
        <v>11% to 15%</v>
      </c>
      <c r="N3153" s="3" t="str">
        <f t="shared" si="199"/>
        <v>OK</v>
      </c>
    </row>
    <row r="3154" spans="1:14" x14ac:dyDescent="0.3">
      <c r="A3154" s="2">
        <f>DATE(VALUE(RIGHT(TRIM([1]Raw_Data!A3152),4)),VALUE(MID(TRIM([1]Raw_Data!A3152),4,2)),VALUE(LEFT(TRIM([1]Raw_Data!A3152),2)))</f>
        <v>45208</v>
      </c>
      <c r="B3154" s="3" t="str">
        <f>TRIM([1]Raw_Data!B3152)</f>
        <v>Iron Supplement</v>
      </c>
      <c r="C3154" s="3" t="str">
        <f>TRIM([1]Raw_Data!C3152)</f>
        <v>Mineral</v>
      </c>
      <c r="D3154" s="3">
        <f>[1]Raw_Data!D3152</f>
        <v>143</v>
      </c>
      <c r="E3154" s="4">
        <f>[1]Raw_Data!E3152</f>
        <v>21.44</v>
      </c>
      <c r="F3154" s="5">
        <f>[1]Raw_Data!F3152</f>
        <v>3065.92</v>
      </c>
      <c r="G3154" s="4">
        <f>[1]Raw_Data!G3152</f>
        <v>0.05</v>
      </c>
      <c r="H3154" s="3">
        <f>[1]Raw_Data!H3152</f>
        <v>1</v>
      </c>
      <c r="I3154" s="3" t="str">
        <f>TRIM([1]Raw_Data!I3152)</f>
        <v>Canada</v>
      </c>
      <c r="J3154" s="3" t="str">
        <f>TRIM([1]Raw_Data!J3152)</f>
        <v>iHerb</v>
      </c>
      <c r="K3154" s="3">
        <f t="shared" si="196"/>
        <v>2023</v>
      </c>
      <c r="L3154" s="6">
        <f t="shared" si="197"/>
        <v>45200</v>
      </c>
      <c r="M3154" s="3" t="str">
        <f t="shared" si="198"/>
        <v>0% to 5%</v>
      </c>
      <c r="N3154" s="3" t="str">
        <f t="shared" si="199"/>
        <v>OK</v>
      </c>
    </row>
    <row r="3155" spans="1:14" x14ac:dyDescent="0.3">
      <c r="A3155" s="2">
        <f>DATE(VALUE(RIGHT(TRIM([1]Raw_Data!A3153),4)),VALUE(MID(TRIM([1]Raw_Data!A3153),4,2)),VALUE(LEFT(TRIM([1]Raw_Data!A3153),2)))</f>
        <v>45208</v>
      </c>
      <c r="B3155" s="3" t="str">
        <f>TRIM([1]Raw_Data!B3153)</f>
        <v>Electrolyte Powder</v>
      </c>
      <c r="C3155" s="3" t="str">
        <f>TRIM([1]Raw_Data!C3153)</f>
        <v>Hydration</v>
      </c>
      <c r="D3155" s="3">
        <f>[1]Raw_Data!D3153</f>
        <v>156</v>
      </c>
      <c r="E3155" s="4">
        <f>[1]Raw_Data!E3153</f>
        <v>21.05</v>
      </c>
      <c r="F3155" s="5">
        <f>[1]Raw_Data!F3153</f>
        <v>3283.8</v>
      </c>
      <c r="G3155" s="4">
        <f>[1]Raw_Data!G3153</f>
        <v>0.11</v>
      </c>
      <c r="H3155" s="3">
        <f>[1]Raw_Data!H3153</f>
        <v>1</v>
      </c>
      <c r="I3155" s="3" t="str">
        <f>TRIM([1]Raw_Data!I3153)</f>
        <v>UK</v>
      </c>
      <c r="J3155" s="3" t="str">
        <f>TRIM([1]Raw_Data!J3153)</f>
        <v>iHerb</v>
      </c>
      <c r="K3155" s="3">
        <f t="shared" si="196"/>
        <v>2023</v>
      </c>
      <c r="L3155" s="6">
        <f t="shared" si="197"/>
        <v>45200</v>
      </c>
      <c r="M3155" s="3" t="str">
        <f t="shared" si="198"/>
        <v>11% to 15%</v>
      </c>
      <c r="N3155" s="3" t="str">
        <f t="shared" si="199"/>
        <v>OK</v>
      </c>
    </row>
    <row r="3156" spans="1:14" x14ac:dyDescent="0.3">
      <c r="A3156" s="2">
        <f>DATE(VALUE(RIGHT(TRIM([1]Raw_Data!A3154),4)),VALUE(MID(TRIM([1]Raw_Data!A3154),4,2)),VALUE(LEFT(TRIM([1]Raw_Data!A3154),2)))</f>
        <v>45215</v>
      </c>
      <c r="B3156" s="3" t="str">
        <f>TRIM([1]Raw_Data!B3154)</f>
        <v>Whey Protein</v>
      </c>
      <c r="C3156" s="3" t="str">
        <f>TRIM([1]Raw_Data!C3154)</f>
        <v>Protein</v>
      </c>
      <c r="D3156" s="3">
        <f>[1]Raw_Data!D3154</f>
        <v>158</v>
      </c>
      <c r="E3156" s="4">
        <f>[1]Raw_Data!E3154</f>
        <v>18.02</v>
      </c>
      <c r="F3156" s="5">
        <f>[1]Raw_Data!F3154</f>
        <v>2847.16</v>
      </c>
      <c r="G3156" s="4">
        <f>[1]Raw_Data!G3154</f>
        <v>0.22</v>
      </c>
      <c r="H3156" s="3">
        <f>[1]Raw_Data!H3154</f>
        <v>1</v>
      </c>
      <c r="I3156" s="3" t="str">
        <f>TRIM([1]Raw_Data!I3154)</f>
        <v>Canada</v>
      </c>
      <c r="J3156" s="3" t="str">
        <f>TRIM([1]Raw_Data!J3154)</f>
        <v>Amazon</v>
      </c>
      <c r="K3156" s="3">
        <f t="shared" si="196"/>
        <v>2023</v>
      </c>
      <c r="L3156" s="6">
        <f t="shared" si="197"/>
        <v>45200</v>
      </c>
      <c r="M3156" s="3" t="str">
        <f t="shared" si="198"/>
        <v>21% to 25%</v>
      </c>
      <c r="N3156" s="3" t="str">
        <f t="shared" si="199"/>
        <v>OK</v>
      </c>
    </row>
    <row r="3157" spans="1:14" x14ac:dyDescent="0.3">
      <c r="A3157" s="2">
        <f>DATE(VALUE(RIGHT(TRIM([1]Raw_Data!A3155),4)),VALUE(MID(TRIM([1]Raw_Data!A3155),4,2)),VALUE(LEFT(TRIM([1]Raw_Data!A3155),2)))</f>
        <v>45215</v>
      </c>
      <c r="B3157" s="3" t="str">
        <f>TRIM([1]Raw_Data!B3155)</f>
        <v>Vitamin C</v>
      </c>
      <c r="C3157" s="3" t="str">
        <f>TRIM([1]Raw_Data!C3155)</f>
        <v>Vitamin</v>
      </c>
      <c r="D3157" s="3">
        <f>[1]Raw_Data!D3155</f>
        <v>159</v>
      </c>
      <c r="E3157" s="4">
        <f>[1]Raw_Data!E3155</f>
        <v>58.16</v>
      </c>
      <c r="F3157" s="5">
        <f>[1]Raw_Data!F3155</f>
        <v>9247.44</v>
      </c>
      <c r="G3157" s="4">
        <f>[1]Raw_Data!G3155</f>
        <v>0.12</v>
      </c>
      <c r="H3157" s="3">
        <f>[1]Raw_Data!H3155</f>
        <v>2</v>
      </c>
      <c r="I3157" s="3" t="str">
        <f>TRIM([1]Raw_Data!I3155)</f>
        <v>USA</v>
      </c>
      <c r="J3157" s="3" t="str">
        <f>TRIM([1]Raw_Data!J3155)</f>
        <v>iHerb</v>
      </c>
      <c r="K3157" s="3">
        <f t="shared" si="196"/>
        <v>2023</v>
      </c>
      <c r="L3157" s="6">
        <f t="shared" si="197"/>
        <v>45200</v>
      </c>
      <c r="M3157" s="3" t="str">
        <f t="shared" si="198"/>
        <v>11% to 15%</v>
      </c>
      <c r="N3157" s="3" t="str">
        <f t="shared" si="199"/>
        <v>OK</v>
      </c>
    </row>
    <row r="3158" spans="1:14" x14ac:dyDescent="0.3">
      <c r="A3158" s="2">
        <f>DATE(VALUE(RIGHT(TRIM([1]Raw_Data!A3156),4)),VALUE(MID(TRIM([1]Raw_Data!A3156),4,2)),VALUE(LEFT(TRIM([1]Raw_Data!A3156),2)))</f>
        <v>45215</v>
      </c>
      <c r="B3158" s="3" t="str">
        <f>TRIM([1]Raw_Data!B3156)</f>
        <v>Fish Oil</v>
      </c>
      <c r="C3158" s="3" t="str">
        <f>TRIM([1]Raw_Data!C3156)</f>
        <v>Omega</v>
      </c>
      <c r="D3158" s="3">
        <f>[1]Raw_Data!D3156</f>
        <v>144</v>
      </c>
      <c r="E3158" s="4">
        <f>[1]Raw_Data!E3156</f>
        <v>33.17</v>
      </c>
      <c r="F3158" s="5">
        <f>[1]Raw_Data!F3156</f>
        <v>4776.4799999999996</v>
      </c>
      <c r="G3158" s="4">
        <f>[1]Raw_Data!G3156</f>
        <v>0.11</v>
      </c>
      <c r="H3158" s="3">
        <f>[1]Raw_Data!H3156</f>
        <v>3</v>
      </c>
      <c r="I3158" s="3" t="str">
        <f>TRIM([1]Raw_Data!I3156)</f>
        <v>Canada</v>
      </c>
      <c r="J3158" s="3" t="str">
        <f>TRIM([1]Raw_Data!J3156)</f>
        <v>Amazon</v>
      </c>
      <c r="K3158" s="3">
        <f t="shared" si="196"/>
        <v>2023</v>
      </c>
      <c r="L3158" s="6">
        <f t="shared" si="197"/>
        <v>45200</v>
      </c>
      <c r="M3158" s="3" t="str">
        <f t="shared" si="198"/>
        <v>11% to 15%</v>
      </c>
      <c r="N3158" s="3" t="str">
        <f t="shared" si="199"/>
        <v>OK</v>
      </c>
    </row>
    <row r="3159" spans="1:14" x14ac:dyDescent="0.3">
      <c r="A3159" s="2">
        <f>DATE(VALUE(RIGHT(TRIM([1]Raw_Data!A3157),4)),VALUE(MID(TRIM([1]Raw_Data!A3157),4,2)),VALUE(LEFT(TRIM([1]Raw_Data!A3157),2)))</f>
        <v>45215</v>
      </c>
      <c r="B3159" s="3" t="str">
        <f>TRIM([1]Raw_Data!B3157)</f>
        <v>Multivitamin</v>
      </c>
      <c r="C3159" s="3" t="str">
        <f>TRIM([1]Raw_Data!C3157)</f>
        <v>Vitamin</v>
      </c>
      <c r="D3159" s="3">
        <f>[1]Raw_Data!D3157</f>
        <v>165</v>
      </c>
      <c r="E3159" s="4">
        <f>[1]Raw_Data!E3157</f>
        <v>34.51</v>
      </c>
      <c r="F3159" s="5">
        <f>[1]Raw_Data!F3157</f>
        <v>5694.15</v>
      </c>
      <c r="G3159" s="4">
        <f>[1]Raw_Data!G3157</f>
        <v>0.09</v>
      </c>
      <c r="H3159" s="3">
        <f>[1]Raw_Data!H3157</f>
        <v>6</v>
      </c>
      <c r="I3159" s="3" t="str">
        <f>TRIM([1]Raw_Data!I3157)</f>
        <v>UK</v>
      </c>
      <c r="J3159" s="3" t="str">
        <f>TRIM([1]Raw_Data!J3157)</f>
        <v>Amazon</v>
      </c>
      <c r="K3159" s="3">
        <f t="shared" si="196"/>
        <v>2023</v>
      </c>
      <c r="L3159" s="6">
        <f t="shared" si="197"/>
        <v>45200</v>
      </c>
      <c r="M3159" s="3" t="str">
        <f t="shared" si="198"/>
        <v>6% to 10%</v>
      </c>
      <c r="N3159" s="3" t="str">
        <f t="shared" si="199"/>
        <v>OK</v>
      </c>
    </row>
    <row r="3160" spans="1:14" x14ac:dyDescent="0.3">
      <c r="A3160" s="2">
        <f>DATE(VALUE(RIGHT(TRIM([1]Raw_Data!A3158),4)),VALUE(MID(TRIM([1]Raw_Data!A3158),4,2)),VALUE(LEFT(TRIM([1]Raw_Data!A3158),2)))</f>
        <v>45215</v>
      </c>
      <c r="B3160" s="3" t="str">
        <f>TRIM([1]Raw_Data!B3158)</f>
        <v>Pre-Workout</v>
      </c>
      <c r="C3160" s="3" t="str">
        <f>TRIM([1]Raw_Data!C3158)</f>
        <v>Performance</v>
      </c>
      <c r="D3160" s="3">
        <f>[1]Raw_Data!D3158</f>
        <v>132</v>
      </c>
      <c r="E3160" s="4">
        <f>[1]Raw_Data!E3158</f>
        <v>44.08</v>
      </c>
      <c r="F3160" s="5">
        <f>[1]Raw_Data!F3158</f>
        <v>5818.56</v>
      </c>
      <c r="G3160" s="4">
        <f>[1]Raw_Data!G3158</f>
        <v>0.23</v>
      </c>
      <c r="H3160" s="3">
        <f>[1]Raw_Data!H3158</f>
        <v>2</v>
      </c>
      <c r="I3160" s="3" t="str">
        <f>TRIM([1]Raw_Data!I3158)</f>
        <v>UK</v>
      </c>
      <c r="J3160" s="3" t="str">
        <f>TRIM([1]Raw_Data!J3158)</f>
        <v>iHerb</v>
      </c>
      <c r="K3160" s="3">
        <f t="shared" si="196"/>
        <v>2023</v>
      </c>
      <c r="L3160" s="6">
        <f t="shared" si="197"/>
        <v>45200</v>
      </c>
      <c r="M3160" s="3" t="str">
        <f t="shared" si="198"/>
        <v>21% to 25%</v>
      </c>
      <c r="N3160" s="3" t="str">
        <f t="shared" si="199"/>
        <v>OK</v>
      </c>
    </row>
    <row r="3161" spans="1:14" x14ac:dyDescent="0.3">
      <c r="A3161" s="2">
        <f>DATE(VALUE(RIGHT(TRIM([1]Raw_Data!A3159),4)),VALUE(MID(TRIM([1]Raw_Data!A3159),4,2)),VALUE(LEFT(TRIM([1]Raw_Data!A3159),2)))</f>
        <v>45215</v>
      </c>
      <c r="B3161" s="3" t="str">
        <f>TRIM([1]Raw_Data!B3159)</f>
        <v>BCAA</v>
      </c>
      <c r="C3161" s="3" t="str">
        <f>TRIM([1]Raw_Data!C3159)</f>
        <v>Amino Acid</v>
      </c>
      <c r="D3161" s="3">
        <f>[1]Raw_Data!D3159</f>
        <v>155</v>
      </c>
      <c r="E3161" s="4">
        <f>[1]Raw_Data!E3159</f>
        <v>28.69</v>
      </c>
      <c r="F3161" s="5">
        <f>[1]Raw_Data!F3159</f>
        <v>4446.95</v>
      </c>
      <c r="G3161" s="4">
        <f>[1]Raw_Data!G3159</f>
        <v>0.03</v>
      </c>
      <c r="H3161" s="3">
        <f>[1]Raw_Data!H3159</f>
        <v>3</v>
      </c>
      <c r="I3161" s="3" t="str">
        <f>TRIM([1]Raw_Data!I3159)</f>
        <v>USA</v>
      </c>
      <c r="J3161" s="3" t="str">
        <f>TRIM([1]Raw_Data!J3159)</f>
        <v>Amazon</v>
      </c>
      <c r="K3161" s="3">
        <f t="shared" si="196"/>
        <v>2023</v>
      </c>
      <c r="L3161" s="6">
        <f t="shared" si="197"/>
        <v>45200</v>
      </c>
      <c r="M3161" s="3" t="str">
        <f t="shared" si="198"/>
        <v>0% to 5%</v>
      </c>
      <c r="N3161" s="3" t="str">
        <f t="shared" si="199"/>
        <v>OK</v>
      </c>
    </row>
    <row r="3162" spans="1:14" x14ac:dyDescent="0.3">
      <c r="A3162" s="2">
        <f>DATE(VALUE(RIGHT(TRIM([1]Raw_Data!A3160),4)),VALUE(MID(TRIM([1]Raw_Data!A3160),4,2)),VALUE(LEFT(TRIM([1]Raw_Data!A3160),2)))</f>
        <v>45215</v>
      </c>
      <c r="B3162" s="3" t="str">
        <f>TRIM([1]Raw_Data!B3160)</f>
        <v>Creatine</v>
      </c>
      <c r="C3162" s="3" t="str">
        <f>TRIM([1]Raw_Data!C3160)</f>
        <v>Performance</v>
      </c>
      <c r="D3162" s="3">
        <f>[1]Raw_Data!D3160</f>
        <v>159</v>
      </c>
      <c r="E3162" s="4">
        <f>[1]Raw_Data!E3160</f>
        <v>42.61</v>
      </c>
      <c r="F3162" s="5">
        <f>[1]Raw_Data!F3160</f>
        <v>6774.99</v>
      </c>
      <c r="G3162" s="4">
        <f>[1]Raw_Data!G3160</f>
        <v>0.13</v>
      </c>
      <c r="H3162" s="3">
        <f>[1]Raw_Data!H3160</f>
        <v>0</v>
      </c>
      <c r="I3162" s="3" t="str">
        <f>TRIM([1]Raw_Data!I3160)</f>
        <v>UK</v>
      </c>
      <c r="J3162" s="3" t="str">
        <f>TRIM([1]Raw_Data!J3160)</f>
        <v>Amazon</v>
      </c>
      <c r="K3162" s="3">
        <f t="shared" si="196"/>
        <v>2023</v>
      </c>
      <c r="L3162" s="6">
        <f t="shared" si="197"/>
        <v>45200</v>
      </c>
      <c r="M3162" s="3" t="str">
        <f t="shared" si="198"/>
        <v>11% to 15%</v>
      </c>
      <c r="N3162" s="3" t="str">
        <f t="shared" si="199"/>
        <v>OK</v>
      </c>
    </row>
    <row r="3163" spans="1:14" x14ac:dyDescent="0.3">
      <c r="A3163" s="2">
        <f>DATE(VALUE(RIGHT(TRIM([1]Raw_Data!A3161),4)),VALUE(MID(TRIM([1]Raw_Data!A3161),4,2)),VALUE(LEFT(TRIM([1]Raw_Data!A3161),2)))</f>
        <v>45215</v>
      </c>
      <c r="B3163" s="3" t="str">
        <f>TRIM([1]Raw_Data!B3161)</f>
        <v>Zinc</v>
      </c>
      <c r="C3163" s="3" t="str">
        <f>TRIM([1]Raw_Data!C3161)</f>
        <v>Mineral</v>
      </c>
      <c r="D3163" s="3">
        <f>[1]Raw_Data!D3161</f>
        <v>144</v>
      </c>
      <c r="E3163" s="4">
        <f>[1]Raw_Data!E3161</f>
        <v>46.25</v>
      </c>
      <c r="F3163" s="5">
        <f>[1]Raw_Data!F3161</f>
        <v>6660</v>
      </c>
      <c r="G3163" s="4">
        <f>[1]Raw_Data!G3161</f>
        <v>0.04</v>
      </c>
      <c r="H3163" s="3">
        <f>[1]Raw_Data!H3161</f>
        <v>2</v>
      </c>
      <c r="I3163" s="3" t="str">
        <f>TRIM([1]Raw_Data!I3161)</f>
        <v>UK</v>
      </c>
      <c r="J3163" s="3" t="str">
        <f>TRIM([1]Raw_Data!J3161)</f>
        <v>Amazon</v>
      </c>
      <c r="K3163" s="3">
        <f t="shared" si="196"/>
        <v>2023</v>
      </c>
      <c r="L3163" s="6">
        <f t="shared" si="197"/>
        <v>45200</v>
      </c>
      <c r="M3163" s="3" t="str">
        <f t="shared" si="198"/>
        <v>0% to 5%</v>
      </c>
      <c r="N3163" s="3" t="str">
        <f t="shared" si="199"/>
        <v>OK</v>
      </c>
    </row>
    <row r="3164" spans="1:14" x14ac:dyDescent="0.3">
      <c r="A3164" s="2">
        <f>DATE(VALUE(RIGHT(TRIM([1]Raw_Data!A3162),4)),VALUE(MID(TRIM([1]Raw_Data!A3162),4,2)),VALUE(LEFT(TRIM([1]Raw_Data!A3162),2)))</f>
        <v>45215</v>
      </c>
      <c r="B3164" s="3" t="str">
        <f>TRIM([1]Raw_Data!B3162)</f>
        <v>Collagen Peptides</v>
      </c>
      <c r="C3164" s="3" t="str">
        <f>TRIM([1]Raw_Data!C3162)</f>
        <v>Protein</v>
      </c>
      <c r="D3164" s="3">
        <f>[1]Raw_Data!D3162</f>
        <v>157</v>
      </c>
      <c r="E3164" s="4">
        <f>[1]Raw_Data!E3162</f>
        <v>16.760000000000002</v>
      </c>
      <c r="F3164" s="5">
        <f>[1]Raw_Data!F3162</f>
        <v>2631.32</v>
      </c>
      <c r="G3164" s="4">
        <f>[1]Raw_Data!G3162</f>
        <v>0.08</v>
      </c>
      <c r="H3164" s="3">
        <f>[1]Raw_Data!H3162</f>
        <v>1</v>
      </c>
      <c r="I3164" s="3" t="str">
        <f>TRIM([1]Raw_Data!I3162)</f>
        <v>UK</v>
      </c>
      <c r="J3164" s="3" t="str">
        <f>TRIM([1]Raw_Data!J3162)</f>
        <v>iHerb</v>
      </c>
      <c r="K3164" s="3">
        <f t="shared" si="196"/>
        <v>2023</v>
      </c>
      <c r="L3164" s="6">
        <f t="shared" si="197"/>
        <v>45200</v>
      </c>
      <c r="M3164" s="3" t="str">
        <f t="shared" si="198"/>
        <v>6% to 10%</v>
      </c>
      <c r="N3164" s="3" t="str">
        <f t="shared" si="199"/>
        <v>OK</v>
      </c>
    </row>
    <row r="3165" spans="1:14" x14ac:dyDescent="0.3">
      <c r="A3165" s="2">
        <f>DATE(VALUE(RIGHT(TRIM([1]Raw_Data!A3163),4)),VALUE(MID(TRIM([1]Raw_Data!A3163),4,2)),VALUE(LEFT(TRIM([1]Raw_Data!A3163),2)))</f>
        <v>45215</v>
      </c>
      <c r="B3165" s="3" t="str">
        <f>TRIM([1]Raw_Data!B3163)</f>
        <v>Magnesium</v>
      </c>
      <c r="C3165" s="3" t="str">
        <f>TRIM([1]Raw_Data!C3163)</f>
        <v>Mineral</v>
      </c>
      <c r="D3165" s="3">
        <f>[1]Raw_Data!D3163</f>
        <v>157</v>
      </c>
      <c r="E3165" s="4">
        <f>[1]Raw_Data!E3163</f>
        <v>51.45</v>
      </c>
      <c r="F3165" s="5">
        <f>[1]Raw_Data!F3163</f>
        <v>8077.65</v>
      </c>
      <c r="G3165" s="4">
        <f>[1]Raw_Data!G3163</f>
        <v>0.19</v>
      </c>
      <c r="H3165" s="3">
        <f>[1]Raw_Data!H3163</f>
        <v>0</v>
      </c>
      <c r="I3165" s="3" t="str">
        <f>TRIM([1]Raw_Data!I3163)</f>
        <v>UK</v>
      </c>
      <c r="J3165" s="3" t="str">
        <f>TRIM([1]Raw_Data!J3163)</f>
        <v>Walmart</v>
      </c>
      <c r="K3165" s="3">
        <f t="shared" si="196"/>
        <v>2023</v>
      </c>
      <c r="L3165" s="6">
        <f t="shared" si="197"/>
        <v>45200</v>
      </c>
      <c r="M3165" s="3" t="str">
        <f t="shared" si="198"/>
        <v>16% to 20%</v>
      </c>
      <c r="N3165" s="3" t="str">
        <f t="shared" si="199"/>
        <v>OK</v>
      </c>
    </row>
    <row r="3166" spans="1:14" x14ac:dyDescent="0.3">
      <c r="A3166" s="2">
        <f>DATE(VALUE(RIGHT(TRIM([1]Raw_Data!A3164),4)),VALUE(MID(TRIM([1]Raw_Data!A3164),4,2)),VALUE(LEFT(TRIM([1]Raw_Data!A3164),2)))</f>
        <v>45215</v>
      </c>
      <c r="B3166" s="3" t="str">
        <f>TRIM([1]Raw_Data!B3164)</f>
        <v>Ashwagandha</v>
      </c>
      <c r="C3166" s="3" t="str">
        <f>TRIM([1]Raw_Data!C3164)</f>
        <v>Herbal</v>
      </c>
      <c r="D3166" s="3">
        <f>[1]Raw_Data!D3164</f>
        <v>158</v>
      </c>
      <c r="E3166" s="4">
        <f>[1]Raw_Data!E3164</f>
        <v>47.41</v>
      </c>
      <c r="F3166" s="5">
        <f>[1]Raw_Data!F3164</f>
        <v>7490.78</v>
      </c>
      <c r="G3166" s="4">
        <f>[1]Raw_Data!G3164</f>
        <v>0.05</v>
      </c>
      <c r="H3166" s="3">
        <f>[1]Raw_Data!H3164</f>
        <v>0</v>
      </c>
      <c r="I3166" s="3" t="str">
        <f>TRIM([1]Raw_Data!I3164)</f>
        <v>UK</v>
      </c>
      <c r="J3166" s="3" t="str">
        <f>TRIM([1]Raw_Data!J3164)</f>
        <v>iHerb</v>
      </c>
      <c r="K3166" s="3">
        <f t="shared" si="196"/>
        <v>2023</v>
      </c>
      <c r="L3166" s="6">
        <f t="shared" si="197"/>
        <v>45200</v>
      </c>
      <c r="M3166" s="3" t="str">
        <f t="shared" si="198"/>
        <v>0% to 5%</v>
      </c>
      <c r="N3166" s="3" t="str">
        <f t="shared" si="199"/>
        <v>OK</v>
      </c>
    </row>
    <row r="3167" spans="1:14" x14ac:dyDescent="0.3">
      <c r="A3167" s="2">
        <f>DATE(VALUE(RIGHT(TRIM([1]Raw_Data!A3165),4)),VALUE(MID(TRIM([1]Raw_Data!A3165),4,2)),VALUE(LEFT(TRIM([1]Raw_Data!A3165),2)))</f>
        <v>45215</v>
      </c>
      <c r="B3167" s="3" t="str">
        <f>TRIM([1]Raw_Data!B3165)</f>
        <v>Melatonin</v>
      </c>
      <c r="C3167" s="3" t="str">
        <f>TRIM([1]Raw_Data!C3165)</f>
        <v>Sleep Aid</v>
      </c>
      <c r="D3167" s="3">
        <f>[1]Raw_Data!D3165</f>
        <v>140</v>
      </c>
      <c r="E3167" s="4">
        <f>[1]Raw_Data!E3165</f>
        <v>49.68</v>
      </c>
      <c r="F3167" s="5">
        <f>[1]Raw_Data!F3165</f>
        <v>6955.2</v>
      </c>
      <c r="G3167" s="4">
        <f>[1]Raw_Data!G3165</f>
        <v>0.18</v>
      </c>
      <c r="H3167" s="3">
        <f>[1]Raw_Data!H3165</f>
        <v>3</v>
      </c>
      <c r="I3167" s="3" t="str">
        <f>TRIM([1]Raw_Data!I3165)</f>
        <v>USA</v>
      </c>
      <c r="J3167" s="3" t="str">
        <f>TRIM([1]Raw_Data!J3165)</f>
        <v>Walmart</v>
      </c>
      <c r="K3167" s="3">
        <f t="shared" si="196"/>
        <v>2023</v>
      </c>
      <c r="L3167" s="6">
        <f t="shared" si="197"/>
        <v>45200</v>
      </c>
      <c r="M3167" s="3" t="str">
        <f t="shared" si="198"/>
        <v>16% to 20%</v>
      </c>
      <c r="N3167" s="3" t="str">
        <f t="shared" si="199"/>
        <v>OK</v>
      </c>
    </row>
    <row r="3168" spans="1:14" x14ac:dyDescent="0.3">
      <c r="A3168" s="2">
        <f>DATE(VALUE(RIGHT(TRIM([1]Raw_Data!A3166),4)),VALUE(MID(TRIM([1]Raw_Data!A3166),4,2)),VALUE(LEFT(TRIM([1]Raw_Data!A3166),2)))</f>
        <v>45215</v>
      </c>
      <c r="B3168" s="3" t="str">
        <f>TRIM([1]Raw_Data!B3166)</f>
        <v>Biotin</v>
      </c>
      <c r="C3168" s="3" t="str">
        <f>TRIM([1]Raw_Data!C3166)</f>
        <v>Vitamin</v>
      </c>
      <c r="D3168" s="3">
        <f>[1]Raw_Data!D3166</f>
        <v>125</v>
      </c>
      <c r="E3168" s="4">
        <f>[1]Raw_Data!E3166</f>
        <v>44.96</v>
      </c>
      <c r="F3168" s="5">
        <f>[1]Raw_Data!F3166</f>
        <v>5620</v>
      </c>
      <c r="G3168" s="4">
        <f>[1]Raw_Data!G3166</f>
        <v>7.0000000000000007E-2</v>
      </c>
      <c r="H3168" s="3">
        <f>[1]Raw_Data!H3166</f>
        <v>1</v>
      </c>
      <c r="I3168" s="3" t="str">
        <f>TRIM([1]Raw_Data!I3166)</f>
        <v>USA</v>
      </c>
      <c r="J3168" s="3" t="str">
        <f>TRIM([1]Raw_Data!J3166)</f>
        <v>Walmart</v>
      </c>
      <c r="K3168" s="3">
        <f t="shared" si="196"/>
        <v>2023</v>
      </c>
      <c r="L3168" s="6">
        <f t="shared" si="197"/>
        <v>45200</v>
      </c>
      <c r="M3168" s="3" t="str">
        <f t="shared" si="198"/>
        <v>6% to 10%</v>
      </c>
      <c r="N3168" s="3" t="str">
        <f t="shared" si="199"/>
        <v>OK</v>
      </c>
    </row>
    <row r="3169" spans="1:14" x14ac:dyDescent="0.3">
      <c r="A3169" s="2">
        <f>DATE(VALUE(RIGHT(TRIM([1]Raw_Data!A3167),4)),VALUE(MID(TRIM([1]Raw_Data!A3167),4,2)),VALUE(LEFT(TRIM([1]Raw_Data!A3167),2)))</f>
        <v>45215</v>
      </c>
      <c r="B3169" s="3" t="str">
        <f>TRIM([1]Raw_Data!B3167)</f>
        <v>Green Tea Extract</v>
      </c>
      <c r="C3169" s="3" t="str">
        <f>TRIM([1]Raw_Data!C3167)</f>
        <v>Fat Burner</v>
      </c>
      <c r="D3169" s="3">
        <f>[1]Raw_Data!D3167</f>
        <v>152</v>
      </c>
      <c r="E3169" s="4">
        <f>[1]Raw_Data!E3167</f>
        <v>42.13</v>
      </c>
      <c r="F3169" s="5">
        <f>[1]Raw_Data!F3167</f>
        <v>6403.76</v>
      </c>
      <c r="G3169" s="4">
        <f>[1]Raw_Data!G3167</f>
        <v>0.08</v>
      </c>
      <c r="H3169" s="3">
        <f>[1]Raw_Data!H3167</f>
        <v>2</v>
      </c>
      <c r="I3169" s="3" t="str">
        <f>TRIM([1]Raw_Data!I3167)</f>
        <v>USA</v>
      </c>
      <c r="J3169" s="3" t="str">
        <f>TRIM([1]Raw_Data!J3167)</f>
        <v>iHerb</v>
      </c>
      <c r="K3169" s="3">
        <f t="shared" si="196"/>
        <v>2023</v>
      </c>
      <c r="L3169" s="6">
        <f t="shared" si="197"/>
        <v>45200</v>
      </c>
      <c r="M3169" s="3" t="str">
        <f t="shared" si="198"/>
        <v>6% to 10%</v>
      </c>
      <c r="N3169" s="3" t="str">
        <f t="shared" si="199"/>
        <v>OK</v>
      </c>
    </row>
    <row r="3170" spans="1:14" x14ac:dyDescent="0.3">
      <c r="A3170" s="2">
        <f>DATE(VALUE(RIGHT(TRIM([1]Raw_Data!A3168),4)),VALUE(MID(TRIM([1]Raw_Data!A3168),4,2)),VALUE(LEFT(TRIM([1]Raw_Data!A3168),2)))</f>
        <v>45215</v>
      </c>
      <c r="B3170" s="3" t="str">
        <f>TRIM([1]Raw_Data!B3168)</f>
        <v>Iron Supplement</v>
      </c>
      <c r="C3170" s="3" t="str">
        <f>TRIM([1]Raw_Data!C3168)</f>
        <v>Mineral</v>
      </c>
      <c r="D3170" s="3">
        <f>[1]Raw_Data!D3168</f>
        <v>164</v>
      </c>
      <c r="E3170" s="4">
        <f>[1]Raw_Data!E3168</f>
        <v>56.54</v>
      </c>
      <c r="F3170" s="5">
        <f>[1]Raw_Data!F3168</f>
        <v>9272.56</v>
      </c>
      <c r="G3170" s="4">
        <f>[1]Raw_Data!G3168</f>
        <v>0.13</v>
      </c>
      <c r="H3170" s="3">
        <f>[1]Raw_Data!H3168</f>
        <v>4</v>
      </c>
      <c r="I3170" s="3" t="str">
        <f>TRIM([1]Raw_Data!I3168)</f>
        <v>UK</v>
      </c>
      <c r="J3170" s="3" t="str">
        <f>TRIM([1]Raw_Data!J3168)</f>
        <v>Amazon</v>
      </c>
      <c r="K3170" s="3">
        <f t="shared" si="196"/>
        <v>2023</v>
      </c>
      <c r="L3170" s="6">
        <f t="shared" si="197"/>
        <v>45200</v>
      </c>
      <c r="M3170" s="3" t="str">
        <f t="shared" si="198"/>
        <v>11% to 15%</v>
      </c>
      <c r="N3170" s="3" t="str">
        <f t="shared" si="199"/>
        <v>OK</v>
      </c>
    </row>
    <row r="3171" spans="1:14" x14ac:dyDescent="0.3">
      <c r="A3171" s="2">
        <f>DATE(VALUE(RIGHT(TRIM([1]Raw_Data!A3169),4)),VALUE(MID(TRIM([1]Raw_Data!A3169),4,2)),VALUE(LEFT(TRIM([1]Raw_Data!A3169),2)))</f>
        <v>45215</v>
      </c>
      <c r="B3171" s="3" t="str">
        <f>TRIM([1]Raw_Data!B3169)</f>
        <v>Electrolyte Powder</v>
      </c>
      <c r="C3171" s="3" t="str">
        <f>TRIM([1]Raw_Data!C3169)</f>
        <v>Hydration</v>
      </c>
      <c r="D3171" s="3">
        <f>[1]Raw_Data!D3169</f>
        <v>139</v>
      </c>
      <c r="E3171" s="4">
        <f>[1]Raw_Data!E3169</f>
        <v>30.19</v>
      </c>
      <c r="F3171" s="5">
        <f>[1]Raw_Data!F3169</f>
        <v>4196.41</v>
      </c>
      <c r="G3171" s="4">
        <f>[1]Raw_Data!G3169</f>
        <v>0.19</v>
      </c>
      <c r="H3171" s="3">
        <f>[1]Raw_Data!H3169</f>
        <v>2</v>
      </c>
      <c r="I3171" s="3" t="str">
        <f>TRIM([1]Raw_Data!I3169)</f>
        <v>USA</v>
      </c>
      <c r="J3171" s="3" t="str">
        <f>TRIM([1]Raw_Data!J3169)</f>
        <v>Amazon</v>
      </c>
      <c r="K3171" s="3">
        <f t="shared" si="196"/>
        <v>2023</v>
      </c>
      <c r="L3171" s="6">
        <f t="shared" si="197"/>
        <v>45200</v>
      </c>
      <c r="M3171" s="3" t="str">
        <f t="shared" si="198"/>
        <v>16% to 20%</v>
      </c>
      <c r="N3171" s="3" t="str">
        <f t="shared" si="199"/>
        <v>OK</v>
      </c>
    </row>
    <row r="3172" spans="1:14" x14ac:dyDescent="0.3">
      <c r="A3172" s="2">
        <f>DATE(VALUE(RIGHT(TRIM([1]Raw_Data!A3170),4)),VALUE(MID(TRIM([1]Raw_Data!A3170),4,2)),VALUE(LEFT(TRIM([1]Raw_Data!A3170),2)))</f>
        <v>45222</v>
      </c>
      <c r="B3172" s="3" t="str">
        <f>TRIM([1]Raw_Data!B3170)</f>
        <v>Whey Protein</v>
      </c>
      <c r="C3172" s="3" t="str">
        <f>TRIM([1]Raw_Data!C3170)</f>
        <v>Protein</v>
      </c>
      <c r="D3172" s="3">
        <f>[1]Raw_Data!D3170</f>
        <v>150</v>
      </c>
      <c r="E3172" s="4">
        <f>[1]Raw_Data!E3170</f>
        <v>28.86</v>
      </c>
      <c r="F3172" s="5">
        <f>[1]Raw_Data!F3170</f>
        <v>4329</v>
      </c>
      <c r="G3172" s="4">
        <f>[1]Raw_Data!G3170</f>
        <v>0.05</v>
      </c>
      <c r="H3172" s="3">
        <f>[1]Raw_Data!H3170</f>
        <v>2</v>
      </c>
      <c r="I3172" s="3" t="str">
        <f>TRIM([1]Raw_Data!I3170)</f>
        <v>Canada</v>
      </c>
      <c r="J3172" s="3" t="str">
        <f>TRIM([1]Raw_Data!J3170)</f>
        <v>Walmart</v>
      </c>
      <c r="K3172" s="3">
        <f t="shared" si="196"/>
        <v>2023</v>
      </c>
      <c r="L3172" s="6">
        <f t="shared" si="197"/>
        <v>45200</v>
      </c>
      <c r="M3172" s="3" t="str">
        <f t="shared" si="198"/>
        <v>0% to 5%</v>
      </c>
      <c r="N3172" s="3" t="str">
        <f t="shared" si="199"/>
        <v>OK</v>
      </c>
    </row>
    <row r="3173" spans="1:14" x14ac:dyDescent="0.3">
      <c r="A3173" s="2">
        <f>DATE(VALUE(RIGHT(TRIM([1]Raw_Data!A3171),4)),VALUE(MID(TRIM([1]Raw_Data!A3171),4,2)),VALUE(LEFT(TRIM([1]Raw_Data!A3171),2)))</f>
        <v>45222</v>
      </c>
      <c r="B3173" s="3" t="str">
        <f>TRIM([1]Raw_Data!B3171)</f>
        <v>Vitamin C</v>
      </c>
      <c r="C3173" s="3" t="str">
        <f>TRIM([1]Raw_Data!C3171)</f>
        <v>Vitamin</v>
      </c>
      <c r="D3173" s="3">
        <f>[1]Raw_Data!D3171</f>
        <v>154</v>
      </c>
      <c r="E3173" s="4">
        <f>[1]Raw_Data!E3171</f>
        <v>34.33</v>
      </c>
      <c r="F3173" s="5">
        <f>[1]Raw_Data!F3171</f>
        <v>5286.82</v>
      </c>
      <c r="G3173" s="4">
        <f>[1]Raw_Data!G3171</f>
        <v>0.24</v>
      </c>
      <c r="H3173" s="3">
        <f>[1]Raw_Data!H3171</f>
        <v>2</v>
      </c>
      <c r="I3173" s="3" t="str">
        <f>TRIM([1]Raw_Data!I3171)</f>
        <v>Canada</v>
      </c>
      <c r="J3173" s="3" t="str">
        <f>TRIM([1]Raw_Data!J3171)</f>
        <v>iHerb</v>
      </c>
      <c r="K3173" s="3">
        <f t="shared" si="196"/>
        <v>2023</v>
      </c>
      <c r="L3173" s="6">
        <f t="shared" si="197"/>
        <v>45200</v>
      </c>
      <c r="M3173" s="3" t="str">
        <f t="shared" si="198"/>
        <v>21% to 25%</v>
      </c>
      <c r="N3173" s="3" t="str">
        <f t="shared" si="199"/>
        <v>OK</v>
      </c>
    </row>
    <row r="3174" spans="1:14" x14ac:dyDescent="0.3">
      <c r="A3174" s="2">
        <f>DATE(VALUE(RIGHT(TRIM([1]Raw_Data!A3172),4)),VALUE(MID(TRIM([1]Raw_Data!A3172),4,2)),VALUE(LEFT(TRIM([1]Raw_Data!A3172),2)))</f>
        <v>45222</v>
      </c>
      <c r="B3174" s="3" t="str">
        <f>TRIM([1]Raw_Data!B3172)</f>
        <v>Fish Oil</v>
      </c>
      <c r="C3174" s="3" t="str">
        <f>TRIM([1]Raw_Data!C3172)</f>
        <v>Omega</v>
      </c>
      <c r="D3174" s="3">
        <f>[1]Raw_Data!D3172</f>
        <v>132</v>
      </c>
      <c r="E3174" s="4">
        <f>[1]Raw_Data!E3172</f>
        <v>58.78</v>
      </c>
      <c r="F3174" s="5">
        <f>[1]Raw_Data!F3172</f>
        <v>7758.96</v>
      </c>
      <c r="G3174" s="4">
        <f>[1]Raw_Data!G3172</f>
        <v>0.18</v>
      </c>
      <c r="H3174" s="3">
        <f>[1]Raw_Data!H3172</f>
        <v>3</v>
      </c>
      <c r="I3174" s="3" t="str">
        <f>TRIM([1]Raw_Data!I3172)</f>
        <v>Canada</v>
      </c>
      <c r="J3174" s="3" t="str">
        <f>TRIM([1]Raw_Data!J3172)</f>
        <v>Walmart</v>
      </c>
      <c r="K3174" s="3">
        <f t="shared" si="196"/>
        <v>2023</v>
      </c>
      <c r="L3174" s="6">
        <f t="shared" si="197"/>
        <v>45200</v>
      </c>
      <c r="M3174" s="3" t="str">
        <f t="shared" si="198"/>
        <v>16% to 20%</v>
      </c>
      <c r="N3174" s="3" t="str">
        <f t="shared" si="199"/>
        <v>OK</v>
      </c>
    </row>
    <row r="3175" spans="1:14" x14ac:dyDescent="0.3">
      <c r="A3175" s="2">
        <f>DATE(VALUE(RIGHT(TRIM([1]Raw_Data!A3173),4)),VALUE(MID(TRIM([1]Raw_Data!A3173),4,2)),VALUE(LEFT(TRIM([1]Raw_Data!A3173),2)))</f>
        <v>45222</v>
      </c>
      <c r="B3175" s="3" t="str">
        <f>TRIM([1]Raw_Data!B3173)</f>
        <v>Multivitamin</v>
      </c>
      <c r="C3175" s="3" t="str">
        <f>TRIM([1]Raw_Data!C3173)</f>
        <v>Vitamin</v>
      </c>
      <c r="D3175" s="3">
        <f>[1]Raw_Data!D3173</f>
        <v>143</v>
      </c>
      <c r="E3175" s="4">
        <f>[1]Raw_Data!E3173</f>
        <v>45.7</v>
      </c>
      <c r="F3175" s="5">
        <f>[1]Raw_Data!F3173</f>
        <v>6535.1</v>
      </c>
      <c r="G3175" s="4">
        <f>[1]Raw_Data!G3173</f>
        <v>7.0000000000000007E-2</v>
      </c>
      <c r="H3175" s="3">
        <f>[1]Raw_Data!H3173</f>
        <v>1</v>
      </c>
      <c r="I3175" s="3" t="str">
        <f>TRIM([1]Raw_Data!I3173)</f>
        <v>UK</v>
      </c>
      <c r="J3175" s="3" t="str">
        <f>TRIM([1]Raw_Data!J3173)</f>
        <v>Walmart</v>
      </c>
      <c r="K3175" s="3">
        <f t="shared" si="196"/>
        <v>2023</v>
      </c>
      <c r="L3175" s="6">
        <f t="shared" si="197"/>
        <v>45200</v>
      </c>
      <c r="M3175" s="3" t="str">
        <f t="shared" si="198"/>
        <v>6% to 10%</v>
      </c>
      <c r="N3175" s="3" t="str">
        <f t="shared" si="199"/>
        <v>OK</v>
      </c>
    </row>
    <row r="3176" spans="1:14" x14ac:dyDescent="0.3">
      <c r="A3176" s="2">
        <f>DATE(VALUE(RIGHT(TRIM([1]Raw_Data!A3174),4)),VALUE(MID(TRIM([1]Raw_Data!A3174),4,2)),VALUE(LEFT(TRIM([1]Raw_Data!A3174),2)))</f>
        <v>45222</v>
      </c>
      <c r="B3176" s="3" t="str">
        <f>TRIM([1]Raw_Data!B3174)</f>
        <v>Pre-Workout</v>
      </c>
      <c r="C3176" s="3" t="str">
        <f>TRIM([1]Raw_Data!C3174)</f>
        <v>Performance</v>
      </c>
      <c r="D3176" s="3">
        <f>[1]Raw_Data!D3174</f>
        <v>154</v>
      </c>
      <c r="E3176" s="4">
        <f>[1]Raw_Data!E3174</f>
        <v>51.36</v>
      </c>
      <c r="F3176" s="5">
        <f>[1]Raw_Data!F3174</f>
        <v>7909.44</v>
      </c>
      <c r="G3176" s="4">
        <f>[1]Raw_Data!G3174</f>
        <v>0.21</v>
      </c>
      <c r="H3176" s="3">
        <f>[1]Raw_Data!H3174</f>
        <v>3</v>
      </c>
      <c r="I3176" s="3" t="str">
        <f>TRIM([1]Raw_Data!I3174)</f>
        <v>USA</v>
      </c>
      <c r="J3176" s="3" t="str">
        <f>TRIM([1]Raw_Data!J3174)</f>
        <v>Walmart</v>
      </c>
      <c r="K3176" s="3">
        <f t="shared" si="196"/>
        <v>2023</v>
      </c>
      <c r="L3176" s="6">
        <f t="shared" si="197"/>
        <v>45200</v>
      </c>
      <c r="M3176" s="3" t="str">
        <f t="shared" si="198"/>
        <v>21% to 25%</v>
      </c>
      <c r="N3176" s="3" t="str">
        <f t="shared" si="199"/>
        <v>OK</v>
      </c>
    </row>
    <row r="3177" spans="1:14" x14ac:dyDescent="0.3">
      <c r="A3177" s="2">
        <f>DATE(VALUE(RIGHT(TRIM([1]Raw_Data!A3175),4)),VALUE(MID(TRIM([1]Raw_Data!A3175),4,2)),VALUE(LEFT(TRIM([1]Raw_Data!A3175),2)))</f>
        <v>45222</v>
      </c>
      <c r="B3177" s="3" t="str">
        <f>TRIM([1]Raw_Data!B3175)</f>
        <v>BCAA</v>
      </c>
      <c r="C3177" s="3" t="str">
        <f>TRIM([1]Raw_Data!C3175)</f>
        <v>Amino Acid</v>
      </c>
      <c r="D3177" s="3">
        <f>[1]Raw_Data!D3175</f>
        <v>162</v>
      </c>
      <c r="E3177" s="4">
        <f>[1]Raw_Data!E3175</f>
        <v>29.07</v>
      </c>
      <c r="F3177" s="5">
        <f>[1]Raw_Data!F3175</f>
        <v>4709.34</v>
      </c>
      <c r="G3177" s="4">
        <f>[1]Raw_Data!G3175</f>
        <v>0.21</v>
      </c>
      <c r="H3177" s="3">
        <f>[1]Raw_Data!H3175</f>
        <v>1</v>
      </c>
      <c r="I3177" s="3" t="str">
        <f>TRIM([1]Raw_Data!I3175)</f>
        <v>UK</v>
      </c>
      <c r="J3177" s="3" t="str">
        <f>TRIM([1]Raw_Data!J3175)</f>
        <v>iHerb</v>
      </c>
      <c r="K3177" s="3">
        <f t="shared" si="196"/>
        <v>2023</v>
      </c>
      <c r="L3177" s="6">
        <f t="shared" si="197"/>
        <v>45200</v>
      </c>
      <c r="M3177" s="3" t="str">
        <f t="shared" si="198"/>
        <v>21% to 25%</v>
      </c>
      <c r="N3177" s="3" t="str">
        <f t="shared" si="199"/>
        <v>OK</v>
      </c>
    </row>
    <row r="3178" spans="1:14" x14ac:dyDescent="0.3">
      <c r="A3178" s="2">
        <f>DATE(VALUE(RIGHT(TRIM([1]Raw_Data!A3176),4)),VALUE(MID(TRIM([1]Raw_Data!A3176),4,2)),VALUE(LEFT(TRIM([1]Raw_Data!A3176),2)))</f>
        <v>45222</v>
      </c>
      <c r="B3178" s="3" t="str">
        <f>TRIM([1]Raw_Data!B3176)</f>
        <v>Creatine</v>
      </c>
      <c r="C3178" s="3" t="str">
        <f>TRIM([1]Raw_Data!C3176)</f>
        <v>Performance</v>
      </c>
      <c r="D3178" s="3">
        <f>[1]Raw_Data!D3176</f>
        <v>140</v>
      </c>
      <c r="E3178" s="4">
        <f>[1]Raw_Data!E3176</f>
        <v>17.09</v>
      </c>
      <c r="F3178" s="5">
        <f>[1]Raw_Data!F3176</f>
        <v>2392.6</v>
      </c>
      <c r="G3178" s="4">
        <f>[1]Raw_Data!G3176</f>
        <v>0.17</v>
      </c>
      <c r="H3178" s="3">
        <f>[1]Raw_Data!H3176</f>
        <v>1</v>
      </c>
      <c r="I3178" s="3" t="str">
        <f>TRIM([1]Raw_Data!I3176)</f>
        <v>USA</v>
      </c>
      <c r="J3178" s="3" t="str">
        <f>TRIM([1]Raw_Data!J3176)</f>
        <v>Walmart</v>
      </c>
      <c r="K3178" s="3">
        <f t="shared" si="196"/>
        <v>2023</v>
      </c>
      <c r="L3178" s="6">
        <f t="shared" si="197"/>
        <v>45200</v>
      </c>
      <c r="M3178" s="3" t="str">
        <f t="shared" si="198"/>
        <v>16% to 20%</v>
      </c>
      <c r="N3178" s="3" t="str">
        <f t="shared" si="199"/>
        <v>OK</v>
      </c>
    </row>
    <row r="3179" spans="1:14" x14ac:dyDescent="0.3">
      <c r="A3179" s="2">
        <f>DATE(VALUE(RIGHT(TRIM([1]Raw_Data!A3177),4)),VALUE(MID(TRIM([1]Raw_Data!A3177),4,2)),VALUE(LEFT(TRIM([1]Raw_Data!A3177),2)))</f>
        <v>45222</v>
      </c>
      <c r="B3179" s="3" t="str">
        <f>TRIM([1]Raw_Data!B3177)</f>
        <v>Zinc</v>
      </c>
      <c r="C3179" s="3" t="str">
        <f>TRIM([1]Raw_Data!C3177)</f>
        <v>Mineral</v>
      </c>
      <c r="D3179" s="3">
        <f>[1]Raw_Data!D3177</f>
        <v>161</v>
      </c>
      <c r="E3179" s="4">
        <f>[1]Raw_Data!E3177</f>
        <v>41.19</v>
      </c>
      <c r="F3179" s="5">
        <f>[1]Raw_Data!F3177</f>
        <v>6631.59</v>
      </c>
      <c r="G3179" s="4">
        <f>[1]Raw_Data!G3177</f>
        <v>0.21</v>
      </c>
      <c r="H3179" s="3">
        <f>[1]Raw_Data!H3177</f>
        <v>2</v>
      </c>
      <c r="I3179" s="3" t="str">
        <f>TRIM([1]Raw_Data!I3177)</f>
        <v>USA</v>
      </c>
      <c r="J3179" s="3" t="str">
        <f>TRIM([1]Raw_Data!J3177)</f>
        <v>iHerb</v>
      </c>
      <c r="K3179" s="3">
        <f t="shared" si="196"/>
        <v>2023</v>
      </c>
      <c r="L3179" s="6">
        <f t="shared" si="197"/>
        <v>45200</v>
      </c>
      <c r="M3179" s="3" t="str">
        <f t="shared" si="198"/>
        <v>21% to 25%</v>
      </c>
      <c r="N3179" s="3" t="str">
        <f t="shared" si="199"/>
        <v>OK</v>
      </c>
    </row>
    <row r="3180" spans="1:14" x14ac:dyDescent="0.3">
      <c r="A3180" s="2">
        <f>DATE(VALUE(RIGHT(TRIM([1]Raw_Data!A3178),4)),VALUE(MID(TRIM([1]Raw_Data!A3178),4,2)),VALUE(LEFT(TRIM([1]Raw_Data!A3178),2)))</f>
        <v>45222</v>
      </c>
      <c r="B3180" s="3" t="str">
        <f>TRIM([1]Raw_Data!B3178)</f>
        <v>Collagen Peptides</v>
      </c>
      <c r="C3180" s="3" t="str">
        <f>TRIM([1]Raw_Data!C3178)</f>
        <v>Protein</v>
      </c>
      <c r="D3180" s="3">
        <f>[1]Raw_Data!D3178</f>
        <v>153</v>
      </c>
      <c r="E3180" s="4">
        <f>[1]Raw_Data!E3178</f>
        <v>19.579999999999998</v>
      </c>
      <c r="F3180" s="5">
        <f>[1]Raw_Data!F3178</f>
        <v>2995.74</v>
      </c>
      <c r="G3180" s="4">
        <f>[1]Raw_Data!G3178</f>
        <v>0.24</v>
      </c>
      <c r="H3180" s="3">
        <f>[1]Raw_Data!H3178</f>
        <v>1</v>
      </c>
      <c r="I3180" s="3" t="str">
        <f>TRIM([1]Raw_Data!I3178)</f>
        <v>UK</v>
      </c>
      <c r="J3180" s="3" t="str">
        <f>TRIM([1]Raw_Data!J3178)</f>
        <v>Walmart</v>
      </c>
      <c r="K3180" s="3">
        <f t="shared" si="196"/>
        <v>2023</v>
      </c>
      <c r="L3180" s="6">
        <f t="shared" si="197"/>
        <v>45200</v>
      </c>
      <c r="M3180" s="3" t="str">
        <f t="shared" si="198"/>
        <v>21% to 25%</v>
      </c>
      <c r="N3180" s="3" t="str">
        <f t="shared" si="199"/>
        <v>OK</v>
      </c>
    </row>
    <row r="3181" spans="1:14" x14ac:dyDescent="0.3">
      <c r="A3181" s="2">
        <f>DATE(VALUE(RIGHT(TRIM([1]Raw_Data!A3179),4)),VALUE(MID(TRIM([1]Raw_Data!A3179),4,2)),VALUE(LEFT(TRIM([1]Raw_Data!A3179),2)))</f>
        <v>45222</v>
      </c>
      <c r="B3181" s="3" t="str">
        <f>TRIM([1]Raw_Data!B3179)</f>
        <v>Magnesium</v>
      </c>
      <c r="C3181" s="3" t="str">
        <f>TRIM([1]Raw_Data!C3179)</f>
        <v>Mineral</v>
      </c>
      <c r="D3181" s="3">
        <f>[1]Raw_Data!D3179</f>
        <v>151</v>
      </c>
      <c r="E3181" s="4">
        <f>[1]Raw_Data!E3179</f>
        <v>37.01</v>
      </c>
      <c r="F3181" s="5">
        <f>[1]Raw_Data!F3179</f>
        <v>5588.51</v>
      </c>
      <c r="G3181" s="4">
        <f>[1]Raw_Data!G3179</f>
        <v>0.15</v>
      </c>
      <c r="H3181" s="3">
        <f>[1]Raw_Data!H3179</f>
        <v>6</v>
      </c>
      <c r="I3181" s="3" t="str">
        <f>TRIM([1]Raw_Data!I3179)</f>
        <v>Canada</v>
      </c>
      <c r="J3181" s="3" t="str">
        <f>TRIM([1]Raw_Data!J3179)</f>
        <v>Amazon</v>
      </c>
      <c r="K3181" s="3">
        <f t="shared" si="196"/>
        <v>2023</v>
      </c>
      <c r="L3181" s="6">
        <f t="shared" si="197"/>
        <v>45200</v>
      </c>
      <c r="M3181" s="3" t="str">
        <f t="shared" si="198"/>
        <v>11% to 15%</v>
      </c>
      <c r="N3181" s="3" t="str">
        <f t="shared" si="199"/>
        <v>OK</v>
      </c>
    </row>
    <row r="3182" spans="1:14" x14ac:dyDescent="0.3">
      <c r="A3182" s="2">
        <f>DATE(VALUE(RIGHT(TRIM([1]Raw_Data!A3180),4)),VALUE(MID(TRIM([1]Raw_Data!A3180),4,2)),VALUE(LEFT(TRIM([1]Raw_Data!A3180),2)))</f>
        <v>45222</v>
      </c>
      <c r="B3182" s="3" t="str">
        <f>TRIM([1]Raw_Data!B3180)</f>
        <v>Ashwagandha</v>
      </c>
      <c r="C3182" s="3" t="str">
        <f>TRIM([1]Raw_Data!C3180)</f>
        <v>Herbal</v>
      </c>
      <c r="D3182" s="3">
        <f>[1]Raw_Data!D3180</f>
        <v>148</v>
      </c>
      <c r="E3182" s="4">
        <f>[1]Raw_Data!E3180</f>
        <v>20.82</v>
      </c>
      <c r="F3182" s="5">
        <f>[1]Raw_Data!F3180</f>
        <v>3081.36</v>
      </c>
      <c r="G3182" s="4">
        <f>[1]Raw_Data!G3180</f>
        <v>0.13</v>
      </c>
      <c r="H3182" s="3">
        <f>[1]Raw_Data!H3180</f>
        <v>4</v>
      </c>
      <c r="I3182" s="3" t="str">
        <f>TRIM([1]Raw_Data!I3180)</f>
        <v>UK</v>
      </c>
      <c r="J3182" s="3" t="str">
        <f>TRIM([1]Raw_Data!J3180)</f>
        <v>Walmart</v>
      </c>
      <c r="K3182" s="3">
        <f t="shared" si="196"/>
        <v>2023</v>
      </c>
      <c r="L3182" s="6">
        <f t="shared" si="197"/>
        <v>45200</v>
      </c>
      <c r="M3182" s="3" t="str">
        <f t="shared" si="198"/>
        <v>11% to 15%</v>
      </c>
      <c r="N3182" s="3" t="str">
        <f t="shared" si="199"/>
        <v>OK</v>
      </c>
    </row>
    <row r="3183" spans="1:14" x14ac:dyDescent="0.3">
      <c r="A3183" s="2">
        <f>DATE(VALUE(RIGHT(TRIM([1]Raw_Data!A3181),4)),VALUE(MID(TRIM([1]Raw_Data!A3181),4,2)),VALUE(LEFT(TRIM([1]Raw_Data!A3181),2)))</f>
        <v>45222</v>
      </c>
      <c r="B3183" s="3" t="str">
        <f>TRIM([1]Raw_Data!B3181)</f>
        <v>Melatonin</v>
      </c>
      <c r="C3183" s="3" t="str">
        <f>TRIM([1]Raw_Data!C3181)</f>
        <v>Sleep Aid</v>
      </c>
      <c r="D3183" s="3">
        <f>[1]Raw_Data!D3181</f>
        <v>177</v>
      </c>
      <c r="E3183" s="4">
        <f>[1]Raw_Data!E3181</f>
        <v>49.89</v>
      </c>
      <c r="F3183" s="5">
        <f>[1]Raw_Data!F3181</f>
        <v>8830.5300000000007</v>
      </c>
      <c r="G3183" s="4">
        <f>[1]Raw_Data!G3181</f>
        <v>0.04</v>
      </c>
      <c r="H3183" s="3">
        <f>[1]Raw_Data!H3181</f>
        <v>2</v>
      </c>
      <c r="I3183" s="3" t="str">
        <f>TRIM([1]Raw_Data!I3181)</f>
        <v>UK</v>
      </c>
      <c r="J3183" s="3" t="str">
        <f>TRIM([1]Raw_Data!J3181)</f>
        <v>Walmart</v>
      </c>
      <c r="K3183" s="3">
        <f t="shared" si="196"/>
        <v>2023</v>
      </c>
      <c r="L3183" s="6">
        <f t="shared" si="197"/>
        <v>45200</v>
      </c>
      <c r="M3183" s="3" t="str">
        <f t="shared" si="198"/>
        <v>0% to 5%</v>
      </c>
      <c r="N3183" s="3" t="str">
        <f t="shared" si="199"/>
        <v>OK</v>
      </c>
    </row>
    <row r="3184" spans="1:14" x14ac:dyDescent="0.3">
      <c r="A3184" s="2">
        <f>DATE(VALUE(RIGHT(TRIM([1]Raw_Data!A3182),4)),VALUE(MID(TRIM([1]Raw_Data!A3182),4,2)),VALUE(LEFT(TRIM([1]Raw_Data!A3182),2)))</f>
        <v>45222</v>
      </c>
      <c r="B3184" s="3" t="str">
        <f>TRIM([1]Raw_Data!B3182)</f>
        <v>Biotin</v>
      </c>
      <c r="C3184" s="3" t="str">
        <f>TRIM([1]Raw_Data!C3182)</f>
        <v>Vitamin</v>
      </c>
      <c r="D3184" s="3">
        <f>[1]Raw_Data!D3182</f>
        <v>154</v>
      </c>
      <c r="E3184" s="4">
        <f>[1]Raw_Data!E3182</f>
        <v>15.66</v>
      </c>
      <c r="F3184" s="5">
        <f>[1]Raw_Data!F3182</f>
        <v>2411.64</v>
      </c>
      <c r="G3184" s="4">
        <f>[1]Raw_Data!G3182</f>
        <v>0.03</v>
      </c>
      <c r="H3184" s="3">
        <f>[1]Raw_Data!H3182</f>
        <v>2</v>
      </c>
      <c r="I3184" s="3" t="str">
        <f>TRIM([1]Raw_Data!I3182)</f>
        <v>UK</v>
      </c>
      <c r="J3184" s="3" t="str">
        <f>TRIM([1]Raw_Data!J3182)</f>
        <v>iHerb</v>
      </c>
      <c r="K3184" s="3">
        <f t="shared" si="196"/>
        <v>2023</v>
      </c>
      <c r="L3184" s="6">
        <f t="shared" si="197"/>
        <v>45200</v>
      </c>
      <c r="M3184" s="3" t="str">
        <f t="shared" si="198"/>
        <v>0% to 5%</v>
      </c>
      <c r="N3184" s="3" t="str">
        <f t="shared" si="199"/>
        <v>OK</v>
      </c>
    </row>
    <row r="3185" spans="1:14" x14ac:dyDescent="0.3">
      <c r="A3185" s="2">
        <f>DATE(VALUE(RIGHT(TRIM([1]Raw_Data!A3183),4)),VALUE(MID(TRIM([1]Raw_Data!A3183),4,2)),VALUE(LEFT(TRIM([1]Raw_Data!A3183),2)))</f>
        <v>45222</v>
      </c>
      <c r="B3185" s="3" t="str">
        <f>TRIM([1]Raw_Data!B3183)</f>
        <v>Green Tea Extract</v>
      </c>
      <c r="C3185" s="3" t="str">
        <f>TRIM([1]Raw_Data!C3183)</f>
        <v>Fat Burner</v>
      </c>
      <c r="D3185" s="3">
        <f>[1]Raw_Data!D3183</f>
        <v>135</v>
      </c>
      <c r="E3185" s="4">
        <f>[1]Raw_Data!E3183</f>
        <v>27.85</v>
      </c>
      <c r="F3185" s="5">
        <f>[1]Raw_Data!F3183</f>
        <v>3759.75</v>
      </c>
      <c r="G3185" s="4">
        <f>[1]Raw_Data!G3183</f>
        <v>0.14000000000000001</v>
      </c>
      <c r="H3185" s="3">
        <f>[1]Raw_Data!H3183</f>
        <v>2</v>
      </c>
      <c r="I3185" s="3" t="str">
        <f>TRIM([1]Raw_Data!I3183)</f>
        <v>UK</v>
      </c>
      <c r="J3185" s="3" t="str">
        <f>TRIM([1]Raw_Data!J3183)</f>
        <v>Walmart</v>
      </c>
      <c r="K3185" s="3">
        <f t="shared" si="196"/>
        <v>2023</v>
      </c>
      <c r="L3185" s="6">
        <f t="shared" si="197"/>
        <v>45200</v>
      </c>
      <c r="M3185" s="3" t="str">
        <f t="shared" si="198"/>
        <v>11% to 15%</v>
      </c>
      <c r="N3185" s="3" t="str">
        <f t="shared" si="199"/>
        <v>OK</v>
      </c>
    </row>
    <row r="3186" spans="1:14" x14ac:dyDescent="0.3">
      <c r="A3186" s="2">
        <f>DATE(VALUE(RIGHT(TRIM([1]Raw_Data!A3184),4)),VALUE(MID(TRIM([1]Raw_Data!A3184),4,2)),VALUE(LEFT(TRIM([1]Raw_Data!A3184),2)))</f>
        <v>45222</v>
      </c>
      <c r="B3186" s="3" t="str">
        <f>TRIM([1]Raw_Data!B3184)</f>
        <v>Iron Supplement</v>
      </c>
      <c r="C3186" s="3" t="str">
        <f>TRIM([1]Raw_Data!C3184)</f>
        <v>Mineral</v>
      </c>
      <c r="D3186" s="3">
        <f>[1]Raw_Data!D3184</f>
        <v>157</v>
      </c>
      <c r="E3186" s="4">
        <f>[1]Raw_Data!E3184</f>
        <v>33.22</v>
      </c>
      <c r="F3186" s="5">
        <f>[1]Raw_Data!F3184</f>
        <v>5215.54</v>
      </c>
      <c r="G3186" s="4">
        <f>[1]Raw_Data!G3184</f>
        <v>0.1</v>
      </c>
      <c r="H3186" s="3">
        <f>[1]Raw_Data!H3184</f>
        <v>3</v>
      </c>
      <c r="I3186" s="3" t="str">
        <f>TRIM([1]Raw_Data!I3184)</f>
        <v>Canada</v>
      </c>
      <c r="J3186" s="3" t="str">
        <f>TRIM([1]Raw_Data!J3184)</f>
        <v>iHerb</v>
      </c>
      <c r="K3186" s="3">
        <f t="shared" si="196"/>
        <v>2023</v>
      </c>
      <c r="L3186" s="6">
        <f t="shared" si="197"/>
        <v>45200</v>
      </c>
      <c r="M3186" s="3" t="str">
        <f t="shared" si="198"/>
        <v>6% to 10%</v>
      </c>
      <c r="N3186" s="3" t="str">
        <f t="shared" si="199"/>
        <v>OK</v>
      </c>
    </row>
    <row r="3187" spans="1:14" x14ac:dyDescent="0.3">
      <c r="A3187" s="2">
        <f>DATE(VALUE(RIGHT(TRIM([1]Raw_Data!A3185),4)),VALUE(MID(TRIM([1]Raw_Data!A3185),4,2)),VALUE(LEFT(TRIM([1]Raw_Data!A3185),2)))</f>
        <v>45222</v>
      </c>
      <c r="B3187" s="3" t="str">
        <f>TRIM([1]Raw_Data!B3185)</f>
        <v>Electrolyte Powder</v>
      </c>
      <c r="C3187" s="3" t="str">
        <f>TRIM([1]Raw_Data!C3185)</f>
        <v>Hydration</v>
      </c>
      <c r="D3187" s="3">
        <f>[1]Raw_Data!D3185</f>
        <v>144</v>
      </c>
      <c r="E3187" s="4">
        <f>[1]Raw_Data!E3185</f>
        <v>47.17</v>
      </c>
      <c r="F3187" s="5">
        <f>[1]Raw_Data!F3185</f>
        <v>6792.48</v>
      </c>
      <c r="G3187" s="4">
        <f>[1]Raw_Data!G3185</f>
        <v>0.09</v>
      </c>
      <c r="H3187" s="3">
        <f>[1]Raw_Data!H3185</f>
        <v>3</v>
      </c>
      <c r="I3187" s="3" t="str">
        <f>TRIM([1]Raw_Data!I3185)</f>
        <v>Canada</v>
      </c>
      <c r="J3187" s="3" t="str">
        <f>TRIM([1]Raw_Data!J3185)</f>
        <v>Amazon</v>
      </c>
      <c r="K3187" s="3">
        <f t="shared" si="196"/>
        <v>2023</v>
      </c>
      <c r="L3187" s="6">
        <f t="shared" si="197"/>
        <v>45200</v>
      </c>
      <c r="M3187" s="3" t="str">
        <f t="shared" si="198"/>
        <v>6% to 10%</v>
      </c>
      <c r="N3187" s="3" t="str">
        <f t="shared" si="199"/>
        <v>OK</v>
      </c>
    </row>
    <row r="3188" spans="1:14" x14ac:dyDescent="0.3">
      <c r="A3188" s="2">
        <f>DATE(VALUE(RIGHT(TRIM([1]Raw_Data!A3186),4)),VALUE(MID(TRIM([1]Raw_Data!A3186),4,2)),VALUE(LEFT(TRIM([1]Raw_Data!A3186),2)))</f>
        <v>45229</v>
      </c>
      <c r="B3188" s="3" t="str">
        <f>TRIM([1]Raw_Data!B3186)</f>
        <v>Whey Protein</v>
      </c>
      <c r="C3188" s="3" t="str">
        <f>TRIM([1]Raw_Data!C3186)</f>
        <v>Protein</v>
      </c>
      <c r="D3188" s="3">
        <f>[1]Raw_Data!D3186</f>
        <v>144</v>
      </c>
      <c r="E3188" s="4">
        <f>[1]Raw_Data!E3186</f>
        <v>12.26</v>
      </c>
      <c r="F3188" s="5">
        <f>[1]Raw_Data!F3186</f>
        <v>1765.44</v>
      </c>
      <c r="G3188" s="4">
        <f>[1]Raw_Data!G3186</f>
        <v>0.1</v>
      </c>
      <c r="H3188" s="3">
        <f>[1]Raw_Data!H3186</f>
        <v>1</v>
      </c>
      <c r="I3188" s="3" t="str">
        <f>TRIM([1]Raw_Data!I3186)</f>
        <v>UK</v>
      </c>
      <c r="J3188" s="3" t="str">
        <f>TRIM([1]Raw_Data!J3186)</f>
        <v>Amazon</v>
      </c>
      <c r="K3188" s="3">
        <f t="shared" si="196"/>
        <v>2023</v>
      </c>
      <c r="L3188" s="6">
        <f t="shared" si="197"/>
        <v>45200</v>
      </c>
      <c r="M3188" s="3" t="str">
        <f t="shared" si="198"/>
        <v>6% to 10%</v>
      </c>
      <c r="N3188" s="3" t="str">
        <f t="shared" si="199"/>
        <v>OK</v>
      </c>
    </row>
    <row r="3189" spans="1:14" x14ac:dyDescent="0.3">
      <c r="A3189" s="2">
        <f>DATE(VALUE(RIGHT(TRIM([1]Raw_Data!A3187),4)),VALUE(MID(TRIM([1]Raw_Data!A3187),4,2)),VALUE(LEFT(TRIM([1]Raw_Data!A3187),2)))</f>
        <v>45229</v>
      </c>
      <c r="B3189" s="3" t="str">
        <f>TRIM([1]Raw_Data!B3187)</f>
        <v>Vitamin C</v>
      </c>
      <c r="C3189" s="3" t="str">
        <f>TRIM([1]Raw_Data!C3187)</f>
        <v>Vitamin</v>
      </c>
      <c r="D3189" s="3">
        <f>[1]Raw_Data!D3187</f>
        <v>149</v>
      </c>
      <c r="E3189" s="4">
        <f>[1]Raw_Data!E3187</f>
        <v>44.98</v>
      </c>
      <c r="F3189" s="5">
        <f>[1]Raw_Data!F3187</f>
        <v>6702.02</v>
      </c>
      <c r="G3189" s="4">
        <f>[1]Raw_Data!G3187</f>
        <v>0.24</v>
      </c>
      <c r="H3189" s="3">
        <f>[1]Raw_Data!H3187</f>
        <v>2</v>
      </c>
      <c r="I3189" s="3" t="str">
        <f>TRIM([1]Raw_Data!I3187)</f>
        <v>USA</v>
      </c>
      <c r="J3189" s="3" t="str">
        <f>TRIM([1]Raw_Data!J3187)</f>
        <v>Walmart</v>
      </c>
      <c r="K3189" s="3">
        <f t="shared" si="196"/>
        <v>2023</v>
      </c>
      <c r="L3189" s="6">
        <f t="shared" si="197"/>
        <v>45200</v>
      </c>
      <c r="M3189" s="3" t="str">
        <f t="shared" si="198"/>
        <v>21% to 25%</v>
      </c>
      <c r="N3189" s="3" t="str">
        <f t="shared" si="199"/>
        <v>OK</v>
      </c>
    </row>
    <row r="3190" spans="1:14" x14ac:dyDescent="0.3">
      <c r="A3190" s="2">
        <f>DATE(VALUE(RIGHT(TRIM([1]Raw_Data!A3188),4)),VALUE(MID(TRIM([1]Raw_Data!A3188),4,2)),VALUE(LEFT(TRIM([1]Raw_Data!A3188),2)))</f>
        <v>45229</v>
      </c>
      <c r="B3190" s="3" t="str">
        <f>TRIM([1]Raw_Data!B3188)</f>
        <v>Fish Oil</v>
      </c>
      <c r="C3190" s="3" t="str">
        <f>TRIM([1]Raw_Data!C3188)</f>
        <v>Omega</v>
      </c>
      <c r="D3190" s="3">
        <f>[1]Raw_Data!D3188</f>
        <v>128</v>
      </c>
      <c r="E3190" s="4">
        <f>[1]Raw_Data!E3188</f>
        <v>36.770000000000003</v>
      </c>
      <c r="F3190" s="5">
        <f>[1]Raw_Data!F3188</f>
        <v>4706.5600000000004</v>
      </c>
      <c r="G3190" s="4">
        <f>[1]Raw_Data!G3188</f>
        <v>0</v>
      </c>
      <c r="H3190" s="3">
        <f>[1]Raw_Data!H3188</f>
        <v>0</v>
      </c>
      <c r="I3190" s="3" t="str">
        <f>TRIM([1]Raw_Data!I3188)</f>
        <v>Canada</v>
      </c>
      <c r="J3190" s="3" t="str">
        <f>TRIM([1]Raw_Data!J3188)</f>
        <v>iHerb</v>
      </c>
      <c r="K3190" s="3">
        <f t="shared" si="196"/>
        <v>2023</v>
      </c>
      <c r="L3190" s="6">
        <f t="shared" si="197"/>
        <v>45200</v>
      </c>
      <c r="M3190" s="3" t="str">
        <f t="shared" si="198"/>
        <v>0% to 5%</v>
      </c>
      <c r="N3190" s="3" t="str">
        <f t="shared" si="199"/>
        <v>OK</v>
      </c>
    </row>
    <row r="3191" spans="1:14" x14ac:dyDescent="0.3">
      <c r="A3191" s="2">
        <f>DATE(VALUE(RIGHT(TRIM([1]Raw_Data!A3189),4)),VALUE(MID(TRIM([1]Raw_Data!A3189),4,2)),VALUE(LEFT(TRIM([1]Raw_Data!A3189),2)))</f>
        <v>45229</v>
      </c>
      <c r="B3191" s="3" t="str">
        <f>TRIM([1]Raw_Data!B3189)</f>
        <v>Multivitamin</v>
      </c>
      <c r="C3191" s="3" t="str">
        <f>TRIM([1]Raw_Data!C3189)</f>
        <v>Vitamin</v>
      </c>
      <c r="D3191" s="3">
        <f>[1]Raw_Data!D3189</f>
        <v>171</v>
      </c>
      <c r="E3191" s="4">
        <f>[1]Raw_Data!E3189</f>
        <v>49.94</v>
      </c>
      <c r="F3191" s="5">
        <f>[1]Raw_Data!F3189</f>
        <v>8539.74</v>
      </c>
      <c r="G3191" s="4">
        <f>[1]Raw_Data!G3189</f>
        <v>0.25</v>
      </c>
      <c r="H3191" s="3">
        <f>[1]Raw_Data!H3189</f>
        <v>3</v>
      </c>
      <c r="I3191" s="3" t="str">
        <f>TRIM([1]Raw_Data!I3189)</f>
        <v>Canada</v>
      </c>
      <c r="J3191" s="3" t="str">
        <f>TRIM([1]Raw_Data!J3189)</f>
        <v>iHerb</v>
      </c>
      <c r="K3191" s="3">
        <f t="shared" si="196"/>
        <v>2023</v>
      </c>
      <c r="L3191" s="6">
        <f t="shared" si="197"/>
        <v>45200</v>
      </c>
      <c r="M3191" s="3" t="str">
        <f t="shared" si="198"/>
        <v>21% to 25%</v>
      </c>
      <c r="N3191" s="3" t="str">
        <f t="shared" si="199"/>
        <v>OK</v>
      </c>
    </row>
    <row r="3192" spans="1:14" x14ac:dyDescent="0.3">
      <c r="A3192" s="2">
        <f>DATE(VALUE(RIGHT(TRIM([1]Raw_Data!A3190),4)),VALUE(MID(TRIM([1]Raw_Data!A3190),4,2)),VALUE(LEFT(TRIM([1]Raw_Data!A3190),2)))</f>
        <v>45229</v>
      </c>
      <c r="B3192" s="3" t="str">
        <f>TRIM([1]Raw_Data!B3190)</f>
        <v>Pre-Workout</v>
      </c>
      <c r="C3192" s="3" t="str">
        <f>TRIM([1]Raw_Data!C3190)</f>
        <v>Performance</v>
      </c>
      <c r="D3192" s="3">
        <f>[1]Raw_Data!D3190</f>
        <v>112</v>
      </c>
      <c r="E3192" s="4">
        <f>[1]Raw_Data!E3190</f>
        <v>20.94</v>
      </c>
      <c r="F3192" s="5">
        <f>[1]Raw_Data!F3190</f>
        <v>2345.2800000000002</v>
      </c>
      <c r="G3192" s="4">
        <f>[1]Raw_Data!G3190</f>
        <v>0.13</v>
      </c>
      <c r="H3192" s="3">
        <f>[1]Raw_Data!H3190</f>
        <v>2</v>
      </c>
      <c r="I3192" s="3" t="str">
        <f>TRIM([1]Raw_Data!I3190)</f>
        <v>Canada</v>
      </c>
      <c r="J3192" s="3" t="str">
        <f>TRIM([1]Raw_Data!J3190)</f>
        <v>iHerb</v>
      </c>
      <c r="K3192" s="3">
        <f t="shared" si="196"/>
        <v>2023</v>
      </c>
      <c r="L3192" s="6">
        <f t="shared" si="197"/>
        <v>45200</v>
      </c>
      <c r="M3192" s="3" t="str">
        <f t="shared" si="198"/>
        <v>11% to 15%</v>
      </c>
      <c r="N3192" s="3" t="str">
        <f t="shared" si="199"/>
        <v>OK</v>
      </c>
    </row>
    <row r="3193" spans="1:14" x14ac:dyDescent="0.3">
      <c r="A3193" s="2">
        <f>DATE(VALUE(RIGHT(TRIM([1]Raw_Data!A3191),4)),VALUE(MID(TRIM([1]Raw_Data!A3191),4,2)),VALUE(LEFT(TRIM([1]Raw_Data!A3191),2)))</f>
        <v>45229</v>
      </c>
      <c r="B3193" s="3" t="str">
        <f>TRIM([1]Raw_Data!B3191)</f>
        <v>BCAA</v>
      </c>
      <c r="C3193" s="3" t="str">
        <f>TRIM([1]Raw_Data!C3191)</f>
        <v>Amino Acid</v>
      </c>
      <c r="D3193" s="3">
        <f>[1]Raw_Data!D3191</f>
        <v>165</v>
      </c>
      <c r="E3193" s="4">
        <f>[1]Raw_Data!E3191</f>
        <v>56.41</v>
      </c>
      <c r="F3193" s="5">
        <f>[1]Raw_Data!F3191</f>
        <v>9307.65</v>
      </c>
      <c r="G3193" s="4">
        <f>[1]Raw_Data!G3191</f>
        <v>0.13</v>
      </c>
      <c r="H3193" s="3">
        <f>[1]Raw_Data!H3191</f>
        <v>3</v>
      </c>
      <c r="I3193" s="3" t="str">
        <f>TRIM([1]Raw_Data!I3191)</f>
        <v>Canada</v>
      </c>
      <c r="J3193" s="3" t="str">
        <f>TRIM([1]Raw_Data!J3191)</f>
        <v>Walmart</v>
      </c>
      <c r="K3193" s="3">
        <f t="shared" si="196"/>
        <v>2023</v>
      </c>
      <c r="L3193" s="6">
        <f t="shared" si="197"/>
        <v>45200</v>
      </c>
      <c r="M3193" s="3" t="str">
        <f t="shared" si="198"/>
        <v>11% to 15%</v>
      </c>
      <c r="N3193" s="3" t="str">
        <f t="shared" si="199"/>
        <v>OK</v>
      </c>
    </row>
    <row r="3194" spans="1:14" x14ac:dyDescent="0.3">
      <c r="A3194" s="2">
        <f>DATE(VALUE(RIGHT(TRIM([1]Raw_Data!A3192),4)),VALUE(MID(TRIM([1]Raw_Data!A3192),4,2)),VALUE(LEFT(TRIM([1]Raw_Data!A3192),2)))</f>
        <v>45229</v>
      </c>
      <c r="B3194" s="3" t="str">
        <f>TRIM([1]Raw_Data!B3192)</f>
        <v>Creatine</v>
      </c>
      <c r="C3194" s="3" t="str">
        <f>TRIM([1]Raw_Data!C3192)</f>
        <v>Performance</v>
      </c>
      <c r="D3194" s="3">
        <f>[1]Raw_Data!D3192</f>
        <v>148</v>
      </c>
      <c r="E3194" s="4">
        <f>[1]Raw_Data!E3192</f>
        <v>55.82</v>
      </c>
      <c r="F3194" s="5">
        <f>[1]Raw_Data!F3192</f>
        <v>8261.36</v>
      </c>
      <c r="G3194" s="4">
        <f>[1]Raw_Data!G3192</f>
        <v>0.1</v>
      </c>
      <c r="H3194" s="3">
        <f>[1]Raw_Data!H3192</f>
        <v>1</v>
      </c>
      <c r="I3194" s="3" t="str">
        <f>TRIM([1]Raw_Data!I3192)</f>
        <v>UK</v>
      </c>
      <c r="J3194" s="3" t="str">
        <f>TRIM([1]Raw_Data!J3192)</f>
        <v>iHerb</v>
      </c>
      <c r="K3194" s="3">
        <f t="shared" si="196"/>
        <v>2023</v>
      </c>
      <c r="L3194" s="6">
        <f t="shared" si="197"/>
        <v>45200</v>
      </c>
      <c r="M3194" s="3" t="str">
        <f t="shared" si="198"/>
        <v>6% to 10%</v>
      </c>
      <c r="N3194" s="3" t="str">
        <f t="shared" si="199"/>
        <v>OK</v>
      </c>
    </row>
    <row r="3195" spans="1:14" x14ac:dyDescent="0.3">
      <c r="A3195" s="2">
        <f>DATE(VALUE(RIGHT(TRIM([1]Raw_Data!A3193),4)),VALUE(MID(TRIM([1]Raw_Data!A3193),4,2)),VALUE(LEFT(TRIM([1]Raw_Data!A3193),2)))</f>
        <v>45229</v>
      </c>
      <c r="B3195" s="3" t="str">
        <f>TRIM([1]Raw_Data!B3193)</f>
        <v>Zinc</v>
      </c>
      <c r="C3195" s="3" t="str">
        <f>TRIM([1]Raw_Data!C3193)</f>
        <v>Mineral</v>
      </c>
      <c r="D3195" s="3">
        <f>[1]Raw_Data!D3193</f>
        <v>144</v>
      </c>
      <c r="E3195" s="4">
        <f>[1]Raw_Data!E3193</f>
        <v>59.75</v>
      </c>
      <c r="F3195" s="5">
        <f>[1]Raw_Data!F3193</f>
        <v>8604</v>
      </c>
      <c r="G3195" s="4">
        <f>[1]Raw_Data!G3193</f>
        <v>0.01</v>
      </c>
      <c r="H3195" s="3">
        <f>[1]Raw_Data!H3193</f>
        <v>3</v>
      </c>
      <c r="I3195" s="3" t="str">
        <f>TRIM([1]Raw_Data!I3193)</f>
        <v>UK</v>
      </c>
      <c r="J3195" s="3" t="str">
        <f>TRIM([1]Raw_Data!J3193)</f>
        <v>Walmart</v>
      </c>
      <c r="K3195" s="3">
        <f t="shared" si="196"/>
        <v>2023</v>
      </c>
      <c r="L3195" s="6">
        <f t="shared" si="197"/>
        <v>45200</v>
      </c>
      <c r="M3195" s="3" t="str">
        <f t="shared" si="198"/>
        <v>0% to 5%</v>
      </c>
      <c r="N3195" s="3" t="str">
        <f t="shared" si="199"/>
        <v>OK</v>
      </c>
    </row>
    <row r="3196" spans="1:14" x14ac:dyDescent="0.3">
      <c r="A3196" s="2">
        <f>DATE(VALUE(RIGHT(TRIM([1]Raw_Data!A3194),4)),VALUE(MID(TRIM([1]Raw_Data!A3194),4,2)),VALUE(LEFT(TRIM([1]Raw_Data!A3194),2)))</f>
        <v>45229</v>
      </c>
      <c r="B3196" s="3" t="str">
        <f>TRIM([1]Raw_Data!B3194)</f>
        <v>Collagen Peptides</v>
      </c>
      <c r="C3196" s="3" t="str">
        <f>TRIM([1]Raw_Data!C3194)</f>
        <v>Protein</v>
      </c>
      <c r="D3196" s="3">
        <f>[1]Raw_Data!D3194</f>
        <v>136</v>
      </c>
      <c r="E3196" s="4">
        <f>[1]Raw_Data!E3194</f>
        <v>12.53</v>
      </c>
      <c r="F3196" s="5">
        <f>[1]Raw_Data!F3194</f>
        <v>1704.08</v>
      </c>
      <c r="G3196" s="4">
        <f>[1]Raw_Data!G3194</f>
        <v>0.14000000000000001</v>
      </c>
      <c r="H3196" s="3">
        <f>[1]Raw_Data!H3194</f>
        <v>1</v>
      </c>
      <c r="I3196" s="3" t="str">
        <f>TRIM([1]Raw_Data!I3194)</f>
        <v>Canada</v>
      </c>
      <c r="J3196" s="3" t="str">
        <f>TRIM([1]Raw_Data!J3194)</f>
        <v>iHerb</v>
      </c>
      <c r="K3196" s="3">
        <f t="shared" si="196"/>
        <v>2023</v>
      </c>
      <c r="L3196" s="6">
        <f t="shared" si="197"/>
        <v>45200</v>
      </c>
      <c r="M3196" s="3" t="str">
        <f t="shared" si="198"/>
        <v>11% to 15%</v>
      </c>
      <c r="N3196" s="3" t="str">
        <f t="shared" si="199"/>
        <v>OK</v>
      </c>
    </row>
    <row r="3197" spans="1:14" x14ac:dyDescent="0.3">
      <c r="A3197" s="2">
        <f>DATE(VALUE(RIGHT(TRIM([1]Raw_Data!A3195),4)),VALUE(MID(TRIM([1]Raw_Data!A3195),4,2)),VALUE(LEFT(TRIM([1]Raw_Data!A3195),2)))</f>
        <v>45229</v>
      </c>
      <c r="B3197" s="3" t="str">
        <f>TRIM([1]Raw_Data!B3195)</f>
        <v>Magnesium</v>
      </c>
      <c r="C3197" s="3" t="str">
        <f>TRIM([1]Raw_Data!C3195)</f>
        <v>Mineral</v>
      </c>
      <c r="D3197" s="3">
        <f>[1]Raw_Data!D3195</f>
        <v>134</v>
      </c>
      <c r="E3197" s="4">
        <f>[1]Raw_Data!E3195</f>
        <v>20.87</v>
      </c>
      <c r="F3197" s="5">
        <f>[1]Raw_Data!F3195</f>
        <v>2796.58</v>
      </c>
      <c r="G3197" s="4">
        <f>[1]Raw_Data!G3195</f>
        <v>0.06</v>
      </c>
      <c r="H3197" s="3">
        <f>[1]Raw_Data!H3195</f>
        <v>1</v>
      </c>
      <c r="I3197" s="3" t="str">
        <f>TRIM([1]Raw_Data!I3195)</f>
        <v>UK</v>
      </c>
      <c r="J3197" s="3" t="str">
        <f>TRIM([1]Raw_Data!J3195)</f>
        <v>iHerb</v>
      </c>
      <c r="K3197" s="3">
        <f t="shared" si="196"/>
        <v>2023</v>
      </c>
      <c r="L3197" s="6">
        <f t="shared" si="197"/>
        <v>45200</v>
      </c>
      <c r="M3197" s="3" t="str">
        <f t="shared" si="198"/>
        <v>6% to 10%</v>
      </c>
      <c r="N3197" s="3" t="str">
        <f t="shared" si="199"/>
        <v>OK</v>
      </c>
    </row>
    <row r="3198" spans="1:14" x14ac:dyDescent="0.3">
      <c r="A3198" s="2">
        <f>DATE(VALUE(RIGHT(TRIM([1]Raw_Data!A3196),4)),VALUE(MID(TRIM([1]Raw_Data!A3196),4,2)),VALUE(LEFT(TRIM([1]Raw_Data!A3196),2)))</f>
        <v>45229</v>
      </c>
      <c r="B3198" s="3" t="str">
        <f>TRIM([1]Raw_Data!B3196)</f>
        <v>Ashwagandha</v>
      </c>
      <c r="C3198" s="3" t="str">
        <f>TRIM([1]Raw_Data!C3196)</f>
        <v>Herbal</v>
      </c>
      <c r="D3198" s="3">
        <f>[1]Raw_Data!D3196</f>
        <v>153</v>
      </c>
      <c r="E3198" s="4">
        <f>[1]Raw_Data!E3196</f>
        <v>10.88</v>
      </c>
      <c r="F3198" s="5">
        <f>[1]Raw_Data!F3196</f>
        <v>1664.64</v>
      </c>
      <c r="G3198" s="4">
        <f>[1]Raw_Data!G3196</f>
        <v>0.06</v>
      </c>
      <c r="H3198" s="3">
        <f>[1]Raw_Data!H3196</f>
        <v>1</v>
      </c>
      <c r="I3198" s="3" t="str">
        <f>TRIM([1]Raw_Data!I3196)</f>
        <v>USA</v>
      </c>
      <c r="J3198" s="3" t="str">
        <f>TRIM([1]Raw_Data!J3196)</f>
        <v>Amazon</v>
      </c>
      <c r="K3198" s="3">
        <f t="shared" si="196"/>
        <v>2023</v>
      </c>
      <c r="L3198" s="6">
        <f t="shared" si="197"/>
        <v>45200</v>
      </c>
      <c r="M3198" s="3" t="str">
        <f t="shared" si="198"/>
        <v>6% to 10%</v>
      </c>
      <c r="N3198" s="3" t="str">
        <f t="shared" si="199"/>
        <v>OK</v>
      </c>
    </row>
    <row r="3199" spans="1:14" x14ac:dyDescent="0.3">
      <c r="A3199" s="2">
        <f>DATE(VALUE(RIGHT(TRIM([1]Raw_Data!A3197),4)),VALUE(MID(TRIM([1]Raw_Data!A3197),4,2)),VALUE(LEFT(TRIM([1]Raw_Data!A3197),2)))</f>
        <v>45229</v>
      </c>
      <c r="B3199" s="3" t="str">
        <f>TRIM([1]Raw_Data!B3197)</f>
        <v>Melatonin</v>
      </c>
      <c r="C3199" s="3" t="str">
        <f>TRIM([1]Raw_Data!C3197)</f>
        <v>Sleep Aid</v>
      </c>
      <c r="D3199" s="3">
        <f>[1]Raw_Data!D3197</f>
        <v>144</v>
      </c>
      <c r="E3199" s="4">
        <f>[1]Raw_Data!E3197</f>
        <v>49.39</v>
      </c>
      <c r="F3199" s="5">
        <f>[1]Raw_Data!F3197</f>
        <v>7112.16</v>
      </c>
      <c r="G3199" s="4">
        <f>[1]Raw_Data!G3197</f>
        <v>0.16</v>
      </c>
      <c r="H3199" s="3">
        <f>[1]Raw_Data!H3197</f>
        <v>1</v>
      </c>
      <c r="I3199" s="3" t="str">
        <f>TRIM([1]Raw_Data!I3197)</f>
        <v>UK</v>
      </c>
      <c r="J3199" s="3" t="str">
        <f>TRIM([1]Raw_Data!J3197)</f>
        <v>Amazon</v>
      </c>
      <c r="K3199" s="3">
        <f t="shared" si="196"/>
        <v>2023</v>
      </c>
      <c r="L3199" s="6">
        <f t="shared" si="197"/>
        <v>45200</v>
      </c>
      <c r="M3199" s="3" t="str">
        <f t="shared" si="198"/>
        <v>16% to 20%</v>
      </c>
      <c r="N3199" s="3" t="str">
        <f t="shared" si="199"/>
        <v>OK</v>
      </c>
    </row>
    <row r="3200" spans="1:14" x14ac:dyDescent="0.3">
      <c r="A3200" s="2">
        <f>DATE(VALUE(RIGHT(TRIM([1]Raw_Data!A3198),4)),VALUE(MID(TRIM([1]Raw_Data!A3198),4,2)),VALUE(LEFT(TRIM([1]Raw_Data!A3198),2)))</f>
        <v>45229</v>
      </c>
      <c r="B3200" s="3" t="str">
        <f>TRIM([1]Raw_Data!B3198)</f>
        <v>Biotin</v>
      </c>
      <c r="C3200" s="3" t="str">
        <f>TRIM([1]Raw_Data!C3198)</f>
        <v>Vitamin</v>
      </c>
      <c r="D3200" s="3">
        <f>[1]Raw_Data!D3198</f>
        <v>157</v>
      </c>
      <c r="E3200" s="4">
        <f>[1]Raw_Data!E3198</f>
        <v>39.74</v>
      </c>
      <c r="F3200" s="5">
        <f>[1]Raw_Data!F3198</f>
        <v>6239.18</v>
      </c>
      <c r="G3200" s="4">
        <f>[1]Raw_Data!G3198</f>
        <v>0.2</v>
      </c>
      <c r="H3200" s="3">
        <f>[1]Raw_Data!H3198</f>
        <v>2</v>
      </c>
      <c r="I3200" s="3" t="str">
        <f>TRIM([1]Raw_Data!I3198)</f>
        <v>Canada</v>
      </c>
      <c r="J3200" s="3" t="str">
        <f>TRIM([1]Raw_Data!J3198)</f>
        <v>Amazon</v>
      </c>
      <c r="K3200" s="3">
        <f t="shared" si="196"/>
        <v>2023</v>
      </c>
      <c r="L3200" s="6">
        <f t="shared" si="197"/>
        <v>45200</v>
      </c>
      <c r="M3200" s="3" t="str">
        <f t="shared" si="198"/>
        <v>16% to 20%</v>
      </c>
      <c r="N3200" s="3" t="str">
        <f t="shared" si="199"/>
        <v>OK</v>
      </c>
    </row>
    <row r="3201" spans="1:14" x14ac:dyDescent="0.3">
      <c r="A3201" s="2">
        <f>DATE(VALUE(RIGHT(TRIM([1]Raw_Data!A3199),4)),VALUE(MID(TRIM([1]Raw_Data!A3199),4,2)),VALUE(LEFT(TRIM([1]Raw_Data!A3199),2)))</f>
        <v>45229</v>
      </c>
      <c r="B3201" s="3" t="str">
        <f>TRIM([1]Raw_Data!B3199)</f>
        <v>Green Tea Extract</v>
      </c>
      <c r="C3201" s="3" t="str">
        <f>TRIM([1]Raw_Data!C3199)</f>
        <v>Fat Burner</v>
      </c>
      <c r="D3201" s="3">
        <f>[1]Raw_Data!D3199</f>
        <v>152</v>
      </c>
      <c r="E3201" s="4">
        <f>[1]Raw_Data!E3199</f>
        <v>47.29</v>
      </c>
      <c r="F3201" s="5">
        <f>[1]Raw_Data!F3199</f>
        <v>7188.08</v>
      </c>
      <c r="G3201" s="4">
        <f>[1]Raw_Data!G3199</f>
        <v>0.05</v>
      </c>
      <c r="H3201" s="3">
        <f>[1]Raw_Data!H3199</f>
        <v>2</v>
      </c>
      <c r="I3201" s="3" t="str">
        <f>TRIM([1]Raw_Data!I3199)</f>
        <v>Canada</v>
      </c>
      <c r="J3201" s="3" t="str">
        <f>TRIM([1]Raw_Data!J3199)</f>
        <v>Walmart</v>
      </c>
      <c r="K3201" s="3">
        <f t="shared" si="196"/>
        <v>2023</v>
      </c>
      <c r="L3201" s="6">
        <f t="shared" si="197"/>
        <v>45200</v>
      </c>
      <c r="M3201" s="3" t="str">
        <f t="shared" si="198"/>
        <v>0% to 5%</v>
      </c>
      <c r="N3201" s="3" t="str">
        <f t="shared" si="199"/>
        <v>OK</v>
      </c>
    </row>
    <row r="3202" spans="1:14" x14ac:dyDescent="0.3">
      <c r="A3202" s="2">
        <f>DATE(VALUE(RIGHT(TRIM([1]Raw_Data!A3200),4)),VALUE(MID(TRIM([1]Raw_Data!A3200),4,2)),VALUE(LEFT(TRIM([1]Raw_Data!A3200),2)))</f>
        <v>45229</v>
      </c>
      <c r="B3202" s="3" t="str">
        <f>TRIM([1]Raw_Data!B3200)</f>
        <v>Iron Supplement</v>
      </c>
      <c r="C3202" s="3" t="str">
        <f>TRIM([1]Raw_Data!C3200)</f>
        <v>Mineral</v>
      </c>
      <c r="D3202" s="3">
        <f>[1]Raw_Data!D3200</f>
        <v>162</v>
      </c>
      <c r="E3202" s="4">
        <f>[1]Raw_Data!E3200</f>
        <v>33.65</v>
      </c>
      <c r="F3202" s="5">
        <f>[1]Raw_Data!F3200</f>
        <v>5451.3</v>
      </c>
      <c r="G3202" s="4">
        <f>[1]Raw_Data!G3200</f>
        <v>0.05</v>
      </c>
      <c r="H3202" s="3">
        <f>[1]Raw_Data!H3200</f>
        <v>0</v>
      </c>
      <c r="I3202" s="3" t="str">
        <f>TRIM([1]Raw_Data!I3200)</f>
        <v>Canada</v>
      </c>
      <c r="J3202" s="3" t="str">
        <f>TRIM([1]Raw_Data!J3200)</f>
        <v>iHerb</v>
      </c>
      <c r="K3202" s="3">
        <f t="shared" si="196"/>
        <v>2023</v>
      </c>
      <c r="L3202" s="6">
        <f t="shared" si="197"/>
        <v>45200</v>
      </c>
      <c r="M3202" s="3" t="str">
        <f t="shared" si="198"/>
        <v>0% to 5%</v>
      </c>
      <c r="N3202" s="3" t="str">
        <f t="shared" si="199"/>
        <v>OK</v>
      </c>
    </row>
    <row r="3203" spans="1:14" x14ac:dyDescent="0.3">
      <c r="A3203" s="2">
        <f>DATE(VALUE(RIGHT(TRIM([1]Raw_Data!A3201),4)),VALUE(MID(TRIM([1]Raw_Data!A3201),4,2)),VALUE(LEFT(TRIM([1]Raw_Data!A3201),2)))</f>
        <v>45229</v>
      </c>
      <c r="B3203" s="3" t="str">
        <f>TRIM([1]Raw_Data!B3201)</f>
        <v>Electrolyte Powder</v>
      </c>
      <c r="C3203" s="3" t="str">
        <f>TRIM([1]Raw_Data!C3201)</f>
        <v>Hydration</v>
      </c>
      <c r="D3203" s="3">
        <f>[1]Raw_Data!D3201</f>
        <v>159</v>
      </c>
      <c r="E3203" s="4">
        <f>[1]Raw_Data!E3201</f>
        <v>42.54</v>
      </c>
      <c r="F3203" s="5">
        <f>[1]Raw_Data!F3201</f>
        <v>6763.86</v>
      </c>
      <c r="G3203" s="4">
        <f>[1]Raw_Data!G3201</f>
        <v>0.04</v>
      </c>
      <c r="H3203" s="3">
        <f>[1]Raw_Data!H3201</f>
        <v>4</v>
      </c>
      <c r="I3203" s="3" t="str">
        <f>TRIM([1]Raw_Data!I3201)</f>
        <v>USA</v>
      </c>
      <c r="J3203" s="3" t="str">
        <f>TRIM([1]Raw_Data!J3201)</f>
        <v>iHerb</v>
      </c>
      <c r="K3203" s="3">
        <f t="shared" si="196"/>
        <v>2023</v>
      </c>
      <c r="L3203" s="6">
        <f t="shared" si="197"/>
        <v>45200</v>
      </c>
      <c r="M3203" s="3" t="str">
        <f t="shared" si="198"/>
        <v>0% to 5%</v>
      </c>
      <c r="N3203" s="3" t="str">
        <f t="shared" si="199"/>
        <v>OK</v>
      </c>
    </row>
    <row r="3204" spans="1:14" x14ac:dyDescent="0.3">
      <c r="A3204" s="2">
        <f>DATE(VALUE(RIGHT(TRIM([1]Raw_Data!A3202),4)),VALUE(MID(TRIM([1]Raw_Data!A3202),4,2)),VALUE(LEFT(TRIM([1]Raw_Data!A3202),2)))</f>
        <v>45236</v>
      </c>
      <c r="B3204" s="3" t="str">
        <f>TRIM([1]Raw_Data!B3202)</f>
        <v>Whey Protein</v>
      </c>
      <c r="C3204" s="3" t="str">
        <f>TRIM([1]Raw_Data!C3202)</f>
        <v>Protein</v>
      </c>
      <c r="D3204" s="3">
        <f>[1]Raw_Data!D3202</f>
        <v>153</v>
      </c>
      <c r="E3204" s="4">
        <f>[1]Raw_Data!E3202</f>
        <v>46.82</v>
      </c>
      <c r="F3204" s="5">
        <f>[1]Raw_Data!F3202</f>
        <v>7163.46</v>
      </c>
      <c r="G3204" s="4">
        <f>[1]Raw_Data!G3202</f>
        <v>0.24</v>
      </c>
      <c r="H3204" s="3">
        <f>[1]Raw_Data!H3202</f>
        <v>0</v>
      </c>
      <c r="I3204" s="3" t="str">
        <f>TRIM([1]Raw_Data!I3202)</f>
        <v>USA</v>
      </c>
      <c r="J3204" s="3" t="str">
        <f>TRIM([1]Raw_Data!J3202)</f>
        <v>Amazon</v>
      </c>
      <c r="K3204" s="3">
        <f t="shared" ref="K3204:K3267" si="200">YEAR(A3204)</f>
        <v>2023</v>
      </c>
      <c r="L3204" s="6">
        <f t="shared" ref="L3204:L3267" si="201">DATE(YEAR(A3204),MONTH(A3204),1)</f>
        <v>45231</v>
      </c>
      <c r="M3204" s="3" t="str">
        <f t="shared" ref="M3204:M3267" si="202">IF(ROUND(G3204*100,0)&lt;=5,"0% to 5%",IF(ROUND(G3204*100,0)&lt;=10,"6% to 10%",IF(ROUND(G3204*100,0)&lt;=15,"11% to 15%",IF(ROUND(G3204*100,0)&lt;=20,"16% to 20%","21% to 25%"))))</f>
        <v>21% to 25%</v>
      </c>
      <c r="N3204" s="3" t="str">
        <f t="shared" ref="N3204:N3267" si="203">IF(ROUND(D3204*E3204,2)=ROUND(F3204,2),"OK","Check")</f>
        <v>OK</v>
      </c>
    </row>
    <row r="3205" spans="1:14" x14ac:dyDescent="0.3">
      <c r="A3205" s="2">
        <f>DATE(VALUE(RIGHT(TRIM([1]Raw_Data!A3203),4)),VALUE(MID(TRIM([1]Raw_Data!A3203),4,2)),VALUE(LEFT(TRIM([1]Raw_Data!A3203),2)))</f>
        <v>45236</v>
      </c>
      <c r="B3205" s="3" t="str">
        <f>TRIM([1]Raw_Data!B3203)</f>
        <v>Vitamin C</v>
      </c>
      <c r="C3205" s="3" t="str">
        <f>TRIM([1]Raw_Data!C3203)</f>
        <v>Vitamin</v>
      </c>
      <c r="D3205" s="3">
        <f>[1]Raw_Data!D3203</f>
        <v>153</v>
      </c>
      <c r="E3205" s="4">
        <f>[1]Raw_Data!E3203</f>
        <v>54.5</v>
      </c>
      <c r="F3205" s="5">
        <f>[1]Raw_Data!F3203</f>
        <v>8338.5</v>
      </c>
      <c r="G3205" s="4">
        <f>[1]Raw_Data!G3203</f>
        <v>0.22</v>
      </c>
      <c r="H3205" s="3">
        <f>[1]Raw_Data!H3203</f>
        <v>4</v>
      </c>
      <c r="I3205" s="3" t="str">
        <f>TRIM([1]Raw_Data!I3203)</f>
        <v>Canada</v>
      </c>
      <c r="J3205" s="3" t="str">
        <f>TRIM([1]Raw_Data!J3203)</f>
        <v>Walmart</v>
      </c>
      <c r="K3205" s="3">
        <f t="shared" si="200"/>
        <v>2023</v>
      </c>
      <c r="L3205" s="6">
        <f t="shared" si="201"/>
        <v>45231</v>
      </c>
      <c r="M3205" s="3" t="str">
        <f t="shared" si="202"/>
        <v>21% to 25%</v>
      </c>
      <c r="N3205" s="3" t="str">
        <f t="shared" si="203"/>
        <v>OK</v>
      </c>
    </row>
    <row r="3206" spans="1:14" x14ac:dyDescent="0.3">
      <c r="A3206" s="2">
        <f>DATE(VALUE(RIGHT(TRIM([1]Raw_Data!A3204),4)),VALUE(MID(TRIM([1]Raw_Data!A3204),4,2)),VALUE(LEFT(TRIM([1]Raw_Data!A3204),2)))</f>
        <v>45236</v>
      </c>
      <c r="B3206" s="3" t="str">
        <f>TRIM([1]Raw_Data!B3204)</f>
        <v>Fish Oil</v>
      </c>
      <c r="C3206" s="3" t="str">
        <f>TRIM([1]Raw_Data!C3204)</f>
        <v>Omega</v>
      </c>
      <c r="D3206" s="3">
        <f>[1]Raw_Data!D3204</f>
        <v>150</v>
      </c>
      <c r="E3206" s="4">
        <f>[1]Raw_Data!E3204</f>
        <v>31.36</v>
      </c>
      <c r="F3206" s="5">
        <f>[1]Raw_Data!F3204</f>
        <v>4704</v>
      </c>
      <c r="G3206" s="4">
        <f>[1]Raw_Data!G3204</f>
        <v>0.11</v>
      </c>
      <c r="H3206" s="3">
        <f>[1]Raw_Data!H3204</f>
        <v>1</v>
      </c>
      <c r="I3206" s="3" t="str">
        <f>TRIM([1]Raw_Data!I3204)</f>
        <v>Canada</v>
      </c>
      <c r="J3206" s="3" t="str">
        <f>TRIM([1]Raw_Data!J3204)</f>
        <v>Amazon</v>
      </c>
      <c r="K3206" s="3">
        <f t="shared" si="200"/>
        <v>2023</v>
      </c>
      <c r="L3206" s="6">
        <f t="shared" si="201"/>
        <v>45231</v>
      </c>
      <c r="M3206" s="3" t="str">
        <f t="shared" si="202"/>
        <v>11% to 15%</v>
      </c>
      <c r="N3206" s="3" t="str">
        <f t="shared" si="203"/>
        <v>OK</v>
      </c>
    </row>
    <row r="3207" spans="1:14" x14ac:dyDescent="0.3">
      <c r="A3207" s="2">
        <f>DATE(VALUE(RIGHT(TRIM([1]Raw_Data!A3205),4)),VALUE(MID(TRIM([1]Raw_Data!A3205),4,2)),VALUE(LEFT(TRIM([1]Raw_Data!A3205),2)))</f>
        <v>45236</v>
      </c>
      <c r="B3207" s="3" t="str">
        <f>TRIM([1]Raw_Data!B3205)</f>
        <v>Multivitamin</v>
      </c>
      <c r="C3207" s="3" t="str">
        <f>TRIM([1]Raw_Data!C3205)</f>
        <v>Vitamin</v>
      </c>
      <c r="D3207" s="3">
        <f>[1]Raw_Data!D3205</f>
        <v>141</v>
      </c>
      <c r="E3207" s="4">
        <f>[1]Raw_Data!E3205</f>
        <v>50.78</v>
      </c>
      <c r="F3207" s="5">
        <f>[1]Raw_Data!F3205</f>
        <v>7159.98</v>
      </c>
      <c r="G3207" s="4">
        <f>[1]Raw_Data!G3205</f>
        <v>0.16</v>
      </c>
      <c r="H3207" s="3">
        <f>[1]Raw_Data!H3205</f>
        <v>4</v>
      </c>
      <c r="I3207" s="3" t="str">
        <f>TRIM([1]Raw_Data!I3205)</f>
        <v>UK</v>
      </c>
      <c r="J3207" s="3" t="str">
        <f>TRIM([1]Raw_Data!J3205)</f>
        <v>Walmart</v>
      </c>
      <c r="K3207" s="3">
        <f t="shared" si="200"/>
        <v>2023</v>
      </c>
      <c r="L3207" s="6">
        <f t="shared" si="201"/>
        <v>45231</v>
      </c>
      <c r="M3207" s="3" t="str">
        <f t="shared" si="202"/>
        <v>16% to 20%</v>
      </c>
      <c r="N3207" s="3" t="str">
        <f t="shared" si="203"/>
        <v>OK</v>
      </c>
    </row>
    <row r="3208" spans="1:14" x14ac:dyDescent="0.3">
      <c r="A3208" s="2">
        <f>DATE(VALUE(RIGHT(TRIM([1]Raw_Data!A3206),4)),VALUE(MID(TRIM([1]Raw_Data!A3206),4,2)),VALUE(LEFT(TRIM([1]Raw_Data!A3206),2)))</f>
        <v>45236</v>
      </c>
      <c r="B3208" s="3" t="str">
        <f>TRIM([1]Raw_Data!B3206)</f>
        <v>Pre-Workout</v>
      </c>
      <c r="C3208" s="3" t="str">
        <f>TRIM([1]Raw_Data!C3206)</f>
        <v>Performance</v>
      </c>
      <c r="D3208" s="3">
        <f>[1]Raw_Data!D3206</f>
        <v>141</v>
      </c>
      <c r="E3208" s="4">
        <f>[1]Raw_Data!E3206</f>
        <v>34.619999999999997</v>
      </c>
      <c r="F3208" s="5">
        <f>[1]Raw_Data!F3206</f>
        <v>4881.42</v>
      </c>
      <c r="G3208" s="4">
        <f>[1]Raw_Data!G3206</f>
        <v>0.02</v>
      </c>
      <c r="H3208" s="3">
        <f>[1]Raw_Data!H3206</f>
        <v>1</v>
      </c>
      <c r="I3208" s="3" t="str">
        <f>TRIM([1]Raw_Data!I3206)</f>
        <v>Canada</v>
      </c>
      <c r="J3208" s="3" t="str">
        <f>TRIM([1]Raw_Data!J3206)</f>
        <v>Walmart</v>
      </c>
      <c r="K3208" s="3">
        <f t="shared" si="200"/>
        <v>2023</v>
      </c>
      <c r="L3208" s="6">
        <f t="shared" si="201"/>
        <v>45231</v>
      </c>
      <c r="M3208" s="3" t="str">
        <f t="shared" si="202"/>
        <v>0% to 5%</v>
      </c>
      <c r="N3208" s="3" t="str">
        <f t="shared" si="203"/>
        <v>OK</v>
      </c>
    </row>
    <row r="3209" spans="1:14" x14ac:dyDescent="0.3">
      <c r="A3209" s="2">
        <f>DATE(VALUE(RIGHT(TRIM([1]Raw_Data!A3207),4)),VALUE(MID(TRIM([1]Raw_Data!A3207),4,2)),VALUE(LEFT(TRIM([1]Raw_Data!A3207),2)))</f>
        <v>45236</v>
      </c>
      <c r="B3209" s="3" t="str">
        <f>TRIM([1]Raw_Data!B3207)</f>
        <v>BCAA</v>
      </c>
      <c r="C3209" s="3" t="str">
        <f>TRIM([1]Raw_Data!C3207)</f>
        <v>Amino Acid</v>
      </c>
      <c r="D3209" s="3">
        <f>[1]Raw_Data!D3207</f>
        <v>134</v>
      </c>
      <c r="E3209" s="4">
        <f>[1]Raw_Data!E3207</f>
        <v>15.31</v>
      </c>
      <c r="F3209" s="5">
        <f>[1]Raw_Data!F3207</f>
        <v>2051.54</v>
      </c>
      <c r="G3209" s="4">
        <f>[1]Raw_Data!G3207</f>
        <v>0.24</v>
      </c>
      <c r="H3209" s="3">
        <f>[1]Raw_Data!H3207</f>
        <v>1</v>
      </c>
      <c r="I3209" s="3" t="str">
        <f>TRIM([1]Raw_Data!I3207)</f>
        <v>Canada</v>
      </c>
      <c r="J3209" s="3" t="str">
        <f>TRIM([1]Raw_Data!J3207)</f>
        <v>iHerb</v>
      </c>
      <c r="K3209" s="3">
        <f t="shared" si="200"/>
        <v>2023</v>
      </c>
      <c r="L3209" s="6">
        <f t="shared" si="201"/>
        <v>45231</v>
      </c>
      <c r="M3209" s="3" t="str">
        <f t="shared" si="202"/>
        <v>21% to 25%</v>
      </c>
      <c r="N3209" s="3" t="str">
        <f t="shared" si="203"/>
        <v>OK</v>
      </c>
    </row>
    <row r="3210" spans="1:14" x14ac:dyDescent="0.3">
      <c r="A3210" s="2">
        <f>DATE(VALUE(RIGHT(TRIM([1]Raw_Data!A3208),4)),VALUE(MID(TRIM([1]Raw_Data!A3208),4,2)),VALUE(LEFT(TRIM([1]Raw_Data!A3208),2)))</f>
        <v>45236</v>
      </c>
      <c r="B3210" s="3" t="str">
        <f>TRIM([1]Raw_Data!B3208)</f>
        <v>Creatine</v>
      </c>
      <c r="C3210" s="3" t="str">
        <f>TRIM([1]Raw_Data!C3208)</f>
        <v>Performance</v>
      </c>
      <c r="D3210" s="3">
        <f>[1]Raw_Data!D3208</f>
        <v>148</v>
      </c>
      <c r="E3210" s="4">
        <f>[1]Raw_Data!E3208</f>
        <v>43.87</v>
      </c>
      <c r="F3210" s="5">
        <f>[1]Raw_Data!F3208</f>
        <v>6492.76</v>
      </c>
      <c r="G3210" s="4">
        <f>[1]Raw_Data!G3208</f>
        <v>0.15</v>
      </c>
      <c r="H3210" s="3">
        <f>[1]Raw_Data!H3208</f>
        <v>2</v>
      </c>
      <c r="I3210" s="3" t="str">
        <f>TRIM([1]Raw_Data!I3208)</f>
        <v>Canada</v>
      </c>
      <c r="J3210" s="3" t="str">
        <f>TRIM([1]Raw_Data!J3208)</f>
        <v>Amazon</v>
      </c>
      <c r="K3210" s="3">
        <f t="shared" si="200"/>
        <v>2023</v>
      </c>
      <c r="L3210" s="6">
        <f t="shared" si="201"/>
        <v>45231</v>
      </c>
      <c r="M3210" s="3" t="str">
        <f t="shared" si="202"/>
        <v>11% to 15%</v>
      </c>
      <c r="N3210" s="3" t="str">
        <f t="shared" si="203"/>
        <v>OK</v>
      </c>
    </row>
    <row r="3211" spans="1:14" x14ac:dyDescent="0.3">
      <c r="A3211" s="2">
        <f>DATE(VALUE(RIGHT(TRIM([1]Raw_Data!A3209),4)),VALUE(MID(TRIM([1]Raw_Data!A3209),4,2)),VALUE(LEFT(TRIM([1]Raw_Data!A3209),2)))</f>
        <v>45236</v>
      </c>
      <c r="B3211" s="3" t="str">
        <f>TRIM([1]Raw_Data!B3209)</f>
        <v>Zinc</v>
      </c>
      <c r="C3211" s="3" t="str">
        <f>TRIM([1]Raw_Data!C3209)</f>
        <v>Mineral</v>
      </c>
      <c r="D3211" s="3">
        <f>[1]Raw_Data!D3209</f>
        <v>163</v>
      </c>
      <c r="E3211" s="4">
        <f>[1]Raw_Data!E3209</f>
        <v>42.13</v>
      </c>
      <c r="F3211" s="5">
        <f>[1]Raw_Data!F3209</f>
        <v>6867.19</v>
      </c>
      <c r="G3211" s="4">
        <f>[1]Raw_Data!G3209</f>
        <v>0.22</v>
      </c>
      <c r="H3211" s="3">
        <f>[1]Raw_Data!H3209</f>
        <v>2</v>
      </c>
      <c r="I3211" s="3" t="str">
        <f>TRIM([1]Raw_Data!I3209)</f>
        <v>Canada</v>
      </c>
      <c r="J3211" s="3" t="str">
        <f>TRIM([1]Raw_Data!J3209)</f>
        <v>iHerb</v>
      </c>
      <c r="K3211" s="3">
        <f t="shared" si="200"/>
        <v>2023</v>
      </c>
      <c r="L3211" s="6">
        <f t="shared" si="201"/>
        <v>45231</v>
      </c>
      <c r="M3211" s="3" t="str">
        <f t="shared" si="202"/>
        <v>21% to 25%</v>
      </c>
      <c r="N3211" s="3" t="str">
        <f t="shared" si="203"/>
        <v>OK</v>
      </c>
    </row>
    <row r="3212" spans="1:14" x14ac:dyDescent="0.3">
      <c r="A3212" s="2">
        <f>DATE(VALUE(RIGHT(TRIM([1]Raw_Data!A3210),4)),VALUE(MID(TRIM([1]Raw_Data!A3210),4,2)),VALUE(LEFT(TRIM([1]Raw_Data!A3210),2)))</f>
        <v>45236</v>
      </c>
      <c r="B3212" s="3" t="str">
        <f>TRIM([1]Raw_Data!B3210)</f>
        <v>Collagen Peptides</v>
      </c>
      <c r="C3212" s="3" t="str">
        <f>TRIM([1]Raw_Data!C3210)</f>
        <v>Protein</v>
      </c>
      <c r="D3212" s="3">
        <f>[1]Raw_Data!D3210</f>
        <v>142</v>
      </c>
      <c r="E3212" s="4">
        <f>[1]Raw_Data!E3210</f>
        <v>37.07</v>
      </c>
      <c r="F3212" s="5">
        <f>[1]Raw_Data!F3210</f>
        <v>5263.94</v>
      </c>
      <c r="G3212" s="4">
        <f>[1]Raw_Data!G3210</f>
        <v>0.23</v>
      </c>
      <c r="H3212" s="3">
        <f>[1]Raw_Data!H3210</f>
        <v>0</v>
      </c>
      <c r="I3212" s="3" t="str">
        <f>TRIM([1]Raw_Data!I3210)</f>
        <v>Canada</v>
      </c>
      <c r="J3212" s="3" t="str">
        <f>TRIM([1]Raw_Data!J3210)</f>
        <v>Walmart</v>
      </c>
      <c r="K3212" s="3">
        <f t="shared" si="200"/>
        <v>2023</v>
      </c>
      <c r="L3212" s="6">
        <f t="shared" si="201"/>
        <v>45231</v>
      </c>
      <c r="M3212" s="3" t="str">
        <f t="shared" si="202"/>
        <v>21% to 25%</v>
      </c>
      <c r="N3212" s="3" t="str">
        <f t="shared" si="203"/>
        <v>OK</v>
      </c>
    </row>
    <row r="3213" spans="1:14" x14ac:dyDescent="0.3">
      <c r="A3213" s="2">
        <f>DATE(VALUE(RIGHT(TRIM([1]Raw_Data!A3211),4)),VALUE(MID(TRIM([1]Raw_Data!A3211),4,2)),VALUE(LEFT(TRIM([1]Raw_Data!A3211),2)))</f>
        <v>45236</v>
      </c>
      <c r="B3213" s="3" t="str">
        <f>TRIM([1]Raw_Data!B3211)</f>
        <v>Magnesium</v>
      </c>
      <c r="C3213" s="3" t="str">
        <f>TRIM([1]Raw_Data!C3211)</f>
        <v>Mineral</v>
      </c>
      <c r="D3213" s="3">
        <f>[1]Raw_Data!D3211</f>
        <v>146</v>
      </c>
      <c r="E3213" s="4">
        <f>[1]Raw_Data!E3211</f>
        <v>22.48</v>
      </c>
      <c r="F3213" s="5">
        <f>[1]Raw_Data!F3211</f>
        <v>3282.08</v>
      </c>
      <c r="G3213" s="4">
        <f>[1]Raw_Data!G3211</f>
        <v>0.24</v>
      </c>
      <c r="H3213" s="3">
        <f>[1]Raw_Data!H3211</f>
        <v>4</v>
      </c>
      <c r="I3213" s="3" t="str">
        <f>TRIM([1]Raw_Data!I3211)</f>
        <v>UK</v>
      </c>
      <c r="J3213" s="3" t="str">
        <f>TRIM([1]Raw_Data!J3211)</f>
        <v>iHerb</v>
      </c>
      <c r="K3213" s="3">
        <f t="shared" si="200"/>
        <v>2023</v>
      </c>
      <c r="L3213" s="6">
        <f t="shared" si="201"/>
        <v>45231</v>
      </c>
      <c r="M3213" s="3" t="str">
        <f t="shared" si="202"/>
        <v>21% to 25%</v>
      </c>
      <c r="N3213" s="3" t="str">
        <f t="shared" si="203"/>
        <v>OK</v>
      </c>
    </row>
    <row r="3214" spans="1:14" x14ac:dyDescent="0.3">
      <c r="A3214" s="2">
        <f>DATE(VALUE(RIGHT(TRIM([1]Raw_Data!A3212),4)),VALUE(MID(TRIM([1]Raw_Data!A3212),4,2)),VALUE(LEFT(TRIM([1]Raw_Data!A3212),2)))</f>
        <v>45236</v>
      </c>
      <c r="B3214" s="3" t="str">
        <f>TRIM([1]Raw_Data!B3212)</f>
        <v>Ashwagandha</v>
      </c>
      <c r="C3214" s="3" t="str">
        <f>TRIM([1]Raw_Data!C3212)</f>
        <v>Herbal</v>
      </c>
      <c r="D3214" s="3">
        <f>[1]Raw_Data!D3212</f>
        <v>167</v>
      </c>
      <c r="E3214" s="4">
        <f>[1]Raw_Data!E3212</f>
        <v>42.35</v>
      </c>
      <c r="F3214" s="5">
        <f>[1]Raw_Data!F3212</f>
        <v>7072.45</v>
      </c>
      <c r="G3214" s="4">
        <f>[1]Raw_Data!G3212</f>
        <v>0.22</v>
      </c>
      <c r="H3214" s="3">
        <f>[1]Raw_Data!H3212</f>
        <v>3</v>
      </c>
      <c r="I3214" s="3" t="str">
        <f>TRIM([1]Raw_Data!I3212)</f>
        <v>USA</v>
      </c>
      <c r="J3214" s="3" t="str">
        <f>TRIM([1]Raw_Data!J3212)</f>
        <v>Amazon</v>
      </c>
      <c r="K3214" s="3">
        <f t="shared" si="200"/>
        <v>2023</v>
      </c>
      <c r="L3214" s="6">
        <f t="shared" si="201"/>
        <v>45231</v>
      </c>
      <c r="M3214" s="3" t="str">
        <f t="shared" si="202"/>
        <v>21% to 25%</v>
      </c>
      <c r="N3214" s="3" t="str">
        <f t="shared" si="203"/>
        <v>OK</v>
      </c>
    </row>
    <row r="3215" spans="1:14" x14ac:dyDescent="0.3">
      <c r="A3215" s="2">
        <f>DATE(VALUE(RIGHT(TRIM([1]Raw_Data!A3213),4)),VALUE(MID(TRIM([1]Raw_Data!A3213),4,2)),VALUE(LEFT(TRIM([1]Raw_Data!A3213),2)))</f>
        <v>45236</v>
      </c>
      <c r="B3215" s="3" t="str">
        <f>TRIM([1]Raw_Data!B3213)</f>
        <v>Melatonin</v>
      </c>
      <c r="C3215" s="3" t="str">
        <f>TRIM([1]Raw_Data!C3213)</f>
        <v>Sleep Aid</v>
      </c>
      <c r="D3215" s="3">
        <f>[1]Raw_Data!D3213</f>
        <v>124</v>
      </c>
      <c r="E3215" s="4">
        <f>[1]Raw_Data!E3213</f>
        <v>32.57</v>
      </c>
      <c r="F3215" s="5">
        <f>[1]Raw_Data!F3213</f>
        <v>4038.68</v>
      </c>
      <c r="G3215" s="4">
        <f>[1]Raw_Data!G3213</f>
        <v>0.1</v>
      </c>
      <c r="H3215" s="3">
        <f>[1]Raw_Data!H3213</f>
        <v>2</v>
      </c>
      <c r="I3215" s="3" t="str">
        <f>TRIM([1]Raw_Data!I3213)</f>
        <v>Canada</v>
      </c>
      <c r="J3215" s="3" t="str">
        <f>TRIM([1]Raw_Data!J3213)</f>
        <v>Amazon</v>
      </c>
      <c r="K3215" s="3">
        <f t="shared" si="200"/>
        <v>2023</v>
      </c>
      <c r="L3215" s="6">
        <f t="shared" si="201"/>
        <v>45231</v>
      </c>
      <c r="M3215" s="3" t="str">
        <f t="shared" si="202"/>
        <v>6% to 10%</v>
      </c>
      <c r="N3215" s="3" t="str">
        <f t="shared" si="203"/>
        <v>OK</v>
      </c>
    </row>
    <row r="3216" spans="1:14" x14ac:dyDescent="0.3">
      <c r="A3216" s="2">
        <f>DATE(VALUE(RIGHT(TRIM([1]Raw_Data!A3214),4)),VALUE(MID(TRIM([1]Raw_Data!A3214),4,2)),VALUE(LEFT(TRIM([1]Raw_Data!A3214),2)))</f>
        <v>45236</v>
      </c>
      <c r="B3216" s="3" t="str">
        <f>TRIM([1]Raw_Data!B3214)</f>
        <v>Biotin</v>
      </c>
      <c r="C3216" s="3" t="str">
        <f>TRIM([1]Raw_Data!C3214)</f>
        <v>Vitamin</v>
      </c>
      <c r="D3216" s="3">
        <f>[1]Raw_Data!D3214</f>
        <v>143</v>
      </c>
      <c r="E3216" s="4">
        <f>[1]Raw_Data!E3214</f>
        <v>23.74</v>
      </c>
      <c r="F3216" s="5">
        <f>[1]Raw_Data!F3214</f>
        <v>3394.82</v>
      </c>
      <c r="G3216" s="4">
        <f>[1]Raw_Data!G3214</f>
        <v>0.14000000000000001</v>
      </c>
      <c r="H3216" s="3">
        <f>[1]Raw_Data!H3214</f>
        <v>0</v>
      </c>
      <c r="I3216" s="3" t="str">
        <f>TRIM([1]Raw_Data!I3214)</f>
        <v>Canada</v>
      </c>
      <c r="J3216" s="3" t="str">
        <f>TRIM([1]Raw_Data!J3214)</f>
        <v>Amazon</v>
      </c>
      <c r="K3216" s="3">
        <f t="shared" si="200"/>
        <v>2023</v>
      </c>
      <c r="L3216" s="6">
        <f t="shared" si="201"/>
        <v>45231</v>
      </c>
      <c r="M3216" s="3" t="str">
        <f t="shared" si="202"/>
        <v>11% to 15%</v>
      </c>
      <c r="N3216" s="3" t="str">
        <f t="shared" si="203"/>
        <v>OK</v>
      </c>
    </row>
    <row r="3217" spans="1:14" x14ac:dyDescent="0.3">
      <c r="A3217" s="2">
        <f>DATE(VALUE(RIGHT(TRIM([1]Raw_Data!A3215),4)),VALUE(MID(TRIM([1]Raw_Data!A3215),4,2)),VALUE(LEFT(TRIM([1]Raw_Data!A3215),2)))</f>
        <v>45236</v>
      </c>
      <c r="B3217" s="3" t="str">
        <f>TRIM([1]Raw_Data!B3215)</f>
        <v>Green Tea Extract</v>
      </c>
      <c r="C3217" s="3" t="str">
        <f>TRIM([1]Raw_Data!C3215)</f>
        <v>Fat Burner</v>
      </c>
      <c r="D3217" s="3">
        <f>[1]Raw_Data!D3215</f>
        <v>135</v>
      </c>
      <c r="E3217" s="4">
        <f>[1]Raw_Data!E3215</f>
        <v>19.329999999999998</v>
      </c>
      <c r="F3217" s="5">
        <f>[1]Raw_Data!F3215</f>
        <v>2609.5500000000002</v>
      </c>
      <c r="G3217" s="4">
        <f>[1]Raw_Data!G3215</f>
        <v>0.06</v>
      </c>
      <c r="H3217" s="3">
        <f>[1]Raw_Data!H3215</f>
        <v>2</v>
      </c>
      <c r="I3217" s="3" t="str">
        <f>TRIM([1]Raw_Data!I3215)</f>
        <v>Canada</v>
      </c>
      <c r="J3217" s="3" t="str">
        <f>TRIM([1]Raw_Data!J3215)</f>
        <v>Amazon</v>
      </c>
      <c r="K3217" s="3">
        <f t="shared" si="200"/>
        <v>2023</v>
      </c>
      <c r="L3217" s="6">
        <f t="shared" si="201"/>
        <v>45231</v>
      </c>
      <c r="M3217" s="3" t="str">
        <f t="shared" si="202"/>
        <v>6% to 10%</v>
      </c>
      <c r="N3217" s="3" t="str">
        <f t="shared" si="203"/>
        <v>OK</v>
      </c>
    </row>
    <row r="3218" spans="1:14" x14ac:dyDescent="0.3">
      <c r="A3218" s="2">
        <f>DATE(VALUE(RIGHT(TRIM([1]Raw_Data!A3216),4)),VALUE(MID(TRIM([1]Raw_Data!A3216),4,2)),VALUE(LEFT(TRIM([1]Raw_Data!A3216),2)))</f>
        <v>45236</v>
      </c>
      <c r="B3218" s="3" t="str">
        <f>TRIM([1]Raw_Data!B3216)</f>
        <v>Iron Supplement</v>
      </c>
      <c r="C3218" s="3" t="str">
        <f>TRIM([1]Raw_Data!C3216)</f>
        <v>Mineral</v>
      </c>
      <c r="D3218" s="3">
        <f>[1]Raw_Data!D3216</f>
        <v>131</v>
      </c>
      <c r="E3218" s="4">
        <f>[1]Raw_Data!E3216</f>
        <v>11.15</v>
      </c>
      <c r="F3218" s="5">
        <f>[1]Raw_Data!F3216</f>
        <v>1460.65</v>
      </c>
      <c r="G3218" s="4">
        <f>[1]Raw_Data!G3216</f>
        <v>0.09</v>
      </c>
      <c r="H3218" s="3">
        <f>[1]Raw_Data!H3216</f>
        <v>2</v>
      </c>
      <c r="I3218" s="3" t="str">
        <f>TRIM([1]Raw_Data!I3216)</f>
        <v>USA</v>
      </c>
      <c r="J3218" s="3" t="str">
        <f>TRIM([1]Raw_Data!J3216)</f>
        <v>iHerb</v>
      </c>
      <c r="K3218" s="3">
        <f t="shared" si="200"/>
        <v>2023</v>
      </c>
      <c r="L3218" s="6">
        <f t="shared" si="201"/>
        <v>45231</v>
      </c>
      <c r="M3218" s="3" t="str">
        <f t="shared" si="202"/>
        <v>6% to 10%</v>
      </c>
      <c r="N3218" s="3" t="str">
        <f t="shared" si="203"/>
        <v>OK</v>
      </c>
    </row>
    <row r="3219" spans="1:14" x14ac:dyDescent="0.3">
      <c r="A3219" s="2">
        <f>DATE(VALUE(RIGHT(TRIM([1]Raw_Data!A3217),4)),VALUE(MID(TRIM([1]Raw_Data!A3217),4,2)),VALUE(LEFT(TRIM([1]Raw_Data!A3217),2)))</f>
        <v>45236</v>
      </c>
      <c r="B3219" s="3" t="str">
        <f>TRIM([1]Raw_Data!B3217)</f>
        <v>Electrolyte Powder</v>
      </c>
      <c r="C3219" s="3" t="str">
        <f>TRIM([1]Raw_Data!C3217)</f>
        <v>Hydration</v>
      </c>
      <c r="D3219" s="3">
        <f>[1]Raw_Data!D3217</f>
        <v>130</v>
      </c>
      <c r="E3219" s="4">
        <f>[1]Raw_Data!E3217</f>
        <v>55.47</v>
      </c>
      <c r="F3219" s="5">
        <f>[1]Raw_Data!F3217</f>
        <v>7211.1</v>
      </c>
      <c r="G3219" s="4">
        <f>[1]Raw_Data!G3217</f>
        <v>0.03</v>
      </c>
      <c r="H3219" s="3">
        <f>[1]Raw_Data!H3217</f>
        <v>5</v>
      </c>
      <c r="I3219" s="3" t="str">
        <f>TRIM([1]Raw_Data!I3217)</f>
        <v>Canada</v>
      </c>
      <c r="J3219" s="3" t="str">
        <f>TRIM([1]Raw_Data!J3217)</f>
        <v>Amazon</v>
      </c>
      <c r="K3219" s="3">
        <f t="shared" si="200"/>
        <v>2023</v>
      </c>
      <c r="L3219" s="6">
        <f t="shared" si="201"/>
        <v>45231</v>
      </c>
      <c r="M3219" s="3" t="str">
        <f t="shared" si="202"/>
        <v>0% to 5%</v>
      </c>
      <c r="N3219" s="3" t="str">
        <f t="shared" si="203"/>
        <v>OK</v>
      </c>
    </row>
    <row r="3220" spans="1:14" x14ac:dyDescent="0.3">
      <c r="A3220" s="2">
        <f>DATE(VALUE(RIGHT(TRIM([1]Raw_Data!A3218),4)),VALUE(MID(TRIM([1]Raw_Data!A3218),4,2)),VALUE(LEFT(TRIM([1]Raw_Data!A3218),2)))</f>
        <v>45243</v>
      </c>
      <c r="B3220" s="3" t="str">
        <f>TRIM([1]Raw_Data!B3218)</f>
        <v>Whey Protein</v>
      </c>
      <c r="C3220" s="3" t="str">
        <f>TRIM([1]Raw_Data!C3218)</f>
        <v>Protein</v>
      </c>
      <c r="D3220" s="3">
        <f>[1]Raw_Data!D3218</f>
        <v>142</v>
      </c>
      <c r="E3220" s="4">
        <f>[1]Raw_Data!E3218</f>
        <v>10.25</v>
      </c>
      <c r="F3220" s="5">
        <f>[1]Raw_Data!F3218</f>
        <v>1455.5</v>
      </c>
      <c r="G3220" s="4">
        <f>[1]Raw_Data!G3218</f>
        <v>0.1</v>
      </c>
      <c r="H3220" s="3">
        <f>[1]Raw_Data!H3218</f>
        <v>2</v>
      </c>
      <c r="I3220" s="3" t="str">
        <f>TRIM([1]Raw_Data!I3218)</f>
        <v>Canada</v>
      </c>
      <c r="J3220" s="3" t="str">
        <f>TRIM([1]Raw_Data!J3218)</f>
        <v>Amazon</v>
      </c>
      <c r="K3220" s="3">
        <f t="shared" si="200"/>
        <v>2023</v>
      </c>
      <c r="L3220" s="6">
        <f t="shared" si="201"/>
        <v>45231</v>
      </c>
      <c r="M3220" s="3" t="str">
        <f t="shared" si="202"/>
        <v>6% to 10%</v>
      </c>
      <c r="N3220" s="3" t="str">
        <f t="shared" si="203"/>
        <v>OK</v>
      </c>
    </row>
    <row r="3221" spans="1:14" x14ac:dyDescent="0.3">
      <c r="A3221" s="2">
        <f>DATE(VALUE(RIGHT(TRIM([1]Raw_Data!A3219),4)),VALUE(MID(TRIM([1]Raw_Data!A3219),4,2)),VALUE(LEFT(TRIM([1]Raw_Data!A3219),2)))</f>
        <v>45243</v>
      </c>
      <c r="B3221" s="3" t="str">
        <f>TRIM([1]Raw_Data!B3219)</f>
        <v>Vitamin C</v>
      </c>
      <c r="C3221" s="3" t="str">
        <f>TRIM([1]Raw_Data!C3219)</f>
        <v>Vitamin</v>
      </c>
      <c r="D3221" s="3">
        <f>[1]Raw_Data!D3219</f>
        <v>144</v>
      </c>
      <c r="E3221" s="4">
        <f>[1]Raw_Data!E3219</f>
        <v>45.83</v>
      </c>
      <c r="F3221" s="5">
        <f>[1]Raw_Data!F3219</f>
        <v>6599.52</v>
      </c>
      <c r="G3221" s="4">
        <f>[1]Raw_Data!G3219</f>
        <v>0.09</v>
      </c>
      <c r="H3221" s="3">
        <f>[1]Raw_Data!H3219</f>
        <v>2</v>
      </c>
      <c r="I3221" s="3" t="str">
        <f>TRIM([1]Raw_Data!I3219)</f>
        <v>USA</v>
      </c>
      <c r="J3221" s="3" t="str">
        <f>TRIM([1]Raw_Data!J3219)</f>
        <v>Walmart</v>
      </c>
      <c r="K3221" s="3">
        <f t="shared" si="200"/>
        <v>2023</v>
      </c>
      <c r="L3221" s="6">
        <f t="shared" si="201"/>
        <v>45231</v>
      </c>
      <c r="M3221" s="3" t="str">
        <f t="shared" si="202"/>
        <v>6% to 10%</v>
      </c>
      <c r="N3221" s="3" t="str">
        <f t="shared" si="203"/>
        <v>OK</v>
      </c>
    </row>
    <row r="3222" spans="1:14" x14ac:dyDescent="0.3">
      <c r="A3222" s="2">
        <f>DATE(VALUE(RIGHT(TRIM([1]Raw_Data!A3220),4)),VALUE(MID(TRIM([1]Raw_Data!A3220),4,2)),VALUE(LEFT(TRIM([1]Raw_Data!A3220),2)))</f>
        <v>45243</v>
      </c>
      <c r="B3222" s="3" t="str">
        <f>TRIM([1]Raw_Data!B3220)</f>
        <v>Fish Oil</v>
      </c>
      <c r="C3222" s="3" t="str">
        <f>TRIM([1]Raw_Data!C3220)</f>
        <v>Omega</v>
      </c>
      <c r="D3222" s="3">
        <f>[1]Raw_Data!D3220</f>
        <v>175</v>
      </c>
      <c r="E3222" s="4">
        <f>[1]Raw_Data!E3220</f>
        <v>25.31</v>
      </c>
      <c r="F3222" s="5">
        <f>[1]Raw_Data!F3220</f>
        <v>4429.25</v>
      </c>
      <c r="G3222" s="4">
        <f>[1]Raw_Data!G3220</f>
        <v>0.12</v>
      </c>
      <c r="H3222" s="3">
        <f>[1]Raw_Data!H3220</f>
        <v>2</v>
      </c>
      <c r="I3222" s="3" t="str">
        <f>TRIM([1]Raw_Data!I3220)</f>
        <v>Canada</v>
      </c>
      <c r="J3222" s="3" t="str">
        <f>TRIM([1]Raw_Data!J3220)</f>
        <v>Walmart</v>
      </c>
      <c r="K3222" s="3">
        <f t="shared" si="200"/>
        <v>2023</v>
      </c>
      <c r="L3222" s="6">
        <f t="shared" si="201"/>
        <v>45231</v>
      </c>
      <c r="M3222" s="3" t="str">
        <f t="shared" si="202"/>
        <v>11% to 15%</v>
      </c>
      <c r="N3222" s="3" t="str">
        <f t="shared" si="203"/>
        <v>OK</v>
      </c>
    </row>
    <row r="3223" spans="1:14" x14ac:dyDescent="0.3">
      <c r="A3223" s="2">
        <f>DATE(VALUE(RIGHT(TRIM([1]Raw_Data!A3221),4)),VALUE(MID(TRIM([1]Raw_Data!A3221),4,2)),VALUE(LEFT(TRIM([1]Raw_Data!A3221),2)))</f>
        <v>45243</v>
      </c>
      <c r="B3223" s="3" t="str">
        <f>TRIM([1]Raw_Data!B3221)</f>
        <v>Multivitamin</v>
      </c>
      <c r="C3223" s="3" t="str">
        <f>TRIM([1]Raw_Data!C3221)</f>
        <v>Vitamin</v>
      </c>
      <c r="D3223" s="3">
        <f>[1]Raw_Data!D3221</f>
        <v>151</v>
      </c>
      <c r="E3223" s="4">
        <f>[1]Raw_Data!E3221</f>
        <v>43.36</v>
      </c>
      <c r="F3223" s="5">
        <f>[1]Raw_Data!F3221</f>
        <v>6547.36</v>
      </c>
      <c r="G3223" s="4">
        <f>[1]Raw_Data!G3221</f>
        <v>0.16</v>
      </c>
      <c r="H3223" s="3">
        <f>[1]Raw_Data!H3221</f>
        <v>2</v>
      </c>
      <c r="I3223" s="3" t="str">
        <f>TRIM([1]Raw_Data!I3221)</f>
        <v>UK</v>
      </c>
      <c r="J3223" s="3" t="str">
        <f>TRIM([1]Raw_Data!J3221)</f>
        <v>Walmart</v>
      </c>
      <c r="K3223" s="3">
        <f t="shared" si="200"/>
        <v>2023</v>
      </c>
      <c r="L3223" s="6">
        <f t="shared" si="201"/>
        <v>45231</v>
      </c>
      <c r="M3223" s="3" t="str">
        <f t="shared" si="202"/>
        <v>16% to 20%</v>
      </c>
      <c r="N3223" s="3" t="str">
        <f t="shared" si="203"/>
        <v>OK</v>
      </c>
    </row>
    <row r="3224" spans="1:14" x14ac:dyDescent="0.3">
      <c r="A3224" s="2">
        <f>DATE(VALUE(RIGHT(TRIM([1]Raw_Data!A3222),4)),VALUE(MID(TRIM([1]Raw_Data!A3222),4,2)),VALUE(LEFT(TRIM([1]Raw_Data!A3222),2)))</f>
        <v>45243</v>
      </c>
      <c r="B3224" s="3" t="str">
        <f>TRIM([1]Raw_Data!B3222)</f>
        <v>Pre-Workout</v>
      </c>
      <c r="C3224" s="3" t="str">
        <f>TRIM([1]Raw_Data!C3222)</f>
        <v>Performance</v>
      </c>
      <c r="D3224" s="3">
        <f>[1]Raw_Data!D3222</f>
        <v>133</v>
      </c>
      <c r="E3224" s="4">
        <f>[1]Raw_Data!E3222</f>
        <v>27.81</v>
      </c>
      <c r="F3224" s="5">
        <f>[1]Raw_Data!F3222</f>
        <v>3698.73</v>
      </c>
      <c r="G3224" s="4">
        <f>[1]Raw_Data!G3222</f>
        <v>0.12</v>
      </c>
      <c r="H3224" s="3">
        <f>[1]Raw_Data!H3222</f>
        <v>3</v>
      </c>
      <c r="I3224" s="3" t="str">
        <f>TRIM([1]Raw_Data!I3222)</f>
        <v>USA</v>
      </c>
      <c r="J3224" s="3" t="str">
        <f>TRIM([1]Raw_Data!J3222)</f>
        <v>iHerb</v>
      </c>
      <c r="K3224" s="3">
        <f t="shared" si="200"/>
        <v>2023</v>
      </c>
      <c r="L3224" s="6">
        <f t="shared" si="201"/>
        <v>45231</v>
      </c>
      <c r="M3224" s="3" t="str">
        <f t="shared" si="202"/>
        <v>11% to 15%</v>
      </c>
      <c r="N3224" s="3" t="str">
        <f t="shared" si="203"/>
        <v>OK</v>
      </c>
    </row>
    <row r="3225" spans="1:14" x14ac:dyDescent="0.3">
      <c r="A3225" s="2">
        <f>DATE(VALUE(RIGHT(TRIM([1]Raw_Data!A3223),4)),VALUE(MID(TRIM([1]Raw_Data!A3223),4,2)),VALUE(LEFT(TRIM([1]Raw_Data!A3223),2)))</f>
        <v>45243</v>
      </c>
      <c r="B3225" s="3" t="str">
        <f>TRIM([1]Raw_Data!B3223)</f>
        <v>BCAA</v>
      </c>
      <c r="C3225" s="3" t="str">
        <f>TRIM([1]Raw_Data!C3223)</f>
        <v>Amino Acid</v>
      </c>
      <c r="D3225" s="3">
        <f>[1]Raw_Data!D3223</f>
        <v>149</v>
      </c>
      <c r="E3225" s="4">
        <f>[1]Raw_Data!E3223</f>
        <v>31.94</v>
      </c>
      <c r="F3225" s="5">
        <f>[1]Raw_Data!F3223</f>
        <v>4759.0600000000004</v>
      </c>
      <c r="G3225" s="4">
        <f>[1]Raw_Data!G3223</f>
        <v>0.21</v>
      </c>
      <c r="H3225" s="3">
        <f>[1]Raw_Data!H3223</f>
        <v>2</v>
      </c>
      <c r="I3225" s="3" t="str">
        <f>TRIM([1]Raw_Data!I3223)</f>
        <v>Canada</v>
      </c>
      <c r="J3225" s="3" t="str">
        <f>TRIM([1]Raw_Data!J3223)</f>
        <v>Amazon</v>
      </c>
      <c r="K3225" s="3">
        <f t="shared" si="200"/>
        <v>2023</v>
      </c>
      <c r="L3225" s="6">
        <f t="shared" si="201"/>
        <v>45231</v>
      </c>
      <c r="M3225" s="3" t="str">
        <f t="shared" si="202"/>
        <v>21% to 25%</v>
      </c>
      <c r="N3225" s="3" t="str">
        <f t="shared" si="203"/>
        <v>OK</v>
      </c>
    </row>
    <row r="3226" spans="1:14" x14ac:dyDescent="0.3">
      <c r="A3226" s="2">
        <f>DATE(VALUE(RIGHT(TRIM([1]Raw_Data!A3224),4)),VALUE(MID(TRIM([1]Raw_Data!A3224),4,2)),VALUE(LEFT(TRIM([1]Raw_Data!A3224),2)))</f>
        <v>45243</v>
      </c>
      <c r="B3226" s="3" t="str">
        <f>TRIM([1]Raw_Data!B3224)</f>
        <v>Creatine</v>
      </c>
      <c r="C3226" s="3" t="str">
        <f>TRIM([1]Raw_Data!C3224)</f>
        <v>Performance</v>
      </c>
      <c r="D3226" s="3">
        <f>[1]Raw_Data!D3224</f>
        <v>150</v>
      </c>
      <c r="E3226" s="4">
        <f>[1]Raw_Data!E3224</f>
        <v>33.25</v>
      </c>
      <c r="F3226" s="5">
        <f>[1]Raw_Data!F3224</f>
        <v>4987.5</v>
      </c>
      <c r="G3226" s="4">
        <f>[1]Raw_Data!G3224</f>
        <v>0.14000000000000001</v>
      </c>
      <c r="H3226" s="3">
        <f>[1]Raw_Data!H3224</f>
        <v>8</v>
      </c>
      <c r="I3226" s="3" t="str">
        <f>TRIM([1]Raw_Data!I3224)</f>
        <v>Canada</v>
      </c>
      <c r="J3226" s="3" t="str">
        <f>TRIM([1]Raw_Data!J3224)</f>
        <v>Walmart</v>
      </c>
      <c r="K3226" s="3">
        <f t="shared" si="200"/>
        <v>2023</v>
      </c>
      <c r="L3226" s="6">
        <f t="shared" si="201"/>
        <v>45231</v>
      </c>
      <c r="M3226" s="3" t="str">
        <f t="shared" si="202"/>
        <v>11% to 15%</v>
      </c>
      <c r="N3226" s="3" t="str">
        <f t="shared" si="203"/>
        <v>OK</v>
      </c>
    </row>
    <row r="3227" spans="1:14" x14ac:dyDescent="0.3">
      <c r="A3227" s="2">
        <f>DATE(VALUE(RIGHT(TRIM([1]Raw_Data!A3225),4)),VALUE(MID(TRIM([1]Raw_Data!A3225),4,2)),VALUE(LEFT(TRIM([1]Raw_Data!A3225),2)))</f>
        <v>45243</v>
      </c>
      <c r="B3227" s="3" t="str">
        <f>TRIM([1]Raw_Data!B3225)</f>
        <v>Zinc</v>
      </c>
      <c r="C3227" s="3" t="str">
        <f>TRIM([1]Raw_Data!C3225)</f>
        <v>Mineral</v>
      </c>
      <c r="D3227" s="3">
        <f>[1]Raw_Data!D3225</f>
        <v>155</v>
      </c>
      <c r="E3227" s="4">
        <f>[1]Raw_Data!E3225</f>
        <v>34.57</v>
      </c>
      <c r="F3227" s="5">
        <f>[1]Raw_Data!F3225</f>
        <v>5358.35</v>
      </c>
      <c r="G3227" s="4">
        <f>[1]Raw_Data!G3225</f>
        <v>0.09</v>
      </c>
      <c r="H3227" s="3">
        <f>[1]Raw_Data!H3225</f>
        <v>3</v>
      </c>
      <c r="I3227" s="3" t="str">
        <f>TRIM([1]Raw_Data!I3225)</f>
        <v>USA</v>
      </c>
      <c r="J3227" s="3" t="str">
        <f>TRIM([1]Raw_Data!J3225)</f>
        <v>iHerb</v>
      </c>
      <c r="K3227" s="3">
        <f t="shared" si="200"/>
        <v>2023</v>
      </c>
      <c r="L3227" s="6">
        <f t="shared" si="201"/>
        <v>45231</v>
      </c>
      <c r="M3227" s="3" t="str">
        <f t="shared" si="202"/>
        <v>6% to 10%</v>
      </c>
      <c r="N3227" s="3" t="str">
        <f t="shared" si="203"/>
        <v>OK</v>
      </c>
    </row>
    <row r="3228" spans="1:14" x14ac:dyDescent="0.3">
      <c r="A3228" s="2">
        <f>DATE(VALUE(RIGHT(TRIM([1]Raw_Data!A3226),4)),VALUE(MID(TRIM([1]Raw_Data!A3226),4,2)),VALUE(LEFT(TRIM([1]Raw_Data!A3226),2)))</f>
        <v>45243</v>
      </c>
      <c r="B3228" s="3" t="str">
        <f>TRIM([1]Raw_Data!B3226)</f>
        <v>Collagen Peptides</v>
      </c>
      <c r="C3228" s="3" t="str">
        <f>TRIM([1]Raw_Data!C3226)</f>
        <v>Protein</v>
      </c>
      <c r="D3228" s="3">
        <f>[1]Raw_Data!D3226</f>
        <v>148</v>
      </c>
      <c r="E3228" s="4">
        <f>[1]Raw_Data!E3226</f>
        <v>44.13</v>
      </c>
      <c r="F3228" s="5">
        <f>[1]Raw_Data!F3226</f>
        <v>6531.24</v>
      </c>
      <c r="G3228" s="4">
        <f>[1]Raw_Data!G3226</f>
        <v>0.01</v>
      </c>
      <c r="H3228" s="3">
        <f>[1]Raw_Data!H3226</f>
        <v>1</v>
      </c>
      <c r="I3228" s="3" t="str">
        <f>TRIM([1]Raw_Data!I3226)</f>
        <v>UK</v>
      </c>
      <c r="J3228" s="3" t="str">
        <f>TRIM([1]Raw_Data!J3226)</f>
        <v>Walmart</v>
      </c>
      <c r="K3228" s="3">
        <f t="shared" si="200"/>
        <v>2023</v>
      </c>
      <c r="L3228" s="6">
        <f t="shared" si="201"/>
        <v>45231</v>
      </c>
      <c r="M3228" s="3" t="str">
        <f t="shared" si="202"/>
        <v>0% to 5%</v>
      </c>
      <c r="N3228" s="3" t="str">
        <f t="shared" si="203"/>
        <v>OK</v>
      </c>
    </row>
    <row r="3229" spans="1:14" x14ac:dyDescent="0.3">
      <c r="A3229" s="2">
        <f>DATE(VALUE(RIGHT(TRIM([1]Raw_Data!A3227),4)),VALUE(MID(TRIM([1]Raw_Data!A3227),4,2)),VALUE(LEFT(TRIM([1]Raw_Data!A3227),2)))</f>
        <v>45243</v>
      </c>
      <c r="B3229" s="3" t="str">
        <f>TRIM([1]Raw_Data!B3227)</f>
        <v>Magnesium</v>
      </c>
      <c r="C3229" s="3" t="str">
        <f>TRIM([1]Raw_Data!C3227)</f>
        <v>Mineral</v>
      </c>
      <c r="D3229" s="3">
        <f>[1]Raw_Data!D3227</f>
        <v>145</v>
      </c>
      <c r="E3229" s="4">
        <f>[1]Raw_Data!E3227</f>
        <v>34.71</v>
      </c>
      <c r="F3229" s="5">
        <f>[1]Raw_Data!F3227</f>
        <v>5032.95</v>
      </c>
      <c r="G3229" s="4">
        <f>[1]Raw_Data!G3227</f>
        <v>0.01</v>
      </c>
      <c r="H3229" s="3">
        <f>[1]Raw_Data!H3227</f>
        <v>2</v>
      </c>
      <c r="I3229" s="3" t="str">
        <f>TRIM([1]Raw_Data!I3227)</f>
        <v>UK</v>
      </c>
      <c r="J3229" s="3" t="str">
        <f>TRIM([1]Raw_Data!J3227)</f>
        <v>Walmart</v>
      </c>
      <c r="K3229" s="3">
        <f t="shared" si="200"/>
        <v>2023</v>
      </c>
      <c r="L3229" s="6">
        <f t="shared" si="201"/>
        <v>45231</v>
      </c>
      <c r="M3229" s="3" t="str">
        <f t="shared" si="202"/>
        <v>0% to 5%</v>
      </c>
      <c r="N3229" s="3" t="str">
        <f t="shared" si="203"/>
        <v>OK</v>
      </c>
    </row>
    <row r="3230" spans="1:14" x14ac:dyDescent="0.3">
      <c r="A3230" s="2">
        <f>DATE(VALUE(RIGHT(TRIM([1]Raw_Data!A3228),4)),VALUE(MID(TRIM([1]Raw_Data!A3228),4,2)),VALUE(LEFT(TRIM([1]Raw_Data!A3228),2)))</f>
        <v>45243</v>
      </c>
      <c r="B3230" s="3" t="str">
        <f>TRIM([1]Raw_Data!B3228)</f>
        <v>Ashwagandha</v>
      </c>
      <c r="C3230" s="3" t="str">
        <f>TRIM([1]Raw_Data!C3228)</f>
        <v>Herbal</v>
      </c>
      <c r="D3230" s="3">
        <f>[1]Raw_Data!D3228</f>
        <v>147</v>
      </c>
      <c r="E3230" s="4">
        <f>[1]Raw_Data!E3228</f>
        <v>34.979999999999997</v>
      </c>
      <c r="F3230" s="5">
        <f>[1]Raw_Data!F3228</f>
        <v>5142.0600000000004</v>
      </c>
      <c r="G3230" s="4">
        <f>[1]Raw_Data!G3228</f>
        <v>0.18</v>
      </c>
      <c r="H3230" s="3">
        <f>[1]Raw_Data!H3228</f>
        <v>0</v>
      </c>
      <c r="I3230" s="3" t="str">
        <f>TRIM([1]Raw_Data!I3228)</f>
        <v>USA</v>
      </c>
      <c r="J3230" s="3" t="str">
        <f>TRIM([1]Raw_Data!J3228)</f>
        <v>Amazon</v>
      </c>
      <c r="K3230" s="3">
        <f t="shared" si="200"/>
        <v>2023</v>
      </c>
      <c r="L3230" s="6">
        <f t="shared" si="201"/>
        <v>45231</v>
      </c>
      <c r="M3230" s="3" t="str">
        <f t="shared" si="202"/>
        <v>16% to 20%</v>
      </c>
      <c r="N3230" s="3" t="str">
        <f t="shared" si="203"/>
        <v>OK</v>
      </c>
    </row>
    <row r="3231" spans="1:14" x14ac:dyDescent="0.3">
      <c r="A3231" s="2">
        <f>DATE(VALUE(RIGHT(TRIM([1]Raw_Data!A3229),4)),VALUE(MID(TRIM([1]Raw_Data!A3229),4,2)),VALUE(LEFT(TRIM([1]Raw_Data!A3229),2)))</f>
        <v>45243</v>
      </c>
      <c r="B3231" s="3" t="str">
        <f>TRIM([1]Raw_Data!B3229)</f>
        <v>Melatonin</v>
      </c>
      <c r="C3231" s="3" t="str">
        <f>TRIM([1]Raw_Data!C3229)</f>
        <v>Sleep Aid</v>
      </c>
      <c r="D3231" s="3">
        <f>[1]Raw_Data!D3229</f>
        <v>160</v>
      </c>
      <c r="E3231" s="4">
        <f>[1]Raw_Data!E3229</f>
        <v>55.2</v>
      </c>
      <c r="F3231" s="5">
        <f>[1]Raw_Data!F3229</f>
        <v>8832</v>
      </c>
      <c r="G3231" s="4">
        <f>[1]Raw_Data!G3229</f>
        <v>0.01</v>
      </c>
      <c r="H3231" s="3">
        <f>[1]Raw_Data!H3229</f>
        <v>1</v>
      </c>
      <c r="I3231" s="3" t="str">
        <f>TRIM([1]Raw_Data!I3229)</f>
        <v>USA</v>
      </c>
      <c r="J3231" s="3" t="str">
        <f>TRIM([1]Raw_Data!J3229)</f>
        <v>Amazon</v>
      </c>
      <c r="K3231" s="3">
        <f t="shared" si="200"/>
        <v>2023</v>
      </c>
      <c r="L3231" s="6">
        <f t="shared" si="201"/>
        <v>45231</v>
      </c>
      <c r="M3231" s="3" t="str">
        <f t="shared" si="202"/>
        <v>0% to 5%</v>
      </c>
      <c r="N3231" s="3" t="str">
        <f t="shared" si="203"/>
        <v>OK</v>
      </c>
    </row>
    <row r="3232" spans="1:14" x14ac:dyDescent="0.3">
      <c r="A3232" s="2">
        <f>DATE(VALUE(RIGHT(TRIM([1]Raw_Data!A3230),4)),VALUE(MID(TRIM([1]Raw_Data!A3230),4,2)),VALUE(LEFT(TRIM([1]Raw_Data!A3230),2)))</f>
        <v>45243</v>
      </c>
      <c r="B3232" s="3" t="str">
        <f>TRIM([1]Raw_Data!B3230)</f>
        <v>Biotin</v>
      </c>
      <c r="C3232" s="3" t="str">
        <f>TRIM([1]Raw_Data!C3230)</f>
        <v>Vitamin</v>
      </c>
      <c r="D3232" s="3">
        <f>[1]Raw_Data!D3230</f>
        <v>156</v>
      </c>
      <c r="E3232" s="4">
        <f>[1]Raw_Data!E3230</f>
        <v>30.53</v>
      </c>
      <c r="F3232" s="5">
        <f>[1]Raw_Data!F3230</f>
        <v>4762.68</v>
      </c>
      <c r="G3232" s="4">
        <f>[1]Raw_Data!G3230</f>
        <v>0.24</v>
      </c>
      <c r="H3232" s="3">
        <f>[1]Raw_Data!H3230</f>
        <v>1</v>
      </c>
      <c r="I3232" s="3" t="str">
        <f>TRIM([1]Raw_Data!I3230)</f>
        <v>USA</v>
      </c>
      <c r="J3232" s="3" t="str">
        <f>TRIM([1]Raw_Data!J3230)</f>
        <v>Walmart</v>
      </c>
      <c r="K3232" s="3">
        <f t="shared" si="200"/>
        <v>2023</v>
      </c>
      <c r="L3232" s="6">
        <f t="shared" si="201"/>
        <v>45231</v>
      </c>
      <c r="M3232" s="3" t="str">
        <f t="shared" si="202"/>
        <v>21% to 25%</v>
      </c>
      <c r="N3232" s="3" t="str">
        <f t="shared" si="203"/>
        <v>OK</v>
      </c>
    </row>
    <row r="3233" spans="1:14" x14ac:dyDescent="0.3">
      <c r="A3233" s="2">
        <f>DATE(VALUE(RIGHT(TRIM([1]Raw_Data!A3231),4)),VALUE(MID(TRIM([1]Raw_Data!A3231),4,2)),VALUE(LEFT(TRIM([1]Raw_Data!A3231),2)))</f>
        <v>45243</v>
      </c>
      <c r="B3233" s="3" t="str">
        <f>TRIM([1]Raw_Data!B3231)</f>
        <v>Green Tea Extract</v>
      </c>
      <c r="C3233" s="3" t="str">
        <f>TRIM([1]Raw_Data!C3231)</f>
        <v>Fat Burner</v>
      </c>
      <c r="D3233" s="3">
        <f>[1]Raw_Data!D3231</f>
        <v>158</v>
      </c>
      <c r="E3233" s="4">
        <f>[1]Raw_Data!E3231</f>
        <v>35.03</v>
      </c>
      <c r="F3233" s="5">
        <f>[1]Raw_Data!F3231</f>
        <v>5534.74</v>
      </c>
      <c r="G3233" s="4">
        <f>[1]Raw_Data!G3231</f>
        <v>0.24</v>
      </c>
      <c r="H3233" s="3">
        <f>[1]Raw_Data!H3231</f>
        <v>0</v>
      </c>
      <c r="I3233" s="3" t="str">
        <f>TRIM([1]Raw_Data!I3231)</f>
        <v>USA</v>
      </c>
      <c r="J3233" s="3" t="str">
        <f>TRIM([1]Raw_Data!J3231)</f>
        <v>Walmart</v>
      </c>
      <c r="K3233" s="3">
        <f t="shared" si="200"/>
        <v>2023</v>
      </c>
      <c r="L3233" s="6">
        <f t="shared" si="201"/>
        <v>45231</v>
      </c>
      <c r="M3233" s="3" t="str">
        <f t="shared" si="202"/>
        <v>21% to 25%</v>
      </c>
      <c r="N3233" s="3" t="str">
        <f t="shared" si="203"/>
        <v>OK</v>
      </c>
    </row>
    <row r="3234" spans="1:14" x14ac:dyDescent="0.3">
      <c r="A3234" s="2">
        <f>DATE(VALUE(RIGHT(TRIM([1]Raw_Data!A3232),4)),VALUE(MID(TRIM([1]Raw_Data!A3232),4,2)),VALUE(LEFT(TRIM([1]Raw_Data!A3232),2)))</f>
        <v>45243</v>
      </c>
      <c r="B3234" s="3" t="str">
        <f>TRIM([1]Raw_Data!B3232)</f>
        <v>Iron Supplement</v>
      </c>
      <c r="C3234" s="3" t="str">
        <f>TRIM([1]Raw_Data!C3232)</f>
        <v>Mineral</v>
      </c>
      <c r="D3234" s="3">
        <f>[1]Raw_Data!D3232</f>
        <v>168</v>
      </c>
      <c r="E3234" s="4">
        <f>[1]Raw_Data!E3232</f>
        <v>22.95</v>
      </c>
      <c r="F3234" s="5">
        <f>[1]Raw_Data!F3232</f>
        <v>3855.6</v>
      </c>
      <c r="G3234" s="4">
        <f>[1]Raw_Data!G3232</f>
        <v>0.23</v>
      </c>
      <c r="H3234" s="3">
        <f>[1]Raw_Data!H3232</f>
        <v>1</v>
      </c>
      <c r="I3234" s="3" t="str">
        <f>TRIM([1]Raw_Data!I3232)</f>
        <v>Canada</v>
      </c>
      <c r="J3234" s="3" t="str">
        <f>TRIM([1]Raw_Data!J3232)</f>
        <v>Walmart</v>
      </c>
      <c r="K3234" s="3">
        <f t="shared" si="200"/>
        <v>2023</v>
      </c>
      <c r="L3234" s="6">
        <f t="shared" si="201"/>
        <v>45231</v>
      </c>
      <c r="M3234" s="3" t="str">
        <f t="shared" si="202"/>
        <v>21% to 25%</v>
      </c>
      <c r="N3234" s="3" t="str">
        <f t="shared" si="203"/>
        <v>OK</v>
      </c>
    </row>
    <row r="3235" spans="1:14" x14ac:dyDescent="0.3">
      <c r="A3235" s="2">
        <f>DATE(VALUE(RIGHT(TRIM([1]Raw_Data!A3233),4)),VALUE(MID(TRIM([1]Raw_Data!A3233),4,2)),VALUE(LEFT(TRIM([1]Raw_Data!A3233),2)))</f>
        <v>45243</v>
      </c>
      <c r="B3235" s="3" t="str">
        <f>TRIM([1]Raw_Data!B3233)</f>
        <v>Electrolyte Powder</v>
      </c>
      <c r="C3235" s="3" t="str">
        <f>TRIM([1]Raw_Data!C3233)</f>
        <v>Hydration</v>
      </c>
      <c r="D3235" s="3">
        <f>[1]Raw_Data!D3233</f>
        <v>162</v>
      </c>
      <c r="E3235" s="4">
        <f>[1]Raw_Data!E3233</f>
        <v>52.55</v>
      </c>
      <c r="F3235" s="5">
        <f>[1]Raw_Data!F3233</f>
        <v>8513.1</v>
      </c>
      <c r="G3235" s="4">
        <f>[1]Raw_Data!G3233</f>
        <v>0.16</v>
      </c>
      <c r="H3235" s="3">
        <f>[1]Raw_Data!H3233</f>
        <v>0</v>
      </c>
      <c r="I3235" s="3" t="str">
        <f>TRIM([1]Raw_Data!I3233)</f>
        <v>Canada</v>
      </c>
      <c r="J3235" s="3" t="str">
        <f>TRIM([1]Raw_Data!J3233)</f>
        <v>Walmart</v>
      </c>
      <c r="K3235" s="3">
        <f t="shared" si="200"/>
        <v>2023</v>
      </c>
      <c r="L3235" s="6">
        <f t="shared" si="201"/>
        <v>45231</v>
      </c>
      <c r="M3235" s="3" t="str">
        <f t="shared" si="202"/>
        <v>16% to 20%</v>
      </c>
      <c r="N3235" s="3" t="str">
        <f t="shared" si="203"/>
        <v>OK</v>
      </c>
    </row>
    <row r="3236" spans="1:14" x14ac:dyDescent="0.3">
      <c r="A3236" s="2">
        <f>DATE(VALUE(RIGHT(TRIM([1]Raw_Data!A3234),4)),VALUE(MID(TRIM([1]Raw_Data!A3234),4,2)),VALUE(LEFT(TRIM([1]Raw_Data!A3234),2)))</f>
        <v>45250</v>
      </c>
      <c r="B3236" s="3" t="str">
        <f>TRIM([1]Raw_Data!B3234)</f>
        <v>Whey Protein</v>
      </c>
      <c r="C3236" s="3" t="str">
        <f>TRIM([1]Raw_Data!C3234)</f>
        <v>Protein</v>
      </c>
      <c r="D3236" s="3">
        <f>[1]Raw_Data!D3234</f>
        <v>155</v>
      </c>
      <c r="E3236" s="4">
        <f>[1]Raw_Data!E3234</f>
        <v>30.6</v>
      </c>
      <c r="F3236" s="5">
        <f>[1]Raw_Data!F3234</f>
        <v>4743</v>
      </c>
      <c r="G3236" s="4">
        <f>[1]Raw_Data!G3234</f>
        <v>0.04</v>
      </c>
      <c r="H3236" s="3">
        <f>[1]Raw_Data!H3234</f>
        <v>0</v>
      </c>
      <c r="I3236" s="3" t="str">
        <f>TRIM([1]Raw_Data!I3234)</f>
        <v>USA</v>
      </c>
      <c r="J3236" s="3" t="str">
        <f>TRIM([1]Raw_Data!J3234)</f>
        <v>iHerb</v>
      </c>
      <c r="K3236" s="3">
        <f t="shared" si="200"/>
        <v>2023</v>
      </c>
      <c r="L3236" s="6">
        <f t="shared" si="201"/>
        <v>45231</v>
      </c>
      <c r="M3236" s="3" t="str">
        <f t="shared" si="202"/>
        <v>0% to 5%</v>
      </c>
      <c r="N3236" s="3" t="str">
        <f t="shared" si="203"/>
        <v>OK</v>
      </c>
    </row>
    <row r="3237" spans="1:14" x14ac:dyDescent="0.3">
      <c r="A3237" s="2">
        <f>DATE(VALUE(RIGHT(TRIM([1]Raw_Data!A3235),4)),VALUE(MID(TRIM([1]Raw_Data!A3235),4,2)),VALUE(LEFT(TRIM([1]Raw_Data!A3235),2)))</f>
        <v>45250</v>
      </c>
      <c r="B3237" s="3" t="str">
        <f>TRIM([1]Raw_Data!B3235)</f>
        <v>Vitamin C</v>
      </c>
      <c r="C3237" s="3" t="str">
        <f>TRIM([1]Raw_Data!C3235)</f>
        <v>Vitamin</v>
      </c>
      <c r="D3237" s="3">
        <f>[1]Raw_Data!D3235</f>
        <v>139</v>
      </c>
      <c r="E3237" s="4">
        <f>[1]Raw_Data!E3235</f>
        <v>34.08</v>
      </c>
      <c r="F3237" s="5">
        <f>[1]Raw_Data!F3235</f>
        <v>4737.12</v>
      </c>
      <c r="G3237" s="4">
        <f>[1]Raw_Data!G3235</f>
        <v>0.13</v>
      </c>
      <c r="H3237" s="3">
        <f>[1]Raw_Data!H3235</f>
        <v>1</v>
      </c>
      <c r="I3237" s="3" t="str">
        <f>TRIM([1]Raw_Data!I3235)</f>
        <v>USA</v>
      </c>
      <c r="J3237" s="3" t="str">
        <f>TRIM([1]Raw_Data!J3235)</f>
        <v>Amazon</v>
      </c>
      <c r="K3237" s="3">
        <f t="shared" si="200"/>
        <v>2023</v>
      </c>
      <c r="L3237" s="6">
        <f t="shared" si="201"/>
        <v>45231</v>
      </c>
      <c r="M3237" s="3" t="str">
        <f t="shared" si="202"/>
        <v>11% to 15%</v>
      </c>
      <c r="N3237" s="3" t="str">
        <f t="shared" si="203"/>
        <v>OK</v>
      </c>
    </row>
    <row r="3238" spans="1:14" x14ac:dyDescent="0.3">
      <c r="A3238" s="2">
        <f>DATE(VALUE(RIGHT(TRIM([1]Raw_Data!A3236),4)),VALUE(MID(TRIM([1]Raw_Data!A3236),4,2)),VALUE(LEFT(TRIM([1]Raw_Data!A3236),2)))</f>
        <v>45250</v>
      </c>
      <c r="B3238" s="3" t="str">
        <f>TRIM([1]Raw_Data!B3236)</f>
        <v>Fish Oil</v>
      </c>
      <c r="C3238" s="3" t="str">
        <f>TRIM([1]Raw_Data!C3236)</f>
        <v>Omega</v>
      </c>
      <c r="D3238" s="3">
        <f>[1]Raw_Data!D3236</f>
        <v>157</v>
      </c>
      <c r="E3238" s="4">
        <f>[1]Raw_Data!E3236</f>
        <v>27.9</v>
      </c>
      <c r="F3238" s="5">
        <f>[1]Raw_Data!F3236</f>
        <v>4380.3</v>
      </c>
      <c r="G3238" s="4">
        <f>[1]Raw_Data!G3236</f>
        <v>0.22</v>
      </c>
      <c r="H3238" s="3">
        <f>[1]Raw_Data!H3236</f>
        <v>2</v>
      </c>
      <c r="I3238" s="3" t="str">
        <f>TRIM([1]Raw_Data!I3236)</f>
        <v>UK</v>
      </c>
      <c r="J3238" s="3" t="str">
        <f>TRIM([1]Raw_Data!J3236)</f>
        <v>Amazon</v>
      </c>
      <c r="K3238" s="3">
        <f t="shared" si="200"/>
        <v>2023</v>
      </c>
      <c r="L3238" s="6">
        <f t="shared" si="201"/>
        <v>45231</v>
      </c>
      <c r="M3238" s="3" t="str">
        <f t="shared" si="202"/>
        <v>21% to 25%</v>
      </c>
      <c r="N3238" s="3" t="str">
        <f t="shared" si="203"/>
        <v>OK</v>
      </c>
    </row>
    <row r="3239" spans="1:14" x14ac:dyDescent="0.3">
      <c r="A3239" s="2">
        <f>DATE(VALUE(RIGHT(TRIM([1]Raw_Data!A3237),4)),VALUE(MID(TRIM([1]Raw_Data!A3237),4,2)),VALUE(LEFT(TRIM([1]Raw_Data!A3237),2)))</f>
        <v>45250</v>
      </c>
      <c r="B3239" s="3" t="str">
        <f>TRIM([1]Raw_Data!B3237)</f>
        <v>Multivitamin</v>
      </c>
      <c r="C3239" s="3" t="str">
        <f>TRIM([1]Raw_Data!C3237)</f>
        <v>Vitamin</v>
      </c>
      <c r="D3239" s="3">
        <f>[1]Raw_Data!D3237</f>
        <v>158</v>
      </c>
      <c r="E3239" s="4">
        <f>[1]Raw_Data!E3237</f>
        <v>10.029999999999999</v>
      </c>
      <c r="F3239" s="5">
        <f>[1]Raw_Data!F3237</f>
        <v>1584.74</v>
      </c>
      <c r="G3239" s="4">
        <f>[1]Raw_Data!G3237</f>
        <v>0.22</v>
      </c>
      <c r="H3239" s="3">
        <f>[1]Raw_Data!H3237</f>
        <v>3</v>
      </c>
      <c r="I3239" s="3" t="str">
        <f>TRIM([1]Raw_Data!I3237)</f>
        <v>UK</v>
      </c>
      <c r="J3239" s="3" t="str">
        <f>TRIM([1]Raw_Data!J3237)</f>
        <v>Amazon</v>
      </c>
      <c r="K3239" s="3">
        <f t="shared" si="200"/>
        <v>2023</v>
      </c>
      <c r="L3239" s="6">
        <f t="shared" si="201"/>
        <v>45231</v>
      </c>
      <c r="M3239" s="3" t="str">
        <f t="shared" si="202"/>
        <v>21% to 25%</v>
      </c>
      <c r="N3239" s="3" t="str">
        <f t="shared" si="203"/>
        <v>OK</v>
      </c>
    </row>
    <row r="3240" spans="1:14" x14ac:dyDescent="0.3">
      <c r="A3240" s="2">
        <f>DATE(VALUE(RIGHT(TRIM([1]Raw_Data!A3238),4)),VALUE(MID(TRIM([1]Raw_Data!A3238),4,2)),VALUE(LEFT(TRIM([1]Raw_Data!A3238),2)))</f>
        <v>45250</v>
      </c>
      <c r="B3240" s="3" t="str">
        <f>TRIM([1]Raw_Data!B3238)</f>
        <v>Pre-Workout</v>
      </c>
      <c r="C3240" s="3" t="str">
        <f>TRIM([1]Raw_Data!C3238)</f>
        <v>Performance</v>
      </c>
      <c r="D3240" s="3">
        <f>[1]Raw_Data!D3238</f>
        <v>133</v>
      </c>
      <c r="E3240" s="4">
        <f>[1]Raw_Data!E3238</f>
        <v>43.07</v>
      </c>
      <c r="F3240" s="5">
        <f>[1]Raw_Data!F3238</f>
        <v>5728.31</v>
      </c>
      <c r="G3240" s="4">
        <f>[1]Raw_Data!G3238</f>
        <v>0.16</v>
      </c>
      <c r="H3240" s="3">
        <f>[1]Raw_Data!H3238</f>
        <v>3</v>
      </c>
      <c r="I3240" s="3" t="str">
        <f>TRIM([1]Raw_Data!I3238)</f>
        <v>UK</v>
      </c>
      <c r="J3240" s="3" t="str">
        <f>TRIM([1]Raw_Data!J3238)</f>
        <v>iHerb</v>
      </c>
      <c r="K3240" s="3">
        <f t="shared" si="200"/>
        <v>2023</v>
      </c>
      <c r="L3240" s="6">
        <f t="shared" si="201"/>
        <v>45231</v>
      </c>
      <c r="M3240" s="3" t="str">
        <f t="shared" si="202"/>
        <v>16% to 20%</v>
      </c>
      <c r="N3240" s="3" t="str">
        <f t="shared" si="203"/>
        <v>OK</v>
      </c>
    </row>
    <row r="3241" spans="1:14" x14ac:dyDescent="0.3">
      <c r="A3241" s="2">
        <f>DATE(VALUE(RIGHT(TRIM([1]Raw_Data!A3239),4)),VALUE(MID(TRIM([1]Raw_Data!A3239),4,2)),VALUE(LEFT(TRIM([1]Raw_Data!A3239),2)))</f>
        <v>45250</v>
      </c>
      <c r="B3241" s="3" t="str">
        <f>TRIM([1]Raw_Data!B3239)</f>
        <v>BCAA</v>
      </c>
      <c r="C3241" s="3" t="str">
        <f>TRIM([1]Raw_Data!C3239)</f>
        <v>Amino Acid</v>
      </c>
      <c r="D3241" s="3">
        <f>[1]Raw_Data!D3239</f>
        <v>135</v>
      </c>
      <c r="E3241" s="4">
        <f>[1]Raw_Data!E3239</f>
        <v>14.86</v>
      </c>
      <c r="F3241" s="5">
        <f>[1]Raw_Data!F3239</f>
        <v>2006.1</v>
      </c>
      <c r="G3241" s="4">
        <f>[1]Raw_Data!G3239</f>
        <v>0.1</v>
      </c>
      <c r="H3241" s="3">
        <f>[1]Raw_Data!H3239</f>
        <v>0</v>
      </c>
      <c r="I3241" s="3" t="str">
        <f>TRIM([1]Raw_Data!I3239)</f>
        <v>UK</v>
      </c>
      <c r="J3241" s="3" t="str">
        <f>TRIM([1]Raw_Data!J3239)</f>
        <v>Walmart</v>
      </c>
      <c r="K3241" s="3">
        <f t="shared" si="200"/>
        <v>2023</v>
      </c>
      <c r="L3241" s="6">
        <f t="shared" si="201"/>
        <v>45231</v>
      </c>
      <c r="M3241" s="3" t="str">
        <f t="shared" si="202"/>
        <v>6% to 10%</v>
      </c>
      <c r="N3241" s="3" t="str">
        <f t="shared" si="203"/>
        <v>OK</v>
      </c>
    </row>
    <row r="3242" spans="1:14" x14ac:dyDescent="0.3">
      <c r="A3242" s="2">
        <f>DATE(VALUE(RIGHT(TRIM([1]Raw_Data!A3240),4)),VALUE(MID(TRIM([1]Raw_Data!A3240),4,2)),VALUE(LEFT(TRIM([1]Raw_Data!A3240),2)))</f>
        <v>45250</v>
      </c>
      <c r="B3242" s="3" t="str">
        <f>TRIM([1]Raw_Data!B3240)</f>
        <v>Creatine</v>
      </c>
      <c r="C3242" s="3" t="str">
        <f>TRIM([1]Raw_Data!C3240)</f>
        <v>Performance</v>
      </c>
      <c r="D3242" s="3">
        <f>[1]Raw_Data!D3240</f>
        <v>168</v>
      </c>
      <c r="E3242" s="4">
        <f>[1]Raw_Data!E3240</f>
        <v>52.49</v>
      </c>
      <c r="F3242" s="5">
        <f>[1]Raw_Data!F3240</f>
        <v>8818.32</v>
      </c>
      <c r="G3242" s="4">
        <f>[1]Raw_Data!G3240</f>
        <v>0.01</v>
      </c>
      <c r="H3242" s="3">
        <f>[1]Raw_Data!H3240</f>
        <v>1</v>
      </c>
      <c r="I3242" s="3" t="str">
        <f>TRIM([1]Raw_Data!I3240)</f>
        <v>USA</v>
      </c>
      <c r="J3242" s="3" t="str">
        <f>TRIM([1]Raw_Data!J3240)</f>
        <v>Amazon</v>
      </c>
      <c r="K3242" s="3">
        <f t="shared" si="200"/>
        <v>2023</v>
      </c>
      <c r="L3242" s="6">
        <f t="shared" si="201"/>
        <v>45231</v>
      </c>
      <c r="M3242" s="3" t="str">
        <f t="shared" si="202"/>
        <v>0% to 5%</v>
      </c>
      <c r="N3242" s="3" t="str">
        <f t="shared" si="203"/>
        <v>OK</v>
      </c>
    </row>
    <row r="3243" spans="1:14" x14ac:dyDescent="0.3">
      <c r="A3243" s="2">
        <f>DATE(VALUE(RIGHT(TRIM([1]Raw_Data!A3241),4)),VALUE(MID(TRIM([1]Raw_Data!A3241),4,2)),VALUE(LEFT(TRIM([1]Raw_Data!A3241),2)))</f>
        <v>45250</v>
      </c>
      <c r="B3243" s="3" t="str">
        <f>TRIM([1]Raw_Data!B3241)</f>
        <v>Zinc</v>
      </c>
      <c r="C3243" s="3" t="str">
        <f>TRIM([1]Raw_Data!C3241)</f>
        <v>Mineral</v>
      </c>
      <c r="D3243" s="3">
        <f>[1]Raw_Data!D3241</f>
        <v>141</v>
      </c>
      <c r="E3243" s="4">
        <f>[1]Raw_Data!E3241</f>
        <v>50.14</v>
      </c>
      <c r="F3243" s="5">
        <f>[1]Raw_Data!F3241</f>
        <v>7069.74</v>
      </c>
      <c r="G3243" s="4">
        <f>[1]Raw_Data!G3241</f>
        <v>0.1</v>
      </c>
      <c r="H3243" s="3">
        <f>[1]Raw_Data!H3241</f>
        <v>0</v>
      </c>
      <c r="I3243" s="3" t="str">
        <f>TRIM([1]Raw_Data!I3241)</f>
        <v>Canada</v>
      </c>
      <c r="J3243" s="3" t="str">
        <f>TRIM([1]Raw_Data!J3241)</f>
        <v>Amazon</v>
      </c>
      <c r="K3243" s="3">
        <f t="shared" si="200"/>
        <v>2023</v>
      </c>
      <c r="L3243" s="6">
        <f t="shared" si="201"/>
        <v>45231</v>
      </c>
      <c r="M3243" s="3" t="str">
        <f t="shared" si="202"/>
        <v>6% to 10%</v>
      </c>
      <c r="N3243" s="3" t="str">
        <f t="shared" si="203"/>
        <v>OK</v>
      </c>
    </row>
    <row r="3244" spans="1:14" x14ac:dyDescent="0.3">
      <c r="A3244" s="2">
        <f>DATE(VALUE(RIGHT(TRIM([1]Raw_Data!A3242),4)),VALUE(MID(TRIM([1]Raw_Data!A3242),4,2)),VALUE(LEFT(TRIM([1]Raw_Data!A3242),2)))</f>
        <v>45250</v>
      </c>
      <c r="B3244" s="3" t="str">
        <f>TRIM([1]Raw_Data!B3242)</f>
        <v>Collagen Peptides</v>
      </c>
      <c r="C3244" s="3" t="str">
        <f>TRIM([1]Raw_Data!C3242)</f>
        <v>Protein</v>
      </c>
      <c r="D3244" s="3">
        <f>[1]Raw_Data!D3242</f>
        <v>126</v>
      </c>
      <c r="E3244" s="4">
        <f>[1]Raw_Data!E3242</f>
        <v>48</v>
      </c>
      <c r="F3244" s="5">
        <f>[1]Raw_Data!F3242</f>
        <v>6048</v>
      </c>
      <c r="G3244" s="4">
        <f>[1]Raw_Data!G3242</f>
        <v>0.11</v>
      </c>
      <c r="H3244" s="3">
        <f>[1]Raw_Data!H3242</f>
        <v>2</v>
      </c>
      <c r="I3244" s="3" t="str">
        <f>TRIM([1]Raw_Data!I3242)</f>
        <v>Canada</v>
      </c>
      <c r="J3244" s="3" t="str">
        <f>TRIM([1]Raw_Data!J3242)</f>
        <v>Walmart</v>
      </c>
      <c r="K3244" s="3">
        <f t="shared" si="200"/>
        <v>2023</v>
      </c>
      <c r="L3244" s="6">
        <f t="shared" si="201"/>
        <v>45231</v>
      </c>
      <c r="M3244" s="3" t="str">
        <f t="shared" si="202"/>
        <v>11% to 15%</v>
      </c>
      <c r="N3244" s="3" t="str">
        <f t="shared" si="203"/>
        <v>OK</v>
      </c>
    </row>
    <row r="3245" spans="1:14" x14ac:dyDescent="0.3">
      <c r="A3245" s="2">
        <f>DATE(VALUE(RIGHT(TRIM([1]Raw_Data!A3243),4)),VALUE(MID(TRIM([1]Raw_Data!A3243),4,2)),VALUE(LEFT(TRIM([1]Raw_Data!A3243),2)))</f>
        <v>45250</v>
      </c>
      <c r="B3245" s="3" t="str">
        <f>TRIM([1]Raw_Data!B3243)</f>
        <v>Magnesium</v>
      </c>
      <c r="C3245" s="3" t="str">
        <f>TRIM([1]Raw_Data!C3243)</f>
        <v>Mineral</v>
      </c>
      <c r="D3245" s="3">
        <f>[1]Raw_Data!D3243</f>
        <v>157</v>
      </c>
      <c r="E3245" s="4">
        <f>[1]Raw_Data!E3243</f>
        <v>17.14</v>
      </c>
      <c r="F3245" s="5">
        <f>[1]Raw_Data!F3243</f>
        <v>2690.98</v>
      </c>
      <c r="G3245" s="4">
        <f>[1]Raw_Data!G3243</f>
        <v>0.19</v>
      </c>
      <c r="H3245" s="3">
        <f>[1]Raw_Data!H3243</f>
        <v>2</v>
      </c>
      <c r="I3245" s="3" t="str">
        <f>TRIM([1]Raw_Data!I3243)</f>
        <v>UK</v>
      </c>
      <c r="J3245" s="3" t="str">
        <f>TRIM([1]Raw_Data!J3243)</f>
        <v>Walmart</v>
      </c>
      <c r="K3245" s="3">
        <f t="shared" si="200"/>
        <v>2023</v>
      </c>
      <c r="L3245" s="6">
        <f t="shared" si="201"/>
        <v>45231</v>
      </c>
      <c r="M3245" s="3" t="str">
        <f t="shared" si="202"/>
        <v>16% to 20%</v>
      </c>
      <c r="N3245" s="3" t="str">
        <f t="shared" si="203"/>
        <v>OK</v>
      </c>
    </row>
    <row r="3246" spans="1:14" x14ac:dyDescent="0.3">
      <c r="A3246" s="2">
        <f>DATE(VALUE(RIGHT(TRIM([1]Raw_Data!A3244),4)),VALUE(MID(TRIM([1]Raw_Data!A3244),4,2)),VALUE(LEFT(TRIM([1]Raw_Data!A3244),2)))</f>
        <v>45250</v>
      </c>
      <c r="B3246" s="3" t="str">
        <f>TRIM([1]Raw_Data!B3244)</f>
        <v>Ashwagandha</v>
      </c>
      <c r="C3246" s="3" t="str">
        <f>TRIM([1]Raw_Data!C3244)</f>
        <v>Herbal</v>
      </c>
      <c r="D3246" s="3">
        <f>[1]Raw_Data!D3244</f>
        <v>146</v>
      </c>
      <c r="E3246" s="4">
        <f>[1]Raw_Data!E3244</f>
        <v>10.6</v>
      </c>
      <c r="F3246" s="5">
        <f>[1]Raw_Data!F3244</f>
        <v>1547.6</v>
      </c>
      <c r="G3246" s="4">
        <f>[1]Raw_Data!G3244</f>
        <v>7.0000000000000007E-2</v>
      </c>
      <c r="H3246" s="3">
        <f>[1]Raw_Data!H3244</f>
        <v>0</v>
      </c>
      <c r="I3246" s="3" t="str">
        <f>TRIM([1]Raw_Data!I3244)</f>
        <v>UK</v>
      </c>
      <c r="J3246" s="3" t="str">
        <f>TRIM([1]Raw_Data!J3244)</f>
        <v>iHerb</v>
      </c>
      <c r="K3246" s="3">
        <f t="shared" si="200"/>
        <v>2023</v>
      </c>
      <c r="L3246" s="6">
        <f t="shared" si="201"/>
        <v>45231</v>
      </c>
      <c r="M3246" s="3" t="str">
        <f t="shared" si="202"/>
        <v>6% to 10%</v>
      </c>
      <c r="N3246" s="3" t="str">
        <f t="shared" si="203"/>
        <v>OK</v>
      </c>
    </row>
    <row r="3247" spans="1:14" x14ac:dyDescent="0.3">
      <c r="A3247" s="2">
        <f>DATE(VALUE(RIGHT(TRIM([1]Raw_Data!A3245),4)),VALUE(MID(TRIM([1]Raw_Data!A3245),4,2)),VALUE(LEFT(TRIM([1]Raw_Data!A3245),2)))</f>
        <v>45250</v>
      </c>
      <c r="B3247" s="3" t="str">
        <f>TRIM([1]Raw_Data!B3245)</f>
        <v>Melatonin</v>
      </c>
      <c r="C3247" s="3" t="str">
        <f>TRIM([1]Raw_Data!C3245)</f>
        <v>Sleep Aid</v>
      </c>
      <c r="D3247" s="3">
        <f>[1]Raw_Data!D3245</f>
        <v>140</v>
      </c>
      <c r="E3247" s="4">
        <f>[1]Raw_Data!E3245</f>
        <v>16.07</v>
      </c>
      <c r="F3247" s="5">
        <f>[1]Raw_Data!F3245</f>
        <v>2249.8000000000002</v>
      </c>
      <c r="G3247" s="4">
        <f>[1]Raw_Data!G3245</f>
        <v>0.03</v>
      </c>
      <c r="H3247" s="3">
        <f>[1]Raw_Data!H3245</f>
        <v>3</v>
      </c>
      <c r="I3247" s="3" t="str">
        <f>TRIM([1]Raw_Data!I3245)</f>
        <v>Canada</v>
      </c>
      <c r="J3247" s="3" t="str">
        <f>TRIM([1]Raw_Data!J3245)</f>
        <v>Amazon</v>
      </c>
      <c r="K3247" s="3">
        <f t="shared" si="200"/>
        <v>2023</v>
      </c>
      <c r="L3247" s="6">
        <f t="shared" si="201"/>
        <v>45231</v>
      </c>
      <c r="M3247" s="3" t="str">
        <f t="shared" si="202"/>
        <v>0% to 5%</v>
      </c>
      <c r="N3247" s="3" t="str">
        <f t="shared" si="203"/>
        <v>OK</v>
      </c>
    </row>
    <row r="3248" spans="1:14" x14ac:dyDescent="0.3">
      <c r="A3248" s="2">
        <f>DATE(VALUE(RIGHT(TRIM([1]Raw_Data!A3246),4)),VALUE(MID(TRIM([1]Raw_Data!A3246),4,2)),VALUE(LEFT(TRIM([1]Raw_Data!A3246),2)))</f>
        <v>45250</v>
      </c>
      <c r="B3248" s="3" t="str">
        <f>TRIM([1]Raw_Data!B3246)</f>
        <v>Biotin</v>
      </c>
      <c r="C3248" s="3" t="str">
        <f>TRIM([1]Raw_Data!C3246)</f>
        <v>Vitamin</v>
      </c>
      <c r="D3248" s="3">
        <f>[1]Raw_Data!D3246</f>
        <v>153</v>
      </c>
      <c r="E3248" s="4">
        <f>[1]Raw_Data!E3246</f>
        <v>27.29</v>
      </c>
      <c r="F3248" s="5">
        <f>[1]Raw_Data!F3246</f>
        <v>4175.37</v>
      </c>
      <c r="G3248" s="4">
        <f>[1]Raw_Data!G3246</f>
        <v>0.17</v>
      </c>
      <c r="H3248" s="3">
        <f>[1]Raw_Data!H3246</f>
        <v>0</v>
      </c>
      <c r="I3248" s="3" t="str">
        <f>TRIM([1]Raw_Data!I3246)</f>
        <v>UK</v>
      </c>
      <c r="J3248" s="3" t="str">
        <f>TRIM([1]Raw_Data!J3246)</f>
        <v>Amazon</v>
      </c>
      <c r="K3248" s="3">
        <f t="shared" si="200"/>
        <v>2023</v>
      </c>
      <c r="L3248" s="6">
        <f t="shared" si="201"/>
        <v>45231</v>
      </c>
      <c r="M3248" s="3" t="str">
        <f t="shared" si="202"/>
        <v>16% to 20%</v>
      </c>
      <c r="N3248" s="3" t="str">
        <f t="shared" si="203"/>
        <v>OK</v>
      </c>
    </row>
    <row r="3249" spans="1:14" x14ac:dyDescent="0.3">
      <c r="A3249" s="2">
        <f>DATE(VALUE(RIGHT(TRIM([1]Raw_Data!A3247),4)),VALUE(MID(TRIM([1]Raw_Data!A3247),4,2)),VALUE(LEFT(TRIM([1]Raw_Data!A3247),2)))</f>
        <v>45250</v>
      </c>
      <c r="B3249" s="3" t="str">
        <f>TRIM([1]Raw_Data!B3247)</f>
        <v>Green Tea Extract</v>
      </c>
      <c r="C3249" s="3" t="str">
        <f>TRIM([1]Raw_Data!C3247)</f>
        <v>Fat Burner</v>
      </c>
      <c r="D3249" s="3">
        <f>[1]Raw_Data!D3247</f>
        <v>154</v>
      </c>
      <c r="E3249" s="4">
        <f>[1]Raw_Data!E3247</f>
        <v>10.1</v>
      </c>
      <c r="F3249" s="5">
        <f>[1]Raw_Data!F3247</f>
        <v>1555.4</v>
      </c>
      <c r="G3249" s="4">
        <f>[1]Raw_Data!G3247</f>
        <v>0.23</v>
      </c>
      <c r="H3249" s="3">
        <f>[1]Raw_Data!H3247</f>
        <v>2</v>
      </c>
      <c r="I3249" s="3" t="str">
        <f>TRIM([1]Raw_Data!I3247)</f>
        <v>Canada</v>
      </c>
      <c r="J3249" s="3" t="str">
        <f>TRIM([1]Raw_Data!J3247)</f>
        <v>Walmart</v>
      </c>
      <c r="K3249" s="3">
        <f t="shared" si="200"/>
        <v>2023</v>
      </c>
      <c r="L3249" s="6">
        <f t="shared" si="201"/>
        <v>45231</v>
      </c>
      <c r="M3249" s="3" t="str">
        <f t="shared" si="202"/>
        <v>21% to 25%</v>
      </c>
      <c r="N3249" s="3" t="str">
        <f t="shared" si="203"/>
        <v>OK</v>
      </c>
    </row>
    <row r="3250" spans="1:14" x14ac:dyDescent="0.3">
      <c r="A3250" s="2">
        <f>DATE(VALUE(RIGHT(TRIM([1]Raw_Data!A3248),4)),VALUE(MID(TRIM([1]Raw_Data!A3248),4,2)),VALUE(LEFT(TRIM([1]Raw_Data!A3248),2)))</f>
        <v>45250</v>
      </c>
      <c r="B3250" s="3" t="str">
        <f>TRIM([1]Raw_Data!B3248)</f>
        <v>Iron Supplement</v>
      </c>
      <c r="C3250" s="3" t="str">
        <f>TRIM([1]Raw_Data!C3248)</f>
        <v>Mineral</v>
      </c>
      <c r="D3250" s="3">
        <f>[1]Raw_Data!D3248</f>
        <v>172</v>
      </c>
      <c r="E3250" s="4">
        <f>[1]Raw_Data!E3248</f>
        <v>26.39</v>
      </c>
      <c r="F3250" s="5">
        <f>[1]Raw_Data!F3248</f>
        <v>4539.08</v>
      </c>
      <c r="G3250" s="4">
        <f>[1]Raw_Data!G3248</f>
        <v>0.1</v>
      </c>
      <c r="H3250" s="3">
        <f>[1]Raw_Data!H3248</f>
        <v>2</v>
      </c>
      <c r="I3250" s="3" t="str">
        <f>TRIM([1]Raw_Data!I3248)</f>
        <v>UK</v>
      </c>
      <c r="J3250" s="3" t="str">
        <f>TRIM([1]Raw_Data!J3248)</f>
        <v>Walmart</v>
      </c>
      <c r="K3250" s="3">
        <f t="shared" si="200"/>
        <v>2023</v>
      </c>
      <c r="L3250" s="6">
        <f t="shared" si="201"/>
        <v>45231</v>
      </c>
      <c r="M3250" s="3" t="str">
        <f t="shared" si="202"/>
        <v>6% to 10%</v>
      </c>
      <c r="N3250" s="3" t="str">
        <f t="shared" si="203"/>
        <v>OK</v>
      </c>
    </row>
    <row r="3251" spans="1:14" x14ac:dyDescent="0.3">
      <c r="A3251" s="2">
        <f>DATE(VALUE(RIGHT(TRIM([1]Raw_Data!A3249),4)),VALUE(MID(TRIM([1]Raw_Data!A3249),4,2)),VALUE(LEFT(TRIM([1]Raw_Data!A3249),2)))</f>
        <v>45250</v>
      </c>
      <c r="B3251" s="3" t="str">
        <f>TRIM([1]Raw_Data!B3249)</f>
        <v>Electrolyte Powder</v>
      </c>
      <c r="C3251" s="3" t="str">
        <f>TRIM([1]Raw_Data!C3249)</f>
        <v>Hydration</v>
      </c>
      <c r="D3251" s="3">
        <f>[1]Raw_Data!D3249</f>
        <v>152</v>
      </c>
      <c r="E3251" s="4">
        <f>[1]Raw_Data!E3249</f>
        <v>11.27</v>
      </c>
      <c r="F3251" s="5">
        <f>[1]Raw_Data!F3249</f>
        <v>1713.04</v>
      </c>
      <c r="G3251" s="4">
        <f>[1]Raw_Data!G3249</f>
        <v>0.18</v>
      </c>
      <c r="H3251" s="3">
        <f>[1]Raw_Data!H3249</f>
        <v>1</v>
      </c>
      <c r="I3251" s="3" t="str">
        <f>TRIM([1]Raw_Data!I3249)</f>
        <v>USA</v>
      </c>
      <c r="J3251" s="3" t="str">
        <f>TRIM([1]Raw_Data!J3249)</f>
        <v>Amazon</v>
      </c>
      <c r="K3251" s="3">
        <f t="shared" si="200"/>
        <v>2023</v>
      </c>
      <c r="L3251" s="6">
        <f t="shared" si="201"/>
        <v>45231</v>
      </c>
      <c r="M3251" s="3" t="str">
        <f t="shared" si="202"/>
        <v>16% to 20%</v>
      </c>
      <c r="N3251" s="3" t="str">
        <f t="shared" si="203"/>
        <v>OK</v>
      </c>
    </row>
    <row r="3252" spans="1:14" x14ac:dyDescent="0.3">
      <c r="A3252" s="2">
        <f>DATE(VALUE(RIGHT(TRIM([1]Raw_Data!A3250),4)),VALUE(MID(TRIM([1]Raw_Data!A3250),4,2)),VALUE(LEFT(TRIM([1]Raw_Data!A3250),2)))</f>
        <v>45257</v>
      </c>
      <c r="B3252" s="3" t="str">
        <f>TRIM([1]Raw_Data!B3250)</f>
        <v>Whey Protein</v>
      </c>
      <c r="C3252" s="3" t="str">
        <f>TRIM([1]Raw_Data!C3250)</f>
        <v>Protein</v>
      </c>
      <c r="D3252" s="3">
        <f>[1]Raw_Data!D3250</f>
        <v>137</v>
      </c>
      <c r="E3252" s="4">
        <f>[1]Raw_Data!E3250</f>
        <v>35.25</v>
      </c>
      <c r="F3252" s="5">
        <f>[1]Raw_Data!F3250</f>
        <v>4829.25</v>
      </c>
      <c r="G3252" s="4">
        <f>[1]Raw_Data!G3250</f>
        <v>0.03</v>
      </c>
      <c r="H3252" s="3">
        <f>[1]Raw_Data!H3250</f>
        <v>0</v>
      </c>
      <c r="I3252" s="3" t="str">
        <f>TRIM([1]Raw_Data!I3250)</f>
        <v>Canada</v>
      </c>
      <c r="J3252" s="3" t="str">
        <f>TRIM([1]Raw_Data!J3250)</f>
        <v>Amazon</v>
      </c>
      <c r="K3252" s="3">
        <f t="shared" si="200"/>
        <v>2023</v>
      </c>
      <c r="L3252" s="6">
        <f t="shared" si="201"/>
        <v>45231</v>
      </c>
      <c r="M3252" s="3" t="str">
        <f t="shared" si="202"/>
        <v>0% to 5%</v>
      </c>
      <c r="N3252" s="3" t="str">
        <f t="shared" si="203"/>
        <v>OK</v>
      </c>
    </row>
    <row r="3253" spans="1:14" x14ac:dyDescent="0.3">
      <c r="A3253" s="2">
        <f>DATE(VALUE(RIGHT(TRIM([1]Raw_Data!A3251),4)),VALUE(MID(TRIM([1]Raw_Data!A3251),4,2)),VALUE(LEFT(TRIM([1]Raw_Data!A3251),2)))</f>
        <v>45257</v>
      </c>
      <c r="B3253" s="3" t="str">
        <f>TRIM([1]Raw_Data!B3251)</f>
        <v>Vitamin C</v>
      </c>
      <c r="C3253" s="3" t="str">
        <f>TRIM([1]Raw_Data!C3251)</f>
        <v>Vitamin</v>
      </c>
      <c r="D3253" s="3">
        <f>[1]Raw_Data!D3251</f>
        <v>147</v>
      </c>
      <c r="E3253" s="4">
        <f>[1]Raw_Data!E3251</f>
        <v>25.88</v>
      </c>
      <c r="F3253" s="5">
        <f>[1]Raw_Data!F3251</f>
        <v>3804.36</v>
      </c>
      <c r="G3253" s="4">
        <f>[1]Raw_Data!G3251</f>
        <v>0.04</v>
      </c>
      <c r="H3253" s="3">
        <f>[1]Raw_Data!H3251</f>
        <v>0</v>
      </c>
      <c r="I3253" s="3" t="str">
        <f>TRIM([1]Raw_Data!I3251)</f>
        <v>UK</v>
      </c>
      <c r="J3253" s="3" t="str">
        <f>TRIM([1]Raw_Data!J3251)</f>
        <v>Amazon</v>
      </c>
      <c r="K3253" s="3">
        <f t="shared" si="200"/>
        <v>2023</v>
      </c>
      <c r="L3253" s="6">
        <f t="shared" si="201"/>
        <v>45231</v>
      </c>
      <c r="M3253" s="3" t="str">
        <f t="shared" si="202"/>
        <v>0% to 5%</v>
      </c>
      <c r="N3253" s="3" t="str">
        <f t="shared" si="203"/>
        <v>OK</v>
      </c>
    </row>
    <row r="3254" spans="1:14" x14ac:dyDescent="0.3">
      <c r="A3254" s="2">
        <f>DATE(VALUE(RIGHT(TRIM([1]Raw_Data!A3252),4)),VALUE(MID(TRIM([1]Raw_Data!A3252),4,2)),VALUE(LEFT(TRIM([1]Raw_Data!A3252),2)))</f>
        <v>45257</v>
      </c>
      <c r="B3254" s="3" t="str">
        <f>TRIM([1]Raw_Data!B3252)</f>
        <v>Fish Oil</v>
      </c>
      <c r="C3254" s="3" t="str">
        <f>TRIM([1]Raw_Data!C3252)</f>
        <v>Omega</v>
      </c>
      <c r="D3254" s="3">
        <f>[1]Raw_Data!D3252</f>
        <v>156</v>
      </c>
      <c r="E3254" s="4">
        <f>[1]Raw_Data!E3252</f>
        <v>15.89</v>
      </c>
      <c r="F3254" s="5">
        <f>[1]Raw_Data!F3252</f>
        <v>2478.84</v>
      </c>
      <c r="G3254" s="4">
        <f>[1]Raw_Data!G3252</f>
        <v>0.23</v>
      </c>
      <c r="H3254" s="3">
        <f>[1]Raw_Data!H3252</f>
        <v>2</v>
      </c>
      <c r="I3254" s="3" t="str">
        <f>TRIM([1]Raw_Data!I3252)</f>
        <v>UK</v>
      </c>
      <c r="J3254" s="3" t="str">
        <f>TRIM([1]Raw_Data!J3252)</f>
        <v>Walmart</v>
      </c>
      <c r="K3254" s="3">
        <f t="shared" si="200"/>
        <v>2023</v>
      </c>
      <c r="L3254" s="6">
        <f t="shared" si="201"/>
        <v>45231</v>
      </c>
      <c r="M3254" s="3" t="str">
        <f t="shared" si="202"/>
        <v>21% to 25%</v>
      </c>
      <c r="N3254" s="3" t="str">
        <f t="shared" si="203"/>
        <v>OK</v>
      </c>
    </row>
    <row r="3255" spans="1:14" x14ac:dyDescent="0.3">
      <c r="A3255" s="2">
        <f>DATE(VALUE(RIGHT(TRIM([1]Raw_Data!A3253),4)),VALUE(MID(TRIM([1]Raw_Data!A3253),4,2)),VALUE(LEFT(TRIM([1]Raw_Data!A3253),2)))</f>
        <v>45257</v>
      </c>
      <c r="B3255" s="3" t="str">
        <f>TRIM([1]Raw_Data!B3253)</f>
        <v>Multivitamin</v>
      </c>
      <c r="C3255" s="3" t="str">
        <f>TRIM([1]Raw_Data!C3253)</f>
        <v>Vitamin</v>
      </c>
      <c r="D3255" s="3">
        <f>[1]Raw_Data!D3253</f>
        <v>148</v>
      </c>
      <c r="E3255" s="4">
        <f>[1]Raw_Data!E3253</f>
        <v>19.41</v>
      </c>
      <c r="F3255" s="5">
        <f>[1]Raw_Data!F3253</f>
        <v>2872.68</v>
      </c>
      <c r="G3255" s="4">
        <f>[1]Raw_Data!G3253</f>
        <v>0.02</v>
      </c>
      <c r="H3255" s="3">
        <f>[1]Raw_Data!H3253</f>
        <v>0</v>
      </c>
      <c r="I3255" s="3" t="str">
        <f>TRIM([1]Raw_Data!I3253)</f>
        <v>USA</v>
      </c>
      <c r="J3255" s="3" t="str">
        <f>TRIM([1]Raw_Data!J3253)</f>
        <v>iHerb</v>
      </c>
      <c r="K3255" s="3">
        <f t="shared" si="200"/>
        <v>2023</v>
      </c>
      <c r="L3255" s="6">
        <f t="shared" si="201"/>
        <v>45231</v>
      </c>
      <c r="M3255" s="3" t="str">
        <f t="shared" si="202"/>
        <v>0% to 5%</v>
      </c>
      <c r="N3255" s="3" t="str">
        <f t="shared" si="203"/>
        <v>OK</v>
      </c>
    </row>
    <row r="3256" spans="1:14" x14ac:dyDescent="0.3">
      <c r="A3256" s="2">
        <f>DATE(VALUE(RIGHT(TRIM([1]Raw_Data!A3254),4)),VALUE(MID(TRIM([1]Raw_Data!A3254),4,2)),VALUE(LEFT(TRIM([1]Raw_Data!A3254),2)))</f>
        <v>45257</v>
      </c>
      <c r="B3256" s="3" t="str">
        <f>TRIM([1]Raw_Data!B3254)</f>
        <v>Pre-Workout</v>
      </c>
      <c r="C3256" s="3" t="str">
        <f>TRIM([1]Raw_Data!C3254)</f>
        <v>Performance</v>
      </c>
      <c r="D3256" s="3">
        <f>[1]Raw_Data!D3254</f>
        <v>147</v>
      </c>
      <c r="E3256" s="4">
        <f>[1]Raw_Data!E3254</f>
        <v>18.34</v>
      </c>
      <c r="F3256" s="5">
        <f>[1]Raw_Data!F3254</f>
        <v>2695.98</v>
      </c>
      <c r="G3256" s="4">
        <f>[1]Raw_Data!G3254</f>
        <v>0.11</v>
      </c>
      <c r="H3256" s="3">
        <f>[1]Raw_Data!H3254</f>
        <v>1</v>
      </c>
      <c r="I3256" s="3" t="str">
        <f>TRIM([1]Raw_Data!I3254)</f>
        <v>UK</v>
      </c>
      <c r="J3256" s="3" t="str">
        <f>TRIM([1]Raw_Data!J3254)</f>
        <v>Amazon</v>
      </c>
      <c r="K3256" s="3">
        <f t="shared" si="200"/>
        <v>2023</v>
      </c>
      <c r="L3256" s="6">
        <f t="shared" si="201"/>
        <v>45231</v>
      </c>
      <c r="M3256" s="3" t="str">
        <f t="shared" si="202"/>
        <v>11% to 15%</v>
      </c>
      <c r="N3256" s="3" t="str">
        <f t="shared" si="203"/>
        <v>OK</v>
      </c>
    </row>
    <row r="3257" spans="1:14" x14ac:dyDescent="0.3">
      <c r="A3257" s="2">
        <f>DATE(VALUE(RIGHT(TRIM([1]Raw_Data!A3255),4)),VALUE(MID(TRIM([1]Raw_Data!A3255),4,2)),VALUE(LEFT(TRIM([1]Raw_Data!A3255),2)))</f>
        <v>45257</v>
      </c>
      <c r="B3257" s="3" t="str">
        <f>TRIM([1]Raw_Data!B3255)</f>
        <v>BCAA</v>
      </c>
      <c r="C3257" s="3" t="str">
        <f>TRIM([1]Raw_Data!C3255)</f>
        <v>Amino Acid</v>
      </c>
      <c r="D3257" s="3">
        <f>[1]Raw_Data!D3255</f>
        <v>149</v>
      </c>
      <c r="E3257" s="4">
        <f>[1]Raw_Data!E3255</f>
        <v>42.22</v>
      </c>
      <c r="F3257" s="5">
        <f>[1]Raw_Data!F3255</f>
        <v>6290.78</v>
      </c>
      <c r="G3257" s="4">
        <f>[1]Raw_Data!G3255</f>
        <v>0.23</v>
      </c>
      <c r="H3257" s="3">
        <f>[1]Raw_Data!H3255</f>
        <v>0</v>
      </c>
      <c r="I3257" s="3" t="str">
        <f>TRIM([1]Raw_Data!I3255)</f>
        <v>Canada</v>
      </c>
      <c r="J3257" s="3" t="str">
        <f>TRIM([1]Raw_Data!J3255)</f>
        <v>Walmart</v>
      </c>
      <c r="K3257" s="3">
        <f t="shared" si="200"/>
        <v>2023</v>
      </c>
      <c r="L3257" s="6">
        <f t="shared" si="201"/>
        <v>45231</v>
      </c>
      <c r="M3257" s="3" t="str">
        <f t="shared" si="202"/>
        <v>21% to 25%</v>
      </c>
      <c r="N3257" s="3" t="str">
        <f t="shared" si="203"/>
        <v>OK</v>
      </c>
    </row>
    <row r="3258" spans="1:14" x14ac:dyDescent="0.3">
      <c r="A3258" s="2">
        <f>DATE(VALUE(RIGHT(TRIM([1]Raw_Data!A3256),4)),VALUE(MID(TRIM([1]Raw_Data!A3256),4,2)),VALUE(LEFT(TRIM([1]Raw_Data!A3256),2)))</f>
        <v>45257</v>
      </c>
      <c r="B3258" s="3" t="str">
        <f>TRIM([1]Raw_Data!B3256)</f>
        <v>Creatine</v>
      </c>
      <c r="C3258" s="3" t="str">
        <f>TRIM([1]Raw_Data!C3256)</f>
        <v>Performance</v>
      </c>
      <c r="D3258" s="3">
        <f>[1]Raw_Data!D3256</f>
        <v>131</v>
      </c>
      <c r="E3258" s="4">
        <f>[1]Raw_Data!E3256</f>
        <v>35.32</v>
      </c>
      <c r="F3258" s="5">
        <f>[1]Raw_Data!F3256</f>
        <v>4626.92</v>
      </c>
      <c r="G3258" s="4">
        <f>[1]Raw_Data!G3256</f>
        <v>0.19</v>
      </c>
      <c r="H3258" s="3">
        <f>[1]Raw_Data!H3256</f>
        <v>0</v>
      </c>
      <c r="I3258" s="3" t="str">
        <f>TRIM([1]Raw_Data!I3256)</f>
        <v>USA</v>
      </c>
      <c r="J3258" s="3" t="str">
        <f>TRIM([1]Raw_Data!J3256)</f>
        <v>Amazon</v>
      </c>
      <c r="K3258" s="3">
        <f t="shared" si="200"/>
        <v>2023</v>
      </c>
      <c r="L3258" s="6">
        <f t="shared" si="201"/>
        <v>45231</v>
      </c>
      <c r="M3258" s="3" t="str">
        <f t="shared" si="202"/>
        <v>16% to 20%</v>
      </c>
      <c r="N3258" s="3" t="str">
        <f t="shared" si="203"/>
        <v>OK</v>
      </c>
    </row>
    <row r="3259" spans="1:14" x14ac:dyDescent="0.3">
      <c r="A3259" s="2">
        <f>DATE(VALUE(RIGHT(TRIM([1]Raw_Data!A3257),4)),VALUE(MID(TRIM([1]Raw_Data!A3257),4,2)),VALUE(LEFT(TRIM([1]Raw_Data!A3257),2)))</f>
        <v>45257</v>
      </c>
      <c r="B3259" s="3" t="str">
        <f>TRIM([1]Raw_Data!B3257)</f>
        <v>Zinc</v>
      </c>
      <c r="C3259" s="3" t="str">
        <f>TRIM([1]Raw_Data!C3257)</f>
        <v>Mineral</v>
      </c>
      <c r="D3259" s="3">
        <f>[1]Raw_Data!D3257</f>
        <v>155</v>
      </c>
      <c r="E3259" s="4">
        <f>[1]Raw_Data!E3257</f>
        <v>54.76</v>
      </c>
      <c r="F3259" s="5">
        <f>[1]Raw_Data!F3257</f>
        <v>8487.7999999999993</v>
      </c>
      <c r="G3259" s="4">
        <f>[1]Raw_Data!G3257</f>
        <v>0.2</v>
      </c>
      <c r="H3259" s="3">
        <f>[1]Raw_Data!H3257</f>
        <v>2</v>
      </c>
      <c r="I3259" s="3" t="str">
        <f>TRIM([1]Raw_Data!I3257)</f>
        <v>UK</v>
      </c>
      <c r="J3259" s="3" t="str">
        <f>TRIM([1]Raw_Data!J3257)</f>
        <v>iHerb</v>
      </c>
      <c r="K3259" s="3">
        <f t="shared" si="200"/>
        <v>2023</v>
      </c>
      <c r="L3259" s="6">
        <f t="shared" si="201"/>
        <v>45231</v>
      </c>
      <c r="M3259" s="3" t="str">
        <f t="shared" si="202"/>
        <v>16% to 20%</v>
      </c>
      <c r="N3259" s="3" t="str">
        <f t="shared" si="203"/>
        <v>OK</v>
      </c>
    </row>
    <row r="3260" spans="1:14" x14ac:dyDescent="0.3">
      <c r="A3260" s="2">
        <f>DATE(VALUE(RIGHT(TRIM([1]Raw_Data!A3258),4)),VALUE(MID(TRIM([1]Raw_Data!A3258),4,2)),VALUE(LEFT(TRIM([1]Raw_Data!A3258),2)))</f>
        <v>45257</v>
      </c>
      <c r="B3260" s="3" t="str">
        <f>TRIM([1]Raw_Data!B3258)</f>
        <v>Collagen Peptides</v>
      </c>
      <c r="C3260" s="3" t="str">
        <f>TRIM([1]Raw_Data!C3258)</f>
        <v>Protein</v>
      </c>
      <c r="D3260" s="3">
        <f>[1]Raw_Data!D3258</f>
        <v>135</v>
      </c>
      <c r="E3260" s="4">
        <f>[1]Raw_Data!E3258</f>
        <v>38.86</v>
      </c>
      <c r="F3260" s="5">
        <f>[1]Raw_Data!F3258</f>
        <v>5246.1</v>
      </c>
      <c r="G3260" s="4">
        <f>[1]Raw_Data!G3258</f>
        <v>7.0000000000000007E-2</v>
      </c>
      <c r="H3260" s="3">
        <f>[1]Raw_Data!H3258</f>
        <v>2</v>
      </c>
      <c r="I3260" s="3" t="str">
        <f>TRIM([1]Raw_Data!I3258)</f>
        <v>Canada</v>
      </c>
      <c r="J3260" s="3" t="str">
        <f>TRIM([1]Raw_Data!J3258)</f>
        <v>iHerb</v>
      </c>
      <c r="K3260" s="3">
        <f t="shared" si="200"/>
        <v>2023</v>
      </c>
      <c r="L3260" s="6">
        <f t="shared" si="201"/>
        <v>45231</v>
      </c>
      <c r="M3260" s="3" t="str">
        <f t="shared" si="202"/>
        <v>6% to 10%</v>
      </c>
      <c r="N3260" s="3" t="str">
        <f t="shared" si="203"/>
        <v>OK</v>
      </c>
    </row>
    <row r="3261" spans="1:14" x14ac:dyDescent="0.3">
      <c r="A3261" s="2">
        <f>DATE(VALUE(RIGHT(TRIM([1]Raw_Data!A3259),4)),VALUE(MID(TRIM([1]Raw_Data!A3259),4,2)),VALUE(LEFT(TRIM([1]Raw_Data!A3259),2)))</f>
        <v>45257</v>
      </c>
      <c r="B3261" s="3" t="str">
        <f>TRIM([1]Raw_Data!B3259)</f>
        <v>Magnesium</v>
      </c>
      <c r="C3261" s="3" t="str">
        <f>TRIM([1]Raw_Data!C3259)</f>
        <v>Mineral</v>
      </c>
      <c r="D3261" s="3">
        <f>[1]Raw_Data!D3259</f>
        <v>154</v>
      </c>
      <c r="E3261" s="4">
        <f>[1]Raw_Data!E3259</f>
        <v>42.8</v>
      </c>
      <c r="F3261" s="5">
        <f>[1]Raw_Data!F3259</f>
        <v>6591.2</v>
      </c>
      <c r="G3261" s="4">
        <f>[1]Raw_Data!G3259</f>
        <v>0.23</v>
      </c>
      <c r="H3261" s="3">
        <f>[1]Raw_Data!H3259</f>
        <v>0</v>
      </c>
      <c r="I3261" s="3" t="str">
        <f>TRIM([1]Raw_Data!I3259)</f>
        <v>USA</v>
      </c>
      <c r="J3261" s="3" t="str">
        <f>TRIM([1]Raw_Data!J3259)</f>
        <v>iHerb</v>
      </c>
      <c r="K3261" s="3">
        <f t="shared" si="200"/>
        <v>2023</v>
      </c>
      <c r="L3261" s="6">
        <f t="shared" si="201"/>
        <v>45231</v>
      </c>
      <c r="M3261" s="3" t="str">
        <f t="shared" si="202"/>
        <v>21% to 25%</v>
      </c>
      <c r="N3261" s="3" t="str">
        <f t="shared" si="203"/>
        <v>OK</v>
      </c>
    </row>
    <row r="3262" spans="1:14" x14ac:dyDescent="0.3">
      <c r="A3262" s="2">
        <f>DATE(VALUE(RIGHT(TRIM([1]Raw_Data!A3260),4)),VALUE(MID(TRIM([1]Raw_Data!A3260),4,2)),VALUE(LEFT(TRIM([1]Raw_Data!A3260),2)))</f>
        <v>45257</v>
      </c>
      <c r="B3262" s="3" t="str">
        <f>TRIM([1]Raw_Data!B3260)</f>
        <v>Ashwagandha</v>
      </c>
      <c r="C3262" s="3" t="str">
        <f>TRIM([1]Raw_Data!C3260)</f>
        <v>Herbal</v>
      </c>
      <c r="D3262" s="3">
        <f>[1]Raw_Data!D3260</f>
        <v>153</v>
      </c>
      <c r="E3262" s="4">
        <f>[1]Raw_Data!E3260</f>
        <v>32.979999999999997</v>
      </c>
      <c r="F3262" s="5">
        <f>[1]Raw_Data!F3260</f>
        <v>5045.9399999999996</v>
      </c>
      <c r="G3262" s="4">
        <f>[1]Raw_Data!G3260</f>
        <v>7.0000000000000007E-2</v>
      </c>
      <c r="H3262" s="3">
        <f>[1]Raw_Data!H3260</f>
        <v>1</v>
      </c>
      <c r="I3262" s="3" t="str">
        <f>TRIM([1]Raw_Data!I3260)</f>
        <v>USA</v>
      </c>
      <c r="J3262" s="3" t="str">
        <f>TRIM([1]Raw_Data!J3260)</f>
        <v>iHerb</v>
      </c>
      <c r="K3262" s="3">
        <f t="shared" si="200"/>
        <v>2023</v>
      </c>
      <c r="L3262" s="6">
        <f t="shared" si="201"/>
        <v>45231</v>
      </c>
      <c r="M3262" s="3" t="str">
        <f t="shared" si="202"/>
        <v>6% to 10%</v>
      </c>
      <c r="N3262" s="3" t="str">
        <f t="shared" si="203"/>
        <v>OK</v>
      </c>
    </row>
    <row r="3263" spans="1:14" x14ac:dyDescent="0.3">
      <c r="A3263" s="2">
        <f>DATE(VALUE(RIGHT(TRIM([1]Raw_Data!A3261),4)),VALUE(MID(TRIM([1]Raw_Data!A3261),4,2)),VALUE(LEFT(TRIM([1]Raw_Data!A3261),2)))</f>
        <v>45257</v>
      </c>
      <c r="B3263" s="3" t="str">
        <f>TRIM([1]Raw_Data!B3261)</f>
        <v>Melatonin</v>
      </c>
      <c r="C3263" s="3" t="str">
        <f>TRIM([1]Raw_Data!C3261)</f>
        <v>Sleep Aid</v>
      </c>
      <c r="D3263" s="3">
        <f>[1]Raw_Data!D3261</f>
        <v>154</v>
      </c>
      <c r="E3263" s="4">
        <f>[1]Raw_Data!E3261</f>
        <v>29.19</v>
      </c>
      <c r="F3263" s="5">
        <f>[1]Raw_Data!F3261</f>
        <v>4495.26</v>
      </c>
      <c r="G3263" s="4">
        <f>[1]Raw_Data!G3261</f>
        <v>0.13</v>
      </c>
      <c r="H3263" s="3">
        <f>[1]Raw_Data!H3261</f>
        <v>1</v>
      </c>
      <c r="I3263" s="3" t="str">
        <f>TRIM([1]Raw_Data!I3261)</f>
        <v>UK</v>
      </c>
      <c r="J3263" s="3" t="str">
        <f>TRIM([1]Raw_Data!J3261)</f>
        <v>Amazon</v>
      </c>
      <c r="K3263" s="3">
        <f t="shared" si="200"/>
        <v>2023</v>
      </c>
      <c r="L3263" s="6">
        <f t="shared" si="201"/>
        <v>45231</v>
      </c>
      <c r="M3263" s="3" t="str">
        <f t="shared" si="202"/>
        <v>11% to 15%</v>
      </c>
      <c r="N3263" s="3" t="str">
        <f t="shared" si="203"/>
        <v>OK</v>
      </c>
    </row>
    <row r="3264" spans="1:14" x14ac:dyDescent="0.3">
      <c r="A3264" s="2">
        <f>DATE(VALUE(RIGHT(TRIM([1]Raw_Data!A3262),4)),VALUE(MID(TRIM([1]Raw_Data!A3262),4,2)),VALUE(LEFT(TRIM([1]Raw_Data!A3262),2)))</f>
        <v>45257</v>
      </c>
      <c r="B3264" s="3" t="str">
        <f>TRIM([1]Raw_Data!B3262)</f>
        <v>Biotin</v>
      </c>
      <c r="C3264" s="3" t="str">
        <f>TRIM([1]Raw_Data!C3262)</f>
        <v>Vitamin</v>
      </c>
      <c r="D3264" s="3">
        <f>[1]Raw_Data!D3262</f>
        <v>145</v>
      </c>
      <c r="E3264" s="4">
        <f>[1]Raw_Data!E3262</f>
        <v>23.8</v>
      </c>
      <c r="F3264" s="5">
        <f>[1]Raw_Data!F3262</f>
        <v>3451</v>
      </c>
      <c r="G3264" s="4">
        <f>[1]Raw_Data!G3262</f>
        <v>0.05</v>
      </c>
      <c r="H3264" s="3">
        <f>[1]Raw_Data!H3262</f>
        <v>1</v>
      </c>
      <c r="I3264" s="3" t="str">
        <f>TRIM([1]Raw_Data!I3262)</f>
        <v>Canada</v>
      </c>
      <c r="J3264" s="3" t="str">
        <f>TRIM([1]Raw_Data!J3262)</f>
        <v>iHerb</v>
      </c>
      <c r="K3264" s="3">
        <f t="shared" si="200"/>
        <v>2023</v>
      </c>
      <c r="L3264" s="6">
        <f t="shared" si="201"/>
        <v>45231</v>
      </c>
      <c r="M3264" s="3" t="str">
        <f t="shared" si="202"/>
        <v>0% to 5%</v>
      </c>
      <c r="N3264" s="3" t="str">
        <f t="shared" si="203"/>
        <v>OK</v>
      </c>
    </row>
    <row r="3265" spans="1:14" x14ac:dyDescent="0.3">
      <c r="A3265" s="2">
        <f>DATE(VALUE(RIGHT(TRIM([1]Raw_Data!A3263),4)),VALUE(MID(TRIM([1]Raw_Data!A3263),4,2)),VALUE(LEFT(TRIM([1]Raw_Data!A3263),2)))</f>
        <v>45257</v>
      </c>
      <c r="B3265" s="3" t="str">
        <f>TRIM([1]Raw_Data!B3263)</f>
        <v>Green Tea Extract</v>
      </c>
      <c r="C3265" s="3" t="str">
        <f>TRIM([1]Raw_Data!C3263)</f>
        <v>Fat Burner</v>
      </c>
      <c r="D3265" s="3">
        <f>[1]Raw_Data!D3263</f>
        <v>164</v>
      </c>
      <c r="E3265" s="4">
        <f>[1]Raw_Data!E3263</f>
        <v>11.64</v>
      </c>
      <c r="F3265" s="5">
        <f>[1]Raw_Data!F3263</f>
        <v>1908.96</v>
      </c>
      <c r="G3265" s="4">
        <f>[1]Raw_Data!G3263</f>
        <v>0.06</v>
      </c>
      <c r="H3265" s="3">
        <f>[1]Raw_Data!H3263</f>
        <v>5</v>
      </c>
      <c r="I3265" s="3" t="str">
        <f>TRIM([1]Raw_Data!I3263)</f>
        <v>Canada</v>
      </c>
      <c r="J3265" s="3" t="str">
        <f>TRIM([1]Raw_Data!J3263)</f>
        <v>Amazon</v>
      </c>
      <c r="K3265" s="3">
        <f t="shared" si="200"/>
        <v>2023</v>
      </c>
      <c r="L3265" s="6">
        <f t="shared" si="201"/>
        <v>45231</v>
      </c>
      <c r="M3265" s="3" t="str">
        <f t="shared" si="202"/>
        <v>6% to 10%</v>
      </c>
      <c r="N3265" s="3" t="str">
        <f t="shared" si="203"/>
        <v>OK</v>
      </c>
    </row>
    <row r="3266" spans="1:14" x14ac:dyDescent="0.3">
      <c r="A3266" s="2">
        <f>DATE(VALUE(RIGHT(TRIM([1]Raw_Data!A3264),4)),VALUE(MID(TRIM([1]Raw_Data!A3264),4,2)),VALUE(LEFT(TRIM([1]Raw_Data!A3264),2)))</f>
        <v>45257</v>
      </c>
      <c r="B3266" s="3" t="str">
        <f>TRIM([1]Raw_Data!B3264)</f>
        <v>Iron Supplement</v>
      </c>
      <c r="C3266" s="3" t="str">
        <f>TRIM([1]Raw_Data!C3264)</f>
        <v>Mineral</v>
      </c>
      <c r="D3266" s="3">
        <f>[1]Raw_Data!D3264</f>
        <v>163</v>
      </c>
      <c r="E3266" s="4">
        <f>[1]Raw_Data!E3264</f>
        <v>56.46</v>
      </c>
      <c r="F3266" s="5">
        <f>[1]Raw_Data!F3264</f>
        <v>9202.98</v>
      </c>
      <c r="G3266" s="4">
        <f>[1]Raw_Data!G3264</f>
        <v>0.11</v>
      </c>
      <c r="H3266" s="3">
        <f>[1]Raw_Data!H3264</f>
        <v>5</v>
      </c>
      <c r="I3266" s="3" t="str">
        <f>TRIM([1]Raw_Data!I3264)</f>
        <v>UK</v>
      </c>
      <c r="J3266" s="3" t="str">
        <f>TRIM([1]Raw_Data!J3264)</f>
        <v>iHerb</v>
      </c>
      <c r="K3266" s="3">
        <f t="shared" si="200"/>
        <v>2023</v>
      </c>
      <c r="L3266" s="6">
        <f t="shared" si="201"/>
        <v>45231</v>
      </c>
      <c r="M3266" s="3" t="str">
        <f t="shared" si="202"/>
        <v>11% to 15%</v>
      </c>
      <c r="N3266" s="3" t="str">
        <f t="shared" si="203"/>
        <v>OK</v>
      </c>
    </row>
    <row r="3267" spans="1:14" x14ac:dyDescent="0.3">
      <c r="A3267" s="2">
        <f>DATE(VALUE(RIGHT(TRIM([1]Raw_Data!A3265),4)),VALUE(MID(TRIM([1]Raw_Data!A3265),4,2)),VALUE(LEFT(TRIM([1]Raw_Data!A3265),2)))</f>
        <v>45257</v>
      </c>
      <c r="B3267" s="3" t="str">
        <f>TRIM([1]Raw_Data!B3265)</f>
        <v>Electrolyte Powder</v>
      </c>
      <c r="C3267" s="3" t="str">
        <f>TRIM([1]Raw_Data!C3265)</f>
        <v>Hydration</v>
      </c>
      <c r="D3267" s="3">
        <f>[1]Raw_Data!D3265</f>
        <v>142</v>
      </c>
      <c r="E3267" s="4">
        <f>[1]Raw_Data!E3265</f>
        <v>41.9</v>
      </c>
      <c r="F3267" s="5">
        <f>[1]Raw_Data!F3265</f>
        <v>5949.8</v>
      </c>
      <c r="G3267" s="4">
        <f>[1]Raw_Data!G3265</f>
        <v>0.09</v>
      </c>
      <c r="H3267" s="3">
        <f>[1]Raw_Data!H3265</f>
        <v>2</v>
      </c>
      <c r="I3267" s="3" t="str">
        <f>TRIM([1]Raw_Data!I3265)</f>
        <v>UK</v>
      </c>
      <c r="J3267" s="3" t="str">
        <f>TRIM([1]Raw_Data!J3265)</f>
        <v>iHerb</v>
      </c>
      <c r="K3267" s="3">
        <f t="shared" si="200"/>
        <v>2023</v>
      </c>
      <c r="L3267" s="6">
        <f t="shared" si="201"/>
        <v>45231</v>
      </c>
      <c r="M3267" s="3" t="str">
        <f t="shared" si="202"/>
        <v>6% to 10%</v>
      </c>
      <c r="N3267" s="3" t="str">
        <f t="shared" si="203"/>
        <v>OK</v>
      </c>
    </row>
    <row r="3268" spans="1:14" x14ac:dyDescent="0.3">
      <c r="A3268" s="2">
        <f>DATE(VALUE(RIGHT(TRIM([1]Raw_Data!A3266),4)),VALUE(MID(TRIM([1]Raw_Data!A3266),4,2)),VALUE(LEFT(TRIM([1]Raw_Data!A3266),2)))</f>
        <v>45264</v>
      </c>
      <c r="B3268" s="3" t="str">
        <f>TRIM([1]Raw_Data!B3266)</f>
        <v>Whey Protein</v>
      </c>
      <c r="C3268" s="3" t="str">
        <f>TRIM([1]Raw_Data!C3266)</f>
        <v>Protein</v>
      </c>
      <c r="D3268" s="3">
        <f>[1]Raw_Data!D3266</f>
        <v>143</v>
      </c>
      <c r="E3268" s="4">
        <f>[1]Raw_Data!E3266</f>
        <v>23.79</v>
      </c>
      <c r="F3268" s="5">
        <f>[1]Raw_Data!F3266</f>
        <v>3401.97</v>
      </c>
      <c r="G3268" s="4">
        <f>[1]Raw_Data!G3266</f>
        <v>0.01</v>
      </c>
      <c r="H3268" s="3">
        <f>[1]Raw_Data!H3266</f>
        <v>3</v>
      </c>
      <c r="I3268" s="3" t="str">
        <f>TRIM([1]Raw_Data!I3266)</f>
        <v>Canada</v>
      </c>
      <c r="J3268" s="3" t="str">
        <f>TRIM([1]Raw_Data!J3266)</f>
        <v>iHerb</v>
      </c>
      <c r="K3268" s="3">
        <f t="shared" ref="K3268:K3331" si="204">YEAR(A3268)</f>
        <v>2023</v>
      </c>
      <c r="L3268" s="6">
        <f t="shared" ref="L3268:L3331" si="205">DATE(YEAR(A3268),MONTH(A3268),1)</f>
        <v>45261</v>
      </c>
      <c r="M3268" s="3" t="str">
        <f t="shared" ref="M3268:M3331" si="206">IF(ROUND(G3268*100,0)&lt;=5,"0% to 5%",IF(ROUND(G3268*100,0)&lt;=10,"6% to 10%",IF(ROUND(G3268*100,0)&lt;=15,"11% to 15%",IF(ROUND(G3268*100,0)&lt;=20,"16% to 20%","21% to 25%"))))</f>
        <v>0% to 5%</v>
      </c>
      <c r="N3268" s="3" t="str">
        <f t="shared" ref="N3268:N3331" si="207">IF(ROUND(D3268*E3268,2)=ROUND(F3268,2),"OK","Check")</f>
        <v>OK</v>
      </c>
    </row>
    <row r="3269" spans="1:14" x14ac:dyDescent="0.3">
      <c r="A3269" s="2">
        <f>DATE(VALUE(RIGHT(TRIM([1]Raw_Data!A3267),4)),VALUE(MID(TRIM([1]Raw_Data!A3267),4,2)),VALUE(LEFT(TRIM([1]Raw_Data!A3267),2)))</f>
        <v>45264</v>
      </c>
      <c r="B3269" s="3" t="str">
        <f>TRIM([1]Raw_Data!B3267)</f>
        <v>Vitamin C</v>
      </c>
      <c r="C3269" s="3" t="str">
        <f>TRIM([1]Raw_Data!C3267)</f>
        <v>Vitamin</v>
      </c>
      <c r="D3269" s="3">
        <f>[1]Raw_Data!D3267</f>
        <v>158</v>
      </c>
      <c r="E3269" s="4">
        <f>[1]Raw_Data!E3267</f>
        <v>37.950000000000003</v>
      </c>
      <c r="F3269" s="5">
        <f>[1]Raw_Data!F3267</f>
        <v>5996.1</v>
      </c>
      <c r="G3269" s="4">
        <f>[1]Raw_Data!G3267</f>
        <v>0.03</v>
      </c>
      <c r="H3269" s="3">
        <f>[1]Raw_Data!H3267</f>
        <v>0</v>
      </c>
      <c r="I3269" s="3" t="str">
        <f>TRIM([1]Raw_Data!I3267)</f>
        <v>USA</v>
      </c>
      <c r="J3269" s="3" t="str">
        <f>TRIM([1]Raw_Data!J3267)</f>
        <v>iHerb</v>
      </c>
      <c r="K3269" s="3">
        <f t="shared" si="204"/>
        <v>2023</v>
      </c>
      <c r="L3269" s="6">
        <f t="shared" si="205"/>
        <v>45261</v>
      </c>
      <c r="M3269" s="3" t="str">
        <f t="shared" si="206"/>
        <v>0% to 5%</v>
      </c>
      <c r="N3269" s="3" t="str">
        <f t="shared" si="207"/>
        <v>OK</v>
      </c>
    </row>
    <row r="3270" spans="1:14" x14ac:dyDescent="0.3">
      <c r="A3270" s="2">
        <f>DATE(VALUE(RIGHT(TRIM([1]Raw_Data!A3268),4)),VALUE(MID(TRIM([1]Raw_Data!A3268),4,2)),VALUE(LEFT(TRIM([1]Raw_Data!A3268),2)))</f>
        <v>45264</v>
      </c>
      <c r="B3270" s="3" t="str">
        <f>TRIM([1]Raw_Data!B3268)</f>
        <v>Fish Oil</v>
      </c>
      <c r="C3270" s="3" t="str">
        <f>TRIM([1]Raw_Data!C3268)</f>
        <v>Omega</v>
      </c>
      <c r="D3270" s="3">
        <f>[1]Raw_Data!D3268</f>
        <v>142</v>
      </c>
      <c r="E3270" s="4">
        <f>[1]Raw_Data!E3268</f>
        <v>18.649999999999999</v>
      </c>
      <c r="F3270" s="5">
        <f>[1]Raw_Data!F3268</f>
        <v>2648.3</v>
      </c>
      <c r="G3270" s="4">
        <f>[1]Raw_Data!G3268</f>
        <v>0.23</v>
      </c>
      <c r="H3270" s="3">
        <f>[1]Raw_Data!H3268</f>
        <v>1</v>
      </c>
      <c r="I3270" s="3" t="str">
        <f>TRIM([1]Raw_Data!I3268)</f>
        <v>USA</v>
      </c>
      <c r="J3270" s="3" t="str">
        <f>TRIM([1]Raw_Data!J3268)</f>
        <v>iHerb</v>
      </c>
      <c r="K3270" s="3">
        <f t="shared" si="204"/>
        <v>2023</v>
      </c>
      <c r="L3270" s="6">
        <f t="shared" si="205"/>
        <v>45261</v>
      </c>
      <c r="M3270" s="3" t="str">
        <f t="shared" si="206"/>
        <v>21% to 25%</v>
      </c>
      <c r="N3270" s="3" t="str">
        <f t="shared" si="207"/>
        <v>OK</v>
      </c>
    </row>
    <row r="3271" spans="1:14" x14ac:dyDescent="0.3">
      <c r="A3271" s="2">
        <f>DATE(VALUE(RIGHT(TRIM([1]Raw_Data!A3269),4)),VALUE(MID(TRIM([1]Raw_Data!A3269),4,2)),VALUE(LEFT(TRIM([1]Raw_Data!A3269),2)))</f>
        <v>45264</v>
      </c>
      <c r="B3271" s="3" t="str">
        <f>TRIM([1]Raw_Data!B3269)</f>
        <v>Multivitamin</v>
      </c>
      <c r="C3271" s="3" t="str">
        <f>TRIM([1]Raw_Data!C3269)</f>
        <v>Vitamin</v>
      </c>
      <c r="D3271" s="3">
        <f>[1]Raw_Data!D3269</f>
        <v>158</v>
      </c>
      <c r="E3271" s="4">
        <f>[1]Raw_Data!E3269</f>
        <v>23.45</v>
      </c>
      <c r="F3271" s="5">
        <f>[1]Raw_Data!F3269</f>
        <v>3705.1</v>
      </c>
      <c r="G3271" s="4">
        <f>[1]Raw_Data!G3269</f>
        <v>0.24</v>
      </c>
      <c r="H3271" s="3">
        <f>[1]Raw_Data!H3269</f>
        <v>1</v>
      </c>
      <c r="I3271" s="3" t="str">
        <f>TRIM([1]Raw_Data!I3269)</f>
        <v>UK</v>
      </c>
      <c r="J3271" s="3" t="str">
        <f>TRIM([1]Raw_Data!J3269)</f>
        <v>Amazon</v>
      </c>
      <c r="K3271" s="3">
        <f t="shared" si="204"/>
        <v>2023</v>
      </c>
      <c r="L3271" s="6">
        <f t="shared" si="205"/>
        <v>45261</v>
      </c>
      <c r="M3271" s="3" t="str">
        <f t="shared" si="206"/>
        <v>21% to 25%</v>
      </c>
      <c r="N3271" s="3" t="str">
        <f t="shared" si="207"/>
        <v>OK</v>
      </c>
    </row>
    <row r="3272" spans="1:14" x14ac:dyDescent="0.3">
      <c r="A3272" s="2">
        <f>DATE(VALUE(RIGHT(TRIM([1]Raw_Data!A3270),4)),VALUE(MID(TRIM([1]Raw_Data!A3270),4,2)),VALUE(LEFT(TRIM([1]Raw_Data!A3270),2)))</f>
        <v>45264</v>
      </c>
      <c r="B3272" s="3" t="str">
        <f>TRIM([1]Raw_Data!B3270)</f>
        <v>Pre-Workout</v>
      </c>
      <c r="C3272" s="3" t="str">
        <f>TRIM([1]Raw_Data!C3270)</f>
        <v>Performance</v>
      </c>
      <c r="D3272" s="3">
        <f>[1]Raw_Data!D3270</f>
        <v>142</v>
      </c>
      <c r="E3272" s="4">
        <f>[1]Raw_Data!E3270</f>
        <v>16.45</v>
      </c>
      <c r="F3272" s="5">
        <f>[1]Raw_Data!F3270</f>
        <v>2335.9</v>
      </c>
      <c r="G3272" s="4">
        <f>[1]Raw_Data!G3270</f>
        <v>0.06</v>
      </c>
      <c r="H3272" s="3">
        <f>[1]Raw_Data!H3270</f>
        <v>2</v>
      </c>
      <c r="I3272" s="3" t="str">
        <f>TRIM([1]Raw_Data!I3270)</f>
        <v>USA</v>
      </c>
      <c r="J3272" s="3" t="str">
        <f>TRIM([1]Raw_Data!J3270)</f>
        <v>iHerb</v>
      </c>
      <c r="K3272" s="3">
        <f t="shared" si="204"/>
        <v>2023</v>
      </c>
      <c r="L3272" s="6">
        <f t="shared" si="205"/>
        <v>45261</v>
      </c>
      <c r="M3272" s="3" t="str">
        <f t="shared" si="206"/>
        <v>6% to 10%</v>
      </c>
      <c r="N3272" s="3" t="str">
        <f t="shared" si="207"/>
        <v>OK</v>
      </c>
    </row>
    <row r="3273" spans="1:14" x14ac:dyDescent="0.3">
      <c r="A3273" s="2">
        <f>DATE(VALUE(RIGHT(TRIM([1]Raw_Data!A3271),4)),VALUE(MID(TRIM([1]Raw_Data!A3271),4,2)),VALUE(LEFT(TRIM([1]Raw_Data!A3271),2)))</f>
        <v>45264</v>
      </c>
      <c r="B3273" s="3" t="str">
        <f>TRIM([1]Raw_Data!B3271)</f>
        <v>BCAA</v>
      </c>
      <c r="C3273" s="3" t="str">
        <f>TRIM([1]Raw_Data!C3271)</f>
        <v>Amino Acid</v>
      </c>
      <c r="D3273" s="3">
        <f>[1]Raw_Data!D3271</f>
        <v>148</v>
      </c>
      <c r="E3273" s="4">
        <f>[1]Raw_Data!E3271</f>
        <v>16.12</v>
      </c>
      <c r="F3273" s="5">
        <f>[1]Raw_Data!F3271</f>
        <v>2385.7600000000002</v>
      </c>
      <c r="G3273" s="4">
        <f>[1]Raw_Data!G3271</f>
        <v>0.2</v>
      </c>
      <c r="H3273" s="3">
        <f>[1]Raw_Data!H3271</f>
        <v>2</v>
      </c>
      <c r="I3273" s="3" t="str">
        <f>TRIM([1]Raw_Data!I3271)</f>
        <v>Canada</v>
      </c>
      <c r="J3273" s="3" t="str">
        <f>TRIM([1]Raw_Data!J3271)</f>
        <v>Amazon</v>
      </c>
      <c r="K3273" s="3">
        <f t="shared" si="204"/>
        <v>2023</v>
      </c>
      <c r="L3273" s="6">
        <f t="shared" si="205"/>
        <v>45261</v>
      </c>
      <c r="M3273" s="3" t="str">
        <f t="shared" si="206"/>
        <v>16% to 20%</v>
      </c>
      <c r="N3273" s="3" t="str">
        <f t="shared" si="207"/>
        <v>OK</v>
      </c>
    </row>
    <row r="3274" spans="1:14" x14ac:dyDescent="0.3">
      <c r="A3274" s="2">
        <f>DATE(VALUE(RIGHT(TRIM([1]Raw_Data!A3272),4)),VALUE(MID(TRIM([1]Raw_Data!A3272),4,2)),VALUE(LEFT(TRIM([1]Raw_Data!A3272),2)))</f>
        <v>45264</v>
      </c>
      <c r="B3274" s="3" t="str">
        <f>TRIM([1]Raw_Data!B3272)</f>
        <v>Creatine</v>
      </c>
      <c r="C3274" s="3" t="str">
        <f>TRIM([1]Raw_Data!C3272)</f>
        <v>Performance</v>
      </c>
      <c r="D3274" s="3">
        <f>[1]Raw_Data!D3272</f>
        <v>127</v>
      </c>
      <c r="E3274" s="4">
        <f>[1]Raw_Data!E3272</f>
        <v>46.86</v>
      </c>
      <c r="F3274" s="5">
        <f>[1]Raw_Data!F3272</f>
        <v>5951.22</v>
      </c>
      <c r="G3274" s="4">
        <f>[1]Raw_Data!G3272</f>
        <v>0.23</v>
      </c>
      <c r="H3274" s="3">
        <f>[1]Raw_Data!H3272</f>
        <v>0</v>
      </c>
      <c r="I3274" s="3" t="str">
        <f>TRIM([1]Raw_Data!I3272)</f>
        <v>Canada</v>
      </c>
      <c r="J3274" s="3" t="str">
        <f>TRIM([1]Raw_Data!J3272)</f>
        <v>Amazon</v>
      </c>
      <c r="K3274" s="3">
        <f t="shared" si="204"/>
        <v>2023</v>
      </c>
      <c r="L3274" s="6">
        <f t="shared" si="205"/>
        <v>45261</v>
      </c>
      <c r="M3274" s="3" t="str">
        <f t="shared" si="206"/>
        <v>21% to 25%</v>
      </c>
      <c r="N3274" s="3" t="str">
        <f t="shared" si="207"/>
        <v>OK</v>
      </c>
    </row>
    <row r="3275" spans="1:14" x14ac:dyDescent="0.3">
      <c r="A3275" s="2">
        <f>DATE(VALUE(RIGHT(TRIM([1]Raw_Data!A3273),4)),VALUE(MID(TRIM([1]Raw_Data!A3273),4,2)),VALUE(LEFT(TRIM([1]Raw_Data!A3273),2)))</f>
        <v>45264</v>
      </c>
      <c r="B3275" s="3" t="str">
        <f>TRIM([1]Raw_Data!B3273)</f>
        <v>Zinc</v>
      </c>
      <c r="C3275" s="3" t="str">
        <f>TRIM([1]Raw_Data!C3273)</f>
        <v>Mineral</v>
      </c>
      <c r="D3275" s="3">
        <f>[1]Raw_Data!D3273</f>
        <v>148</v>
      </c>
      <c r="E3275" s="4">
        <f>[1]Raw_Data!E3273</f>
        <v>28.56</v>
      </c>
      <c r="F3275" s="5">
        <f>[1]Raw_Data!F3273</f>
        <v>4226.88</v>
      </c>
      <c r="G3275" s="4">
        <f>[1]Raw_Data!G3273</f>
        <v>0.13</v>
      </c>
      <c r="H3275" s="3">
        <f>[1]Raw_Data!H3273</f>
        <v>0</v>
      </c>
      <c r="I3275" s="3" t="str">
        <f>TRIM([1]Raw_Data!I3273)</f>
        <v>UK</v>
      </c>
      <c r="J3275" s="3" t="str">
        <f>TRIM([1]Raw_Data!J3273)</f>
        <v>Walmart</v>
      </c>
      <c r="K3275" s="3">
        <f t="shared" si="204"/>
        <v>2023</v>
      </c>
      <c r="L3275" s="6">
        <f t="shared" si="205"/>
        <v>45261</v>
      </c>
      <c r="M3275" s="3" t="str">
        <f t="shared" si="206"/>
        <v>11% to 15%</v>
      </c>
      <c r="N3275" s="3" t="str">
        <f t="shared" si="207"/>
        <v>OK</v>
      </c>
    </row>
    <row r="3276" spans="1:14" x14ac:dyDescent="0.3">
      <c r="A3276" s="2">
        <f>DATE(VALUE(RIGHT(TRIM([1]Raw_Data!A3274),4)),VALUE(MID(TRIM([1]Raw_Data!A3274),4,2)),VALUE(LEFT(TRIM([1]Raw_Data!A3274),2)))</f>
        <v>45264</v>
      </c>
      <c r="B3276" s="3" t="str">
        <f>TRIM([1]Raw_Data!B3274)</f>
        <v>Collagen Peptides</v>
      </c>
      <c r="C3276" s="3" t="str">
        <f>TRIM([1]Raw_Data!C3274)</f>
        <v>Protein</v>
      </c>
      <c r="D3276" s="3">
        <f>[1]Raw_Data!D3274</f>
        <v>158</v>
      </c>
      <c r="E3276" s="4">
        <f>[1]Raw_Data!E3274</f>
        <v>51.45</v>
      </c>
      <c r="F3276" s="5">
        <f>[1]Raw_Data!F3274</f>
        <v>8129.1</v>
      </c>
      <c r="G3276" s="4">
        <f>[1]Raw_Data!G3274</f>
        <v>7.0000000000000007E-2</v>
      </c>
      <c r="H3276" s="3">
        <f>[1]Raw_Data!H3274</f>
        <v>3</v>
      </c>
      <c r="I3276" s="3" t="str">
        <f>TRIM([1]Raw_Data!I3274)</f>
        <v>USA</v>
      </c>
      <c r="J3276" s="3" t="str">
        <f>TRIM([1]Raw_Data!J3274)</f>
        <v>Walmart</v>
      </c>
      <c r="K3276" s="3">
        <f t="shared" si="204"/>
        <v>2023</v>
      </c>
      <c r="L3276" s="6">
        <f t="shared" si="205"/>
        <v>45261</v>
      </c>
      <c r="M3276" s="3" t="str">
        <f t="shared" si="206"/>
        <v>6% to 10%</v>
      </c>
      <c r="N3276" s="3" t="str">
        <f t="shared" si="207"/>
        <v>OK</v>
      </c>
    </row>
    <row r="3277" spans="1:14" x14ac:dyDescent="0.3">
      <c r="A3277" s="2">
        <f>DATE(VALUE(RIGHT(TRIM([1]Raw_Data!A3275),4)),VALUE(MID(TRIM([1]Raw_Data!A3275),4,2)),VALUE(LEFT(TRIM([1]Raw_Data!A3275),2)))</f>
        <v>45264</v>
      </c>
      <c r="B3277" s="3" t="str">
        <f>TRIM([1]Raw_Data!B3275)</f>
        <v>Magnesium</v>
      </c>
      <c r="C3277" s="3" t="str">
        <f>TRIM([1]Raw_Data!C3275)</f>
        <v>Mineral</v>
      </c>
      <c r="D3277" s="3">
        <f>[1]Raw_Data!D3275</f>
        <v>161</v>
      </c>
      <c r="E3277" s="4">
        <f>[1]Raw_Data!E3275</f>
        <v>38.69</v>
      </c>
      <c r="F3277" s="5">
        <f>[1]Raw_Data!F3275</f>
        <v>6229.09</v>
      </c>
      <c r="G3277" s="4">
        <f>[1]Raw_Data!G3275</f>
        <v>0.05</v>
      </c>
      <c r="H3277" s="3">
        <f>[1]Raw_Data!H3275</f>
        <v>2</v>
      </c>
      <c r="I3277" s="3" t="str">
        <f>TRIM([1]Raw_Data!I3275)</f>
        <v>USA</v>
      </c>
      <c r="J3277" s="3" t="str">
        <f>TRIM([1]Raw_Data!J3275)</f>
        <v>Amazon</v>
      </c>
      <c r="K3277" s="3">
        <f t="shared" si="204"/>
        <v>2023</v>
      </c>
      <c r="L3277" s="6">
        <f t="shared" si="205"/>
        <v>45261</v>
      </c>
      <c r="M3277" s="3" t="str">
        <f t="shared" si="206"/>
        <v>0% to 5%</v>
      </c>
      <c r="N3277" s="3" t="str">
        <f t="shared" si="207"/>
        <v>OK</v>
      </c>
    </row>
    <row r="3278" spans="1:14" x14ac:dyDescent="0.3">
      <c r="A3278" s="2">
        <f>DATE(VALUE(RIGHT(TRIM([1]Raw_Data!A3276),4)),VALUE(MID(TRIM([1]Raw_Data!A3276),4,2)),VALUE(LEFT(TRIM([1]Raw_Data!A3276),2)))</f>
        <v>45264</v>
      </c>
      <c r="B3278" s="3" t="str">
        <f>TRIM([1]Raw_Data!B3276)</f>
        <v>Ashwagandha</v>
      </c>
      <c r="C3278" s="3" t="str">
        <f>TRIM([1]Raw_Data!C3276)</f>
        <v>Herbal</v>
      </c>
      <c r="D3278" s="3">
        <f>[1]Raw_Data!D3276</f>
        <v>151</v>
      </c>
      <c r="E3278" s="4">
        <f>[1]Raw_Data!E3276</f>
        <v>44.18</v>
      </c>
      <c r="F3278" s="5">
        <f>[1]Raw_Data!F3276</f>
        <v>6671.18</v>
      </c>
      <c r="G3278" s="4">
        <f>[1]Raw_Data!G3276</f>
        <v>0.24</v>
      </c>
      <c r="H3278" s="3">
        <f>[1]Raw_Data!H3276</f>
        <v>0</v>
      </c>
      <c r="I3278" s="3" t="str">
        <f>TRIM([1]Raw_Data!I3276)</f>
        <v>USA</v>
      </c>
      <c r="J3278" s="3" t="str">
        <f>TRIM([1]Raw_Data!J3276)</f>
        <v>Walmart</v>
      </c>
      <c r="K3278" s="3">
        <f t="shared" si="204"/>
        <v>2023</v>
      </c>
      <c r="L3278" s="6">
        <f t="shared" si="205"/>
        <v>45261</v>
      </c>
      <c r="M3278" s="3" t="str">
        <f t="shared" si="206"/>
        <v>21% to 25%</v>
      </c>
      <c r="N3278" s="3" t="str">
        <f t="shared" si="207"/>
        <v>OK</v>
      </c>
    </row>
    <row r="3279" spans="1:14" x14ac:dyDescent="0.3">
      <c r="A3279" s="2">
        <f>DATE(VALUE(RIGHT(TRIM([1]Raw_Data!A3277),4)),VALUE(MID(TRIM([1]Raw_Data!A3277),4,2)),VALUE(LEFT(TRIM([1]Raw_Data!A3277),2)))</f>
        <v>45264</v>
      </c>
      <c r="B3279" s="3" t="str">
        <f>TRIM([1]Raw_Data!B3277)</f>
        <v>Melatonin</v>
      </c>
      <c r="C3279" s="3" t="str">
        <f>TRIM([1]Raw_Data!C3277)</f>
        <v>Sleep Aid</v>
      </c>
      <c r="D3279" s="3">
        <f>[1]Raw_Data!D3277</f>
        <v>144</v>
      </c>
      <c r="E3279" s="4">
        <f>[1]Raw_Data!E3277</f>
        <v>18.510000000000002</v>
      </c>
      <c r="F3279" s="5">
        <f>[1]Raw_Data!F3277</f>
        <v>2665.44</v>
      </c>
      <c r="G3279" s="4">
        <f>[1]Raw_Data!G3277</f>
        <v>0.01</v>
      </c>
      <c r="H3279" s="3">
        <f>[1]Raw_Data!H3277</f>
        <v>1</v>
      </c>
      <c r="I3279" s="3" t="str">
        <f>TRIM([1]Raw_Data!I3277)</f>
        <v>USA</v>
      </c>
      <c r="J3279" s="3" t="str">
        <f>TRIM([1]Raw_Data!J3277)</f>
        <v>Amazon</v>
      </c>
      <c r="K3279" s="3">
        <f t="shared" si="204"/>
        <v>2023</v>
      </c>
      <c r="L3279" s="6">
        <f t="shared" si="205"/>
        <v>45261</v>
      </c>
      <c r="M3279" s="3" t="str">
        <f t="shared" si="206"/>
        <v>0% to 5%</v>
      </c>
      <c r="N3279" s="3" t="str">
        <f t="shared" si="207"/>
        <v>OK</v>
      </c>
    </row>
    <row r="3280" spans="1:14" x14ac:dyDescent="0.3">
      <c r="A3280" s="2">
        <f>DATE(VALUE(RIGHT(TRIM([1]Raw_Data!A3278),4)),VALUE(MID(TRIM([1]Raw_Data!A3278),4,2)),VALUE(LEFT(TRIM([1]Raw_Data!A3278),2)))</f>
        <v>45264</v>
      </c>
      <c r="B3280" s="3" t="str">
        <f>TRIM([1]Raw_Data!B3278)</f>
        <v>Biotin</v>
      </c>
      <c r="C3280" s="3" t="str">
        <f>TRIM([1]Raw_Data!C3278)</f>
        <v>Vitamin</v>
      </c>
      <c r="D3280" s="3">
        <f>[1]Raw_Data!D3278</f>
        <v>166</v>
      </c>
      <c r="E3280" s="4">
        <f>[1]Raw_Data!E3278</f>
        <v>31.45</v>
      </c>
      <c r="F3280" s="5">
        <f>[1]Raw_Data!F3278</f>
        <v>5220.7</v>
      </c>
      <c r="G3280" s="4">
        <f>[1]Raw_Data!G3278</f>
        <v>0.19</v>
      </c>
      <c r="H3280" s="3">
        <f>[1]Raw_Data!H3278</f>
        <v>4</v>
      </c>
      <c r="I3280" s="3" t="str">
        <f>TRIM([1]Raw_Data!I3278)</f>
        <v>Canada</v>
      </c>
      <c r="J3280" s="3" t="str">
        <f>TRIM([1]Raw_Data!J3278)</f>
        <v>Walmart</v>
      </c>
      <c r="K3280" s="3">
        <f t="shared" si="204"/>
        <v>2023</v>
      </c>
      <c r="L3280" s="6">
        <f t="shared" si="205"/>
        <v>45261</v>
      </c>
      <c r="M3280" s="3" t="str">
        <f t="shared" si="206"/>
        <v>16% to 20%</v>
      </c>
      <c r="N3280" s="3" t="str">
        <f t="shared" si="207"/>
        <v>OK</v>
      </c>
    </row>
    <row r="3281" spans="1:14" x14ac:dyDescent="0.3">
      <c r="A3281" s="2">
        <f>DATE(VALUE(RIGHT(TRIM([1]Raw_Data!A3279),4)),VALUE(MID(TRIM([1]Raw_Data!A3279),4,2)),VALUE(LEFT(TRIM([1]Raw_Data!A3279),2)))</f>
        <v>45264</v>
      </c>
      <c r="B3281" s="3" t="str">
        <f>TRIM([1]Raw_Data!B3279)</f>
        <v>Green Tea Extract</v>
      </c>
      <c r="C3281" s="3" t="str">
        <f>TRIM([1]Raw_Data!C3279)</f>
        <v>Fat Burner</v>
      </c>
      <c r="D3281" s="3">
        <f>[1]Raw_Data!D3279</f>
        <v>178</v>
      </c>
      <c r="E3281" s="4">
        <f>[1]Raw_Data!E3279</f>
        <v>47.3</v>
      </c>
      <c r="F3281" s="5">
        <f>[1]Raw_Data!F3279</f>
        <v>8419.4</v>
      </c>
      <c r="G3281" s="4">
        <f>[1]Raw_Data!G3279</f>
        <v>0.16</v>
      </c>
      <c r="H3281" s="3">
        <f>[1]Raw_Data!H3279</f>
        <v>1</v>
      </c>
      <c r="I3281" s="3" t="str">
        <f>TRIM([1]Raw_Data!I3279)</f>
        <v>USA</v>
      </c>
      <c r="J3281" s="3" t="str">
        <f>TRIM([1]Raw_Data!J3279)</f>
        <v>Walmart</v>
      </c>
      <c r="K3281" s="3">
        <f t="shared" si="204"/>
        <v>2023</v>
      </c>
      <c r="L3281" s="6">
        <f t="shared" si="205"/>
        <v>45261</v>
      </c>
      <c r="M3281" s="3" t="str">
        <f t="shared" si="206"/>
        <v>16% to 20%</v>
      </c>
      <c r="N3281" s="3" t="str">
        <f t="shared" si="207"/>
        <v>OK</v>
      </c>
    </row>
    <row r="3282" spans="1:14" x14ac:dyDescent="0.3">
      <c r="A3282" s="2">
        <f>DATE(VALUE(RIGHT(TRIM([1]Raw_Data!A3280),4)),VALUE(MID(TRIM([1]Raw_Data!A3280),4,2)),VALUE(LEFT(TRIM([1]Raw_Data!A3280),2)))</f>
        <v>45264</v>
      </c>
      <c r="B3282" s="3" t="str">
        <f>TRIM([1]Raw_Data!B3280)</f>
        <v>Iron Supplement</v>
      </c>
      <c r="C3282" s="3" t="str">
        <f>TRIM([1]Raw_Data!C3280)</f>
        <v>Mineral</v>
      </c>
      <c r="D3282" s="3">
        <f>[1]Raw_Data!D3280</f>
        <v>150</v>
      </c>
      <c r="E3282" s="4">
        <f>[1]Raw_Data!E3280</f>
        <v>53.58</v>
      </c>
      <c r="F3282" s="5">
        <f>[1]Raw_Data!F3280</f>
        <v>8037</v>
      </c>
      <c r="G3282" s="4">
        <f>[1]Raw_Data!G3280</f>
        <v>0.09</v>
      </c>
      <c r="H3282" s="3">
        <f>[1]Raw_Data!H3280</f>
        <v>2</v>
      </c>
      <c r="I3282" s="3" t="str">
        <f>TRIM([1]Raw_Data!I3280)</f>
        <v>UK</v>
      </c>
      <c r="J3282" s="3" t="str">
        <f>TRIM([1]Raw_Data!J3280)</f>
        <v>Amazon</v>
      </c>
      <c r="K3282" s="3">
        <f t="shared" si="204"/>
        <v>2023</v>
      </c>
      <c r="L3282" s="6">
        <f t="shared" si="205"/>
        <v>45261</v>
      </c>
      <c r="M3282" s="3" t="str">
        <f t="shared" si="206"/>
        <v>6% to 10%</v>
      </c>
      <c r="N3282" s="3" t="str">
        <f t="shared" si="207"/>
        <v>OK</v>
      </c>
    </row>
    <row r="3283" spans="1:14" x14ac:dyDescent="0.3">
      <c r="A3283" s="2">
        <f>DATE(VALUE(RIGHT(TRIM([1]Raw_Data!A3281),4)),VALUE(MID(TRIM([1]Raw_Data!A3281),4,2)),VALUE(LEFT(TRIM([1]Raw_Data!A3281),2)))</f>
        <v>45264</v>
      </c>
      <c r="B3283" s="3" t="str">
        <f>TRIM([1]Raw_Data!B3281)</f>
        <v>Electrolyte Powder</v>
      </c>
      <c r="C3283" s="3" t="str">
        <f>TRIM([1]Raw_Data!C3281)</f>
        <v>Hydration</v>
      </c>
      <c r="D3283" s="3">
        <f>[1]Raw_Data!D3281</f>
        <v>136</v>
      </c>
      <c r="E3283" s="4">
        <f>[1]Raw_Data!E3281</f>
        <v>59.6</v>
      </c>
      <c r="F3283" s="5">
        <f>[1]Raw_Data!F3281</f>
        <v>8105.6</v>
      </c>
      <c r="G3283" s="4">
        <f>[1]Raw_Data!G3281</f>
        <v>0.19</v>
      </c>
      <c r="H3283" s="3">
        <f>[1]Raw_Data!H3281</f>
        <v>4</v>
      </c>
      <c r="I3283" s="3" t="str">
        <f>TRIM([1]Raw_Data!I3281)</f>
        <v>USA</v>
      </c>
      <c r="J3283" s="3" t="str">
        <f>TRIM([1]Raw_Data!J3281)</f>
        <v>Amazon</v>
      </c>
      <c r="K3283" s="3">
        <f t="shared" si="204"/>
        <v>2023</v>
      </c>
      <c r="L3283" s="6">
        <f t="shared" si="205"/>
        <v>45261</v>
      </c>
      <c r="M3283" s="3" t="str">
        <f t="shared" si="206"/>
        <v>16% to 20%</v>
      </c>
      <c r="N3283" s="3" t="str">
        <f t="shared" si="207"/>
        <v>OK</v>
      </c>
    </row>
    <row r="3284" spans="1:14" x14ac:dyDescent="0.3">
      <c r="A3284" s="2">
        <f>DATE(VALUE(RIGHT(TRIM([1]Raw_Data!A3282),4)),VALUE(MID(TRIM([1]Raw_Data!A3282),4,2)),VALUE(LEFT(TRIM([1]Raw_Data!A3282),2)))</f>
        <v>45271</v>
      </c>
      <c r="B3284" s="3" t="str">
        <f>TRIM([1]Raw_Data!B3282)</f>
        <v>Whey Protein</v>
      </c>
      <c r="C3284" s="3" t="str">
        <f>TRIM([1]Raw_Data!C3282)</f>
        <v>Protein</v>
      </c>
      <c r="D3284" s="3">
        <f>[1]Raw_Data!D3282</f>
        <v>142</v>
      </c>
      <c r="E3284" s="4">
        <f>[1]Raw_Data!E3282</f>
        <v>35.15</v>
      </c>
      <c r="F3284" s="5">
        <f>[1]Raw_Data!F3282</f>
        <v>4991.3</v>
      </c>
      <c r="G3284" s="4">
        <f>[1]Raw_Data!G3282</f>
        <v>0.12</v>
      </c>
      <c r="H3284" s="3">
        <f>[1]Raw_Data!H3282</f>
        <v>0</v>
      </c>
      <c r="I3284" s="3" t="str">
        <f>TRIM([1]Raw_Data!I3282)</f>
        <v>UK</v>
      </c>
      <c r="J3284" s="3" t="str">
        <f>TRIM([1]Raw_Data!J3282)</f>
        <v>Walmart</v>
      </c>
      <c r="K3284" s="3">
        <f t="shared" si="204"/>
        <v>2023</v>
      </c>
      <c r="L3284" s="6">
        <f t="shared" si="205"/>
        <v>45261</v>
      </c>
      <c r="M3284" s="3" t="str">
        <f t="shared" si="206"/>
        <v>11% to 15%</v>
      </c>
      <c r="N3284" s="3" t="str">
        <f t="shared" si="207"/>
        <v>OK</v>
      </c>
    </row>
    <row r="3285" spans="1:14" x14ac:dyDescent="0.3">
      <c r="A3285" s="2">
        <f>DATE(VALUE(RIGHT(TRIM([1]Raw_Data!A3283),4)),VALUE(MID(TRIM([1]Raw_Data!A3283),4,2)),VALUE(LEFT(TRIM([1]Raw_Data!A3283),2)))</f>
        <v>45271</v>
      </c>
      <c r="B3285" s="3" t="str">
        <f>TRIM([1]Raw_Data!B3283)</f>
        <v>Vitamin C</v>
      </c>
      <c r="C3285" s="3" t="str">
        <f>TRIM([1]Raw_Data!C3283)</f>
        <v>Vitamin</v>
      </c>
      <c r="D3285" s="3">
        <f>[1]Raw_Data!D3283</f>
        <v>159</v>
      </c>
      <c r="E3285" s="4">
        <f>[1]Raw_Data!E3283</f>
        <v>19.32</v>
      </c>
      <c r="F3285" s="5">
        <f>[1]Raw_Data!F3283</f>
        <v>3071.88</v>
      </c>
      <c r="G3285" s="4">
        <f>[1]Raw_Data!G3283</f>
        <v>0.08</v>
      </c>
      <c r="H3285" s="3">
        <f>[1]Raw_Data!H3283</f>
        <v>2</v>
      </c>
      <c r="I3285" s="3" t="str">
        <f>TRIM([1]Raw_Data!I3283)</f>
        <v>USA</v>
      </c>
      <c r="J3285" s="3" t="str">
        <f>TRIM([1]Raw_Data!J3283)</f>
        <v>Walmart</v>
      </c>
      <c r="K3285" s="3">
        <f t="shared" si="204"/>
        <v>2023</v>
      </c>
      <c r="L3285" s="6">
        <f t="shared" si="205"/>
        <v>45261</v>
      </c>
      <c r="M3285" s="3" t="str">
        <f t="shared" si="206"/>
        <v>6% to 10%</v>
      </c>
      <c r="N3285" s="3" t="str">
        <f t="shared" si="207"/>
        <v>OK</v>
      </c>
    </row>
    <row r="3286" spans="1:14" x14ac:dyDescent="0.3">
      <c r="A3286" s="2">
        <f>DATE(VALUE(RIGHT(TRIM([1]Raw_Data!A3284),4)),VALUE(MID(TRIM([1]Raw_Data!A3284),4,2)),VALUE(LEFT(TRIM([1]Raw_Data!A3284),2)))</f>
        <v>45271</v>
      </c>
      <c r="B3286" s="3" t="str">
        <f>TRIM([1]Raw_Data!B3284)</f>
        <v>Fish Oil</v>
      </c>
      <c r="C3286" s="3" t="str">
        <f>TRIM([1]Raw_Data!C3284)</f>
        <v>Omega</v>
      </c>
      <c r="D3286" s="3">
        <f>[1]Raw_Data!D3284</f>
        <v>158</v>
      </c>
      <c r="E3286" s="4">
        <f>[1]Raw_Data!E3284</f>
        <v>36.28</v>
      </c>
      <c r="F3286" s="5">
        <f>[1]Raw_Data!F3284</f>
        <v>5732.24</v>
      </c>
      <c r="G3286" s="4">
        <f>[1]Raw_Data!G3284</f>
        <v>0.03</v>
      </c>
      <c r="H3286" s="3">
        <f>[1]Raw_Data!H3284</f>
        <v>3</v>
      </c>
      <c r="I3286" s="3" t="str">
        <f>TRIM([1]Raw_Data!I3284)</f>
        <v>USA</v>
      </c>
      <c r="J3286" s="3" t="str">
        <f>TRIM([1]Raw_Data!J3284)</f>
        <v>Walmart</v>
      </c>
      <c r="K3286" s="3">
        <f t="shared" si="204"/>
        <v>2023</v>
      </c>
      <c r="L3286" s="6">
        <f t="shared" si="205"/>
        <v>45261</v>
      </c>
      <c r="M3286" s="3" t="str">
        <f t="shared" si="206"/>
        <v>0% to 5%</v>
      </c>
      <c r="N3286" s="3" t="str">
        <f t="shared" si="207"/>
        <v>OK</v>
      </c>
    </row>
    <row r="3287" spans="1:14" x14ac:dyDescent="0.3">
      <c r="A3287" s="2">
        <f>DATE(VALUE(RIGHT(TRIM([1]Raw_Data!A3285),4)),VALUE(MID(TRIM([1]Raw_Data!A3285),4,2)),VALUE(LEFT(TRIM([1]Raw_Data!A3285),2)))</f>
        <v>45271</v>
      </c>
      <c r="B3287" s="3" t="str">
        <f>TRIM([1]Raw_Data!B3285)</f>
        <v>Multivitamin</v>
      </c>
      <c r="C3287" s="3" t="str">
        <f>TRIM([1]Raw_Data!C3285)</f>
        <v>Vitamin</v>
      </c>
      <c r="D3287" s="3">
        <f>[1]Raw_Data!D3285</f>
        <v>172</v>
      </c>
      <c r="E3287" s="4">
        <f>[1]Raw_Data!E3285</f>
        <v>10.88</v>
      </c>
      <c r="F3287" s="5">
        <f>[1]Raw_Data!F3285</f>
        <v>1871.36</v>
      </c>
      <c r="G3287" s="4">
        <f>[1]Raw_Data!G3285</f>
        <v>0.13</v>
      </c>
      <c r="H3287" s="3">
        <f>[1]Raw_Data!H3285</f>
        <v>2</v>
      </c>
      <c r="I3287" s="3" t="str">
        <f>TRIM([1]Raw_Data!I3285)</f>
        <v>Canada</v>
      </c>
      <c r="J3287" s="3" t="str">
        <f>TRIM([1]Raw_Data!J3285)</f>
        <v>Amazon</v>
      </c>
      <c r="K3287" s="3">
        <f t="shared" si="204"/>
        <v>2023</v>
      </c>
      <c r="L3287" s="6">
        <f t="shared" si="205"/>
        <v>45261</v>
      </c>
      <c r="M3287" s="3" t="str">
        <f t="shared" si="206"/>
        <v>11% to 15%</v>
      </c>
      <c r="N3287" s="3" t="str">
        <f t="shared" si="207"/>
        <v>OK</v>
      </c>
    </row>
    <row r="3288" spans="1:14" x14ac:dyDescent="0.3">
      <c r="A3288" s="2">
        <f>DATE(VALUE(RIGHT(TRIM([1]Raw_Data!A3286),4)),VALUE(MID(TRIM([1]Raw_Data!A3286),4,2)),VALUE(LEFT(TRIM([1]Raw_Data!A3286),2)))</f>
        <v>45271</v>
      </c>
      <c r="B3288" s="3" t="str">
        <f>TRIM([1]Raw_Data!B3286)</f>
        <v>Pre-Workout</v>
      </c>
      <c r="C3288" s="3" t="str">
        <f>TRIM([1]Raw_Data!C3286)</f>
        <v>Performance</v>
      </c>
      <c r="D3288" s="3">
        <f>[1]Raw_Data!D3286</f>
        <v>165</v>
      </c>
      <c r="E3288" s="4">
        <f>[1]Raw_Data!E3286</f>
        <v>57.66</v>
      </c>
      <c r="F3288" s="5">
        <f>[1]Raw_Data!F3286</f>
        <v>9513.9</v>
      </c>
      <c r="G3288" s="4">
        <f>[1]Raw_Data!G3286</f>
        <v>0.15</v>
      </c>
      <c r="H3288" s="3">
        <f>[1]Raw_Data!H3286</f>
        <v>3</v>
      </c>
      <c r="I3288" s="3" t="str">
        <f>TRIM([1]Raw_Data!I3286)</f>
        <v>USA</v>
      </c>
      <c r="J3288" s="3" t="str">
        <f>TRIM([1]Raw_Data!J3286)</f>
        <v>iHerb</v>
      </c>
      <c r="K3288" s="3">
        <f t="shared" si="204"/>
        <v>2023</v>
      </c>
      <c r="L3288" s="6">
        <f t="shared" si="205"/>
        <v>45261</v>
      </c>
      <c r="M3288" s="3" t="str">
        <f t="shared" si="206"/>
        <v>11% to 15%</v>
      </c>
      <c r="N3288" s="3" t="str">
        <f t="shared" si="207"/>
        <v>OK</v>
      </c>
    </row>
    <row r="3289" spans="1:14" x14ac:dyDescent="0.3">
      <c r="A3289" s="2">
        <f>DATE(VALUE(RIGHT(TRIM([1]Raw_Data!A3287),4)),VALUE(MID(TRIM([1]Raw_Data!A3287),4,2)),VALUE(LEFT(TRIM([1]Raw_Data!A3287),2)))</f>
        <v>45271</v>
      </c>
      <c r="B3289" s="3" t="str">
        <f>TRIM([1]Raw_Data!B3287)</f>
        <v>BCAA</v>
      </c>
      <c r="C3289" s="3" t="str">
        <f>TRIM([1]Raw_Data!C3287)</f>
        <v>Amino Acid</v>
      </c>
      <c r="D3289" s="3">
        <f>[1]Raw_Data!D3287</f>
        <v>147</v>
      </c>
      <c r="E3289" s="4">
        <f>[1]Raw_Data!E3287</f>
        <v>33.159999999999997</v>
      </c>
      <c r="F3289" s="5">
        <f>[1]Raw_Data!F3287</f>
        <v>4874.5200000000004</v>
      </c>
      <c r="G3289" s="4">
        <f>[1]Raw_Data!G3287</f>
        <v>0.04</v>
      </c>
      <c r="H3289" s="3">
        <f>[1]Raw_Data!H3287</f>
        <v>1</v>
      </c>
      <c r="I3289" s="3" t="str">
        <f>TRIM([1]Raw_Data!I3287)</f>
        <v>UK</v>
      </c>
      <c r="J3289" s="3" t="str">
        <f>TRIM([1]Raw_Data!J3287)</f>
        <v>Amazon</v>
      </c>
      <c r="K3289" s="3">
        <f t="shared" si="204"/>
        <v>2023</v>
      </c>
      <c r="L3289" s="6">
        <f t="shared" si="205"/>
        <v>45261</v>
      </c>
      <c r="M3289" s="3" t="str">
        <f t="shared" si="206"/>
        <v>0% to 5%</v>
      </c>
      <c r="N3289" s="3" t="str">
        <f t="shared" si="207"/>
        <v>OK</v>
      </c>
    </row>
    <row r="3290" spans="1:14" x14ac:dyDescent="0.3">
      <c r="A3290" s="2">
        <f>DATE(VALUE(RIGHT(TRIM([1]Raw_Data!A3288),4)),VALUE(MID(TRIM([1]Raw_Data!A3288),4,2)),VALUE(LEFT(TRIM([1]Raw_Data!A3288),2)))</f>
        <v>45271</v>
      </c>
      <c r="B3290" s="3" t="str">
        <f>TRIM([1]Raw_Data!B3288)</f>
        <v>Creatine</v>
      </c>
      <c r="C3290" s="3" t="str">
        <f>TRIM([1]Raw_Data!C3288)</f>
        <v>Performance</v>
      </c>
      <c r="D3290" s="3">
        <f>[1]Raw_Data!D3288</f>
        <v>165</v>
      </c>
      <c r="E3290" s="4">
        <f>[1]Raw_Data!E3288</f>
        <v>17.54</v>
      </c>
      <c r="F3290" s="5">
        <f>[1]Raw_Data!F3288</f>
        <v>2894.1</v>
      </c>
      <c r="G3290" s="4">
        <f>[1]Raw_Data!G3288</f>
        <v>0.03</v>
      </c>
      <c r="H3290" s="3">
        <f>[1]Raw_Data!H3288</f>
        <v>1</v>
      </c>
      <c r="I3290" s="3" t="str">
        <f>TRIM([1]Raw_Data!I3288)</f>
        <v>UK</v>
      </c>
      <c r="J3290" s="3" t="str">
        <f>TRIM([1]Raw_Data!J3288)</f>
        <v>Walmart</v>
      </c>
      <c r="K3290" s="3">
        <f t="shared" si="204"/>
        <v>2023</v>
      </c>
      <c r="L3290" s="6">
        <f t="shared" si="205"/>
        <v>45261</v>
      </c>
      <c r="M3290" s="3" t="str">
        <f t="shared" si="206"/>
        <v>0% to 5%</v>
      </c>
      <c r="N3290" s="3" t="str">
        <f t="shared" si="207"/>
        <v>OK</v>
      </c>
    </row>
    <row r="3291" spans="1:14" x14ac:dyDescent="0.3">
      <c r="A3291" s="2">
        <f>DATE(VALUE(RIGHT(TRIM([1]Raw_Data!A3289),4)),VALUE(MID(TRIM([1]Raw_Data!A3289),4,2)),VALUE(LEFT(TRIM([1]Raw_Data!A3289),2)))</f>
        <v>45271</v>
      </c>
      <c r="B3291" s="3" t="str">
        <f>TRIM([1]Raw_Data!B3289)</f>
        <v>Zinc</v>
      </c>
      <c r="C3291" s="3" t="str">
        <f>TRIM([1]Raw_Data!C3289)</f>
        <v>Mineral</v>
      </c>
      <c r="D3291" s="3">
        <f>[1]Raw_Data!D3289</f>
        <v>167</v>
      </c>
      <c r="E3291" s="4">
        <f>[1]Raw_Data!E3289</f>
        <v>47.59</v>
      </c>
      <c r="F3291" s="5">
        <f>[1]Raw_Data!F3289</f>
        <v>7947.53</v>
      </c>
      <c r="G3291" s="4">
        <f>[1]Raw_Data!G3289</f>
        <v>0.16</v>
      </c>
      <c r="H3291" s="3">
        <f>[1]Raw_Data!H3289</f>
        <v>3</v>
      </c>
      <c r="I3291" s="3" t="str">
        <f>TRIM([1]Raw_Data!I3289)</f>
        <v>USA</v>
      </c>
      <c r="J3291" s="3" t="str">
        <f>TRIM([1]Raw_Data!J3289)</f>
        <v>Amazon</v>
      </c>
      <c r="K3291" s="3">
        <f t="shared" si="204"/>
        <v>2023</v>
      </c>
      <c r="L3291" s="6">
        <f t="shared" si="205"/>
        <v>45261</v>
      </c>
      <c r="M3291" s="3" t="str">
        <f t="shared" si="206"/>
        <v>16% to 20%</v>
      </c>
      <c r="N3291" s="3" t="str">
        <f t="shared" si="207"/>
        <v>OK</v>
      </c>
    </row>
    <row r="3292" spans="1:14" x14ac:dyDescent="0.3">
      <c r="A3292" s="2">
        <f>DATE(VALUE(RIGHT(TRIM([1]Raw_Data!A3290),4)),VALUE(MID(TRIM([1]Raw_Data!A3290),4,2)),VALUE(LEFT(TRIM([1]Raw_Data!A3290),2)))</f>
        <v>45271</v>
      </c>
      <c r="B3292" s="3" t="str">
        <f>TRIM([1]Raw_Data!B3290)</f>
        <v>Collagen Peptides</v>
      </c>
      <c r="C3292" s="3" t="str">
        <f>TRIM([1]Raw_Data!C3290)</f>
        <v>Protein</v>
      </c>
      <c r="D3292" s="3">
        <f>[1]Raw_Data!D3290</f>
        <v>120</v>
      </c>
      <c r="E3292" s="4">
        <f>[1]Raw_Data!E3290</f>
        <v>29.83</v>
      </c>
      <c r="F3292" s="5">
        <f>[1]Raw_Data!F3290</f>
        <v>3579.6</v>
      </c>
      <c r="G3292" s="4">
        <f>[1]Raw_Data!G3290</f>
        <v>0.11</v>
      </c>
      <c r="H3292" s="3">
        <f>[1]Raw_Data!H3290</f>
        <v>3</v>
      </c>
      <c r="I3292" s="3" t="str">
        <f>TRIM([1]Raw_Data!I3290)</f>
        <v>USA</v>
      </c>
      <c r="J3292" s="3" t="str">
        <f>TRIM([1]Raw_Data!J3290)</f>
        <v>Amazon</v>
      </c>
      <c r="K3292" s="3">
        <f t="shared" si="204"/>
        <v>2023</v>
      </c>
      <c r="L3292" s="6">
        <f t="shared" si="205"/>
        <v>45261</v>
      </c>
      <c r="M3292" s="3" t="str">
        <f t="shared" si="206"/>
        <v>11% to 15%</v>
      </c>
      <c r="N3292" s="3" t="str">
        <f t="shared" si="207"/>
        <v>OK</v>
      </c>
    </row>
    <row r="3293" spans="1:14" x14ac:dyDescent="0.3">
      <c r="A3293" s="2">
        <f>DATE(VALUE(RIGHT(TRIM([1]Raw_Data!A3291),4)),VALUE(MID(TRIM([1]Raw_Data!A3291),4,2)),VALUE(LEFT(TRIM([1]Raw_Data!A3291),2)))</f>
        <v>45271</v>
      </c>
      <c r="B3293" s="3" t="str">
        <f>TRIM([1]Raw_Data!B3291)</f>
        <v>Magnesium</v>
      </c>
      <c r="C3293" s="3" t="str">
        <f>TRIM([1]Raw_Data!C3291)</f>
        <v>Mineral</v>
      </c>
      <c r="D3293" s="3">
        <f>[1]Raw_Data!D3291</f>
        <v>152</v>
      </c>
      <c r="E3293" s="4">
        <f>[1]Raw_Data!E3291</f>
        <v>30.39</v>
      </c>
      <c r="F3293" s="5">
        <f>[1]Raw_Data!F3291</f>
        <v>4619.28</v>
      </c>
      <c r="G3293" s="4">
        <f>[1]Raw_Data!G3291</f>
        <v>0.1</v>
      </c>
      <c r="H3293" s="3">
        <f>[1]Raw_Data!H3291</f>
        <v>4</v>
      </c>
      <c r="I3293" s="3" t="str">
        <f>TRIM([1]Raw_Data!I3291)</f>
        <v>Canada</v>
      </c>
      <c r="J3293" s="3" t="str">
        <f>TRIM([1]Raw_Data!J3291)</f>
        <v>Amazon</v>
      </c>
      <c r="K3293" s="3">
        <f t="shared" si="204"/>
        <v>2023</v>
      </c>
      <c r="L3293" s="6">
        <f t="shared" si="205"/>
        <v>45261</v>
      </c>
      <c r="M3293" s="3" t="str">
        <f t="shared" si="206"/>
        <v>6% to 10%</v>
      </c>
      <c r="N3293" s="3" t="str">
        <f t="shared" si="207"/>
        <v>OK</v>
      </c>
    </row>
    <row r="3294" spans="1:14" x14ac:dyDescent="0.3">
      <c r="A3294" s="2">
        <f>DATE(VALUE(RIGHT(TRIM([1]Raw_Data!A3292),4)),VALUE(MID(TRIM([1]Raw_Data!A3292),4,2)),VALUE(LEFT(TRIM([1]Raw_Data!A3292),2)))</f>
        <v>45271</v>
      </c>
      <c r="B3294" s="3" t="str">
        <f>TRIM([1]Raw_Data!B3292)</f>
        <v>Ashwagandha</v>
      </c>
      <c r="C3294" s="3" t="str">
        <f>TRIM([1]Raw_Data!C3292)</f>
        <v>Herbal</v>
      </c>
      <c r="D3294" s="3">
        <f>[1]Raw_Data!D3292</f>
        <v>153</v>
      </c>
      <c r="E3294" s="4">
        <f>[1]Raw_Data!E3292</f>
        <v>45.66</v>
      </c>
      <c r="F3294" s="5">
        <f>[1]Raw_Data!F3292</f>
        <v>6985.98</v>
      </c>
      <c r="G3294" s="4">
        <f>[1]Raw_Data!G3292</f>
        <v>0.19</v>
      </c>
      <c r="H3294" s="3">
        <f>[1]Raw_Data!H3292</f>
        <v>2</v>
      </c>
      <c r="I3294" s="3" t="str">
        <f>TRIM([1]Raw_Data!I3292)</f>
        <v>UK</v>
      </c>
      <c r="J3294" s="3" t="str">
        <f>TRIM([1]Raw_Data!J3292)</f>
        <v>Walmart</v>
      </c>
      <c r="K3294" s="3">
        <f t="shared" si="204"/>
        <v>2023</v>
      </c>
      <c r="L3294" s="6">
        <f t="shared" si="205"/>
        <v>45261</v>
      </c>
      <c r="M3294" s="3" t="str">
        <f t="shared" si="206"/>
        <v>16% to 20%</v>
      </c>
      <c r="N3294" s="3" t="str">
        <f t="shared" si="207"/>
        <v>OK</v>
      </c>
    </row>
    <row r="3295" spans="1:14" x14ac:dyDescent="0.3">
      <c r="A3295" s="2">
        <f>DATE(VALUE(RIGHT(TRIM([1]Raw_Data!A3293),4)),VALUE(MID(TRIM([1]Raw_Data!A3293),4,2)),VALUE(LEFT(TRIM([1]Raw_Data!A3293),2)))</f>
        <v>45271</v>
      </c>
      <c r="B3295" s="3" t="str">
        <f>TRIM([1]Raw_Data!B3293)</f>
        <v>Melatonin</v>
      </c>
      <c r="C3295" s="3" t="str">
        <f>TRIM([1]Raw_Data!C3293)</f>
        <v>Sleep Aid</v>
      </c>
      <c r="D3295" s="3">
        <f>[1]Raw_Data!D3293</f>
        <v>140</v>
      </c>
      <c r="E3295" s="4">
        <f>[1]Raw_Data!E3293</f>
        <v>46.61</v>
      </c>
      <c r="F3295" s="5">
        <f>[1]Raw_Data!F3293</f>
        <v>6525.4</v>
      </c>
      <c r="G3295" s="4">
        <f>[1]Raw_Data!G3293</f>
        <v>0.19</v>
      </c>
      <c r="H3295" s="3">
        <f>[1]Raw_Data!H3293</f>
        <v>5</v>
      </c>
      <c r="I3295" s="3" t="str">
        <f>TRIM([1]Raw_Data!I3293)</f>
        <v>UK</v>
      </c>
      <c r="J3295" s="3" t="str">
        <f>TRIM([1]Raw_Data!J3293)</f>
        <v>Walmart</v>
      </c>
      <c r="K3295" s="3">
        <f t="shared" si="204"/>
        <v>2023</v>
      </c>
      <c r="L3295" s="6">
        <f t="shared" si="205"/>
        <v>45261</v>
      </c>
      <c r="M3295" s="3" t="str">
        <f t="shared" si="206"/>
        <v>16% to 20%</v>
      </c>
      <c r="N3295" s="3" t="str">
        <f t="shared" si="207"/>
        <v>OK</v>
      </c>
    </row>
    <row r="3296" spans="1:14" x14ac:dyDescent="0.3">
      <c r="A3296" s="2">
        <f>DATE(VALUE(RIGHT(TRIM([1]Raw_Data!A3294),4)),VALUE(MID(TRIM([1]Raw_Data!A3294),4,2)),VALUE(LEFT(TRIM([1]Raw_Data!A3294),2)))</f>
        <v>45271</v>
      </c>
      <c r="B3296" s="3" t="str">
        <f>TRIM([1]Raw_Data!B3294)</f>
        <v>Biotin</v>
      </c>
      <c r="C3296" s="3" t="str">
        <f>TRIM([1]Raw_Data!C3294)</f>
        <v>Vitamin</v>
      </c>
      <c r="D3296" s="3">
        <f>[1]Raw_Data!D3294</f>
        <v>162</v>
      </c>
      <c r="E3296" s="4">
        <f>[1]Raw_Data!E3294</f>
        <v>57.57</v>
      </c>
      <c r="F3296" s="5">
        <f>[1]Raw_Data!F3294</f>
        <v>9326.34</v>
      </c>
      <c r="G3296" s="4">
        <f>[1]Raw_Data!G3294</f>
        <v>0.04</v>
      </c>
      <c r="H3296" s="3">
        <f>[1]Raw_Data!H3294</f>
        <v>1</v>
      </c>
      <c r="I3296" s="3" t="str">
        <f>TRIM([1]Raw_Data!I3294)</f>
        <v>Canada</v>
      </c>
      <c r="J3296" s="3" t="str">
        <f>TRIM([1]Raw_Data!J3294)</f>
        <v>Amazon</v>
      </c>
      <c r="K3296" s="3">
        <f t="shared" si="204"/>
        <v>2023</v>
      </c>
      <c r="L3296" s="6">
        <f t="shared" si="205"/>
        <v>45261</v>
      </c>
      <c r="M3296" s="3" t="str">
        <f t="shared" si="206"/>
        <v>0% to 5%</v>
      </c>
      <c r="N3296" s="3" t="str">
        <f t="shared" si="207"/>
        <v>OK</v>
      </c>
    </row>
    <row r="3297" spans="1:14" x14ac:dyDescent="0.3">
      <c r="A3297" s="2">
        <f>DATE(VALUE(RIGHT(TRIM([1]Raw_Data!A3295),4)),VALUE(MID(TRIM([1]Raw_Data!A3295),4,2)),VALUE(LEFT(TRIM([1]Raw_Data!A3295),2)))</f>
        <v>45271</v>
      </c>
      <c r="B3297" s="3" t="str">
        <f>TRIM([1]Raw_Data!B3295)</f>
        <v>Green Tea Extract</v>
      </c>
      <c r="C3297" s="3" t="str">
        <f>TRIM([1]Raw_Data!C3295)</f>
        <v>Fat Burner</v>
      </c>
      <c r="D3297" s="3">
        <f>[1]Raw_Data!D3295</f>
        <v>153</v>
      </c>
      <c r="E3297" s="4">
        <f>[1]Raw_Data!E3295</f>
        <v>51.97</v>
      </c>
      <c r="F3297" s="5">
        <f>[1]Raw_Data!F3295</f>
        <v>7951.41</v>
      </c>
      <c r="G3297" s="4">
        <f>[1]Raw_Data!G3295</f>
        <v>0.19</v>
      </c>
      <c r="H3297" s="3">
        <f>[1]Raw_Data!H3295</f>
        <v>2</v>
      </c>
      <c r="I3297" s="3" t="str">
        <f>TRIM([1]Raw_Data!I3295)</f>
        <v>Canada</v>
      </c>
      <c r="J3297" s="3" t="str">
        <f>TRIM([1]Raw_Data!J3295)</f>
        <v>Amazon</v>
      </c>
      <c r="K3297" s="3">
        <f t="shared" si="204"/>
        <v>2023</v>
      </c>
      <c r="L3297" s="6">
        <f t="shared" si="205"/>
        <v>45261</v>
      </c>
      <c r="M3297" s="3" t="str">
        <f t="shared" si="206"/>
        <v>16% to 20%</v>
      </c>
      <c r="N3297" s="3" t="str">
        <f t="shared" si="207"/>
        <v>OK</v>
      </c>
    </row>
    <row r="3298" spans="1:14" x14ac:dyDescent="0.3">
      <c r="A3298" s="2">
        <f>DATE(VALUE(RIGHT(TRIM([1]Raw_Data!A3296),4)),VALUE(MID(TRIM([1]Raw_Data!A3296),4,2)),VALUE(LEFT(TRIM([1]Raw_Data!A3296),2)))</f>
        <v>45271</v>
      </c>
      <c r="B3298" s="3" t="str">
        <f>TRIM([1]Raw_Data!B3296)</f>
        <v>Iron Supplement</v>
      </c>
      <c r="C3298" s="3" t="str">
        <f>TRIM([1]Raw_Data!C3296)</f>
        <v>Mineral</v>
      </c>
      <c r="D3298" s="3">
        <f>[1]Raw_Data!D3296</f>
        <v>159</v>
      </c>
      <c r="E3298" s="4">
        <f>[1]Raw_Data!E3296</f>
        <v>25.65</v>
      </c>
      <c r="F3298" s="5">
        <f>[1]Raw_Data!F3296</f>
        <v>4078.35</v>
      </c>
      <c r="G3298" s="4">
        <f>[1]Raw_Data!G3296</f>
        <v>0.04</v>
      </c>
      <c r="H3298" s="3">
        <f>[1]Raw_Data!H3296</f>
        <v>3</v>
      </c>
      <c r="I3298" s="3" t="str">
        <f>TRIM([1]Raw_Data!I3296)</f>
        <v>Canada</v>
      </c>
      <c r="J3298" s="3" t="str">
        <f>TRIM([1]Raw_Data!J3296)</f>
        <v>iHerb</v>
      </c>
      <c r="K3298" s="3">
        <f t="shared" si="204"/>
        <v>2023</v>
      </c>
      <c r="L3298" s="6">
        <f t="shared" si="205"/>
        <v>45261</v>
      </c>
      <c r="M3298" s="3" t="str">
        <f t="shared" si="206"/>
        <v>0% to 5%</v>
      </c>
      <c r="N3298" s="3" t="str">
        <f t="shared" si="207"/>
        <v>OK</v>
      </c>
    </row>
    <row r="3299" spans="1:14" x14ac:dyDescent="0.3">
      <c r="A3299" s="2">
        <f>DATE(VALUE(RIGHT(TRIM([1]Raw_Data!A3297),4)),VALUE(MID(TRIM([1]Raw_Data!A3297),4,2)),VALUE(LEFT(TRIM([1]Raw_Data!A3297),2)))</f>
        <v>45271</v>
      </c>
      <c r="B3299" s="3" t="str">
        <f>TRIM([1]Raw_Data!B3297)</f>
        <v>Electrolyte Powder</v>
      </c>
      <c r="C3299" s="3" t="str">
        <f>TRIM([1]Raw_Data!C3297)</f>
        <v>Hydration</v>
      </c>
      <c r="D3299" s="3">
        <f>[1]Raw_Data!D3297</f>
        <v>153</v>
      </c>
      <c r="E3299" s="4">
        <f>[1]Raw_Data!E3297</f>
        <v>37.270000000000003</v>
      </c>
      <c r="F3299" s="5">
        <f>[1]Raw_Data!F3297</f>
        <v>5702.31</v>
      </c>
      <c r="G3299" s="4">
        <f>[1]Raw_Data!G3297</f>
        <v>0.05</v>
      </c>
      <c r="H3299" s="3">
        <f>[1]Raw_Data!H3297</f>
        <v>1</v>
      </c>
      <c r="I3299" s="3" t="str">
        <f>TRIM([1]Raw_Data!I3297)</f>
        <v>UK</v>
      </c>
      <c r="J3299" s="3" t="str">
        <f>TRIM([1]Raw_Data!J3297)</f>
        <v>Amazon</v>
      </c>
      <c r="K3299" s="3">
        <f t="shared" si="204"/>
        <v>2023</v>
      </c>
      <c r="L3299" s="6">
        <f t="shared" si="205"/>
        <v>45261</v>
      </c>
      <c r="M3299" s="3" t="str">
        <f t="shared" si="206"/>
        <v>0% to 5%</v>
      </c>
      <c r="N3299" s="3" t="str">
        <f t="shared" si="207"/>
        <v>OK</v>
      </c>
    </row>
    <row r="3300" spans="1:14" x14ac:dyDescent="0.3">
      <c r="A3300" s="2">
        <f>DATE(VALUE(RIGHT(TRIM([1]Raw_Data!A3298),4)),VALUE(MID(TRIM([1]Raw_Data!A3298),4,2)),VALUE(LEFT(TRIM([1]Raw_Data!A3298),2)))</f>
        <v>45278</v>
      </c>
      <c r="B3300" s="3" t="str">
        <f>TRIM([1]Raw_Data!B3298)</f>
        <v>Whey Protein</v>
      </c>
      <c r="C3300" s="3" t="str">
        <f>TRIM([1]Raw_Data!C3298)</f>
        <v>Protein</v>
      </c>
      <c r="D3300" s="3">
        <f>[1]Raw_Data!D3298</f>
        <v>146</v>
      </c>
      <c r="E3300" s="4">
        <f>[1]Raw_Data!E3298</f>
        <v>10.28</v>
      </c>
      <c r="F3300" s="5">
        <f>[1]Raw_Data!F3298</f>
        <v>1500.88</v>
      </c>
      <c r="G3300" s="4">
        <f>[1]Raw_Data!G3298</f>
        <v>0.25</v>
      </c>
      <c r="H3300" s="3">
        <f>[1]Raw_Data!H3298</f>
        <v>4</v>
      </c>
      <c r="I3300" s="3" t="str">
        <f>TRIM([1]Raw_Data!I3298)</f>
        <v>UK</v>
      </c>
      <c r="J3300" s="3" t="str">
        <f>TRIM([1]Raw_Data!J3298)</f>
        <v>iHerb</v>
      </c>
      <c r="K3300" s="3">
        <f t="shared" si="204"/>
        <v>2023</v>
      </c>
      <c r="L3300" s="6">
        <f t="shared" si="205"/>
        <v>45261</v>
      </c>
      <c r="M3300" s="3" t="str">
        <f t="shared" si="206"/>
        <v>21% to 25%</v>
      </c>
      <c r="N3300" s="3" t="str">
        <f t="shared" si="207"/>
        <v>OK</v>
      </c>
    </row>
    <row r="3301" spans="1:14" x14ac:dyDescent="0.3">
      <c r="A3301" s="2">
        <f>DATE(VALUE(RIGHT(TRIM([1]Raw_Data!A3299),4)),VALUE(MID(TRIM([1]Raw_Data!A3299),4,2)),VALUE(LEFT(TRIM([1]Raw_Data!A3299),2)))</f>
        <v>45278</v>
      </c>
      <c r="B3301" s="3" t="str">
        <f>TRIM([1]Raw_Data!B3299)</f>
        <v>Vitamin C</v>
      </c>
      <c r="C3301" s="3" t="str">
        <f>TRIM([1]Raw_Data!C3299)</f>
        <v>Vitamin</v>
      </c>
      <c r="D3301" s="3">
        <f>[1]Raw_Data!D3299</f>
        <v>184</v>
      </c>
      <c r="E3301" s="4">
        <f>[1]Raw_Data!E3299</f>
        <v>11.31</v>
      </c>
      <c r="F3301" s="5">
        <f>[1]Raw_Data!F3299</f>
        <v>2081.04</v>
      </c>
      <c r="G3301" s="4">
        <f>[1]Raw_Data!G3299</f>
        <v>0.06</v>
      </c>
      <c r="H3301" s="3">
        <f>[1]Raw_Data!H3299</f>
        <v>4</v>
      </c>
      <c r="I3301" s="3" t="str">
        <f>TRIM([1]Raw_Data!I3299)</f>
        <v>Canada</v>
      </c>
      <c r="J3301" s="3" t="str">
        <f>TRIM([1]Raw_Data!J3299)</f>
        <v>iHerb</v>
      </c>
      <c r="K3301" s="3">
        <f t="shared" si="204"/>
        <v>2023</v>
      </c>
      <c r="L3301" s="6">
        <f t="shared" si="205"/>
        <v>45261</v>
      </c>
      <c r="M3301" s="3" t="str">
        <f t="shared" si="206"/>
        <v>6% to 10%</v>
      </c>
      <c r="N3301" s="3" t="str">
        <f t="shared" si="207"/>
        <v>OK</v>
      </c>
    </row>
    <row r="3302" spans="1:14" x14ac:dyDescent="0.3">
      <c r="A3302" s="2">
        <f>DATE(VALUE(RIGHT(TRIM([1]Raw_Data!A3300),4)),VALUE(MID(TRIM([1]Raw_Data!A3300),4,2)),VALUE(LEFT(TRIM([1]Raw_Data!A3300),2)))</f>
        <v>45278</v>
      </c>
      <c r="B3302" s="3" t="str">
        <f>TRIM([1]Raw_Data!B3300)</f>
        <v>Fish Oil</v>
      </c>
      <c r="C3302" s="3" t="str">
        <f>TRIM([1]Raw_Data!C3300)</f>
        <v>Omega</v>
      </c>
      <c r="D3302" s="3">
        <f>[1]Raw_Data!D3300</f>
        <v>128</v>
      </c>
      <c r="E3302" s="4">
        <f>[1]Raw_Data!E3300</f>
        <v>14.4</v>
      </c>
      <c r="F3302" s="5">
        <f>[1]Raw_Data!F3300</f>
        <v>1843.2</v>
      </c>
      <c r="G3302" s="4">
        <f>[1]Raw_Data!G3300</f>
        <v>0.21</v>
      </c>
      <c r="H3302" s="3">
        <f>[1]Raw_Data!H3300</f>
        <v>1</v>
      </c>
      <c r="I3302" s="3" t="str">
        <f>TRIM([1]Raw_Data!I3300)</f>
        <v>USA</v>
      </c>
      <c r="J3302" s="3" t="str">
        <f>TRIM([1]Raw_Data!J3300)</f>
        <v>Amazon</v>
      </c>
      <c r="K3302" s="3">
        <f t="shared" si="204"/>
        <v>2023</v>
      </c>
      <c r="L3302" s="6">
        <f t="shared" si="205"/>
        <v>45261</v>
      </c>
      <c r="M3302" s="3" t="str">
        <f t="shared" si="206"/>
        <v>21% to 25%</v>
      </c>
      <c r="N3302" s="3" t="str">
        <f t="shared" si="207"/>
        <v>OK</v>
      </c>
    </row>
    <row r="3303" spans="1:14" x14ac:dyDescent="0.3">
      <c r="A3303" s="2">
        <f>DATE(VALUE(RIGHT(TRIM([1]Raw_Data!A3301),4)),VALUE(MID(TRIM([1]Raw_Data!A3301),4,2)),VALUE(LEFT(TRIM([1]Raw_Data!A3301),2)))</f>
        <v>45278</v>
      </c>
      <c r="B3303" s="3" t="str">
        <f>TRIM([1]Raw_Data!B3301)</f>
        <v>Multivitamin</v>
      </c>
      <c r="C3303" s="3" t="str">
        <f>TRIM([1]Raw_Data!C3301)</f>
        <v>Vitamin</v>
      </c>
      <c r="D3303" s="3">
        <f>[1]Raw_Data!D3301</f>
        <v>169</v>
      </c>
      <c r="E3303" s="4">
        <f>[1]Raw_Data!E3301</f>
        <v>58.55</v>
      </c>
      <c r="F3303" s="5">
        <f>[1]Raw_Data!F3301</f>
        <v>9894.9500000000007</v>
      </c>
      <c r="G3303" s="4">
        <f>[1]Raw_Data!G3301</f>
        <v>0.13</v>
      </c>
      <c r="H3303" s="3">
        <f>[1]Raw_Data!H3301</f>
        <v>2</v>
      </c>
      <c r="I3303" s="3" t="str">
        <f>TRIM([1]Raw_Data!I3301)</f>
        <v>USA</v>
      </c>
      <c r="J3303" s="3" t="str">
        <f>TRIM([1]Raw_Data!J3301)</f>
        <v>iHerb</v>
      </c>
      <c r="K3303" s="3">
        <f t="shared" si="204"/>
        <v>2023</v>
      </c>
      <c r="L3303" s="6">
        <f t="shared" si="205"/>
        <v>45261</v>
      </c>
      <c r="M3303" s="3" t="str">
        <f t="shared" si="206"/>
        <v>11% to 15%</v>
      </c>
      <c r="N3303" s="3" t="str">
        <f t="shared" si="207"/>
        <v>OK</v>
      </c>
    </row>
    <row r="3304" spans="1:14" x14ac:dyDescent="0.3">
      <c r="A3304" s="2">
        <f>DATE(VALUE(RIGHT(TRIM([1]Raw_Data!A3302),4)),VALUE(MID(TRIM([1]Raw_Data!A3302),4,2)),VALUE(LEFT(TRIM([1]Raw_Data!A3302),2)))</f>
        <v>45278</v>
      </c>
      <c r="B3304" s="3" t="str">
        <f>TRIM([1]Raw_Data!B3302)</f>
        <v>Pre-Workout</v>
      </c>
      <c r="C3304" s="3" t="str">
        <f>TRIM([1]Raw_Data!C3302)</f>
        <v>Performance</v>
      </c>
      <c r="D3304" s="3">
        <f>[1]Raw_Data!D3302</f>
        <v>153</v>
      </c>
      <c r="E3304" s="4">
        <f>[1]Raw_Data!E3302</f>
        <v>52.3</v>
      </c>
      <c r="F3304" s="5">
        <f>[1]Raw_Data!F3302</f>
        <v>8001.9</v>
      </c>
      <c r="G3304" s="4">
        <f>[1]Raw_Data!G3302</f>
        <v>0.16</v>
      </c>
      <c r="H3304" s="3">
        <f>[1]Raw_Data!H3302</f>
        <v>2</v>
      </c>
      <c r="I3304" s="3" t="str">
        <f>TRIM([1]Raw_Data!I3302)</f>
        <v>Canada</v>
      </c>
      <c r="J3304" s="3" t="str">
        <f>TRIM([1]Raw_Data!J3302)</f>
        <v>Walmart</v>
      </c>
      <c r="K3304" s="3">
        <f t="shared" si="204"/>
        <v>2023</v>
      </c>
      <c r="L3304" s="6">
        <f t="shared" si="205"/>
        <v>45261</v>
      </c>
      <c r="M3304" s="3" t="str">
        <f t="shared" si="206"/>
        <v>16% to 20%</v>
      </c>
      <c r="N3304" s="3" t="str">
        <f t="shared" si="207"/>
        <v>OK</v>
      </c>
    </row>
    <row r="3305" spans="1:14" x14ac:dyDescent="0.3">
      <c r="A3305" s="2">
        <f>DATE(VALUE(RIGHT(TRIM([1]Raw_Data!A3303),4)),VALUE(MID(TRIM([1]Raw_Data!A3303),4,2)),VALUE(LEFT(TRIM([1]Raw_Data!A3303),2)))</f>
        <v>45278</v>
      </c>
      <c r="B3305" s="3" t="str">
        <f>TRIM([1]Raw_Data!B3303)</f>
        <v>BCAA</v>
      </c>
      <c r="C3305" s="3" t="str">
        <f>TRIM([1]Raw_Data!C3303)</f>
        <v>Amino Acid</v>
      </c>
      <c r="D3305" s="3">
        <f>[1]Raw_Data!D3303</f>
        <v>161</v>
      </c>
      <c r="E3305" s="4">
        <f>[1]Raw_Data!E3303</f>
        <v>42.51</v>
      </c>
      <c r="F3305" s="5">
        <f>[1]Raw_Data!F3303</f>
        <v>6844.11</v>
      </c>
      <c r="G3305" s="4">
        <f>[1]Raw_Data!G3303</f>
        <v>0.05</v>
      </c>
      <c r="H3305" s="3">
        <f>[1]Raw_Data!H3303</f>
        <v>2</v>
      </c>
      <c r="I3305" s="3" t="str">
        <f>TRIM([1]Raw_Data!I3303)</f>
        <v>UK</v>
      </c>
      <c r="J3305" s="3" t="str">
        <f>TRIM([1]Raw_Data!J3303)</f>
        <v>Walmart</v>
      </c>
      <c r="K3305" s="3">
        <f t="shared" si="204"/>
        <v>2023</v>
      </c>
      <c r="L3305" s="6">
        <f t="shared" si="205"/>
        <v>45261</v>
      </c>
      <c r="M3305" s="3" t="str">
        <f t="shared" si="206"/>
        <v>0% to 5%</v>
      </c>
      <c r="N3305" s="3" t="str">
        <f t="shared" si="207"/>
        <v>OK</v>
      </c>
    </row>
    <row r="3306" spans="1:14" x14ac:dyDescent="0.3">
      <c r="A3306" s="2">
        <f>DATE(VALUE(RIGHT(TRIM([1]Raw_Data!A3304),4)),VALUE(MID(TRIM([1]Raw_Data!A3304),4,2)),VALUE(LEFT(TRIM([1]Raw_Data!A3304),2)))</f>
        <v>45278</v>
      </c>
      <c r="B3306" s="3" t="str">
        <f>TRIM([1]Raw_Data!B3304)</f>
        <v>Creatine</v>
      </c>
      <c r="C3306" s="3" t="str">
        <f>TRIM([1]Raw_Data!C3304)</f>
        <v>Performance</v>
      </c>
      <c r="D3306" s="3">
        <f>[1]Raw_Data!D3304</f>
        <v>112</v>
      </c>
      <c r="E3306" s="4">
        <f>[1]Raw_Data!E3304</f>
        <v>13.85</v>
      </c>
      <c r="F3306" s="5">
        <f>[1]Raw_Data!F3304</f>
        <v>1551.2</v>
      </c>
      <c r="G3306" s="4">
        <f>[1]Raw_Data!G3304</f>
        <v>0.1</v>
      </c>
      <c r="H3306" s="3">
        <f>[1]Raw_Data!H3304</f>
        <v>2</v>
      </c>
      <c r="I3306" s="3" t="str">
        <f>TRIM([1]Raw_Data!I3304)</f>
        <v>Canada</v>
      </c>
      <c r="J3306" s="3" t="str">
        <f>TRIM([1]Raw_Data!J3304)</f>
        <v>iHerb</v>
      </c>
      <c r="K3306" s="3">
        <f t="shared" si="204"/>
        <v>2023</v>
      </c>
      <c r="L3306" s="6">
        <f t="shared" si="205"/>
        <v>45261</v>
      </c>
      <c r="M3306" s="3" t="str">
        <f t="shared" si="206"/>
        <v>6% to 10%</v>
      </c>
      <c r="N3306" s="3" t="str">
        <f t="shared" si="207"/>
        <v>OK</v>
      </c>
    </row>
    <row r="3307" spans="1:14" x14ac:dyDescent="0.3">
      <c r="A3307" s="2">
        <f>DATE(VALUE(RIGHT(TRIM([1]Raw_Data!A3305),4)),VALUE(MID(TRIM([1]Raw_Data!A3305),4,2)),VALUE(LEFT(TRIM([1]Raw_Data!A3305),2)))</f>
        <v>45278</v>
      </c>
      <c r="B3307" s="3" t="str">
        <f>TRIM([1]Raw_Data!B3305)</f>
        <v>Zinc</v>
      </c>
      <c r="C3307" s="3" t="str">
        <f>TRIM([1]Raw_Data!C3305)</f>
        <v>Mineral</v>
      </c>
      <c r="D3307" s="3">
        <f>[1]Raw_Data!D3305</f>
        <v>164</v>
      </c>
      <c r="E3307" s="4">
        <f>[1]Raw_Data!E3305</f>
        <v>54.84</v>
      </c>
      <c r="F3307" s="5">
        <f>[1]Raw_Data!F3305</f>
        <v>8993.76</v>
      </c>
      <c r="G3307" s="4">
        <f>[1]Raw_Data!G3305</f>
        <v>0.08</v>
      </c>
      <c r="H3307" s="3">
        <f>[1]Raw_Data!H3305</f>
        <v>0</v>
      </c>
      <c r="I3307" s="3" t="str">
        <f>TRIM([1]Raw_Data!I3305)</f>
        <v>UK</v>
      </c>
      <c r="J3307" s="3" t="str">
        <f>TRIM([1]Raw_Data!J3305)</f>
        <v>iHerb</v>
      </c>
      <c r="K3307" s="3">
        <f t="shared" si="204"/>
        <v>2023</v>
      </c>
      <c r="L3307" s="6">
        <f t="shared" si="205"/>
        <v>45261</v>
      </c>
      <c r="M3307" s="3" t="str">
        <f t="shared" si="206"/>
        <v>6% to 10%</v>
      </c>
      <c r="N3307" s="3" t="str">
        <f t="shared" si="207"/>
        <v>OK</v>
      </c>
    </row>
    <row r="3308" spans="1:14" x14ac:dyDescent="0.3">
      <c r="A3308" s="2">
        <f>DATE(VALUE(RIGHT(TRIM([1]Raw_Data!A3306),4)),VALUE(MID(TRIM([1]Raw_Data!A3306),4,2)),VALUE(LEFT(TRIM([1]Raw_Data!A3306),2)))</f>
        <v>45278</v>
      </c>
      <c r="B3308" s="3" t="str">
        <f>TRIM([1]Raw_Data!B3306)</f>
        <v>Collagen Peptides</v>
      </c>
      <c r="C3308" s="3" t="str">
        <f>TRIM([1]Raw_Data!C3306)</f>
        <v>Protein</v>
      </c>
      <c r="D3308" s="3">
        <f>[1]Raw_Data!D3306</f>
        <v>159</v>
      </c>
      <c r="E3308" s="4">
        <f>[1]Raw_Data!E3306</f>
        <v>26.98</v>
      </c>
      <c r="F3308" s="5">
        <f>[1]Raw_Data!F3306</f>
        <v>4289.82</v>
      </c>
      <c r="G3308" s="4">
        <f>[1]Raw_Data!G3306</f>
        <v>0.09</v>
      </c>
      <c r="H3308" s="3">
        <f>[1]Raw_Data!H3306</f>
        <v>4</v>
      </c>
      <c r="I3308" s="3" t="str">
        <f>TRIM([1]Raw_Data!I3306)</f>
        <v>USA</v>
      </c>
      <c r="J3308" s="3" t="str">
        <f>TRIM([1]Raw_Data!J3306)</f>
        <v>Amazon</v>
      </c>
      <c r="K3308" s="3">
        <f t="shared" si="204"/>
        <v>2023</v>
      </c>
      <c r="L3308" s="6">
        <f t="shared" si="205"/>
        <v>45261</v>
      </c>
      <c r="M3308" s="3" t="str">
        <f t="shared" si="206"/>
        <v>6% to 10%</v>
      </c>
      <c r="N3308" s="3" t="str">
        <f t="shared" si="207"/>
        <v>OK</v>
      </c>
    </row>
    <row r="3309" spans="1:14" x14ac:dyDescent="0.3">
      <c r="A3309" s="2">
        <f>DATE(VALUE(RIGHT(TRIM([1]Raw_Data!A3307),4)),VALUE(MID(TRIM([1]Raw_Data!A3307),4,2)),VALUE(LEFT(TRIM([1]Raw_Data!A3307),2)))</f>
        <v>45278</v>
      </c>
      <c r="B3309" s="3" t="str">
        <f>TRIM([1]Raw_Data!B3307)</f>
        <v>Magnesium</v>
      </c>
      <c r="C3309" s="3" t="str">
        <f>TRIM([1]Raw_Data!C3307)</f>
        <v>Mineral</v>
      </c>
      <c r="D3309" s="3">
        <f>[1]Raw_Data!D3307</f>
        <v>126</v>
      </c>
      <c r="E3309" s="4">
        <f>[1]Raw_Data!E3307</f>
        <v>25.48</v>
      </c>
      <c r="F3309" s="5">
        <f>[1]Raw_Data!F3307</f>
        <v>3210.48</v>
      </c>
      <c r="G3309" s="4">
        <f>[1]Raw_Data!G3307</f>
        <v>0.01</v>
      </c>
      <c r="H3309" s="3">
        <f>[1]Raw_Data!H3307</f>
        <v>2</v>
      </c>
      <c r="I3309" s="3" t="str">
        <f>TRIM([1]Raw_Data!I3307)</f>
        <v>UK</v>
      </c>
      <c r="J3309" s="3" t="str">
        <f>TRIM([1]Raw_Data!J3307)</f>
        <v>Walmart</v>
      </c>
      <c r="K3309" s="3">
        <f t="shared" si="204"/>
        <v>2023</v>
      </c>
      <c r="L3309" s="6">
        <f t="shared" si="205"/>
        <v>45261</v>
      </c>
      <c r="M3309" s="3" t="str">
        <f t="shared" si="206"/>
        <v>0% to 5%</v>
      </c>
      <c r="N3309" s="3" t="str">
        <f t="shared" si="207"/>
        <v>OK</v>
      </c>
    </row>
    <row r="3310" spans="1:14" x14ac:dyDescent="0.3">
      <c r="A3310" s="2">
        <f>DATE(VALUE(RIGHT(TRIM([1]Raw_Data!A3308),4)),VALUE(MID(TRIM([1]Raw_Data!A3308),4,2)),VALUE(LEFT(TRIM([1]Raw_Data!A3308),2)))</f>
        <v>45278</v>
      </c>
      <c r="B3310" s="3" t="str">
        <f>TRIM([1]Raw_Data!B3308)</f>
        <v>Ashwagandha</v>
      </c>
      <c r="C3310" s="3" t="str">
        <f>TRIM([1]Raw_Data!C3308)</f>
        <v>Herbal</v>
      </c>
      <c r="D3310" s="3">
        <f>[1]Raw_Data!D3308</f>
        <v>144</v>
      </c>
      <c r="E3310" s="4">
        <f>[1]Raw_Data!E3308</f>
        <v>45.38</v>
      </c>
      <c r="F3310" s="5">
        <f>[1]Raw_Data!F3308</f>
        <v>6534.72</v>
      </c>
      <c r="G3310" s="4">
        <f>[1]Raw_Data!G3308</f>
        <v>0.13</v>
      </c>
      <c r="H3310" s="3">
        <f>[1]Raw_Data!H3308</f>
        <v>2</v>
      </c>
      <c r="I3310" s="3" t="str">
        <f>TRIM([1]Raw_Data!I3308)</f>
        <v>Canada</v>
      </c>
      <c r="J3310" s="3" t="str">
        <f>TRIM([1]Raw_Data!J3308)</f>
        <v>Amazon</v>
      </c>
      <c r="K3310" s="3">
        <f t="shared" si="204"/>
        <v>2023</v>
      </c>
      <c r="L3310" s="6">
        <f t="shared" si="205"/>
        <v>45261</v>
      </c>
      <c r="M3310" s="3" t="str">
        <f t="shared" si="206"/>
        <v>11% to 15%</v>
      </c>
      <c r="N3310" s="3" t="str">
        <f t="shared" si="207"/>
        <v>OK</v>
      </c>
    </row>
    <row r="3311" spans="1:14" x14ac:dyDescent="0.3">
      <c r="A3311" s="2">
        <f>DATE(VALUE(RIGHT(TRIM([1]Raw_Data!A3309),4)),VALUE(MID(TRIM([1]Raw_Data!A3309),4,2)),VALUE(LEFT(TRIM([1]Raw_Data!A3309),2)))</f>
        <v>45278</v>
      </c>
      <c r="B3311" s="3" t="str">
        <f>TRIM([1]Raw_Data!B3309)</f>
        <v>Melatonin</v>
      </c>
      <c r="C3311" s="3" t="str">
        <f>TRIM([1]Raw_Data!C3309)</f>
        <v>Sleep Aid</v>
      </c>
      <c r="D3311" s="3">
        <f>[1]Raw_Data!D3309</f>
        <v>153</v>
      </c>
      <c r="E3311" s="4">
        <f>[1]Raw_Data!E3309</f>
        <v>46.71</v>
      </c>
      <c r="F3311" s="5">
        <f>[1]Raw_Data!F3309</f>
        <v>7146.63</v>
      </c>
      <c r="G3311" s="4">
        <f>[1]Raw_Data!G3309</f>
        <v>0.15</v>
      </c>
      <c r="H3311" s="3">
        <f>[1]Raw_Data!H3309</f>
        <v>0</v>
      </c>
      <c r="I3311" s="3" t="str">
        <f>TRIM([1]Raw_Data!I3309)</f>
        <v>USA</v>
      </c>
      <c r="J3311" s="3" t="str">
        <f>TRIM([1]Raw_Data!J3309)</f>
        <v>Amazon</v>
      </c>
      <c r="K3311" s="3">
        <f t="shared" si="204"/>
        <v>2023</v>
      </c>
      <c r="L3311" s="6">
        <f t="shared" si="205"/>
        <v>45261</v>
      </c>
      <c r="M3311" s="3" t="str">
        <f t="shared" si="206"/>
        <v>11% to 15%</v>
      </c>
      <c r="N3311" s="3" t="str">
        <f t="shared" si="207"/>
        <v>OK</v>
      </c>
    </row>
    <row r="3312" spans="1:14" x14ac:dyDescent="0.3">
      <c r="A3312" s="2">
        <f>DATE(VALUE(RIGHT(TRIM([1]Raw_Data!A3310),4)),VALUE(MID(TRIM([1]Raw_Data!A3310),4,2)),VALUE(LEFT(TRIM([1]Raw_Data!A3310),2)))</f>
        <v>45278</v>
      </c>
      <c r="B3312" s="3" t="str">
        <f>TRIM([1]Raw_Data!B3310)</f>
        <v>Biotin</v>
      </c>
      <c r="C3312" s="3" t="str">
        <f>TRIM([1]Raw_Data!C3310)</f>
        <v>Vitamin</v>
      </c>
      <c r="D3312" s="3">
        <f>[1]Raw_Data!D3310</f>
        <v>169</v>
      </c>
      <c r="E3312" s="4">
        <f>[1]Raw_Data!E3310</f>
        <v>53.43</v>
      </c>
      <c r="F3312" s="5">
        <f>[1]Raw_Data!F3310</f>
        <v>9029.67</v>
      </c>
      <c r="G3312" s="4">
        <f>[1]Raw_Data!G3310</f>
        <v>0.22</v>
      </c>
      <c r="H3312" s="3">
        <f>[1]Raw_Data!H3310</f>
        <v>1</v>
      </c>
      <c r="I3312" s="3" t="str">
        <f>TRIM([1]Raw_Data!I3310)</f>
        <v>Canada</v>
      </c>
      <c r="J3312" s="3" t="str">
        <f>TRIM([1]Raw_Data!J3310)</f>
        <v>iHerb</v>
      </c>
      <c r="K3312" s="3">
        <f t="shared" si="204"/>
        <v>2023</v>
      </c>
      <c r="L3312" s="6">
        <f t="shared" si="205"/>
        <v>45261</v>
      </c>
      <c r="M3312" s="3" t="str">
        <f t="shared" si="206"/>
        <v>21% to 25%</v>
      </c>
      <c r="N3312" s="3" t="str">
        <f t="shared" si="207"/>
        <v>OK</v>
      </c>
    </row>
    <row r="3313" spans="1:14" x14ac:dyDescent="0.3">
      <c r="A3313" s="2">
        <f>DATE(VALUE(RIGHT(TRIM([1]Raw_Data!A3311),4)),VALUE(MID(TRIM([1]Raw_Data!A3311),4,2)),VALUE(LEFT(TRIM([1]Raw_Data!A3311),2)))</f>
        <v>45278</v>
      </c>
      <c r="B3313" s="3" t="str">
        <f>TRIM([1]Raw_Data!B3311)</f>
        <v>Green Tea Extract</v>
      </c>
      <c r="C3313" s="3" t="str">
        <f>TRIM([1]Raw_Data!C3311)</f>
        <v>Fat Burner</v>
      </c>
      <c r="D3313" s="3">
        <f>[1]Raw_Data!D3311</f>
        <v>150</v>
      </c>
      <c r="E3313" s="4">
        <f>[1]Raw_Data!E3311</f>
        <v>32.47</v>
      </c>
      <c r="F3313" s="5">
        <f>[1]Raw_Data!F3311</f>
        <v>4870.5</v>
      </c>
      <c r="G3313" s="4">
        <f>[1]Raw_Data!G3311</f>
        <v>0.22</v>
      </c>
      <c r="H3313" s="3">
        <f>[1]Raw_Data!H3311</f>
        <v>2</v>
      </c>
      <c r="I3313" s="3" t="str">
        <f>TRIM([1]Raw_Data!I3311)</f>
        <v>Canada</v>
      </c>
      <c r="J3313" s="3" t="str">
        <f>TRIM([1]Raw_Data!J3311)</f>
        <v>Walmart</v>
      </c>
      <c r="K3313" s="3">
        <f t="shared" si="204"/>
        <v>2023</v>
      </c>
      <c r="L3313" s="6">
        <f t="shared" si="205"/>
        <v>45261</v>
      </c>
      <c r="M3313" s="3" t="str">
        <f t="shared" si="206"/>
        <v>21% to 25%</v>
      </c>
      <c r="N3313" s="3" t="str">
        <f t="shared" si="207"/>
        <v>OK</v>
      </c>
    </row>
    <row r="3314" spans="1:14" x14ac:dyDescent="0.3">
      <c r="A3314" s="2">
        <f>DATE(VALUE(RIGHT(TRIM([1]Raw_Data!A3312),4)),VALUE(MID(TRIM([1]Raw_Data!A3312),4,2)),VALUE(LEFT(TRIM([1]Raw_Data!A3312),2)))</f>
        <v>45278</v>
      </c>
      <c r="B3314" s="3" t="str">
        <f>TRIM([1]Raw_Data!B3312)</f>
        <v>Iron Supplement</v>
      </c>
      <c r="C3314" s="3" t="str">
        <f>TRIM([1]Raw_Data!C3312)</f>
        <v>Mineral</v>
      </c>
      <c r="D3314" s="3">
        <f>[1]Raw_Data!D3312</f>
        <v>134</v>
      </c>
      <c r="E3314" s="4">
        <f>[1]Raw_Data!E3312</f>
        <v>59.8</v>
      </c>
      <c r="F3314" s="5">
        <f>[1]Raw_Data!F3312</f>
        <v>8013.2</v>
      </c>
      <c r="G3314" s="4">
        <f>[1]Raw_Data!G3312</f>
        <v>0.15</v>
      </c>
      <c r="H3314" s="3">
        <f>[1]Raw_Data!H3312</f>
        <v>2</v>
      </c>
      <c r="I3314" s="3" t="str">
        <f>TRIM([1]Raw_Data!I3312)</f>
        <v>UK</v>
      </c>
      <c r="J3314" s="3" t="str">
        <f>TRIM([1]Raw_Data!J3312)</f>
        <v>iHerb</v>
      </c>
      <c r="K3314" s="3">
        <f t="shared" si="204"/>
        <v>2023</v>
      </c>
      <c r="L3314" s="6">
        <f t="shared" si="205"/>
        <v>45261</v>
      </c>
      <c r="M3314" s="3" t="str">
        <f t="shared" si="206"/>
        <v>11% to 15%</v>
      </c>
      <c r="N3314" s="3" t="str">
        <f t="shared" si="207"/>
        <v>OK</v>
      </c>
    </row>
    <row r="3315" spans="1:14" x14ac:dyDescent="0.3">
      <c r="A3315" s="2">
        <f>DATE(VALUE(RIGHT(TRIM([1]Raw_Data!A3313),4)),VALUE(MID(TRIM([1]Raw_Data!A3313),4,2)),VALUE(LEFT(TRIM([1]Raw_Data!A3313),2)))</f>
        <v>45278</v>
      </c>
      <c r="B3315" s="3" t="str">
        <f>TRIM([1]Raw_Data!B3313)</f>
        <v>Electrolyte Powder</v>
      </c>
      <c r="C3315" s="3" t="str">
        <f>TRIM([1]Raw_Data!C3313)</f>
        <v>Hydration</v>
      </c>
      <c r="D3315" s="3">
        <f>[1]Raw_Data!D3313</f>
        <v>160</v>
      </c>
      <c r="E3315" s="4">
        <f>[1]Raw_Data!E3313</f>
        <v>28.59</v>
      </c>
      <c r="F3315" s="5">
        <f>[1]Raw_Data!F3313</f>
        <v>4574.3999999999996</v>
      </c>
      <c r="G3315" s="4">
        <f>[1]Raw_Data!G3313</f>
        <v>0.18</v>
      </c>
      <c r="H3315" s="3">
        <f>[1]Raw_Data!H3313</f>
        <v>1</v>
      </c>
      <c r="I3315" s="3" t="str">
        <f>TRIM([1]Raw_Data!I3313)</f>
        <v>USA</v>
      </c>
      <c r="J3315" s="3" t="str">
        <f>TRIM([1]Raw_Data!J3313)</f>
        <v>Walmart</v>
      </c>
      <c r="K3315" s="3">
        <f t="shared" si="204"/>
        <v>2023</v>
      </c>
      <c r="L3315" s="6">
        <f t="shared" si="205"/>
        <v>45261</v>
      </c>
      <c r="M3315" s="3" t="str">
        <f t="shared" si="206"/>
        <v>16% to 20%</v>
      </c>
      <c r="N3315" s="3" t="str">
        <f t="shared" si="207"/>
        <v>OK</v>
      </c>
    </row>
    <row r="3316" spans="1:14" x14ac:dyDescent="0.3">
      <c r="A3316" s="2">
        <f>DATE(VALUE(RIGHT(TRIM([1]Raw_Data!A3314),4)),VALUE(MID(TRIM([1]Raw_Data!A3314),4,2)),VALUE(LEFT(TRIM([1]Raw_Data!A3314),2)))</f>
        <v>45285</v>
      </c>
      <c r="B3316" s="3" t="str">
        <f>TRIM([1]Raw_Data!B3314)</f>
        <v>Whey Protein</v>
      </c>
      <c r="C3316" s="3" t="str">
        <f>TRIM([1]Raw_Data!C3314)</f>
        <v>Protein</v>
      </c>
      <c r="D3316" s="3">
        <f>[1]Raw_Data!D3314</f>
        <v>152</v>
      </c>
      <c r="E3316" s="4">
        <f>[1]Raw_Data!E3314</f>
        <v>48.88</v>
      </c>
      <c r="F3316" s="5">
        <f>[1]Raw_Data!F3314</f>
        <v>7429.76</v>
      </c>
      <c r="G3316" s="4">
        <f>[1]Raw_Data!G3314</f>
        <v>7.0000000000000007E-2</v>
      </c>
      <c r="H3316" s="3">
        <f>[1]Raw_Data!H3314</f>
        <v>0</v>
      </c>
      <c r="I3316" s="3" t="str">
        <f>TRIM([1]Raw_Data!I3314)</f>
        <v>UK</v>
      </c>
      <c r="J3316" s="3" t="str">
        <f>TRIM([1]Raw_Data!J3314)</f>
        <v>Walmart</v>
      </c>
      <c r="K3316" s="3">
        <f t="shared" si="204"/>
        <v>2023</v>
      </c>
      <c r="L3316" s="6">
        <f t="shared" si="205"/>
        <v>45261</v>
      </c>
      <c r="M3316" s="3" t="str">
        <f t="shared" si="206"/>
        <v>6% to 10%</v>
      </c>
      <c r="N3316" s="3" t="str">
        <f t="shared" si="207"/>
        <v>OK</v>
      </c>
    </row>
    <row r="3317" spans="1:14" x14ac:dyDescent="0.3">
      <c r="A3317" s="2">
        <f>DATE(VALUE(RIGHT(TRIM([1]Raw_Data!A3315),4)),VALUE(MID(TRIM([1]Raw_Data!A3315),4,2)),VALUE(LEFT(TRIM([1]Raw_Data!A3315),2)))</f>
        <v>45285</v>
      </c>
      <c r="B3317" s="3" t="str">
        <f>TRIM([1]Raw_Data!B3315)</f>
        <v>Vitamin C</v>
      </c>
      <c r="C3317" s="3" t="str">
        <f>TRIM([1]Raw_Data!C3315)</f>
        <v>Vitamin</v>
      </c>
      <c r="D3317" s="3">
        <f>[1]Raw_Data!D3315</f>
        <v>142</v>
      </c>
      <c r="E3317" s="4">
        <f>[1]Raw_Data!E3315</f>
        <v>27.11</v>
      </c>
      <c r="F3317" s="5">
        <f>[1]Raw_Data!F3315</f>
        <v>3849.62</v>
      </c>
      <c r="G3317" s="4">
        <f>[1]Raw_Data!G3315</f>
        <v>0.14000000000000001</v>
      </c>
      <c r="H3317" s="3">
        <f>[1]Raw_Data!H3315</f>
        <v>0</v>
      </c>
      <c r="I3317" s="3" t="str">
        <f>TRIM([1]Raw_Data!I3315)</f>
        <v>Canada</v>
      </c>
      <c r="J3317" s="3" t="str">
        <f>TRIM([1]Raw_Data!J3315)</f>
        <v>iHerb</v>
      </c>
      <c r="K3317" s="3">
        <f t="shared" si="204"/>
        <v>2023</v>
      </c>
      <c r="L3317" s="6">
        <f t="shared" si="205"/>
        <v>45261</v>
      </c>
      <c r="M3317" s="3" t="str">
        <f t="shared" si="206"/>
        <v>11% to 15%</v>
      </c>
      <c r="N3317" s="3" t="str">
        <f t="shared" si="207"/>
        <v>OK</v>
      </c>
    </row>
    <row r="3318" spans="1:14" x14ac:dyDescent="0.3">
      <c r="A3318" s="2">
        <f>DATE(VALUE(RIGHT(TRIM([1]Raw_Data!A3316),4)),VALUE(MID(TRIM([1]Raw_Data!A3316),4,2)),VALUE(LEFT(TRIM([1]Raw_Data!A3316),2)))</f>
        <v>45285</v>
      </c>
      <c r="B3318" s="3" t="str">
        <f>TRIM([1]Raw_Data!B3316)</f>
        <v>Fish Oil</v>
      </c>
      <c r="C3318" s="3" t="str">
        <f>TRIM([1]Raw_Data!C3316)</f>
        <v>Omega</v>
      </c>
      <c r="D3318" s="3">
        <f>[1]Raw_Data!D3316</f>
        <v>150</v>
      </c>
      <c r="E3318" s="4">
        <f>[1]Raw_Data!E3316</f>
        <v>36.729999999999997</v>
      </c>
      <c r="F3318" s="5">
        <f>[1]Raw_Data!F3316</f>
        <v>5509.5</v>
      </c>
      <c r="G3318" s="4">
        <f>[1]Raw_Data!G3316</f>
        <v>0.11</v>
      </c>
      <c r="H3318" s="3">
        <f>[1]Raw_Data!H3316</f>
        <v>1</v>
      </c>
      <c r="I3318" s="3" t="str">
        <f>TRIM([1]Raw_Data!I3316)</f>
        <v>UK</v>
      </c>
      <c r="J3318" s="3" t="str">
        <f>TRIM([1]Raw_Data!J3316)</f>
        <v>Walmart</v>
      </c>
      <c r="K3318" s="3">
        <f t="shared" si="204"/>
        <v>2023</v>
      </c>
      <c r="L3318" s="6">
        <f t="shared" si="205"/>
        <v>45261</v>
      </c>
      <c r="M3318" s="3" t="str">
        <f t="shared" si="206"/>
        <v>11% to 15%</v>
      </c>
      <c r="N3318" s="3" t="str">
        <f t="shared" si="207"/>
        <v>OK</v>
      </c>
    </row>
    <row r="3319" spans="1:14" x14ac:dyDescent="0.3">
      <c r="A3319" s="2">
        <f>DATE(VALUE(RIGHT(TRIM([1]Raw_Data!A3317),4)),VALUE(MID(TRIM([1]Raw_Data!A3317),4,2)),VALUE(LEFT(TRIM([1]Raw_Data!A3317),2)))</f>
        <v>45285</v>
      </c>
      <c r="B3319" s="3" t="str">
        <f>TRIM([1]Raw_Data!B3317)</f>
        <v>Multivitamin</v>
      </c>
      <c r="C3319" s="3" t="str">
        <f>TRIM([1]Raw_Data!C3317)</f>
        <v>Vitamin</v>
      </c>
      <c r="D3319" s="3">
        <f>[1]Raw_Data!D3317</f>
        <v>169</v>
      </c>
      <c r="E3319" s="4">
        <f>[1]Raw_Data!E3317</f>
        <v>44.07</v>
      </c>
      <c r="F3319" s="5">
        <f>[1]Raw_Data!F3317</f>
        <v>7447.83</v>
      </c>
      <c r="G3319" s="4">
        <f>[1]Raw_Data!G3317</f>
        <v>0.23</v>
      </c>
      <c r="H3319" s="3">
        <f>[1]Raw_Data!H3317</f>
        <v>2</v>
      </c>
      <c r="I3319" s="3" t="str">
        <f>TRIM([1]Raw_Data!I3317)</f>
        <v>Canada</v>
      </c>
      <c r="J3319" s="3" t="str">
        <f>TRIM([1]Raw_Data!J3317)</f>
        <v>Amazon</v>
      </c>
      <c r="K3319" s="3">
        <f t="shared" si="204"/>
        <v>2023</v>
      </c>
      <c r="L3319" s="6">
        <f t="shared" si="205"/>
        <v>45261</v>
      </c>
      <c r="M3319" s="3" t="str">
        <f t="shared" si="206"/>
        <v>21% to 25%</v>
      </c>
      <c r="N3319" s="3" t="str">
        <f t="shared" si="207"/>
        <v>OK</v>
      </c>
    </row>
    <row r="3320" spans="1:14" x14ac:dyDescent="0.3">
      <c r="A3320" s="2">
        <f>DATE(VALUE(RIGHT(TRIM([1]Raw_Data!A3318),4)),VALUE(MID(TRIM([1]Raw_Data!A3318),4,2)),VALUE(LEFT(TRIM([1]Raw_Data!A3318),2)))</f>
        <v>45285</v>
      </c>
      <c r="B3320" s="3" t="str">
        <f>TRIM([1]Raw_Data!B3318)</f>
        <v>Pre-Workout</v>
      </c>
      <c r="C3320" s="3" t="str">
        <f>TRIM([1]Raw_Data!C3318)</f>
        <v>Performance</v>
      </c>
      <c r="D3320" s="3">
        <f>[1]Raw_Data!D3318</f>
        <v>166</v>
      </c>
      <c r="E3320" s="4">
        <f>[1]Raw_Data!E3318</f>
        <v>34.69</v>
      </c>
      <c r="F3320" s="5">
        <f>[1]Raw_Data!F3318</f>
        <v>5758.54</v>
      </c>
      <c r="G3320" s="4">
        <f>[1]Raw_Data!G3318</f>
        <v>0.11</v>
      </c>
      <c r="H3320" s="3">
        <f>[1]Raw_Data!H3318</f>
        <v>0</v>
      </c>
      <c r="I3320" s="3" t="str">
        <f>TRIM([1]Raw_Data!I3318)</f>
        <v>UK</v>
      </c>
      <c r="J3320" s="3" t="str">
        <f>TRIM([1]Raw_Data!J3318)</f>
        <v>Amazon</v>
      </c>
      <c r="K3320" s="3">
        <f t="shared" si="204"/>
        <v>2023</v>
      </c>
      <c r="L3320" s="6">
        <f t="shared" si="205"/>
        <v>45261</v>
      </c>
      <c r="M3320" s="3" t="str">
        <f t="shared" si="206"/>
        <v>11% to 15%</v>
      </c>
      <c r="N3320" s="3" t="str">
        <f t="shared" si="207"/>
        <v>OK</v>
      </c>
    </row>
    <row r="3321" spans="1:14" x14ac:dyDescent="0.3">
      <c r="A3321" s="2">
        <f>DATE(VALUE(RIGHT(TRIM([1]Raw_Data!A3319),4)),VALUE(MID(TRIM([1]Raw_Data!A3319),4,2)),VALUE(LEFT(TRIM([1]Raw_Data!A3319),2)))</f>
        <v>45285</v>
      </c>
      <c r="B3321" s="3" t="str">
        <f>TRIM([1]Raw_Data!B3319)</f>
        <v>BCAA</v>
      </c>
      <c r="C3321" s="3" t="str">
        <f>TRIM([1]Raw_Data!C3319)</f>
        <v>Amino Acid</v>
      </c>
      <c r="D3321" s="3">
        <f>[1]Raw_Data!D3319</f>
        <v>148</v>
      </c>
      <c r="E3321" s="4">
        <f>[1]Raw_Data!E3319</f>
        <v>43.49</v>
      </c>
      <c r="F3321" s="5">
        <f>[1]Raw_Data!F3319</f>
        <v>6436.52</v>
      </c>
      <c r="G3321" s="4">
        <f>[1]Raw_Data!G3319</f>
        <v>0.23</v>
      </c>
      <c r="H3321" s="3">
        <f>[1]Raw_Data!H3319</f>
        <v>0</v>
      </c>
      <c r="I3321" s="3" t="str">
        <f>TRIM([1]Raw_Data!I3319)</f>
        <v>UK</v>
      </c>
      <c r="J3321" s="3" t="str">
        <f>TRIM([1]Raw_Data!J3319)</f>
        <v>Walmart</v>
      </c>
      <c r="K3321" s="3">
        <f t="shared" si="204"/>
        <v>2023</v>
      </c>
      <c r="L3321" s="6">
        <f t="shared" si="205"/>
        <v>45261</v>
      </c>
      <c r="M3321" s="3" t="str">
        <f t="shared" si="206"/>
        <v>21% to 25%</v>
      </c>
      <c r="N3321" s="3" t="str">
        <f t="shared" si="207"/>
        <v>OK</v>
      </c>
    </row>
    <row r="3322" spans="1:14" x14ac:dyDescent="0.3">
      <c r="A3322" s="2">
        <f>DATE(VALUE(RIGHT(TRIM([1]Raw_Data!A3320),4)),VALUE(MID(TRIM([1]Raw_Data!A3320),4,2)),VALUE(LEFT(TRIM([1]Raw_Data!A3320),2)))</f>
        <v>45285</v>
      </c>
      <c r="B3322" s="3" t="str">
        <f>TRIM([1]Raw_Data!B3320)</f>
        <v>Creatine</v>
      </c>
      <c r="C3322" s="3" t="str">
        <f>TRIM([1]Raw_Data!C3320)</f>
        <v>Performance</v>
      </c>
      <c r="D3322" s="3">
        <f>[1]Raw_Data!D3320</f>
        <v>144</v>
      </c>
      <c r="E3322" s="4">
        <f>[1]Raw_Data!E3320</f>
        <v>32.76</v>
      </c>
      <c r="F3322" s="5">
        <f>[1]Raw_Data!F3320</f>
        <v>4717.4399999999996</v>
      </c>
      <c r="G3322" s="4">
        <f>[1]Raw_Data!G3320</f>
        <v>0.19</v>
      </c>
      <c r="H3322" s="3">
        <f>[1]Raw_Data!H3320</f>
        <v>1</v>
      </c>
      <c r="I3322" s="3" t="str">
        <f>TRIM([1]Raw_Data!I3320)</f>
        <v>USA</v>
      </c>
      <c r="J3322" s="3" t="str">
        <f>TRIM([1]Raw_Data!J3320)</f>
        <v>Walmart</v>
      </c>
      <c r="K3322" s="3">
        <f t="shared" si="204"/>
        <v>2023</v>
      </c>
      <c r="L3322" s="6">
        <f t="shared" si="205"/>
        <v>45261</v>
      </c>
      <c r="M3322" s="3" t="str">
        <f t="shared" si="206"/>
        <v>16% to 20%</v>
      </c>
      <c r="N3322" s="3" t="str">
        <f t="shared" si="207"/>
        <v>OK</v>
      </c>
    </row>
    <row r="3323" spans="1:14" x14ac:dyDescent="0.3">
      <c r="A3323" s="2">
        <f>DATE(VALUE(RIGHT(TRIM([1]Raw_Data!A3321),4)),VALUE(MID(TRIM([1]Raw_Data!A3321),4,2)),VALUE(LEFT(TRIM([1]Raw_Data!A3321),2)))</f>
        <v>45285</v>
      </c>
      <c r="B3323" s="3" t="str">
        <f>TRIM([1]Raw_Data!B3321)</f>
        <v>Zinc</v>
      </c>
      <c r="C3323" s="3" t="str">
        <f>TRIM([1]Raw_Data!C3321)</f>
        <v>Mineral</v>
      </c>
      <c r="D3323" s="3">
        <f>[1]Raw_Data!D3321</f>
        <v>167</v>
      </c>
      <c r="E3323" s="4">
        <f>[1]Raw_Data!E3321</f>
        <v>39.06</v>
      </c>
      <c r="F3323" s="5">
        <f>[1]Raw_Data!F3321</f>
        <v>6523.02</v>
      </c>
      <c r="G3323" s="4">
        <f>[1]Raw_Data!G3321</f>
        <v>0.04</v>
      </c>
      <c r="H3323" s="3">
        <f>[1]Raw_Data!H3321</f>
        <v>1</v>
      </c>
      <c r="I3323" s="3" t="str">
        <f>TRIM([1]Raw_Data!I3321)</f>
        <v>Canada</v>
      </c>
      <c r="J3323" s="3" t="str">
        <f>TRIM([1]Raw_Data!J3321)</f>
        <v>Walmart</v>
      </c>
      <c r="K3323" s="3">
        <f t="shared" si="204"/>
        <v>2023</v>
      </c>
      <c r="L3323" s="6">
        <f t="shared" si="205"/>
        <v>45261</v>
      </c>
      <c r="M3323" s="3" t="str">
        <f t="shared" si="206"/>
        <v>0% to 5%</v>
      </c>
      <c r="N3323" s="3" t="str">
        <f t="shared" si="207"/>
        <v>OK</v>
      </c>
    </row>
    <row r="3324" spans="1:14" x14ac:dyDescent="0.3">
      <c r="A3324" s="2">
        <f>DATE(VALUE(RIGHT(TRIM([1]Raw_Data!A3322),4)),VALUE(MID(TRIM([1]Raw_Data!A3322),4,2)),VALUE(LEFT(TRIM([1]Raw_Data!A3322),2)))</f>
        <v>45285</v>
      </c>
      <c r="B3324" s="3" t="str">
        <f>TRIM([1]Raw_Data!B3322)</f>
        <v>Collagen Peptides</v>
      </c>
      <c r="C3324" s="3" t="str">
        <f>TRIM([1]Raw_Data!C3322)</f>
        <v>Protein</v>
      </c>
      <c r="D3324" s="3">
        <f>[1]Raw_Data!D3322</f>
        <v>140</v>
      </c>
      <c r="E3324" s="4">
        <f>[1]Raw_Data!E3322</f>
        <v>56.41</v>
      </c>
      <c r="F3324" s="5">
        <f>[1]Raw_Data!F3322</f>
        <v>7897.4</v>
      </c>
      <c r="G3324" s="4">
        <f>[1]Raw_Data!G3322</f>
        <v>0.13</v>
      </c>
      <c r="H3324" s="3">
        <f>[1]Raw_Data!H3322</f>
        <v>0</v>
      </c>
      <c r="I3324" s="3" t="str">
        <f>TRIM([1]Raw_Data!I3322)</f>
        <v>USA</v>
      </c>
      <c r="J3324" s="3" t="str">
        <f>TRIM([1]Raw_Data!J3322)</f>
        <v>iHerb</v>
      </c>
      <c r="K3324" s="3">
        <f t="shared" si="204"/>
        <v>2023</v>
      </c>
      <c r="L3324" s="6">
        <f t="shared" si="205"/>
        <v>45261</v>
      </c>
      <c r="M3324" s="3" t="str">
        <f t="shared" si="206"/>
        <v>11% to 15%</v>
      </c>
      <c r="N3324" s="3" t="str">
        <f t="shared" si="207"/>
        <v>OK</v>
      </c>
    </row>
    <row r="3325" spans="1:14" x14ac:dyDescent="0.3">
      <c r="A3325" s="2">
        <f>DATE(VALUE(RIGHT(TRIM([1]Raw_Data!A3323),4)),VALUE(MID(TRIM([1]Raw_Data!A3323),4,2)),VALUE(LEFT(TRIM([1]Raw_Data!A3323),2)))</f>
        <v>45285</v>
      </c>
      <c r="B3325" s="3" t="str">
        <f>TRIM([1]Raw_Data!B3323)</f>
        <v>Magnesium</v>
      </c>
      <c r="C3325" s="3" t="str">
        <f>TRIM([1]Raw_Data!C3323)</f>
        <v>Mineral</v>
      </c>
      <c r="D3325" s="3">
        <f>[1]Raw_Data!D3323</f>
        <v>141</v>
      </c>
      <c r="E3325" s="4">
        <f>[1]Raw_Data!E3323</f>
        <v>41.16</v>
      </c>
      <c r="F3325" s="5">
        <f>[1]Raw_Data!F3323</f>
        <v>5803.56</v>
      </c>
      <c r="G3325" s="4">
        <f>[1]Raw_Data!G3323</f>
        <v>0.11</v>
      </c>
      <c r="H3325" s="3">
        <f>[1]Raw_Data!H3323</f>
        <v>1</v>
      </c>
      <c r="I3325" s="3" t="str">
        <f>TRIM([1]Raw_Data!I3323)</f>
        <v>UK</v>
      </c>
      <c r="J3325" s="3" t="str">
        <f>TRIM([1]Raw_Data!J3323)</f>
        <v>Amazon</v>
      </c>
      <c r="K3325" s="3">
        <f t="shared" si="204"/>
        <v>2023</v>
      </c>
      <c r="L3325" s="6">
        <f t="shared" si="205"/>
        <v>45261</v>
      </c>
      <c r="M3325" s="3" t="str">
        <f t="shared" si="206"/>
        <v>11% to 15%</v>
      </c>
      <c r="N3325" s="3" t="str">
        <f t="shared" si="207"/>
        <v>OK</v>
      </c>
    </row>
    <row r="3326" spans="1:14" x14ac:dyDescent="0.3">
      <c r="A3326" s="2">
        <f>DATE(VALUE(RIGHT(TRIM([1]Raw_Data!A3324),4)),VALUE(MID(TRIM([1]Raw_Data!A3324),4,2)),VALUE(LEFT(TRIM([1]Raw_Data!A3324),2)))</f>
        <v>45285</v>
      </c>
      <c r="B3326" s="3" t="str">
        <f>TRIM([1]Raw_Data!B3324)</f>
        <v>Ashwagandha</v>
      </c>
      <c r="C3326" s="3" t="str">
        <f>TRIM([1]Raw_Data!C3324)</f>
        <v>Herbal</v>
      </c>
      <c r="D3326" s="3">
        <f>[1]Raw_Data!D3324</f>
        <v>152</v>
      </c>
      <c r="E3326" s="4">
        <f>[1]Raw_Data!E3324</f>
        <v>13.95</v>
      </c>
      <c r="F3326" s="5">
        <f>[1]Raw_Data!F3324</f>
        <v>2120.4</v>
      </c>
      <c r="G3326" s="4">
        <f>[1]Raw_Data!G3324</f>
        <v>0.01</v>
      </c>
      <c r="H3326" s="3">
        <f>[1]Raw_Data!H3324</f>
        <v>1</v>
      </c>
      <c r="I3326" s="3" t="str">
        <f>TRIM([1]Raw_Data!I3324)</f>
        <v>USA</v>
      </c>
      <c r="J3326" s="3" t="str">
        <f>TRIM([1]Raw_Data!J3324)</f>
        <v>Walmart</v>
      </c>
      <c r="K3326" s="3">
        <f t="shared" si="204"/>
        <v>2023</v>
      </c>
      <c r="L3326" s="6">
        <f t="shared" si="205"/>
        <v>45261</v>
      </c>
      <c r="M3326" s="3" t="str">
        <f t="shared" si="206"/>
        <v>0% to 5%</v>
      </c>
      <c r="N3326" s="3" t="str">
        <f t="shared" si="207"/>
        <v>OK</v>
      </c>
    </row>
    <row r="3327" spans="1:14" x14ac:dyDescent="0.3">
      <c r="A3327" s="2">
        <f>DATE(VALUE(RIGHT(TRIM([1]Raw_Data!A3325),4)),VALUE(MID(TRIM([1]Raw_Data!A3325),4,2)),VALUE(LEFT(TRIM([1]Raw_Data!A3325),2)))</f>
        <v>45285</v>
      </c>
      <c r="B3327" s="3" t="str">
        <f>TRIM([1]Raw_Data!B3325)</f>
        <v>Melatonin</v>
      </c>
      <c r="C3327" s="3" t="str">
        <f>TRIM([1]Raw_Data!C3325)</f>
        <v>Sleep Aid</v>
      </c>
      <c r="D3327" s="3">
        <f>[1]Raw_Data!D3325</f>
        <v>130</v>
      </c>
      <c r="E3327" s="4">
        <f>[1]Raw_Data!E3325</f>
        <v>48.65</v>
      </c>
      <c r="F3327" s="5">
        <f>[1]Raw_Data!F3325</f>
        <v>6324.5</v>
      </c>
      <c r="G3327" s="4">
        <f>[1]Raw_Data!G3325</f>
        <v>0.18</v>
      </c>
      <c r="H3327" s="3">
        <f>[1]Raw_Data!H3325</f>
        <v>1</v>
      </c>
      <c r="I3327" s="3" t="str">
        <f>TRIM([1]Raw_Data!I3325)</f>
        <v>Canada</v>
      </c>
      <c r="J3327" s="3" t="str">
        <f>TRIM([1]Raw_Data!J3325)</f>
        <v>iHerb</v>
      </c>
      <c r="K3327" s="3">
        <f t="shared" si="204"/>
        <v>2023</v>
      </c>
      <c r="L3327" s="6">
        <f t="shared" si="205"/>
        <v>45261</v>
      </c>
      <c r="M3327" s="3" t="str">
        <f t="shared" si="206"/>
        <v>16% to 20%</v>
      </c>
      <c r="N3327" s="3" t="str">
        <f t="shared" si="207"/>
        <v>OK</v>
      </c>
    </row>
    <row r="3328" spans="1:14" x14ac:dyDescent="0.3">
      <c r="A3328" s="2">
        <f>DATE(VALUE(RIGHT(TRIM([1]Raw_Data!A3326),4)),VALUE(MID(TRIM([1]Raw_Data!A3326),4,2)),VALUE(LEFT(TRIM([1]Raw_Data!A3326),2)))</f>
        <v>45285</v>
      </c>
      <c r="B3328" s="3" t="str">
        <f>TRIM([1]Raw_Data!B3326)</f>
        <v>Biotin</v>
      </c>
      <c r="C3328" s="3" t="str">
        <f>TRIM([1]Raw_Data!C3326)</f>
        <v>Vitamin</v>
      </c>
      <c r="D3328" s="3">
        <f>[1]Raw_Data!D3326</f>
        <v>165</v>
      </c>
      <c r="E3328" s="4">
        <f>[1]Raw_Data!E3326</f>
        <v>54.25</v>
      </c>
      <c r="F3328" s="5">
        <f>[1]Raw_Data!F3326</f>
        <v>8951.25</v>
      </c>
      <c r="G3328" s="4">
        <f>[1]Raw_Data!G3326</f>
        <v>0.1</v>
      </c>
      <c r="H3328" s="3">
        <f>[1]Raw_Data!H3326</f>
        <v>1</v>
      </c>
      <c r="I3328" s="3" t="str">
        <f>TRIM([1]Raw_Data!I3326)</f>
        <v>UK</v>
      </c>
      <c r="J3328" s="3" t="str">
        <f>TRIM([1]Raw_Data!J3326)</f>
        <v>Amazon</v>
      </c>
      <c r="K3328" s="3">
        <f t="shared" si="204"/>
        <v>2023</v>
      </c>
      <c r="L3328" s="6">
        <f t="shared" si="205"/>
        <v>45261</v>
      </c>
      <c r="M3328" s="3" t="str">
        <f t="shared" si="206"/>
        <v>6% to 10%</v>
      </c>
      <c r="N3328" s="3" t="str">
        <f t="shared" si="207"/>
        <v>OK</v>
      </c>
    </row>
    <row r="3329" spans="1:14" x14ac:dyDescent="0.3">
      <c r="A3329" s="2">
        <f>DATE(VALUE(RIGHT(TRIM([1]Raw_Data!A3327),4)),VALUE(MID(TRIM([1]Raw_Data!A3327),4,2)),VALUE(LEFT(TRIM([1]Raw_Data!A3327),2)))</f>
        <v>45285</v>
      </c>
      <c r="B3329" s="3" t="str">
        <f>TRIM([1]Raw_Data!B3327)</f>
        <v>Green Tea Extract</v>
      </c>
      <c r="C3329" s="3" t="str">
        <f>TRIM([1]Raw_Data!C3327)</f>
        <v>Fat Burner</v>
      </c>
      <c r="D3329" s="3">
        <f>[1]Raw_Data!D3327</f>
        <v>147</v>
      </c>
      <c r="E3329" s="4">
        <f>[1]Raw_Data!E3327</f>
        <v>58.77</v>
      </c>
      <c r="F3329" s="5">
        <f>[1]Raw_Data!F3327</f>
        <v>8639.19</v>
      </c>
      <c r="G3329" s="4">
        <f>[1]Raw_Data!G3327</f>
        <v>0.03</v>
      </c>
      <c r="H3329" s="3">
        <f>[1]Raw_Data!H3327</f>
        <v>1</v>
      </c>
      <c r="I3329" s="3" t="str">
        <f>TRIM([1]Raw_Data!I3327)</f>
        <v>UK</v>
      </c>
      <c r="J3329" s="3" t="str">
        <f>TRIM([1]Raw_Data!J3327)</f>
        <v>Walmart</v>
      </c>
      <c r="K3329" s="3">
        <f t="shared" si="204"/>
        <v>2023</v>
      </c>
      <c r="L3329" s="6">
        <f t="shared" si="205"/>
        <v>45261</v>
      </c>
      <c r="M3329" s="3" t="str">
        <f t="shared" si="206"/>
        <v>0% to 5%</v>
      </c>
      <c r="N3329" s="3" t="str">
        <f t="shared" si="207"/>
        <v>OK</v>
      </c>
    </row>
    <row r="3330" spans="1:14" x14ac:dyDescent="0.3">
      <c r="A3330" s="2">
        <f>DATE(VALUE(RIGHT(TRIM([1]Raw_Data!A3328),4)),VALUE(MID(TRIM([1]Raw_Data!A3328),4,2)),VALUE(LEFT(TRIM([1]Raw_Data!A3328),2)))</f>
        <v>45285</v>
      </c>
      <c r="B3330" s="3" t="str">
        <f>TRIM([1]Raw_Data!B3328)</f>
        <v>Iron Supplement</v>
      </c>
      <c r="C3330" s="3" t="str">
        <f>TRIM([1]Raw_Data!C3328)</f>
        <v>Mineral</v>
      </c>
      <c r="D3330" s="3">
        <f>[1]Raw_Data!D3328</f>
        <v>143</v>
      </c>
      <c r="E3330" s="4">
        <f>[1]Raw_Data!E3328</f>
        <v>17.61</v>
      </c>
      <c r="F3330" s="5">
        <f>[1]Raw_Data!F3328</f>
        <v>2518.23</v>
      </c>
      <c r="G3330" s="4">
        <f>[1]Raw_Data!G3328</f>
        <v>0.01</v>
      </c>
      <c r="H3330" s="3">
        <f>[1]Raw_Data!H3328</f>
        <v>1</v>
      </c>
      <c r="I3330" s="3" t="str">
        <f>TRIM([1]Raw_Data!I3328)</f>
        <v>UK</v>
      </c>
      <c r="J3330" s="3" t="str">
        <f>TRIM([1]Raw_Data!J3328)</f>
        <v>Walmart</v>
      </c>
      <c r="K3330" s="3">
        <f t="shared" si="204"/>
        <v>2023</v>
      </c>
      <c r="L3330" s="6">
        <f t="shared" si="205"/>
        <v>45261</v>
      </c>
      <c r="M3330" s="3" t="str">
        <f t="shared" si="206"/>
        <v>0% to 5%</v>
      </c>
      <c r="N3330" s="3" t="str">
        <f t="shared" si="207"/>
        <v>OK</v>
      </c>
    </row>
    <row r="3331" spans="1:14" x14ac:dyDescent="0.3">
      <c r="A3331" s="2">
        <f>DATE(VALUE(RIGHT(TRIM([1]Raw_Data!A3329),4)),VALUE(MID(TRIM([1]Raw_Data!A3329),4,2)),VALUE(LEFT(TRIM([1]Raw_Data!A3329),2)))</f>
        <v>45285</v>
      </c>
      <c r="B3331" s="3" t="str">
        <f>TRIM([1]Raw_Data!B3329)</f>
        <v>Electrolyte Powder</v>
      </c>
      <c r="C3331" s="3" t="str">
        <f>TRIM([1]Raw_Data!C3329)</f>
        <v>Hydration</v>
      </c>
      <c r="D3331" s="3">
        <f>[1]Raw_Data!D3329</f>
        <v>166</v>
      </c>
      <c r="E3331" s="4">
        <f>[1]Raw_Data!E3329</f>
        <v>16.18</v>
      </c>
      <c r="F3331" s="5">
        <f>[1]Raw_Data!F3329</f>
        <v>2685.88</v>
      </c>
      <c r="G3331" s="4">
        <f>[1]Raw_Data!G3329</f>
        <v>0.16</v>
      </c>
      <c r="H3331" s="3">
        <f>[1]Raw_Data!H3329</f>
        <v>6</v>
      </c>
      <c r="I3331" s="3" t="str">
        <f>TRIM([1]Raw_Data!I3329)</f>
        <v>UK</v>
      </c>
      <c r="J3331" s="3" t="str">
        <f>TRIM([1]Raw_Data!J3329)</f>
        <v>iHerb</v>
      </c>
      <c r="K3331" s="3">
        <f t="shared" si="204"/>
        <v>2023</v>
      </c>
      <c r="L3331" s="6">
        <f t="shared" si="205"/>
        <v>45261</v>
      </c>
      <c r="M3331" s="3" t="str">
        <f t="shared" si="206"/>
        <v>16% to 20%</v>
      </c>
      <c r="N3331" s="3" t="str">
        <f t="shared" si="207"/>
        <v>OK</v>
      </c>
    </row>
    <row r="3332" spans="1:14" x14ac:dyDescent="0.3">
      <c r="A3332" s="2">
        <f>DATE(VALUE(RIGHT(TRIM([1]Raw_Data!A3330),4)),VALUE(MID(TRIM([1]Raw_Data!A3330),4,2)),VALUE(LEFT(TRIM([1]Raw_Data!A3330),2)))</f>
        <v>45292</v>
      </c>
      <c r="B3332" s="3" t="str">
        <f>TRIM([1]Raw_Data!B3330)</f>
        <v>Whey Protein</v>
      </c>
      <c r="C3332" s="3" t="str">
        <f>TRIM([1]Raw_Data!C3330)</f>
        <v>Protein</v>
      </c>
      <c r="D3332" s="3">
        <f>[1]Raw_Data!D3330</f>
        <v>140</v>
      </c>
      <c r="E3332" s="4">
        <f>[1]Raw_Data!E3330</f>
        <v>58.59</v>
      </c>
      <c r="F3332" s="5">
        <f>[1]Raw_Data!F3330</f>
        <v>8202.6</v>
      </c>
      <c r="G3332" s="4">
        <f>[1]Raw_Data!G3330</f>
        <v>0.04</v>
      </c>
      <c r="H3332" s="3">
        <f>[1]Raw_Data!H3330</f>
        <v>1</v>
      </c>
      <c r="I3332" s="3" t="str">
        <f>TRIM([1]Raw_Data!I3330)</f>
        <v>UK</v>
      </c>
      <c r="J3332" s="3" t="str">
        <f>TRIM([1]Raw_Data!J3330)</f>
        <v>Amazon</v>
      </c>
      <c r="K3332" s="3">
        <f t="shared" ref="K3332:K3395" si="208">YEAR(A3332)</f>
        <v>2024</v>
      </c>
      <c r="L3332" s="6">
        <f t="shared" ref="L3332:L3395" si="209">DATE(YEAR(A3332),MONTH(A3332),1)</f>
        <v>45292</v>
      </c>
      <c r="M3332" s="3" t="str">
        <f t="shared" ref="M3332:M3395" si="210">IF(ROUND(G3332*100,0)&lt;=5,"0% to 5%",IF(ROUND(G3332*100,0)&lt;=10,"6% to 10%",IF(ROUND(G3332*100,0)&lt;=15,"11% to 15%",IF(ROUND(G3332*100,0)&lt;=20,"16% to 20%","21% to 25%"))))</f>
        <v>0% to 5%</v>
      </c>
      <c r="N3332" s="3" t="str">
        <f t="shared" ref="N3332:N3395" si="211">IF(ROUND(D3332*E3332,2)=ROUND(F3332,2),"OK","Check")</f>
        <v>OK</v>
      </c>
    </row>
    <row r="3333" spans="1:14" x14ac:dyDescent="0.3">
      <c r="A3333" s="2">
        <f>DATE(VALUE(RIGHT(TRIM([1]Raw_Data!A3331),4)),VALUE(MID(TRIM([1]Raw_Data!A3331),4,2)),VALUE(LEFT(TRIM([1]Raw_Data!A3331),2)))</f>
        <v>45292</v>
      </c>
      <c r="B3333" s="3" t="str">
        <f>TRIM([1]Raw_Data!B3331)</f>
        <v>Vitamin C</v>
      </c>
      <c r="C3333" s="3" t="str">
        <f>TRIM([1]Raw_Data!C3331)</f>
        <v>Vitamin</v>
      </c>
      <c r="D3333" s="3">
        <f>[1]Raw_Data!D3331</f>
        <v>143</v>
      </c>
      <c r="E3333" s="4">
        <f>[1]Raw_Data!E3331</f>
        <v>22.12</v>
      </c>
      <c r="F3333" s="5">
        <f>[1]Raw_Data!F3331</f>
        <v>3163.16</v>
      </c>
      <c r="G3333" s="4">
        <f>[1]Raw_Data!G3331</f>
        <v>0.22</v>
      </c>
      <c r="H3333" s="3">
        <f>[1]Raw_Data!H3331</f>
        <v>3</v>
      </c>
      <c r="I3333" s="3" t="str">
        <f>TRIM([1]Raw_Data!I3331)</f>
        <v>USA</v>
      </c>
      <c r="J3333" s="3" t="str">
        <f>TRIM([1]Raw_Data!J3331)</f>
        <v>Walmart</v>
      </c>
      <c r="K3333" s="3">
        <f t="shared" si="208"/>
        <v>2024</v>
      </c>
      <c r="L3333" s="6">
        <f t="shared" si="209"/>
        <v>45292</v>
      </c>
      <c r="M3333" s="3" t="str">
        <f t="shared" si="210"/>
        <v>21% to 25%</v>
      </c>
      <c r="N3333" s="3" t="str">
        <f t="shared" si="211"/>
        <v>OK</v>
      </c>
    </row>
    <row r="3334" spans="1:14" x14ac:dyDescent="0.3">
      <c r="A3334" s="2">
        <f>DATE(VALUE(RIGHT(TRIM([1]Raw_Data!A3332),4)),VALUE(MID(TRIM([1]Raw_Data!A3332),4,2)),VALUE(LEFT(TRIM([1]Raw_Data!A3332),2)))</f>
        <v>45292</v>
      </c>
      <c r="B3334" s="3" t="str">
        <f>TRIM([1]Raw_Data!B3332)</f>
        <v>Fish Oil</v>
      </c>
      <c r="C3334" s="3" t="str">
        <f>TRIM([1]Raw_Data!C3332)</f>
        <v>Omega</v>
      </c>
      <c r="D3334" s="3">
        <f>[1]Raw_Data!D3332</f>
        <v>147</v>
      </c>
      <c r="E3334" s="4">
        <f>[1]Raw_Data!E3332</f>
        <v>18.28</v>
      </c>
      <c r="F3334" s="5">
        <f>[1]Raw_Data!F3332</f>
        <v>2687.16</v>
      </c>
      <c r="G3334" s="4">
        <f>[1]Raw_Data!G3332</f>
        <v>0.11</v>
      </c>
      <c r="H3334" s="3">
        <f>[1]Raw_Data!H3332</f>
        <v>2</v>
      </c>
      <c r="I3334" s="3" t="str">
        <f>TRIM([1]Raw_Data!I3332)</f>
        <v>USA</v>
      </c>
      <c r="J3334" s="3" t="str">
        <f>TRIM([1]Raw_Data!J3332)</f>
        <v>Walmart</v>
      </c>
      <c r="K3334" s="3">
        <f t="shared" si="208"/>
        <v>2024</v>
      </c>
      <c r="L3334" s="6">
        <f t="shared" si="209"/>
        <v>45292</v>
      </c>
      <c r="M3334" s="3" t="str">
        <f t="shared" si="210"/>
        <v>11% to 15%</v>
      </c>
      <c r="N3334" s="3" t="str">
        <f t="shared" si="211"/>
        <v>OK</v>
      </c>
    </row>
    <row r="3335" spans="1:14" x14ac:dyDescent="0.3">
      <c r="A3335" s="2">
        <f>DATE(VALUE(RIGHT(TRIM([1]Raw_Data!A3333),4)),VALUE(MID(TRIM([1]Raw_Data!A3333),4,2)),VALUE(LEFT(TRIM([1]Raw_Data!A3333),2)))</f>
        <v>45292</v>
      </c>
      <c r="B3335" s="3" t="str">
        <f>TRIM([1]Raw_Data!B3333)</f>
        <v>Multivitamin</v>
      </c>
      <c r="C3335" s="3" t="str">
        <f>TRIM([1]Raw_Data!C3333)</f>
        <v>Vitamin</v>
      </c>
      <c r="D3335" s="3">
        <f>[1]Raw_Data!D3333</f>
        <v>146</v>
      </c>
      <c r="E3335" s="4">
        <f>[1]Raw_Data!E3333</f>
        <v>10.050000000000001</v>
      </c>
      <c r="F3335" s="5">
        <f>[1]Raw_Data!F3333</f>
        <v>1467.3</v>
      </c>
      <c r="G3335" s="4">
        <f>[1]Raw_Data!G3333</f>
        <v>0.2</v>
      </c>
      <c r="H3335" s="3">
        <f>[1]Raw_Data!H3333</f>
        <v>3</v>
      </c>
      <c r="I3335" s="3" t="str">
        <f>TRIM([1]Raw_Data!I3333)</f>
        <v>USA</v>
      </c>
      <c r="J3335" s="3" t="str">
        <f>TRIM([1]Raw_Data!J3333)</f>
        <v>iHerb</v>
      </c>
      <c r="K3335" s="3">
        <f t="shared" si="208"/>
        <v>2024</v>
      </c>
      <c r="L3335" s="6">
        <f t="shared" si="209"/>
        <v>45292</v>
      </c>
      <c r="M3335" s="3" t="str">
        <f t="shared" si="210"/>
        <v>16% to 20%</v>
      </c>
      <c r="N3335" s="3" t="str">
        <f t="shared" si="211"/>
        <v>OK</v>
      </c>
    </row>
    <row r="3336" spans="1:14" x14ac:dyDescent="0.3">
      <c r="A3336" s="2">
        <f>DATE(VALUE(RIGHT(TRIM([1]Raw_Data!A3334),4)),VALUE(MID(TRIM([1]Raw_Data!A3334),4,2)),VALUE(LEFT(TRIM([1]Raw_Data!A3334),2)))</f>
        <v>45292</v>
      </c>
      <c r="B3336" s="3" t="str">
        <f>TRIM([1]Raw_Data!B3334)</f>
        <v>Pre-Workout</v>
      </c>
      <c r="C3336" s="3" t="str">
        <f>TRIM([1]Raw_Data!C3334)</f>
        <v>Performance</v>
      </c>
      <c r="D3336" s="3">
        <f>[1]Raw_Data!D3334</f>
        <v>152</v>
      </c>
      <c r="E3336" s="4">
        <f>[1]Raw_Data!E3334</f>
        <v>59.96</v>
      </c>
      <c r="F3336" s="5">
        <f>[1]Raw_Data!F3334</f>
        <v>9113.92</v>
      </c>
      <c r="G3336" s="4">
        <f>[1]Raw_Data!G3334</f>
        <v>0.15</v>
      </c>
      <c r="H3336" s="3">
        <f>[1]Raw_Data!H3334</f>
        <v>2</v>
      </c>
      <c r="I3336" s="3" t="str">
        <f>TRIM([1]Raw_Data!I3334)</f>
        <v>Canada</v>
      </c>
      <c r="J3336" s="3" t="str">
        <f>TRIM([1]Raw_Data!J3334)</f>
        <v>iHerb</v>
      </c>
      <c r="K3336" s="3">
        <f t="shared" si="208"/>
        <v>2024</v>
      </c>
      <c r="L3336" s="6">
        <f t="shared" si="209"/>
        <v>45292</v>
      </c>
      <c r="M3336" s="3" t="str">
        <f t="shared" si="210"/>
        <v>11% to 15%</v>
      </c>
      <c r="N3336" s="3" t="str">
        <f t="shared" si="211"/>
        <v>OK</v>
      </c>
    </row>
    <row r="3337" spans="1:14" x14ac:dyDescent="0.3">
      <c r="A3337" s="2">
        <f>DATE(VALUE(RIGHT(TRIM([1]Raw_Data!A3335),4)),VALUE(MID(TRIM([1]Raw_Data!A3335),4,2)),VALUE(LEFT(TRIM([1]Raw_Data!A3335),2)))</f>
        <v>45292</v>
      </c>
      <c r="B3337" s="3" t="str">
        <f>TRIM([1]Raw_Data!B3335)</f>
        <v>BCAA</v>
      </c>
      <c r="C3337" s="3" t="str">
        <f>TRIM([1]Raw_Data!C3335)</f>
        <v>Amino Acid</v>
      </c>
      <c r="D3337" s="3">
        <f>[1]Raw_Data!D3335</f>
        <v>157</v>
      </c>
      <c r="E3337" s="4">
        <f>[1]Raw_Data!E3335</f>
        <v>10.48</v>
      </c>
      <c r="F3337" s="5">
        <f>[1]Raw_Data!F3335</f>
        <v>1645.36</v>
      </c>
      <c r="G3337" s="4">
        <f>[1]Raw_Data!G3335</f>
        <v>0.06</v>
      </c>
      <c r="H3337" s="3">
        <f>[1]Raw_Data!H3335</f>
        <v>2</v>
      </c>
      <c r="I3337" s="3" t="str">
        <f>TRIM([1]Raw_Data!I3335)</f>
        <v>UK</v>
      </c>
      <c r="J3337" s="3" t="str">
        <f>TRIM([1]Raw_Data!J3335)</f>
        <v>Amazon</v>
      </c>
      <c r="K3337" s="3">
        <f t="shared" si="208"/>
        <v>2024</v>
      </c>
      <c r="L3337" s="6">
        <f t="shared" si="209"/>
        <v>45292</v>
      </c>
      <c r="M3337" s="3" t="str">
        <f t="shared" si="210"/>
        <v>6% to 10%</v>
      </c>
      <c r="N3337" s="3" t="str">
        <f t="shared" si="211"/>
        <v>OK</v>
      </c>
    </row>
    <row r="3338" spans="1:14" x14ac:dyDescent="0.3">
      <c r="A3338" s="2">
        <f>DATE(VALUE(RIGHT(TRIM([1]Raw_Data!A3336),4)),VALUE(MID(TRIM([1]Raw_Data!A3336),4,2)),VALUE(LEFT(TRIM([1]Raw_Data!A3336),2)))</f>
        <v>45292</v>
      </c>
      <c r="B3338" s="3" t="str">
        <f>TRIM([1]Raw_Data!B3336)</f>
        <v>Creatine</v>
      </c>
      <c r="C3338" s="3" t="str">
        <f>TRIM([1]Raw_Data!C3336)</f>
        <v>Performance</v>
      </c>
      <c r="D3338" s="3">
        <f>[1]Raw_Data!D3336</f>
        <v>168</v>
      </c>
      <c r="E3338" s="4">
        <f>[1]Raw_Data!E3336</f>
        <v>30.67</v>
      </c>
      <c r="F3338" s="5">
        <f>[1]Raw_Data!F3336</f>
        <v>5152.5600000000004</v>
      </c>
      <c r="G3338" s="4">
        <f>[1]Raw_Data!G3336</f>
        <v>0.09</v>
      </c>
      <c r="H3338" s="3">
        <f>[1]Raw_Data!H3336</f>
        <v>2</v>
      </c>
      <c r="I3338" s="3" t="str">
        <f>TRIM([1]Raw_Data!I3336)</f>
        <v>Canada</v>
      </c>
      <c r="J3338" s="3" t="str">
        <f>TRIM([1]Raw_Data!J3336)</f>
        <v>iHerb</v>
      </c>
      <c r="K3338" s="3">
        <f t="shared" si="208"/>
        <v>2024</v>
      </c>
      <c r="L3338" s="6">
        <f t="shared" si="209"/>
        <v>45292</v>
      </c>
      <c r="M3338" s="3" t="str">
        <f t="shared" si="210"/>
        <v>6% to 10%</v>
      </c>
      <c r="N3338" s="3" t="str">
        <f t="shared" si="211"/>
        <v>OK</v>
      </c>
    </row>
    <row r="3339" spans="1:14" x14ac:dyDescent="0.3">
      <c r="A3339" s="2">
        <f>DATE(VALUE(RIGHT(TRIM([1]Raw_Data!A3337),4)),VALUE(MID(TRIM([1]Raw_Data!A3337),4,2)),VALUE(LEFT(TRIM([1]Raw_Data!A3337),2)))</f>
        <v>45292</v>
      </c>
      <c r="B3339" s="3" t="str">
        <f>TRIM([1]Raw_Data!B3337)</f>
        <v>Zinc</v>
      </c>
      <c r="C3339" s="3" t="str">
        <f>TRIM([1]Raw_Data!C3337)</f>
        <v>Mineral</v>
      </c>
      <c r="D3339" s="3">
        <f>[1]Raw_Data!D3337</f>
        <v>159</v>
      </c>
      <c r="E3339" s="4">
        <f>[1]Raw_Data!E3337</f>
        <v>24.57</v>
      </c>
      <c r="F3339" s="5">
        <f>[1]Raw_Data!F3337</f>
        <v>3906.63</v>
      </c>
      <c r="G3339" s="4">
        <f>[1]Raw_Data!G3337</f>
        <v>0.23</v>
      </c>
      <c r="H3339" s="3">
        <f>[1]Raw_Data!H3337</f>
        <v>2</v>
      </c>
      <c r="I3339" s="3" t="str">
        <f>TRIM([1]Raw_Data!I3337)</f>
        <v>Canada</v>
      </c>
      <c r="J3339" s="3" t="str">
        <f>TRIM([1]Raw_Data!J3337)</f>
        <v>Walmart</v>
      </c>
      <c r="K3339" s="3">
        <f t="shared" si="208"/>
        <v>2024</v>
      </c>
      <c r="L3339" s="6">
        <f t="shared" si="209"/>
        <v>45292</v>
      </c>
      <c r="M3339" s="3" t="str">
        <f t="shared" si="210"/>
        <v>21% to 25%</v>
      </c>
      <c r="N3339" s="3" t="str">
        <f t="shared" si="211"/>
        <v>OK</v>
      </c>
    </row>
    <row r="3340" spans="1:14" x14ac:dyDescent="0.3">
      <c r="A3340" s="2">
        <f>DATE(VALUE(RIGHT(TRIM([1]Raw_Data!A3338),4)),VALUE(MID(TRIM([1]Raw_Data!A3338),4,2)),VALUE(LEFT(TRIM([1]Raw_Data!A3338),2)))</f>
        <v>45292</v>
      </c>
      <c r="B3340" s="3" t="str">
        <f>TRIM([1]Raw_Data!B3338)</f>
        <v>Collagen Peptides</v>
      </c>
      <c r="C3340" s="3" t="str">
        <f>TRIM([1]Raw_Data!C3338)</f>
        <v>Protein</v>
      </c>
      <c r="D3340" s="3">
        <f>[1]Raw_Data!D3338</f>
        <v>161</v>
      </c>
      <c r="E3340" s="4">
        <f>[1]Raw_Data!E3338</f>
        <v>27.2</v>
      </c>
      <c r="F3340" s="5">
        <f>[1]Raw_Data!F3338</f>
        <v>4379.2</v>
      </c>
      <c r="G3340" s="4">
        <f>[1]Raw_Data!G3338</f>
        <v>0.22</v>
      </c>
      <c r="H3340" s="3">
        <f>[1]Raw_Data!H3338</f>
        <v>0</v>
      </c>
      <c r="I3340" s="3" t="str">
        <f>TRIM([1]Raw_Data!I3338)</f>
        <v>USA</v>
      </c>
      <c r="J3340" s="3" t="str">
        <f>TRIM([1]Raw_Data!J3338)</f>
        <v>Walmart</v>
      </c>
      <c r="K3340" s="3">
        <f t="shared" si="208"/>
        <v>2024</v>
      </c>
      <c r="L3340" s="6">
        <f t="shared" si="209"/>
        <v>45292</v>
      </c>
      <c r="M3340" s="3" t="str">
        <f t="shared" si="210"/>
        <v>21% to 25%</v>
      </c>
      <c r="N3340" s="3" t="str">
        <f t="shared" si="211"/>
        <v>OK</v>
      </c>
    </row>
    <row r="3341" spans="1:14" x14ac:dyDescent="0.3">
      <c r="A3341" s="2">
        <f>DATE(VALUE(RIGHT(TRIM([1]Raw_Data!A3339),4)),VALUE(MID(TRIM([1]Raw_Data!A3339),4,2)),VALUE(LEFT(TRIM([1]Raw_Data!A3339),2)))</f>
        <v>45292</v>
      </c>
      <c r="B3341" s="3" t="str">
        <f>TRIM([1]Raw_Data!B3339)</f>
        <v>Magnesium</v>
      </c>
      <c r="C3341" s="3" t="str">
        <f>TRIM([1]Raw_Data!C3339)</f>
        <v>Mineral</v>
      </c>
      <c r="D3341" s="3">
        <f>[1]Raw_Data!D3339</f>
        <v>150</v>
      </c>
      <c r="E3341" s="4">
        <f>[1]Raw_Data!E3339</f>
        <v>47.56</v>
      </c>
      <c r="F3341" s="5">
        <f>[1]Raw_Data!F3339</f>
        <v>7134</v>
      </c>
      <c r="G3341" s="4">
        <f>[1]Raw_Data!G3339</f>
        <v>7.0000000000000007E-2</v>
      </c>
      <c r="H3341" s="3">
        <f>[1]Raw_Data!H3339</f>
        <v>0</v>
      </c>
      <c r="I3341" s="3" t="str">
        <f>TRIM([1]Raw_Data!I3339)</f>
        <v>Canada</v>
      </c>
      <c r="J3341" s="3" t="str">
        <f>TRIM([1]Raw_Data!J3339)</f>
        <v>Amazon</v>
      </c>
      <c r="K3341" s="3">
        <f t="shared" si="208"/>
        <v>2024</v>
      </c>
      <c r="L3341" s="6">
        <f t="shared" si="209"/>
        <v>45292</v>
      </c>
      <c r="M3341" s="3" t="str">
        <f t="shared" si="210"/>
        <v>6% to 10%</v>
      </c>
      <c r="N3341" s="3" t="str">
        <f t="shared" si="211"/>
        <v>OK</v>
      </c>
    </row>
    <row r="3342" spans="1:14" x14ac:dyDescent="0.3">
      <c r="A3342" s="2">
        <f>DATE(VALUE(RIGHT(TRIM([1]Raw_Data!A3340),4)),VALUE(MID(TRIM([1]Raw_Data!A3340),4,2)),VALUE(LEFT(TRIM([1]Raw_Data!A3340),2)))</f>
        <v>45292</v>
      </c>
      <c r="B3342" s="3" t="str">
        <f>TRIM([1]Raw_Data!B3340)</f>
        <v>Ashwagandha</v>
      </c>
      <c r="C3342" s="3" t="str">
        <f>TRIM([1]Raw_Data!C3340)</f>
        <v>Herbal</v>
      </c>
      <c r="D3342" s="3">
        <f>[1]Raw_Data!D3340</f>
        <v>172</v>
      </c>
      <c r="E3342" s="4">
        <f>[1]Raw_Data!E3340</f>
        <v>15.23</v>
      </c>
      <c r="F3342" s="5">
        <f>[1]Raw_Data!F3340</f>
        <v>2619.56</v>
      </c>
      <c r="G3342" s="4">
        <f>[1]Raw_Data!G3340</f>
        <v>0.05</v>
      </c>
      <c r="H3342" s="3">
        <f>[1]Raw_Data!H3340</f>
        <v>7</v>
      </c>
      <c r="I3342" s="3" t="str">
        <f>TRIM([1]Raw_Data!I3340)</f>
        <v>Canada</v>
      </c>
      <c r="J3342" s="3" t="str">
        <f>TRIM([1]Raw_Data!J3340)</f>
        <v>Walmart</v>
      </c>
      <c r="K3342" s="3">
        <f t="shared" si="208"/>
        <v>2024</v>
      </c>
      <c r="L3342" s="6">
        <f t="shared" si="209"/>
        <v>45292</v>
      </c>
      <c r="M3342" s="3" t="str">
        <f t="shared" si="210"/>
        <v>0% to 5%</v>
      </c>
      <c r="N3342" s="3" t="str">
        <f t="shared" si="211"/>
        <v>OK</v>
      </c>
    </row>
    <row r="3343" spans="1:14" x14ac:dyDescent="0.3">
      <c r="A3343" s="2">
        <f>DATE(VALUE(RIGHT(TRIM([1]Raw_Data!A3341),4)),VALUE(MID(TRIM([1]Raw_Data!A3341),4,2)),VALUE(LEFT(TRIM([1]Raw_Data!A3341),2)))</f>
        <v>45292</v>
      </c>
      <c r="B3343" s="3" t="str">
        <f>TRIM([1]Raw_Data!B3341)</f>
        <v>Melatonin</v>
      </c>
      <c r="C3343" s="3" t="str">
        <f>TRIM([1]Raw_Data!C3341)</f>
        <v>Sleep Aid</v>
      </c>
      <c r="D3343" s="3">
        <f>[1]Raw_Data!D3341</f>
        <v>138</v>
      </c>
      <c r="E3343" s="4">
        <f>[1]Raw_Data!E3341</f>
        <v>31.01</v>
      </c>
      <c r="F3343" s="5">
        <f>[1]Raw_Data!F3341</f>
        <v>4279.38</v>
      </c>
      <c r="G3343" s="4">
        <f>[1]Raw_Data!G3341</f>
        <v>0.22</v>
      </c>
      <c r="H3343" s="3">
        <f>[1]Raw_Data!H3341</f>
        <v>2</v>
      </c>
      <c r="I3343" s="3" t="str">
        <f>TRIM([1]Raw_Data!I3341)</f>
        <v>Canada</v>
      </c>
      <c r="J3343" s="3" t="str">
        <f>TRIM([1]Raw_Data!J3341)</f>
        <v>Amazon</v>
      </c>
      <c r="K3343" s="3">
        <f t="shared" si="208"/>
        <v>2024</v>
      </c>
      <c r="L3343" s="6">
        <f t="shared" si="209"/>
        <v>45292</v>
      </c>
      <c r="M3343" s="3" t="str">
        <f t="shared" si="210"/>
        <v>21% to 25%</v>
      </c>
      <c r="N3343" s="3" t="str">
        <f t="shared" si="211"/>
        <v>OK</v>
      </c>
    </row>
    <row r="3344" spans="1:14" x14ac:dyDescent="0.3">
      <c r="A3344" s="2">
        <f>DATE(VALUE(RIGHT(TRIM([1]Raw_Data!A3342),4)),VALUE(MID(TRIM([1]Raw_Data!A3342),4,2)),VALUE(LEFT(TRIM([1]Raw_Data!A3342),2)))</f>
        <v>45292</v>
      </c>
      <c r="B3344" s="3" t="str">
        <f>TRIM([1]Raw_Data!B3342)</f>
        <v>Biotin</v>
      </c>
      <c r="C3344" s="3" t="str">
        <f>TRIM([1]Raw_Data!C3342)</f>
        <v>Vitamin</v>
      </c>
      <c r="D3344" s="3">
        <f>[1]Raw_Data!D3342</f>
        <v>153</v>
      </c>
      <c r="E3344" s="4">
        <f>[1]Raw_Data!E3342</f>
        <v>53.99</v>
      </c>
      <c r="F3344" s="5">
        <f>[1]Raw_Data!F3342</f>
        <v>8260.4699999999993</v>
      </c>
      <c r="G3344" s="4">
        <f>[1]Raw_Data!G3342</f>
        <v>0.11</v>
      </c>
      <c r="H3344" s="3">
        <f>[1]Raw_Data!H3342</f>
        <v>4</v>
      </c>
      <c r="I3344" s="3" t="str">
        <f>TRIM([1]Raw_Data!I3342)</f>
        <v>USA</v>
      </c>
      <c r="J3344" s="3" t="str">
        <f>TRIM([1]Raw_Data!J3342)</f>
        <v>Walmart</v>
      </c>
      <c r="K3344" s="3">
        <f t="shared" si="208"/>
        <v>2024</v>
      </c>
      <c r="L3344" s="6">
        <f t="shared" si="209"/>
        <v>45292</v>
      </c>
      <c r="M3344" s="3" t="str">
        <f t="shared" si="210"/>
        <v>11% to 15%</v>
      </c>
      <c r="N3344" s="3" t="str">
        <f t="shared" si="211"/>
        <v>OK</v>
      </c>
    </row>
    <row r="3345" spans="1:14" x14ac:dyDescent="0.3">
      <c r="A3345" s="2">
        <f>DATE(VALUE(RIGHT(TRIM([1]Raw_Data!A3343),4)),VALUE(MID(TRIM([1]Raw_Data!A3343),4,2)),VALUE(LEFT(TRIM([1]Raw_Data!A3343),2)))</f>
        <v>45292</v>
      </c>
      <c r="B3345" s="3" t="str">
        <f>TRIM([1]Raw_Data!B3343)</f>
        <v>Green Tea Extract</v>
      </c>
      <c r="C3345" s="3" t="str">
        <f>TRIM([1]Raw_Data!C3343)</f>
        <v>Fat Burner</v>
      </c>
      <c r="D3345" s="3">
        <f>[1]Raw_Data!D3343</f>
        <v>150</v>
      </c>
      <c r="E3345" s="4">
        <f>[1]Raw_Data!E3343</f>
        <v>13.46</v>
      </c>
      <c r="F3345" s="5">
        <f>[1]Raw_Data!F3343</f>
        <v>2019</v>
      </c>
      <c r="G3345" s="4">
        <f>[1]Raw_Data!G3343</f>
        <v>0.19</v>
      </c>
      <c r="H3345" s="3">
        <f>[1]Raw_Data!H3343</f>
        <v>1</v>
      </c>
      <c r="I3345" s="3" t="str">
        <f>TRIM([1]Raw_Data!I3343)</f>
        <v>Canada</v>
      </c>
      <c r="J3345" s="3" t="str">
        <f>TRIM([1]Raw_Data!J3343)</f>
        <v>Amazon</v>
      </c>
      <c r="K3345" s="3">
        <f t="shared" si="208"/>
        <v>2024</v>
      </c>
      <c r="L3345" s="6">
        <f t="shared" si="209"/>
        <v>45292</v>
      </c>
      <c r="M3345" s="3" t="str">
        <f t="shared" si="210"/>
        <v>16% to 20%</v>
      </c>
      <c r="N3345" s="3" t="str">
        <f t="shared" si="211"/>
        <v>OK</v>
      </c>
    </row>
    <row r="3346" spans="1:14" x14ac:dyDescent="0.3">
      <c r="A3346" s="2">
        <f>DATE(VALUE(RIGHT(TRIM([1]Raw_Data!A3344),4)),VALUE(MID(TRIM([1]Raw_Data!A3344),4,2)),VALUE(LEFT(TRIM([1]Raw_Data!A3344),2)))</f>
        <v>45292</v>
      </c>
      <c r="B3346" s="3" t="str">
        <f>TRIM([1]Raw_Data!B3344)</f>
        <v>Iron Supplement</v>
      </c>
      <c r="C3346" s="3" t="str">
        <f>TRIM([1]Raw_Data!C3344)</f>
        <v>Mineral</v>
      </c>
      <c r="D3346" s="3">
        <f>[1]Raw_Data!D3344</f>
        <v>145</v>
      </c>
      <c r="E3346" s="4">
        <f>[1]Raw_Data!E3344</f>
        <v>17.34</v>
      </c>
      <c r="F3346" s="5">
        <f>[1]Raw_Data!F3344</f>
        <v>2514.3000000000002</v>
      </c>
      <c r="G3346" s="4">
        <f>[1]Raw_Data!G3344</f>
        <v>0.05</v>
      </c>
      <c r="H3346" s="3">
        <f>[1]Raw_Data!H3344</f>
        <v>1</v>
      </c>
      <c r="I3346" s="3" t="str">
        <f>TRIM([1]Raw_Data!I3344)</f>
        <v>UK</v>
      </c>
      <c r="J3346" s="3" t="str">
        <f>TRIM([1]Raw_Data!J3344)</f>
        <v>iHerb</v>
      </c>
      <c r="K3346" s="3">
        <f t="shared" si="208"/>
        <v>2024</v>
      </c>
      <c r="L3346" s="6">
        <f t="shared" si="209"/>
        <v>45292</v>
      </c>
      <c r="M3346" s="3" t="str">
        <f t="shared" si="210"/>
        <v>0% to 5%</v>
      </c>
      <c r="N3346" s="3" t="str">
        <f t="shared" si="211"/>
        <v>OK</v>
      </c>
    </row>
    <row r="3347" spans="1:14" x14ac:dyDescent="0.3">
      <c r="A3347" s="2">
        <f>DATE(VALUE(RIGHT(TRIM([1]Raw_Data!A3345),4)),VALUE(MID(TRIM([1]Raw_Data!A3345),4,2)),VALUE(LEFT(TRIM([1]Raw_Data!A3345),2)))</f>
        <v>45292</v>
      </c>
      <c r="B3347" s="3" t="str">
        <f>TRIM([1]Raw_Data!B3345)</f>
        <v>Electrolyte Powder</v>
      </c>
      <c r="C3347" s="3" t="str">
        <f>TRIM([1]Raw_Data!C3345)</f>
        <v>Hydration</v>
      </c>
      <c r="D3347" s="3">
        <f>[1]Raw_Data!D3345</f>
        <v>168</v>
      </c>
      <c r="E3347" s="4">
        <f>[1]Raw_Data!E3345</f>
        <v>46.22</v>
      </c>
      <c r="F3347" s="5">
        <f>[1]Raw_Data!F3345</f>
        <v>7764.96</v>
      </c>
      <c r="G3347" s="4">
        <f>[1]Raw_Data!G3345</f>
        <v>0.02</v>
      </c>
      <c r="H3347" s="3">
        <f>[1]Raw_Data!H3345</f>
        <v>2</v>
      </c>
      <c r="I3347" s="3" t="str">
        <f>TRIM([1]Raw_Data!I3345)</f>
        <v>USA</v>
      </c>
      <c r="J3347" s="3" t="str">
        <f>TRIM([1]Raw_Data!J3345)</f>
        <v>Amazon</v>
      </c>
      <c r="K3347" s="3">
        <f t="shared" si="208"/>
        <v>2024</v>
      </c>
      <c r="L3347" s="6">
        <f t="shared" si="209"/>
        <v>45292</v>
      </c>
      <c r="M3347" s="3" t="str">
        <f t="shared" si="210"/>
        <v>0% to 5%</v>
      </c>
      <c r="N3347" s="3" t="str">
        <f t="shared" si="211"/>
        <v>OK</v>
      </c>
    </row>
    <row r="3348" spans="1:14" x14ac:dyDescent="0.3">
      <c r="A3348" s="2">
        <f>DATE(VALUE(RIGHT(TRIM([1]Raw_Data!A3346),4)),VALUE(MID(TRIM([1]Raw_Data!A3346),4,2)),VALUE(LEFT(TRIM([1]Raw_Data!A3346),2)))</f>
        <v>45299</v>
      </c>
      <c r="B3348" s="3" t="str">
        <f>TRIM([1]Raw_Data!B3346)</f>
        <v>Whey Protein</v>
      </c>
      <c r="C3348" s="3" t="str">
        <f>TRIM([1]Raw_Data!C3346)</f>
        <v>Protein</v>
      </c>
      <c r="D3348" s="3">
        <f>[1]Raw_Data!D3346</f>
        <v>149</v>
      </c>
      <c r="E3348" s="4">
        <f>[1]Raw_Data!E3346</f>
        <v>52.31</v>
      </c>
      <c r="F3348" s="5">
        <f>[1]Raw_Data!F3346</f>
        <v>7794.19</v>
      </c>
      <c r="G3348" s="4">
        <f>[1]Raw_Data!G3346</f>
        <v>0.11</v>
      </c>
      <c r="H3348" s="3">
        <f>[1]Raw_Data!H3346</f>
        <v>2</v>
      </c>
      <c r="I3348" s="3" t="str">
        <f>TRIM([1]Raw_Data!I3346)</f>
        <v>USA</v>
      </c>
      <c r="J3348" s="3" t="str">
        <f>TRIM([1]Raw_Data!J3346)</f>
        <v>iHerb</v>
      </c>
      <c r="K3348" s="3">
        <f t="shared" si="208"/>
        <v>2024</v>
      </c>
      <c r="L3348" s="6">
        <f t="shared" si="209"/>
        <v>45292</v>
      </c>
      <c r="M3348" s="3" t="str">
        <f t="shared" si="210"/>
        <v>11% to 15%</v>
      </c>
      <c r="N3348" s="3" t="str">
        <f t="shared" si="211"/>
        <v>OK</v>
      </c>
    </row>
    <row r="3349" spans="1:14" x14ac:dyDescent="0.3">
      <c r="A3349" s="2">
        <f>DATE(VALUE(RIGHT(TRIM([1]Raw_Data!A3347),4)),VALUE(MID(TRIM([1]Raw_Data!A3347),4,2)),VALUE(LEFT(TRIM([1]Raw_Data!A3347),2)))</f>
        <v>45299</v>
      </c>
      <c r="B3349" s="3" t="str">
        <f>TRIM([1]Raw_Data!B3347)</f>
        <v>Vitamin C</v>
      </c>
      <c r="C3349" s="3" t="str">
        <f>TRIM([1]Raw_Data!C3347)</f>
        <v>Vitamin</v>
      </c>
      <c r="D3349" s="3">
        <f>[1]Raw_Data!D3347</f>
        <v>138</v>
      </c>
      <c r="E3349" s="4">
        <f>[1]Raw_Data!E3347</f>
        <v>13.73</v>
      </c>
      <c r="F3349" s="5">
        <f>[1]Raw_Data!F3347</f>
        <v>1894.74</v>
      </c>
      <c r="G3349" s="4">
        <f>[1]Raw_Data!G3347</f>
        <v>0.09</v>
      </c>
      <c r="H3349" s="3">
        <f>[1]Raw_Data!H3347</f>
        <v>0</v>
      </c>
      <c r="I3349" s="3" t="str">
        <f>TRIM([1]Raw_Data!I3347)</f>
        <v>UK</v>
      </c>
      <c r="J3349" s="3" t="str">
        <f>TRIM([1]Raw_Data!J3347)</f>
        <v>iHerb</v>
      </c>
      <c r="K3349" s="3">
        <f t="shared" si="208"/>
        <v>2024</v>
      </c>
      <c r="L3349" s="6">
        <f t="shared" si="209"/>
        <v>45292</v>
      </c>
      <c r="M3349" s="3" t="str">
        <f t="shared" si="210"/>
        <v>6% to 10%</v>
      </c>
      <c r="N3349" s="3" t="str">
        <f t="shared" si="211"/>
        <v>OK</v>
      </c>
    </row>
    <row r="3350" spans="1:14" x14ac:dyDescent="0.3">
      <c r="A3350" s="2">
        <f>DATE(VALUE(RIGHT(TRIM([1]Raw_Data!A3348),4)),VALUE(MID(TRIM([1]Raw_Data!A3348),4,2)),VALUE(LEFT(TRIM([1]Raw_Data!A3348),2)))</f>
        <v>45299</v>
      </c>
      <c r="B3350" s="3" t="str">
        <f>TRIM([1]Raw_Data!B3348)</f>
        <v>Fish Oil</v>
      </c>
      <c r="C3350" s="3" t="str">
        <f>TRIM([1]Raw_Data!C3348)</f>
        <v>Omega</v>
      </c>
      <c r="D3350" s="3">
        <f>[1]Raw_Data!D3348</f>
        <v>158</v>
      </c>
      <c r="E3350" s="4">
        <f>[1]Raw_Data!E3348</f>
        <v>47.55</v>
      </c>
      <c r="F3350" s="5">
        <f>[1]Raw_Data!F3348</f>
        <v>7512.9</v>
      </c>
      <c r="G3350" s="4">
        <f>[1]Raw_Data!G3348</f>
        <v>0.13</v>
      </c>
      <c r="H3350" s="3">
        <f>[1]Raw_Data!H3348</f>
        <v>0</v>
      </c>
      <c r="I3350" s="3" t="str">
        <f>TRIM([1]Raw_Data!I3348)</f>
        <v>UK</v>
      </c>
      <c r="J3350" s="3" t="str">
        <f>TRIM([1]Raw_Data!J3348)</f>
        <v>Walmart</v>
      </c>
      <c r="K3350" s="3">
        <f t="shared" si="208"/>
        <v>2024</v>
      </c>
      <c r="L3350" s="6">
        <f t="shared" si="209"/>
        <v>45292</v>
      </c>
      <c r="M3350" s="3" t="str">
        <f t="shared" si="210"/>
        <v>11% to 15%</v>
      </c>
      <c r="N3350" s="3" t="str">
        <f t="shared" si="211"/>
        <v>OK</v>
      </c>
    </row>
    <row r="3351" spans="1:14" x14ac:dyDescent="0.3">
      <c r="A3351" s="2">
        <f>DATE(VALUE(RIGHT(TRIM([1]Raw_Data!A3349),4)),VALUE(MID(TRIM([1]Raw_Data!A3349),4,2)),VALUE(LEFT(TRIM([1]Raw_Data!A3349),2)))</f>
        <v>45299</v>
      </c>
      <c r="B3351" s="3" t="str">
        <f>TRIM([1]Raw_Data!B3349)</f>
        <v>Multivitamin</v>
      </c>
      <c r="C3351" s="3" t="str">
        <f>TRIM([1]Raw_Data!C3349)</f>
        <v>Vitamin</v>
      </c>
      <c r="D3351" s="3">
        <f>[1]Raw_Data!D3349</f>
        <v>159</v>
      </c>
      <c r="E3351" s="4">
        <f>[1]Raw_Data!E3349</f>
        <v>55.18</v>
      </c>
      <c r="F3351" s="5">
        <f>[1]Raw_Data!F3349</f>
        <v>8773.6200000000008</v>
      </c>
      <c r="G3351" s="4">
        <f>[1]Raw_Data!G3349</f>
        <v>0.14000000000000001</v>
      </c>
      <c r="H3351" s="3">
        <f>[1]Raw_Data!H3349</f>
        <v>2</v>
      </c>
      <c r="I3351" s="3" t="str">
        <f>TRIM([1]Raw_Data!I3349)</f>
        <v>USA</v>
      </c>
      <c r="J3351" s="3" t="str">
        <f>TRIM([1]Raw_Data!J3349)</f>
        <v>Walmart</v>
      </c>
      <c r="K3351" s="3">
        <f t="shared" si="208"/>
        <v>2024</v>
      </c>
      <c r="L3351" s="6">
        <f t="shared" si="209"/>
        <v>45292</v>
      </c>
      <c r="M3351" s="3" t="str">
        <f t="shared" si="210"/>
        <v>11% to 15%</v>
      </c>
      <c r="N3351" s="3" t="str">
        <f t="shared" si="211"/>
        <v>OK</v>
      </c>
    </row>
    <row r="3352" spans="1:14" x14ac:dyDescent="0.3">
      <c r="A3352" s="2">
        <f>DATE(VALUE(RIGHT(TRIM([1]Raw_Data!A3350),4)),VALUE(MID(TRIM([1]Raw_Data!A3350),4,2)),VALUE(LEFT(TRIM([1]Raw_Data!A3350),2)))</f>
        <v>45299</v>
      </c>
      <c r="B3352" s="3" t="str">
        <f>TRIM([1]Raw_Data!B3350)</f>
        <v>Pre-Workout</v>
      </c>
      <c r="C3352" s="3" t="str">
        <f>TRIM([1]Raw_Data!C3350)</f>
        <v>Performance</v>
      </c>
      <c r="D3352" s="3">
        <f>[1]Raw_Data!D3350</f>
        <v>159</v>
      </c>
      <c r="E3352" s="4">
        <f>[1]Raw_Data!E3350</f>
        <v>18.21</v>
      </c>
      <c r="F3352" s="5">
        <f>[1]Raw_Data!F3350</f>
        <v>2895.39</v>
      </c>
      <c r="G3352" s="4">
        <f>[1]Raw_Data!G3350</f>
        <v>0.02</v>
      </c>
      <c r="H3352" s="3">
        <f>[1]Raw_Data!H3350</f>
        <v>1</v>
      </c>
      <c r="I3352" s="3" t="str">
        <f>TRIM([1]Raw_Data!I3350)</f>
        <v>USA</v>
      </c>
      <c r="J3352" s="3" t="str">
        <f>TRIM([1]Raw_Data!J3350)</f>
        <v>Walmart</v>
      </c>
      <c r="K3352" s="3">
        <f t="shared" si="208"/>
        <v>2024</v>
      </c>
      <c r="L3352" s="6">
        <f t="shared" si="209"/>
        <v>45292</v>
      </c>
      <c r="M3352" s="3" t="str">
        <f t="shared" si="210"/>
        <v>0% to 5%</v>
      </c>
      <c r="N3352" s="3" t="str">
        <f t="shared" si="211"/>
        <v>OK</v>
      </c>
    </row>
    <row r="3353" spans="1:14" x14ac:dyDescent="0.3">
      <c r="A3353" s="2">
        <f>DATE(VALUE(RIGHT(TRIM([1]Raw_Data!A3351),4)),VALUE(MID(TRIM([1]Raw_Data!A3351),4,2)),VALUE(LEFT(TRIM([1]Raw_Data!A3351),2)))</f>
        <v>45299</v>
      </c>
      <c r="B3353" s="3" t="str">
        <f>TRIM([1]Raw_Data!B3351)</f>
        <v>BCAA</v>
      </c>
      <c r="C3353" s="3" t="str">
        <f>TRIM([1]Raw_Data!C3351)</f>
        <v>Amino Acid</v>
      </c>
      <c r="D3353" s="3">
        <f>[1]Raw_Data!D3351</f>
        <v>147</v>
      </c>
      <c r="E3353" s="4">
        <f>[1]Raw_Data!E3351</f>
        <v>44.67</v>
      </c>
      <c r="F3353" s="5">
        <f>[1]Raw_Data!F3351</f>
        <v>6566.49</v>
      </c>
      <c r="G3353" s="4">
        <f>[1]Raw_Data!G3351</f>
        <v>0.05</v>
      </c>
      <c r="H3353" s="3">
        <f>[1]Raw_Data!H3351</f>
        <v>0</v>
      </c>
      <c r="I3353" s="3" t="str">
        <f>TRIM([1]Raw_Data!I3351)</f>
        <v>USA</v>
      </c>
      <c r="J3353" s="3" t="str">
        <f>TRIM([1]Raw_Data!J3351)</f>
        <v>Amazon</v>
      </c>
      <c r="K3353" s="3">
        <f t="shared" si="208"/>
        <v>2024</v>
      </c>
      <c r="L3353" s="6">
        <f t="shared" si="209"/>
        <v>45292</v>
      </c>
      <c r="M3353" s="3" t="str">
        <f t="shared" si="210"/>
        <v>0% to 5%</v>
      </c>
      <c r="N3353" s="3" t="str">
        <f t="shared" si="211"/>
        <v>OK</v>
      </c>
    </row>
    <row r="3354" spans="1:14" x14ac:dyDescent="0.3">
      <c r="A3354" s="2">
        <f>DATE(VALUE(RIGHT(TRIM([1]Raw_Data!A3352),4)),VALUE(MID(TRIM([1]Raw_Data!A3352),4,2)),VALUE(LEFT(TRIM([1]Raw_Data!A3352),2)))</f>
        <v>45299</v>
      </c>
      <c r="B3354" s="3" t="str">
        <f>TRIM([1]Raw_Data!B3352)</f>
        <v>Creatine</v>
      </c>
      <c r="C3354" s="3" t="str">
        <f>TRIM([1]Raw_Data!C3352)</f>
        <v>Performance</v>
      </c>
      <c r="D3354" s="3">
        <f>[1]Raw_Data!D3352</f>
        <v>152</v>
      </c>
      <c r="E3354" s="4">
        <f>[1]Raw_Data!E3352</f>
        <v>59.91</v>
      </c>
      <c r="F3354" s="5">
        <f>[1]Raw_Data!F3352</f>
        <v>9106.32</v>
      </c>
      <c r="G3354" s="4">
        <f>[1]Raw_Data!G3352</f>
        <v>0.09</v>
      </c>
      <c r="H3354" s="3">
        <f>[1]Raw_Data!H3352</f>
        <v>3</v>
      </c>
      <c r="I3354" s="3" t="str">
        <f>TRIM([1]Raw_Data!I3352)</f>
        <v>Canada</v>
      </c>
      <c r="J3354" s="3" t="str">
        <f>TRIM([1]Raw_Data!J3352)</f>
        <v>Amazon</v>
      </c>
      <c r="K3354" s="3">
        <f t="shared" si="208"/>
        <v>2024</v>
      </c>
      <c r="L3354" s="6">
        <f t="shared" si="209"/>
        <v>45292</v>
      </c>
      <c r="M3354" s="3" t="str">
        <f t="shared" si="210"/>
        <v>6% to 10%</v>
      </c>
      <c r="N3354" s="3" t="str">
        <f t="shared" si="211"/>
        <v>OK</v>
      </c>
    </row>
    <row r="3355" spans="1:14" x14ac:dyDescent="0.3">
      <c r="A3355" s="2">
        <f>DATE(VALUE(RIGHT(TRIM([1]Raw_Data!A3353),4)),VALUE(MID(TRIM([1]Raw_Data!A3353),4,2)),VALUE(LEFT(TRIM([1]Raw_Data!A3353),2)))</f>
        <v>45299</v>
      </c>
      <c r="B3355" s="3" t="str">
        <f>TRIM([1]Raw_Data!B3353)</f>
        <v>Zinc</v>
      </c>
      <c r="C3355" s="3" t="str">
        <f>TRIM([1]Raw_Data!C3353)</f>
        <v>Mineral</v>
      </c>
      <c r="D3355" s="3">
        <f>[1]Raw_Data!D3353</f>
        <v>146</v>
      </c>
      <c r="E3355" s="4">
        <f>[1]Raw_Data!E3353</f>
        <v>39.909999999999997</v>
      </c>
      <c r="F3355" s="5">
        <f>[1]Raw_Data!F3353</f>
        <v>5826.86</v>
      </c>
      <c r="G3355" s="4">
        <f>[1]Raw_Data!G3353</f>
        <v>0.01</v>
      </c>
      <c r="H3355" s="3">
        <f>[1]Raw_Data!H3353</f>
        <v>0</v>
      </c>
      <c r="I3355" s="3" t="str">
        <f>TRIM([1]Raw_Data!I3353)</f>
        <v>Canada</v>
      </c>
      <c r="J3355" s="3" t="str">
        <f>TRIM([1]Raw_Data!J3353)</f>
        <v>iHerb</v>
      </c>
      <c r="K3355" s="3">
        <f t="shared" si="208"/>
        <v>2024</v>
      </c>
      <c r="L3355" s="6">
        <f t="shared" si="209"/>
        <v>45292</v>
      </c>
      <c r="M3355" s="3" t="str">
        <f t="shared" si="210"/>
        <v>0% to 5%</v>
      </c>
      <c r="N3355" s="3" t="str">
        <f t="shared" si="211"/>
        <v>OK</v>
      </c>
    </row>
    <row r="3356" spans="1:14" x14ac:dyDescent="0.3">
      <c r="A3356" s="2">
        <f>DATE(VALUE(RIGHT(TRIM([1]Raw_Data!A3354),4)),VALUE(MID(TRIM([1]Raw_Data!A3354),4,2)),VALUE(LEFT(TRIM([1]Raw_Data!A3354),2)))</f>
        <v>45299</v>
      </c>
      <c r="B3356" s="3" t="str">
        <f>TRIM([1]Raw_Data!B3354)</f>
        <v>Collagen Peptides</v>
      </c>
      <c r="C3356" s="3" t="str">
        <f>TRIM([1]Raw_Data!C3354)</f>
        <v>Protein</v>
      </c>
      <c r="D3356" s="3">
        <f>[1]Raw_Data!D3354</f>
        <v>159</v>
      </c>
      <c r="E3356" s="4">
        <f>[1]Raw_Data!E3354</f>
        <v>40.29</v>
      </c>
      <c r="F3356" s="5">
        <f>[1]Raw_Data!F3354</f>
        <v>6406.11</v>
      </c>
      <c r="G3356" s="4">
        <f>[1]Raw_Data!G3354</f>
        <v>7.0000000000000007E-2</v>
      </c>
      <c r="H3356" s="3">
        <f>[1]Raw_Data!H3354</f>
        <v>3</v>
      </c>
      <c r="I3356" s="3" t="str">
        <f>TRIM([1]Raw_Data!I3354)</f>
        <v>UK</v>
      </c>
      <c r="J3356" s="3" t="str">
        <f>TRIM([1]Raw_Data!J3354)</f>
        <v>iHerb</v>
      </c>
      <c r="K3356" s="3">
        <f t="shared" si="208"/>
        <v>2024</v>
      </c>
      <c r="L3356" s="6">
        <f t="shared" si="209"/>
        <v>45292</v>
      </c>
      <c r="M3356" s="3" t="str">
        <f t="shared" si="210"/>
        <v>6% to 10%</v>
      </c>
      <c r="N3356" s="3" t="str">
        <f t="shared" si="211"/>
        <v>OK</v>
      </c>
    </row>
    <row r="3357" spans="1:14" x14ac:dyDescent="0.3">
      <c r="A3357" s="2">
        <f>DATE(VALUE(RIGHT(TRIM([1]Raw_Data!A3355),4)),VALUE(MID(TRIM([1]Raw_Data!A3355),4,2)),VALUE(LEFT(TRIM([1]Raw_Data!A3355),2)))</f>
        <v>45299</v>
      </c>
      <c r="B3357" s="3" t="str">
        <f>TRIM([1]Raw_Data!B3355)</f>
        <v>Magnesium</v>
      </c>
      <c r="C3357" s="3" t="str">
        <f>TRIM([1]Raw_Data!C3355)</f>
        <v>Mineral</v>
      </c>
      <c r="D3357" s="3">
        <f>[1]Raw_Data!D3355</f>
        <v>162</v>
      </c>
      <c r="E3357" s="4">
        <f>[1]Raw_Data!E3355</f>
        <v>36.24</v>
      </c>
      <c r="F3357" s="5">
        <f>[1]Raw_Data!F3355</f>
        <v>5870.88</v>
      </c>
      <c r="G3357" s="4">
        <f>[1]Raw_Data!G3355</f>
        <v>7.0000000000000007E-2</v>
      </c>
      <c r="H3357" s="3">
        <f>[1]Raw_Data!H3355</f>
        <v>3</v>
      </c>
      <c r="I3357" s="3" t="str">
        <f>TRIM([1]Raw_Data!I3355)</f>
        <v>Canada</v>
      </c>
      <c r="J3357" s="3" t="str">
        <f>TRIM([1]Raw_Data!J3355)</f>
        <v>Walmart</v>
      </c>
      <c r="K3357" s="3">
        <f t="shared" si="208"/>
        <v>2024</v>
      </c>
      <c r="L3357" s="6">
        <f t="shared" si="209"/>
        <v>45292</v>
      </c>
      <c r="M3357" s="3" t="str">
        <f t="shared" si="210"/>
        <v>6% to 10%</v>
      </c>
      <c r="N3357" s="3" t="str">
        <f t="shared" si="211"/>
        <v>OK</v>
      </c>
    </row>
    <row r="3358" spans="1:14" x14ac:dyDescent="0.3">
      <c r="A3358" s="2">
        <f>DATE(VALUE(RIGHT(TRIM([1]Raw_Data!A3356),4)),VALUE(MID(TRIM([1]Raw_Data!A3356),4,2)),VALUE(LEFT(TRIM([1]Raw_Data!A3356),2)))</f>
        <v>45299</v>
      </c>
      <c r="B3358" s="3" t="str">
        <f>TRIM([1]Raw_Data!B3356)</f>
        <v>Ashwagandha</v>
      </c>
      <c r="C3358" s="3" t="str">
        <f>TRIM([1]Raw_Data!C3356)</f>
        <v>Herbal</v>
      </c>
      <c r="D3358" s="3">
        <f>[1]Raw_Data!D3356</f>
        <v>137</v>
      </c>
      <c r="E3358" s="4">
        <f>[1]Raw_Data!E3356</f>
        <v>19.2</v>
      </c>
      <c r="F3358" s="5">
        <f>[1]Raw_Data!F3356</f>
        <v>2630.4</v>
      </c>
      <c r="G3358" s="4">
        <f>[1]Raw_Data!G3356</f>
        <v>0.17</v>
      </c>
      <c r="H3358" s="3">
        <f>[1]Raw_Data!H3356</f>
        <v>2</v>
      </c>
      <c r="I3358" s="3" t="str">
        <f>TRIM([1]Raw_Data!I3356)</f>
        <v>UK</v>
      </c>
      <c r="J3358" s="3" t="str">
        <f>TRIM([1]Raw_Data!J3356)</f>
        <v>Amazon</v>
      </c>
      <c r="K3358" s="3">
        <f t="shared" si="208"/>
        <v>2024</v>
      </c>
      <c r="L3358" s="6">
        <f t="shared" si="209"/>
        <v>45292</v>
      </c>
      <c r="M3358" s="3" t="str">
        <f t="shared" si="210"/>
        <v>16% to 20%</v>
      </c>
      <c r="N3358" s="3" t="str">
        <f t="shared" si="211"/>
        <v>OK</v>
      </c>
    </row>
    <row r="3359" spans="1:14" x14ac:dyDescent="0.3">
      <c r="A3359" s="2">
        <f>DATE(VALUE(RIGHT(TRIM([1]Raw_Data!A3357),4)),VALUE(MID(TRIM([1]Raw_Data!A3357),4,2)),VALUE(LEFT(TRIM([1]Raw_Data!A3357),2)))</f>
        <v>45299</v>
      </c>
      <c r="B3359" s="3" t="str">
        <f>TRIM([1]Raw_Data!B3357)</f>
        <v>Melatonin</v>
      </c>
      <c r="C3359" s="3" t="str">
        <f>TRIM([1]Raw_Data!C3357)</f>
        <v>Sleep Aid</v>
      </c>
      <c r="D3359" s="3">
        <f>[1]Raw_Data!D3357</f>
        <v>155</v>
      </c>
      <c r="E3359" s="4">
        <f>[1]Raw_Data!E3357</f>
        <v>15.01</v>
      </c>
      <c r="F3359" s="5">
        <f>[1]Raw_Data!F3357</f>
        <v>2326.5500000000002</v>
      </c>
      <c r="G3359" s="4">
        <f>[1]Raw_Data!G3357</f>
        <v>0.23</v>
      </c>
      <c r="H3359" s="3">
        <f>[1]Raw_Data!H3357</f>
        <v>1</v>
      </c>
      <c r="I3359" s="3" t="str">
        <f>TRIM([1]Raw_Data!I3357)</f>
        <v>USA</v>
      </c>
      <c r="J3359" s="3" t="str">
        <f>TRIM([1]Raw_Data!J3357)</f>
        <v>Amazon</v>
      </c>
      <c r="K3359" s="3">
        <f t="shared" si="208"/>
        <v>2024</v>
      </c>
      <c r="L3359" s="6">
        <f t="shared" si="209"/>
        <v>45292</v>
      </c>
      <c r="M3359" s="3" t="str">
        <f t="shared" si="210"/>
        <v>21% to 25%</v>
      </c>
      <c r="N3359" s="3" t="str">
        <f t="shared" si="211"/>
        <v>OK</v>
      </c>
    </row>
    <row r="3360" spans="1:14" x14ac:dyDescent="0.3">
      <c r="A3360" s="2">
        <f>DATE(VALUE(RIGHT(TRIM([1]Raw_Data!A3358),4)),VALUE(MID(TRIM([1]Raw_Data!A3358),4,2)),VALUE(LEFT(TRIM([1]Raw_Data!A3358),2)))</f>
        <v>45299</v>
      </c>
      <c r="B3360" s="3" t="str">
        <f>TRIM([1]Raw_Data!B3358)</f>
        <v>Biotin</v>
      </c>
      <c r="C3360" s="3" t="str">
        <f>TRIM([1]Raw_Data!C3358)</f>
        <v>Vitamin</v>
      </c>
      <c r="D3360" s="3">
        <f>[1]Raw_Data!D3358</f>
        <v>147</v>
      </c>
      <c r="E3360" s="4">
        <f>[1]Raw_Data!E3358</f>
        <v>19.64</v>
      </c>
      <c r="F3360" s="5">
        <f>[1]Raw_Data!F3358</f>
        <v>2887.08</v>
      </c>
      <c r="G3360" s="4">
        <f>[1]Raw_Data!G3358</f>
        <v>0.03</v>
      </c>
      <c r="H3360" s="3">
        <f>[1]Raw_Data!H3358</f>
        <v>1</v>
      </c>
      <c r="I3360" s="3" t="str">
        <f>TRIM([1]Raw_Data!I3358)</f>
        <v>UK</v>
      </c>
      <c r="J3360" s="3" t="str">
        <f>TRIM([1]Raw_Data!J3358)</f>
        <v>Amazon</v>
      </c>
      <c r="K3360" s="3">
        <f t="shared" si="208"/>
        <v>2024</v>
      </c>
      <c r="L3360" s="6">
        <f t="shared" si="209"/>
        <v>45292</v>
      </c>
      <c r="M3360" s="3" t="str">
        <f t="shared" si="210"/>
        <v>0% to 5%</v>
      </c>
      <c r="N3360" s="3" t="str">
        <f t="shared" si="211"/>
        <v>OK</v>
      </c>
    </row>
    <row r="3361" spans="1:14" x14ac:dyDescent="0.3">
      <c r="A3361" s="2">
        <f>DATE(VALUE(RIGHT(TRIM([1]Raw_Data!A3359),4)),VALUE(MID(TRIM([1]Raw_Data!A3359),4,2)),VALUE(LEFT(TRIM([1]Raw_Data!A3359),2)))</f>
        <v>45299</v>
      </c>
      <c r="B3361" s="3" t="str">
        <f>TRIM([1]Raw_Data!B3359)</f>
        <v>Green Tea Extract</v>
      </c>
      <c r="C3361" s="3" t="str">
        <f>TRIM([1]Raw_Data!C3359)</f>
        <v>Fat Burner</v>
      </c>
      <c r="D3361" s="3">
        <f>[1]Raw_Data!D3359</f>
        <v>139</v>
      </c>
      <c r="E3361" s="4">
        <f>[1]Raw_Data!E3359</f>
        <v>54.63</v>
      </c>
      <c r="F3361" s="5">
        <f>[1]Raw_Data!F3359</f>
        <v>7593.57</v>
      </c>
      <c r="G3361" s="4">
        <f>[1]Raw_Data!G3359</f>
        <v>0.13</v>
      </c>
      <c r="H3361" s="3">
        <f>[1]Raw_Data!H3359</f>
        <v>1</v>
      </c>
      <c r="I3361" s="3" t="str">
        <f>TRIM([1]Raw_Data!I3359)</f>
        <v>UK</v>
      </c>
      <c r="J3361" s="3" t="str">
        <f>TRIM([1]Raw_Data!J3359)</f>
        <v>Walmart</v>
      </c>
      <c r="K3361" s="3">
        <f t="shared" si="208"/>
        <v>2024</v>
      </c>
      <c r="L3361" s="6">
        <f t="shared" si="209"/>
        <v>45292</v>
      </c>
      <c r="M3361" s="3" t="str">
        <f t="shared" si="210"/>
        <v>11% to 15%</v>
      </c>
      <c r="N3361" s="3" t="str">
        <f t="shared" si="211"/>
        <v>OK</v>
      </c>
    </row>
    <row r="3362" spans="1:14" x14ac:dyDescent="0.3">
      <c r="A3362" s="2">
        <f>DATE(VALUE(RIGHT(TRIM([1]Raw_Data!A3360),4)),VALUE(MID(TRIM([1]Raw_Data!A3360),4,2)),VALUE(LEFT(TRIM([1]Raw_Data!A3360),2)))</f>
        <v>45299</v>
      </c>
      <c r="B3362" s="3" t="str">
        <f>TRIM([1]Raw_Data!B3360)</f>
        <v>Iron Supplement</v>
      </c>
      <c r="C3362" s="3" t="str">
        <f>TRIM([1]Raw_Data!C3360)</f>
        <v>Mineral</v>
      </c>
      <c r="D3362" s="3">
        <f>[1]Raw_Data!D3360</f>
        <v>132</v>
      </c>
      <c r="E3362" s="4">
        <f>[1]Raw_Data!E3360</f>
        <v>39.200000000000003</v>
      </c>
      <c r="F3362" s="5">
        <f>[1]Raw_Data!F3360</f>
        <v>5174.3999999999996</v>
      </c>
      <c r="G3362" s="4">
        <f>[1]Raw_Data!G3360</f>
        <v>0.04</v>
      </c>
      <c r="H3362" s="3">
        <f>[1]Raw_Data!H3360</f>
        <v>1</v>
      </c>
      <c r="I3362" s="3" t="str">
        <f>TRIM([1]Raw_Data!I3360)</f>
        <v>UK</v>
      </c>
      <c r="J3362" s="3" t="str">
        <f>TRIM([1]Raw_Data!J3360)</f>
        <v>Amazon</v>
      </c>
      <c r="K3362" s="3">
        <f t="shared" si="208"/>
        <v>2024</v>
      </c>
      <c r="L3362" s="6">
        <f t="shared" si="209"/>
        <v>45292</v>
      </c>
      <c r="M3362" s="3" t="str">
        <f t="shared" si="210"/>
        <v>0% to 5%</v>
      </c>
      <c r="N3362" s="3" t="str">
        <f t="shared" si="211"/>
        <v>OK</v>
      </c>
    </row>
    <row r="3363" spans="1:14" x14ac:dyDescent="0.3">
      <c r="A3363" s="2">
        <f>DATE(VALUE(RIGHT(TRIM([1]Raw_Data!A3361),4)),VALUE(MID(TRIM([1]Raw_Data!A3361),4,2)),VALUE(LEFT(TRIM([1]Raw_Data!A3361),2)))</f>
        <v>45299</v>
      </c>
      <c r="B3363" s="3" t="str">
        <f>TRIM([1]Raw_Data!B3361)</f>
        <v>Electrolyte Powder</v>
      </c>
      <c r="C3363" s="3" t="str">
        <f>TRIM([1]Raw_Data!C3361)</f>
        <v>Hydration</v>
      </c>
      <c r="D3363" s="3">
        <f>[1]Raw_Data!D3361</f>
        <v>149</v>
      </c>
      <c r="E3363" s="4">
        <f>[1]Raw_Data!E3361</f>
        <v>22.13</v>
      </c>
      <c r="F3363" s="5">
        <f>[1]Raw_Data!F3361</f>
        <v>3297.37</v>
      </c>
      <c r="G3363" s="4">
        <f>[1]Raw_Data!G3361</f>
        <v>0.13</v>
      </c>
      <c r="H3363" s="3">
        <f>[1]Raw_Data!H3361</f>
        <v>2</v>
      </c>
      <c r="I3363" s="3" t="str">
        <f>TRIM([1]Raw_Data!I3361)</f>
        <v>USA</v>
      </c>
      <c r="J3363" s="3" t="str">
        <f>TRIM([1]Raw_Data!J3361)</f>
        <v>iHerb</v>
      </c>
      <c r="K3363" s="3">
        <f t="shared" si="208"/>
        <v>2024</v>
      </c>
      <c r="L3363" s="6">
        <f t="shared" si="209"/>
        <v>45292</v>
      </c>
      <c r="M3363" s="3" t="str">
        <f t="shared" si="210"/>
        <v>11% to 15%</v>
      </c>
      <c r="N3363" s="3" t="str">
        <f t="shared" si="211"/>
        <v>OK</v>
      </c>
    </row>
    <row r="3364" spans="1:14" x14ac:dyDescent="0.3">
      <c r="A3364" s="2">
        <f>DATE(VALUE(RIGHT(TRIM([1]Raw_Data!A3362),4)),VALUE(MID(TRIM([1]Raw_Data!A3362),4,2)),VALUE(LEFT(TRIM([1]Raw_Data!A3362),2)))</f>
        <v>45306</v>
      </c>
      <c r="B3364" s="3" t="str">
        <f>TRIM([1]Raw_Data!B3362)</f>
        <v>Whey Protein</v>
      </c>
      <c r="C3364" s="3" t="str">
        <f>TRIM([1]Raw_Data!C3362)</f>
        <v>Protein</v>
      </c>
      <c r="D3364" s="3">
        <f>[1]Raw_Data!D3362</f>
        <v>148</v>
      </c>
      <c r="E3364" s="4">
        <f>[1]Raw_Data!E3362</f>
        <v>53.47</v>
      </c>
      <c r="F3364" s="5">
        <f>[1]Raw_Data!F3362</f>
        <v>7913.56</v>
      </c>
      <c r="G3364" s="4">
        <f>[1]Raw_Data!G3362</f>
        <v>0.12</v>
      </c>
      <c r="H3364" s="3">
        <f>[1]Raw_Data!H3362</f>
        <v>4</v>
      </c>
      <c r="I3364" s="3" t="str">
        <f>TRIM([1]Raw_Data!I3362)</f>
        <v>Canada</v>
      </c>
      <c r="J3364" s="3" t="str">
        <f>TRIM([1]Raw_Data!J3362)</f>
        <v>iHerb</v>
      </c>
      <c r="K3364" s="3">
        <f t="shared" si="208"/>
        <v>2024</v>
      </c>
      <c r="L3364" s="6">
        <f t="shared" si="209"/>
        <v>45292</v>
      </c>
      <c r="M3364" s="3" t="str">
        <f t="shared" si="210"/>
        <v>11% to 15%</v>
      </c>
      <c r="N3364" s="3" t="str">
        <f t="shared" si="211"/>
        <v>OK</v>
      </c>
    </row>
    <row r="3365" spans="1:14" x14ac:dyDescent="0.3">
      <c r="A3365" s="2">
        <f>DATE(VALUE(RIGHT(TRIM([1]Raw_Data!A3363),4)),VALUE(MID(TRIM([1]Raw_Data!A3363),4,2)),VALUE(LEFT(TRIM([1]Raw_Data!A3363),2)))</f>
        <v>45306</v>
      </c>
      <c r="B3365" s="3" t="str">
        <f>TRIM([1]Raw_Data!B3363)</f>
        <v>Vitamin C</v>
      </c>
      <c r="C3365" s="3" t="str">
        <f>TRIM([1]Raw_Data!C3363)</f>
        <v>Vitamin</v>
      </c>
      <c r="D3365" s="3">
        <f>[1]Raw_Data!D3363</f>
        <v>128</v>
      </c>
      <c r="E3365" s="4">
        <f>[1]Raw_Data!E3363</f>
        <v>29.03</v>
      </c>
      <c r="F3365" s="5">
        <f>[1]Raw_Data!F3363</f>
        <v>3715.84</v>
      </c>
      <c r="G3365" s="4">
        <f>[1]Raw_Data!G3363</f>
        <v>0.15</v>
      </c>
      <c r="H3365" s="3">
        <f>[1]Raw_Data!H3363</f>
        <v>1</v>
      </c>
      <c r="I3365" s="3" t="str">
        <f>TRIM([1]Raw_Data!I3363)</f>
        <v>UK</v>
      </c>
      <c r="J3365" s="3" t="str">
        <f>TRIM([1]Raw_Data!J3363)</f>
        <v>Walmart</v>
      </c>
      <c r="K3365" s="3">
        <f t="shared" si="208"/>
        <v>2024</v>
      </c>
      <c r="L3365" s="6">
        <f t="shared" si="209"/>
        <v>45292</v>
      </c>
      <c r="M3365" s="3" t="str">
        <f t="shared" si="210"/>
        <v>11% to 15%</v>
      </c>
      <c r="N3365" s="3" t="str">
        <f t="shared" si="211"/>
        <v>OK</v>
      </c>
    </row>
    <row r="3366" spans="1:14" x14ac:dyDescent="0.3">
      <c r="A3366" s="2">
        <f>DATE(VALUE(RIGHT(TRIM([1]Raw_Data!A3364),4)),VALUE(MID(TRIM([1]Raw_Data!A3364),4,2)),VALUE(LEFT(TRIM([1]Raw_Data!A3364),2)))</f>
        <v>45306</v>
      </c>
      <c r="B3366" s="3" t="str">
        <f>TRIM([1]Raw_Data!B3364)</f>
        <v>Fish Oil</v>
      </c>
      <c r="C3366" s="3" t="str">
        <f>TRIM([1]Raw_Data!C3364)</f>
        <v>Omega</v>
      </c>
      <c r="D3366" s="3">
        <f>[1]Raw_Data!D3364</f>
        <v>149</v>
      </c>
      <c r="E3366" s="4">
        <f>[1]Raw_Data!E3364</f>
        <v>18.52</v>
      </c>
      <c r="F3366" s="5">
        <f>[1]Raw_Data!F3364</f>
        <v>2759.48</v>
      </c>
      <c r="G3366" s="4">
        <f>[1]Raw_Data!G3364</f>
        <v>0.21</v>
      </c>
      <c r="H3366" s="3">
        <f>[1]Raw_Data!H3364</f>
        <v>3</v>
      </c>
      <c r="I3366" s="3" t="str">
        <f>TRIM([1]Raw_Data!I3364)</f>
        <v>Canada</v>
      </c>
      <c r="J3366" s="3" t="str">
        <f>TRIM([1]Raw_Data!J3364)</f>
        <v>Amazon</v>
      </c>
      <c r="K3366" s="3">
        <f t="shared" si="208"/>
        <v>2024</v>
      </c>
      <c r="L3366" s="6">
        <f t="shared" si="209"/>
        <v>45292</v>
      </c>
      <c r="M3366" s="3" t="str">
        <f t="shared" si="210"/>
        <v>21% to 25%</v>
      </c>
      <c r="N3366" s="3" t="str">
        <f t="shared" si="211"/>
        <v>OK</v>
      </c>
    </row>
    <row r="3367" spans="1:14" x14ac:dyDescent="0.3">
      <c r="A3367" s="2">
        <f>DATE(VALUE(RIGHT(TRIM([1]Raw_Data!A3365),4)),VALUE(MID(TRIM([1]Raw_Data!A3365),4,2)),VALUE(LEFT(TRIM([1]Raw_Data!A3365),2)))</f>
        <v>45306</v>
      </c>
      <c r="B3367" s="3" t="str">
        <f>TRIM([1]Raw_Data!B3365)</f>
        <v>Multivitamin</v>
      </c>
      <c r="C3367" s="3" t="str">
        <f>TRIM([1]Raw_Data!C3365)</f>
        <v>Vitamin</v>
      </c>
      <c r="D3367" s="3">
        <f>[1]Raw_Data!D3365</f>
        <v>156</v>
      </c>
      <c r="E3367" s="4">
        <f>[1]Raw_Data!E3365</f>
        <v>39.880000000000003</v>
      </c>
      <c r="F3367" s="5">
        <f>[1]Raw_Data!F3365</f>
        <v>6221.28</v>
      </c>
      <c r="G3367" s="4">
        <f>[1]Raw_Data!G3365</f>
        <v>0.05</v>
      </c>
      <c r="H3367" s="3">
        <f>[1]Raw_Data!H3365</f>
        <v>1</v>
      </c>
      <c r="I3367" s="3" t="str">
        <f>TRIM([1]Raw_Data!I3365)</f>
        <v>UK</v>
      </c>
      <c r="J3367" s="3" t="str">
        <f>TRIM([1]Raw_Data!J3365)</f>
        <v>Amazon</v>
      </c>
      <c r="K3367" s="3">
        <f t="shared" si="208"/>
        <v>2024</v>
      </c>
      <c r="L3367" s="6">
        <f t="shared" si="209"/>
        <v>45292</v>
      </c>
      <c r="M3367" s="3" t="str">
        <f t="shared" si="210"/>
        <v>0% to 5%</v>
      </c>
      <c r="N3367" s="3" t="str">
        <f t="shared" si="211"/>
        <v>OK</v>
      </c>
    </row>
    <row r="3368" spans="1:14" x14ac:dyDescent="0.3">
      <c r="A3368" s="2">
        <f>DATE(VALUE(RIGHT(TRIM([1]Raw_Data!A3366),4)),VALUE(MID(TRIM([1]Raw_Data!A3366),4,2)),VALUE(LEFT(TRIM([1]Raw_Data!A3366),2)))</f>
        <v>45306</v>
      </c>
      <c r="B3368" s="3" t="str">
        <f>TRIM([1]Raw_Data!B3366)</f>
        <v>Pre-Workout</v>
      </c>
      <c r="C3368" s="3" t="str">
        <f>TRIM([1]Raw_Data!C3366)</f>
        <v>Performance</v>
      </c>
      <c r="D3368" s="3">
        <f>[1]Raw_Data!D3366</f>
        <v>157</v>
      </c>
      <c r="E3368" s="4">
        <f>[1]Raw_Data!E3366</f>
        <v>10.93</v>
      </c>
      <c r="F3368" s="5">
        <f>[1]Raw_Data!F3366</f>
        <v>1716.01</v>
      </c>
      <c r="G3368" s="4">
        <f>[1]Raw_Data!G3366</f>
        <v>0.24</v>
      </c>
      <c r="H3368" s="3">
        <f>[1]Raw_Data!H3366</f>
        <v>3</v>
      </c>
      <c r="I3368" s="3" t="str">
        <f>TRIM([1]Raw_Data!I3366)</f>
        <v>UK</v>
      </c>
      <c r="J3368" s="3" t="str">
        <f>TRIM([1]Raw_Data!J3366)</f>
        <v>iHerb</v>
      </c>
      <c r="K3368" s="3">
        <f t="shared" si="208"/>
        <v>2024</v>
      </c>
      <c r="L3368" s="6">
        <f t="shared" si="209"/>
        <v>45292</v>
      </c>
      <c r="M3368" s="3" t="str">
        <f t="shared" si="210"/>
        <v>21% to 25%</v>
      </c>
      <c r="N3368" s="3" t="str">
        <f t="shared" si="211"/>
        <v>OK</v>
      </c>
    </row>
    <row r="3369" spans="1:14" x14ac:dyDescent="0.3">
      <c r="A3369" s="2">
        <f>DATE(VALUE(RIGHT(TRIM([1]Raw_Data!A3367),4)),VALUE(MID(TRIM([1]Raw_Data!A3367),4,2)),VALUE(LEFT(TRIM([1]Raw_Data!A3367),2)))</f>
        <v>45306</v>
      </c>
      <c r="B3369" s="3" t="str">
        <f>TRIM([1]Raw_Data!B3367)</f>
        <v>BCAA</v>
      </c>
      <c r="C3369" s="3" t="str">
        <f>TRIM([1]Raw_Data!C3367)</f>
        <v>Amino Acid</v>
      </c>
      <c r="D3369" s="3">
        <f>[1]Raw_Data!D3367</f>
        <v>141</v>
      </c>
      <c r="E3369" s="4">
        <f>[1]Raw_Data!E3367</f>
        <v>56.16</v>
      </c>
      <c r="F3369" s="5">
        <f>[1]Raw_Data!F3367</f>
        <v>7918.56</v>
      </c>
      <c r="G3369" s="4">
        <f>[1]Raw_Data!G3367</f>
        <v>0.02</v>
      </c>
      <c r="H3369" s="3">
        <f>[1]Raw_Data!H3367</f>
        <v>1</v>
      </c>
      <c r="I3369" s="3" t="str">
        <f>TRIM([1]Raw_Data!I3367)</f>
        <v>Canada</v>
      </c>
      <c r="J3369" s="3" t="str">
        <f>TRIM([1]Raw_Data!J3367)</f>
        <v>iHerb</v>
      </c>
      <c r="K3369" s="3">
        <f t="shared" si="208"/>
        <v>2024</v>
      </c>
      <c r="L3369" s="6">
        <f t="shared" si="209"/>
        <v>45292</v>
      </c>
      <c r="M3369" s="3" t="str">
        <f t="shared" si="210"/>
        <v>0% to 5%</v>
      </c>
      <c r="N3369" s="3" t="str">
        <f t="shared" si="211"/>
        <v>OK</v>
      </c>
    </row>
    <row r="3370" spans="1:14" x14ac:dyDescent="0.3">
      <c r="A3370" s="2">
        <f>DATE(VALUE(RIGHT(TRIM([1]Raw_Data!A3368),4)),VALUE(MID(TRIM([1]Raw_Data!A3368),4,2)),VALUE(LEFT(TRIM([1]Raw_Data!A3368),2)))</f>
        <v>45306</v>
      </c>
      <c r="B3370" s="3" t="str">
        <f>TRIM([1]Raw_Data!B3368)</f>
        <v>Creatine</v>
      </c>
      <c r="C3370" s="3" t="str">
        <f>TRIM([1]Raw_Data!C3368)</f>
        <v>Performance</v>
      </c>
      <c r="D3370" s="3">
        <f>[1]Raw_Data!D3368</f>
        <v>148</v>
      </c>
      <c r="E3370" s="4">
        <f>[1]Raw_Data!E3368</f>
        <v>51.78</v>
      </c>
      <c r="F3370" s="5">
        <f>[1]Raw_Data!F3368</f>
        <v>7663.44</v>
      </c>
      <c r="G3370" s="4">
        <f>[1]Raw_Data!G3368</f>
        <v>0.1</v>
      </c>
      <c r="H3370" s="3">
        <f>[1]Raw_Data!H3368</f>
        <v>0</v>
      </c>
      <c r="I3370" s="3" t="str">
        <f>TRIM([1]Raw_Data!I3368)</f>
        <v>Canada</v>
      </c>
      <c r="J3370" s="3" t="str">
        <f>TRIM([1]Raw_Data!J3368)</f>
        <v>Walmart</v>
      </c>
      <c r="K3370" s="3">
        <f t="shared" si="208"/>
        <v>2024</v>
      </c>
      <c r="L3370" s="6">
        <f t="shared" si="209"/>
        <v>45292</v>
      </c>
      <c r="M3370" s="3" t="str">
        <f t="shared" si="210"/>
        <v>6% to 10%</v>
      </c>
      <c r="N3370" s="3" t="str">
        <f t="shared" si="211"/>
        <v>OK</v>
      </c>
    </row>
    <row r="3371" spans="1:14" x14ac:dyDescent="0.3">
      <c r="A3371" s="2">
        <f>DATE(VALUE(RIGHT(TRIM([1]Raw_Data!A3369),4)),VALUE(MID(TRIM([1]Raw_Data!A3369),4,2)),VALUE(LEFT(TRIM([1]Raw_Data!A3369),2)))</f>
        <v>45306</v>
      </c>
      <c r="B3371" s="3" t="str">
        <f>TRIM([1]Raw_Data!B3369)</f>
        <v>Zinc</v>
      </c>
      <c r="C3371" s="3" t="str">
        <f>TRIM([1]Raw_Data!C3369)</f>
        <v>Mineral</v>
      </c>
      <c r="D3371" s="3">
        <f>[1]Raw_Data!D3369</f>
        <v>126</v>
      </c>
      <c r="E3371" s="4">
        <f>[1]Raw_Data!E3369</f>
        <v>30.46</v>
      </c>
      <c r="F3371" s="5">
        <f>[1]Raw_Data!F3369</f>
        <v>3837.96</v>
      </c>
      <c r="G3371" s="4">
        <f>[1]Raw_Data!G3369</f>
        <v>0.18</v>
      </c>
      <c r="H3371" s="3">
        <f>[1]Raw_Data!H3369</f>
        <v>0</v>
      </c>
      <c r="I3371" s="3" t="str">
        <f>TRIM([1]Raw_Data!I3369)</f>
        <v>USA</v>
      </c>
      <c r="J3371" s="3" t="str">
        <f>TRIM([1]Raw_Data!J3369)</f>
        <v>iHerb</v>
      </c>
      <c r="K3371" s="3">
        <f t="shared" si="208"/>
        <v>2024</v>
      </c>
      <c r="L3371" s="6">
        <f t="shared" si="209"/>
        <v>45292</v>
      </c>
      <c r="M3371" s="3" t="str">
        <f t="shared" si="210"/>
        <v>16% to 20%</v>
      </c>
      <c r="N3371" s="3" t="str">
        <f t="shared" si="211"/>
        <v>OK</v>
      </c>
    </row>
    <row r="3372" spans="1:14" x14ac:dyDescent="0.3">
      <c r="A3372" s="2">
        <f>DATE(VALUE(RIGHT(TRIM([1]Raw_Data!A3370),4)),VALUE(MID(TRIM([1]Raw_Data!A3370),4,2)),VALUE(LEFT(TRIM([1]Raw_Data!A3370),2)))</f>
        <v>45306</v>
      </c>
      <c r="B3372" s="3" t="str">
        <f>TRIM([1]Raw_Data!B3370)</f>
        <v>Collagen Peptides</v>
      </c>
      <c r="C3372" s="3" t="str">
        <f>TRIM([1]Raw_Data!C3370)</f>
        <v>Protein</v>
      </c>
      <c r="D3372" s="3">
        <f>[1]Raw_Data!D3370</f>
        <v>155</v>
      </c>
      <c r="E3372" s="4">
        <f>[1]Raw_Data!E3370</f>
        <v>22.76</v>
      </c>
      <c r="F3372" s="5">
        <f>[1]Raw_Data!F3370</f>
        <v>3527.8</v>
      </c>
      <c r="G3372" s="4">
        <f>[1]Raw_Data!G3370</f>
        <v>0.15</v>
      </c>
      <c r="H3372" s="3">
        <f>[1]Raw_Data!H3370</f>
        <v>2</v>
      </c>
      <c r="I3372" s="3" t="str">
        <f>TRIM([1]Raw_Data!I3370)</f>
        <v>USA</v>
      </c>
      <c r="J3372" s="3" t="str">
        <f>TRIM([1]Raw_Data!J3370)</f>
        <v>Walmart</v>
      </c>
      <c r="K3372" s="3">
        <f t="shared" si="208"/>
        <v>2024</v>
      </c>
      <c r="L3372" s="6">
        <f t="shared" si="209"/>
        <v>45292</v>
      </c>
      <c r="M3372" s="3" t="str">
        <f t="shared" si="210"/>
        <v>11% to 15%</v>
      </c>
      <c r="N3372" s="3" t="str">
        <f t="shared" si="211"/>
        <v>OK</v>
      </c>
    </row>
    <row r="3373" spans="1:14" x14ac:dyDescent="0.3">
      <c r="A3373" s="2">
        <f>DATE(VALUE(RIGHT(TRIM([1]Raw_Data!A3371),4)),VALUE(MID(TRIM([1]Raw_Data!A3371),4,2)),VALUE(LEFT(TRIM([1]Raw_Data!A3371),2)))</f>
        <v>45306</v>
      </c>
      <c r="B3373" s="3" t="str">
        <f>TRIM([1]Raw_Data!B3371)</f>
        <v>Magnesium</v>
      </c>
      <c r="C3373" s="3" t="str">
        <f>TRIM([1]Raw_Data!C3371)</f>
        <v>Mineral</v>
      </c>
      <c r="D3373" s="3">
        <f>[1]Raw_Data!D3371</f>
        <v>149</v>
      </c>
      <c r="E3373" s="4">
        <f>[1]Raw_Data!E3371</f>
        <v>40.96</v>
      </c>
      <c r="F3373" s="5">
        <f>[1]Raw_Data!F3371</f>
        <v>6103.04</v>
      </c>
      <c r="G3373" s="4">
        <f>[1]Raw_Data!G3371</f>
        <v>0.24</v>
      </c>
      <c r="H3373" s="3">
        <f>[1]Raw_Data!H3371</f>
        <v>1</v>
      </c>
      <c r="I3373" s="3" t="str">
        <f>TRIM([1]Raw_Data!I3371)</f>
        <v>USA</v>
      </c>
      <c r="J3373" s="3" t="str">
        <f>TRIM([1]Raw_Data!J3371)</f>
        <v>iHerb</v>
      </c>
      <c r="K3373" s="3">
        <f t="shared" si="208"/>
        <v>2024</v>
      </c>
      <c r="L3373" s="6">
        <f t="shared" si="209"/>
        <v>45292</v>
      </c>
      <c r="M3373" s="3" t="str">
        <f t="shared" si="210"/>
        <v>21% to 25%</v>
      </c>
      <c r="N3373" s="3" t="str">
        <f t="shared" si="211"/>
        <v>OK</v>
      </c>
    </row>
    <row r="3374" spans="1:14" x14ac:dyDescent="0.3">
      <c r="A3374" s="2">
        <f>DATE(VALUE(RIGHT(TRIM([1]Raw_Data!A3372),4)),VALUE(MID(TRIM([1]Raw_Data!A3372),4,2)),VALUE(LEFT(TRIM([1]Raw_Data!A3372),2)))</f>
        <v>45306</v>
      </c>
      <c r="B3374" s="3" t="str">
        <f>TRIM([1]Raw_Data!B3372)</f>
        <v>Ashwagandha</v>
      </c>
      <c r="C3374" s="3" t="str">
        <f>TRIM([1]Raw_Data!C3372)</f>
        <v>Herbal</v>
      </c>
      <c r="D3374" s="3">
        <f>[1]Raw_Data!D3372</f>
        <v>146</v>
      </c>
      <c r="E3374" s="4">
        <f>[1]Raw_Data!E3372</f>
        <v>13.81</v>
      </c>
      <c r="F3374" s="5">
        <f>[1]Raw_Data!F3372</f>
        <v>2016.26</v>
      </c>
      <c r="G3374" s="4">
        <f>[1]Raw_Data!G3372</f>
        <v>0.14000000000000001</v>
      </c>
      <c r="H3374" s="3">
        <f>[1]Raw_Data!H3372</f>
        <v>1</v>
      </c>
      <c r="I3374" s="3" t="str">
        <f>TRIM([1]Raw_Data!I3372)</f>
        <v>UK</v>
      </c>
      <c r="J3374" s="3" t="str">
        <f>TRIM([1]Raw_Data!J3372)</f>
        <v>Amazon</v>
      </c>
      <c r="K3374" s="3">
        <f t="shared" si="208"/>
        <v>2024</v>
      </c>
      <c r="L3374" s="6">
        <f t="shared" si="209"/>
        <v>45292</v>
      </c>
      <c r="M3374" s="3" t="str">
        <f t="shared" si="210"/>
        <v>11% to 15%</v>
      </c>
      <c r="N3374" s="3" t="str">
        <f t="shared" si="211"/>
        <v>OK</v>
      </c>
    </row>
    <row r="3375" spans="1:14" x14ac:dyDescent="0.3">
      <c r="A3375" s="2">
        <f>DATE(VALUE(RIGHT(TRIM([1]Raw_Data!A3373),4)),VALUE(MID(TRIM([1]Raw_Data!A3373),4,2)),VALUE(LEFT(TRIM([1]Raw_Data!A3373),2)))</f>
        <v>45306</v>
      </c>
      <c r="B3375" s="3" t="str">
        <f>TRIM([1]Raw_Data!B3373)</f>
        <v>Melatonin</v>
      </c>
      <c r="C3375" s="3" t="str">
        <f>TRIM([1]Raw_Data!C3373)</f>
        <v>Sleep Aid</v>
      </c>
      <c r="D3375" s="3">
        <f>[1]Raw_Data!D3373</f>
        <v>133</v>
      </c>
      <c r="E3375" s="4">
        <f>[1]Raw_Data!E3373</f>
        <v>10.17</v>
      </c>
      <c r="F3375" s="5">
        <f>[1]Raw_Data!F3373</f>
        <v>1352.61</v>
      </c>
      <c r="G3375" s="4">
        <f>[1]Raw_Data!G3373</f>
        <v>0.1</v>
      </c>
      <c r="H3375" s="3">
        <f>[1]Raw_Data!H3373</f>
        <v>0</v>
      </c>
      <c r="I3375" s="3" t="str">
        <f>TRIM([1]Raw_Data!I3373)</f>
        <v>USA</v>
      </c>
      <c r="J3375" s="3" t="str">
        <f>TRIM([1]Raw_Data!J3373)</f>
        <v>iHerb</v>
      </c>
      <c r="K3375" s="3">
        <f t="shared" si="208"/>
        <v>2024</v>
      </c>
      <c r="L3375" s="6">
        <f t="shared" si="209"/>
        <v>45292</v>
      </c>
      <c r="M3375" s="3" t="str">
        <f t="shared" si="210"/>
        <v>6% to 10%</v>
      </c>
      <c r="N3375" s="3" t="str">
        <f t="shared" si="211"/>
        <v>OK</v>
      </c>
    </row>
    <row r="3376" spans="1:14" x14ac:dyDescent="0.3">
      <c r="A3376" s="2">
        <f>DATE(VALUE(RIGHT(TRIM([1]Raw_Data!A3374),4)),VALUE(MID(TRIM([1]Raw_Data!A3374),4,2)),VALUE(LEFT(TRIM([1]Raw_Data!A3374),2)))</f>
        <v>45306</v>
      </c>
      <c r="B3376" s="3" t="str">
        <f>TRIM([1]Raw_Data!B3374)</f>
        <v>Biotin</v>
      </c>
      <c r="C3376" s="3" t="str">
        <f>TRIM([1]Raw_Data!C3374)</f>
        <v>Vitamin</v>
      </c>
      <c r="D3376" s="3">
        <f>[1]Raw_Data!D3374</f>
        <v>171</v>
      </c>
      <c r="E3376" s="4">
        <f>[1]Raw_Data!E3374</f>
        <v>36.96</v>
      </c>
      <c r="F3376" s="5">
        <f>[1]Raw_Data!F3374</f>
        <v>6320.16</v>
      </c>
      <c r="G3376" s="4">
        <f>[1]Raw_Data!G3374</f>
        <v>7.0000000000000007E-2</v>
      </c>
      <c r="H3376" s="3">
        <f>[1]Raw_Data!H3374</f>
        <v>2</v>
      </c>
      <c r="I3376" s="3" t="str">
        <f>TRIM([1]Raw_Data!I3374)</f>
        <v>Canada</v>
      </c>
      <c r="J3376" s="3" t="str">
        <f>TRIM([1]Raw_Data!J3374)</f>
        <v>iHerb</v>
      </c>
      <c r="K3376" s="3">
        <f t="shared" si="208"/>
        <v>2024</v>
      </c>
      <c r="L3376" s="6">
        <f t="shared" si="209"/>
        <v>45292</v>
      </c>
      <c r="M3376" s="3" t="str">
        <f t="shared" si="210"/>
        <v>6% to 10%</v>
      </c>
      <c r="N3376" s="3" t="str">
        <f t="shared" si="211"/>
        <v>OK</v>
      </c>
    </row>
    <row r="3377" spans="1:14" x14ac:dyDescent="0.3">
      <c r="A3377" s="2">
        <f>DATE(VALUE(RIGHT(TRIM([1]Raw_Data!A3375),4)),VALUE(MID(TRIM([1]Raw_Data!A3375),4,2)),VALUE(LEFT(TRIM([1]Raw_Data!A3375),2)))</f>
        <v>45306</v>
      </c>
      <c r="B3377" s="3" t="str">
        <f>TRIM([1]Raw_Data!B3375)</f>
        <v>Green Tea Extract</v>
      </c>
      <c r="C3377" s="3" t="str">
        <f>TRIM([1]Raw_Data!C3375)</f>
        <v>Fat Burner</v>
      </c>
      <c r="D3377" s="3">
        <f>[1]Raw_Data!D3375</f>
        <v>148</v>
      </c>
      <c r="E3377" s="4">
        <f>[1]Raw_Data!E3375</f>
        <v>45.02</v>
      </c>
      <c r="F3377" s="5">
        <f>[1]Raw_Data!F3375</f>
        <v>6662.96</v>
      </c>
      <c r="G3377" s="4">
        <f>[1]Raw_Data!G3375</f>
        <v>0.03</v>
      </c>
      <c r="H3377" s="3">
        <f>[1]Raw_Data!H3375</f>
        <v>0</v>
      </c>
      <c r="I3377" s="3" t="str">
        <f>TRIM([1]Raw_Data!I3375)</f>
        <v>Canada</v>
      </c>
      <c r="J3377" s="3" t="str">
        <f>TRIM([1]Raw_Data!J3375)</f>
        <v>Walmart</v>
      </c>
      <c r="K3377" s="3">
        <f t="shared" si="208"/>
        <v>2024</v>
      </c>
      <c r="L3377" s="6">
        <f t="shared" si="209"/>
        <v>45292</v>
      </c>
      <c r="M3377" s="3" t="str">
        <f t="shared" si="210"/>
        <v>0% to 5%</v>
      </c>
      <c r="N3377" s="3" t="str">
        <f t="shared" si="211"/>
        <v>OK</v>
      </c>
    </row>
    <row r="3378" spans="1:14" x14ac:dyDescent="0.3">
      <c r="A3378" s="2">
        <f>DATE(VALUE(RIGHT(TRIM([1]Raw_Data!A3376),4)),VALUE(MID(TRIM([1]Raw_Data!A3376),4,2)),VALUE(LEFT(TRIM([1]Raw_Data!A3376),2)))</f>
        <v>45306</v>
      </c>
      <c r="B3378" s="3" t="str">
        <f>TRIM([1]Raw_Data!B3376)</f>
        <v>Iron Supplement</v>
      </c>
      <c r="C3378" s="3" t="str">
        <f>TRIM([1]Raw_Data!C3376)</f>
        <v>Mineral</v>
      </c>
      <c r="D3378" s="3">
        <f>[1]Raw_Data!D3376</f>
        <v>160</v>
      </c>
      <c r="E3378" s="4">
        <f>[1]Raw_Data!E3376</f>
        <v>34.93</v>
      </c>
      <c r="F3378" s="5">
        <f>[1]Raw_Data!F3376</f>
        <v>5588.8</v>
      </c>
      <c r="G3378" s="4">
        <f>[1]Raw_Data!G3376</f>
        <v>0.12</v>
      </c>
      <c r="H3378" s="3">
        <f>[1]Raw_Data!H3376</f>
        <v>1</v>
      </c>
      <c r="I3378" s="3" t="str">
        <f>TRIM([1]Raw_Data!I3376)</f>
        <v>Canada</v>
      </c>
      <c r="J3378" s="3" t="str">
        <f>TRIM([1]Raw_Data!J3376)</f>
        <v>iHerb</v>
      </c>
      <c r="K3378" s="3">
        <f t="shared" si="208"/>
        <v>2024</v>
      </c>
      <c r="L3378" s="6">
        <f t="shared" si="209"/>
        <v>45292</v>
      </c>
      <c r="M3378" s="3" t="str">
        <f t="shared" si="210"/>
        <v>11% to 15%</v>
      </c>
      <c r="N3378" s="3" t="str">
        <f t="shared" si="211"/>
        <v>OK</v>
      </c>
    </row>
    <row r="3379" spans="1:14" x14ac:dyDescent="0.3">
      <c r="A3379" s="2">
        <f>DATE(VALUE(RIGHT(TRIM([1]Raw_Data!A3377),4)),VALUE(MID(TRIM([1]Raw_Data!A3377),4,2)),VALUE(LEFT(TRIM([1]Raw_Data!A3377),2)))</f>
        <v>45306</v>
      </c>
      <c r="B3379" s="3" t="str">
        <f>TRIM([1]Raw_Data!B3377)</f>
        <v>Electrolyte Powder</v>
      </c>
      <c r="C3379" s="3" t="str">
        <f>TRIM([1]Raw_Data!C3377)</f>
        <v>Hydration</v>
      </c>
      <c r="D3379" s="3">
        <f>[1]Raw_Data!D3377</f>
        <v>148</v>
      </c>
      <c r="E3379" s="4">
        <f>[1]Raw_Data!E3377</f>
        <v>34.979999999999997</v>
      </c>
      <c r="F3379" s="5">
        <f>[1]Raw_Data!F3377</f>
        <v>5177.04</v>
      </c>
      <c r="G3379" s="4">
        <f>[1]Raw_Data!G3377</f>
        <v>0.13</v>
      </c>
      <c r="H3379" s="3">
        <f>[1]Raw_Data!H3377</f>
        <v>2</v>
      </c>
      <c r="I3379" s="3" t="str">
        <f>TRIM([1]Raw_Data!I3377)</f>
        <v>UK</v>
      </c>
      <c r="J3379" s="3" t="str">
        <f>TRIM([1]Raw_Data!J3377)</f>
        <v>iHerb</v>
      </c>
      <c r="K3379" s="3">
        <f t="shared" si="208"/>
        <v>2024</v>
      </c>
      <c r="L3379" s="6">
        <f t="shared" si="209"/>
        <v>45292</v>
      </c>
      <c r="M3379" s="3" t="str">
        <f t="shared" si="210"/>
        <v>11% to 15%</v>
      </c>
      <c r="N3379" s="3" t="str">
        <f t="shared" si="211"/>
        <v>OK</v>
      </c>
    </row>
    <row r="3380" spans="1:14" x14ac:dyDescent="0.3">
      <c r="A3380" s="2">
        <f>DATE(VALUE(RIGHT(TRIM([1]Raw_Data!A3378),4)),VALUE(MID(TRIM([1]Raw_Data!A3378),4,2)),VALUE(LEFT(TRIM([1]Raw_Data!A3378),2)))</f>
        <v>45313</v>
      </c>
      <c r="B3380" s="3" t="str">
        <f>TRIM([1]Raw_Data!B3378)</f>
        <v>Whey Protein</v>
      </c>
      <c r="C3380" s="3" t="str">
        <f>TRIM([1]Raw_Data!C3378)</f>
        <v>Protein</v>
      </c>
      <c r="D3380" s="3">
        <f>[1]Raw_Data!D3378</f>
        <v>158</v>
      </c>
      <c r="E3380" s="4">
        <f>[1]Raw_Data!E3378</f>
        <v>30.68</v>
      </c>
      <c r="F3380" s="5">
        <f>[1]Raw_Data!F3378</f>
        <v>4847.4399999999996</v>
      </c>
      <c r="G3380" s="4">
        <f>[1]Raw_Data!G3378</f>
        <v>0.09</v>
      </c>
      <c r="H3380" s="3">
        <f>[1]Raw_Data!H3378</f>
        <v>2</v>
      </c>
      <c r="I3380" s="3" t="str">
        <f>TRIM([1]Raw_Data!I3378)</f>
        <v>USA</v>
      </c>
      <c r="J3380" s="3" t="str">
        <f>TRIM([1]Raw_Data!J3378)</f>
        <v>iHerb</v>
      </c>
      <c r="K3380" s="3">
        <f t="shared" si="208"/>
        <v>2024</v>
      </c>
      <c r="L3380" s="6">
        <f t="shared" si="209"/>
        <v>45292</v>
      </c>
      <c r="M3380" s="3" t="str">
        <f t="shared" si="210"/>
        <v>6% to 10%</v>
      </c>
      <c r="N3380" s="3" t="str">
        <f t="shared" si="211"/>
        <v>OK</v>
      </c>
    </row>
    <row r="3381" spans="1:14" x14ac:dyDescent="0.3">
      <c r="A3381" s="2">
        <f>DATE(VALUE(RIGHT(TRIM([1]Raw_Data!A3379),4)),VALUE(MID(TRIM([1]Raw_Data!A3379),4,2)),VALUE(LEFT(TRIM([1]Raw_Data!A3379),2)))</f>
        <v>45313</v>
      </c>
      <c r="B3381" s="3" t="str">
        <f>TRIM([1]Raw_Data!B3379)</f>
        <v>Vitamin C</v>
      </c>
      <c r="C3381" s="3" t="str">
        <f>TRIM([1]Raw_Data!C3379)</f>
        <v>Vitamin</v>
      </c>
      <c r="D3381" s="3">
        <f>[1]Raw_Data!D3379</f>
        <v>148</v>
      </c>
      <c r="E3381" s="4">
        <f>[1]Raw_Data!E3379</f>
        <v>44.82</v>
      </c>
      <c r="F3381" s="5">
        <f>[1]Raw_Data!F3379</f>
        <v>6633.36</v>
      </c>
      <c r="G3381" s="4">
        <f>[1]Raw_Data!G3379</f>
        <v>0.22</v>
      </c>
      <c r="H3381" s="3">
        <f>[1]Raw_Data!H3379</f>
        <v>2</v>
      </c>
      <c r="I3381" s="3" t="str">
        <f>TRIM([1]Raw_Data!I3379)</f>
        <v>USA</v>
      </c>
      <c r="J3381" s="3" t="str">
        <f>TRIM([1]Raw_Data!J3379)</f>
        <v>iHerb</v>
      </c>
      <c r="K3381" s="3">
        <f t="shared" si="208"/>
        <v>2024</v>
      </c>
      <c r="L3381" s="6">
        <f t="shared" si="209"/>
        <v>45292</v>
      </c>
      <c r="M3381" s="3" t="str">
        <f t="shared" si="210"/>
        <v>21% to 25%</v>
      </c>
      <c r="N3381" s="3" t="str">
        <f t="shared" si="211"/>
        <v>OK</v>
      </c>
    </row>
    <row r="3382" spans="1:14" x14ac:dyDescent="0.3">
      <c r="A3382" s="2">
        <f>DATE(VALUE(RIGHT(TRIM([1]Raw_Data!A3380),4)),VALUE(MID(TRIM([1]Raw_Data!A3380),4,2)),VALUE(LEFT(TRIM([1]Raw_Data!A3380),2)))</f>
        <v>45313</v>
      </c>
      <c r="B3382" s="3" t="str">
        <f>TRIM([1]Raw_Data!B3380)</f>
        <v>Fish Oil</v>
      </c>
      <c r="C3382" s="3" t="str">
        <f>TRIM([1]Raw_Data!C3380)</f>
        <v>Omega</v>
      </c>
      <c r="D3382" s="3">
        <f>[1]Raw_Data!D3380</f>
        <v>183</v>
      </c>
      <c r="E3382" s="4">
        <f>[1]Raw_Data!E3380</f>
        <v>12.62</v>
      </c>
      <c r="F3382" s="5">
        <f>[1]Raw_Data!F3380</f>
        <v>2309.46</v>
      </c>
      <c r="G3382" s="4">
        <f>[1]Raw_Data!G3380</f>
        <v>0.14000000000000001</v>
      </c>
      <c r="H3382" s="3">
        <f>[1]Raw_Data!H3380</f>
        <v>5</v>
      </c>
      <c r="I3382" s="3" t="str">
        <f>TRIM([1]Raw_Data!I3380)</f>
        <v>UK</v>
      </c>
      <c r="J3382" s="3" t="str">
        <f>TRIM([1]Raw_Data!J3380)</f>
        <v>iHerb</v>
      </c>
      <c r="K3382" s="3">
        <f t="shared" si="208"/>
        <v>2024</v>
      </c>
      <c r="L3382" s="6">
        <f t="shared" si="209"/>
        <v>45292</v>
      </c>
      <c r="M3382" s="3" t="str">
        <f t="shared" si="210"/>
        <v>11% to 15%</v>
      </c>
      <c r="N3382" s="3" t="str">
        <f t="shared" si="211"/>
        <v>OK</v>
      </c>
    </row>
    <row r="3383" spans="1:14" x14ac:dyDescent="0.3">
      <c r="A3383" s="2">
        <f>DATE(VALUE(RIGHT(TRIM([1]Raw_Data!A3381),4)),VALUE(MID(TRIM([1]Raw_Data!A3381),4,2)),VALUE(LEFT(TRIM([1]Raw_Data!A3381),2)))</f>
        <v>45313</v>
      </c>
      <c r="B3383" s="3" t="str">
        <f>TRIM([1]Raw_Data!B3381)</f>
        <v>Multivitamin</v>
      </c>
      <c r="C3383" s="3" t="str">
        <f>TRIM([1]Raw_Data!C3381)</f>
        <v>Vitamin</v>
      </c>
      <c r="D3383" s="3">
        <f>[1]Raw_Data!D3381</f>
        <v>147</v>
      </c>
      <c r="E3383" s="4">
        <f>[1]Raw_Data!E3381</f>
        <v>36.08</v>
      </c>
      <c r="F3383" s="5">
        <f>[1]Raw_Data!F3381</f>
        <v>5303.76</v>
      </c>
      <c r="G3383" s="4">
        <f>[1]Raw_Data!G3381</f>
        <v>0.16</v>
      </c>
      <c r="H3383" s="3">
        <f>[1]Raw_Data!H3381</f>
        <v>1</v>
      </c>
      <c r="I3383" s="3" t="str">
        <f>TRIM([1]Raw_Data!I3381)</f>
        <v>Canada</v>
      </c>
      <c r="J3383" s="3" t="str">
        <f>TRIM([1]Raw_Data!J3381)</f>
        <v>Walmart</v>
      </c>
      <c r="K3383" s="3">
        <f t="shared" si="208"/>
        <v>2024</v>
      </c>
      <c r="L3383" s="6">
        <f t="shared" si="209"/>
        <v>45292</v>
      </c>
      <c r="M3383" s="3" t="str">
        <f t="shared" si="210"/>
        <v>16% to 20%</v>
      </c>
      <c r="N3383" s="3" t="str">
        <f t="shared" si="211"/>
        <v>OK</v>
      </c>
    </row>
    <row r="3384" spans="1:14" x14ac:dyDescent="0.3">
      <c r="A3384" s="2">
        <f>DATE(VALUE(RIGHT(TRIM([1]Raw_Data!A3382),4)),VALUE(MID(TRIM([1]Raw_Data!A3382),4,2)),VALUE(LEFT(TRIM([1]Raw_Data!A3382),2)))</f>
        <v>45313</v>
      </c>
      <c r="B3384" s="3" t="str">
        <f>TRIM([1]Raw_Data!B3382)</f>
        <v>Pre-Workout</v>
      </c>
      <c r="C3384" s="3" t="str">
        <f>TRIM([1]Raw_Data!C3382)</f>
        <v>Performance</v>
      </c>
      <c r="D3384" s="3">
        <f>[1]Raw_Data!D3382</f>
        <v>168</v>
      </c>
      <c r="E3384" s="4">
        <f>[1]Raw_Data!E3382</f>
        <v>26.34</v>
      </c>
      <c r="F3384" s="5">
        <f>[1]Raw_Data!F3382</f>
        <v>4425.12</v>
      </c>
      <c r="G3384" s="4">
        <f>[1]Raw_Data!G3382</f>
        <v>0.09</v>
      </c>
      <c r="H3384" s="3">
        <f>[1]Raw_Data!H3382</f>
        <v>1</v>
      </c>
      <c r="I3384" s="3" t="str">
        <f>TRIM([1]Raw_Data!I3382)</f>
        <v>Canada</v>
      </c>
      <c r="J3384" s="3" t="str">
        <f>TRIM([1]Raw_Data!J3382)</f>
        <v>iHerb</v>
      </c>
      <c r="K3384" s="3">
        <f t="shared" si="208"/>
        <v>2024</v>
      </c>
      <c r="L3384" s="6">
        <f t="shared" si="209"/>
        <v>45292</v>
      </c>
      <c r="M3384" s="3" t="str">
        <f t="shared" si="210"/>
        <v>6% to 10%</v>
      </c>
      <c r="N3384" s="3" t="str">
        <f t="shared" si="211"/>
        <v>OK</v>
      </c>
    </row>
    <row r="3385" spans="1:14" x14ac:dyDescent="0.3">
      <c r="A3385" s="2">
        <f>DATE(VALUE(RIGHT(TRIM([1]Raw_Data!A3383),4)),VALUE(MID(TRIM([1]Raw_Data!A3383),4,2)),VALUE(LEFT(TRIM([1]Raw_Data!A3383),2)))</f>
        <v>45313</v>
      </c>
      <c r="B3385" s="3" t="str">
        <f>TRIM([1]Raw_Data!B3383)</f>
        <v>BCAA</v>
      </c>
      <c r="C3385" s="3" t="str">
        <f>TRIM([1]Raw_Data!C3383)</f>
        <v>Amino Acid</v>
      </c>
      <c r="D3385" s="3">
        <f>[1]Raw_Data!D3383</f>
        <v>131</v>
      </c>
      <c r="E3385" s="4">
        <f>[1]Raw_Data!E3383</f>
        <v>28.27</v>
      </c>
      <c r="F3385" s="5">
        <f>[1]Raw_Data!F3383</f>
        <v>3703.37</v>
      </c>
      <c r="G3385" s="4">
        <f>[1]Raw_Data!G3383</f>
        <v>0.22</v>
      </c>
      <c r="H3385" s="3">
        <f>[1]Raw_Data!H3383</f>
        <v>3</v>
      </c>
      <c r="I3385" s="3" t="str">
        <f>TRIM([1]Raw_Data!I3383)</f>
        <v>UK</v>
      </c>
      <c r="J3385" s="3" t="str">
        <f>TRIM([1]Raw_Data!J3383)</f>
        <v>Walmart</v>
      </c>
      <c r="K3385" s="3">
        <f t="shared" si="208"/>
        <v>2024</v>
      </c>
      <c r="L3385" s="6">
        <f t="shared" si="209"/>
        <v>45292</v>
      </c>
      <c r="M3385" s="3" t="str">
        <f t="shared" si="210"/>
        <v>21% to 25%</v>
      </c>
      <c r="N3385" s="3" t="str">
        <f t="shared" si="211"/>
        <v>OK</v>
      </c>
    </row>
    <row r="3386" spans="1:14" x14ac:dyDescent="0.3">
      <c r="A3386" s="2">
        <f>DATE(VALUE(RIGHT(TRIM([1]Raw_Data!A3384),4)),VALUE(MID(TRIM([1]Raw_Data!A3384),4,2)),VALUE(LEFT(TRIM([1]Raw_Data!A3384),2)))</f>
        <v>45313</v>
      </c>
      <c r="B3386" s="3" t="str">
        <f>TRIM([1]Raw_Data!B3384)</f>
        <v>Creatine</v>
      </c>
      <c r="C3386" s="3" t="str">
        <f>TRIM([1]Raw_Data!C3384)</f>
        <v>Performance</v>
      </c>
      <c r="D3386" s="3">
        <f>[1]Raw_Data!D3384</f>
        <v>158</v>
      </c>
      <c r="E3386" s="4">
        <f>[1]Raw_Data!E3384</f>
        <v>29.48</v>
      </c>
      <c r="F3386" s="5">
        <f>[1]Raw_Data!F3384</f>
        <v>4657.84</v>
      </c>
      <c r="G3386" s="4">
        <f>[1]Raw_Data!G3384</f>
        <v>0.13</v>
      </c>
      <c r="H3386" s="3">
        <f>[1]Raw_Data!H3384</f>
        <v>1</v>
      </c>
      <c r="I3386" s="3" t="str">
        <f>TRIM([1]Raw_Data!I3384)</f>
        <v>Canada</v>
      </c>
      <c r="J3386" s="3" t="str">
        <f>TRIM([1]Raw_Data!J3384)</f>
        <v>iHerb</v>
      </c>
      <c r="K3386" s="3">
        <f t="shared" si="208"/>
        <v>2024</v>
      </c>
      <c r="L3386" s="6">
        <f t="shared" si="209"/>
        <v>45292</v>
      </c>
      <c r="M3386" s="3" t="str">
        <f t="shared" si="210"/>
        <v>11% to 15%</v>
      </c>
      <c r="N3386" s="3" t="str">
        <f t="shared" si="211"/>
        <v>OK</v>
      </c>
    </row>
    <row r="3387" spans="1:14" x14ac:dyDescent="0.3">
      <c r="A3387" s="2">
        <f>DATE(VALUE(RIGHT(TRIM([1]Raw_Data!A3385),4)),VALUE(MID(TRIM([1]Raw_Data!A3385),4,2)),VALUE(LEFT(TRIM([1]Raw_Data!A3385),2)))</f>
        <v>45313</v>
      </c>
      <c r="B3387" s="3" t="str">
        <f>TRIM([1]Raw_Data!B3385)</f>
        <v>Zinc</v>
      </c>
      <c r="C3387" s="3" t="str">
        <f>TRIM([1]Raw_Data!C3385)</f>
        <v>Mineral</v>
      </c>
      <c r="D3387" s="3">
        <f>[1]Raw_Data!D3385</f>
        <v>154</v>
      </c>
      <c r="E3387" s="4">
        <f>[1]Raw_Data!E3385</f>
        <v>41.06</v>
      </c>
      <c r="F3387" s="5">
        <f>[1]Raw_Data!F3385</f>
        <v>6323.24</v>
      </c>
      <c r="G3387" s="4">
        <f>[1]Raw_Data!G3385</f>
        <v>7.0000000000000007E-2</v>
      </c>
      <c r="H3387" s="3">
        <f>[1]Raw_Data!H3385</f>
        <v>0</v>
      </c>
      <c r="I3387" s="3" t="str">
        <f>TRIM([1]Raw_Data!I3385)</f>
        <v>Canada</v>
      </c>
      <c r="J3387" s="3" t="str">
        <f>TRIM([1]Raw_Data!J3385)</f>
        <v>iHerb</v>
      </c>
      <c r="K3387" s="3">
        <f t="shared" si="208"/>
        <v>2024</v>
      </c>
      <c r="L3387" s="6">
        <f t="shared" si="209"/>
        <v>45292</v>
      </c>
      <c r="M3387" s="3" t="str">
        <f t="shared" si="210"/>
        <v>6% to 10%</v>
      </c>
      <c r="N3387" s="3" t="str">
        <f t="shared" si="211"/>
        <v>OK</v>
      </c>
    </row>
    <row r="3388" spans="1:14" x14ac:dyDescent="0.3">
      <c r="A3388" s="2">
        <f>DATE(VALUE(RIGHT(TRIM([1]Raw_Data!A3386),4)),VALUE(MID(TRIM([1]Raw_Data!A3386),4,2)),VALUE(LEFT(TRIM([1]Raw_Data!A3386),2)))</f>
        <v>45313</v>
      </c>
      <c r="B3388" s="3" t="str">
        <f>TRIM([1]Raw_Data!B3386)</f>
        <v>Collagen Peptides</v>
      </c>
      <c r="C3388" s="3" t="str">
        <f>TRIM([1]Raw_Data!C3386)</f>
        <v>Protein</v>
      </c>
      <c r="D3388" s="3">
        <f>[1]Raw_Data!D3386</f>
        <v>152</v>
      </c>
      <c r="E3388" s="4">
        <f>[1]Raw_Data!E3386</f>
        <v>31.33</v>
      </c>
      <c r="F3388" s="5">
        <f>[1]Raw_Data!F3386</f>
        <v>4762.16</v>
      </c>
      <c r="G3388" s="4">
        <f>[1]Raw_Data!G3386</f>
        <v>0.02</v>
      </c>
      <c r="H3388" s="3">
        <f>[1]Raw_Data!H3386</f>
        <v>3</v>
      </c>
      <c r="I3388" s="3" t="str">
        <f>TRIM([1]Raw_Data!I3386)</f>
        <v>Canada</v>
      </c>
      <c r="J3388" s="3" t="str">
        <f>TRIM([1]Raw_Data!J3386)</f>
        <v>iHerb</v>
      </c>
      <c r="K3388" s="3">
        <f t="shared" si="208"/>
        <v>2024</v>
      </c>
      <c r="L3388" s="6">
        <f t="shared" si="209"/>
        <v>45292</v>
      </c>
      <c r="M3388" s="3" t="str">
        <f t="shared" si="210"/>
        <v>0% to 5%</v>
      </c>
      <c r="N3388" s="3" t="str">
        <f t="shared" si="211"/>
        <v>OK</v>
      </c>
    </row>
    <row r="3389" spans="1:14" x14ac:dyDescent="0.3">
      <c r="A3389" s="2">
        <f>DATE(VALUE(RIGHT(TRIM([1]Raw_Data!A3387),4)),VALUE(MID(TRIM([1]Raw_Data!A3387),4,2)),VALUE(LEFT(TRIM([1]Raw_Data!A3387),2)))</f>
        <v>45313</v>
      </c>
      <c r="B3389" s="3" t="str">
        <f>TRIM([1]Raw_Data!B3387)</f>
        <v>Magnesium</v>
      </c>
      <c r="C3389" s="3" t="str">
        <f>TRIM([1]Raw_Data!C3387)</f>
        <v>Mineral</v>
      </c>
      <c r="D3389" s="3">
        <f>[1]Raw_Data!D3387</f>
        <v>154</v>
      </c>
      <c r="E3389" s="4">
        <f>[1]Raw_Data!E3387</f>
        <v>35.549999999999997</v>
      </c>
      <c r="F3389" s="5">
        <f>[1]Raw_Data!F3387</f>
        <v>5474.7</v>
      </c>
      <c r="G3389" s="4">
        <f>[1]Raw_Data!G3387</f>
        <v>0.12</v>
      </c>
      <c r="H3389" s="3">
        <f>[1]Raw_Data!H3387</f>
        <v>0</v>
      </c>
      <c r="I3389" s="3" t="str">
        <f>TRIM([1]Raw_Data!I3387)</f>
        <v>USA</v>
      </c>
      <c r="J3389" s="3" t="str">
        <f>TRIM([1]Raw_Data!J3387)</f>
        <v>Walmart</v>
      </c>
      <c r="K3389" s="3">
        <f t="shared" si="208"/>
        <v>2024</v>
      </c>
      <c r="L3389" s="6">
        <f t="shared" si="209"/>
        <v>45292</v>
      </c>
      <c r="M3389" s="3" t="str">
        <f t="shared" si="210"/>
        <v>11% to 15%</v>
      </c>
      <c r="N3389" s="3" t="str">
        <f t="shared" si="211"/>
        <v>OK</v>
      </c>
    </row>
    <row r="3390" spans="1:14" x14ac:dyDescent="0.3">
      <c r="A3390" s="2">
        <f>DATE(VALUE(RIGHT(TRIM([1]Raw_Data!A3388),4)),VALUE(MID(TRIM([1]Raw_Data!A3388),4,2)),VALUE(LEFT(TRIM([1]Raw_Data!A3388),2)))</f>
        <v>45313</v>
      </c>
      <c r="B3390" s="3" t="str">
        <f>TRIM([1]Raw_Data!B3388)</f>
        <v>Ashwagandha</v>
      </c>
      <c r="C3390" s="3" t="str">
        <f>TRIM([1]Raw_Data!C3388)</f>
        <v>Herbal</v>
      </c>
      <c r="D3390" s="3">
        <f>[1]Raw_Data!D3388</f>
        <v>154</v>
      </c>
      <c r="E3390" s="4">
        <f>[1]Raw_Data!E3388</f>
        <v>47.45</v>
      </c>
      <c r="F3390" s="5">
        <f>[1]Raw_Data!F3388</f>
        <v>7307.3</v>
      </c>
      <c r="G3390" s="4">
        <f>[1]Raw_Data!G3388</f>
        <v>0.05</v>
      </c>
      <c r="H3390" s="3">
        <f>[1]Raw_Data!H3388</f>
        <v>3</v>
      </c>
      <c r="I3390" s="3" t="str">
        <f>TRIM([1]Raw_Data!I3388)</f>
        <v>UK</v>
      </c>
      <c r="J3390" s="3" t="str">
        <f>TRIM([1]Raw_Data!J3388)</f>
        <v>Amazon</v>
      </c>
      <c r="K3390" s="3">
        <f t="shared" si="208"/>
        <v>2024</v>
      </c>
      <c r="L3390" s="6">
        <f t="shared" si="209"/>
        <v>45292</v>
      </c>
      <c r="M3390" s="3" t="str">
        <f t="shared" si="210"/>
        <v>0% to 5%</v>
      </c>
      <c r="N3390" s="3" t="str">
        <f t="shared" si="211"/>
        <v>OK</v>
      </c>
    </row>
    <row r="3391" spans="1:14" x14ac:dyDescent="0.3">
      <c r="A3391" s="2">
        <f>DATE(VALUE(RIGHT(TRIM([1]Raw_Data!A3389),4)),VALUE(MID(TRIM([1]Raw_Data!A3389),4,2)),VALUE(LEFT(TRIM([1]Raw_Data!A3389),2)))</f>
        <v>45313</v>
      </c>
      <c r="B3391" s="3" t="str">
        <f>TRIM([1]Raw_Data!B3389)</f>
        <v>Melatonin</v>
      </c>
      <c r="C3391" s="3" t="str">
        <f>TRIM([1]Raw_Data!C3389)</f>
        <v>Sleep Aid</v>
      </c>
      <c r="D3391" s="3">
        <f>[1]Raw_Data!D3389</f>
        <v>144</v>
      </c>
      <c r="E3391" s="4">
        <f>[1]Raw_Data!E3389</f>
        <v>13.59</v>
      </c>
      <c r="F3391" s="5">
        <f>[1]Raw_Data!F3389</f>
        <v>1956.96</v>
      </c>
      <c r="G3391" s="4">
        <f>[1]Raw_Data!G3389</f>
        <v>0.12</v>
      </c>
      <c r="H3391" s="3">
        <f>[1]Raw_Data!H3389</f>
        <v>2</v>
      </c>
      <c r="I3391" s="3" t="str">
        <f>TRIM([1]Raw_Data!I3389)</f>
        <v>USA</v>
      </c>
      <c r="J3391" s="3" t="str">
        <f>TRIM([1]Raw_Data!J3389)</f>
        <v>iHerb</v>
      </c>
      <c r="K3391" s="3">
        <f t="shared" si="208"/>
        <v>2024</v>
      </c>
      <c r="L3391" s="6">
        <f t="shared" si="209"/>
        <v>45292</v>
      </c>
      <c r="M3391" s="3" t="str">
        <f t="shared" si="210"/>
        <v>11% to 15%</v>
      </c>
      <c r="N3391" s="3" t="str">
        <f t="shared" si="211"/>
        <v>OK</v>
      </c>
    </row>
    <row r="3392" spans="1:14" x14ac:dyDescent="0.3">
      <c r="A3392" s="2">
        <f>DATE(VALUE(RIGHT(TRIM([1]Raw_Data!A3390),4)),VALUE(MID(TRIM([1]Raw_Data!A3390),4,2)),VALUE(LEFT(TRIM([1]Raw_Data!A3390),2)))</f>
        <v>45313</v>
      </c>
      <c r="B3392" s="3" t="str">
        <f>TRIM([1]Raw_Data!B3390)</f>
        <v>Biotin</v>
      </c>
      <c r="C3392" s="3" t="str">
        <f>TRIM([1]Raw_Data!C3390)</f>
        <v>Vitamin</v>
      </c>
      <c r="D3392" s="3">
        <f>[1]Raw_Data!D3390</f>
        <v>140</v>
      </c>
      <c r="E3392" s="4">
        <f>[1]Raw_Data!E3390</f>
        <v>41.34</v>
      </c>
      <c r="F3392" s="5">
        <f>[1]Raw_Data!F3390</f>
        <v>5787.6</v>
      </c>
      <c r="G3392" s="4">
        <f>[1]Raw_Data!G3390</f>
        <v>0</v>
      </c>
      <c r="H3392" s="3">
        <f>[1]Raw_Data!H3390</f>
        <v>2</v>
      </c>
      <c r="I3392" s="3" t="str">
        <f>TRIM([1]Raw_Data!I3390)</f>
        <v>USA</v>
      </c>
      <c r="J3392" s="3" t="str">
        <f>TRIM([1]Raw_Data!J3390)</f>
        <v>Amazon</v>
      </c>
      <c r="K3392" s="3">
        <f t="shared" si="208"/>
        <v>2024</v>
      </c>
      <c r="L3392" s="6">
        <f t="shared" si="209"/>
        <v>45292</v>
      </c>
      <c r="M3392" s="3" t="str">
        <f t="shared" si="210"/>
        <v>0% to 5%</v>
      </c>
      <c r="N3392" s="3" t="str">
        <f t="shared" si="211"/>
        <v>OK</v>
      </c>
    </row>
    <row r="3393" spans="1:14" x14ac:dyDescent="0.3">
      <c r="A3393" s="2">
        <f>DATE(VALUE(RIGHT(TRIM([1]Raw_Data!A3391),4)),VALUE(MID(TRIM([1]Raw_Data!A3391),4,2)),VALUE(LEFT(TRIM([1]Raw_Data!A3391),2)))</f>
        <v>45313</v>
      </c>
      <c r="B3393" s="3" t="str">
        <f>TRIM([1]Raw_Data!B3391)</f>
        <v>Green Tea Extract</v>
      </c>
      <c r="C3393" s="3" t="str">
        <f>TRIM([1]Raw_Data!C3391)</f>
        <v>Fat Burner</v>
      </c>
      <c r="D3393" s="3">
        <f>[1]Raw_Data!D3391</f>
        <v>150</v>
      </c>
      <c r="E3393" s="4">
        <f>[1]Raw_Data!E3391</f>
        <v>59.79</v>
      </c>
      <c r="F3393" s="5">
        <f>[1]Raw_Data!F3391</f>
        <v>8968.5</v>
      </c>
      <c r="G3393" s="4">
        <f>[1]Raw_Data!G3391</f>
        <v>0.22</v>
      </c>
      <c r="H3393" s="3">
        <f>[1]Raw_Data!H3391</f>
        <v>1</v>
      </c>
      <c r="I3393" s="3" t="str">
        <f>TRIM([1]Raw_Data!I3391)</f>
        <v>UK</v>
      </c>
      <c r="J3393" s="3" t="str">
        <f>TRIM([1]Raw_Data!J3391)</f>
        <v>Amazon</v>
      </c>
      <c r="K3393" s="3">
        <f t="shared" si="208"/>
        <v>2024</v>
      </c>
      <c r="L3393" s="6">
        <f t="shared" si="209"/>
        <v>45292</v>
      </c>
      <c r="M3393" s="3" t="str">
        <f t="shared" si="210"/>
        <v>21% to 25%</v>
      </c>
      <c r="N3393" s="3" t="str">
        <f t="shared" si="211"/>
        <v>OK</v>
      </c>
    </row>
    <row r="3394" spans="1:14" x14ac:dyDescent="0.3">
      <c r="A3394" s="2">
        <f>DATE(VALUE(RIGHT(TRIM([1]Raw_Data!A3392),4)),VALUE(MID(TRIM([1]Raw_Data!A3392),4,2)),VALUE(LEFT(TRIM([1]Raw_Data!A3392),2)))</f>
        <v>45313</v>
      </c>
      <c r="B3394" s="3" t="str">
        <f>TRIM([1]Raw_Data!B3392)</f>
        <v>Iron Supplement</v>
      </c>
      <c r="C3394" s="3" t="str">
        <f>TRIM([1]Raw_Data!C3392)</f>
        <v>Mineral</v>
      </c>
      <c r="D3394" s="3">
        <f>[1]Raw_Data!D3392</f>
        <v>151</v>
      </c>
      <c r="E3394" s="4">
        <f>[1]Raw_Data!E3392</f>
        <v>48.77</v>
      </c>
      <c r="F3394" s="5">
        <f>[1]Raw_Data!F3392</f>
        <v>7364.27</v>
      </c>
      <c r="G3394" s="4">
        <f>[1]Raw_Data!G3392</f>
        <v>0.23</v>
      </c>
      <c r="H3394" s="3">
        <f>[1]Raw_Data!H3392</f>
        <v>1</v>
      </c>
      <c r="I3394" s="3" t="str">
        <f>TRIM([1]Raw_Data!I3392)</f>
        <v>USA</v>
      </c>
      <c r="J3394" s="3" t="str">
        <f>TRIM([1]Raw_Data!J3392)</f>
        <v>Walmart</v>
      </c>
      <c r="K3394" s="3">
        <f t="shared" si="208"/>
        <v>2024</v>
      </c>
      <c r="L3394" s="6">
        <f t="shared" si="209"/>
        <v>45292</v>
      </c>
      <c r="M3394" s="3" t="str">
        <f t="shared" si="210"/>
        <v>21% to 25%</v>
      </c>
      <c r="N3394" s="3" t="str">
        <f t="shared" si="211"/>
        <v>OK</v>
      </c>
    </row>
    <row r="3395" spans="1:14" x14ac:dyDescent="0.3">
      <c r="A3395" s="2">
        <f>DATE(VALUE(RIGHT(TRIM([1]Raw_Data!A3393),4)),VALUE(MID(TRIM([1]Raw_Data!A3393),4,2)),VALUE(LEFT(TRIM([1]Raw_Data!A3393),2)))</f>
        <v>45313</v>
      </c>
      <c r="B3395" s="3" t="str">
        <f>TRIM([1]Raw_Data!B3393)</f>
        <v>Electrolyte Powder</v>
      </c>
      <c r="C3395" s="3" t="str">
        <f>TRIM([1]Raw_Data!C3393)</f>
        <v>Hydration</v>
      </c>
      <c r="D3395" s="3">
        <f>[1]Raw_Data!D3393</f>
        <v>162</v>
      </c>
      <c r="E3395" s="4">
        <f>[1]Raw_Data!E3393</f>
        <v>29.83</v>
      </c>
      <c r="F3395" s="5">
        <f>[1]Raw_Data!F3393</f>
        <v>4832.46</v>
      </c>
      <c r="G3395" s="4">
        <f>[1]Raw_Data!G3393</f>
        <v>0.23</v>
      </c>
      <c r="H3395" s="3">
        <f>[1]Raw_Data!H3393</f>
        <v>1</v>
      </c>
      <c r="I3395" s="3" t="str">
        <f>TRIM([1]Raw_Data!I3393)</f>
        <v>Canada</v>
      </c>
      <c r="J3395" s="3" t="str">
        <f>TRIM([1]Raw_Data!J3393)</f>
        <v>iHerb</v>
      </c>
      <c r="K3395" s="3">
        <f t="shared" si="208"/>
        <v>2024</v>
      </c>
      <c r="L3395" s="6">
        <f t="shared" si="209"/>
        <v>45292</v>
      </c>
      <c r="M3395" s="3" t="str">
        <f t="shared" si="210"/>
        <v>21% to 25%</v>
      </c>
      <c r="N3395" s="3" t="str">
        <f t="shared" si="211"/>
        <v>OK</v>
      </c>
    </row>
    <row r="3396" spans="1:14" x14ac:dyDescent="0.3">
      <c r="A3396" s="2">
        <f>DATE(VALUE(RIGHT(TRIM([1]Raw_Data!A3394),4)),VALUE(MID(TRIM([1]Raw_Data!A3394),4,2)),VALUE(LEFT(TRIM([1]Raw_Data!A3394),2)))</f>
        <v>45320</v>
      </c>
      <c r="B3396" s="3" t="str">
        <f>TRIM([1]Raw_Data!B3394)</f>
        <v>Whey Protein</v>
      </c>
      <c r="C3396" s="3" t="str">
        <f>TRIM([1]Raw_Data!C3394)</f>
        <v>Protein</v>
      </c>
      <c r="D3396" s="3">
        <f>[1]Raw_Data!D3394</f>
        <v>149</v>
      </c>
      <c r="E3396" s="4">
        <f>[1]Raw_Data!E3394</f>
        <v>23.06</v>
      </c>
      <c r="F3396" s="5">
        <f>[1]Raw_Data!F3394</f>
        <v>3435.94</v>
      </c>
      <c r="G3396" s="4">
        <f>[1]Raw_Data!G3394</f>
        <v>0.08</v>
      </c>
      <c r="H3396" s="3">
        <f>[1]Raw_Data!H3394</f>
        <v>3</v>
      </c>
      <c r="I3396" s="3" t="str">
        <f>TRIM([1]Raw_Data!I3394)</f>
        <v>Canada</v>
      </c>
      <c r="J3396" s="3" t="str">
        <f>TRIM([1]Raw_Data!J3394)</f>
        <v>Walmart</v>
      </c>
      <c r="K3396" s="3">
        <f t="shared" ref="K3396:K3459" si="212">YEAR(A3396)</f>
        <v>2024</v>
      </c>
      <c r="L3396" s="6">
        <f t="shared" ref="L3396:L3459" si="213">DATE(YEAR(A3396),MONTH(A3396),1)</f>
        <v>45292</v>
      </c>
      <c r="M3396" s="3" t="str">
        <f t="shared" ref="M3396:M3459" si="214">IF(ROUND(G3396*100,0)&lt;=5,"0% to 5%",IF(ROUND(G3396*100,0)&lt;=10,"6% to 10%",IF(ROUND(G3396*100,0)&lt;=15,"11% to 15%",IF(ROUND(G3396*100,0)&lt;=20,"16% to 20%","21% to 25%"))))</f>
        <v>6% to 10%</v>
      </c>
      <c r="N3396" s="3" t="str">
        <f t="shared" ref="N3396:N3459" si="215">IF(ROUND(D3396*E3396,2)=ROUND(F3396,2),"OK","Check")</f>
        <v>OK</v>
      </c>
    </row>
    <row r="3397" spans="1:14" x14ac:dyDescent="0.3">
      <c r="A3397" s="2">
        <f>DATE(VALUE(RIGHT(TRIM([1]Raw_Data!A3395),4)),VALUE(MID(TRIM([1]Raw_Data!A3395),4,2)),VALUE(LEFT(TRIM([1]Raw_Data!A3395),2)))</f>
        <v>45320</v>
      </c>
      <c r="B3397" s="3" t="str">
        <f>TRIM([1]Raw_Data!B3395)</f>
        <v>Vitamin C</v>
      </c>
      <c r="C3397" s="3" t="str">
        <f>TRIM([1]Raw_Data!C3395)</f>
        <v>Vitamin</v>
      </c>
      <c r="D3397" s="3">
        <f>[1]Raw_Data!D3395</f>
        <v>156</v>
      </c>
      <c r="E3397" s="4">
        <f>[1]Raw_Data!E3395</f>
        <v>23.56</v>
      </c>
      <c r="F3397" s="5">
        <f>[1]Raw_Data!F3395</f>
        <v>3675.36</v>
      </c>
      <c r="G3397" s="4">
        <f>[1]Raw_Data!G3395</f>
        <v>0.14000000000000001</v>
      </c>
      <c r="H3397" s="3">
        <f>[1]Raw_Data!H3395</f>
        <v>4</v>
      </c>
      <c r="I3397" s="3" t="str">
        <f>TRIM([1]Raw_Data!I3395)</f>
        <v>Canada</v>
      </c>
      <c r="J3397" s="3" t="str">
        <f>TRIM([1]Raw_Data!J3395)</f>
        <v>Walmart</v>
      </c>
      <c r="K3397" s="3">
        <f t="shared" si="212"/>
        <v>2024</v>
      </c>
      <c r="L3397" s="6">
        <f t="shared" si="213"/>
        <v>45292</v>
      </c>
      <c r="M3397" s="3" t="str">
        <f t="shared" si="214"/>
        <v>11% to 15%</v>
      </c>
      <c r="N3397" s="3" t="str">
        <f t="shared" si="215"/>
        <v>OK</v>
      </c>
    </row>
    <row r="3398" spans="1:14" x14ac:dyDescent="0.3">
      <c r="A3398" s="2">
        <f>DATE(VALUE(RIGHT(TRIM([1]Raw_Data!A3396),4)),VALUE(MID(TRIM([1]Raw_Data!A3396),4,2)),VALUE(LEFT(TRIM([1]Raw_Data!A3396),2)))</f>
        <v>45320</v>
      </c>
      <c r="B3398" s="3" t="str">
        <f>TRIM([1]Raw_Data!B3396)</f>
        <v>Fish Oil</v>
      </c>
      <c r="C3398" s="3" t="str">
        <f>TRIM([1]Raw_Data!C3396)</f>
        <v>Omega</v>
      </c>
      <c r="D3398" s="3">
        <f>[1]Raw_Data!D3396</f>
        <v>143</v>
      </c>
      <c r="E3398" s="4">
        <f>[1]Raw_Data!E3396</f>
        <v>35.54</v>
      </c>
      <c r="F3398" s="5">
        <f>[1]Raw_Data!F3396</f>
        <v>5082.22</v>
      </c>
      <c r="G3398" s="4">
        <f>[1]Raw_Data!G3396</f>
        <v>0.1</v>
      </c>
      <c r="H3398" s="3">
        <f>[1]Raw_Data!H3396</f>
        <v>0</v>
      </c>
      <c r="I3398" s="3" t="str">
        <f>TRIM([1]Raw_Data!I3396)</f>
        <v>UK</v>
      </c>
      <c r="J3398" s="3" t="str">
        <f>TRIM([1]Raw_Data!J3396)</f>
        <v>Walmart</v>
      </c>
      <c r="K3398" s="3">
        <f t="shared" si="212"/>
        <v>2024</v>
      </c>
      <c r="L3398" s="6">
        <f t="shared" si="213"/>
        <v>45292</v>
      </c>
      <c r="M3398" s="3" t="str">
        <f t="shared" si="214"/>
        <v>6% to 10%</v>
      </c>
      <c r="N3398" s="3" t="str">
        <f t="shared" si="215"/>
        <v>OK</v>
      </c>
    </row>
    <row r="3399" spans="1:14" x14ac:dyDescent="0.3">
      <c r="A3399" s="2">
        <f>DATE(VALUE(RIGHT(TRIM([1]Raw_Data!A3397),4)),VALUE(MID(TRIM([1]Raw_Data!A3397),4,2)),VALUE(LEFT(TRIM([1]Raw_Data!A3397),2)))</f>
        <v>45320</v>
      </c>
      <c r="B3399" s="3" t="str">
        <f>TRIM([1]Raw_Data!B3397)</f>
        <v>Multivitamin</v>
      </c>
      <c r="C3399" s="3" t="str">
        <f>TRIM([1]Raw_Data!C3397)</f>
        <v>Vitamin</v>
      </c>
      <c r="D3399" s="3">
        <f>[1]Raw_Data!D3397</f>
        <v>152</v>
      </c>
      <c r="E3399" s="4">
        <f>[1]Raw_Data!E3397</f>
        <v>52.95</v>
      </c>
      <c r="F3399" s="5">
        <f>[1]Raw_Data!F3397</f>
        <v>8048.4</v>
      </c>
      <c r="G3399" s="4">
        <f>[1]Raw_Data!G3397</f>
        <v>0.18</v>
      </c>
      <c r="H3399" s="3">
        <f>[1]Raw_Data!H3397</f>
        <v>0</v>
      </c>
      <c r="I3399" s="3" t="str">
        <f>TRIM([1]Raw_Data!I3397)</f>
        <v>UK</v>
      </c>
      <c r="J3399" s="3" t="str">
        <f>TRIM([1]Raw_Data!J3397)</f>
        <v>Walmart</v>
      </c>
      <c r="K3399" s="3">
        <f t="shared" si="212"/>
        <v>2024</v>
      </c>
      <c r="L3399" s="6">
        <f t="shared" si="213"/>
        <v>45292</v>
      </c>
      <c r="M3399" s="3" t="str">
        <f t="shared" si="214"/>
        <v>16% to 20%</v>
      </c>
      <c r="N3399" s="3" t="str">
        <f t="shared" si="215"/>
        <v>OK</v>
      </c>
    </row>
    <row r="3400" spans="1:14" x14ac:dyDescent="0.3">
      <c r="A3400" s="2">
        <f>DATE(VALUE(RIGHT(TRIM([1]Raw_Data!A3398),4)),VALUE(MID(TRIM([1]Raw_Data!A3398),4,2)),VALUE(LEFT(TRIM([1]Raw_Data!A3398),2)))</f>
        <v>45320</v>
      </c>
      <c r="B3400" s="3" t="str">
        <f>TRIM([1]Raw_Data!B3398)</f>
        <v>Pre-Workout</v>
      </c>
      <c r="C3400" s="3" t="str">
        <f>TRIM([1]Raw_Data!C3398)</f>
        <v>Performance</v>
      </c>
      <c r="D3400" s="3">
        <f>[1]Raw_Data!D3398</f>
        <v>136</v>
      </c>
      <c r="E3400" s="4">
        <f>[1]Raw_Data!E3398</f>
        <v>10.49</v>
      </c>
      <c r="F3400" s="5">
        <f>[1]Raw_Data!F3398</f>
        <v>1426.64</v>
      </c>
      <c r="G3400" s="4">
        <f>[1]Raw_Data!G3398</f>
        <v>0.08</v>
      </c>
      <c r="H3400" s="3">
        <f>[1]Raw_Data!H3398</f>
        <v>1</v>
      </c>
      <c r="I3400" s="3" t="str">
        <f>TRIM([1]Raw_Data!I3398)</f>
        <v>UK</v>
      </c>
      <c r="J3400" s="3" t="str">
        <f>TRIM([1]Raw_Data!J3398)</f>
        <v>Amazon</v>
      </c>
      <c r="K3400" s="3">
        <f t="shared" si="212"/>
        <v>2024</v>
      </c>
      <c r="L3400" s="6">
        <f t="shared" si="213"/>
        <v>45292</v>
      </c>
      <c r="M3400" s="3" t="str">
        <f t="shared" si="214"/>
        <v>6% to 10%</v>
      </c>
      <c r="N3400" s="3" t="str">
        <f t="shared" si="215"/>
        <v>OK</v>
      </c>
    </row>
    <row r="3401" spans="1:14" x14ac:dyDescent="0.3">
      <c r="A3401" s="2">
        <f>DATE(VALUE(RIGHT(TRIM([1]Raw_Data!A3399),4)),VALUE(MID(TRIM([1]Raw_Data!A3399),4,2)),VALUE(LEFT(TRIM([1]Raw_Data!A3399),2)))</f>
        <v>45320</v>
      </c>
      <c r="B3401" s="3" t="str">
        <f>TRIM([1]Raw_Data!B3399)</f>
        <v>BCAA</v>
      </c>
      <c r="C3401" s="3" t="str">
        <f>TRIM([1]Raw_Data!C3399)</f>
        <v>Amino Acid</v>
      </c>
      <c r="D3401" s="3">
        <f>[1]Raw_Data!D3399</f>
        <v>140</v>
      </c>
      <c r="E3401" s="4">
        <f>[1]Raw_Data!E3399</f>
        <v>36.49</v>
      </c>
      <c r="F3401" s="5">
        <f>[1]Raw_Data!F3399</f>
        <v>5108.6000000000004</v>
      </c>
      <c r="G3401" s="4">
        <f>[1]Raw_Data!G3399</f>
        <v>7.0000000000000007E-2</v>
      </c>
      <c r="H3401" s="3">
        <f>[1]Raw_Data!H3399</f>
        <v>2</v>
      </c>
      <c r="I3401" s="3" t="str">
        <f>TRIM([1]Raw_Data!I3399)</f>
        <v>Canada</v>
      </c>
      <c r="J3401" s="3" t="str">
        <f>TRIM([1]Raw_Data!J3399)</f>
        <v>Walmart</v>
      </c>
      <c r="K3401" s="3">
        <f t="shared" si="212"/>
        <v>2024</v>
      </c>
      <c r="L3401" s="6">
        <f t="shared" si="213"/>
        <v>45292</v>
      </c>
      <c r="M3401" s="3" t="str">
        <f t="shared" si="214"/>
        <v>6% to 10%</v>
      </c>
      <c r="N3401" s="3" t="str">
        <f t="shared" si="215"/>
        <v>OK</v>
      </c>
    </row>
    <row r="3402" spans="1:14" x14ac:dyDescent="0.3">
      <c r="A3402" s="2">
        <f>DATE(VALUE(RIGHT(TRIM([1]Raw_Data!A3400),4)),VALUE(MID(TRIM([1]Raw_Data!A3400),4,2)),VALUE(LEFT(TRIM([1]Raw_Data!A3400),2)))</f>
        <v>45320</v>
      </c>
      <c r="B3402" s="3" t="str">
        <f>TRIM([1]Raw_Data!B3400)</f>
        <v>Creatine</v>
      </c>
      <c r="C3402" s="3" t="str">
        <f>TRIM([1]Raw_Data!C3400)</f>
        <v>Performance</v>
      </c>
      <c r="D3402" s="3">
        <f>[1]Raw_Data!D3400</f>
        <v>160</v>
      </c>
      <c r="E3402" s="4">
        <f>[1]Raw_Data!E3400</f>
        <v>28.05</v>
      </c>
      <c r="F3402" s="5">
        <f>[1]Raw_Data!F3400</f>
        <v>4488</v>
      </c>
      <c r="G3402" s="4">
        <f>[1]Raw_Data!G3400</f>
        <v>0.14000000000000001</v>
      </c>
      <c r="H3402" s="3">
        <f>[1]Raw_Data!H3400</f>
        <v>2</v>
      </c>
      <c r="I3402" s="3" t="str">
        <f>TRIM([1]Raw_Data!I3400)</f>
        <v>UK</v>
      </c>
      <c r="J3402" s="3" t="str">
        <f>TRIM([1]Raw_Data!J3400)</f>
        <v>Amazon</v>
      </c>
      <c r="K3402" s="3">
        <f t="shared" si="212"/>
        <v>2024</v>
      </c>
      <c r="L3402" s="6">
        <f t="shared" si="213"/>
        <v>45292</v>
      </c>
      <c r="M3402" s="3" t="str">
        <f t="shared" si="214"/>
        <v>11% to 15%</v>
      </c>
      <c r="N3402" s="3" t="str">
        <f t="shared" si="215"/>
        <v>OK</v>
      </c>
    </row>
    <row r="3403" spans="1:14" x14ac:dyDescent="0.3">
      <c r="A3403" s="2">
        <f>DATE(VALUE(RIGHT(TRIM([1]Raw_Data!A3401),4)),VALUE(MID(TRIM([1]Raw_Data!A3401),4,2)),VALUE(LEFT(TRIM([1]Raw_Data!A3401),2)))</f>
        <v>45320</v>
      </c>
      <c r="B3403" s="3" t="str">
        <f>TRIM([1]Raw_Data!B3401)</f>
        <v>Zinc</v>
      </c>
      <c r="C3403" s="3" t="str">
        <f>TRIM([1]Raw_Data!C3401)</f>
        <v>Mineral</v>
      </c>
      <c r="D3403" s="3">
        <f>[1]Raw_Data!D3401</f>
        <v>154</v>
      </c>
      <c r="E3403" s="4">
        <f>[1]Raw_Data!E3401</f>
        <v>14.12</v>
      </c>
      <c r="F3403" s="5">
        <f>[1]Raw_Data!F3401</f>
        <v>2174.48</v>
      </c>
      <c r="G3403" s="4">
        <f>[1]Raw_Data!G3401</f>
        <v>0.09</v>
      </c>
      <c r="H3403" s="3">
        <f>[1]Raw_Data!H3401</f>
        <v>1</v>
      </c>
      <c r="I3403" s="3" t="str">
        <f>TRIM([1]Raw_Data!I3401)</f>
        <v>USA</v>
      </c>
      <c r="J3403" s="3" t="str">
        <f>TRIM([1]Raw_Data!J3401)</f>
        <v>iHerb</v>
      </c>
      <c r="K3403" s="3">
        <f t="shared" si="212"/>
        <v>2024</v>
      </c>
      <c r="L3403" s="6">
        <f t="shared" si="213"/>
        <v>45292</v>
      </c>
      <c r="M3403" s="3" t="str">
        <f t="shared" si="214"/>
        <v>6% to 10%</v>
      </c>
      <c r="N3403" s="3" t="str">
        <f t="shared" si="215"/>
        <v>OK</v>
      </c>
    </row>
    <row r="3404" spans="1:14" x14ac:dyDescent="0.3">
      <c r="A3404" s="2">
        <f>DATE(VALUE(RIGHT(TRIM([1]Raw_Data!A3402),4)),VALUE(MID(TRIM([1]Raw_Data!A3402),4,2)),VALUE(LEFT(TRIM([1]Raw_Data!A3402),2)))</f>
        <v>45320</v>
      </c>
      <c r="B3404" s="3" t="str">
        <f>TRIM([1]Raw_Data!B3402)</f>
        <v>Collagen Peptides</v>
      </c>
      <c r="C3404" s="3" t="str">
        <f>TRIM([1]Raw_Data!C3402)</f>
        <v>Protein</v>
      </c>
      <c r="D3404" s="3">
        <f>[1]Raw_Data!D3402</f>
        <v>141</v>
      </c>
      <c r="E3404" s="4">
        <f>[1]Raw_Data!E3402</f>
        <v>16.95</v>
      </c>
      <c r="F3404" s="5">
        <f>[1]Raw_Data!F3402</f>
        <v>2389.9499999999998</v>
      </c>
      <c r="G3404" s="4">
        <f>[1]Raw_Data!G3402</f>
        <v>0.09</v>
      </c>
      <c r="H3404" s="3">
        <f>[1]Raw_Data!H3402</f>
        <v>1</v>
      </c>
      <c r="I3404" s="3" t="str">
        <f>TRIM([1]Raw_Data!I3402)</f>
        <v>USA</v>
      </c>
      <c r="J3404" s="3" t="str">
        <f>TRIM([1]Raw_Data!J3402)</f>
        <v>iHerb</v>
      </c>
      <c r="K3404" s="3">
        <f t="shared" si="212"/>
        <v>2024</v>
      </c>
      <c r="L3404" s="6">
        <f t="shared" si="213"/>
        <v>45292</v>
      </c>
      <c r="M3404" s="3" t="str">
        <f t="shared" si="214"/>
        <v>6% to 10%</v>
      </c>
      <c r="N3404" s="3" t="str">
        <f t="shared" si="215"/>
        <v>OK</v>
      </c>
    </row>
    <row r="3405" spans="1:14" x14ac:dyDescent="0.3">
      <c r="A3405" s="2">
        <f>DATE(VALUE(RIGHT(TRIM([1]Raw_Data!A3403),4)),VALUE(MID(TRIM([1]Raw_Data!A3403),4,2)),VALUE(LEFT(TRIM([1]Raw_Data!A3403),2)))</f>
        <v>45320</v>
      </c>
      <c r="B3405" s="3" t="str">
        <f>TRIM([1]Raw_Data!B3403)</f>
        <v>Magnesium</v>
      </c>
      <c r="C3405" s="3" t="str">
        <f>TRIM([1]Raw_Data!C3403)</f>
        <v>Mineral</v>
      </c>
      <c r="D3405" s="3">
        <f>[1]Raw_Data!D3403</f>
        <v>160</v>
      </c>
      <c r="E3405" s="4">
        <f>[1]Raw_Data!E3403</f>
        <v>18.64</v>
      </c>
      <c r="F3405" s="5">
        <f>[1]Raw_Data!F3403</f>
        <v>2982.4</v>
      </c>
      <c r="G3405" s="4">
        <f>[1]Raw_Data!G3403</f>
        <v>0.15</v>
      </c>
      <c r="H3405" s="3">
        <f>[1]Raw_Data!H3403</f>
        <v>2</v>
      </c>
      <c r="I3405" s="3" t="str">
        <f>TRIM([1]Raw_Data!I3403)</f>
        <v>USA</v>
      </c>
      <c r="J3405" s="3" t="str">
        <f>TRIM([1]Raw_Data!J3403)</f>
        <v>iHerb</v>
      </c>
      <c r="K3405" s="3">
        <f t="shared" si="212"/>
        <v>2024</v>
      </c>
      <c r="L3405" s="6">
        <f t="shared" si="213"/>
        <v>45292</v>
      </c>
      <c r="M3405" s="3" t="str">
        <f t="shared" si="214"/>
        <v>11% to 15%</v>
      </c>
      <c r="N3405" s="3" t="str">
        <f t="shared" si="215"/>
        <v>OK</v>
      </c>
    </row>
    <row r="3406" spans="1:14" x14ac:dyDescent="0.3">
      <c r="A3406" s="2">
        <f>DATE(VALUE(RIGHT(TRIM([1]Raw_Data!A3404),4)),VALUE(MID(TRIM([1]Raw_Data!A3404),4,2)),VALUE(LEFT(TRIM([1]Raw_Data!A3404),2)))</f>
        <v>45320</v>
      </c>
      <c r="B3406" s="3" t="str">
        <f>TRIM([1]Raw_Data!B3404)</f>
        <v>Ashwagandha</v>
      </c>
      <c r="C3406" s="3" t="str">
        <f>TRIM([1]Raw_Data!C3404)</f>
        <v>Herbal</v>
      </c>
      <c r="D3406" s="3">
        <f>[1]Raw_Data!D3404</f>
        <v>153</v>
      </c>
      <c r="E3406" s="4">
        <f>[1]Raw_Data!E3404</f>
        <v>17.75</v>
      </c>
      <c r="F3406" s="5">
        <f>[1]Raw_Data!F3404</f>
        <v>2715.75</v>
      </c>
      <c r="G3406" s="4">
        <f>[1]Raw_Data!G3404</f>
        <v>0</v>
      </c>
      <c r="H3406" s="3">
        <f>[1]Raw_Data!H3404</f>
        <v>2</v>
      </c>
      <c r="I3406" s="3" t="str">
        <f>TRIM([1]Raw_Data!I3404)</f>
        <v>UK</v>
      </c>
      <c r="J3406" s="3" t="str">
        <f>TRIM([1]Raw_Data!J3404)</f>
        <v>Amazon</v>
      </c>
      <c r="K3406" s="3">
        <f t="shared" si="212"/>
        <v>2024</v>
      </c>
      <c r="L3406" s="6">
        <f t="shared" si="213"/>
        <v>45292</v>
      </c>
      <c r="M3406" s="3" t="str">
        <f t="shared" si="214"/>
        <v>0% to 5%</v>
      </c>
      <c r="N3406" s="3" t="str">
        <f t="shared" si="215"/>
        <v>OK</v>
      </c>
    </row>
    <row r="3407" spans="1:14" x14ac:dyDescent="0.3">
      <c r="A3407" s="2">
        <f>DATE(VALUE(RIGHT(TRIM([1]Raw_Data!A3405),4)),VALUE(MID(TRIM([1]Raw_Data!A3405),4,2)),VALUE(LEFT(TRIM([1]Raw_Data!A3405),2)))</f>
        <v>45320</v>
      </c>
      <c r="B3407" s="3" t="str">
        <f>TRIM([1]Raw_Data!B3405)</f>
        <v>Melatonin</v>
      </c>
      <c r="C3407" s="3" t="str">
        <f>TRIM([1]Raw_Data!C3405)</f>
        <v>Sleep Aid</v>
      </c>
      <c r="D3407" s="3">
        <f>[1]Raw_Data!D3405</f>
        <v>131</v>
      </c>
      <c r="E3407" s="4">
        <f>[1]Raw_Data!E3405</f>
        <v>47.23</v>
      </c>
      <c r="F3407" s="5">
        <f>[1]Raw_Data!F3405</f>
        <v>6187.13</v>
      </c>
      <c r="G3407" s="4">
        <f>[1]Raw_Data!G3405</f>
        <v>7.0000000000000007E-2</v>
      </c>
      <c r="H3407" s="3">
        <f>[1]Raw_Data!H3405</f>
        <v>2</v>
      </c>
      <c r="I3407" s="3" t="str">
        <f>TRIM([1]Raw_Data!I3405)</f>
        <v>USA</v>
      </c>
      <c r="J3407" s="3" t="str">
        <f>TRIM([1]Raw_Data!J3405)</f>
        <v>Walmart</v>
      </c>
      <c r="K3407" s="3">
        <f t="shared" si="212"/>
        <v>2024</v>
      </c>
      <c r="L3407" s="6">
        <f t="shared" si="213"/>
        <v>45292</v>
      </c>
      <c r="M3407" s="3" t="str">
        <f t="shared" si="214"/>
        <v>6% to 10%</v>
      </c>
      <c r="N3407" s="3" t="str">
        <f t="shared" si="215"/>
        <v>OK</v>
      </c>
    </row>
    <row r="3408" spans="1:14" x14ac:dyDescent="0.3">
      <c r="A3408" s="2">
        <f>DATE(VALUE(RIGHT(TRIM([1]Raw_Data!A3406),4)),VALUE(MID(TRIM([1]Raw_Data!A3406),4,2)),VALUE(LEFT(TRIM([1]Raw_Data!A3406),2)))</f>
        <v>45320</v>
      </c>
      <c r="B3408" s="3" t="str">
        <f>TRIM([1]Raw_Data!B3406)</f>
        <v>Biotin</v>
      </c>
      <c r="C3408" s="3" t="str">
        <f>TRIM([1]Raw_Data!C3406)</f>
        <v>Vitamin</v>
      </c>
      <c r="D3408" s="3">
        <f>[1]Raw_Data!D3406</f>
        <v>171</v>
      </c>
      <c r="E3408" s="4">
        <f>[1]Raw_Data!E3406</f>
        <v>20.86</v>
      </c>
      <c r="F3408" s="5">
        <f>[1]Raw_Data!F3406</f>
        <v>3567.06</v>
      </c>
      <c r="G3408" s="4">
        <f>[1]Raw_Data!G3406</f>
        <v>0.03</v>
      </c>
      <c r="H3408" s="3">
        <f>[1]Raw_Data!H3406</f>
        <v>0</v>
      </c>
      <c r="I3408" s="3" t="str">
        <f>TRIM([1]Raw_Data!I3406)</f>
        <v>UK</v>
      </c>
      <c r="J3408" s="3" t="str">
        <f>TRIM([1]Raw_Data!J3406)</f>
        <v>Walmart</v>
      </c>
      <c r="K3408" s="3">
        <f t="shared" si="212"/>
        <v>2024</v>
      </c>
      <c r="L3408" s="6">
        <f t="shared" si="213"/>
        <v>45292</v>
      </c>
      <c r="M3408" s="3" t="str">
        <f t="shared" si="214"/>
        <v>0% to 5%</v>
      </c>
      <c r="N3408" s="3" t="str">
        <f t="shared" si="215"/>
        <v>OK</v>
      </c>
    </row>
    <row r="3409" spans="1:14" x14ac:dyDescent="0.3">
      <c r="A3409" s="2">
        <f>DATE(VALUE(RIGHT(TRIM([1]Raw_Data!A3407),4)),VALUE(MID(TRIM([1]Raw_Data!A3407),4,2)),VALUE(LEFT(TRIM([1]Raw_Data!A3407),2)))</f>
        <v>45320</v>
      </c>
      <c r="B3409" s="3" t="str">
        <f>TRIM([1]Raw_Data!B3407)</f>
        <v>Green Tea Extract</v>
      </c>
      <c r="C3409" s="3" t="str">
        <f>TRIM([1]Raw_Data!C3407)</f>
        <v>Fat Burner</v>
      </c>
      <c r="D3409" s="3">
        <f>[1]Raw_Data!D3407</f>
        <v>126</v>
      </c>
      <c r="E3409" s="4">
        <f>[1]Raw_Data!E3407</f>
        <v>31.6</v>
      </c>
      <c r="F3409" s="5">
        <f>[1]Raw_Data!F3407</f>
        <v>3981.6</v>
      </c>
      <c r="G3409" s="4">
        <f>[1]Raw_Data!G3407</f>
        <v>0.08</v>
      </c>
      <c r="H3409" s="3">
        <f>[1]Raw_Data!H3407</f>
        <v>2</v>
      </c>
      <c r="I3409" s="3" t="str">
        <f>TRIM([1]Raw_Data!I3407)</f>
        <v>USA</v>
      </c>
      <c r="J3409" s="3" t="str">
        <f>TRIM([1]Raw_Data!J3407)</f>
        <v>iHerb</v>
      </c>
      <c r="K3409" s="3">
        <f t="shared" si="212"/>
        <v>2024</v>
      </c>
      <c r="L3409" s="6">
        <f t="shared" si="213"/>
        <v>45292</v>
      </c>
      <c r="M3409" s="3" t="str">
        <f t="shared" si="214"/>
        <v>6% to 10%</v>
      </c>
      <c r="N3409" s="3" t="str">
        <f t="shared" si="215"/>
        <v>OK</v>
      </c>
    </row>
    <row r="3410" spans="1:14" x14ac:dyDescent="0.3">
      <c r="A3410" s="2">
        <f>DATE(VALUE(RIGHT(TRIM([1]Raw_Data!A3408),4)),VALUE(MID(TRIM([1]Raw_Data!A3408),4,2)),VALUE(LEFT(TRIM([1]Raw_Data!A3408),2)))</f>
        <v>45320</v>
      </c>
      <c r="B3410" s="3" t="str">
        <f>TRIM([1]Raw_Data!B3408)</f>
        <v>Iron Supplement</v>
      </c>
      <c r="C3410" s="3" t="str">
        <f>TRIM([1]Raw_Data!C3408)</f>
        <v>Mineral</v>
      </c>
      <c r="D3410" s="3">
        <f>[1]Raw_Data!D3408</f>
        <v>166</v>
      </c>
      <c r="E3410" s="4">
        <f>[1]Raw_Data!E3408</f>
        <v>36.53</v>
      </c>
      <c r="F3410" s="5">
        <f>[1]Raw_Data!F3408</f>
        <v>6063.98</v>
      </c>
      <c r="G3410" s="4">
        <f>[1]Raw_Data!G3408</f>
        <v>0.03</v>
      </c>
      <c r="H3410" s="3">
        <f>[1]Raw_Data!H3408</f>
        <v>2</v>
      </c>
      <c r="I3410" s="3" t="str">
        <f>TRIM([1]Raw_Data!I3408)</f>
        <v>USA</v>
      </c>
      <c r="J3410" s="3" t="str">
        <f>TRIM([1]Raw_Data!J3408)</f>
        <v>Walmart</v>
      </c>
      <c r="K3410" s="3">
        <f t="shared" si="212"/>
        <v>2024</v>
      </c>
      <c r="L3410" s="6">
        <f t="shared" si="213"/>
        <v>45292</v>
      </c>
      <c r="M3410" s="3" t="str">
        <f t="shared" si="214"/>
        <v>0% to 5%</v>
      </c>
      <c r="N3410" s="3" t="str">
        <f t="shared" si="215"/>
        <v>OK</v>
      </c>
    </row>
    <row r="3411" spans="1:14" x14ac:dyDescent="0.3">
      <c r="A3411" s="2">
        <f>DATE(VALUE(RIGHT(TRIM([1]Raw_Data!A3409),4)),VALUE(MID(TRIM([1]Raw_Data!A3409),4,2)),VALUE(LEFT(TRIM([1]Raw_Data!A3409),2)))</f>
        <v>45320</v>
      </c>
      <c r="B3411" s="3" t="str">
        <f>TRIM([1]Raw_Data!B3409)</f>
        <v>Electrolyte Powder</v>
      </c>
      <c r="C3411" s="3" t="str">
        <f>TRIM([1]Raw_Data!C3409)</f>
        <v>Hydration</v>
      </c>
      <c r="D3411" s="3">
        <f>[1]Raw_Data!D3409</f>
        <v>145</v>
      </c>
      <c r="E3411" s="4">
        <f>[1]Raw_Data!E3409</f>
        <v>52.12</v>
      </c>
      <c r="F3411" s="5">
        <f>[1]Raw_Data!F3409</f>
        <v>7557.4</v>
      </c>
      <c r="G3411" s="4">
        <f>[1]Raw_Data!G3409</f>
        <v>0.08</v>
      </c>
      <c r="H3411" s="3">
        <f>[1]Raw_Data!H3409</f>
        <v>0</v>
      </c>
      <c r="I3411" s="3" t="str">
        <f>TRIM([1]Raw_Data!I3409)</f>
        <v>USA</v>
      </c>
      <c r="J3411" s="3" t="str">
        <f>TRIM([1]Raw_Data!J3409)</f>
        <v>Amazon</v>
      </c>
      <c r="K3411" s="3">
        <f t="shared" si="212"/>
        <v>2024</v>
      </c>
      <c r="L3411" s="6">
        <f t="shared" si="213"/>
        <v>45292</v>
      </c>
      <c r="M3411" s="3" t="str">
        <f t="shared" si="214"/>
        <v>6% to 10%</v>
      </c>
      <c r="N3411" s="3" t="str">
        <f t="shared" si="215"/>
        <v>OK</v>
      </c>
    </row>
    <row r="3412" spans="1:14" x14ac:dyDescent="0.3">
      <c r="A3412" s="2">
        <f>DATE(VALUE(RIGHT(TRIM([1]Raw_Data!A3410),4)),VALUE(MID(TRIM([1]Raw_Data!A3410),4,2)),VALUE(LEFT(TRIM([1]Raw_Data!A3410),2)))</f>
        <v>45327</v>
      </c>
      <c r="B3412" s="3" t="str">
        <f>TRIM([1]Raw_Data!B3410)</f>
        <v>Whey Protein</v>
      </c>
      <c r="C3412" s="3" t="str">
        <f>TRIM([1]Raw_Data!C3410)</f>
        <v>Protein</v>
      </c>
      <c r="D3412" s="3">
        <f>[1]Raw_Data!D3410</f>
        <v>144</v>
      </c>
      <c r="E3412" s="4">
        <f>[1]Raw_Data!E3410</f>
        <v>38.979999999999997</v>
      </c>
      <c r="F3412" s="5">
        <f>[1]Raw_Data!F3410</f>
        <v>5613.12</v>
      </c>
      <c r="G3412" s="4">
        <f>[1]Raw_Data!G3410</f>
        <v>0.18</v>
      </c>
      <c r="H3412" s="3">
        <f>[1]Raw_Data!H3410</f>
        <v>0</v>
      </c>
      <c r="I3412" s="3" t="str">
        <f>TRIM([1]Raw_Data!I3410)</f>
        <v>USA</v>
      </c>
      <c r="J3412" s="3" t="str">
        <f>TRIM([1]Raw_Data!J3410)</f>
        <v>Walmart</v>
      </c>
      <c r="K3412" s="3">
        <f t="shared" si="212"/>
        <v>2024</v>
      </c>
      <c r="L3412" s="6">
        <f t="shared" si="213"/>
        <v>45323</v>
      </c>
      <c r="M3412" s="3" t="str">
        <f t="shared" si="214"/>
        <v>16% to 20%</v>
      </c>
      <c r="N3412" s="3" t="str">
        <f t="shared" si="215"/>
        <v>OK</v>
      </c>
    </row>
    <row r="3413" spans="1:14" x14ac:dyDescent="0.3">
      <c r="A3413" s="2">
        <f>DATE(VALUE(RIGHT(TRIM([1]Raw_Data!A3411),4)),VALUE(MID(TRIM([1]Raw_Data!A3411),4,2)),VALUE(LEFT(TRIM([1]Raw_Data!A3411),2)))</f>
        <v>45327</v>
      </c>
      <c r="B3413" s="3" t="str">
        <f>TRIM([1]Raw_Data!B3411)</f>
        <v>Vitamin C</v>
      </c>
      <c r="C3413" s="3" t="str">
        <f>TRIM([1]Raw_Data!C3411)</f>
        <v>Vitamin</v>
      </c>
      <c r="D3413" s="3">
        <f>[1]Raw_Data!D3411</f>
        <v>153</v>
      </c>
      <c r="E3413" s="4">
        <f>[1]Raw_Data!E3411</f>
        <v>23.1</v>
      </c>
      <c r="F3413" s="5">
        <f>[1]Raw_Data!F3411</f>
        <v>3534.3</v>
      </c>
      <c r="G3413" s="4">
        <f>[1]Raw_Data!G3411</f>
        <v>0.23</v>
      </c>
      <c r="H3413" s="3">
        <f>[1]Raw_Data!H3411</f>
        <v>4</v>
      </c>
      <c r="I3413" s="3" t="str">
        <f>TRIM([1]Raw_Data!I3411)</f>
        <v>UK</v>
      </c>
      <c r="J3413" s="3" t="str">
        <f>TRIM([1]Raw_Data!J3411)</f>
        <v>Amazon</v>
      </c>
      <c r="K3413" s="3">
        <f t="shared" si="212"/>
        <v>2024</v>
      </c>
      <c r="L3413" s="6">
        <f t="shared" si="213"/>
        <v>45323</v>
      </c>
      <c r="M3413" s="3" t="str">
        <f t="shared" si="214"/>
        <v>21% to 25%</v>
      </c>
      <c r="N3413" s="3" t="str">
        <f t="shared" si="215"/>
        <v>OK</v>
      </c>
    </row>
    <row r="3414" spans="1:14" x14ac:dyDescent="0.3">
      <c r="A3414" s="2">
        <f>DATE(VALUE(RIGHT(TRIM([1]Raw_Data!A3412),4)),VALUE(MID(TRIM([1]Raw_Data!A3412),4,2)),VALUE(LEFT(TRIM([1]Raw_Data!A3412),2)))</f>
        <v>45327</v>
      </c>
      <c r="B3414" s="3" t="str">
        <f>TRIM([1]Raw_Data!B3412)</f>
        <v>Fish Oil</v>
      </c>
      <c r="C3414" s="3" t="str">
        <f>TRIM([1]Raw_Data!C3412)</f>
        <v>Omega</v>
      </c>
      <c r="D3414" s="3">
        <f>[1]Raw_Data!D3412</f>
        <v>141</v>
      </c>
      <c r="E3414" s="4">
        <f>[1]Raw_Data!E3412</f>
        <v>21.94</v>
      </c>
      <c r="F3414" s="5">
        <f>[1]Raw_Data!F3412</f>
        <v>3093.54</v>
      </c>
      <c r="G3414" s="4">
        <f>[1]Raw_Data!G3412</f>
        <v>0.18</v>
      </c>
      <c r="H3414" s="3">
        <f>[1]Raw_Data!H3412</f>
        <v>2</v>
      </c>
      <c r="I3414" s="3" t="str">
        <f>TRIM([1]Raw_Data!I3412)</f>
        <v>UK</v>
      </c>
      <c r="J3414" s="3" t="str">
        <f>TRIM([1]Raw_Data!J3412)</f>
        <v>iHerb</v>
      </c>
      <c r="K3414" s="3">
        <f t="shared" si="212"/>
        <v>2024</v>
      </c>
      <c r="L3414" s="6">
        <f t="shared" si="213"/>
        <v>45323</v>
      </c>
      <c r="M3414" s="3" t="str">
        <f t="shared" si="214"/>
        <v>16% to 20%</v>
      </c>
      <c r="N3414" s="3" t="str">
        <f t="shared" si="215"/>
        <v>OK</v>
      </c>
    </row>
    <row r="3415" spans="1:14" x14ac:dyDescent="0.3">
      <c r="A3415" s="2">
        <f>DATE(VALUE(RIGHT(TRIM([1]Raw_Data!A3413),4)),VALUE(MID(TRIM([1]Raw_Data!A3413),4,2)),VALUE(LEFT(TRIM([1]Raw_Data!A3413),2)))</f>
        <v>45327</v>
      </c>
      <c r="B3415" s="3" t="str">
        <f>TRIM([1]Raw_Data!B3413)</f>
        <v>Multivitamin</v>
      </c>
      <c r="C3415" s="3" t="str">
        <f>TRIM([1]Raw_Data!C3413)</f>
        <v>Vitamin</v>
      </c>
      <c r="D3415" s="3">
        <f>[1]Raw_Data!D3413</f>
        <v>140</v>
      </c>
      <c r="E3415" s="4">
        <f>[1]Raw_Data!E3413</f>
        <v>50.61</v>
      </c>
      <c r="F3415" s="5">
        <f>[1]Raw_Data!F3413</f>
        <v>7085.4</v>
      </c>
      <c r="G3415" s="4">
        <f>[1]Raw_Data!G3413</f>
        <v>0.09</v>
      </c>
      <c r="H3415" s="3">
        <f>[1]Raw_Data!H3413</f>
        <v>0</v>
      </c>
      <c r="I3415" s="3" t="str">
        <f>TRIM([1]Raw_Data!I3413)</f>
        <v>Canada</v>
      </c>
      <c r="J3415" s="3" t="str">
        <f>TRIM([1]Raw_Data!J3413)</f>
        <v>Walmart</v>
      </c>
      <c r="K3415" s="3">
        <f t="shared" si="212"/>
        <v>2024</v>
      </c>
      <c r="L3415" s="6">
        <f t="shared" si="213"/>
        <v>45323</v>
      </c>
      <c r="M3415" s="3" t="str">
        <f t="shared" si="214"/>
        <v>6% to 10%</v>
      </c>
      <c r="N3415" s="3" t="str">
        <f t="shared" si="215"/>
        <v>OK</v>
      </c>
    </row>
    <row r="3416" spans="1:14" x14ac:dyDescent="0.3">
      <c r="A3416" s="2">
        <f>DATE(VALUE(RIGHT(TRIM([1]Raw_Data!A3414),4)),VALUE(MID(TRIM([1]Raw_Data!A3414),4,2)),VALUE(LEFT(TRIM([1]Raw_Data!A3414),2)))</f>
        <v>45327</v>
      </c>
      <c r="B3416" s="3" t="str">
        <f>TRIM([1]Raw_Data!B3414)</f>
        <v>Pre-Workout</v>
      </c>
      <c r="C3416" s="3" t="str">
        <f>TRIM([1]Raw_Data!C3414)</f>
        <v>Performance</v>
      </c>
      <c r="D3416" s="3">
        <f>[1]Raw_Data!D3414</f>
        <v>130</v>
      </c>
      <c r="E3416" s="4">
        <f>[1]Raw_Data!E3414</f>
        <v>58.9</v>
      </c>
      <c r="F3416" s="5">
        <f>[1]Raw_Data!F3414</f>
        <v>7657</v>
      </c>
      <c r="G3416" s="4">
        <f>[1]Raw_Data!G3414</f>
        <v>0.21</v>
      </c>
      <c r="H3416" s="3">
        <f>[1]Raw_Data!H3414</f>
        <v>1</v>
      </c>
      <c r="I3416" s="3" t="str">
        <f>TRIM([1]Raw_Data!I3414)</f>
        <v>UK</v>
      </c>
      <c r="J3416" s="3" t="str">
        <f>TRIM([1]Raw_Data!J3414)</f>
        <v>Walmart</v>
      </c>
      <c r="K3416" s="3">
        <f t="shared" si="212"/>
        <v>2024</v>
      </c>
      <c r="L3416" s="6">
        <f t="shared" si="213"/>
        <v>45323</v>
      </c>
      <c r="M3416" s="3" t="str">
        <f t="shared" si="214"/>
        <v>21% to 25%</v>
      </c>
      <c r="N3416" s="3" t="str">
        <f t="shared" si="215"/>
        <v>OK</v>
      </c>
    </row>
    <row r="3417" spans="1:14" x14ac:dyDescent="0.3">
      <c r="A3417" s="2">
        <f>DATE(VALUE(RIGHT(TRIM([1]Raw_Data!A3415),4)),VALUE(MID(TRIM([1]Raw_Data!A3415),4,2)),VALUE(LEFT(TRIM([1]Raw_Data!A3415),2)))</f>
        <v>45327</v>
      </c>
      <c r="B3417" s="3" t="str">
        <f>TRIM([1]Raw_Data!B3415)</f>
        <v>BCAA</v>
      </c>
      <c r="C3417" s="3" t="str">
        <f>TRIM([1]Raw_Data!C3415)</f>
        <v>Amino Acid</v>
      </c>
      <c r="D3417" s="3">
        <f>[1]Raw_Data!D3415</f>
        <v>151</v>
      </c>
      <c r="E3417" s="4">
        <f>[1]Raw_Data!E3415</f>
        <v>18.149999999999999</v>
      </c>
      <c r="F3417" s="5">
        <f>[1]Raw_Data!F3415</f>
        <v>2740.65</v>
      </c>
      <c r="G3417" s="4">
        <f>[1]Raw_Data!G3415</f>
        <v>0.12</v>
      </c>
      <c r="H3417" s="3">
        <f>[1]Raw_Data!H3415</f>
        <v>1</v>
      </c>
      <c r="I3417" s="3" t="str">
        <f>TRIM([1]Raw_Data!I3415)</f>
        <v>UK</v>
      </c>
      <c r="J3417" s="3" t="str">
        <f>TRIM([1]Raw_Data!J3415)</f>
        <v>Amazon</v>
      </c>
      <c r="K3417" s="3">
        <f t="shared" si="212"/>
        <v>2024</v>
      </c>
      <c r="L3417" s="6">
        <f t="shared" si="213"/>
        <v>45323</v>
      </c>
      <c r="M3417" s="3" t="str">
        <f t="shared" si="214"/>
        <v>11% to 15%</v>
      </c>
      <c r="N3417" s="3" t="str">
        <f t="shared" si="215"/>
        <v>OK</v>
      </c>
    </row>
    <row r="3418" spans="1:14" x14ac:dyDescent="0.3">
      <c r="A3418" s="2">
        <f>DATE(VALUE(RIGHT(TRIM([1]Raw_Data!A3416),4)),VALUE(MID(TRIM([1]Raw_Data!A3416),4,2)),VALUE(LEFT(TRIM([1]Raw_Data!A3416),2)))</f>
        <v>45327</v>
      </c>
      <c r="B3418" s="3" t="str">
        <f>TRIM([1]Raw_Data!B3416)</f>
        <v>Creatine</v>
      </c>
      <c r="C3418" s="3" t="str">
        <f>TRIM([1]Raw_Data!C3416)</f>
        <v>Performance</v>
      </c>
      <c r="D3418" s="3">
        <f>[1]Raw_Data!D3416</f>
        <v>151</v>
      </c>
      <c r="E3418" s="4">
        <f>[1]Raw_Data!E3416</f>
        <v>40.19</v>
      </c>
      <c r="F3418" s="5">
        <f>[1]Raw_Data!F3416</f>
        <v>6068.69</v>
      </c>
      <c r="G3418" s="4">
        <f>[1]Raw_Data!G3416</f>
        <v>0.15</v>
      </c>
      <c r="H3418" s="3">
        <f>[1]Raw_Data!H3416</f>
        <v>0</v>
      </c>
      <c r="I3418" s="3" t="str">
        <f>TRIM([1]Raw_Data!I3416)</f>
        <v>Canada</v>
      </c>
      <c r="J3418" s="3" t="str">
        <f>TRIM([1]Raw_Data!J3416)</f>
        <v>Amazon</v>
      </c>
      <c r="K3418" s="3">
        <f t="shared" si="212"/>
        <v>2024</v>
      </c>
      <c r="L3418" s="6">
        <f t="shared" si="213"/>
        <v>45323</v>
      </c>
      <c r="M3418" s="3" t="str">
        <f t="shared" si="214"/>
        <v>11% to 15%</v>
      </c>
      <c r="N3418" s="3" t="str">
        <f t="shared" si="215"/>
        <v>OK</v>
      </c>
    </row>
    <row r="3419" spans="1:14" x14ac:dyDescent="0.3">
      <c r="A3419" s="2">
        <f>DATE(VALUE(RIGHT(TRIM([1]Raw_Data!A3417),4)),VALUE(MID(TRIM([1]Raw_Data!A3417),4,2)),VALUE(LEFT(TRIM([1]Raw_Data!A3417),2)))</f>
        <v>45327</v>
      </c>
      <c r="B3419" s="3" t="str">
        <f>TRIM([1]Raw_Data!B3417)</f>
        <v>Zinc</v>
      </c>
      <c r="C3419" s="3" t="str">
        <f>TRIM([1]Raw_Data!C3417)</f>
        <v>Mineral</v>
      </c>
      <c r="D3419" s="3">
        <f>[1]Raw_Data!D3417</f>
        <v>166</v>
      </c>
      <c r="E3419" s="4">
        <f>[1]Raw_Data!E3417</f>
        <v>35.11</v>
      </c>
      <c r="F3419" s="5">
        <f>[1]Raw_Data!F3417</f>
        <v>5828.26</v>
      </c>
      <c r="G3419" s="4">
        <f>[1]Raw_Data!G3417</f>
        <v>0.13</v>
      </c>
      <c r="H3419" s="3">
        <f>[1]Raw_Data!H3417</f>
        <v>1</v>
      </c>
      <c r="I3419" s="3" t="str">
        <f>TRIM([1]Raw_Data!I3417)</f>
        <v>USA</v>
      </c>
      <c r="J3419" s="3" t="str">
        <f>TRIM([1]Raw_Data!J3417)</f>
        <v>Walmart</v>
      </c>
      <c r="K3419" s="3">
        <f t="shared" si="212"/>
        <v>2024</v>
      </c>
      <c r="L3419" s="6">
        <f t="shared" si="213"/>
        <v>45323</v>
      </c>
      <c r="M3419" s="3" t="str">
        <f t="shared" si="214"/>
        <v>11% to 15%</v>
      </c>
      <c r="N3419" s="3" t="str">
        <f t="shared" si="215"/>
        <v>OK</v>
      </c>
    </row>
    <row r="3420" spans="1:14" x14ac:dyDescent="0.3">
      <c r="A3420" s="2">
        <f>DATE(VALUE(RIGHT(TRIM([1]Raw_Data!A3418),4)),VALUE(MID(TRIM([1]Raw_Data!A3418),4,2)),VALUE(LEFT(TRIM([1]Raw_Data!A3418),2)))</f>
        <v>45327</v>
      </c>
      <c r="B3420" s="3" t="str">
        <f>TRIM([1]Raw_Data!B3418)</f>
        <v>Collagen Peptides</v>
      </c>
      <c r="C3420" s="3" t="str">
        <f>TRIM([1]Raw_Data!C3418)</f>
        <v>Protein</v>
      </c>
      <c r="D3420" s="3">
        <f>[1]Raw_Data!D3418</f>
        <v>157</v>
      </c>
      <c r="E3420" s="4">
        <f>[1]Raw_Data!E3418</f>
        <v>18.190000000000001</v>
      </c>
      <c r="F3420" s="5">
        <f>[1]Raw_Data!F3418</f>
        <v>2855.83</v>
      </c>
      <c r="G3420" s="4">
        <f>[1]Raw_Data!G3418</f>
        <v>0.02</v>
      </c>
      <c r="H3420" s="3">
        <f>[1]Raw_Data!H3418</f>
        <v>2</v>
      </c>
      <c r="I3420" s="3" t="str">
        <f>TRIM([1]Raw_Data!I3418)</f>
        <v>Canada</v>
      </c>
      <c r="J3420" s="3" t="str">
        <f>TRIM([1]Raw_Data!J3418)</f>
        <v>Amazon</v>
      </c>
      <c r="K3420" s="3">
        <f t="shared" si="212"/>
        <v>2024</v>
      </c>
      <c r="L3420" s="6">
        <f t="shared" si="213"/>
        <v>45323</v>
      </c>
      <c r="M3420" s="3" t="str">
        <f t="shared" si="214"/>
        <v>0% to 5%</v>
      </c>
      <c r="N3420" s="3" t="str">
        <f t="shared" si="215"/>
        <v>OK</v>
      </c>
    </row>
    <row r="3421" spans="1:14" x14ac:dyDescent="0.3">
      <c r="A3421" s="2">
        <f>DATE(VALUE(RIGHT(TRIM([1]Raw_Data!A3419),4)),VALUE(MID(TRIM([1]Raw_Data!A3419),4,2)),VALUE(LEFT(TRIM([1]Raw_Data!A3419),2)))</f>
        <v>45327</v>
      </c>
      <c r="B3421" s="3" t="str">
        <f>TRIM([1]Raw_Data!B3419)</f>
        <v>Magnesium</v>
      </c>
      <c r="C3421" s="3" t="str">
        <f>TRIM([1]Raw_Data!C3419)</f>
        <v>Mineral</v>
      </c>
      <c r="D3421" s="3">
        <f>[1]Raw_Data!D3419</f>
        <v>141</v>
      </c>
      <c r="E3421" s="4">
        <f>[1]Raw_Data!E3419</f>
        <v>44.79</v>
      </c>
      <c r="F3421" s="5">
        <f>[1]Raw_Data!F3419</f>
        <v>6315.39</v>
      </c>
      <c r="G3421" s="4">
        <f>[1]Raw_Data!G3419</f>
        <v>0.08</v>
      </c>
      <c r="H3421" s="3">
        <f>[1]Raw_Data!H3419</f>
        <v>2</v>
      </c>
      <c r="I3421" s="3" t="str">
        <f>TRIM([1]Raw_Data!I3419)</f>
        <v>Canada</v>
      </c>
      <c r="J3421" s="3" t="str">
        <f>TRIM([1]Raw_Data!J3419)</f>
        <v>iHerb</v>
      </c>
      <c r="K3421" s="3">
        <f t="shared" si="212"/>
        <v>2024</v>
      </c>
      <c r="L3421" s="6">
        <f t="shared" si="213"/>
        <v>45323</v>
      </c>
      <c r="M3421" s="3" t="str">
        <f t="shared" si="214"/>
        <v>6% to 10%</v>
      </c>
      <c r="N3421" s="3" t="str">
        <f t="shared" si="215"/>
        <v>OK</v>
      </c>
    </row>
    <row r="3422" spans="1:14" x14ac:dyDescent="0.3">
      <c r="A3422" s="2">
        <f>DATE(VALUE(RIGHT(TRIM([1]Raw_Data!A3420),4)),VALUE(MID(TRIM([1]Raw_Data!A3420),4,2)),VALUE(LEFT(TRIM([1]Raw_Data!A3420),2)))</f>
        <v>45327</v>
      </c>
      <c r="B3422" s="3" t="str">
        <f>TRIM([1]Raw_Data!B3420)</f>
        <v>Ashwagandha</v>
      </c>
      <c r="C3422" s="3" t="str">
        <f>TRIM([1]Raw_Data!C3420)</f>
        <v>Herbal</v>
      </c>
      <c r="D3422" s="3">
        <f>[1]Raw_Data!D3420</f>
        <v>152</v>
      </c>
      <c r="E3422" s="4">
        <f>[1]Raw_Data!E3420</f>
        <v>48.16</v>
      </c>
      <c r="F3422" s="5">
        <f>[1]Raw_Data!F3420</f>
        <v>7320.32</v>
      </c>
      <c r="G3422" s="4">
        <f>[1]Raw_Data!G3420</f>
        <v>0.22</v>
      </c>
      <c r="H3422" s="3">
        <f>[1]Raw_Data!H3420</f>
        <v>0</v>
      </c>
      <c r="I3422" s="3" t="str">
        <f>TRIM([1]Raw_Data!I3420)</f>
        <v>UK</v>
      </c>
      <c r="J3422" s="3" t="str">
        <f>TRIM([1]Raw_Data!J3420)</f>
        <v>iHerb</v>
      </c>
      <c r="K3422" s="3">
        <f t="shared" si="212"/>
        <v>2024</v>
      </c>
      <c r="L3422" s="6">
        <f t="shared" si="213"/>
        <v>45323</v>
      </c>
      <c r="M3422" s="3" t="str">
        <f t="shared" si="214"/>
        <v>21% to 25%</v>
      </c>
      <c r="N3422" s="3" t="str">
        <f t="shared" si="215"/>
        <v>OK</v>
      </c>
    </row>
    <row r="3423" spans="1:14" x14ac:dyDescent="0.3">
      <c r="A3423" s="2">
        <f>DATE(VALUE(RIGHT(TRIM([1]Raw_Data!A3421),4)),VALUE(MID(TRIM([1]Raw_Data!A3421),4,2)),VALUE(LEFT(TRIM([1]Raw_Data!A3421),2)))</f>
        <v>45327</v>
      </c>
      <c r="B3423" s="3" t="str">
        <f>TRIM([1]Raw_Data!B3421)</f>
        <v>Melatonin</v>
      </c>
      <c r="C3423" s="3" t="str">
        <f>TRIM([1]Raw_Data!C3421)</f>
        <v>Sleep Aid</v>
      </c>
      <c r="D3423" s="3">
        <f>[1]Raw_Data!D3421</f>
        <v>140</v>
      </c>
      <c r="E3423" s="4">
        <f>[1]Raw_Data!E3421</f>
        <v>32.1</v>
      </c>
      <c r="F3423" s="5">
        <f>[1]Raw_Data!F3421</f>
        <v>4494</v>
      </c>
      <c r="G3423" s="4">
        <f>[1]Raw_Data!G3421</f>
        <v>0.22</v>
      </c>
      <c r="H3423" s="3">
        <f>[1]Raw_Data!H3421</f>
        <v>1</v>
      </c>
      <c r="I3423" s="3" t="str">
        <f>TRIM([1]Raw_Data!I3421)</f>
        <v>Canada</v>
      </c>
      <c r="J3423" s="3" t="str">
        <f>TRIM([1]Raw_Data!J3421)</f>
        <v>Walmart</v>
      </c>
      <c r="K3423" s="3">
        <f t="shared" si="212"/>
        <v>2024</v>
      </c>
      <c r="L3423" s="6">
        <f t="shared" si="213"/>
        <v>45323</v>
      </c>
      <c r="M3423" s="3" t="str">
        <f t="shared" si="214"/>
        <v>21% to 25%</v>
      </c>
      <c r="N3423" s="3" t="str">
        <f t="shared" si="215"/>
        <v>OK</v>
      </c>
    </row>
    <row r="3424" spans="1:14" x14ac:dyDescent="0.3">
      <c r="A3424" s="2">
        <f>DATE(VALUE(RIGHT(TRIM([1]Raw_Data!A3422),4)),VALUE(MID(TRIM([1]Raw_Data!A3422),4,2)),VALUE(LEFT(TRIM([1]Raw_Data!A3422),2)))</f>
        <v>45327</v>
      </c>
      <c r="B3424" s="3" t="str">
        <f>TRIM([1]Raw_Data!B3422)</f>
        <v>Biotin</v>
      </c>
      <c r="C3424" s="3" t="str">
        <f>TRIM([1]Raw_Data!C3422)</f>
        <v>Vitamin</v>
      </c>
      <c r="D3424" s="3">
        <f>[1]Raw_Data!D3422</f>
        <v>165</v>
      </c>
      <c r="E3424" s="4">
        <f>[1]Raw_Data!E3422</f>
        <v>26.98</v>
      </c>
      <c r="F3424" s="5">
        <f>[1]Raw_Data!F3422</f>
        <v>4451.7</v>
      </c>
      <c r="G3424" s="4">
        <f>[1]Raw_Data!G3422</f>
        <v>0.22</v>
      </c>
      <c r="H3424" s="3">
        <f>[1]Raw_Data!H3422</f>
        <v>1</v>
      </c>
      <c r="I3424" s="3" t="str">
        <f>TRIM([1]Raw_Data!I3422)</f>
        <v>Canada</v>
      </c>
      <c r="J3424" s="3" t="str">
        <f>TRIM([1]Raw_Data!J3422)</f>
        <v>Walmart</v>
      </c>
      <c r="K3424" s="3">
        <f t="shared" si="212"/>
        <v>2024</v>
      </c>
      <c r="L3424" s="6">
        <f t="shared" si="213"/>
        <v>45323</v>
      </c>
      <c r="M3424" s="3" t="str">
        <f t="shared" si="214"/>
        <v>21% to 25%</v>
      </c>
      <c r="N3424" s="3" t="str">
        <f t="shared" si="215"/>
        <v>OK</v>
      </c>
    </row>
    <row r="3425" spans="1:14" x14ac:dyDescent="0.3">
      <c r="A3425" s="2">
        <f>DATE(VALUE(RIGHT(TRIM([1]Raw_Data!A3423),4)),VALUE(MID(TRIM([1]Raw_Data!A3423),4,2)),VALUE(LEFT(TRIM([1]Raw_Data!A3423),2)))</f>
        <v>45327</v>
      </c>
      <c r="B3425" s="3" t="str">
        <f>TRIM([1]Raw_Data!B3423)</f>
        <v>Green Tea Extract</v>
      </c>
      <c r="C3425" s="3" t="str">
        <f>TRIM([1]Raw_Data!C3423)</f>
        <v>Fat Burner</v>
      </c>
      <c r="D3425" s="3">
        <f>[1]Raw_Data!D3423</f>
        <v>161</v>
      </c>
      <c r="E3425" s="4">
        <f>[1]Raw_Data!E3423</f>
        <v>57.44</v>
      </c>
      <c r="F3425" s="5">
        <f>[1]Raw_Data!F3423</f>
        <v>9247.84</v>
      </c>
      <c r="G3425" s="4">
        <f>[1]Raw_Data!G3423</f>
        <v>0.14000000000000001</v>
      </c>
      <c r="H3425" s="3">
        <f>[1]Raw_Data!H3423</f>
        <v>2</v>
      </c>
      <c r="I3425" s="3" t="str">
        <f>TRIM([1]Raw_Data!I3423)</f>
        <v>Canada</v>
      </c>
      <c r="J3425" s="3" t="str">
        <f>TRIM([1]Raw_Data!J3423)</f>
        <v>Walmart</v>
      </c>
      <c r="K3425" s="3">
        <f t="shared" si="212"/>
        <v>2024</v>
      </c>
      <c r="L3425" s="6">
        <f t="shared" si="213"/>
        <v>45323</v>
      </c>
      <c r="M3425" s="3" t="str">
        <f t="shared" si="214"/>
        <v>11% to 15%</v>
      </c>
      <c r="N3425" s="3" t="str">
        <f t="shared" si="215"/>
        <v>OK</v>
      </c>
    </row>
    <row r="3426" spans="1:14" x14ac:dyDescent="0.3">
      <c r="A3426" s="2">
        <f>DATE(VALUE(RIGHT(TRIM([1]Raw_Data!A3424),4)),VALUE(MID(TRIM([1]Raw_Data!A3424),4,2)),VALUE(LEFT(TRIM([1]Raw_Data!A3424),2)))</f>
        <v>45327</v>
      </c>
      <c r="B3426" s="3" t="str">
        <f>TRIM([1]Raw_Data!B3424)</f>
        <v>Iron Supplement</v>
      </c>
      <c r="C3426" s="3" t="str">
        <f>TRIM([1]Raw_Data!C3424)</f>
        <v>Mineral</v>
      </c>
      <c r="D3426" s="3">
        <f>[1]Raw_Data!D3424</f>
        <v>130</v>
      </c>
      <c r="E3426" s="4">
        <f>[1]Raw_Data!E3424</f>
        <v>55.05</v>
      </c>
      <c r="F3426" s="5">
        <f>[1]Raw_Data!F3424</f>
        <v>7156.5</v>
      </c>
      <c r="G3426" s="4">
        <f>[1]Raw_Data!G3424</f>
        <v>0.22</v>
      </c>
      <c r="H3426" s="3">
        <f>[1]Raw_Data!H3424</f>
        <v>0</v>
      </c>
      <c r="I3426" s="3" t="str">
        <f>TRIM([1]Raw_Data!I3424)</f>
        <v>Canada</v>
      </c>
      <c r="J3426" s="3" t="str">
        <f>TRIM([1]Raw_Data!J3424)</f>
        <v>Amazon</v>
      </c>
      <c r="K3426" s="3">
        <f t="shared" si="212"/>
        <v>2024</v>
      </c>
      <c r="L3426" s="6">
        <f t="shared" si="213"/>
        <v>45323</v>
      </c>
      <c r="M3426" s="3" t="str">
        <f t="shared" si="214"/>
        <v>21% to 25%</v>
      </c>
      <c r="N3426" s="3" t="str">
        <f t="shared" si="215"/>
        <v>OK</v>
      </c>
    </row>
    <row r="3427" spans="1:14" x14ac:dyDescent="0.3">
      <c r="A3427" s="2">
        <f>DATE(VALUE(RIGHT(TRIM([1]Raw_Data!A3425),4)),VALUE(MID(TRIM([1]Raw_Data!A3425),4,2)),VALUE(LEFT(TRIM([1]Raw_Data!A3425),2)))</f>
        <v>45327</v>
      </c>
      <c r="B3427" s="3" t="str">
        <f>TRIM([1]Raw_Data!B3425)</f>
        <v>Electrolyte Powder</v>
      </c>
      <c r="C3427" s="3" t="str">
        <f>TRIM([1]Raw_Data!C3425)</f>
        <v>Hydration</v>
      </c>
      <c r="D3427" s="3">
        <f>[1]Raw_Data!D3425</f>
        <v>143</v>
      </c>
      <c r="E3427" s="4">
        <f>[1]Raw_Data!E3425</f>
        <v>18.61</v>
      </c>
      <c r="F3427" s="5">
        <f>[1]Raw_Data!F3425</f>
        <v>2661.23</v>
      </c>
      <c r="G3427" s="4">
        <f>[1]Raw_Data!G3425</f>
        <v>0.18</v>
      </c>
      <c r="H3427" s="3">
        <f>[1]Raw_Data!H3425</f>
        <v>0</v>
      </c>
      <c r="I3427" s="3" t="str">
        <f>TRIM([1]Raw_Data!I3425)</f>
        <v>USA</v>
      </c>
      <c r="J3427" s="3" t="str">
        <f>TRIM([1]Raw_Data!J3425)</f>
        <v>iHerb</v>
      </c>
      <c r="K3427" s="3">
        <f t="shared" si="212"/>
        <v>2024</v>
      </c>
      <c r="L3427" s="6">
        <f t="shared" si="213"/>
        <v>45323</v>
      </c>
      <c r="M3427" s="3" t="str">
        <f t="shared" si="214"/>
        <v>16% to 20%</v>
      </c>
      <c r="N3427" s="3" t="str">
        <f t="shared" si="215"/>
        <v>OK</v>
      </c>
    </row>
    <row r="3428" spans="1:14" x14ac:dyDescent="0.3">
      <c r="A3428" s="2">
        <f>DATE(VALUE(RIGHT(TRIM([1]Raw_Data!A3426),4)),VALUE(MID(TRIM([1]Raw_Data!A3426),4,2)),VALUE(LEFT(TRIM([1]Raw_Data!A3426),2)))</f>
        <v>45334</v>
      </c>
      <c r="B3428" s="3" t="str">
        <f>TRIM([1]Raw_Data!B3426)</f>
        <v>Whey Protein</v>
      </c>
      <c r="C3428" s="3" t="str">
        <f>TRIM([1]Raw_Data!C3426)</f>
        <v>Protein</v>
      </c>
      <c r="D3428" s="3">
        <f>[1]Raw_Data!D3426</f>
        <v>144</v>
      </c>
      <c r="E3428" s="4">
        <f>[1]Raw_Data!E3426</f>
        <v>34.1</v>
      </c>
      <c r="F3428" s="5">
        <f>[1]Raw_Data!F3426</f>
        <v>4910.3999999999996</v>
      </c>
      <c r="G3428" s="4">
        <f>[1]Raw_Data!G3426</f>
        <v>0.18</v>
      </c>
      <c r="H3428" s="3">
        <f>[1]Raw_Data!H3426</f>
        <v>4</v>
      </c>
      <c r="I3428" s="3" t="str">
        <f>TRIM([1]Raw_Data!I3426)</f>
        <v>USA</v>
      </c>
      <c r="J3428" s="3" t="str">
        <f>TRIM([1]Raw_Data!J3426)</f>
        <v>iHerb</v>
      </c>
      <c r="K3428" s="3">
        <f t="shared" si="212"/>
        <v>2024</v>
      </c>
      <c r="L3428" s="6">
        <f t="shared" si="213"/>
        <v>45323</v>
      </c>
      <c r="M3428" s="3" t="str">
        <f t="shared" si="214"/>
        <v>16% to 20%</v>
      </c>
      <c r="N3428" s="3" t="str">
        <f t="shared" si="215"/>
        <v>OK</v>
      </c>
    </row>
    <row r="3429" spans="1:14" x14ac:dyDescent="0.3">
      <c r="A3429" s="2">
        <f>DATE(VALUE(RIGHT(TRIM([1]Raw_Data!A3427),4)),VALUE(MID(TRIM([1]Raw_Data!A3427),4,2)),VALUE(LEFT(TRIM([1]Raw_Data!A3427),2)))</f>
        <v>45334</v>
      </c>
      <c r="B3429" s="3" t="str">
        <f>TRIM([1]Raw_Data!B3427)</f>
        <v>Vitamin C</v>
      </c>
      <c r="C3429" s="3" t="str">
        <f>TRIM([1]Raw_Data!C3427)</f>
        <v>Vitamin</v>
      </c>
      <c r="D3429" s="3">
        <f>[1]Raw_Data!D3427</f>
        <v>133</v>
      </c>
      <c r="E3429" s="4">
        <f>[1]Raw_Data!E3427</f>
        <v>21.52</v>
      </c>
      <c r="F3429" s="5">
        <f>[1]Raw_Data!F3427</f>
        <v>2862.16</v>
      </c>
      <c r="G3429" s="4">
        <f>[1]Raw_Data!G3427</f>
        <v>0.1</v>
      </c>
      <c r="H3429" s="3">
        <f>[1]Raw_Data!H3427</f>
        <v>0</v>
      </c>
      <c r="I3429" s="3" t="str">
        <f>TRIM([1]Raw_Data!I3427)</f>
        <v>UK</v>
      </c>
      <c r="J3429" s="3" t="str">
        <f>TRIM([1]Raw_Data!J3427)</f>
        <v>iHerb</v>
      </c>
      <c r="K3429" s="3">
        <f t="shared" si="212"/>
        <v>2024</v>
      </c>
      <c r="L3429" s="6">
        <f t="shared" si="213"/>
        <v>45323</v>
      </c>
      <c r="M3429" s="3" t="str">
        <f t="shared" si="214"/>
        <v>6% to 10%</v>
      </c>
      <c r="N3429" s="3" t="str">
        <f t="shared" si="215"/>
        <v>OK</v>
      </c>
    </row>
    <row r="3430" spans="1:14" x14ac:dyDescent="0.3">
      <c r="A3430" s="2">
        <f>DATE(VALUE(RIGHT(TRIM([1]Raw_Data!A3428),4)),VALUE(MID(TRIM([1]Raw_Data!A3428),4,2)),VALUE(LEFT(TRIM([1]Raw_Data!A3428),2)))</f>
        <v>45334</v>
      </c>
      <c r="B3430" s="3" t="str">
        <f>TRIM([1]Raw_Data!B3428)</f>
        <v>Fish Oil</v>
      </c>
      <c r="C3430" s="3" t="str">
        <f>TRIM([1]Raw_Data!C3428)</f>
        <v>Omega</v>
      </c>
      <c r="D3430" s="3">
        <f>[1]Raw_Data!D3428</f>
        <v>134</v>
      </c>
      <c r="E3430" s="4">
        <f>[1]Raw_Data!E3428</f>
        <v>27.1</v>
      </c>
      <c r="F3430" s="5">
        <f>[1]Raw_Data!F3428</f>
        <v>3631.4</v>
      </c>
      <c r="G3430" s="4">
        <f>[1]Raw_Data!G3428</f>
        <v>0.22</v>
      </c>
      <c r="H3430" s="3">
        <f>[1]Raw_Data!H3428</f>
        <v>2</v>
      </c>
      <c r="I3430" s="3" t="str">
        <f>TRIM([1]Raw_Data!I3428)</f>
        <v>Canada</v>
      </c>
      <c r="J3430" s="3" t="str">
        <f>TRIM([1]Raw_Data!J3428)</f>
        <v>Walmart</v>
      </c>
      <c r="K3430" s="3">
        <f t="shared" si="212"/>
        <v>2024</v>
      </c>
      <c r="L3430" s="6">
        <f t="shared" si="213"/>
        <v>45323</v>
      </c>
      <c r="M3430" s="3" t="str">
        <f t="shared" si="214"/>
        <v>21% to 25%</v>
      </c>
      <c r="N3430" s="3" t="str">
        <f t="shared" si="215"/>
        <v>OK</v>
      </c>
    </row>
    <row r="3431" spans="1:14" x14ac:dyDescent="0.3">
      <c r="A3431" s="2">
        <f>DATE(VALUE(RIGHT(TRIM([1]Raw_Data!A3429),4)),VALUE(MID(TRIM([1]Raw_Data!A3429),4,2)),VALUE(LEFT(TRIM([1]Raw_Data!A3429),2)))</f>
        <v>45334</v>
      </c>
      <c r="B3431" s="3" t="str">
        <f>TRIM([1]Raw_Data!B3429)</f>
        <v>Multivitamin</v>
      </c>
      <c r="C3431" s="3" t="str">
        <f>TRIM([1]Raw_Data!C3429)</f>
        <v>Vitamin</v>
      </c>
      <c r="D3431" s="3">
        <f>[1]Raw_Data!D3429</f>
        <v>140</v>
      </c>
      <c r="E3431" s="4">
        <f>[1]Raw_Data!E3429</f>
        <v>25.99</v>
      </c>
      <c r="F3431" s="5">
        <f>[1]Raw_Data!F3429</f>
        <v>3638.6</v>
      </c>
      <c r="G3431" s="4">
        <f>[1]Raw_Data!G3429</f>
        <v>0.08</v>
      </c>
      <c r="H3431" s="3">
        <f>[1]Raw_Data!H3429</f>
        <v>2</v>
      </c>
      <c r="I3431" s="3" t="str">
        <f>TRIM([1]Raw_Data!I3429)</f>
        <v>UK</v>
      </c>
      <c r="J3431" s="3" t="str">
        <f>TRIM([1]Raw_Data!J3429)</f>
        <v>Amazon</v>
      </c>
      <c r="K3431" s="3">
        <f t="shared" si="212"/>
        <v>2024</v>
      </c>
      <c r="L3431" s="6">
        <f t="shared" si="213"/>
        <v>45323</v>
      </c>
      <c r="M3431" s="3" t="str">
        <f t="shared" si="214"/>
        <v>6% to 10%</v>
      </c>
      <c r="N3431" s="3" t="str">
        <f t="shared" si="215"/>
        <v>OK</v>
      </c>
    </row>
    <row r="3432" spans="1:14" x14ac:dyDescent="0.3">
      <c r="A3432" s="2">
        <f>DATE(VALUE(RIGHT(TRIM([1]Raw_Data!A3430),4)),VALUE(MID(TRIM([1]Raw_Data!A3430),4,2)),VALUE(LEFT(TRIM([1]Raw_Data!A3430),2)))</f>
        <v>45334</v>
      </c>
      <c r="B3432" s="3" t="str">
        <f>TRIM([1]Raw_Data!B3430)</f>
        <v>Pre-Workout</v>
      </c>
      <c r="C3432" s="3" t="str">
        <f>TRIM([1]Raw_Data!C3430)</f>
        <v>Performance</v>
      </c>
      <c r="D3432" s="3">
        <f>[1]Raw_Data!D3430</f>
        <v>151</v>
      </c>
      <c r="E3432" s="4">
        <f>[1]Raw_Data!E3430</f>
        <v>17.45</v>
      </c>
      <c r="F3432" s="5">
        <f>[1]Raw_Data!F3430</f>
        <v>2634.95</v>
      </c>
      <c r="G3432" s="4">
        <f>[1]Raw_Data!G3430</f>
        <v>0.01</v>
      </c>
      <c r="H3432" s="3">
        <f>[1]Raw_Data!H3430</f>
        <v>0</v>
      </c>
      <c r="I3432" s="3" t="str">
        <f>TRIM([1]Raw_Data!I3430)</f>
        <v>USA</v>
      </c>
      <c r="J3432" s="3" t="str">
        <f>TRIM([1]Raw_Data!J3430)</f>
        <v>Amazon</v>
      </c>
      <c r="K3432" s="3">
        <f t="shared" si="212"/>
        <v>2024</v>
      </c>
      <c r="L3432" s="6">
        <f t="shared" si="213"/>
        <v>45323</v>
      </c>
      <c r="M3432" s="3" t="str">
        <f t="shared" si="214"/>
        <v>0% to 5%</v>
      </c>
      <c r="N3432" s="3" t="str">
        <f t="shared" si="215"/>
        <v>OK</v>
      </c>
    </row>
    <row r="3433" spans="1:14" x14ac:dyDescent="0.3">
      <c r="A3433" s="2">
        <f>DATE(VALUE(RIGHT(TRIM([1]Raw_Data!A3431),4)),VALUE(MID(TRIM([1]Raw_Data!A3431),4,2)),VALUE(LEFT(TRIM([1]Raw_Data!A3431),2)))</f>
        <v>45334</v>
      </c>
      <c r="B3433" s="3" t="str">
        <f>TRIM([1]Raw_Data!B3431)</f>
        <v>BCAA</v>
      </c>
      <c r="C3433" s="3" t="str">
        <f>TRIM([1]Raw_Data!C3431)</f>
        <v>Amino Acid</v>
      </c>
      <c r="D3433" s="3">
        <f>[1]Raw_Data!D3431</f>
        <v>132</v>
      </c>
      <c r="E3433" s="4">
        <f>[1]Raw_Data!E3431</f>
        <v>15.62</v>
      </c>
      <c r="F3433" s="5">
        <f>[1]Raw_Data!F3431</f>
        <v>2061.84</v>
      </c>
      <c r="G3433" s="4">
        <f>[1]Raw_Data!G3431</f>
        <v>0.18</v>
      </c>
      <c r="H3433" s="3">
        <f>[1]Raw_Data!H3431</f>
        <v>1</v>
      </c>
      <c r="I3433" s="3" t="str">
        <f>TRIM([1]Raw_Data!I3431)</f>
        <v>UK</v>
      </c>
      <c r="J3433" s="3" t="str">
        <f>TRIM([1]Raw_Data!J3431)</f>
        <v>Walmart</v>
      </c>
      <c r="K3433" s="3">
        <f t="shared" si="212"/>
        <v>2024</v>
      </c>
      <c r="L3433" s="6">
        <f t="shared" si="213"/>
        <v>45323</v>
      </c>
      <c r="M3433" s="3" t="str">
        <f t="shared" si="214"/>
        <v>16% to 20%</v>
      </c>
      <c r="N3433" s="3" t="str">
        <f t="shared" si="215"/>
        <v>OK</v>
      </c>
    </row>
    <row r="3434" spans="1:14" x14ac:dyDescent="0.3">
      <c r="A3434" s="2">
        <f>DATE(VALUE(RIGHT(TRIM([1]Raw_Data!A3432),4)),VALUE(MID(TRIM([1]Raw_Data!A3432),4,2)),VALUE(LEFT(TRIM([1]Raw_Data!A3432),2)))</f>
        <v>45334</v>
      </c>
      <c r="B3434" s="3" t="str">
        <f>TRIM([1]Raw_Data!B3432)</f>
        <v>Creatine</v>
      </c>
      <c r="C3434" s="3" t="str">
        <f>TRIM([1]Raw_Data!C3432)</f>
        <v>Performance</v>
      </c>
      <c r="D3434" s="3">
        <f>[1]Raw_Data!D3432</f>
        <v>128</v>
      </c>
      <c r="E3434" s="4">
        <f>[1]Raw_Data!E3432</f>
        <v>38.979999999999997</v>
      </c>
      <c r="F3434" s="5">
        <f>[1]Raw_Data!F3432</f>
        <v>4989.4399999999996</v>
      </c>
      <c r="G3434" s="4">
        <f>[1]Raw_Data!G3432</f>
        <v>0.06</v>
      </c>
      <c r="H3434" s="3">
        <f>[1]Raw_Data!H3432</f>
        <v>3</v>
      </c>
      <c r="I3434" s="3" t="str">
        <f>TRIM([1]Raw_Data!I3432)</f>
        <v>Canada</v>
      </c>
      <c r="J3434" s="3" t="str">
        <f>TRIM([1]Raw_Data!J3432)</f>
        <v>Amazon</v>
      </c>
      <c r="K3434" s="3">
        <f t="shared" si="212"/>
        <v>2024</v>
      </c>
      <c r="L3434" s="6">
        <f t="shared" si="213"/>
        <v>45323</v>
      </c>
      <c r="M3434" s="3" t="str">
        <f t="shared" si="214"/>
        <v>6% to 10%</v>
      </c>
      <c r="N3434" s="3" t="str">
        <f t="shared" si="215"/>
        <v>OK</v>
      </c>
    </row>
    <row r="3435" spans="1:14" x14ac:dyDescent="0.3">
      <c r="A3435" s="2">
        <f>DATE(VALUE(RIGHT(TRIM([1]Raw_Data!A3433),4)),VALUE(MID(TRIM([1]Raw_Data!A3433),4,2)),VALUE(LEFT(TRIM([1]Raw_Data!A3433),2)))</f>
        <v>45334</v>
      </c>
      <c r="B3435" s="3" t="str">
        <f>TRIM([1]Raw_Data!B3433)</f>
        <v>Zinc</v>
      </c>
      <c r="C3435" s="3" t="str">
        <f>TRIM([1]Raw_Data!C3433)</f>
        <v>Mineral</v>
      </c>
      <c r="D3435" s="3">
        <f>[1]Raw_Data!D3433</f>
        <v>121</v>
      </c>
      <c r="E3435" s="4">
        <f>[1]Raw_Data!E3433</f>
        <v>47.6</v>
      </c>
      <c r="F3435" s="5">
        <f>[1]Raw_Data!F3433</f>
        <v>5759.6</v>
      </c>
      <c r="G3435" s="4">
        <f>[1]Raw_Data!G3433</f>
        <v>0.18</v>
      </c>
      <c r="H3435" s="3">
        <f>[1]Raw_Data!H3433</f>
        <v>0</v>
      </c>
      <c r="I3435" s="3" t="str">
        <f>TRIM([1]Raw_Data!I3433)</f>
        <v>Canada</v>
      </c>
      <c r="J3435" s="3" t="str">
        <f>TRIM([1]Raw_Data!J3433)</f>
        <v>iHerb</v>
      </c>
      <c r="K3435" s="3">
        <f t="shared" si="212"/>
        <v>2024</v>
      </c>
      <c r="L3435" s="6">
        <f t="shared" si="213"/>
        <v>45323</v>
      </c>
      <c r="M3435" s="3" t="str">
        <f t="shared" si="214"/>
        <v>16% to 20%</v>
      </c>
      <c r="N3435" s="3" t="str">
        <f t="shared" si="215"/>
        <v>OK</v>
      </c>
    </row>
    <row r="3436" spans="1:14" x14ac:dyDescent="0.3">
      <c r="A3436" s="2">
        <f>DATE(VALUE(RIGHT(TRIM([1]Raw_Data!A3434),4)),VALUE(MID(TRIM([1]Raw_Data!A3434),4,2)),VALUE(LEFT(TRIM([1]Raw_Data!A3434),2)))</f>
        <v>45334</v>
      </c>
      <c r="B3436" s="3" t="str">
        <f>TRIM([1]Raw_Data!B3434)</f>
        <v>Collagen Peptides</v>
      </c>
      <c r="C3436" s="3" t="str">
        <f>TRIM([1]Raw_Data!C3434)</f>
        <v>Protein</v>
      </c>
      <c r="D3436" s="3">
        <f>[1]Raw_Data!D3434</f>
        <v>126</v>
      </c>
      <c r="E3436" s="4">
        <f>[1]Raw_Data!E3434</f>
        <v>25.68</v>
      </c>
      <c r="F3436" s="5">
        <f>[1]Raw_Data!F3434</f>
        <v>3235.68</v>
      </c>
      <c r="G3436" s="4">
        <f>[1]Raw_Data!G3434</f>
        <v>0.05</v>
      </c>
      <c r="H3436" s="3">
        <f>[1]Raw_Data!H3434</f>
        <v>1</v>
      </c>
      <c r="I3436" s="3" t="str">
        <f>TRIM([1]Raw_Data!I3434)</f>
        <v>Canada</v>
      </c>
      <c r="J3436" s="3" t="str">
        <f>TRIM([1]Raw_Data!J3434)</f>
        <v>Walmart</v>
      </c>
      <c r="K3436" s="3">
        <f t="shared" si="212"/>
        <v>2024</v>
      </c>
      <c r="L3436" s="6">
        <f t="shared" si="213"/>
        <v>45323</v>
      </c>
      <c r="M3436" s="3" t="str">
        <f t="shared" si="214"/>
        <v>0% to 5%</v>
      </c>
      <c r="N3436" s="3" t="str">
        <f t="shared" si="215"/>
        <v>OK</v>
      </c>
    </row>
    <row r="3437" spans="1:14" x14ac:dyDescent="0.3">
      <c r="A3437" s="2">
        <f>DATE(VALUE(RIGHT(TRIM([1]Raw_Data!A3435),4)),VALUE(MID(TRIM([1]Raw_Data!A3435),4,2)),VALUE(LEFT(TRIM([1]Raw_Data!A3435),2)))</f>
        <v>45334</v>
      </c>
      <c r="B3437" s="3" t="str">
        <f>TRIM([1]Raw_Data!B3435)</f>
        <v>Magnesium</v>
      </c>
      <c r="C3437" s="3" t="str">
        <f>TRIM([1]Raw_Data!C3435)</f>
        <v>Mineral</v>
      </c>
      <c r="D3437" s="3">
        <f>[1]Raw_Data!D3435</f>
        <v>170</v>
      </c>
      <c r="E3437" s="4">
        <f>[1]Raw_Data!E3435</f>
        <v>48.29</v>
      </c>
      <c r="F3437" s="5">
        <f>[1]Raw_Data!F3435</f>
        <v>8209.2999999999993</v>
      </c>
      <c r="G3437" s="4">
        <f>[1]Raw_Data!G3435</f>
        <v>0.14000000000000001</v>
      </c>
      <c r="H3437" s="3">
        <f>[1]Raw_Data!H3435</f>
        <v>1</v>
      </c>
      <c r="I3437" s="3" t="str">
        <f>TRIM([1]Raw_Data!I3435)</f>
        <v>UK</v>
      </c>
      <c r="J3437" s="3" t="str">
        <f>TRIM([1]Raw_Data!J3435)</f>
        <v>Walmart</v>
      </c>
      <c r="K3437" s="3">
        <f t="shared" si="212"/>
        <v>2024</v>
      </c>
      <c r="L3437" s="6">
        <f t="shared" si="213"/>
        <v>45323</v>
      </c>
      <c r="M3437" s="3" t="str">
        <f t="shared" si="214"/>
        <v>11% to 15%</v>
      </c>
      <c r="N3437" s="3" t="str">
        <f t="shared" si="215"/>
        <v>OK</v>
      </c>
    </row>
    <row r="3438" spans="1:14" x14ac:dyDescent="0.3">
      <c r="A3438" s="2">
        <f>DATE(VALUE(RIGHT(TRIM([1]Raw_Data!A3436),4)),VALUE(MID(TRIM([1]Raw_Data!A3436),4,2)),VALUE(LEFT(TRIM([1]Raw_Data!A3436),2)))</f>
        <v>45334</v>
      </c>
      <c r="B3438" s="3" t="str">
        <f>TRIM([1]Raw_Data!B3436)</f>
        <v>Ashwagandha</v>
      </c>
      <c r="C3438" s="3" t="str">
        <f>TRIM([1]Raw_Data!C3436)</f>
        <v>Herbal</v>
      </c>
      <c r="D3438" s="3">
        <f>[1]Raw_Data!D3436</f>
        <v>140</v>
      </c>
      <c r="E3438" s="4">
        <f>[1]Raw_Data!E3436</f>
        <v>55.64</v>
      </c>
      <c r="F3438" s="5">
        <f>[1]Raw_Data!F3436</f>
        <v>7789.6</v>
      </c>
      <c r="G3438" s="4">
        <f>[1]Raw_Data!G3436</f>
        <v>0.17</v>
      </c>
      <c r="H3438" s="3">
        <f>[1]Raw_Data!H3436</f>
        <v>1</v>
      </c>
      <c r="I3438" s="3" t="str">
        <f>TRIM([1]Raw_Data!I3436)</f>
        <v>USA</v>
      </c>
      <c r="J3438" s="3" t="str">
        <f>TRIM([1]Raw_Data!J3436)</f>
        <v>iHerb</v>
      </c>
      <c r="K3438" s="3">
        <f t="shared" si="212"/>
        <v>2024</v>
      </c>
      <c r="L3438" s="6">
        <f t="shared" si="213"/>
        <v>45323</v>
      </c>
      <c r="M3438" s="3" t="str">
        <f t="shared" si="214"/>
        <v>16% to 20%</v>
      </c>
      <c r="N3438" s="3" t="str">
        <f t="shared" si="215"/>
        <v>OK</v>
      </c>
    </row>
    <row r="3439" spans="1:14" x14ac:dyDescent="0.3">
      <c r="A3439" s="2">
        <f>DATE(VALUE(RIGHT(TRIM([1]Raw_Data!A3437),4)),VALUE(MID(TRIM([1]Raw_Data!A3437),4,2)),VALUE(LEFT(TRIM([1]Raw_Data!A3437),2)))</f>
        <v>45334</v>
      </c>
      <c r="B3439" s="3" t="str">
        <f>TRIM([1]Raw_Data!B3437)</f>
        <v>Melatonin</v>
      </c>
      <c r="C3439" s="3" t="str">
        <f>TRIM([1]Raw_Data!C3437)</f>
        <v>Sleep Aid</v>
      </c>
      <c r="D3439" s="3">
        <f>[1]Raw_Data!D3437</f>
        <v>153</v>
      </c>
      <c r="E3439" s="4">
        <f>[1]Raw_Data!E3437</f>
        <v>48.65</v>
      </c>
      <c r="F3439" s="5">
        <f>[1]Raw_Data!F3437</f>
        <v>7443.45</v>
      </c>
      <c r="G3439" s="4">
        <f>[1]Raw_Data!G3437</f>
        <v>0.23</v>
      </c>
      <c r="H3439" s="3">
        <f>[1]Raw_Data!H3437</f>
        <v>1</v>
      </c>
      <c r="I3439" s="3" t="str">
        <f>TRIM([1]Raw_Data!I3437)</f>
        <v>USA</v>
      </c>
      <c r="J3439" s="3" t="str">
        <f>TRIM([1]Raw_Data!J3437)</f>
        <v>iHerb</v>
      </c>
      <c r="K3439" s="3">
        <f t="shared" si="212"/>
        <v>2024</v>
      </c>
      <c r="L3439" s="6">
        <f t="shared" si="213"/>
        <v>45323</v>
      </c>
      <c r="M3439" s="3" t="str">
        <f t="shared" si="214"/>
        <v>21% to 25%</v>
      </c>
      <c r="N3439" s="3" t="str">
        <f t="shared" si="215"/>
        <v>OK</v>
      </c>
    </row>
    <row r="3440" spans="1:14" x14ac:dyDescent="0.3">
      <c r="A3440" s="2">
        <f>DATE(VALUE(RIGHT(TRIM([1]Raw_Data!A3438),4)),VALUE(MID(TRIM([1]Raw_Data!A3438),4,2)),VALUE(LEFT(TRIM([1]Raw_Data!A3438),2)))</f>
        <v>45334</v>
      </c>
      <c r="B3440" s="3" t="str">
        <f>TRIM([1]Raw_Data!B3438)</f>
        <v>Biotin</v>
      </c>
      <c r="C3440" s="3" t="str">
        <f>TRIM([1]Raw_Data!C3438)</f>
        <v>Vitamin</v>
      </c>
      <c r="D3440" s="3">
        <f>[1]Raw_Data!D3438</f>
        <v>142</v>
      </c>
      <c r="E3440" s="4">
        <f>[1]Raw_Data!E3438</f>
        <v>30.79</v>
      </c>
      <c r="F3440" s="5">
        <f>[1]Raw_Data!F3438</f>
        <v>4372.18</v>
      </c>
      <c r="G3440" s="4">
        <f>[1]Raw_Data!G3438</f>
        <v>0.15</v>
      </c>
      <c r="H3440" s="3">
        <f>[1]Raw_Data!H3438</f>
        <v>1</v>
      </c>
      <c r="I3440" s="3" t="str">
        <f>TRIM([1]Raw_Data!I3438)</f>
        <v>Canada</v>
      </c>
      <c r="J3440" s="3" t="str">
        <f>TRIM([1]Raw_Data!J3438)</f>
        <v>Amazon</v>
      </c>
      <c r="K3440" s="3">
        <f t="shared" si="212"/>
        <v>2024</v>
      </c>
      <c r="L3440" s="6">
        <f t="shared" si="213"/>
        <v>45323</v>
      </c>
      <c r="M3440" s="3" t="str">
        <f t="shared" si="214"/>
        <v>11% to 15%</v>
      </c>
      <c r="N3440" s="3" t="str">
        <f t="shared" si="215"/>
        <v>OK</v>
      </c>
    </row>
    <row r="3441" spans="1:14" x14ac:dyDescent="0.3">
      <c r="A3441" s="2">
        <f>DATE(VALUE(RIGHT(TRIM([1]Raw_Data!A3439),4)),VALUE(MID(TRIM([1]Raw_Data!A3439),4,2)),VALUE(LEFT(TRIM([1]Raw_Data!A3439),2)))</f>
        <v>45334</v>
      </c>
      <c r="B3441" s="3" t="str">
        <f>TRIM([1]Raw_Data!B3439)</f>
        <v>Green Tea Extract</v>
      </c>
      <c r="C3441" s="3" t="str">
        <f>TRIM([1]Raw_Data!C3439)</f>
        <v>Fat Burner</v>
      </c>
      <c r="D3441" s="3">
        <f>[1]Raw_Data!D3439</f>
        <v>136</v>
      </c>
      <c r="E3441" s="4">
        <f>[1]Raw_Data!E3439</f>
        <v>44.55</v>
      </c>
      <c r="F3441" s="5">
        <f>[1]Raw_Data!F3439</f>
        <v>6058.8</v>
      </c>
      <c r="G3441" s="4">
        <f>[1]Raw_Data!G3439</f>
        <v>0.2</v>
      </c>
      <c r="H3441" s="3">
        <f>[1]Raw_Data!H3439</f>
        <v>1</v>
      </c>
      <c r="I3441" s="3" t="str">
        <f>TRIM([1]Raw_Data!I3439)</f>
        <v>UK</v>
      </c>
      <c r="J3441" s="3" t="str">
        <f>TRIM([1]Raw_Data!J3439)</f>
        <v>iHerb</v>
      </c>
      <c r="K3441" s="3">
        <f t="shared" si="212"/>
        <v>2024</v>
      </c>
      <c r="L3441" s="6">
        <f t="shared" si="213"/>
        <v>45323</v>
      </c>
      <c r="M3441" s="3" t="str">
        <f t="shared" si="214"/>
        <v>16% to 20%</v>
      </c>
      <c r="N3441" s="3" t="str">
        <f t="shared" si="215"/>
        <v>OK</v>
      </c>
    </row>
    <row r="3442" spans="1:14" x14ac:dyDescent="0.3">
      <c r="A3442" s="2">
        <f>DATE(VALUE(RIGHT(TRIM([1]Raw_Data!A3440),4)),VALUE(MID(TRIM([1]Raw_Data!A3440),4,2)),VALUE(LEFT(TRIM([1]Raw_Data!A3440),2)))</f>
        <v>45334</v>
      </c>
      <c r="B3442" s="3" t="str">
        <f>TRIM([1]Raw_Data!B3440)</f>
        <v>Iron Supplement</v>
      </c>
      <c r="C3442" s="3" t="str">
        <f>TRIM([1]Raw_Data!C3440)</f>
        <v>Mineral</v>
      </c>
      <c r="D3442" s="3">
        <f>[1]Raw_Data!D3440</f>
        <v>136</v>
      </c>
      <c r="E3442" s="4">
        <f>[1]Raw_Data!E3440</f>
        <v>49.31</v>
      </c>
      <c r="F3442" s="5">
        <f>[1]Raw_Data!F3440</f>
        <v>6706.16</v>
      </c>
      <c r="G3442" s="4">
        <f>[1]Raw_Data!G3440</f>
        <v>0.1</v>
      </c>
      <c r="H3442" s="3">
        <f>[1]Raw_Data!H3440</f>
        <v>2</v>
      </c>
      <c r="I3442" s="3" t="str">
        <f>TRIM([1]Raw_Data!I3440)</f>
        <v>USA</v>
      </c>
      <c r="J3442" s="3" t="str">
        <f>TRIM([1]Raw_Data!J3440)</f>
        <v>Walmart</v>
      </c>
      <c r="K3442" s="3">
        <f t="shared" si="212"/>
        <v>2024</v>
      </c>
      <c r="L3442" s="6">
        <f t="shared" si="213"/>
        <v>45323</v>
      </c>
      <c r="M3442" s="3" t="str">
        <f t="shared" si="214"/>
        <v>6% to 10%</v>
      </c>
      <c r="N3442" s="3" t="str">
        <f t="shared" si="215"/>
        <v>OK</v>
      </c>
    </row>
    <row r="3443" spans="1:14" x14ac:dyDescent="0.3">
      <c r="A3443" s="2">
        <f>DATE(VALUE(RIGHT(TRIM([1]Raw_Data!A3441),4)),VALUE(MID(TRIM([1]Raw_Data!A3441),4,2)),VALUE(LEFT(TRIM([1]Raw_Data!A3441),2)))</f>
        <v>45334</v>
      </c>
      <c r="B3443" s="3" t="str">
        <f>TRIM([1]Raw_Data!B3441)</f>
        <v>Electrolyte Powder</v>
      </c>
      <c r="C3443" s="3" t="str">
        <f>TRIM([1]Raw_Data!C3441)</f>
        <v>Hydration</v>
      </c>
      <c r="D3443" s="3">
        <f>[1]Raw_Data!D3441</f>
        <v>150</v>
      </c>
      <c r="E3443" s="4">
        <f>[1]Raw_Data!E3441</f>
        <v>49.81</v>
      </c>
      <c r="F3443" s="5">
        <f>[1]Raw_Data!F3441</f>
        <v>7471.5</v>
      </c>
      <c r="G3443" s="4">
        <f>[1]Raw_Data!G3441</f>
        <v>0.02</v>
      </c>
      <c r="H3443" s="3">
        <f>[1]Raw_Data!H3441</f>
        <v>1</v>
      </c>
      <c r="I3443" s="3" t="str">
        <f>TRIM([1]Raw_Data!I3441)</f>
        <v>Canada</v>
      </c>
      <c r="J3443" s="3" t="str">
        <f>TRIM([1]Raw_Data!J3441)</f>
        <v>iHerb</v>
      </c>
      <c r="K3443" s="3">
        <f t="shared" si="212"/>
        <v>2024</v>
      </c>
      <c r="L3443" s="6">
        <f t="shared" si="213"/>
        <v>45323</v>
      </c>
      <c r="M3443" s="3" t="str">
        <f t="shared" si="214"/>
        <v>0% to 5%</v>
      </c>
      <c r="N3443" s="3" t="str">
        <f t="shared" si="215"/>
        <v>OK</v>
      </c>
    </row>
    <row r="3444" spans="1:14" x14ac:dyDescent="0.3">
      <c r="A3444" s="2">
        <f>DATE(VALUE(RIGHT(TRIM([1]Raw_Data!A3442),4)),VALUE(MID(TRIM([1]Raw_Data!A3442),4,2)),VALUE(LEFT(TRIM([1]Raw_Data!A3442),2)))</f>
        <v>45341</v>
      </c>
      <c r="B3444" s="3" t="str">
        <f>TRIM([1]Raw_Data!B3442)</f>
        <v>Whey Protein</v>
      </c>
      <c r="C3444" s="3" t="str">
        <f>TRIM([1]Raw_Data!C3442)</f>
        <v>Protein</v>
      </c>
      <c r="D3444" s="3">
        <f>[1]Raw_Data!D3442</f>
        <v>139</v>
      </c>
      <c r="E3444" s="4">
        <f>[1]Raw_Data!E3442</f>
        <v>35.15</v>
      </c>
      <c r="F3444" s="5">
        <f>[1]Raw_Data!F3442</f>
        <v>4885.8500000000004</v>
      </c>
      <c r="G3444" s="4">
        <f>[1]Raw_Data!G3442</f>
        <v>0.12</v>
      </c>
      <c r="H3444" s="3">
        <f>[1]Raw_Data!H3442</f>
        <v>2</v>
      </c>
      <c r="I3444" s="3" t="str">
        <f>TRIM([1]Raw_Data!I3442)</f>
        <v>UK</v>
      </c>
      <c r="J3444" s="3" t="str">
        <f>TRIM([1]Raw_Data!J3442)</f>
        <v>Amazon</v>
      </c>
      <c r="K3444" s="3">
        <f t="shared" si="212"/>
        <v>2024</v>
      </c>
      <c r="L3444" s="6">
        <f t="shared" si="213"/>
        <v>45323</v>
      </c>
      <c r="M3444" s="3" t="str">
        <f t="shared" si="214"/>
        <v>11% to 15%</v>
      </c>
      <c r="N3444" s="3" t="str">
        <f t="shared" si="215"/>
        <v>OK</v>
      </c>
    </row>
    <row r="3445" spans="1:14" x14ac:dyDescent="0.3">
      <c r="A3445" s="2">
        <f>DATE(VALUE(RIGHT(TRIM([1]Raw_Data!A3443),4)),VALUE(MID(TRIM([1]Raw_Data!A3443),4,2)),VALUE(LEFT(TRIM([1]Raw_Data!A3443),2)))</f>
        <v>45341</v>
      </c>
      <c r="B3445" s="3" t="str">
        <f>TRIM([1]Raw_Data!B3443)</f>
        <v>Vitamin C</v>
      </c>
      <c r="C3445" s="3" t="str">
        <f>TRIM([1]Raw_Data!C3443)</f>
        <v>Vitamin</v>
      </c>
      <c r="D3445" s="3">
        <f>[1]Raw_Data!D3443</f>
        <v>159</v>
      </c>
      <c r="E3445" s="4">
        <f>[1]Raw_Data!E3443</f>
        <v>30.48</v>
      </c>
      <c r="F3445" s="5">
        <f>[1]Raw_Data!F3443</f>
        <v>4846.32</v>
      </c>
      <c r="G3445" s="4">
        <f>[1]Raw_Data!G3443</f>
        <v>0.16</v>
      </c>
      <c r="H3445" s="3">
        <f>[1]Raw_Data!H3443</f>
        <v>2</v>
      </c>
      <c r="I3445" s="3" t="str">
        <f>TRIM([1]Raw_Data!I3443)</f>
        <v>UK</v>
      </c>
      <c r="J3445" s="3" t="str">
        <f>TRIM([1]Raw_Data!J3443)</f>
        <v>Walmart</v>
      </c>
      <c r="K3445" s="3">
        <f t="shared" si="212"/>
        <v>2024</v>
      </c>
      <c r="L3445" s="6">
        <f t="shared" si="213"/>
        <v>45323</v>
      </c>
      <c r="M3445" s="3" t="str">
        <f t="shared" si="214"/>
        <v>16% to 20%</v>
      </c>
      <c r="N3445" s="3" t="str">
        <f t="shared" si="215"/>
        <v>OK</v>
      </c>
    </row>
    <row r="3446" spans="1:14" x14ac:dyDescent="0.3">
      <c r="A3446" s="2">
        <f>DATE(VALUE(RIGHT(TRIM([1]Raw_Data!A3444),4)),VALUE(MID(TRIM([1]Raw_Data!A3444),4,2)),VALUE(LEFT(TRIM([1]Raw_Data!A3444),2)))</f>
        <v>45341</v>
      </c>
      <c r="B3446" s="3" t="str">
        <f>TRIM([1]Raw_Data!B3444)</f>
        <v>Fish Oil</v>
      </c>
      <c r="C3446" s="3" t="str">
        <f>TRIM([1]Raw_Data!C3444)</f>
        <v>Omega</v>
      </c>
      <c r="D3446" s="3">
        <f>[1]Raw_Data!D3444</f>
        <v>147</v>
      </c>
      <c r="E3446" s="4">
        <f>[1]Raw_Data!E3444</f>
        <v>57.36</v>
      </c>
      <c r="F3446" s="5">
        <f>[1]Raw_Data!F3444</f>
        <v>8431.92</v>
      </c>
      <c r="G3446" s="4">
        <f>[1]Raw_Data!G3444</f>
        <v>0.05</v>
      </c>
      <c r="H3446" s="3">
        <f>[1]Raw_Data!H3444</f>
        <v>3</v>
      </c>
      <c r="I3446" s="3" t="str">
        <f>TRIM([1]Raw_Data!I3444)</f>
        <v>UK</v>
      </c>
      <c r="J3446" s="3" t="str">
        <f>TRIM([1]Raw_Data!J3444)</f>
        <v>Amazon</v>
      </c>
      <c r="K3446" s="3">
        <f t="shared" si="212"/>
        <v>2024</v>
      </c>
      <c r="L3446" s="6">
        <f t="shared" si="213"/>
        <v>45323</v>
      </c>
      <c r="M3446" s="3" t="str">
        <f t="shared" si="214"/>
        <v>0% to 5%</v>
      </c>
      <c r="N3446" s="3" t="str">
        <f t="shared" si="215"/>
        <v>OK</v>
      </c>
    </row>
    <row r="3447" spans="1:14" x14ac:dyDescent="0.3">
      <c r="A3447" s="2">
        <f>DATE(VALUE(RIGHT(TRIM([1]Raw_Data!A3445),4)),VALUE(MID(TRIM([1]Raw_Data!A3445),4,2)),VALUE(LEFT(TRIM([1]Raw_Data!A3445),2)))</f>
        <v>45341</v>
      </c>
      <c r="B3447" s="3" t="str">
        <f>TRIM([1]Raw_Data!B3445)</f>
        <v>Multivitamin</v>
      </c>
      <c r="C3447" s="3" t="str">
        <f>TRIM([1]Raw_Data!C3445)</f>
        <v>Vitamin</v>
      </c>
      <c r="D3447" s="3">
        <f>[1]Raw_Data!D3445</f>
        <v>123</v>
      </c>
      <c r="E3447" s="4">
        <f>[1]Raw_Data!E3445</f>
        <v>24.41</v>
      </c>
      <c r="F3447" s="5">
        <f>[1]Raw_Data!F3445</f>
        <v>3002.43</v>
      </c>
      <c r="G3447" s="4">
        <f>[1]Raw_Data!G3445</f>
        <v>0.16</v>
      </c>
      <c r="H3447" s="3">
        <f>[1]Raw_Data!H3445</f>
        <v>0</v>
      </c>
      <c r="I3447" s="3" t="str">
        <f>TRIM([1]Raw_Data!I3445)</f>
        <v>USA</v>
      </c>
      <c r="J3447" s="3" t="str">
        <f>TRIM([1]Raw_Data!J3445)</f>
        <v>iHerb</v>
      </c>
      <c r="K3447" s="3">
        <f t="shared" si="212"/>
        <v>2024</v>
      </c>
      <c r="L3447" s="6">
        <f t="shared" si="213"/>
        <v>45323</v>
      </c>
      <c r="M3447" s="3" t="str">
        <f t="shared" si="214"/>
        <v>16% to 20%</v>
      </c>
      <c r="N3447" s="3" t="str">
        <f t="shared" si="215"/>
        <v>OK</v>
      </c>
    </row>
    <row r="3448" spans="1:14" x14ac:dyDescent="0.3">
      <c r="A3448" s="2">
        <f>DATE(VALUE(RIGHT(TRIM([1]Raw_Data!A3446),4)),VALUE(MID(TRIM([1]Raw_Data!A3446),4,2)),VALUE(LEFT(TRIM([1]Raw_Data!A3446),2)))</f>
        <v>45341</v>
      </c>
      <c r="B3448" s="3" t="str">
        <f>TRIM([1]Raw_Data!B3446)</f>
        <v>Pre-Workout</v>
      </c>
      <c r="C3448" s="3" t="str">
        <f>TRIM([1]Raw_Data!C3446)</f>
        <v>Performance</v>
      </c>
      <c r="D3448" s="3">
        <f>[1]Raw_Data!D3446</f>
        <v>167</v>
      </c>
      <c r="E3448" s="4">
        <f>[1]Raw_Data!E3446</f>
        <v>42.6</v>
      </c>
      <c r="F3448" s="5">
        <f>[1]Raw_Data!F3446</f>
        <v>7114.2</v>
      </c>
      <c r="G3448" s="4">
        <f>[1]Raw_Data!G3446</f>
        <v>0.11</v>
      </c>
      <c r="H3448" s="3">
        <f>[1]Raw_Data!H3446</f>
        <v>4</v>
      </c>
      <c r="I3448" s="3" t="str">
        <f>TRIM([1]Raw_Data!I3446)</f>
        <v>USA</v>
      </c>
      <c r="J3448" s="3" t="str">
        <f>TRIM([1]Raw_Data!J3446)</f>
        <v>Amazon</v>
      </c>
      <c r="K3448" s="3">
        <f t="shared" si="212"/>
        <v>2024</v>
      </c>
      <c r="L3448" s="6">
        <f t="shared" si="213"/>
        <v>45323</v>
      </c>
      <c r="M3448" s="3" t="str">
        <f t="shared" si="214"/>
        <v>11% to 15%</v>
      </c>
      <c r="N3448" s="3" t="str">
        <f t="shared" si="215"/>
        <v>OK</v>
      </c>
    </row>
    <row r="3449" spans="1:14" x14ac:dyDescent="0.3">
      <c r="A3449" s="2">
        <f>DATE(VALUE(RIGHT(TRIM([1]Raw_Data!A3447),4)),VALUE(MID(TRIM([1]Raw_Data!A3447),4,2)),VALUE(LEFT(TRIM([1]Raw_Data!A3447),2)))</f>
        <v>45341</v>
      </c>
      <c r="B3449" s="3" t="str">
        <f>TRIM([1]Raw_Data!B3447)</f>
        <v>BCAA</v>
      </c>
      <c r="C3449" s="3" t="str">
        <f>TRIM([1]Raw_Data!C3447)</f>
        <v>Amino Acid</v>
      </c>
      <c r="D3449" s="3">
        <f>[1]Raw_Data!D3447</f>
        <v>163</v>
      </c>
      <c r="E3449" s="4">
        <f>[1]Raw_Data!E3447</f>
        <v>45.09</v>
      </c>
      <c r="F3449" s="5">
        <f>[1]Raw_Data!F3447</f>
        <v>7349.67</v>
      </c>
      <c r="G3449" s="4">
        <f>[1]Raw_Data!G3447</f>
        <v>0.14000000000000001</v>
      </c>
      <c r="H3449" s="3">
        <f>[1]Raw_Data!H3447</f>
        <v>2</v>
      </c>
      <c r="I3449" s="3" t="str">
        <f>TRIM([1]Raw_Data!I3447)</f>
        <v>Canada</v>
      </c>
      <c r="J3449" s="3" t="str">
        <f>TRIM([1]Raw_Data!J3447)</f>
        <v>iHerb</v>
      </c>
      <c r="K3449" s="3">
        <f t="shared" si="212"/>
        <v>2024</v>
      </c>
      <c r="L3449" s="6">
        <f t="shared" si="213"/>
        <v>45323</v>
      </c>
      <c r="M3449" s="3" t="str">
        <f t="shared" si="214"/>
        <v>11% to 15%</v>
      </c>
      <c r="N3449" s="3" t="str">
        <f t="shared" si="215"/>
        <v>OK</v>
      </c>
    </row>
    <row r="3450" spans="1:14" x14ac:dyDescent="0.3">
      <c r="A3450" s="2">
        <f>DATE(VALUE(RIGHT(TRIM([1]Raw_Data!A3448),4)),VALUE(MID(TRIM([1]Raw_Data!A3448),4,2)),VALUE(LEFT(TRIM([1]Raw_Data!A3448),2)))</f>
        <v>45341</v>
      </c>
      <c r="B3450" s="3" t="str">
        <f>TRIM([1]Raw_Data!B3448)</f>
        <v>Creatine</v>
      </c>
      <c r="C3450" s="3" t="str">
        <f>TRIM([1]Raw_Data!C3448)</f>
        <v>Performance</v>
      </c>
      <c r="D3450" s="3">
        <f>[1]Raw_Data!D3448</f>
        <v>144</v>
      </c>
      <c r="E3450" s="4">
        <f>[1]Raw_Data!E3448</f>
        <v>13.91</v>
      </c>
      <c r="F3450" s="5">
        <f>[1]Raw_Data!F3448</f>
        <v>2003.04</v>
      </c>
      <c r="G3450" s="4">
        <f>[1]Raw_Data!G3448</f>
        <v>0.09</v>
      </c>
      <c r="H3450" s="3">
        <f>[1]Raw_Data!H3448</f>
        <v>2</v>
      </c>
      <c r="I3450" s="3" t="str">
        <f>TRIM([1]Raw_Data!I3448)</f>
        <v>Canada</v>
      </c>
      <c r="J3450" s="3" t="str">
        <f>TRIM([1]Raw_Data!J3448)</f>
        <v>Walmart</v>
      </c>
      <c r="K3450" s="3">
        <f t="shared" si="212"/>
        <v>2024</v>
      </c>
      <c r="L3450" s="6">
        <f t="shared" si="213"/>
        <v>45323</v>
      </c>
      <c r="M3450" s="3" t="str">
        <f t="shared" si="214"/>
        <v>6% to 10%</v>
      </c>
      <c r="N3450" s="3" t="str">
        <f t="shared" si="215"/>
        <v>OK</v>
      </c>
    </row>
    <row r="3451" spans="1:14" x14ac:dyDescent="0.3">
      <c r="A3451" s="2">
        <f>DATE(VALUE(RIGHT(TRIM([1]Raw_Data!A3449),4)),VALUE(MID(TRIM([1]Raw_Data!A3449),4,2)),VALUE(LEFT(TRIM([1]Raw_Data!A3449),2)))</f>
        <v>45341</v>
      </c>
      <c r="B3451" s="3" t="str">
        <f>TRIM([1]Raw_Data!B3449)</f>
        <v>Zinc</v>
      </c>
      <c r="C3451" s="3" t="str">
        <f>TRIM([1]Raw_Data!C3449)</f>
        <v>Mineral</v>
      </c>
      <c r="D3451" s="3">
        <f>[1]Raw_Data!D3449</f>
        <v>152</v>
      </c>
      <c r="E3451" s="4">
        <f>[1]Raw_Data!E3449</f>
        <v>19.29</v>
      </c>
      <c r="F3451" s="5">
        <f>[1]Raw_Data!F3449</f>
        <v>2932.08</v>
      </c>
      <c r="G3451" s="4">
        <f>[1]Raw_Data!G3449</f>
        <v>0.17</v>
      </c>
      <c r="H3451" s="3">
        <f>[1]Raw_Data!H3449</f>
        <v>0</v>
      </c>
      <c r="I3451" s="3" t="str">
        <f>TRIM([1]Raw_Data!I3449)</f>
        <v>USA</v>
      </c>
      <c r="J3451" s="3" t="str">
        <f>TRIM([1]Raw_Data!J3449)</f>
        <v>Amazon</v>
      </c>
      <c r="K3451" s="3">
        <f t="shared" si="212"/>
        <v>2024</v>
      </c>
      <c r="L3451" s="6">
        <f t="shared" si="213"/>
        <v>45323</v>
      </c>
      <c r="M3451" s="3" t="str">
        <f t="shared" si="214"/>
        <v>16% to 20%</v>
      </c>
      <c r="N3451" s="3" t="str">
        <f t="shared" si="215"/>
        <v>OK</v>
      </c>
    </row>
    <row r="3452" spans="1:14" x14ac:dyDescent="0.3">
      <c r="A3452" s="2">
        <f>DATE(VALUE(RIGHT(TRIM([1]Raw_Data!A3450),4)),VALUE(MID(TRIM([1]Raw_Data!A3450),4,2)),VALUE(LEFT(TRIM([1]Raw_Data!A3450),2)))</f>
        <v>45341</v>
      </c>
      <c r="B3452" s="3" t="str">
        <f>TRIM([1]Raw_Data!B3450)</f>
        <v>Collagen Peptides</v>
      </c>
      <c r="C3452" s="3" t="str">
        <f>TRIM([1]Raw_Data!C3450)</f>
        <v>Protein</v>
      </c>
      <c r="D3452" s="3">
        <f>[1]Raw_Data!D3450</f>
        <v>142</v>
      </c>
      <c r="E3452" s="4">
        <f>[1]Raw_Data!E3450</f>
        <v>25.52</v>
      </c>
      <c r="F3452" s="5">
        <f>[1]Raw_Data!F3450</f>
        <v>3623.84</v>
      </c>
      <c r="G3452" s="4">
        <f>[1]Raw_Data!G3450</f>
        <v>0.01</v>
      </c>
      <c r="H3452" s="3">
        <f>[1]Raw_Data!H3450</f>
        <v>3</v>
      </c>
      <c r="I3452" s="3" t="str">
        <f>TRIM([1]Raw_Data!I3450)</f>
        <v>USA</v>
      </c>
      <c r="J3452" s="3" t="str">
        <f>TRIM([1]Raw_Data!J3450)</f>
        <v>iHerb</v>
      </c>
      <c r="K3452" s="3">
        <f t="shared" si="212"/>
        <v>2024</v>
      </c>
      <c r="L3452" s="6">
        <f t="shared" si="213"/>
        <v>45323</v>
      </c>
      <c r="M3452" s="3" t="str">
        <f t="shared" si="214"/>
        <v>0% to 5%</v>
      </c>
      <c r="N3452" s="3" t="str">
        <f t="shared" si="215"/>
        <v>OK</v>
      </c>
    </row>
    <row r="3453" spans="1:14" x14ac:dyDescent="0.3">
      <c r="A3453" s="2">
        <f>DATE(VALUE(RIGHT(TRIM([1]Raw_Data!A3451),4)),VALUE(MID(TRIM([1]Raw_Data!A3451),4,2)),VALUE(LEFT(TRIM([1]Raw_Data!A3451),2)))</f>
        <v>45341</v>
      </c>
      <c r="B3453" s="3" t="str">
        <f>TRIM([1]Raw_Data!B3451)</f>
        <v>Magnesium</v>
      </c>
      <c r="C3453" s="3" t="str">
        <f>TRIM([1]Raw_Data!C3451)</f>
        <v>Mineral</v>
      </c>
      <c r="D3453" s="3">
        <f>[1]Raw_Data!D3451</f>
        <v>143</v>
      </c>
      <c r="E3453" s="4">
        <f>[1]Raw_Data!E3451</f>
        <v>13.74</v>
      </c>
      <c r="F3453" s="5">
        <f>[1]Raw_Data!F3451</f>
        <v>1964.82</v>
      </c>
      <c r="G3453" s="4">
        <f>[1]Raw_Data!G3451</f>
        <v>0.06</v>
      </c>
      <c r="H3453" s="3">
        <f>[1]Raw_Data!H3451</f>
        <v>0</v>
      </c>
      <c r="I3453" s="3" t="str">
        <f>TRIM([1]Raw_Data!I3451)</f>
        <v>Canada</v>
      </c>
      <c r="J3453" s="3" t="str">
        <f>TRIM([1]Raw_Data!J3451)</f>
        <v>Amazon</v>
      </c>
      <c r="K3453" s="3">
        <f t="shared" si="212"/>
        <v>2024</v>
      </c>
      <c r="L3453" s="6">
        <f t="shared" si="213"/>
        <v>45323</v>
      </c>
      <c r="M3453" s="3" t="str">
        <f t="shared" si="214"/>
        <v>6% to 10%</v>
      </c>
      <c r="N3453" s="3" t="str">
        <f t="shared" si="215"/>
        <v>OK</v>
      </c>
    </row>
    <row r="3454" spans="1:14" x14ac:dyDescent="0.3">
      <c r="A3454" s="2">
        <f>DATE(VALUE(RIGHT(TRIM([1]Raw_Data!A3452),4)),VALUE(MID(TRIM([1]Raw_Data!A3452),4,2)),VALUE(LEFT(TRIM([1]Raw_Data!A3452),2)))</f>
        <v>45341</v>
      </c>
      <c r="B3454" s="3" t="str">
        <f>TRIM([1]Raw_Data!B3452)</f>
        <v>Ashwagandha</v>
      </c>
      <c r="C3454" s="3" t="str">
        <f>TRIM([1]Raw_Data!C3452)</f>
        <v>Herbal</v>
      </c>
      <c r="D3454" s="3">
        <f>[1]Raw_Data!D3452</f>
        <v>160</v>
      </c>
      <c r="E3454" s="4">
        <f>[1]Raw_Data!E3452</f>
        <v>50.23</v>
      </c>
      <c r="F3454" s="5">
        <f>[1]Raw_Data!F3452</f>
        <v>8036.8</v>
      </c>
      <c r="G3454" s="4">
        <f>[1]Raw_Data!G3452</f>
        <v>0.04</v>
      </c>
      <c r="H3454" s="3">
        <f>[1]Raw_Data!H3452</f>
        <v>1</v>
      </c>
      <c r="I3454" s="3" t="str">
        <f>TRIM([1]Raw_Data!I3452)</f>
        <v>USA</v>
      </c>
      <c r="J3454" s="3" t="str">
        <f>TRIM([1]Raw_Data!J3452)</f>
        <v>Walmart</v>
      </c>
      <c r="K3454" s="3">
        <f t="shared" si="212"/>
        <v>2024</v>
      </c>
      <c r="L3454" s="6">
        <f t="shared" si="213"/>
        <v>45323</v>
      </c>
      <c r="M3454" s="3" t="str">
        <f t="shared" si="214"/>
        <v>0% to 5%</v>
      </c>
      <c r="N3454" s="3" t="str">
        <f t="shared" si="215"/>
        <v>OK</v>
      </c>
    </row>
    <row r="3455" spans="1:14" x14ac:dyDescent="0.3">
      <c r="A3455" s="2">
        <f>DATE(VALUE(RIGHT(TRIM([1]Raw_Data!A3453),4)),VALUE(MID(TRIM([1]Raw_Data!A3453),4,2)),VALUE(LEFT(TRIM([1]Raw_Data!A3453),2)))</f>
        <v>45341</v>
      </c>
      <c r="B3455" s="3" t="str">
        <f>TRIM([1]Raw_Data!B3453)</f>
        <v>Melatonin</v>
      </c>
      <c r="C3455" s="3" t="str">
        <f>TRIM([1]Raw_Data!C3453)</f>
        <v>Sleep Aid</v>
      </c>
      <c r="D3455" s="3">
        <f>[1]Raw_Data!D3453</f>
        <v>157</v>
      </c>
      <c r="E3455" s="4">
        <f>[1]Raw_Data!E3453</f>
        <v>40.06</v>
      </c>
      <c r="F3455" s="5">
        <f>[1]Raw_Data!F3453</f>
        <v>6289.42</v>
      </c>
      <c r="G3455" s="4">
        <f>[1]Raw_Data!G3453</f>
        <v>0.23</v>
      </c>
      <c r="H3455" s="3">
        <f>[1]Raw_Data!H3453</f>
        <v>1</v>
      </c>
      <c r="I3455" s="3" t="str">
        <f>TRIM([1]Raw_Data!I3453)</f>
        <v>Canada</v>
      </c>
      <c r="J3455" s="3" t="str">
        <f>TRIM([1]Raw_Data!J3453)</f>
        <v>iHerb</v>
      </c>
      <c r="K3455" s="3">
        <f t="shared" si="212"/>
        <v>2024</v>
      </c>
      <c r="L3455" s="6">
        <f t="shared" si="213"/>
        <v>45323</v>
      </c>
      <c r="M3455" s="3" t="str">
        <f t="shared" si="214"/>
        <v>21% to 25%</v>
      </c>
      <c r="N3455" s="3" t="str">
        <f t="shared" si="215"/>
        <v>OK</v>
      </c>
    </row>
    <row r="3456" spans="1:14" x14ac:dyDescent="0.3">
      <c r="A3456" s="2">
        <f>DATE(VALUE(RIGHT(TRIM([1]Raw_Data!A3454),4)),VALUE(MID(TRIM([1]Raw_Data!A3454),4,2)),VALUE(LEFT(TRIM([1]Raw_Data!A3454),2)))</f>
        <v>45341</v>
      </c>
      <c r="B3456" s="3" t="str">
        <f>TRIM([1]Raw_Data!B3454)</f>
        <v>Biotin</v>
      </c>
      <c r="C3456" s="3" t="str">
        <f>TRIM([1]Raw_Data!C3454)</f>
        <v>Vitamin</v>
      </c>
      <c r="D3456" s="3">
        <f>[1]Raw_Data!D3454</f>
        <v>150</v>
      </c>
      <c r="E3456" s="4">
        <f>[1]Raw_Data!E3454</f>
        <v>13.89</v>
      </c>
      <c r="F3456" s="5">
        <f>[1]Raw_Data!F3454</f>
        <v>2083.5</v>
      </c>
      <c r="G3456" s="4">
        <f>[1]Raw_Data!G3454</f>
        <v>0.01</v>
      </c>
      <c r="H3456" s="3">
        <f>[1]Raw_Data!H3454</f>
        <v>1</v>
      </c>
      <c r="I3456" s="3" t="str">
        <f>TRIM([1]Raw_Data!I3454)</f>
        <v>UK</v>
      </c>
      <c r="J3456" s="3" t="str">
        <f>TRIM([1]Raw_Data!J3454)</f>
        <v>Walmart</v>
      </c>
      <c r="K3456" s="3">
        <f t="shared" si="212"/>
        <v>2024</v>
      </c>
      <c r="L3456" s="6">
        <f t="shared" si="213"/>
        <v>45323</v>
      </c>
      <c r="M3456" s="3" t="str">
        <f t="shared" si="214"/>
        <v>0% to 5%</v>
      </c>
      <c r="N3456" s="3" t="str">
        <f t="shared" si="215"/>
        <v>OK</v>
      </c>
    </row>
    <row r="3457" spans="1:14" x14ac:dyDescent="0.3">
      <c r="A3457" s="2">
        <f>DATE(VALUE(RIGHT(TRIM([1]Raw_Data!A3455),4)),VALUE(MID(TRIM([1]Raw_Data!A3455),4,2)),VALUE(LEFT(TRIM([1]Raw_Data!A3455),2)))</f>
        <v>45341</v>
      </c>
      <c r="B3457" s="3" t="str">
        <f>TRIM([1]Raw_Data!B3455)</f>
        <v>Green Tea Extract</v>
      </c>
      <c r="C3457" s="3" t="str">
        <f>TRIM([1]Raw_Data!C3455)</f>
        <v>Fat Burner</v>
      </c>
      <c r="D3457" s="3">
        <f>[1]Raw_Data!D3455</f>
        <v>155</v>
      </c>
      <c r="E3457" s="4">
        <f>[1]Raw_Data!E3455</f>
        <v>19.510000000000002</v>
      </c>
      <c r="F3457" s="5">
        <f>[1]Raw_Data!F3455</f>
        <v>3024.05</v>
      </c>
      <c r="G3457" s="4">
        <f>[1]Raw_Data!G3455</f>
        <v>0.11</v>
      </c>
      <c r="H3457" s="3">
        <f>[1]Raw_Data!H3455</f>
        <v>2</v>
      </c>
      <c r="I3457" s="3" t="str">
        <f>TRIM([1]Raw_Data!I3455)</f>
        <v>USA</v>
      </c>
      <c r="J3457" s="3" t="str">
        <f>TRIM([1]Raw_Data!J3455)</f>
        <v>Amazon</v>
      </c>
      <c r="K3457" s="3">
        <f t="shared" si="212"/>
        <v>2024</v>
      </c>
      <c r="L3457" s="6">
        <f t="shared" si="213"/>
        <v>45323</v>
      </c>
      <c r="M3457" s="3" t="str">
        <f t="shared" si="214"/>
        <v>11% to 15%</v>
      </c>
      <c r="N3457" s="3" t="str">
        <f t="shared" si="215"/>
        <v>OK</v>
      </c>
    </row>
    <row r="3458" spans="1:14" x14ac:dyDescent="0.3">
      <c r="A3458" s="2">
        <f>DATE(VALUE(RIGHT(TRIM([1]Raw_Data!A3456),4)),VALUE(MID(TRIM([1]Raw_Data!A3456),4,2)),VALUE(LEFT(TRIM([1]Raw_Data!A3456),2)))</f>
        <v>45341</v>
      </c>
      <c r="B3458" s="3" t="str">
        <f>TRIM([1]Raw_Data!B3456)</f>
        <v>Iron Supplement</v>
      </c>
      <c r="C3458" s="3" t="str">
        <f>TRIM([1]Raw_Data!C3456)</f>
        <v>Mineral</v>
      </c>
      <c r="D3458" s="3">
        <f>[1]Raw_Data!D3456</f>
        <v>140</v>
      </c>
      <c r="E3458" s="4">
        <f>[1]Raw_Data!E3456</f>
        <v>40.68</v>
      </c>
      <c r="F3458" s="5">
        <f>[1]Raw_Data!F3456</f>
        <v>5695.2</v>
      </c>
      <c r="G3458" s="4">
        <f>[1]Raw_Data!G3456</f>
        <v>0.24</v>
      </c>
      <c r="H3458" s="3">
        <f>[1]Raw_Data!H3456</f>
        <v>2</v>
      </c>
      <c r="I3458" s="3" t="str">
        <f>TRIM([1]Raw_Data!I3456)</f>
        <v>Canada</v>
      </c>
      <c r="J3458" s="3" t="str">
        <f>TRIM([1]Raw_Data!J3456)</f>
        <v>iHerb</v>
      </c>
      <c r="K3458" s="3">
        <f t="shared" si="212"/>
        <v>2024</v>
      </c>
      <c r="L3458" s="6">
        <f t="shared" si="213"/>
        <v>45323</v>
      </c>
      <c r="M3458" s="3" t="str">
        <f t="shared" si="214"/>
        <v>21% to 25%</v>
      </c>
      <c r="N3458" s="3" t="str">
        <f t="shared" si="215"/>
        <v>OK</v>
      </c>
    </row>
    <row r="3459" spans="1:14" x14ac:dyDescent="0.3">
      <c r="A3459" s="2">
        <f>DATE(VALUE(RIGHT(TRIM([1]Raw_Data!A3457),4)),VALUE(MID(TRIM([1]Raw_Data!A3457),4,2)),VALUE(LEFT(TRIM([1]Raw_Data!A3457),2)))</f>
        <v>45341</v>
      </c>
      <c r="B3459" s="3" t="str">
        <f>TRIM([1]Raw_Data!B3457)</f>
        <v>Electrolyte Powder</v>
      </c>
      <c r="C3459" s="3" t="str">
        <f>TRIM([1]Raw_Data!C3457)</f>
        <v>Hydration</v>
      </c>
      <c r="D3459" s="3">
        <f>[1]Raw_Data!D3457</f>
        <v>161</v>
      </c>
      <c r="E3459" s="4">
        <f>[1]Raw_Data!E3457</f>
        <v>23.61</v>
      </c>
      <c r="F3459" s="5">
        <f>[1]Raw_Data!F3457</f>
        <v>3801.21</v>
      </c>
      <c r="G3459" s="4">
        <f>[1]Raw_Data!G3457</f>
        <v>0.11</v>
      </c>
      <c r="H3459" s="3">
        <f>[1]Raw_Data!H3457</f>
        <v>3</v>
      </c>
      <c r="I3459" s="3" t="str">
        <f>TRIM([1]Raw_Data!I3457)</f>
        <v>USA</v>
      </c>
      <c r="J3459" s="3" t="str">
        <f>TRIM([1]Raw_Data!J3457)</f>
        <v>Amazon</v>
      </c>
      <c r="K3459" s="3">
        <f t="shared" si="212"/>
        <v>2024</v>
      </c>
      <c r="L3459" s="6">
        <f t="shared" si="213"/>
        <v>45323</v>
      </c>
      <c r="M3459" s="3" t="str">
        <f t="shared" si="214"/>
        <v>11% to 15%</v>
      </c>
      <c r="N3459" s="3" t="str">
        <f t="shared" si="215"/>
        <v>OK</v>
      </c>
    </row>
    <row r="3460" spans="1:14" x14ac:dyDescent="0.3">
      <c r="A3460" s="2">
        <f>DATE(VALUE(RIGHT(TRIM([1]Raw_Data!A3458),4)),VALUE(MID(TRIM([1]Raw_Data!A3458),4,2)),VALUE(LEFT(TRIM([1]Raw_Data!A3458),2)))</f>
        <v>45348</v>
      </c>
      <c r="B3460" s="3" t="str">
        <f>TRIM([1]Raw_Data!B3458)</f>
        <v>Whey Protein</v>
      </c>
      <c r="C3460" s="3" t="str">
        <f>TRIM([1]Raw_Data!C3458)</f>
        <v>Protein</v>
      </c>
      <c r="D3460" s="3">
        <f>[1]Raw_Data!D3458</f>
        <v>148</v>
      </c>
      <c r="E3460" s="4">
        <f>[1]Raw_Data!E3458</f>
        <v>59.44</v>
      </c>
      <c r="F3460" s="5">
        <f>[1]Raw_Data!F3458</f>
        <v>8797.1200000000008</v>
      </c>
      <c r="G3460" s="4">
        <f>[1]Raw_Data!G3458</f>
        <v>0.02</v>
      </c>
      <c r="H3460" s="3">
        <f>[1]Raw_Data!H3458</f>
        <v>0</v>
      </c>
      <c r="I3460" s="3" t="str">
        <f>TRIM([1]Raw_Data!I3458)</f>
        <v>USA</v>
      </c>
      <c r="J3460" s="3" t="str">
        <f>TRIM([1]Raw_Data!J3458)</f>
        <v>iHerb</v>
      </c>
      <c r="K3460" s="3">
        <f t="shared" ref="K3460:K3523" si="216">YEAR(A3460)</f>
        <v>2024</v>
      </c>
      <c r="L3460" s="6">
        <f t="shared" ref="L3460:L3523" si="217">DATE(YEAR(A3460),MONTH(A3460),1)</f>
        <v>45323</v>
      </c>
      <c r="M3460" s="3" t="str">
        <f t="shared" ref="M3460:M3523" si="218">IF(ROUND(G3460*100,0)&lt;=5,"0% to 5%",IF(ROUND(G3460*100,0)&lt;=10,"6% to 10%",IF(ROUND(G3460*100,0)&lt;=15,"11% to 15%",IF(ROUND(G3460*100,0)&lt;=20,"16% to 20%","21% to 25%"))))</f>
        <v>0% to 5%</v>
      </c>
      <c r="N3460" s="3" t="str">
        <f t="shared" ref="N3460:N3523" si="219">IF(ROUND(D3460*E3460,2)=ROUND(F3460,2),"OK","Check")</f>
        <v>OK</v>
      </c>
    </row>
    <row r="3461" spans="1:14" x14ac:dyDescent="0.3">
      <c r="A3461" s="2">
        <f>DATE(VALUE(RIGHT(TRIM([1]Raw_Data!A3459),4)),VALUE(MID(TRIM([1]Raw_Data!A3459),4,2)),VALUE(LEFT(TRIM([1]Raw_Data!A3459),2)))</f>
        <v>45348</v>
      </c>
      <c r="B3461" s="3" t="str">
        <f>TRIM([1]Raw_Data!B3459)</f>
        <v>Vitamin C</v>
      </c>
      <c r="C3461" s="3" t="str">
        <f>TRIM([1]Raw_Data!C3459)</f>
        <v>Vitamin</v>
      </c>
      <c r="D3461" s="3">
        <f>[1]Raw_Data!D3459</f>
        <v>135</v>
      </c>
      <c r="E3461" s="4">
        <f>[1]Raw_Data!E3459</f>
        <v>16.55</v>
      </c>
      <c r="F3461" s="5">
        <f>[1]Raw_Data!F3459</f>
        <v>2234.25</v>
      </c>
      <c r="G3461" s="4">
        <f>[1]Raw_Data!G3459</f>
        <v>0.22</v>
      </c>
      <c r="H3461" s="3">
        <f>[1]Raw_Data!H3459</f>
        <v>0</v>
      </c>
      <c r="I3461" s="3" t="str">
        <f>TRIM([1]Raw_Data!I3459)</f>
        <v>USA</v>
      </c>
      <c r="J3461" s="3" t="str">
        <f>TRIM([1]Raw_Data!J3459)</f>
        <v>Walmart</v>
      </c>
      <c r="K3461" s="3">
        <f t="shared" si="216"/>
        <v>2024</v>
      </c>
      <c r="L3461" s="6">
        <f t="shared" si="217"/>
        <v>45323</v>
      </c>
      <c r="M3461" s="3" t="str">
        <f t="shared" si="218"/>
        <v>21% to 25%</v>
      </c>
      <c r="N3461" s="3" t="str">
        <f t="shared" si="219"/>
        <v>OK</v>
      </c>
    </row>
    <row r="3462" spans="1:14" x14ac:dyDescent="0.3">
      <c r="A3462" s="2">
        <f>DATE(VALUE(RIGHT(TRIM([1]Raw_Data!A3460),4)),VALUE(MID(TRIM([1]Raw_Data!A3460),4,2)),VALUE(LEFT(TRIM([1]Raw_Data!A3460),2)))</f>
        <v>45348</v>
      </c>
      <c r="B3462" s="3" t="str">
        <f>TRIM([1]Raw_Data!B3460)</f>
        <v>Fish Oil</v>
      </c>
      <c r="C3462" s="3" t="str">
        <f>TRIM([1]Raw_Data!C3460)</f>
        <v>Omega</v>
      </c>
      <c r="D3462" s="3">
        <f>[1]Raw_Data!D3460</f>
        <v>143</v>
      </c>
      <c r="E3462" s="4">
        <f>[1]Raw_Data!E3460</f>
        <v>56.58</v>
      </c>
      <c r="F3462" s="5">
        <f>[1]Raw_Data!F3460</f>
        <v>8090.94</v>
      </c>
      <c r="G3462" s="4">
        <f>[1]Raw_Data!G3460</f>
        <v>0.17</v>
      </c>
      <c r="H3462" s="3">
        <f>[1]Raw_Data!H3460</f>
        <v>3</v>
      </c>
      <c r="I3462" s="3" t="str">
        <f>TRIM([1]Raw_Data!I3460)</f>
        <v>USA</v>
      </c>
      <c r="J3462" s="3" t="str">
        <f>TRIM([1]Raw_Data!J3460)</f>
        <v>Walmart</v>
      </c>
      <c r="K3462" s="3">
        <f t="shared" si="216"/>
        <v>2024</v>
      </c>
      <c r="L3462" s="6">
        <f t="shared" si="217"/>
        <v>45323</v>
      </c>
      <c r="M3462" s="3" t="str">
        <f t="shared" si="218"/>
        <v>16% to 20%</v>
      </c>
      <c r="N3462" s="3" t="str">
        <f t="shared" si="219"/>
        <v>OK</v>
      </c>
    </row>
    <row r="3463" spans="1:14" x14ac:dyDescent="0.3">
      <c r="A3463" s="2">
        <f>DATE(VALUE(RIGHT(TRIM([1]Raw_Data!A3461),4)),VALUE(MID(TRIM([1]Raw_Data!A3461),4,2)),VALUE(LEFT(TRIM([1]Raw_Data!A3461),2)))</f>
        <v>45348</v>
      </c>
      <c r="B3463" s="3" t="str">
        <f>TRIM([1]Raw_Data!B3461)</f>
        <v>Multivitamin</v>
      </c>
      <c r="C3463" s="3" t="str">
        <f>TRIM([1]Raw_Data!C3461)</f>
        <v>Vitamin</v>
      </c>
      <c r="D3463" s="3">
        <f>[1]Raw_Data!D3461</f>
        <v>140</v>
      </c>
      <c r="E3463" s="4">
        <f>[1]Raw_Data!E3461</f>
        <v>21.15</v>
      </c>
      <c r="F3463" s="5">
        <f>[1]Raw_Data!F3461</f>
        <v>2961</v>
      </c>
      <c r="G3463" s="4">
        <f>[1]Raw_Data!G3461</f>
        <v>0.18</v>
      </c>
      <c r="H3463" s="3">
        <f>[1]Raw_Data!H3461</f>
        <v>0</v>
      </c>
      <c r="I3463" s="3" t="str">
        <f>TRIM([1]Raw_Data!I3461)</f>
        <v>Canada</v>
      </c>
      <c r="J3463" s="3" t="str">
        <f>TRIM([1]Raw_Data!J3461)</f>
        <v>Amazon</v>
      </c>
      <c r="K3463" s="3">
        <f t="shared" si="216"/>
        <v>2024</v>
      </c>
      <c r="L3463" s="6">
        <f t="shared" si="217"/>
        <v>45323</v>
      </c>
      <c r="M3463" s="3" t="str">
        <f t="shared" si="218"/>
        <v>16% to 20%</v>
      </c>
      <c r="N3463" s="3" t="str">
        <f t="shared" si="219"/>
        <v>OK</v>
      </c>
    </row>
    <row r="3464" spans="1:14" x14ac:dyDescent="0.3">
      <c r="A3464" s="2">
        <f>DATE(VALUE(RIGHT(TRIM([1]Raw_Data!A3462),4)),VALUE(MID(TRIM([1]Raw_Data!A3462),4,2)),VALUE(LEFT(TRIM([1]Raw_Data!A3462),2)))</f>
        <v>45348</v>
      </c>
      <c r="B3464" s="3" t="str">
        <f>TRIM([1]Raw_Data!B3462)</f>
        <v>Pre-Workout</v>
      </c>
      <c r="C3464" s="3" t="str">
        <f>TRIM([1]Raw_Data!C3462)</f>
        <v>Performance</v>
      </c>
      <c r="D3464" s="3">
        <f>[1]Raw_Data!D3462</f>
        <v>123</v>
      </c>
      <c r="E3464" s="4">
        <f>[1]Raw_Data!E3462</f>
        <v>42.1</v>
      </c>
      <c r="F3464" s="5">
        <f>[1]Raw_Data!F3462</f>
        <v>5178.3</v>
      </c>
      <c r="G3464" s="4">
        <f>[1]Raw_Data!G3462</f>
        <v>0.17</v>
      </c>
      <c r="H3464" s="3">
        <f>[1]Raw_Data!H3462</f>
        <v>1</v>
      </c>
      <c r="I3464" s="3" t="str">
        <f>TRIM([1]Raw_Data!I3462)</f>
        <v>UK</v>
      </c>
      <c r="J3464" s="3" t="str">
        <f>TRIM([1]Raw_Data!J3462)</f>
        <v>Amazon</v>
      </c>
      <c r="K3464" s="3">
        <f t="shared" si="216"/>
        <v>2024</v>
      </c>
      <c r="L3464" s="6">
        <f t="shared" si="217"/>
        <v>45323</v>
      </c>
      <c r="M3464" s="3" t="str">
        <f t="shared" si="218"/>
        <v>16% to 20%</v>
      </c>
      <c r="N3464" s="3" t="str">
        <f t="shared" si="219"/>
        <v>OK</v>
      </c>
    </row>
    <row r="3465" spans="1:14" x14ac:dyDescent="0.3">
      <c r="A3465" s="2">
        <f>DATE(VALUE(RIGHT(TRIM([1]Raw_Data!A3463),4)),VALUE(MID(TRIM([1]Raw_Data!A3463),4,2)),VALUE(LEFT(TRIM([1]Raw_Data!A3463),2)))</f>
        <v>45348</v>
      </c>
      <c r="B3465" s="3" t="str">
        <f>TRIM([1]Raw_Data!B3463)</f>
        <v>BCAA</v>
      </c>
      <c r="C3465" s="3" t="str">
        <f>TRIM([1]Raw_Data!C3463)</f>
        <v>Amino Acid</v>
      </c>
      <c r="D3465" s="3">
        <f>[1]Raw_Data!D3463</f>
        <v>162</v>
      </c>
      <c r="E3465" s="4">
        <f>[1]Raw_Data!E3463</f>
        <v>15.27</v>
      </c>
      <c r="F3465" s="5">
        <f>[1]Raw_Data!F3463</f>
        <v>2473.7399999999998</v>
      </c>
      <c r="G3465" s="4">
        <f>[1]Raw_Data!G3463</f>
        <v>0.2</v>
      </c>
      <c r="H3465" s="3">
        <f>[1]Raw_Data!H3463</f>
        <v>4</v>
      </c>
      <c r="I3465" s="3" t="str">
        <f>TRIM([1]Raw_Data!I3463)</f>
        <v>USA</v>
      </c>
      <c r="J3465" s="3" t="str">
        <f>TRIM([1]Raw_Data!J3463)</f>
        <v>iHerb</v>
      </c>
      <c r="K3465" s="3">
        <f t="shared" si="216"/>
        <v>2024</v>
      </c>
      <c r="L3465" s="6">
        <f t="shared" si="217"/>
        <v>45323</v>
      </c>
      <c r="M3465" s="3" t="str">
        <f t="shared" si="218"/>
        <v>16% to 20%</v>
      </c>
      <c r="N3465" s="3" t="str">
        <f t="shared" si="219"/>
        <v>OK</v>
      </c>
    </row>
    <row r="3466" spans="1:14" x14ac:dyDescent="0.3">
      <c r="A3466" s="2">
        <f>DATE(VALUE(RIGHT(TRIM([1]Raw_Data!A3464),4)),VALUE(MID(TRIM([1]Raw_Data!A3464),4,2)),VALUE(LEFT(TRIM([1]Raw_Data!A3464),2)))</f>
        <v>45348</v>
      </c>
      <c r="B3466" s="3" t="str">
        <f>TRIM([1]Raw_Data!B3464)</f>
        <v>Creatine</v>
      </c>
      <c r="C3466" s="3" t="str">
        <f>TRIM([1]Raw_Data!C3464)</f>
        <v>Performance</v>
      </c>
      <c r="D3466" s="3">
        <f>[1]Raw_Data!D3464</f>
        <v>125</v>
      </c>
      <c r="E3466" s="4">
        <f>[1]Raw_Data!E3464</f>
        <v>34.380000000000003</v>
      </c>
      <c r="F3466" s="5">
        <f>[1]Raw_Data!F3464</f>
        <v>4297.5</v>
      </c>
      <c r="G3466" s="4">
        <f>[1]Raw_Data!G3464</f>
        <v>0.04</v>
      </c>
      <c r="H3466" s="3">
        <f>[1]Raw_Data!H3464</f>
        <v>2</v>
      </c>
      <c r="I3466" s="3" t="str">
        <f>TRIM([1]Raw_Data!I3464)</f>
        <v>UK</v>
      </c>
      <c r="J3466" s="3" t="str">
        <f>TRIM([1]Raw_Data!J3464)</f>
        <v>Amazon</v>
      </c>
      <c r="K3466" s="3">
        <f t="shared" si="216"/>
        <v>2024</v>
      </c>
      <c r="L3466" s="6">
        <f t="shared" si="217"/>
        <v>45323</v>
      </c>
      <c r="M3466" s="3" t="str">
        <f t="shared" si="218"/>
        <v>0% to 5%</v>
      </c>
      <c r="N3466" s="3" t="str">
        <f t="shared" si="219"/>
        <v>OK</v>
      </c>
    </row>
    <row r="3467" spans="1:14" x14ac:dyDescent="0.3">
      <c r="A3467" s="2">
        <f>DATE(VALUE(RIGHT(TRIM([1]Raw_Data!A3465),4)),VALUE(MID(TRIM([1]Raw_Data!A3465),4,2)),VALUE(LEFT(TRIM([1]Raw_Data!A3465),2)))</f>
        <v>45348</v>
      </c>
      <c r="B3467" s="3" t="str">
        <f>TRIM([1]Raw_Data!B3465)</f>
        <v>Zinc</v>
      </c>
      <c r="C3467" s="3" t="str">
        <f>TRIM([1]Raw_Data!C3465)</f>
        <v>Mineral</v>
      </c>
      <c r="D3467" s="3">
        <f>[1]Raw_Data!D3465</f>
        <v>142</v>
      </c>
      <c r="E3467" s="4">
        <f>[1]Raw_Data!E3465</f>
        <v>43.55</v>
      </c>
      <c r="F3467" s="5">
        <f>[1]Raw_Data!F3465</f>
        <v>6184.1</v>
      </c>
      <c r="G3467" s="4">
        <f>[1]Raw_Data!G3465</f>
        <v>0.15</v>
      </c>
      <c r="H3467" s="3">
        <f>[1]Raw_Data!H3465</f>
        <v>0</v>
      </c>
      <c r="I3467" s="3" t="str">
        <f>TRIM([1]Raw_Data!I3465)</f>
        <v>Canada</v>
      </c>
      <c r="J3467" s="3" t="str">
        <f>TRIM([1]Raw_Data!J3465)</f>
        <v>Amazon</v>
      </c>
      <c r="K3467" s="3">
        <f t="shared" si="216"/>
        <v>2024</v>
      </c>
      <c r="L3467" s="6">
        <f t="shared" si="217"/>
        <v>45323</v>
      </c>
      <c r="M3467" s="3" t="str">
        <f t="shared" si="218"/>
        <v>11% to 15%</v>
      </c>
      <c r="N3467" s="3" t="str">
        <f t="shared" si="219"/>
        <v>OK</v>
      </c>
    </row>
    <row r="3468" spans="1:14" x14ac:dyDescent="0.3">
      <c r="A3468" s="2">
        <f>DATE(VALUE(RIGHT(TRIM([1]Raw_Data!A3466),4)),VALUE(MID(TRIM([1]Raw_Data!A3466),4,2)),VALUE(LEFT(TRIM([1]Raw_Data!A3466),2)))</f>
        <v>45348</v>
      </c>
      <c r="B3468" s="3" t="str">
        <f>TRIM([1]Raw_Data!B3466)</f>
        <v>Collagen Peptides</v>
      </c>
      <c r="C3468" s="3" t="str">
        <f>TRIM([1]Raw_Data!C3466)</f>
        <v>Protein</v>
      </c>
      <c r="D3468" s="3">
        <f>[1]Raw_Data!D3466</f>
        <v>139</v>
      </c>
      <c r="E3468" s="4">
        <f>[1]Raw_Data!E3466</f>
        <v>22.04</v>
      </c>
      <c r="F3468" s="5">
        <f>[1]Raw_Data!F3466</f>
        <v>3063.56</v>
      </c>
      <c r="G3468" s="4">
        <f>[1]Raw_Data!G3466</f>
        <v>0.09</v>
      </c>
      <c r="H3468" s="3">
        <f>[1]Raw_Data!H3466</f>
        <v>2</v>
      </c>
      <c r="I3468" s="3" t="str">
        <f>TRIM([1]Raw_Data!I3466)</f>
        <v>USA</v>
      </c>
      <c r="J3468" s="3" t="str">
        <f>TRIM([1]Raw_Data!J3466)</f>
        <v>Walmart</v>
      </c>
      <c r="K3468" s="3">
        <f t="shared" si="216"/>
        <v>2024</v>
      </c>
      <c r="L3468" s="6">
        <f t="shared" si="217"/>
        <v>45323</v>
      </c>
      <c r="M3468" s="3" t="str">
        <f t="shared" si="218"/>
        <v>6% to 10%</v>
      </c>
      <c r="N3468" s="3" t="str">
        <f t="shared" si="219"/>
        <v>OK</v>
      </c>
    </row>
    <row r="3469" spans="1:14" x14ac:dyDescent="0.3">
      <c r="A3469" s="2">
        <f>DATE(VALUE(RIGHT(TRIM([1]Raw_Data!A3467),4)),VALUE(MID(TRIM([1]Raw_Data!A3467),4,2)),VALUE(LEFT(TRIM([1]Raw_Data!A3467),2)))</f>
        <v>45348</v>
      </c>
      <c r="B3469" s="3" t="str">
        <f>TRIM([1]Raw_Data!B3467)</f>
        <v>Magnesium</v>
      </c>
      <c r="C3469" s="3" t="str">
        <f>TRIM([1]Raw_Data!C3467)</f>
        <v>Mineral</v>
      </c>
      <c r="D3469" s="3">
        <f>[1]Raw_Data!D3467</f>
        <v>145</v>
      </c>
      <c r="E3469" s="4">
        <f>[1]Raw_Data!E3467</f>
        <v>31.97</v>
      </c>
      <c r="F3469" s="5">
        <f>[1]Raw_Data!F3467</f>
        <v>4635.6499999999996</v>
      </c>
      <c r="G3469" s="4">
        <f>[1]Raw_Data!G3467</f>
        <v>0.2</v>
      </c>
      <c r="H3469" s="3">
        <f>[1]Raw_Data!H3467</f>
        <v>4</v>
      </c>
      <c r="I3469" s="3" t="str">
        <f>TRIM([1]Raw_Data!I3467)</f>
        <v>UK</v>
      </c>
      <c r="J3469" s="3" t="str">
        <f>TRIM([1]Raw_Data!J3467)</f>
        <v>Amazon</v>
      </c>
      <c r="K3469" s="3">
        <f t="shared" si="216"/>
        <v>2024</v>
      </c>
      <c r="L3469" s="6">
        <f t="shared" si="217"/>
        <v>45323</v>
      </c>
      <c r="M3469" s="3" t="str">
        <f t="shared" si="218"/>
        <v>16% to 20%</v>
      </c>
      <c r="N3469" s="3" t="str">
        <f t="shared" si="219"/>
        <v>OK</v>
      </c>
    </row>
    <row r="3470" spans="1:14" x14ac:dyDescent="0.3">
      <c r="A3470" s="2">
        <f>DATE(VALUE(RIGHT(TRIM([1]Raw_Data!A3468),4)),VALUE(MID(TRIM([1]Raw_Data!A3468),4,2)),VALUE(LEFT(TRIM([1]Raw_Data!A3468),2)))</f>
        <v>45348</v>
      </c>
      <c r="B3470" s="3" t="str">
        <f>TRIM([1]Raw_Data!B3468)</f>
        <v>Ashwagandha</v>
      </c>
      <c r="C3470" s="3" t="str">
        <f>TRIM([1]Raw_Data!C3468)</f>
        <v>Herbal</v>
      </c>
      <c r="D3470" s="3">
        <f>[1]Raw_Data!D3468</f>
        <v>140</v>
      </c>
      <c r="E3470" s="4">
        <f>[1]Raw_Data!E3468</f>
        <v>41.09</v>
      </c>
      <c r="F3470" s="5">
        <f>[1]Raw_Data!F3468</f>
        <v>5752.6</v>
      </c>
      <c r="G3470" s="4">
        <f>[1]Raw_Data!G3468</f>
        <v>0.2</v>
      </c>
      <c r="H3470" s="3">
        <f>[1]Raw_Data!H3468</f>
        <v>2</v>
      </c>
      <c r="I3470" s="3" t="str">
        <f>TRIM([1]Raw_Data!I3468)</f>
        <v>Canada</v>
      </c>
      <c r="J3470" s="3" t="str">
        <f>TRIM([1]Raw_Data!J3468)</f>
        <v>Amazon</v>
      </c>
      <c r="K3470" s="3">
        <f t="shared" si="216"/>
        <v>2024</v>
      </c>
      <c r="L3470" s="6">
        <f t="shared" si="217"/>
        <v>45323</v>
      </c>
      <c r="M3470" s="3" t="str">
        <f t="shared" si="218"/>
        <v>16% to 20%</v>
      </c>
      <c r="N3470" s="3" t="str">
        <f t="shared" si="219"/>
        <v>OK</v>
      </c>
    </row>
    <row r="3471" spans="1:14" x14ac:dyDescent="0.3">
      <c r="A3471" s="2">
        <f>DATE(VALUE(RIGHT(TRIM([1]Raw_Data!A3469),4)),VALUE(MID(TRIM([1]Raw_Data!A3469),4,2)),VALUE(LEFT(TRIM([1]Raw_Data!A3469),2)))</f>
        <v>45348</v>
      </c>
      <c r="B3471" s="3" t="str">
        <f>TRIM([1]Raw_Data!B3469)</f>
        <v>Melatonin</v>
      </c>
      <c r="C3471" s="3" t="str">
        <f>TRIM([1]Raw_Data!C3469)</f>
        <v>Sleep Aid</v>
      </c>
      <c r="D3471" s="3">
        <f>[1]Raw_Data!D3469</f>
        <v>147</v>
      </c>
      <c r="E3471" s="4">
        <f>[1]Raw_Data!E3469</f>
        <v>13.5</v>
      </c>
      <c r="F3471" s="5">
        <f>[1]Raw_Data!F3469</f>
        <v>1984.5</v>
      </c>
      <c r="G3471" s="4">
        <f>[1]Raw_Data!G3469</f>
        <v>0.13</v>
      </c>
      <c r="H3471" s="3">
        <f>[1]Raw_Data!H3469</f>
        <v>5</v>
      </c>
      <c r="I3471" s="3" t="str">
        <f>TRIM([1]Raw_Data!I3469)</f>
        <v>USA</v>
      </c>
      <c r="J3471" s="3" t="str">
        <f>TRIM([1]Raw_Data!J3469)</f>
        <v>Walmart</v>
      </c>
      <c r="K3471" s="3">
        <f t="shared" si="216"/>
        <v>2024</v>
      </c>
      <c r="L3471" s="6">
        <f t="shared" si="217"/>
        <v>45323</v>
      </c>
      <c r="M3471" s="3" t="str">
        <f t="shared" si="218"/>
        <v>11% to 15%</v>
      </c>
      <c r="N3471" s="3" t="str">
        <f t="shared" si="219"/>
        <v>OK</v>
      </c>
    </row>
    <row r="3472" spans="1:14" x14ac:dyDescent="0.3">
      <c r="A3472" s="2">
        <f>DATE(VALUE(RIGHT(TRIM([1]Raw_Data!A3470),4)),VALUE(MID(TRIM([1]Raw_Data!A3470),4,2)),VALUE(LEFT(TRIM([1]Raw_Data!A3470),2)))</f>
        <v>45348</v>
      </c>
      <c r="B3472" s="3" t="str">
        <f>TRIM([1]Raw_Data!B3470)</f>
        <v>Biotin</v>
      </c>
      <c r="C3472" s="3" t="str">
        <f>TRIM([1]Raw_Data!C3470)</f>
        <v>Vitamin</v>
      </c>
      <c r="D3472" s="3">
        <f>[1]Raw_Data!D3470</f>
        <v>159</v>
      </c>
      <c r="E3472" s="4">
        <f>[1]Raw_Data!E3470</f>
        <v>51.36</v>
      </c>
      <c r="F3472" s="5">
        <f>[1]Raw_Data!F3470</f>
        <v>8166.24</v>
      </c>
      <c r="G3472" s="4">
        <f>[1]Raw_Data!G3470</f>
        <v>0.19</v>
      </c>
      <c r="H3472" s="3">
        <f>[1]Raw_Data!H3470</f>
        <v>1</v>
      </c>
      <c r="I3472" s="3" t="str">
        <f>TRIM([1]Raw_Data!I3470)</f>
        <v>USA</v>
      </c>
      <c r="J3472" s="3" t="str">
        <f>TRIM([1]Raw_Data!J3470)</f>
        <v>iHerb</v>
      </c>
      <c r="K3472" s="3">
        <f t="shared" si="216"/>
        <v>2024</v>
      </c>
      <c r="L3472" s="6">
        <f t="shared" si="217"/>
        <v>45323</v>
      </c>
      <c r="M3472" s="3" t="str">
        <f t="shared" si="218"/>
        <v>16% to 20%</v>
      </c>
      <c r="N3472" s="3" t="str">
        <f t="shared" si="219"/>
        <v>OK</v>
      </c>
    </row>
    <row r="3473" spans="1:14" x14ac:dyDescent="0.3">
      <c r="A3473" s="2">
        <f>DATE(VALUE(RIGHT(TRIM([1]Raw_Data!A3471),4)),VALUE(MID(TRIM([1]Raw_Data!A3471),4,2)),VALUE(LEFT(TRIM([1]Raw_Data!A3471),2)))</f>
        <v>45348</v>
      </c>
      <c r="B3473" s="3" t="str">
        <f>TRIM([1]Raw_Data!B3471)</f>
        <v>Green Tea Extract</v>
      </c>
      <c r="C3473" s="3" t="str">
        <f>TRIM([1]Raw_Data!C3471)</f>
        <v>Fat Burner</v>
      </c>
      <c r="D3473" s="3">
        <f>[1]Raw_Data!D3471</f>
        <v>166</v>
      </c>
      <c r="E3473" s="4">
        <f>[1]Raw_Data!E3471</f>
        <v>24.76</v>
      </c>
      <c r="F3473" s="5">
        <f>[1]Raw_Data!F3471</f>
        <v>4110.16</v>
      </c>
      <c r="G3473" s="4">
        <f>[1]Raw_Data!G3471</f>
        <v>7.0000000000000007E-2</v>
      </c>
      <c r="H3473" s="3">
        <f>[1]Raw_Data!H3471</f>
        <v>3</v>
      </c>
      <c r="I3473" s="3" t="str">
        <f>TRIM([1]Raw_Data!I3471)</f>
        <v>Canada</v>
      </c>
      <c r="J3473" s="3" t="str">
        <f>TRIM([1]Raw_Data!J3471)</f>
        <v>iHerb</v>
      </c>
      <c r="K3473" s="3">
        <f t="shared" si="216"/>
        <v>2024</v>
      </c>
      <c r="L3473" s="6">
        <f t="shared" si="217"/>
        <v>45323</v>
      </c>
      <c r="M3473" s="3" t="str">
        <f t="shared" si="218"/>
        <v>6% to 10%</v>
      </c>
      <c r="N3473" s="3" t="str">
        <f t="shared" si="219"/>
        <v>OK</v>
      </c>
    </row>
    <row r="3474" spans="1:14" x14ac:dyDescent="0.3">
      <c r="A3474" s="2">
        <f>DATE(VALUE(RIGHT(TRIM([1]Raw_Data!A3472),4)),VALUE(MID(TRIM([1]Raw_Data!A3472),4,2)),VALUE(LEFT(TRIM([1]Raw_Data!A3472),2)))</f>
        <v>45348</v>
      </c>
      <c r="B3474" s="3" t="str">
        <f>TRIM([1]Raw_Data!B3472)</f>
        <v>Iron Supplement</v>
      </c>
      <c r="C3474" s="3" t="str">
        <f>TRIM([1]Raw_Data!C3472)</f>
        <v>Mineral</v>
      </c>
      <c r="D3474" s="3">
        <f>[1]Raw_Data!D3472</f>
        <v>174</v>
      </c>
      <c r="E3474" s="4">
        <f>[1]Raw_Data!E3472</f>
        <v>40.28</v>
      </c>
      <c r="F3474" s="5">
        <f>[1]Raw_Data!F3472</f>
        <v>7008.72</v>
      </c>
      <c r="G3474" s="4">
        <f>[1]Raw_Data!G3472</f>
        <v>0.06</v>
      </c>
      <c r="H3474" s="3">
        <f>[1]Raw_Data!H3472</f>
        <v>2</v>
      </c>
      <c r="I3474" s="3" t="str">
        <f>TRIM([1]Raw_Data!I3472)</f>
        <v>USA</v>
      </c>
      <c r="J3474" s="3" t="str">
        <f>TRIM([1]Raw_Data!J3472)</f>
        <v>Walmart</v>
      </c>
      <c r="K3474" s="3">
        <f t="shared" si="216"/>
        <v>2024</v>
      </c>
      <c r="L3474" s="6">
        <f t="shared" si="217"/>
        <v>45323</v>
      </c>
      <c r="M3474" s="3" t="str">
        <f t="shared" si="218"/>
        <v>6% to 10%</v>
      </c>
      <c r="N3474" s="3" t="str">
        <f t="shared" si="219"/>
        <v>OK</v>
      </c>
    </row>
    <row r="3475" spans="1:14" x14ac:dyDescent="0.3">
      <c r="A3475" s="2">
        <f>DATE(VALUE(RIGHT(TRIM([1]Raw_Data!A3473),4)),VALUE(MID(TRIM([1]Raw_Data!A3473),4,2)),VALUE(LEFT(TRIM([1]Raw_Data!A3473),2)))</f>
        <v>45348</v>
      </c>
      <c r="B3475" s="3" t="str">
        <f>TRIM([1]Raw_Data!B3473)</f>
        <v>Electrolyte Powder</v>
      </c>
      <c r="C3475" s="3" t="str">
        <f>TRIM([1]Raw_Data!C3473)</f>
        <v>Hydration</v>
      </c>
      <c r="D3475" s="3">
        <f>[1]Raw_Data!D3473</f>
        <v>140</v>
      </c>
      <c r="E3475" s="4">
        <f>[1]Raw_Data!E3473</f>
        <v>29.35</v>
      </c>
      <c r="F3475" s="5">
        <f>[1]Raw_Data!F3473</f>
        <v>4109</v>
      </c>
      <c r="G3475" s="4">
        <f>[1]Raw_Data!G3473</f>
        <v>0.21</v>
      </c>
      <c r="H3475" s="3">
        <f>[1]Raw_Data!H3473</f>
        <v>1</v>
      </c>
      <c r="I3475" s="3" t="str">
        <f>TRIM([1]Raw_Data!I3473)</f>
        <v>UK</v>
      </c>
      <c r="J3475" s="3" t="str">
        <f>TRIM([1]Raw_Data!J3473)</f>
        <v>Walmart</v>
      </c>
      <c r="K3475" s="3">
        <f t="shared" si="216"/>
        <v>2024</v>
      </c>
      <c r="L3475" s="6">
        <f t="shared" si="217"/>
        <v>45323</v>
      </c>
      <c r="M3475" s="3" t="str">
        <f t="shared" si="218"/>
        <v>21% to 25%</v>
      </c>
      <c r="N3475" s="3" t="str">
        <f t="shared" si="219"/>
        <v>OK</v>
      </c>
    </row>
    <row r="3476" spans="1:14" x14ac:dyDescent="0.3">
      <c r="A3476" s="2">
        <f>DATE(VALUE(RIGHT(TRIM([1]Raw_Data!A3474),4)),VALUE(MID(TRIM([1]Raw_Data!A3474),4,2)),VALUE(LEFT(TRIM([1]Raw_Data!A3474),2)))</f>
        <v>45355</v>
      </c>
      <c r="B3476" s="3" t="str">
        <f>TRIM([1]Raw_Data!B3474)</f>
        <v>Whey Protein</v>
      </c>
      <c r="C3476" s="3" t="str">
        <f>TRIM([1]Raw_Data!C3474)</f>
        <v>Protein</v>
      </c>
      <c r="D3476" s="3">
        <f>[1]Raw_Data!D3474</f>
        <v>163</v>
      </c>
      <c r="E3476" s="4">
        <f>[1]Raw_Data!E3474</f>
        <v>32.01</v>
      </c>
      <c r="F3476" s="5">
        <f>[1]Raw_Data!F3474</f>
        <v>5217.63</v>
      </c>
      <c r="G3476" s="4">
        <f>[1]Raw_Data!G3474</f>
        <v>0.15</v>
      </c>
      <c r="H3476" s="3">
        <f>[1]Raw_Data!H3474</f>
        <v>0</v>
      </c>
      <c r="I3476" s="3" t="str">
        <f>TRIM([1]Raw_Data!I3474)</f>
        <v>Canada</v>
      </c>
      <c r="J3476" s="3" t="str">
        <f>TRIM([1]Raw_Data!J3474)</f>
        <v>iHerb</v>
      </c>
      <c r="K3476" s="3">
        <f t="shared" si="216"/>
        <v>2024</v>
      </c>
      <c r="L3476" s="6">
        <f t="shared" si="217"/>
        <v>45352</v>
      </c>
      <c r="M3476" s="3" t="str">
        <f t="shared" si="218"/>
        <v>11% to 15%</v>
      </c>
      <c r="N3476" s="3" t="str">
        <f t="shared" si="219"/>
        <v>OK</v>
      </c>
    </row>
    <row r="3477" spans="1:14" x14ac:dyDescent="0.3">
      <c r="A3477" s="2">
        <f>DATE(VALUE(RIGHT(TRIM([1]Raw_Data!A3475),4)),VALUE(MID(TRIM([1]Raw_Data!A3475),4,2)),VALUE(LEFT(TRIM([1]Raw_Data!A3475),2)))</f>
        <v>45355</v>
      </c>
      <c r="B3477" s="3" t="str">
        <f>TRIM([1]Raw_Data!B3475)</f>
        <v>Vitamin C</v>
      </c>
      <c r="C3477" s="3" t="str">
        <f>TRIM([1]Raw_Data!C3475)</f>
        <v>Vitamin</v>
      </c>
      <c r="D3477" s="3">
        <f>[1]Raw_Data!D3475</f>
        <v>177</v>
      </c>
      <c r="E3477" s="4">
        <f>[1]Raw_Data!E3475</f>
        <v>35.39</v>
      </c>
      <c r="F3477" s="5">
        <f>[1]Raw_Data!F3475</f>
        <v>6264.03</v>
      </c>
      <c r="G3477" s="4">
        <f>[1]Raw_Data!G3475</f>
        <v>0.21</v>
      </c>
      <c r="H3477" s="3">
        <f>[1]Raw_Data!H3475</f>
        <v>3</v>
      </c>
      <c r="I3477" s="3" t="str">
        <f>TRIM([1]Raw_Data!I3475)</f>
        <v>Canada</v>
      </c>
      <c r="J3477" s="3" t="str">
        <f>TRIM([1]Raw_Data!J3475)</f>
        <v>Walmart</v>
      </c>
      <c r="K3477" s="3">
        <f t="shared" si="216"/>
        <v>2024</v>
      </c>
      <c r="L3477" s="6">
        <f t="shared" si="217"/>
        <v>45352</v>
      </c>
      <c r="M3477" s="3" t="str">
        <f t="shared" si="218"/>
        <v>21% to 25%</v>
      </c>
      <c r="N3477" s="3" t="str">
        <f t="shared" si="219"/>
        <v>OK</v>
      </c>
    </row>
    <row r="3478" spans="1:14" x14ac:dyDescent="0.3">
      <c r="A3478" s="2">
        <f>DATE(VALUE(RIGHT(TRIM([1]Raw_Data!A3476),4)),VALUE(MID(TRIM([1]Raw_Data!A3476),4,2)),VALUE(LEFT(TRIM([1]Raw_Data!A3476),2)))</f>
        <v>45355</v>
      </c>
      <c r="B3478" s="3" t="str">
        <f>TRIM([1]Raw_Data!B3476)</f>
        <v>Fish Oil</v>
      </c>
      <c r="C3478" s="3" t="str">
        <f>TRIM([1]Raw_Data!C3476)</f>
        <v>Omega</v>
      </c>
      <c r="D3478" s="3">
        <f>[1]Raw_Data!D3476</f>
        <v>151</v>
      </c>
      <c r="E3478" s="4">
        <f>[1]Raw_Data!E3476</f>
        <v>13.24</v>
      </c>
      <c r="F3478" s="5">
        <f>[1]Raw_Data!F3476</f>
        <v>1999.24</v>
      </c>
      <c r="G3478" s="4">
        <f>[1]Raw_Data!G3476</f>
        <v>0.03</v>
      </c>
      <c r="H3478" s="3">
        <f>[1]Raw_Data!H3476</f>
        <v>2</v>
      </c>
      <c r="I3478" s="3" t="str">
        <f>TRIM([1]Raw_Data!I3476)</f>
        <v>USA</v>
      </c>
      <c r="J3478" s="3" t="str">
        <f>TRIM([1]Raw_Data!J3476)</f>
        <v>Amazon</v>
      </c>
      <c r="K3478" s="3">
        <f t="shared" si="216"/>
        <v>2024</v>
      </c>
      <c r="L3478" s="6">
        <f t="shared" si="217"/>
        <v>45352</v>
      </c>
      <c r="M3478" s="3" t="str">
        <f t="shared" si="218"/>
        <v>0% to 5%</v>
      </c>
      <c r="N3478" s="3" t="str">
        <f t="shared" si="219"/>
        <v>OK</v>
      </c>
    </row>
    <row r="3479" spans="1:14" x14ac:dyDescent="0.3">
      <c r="A3479" s="2">
        <f>DATE(VALUE(RIGHT(TRIM([1]Raw_Data!A3477),4)),VALUE(MID(TRIM([1]Raw_Data!A3477),4,2)),VALUE(LEFT(TRIM([1]Raw_Data!A3477),2)))</f>
        <v>45355</v>
      </c>
      <c r="B3479" s="3" t="str">
        <f>TRIM([1]Raw_Data!B3477)</f>
        <v>Multivitamin</v>
      </c>
      <c r="C3479" s="3" t="str">
        <f>TRIM([1]Raw_Data!C3477)</f>
        <v>Vitamin</v>
      </c>
      <c r="D3479" s="3">
        <f>[1]Raw_Data!D3477</f>
        <v>145</v>
      </c>
      <c r="E3479" s="4">
        <f>[1]Raw_Data!E3477</f>
        <v>26.4</v>
      </c>
      <c r="F3479" s="5">
        <f>[1]Raw_Data!F3477</f>
        <v>3828</v>
      </c>
      <c r="G3479" s="4">
        <f>[1]Raw_Data!G3477</f>
        <v>0.1</v>
      </c>
      <c r="H3479" s="3">
        <f>[1]Raw_Data!H3477</f>
        <v>3</v>
      </c>
      <c r="I3479" s="3" t="str">
        <f>TRIM([1]Raw_Data!I3477)</f>
        <v>UK</v>
      </c>
      <c r="J3479" s="3" t="str">
        <f>TRIM([1]Raw_Data!J3477)</f>
        <v>Amazon</v>
      </c>
      <c r="K3479" s="3">
        <f t="shared" si="216"/>
        <v>2024</v>
      </c>
      <c r="L3479" s="6">
        <f t="shared" si="217"/>
        <v>45352</v>
      </c>
      <c r="M3479" s="3" t="str">
        <f t="shared" si="218"/>
        <v>6% to 10%</v>
      </c>
      <c r="N3479" s="3" t="str">
        <f t="shared" si="219"/>
        <v>OK</v>
      </c>
    </row>
    <row r="3480" spans="1:14" x14ac:dyDescent="0.3">
      <c r="A3480" s="2">
        <f>DATE(VALUE(RIGHT(TRIM([1]Raw_Data!A3478),4)),VALUE(MID(TRIM([1]Raw_Data!A3478),4,2)),VALUE(LEFT(TRIM([1]Raw_Data!A3478),2)))</f>
        <v>45355</v>
      </c>
      <c r="B3480" s="3" t="str">
        <f>TRIM([1]Raw_Data!B3478)</f>
        <v>Pre-Workout</v>
      </c>
      <c r="C3480" s="3" t="str">
        <f>TRIM([1]Raw_Data!C3478)</f>
        <v>Performance</v>
      </c>
      <c r="D3480" s="3">
        <f>[1]Raw_Data!D3478</f>
        <v>161</v>
      </c>
      <c r="E3480" s="4">
        <f>[1]Raw_Data!E3478</f>
        <v>23.22</v>
      </c>
      <c r="F3480" s="5">
        <f>[1]Raw_Data!F3478</f>
        <v>3738.42</v>
      </c>
      <c r="G3480" s="4">
        <f>[1]Raw_Data!G3478</f>
        <v>0.08</v>
      </c>
      <c r="H3480" s="3">
        <f>[1]Raw_Data!H3478</f>
        <v>3</v>
      </c>
      <c r="I3480" s="3" t="str">
        <f>TRIM([1]Raw_Data!I3478)</f>
        <v>Canada</v>
      </c>
      <c r="J3480" s="3" t="str">
        <f>TRIM([1]Raw_Data!J3478)</f>
        <v>iHerb</v>
      </c>
      <c r="K3480" s="3">
        <f t="shared" si="216"/>
        <v>2024</v>
      </c>
      <c r="L3480" s="6">
        <f t="shared" si="217"/>
        <v>45352</v>
      </c>
      <c r="M3480" s="3" t="str">
        <f t="shared" si="218"/>
        <v>6% to 10%</v>
      </c>
      <c r="N3480" s="3" t="str">
        <f t="shared" si="219"/>
        <v>OK</v>
      </c>
    </row>
    <row r="3481" spans="1:14" x14ac:dyDescent="0.3">
      <c r="A3481" s="2">
        <f>DATE(VALUE(RIGHT(TRIM([1]Raw_Data!A3479),4)),VALUE(MID(TRIM([1]Raw_Data!A3479),4,2)),VALUE(LEFT(TRIM([1]Raw_Data!A3479),2)))</f>
        <v>45355</v>
      </c>
      <c r="B3481" s="3" t="str">
        <f>TRIM([1]Raw_Data!B3479)</f>
        <v>BCAA</v>
      </c>
      <c r="C3481" s="3" t="str">
        <f>TRIM([1]Raw_Data!C3479)</f>
        <v>Amino Acid</v>
      </c>
      <c r="D3481" s="3">
        <f>[1]Raw_Data!D3479</f>
        <v>169</v>
      </c>
      <c r="E3481" s="4">
        <f>[1]Raw_Data!E3479</f>
        <v>21.34</v>
      </c>
      <c r="F3481" s="5">
        <f>[1]Raw_Data!F3479</f>
        <v>3606.46</v>
      </c>
      <c r="G3481" s="4">
        <f>[1]Raw_Data!G3479</f>
        <v>0.05</v>
      </c>
      <c r="H3481" s="3">
        <f>[1]Raw_Data!H3479</f>
        <v>3</v>
      </c>
      <c r="I3481" s="3" t="str">
        <f>TRIM([1]Raw_Data!I3479)</f>
        <v>Canada</v>
      </c>
      <c r="J3481" s="3" t="str">
        <f>TRIM([1]Raw_Data!J3479)</f>
        <v>iHerb</v>
      </c>
      <c r="K3481" s="3">
        <f t="shared" si="216"/>
        <v>2024</v>
      </c>
      <c r="L3481" s="6">
        <f t="shared" si="217"/>
        <v>45352</v>
      </c>
      <c r="M3481" s="3" t="str">
        <f t="shared" si="218"/>
        <v>0% to 5%</v>
      </c>
      <c r="N3481" s="3" t="str">
        <f t="shared" si="219"/>
        <v>OK</v>
      </c>
    </row>
    <row r="3482" spans="1:14" x14ac:dyDescent="0.3">
      <c r="A3482" s="2">
        <f>DATE(VALUE(RIGHT(TRIM([1]Raw_Data!A3480),4)),VALUE(MID(TRIM([1]Raw_Data!A3480),4,2)),VALUE(LEFT(TRIM([1]Raw_Data!A3480),2)))</f>
        <v>45355</v>
      </c>
      <c r="B3482" s="3" t="str">
        <f>TRIM([1]Raw_Data!B3480)</f>
        <v>Creatine</v>
      </c>
      <c r="C3482" s="3" t="str">
        <f>TRIM([1]Raw_Data!C3480)</f>
        <v>Performance</v>
      </c>
      <c r="D3482" s="3">
        <f>[1]Raw_Data!D3480</f>
        <v>168</v>
      </c>
      <c r="E3482" s="4">
        <f>[1]Raw_Data!E3480</f>
        <v>31.03</v>
      </c>
      <c r="F3482" s="5">
        <f>[1]Raw_Data!F3480</f>
        <v>5213.04</v>
      </c>
      <c r="G3482" s="4">
        <f>[1]Raw_Data!G3480</f>
        <v>0.21</v>
      </c>
      <c r="H3482" s="3">
        <f>[1]Raw_Data!H3480</f>
        <v>3</v>
      </c>
      <c r="I3482" s="3" t="str">
        <f>TRIM([1]Raw_Data!I3480)</f>
        <v>Canada</v>
      </c>
      <c r="J3482" s="3" t="str">
        <f>TRIM([1]Raw_Data!J3480)</f>
        <v>Amazon</v>
      </c>
      <c r="K3482" s="3">
        <f t="shared" si="216"/>
        <v>2024</v>
      </c>
      <c r="L3482" s="6">
        <f t="shared" si="217"/>
        <v>45352</v>
      </c>
      <c r="M3482" s="3" t="str">
        <f t="shared" si="218"/>
        <v>21% to 25%</v>
      </c>
      <c r="N3482" s="3" t="str">
        <f t="shared" si="219"/>
        <v>OK</v>
      </c>
    </row>
    <row r="3483" spans="1:14" x14ac:dyDescent="0.3">
      <c r="A3483" s="2">
        <f>DATE(VALUE(RIGHT(TRIM([1]Raw_Data!A3481),4)),VALUE(MID(TRIM([1]Raw_Data!A3481),4,2)),VALUE(LEFT(TRIM([1]Raw_Data!A3481),2)))</f>
        <v>45355</v>
      </c>
      <c r="B3483" s="3" t="str">
        <f>TRIM([1]Raw_Data!B3481)</f>
        <v>Zinc</v>
      </c>
      <c r="C3483" s="3" t="str">
        <f>TRIM([1]Raw_Data!C3481)</f>
        <v>Mineral</v>
      </c>
      <c r="D3483" s="3">
        <f>[1]Raw_Data!D3481</f>
        <v>162</v>
      </c>
      <c r="E3483" s="4">
        <f>[1]Raw_Data!E3481</f>
        <v>55.58</v>
      </c>
      <c r="F3483" s="5">
        <f>[1]Raw_Data!F3481</f>
        <v>9003.9599999999991</v>
      </c>
      <c r="G3483" s="4">
        <f>[1]Raw_Data!G3481</f>
        <v>0.08</v>
      </c>
      <c r="H3483" s="3">
        <f>[1]Raw_Data!H3481</f>
        <v>0</v>
      </c>
      <c r="I3483" s="3" t="str">
        <f>TRIM([1]Raw_Data!I3481)</f>
        <v>USA</v>
      </c>
      <c r="J3483" s="3" t="str">
        <f>TRIM([1]Raw_Data!J3481)</f>
        <v>Walmart</v>
      </c>
      <c r="K3483" s="3">
        <f t="shared" si="216"/>
        <v>2024</v>
      </c>
      <c r="L3483" s="6">
        <f t="shared" si="217"/>
        <v>45352</v>
      </c>
      <c r="M3483" s="3" t="str">
        <f t="shared" si="218"/>
        <v>6% to 10%</v>
      </c>
      <c r="N3483" s="3" t="str">
        <f t="shared" si="219"/>
        <v>OK</v>
      </c>
    </row>
    <row r="3484" spans="1:14" x14ac:dyDescent="0.3">
      <c r="A3484" s="2">
        <f>DATE(VALUE(RIGHT(TRIM([1]Raw_Data!A3482),4)),VALUE(MID(TRIM([1]Raw_Data!A3482),4,2)),VALUE(LEFT(TRIM([1]Raw_Data!A3482),2)))</f>
        <v>45355</v>
      </c>
      <c r="B3484" s="3" t="str">
        <f>TRIM([1]Raw_Data!B3482)</f>
        <v>Collagen Peptides</v>
      </c>
      <c r="C3484" s="3" t="str">
        <f>TRIM([1]Raw_Data!C3482)</f>
        <v>Protein</v>
      </c>
      <c r="D3484" s="3">
        <f>[1]Raw_Data!D3482</f>
        <v>158</v>
      </c>
      <c r="E3484" s="4">
        <f>[1]Raw_Data!E3482</f>
        <v>52.73</v>
      </c>
      <c r="F3484" s="5">
        <f>[1]Raw_Data!F3482</f>
        <v>8331.34</v>
      </c>
      <c r="G3484" s="4">
        <f>[1]Raw_Data!G3482</f>
        <v>0.02</v>
      </c>
      <c r="H3484" s="3">
        <f>[1]Raw_Data!H3482</f>
        <v>3</v>
      </c>
      <c r="I3484" s="3" t="str">
        <f>TRIM([1]Raw_Data!I3482)</f>
        <v>UK</v>
      </c>
      <c r="J3484" s="3" t="str">
        <f>TRIM([1]Raw_Data!J3482)</f>
        <v>iHerb</v>
      </c>
      <c r="K3484" s="3">
        <f t="shared" si="216"/>
        <v>2024</v>
      </c>
      <c r="L3484" s="6">
        <f t="shared" si="217"/>
        <v>45352</v>
      </c>
      <c r="M3484" s="3" t="str">
        <f t="shared" si="218"/>
        <v>0% to 5%</v>
      </c>
      <c r="N3484" s="3" t="str">
        <f t="shared" si="219"/>
        <v>OK</v>
      </c>
    </row>
    <row r="3485" spans="1:14" x14ac:dyDescent="0.3">
      <c r="A3485" s="2">
        <f>DATE(VALUE(RIGHT(TRIM([1]Raw_Data!A3483),4)),VALUE(MID(TRIM([1]Raw_Data!A3483),4,2)),VALUE(LEFT(TRIM([1]Raw_Data!A3483),2)))</f>
        <v>45355</v>
      </c>
      <c r="B3485" s="3" t="str">
        <f>TRIM([1]Raw_Data!B3483)</f>
        <v>Magnesium</v>
      </c>
      <c r="C3485" s="3" t="str">
        <f>TRIM([1]Raw_Data!C3483)</f>
        <v>Mineral</v>
      </c>
      <c r="D3485" s="3">
        <f>[1]Raw_Data!D3483</f>
        <v>142</v>
      </c>
      <c r="E3485" s="4">
        <f>[1]Raw_Data!E3483</f>
        <v>12.01</v>
      </c>
      <c r="F3485" s="5">
        <f>[1]Raw_Data!F3483</f>
        <v>1705.42</v>
      </c>
      <c r="G3485" s="4">
        <f>[1]Raw_Data!G3483</f>
        <v>0.15</v>
      </c>
      <c r="H3485" s="3">
        <f>[1]Raw_Data!H3483</f>
        <v>2</v>
      </c>
      <c r="I3485" s="3" t="str">
        <f>TRIM([1]Raw_Data!I3483)</f>
        <v>USA</v>
      </c>
      <c r="J3485" s="3" t="str">
        <f>TRIM([1]Raw_Data!J3483)</f>
        <v>Amazon</v>
      </c>
      <c r="K3485" s="3">
        <f t="shared" si="216"/>
        <v>2024</v>
      </c>
      <c r="L3485" s="6">
        <f t="shared" si="217"/>
        <v>45352</v>
      </c>
      <c r="M3485" s="3" t="str">
        <f t="shared" si="218"/>
        <v>11% to 15%</v>
      </c>
      <c r="N3485" s="3" t="str">
        <f t="shared" si="219"/>
        <v>OK</v>
      </c>
    </row>
    <row r="3486" spans="1:14" x14ac:dyDescent="0.3">
      <c r="A3486" s="2">
        <f>DATE(VALUE(RIGHT(TRIM([1]Raw_Data!A3484),4)),VALUE(MID(TRIM([1]Raw_Data!A3484),4,2)),VALUE(LEFT(TRIM([1]Raw_Data!A3484),2)))</f>
        <v>45355</v>
      </c>
      <c r="B3486" s="3" t="str">
        <f>TRIM([1]Raw_Data!B3484)</f>
        <v>Ashwagandha</v>
      </c>
      <c r="C3486" s="3" t="str">
        <f>TRIM([1]Raw_Data!C3484)</f>
        <v>Herbal</v>
      </c>
      <c r="D3486" s="3">
        <f>[1]Raw_Data!D3484</f>
        <v>145</v>
      </c>
      <c r="E3486" s="4">
        <f>[1]Raw_Data!E3484</f>
        <v>36.880000000000003</v>
      </c>
      <c r="F3486" s="5">
        <f>[1]Raw_Data!F3484</f>
        <v>5347.6</v>
      </c>
      <c r="G3486" s="4">
        <f>[1]Raw_Data!G3484</f>
        <v>0.21</v>
      </c>
      <c r="H3486" s="3">
        <f>[1]Raw_Data!H3484</f>
        <v>1</v>
      </c>
      <c r="I3486" s="3" t="str">
        <f>TRIM([1]Raw_Data!I3484)</f>
        <v>Canada</v>
      </c>
      <c r="J3486" s="3" t="str">
        <f>TRIM([1]Raw_Data!J3484)</f>
        <v>iHerb</v>
      </c>
      <c r="K3486" s="3">
        <f t="shared" si="216"/>
        <v>2024</v>
      </c>
      <c r="L3486" s="6">
        <f t="shared" si="217"/>
        <v>45352</v>
      </c>
      <c r="M3486" s="3" t="str">
        <f t="shared" si="218"/>
        <v>21% to 25%</v>
      </c>
      <c r="N3486" s="3" t="str">
        <f t="shared" si="219"/>
        <v>OK</v>
      </c>
    </row>
    <row r="3487" spans="1:14" x14ac:dyDescent="0.3">
      <c r="A3487" s="2">
        <f>DATE(VALUE(RIGHT(TRIM([1]Raw_Data!A3485),4)),VALUE(MID(TRIM([1]Raw_Data!A3485),4,2)),VALUE(LEFT(TRIM([1]Raw_Data!A3485),2)))</f>
        <v>45355</v>
      </c>
      <c r="B3487" s="3" t="str">
        <f>TRIM([1]Raw_Data!B3485)</f>
        <v>Melatonin</v>
      </c>
      <c r="C3487" s="3" t="str">
        <f>TRIM([1]Raw_Data!C3485)</f>
        <v>Sleep Aid</v>
      </c>
      <c r="D3487" s="3">
        <f>[1]Raw_Data!D3485</f>
        <v>141</v>
      </c>
      <c r="E3487" s="4">
        <f>[1]Raw_Data!E3485</f>
        <v>57.46</v>
      </c>
      <c r="F3487" s="5">
        <f>[1]Raw_Data!F3485</f>
        <v>8101.86</v>
      </c>
      <c r="G3487" s="4">
        <f>[1]Raw_Data!G3485</f>
        <v>0.09</v>
      </c>
      <c r="H3487" s="3">
        <f>[1]Raw_Data!H3485</f>
        <v>0</v>
      </c>
      <c r="I3487" s="3" t="str">
        <f>TRIM([1]Raw_Data!I3485)</f>
        <v>Canada</v>
      </c>
      <c r="J3487" s="3" t="str">
        <f>TRIM([1]Raw_Data!J3485)</f>
        <v>iHerb</v>
      </c>
      <c r="K3487" s="3">
        <f t="shared" si="216"/>
        <v>2024</v>
      </c>
      <c r="L3487" s="6">
        <f t="shared" si="217"/>
        <v>45352</v>
      </c>
      <c r="M3487" s="3" t="str">
        <f t="shared" si="218"/>
        <v>6% to 10%</v>
      </c>
      <c r="N3487" s="3" t="str">
        <f t="shared" si="219"/>
        <v>OK</v>
      </c>
    </row>
    <row r="3488" spans="1:14" x14ac:dyDescent="0.3">
      <c r="A3488" s="2">
        <f>DATE(VALUE(RIGHT(TRIM([1]Raw_Data!A3486),4)),VALUE(MID(TRIM([1]Raw_Data!A3486),4,2)),VALUE(LEFT(TRIM([1]Raw_Data!A3486),2)))</f>
        <v>45355</v>
      </c>
      <c r="B3488" s="3" t="str">
        <f>TRIM([1]Raw_Data!B3486)</f>
        <v>Biotin</v>
      </c>
      <c r="C3488" s="3" t="str">
        <f>TRIM([1]Raw_Data!C3486)</f>
        <v>Vitamin</v>
      </c>
      <c r="D3488" s="3">
        <f>[1]Raw_Data!D3486</f>
        <v>161</v>
      </c>
      <c r="E3488" s="4">
        <f>[1]Raw_Data!E3486</f>
        <v>16.43</v>
      </c>
      <c r="F3488" s="5">
        <f>[1]Raw_Data!F3486</f>
        <v>2645.23</v>
      </c>
      <c r="G3488" s="4">
        <f>[1]Raw_Data!G3486</f>
        <v>0.25</v>
      </c>
      <c r="H3488" s="3">
        <f>[1]Raw_Data!H3486</f>
        <v>2</v>
      </c>
      <c r="I3488" s="3" t="str">
        <f>TRIM([1]Raw_Data!I3486)</f>
        <v>USA</v>
      </c>
      <c r="J3488" s="3" t="str">
        <f>TRIM([1]Raw_Data!J3486)</f>
        <v>Walmart</v>
      </c>
      <c r="K3488" s="3">
        <f t="shared" si="216"/>
        <v>2024</v>
      </c>
      <c r="L3488" s="6">
        <f t="shared" si="217"/>
        <v>45352</v>
      </c>
      <c r="M3488" s="3" t="str">
        <f t="shared" si="218"/>
        <v>21% to 25%</v>
      </c>
      <c r="N3488" s="3" t="str">
        <f t="shared" si="219"/>
        <v>OK</v>
      </c>
    </row>
    <row r="3489" spans="1:14" x14ac:dyDescent="0.3">
      <c r="A3489" s="2">
        <f>DATE(VALUE(RIGHT(TRIM([1]Raw_Data!A3487),4)),VALUE(MID(TRIM([1]Raw_Data!A3487),4,2)),VALUE(LEFT(TRIM([1]Raw_Data!A3487),2)))</f>
        <v>45355</v>
      </c>
      <c r="B3489" s="3" t="str">
        <f>TRIM([1]Raw_Data!B3487)</f>
        <v>Green Tea Extract</v>
      </c>
      <c r="C3489" s="3" t="str">
        <f>TRIM([1]Raw_Data!C3487)</f>
        <v>Fat Burner</v>
      </c>
      <c r="D3489" s="3">
        <f>[1]Raw_Data!D3487</f>
        <v>150</v>
      </c>
      <c r="E3489" s="4">
        <f>[1]Raw_Data!E3487</f>
        <v>54.93</v>
      </c>
      <c r="F3489" s="5">
        <f>[1]Raw_Data!F3487</f>
        <v>8239.5</v>
      </c>
      <c r="G3489" s="4">
        <f>[1]Raw_Data!G3487</f>
        <v>0.06</v>
      </c>
      <c r="H3489" s="3">
        <f>[1]Raw_Data!H3487</f>
        <v>1</v>
      </c>
      <c r="I3489" s="3" t="str">
        <f>TRIM([1]Raw_Data!I3487)</f>
        <v>Canada</v>
      </c>
      <c r="J3489" s="3" t="str">
        <f>TRIM([1]Raw_Data!J3487)</f>
        <v>iHerb</v>
      </c>
      <c r="K3489" s="3">
        <f t="shared" si="216"/>
        <v>2024</v>
      </c>
      <c r="L3489" s="6">
        <f t="shared" si="217"/>
        <v>45352</v>
      </c>
      <c r="M3489" s="3" t="str">
        <f t="shared" si="218"/>
        <v>6% to 10%</v>
      </c>
      <c r="N3489" s="3" t="str">
        <f t="shared" si="219"/>
        <v>OK</v>
      </c>
    </row>
    <row r="3490" spans="1:14" x14ac:dyDescent="0.3">
      <c r="A3490" s="2">
        <f>DATE(VALUE(RIGHT(TRIM([1]Raw_Data!A3488),4)),VALUE(MID(TRIM([1]Raw_Data!A3488),4,2)),VALUE(LEFT(TRIM([1]Raw_Data!A3488),2)))</f>
        <v>45355</v>
      </c>
      <c r="B3490" s="3" t="str">
        <f>TRIM([1]Raw_Data!B3488)</f>
        <v>Iron Supplement</v>
      </c>
      <c r="C3490" s="3" t="str">
        <f>TRIM([1]Raw_Data!C3488)</f>
        <v>Mineral</v>
      </c>
      <c r="D3490" s="3">
        <f>[1]Raw_Data!D3488</f>
        <v>133</v>
      </c>
      <c r="E3490" s="4">
        <f>[1]Raw_Data!E3488</f>
        <v>39.78</v>
      </c>
      <c r="F3490" s="5">
        <f>[1]Raw_Data!F3488</f>
        <v>5290.74</v>
      </c>
      <c r="G3490" s="4">
        <f>[1]Raw_Data!G3488</f>
        <v>0.15</v>
      </c>
      <c r="H3490" s="3">
        <f>[1]Raw_Data!H3488</f>
        <v>0</v>
      </c>
      <c r="I3490" s="3" t="str">
        <f>TRIM([1]Raw_Data!I3488)</f>
        <v>Canada</v>
      </c>
      <c r="J3490" s="3" t="str">
        <f>TRIM([1]Raw_Data!J3488)</f>
        <v>Amazon</v>
      </c>
      <c r="K3490" s="3">
        <f t="shared" si="216"/>
        <v>2024</v>
      </c>
      <c r="L3490" s="6">
        <f t="shared" si="217"/>
        <v>45352</v>
      </c>
      <c r="M3490" s="3" t="str">
        <f t="shared" si="218"/>
        <v>11% to 15%</v>
      </c>
      <c r="N3490" s="3" t="str">
        <f t="shared" si="219"/>
        <v>OK</v>
      </c>
    </row>
    <row r="3491" spans="1:14" x14ac:dyDescent="0.3">
      <c r="A3491" s="2">
        <f>DATE(VALUE(RIGHT(TRIM([1]Raw_Data!A3489),4)),VALUE(MID(TRIM([1]Raw_Data!A3489),4,2)),VALUE(LEFT(TRIM([1]Raw_Data!A3489),2)))</f>
        <v>45355</v>
      </c>
      <c r="B3491" s="3" t="str">
        <f>TRIM([1]Raw_Data!B3489)</f>
        <v>Electrolyte Powder</v>
      </c>
      <c r="C3491" s="3" t="str">
        <f>TRIM([1]Raw_Data!C3489)</f>
        <v>Hydration</v>
      </c>
      <c r="D3491" s="3">
        <f>[1]Raw_Data!D3489</f>
        <v>155</v>
      </c>
      <c r="E3491" s="4">
        <f>[1]Raw_Data!E3489</f>
        <v>27.89</v>
      </c>
      <c r="F3491" s="5">
        <f>[1]Raw_Data!F3489</f>
        <v>4322.95</v>
      </c>
      <c r="G3491" s="4">
        <f>[1]Raw_Data!G3489</f>
        <v>0.2</v>
      </c>
      <c r="H3491" s="3">
        <f>[1]Raw_Data!H3489</f>
        <v>1</v>
      </c>
      <c r="I3491" s="3" t="str">
        <f>TRIM([1]Raw_Data!I3489)</f>
        <v>USA</v>
      </c>
      <c r="J3491" s="3" t="str">
        <f>TRIM([1]Raw_Data!J3489)</f>
        <v>Amazon</v>
      </c>
      <c r="K3491" s="3">
        <f t="shared" si="216"/>
        <v>2024</v>
      </c>
      <c r="L3491" s="6">
        <f t="shared" si="217"/>
        <v>45352</v>
      </c>
      <c r="M3491" s="3" t="str">
        <f t="shared" si="218"/>
        <v>16% to 20%</v>
      </c>
      <c r="N3491" s="3" t="str">
        <f t="shared" si="219"/>
        <v>OK</v>
      </c>
    </row>
    <row r="3492" spans="1:14" x14ac:dyDescent="0.3">
      <c r="A3492" s="2">
        <f>DATE(VALUE(RIGHT(TRIM([1]Raw_Data!A3490),4)),VALUE(MID(TRIM([1]Raw_Data!A3490),4,2)),VALUE(LEFT(TRIM([1]Raw_Data!A3490),2)))</f>
        <v>45362</v>
      </c>
      <c r="B3492" s="3" t="str">
        <f>TRIM([1]Raw_Data!B3490)</f>
        <v>Whey Protein</v>
      </c>
      <c r="C3492" s="3" t="str">
        <f>TRIM([1]Raw_Data!C3490)</f>
        <v>Protein</v>
      </c>
      <c r="D3492" s="3">
        <f>[1]Raw_Data!D3490</f>
        <v>160</v>
      </c>
      <c r="E3492" s="4">
        <f>[1]Raw_Data!E3490</f>
        <v>37.56</v>
      </c>
      <c r="F3492" s="5">
        <f>[1]Raw_Data!F3490</f>
        <v>6009.6</v>
      </c>
      <c r="G3492" s="4">
        <f>[1]Raw_Data!G3490</f>
        <v>0.24</v>
      </c>
      <c r="H3492" s="3">
        <f>[1]Raw_Data!H3490</f>
        <v>5</v>
      </c>
      <c r="I3492" s="3" t="str">
        <f>TRIM([1]Raw_Data!I3490)</f>
        <v>USA</v>
      </c>
      <c r="J3492" s="3" t="str">
        <f>TRIM([1]Raw_Data!J3490)</f>
        <v>Walmart</v>
      </c>
      <c r="K3492" s="3">
        <f t="shared" si="216"/>
        <v>2024</v>
      </c>
      <c r="L3492" s="6">
        <f t="shared" si="217"/>
        <v>45352</v>
      </c>
      <c r="M3492" s="3" t="str">
        <f t="shared" si="218"/>
        <v>21% to 25%</v>
      </c>
      <c r="N3492" s="3" t="str">
        <f t="shared" si="219"/>
        <v>OK</v>
      </c>
    </row>
    <row r="3493" spans="1:14" x14ac:dyDescent="0.3">
      <c r="A3493" s="2">
        <f>DATE(VALUE(RIGHT(TRIM([1]Raw_Data!A3491),4)),VALUE(MID(TRIM([1]Raw_Data!A3491),4,2)),VALUE(LEFT(TRIM([1]Raw_Data!A3491),2)))</f>
        <v>45362</v>
      </c>
      <c r="B3493" s="3" t="str">
        <f>TRIM([1]Raw_Data!B3491)</f>
        <v>Vitamin C</v>
      </c>
      <c r="C3493" s="3" t="str">
        <f>TRIM([1]Raw_Data!C3491)</f>
        <v>Vitamin</v>
      </c>
      <c r="D3493" s="3">
        <f>[1]Raw_Data!D3491</f>
        <v>142</v>
      </c>
      <c r="E3493" s="4">
        <f>[1]Raw_Data!E3491</f>
        <v>13.15</v>
      </c>
      <c r="F3493" s="5">
        <f>[1]Raw_Data!F3491</f>
        <v>1867.3</v>
      </c>
      <c r="G3493" s="4">
        <f>[1]Raw_Data!G3491</f>
        <v>0.22</v>
      </c>
      <c r="H3493" s="3">
        <f>[1]Raw_Data!H3491</f>
        <v>1</v>
      </c>
      <c r="I3493" s="3" t="str">
        <f>TRIM([1]Raw_Data!I3491)</f>
        <v>UK</v>
      </c>
      <c r="J3493" s="3" t="str">
        <f>TRIM([1]Raw_Data!J3491)</f>
        <v>Walmart</v>
      </c>
      <c r="K3493" s="3">
        <f t="shared" si="216"/>
        <v>2024</v>
      </c>
      <c r="L3493" s="6">
        <f t="shared" si="217"/>
        <v>45352</v>
      </c>
      <c r="M3493" s="3" t="str">
        <f t="shared" si="218"/>
        <v>21% to 25%</v>
      </c>
      <c r="N3493" s="3" t="str">
        <f t="shared" si="219"/>
        <v>OK</v>
      </c>
    </row>
    <row r="3494" spans="1:14" x14ac:dyDescent="0.3">
      <c r="A3494" s="2">
        <f>DATE(VALUE(RIGHT(TRIM([1]Raw_Data!A3492),4)),VALUE(MID(TRIM([1]Raw_Data!A3492),4,2)),VALUE(LEFT(TRIM([1]Raw_Data!A3492),2)))</f>
        <v>45362</v>
      </c>
      <c r="B3494" s="3" t="str">
        <f>TRIM([1]Raw_Data!B3492)</f>
        <v>Fish Oil</v>
      </c>
      <c r="C3494" s="3" t="str">
        <f>TRIM([1]Raw_Data!C3492)</f>
        <v>Omega</v>
      </c>
      <c r="D3494" s="3">
        <f>[1]Raw_Data!D3492</f>
        <v>146</v>
      </c>
      <c r="E3494" s="4">
        <f>[1]Raw_Data!E3492</f>
        <v>57.34</v>
      </c>
      <c r="F3494" s="5">
        <f>[1]Raw_Data!F3492</f>
        <v>8371.64</v>
      </c>
      <c r="G3494" s="4">
        <f>[1]Raw_Data!G3492</f>
        <v>0.13</v>
      </c>
      <c r="H3494" s="3">
        <f>[1]Raw_Data!H3492</f>
        <v>1</v>
      </c>
      <c r="I3494" s="3" t="str">
        <f>TRIM([1]Raw_Data!I3492)</f>
        <v>USA</v>
      </c>
      <c r="J3494" s="3" t="str">
        <f>TRIM([1]Raw_Data!J3492)</f>
        <v>Walmart</v>
      </c>
      <c r="K3494" s="3">
        <f t="shared" si="216"/>
        <v>2024</v>
      </c>
      <c r="L3494" s="6">
        <f t="shared" si="217"/>
        <v>45352</v>
      </c>
      <c r="M3494" s="3" t="str">
        <f t="shared" si="218"/>
        <v>11% to 15%</v>
      </c>
      <c r="N3494" s="3" t="str">
        <f t="shared" si="219"/>
        <v>OK</v>
      </c>
    </row>
    <row r="3495" spans="1:14" x14ac:dyDescent="0.3">
      <c r="A3495" s="2">
        <f>DATE(VALUE(RIGHT(TRIM([1]Raw_Data!A3493),4)),VALUE(MID(TRIM([1]Raw_Data!A3493),4,2)),VALUE(LEFT(TRIM([1]Raw_Data!A3493),2)))</f>
        <v>45362</v>
      </c>
      <c r="B3495" s="3" t="str">
        <f>TRIM([1]Raw_Data!B3493)</f>
        <v>Multivitamin</v>
      </c>
      <c r="C3495" s="3" t="str">
        <f>TRIM([1]Raw_Data!C3493)</f>
        <v>Vitamin</v>
      </c>
      <c r="D3495" s="3">
        <f>[1]Raw_Data!D3493</f>
        <v>145</v>
      </c>
      <c r="E3495" s="4">
        <f>[1]Raw_Data!E3493</f>
        <v>40.090000000000003</v>
      </c>
      <c r="F3495" s="5">
        <f>[1]Raw_Data!F3493</f>
        <v>5813.05</v>
      </c>
      <c r="G3495" s="4">
        <f>[1]Raw_Data!G3493</f>
        <v>0.23</v>
      </c>
      <c r="H3495" s="3">
        <f>[1]Raw_Data!H3493</f>
        <v>3</v>
      </c>
      <c r="I3495" s="3" t="str">
        <f>TRIM([1]Raw_Data!I3493)</f>
        <v>USA</v>
      </c>
      <c r="J3495" s="3" t="str">
        <f>TRIM([1]Raw_Data!J3493)</f>
        <v>Amazon</v>
      </c>
      <c r="K3495" s="3">
        <f t="shared" si="216"/>
        <v>2024</v>
      </c>
      <c r="L3495" s="6">
        <f t="shared" si="217"/>
        <v>45352</v>
      </c>
      <c r="M3495" s="3" t="str">
        <f t="shared" si="218"/>
        <v>21% to 25%</v>
      </c>
      <c r="N3495" s="3" t="str">
        <f t="shared" si="219"/>
        <v>OK</v>
      </c>
    </row>
    <row r="3496" spans="1:14" x14ac:dyDescent="0.3">
      <c r="A3496" s="2">
        <f>DATE(VALUE(RIGHT(TRIM([1]Raw_Data!A3494),4)),VALUE(MID(TRIM([1]Raw_Data!A3494),4,2)),VALUE(LEFT(TRIM([1]Raw_Data!A3494),2)))</f>
        <v>45362</v>
      </c>
      <c r="B3496" s="3" t="str">
        <f>TRIM([1]Raw_Data!B3494)</f>
        <v>Pre-Workout</v>
      </c>
      <c r="C3496" s="3" t="str">
        <f>TRIM([1]Raw_Data!C3494)</f>
        <v>Performance</v>
      </c>
      <c r="D3496" s="3">
        <f>[1]Raw_Data!D3494</f>
        <v>149</v>
      </c>
      <c r="E3496" s="4">
        <f>[1]Raw_Data!E3494</f>
        <v>31.16</v>
      </c>
      <c r="F3496" s="5">
        <f>[1]Raw_Data!F3494</f>
        <v>4642.84</v>
      </c>
      <c r="G3496" s="4">
        <f>[1]Raw_Data!G3494</f>
        <v>0.06</v>
      </c>
      <c r="H3496" s="3">
        <f>[1]Raw_Data!H3494</f>
        <v>5</v>
      </c>
      <c r="I3496" s="3" t="str">
        <f>TRIM([1]Raw_Data!I3494)</f>
        <v>Canada</v>
      </c>
      <c r="J3496" s="3" t="str">
        <f>TRIM([1]Raw_Data!J3494)</f>
        <v>iHerb</v>
      </c>
      <c r="K3496" s="3">
        <f t="shared" si="216"/>
        <v>2024</v>
      </c>
      <c r="L3496" s="6">
        <f t="shared" si="217"/>
        <v>45352</v>
      </c>
      <c r="M3496" s="3" t="str">
        <f t="shared" si="218"/>
        <v>6% to 10%</v>
      </c>
      <c r="N3496" s="3" t="str">
        <f t="shared" si="219"/>
        <v>OK</v>
      </c>
    </row>
    <row r="3497" spans="1:14" x14ac:dyDescent="0.3">
      <c r="A3497" s="2">
        <f>DATE(VALUE(RIGHT(TRIM([1]Raw_Data!A3495),4)),VALUE(MID(TRIM([1]Raw_Data!A3495),4,2)),VALUE(LEFT(TRIM([1]Raw_Data!A3495),2)))</f>
        <v>45362</v>
      </c>
      <c r="B3497" s="3" t="str">
        <f>TRIM([1]Raw_Data!B3495)</f>
        <v>BCAA</v>
      </c>
      <c r="C3497" s="3" t="str">
        <f>TRIM([1]Raw_Data!C3495)</f>
        <v>Amino Acid</v>
      </c>
      <c r="D3497" s="3">
        <f>[1]Raw_Data!D3495</f>
        <v>143</v>
      </c>
      <c r="E3497" s="4">
        <f>[1]Raw_Data!E3495</f>
        <v>59.48</v>
      </c>
      <c r="F3497" s="5">
        <f>[1]Raw_Data!F3495</f>
        <v>8505.64</v>
      </c>
      <c r="G3497" s="4">
        <f>[1]Raw_Data!G3495</f>
        <v>0.03</v>
      </c>
      <c r="H3497" s="3">
        <f>[1]Raw_Data!H3495</f>
        <v>2</v>
      </c>
      <c r="I3497" s="3" t="str">
        <f>TRIM([1]Raw_Data!I3495)</f>
        <v>USA</v>
      </c>
      <c r="J3497" s="3" t="str">
        <f>TRIM([1]Raw_Data!J3495)</f>
        <v>Amazon</v>
      </c>
      <c r="K3497" s="3">
        <f t="shared" si="216"/>
        <v>2024</v>
      </c>
      <c r="L3497" s="6">
        <f t="shared" si="217"/>
        <v>45352</v>
      </c>
      <c r="M3497" s="3" t="str">
        <f t="shared" si="218"/>
        <v>0% to 5%</v>
      </c>
      <c r="N3497" s="3" t="str">
        <f t="shared" si="219"/>
        <v>OK</v>
      </c>
    </row>
    <row r="3498" spans="1:14" x14ac:dyDescent="0.3">
      <c r="A3498" s="2">
        <f>DATE(VALUE(RIGHT(TRIM([1]Raw_Data!A3496),4)),VALUE(MID(TRIM([1]Raw_Data!A3496),4,2)),VALUE(LEFT(TRIM([1]Raw_Data!A3496),2)))</f>
        <v>45362</v>
      </c>
      <c r="B3498" s="3" t="str">
        <f>TRIM([1]Raw_Data!B3496)</f>
        <v>Creatine</v>
      </c>
      <c r="C3498" s="3" t="str">
        <f>TRIM([1]Raw_Data!C3496)</f>
        <v>Performance</v>
      </c>
      <c r="D3498" s="3">
        <f>[1]Raw_Data!D3496</f>
        <v>174</v>
      </c>
      <c r="E3498" s="4">
        <f>[1]Raw_Data!E3496</f>
        <v>10.130000000000001</v>
      </c>
      <c r="F3498" s="5">
        <f>[1]Raw_Data!F3496</f>
        <v>1762.62</v>
      </c>
      <c r="G3498" s="4">
        <f>[1]Raw_Data!G3496</f>
        <v>0.09</v>
      </c>
      <c r="H3498" s="3">
        <f>[1]Raw_Data!H3496</f>
        <v>0</v>
      </c>
      <c r="I3498" s="3" t="str">
        <f>TRIM([1]Raw_Data!I3496)</f>
        <v>USA</v>
      </c>
      <c r="J3498" s="3" t="str">
        <f>TRIM([1]Raw_Data!J3496)</f>
        <v>Walmart</v>
      </c>
      <c r="K3498" s="3">
        <f t="shared" si="216"/>
        <v>2024</v>
      </c>
      <c r="L3498" s="6">
        <f t="shared" si="217"/>
        <v>45352</v>
      </c>
      <c r="M3498" s="3" t="str">
        <f t="shared" si="218"/>
        <v>6% to 10%</v>
      </c>
      <c r="N3498" s="3" t="str">
        <f t="shared" si="219"/>
        <v>OK</v>
      </c>
    </row>
    <row r="3499" spans="1:14" x14ac:dyDescent="0.3">
      <c r="A3499" s="2">
        <f>DATE(VALUE(RIGHT(TRIM([1]Raw_Data!A3497),4)),VALUE(MID(TRIM([1]Raw_Data!A3497),4,2)),VALUE(LEFT(TRIM([1]Raw_Data!A3497),2)))</f>
        <v>45362</v>
      </c>
      <c r="B3499" s="3" t="str">
        <f>TRIM([1]Raw_Data!B3497)</f>
        <v>Zinc</v>
      </c>
      <c r="C3499" s="3" t="str">
        <f>TRIM([1]Raw_Data!C3497)</f>
        <v>Mineral</v>
      </c>
      <c r="D3499" s="3">
        <f>[1]Raw_Data!D3497</f>
        <v>147</v>
      </c>
      <c r="E3499" s="4">
        <f>[1]Raw_Data!E3497</f>
        <v>31.94</v>
      </c>
      <c r="F3499" s="5">
        <f>[1]Raw_Data!F3497</f>
        <v>4695.18</v>
      </c>
      <c r="G3499" s="4">
        <f>[1]Raw_Data!G3497</f>
        <v>0.11</v>
      </c>
      <c r="H3499" s="3">
        <f>[1]Raw_Data!H3497</f>
        <v>1</v>
      </c>
      <c r="I3499" s="3" t="str">
        <f>TRIM([1]Raw_Data!I3497)</f>
        <v>UK</v>
      </c>
      <c r="J3499" s="3" t="str">
        <f>TRIM([1]Raw_Data!J3497)</f>
        <v>Walmart</v>
      </c>
      <c r="K3499" s="3">
        <f t="shared" si="216"/>
        <v>2024</v>
      </c>
      <c r="L3499" s="6">
        <f t="shared" si="217"/>
        <v>45352</v>
      </c>
      <c r="M3499" s="3" t="str">
        <f t="shared" si="218"/>
        <v>11% to 15%</v>
      </c>
      <c r="N3499" s="3" t="str">
        <f t="shared" si="219"/>
        <v>OK</v>
      </c>
    </row>
    <row r="3500" spans="1:14" x14ac:dyDescent="0.3">
      <c r="A3500" s="2">
        <f>DATE(VALUE(RIGHT(TRIM([1]Raw_Data!A3498),4)),VALUE(MID(TRIM([1]Raw_Data!A3498),4,2)),VALUE(LEFT(TRIM([1]Raw_Data!A3498),2)))</f>
        <v>45362</v>
      </c>
      <c r="B3500" s="3" t="str">
        <f>TRIM([1]Raw_Data!B3498)</f>
        <v>Collagen Peptides</v>
      </c>
      <c r="C3500" s="3" t="str">
        <f>TRIM([1]Raw_Data!C3498)</f>
        <v>Protein</v>
      </c>
      <c r="D3500" s="3">
        <f>[1]Raw_Data!D3498</f>
        <v>153</v>
      </c>
      <c r="E3500" s="4">
        <f>[1]Raw_Data!E3498</f>
        <v>25.42</v>
      </c>
      <c r="F3500" s="5">
        <f>[1]Raw_Data!F3498</f>
        <v>3889.26</v>
      </c>
      <c r="G3500" s="4">
        <f>[1]Raw_Data!G3498</f>
        <v>0.21</v>
      </c>
      <c r="H3500" s="3">
        <f>[1]Raw_Data!H3498</f>
        <v>2</v>
      </c>
      <c r="I3500" s="3" t="str">
        <f>TRIM([1]Raw_Data!I3498)</f>
        <v>Canada</v>
      </c>
      <c r="J3500" s="3" t="str">
        <f>TRIM([1]Raw_Data!J3498)</f>
        <v>iHerb</v>
      </c>
      <c r="K3500" s="3">
        <f t="shared" si="216"/>
        <v>2024</v>
      </c>
      <c r="L3500" s="6">
        <f t="shared" si="217"/>
        <v>45352</v>
      </c>
      <c r="M3500" s="3" t="str">
        <f t="shared" si="218"/>
        <v>21% to 25%</v>
      </c>
      <c r="N3500" s="3" t="str">
        <f t="shared" si="219"/>
        <v>OK</v>
      </c>
    </row>
    <row r="3501" spans="1:14" x14ac:dyDescent="0.3">
      <c r="A3501" s="2">
        <f>DATE(VALUE(RIGHT(TRIM([1]Raw_Data!A3499),4)),VALUE(MID(TRIM([1]Raw_Data!A3499),4,2)),VALUE(LEFT(TRIM([1]Raw_Data!A3499),2)))</f>
        <v>45362</v>
      </c>
      <c r="B3501" s="3" t="str">
        <f>TRIM([1]Raw_Data!B3499)</f>
        <v>Magnesium</v>
      </c>
      <c r="C3501" s="3" t="str">
        <f>TRIM([1]Raw_Data!C3499)</f>
        <v>Mineral</v>
      </c>
      <c r="D3501" s="3">
        <f>[1]Raw_Data!D3499</f>
        <v>143</v>
      </c>
      <c r="E3501" s="4">
        <f>[1]Raw_Data!E3499</f>
        <v>28.06</v>
      </c>
      <c r="F3501" s="5">
        <f>[1]Raw_Data!F3499</f>
        <v>4012.58</v>
      </c>
      <c r="G3501" s="4">
        <f>[1]Raw_Data!G3499</f>
        <v>0.16</v>
      </c>
      <c r="H3501" s="3">
        <f>[1]Raw_Data!H3499</f>
        <v>0</v>
      </c>
      <c r="I3501" s="3" t="str">
        <f>TRIM([1]Raw_Data!I3499)</f>
        <v>UK</v>
      </c>
      <c r="J3501" s="3" t="str">
        <f>TRIM([1]Raw_Data!J3499)</f>
        <v>iHerb</v>
      </c>
      <c r="K3501" s="3">
        <f t="shared" si="216"/>
        <v>2024</v>
      </c>
      <c r="L3501" s="6">
        <f t="shared" si="217"/>
        <v>45352</v>
      </c>
      <c r="M3501" s="3" t="str">
        <f t="shared" si="218"/>
        <v>16% to 20%</v>
      </c>
      <c r="N3501" s="3" t="str">
        <f t="shared" si="219"/>
        <v>OK</v>
      </c>
    </row>
    <row r="3502" spans="1:14" x14ac:dyDescent="0.3">
      <c r="A3502" s="2">
        <f>DATE(VALUE(RIGHT(TRIM([1]Raw_Data!A3500),4)),VALUE(MID(TRIM([1]Raw_Data!A3500),4,2)),VALUE(LEFT(TRIM([1]Raw_Data!A3500),2)))</f>
        <v>45362</v>
      </c>
      <c r="B3502" s="3" t="str">
        <f>TRIM([1]Raw_Data!B3500)</f>
        <v>Ashwagandha</v>
      </c>
      <c r="C3502" s="3" t="str">
        <f>TRIM([1]Raw_Data!C3500)</f>
        <v>Herbal</v>
      </c>
      <c r="D3502" s="3">
        <f>[1]Raw_Data!D3500</f>
        <v>171</v>
      </c>
      <c r="E3502" s="4">
        <f>[1]Raw_Data!E3500</f>
        <v>56</v>
      </c>
      <c r="F3502" s="5">
        <f>[1]Raw_Data!F3500</f>
        <v>9576</v>
      </c>
      <c r="G3502" s="4">
        <f>[1]Raw_Data!G3500</f>
        <v>0.01</v>
      </c>
      <c r="H3502" s="3">
        <f>[1]Raw_Data!H3500</f>
        <v>1</v>
      </c>
      <c r="I3502" s="3" t="str">
        <f>TRIM([1]Raw_Data!I3500)</f>
        <v>UK</v>
      </c>
      <c r="J3502" s="3" t="str">
        <f>TRIM([1]Raw_Data!J3500)</f>
        <v>iHerb</v>
      </c>
      <c r="K3502" s="3">
        <f t="shared" si="216"/>
        <v>2024</v>
      </c>
      <c r="L3502" s="6">
        <f t="shared" si="217"/>
        <v>45352</v>
      </c>
      <c r="M3502" s="3" t="str">
        <f t="shared" si="218"/>
        <v>0% to 5%</v>
      </c>
      <c r="N3502" s="3" t="str">
        <f t="shared" si="219"/>
        <v>OK</v>
      </c>
    </row>
    <row r="3503" spans="1:14" x14ac:dyDescent="0.3">
      <c r="A3503" s="2">
        <f>DATE(VALUE(RIGHT(TRIM([1]Raw_Data!A3501),4)),VALUE(MID(TRIM([1]Raw_Data!A3501),4,2)),VALUE(LEFT(TRIM([1]Raw_Data!A3501),2)))</f>
        <v>45362</v>
      </c>
      <c r="B3503" s="3" t="str">
        <f>TRIM([1]Raw_Data!B3501)</f>
        <v>Melatonin</v>
      </c>
      <c r="C3503" s="3" t="str">
        <f>TRIM([1]Raw_Data!C3501)</f>
        <v>Sleep Aid</v>
      </c>
      <c r="D3503" s="3">
        <f>[1]Raw_Data!D3501</f>
        <v>165</v>
      </c>
      <c r="E3503" s="4">
        <f>[1]Raw_Data!E3501</f>
        <v>31.81</v>
      </c>
      <c r="F3503" s="5">
        <f>[1]Raw_Data!F3501</f>
        <v>5248.65</v>
      </c>
      <c r="G3503" s="4">
        <f>[1]Raw_Data!G3501</f>
        <v>0.03</v>
      </c>
      <c r="H3503" s="3">
        <f>[1]Raw_Data!H3501</f>
        <v>1</v>
      </c>
      <c r="I3503" s="3" t="str">
        <f>TRIM([1]Raw_Data!I3501)</f>
        <v>Canada</v>
      </c>
      <c r="J3503" s="3" t="str">
        <f>TRIM([1]Raw_Data!J3501)</f>
        <v>iHerb</v>
      </c>
      <c r="K3503" s="3">
        <f t="shared" si="216"/>
        <v>2024</v>
      </c>
      <c r="L3503" s="6">
        <f t="shared" si="217"/>
        <v>45352</v>
      </c>
      <c r="M3503" s="3" t="str">
        <f t="shared" si="218"/>
        <v>0% to 5%</v>
      </c>
      <c r="N3503" s="3" t="str">
        <f t="shared" si="219"/>
        <v>OK</v>
      </c>
    </row>
    <row r="3504" spans="1:14" x14ac:dyDescent="0.3">
      <c r="A3504" s="2">
        <f>DATE(VALUE(RIGHT(TRIM([1]Raw_Data!A3502),4)),VALUE(MID(TRIM([1]Raw_Data!A3502),4,2)),VALUE(LEFT(TRIM([1]Raw_Data!A3502),2)))</f>
        <v>45362</v>
      </c>
      <c r="B3504" s="3" t="str">
        <f>TRIM([1]Raw_Data!B3502)</f>
        <v>Biotin</v>
      </c>
      <c r="C3504" s="3" t="str">
        <f>TRIM([1]Raw_Data!C3502)</f>
        <v>Vitamin</v>
      </c>
      <c r="D3504" s="3">
        <f>[1]Raw_Data!D3502</f>
        <v>164</v>
      </c>
      <c r="E3504" s="4">
        <f>[1]Raw_Data!E3502</f>
        <v>46.84</v>
      </c>
      <c r="F3504" s="5">
        <f>[1]Raw_Data!F3502</f>
        <v>7681.76</v>
      </c>
      <c r="G3504" s="4">
        <f>[1]Raw_Data!G3502</f>
        <v>0.09</v>
      </c>
      <c r="H3504" s="3">
        <f>[1]Raw_Data!H3502</f>
        <v>4</v>
      </c>
      <c r="I3504" s="3" t="str">
        <f>TRIM([1]Raw_Data!I3502)</f>
        <v>UK</v>
      </c>
      <c r="J3504" s="3" t="str">
        <f>TRIM([1]Raw_Data!J3502)</f>
        <v>Walmart</v>
      </c>
      <c r="K3504" s="3">
        <f t="shared" si="216"/>
        <v>2024</v>
      </c>
      <c r="L3504" s="6">
        <f t="shared" si="217"/>
        <v>45352</v>
      </c>
      <c r="M3504" s="3" t="str">
        <f t="shared" si="218"/>
        <v>6% to 10%</v>
      </c>
      <c r="N3504" s="3" t="str">
        <f t="shared" si="219"/>
        <v>OK</v>
      </c>
    </row>
    <row r="3505" spans="1:14" x14ac:dyDescent="0.3">
      <c r="A3505" s="2">
        <f>DATE(VALUE(RIGHT(TRIM([1]Raw_Data!A3503),4)),VALUE(MID(TRIM([1]Raw_Data!A3503),4,2)),VALUE(LEFT(TRIM([1]Raw_Data!A3503),2)))</f>
        <v>45362</v>
      </c>
      <c r="B3505" s="3" t="str">
        <f>TRIM([1]Raw_Data!B3503)</f>
        <v>Green Tea Extract</v>
      </c>
      <c r="C3505" s="3" t="str">
        <f>TRIM([1]Raw_Data!C3503)</f>
        <v>Fat Burner</v>
      </c>
      <c r="D3505" s="3">
        <f>[1]Raw_Data!D3503</f>
        <v>158</v>
      </c>
      <c r="E3505" s="4">
        <f>[1]Raw_Data!E3503</f>
        <v>31.32</v>
      </c>
      <c r="F3505" s="5">
        <f>[1]Raw_Data!F3503</f>
        <v>4948.5600000000004</v>
      </c>
      <c r="G3505" s="4">
        <f>[1]Raw_Data!G3503</f>
        <v>0.23</v>
      </c>
      <c r="H3505" s="3">
        <f>[1]Raw_Data!H3503</f>
        <v>2</v>
      </c>
      <c r="I3505" s="3" t="str">
        <f>TRIM([1]Raw_Data!I3503)</f>
        <v>USA</v>
      </c>
      <c r="J3505" s="3" t="str">
        <f>TRIM([1]Raw_Data!J3503)</f>
        <v>Amazon</v>
      </c>
      <c r="K3505" s="3">
        <f t="shared" si="216"/>
        <v>2024</v>
      </c>
      <c r="L3505" s="6">
        <f t="shared" si="217"/>
        <v>45352</v>
      </c>
      <c r="M3505" s="3" t="str">
        <f t="shared" si="218"/>
        <v>21% to 25%</v>
      </c>
      <c r="N3505" s="3" t="str">
        <f t="shared" si="219"/>
        <v>OK</v>
      </c>
    </row>
    <row r="3506" spans="1:14" x14ac:dyDescent="0.3">
      <c r="A3506" s="2">
        <f>DATE(VALUE(RIGHT(TRIM([1]Raw_Data!A3504),4)),VALUE(MID(TRIM([1]Raw_Data!A3504),4,2)),VALUE(LEFT(TRIM([1]Raw_Data!A3504),2)))</f>
        <v>45362</v>
      </c>
      <c r="B3506" s="3" t="str">
        <f>TRIM([1]Raw_Data!B3504)</f>
        <v>Iron Supplement</v>
      </c>
      <c r="C3506" s="3" t="str">
        <f>TRIM([1]Raw_Data!C3504)</f>
        <v>Mineral</v>
      </c>
      <c r="D3506" s="3">
        <f>[1]Raw_Data!D3504</f>
        <v>158</v>
      </c>
      <c r="E3506" s="4">
        <f>[1]Raw_Data!E3504</f>
        <v>21.18</v>
      </c>
      <c r="F3506" s="5">
        <f>[1]Raw_Data!F3504</f>
        <v>3346.44</v>
      </c>
      <c r="G3506" s="4">
        <f>[1]Raw_Data!G3504</f>
        <v>0.18</v>
      </c>
      <c r="H3506" s="3">
        <f>[1]Raw_Data!H3504</f>
        <v>2</v>
      </c>
      <c r="I3506" s="3" t="str">
        <f>TRIM([1]Raw_Data!I3504)</f>
        <v>Canada</v>
      </c>
      <c r="J3506" s="3" t="str">
        <f>TRIM([1]Raw_Data!J3504)</f>
        <v>Walmart</v>
      </c>
      <c r="K3506" s="3">
        <f t="shared" si="216"/>
        <v>2024</v>
      </c>
      <c r="L3506" s="6">
        <f t="shared" si="217"/>
        <v>45352</v>
      </c>
      <c r="M3506" s="3" t="str">
        <f t="shared" si="218"/>
        <v>16% to 20%</v>
      </c>
      <c r="N3506" s="3" t="str">
        <f t="shared" si="219"/>
        <v>OK</v>
      </c>
    </row>
    <row r="3507" spans="1:14" x14ac:dyDescent="0.3">
      <c r="A3507" s="2">
        <f>DATE(VALUE(RIGHT(TRIM([1]Raw_Data!A3505),4)),VALUE(MID(TRIM([1]Raw_Data!A3505),4,2)),VALUE(LEFT(TRIM([1]Raw_Data!A3505),2)))</f>
        <v>45362</v>
      </c>
      <c r="B3507" s="3" t="str">
        <f>TRIM([1]Raw_Data!B3505)</f>
        <v>Electrolyte Powder</v>
      </c>
      <c r="C3507" s="3" t="str">
        <f>TRIM([1]Raw_Data!C3505)</f>
        <v>Hydration</v>
      </c>
      <c r="D3507" s="3">
        <f>[1]Raw_Data!D3505</f>
        <v>150</v>
      </c>
      <c r="E3507" s="4">
        <f>[1]Raw_Data!E3505</f>
        <v>20.41</v>
      </c>
      <c r="F3507" s="5">
        <f>[1]Raw_Data!F3505</f>
        <v>3061.5</v>
      </c>
      <c r="G3507" s="4">
        <f>[1]Raw_Data!G3505</f>
        <v>0.2</v>
      </c>
      <c r="H3507" s="3">
        <f>[1]Raw_Data!H3505</f>
        <v>4</v>
      </c>
      <c r="I3507" s="3" t="str">
        <f>TRIM([1]Raw_Data!I3505)</f>
        <v>USA</v>
      </c>
      <c r="J3507" s="3" t="str">
        <f>TRIM([1]Raw_Data!J3505)</f>
        <v>Walmart</v>
      </c>
      <c r="K3507" s="3">
        <f t="shared" si="216"/>
        <v>2024</v>
      </c>
      <c r="L3507" s="6">
        <f t="shared" si="217"/>
        <v>45352</v>
      </c>
      <c r="M3507" s="3" t="str">
        <f t="shared" si="218"/>
        <v>16% to 20%</v>
      </c>
      <c r="N3507" s="3" t="str">
        <f t="shared" si="219"/>
        <v>OK</v>
      </c>
    </row>
    <row r="3508" spans="1:14" x14ac:dyDescent="0.3">
      <c r="A3508" s="2">
        <f>DATE(VALUE(RIGHT(TRIM([1]Raw_Data!A3506),4)),VALUE(MID(TRIM([1]Raw_Data!A3506),4,2)),VALUE(LEFT(TRIM([1]Raw_Data!A3506),2)))</f>
        <v>45369</v>
      </c>
      <c r="B3508" s="3" t="str">
        <f>TRIM([1]Raw_Data!B3506)</f>
        <v>Whey Protein</v>
      </c>
      <c r="C3508" s="3" t="str">
        <f>TRIM([1]Raw_Data!C3506)</f>
        <v>Protein</v>
      </c>
      <c r="D3508" s="3">
        <f>[1]Raw_Data!D3506</f>
        <v>168</v>
      </c>
      <c r="E3508" s="4">
        <f>[1]Raw_Data!E3506</f>
        <v>30.3</v>
      </c>
      <c r="F3508" s="5">
        <f>[1]Raw_Data!F3506</f>
        <v>5090.3999999999996</v>
      </c>
      <c r="G3508" s="4">
        <f>[1]Raw_Data!G3506</f>
        <v>0.2</v>
      </c>
      <c r="H3508" s="3">
        <f>[1]Raw_Data!H3506</f>
        <v>2</v>
      </c>
      <c r="I3508" s="3" t="str">
        <f>TRIM([1]Raw_Data!I3506)</f>
        <v>USA</v>
      </c>
      <c r="J3508" s="3" t="str">
        <f>TRIM([1]Raw_Data!J3506)</f>
        <v>Walmart</v>
      </c>
      <c r="K3508" s="3">
        <f t="shared" si="216"/>
        <v>2024</v>
      </c>
      <c r="L3508" s="6">
        <f t="shared" si="217"/>
        <v>45352</v>
      </c>
      <c r="M3508" s="3" t="str">
        <f t="shared" si="218"/>
        <v>16% to 20%</v>
      </c>
      <c r="N3508" s="3" t="str">
        <f t="shared" si="219"/>
        <v>OK</v>
      </c>
    </row>
    <row r="3509" spans="1:14" x14ac:dyDescent="0.3">
      <c r="A3509" s="2">
        <f>DATE(VALUE(RIGHT(TRIM([1]Raw_Data!A3507),4)),VALUE(MID(TRIM([1]Raw_Data!A3507),4,2)),VALUE(LEFT(TRIM([1]Raw_Data!A3507),2)))</f>
        <v>45369</v>
      </c>
      <c r="B3509" s="3" t="str">
        <f>TRIM([1]Raw_Data!B3507)</f>
        <v>Vitamin C</v>
      </c>
      <c r="C3509" s="3" t="str">
        <f>TRIM([1]Raw_Data!C3507)</f>
        <v>Vitamin</v>
      </c>
      <c r="D3509" s="3">
        <f>[1]Raw_Data!D3507</f>
        <v>152</v>
      </c>
      <c r="E3509" s="4">
        <f>[1]Raw_Data!E3507</f>
        <v>36.799999999999997</v>
      </c>
      <c r="F3509" s="5">
        <f>[1]Raw_Data!F3507</f>
        <v>5593.6</v>
      </c>
      <c r="G3509" s="4">
        <f>[1]Raw_Data!G3507</f>
        <v>0.13</v>
      </c>
      <c r="H3509" s="3">
        <f>[1]Raw_Data!H3507</f>
        <v>0</v>
      </c>
      <c r="I3509" s="3" t="str">
        <f>TRIM([1]Raw_Data!I3507)</f>
        <v>USA</v>
      </c>
      <c r="J3509" s="3" t="str">
        <f>TRIM([1]Raw_Data!J3507)</f>
        <v>Amazon</v>
      </c>
      <c r="K3509" s="3">
        <f t="shared" si="216"/>
        <v>2024</v>
      </c>
      <c r="L3509" s="6">
        <f t="shared" si="217"/>
        <v>45352</v>
      </c>
      <c r="M3509" s="3" t="str">
        <f t="shared" si="218"/>
        <v>11% to 15%</v>
      </c>
      <c r="N3509" s="3" t="str">
        <f t="shared" si="219"/>
        <v>OK</v>
      </c>
    </row>
    <row r="3510" spans="1:14" x14ac:dyDescent="0.3">
      <c r="A3510" s="2">
        <f>DATE(VALUE(RIGHT(TRIM([1]Raw_Data!A3508),4)),VALUE(MID(TRIM([1]Raw_Data!A3508),4,2)),VALUE(LEFT(TRIM([1]Raw_Data!A3508),2)))</f>
        <v>45369</v>
      </c>
      <c r="B3510" s="3" t="str">
        <f>TRIM([1]Raw_Data!B3508)</f>
        <v>Fish Oil</v>
      </c>
      <c r="C3510" s="3" t="str">
        <f>TRIM([1]Raw_Data!C3508)</f>
        <v>Omega</v>
      </c>
      <c r="D3510" s="3">
        <f>[1]Raw_Data!D3508</f>
        <v>127</v>
      </c>
      <c r="E3510" s="4">
        <f>[1]Raw_Data!E3508</f>
        <v>55.66</v>
      </c>
      <c r="F3510" s="5">
        <f>[1]Raw_Data!F3508</f>
        <v>7068.82</v>
      </c>
      <c r="G3510" s="4">
        <f>[1]Raw_Data!G3508</f>
        <v>0.1</v>
      </c>
      <c r="H3510" s="3">
        <f>[1]Raw_Data!H3508</f>
        <v>1</v>
      </c>
      <c r="I3510" s="3" t="str">
        <f>TRIM([1]Raw_Data!I3508)</f>
        <v>Canada</v>
      </c>
      <c r="J3510" s="3" t="str">
        <f>TRIM([1]Raw_Data!J3508)</f>
        <v>iHerb</v>
      </c>
      <c r="K3510" s="3">
        <f t="shared" si="216"/>
        <v>2024</v>
      </c>
      <c r="L3510" s="6">
        <f t="shared" si="217"/>
        <v>45352</v>
      </c>
      <c r="M3510" s="3" t="str">
        <f t="shared" si="218"/>
        <v>6% to 10%</v>
      </c>
      <c r="N3510" s="3" t="str">
        <f t="shared" si="219"/>
        <v>OK</v>
      </c>
    </row>
    <row r="3511" spans="1:14" x14ac:dyDescent="0.3">
      <c r="A3511" s="2">
        <f>DATE(VALUE(RIGHT(TRIM([1]Raw_Data!A3509),4)),VALUE(MID(TRIM([1]Raw_Data!A3509),4,2)),VALUE(LEFT(TRIM([1]Raw_Data!A3509),2)))</f>
        <v>45369</v>
      </c>
      <c r="B3511" s="3" t="str">
        <f>TRIM([1]Raw_Data!B3509)</f>
        <v>Multivitamin</v>
      </c>
      <c r="C3511" s="3" t="str">
        <f>TRIM([1]Raw_Data!C3509)</f>
        <v>Vitamin</v>
      </c>
      <c r="D3511" s="3">
        <f>[1]Raw_Data!D3509</f>
        <v>164</v>
      </c>
      <c r="E3511" s="4">
        <f>[1]Raw_Data!E3509</f>
        <v>40.479999999999997</v>
      </c>
      <c r="F3511" s="5">
        <f>[1]Raw_Data!F3509</f>
        <v>6638.72</v>
      </c>
      <c r="G3511" s="4">
        <f>[1]Raw_Data!G3509</f>
        <v>7.0000000000000007E-2</v>
      </c>
      <c r="H3511" s="3">
        <f>[1]Raw_Data!H3509</f>
        <v>3</v>
      </c>
      <c r="I3511" s="3" t="str">
        <f>TRIM([1]Raw_Data!I3509)</f>
        <v>UK</v>
      </c>
      <c r="J3511" s="3" t="str">
        <f>TRIM([1]Raw_Data!J3509)</f>
        <v>iHerb</v>
      </c>
      <c r="K3511" s="3">
        <f t="shared" si="216"/>
        <v>2024</v>
      </c>
      <c r="L3511" s="6">
        <f t="shared" si="217"/>
        <v>45352</v>
      </c>
      <c r="M3511" s="3" t="str">
        <f t="shared" si="218"/>
        <v>6% to 10%</v>
      </c>
      <c r="N3511" s="3" t="str">
        <f t="shared" si="219"/>
        <v>OK</v>
      </c>
    </row>
    <row r="3512" spans="1:14" x14ac:dyDescent="0.3">
      <c r="A3512" s="2">
        <f>DATE(VALUE(RIGHT(TRIM([1]Raw_Data!A3510),4)),VALUE(MID(TRIM([1]Raw_Data!A3510),4,2)),VALUE(LEFT(TRIM([1]Raw_Data!A3510),2)))</f>
        <v>45369</v>
      </c>
      <c r="B3512" s="3" t="str">
        <f>TRIM([1]Raw_Data!B3510)</f>
        <v>Pre-Workout</v>
      </c>
      <c r="C3512" s="3" t="str">
        <f>TRIM([1]Raw_Data!C3510)</f>
        <v>Performance</v>
      </c>
      <c r="D3512" s="3">
        <f>[1]Raw_Data!D3510</f>
        <v>136</v>
      </c>
      <c r="E3512" s="4">
        <f>[1]Raw_Data!E3510</f>
        <v>19.579999999999998</v>
      </c>
      <c r="F3512" s="5">
        <f>[1]Raw_Data!F3510</f>
        <v>2662.88</v>
      </c>
      <c r="G3512" s="4">
        <f>[1]Raw_Data!G3510</f>
        <v>7.0000000000000007E-2</v>
      </c>
      <c r="H3512" s="3">
        <f>[1]Raw_Data!H3510</f>
        <v>1</v>
      </c>
      <c r="I3512" s="3" t="str">
        <f>TRIM([1]Raw_Data!I3510)</f>
        <v>USA</v>
      </c>
      <c r="J3512" s="3" t="str">
        <f>TRIM([1]Raw_Data!J3510)</f>
        <v>Walmart</v>
      </c>
      <c r="K3512" s="3">
        <f t="shared" si="216"/>
        <v>2024</v>
      </c>
      <c r="L3512" s="6">
        <f t="shared" si="217"/>
        <v>45352</v>
      </c>
      <c r="M3512" s="3" t="str">
        <f t="shared" si="218"/>
        <v>6% to 10%</v>
      </c>
      <c r="N3512" s="3" t="str">
        <f t="shared" si="219"/>
        <v>OK</v>
      </c>
    </row>
    <row r="3513" spans="1:14" x14ac:dyDescent="0.3">
      <c r="A3513" s="2">
        <f>DATE(VALUE(RIGHT(TRIM([1]Raw_Data!A3511),4)),VALUE(MID(TRIM([1]Raw_Data!A3511),4,2)),VALUE(LEFT(TRIM([1]Raw_Data!A3511),2)))</f>
        <v>45369</v>
      </c>
      <c r="B3513" s="3" t="str">
        <f>TRIM([1]Raw_Data!B3511)</f>
        <v>BCAA</v>
      </c>
      <c r="C3513" s="3" t="str">
        <f>TRIM([1]Raw_Data!C3511)</f>
        <v>Amino Acid</v>
      </c>
      <c r="D3513" s="3">
        <f>[1]Raw_Data!D3511</f>
        <v>156</v>
      </c>
      <c r="E3513" s="4">
        <f>[1]Raw_Data!E3511</f>
        <v>43.83</v>
      </c>
      <c r="F3513" s="5">
        <f>[1]Raw_Data!F3511</f>
        <v>6837.48</v>
      </c>
      <c r="G3513" s="4">
        <f>[1]Raw_Data!G3511</f>
        <v>0.02</v>
      </c>
      <c r="H3513" s="3">
        <f>[1]Raw_Data!H3511</f>
        <v>0</v>
      </c>
      <c r="I3513" s="3" t="str">
        <f>TRIM([1]Raw_Data!I3511)</f>
        <v>UK</v>
      </c>
      <c r="J3513" s="3" t="str">
        <f>TRIM([1]Raw_Data!J3511)</f>
        <v>iHerb</v>
      </c>
      <c r="K3513" s="3">
        <f t="shared" si="216"/>
        <v>2024</v>
      </c>
      <c r="L3513" s="6">
        <f t="shared" si="217"/>
        <v>45352</v>
      </c>
      <c r="M3513" s="3" t="str">
        <f t="shared" si="218"/>
        <v>0% to 5%</v>
      </c>
      <c r="N3513" s="3" t="str">
        <f t="shared" si="219"/>
        <v>OK</v>
      </c>
    </row>
    <row r="3514" spans="1:14" x14ac:dyDescent="0.3">
      <c r="A3514" s="2">
        <f>DATE(VALUE(RIGHT(TRIM([1]Raw_Data!A3512),4)),VALUE(MID(TRIM([1]Raw_Data!A3512),4,2)),VALUE(LEFT(TRIM([1]Raw_Data!A3512),2)))</f>
        <v>45369</v>
      </c>
      <c r="B3514" s="3" t="str">
        <f>TRIM([1]Raw_Data!B3512)</f>
        <v>Creatine</v>
      </c>
      <c r="C3514" s="3" t="str">
        <f>TRIM([1]Raw_Data!C3512)</f>
        <v>Performance</v>
      </c>
      <c r="D3514" s="3">
        <f>[1]Raw_Data!D3512</f>
        <v>150</v>
      </c>
      <c r="E3514" s="4">
        <f>[1]Raw_Data!E3512</f>
        <v>52.98</v>
      </c>
      <c r="F3514" s="5">
        <f>[1]Raw_Data!F3512</f>
        <v>7947</v>
      </c>
      <c r="G3514" s="4">
        <f>[1]Raw_Data!G3512</f>
        <v>0.24</v>
      </c>
      <c r="H3514" s="3">
        <f>[1]Raw_Data!H3512</f>
        <v>2</v>
      </c>
      <c r="I3514" s="3" t="str">
        <f>TRIM([1]Raw_Data!I3512)</f>
        <v>UK</v>
      </c>
      <c r="J3514" s="3" t="str">
        <f>TRIM([1]Raw_Data!J3512)</f>
        <v>Amazon</v>
      </c>
      <c r="K3514" s="3">
        <f t="shared" si="216"/>
        <v>2024</v>
      </c>
      <c r="L3514" s="6">
        <f t="shared" si="217"/>
        <v>45352</v>
      </c>
      <c r="M3514" s="3" t="str">
        <f t="shared" si="218"/>
        <v>21% to 25%</v>
      </c>
      <c r="N3514" s="3" t="str">
        <f t="shared" si="219"/>
        <v>OK</v>
      </c>
    </row>
    <row r="3515" spans="1:14" x14ac:dyDescent="0.3">
      <c r="A3515" s="2">
        <f>DATE(VALUE(RIGHT(TRIM([1]Raw_Data!A3513),4)),VALUE(MID(TRIM([1]Raw_Data!A3513),4,2)),VALUE(LEFT(TRIM([1]Raw_Data!A3513),2)))</f>
        <v>45369</v>
      </c>
      <c r="B3515" s="3" t="str">
        <f>TRIM([1]Raw_Data!B3513)</f>
        <v>Zinc</v>
      </c>
      <c r="C3515" s="3" t="str">
        <f>TRIM([1]Raw_Data!C3513)</f>
        <v>Mineral</v>
      </c>
      <c r="D3515" s="3">
        <f>[1]Raw_Data!D3513</f>
        <v>156</v>
      </c>
      <c r="E3515" s="4">
        <f>[1]Raw_Data!E3513</f>
        <v>41.14</v>
      </c>
      <c r="F3515" s="5">
        <f>[1]Raw_Data!F3513</f>
        <v>6417.84</v>
      </c>
      <c r="G3515" s="4">
        <f>[1]Raw_Data!G3513</f>
        <v>0.04</v>
      </c>
      <c r="H3515" s="3">
        <f>[1]Raw_Data!H3513</f>
        <v>2</v>
      </c>
      <c r="I3515" s="3" t="str">
        <f>TRIM([1]Raw_Data!I3513)</f>
        <v>UK</v>
      </c>
      <c r="J3515" s="3" t="str">
        <f>TRIM([1]Raw_Data!J3513)</f>
        <v>iHerb</v>
      </c>
      <c r="K3515" s="3">
        <f t="shared" si="216"/>
        <v>2024</v>
      </c>
      <c r="L3515" s="6">
        <f t="shared" si="217"/>
        <v>45352</v>
      </c>
      <c r="M3515" s="3" t="str">
        <f t="shared" si="218"/>
        <v>0% to 5%</v>
      </c>
      <c r="N3515" s="3" t="str">
        <f t="shared" si="219"/>
        <v>OK</v>
      </c>
    </row>
    <row r="3516" spans="1:14" x14ac:dyDescent="0.3">
      <c r="A3516" s="2">
        <f>DATE(VALUE(RIGHT(TRIM([1]Raw_Data!A3514),4)),VALUE(MID(TRIM([1]Raw_Data!A3514),4,2)),VALUE(LEFT(TRIM([1]Raw_Data!A3514),2)))</f>
        <v>45369</v>
      </c>
      <c r="B3516" s="3" t="str">
        <f>TRIM([1]Raw_Data!B3514)</f>
        <v>Collagen Peptides</v>
      </c>
      <c r="C3516" s="3" t="str">
        <f>TRIM([1]Raw_Data!C3514)</f>
        <v>Protein</v>
      </c>
      <c r="D3516" s="3">
        <f>[1]Raw_Data!D3514</f>
        <v>146</v>
      </c>
      <c r="E3516" s="4">
        <f>[1]Raw_Data!E3514</f>
        <v>36.18</v>
      </c>
      <c r="F3516" s="5">
        <f>[1]Raw_Data!F3514</f>
        <v>5282.28</v>
      </c>
      <c r="G3516" s="4">
        <f>[1]Raw_Data!G3514</f>
        <v>0.03</v>
      </c>
      <c r="H3516" s="3">
        <f>[1]Raw_Data!H3514</f>
        <v>1</v>
      </c>
      <c r="I3516" s="3" t="str">
        <f>TRIM([1]Raw_Data!I3514)</f>
        <v>USA</v>
      </c>
      <c r="J3516" s="3" t="str">
        <f>TRIM([1]Raw_Data!J3514)</f>
        <v>Amazon</v>
      </c>
      <c r="K3516" s="3">
        <f t="shared" si="216"/>
        <v>2024</v>
      </c>
      <c r="L3516" s="6">
        <f t="shared" si="217"/>
        <v>45352</v>
      </c>
      <c r="M3516" s="3" t="str">
        <f t="shared" si="218"/>
        <v>0% to 5%</v>
      </c>
      <c r="N3516" s="3" t="str">
        <f t="shared" si="219"/>
        <v>OK</v>
      </c>
    </row>
    <row r="3517" spans="1:14" x14ac:dyDescent="0.3">
      <c r="A3517" s="2">
        <f>DATE(VALUE(RIGHT(TRIM([1]Raw_Data!A3515),4)),VALUE(MID(TRIM([1]Raw_Data!A3515),4,2)),VALUE(LEFT(TRIM([1]Raw_Data!A3515),2)))</f>
        <v>45369</v>
      </c>
      <c r="B3517" s="3" t="str">
        <f>TRIM([1]Raw_Data!B3515)</f>
        <v>Magnesium</v>
      </c>
      <c r="C3517" s="3" t="str">
        <f>TRIM([1]Raw_Data!C3515)</f>
        <v>Mineral</v>
      </c>
      <c r="D3517" s="3">
        <f>[1]Raw_Data!D3515</f>
        <v>133</v>
      </c>
      <c r="E3517" s="4">
        <f>[1]Raw_Data!E3515</f>
        <v>54.56</v>
      </c>
      <c r="F3517" s="5">
        <f>[1]Raw_Data!F3515</f>
        <v>7256.48</v>
      </c>
      <c r="G3517" s="4">
        <f>[1]Raw_Data!G3515</f>
        <v>0.12</v>
      </c>
      <c r="H3517" s="3">
        <f>[1]Raw_Data!H3515</f>
        <v>0</v>
      </c>
      <c r="I3517" s="3" t="str">
        <f>TRIM([1]Raw_Data!I3515)</f>
        <v>UK</v>
      </c>
      <c r="J3517" s="3" t="str">
        <f>TRIM([1]Raw_Data!J3515)</f>
        <v>iHerb</v>
      </c>
      <c r="K3517" s="3">
        <f t="shared" si="216"/>
        <v>2024</v>
      </c>
      <c r="L3517" s="6">
        <f t="shared" si="217"/>
        <v>45352</v>
      </c>
      <c r="M3517" s="3" t="str">
        <f t="shared" si="218"/>
        <v>11% to 15%</v>
      </c>
      <c r="N3517" s="3" t="str">
        <f t="shared" si="219"/>
        <v>OK</v>
      </c>
    </row>
    <row r="3518" spans="1:14" x14ac:dyDescent="0.3">
      <c r="A3518" s="2">
        <f>DATE(VALUE(RIGHT(TRIM([1]Raw_Data!A3516),4)),VALUE(MID(TRIM([1]Raw_Data!A3516),4,2)),VALUE(LEFT(TRIM([1]Raw_Data!A3516),2)))</f>
        <v>45369</v>
      </c>
      <c r="B3518" s="3" t="str">
        <f>TRIM([1]Raw_Data!B3516)</f>
        <v>Ashwagandha</v>
      </c>
      <c r="C3518" s="3" t="str">
        <f>TRIM([1]Raw_Data!C3516)</f>
        <v>Herbal</v>
      </c>
      <c r="D3518" s="3">
        <f>[1]Raw_Data!D3516</f>
        <v>146</v>
      </c>
      <c r="E3518" s="4">
        <f>[1]Raw_Data!E3516</f>
        <v>20.010000000000002</v>
      </c>
      <c r="F3518" s="5">
        <f>[1]Raw_Data!F3516</f>
        <v>2921.46</v>
      </c>
      <c r="G3518" s="4">
        <f>[1]Raw_Data!G3516</f>
        <v>0.01</v>
      </c>
      <c r="H3518" s="3">
        <f>[1]Raw_Data!H3516</f>
        <v>1</v>
      </c>
      <c r="I3518" s="3" t="str">
        <f>TRIM([1]Raw_Data!I3516)</f>
        <v>UK</v>
      </c>
      <c r="J3518" s="3" t="str">
        <f>TRIM([1]Raw_Data!J3516)</f>
        <v>Amazon</v>
      </c>
      <c r="K3518" s="3">
        <f t="shared" si="216"/>
        <v>2024</v>
      </c>
      <c r="L3518" s="6">
        <f t="shared" si="217"/>
        <v>45352</v>
      </c>
      <c r="M3518" s="3" t="str">
        <f t="shared" si="218"/>
        <v>0% to 5%</v>
      </c>
      <c r="N3518" s="3" t="str">
        <f t="shared" si="219"/>
        <v>OK</v>
      </c>
    </row>
    <row r="3519" spans="1:14" x14ac:dyDescent="0.3">
      <c r="A3519" s="2">
        <f>DATE(VALUE(RIGHT(TRIM([1]Raw_Data!A3517),4)),VALUE(MID(TRIM([1]Raw_Data!A3517),4,2)),VALUE(LEFT(TRIM([1]Raw_Data!A3517),2)))</f>
        <v>45369</v>
      </c>
      <c r="B3519" s="3" t="str">
        <f>TRIM([1]Raw_Data!B3517)</f>
        <v>Melatonin</v>
      </c>
      <c r="C3519" s="3" t="str">
        <f>TRIM([1]Raw_Data!C3517)</f>
        <v>Sleep Aid</v>
      </c>
      <c r="D3519" s="3">
        <f>[1]Raw_Data!D3517</f>
        <v>162</v>
      </c>
      <c r="E3519" s="4">
        <f>[1]Raw_Data!E3517</f>
        <v>40.32</v>
      </c>
      <c r="F3519" s="5">
        <f>[1]Raw_Data!F3517</f>
        <v>6531.84</v>
      </c>
      <c r="G3519" s="4">
        <f>[1]Raw_Data!G3517</f>
        <v>0.05</v>
      </c>
      <c r="H3519" s="3">
        <f>[1]Raw_Data!H3517</f>
        <v>1</v>
      </c>
      <c r="I3519" s="3" t="str">
        <f>TRIM([1]Raw_Data!I3517)</f>
        <v>USA</v>
      </c>
      <c r="J3519" s="3" t="str">
        <f>TRIM([1]Raw_Data!J3517)</f>
        <v>Amazon</v>
      </c>
      <c r="K3519" s="3">
        <f t="shared" si="216"/>
        <v>2024</v>
      </c>
      <c r="L3519" s="6">
        <f t="shared" si="217"/>
        <v>45352</v>
      </c>
      <c r="M3519" s="3" t="str">
        <f t="shared" si="218"/>
        <v>0% to 5%</v>
      </c>
      <c r="N3519" s="3" t="str">
        <f t="shared" si="219"/>
        <v>OK</v>
      </c>
    </row>
    <row r="3520" spans="1:14" x14ac:dyDescent="0.3">
      <c r="A3520" s="2">
        <f>DATE(VALUE(RIGHT(TRIM([1]Raw_Data!A3518),4)),VALUE(MID(TRIM([1]Raw_Data!A3518),4,2)),VALUE(LEFT(TRIM([1]Raw_Data!A3518),2)))</f>
        <v>45369</v>
      </c>
      <c r="B3520" s="3" t="str">
        <f>TRIM([1]Raw_Data!B3518)</f>
        <v>Biotin</v>
      </c>
      <c r="C3520" s="3" t="str">
        <f>TRIM([1]Raw_Data!C3518)</f>
        <v>Vitamin</v>
      </c>
      <c r="D3520" s="3">
        <f>[1]Raw_Data!D3518</f>
        <v>164</v>
      </c>
      <c r="E3520" s="4">
        <f>[1]Raw_Data!E3518</f>
        <v>52.9</v>
      </c>
      <c r="F3520" s="5">
        <f>[1]Raw_Data!F3518</f>
        <v>8675.6</v>
      </c>
      <c r="G3520" s="4">
        <f>[1]Raw_Data!G3518</f>
        <v>0.12</v>
      </c>
      <c r="H3520" s="3">
        <f>[1]Raw_Data!H3518</f>
        <v>3</v>
      </c>
      <c r="I3520" s="3" t="str">
        <f>TRIM([1]Raw_Data!I3518)</f>
        <v>Canada</v>
      </c>
      <c r="J3520" s="3" t="str">
        <f>TRIM([1]Raw_Data!J3518)</f>
        <v>Walmart</v>
      </c>
      <c r="K3520" s="3">
        <f t="shared" si="216"/>
        <v>2024</v>
      </c>
      <c r="L3520" s="6">
        <f t="shared" si="217"/>
        <v>45352</v>
      </c>
      <c r="M3520" s="3" t="str">
        <f t="shared" si="218"/>
        <v>11% to 15%</v>
      </c>
      <c r="N3520" s="3" t="str">
        <f t="shared" si="219"/>
        <v>OK</v>
      </c>
    </row>
    <row r="3521" spans="1:14" x14ac:dyDescent="0.3">
      <c r="A3521" s="2">
        <f>DATE(VALUE(RIGHT(TRIM([1]Raw_Data!A3519),4)),VALUE(MID(TRIM([1]Raw_Data!A3519),4,2)),VALUE(LEFT(TRIM([1]Raw_Data!A3519),2)))</f>
        <v>45369</v>
      </c>
      <c r="B3521" s="3" t="str">
        <f>TRIM([1]Raw_Data!B3519)</f>
        <v>Green Tea Extract</v>
      </c>
      <c r="C3521" s="3" t="str">
        <f>TRIM([1]Raw_Data!C3519)</f>
        <v>Fat Burner</v>
      </c>
      <c r="D3521" s="3">
        <f>[1]Raw_Data!D3519</f>
        <v>143</v>
      </c>
      <c r="E3521" s="4">
        <f>[1]Raw_Data!E3519</f>
        <v>47.58</v>
      </c>
      <c r="F3521" s="5">
        <f>[1]Raw_Data!F3519</f>
        <v>6803.94</v>
      </c>
      <c r="G3521" s="4">
        <f>[1]Raw_Data!G3519</f>
        <v>0.2</v>
      </c>
      <c r="H3521" s="3">
        <f>[1]Raw_Data!H3519</f>
        <v>0</v>
      </c>
      <c r="I3521" s="3" t="str">
        <f>TRIM([1]Raw_Data!I3519)</f>
        <v>Canada</v>
      </c>
      <c r="J3521" s="3" t="str">
        <f>TRIM([1]Raw_Data!J3519)</f>
        <v>Amazon</v>
      </c>
      <c r="K3521" s="3">
        <f t="shared" si="216"/>
        <v>2024</v>
      </c>
      <c r="L3521" s="6">
        <f t="shared" si="217"/>
        <v>45352</v>
      </c>
      <c r="M3521" s="3" t="str">
        <f t="shared" si="218"/>
        <v>16% to 20%</v>
      </c>
      <c r="N3521" s="3" t="str">
        <f t="shared" si="219"/>
        <v>OK</v>
      </c>
    </row>
    <row r="3522" spans="1:14" x14ac:dyDescent="0.3">
      <c r="A3522" s="2">
        <f>DATE(VALUE(RIGHT(TRIM([1]Raw_Data!A3520),4)),VALUE(MID(TRIM([1]Raw_Data!A3520),4,2)),VALUE(LEFT(TRIM([1]Raw_Data!A3520),2)))</f>
        <v>45369</v>
      </c>
      <c r="B3522" s="3" t="str">
        <f>TRIM([1]Raw_Data!B3520)</f>
        <v>Iron Supplement</v>
      </c>
      <c r="C3522" s="3" t="str">
        <f>TRIM([1]Raw_Data!C3520)</f>
        <v>Mineral</v>
      </c>
      <c r="D3522" s="3">
        <f>[1]Raw_Data!D3520</f>
        <v>191</v>
      </c>
      <c r="E3522" s="4">
        <f>[1]Raw_Data!E3520</f>
        <v>13.43</v>
      </c>
      <c r="F3522" s="5">
        <f>[1]Raw_Data!F3520</f>
        <v>2565.13</v>
      </c>
      <c r="G3522" s="4">
        <f>[1]Raw_Data!G3520</f>
        <v>0.15</v>
      </c>
      <c r="H3522" s="3">
        <f>[1]Raw_Data!H3520</f>
        <v>3</v>
      </c>
      <c r="I3522" s="3" t="str">
        <f>TRIM([1]Raw_Data!I3520)</f>
        <v>Canada</v>
      </c>
      <c r="J3522" s="3" t="str">
        <f>TRIM([1]Raw_Data!J3520)</f>
        <v>Amazon</v>
      </c>
      <c r="K3522" s="3">
        <f t="shared" si="216"/>
        <v>2024</v>
      </c>
      <c r="L3522" s="6">
        <f t="shared" si="217"/>
        <v>45352</v>
      </c>
      <c r="M3522" s="3" t="str">
        <f t="shared" si="218"/>
        <v>11% to 15%</v>
      </c>
      <c r="N3522" s="3" t="str">
        <f t="shared" si="219"/>
        <v>OK</v>
      </c>
    </row>
    <row r="3523" spans="1:14" x14ac:dyDescent="0.3">
      <c r="A3523" s="2">
        <f>DATE(VALUE(RIGHT(TRIM([1]Raw_Data!A3521),4)),VALUE(MID(TRIM([1]Raw_Data!A3521),4,2)),VALUE(LEFT(TRIM([1]Raw_Data!A3521),2)))</f>
        <v>45369</v>
      </c>
      <c r="B3523" s="3" t="str">
        <f>TRIM([1]Raw_Data!B3521)</f>
        <v>Electrolyte Powder</v>
      </c>
      <c r="C3523" s="3" t="str">
        <f>TRIM([1]Raw_Data!C3521)</f>
        <v>Hydration</v>
      </c>
      <c r="D3523" s="3">
        <f>[1]Raw_Data!D3521</f>
        <v>182</v>
      </c>
      <c r="E3523" s="4">
        <f>[1]Raw_Data!E3521</f>
        <v>11.26</v>
      </c>
      <c r="F3523" s="5">
        <f>[1]Raw_Data!F3521</f>
        <v>2049.3200000000002</v>
      </c>
      <c r="G3523" s="4">
        <f>[1]Raw_Data!G3521</f>
        <v>0.15</v>
      </c>
      <c r="H3523" s="3">
        <f>[1]Raw_Data!H3521</f>
        <v>1</v>
      </c>
      <c r="I3523" s="3" t="str">
        <f>TRIM([1]Raw_Data!I3521)</f>
        <v>UK</v>
      </c>
      <c r="J3523" s="3" t="str">
        <f>TRIM([1]Raw_Data!J3521)</f>
        <v>Amazon</v>
      </c>
      <c r="K3523" s="3">
        <f t="shared" si="216"/>
        <v>2024</v>
      </c>
      <c r="L3523" s="6">
        <f t="shared" si="217"/>
        <v>45352</v>
      </c>
      <c r="M3523" s="3" t="str">
        <f t="shared" si="218"/>
        <v>11% to 15%</v>
      </c>
      <c r="N3523" s="3" t="str">
        <f t="shared" si="219"/>
        <v>OK</v>
      </c>
    </row>
    <row r="3524" spans="1:14" x14ac:dyDescent="0.3">
      <c r="A3524" s="2">
        <f>DATE(VALUE(RIGHT(TRIM([1]Raw_Data!A3522),4)),VALUE(MID(TRIM([1]Raw_Data!A3522),4,2)),VALUE(LEFT(TRIM([1]Raw_Data!A3522),2)))</f>
        <v>45376</v>
      </c>
      <c r="B3524" s="3" t="str">
        <f>TRIM([1]Raw_Data!B3522)</f>
        <v>Whey Protein</v>
      </c>
      <c r="C3524" s="3" t="str">
        <f>TRIM([1]Raw_Data!C3522)</f>
        <v>Protein</v>
      </c>
      <c r="D3524" s="3">
        <f>[1]Raw_Data!D3522</f>
        <v>148</v>
      </c>
      <c r="E3524" s="4">
        <f>[1]Raw_Data!E3522</f>
        <v>13.23</v>
      </c>
      <c r="F3524" s="5">
        <f>[1]Raw_Data!F3522</f>
        <v>1958.04</v>
      </c>
      <c r="G3524" s="4">
        <f>[1]Raw_Data!G3522</f>
        <v>0.12</v>
      </c>
      <c r="H3524" s="3">
        <f>[1]Raw_Data!H3522</f>
        <v>1</v>
      </c>
      <c r="I3524" s="3" t="str">
        <f>TRIM([1]Raw_Data!I3522)</f>
        <v>UK</v>
      </c>
      <c r="J3524" s="3" t="str">
        <f>TRIM([1]Raw_Data!J3522)</f>
        <v>iHerb</v>
      </c>
      <c r="K3524" s="3">
        <f t="shared" ref="K3524:K3587" si="220">YEAR(A3524)</f>
        <v>2024</v>
      </c>
      <c r="L3524" s="6">
        <f t="shared" ref="L3524:L3587" si="221">DATE(YEAR(A3524),MONTH(A3524),1)</f>
        <v>45352</v>
      </c>
      <c r="M3524" s="3" t="str">
        <f t="shared" ref="M3524:M3587" si="222">IF(ROUND(G3524*100,0)&lt;=5,"0% to 5%",IF(ROUND(G3524*100,0)&lt;=10,"6% to 10%",IF(ROUND(G3524*100,0)&lt;=15,"11% to 15%",IF(ROUND(G3524*100,0)&lt;=20,"16% to 20%","21% to 25%"))))</f>
        <v>11% to 15%</v>
      </c>
      <c r="N3524" s="3" t="str">
        <f t="shared" ref="N3524:N3587" si="223">IF(ROUND(D3524*E3524,2)=ROUND(F3524,2),"OK","Check")</f>
        <v>OK</v>
      </c>
    </row>
    <row r="3525" spans="1:14" x14ac:dyDescent="0.3">
      <c r="A3525" s="2">
        <f>DATE(VALUE(RIGHT(TRIM([1]Raw_Data!A3523),4)),VALUE(MID(TRIM([1]Raw_Data!A3523),4,2)),VALUE(LEFT(TRIM([1]Raw_Data!A3523),2)))</f>
        <v>45376</v>
      </c>
      <c r="B3525" s="3" t="str">
        <f>TRIM([1]Raw_Data!B3523)</f>
        <v>Vitamin C</v>
      </c>
      <c r="C3525" s="3" t="str">
        <f>TRIM([1]Raw_Data!C3523)</f>
        <v>Vitamin</v>
      </c>
      <c r="D3525" s="3">
        <f>[1]Raw_Data!D3523</f>
        <v>158</v>
      </c>
      <c r="E3525" s="4">
        <f>[1]Raw_Data!E3523</f>
        <v>19.260000000000002</v>
      </c>
      <c r="F3525" s="5">
        <f>[1]Raw_Data!F3523</f>
        <v>3043.08</v>
      </c>
      <c r="G3525" s="4">
        <f>[1]Raw_Data!G3523</f>
        <v>0.05</v>
      </c>
      <c r="H3525" s="3">
        <f>[1]Raw_Data!H3523</f>
        <v>1</v>
      </c>
      <c r="I3525" s="3" t="str">
        <f>TRIM([1]Raw_Data!I3523)</f>
        <v>Canada</v>
      </c>
      <c r="J3525" s="3" t="str">
        <f>TRIM([1]Raw_Data!J3523)</f>
        <v>Walmart</v>
      </c>
      <c r="K3525" s="3">
        <f t="shared" si="220"/>
        <v>2024</v>
      </c>
      <c r="L3525" s="6">
        <f t="shared" si="221"/>
        <v>45352</v>
      </c>
      <c r="M3525" s="3" t="str">
        <f t="shared" si="222"/>
        <v>0% to 5%</v>
      </c>
      <c r="N3525" s="3" t="str">
        <f t="shared" si="223"/>
        <v>OK</v>
      </c>
    </row>
    <row r="3526" spans="1:14" x14ac:dyDescent="0.3">
      <c r="A3526" s="2">
        <f>DATE(VALUE(RIGHT(TRIM([1]Raw_Data!A3524),4)),VALUE(MID(TRIM([1]Raw_Data!A3524),4,2)),VALUE(LEFT(TRIM([1]Raw_Data!A3524),2)))</f>
        <v>45376</v>
      </c>
      <c r="B3526" s="3" t="str">
        <f>TRIM([1]Raw_Data!B3524)</f>
        <v>Fish Oil</v>
      </c>
      <c r="C3526" s="3" t="str">
        <f>TRIM([1]Raw_Data!C3524)</f>
        <v>Omega</v>
      </c>
      <c r="D3526" s="3">
        <f>[1]Raw_Data!D3524</f>
        <v>137</v>
      </c>
      <c r="E3526" s="4">
        <f>[1]Raw_Data!E3524</f>
        <v>59.72</v>
      </c>
      <c r="F3526" s="5">
        <f>[1]Raw_Data!F3524</f>
        <v>8181.64</v>
      </c>
      <c r="G3526" s="4">
        <f>[1]Raw_Data!G3524</f>
        <v>0.16</v>
      </c>
      <c r="H3526" s="3">
        <f>[1]Raw_Data!H3524</f>
        <v>2</v>
      </c>
      <c r="I3526" s="3" t="str">
        <f>TRIM([1]Raw_Data!I3524)</f>
        <v>UK</v>
      </c>
      <c r="J3526" s="3" t="str">
        <f>TRIM([1]Raw_Data!J3524)</f>
        <v>iHerb</v>
      </c>
      <c r="K3526" s="3">
        <f t="shared" si="220"/>
        <v>2024</v>
      </c>
      <c r="L3526" s="6">
        <f t="shared" si="221"/>
        <v>45352</v>
      </c>
      <c r="M3526" s="3" t="str">
        <f t="shared" si="222"/>
        <v>16% to 20%</v>
      </c>
      <c r="N3526" s="3" t="str">
        <f t="shared" si="223"/>
        <v>OK</v>
      </c>
    </row>
    <row r="3527" spans="1:14" x14ac:dyDescent="0.3">
      <c r="A3527" s="2">
        <f>DATE(VALUE(RIGHT(TRIM([1]Raw_Data!A3525),4)),VALUE(MID(TRIM([1]Raw_Data!A3525),4,2)),VALUE(LEFT(TRIM([1]Raw_Data!A3525),2)))</f>
        <v>45376</v>
      </c>
      <c r="B3527" s="3" t="str">
        <f>TRIM([1]Raw_Data!B3525)</f>
        <v>Multivitamin</v>
      </c>
      <c r="C3527" s="3" t="str">
        <f>TRIM([1]Raw_Data!C3525)</f>
        <v>Vitamin</v>
      </c>
      <c r="D3527" s="3">
        <f>[1]Raw_Data!D3525</f>
        <v>147</v>
      </c>
      <c r="E3527" s="4">
        <f>[1]Raw_Data!E3525</f>
        <v>55.55</v>
      </c>
      <c r="F3527" s="5">
        <f>[1]Raw_Data!F3525</f>
        <v>8165.85</v>
      </c>
      <c r="G3527" s="4">
        <f>[1]Raw_Data!G3525</f>
        <v>0.24</v>
      </c>
      <c r="H3527" s="3">
        <f>[1]Raw_Data!H3525</f>
        <v>1</v>
      </c>
      <c r="I3527" s="3" t="str">
        <f>TRIM([1]Raw_Data!I3525)</f>
        <v>Canada</v>
      </c>
      <c r="J3527" s="3" t="str">
        <f>TRIM([1]Raw_Data!J3525)</f>
        <v>iHerb</v>
      </c>
      <c r="K3527" s="3">
        <f t="shared" si="220"/>
        <v>2024</v>
      </c>
      <c r="L3527" s="6">
        <f t="shared" si="221"/>
        <v>45352</v>
      </c>
      <c r="M3527" s="3" t="str">
        <f t="shared" si="222"/>
        <v>21% to 25%</v>
      </c>
      <c r="N3527" s="3" t="str">
        <f t="shared" si="223"/>
        <v>OK</v>
      </c>
    </row>
    <row r="3528" spans="1:14" x14ac:dyDescent="0.3">
      <c r="A3528" s="2">
        <f>DATE(VALUE(RIGHT(TRIM([1]Raw_Data!A3526),4)),VALUE(MID(TRIM([1]Raw_Data!A3526),4,2)),VALUE(LEFT(TRIM([1]Raw_Data!A3526),2)))</f>
        <v>45376</v>
      </c>
      <c r="B3528" s="3" t="str">
        <f>TRIM([1]Raw_Data!B3526)</f>
        <v>Pre-Workout</v>
      </c>
      <c r="C3528" s="3" t="str">
        <f>TRIM([1]Raw_Data!C3526)</f>
        <v>Performance</v>
      </c>
      <c r="D3528" s="3">
        <f>[1]Raw_Data!D3526</f>
        <v>142</v>
      </c>
      <c r="E3528" s="4">
        <f>[1]Raw_Data!E3526</f>
        <v>16.62</v>
      </c>
      <c r="F3528" s="5">
        <f>[1]Raw_Data!F3526</f>
        <v>2360.04</v>
      </c>
      <c r="G3528" s="4">
        <f>[1]Raw_Data!G3526</f>
        <v>0.19</v>
      </c>
      <c r="H3528" s="3">
        <f>[1]Raw_Data!H3526</f>
        <v>2</v>
      </c>
      <c r="I3528" s="3" t="str">
        <f>TRIM([1]Raw_Data!I3526)</f>
        <v>UK</v>
      </c>
      <c r="J3528" s="3" t="str">
        <f>TRIM([1]Raw_Data!J3526)</f>
        <v>iHerb</v>
      </c>
      <c r="K3528" s="3">
        <f t="shared" si="220"/>
        <v>2024</v>
      </c>
      <c r="L3528" s="6">
        <f t="shared" si="221"/>
        <v>45352</v>
      </c>
      <c r="M3528" s="3" t="str">
        <f t="shared" si="222"/>
        <v>16% to 20%</v>
      </c>
      <c r="N3528" s="3" t="str">
        <f t="shared" si="223"/>
        <v>OK</v>
      </c>
    </row>
    <row r="3529" spans="1:14" x14ac:dyDescent="0.3">
      <c r="A3529" s="2">
        <f>DATE(VALUE(RIGHT(TRIM([1]Raw_Data!A3527),4)),VALUE(MID(TRIM([1]Raw_Data!A3527),4,2)),VALUE(LEFT(TRIM([1]Raw_Data!A3527),2)))</f>
        <v>45376</v>
      </c>
      <c r="B3529" s="3" t="str">
        <f>TRIM([1]Raw_Data!B3527)</f>
        <v>BCAA</v>
      </c>
      <c r="C3529" s="3" t="str">
        <f>TRIM([1]Raw_Data!C3527)</f>
        <v>Amino Acid</v>
      </c>
      <c r="D3529" s="3">
        <f>[1]Raw_Data!D3527</f>
        <v>150</v>
      </c>
      <c r="E3529" s="4">
        <f>[1]Raw_Data!E3527</f>
        <v>39.1</v>
      </c>
      <c r="F3529" s="5">
        <f>[1]Raw_Data!F3527</f>
        <v>5865</v>
      </c>
      <c r="G3529" s="4">
        <f>[1]Raw_Data!G3527</f>
        <v>0.1</v>
      </c>
      <c r="H3529" s="3">
        <f>[1]Raw_Data!H3527</f>
        <v>0</v>
      </c>
      <c r="I3529" s="3" t="str">
        <f>TRIM([1]Raw_Data!I3527)</f>
        <v>Canada</v>
      </c>
      <c r="J3529" s="3" t="str">
        <f>TRIM([1]Raw_Data!J3527)</f>
        <v>Walmart</v>
      </c>
      <c r="K3529" s="3">
        <f t="shared" si="220"/>
        <v>2024</v>
      </c>
      <c r="L3529" s="6">
        <f t="shared" si="221"/>
        <v>45352</v>
      </c>
      <c r="M3529" s="3" t="str">
        <f t="shared" si="222"/>
        <v>6% to 10%</v>
      </c>
      <c r="N3529" s="3" t="str">
        <f t="shared" si="223"/>
        <v>OK</v>
      </c>
    </row>
    <row r="3530" spans="1:14" x14ac:dyDescent="0.3">
      <c r="A3530" s="2">
        <f>DATE(VALUE(RIGHT(TRIM([1]Raw_Data!A3528),4)),VALUE(MID(TRIM([1]Raw_Data!A3528),4,2)),VALUE(LEFT(TRIM([1]Raw_Data!A3528),2)))</f>
        <v>45376</v>
      </c>
      <c r="B3530" s="3" t="str">
        <f>TRIM([1]Raw_Data!B3528)</f>
        <v>Creatine</v>
      </c>
      <c r="C3530" s="3" t="str">
        <f>TRIM([1]Raw_Data!C3528)</f>
        <v>Performance</v>
      </c>
      <c r="D3530" s="3">
        <f>[1]Raw_Data!D3528</f>
        <v>147</v>
      </c>
      <c r="E3530" s="4">
        <f>[1]Raw_Data!E3528</f>
        <v>13.55</v>
      </c>
      <c r="F3530" s="5">
        <f>[1]Raw_Data!F3528</f>
        <v>1991.85</v>
      </c>
      <c r="G3530" s="4">
        <f>[1]Raw_Data!G3528</f>
        <v>0.08</v>
      </c>
      <c r="H3530" s="3">
        <f>[1]Raw_Data!H3528</f>
        <v>0</v>
      </c>
      <c r="I3530" s="3" t="str">
        <f>TRIM([1]Raw_Data!I3528)</f>
        <v>USA</v>
      </c>
      <c r="J3530" s="3" t="str">
        <f>TRIM([1]Raw_Data!J3528)</f>
        <v>iHerb</v>
      </c>
      <c r="K3530" s="3">
        <f t="shared" si="220"/>
        <v>2024</v>
      </c>
      <c r="L3530" s="6">
        <f t="shared" si="221"/>
        <v>45352</v>
      </c>
      <c r="M3530" s="3" t="str">
        <f t="shared" si="222"/>
        <v>6% to 10%</v>
      </c>
      <c r="N3530" s="3" t="str">
        <f t="shared" si="223"/>
        <v>OK</v>
      </c>
    </row>
    <row r="3531" spans="1:14" x14ac:dyDescent="0.3">
      <c r="A3531" s="2">
        <f>DATE(VALUE(RIGHT(TRIM([1]Raw_Data!A3529),4)),VALUE(MID(TRIM([1]Raw_Data!A3529),4,2)),VALUE(LEFT(TRIM([1]Raw_Data!A3529),2)))</f>
        <v>45376</v>
      </c>
      <c r="B3531" s="3" t="str">
        <f>TRIM([1]Raw_Data!B3529)</f>
        <v>Zinc</v>
      </c>
      <c r="C3531" s="3" t="str">
        <f>TRIM([1]Raw_Data!C3529)</f>
        <v>Mineral</v>
      </c>
      <c r="D3531" s="3">
        <f>[1]Raw_Data!D3529</f>
        <v>159</v>
      </c>
      <c r="E3531" s="4">
        <f>[1]Raw_Data!E3529</f>
        <v>13.13</v>
      </c>
      <c r="F3531" s="5">
        <f>[1]Raw_Data!F3529</f>
        <v>2087.67</v>
      </c>
      <c r="G3531" s="4">
        <f>[1]Raw_Data!G3529</f>
        <v>0.24</v>
      </c>
      <c r="H3531" s="3">
        <f>[1]Raw_Data!H3529</f>
        <v>0</v>
      </c>
      <c r="I3531" s="3" t="str">
        <f>TRIM([1]Raw_Data!I3529)</f>
        <v>Canada</v>
      </c>
      <c r="J3531" s="3" t="str">
        <f>TRIM([1]Raw_Data!J3529)</f>
        <v>Amazon</v>
      </c>
      <c r="K3531" s="3">
        <f t="shared" si="220"/>
        <v>2024</v>
      </c>
      <c r="L3531" s="6">
        <f t="shared" si="221"/>
        <v>45352</v>
      </c>
      <c r="M3531" s="3" t="str">
        <f t="shared" si="222"/>
        <v>21% to 25%</v>
      </c>
      <c r="N3531" s="3" t="str">
        <f t="shared" si="223"/>
        <v>OK</v>
      </c>
    </row>
    <row r="3532" spans="1:14" x14ac:dyDescent="0.3">
      <c r="A3532" s="2">
        <f>DATE(VALUE(RIGHT(TRIM([1]Raw_Data!A3530),4)),VALUE(MID(TRIM([1]Raw_Data!A3530),4,2)),VALUE(LEFT(TRIM([1]Raw_Data!A3530),2)))</f>
        <v>45376</v>
      </c>
      <c r="B3532" s="3" t="str">
        <f>TRIM([1]Raw_Data!B3530)</f>
        <v>Collagen Peptides</v>
      </c>
      <c r="C3532" s="3" t="str">
        <f>TRIM([1]Raw_Data!C3530)</f>
        <v>Protein</v>
      </c>
      <c r="D3532" s="3">
        <f>[1]Raw_Data!D3530</f>
        <v>153</v>
      </c>
      <c r="E3532" s="4">
        <f>[1]Raw_Data!E3530</f>
        <v>49.39</v>
      </c>
      <c r="F3532" s="5">
        <f>[1]Raw_Data!F3530</f>
        <v>7556.67</v>
      </c>
      <c r="G3532" s="4">
        <f>[1]Raw_Data!G3530</f>
        <v>0.01</v>
      </c>
      <c r="H3532" s="3">
        <f>[1]Raw_Data!H3530</f>
        <v>3</v>
      </c>
      <c r="I3532" s="3" t="str">
        <f>TRIM([1]Raw_Data!I3530)</f>
        <v>USA</v>
      </c>
      <c r="J3532" s="3" t="str">
        <f>TRIM([1]Raw_Data!J3530)</f>
        <v>iHerb</v>
      </c>
      <c r="K3532" s="3">
        <f t="shared" si="220"/>
        <v>2024</v>
      </c>
      <c r="L3532" s="6">
        <f t="shared" si="221"/>
        <v>45352</v>
      </c>
      <c r="M3532" s="3" t="str">
        <f t="shared" si="222"/>
        <v>0% to 5%</v>
      </c>
      <c r="N3532" s="3" t="str">
        <f t="shared" si="223"/>
        <v>OK</v>
      </c>
    </row>
    <row r="3533" spans="1:14" x14ac:dyDescent="0.3">
      <c r="A3533" s="2">
        <f>DATE(VALUE(RIGHT(TRIM([1]Raw_Data!A3531),4)),VALUE(MID(TRIM([1]Raw_Data!A3531),4,2)),VALUE(LEFT(TRIM([1]Raw_Data!A3531),2)))</f>
        <v>45376</v>
      </c>
      <c r="B3533" s="3" t="str">
        <f>TRIM([1]Raw_Data!B3531)</f>
        <v>Magnesium</v>
      </c>
      <c r="C3533" s="3" t="str">
        <f>TRIM([1]Raw_Data!C3531)</f>
        <v>Mineral</v>
      </c>
      <c r="D3533" s="3">
        <f>[1]Raw_Data!D3531</f>
        <v>171</v>
      </c>
      <c r="E3533" s="4">
        <f>[1]Raw_Data!E3531</f>
        <v>34.1</v>
      </c>
      <c r="F3533" s="5">
        <f>[1]Raw_Data!F3531</f>
        <v>5831.1</v>
      </c>
      <c r="G3533" s="4">
        <f>[1]Raw_Data!G3531</f>
        <v>0.01</v>
      </c>
      <c r="H3533" s="3">
        <f>[1]Raw_Data!H3531</f>
        <v>2</v>
      </c>
      <c r="I3533" s="3" t="str">
        <f>TRIM([1]Raw_Data!I3531)</f>
        <v>Canada</v>
      </c>
      <c r="J3533" s="3" t="str">
        <f>TRIM([1]Raw_Data!J3531)</f>
        <v>Amazon</v>
      </c>
      <c r="K3533" s="3">
        <f t="shared" si="220"/>
        <v>2024</v>
      </c>
      <c r="L3533" s="6">
        <f t="shared" si="221"/>
        <v>45352</v>
      </c>
      <c r="M3533" s="3" t="str">
        <f t="shared" si="222"/>
        <v>0% to 5%</v>
      </c>
      <c r="N3533" s="3" t="str">
        <f t="shared" si="223"/>
        <v>OK</v>
      </c>
    </row>
    <row r="3534" spans="1:14" x14ac:dyDescent="0.3">
      <c r="A3534" s="2">
        <f>DATE(VALUE(RIGHT(TRIM([1]Raw_Data!A3532),4)),VALUE(MID(TRIM([1]Raw_Data!A3532),4,2)),VALUE(LEFT(TRIM([1]Raw_Data!A3532),2)))</f>
        <v>45376</v>
      </c>
      <c r="B3534" s="3" t="str">
        <f>TRIM([1]Raw_Data!B3532)</f>
        <v>Ashwagandha</v>
      </c>
      <c r="C3534" s="3" t="str">
        <f>TRIM([1]Raw_Data!C3532)</f>
        <v>Herbal</v>
      </c>
      <c r="D3534" s="3">
        <f>[1]Raw_Data!D3532</f>
        <v>147</v>
      </c>
      <c r="E3534" s="4">
        <f>[1]Raw_Data!E3532</f>
        <v>30.19</v>
      </c>
      <c r="F3534" s="5">
        <f>[1]Raw_Data!F3532</f>
        <v>4437.93</v>
      </c>
      <c r="G3534" s="4">
        <f>[1]Raw_Data!G3532</f>
        <v>0.17</v>
      </c>
      <c r="H3534" s="3">
        <f>[1]Raw_Data!H3532</f>
        <v>0</v>
      </c>
      <c r="I3534" s="3" t="str">
        <f>TRIM([1]Raw_Data!I3532)</f>
        <v>UK</v>
      </c>
      <c r="J3534" s="3" t="str">
        <f>TRIM([1]Raw_Data!J3532)</f>
        <v>Walmart</v>
      </c>
      <c r="K3534" s="3">
        <f t="shared" si="220"/>
        <v>2024</v>
      </c>
      <c r="L3534" s="6">
        <f t="shared" si="221"/>
        <v>45352</v>
      </c>
      <c r="M3534" s="3" t="str">
        <f t="shared" si="222"/>
        <v>16% to 20%</v>
      </c>
      <c r="N3534" s="3" t="str">
        <f t="shared" si="223"/>
        <v>OK</v>
      </c>
    </row>
    <row r="3535" spans="1:14" x14ac:dyDescent="0.3">
      <c r="A3535" s="2">
        <f>DATE(VALUE(RIGHT(TRIM([1]Raw_Data!A3533),4)),VALUE(MID(TRIM([1]Raw_Data!A3533),4,2)),VALUE(LEFT(TRIM([1]Raw_Data!A3533),2)))</f>
        <v>45376</v>
      </c>
      <c r="B3535" s="3" t="str">
        <f>TRIM([1]Raw_Data!B3533)</f>
        <v>Melatonin</v>
      </c>
      <c r="C3535" s="3" t="str">
        <f>TRIM([1]Raw_Data!C3533)</f>
        <v>Sleep Aid</v>
      </c>
      <c r="D3535" s="3">
        <f>[1]Raw_Data!D3533</f>
        <v>134</v>
      </c>
      <c r="E3535" s="4">
        <f>[1]Raw_Data!E3533</f>
        <v>12.28</v>
      </c>
      <c r="F3535" s="5">
        <f>[1]Raw_Data!F3533</f>
        <v>1645.52</v>
      </c>
      <c r="G3535" s="4">
        <f>[1]Raw_Data!G3533</f>
        <v>0.14000000000000001</v>
      </c>
      <c r="H3535" s="3">
        <f>[1]Raw_Data!H3533</f>
        <v>2</v>
      </c>
      <c r="I3535" s="3" t="str">
        <f>TRIM([1]Raw_Data!I3533)</f>
        <v>Canada</v>
      </c>
      <c r="J3535" s="3" t="str">
        <f>TRIM([1]Raw_Data!J3533)</f>
        <v>iHerb</v>
      </c>
      <c r="K3535" s="3">
        <f t="shared" si="220"/>
        <v>2024</v>
      </c>
      <c r="L3535" s="6">
        <f t="shared" si="221"/>
        <v>45352</v>
      </c>
      <c r="M3535" s="3" t="str">
        <f t="shared" si="222"/>
        <v>11% to 15%</v>
      </c>
      <c r="N3535" s="3" t="str">
        <f t="shared" si="223"/>
        <v>OK</v>
      </c>
    </row>
    <row r="3536" spans="1:14" x14ac:dyDescent="0.3">
      <c r="A3536" s="2">
        <f>DATE(VALUE(RIGHT(TRIM([1]Raw_Data!A3534),4)),VALUE(MID(TRIM([1]Raw_Data!A3534),4,2)),VALUE(LEFT(TRIM([1]Raw_Data!A3534),2)))</f>
        <v>45376</v>
      </c>
      <c r="B3536" s="3" t="str">
        <f>TRIM([1]Raw_Data!B3534)</f>
        <v>Biotin</v>
      </c>
      <c r="C3536" s="3" t="str">
        <f>TRIM([1]Raw_Data!C3534)</f>
        <v>Vitamin</v>
      </c>
      <c r="D3536" s="3">
        <f>[1]Raw_Data!D3534</f>
        <v>154</v>
      </c>
      <c r="E3536" s="4">
        <f>[1]Raw_Data!E3534</f>
        <v>44.03</v>
      </c>
      <c r="F3536" s="5">
        <f>[1]Raw_Data!F3534</f>
        <v>6780.62</v>
      </c>
      <c r="G3536" s="4">
        <f>[1]Raw_Data!G3534</f>
        <v>0.08</v>
      </c>
      <c r="H3536" s="3">
        <f>[1]Raw_Data!H3534</f>
        <v>1</v>
      </c>
      <c r="I3536" s="3" t="str">
        <f>TRIM([1]Raw_Data!I3534)</f>
        <v>UK</v>
      </c>
      <c r="J3536" s="3" t="str">
        <f>TRIM([1]Raw_Data!J3534)</f>
        <v>Walmart</v>
      </c>
      <c r="K3536" s="3">
        <f t="shared" si="220"/>
        <v>2024</v>
      </c>
      <c r="L3536" s="6">
        <f t="shared" si="221"/>
        <v>45352</v>
      </c>
      <c r="M3536" s="3" t="str">
        <f t="shared" si="222"/>
        <v>6% to 10%</v>
      </c>
      <c r="N3536" s="3" t="str">
        <f t="shared" si="223"/>
        <v>OK</v>
      </c>
    </row>
    <row r="3537" spans="1:14" x14ac:dyDescent="0.3">
      <c r="A3537" s="2">
        <f>DATE(VALUE(RIGHT(TRIM([1]Raw_Data!A3535),4)),VALUE(MID(TRIM([1]Raw_Data!A3535),4,2)),VALUE(LEFT(TRIM([1]Raw_Data!A3535),2)))</f>
        <v>45376</v>
      </c>
      <c r="B3537" s="3" t="str">
        <f>TRIM([1]Raw_Data!B3535)</f>
        <v>Green Tea Extract</v>
      </c>
      <c r="C3537" s="3" t="str">
        <f>TRIM([1]Raw_Data!C3535)</f>
        <v>Fat Burner</v>
      </c>
      <c r="D3537" s="3">
        <f>[1]Raw_Data!D3535</f>
        <v>143</v>
      </c>
      <c r="E3537" s="4">
        <f>[1]Raw_Data!E3535</f>
        <v>18.079999999999998</v>
      </c>
      <c r="F3537" s="5">
        <f>[1]Raw_Data!F3535</f>
        <v>2585.44</v>
      </c>
      <c r="G3537" s="4">
        <f>[1]Raw_Data!G3535</f>
        <v>0</v>
      </c>
      <c r="H3537" s="3">
        <f>[1]Raw_Data!H3535</f>
        <v>2</v>
      </c>
      <c r="I3537" s="3" t="str">
        <f>TRIM([1]Raw_Data!I3535)</f>
        <v>USA</v>
      </c>
      <c r="J3537" s="3" t="str">
        <f>TRIM([1]Raw_Data!J3535)</f>
        <v>Walmart</v>
      </c>
      <c r="K3537" s="3">
        <f t="shared" si="220"/>
        <v>2024</v>
      </c>
      <c r="L3537" s="6">
        <f t="shared" si="221"/>
        <v>45352</v>
      </c>
      <c r="M3537" s="3" t="str">
        <f t="shared" si="222"/>
        <v>0% to 5%</v>
      </c>
      <c r="N3537" s="3" t="str">
        <f t="shared" si="223"/>
        <v>OK</v>
      </c>
    </row>
    <row r="3538" spans="1:14" x14ac:dyDescent="0.3">
      <c r="A3538" s="2">
        <f>DATE(VALUE(RIGHT(TRIM([1]Raw_Data!A3536),4)),VALUE(MID(TRIM([1]Raw_Data!A3536),4,2)),VALUE(LEFT(TRIM([1]Raw_Data!A3536),2)))</f>
        <v>45376</v>
      </c>
      <c r="B3538" s="3" t="str">
        <f>TRIM([1]Raw_Data!B3536)</f>
        <v>Iron Supplement</v>
      </c>
      <c r="C3538" s="3" t="str">
        <f>TRIM([1]Raw_Data!C3536)</f>
        <v>Mineral</v>
      </c>
      <c r="D3538" s="3">
        <f>[1]Raw_Data!D3536</f>
        <v>175</v>
      </c>
      <c r="E3538" s="4">
        <f>[1]Raw_Data!E3536</f>
        <v>49.15</v>
      </c>
      <c r="F3538" s="5">
        <f>[1]Raw_Data!F3536</f>
        <v>8601.25</v>
      </c>
      <c r="G3538" s="4">
        <f>[1]Raw_Data!G3536</f>
        <v>0.17</v>
      </c>
      <c r="H3538" s="3">
        <f>[1]Raw_Data!H3536</f>
        <v>2</v>
      </c>
      <c r="I3538" s="3" t="str">
        <f>TRIM([1]Raw_Data!I3536)</f>
        <v>Canada</v>
      </c>
      <c r="J3538" s="3" t="str">
        <f>TRIM([1]Raw_Data!J3536)</f>
        <v>Walmart</v>
      </c>
      <c r="K3538" s="3">
        <f t="shared" si="220"/>
        <v>2024</v>
      </c>
      <c r="L3538" s="6">
        <f t="shared" si="221"/>
        <v>45352</v>
      </c>
      <c r="M3538" s="3" t="str">
        <f t="shared" si="222"/>
        <v>16% to 20%</v>
      </c>
      <c r="N3538" s="3" t="str">
        <f t="shared" si="223"/>
        <v>OK</v>
      </c>
    </row>
    <row r="3539" spans="1:14" x14ac:dyDescent="0.3">
      <c r="A3539" s="2">
        <f>DATE(VALUE(RIGHT(TRIM([1]Raw_Data!A3537),4)),VALUE(MID(TRIM([1]Raw_Data!A3537),4,2)),VALUE(LEFT(TRIM([1]Raw_Data!A3537),2)))</f>
        <v>45376</v>
      </c>
      <c r="B3539" s="3" t="str">
        <f>TRIM([1]Raw_Data!B3537)</f>
        <v>Electrolyte Powder</v>
      </c>
      <c r="C3539" s="3" t="str">
        <f>TRIM([1]Raw_Data!C3537)</f>
        <v>Hydration</v>
      </c>
      <c r="D3539" s="3">
        <f>[1]Raw_Data!D3537</f>
        <v>158</v>
      </c>
      <c r="E3539" s="4">
        <f>[1]Raw_Data!E3537</f>
        <v>21.24</v>
      </c>
      <c r="F3539" s="5">
        <f>[1]Raw_Data!F3537</f>
        <v>3355.92</v>
      </c>
      <c r="G3539" s="4">
        <f>[1]Raw_Data!G3537</f>
        <v>0.08</v>
      </c>
      <c r="H3539" s="3">
        <f>[1]Raw_Data!H3537</f>
        <v>1</v>
      </c>
      <c r="I3539" s="3" t="str">
        <f>TRIM([1]Raw_Data!I3537)</f>
        <v>Canada</v>
      </c>
      <c r="J3539" s="3" t="str">
        <f>TRIM([1]Raw_Data!J3537)</f>
        <v>Amazon</v>
      </c>
      <c r="K3539" s="3">
        <f t="shared" si="220"/>
        <v>2024</v>
      </c>
      <c r="L3539" s="6">
        <f t="shared" si="221"/>
        <v>45352</v>
      </c>
      <c r="M3539" s="3" t="str">
        <f t="shared" si="222"/>
        <v>6% to 10%</v>
      </c>
      <c r="N3539" s="3" t="str">
        <f t="shared" si="223"/>
        <v>OK</v>
      </c>
    </row>
    <row r="3540" spans="1:14" x14ac:dyDescent="0.3">
      <c r="A3540" s="2">
        <f>DATE(VALUE(RIGHT(TRIM([1]Raw_Data!A3538),4)),VALUE(MID(TRIM([1]Raw_Data!A3538),4,2)),VALUE(LEFT(TRIM([1]Raw_Data!A3538),2)))</f>
        <v>45383</v>
      </c>
      <c r="B3540" s="3" t="str">
        <f>TRIM([1]Raw_Data!B3538)</f>
        <v>Whey Protein</v>
      </c>
      <c r="C3540" s="3" t="str">
        <f>TRIM([1]Raw_Data!C3538)</f>
        <v>Protein</v>
      </c>
      <c r="D3540" s="3">
        <f>[1]Raw_Data!D3538</f>
        <v>148</v>
      </c>
      <c r="E3540" s="4">
        <f>[1]Raw_Data!E3538</f>
        <v>27.26</v>
      </c>
      <c r="F3540" s="5">
        <f>[1]Raw_Data!F3538</f>
        <v>4034.48</v>
      </c>
      <c r="G3540" s="4">
        <f>[1]Raw_Data!G3538</f>
        <v>0.09</v>
      </c>
      <c r="H3540" s="3">
        <f>[1]Raw_Data!H3538</f>
        <v>3</v>
      </c>
      <c r="I3540" s="3" t="str">
        <f>TRIM([1]Raw_Data!I3538)</f>
        <v>USA</v>
      </c>
      <c r="J3540" s="3" t="str">
        <f>TRIM([1]Raw_Data!J3538)</f>
        <v>Amazon</v>
      </c>
      <c r="K3540" s="3">
        <f t="shared" si="220"/>
        <v>2024</v>
      </c>
      <c r="L3540" s="6">
        <f t="shared" si="221"/>
        <v>45383</v>
      </c>
      <c r="M3540" s="3" t="str">
        <f t="shared" si="222"/>
        <v>6% to 10%</v>
      </c>
      <c r="N3540" s="3" t="str">
        <f t="shared" si="223"/>
        <v>OK</v>
      </c>
    </row>
    <row r="3541" spans="1:14" x14ac:dyDescent="0.3">
      <c r="A3541" s="2">
        <f>DATE(VALUE(RIGHT(TRIM([1]Raw_Data!A3539),4)),VALUE(MID(TRIM([1]Raw_Data!A3539),4,2)),VALUE(LEFT(TRIM([1]Raw_Data!A3539),2)))</f>
        <v>45383</v>
      </c>
      <c r="B3541" s="3" t="str">
        <f>TRIM([1]Raw_Data!B3539)</f>
        <v>Vitamin C</v>
      </c>
      <c r="C3541" s="3" t="str">
        <f>TRIM([1]Raw_Data!C3539)</f>
        <v>Vitamin</v>
      </c>
      <c r="D3541" s="3">
        <f>[1]Raw_Data!D3539</f>
        <v>150</v>
      </c>
      <c r="E3541" s="4">
        <f>[1]Raw_Data!E3539</f>
        <v>53.04</v>
      </c>
      <c r="F3541" s="5">
        <f>[1]Raw_Data!F3539</f>
        <v>7956</v>
      </c>
      <c r="G3541" s="4">
        <f>[1]Raw_Data!G3539</f>
        <v>0.12</v>
      </c>
      <c r="H3541" s="3">
        <f>[1]Raw_Data!H3539</f>
        <v>2</v>
      </c>
      <c r="I3541" s="3" t="str">
        <f>TRIM([1]Raw_Data!I3539)</f>
        <v>USA</v>
      </c>
      <c r="J3541" s="3" t="str">
        <f>TRIM([1]Raw_Data!J3539)</f>
        <v>Amazon</v>
      </c>
      <c r="K3541" s="3">
        <f t="shared" si="220"/>
        <v>2024</v>
      </c>
      <c r="L3541" s="6">
        <f t="shared" si="221"/>
        <v>45383</v>
      </c>
      <c r="M3541" s="3" t="str">
        <f t="shared" si="222"/>
        <v>11% to 15%</v>
      </c>
      <c r="N3541" s="3" t="str">
        <f t="shared" si="223"/>
        <v>OK</v>
      </c>
    </row>
    <row r="3542" spans="1:14" x14ac:dyDescent="0.3">
      <c r="A3542" s="2">
        <f>DATE(VALUE(RIGHT(TRIM([1]Raw_Data!A3540),4)),VALUE(MID(TRIM([1]Raw_Data!A3540),4,2)),VALUE(LEFT(TRIM([1]Raw_Data!A3540),2)))</f>
        <v>45383</v>
      </c>
      <c r="B3542" s="3" t="str">
        <f>TRIM([1]Raw_Data!B3540)</f>
        <v>Fish Oil</v>
      </c>
      <c r="C3542" s="3" t="str">
        <f>TRIM([1]Raw_Data!C3540)</f>
        <v>Omega</v>
      </c>
      <c r="D3542" s="3">
        <f>[1]Raw_Data!D3540</f>
        <v>130</v>
      </c>
      <c r="E3542" s="4">
        <f>[1]Raw_Data!E3540</f>
        <v>30.22</v>
      </c>
      <c r="F3542" s="5">
        <f>[1]Raw_Data!F3540</f>
        <v>3928.6</v>
      </c>
      <c r="G3542" s="4">
        <f>[1]Raw_Data!G3540</f>
        <v>0.12</v>
      </c>
      <c r="H3542" s="3">
        <f>[1]Raw_Data!H3540</f>
        <v>4</v>
      </c>
      <c r="I3542" s="3" t="str">
        <f>TRIM([1]Raw_Data!I3540)</f>
        <v>USA</v>
      </c>
      <c r="J3542" s="3" t="str">
        <f>TRIM([1]Raw_Data!J3540)</f>
        <v>Walmart</v>
      </c>
      <c r="K3542" s="3">
        <f t="shared" si="220"/>
        <v>2024</v>
      </c>
      <c r="L3542" s="6">
        <f t="shared" si="221"/>
        <v>45383</v>
      </c>
      <c r="M3542" s="3" t="str">
        <f t="shared" si="222"/>
        <v>11% to 15%</v>
      </c>
      <c r="N3542" s="3" t="str">
        <f t="shared" si="223"/>
        <v>OK</v>
      </c>
    </row>
    <row r="3543" spans="1:14" x14ac:dyDescent="0.3">
      <c r="A3543" s="2">
        <f>DATE(VALUE(RIGHT(TRIM([1]Raw_Data!A3541),4)),VALUE(MID(TRIM([1]Raw_Data!A3541),4,2)),VALUE(LEFT(TRIM([1]Raw_Data!A3541),2)))</f>
        <v>45383</v>
      </c>
      <c r="B3543" s="3" t="str">
        <f>TRIM([1]Raw_Data!B3541)</f>
        <v>Multivitamin</v>
      </c>
      <c r="C3543" s="3" t="str">
        <f>TRIM([1]Raw_Data!C3541)</f>
        <v>Vitamin</v>
      </c>
      <c r="D3543" s="3">
        <f>[1]Raw_Data!D3541</f>
        <v>157</v>
      </c>
      <c r="E3543" s="4">
        <f>[1]Raw_Data!E3541</f>
        <v>45.08</v>
      </c>
      <c r="F3543" s="5">
        <f>[1]Raw_Data!F3541</f>
        <v>7077.56</v>
      </c>
      <c r="G3543" s="4">
        <f>[1]Raw_Data!G3541</f>
        <v>0</v>
      </c>
      <c r="H3543" s="3">
        <f>[1]Raw_Data!H3541</f>
        <v>0</v>
      </c>
      <c r="I3543" s="3" t="str">
        <f>TRIM([1]Raw_Data!I3541)</f>
        <v>Canada</v>
      </c>
      <c r="J3543" s="3" t="str">
        <f>TRIM([1]Raw_Data!J3541)</f>
        <v>Amazon</v>
      </c>
      <c r="K3543" s="3">
        <f t="shared" si="220"/>
        <v>2024</v>
      </c>
      <c r="L3543" s="6">
        <f t="shared" si="221"/>
        <v>45383</v>
      </c>
      <c r="M3543" s="3" t="str">
        <f t="shared" si="222"/>
        <v>0% to 5%</v>
      </c>
      <c r="N3543" s="3" t="str">
        <f t="shared" si="223"/>
        <v>OK</v>
      </c>
    </row>
    <row r="3544" spans="1:14" x14ac:dyDescent="0.3">
      <c r="A3544" s="2">
        <f>DATE(VALUE(RIGHT(TRIM([1]Raw_Data!A3542),4)),VALUE(MID(TRIM([1]Raw_Data!A3542),4,2)),VALUE(LEFT(TRIM([1]Raw_Data!A3542),2)))</f>
        <v>45383</v>
      </c>
      <c r="B3544" s="3" t="str">
        <f>TRIM([1]Raw_Data!B3542)</f>
        <v>Pre-Workout</v>
      </c>
      <c r="C3544" s="3" t="str">
        <f>TRIM([1]Raw_Data!C3542)</f>
        <v>Performance</v>
      </c>
      <c r="D3544" s="3">
        <f>[1]Raw_Data!D3542</f>
        <v>163</v>
      </c>
      <c r="E3544" s="4">
        <f>[1]Raw_Data!E3542</f>
        <v>28.21</v>
      </c>
      <c r="F3544" s="5">
        <f>[1]Raw_Data!F3542</f>
        <v>4598.2299999999996</v>
      </c>
      <c r="G3544" s="4">
        <f>[1]Raw_Data!G3542</f>
        <v>0.13</v>
      </c>
      <c r="H3544" s="3">
        <f>[1]Raw_Data!H3542</f>
        <v>3</v>
      </c>
      <c r="I3544" s="3" t="str">
        <f>TRIM([1]Raw_Data!I3542)</f>
        <v>UK</v>
      </c>
      <c r="J3544" s="3" t="str">
        <f>TRIM([1]Raw_Data!J3542)</f>
        <v>Walmart</v>
      </c>
      <c r="K3544" s="3">
        <f t="shared" si="220"/>
        <v>2024</v>
      </c>
      <c r="L3544" s="6">
        <f t="shared" si="221"/>
        <v>45383</v>
      </c>
      <c r="M3544" s="3" t="str">
        <f t="shared" si="222"/>
        <v>11% to 15%</v>
      </c>
      <c r="N3544" s="3" t="str">
        <f t="shared" si="223"/>
        <v>OK</v>
      </c>
    </row>
    <row r="3545" spans="1:14" x14ac:dyDescent="0.3">
      <c r="A3545" s="2">
        <f>DATE(VALUE(RIGHT(TRIM([1]Raw_Data!A3543),4)),VALUE(MID(TRIM([1]Raw_Data!A3543),4,2)),VALUE(LEFT(TRIM([1]Raw_Data!A3543),2)))</f>
        <v>45383</v>
      </c>
      <c r="B3545" s="3" t="str">
        <f>TRIM([1]Raw_Data!B3543)</f>
        <v>BCAA</v>
      </c>
      <c r="C3545" s="3" t="str">
        <f>TRIM([1]Raw_Data!C3543)</f>
        <v>Amino Acid</v>
      </c>
      <c r="D3545" s="3">
        <f>[1]Raw_Data!D3543</f>
        <v>155</v>
      </c>
      <c r="E3545" s="4">
        <f>[1]Raw_Data!E3543</f>
        <v>16.02</v>
      </c>
      <c r="F3545" s="5">
        <f>[1]Raw_Data!F3543</f>
        <v>2483.1</v>
      </c>
      <c r="G3545" s="4">
        <f>[1]Raw_Data!G3543</f>
        <v>7.0000000000000007E-2</v>
      </c>
      <c r="H3545" s="3">
        <f>[1]Raw_Data!H3543</f>
        <v>4</v>
      </c>
      <c r="I3545" s="3" t="str">
        <f>TRIM([1]Raw_Data!I3543)</f>
        <v>UK</v>
      </c>
      <c r="J3545" s="3" t="str">
        <f>TRIM([1]Raw_Data!J3543)</f>
        <v>Amazon</v>
      </c>
      <c r="K3545" s="3">
        <f t="shared" si="220"/>
        <v>2024</v>
      </c>
      <c r="L3545" s="6">
        <f t="shared" si="221"/>
        <v>45383</v>
      </c>
      <c r="M3545" s="3" t="str">
        <f t="shared" si="222"/>
        <v>6% to 10%</v>
      </c>
      <c r="N3545" s="3" t="str">
        <f t="shared" si="223"/>
        <v>OK</v>
      </c>
    </row>
    <row r="3546" spans="1:14" x14ac:dyDescent="0.3">
      <c r="A3546" s="2">
        <f>DATE(VALUE(RIGHT(TRIM([1]Raw_Data!A3544),4)),VALUE(MID(TRIM([1]Raw_Data!A3544),4,2)),VALUE(LEFT(TRIM([1]Raw_Data!A3544),2)))</f>
        <v>45383</v>
      </c>
      <c r="B3546" s="3" t="str">
        <f>TRIM([1]Raw_Data!B3544)</f>
        <v>Creatine</v>
      </c>
      <c r="C3546" s="3" t="str">
        <f>TRIM([1]Raw_Data!C3544)</f>
        <v>Performance</v>
      </c>
      <c r="D3546" s="3">
        <f>[1]Raw_Data!D3544</f>
        <v>148</v>
      </c>
      <c r="E3546" s="4">
        <f>[1]Raw_Data!E3544</f>
        <v>34.93</v>
      </c>
      <c r="F3546" s="5">
        <f>[1]Raw_Data!F3544</f>
        <v>5169.6400000000003</v>
      </c>
      <c r="G3546" s="4">
        <f>[1]Raw_Data!G3544</f>
        <v>0.22</v>
      </c>
      <c r="H3546" s="3">
        <f>[1]Raw_Data!H3544</f>
        <v>2</v>
      </c>
      <c r="I3546" s="3" t="str">
        <f>TRIM([1]Raw_Data!I3544)</f>
        <v>Canada</v>
      </c>
      <c r="J3546" s="3" t="str">
        <f>TRIM([1]Raw_Data!J3544)</f>
        <v>Amazon</v>
      </c>
      <c r="K3546" s="3">
        <f t="shared" si="220"/>
        <v>2024</v>
      </c>
      <c r="L3546" s="6">
        <f t="shared" si="221"/>
        <v>45383</v>
      </c>
      <c r="M3546" s="3" t="str">
        <f t="shared" si="222"/>
        <v>21% to 25%</v>
      </c>
      <c r="N3546" s="3" t="str">
        <f t="shared" si="223"/>
        <v>OK</v>
      </c>
    </row>
    <row r="3547" spans="1:14" x14ac:dyDescent="0.3">
      <c r="A3547" s="2">
        <f>DATE(VALUE(RIGHT(TRIM([1]Raw_Data!A3545),4)),VALUE(MID(TRIM([1]Raw_Data!A3545),4,2)),VALUE(LEFT(TRIM([1]Raw_Data!A3545),2)))</f>
        <v>45383</v>
      </c>
      <c r="B3547" s="3" t="str">
        <f>TRIM([1]Raw_Data!B3545)</f>
        <v>Zinc</v>
      </c>
      <c r="C3547" s="3" t="str">
        <f>TRIM([1]Raw_Data!C3545)</f>
        <v>Mineral</v>
      </c>
      <c r="D3547" s="3">
        <f>[1]Raw_Data!D3545</f>
        <v>157</v>
      </c>
      <c r="E3547" s="4">
        <f>[1]Raw_Data!E3545</f>
        <v>11.45</v>
      </c>
      <c r="F3547" s="5">
        <f>[1]Raw_Data!F3545</f>
        <v>1797.65</v>
      </c>
      <c r="G3547" s="4">
        <f>[1]Raw_Data!G3545</f>
        <v>0.23</v>
      </c>
      <c r="H3547" s="3">
        <f>[1]Raw_Data!H3545</f>
        <v>4</v>
      </c>
      <c r="I3547" s="3" t="str">
        <f>TRIM([1]Raw_Data!I3545)</f>
        <v>Canada</v>
      </c>
      <c r="J3547" s="3" t="str">
        <f>TRIM([1]Raw_Data!J3545)</f>
        <v>Walmart</v>
      </c>
      <c r="K3547" s="3">
        <f t="shared" si="220"/>
        <v>2024</v>
      </c>
      <c r="L3547" s="6">
        <f t="shared" si="221"/>
        <v>45383</v>
      </c>
      <c r="M3547" s="3" t="str">
        <f t="shared" si="222"/>
        <v>21% to 25%</v>
      </c>
      <c r="N3547" s="3" t="str">
        <f t="shared" si="223"/>
        <v>OK</v>
      </c>
    </row>
    <row r="3548" spans="1:14" x14ac:dyDescent="0.3">
      <c r="A3548" s="2">
        <f>DATE(VALUE(RIGHT(TRIM([1]Raw_Data!A3546),4)),VALUE(MID(TRIM([1]Raw_Data!A3546),4,2)),VALUE(LEFT(TRIM([1]Raw_Data!A3546),2)))</f>
        <v>45383</v>
      </c>
      <c r="B3548" s="3" t="str">
        <f>TRIM([1]Raw_Data!B3546)</f>
        <v>Collagen Peptides</v>
      </c>
      <c r="C3548" s="3" t="str">
        <f>TRIM([1]Raw_Data!C3546)</f>
        <v>Protein</v>
      </c>
      <c r="D3548" s="3">
        <f>[1]Raw_Data!D3546</f>
        <v>162</v>
      </c>
      <c r="E3548" s="4">
        <f>[1]Raw_Data!E3546</f>
        <v>52.23</v>
      </c>
      <c r="F3548" s="5">
        <f>[1]Raw_Data!F3546</f>
        <v>8461.26</v>
      </c>
      <c r="G3548" s="4">
        <f>[1]Raw_Data!G3546</f>
        <v>0.15</v>
      </c>
      <c r="H3548" s="3">
        <f>[1]Raw_Data!H3546</f>
        <v>0</v>
      </c>
      <c r="I3548" s="3" t="str">
        <f>TRIM([1]Raw_Data!I3546)</f>
        <v>USA</v>
      </c>
      <c r="J3548" s="3" t="str">
        <f>TRIM([1]Raw_Data!J3546)</f>
        <v>Walmart</v>
      </c>
      <c r="K3548" s="3">
        <f t="shared" si="220"/>
        <v>2024</v>
      </c>
      <c r="L3548" s="6">
        <f t="shared" si="221"/>
        <v>45383</v>
      </c>
      <c r="M3548" s="3" t="str">
        <f t="shared" si="222"/>
        <v>11% to 15%</v>
      </c>
      <c r="N3548" s="3" t="str">
        <f t="shared" si="223"/>
        <v>OK</v>
      </c>
    </row>
    <row r="3549" spans="1:14" x14ac:dyDescent="0.3">
      <c r="A3549" s="2">
        <f>DATE(VALUE(RIGHT(TRIM([1]Raw_Data!A3547),4)),VALUE(MID(TRIM([1]Raw_Data!A3547),4,2)),VALUE(LEFT(TRIM([1]Raw_Data!A3547),2)))</f>
        <v>45383</v>
      </c>
      <c r="B3549" s="3" t="str">
        <f>TRIM([1]Raw_Data!B3547)</f>
        <v>Magnesium</v>
      </c>
      <c r="C3549" s="3" t="str">
        <f>TRIM([1]Raw_Data!C3547)</f>
        <v>Mineral</v>
      </c>
      <c r="D3549" s="3">
        <f>[1]Raw_Data!D3547</f>
        <v>146</v>
      </c>
      <c r="E3549" s="4">
        <f>[1]Raw_Data!E3547</f>
        <v>27.56</v>
      </c>
      <c r="F3549" s="5">
        <f>[1]Raw_Data!F3547</f>
        <v>4023.76</v>
      </c>
      <c r="G3549" s="4">
        <f>[1]Raw_Data!G3547</f>
        <v>0.22</v>
      </c>
      <c r="H3549" s="3">
        <f>[1]Raw_Data!H3547</f>
        <v>0</v>
      </c>
      <c r="I3549" s="3" t="str">
        <f>TRIM([1]Raw_Data!I3547)</f>
        <v>USA</v>
      </c>
      <c r="J3549" s="3" t="str">
        <f>TRIM([1]Raw_Data!J3547)</f>
        <v>Walmart</v>
      </c>
      <c r="K3549" s="3">
        <f t="shared" si="220"/>
        <v>2024</v>
      </c>
      <c r="L3549" s="6">
        <f t="shared" si="221"/>
        <v>45383</v>
      </c>
      <c r="M3549" s="3" t="str">
        <f t="shared" si="222"/>
        <v>21% to 25%</v>
      </c>
      <c r="N3549" s="3" t="str">
        <f t="shared" si="223"/>
        <v>OK</v>
      </c>
    </row>
    <row r="3550" spans="1:14" x14ac:dyDescent="0.3">
      <c r="A3550" s="2">
        <f>DATE(VALUE(RIGHT(TRIM([1]Raw_Data!A3548),4)),VALUE(MID(TRIM([1]Raw_Data!A3548),4,2)),VALUE(LEFT(TRIM([1]Raw_Data!A3548),2)))</f>
        <v>45383</v>
      </c>
      <c r="B3550" s="3" t="str">
        <f>TRIM([1]Raw_Data!B3548)</f>
        <v>Ashwagandha</v>
      </c>
      <c r="C3550" s="3" t="str">
        <f>TRIM([1]Raw_Data!C3548)</f>
        <v>Herbal</v>
      </c>
      <c r="D3550" s="3">
        <f>[1]Raw_Data!D3548</f>
        <v>144</v>
      </c>
      <c r="E3550" s="4">
        <f>[1]Raw_Data!E3548</f>
        <v>12.58</v>
      </c>
      <c r="F3550" s="5">
        <f>[1]Raw_Data!F3548</f>
        <v>1811.52</v>
      </c>
      <c r="G3550" s="4">
        <f>[1]Raw_Data!G3548</f>
        <v>0.03</v>
      </c>
      <c r="H3550" s="3">
        <f>[1]Raw_Data!H3548</f>
        <v>0</v>
      </c>
      <c r="I3550" s="3" t="str">
        <f>TRIM([1]Raw_Data!I3548)</f>
        <v>UK</v>
      </c>
      <c r="J3550" s="3" t="str">
        <f>TRIM([1]Raw_Data!J3548)</f>
        <v>Walmart</v>
      </c>
      <c r="K3550" s="3">
        <f t="shared" si="220"/>
        <v>2024</v>
      </c>
      <c r="L3550" s="6">
        <f t="shared" si="221"/>
        <v>45383</v>
      </c>
      <c r="M3550" s="3" t="str">
        <f t="shared" si="222"/>
        <v>0% to 5%</v>
      </c>
      <c r="N3550" s="3" t="str">
        <f t="shared" si="223"/>
        <v>OK</v>
      </c>
    </row>
    <row r="3551" spans="1:14" x14ac:dyDescent="0.3">
      <c r="A3551" s="2">
        <f>DATE(VALUE(RIGHT(TRIM([1]Raw_Data!A3549),4)),VALUE(MID(TRIM([1]Raw_Data!A3549),4,2)),VALUE(LEFT(TRIM([1]Raw_Data!A3549),2)))</f>
        <v>45383</v>
      </c>
      <c r="B3551" s="3" t="str">
        <f>TRIM([1]Raw_Data!B3549)</f>
        <v>Melatonin</v>
      </c>
      <c r="C3551" s="3" t="str">
        <f>TRIM([1]Raw_Data!C3549)</f>
        <v>Sleep Aid</v>
      </c>
      <c r="D3551" s="3">
        <f>[1]Raw_Data!D3549</f>
        <v>164</v>
      </c>
      <c r="E3551" s="4">
        <f>[1]Raw_Data!E3549</f>
        <v>24.94</v>
      </c>
      <c r="F3551" s="5">
        <f>[1]Raw_Data!F3549</f>
        <v>4090.16</v>
      </c>
      <c r="G3551" s="4">
        <f>[1]Raw_Data!G3549</f>
        <v>0</v>
      </c>
      <c r="H3551" s="3">
        <f>[1]Raw_Data!H3549</f>
        <v>2</v>
      </c>
      <c r="I3551" s="3" t="str">
        <f>TRIM([1]Raw_Data!I3549)</f>
        <v>USA</v>
      </c>
      <c r="J3551" s="3" t="str">
        <f>TRIM([1]Raw_Data!J3549)</f>
        <v>Amazon</v>
      </c>
      <c r="K3551" s="3">
        <f t="shared" si="220"/>
        <v>2024</v>
      </c>
      <c r="L3551" s="6">
        <f t="shared" si="221"/>
        <v>45383</v>
      </c>
      <c r="M3551" s="3" t="str">
        <f t="shared" si="222"/>
        <v>0% to 5%</v>
      </c>
      <c r="N3551" s="3" t="str">
        <f t="shared" si="223"/>
        <v>OK</v>
      </c>
    </row>
    <row r="3552" spans="1:14" x14ac:dyDescent="0.3">
      <c r="A3552" s="2">
        <f>DATE(VALUE(RIGHT(TRIM([1]Raw_Data!A3550),4)),VALUE(MID(TRIM([1]Raw_Data!A3550),4,2)),VALUE(LEFT(TRIM([1]Raw_Data!A3550),2)))</f>
        <v>45383</v>
      </c>
      <c r="B3552" s="3" t="str">
        <f>TRIM([1]Raw_Data!B3550)</f>
        <v>Biotin</v>
      </c>
      <c r="C3552" s="3" t="str">
        <f>TRIM([1]Raw_Data!C3550)</f>
        <v>Vitamin</v>
      </c>
      <c r="D3552" s="3">
        <f>[1]Raw_Data!D3550</f>
        <v>154</v>
      </c>
      <c r="E3552" s="4">
        <f>[1]Raw_Data!E3550</f>
        <v>28.72</v>
      </c>
      <c r="F3552" s="5">
        <f>[1]Raw_Data!F3550</f>
        <v>4422.88</v>
      </c>
      <c r="G3552" s="4">
        <f>[1]Raw_Data!G3550</f>
        <v>0.05</v>
      </c>
      <c r="H3552" s="3">
        <f>[1]Raw_Data!H3550</f>
        <v>2</v>
      </c>
      <c r="I3552" s="3" t="str">
        <f>TRIM([1]Raw_Data!I3550)</f>
        <v>USA</v>
      </c>
      <c r="J3552" s="3" t="str">
        <f>TRIM([1]Raw_Data!J3550)</f>
        <v>Walmart</v>
      </c>
      <c r="K3552" s="3">
        <f t="shared" si="220"/>
        <v>2024</v>
      </c>
      <c r="L3552" s="6">
        <f t="shared" si="221"/>
        <v>45383</v>
      </c>
      <c r="M3552" s="3" t="str">
        <f t="shared" si="222"/>
        <v>0% to 5%</v>
      </c>
      <c r="N3552" s="3" t="str">
        <f t="shared" si="223"/>
        <v>OK</v>
      </c>
    </row>
    <row r="3553" spans="1:14" x14ac:dyDescent="0.3">
      <c r="A3553" s="2">
        <f>DATE(VALUE(RIGHT(TRIM([1]Raw_Data!A3551),4)),VALUE(MID(TRIM([1]Raw_Data!A3551),4,2)),VALUE(LEFT(TRIM([1]Raw_Data!A3551),2)))</f>
        <v>45383</v>
      </c>
      <c r="B3553" s="3" t="str">
        <f>TRIM([1]Raw_Data!B3551)</f>
        <v>Green Tea Extract</v>
      </c>
      <c r="C3553" s="3" t="str">
        <f>TRIM([1]Raw_Data!C3551)</f>
        <v>Fat Burner</v>
      </c>
      <c r="D3553" s="3">
        <f>[1]Raw_Data!D3551</f>
        <v>162</v>
      </c>
      <c r="E3553" s="4">
        <f>[1]Raw_Data!E3551</f>
        <v>34.340000000000003</v>
      </c>
      <c r="F3553" s="5">
        <f>[1]Raw_Data!F3551</f>
        <v>5563.08</v>
      </c>
      <c r="G3553" s="4">
        <f>[1]Raw_Data!G3551</f>
        <v>0.06</v>
      </c>
      <c r="H3553" s="3">
        <f>[1]Raw_Data!H3551</f>
        <v>0</v>
      </c>
      <c r="I3553" s="3" t="str">
        <f>TRIM([1]Raw_Data!I3551)</f>
        <v>UK</v>
      </c>
      <c r="J3553" s="3" t="str">
        <f>TRIM([1]Raw_Data!J3551)</f>
        <v>Amazon</v>
      </c>
      <c r="K3553" s="3">
        <f t="shared" si="220"/>
        <v>2024</v>
      </c>
      <c r="L3553" s="6">
        <f t="shared" si="221"/>
        <v>45383</v>
      </c>
      <c r="M3553" s="3" t="str">
        <f t="shared" si="222"/>
        <v>6% to 10%</v>
      </c>
      <c r="N3553" s="3" t="str">
        <f t="shared" si="223"/>
        <v>OK</v>
      </c>
    </row>
    <row r="3554" spans="1:14" x14ac:dyDescent="0.3">
      <c r="A3554" s="2">
        <f>DATE(VALUE(RIGHT(TRIM([1]Raw_Data!A3552),4)),VALUE(MID(TRIM([1]Raw_Data!A3552),4,2)),VALUE(LEFT(TRIM([1]Raw_Data!A3552),2)))</f>
        <v>45383</v>
      </c>
      <c r="B3554" s="3" t="str">
        <f>TRIM([1]Raw_Data!B3552)</f>
        <v>Iron Supplement</v>
      </c>
      <c r="C3554" s="3" t="str">
        <f>TRIM([1]Raw_Data!C3552)</f>
        <v>Mineral</v>
      </c>
      <c r="D3554" s="3">
        <f>[1]Raw_Data!D3552</f>
        <v>159</v>
      </c>
      <c r="E3554" s="4">
        <f>[1]Raw_Data!E3552</f>
        <v>20.81</v>
      </c>
      <c r="F3554" s="5">
        <f>[1]Raw_Data!F3552</f>
        <v>3308.79</v>
      </c>
      <c r="G3554" s="4">
        <f>[1]Raw_Data!G3552</f>
        <v>0.08</v>
      </c>
      <c r="H3554" s="3">
        <f>[1]Raw_Data!H3552</f>
        <v>4</v>
      </c>
      <c r="I3554" s="3" t="str">
        <f>TRIM([1]Raw_Data!I3552)</f>
        <v>UK</v>
      </c>
      <c r="J3554" s="3" t="str">
        <f>TRIM([1]Raw_Data!J3552)</f>
        <v>iHerb</v>
      </c>
      <c r="K3554" s="3">
        <f t="shared" si="220"/>
        <v>2024</v>
      </c>
      <c r="L3554" s="6">
        <f t="shared" si="221"/>
        <v>45383</v>
      </c>
      <c r="M3554" s="3" t="str">
        <f t="shared" si="222"/>
        <v>6% to 10%</v>
      </c>
      <c r="N3554" s="3" t="str">
        <f t="shared" si="223"/>
        <v>OK</v>
      </c>
    </row>
    <row r="3555" spans="1:14" x14ac:dyDescent="0.3">
      <c r="A3555" s="2">
        <f>DATE(VALUE(RIGHT(TRIM([1]Raw_Data!A3553),4)),VALUE(MID(TRIM([1]Raw_Data!A3553),4,2)),VALUE(LEFT(TRIM([1]Raw_Data!A3553),2)))</f>
        <v>45383</v>
      </c>
      <c r="B3555" s="3" t="str">
        <f>TRIM([1]Raw_Data!B3553)</f>
        <v>Electrolyte Powder</v>
      </c>
      <c r="C3555" s="3" t="str">
        <f>TRIM([1]Raw_Data!C3553)</f>
        <v>Hydration</v>
      </c>
      <c r="D3555" s="3">
        <f>[1]Raw_Data!D3553</f>
        <v>164</v>
      </c>
      <c r="E3555" s="4">
        <f>[1]Raw_Data!E3553</f>
        <v>33</v>
      </c>
      <c r="F3555" s="5">
        <f>[1]Raw_Data!F3553</f>
        <v>5412</v>
      </c>
      <c r="G3555" s="4">
        <f>[1]Raw_Data!G3553</f>
        <v>0.16</v>
      </c>
      <c r="H3555" s="3">
        <f>[1]Raw_Data!H3553</f>
        <v>1</v>
      </c>
      <c r="I3555" s="3" t="str">
        <f>TRIM([1]Raw_Data!I3553)</f>
        <v>UK</v>
      </c>
      <c r="J3555" s="3" t="str">
        <f>TRIM([1]Raw_Data!J3553)</f>
        <v>Walmart</v>
      </c>
      <c r="K3555" s="3">
        <f t="shared" si="220"/>
        <v>2024</v>
      </c>
      <c r="L3555" s="6">
        <f t="shared" si="221"/>
        <v>45383</v>
      </c>
      <c r="M3555" s="3" t="str">
        <f t="shared" si="222"/>
        <v>16% to 20%</v>
      </c>
      <c r="N3555" s="3" t="str">
        <f t="shared" si="223"/>
        <v>OK</v>
      </c>
    </row>
    <row r="3556" spans="1:14" x14ac:dyDescent="0.3">
      <c r="A3556" s="2">
        <f>DATE(VALUE(RIGHT(TRIM([1]Raw_Data!A3554),4)),VALUE(MID(TRIM([1]Raw_Data!A3554),4,2)),VALUE(LEFT(TRIM([1]Raw_Data!A3554),2)))</f>
        <v>45390</v>
      </c>
      <c r="B3556" s="3" t="str">
        <f>TRIM([1]Raw_Data!B3554)</f>
        <v>Whey Protein</v>
      </c>
      <c r="C3556" s="3" t="str">
        <f>TRIM([1]Raw_Data!C3554)</f>
        <v>Protein</v>
      </c>
      <c r="D3556" s="3">
        <f>[1]Raw_Data!D3554</f>
        <v>128</v>
      </c>
      <c r="E3556" s="4">
        <f>[1]Raw_Data!E3554</f>
        <v>39.700000000000003</v>
      </c>
      <c r="F3556" s="5">
        <f>[1]Raw_Data!F3554</f>
        <v>5081.6000000000004</v>
      </c>
      <c r="G3556" s="4">
        <f>[1]Raw_Data!G3554</f>
        <v>7.0000000000000007E-2</v>
      </c>
      <c r="H3556" s="3">
        <f>[1]Raw_Data!H3554</f>
        <v>2</v>
      </c>
      <c r="I3556" s="3" t="str">
        <f>TRIM([1]Raw_Data!I3554)</f>
        <v>Canada</v>
      </c>
      <c r="J3556" s="3" t="str">
        <f>TRIM([1]Raw_Data!J3554)</f>
        <v>iHerb</v>
      </c>
      <c r="K3556" s="3">
        <f t="shared" si="220"/>
        <v>2024</v>
      </c>
      <c r="L3556" s="6">
        <f t="shared" si="221"/>
        <v>45383</v>
      </c>
      <c r="M3556" s="3" t="str">
        <f t="shared" si="222"/>
        <v>6% to 10%</v>
      </c>
      <c r="N3556" s="3" t="str">
        <f t="shared" si="223"/>
        <v>OK</v>
      </c>
    </row>
    <row r="3557" spans="1:14" x14ac:dyDescent="0.3">
      <c r="A3557" s="2">
        <f>DATE(VALUE(RIGHT(TRIM([1]Raw_Data!A3555),4)),VALUE(MID(TRIM([1]Raw_Data!A3555),4,2)),VALUE(LEFT(TRIM([1]Raw_Data!A3555),2)))</f>
        <v>45390</v>
      </c>
      <c r="B3557" s="3" t="str">
        <f>TRIM([1]Raw_Data!B3555)</f>
        <v>Vitamin C</v>
      </c>
      <c r="C3557" s="3" t="str">
        <f>TRIM([1]Raw_Data!C3555)</f>
        <v>Vitamin</v>
      </c>
      <c r="D3557" s="3">
        <f>[1]Raw_Data!D3555</f>
        <v>135</v>
      </c>
      <c r="E3557" s="4">
        <f>[1]Raw_Data!E3555</f>
        <v>16.25</v>
      </c>
      <c r="F3557" s="5">
        <f>[1]Raw_Data!F3555</f>
        <v>2193.75</v>
      </c>
      <c r="G3557" s="4">
        <f>[1]Raw_Data!G3555</f>
        <v>0.1</v>
      </c>
      <c r="H3557" s="3">
        <f>[1]Raw_Data!H3555</f>
        <v>0</v>
      </c>
      <c r="I3557" s="3" t="str">
        <f>TRIM([1]Raw_Data!I3555)</f>
        <v>USA</v>
      </c>
      <c r="J3557" s="3" t="str">
        <f>TRIM([1]Raw_Data!J3555)</f>
        <v>Walmart</v>
      </c>
      <c r="K3557" s="3">
        <f t="shared" si="220"/>
        <v>2024</v>
      </c>
      <c r="L3557" s="6">
        <f t="shared" si="221"/>
        <v>45383</v>
      </c>
      <c r="M3557" s="3" t="str">
        <f t="shared" si="222"/>
        <v>6% to 10%</v>
      </c>
      <c r="N3557" s="3" t="str">
        <f t="shared" si="223"/>
        <v>OK</v>
      </c>
    </row>
    <row r="3558" spans="1:14" x14ac:dyDescent="0.3">
      <c r="A3558" s="2">
        <f>DATE(VALUE(RIGHT(TRIM([1]Raw_Data!A3556),4)),VALUE(MID(TRIM([1]Raw_Data!A3556),4,2)),VALUE(LEFT(TRIM([1]Raw_Data!A3556),2)))</f>
        <v>45390</v>
      </c>
      <c r="B3558" s="3" t="str">
        <f>TRIM([1]Raw_Data!B3556)</f>
        <v>Fish Oil</v>
      </c>
      <c r="C3558" s="3" t="str">
        <f>TRIM([1]Raw_Data!C3556)</f>
        <v>Omega</v>
      </c>
      <c r="D3558" s="3">
        <f>[1]Raw_Data!D3556</f>
        <v>141</v>
      </c>
      <c r="E3558" s="4">
        <f>[1]Raw_Data!E3556</f>
        <v>33.909999999999997</v>
      </c>
      <c r="F3558" s="5">
        <f>[1]Raw_Data!F3556</f>
        <v>4781.3100000000004</v>
      </c>
      <c r="G3558" s="4">
        <f>[1]Raw_Data!G3556</f>
        <v>0.14000000000000001</v>
      </c>
      <c r="H3558" s="3">
        <f>[1]Raw_Data!H3556</f>
        <v>1</v>
      </c>
      <c r="I3558" s="3" t="str">
        <f>TRIM([1]Raw_Data!I3556)</f>
        <v>USA</v>
      </c>
      <c r="J3558" s="3" t="str">
        <f>TRIM([1]Raw_Data!J3556)</f>
        <v>iHerb</v>
      </c>
      <c r="K3558" s="3">
        <f t="shared" si="220"/>
        <v>2024</v>
      </c>
      <c r="L3558" s="6">
        <f t="shared" si="221"/>
        <v>45383</v>
      </c>
      <c r="M3558" s="3" t="str">
        <f t="shared" si="222"/>
        <v>11% to 15%</v>
      </c>
      <c r="N3558" s="3" t="str">
        <f t="shared" si="223"/>
        <v>OK</v>
      </c>
    </row>
    <row r="3559" spans="1:14" x14ac:dyDescent="0.3">
      <c r="A3559" s="2">
        <f>DATE(VALUE(RIGHT(TRIM([1]Raw_Data!A3557),4)),VALUE(MID(TRIM([1]Raw_Data!A3557),4,2)),VALUE(LEFT(TRIM([1]Raw_Data!A3557),2)))</f>
        <v>45390</v>
      </c>
      <c r="B3559" s="3" t="str">
        <f>TRIM([1]Raw_Data!B3557)</f>
        <v>Multivitamin</v>
      </c>
      <c r="C3559" s="3" t="str">
        <f>TRIM([1]Raw_Data!C3557)</f>
        <v>Vitamin</v>
      </c>
      <c r="D3559" s="3">
        <f>[1]Raw_Data!D3557</f>
        <v>151</v>
      </c>
      <c r="E3559" s="4">
        <f>[1]Raw_Data!E3557</f>
        <v>25.81</v>
      </c>
      <c r="F3559" s="5">
        <f>[1]Raw_Data!F3557</f>
        <v>3897.31</v>
      </c>
      <c r="G3559" s="4">
        <f>[1]Raw_Data!G3557</f>
        <v>0.21</v>
      </c>
      <c r="H3559" s="3">
        <f>[1]Raw_Data!H3557</f>
        <v>1</v>
      </c>
      <c r="I3559" s="3" t="str">
        <f>TRIM([1]Raw_Data!I3557)</f>
        <v>USA</v>
      </c>
      <c r="J3559" s="3" t="str">
        <f>TRIM([1]Raw_Data!J3557)</f>
        <v>Amazon</v>
      </c>
      <c r="K3559" s="3">
        <f t="shared" si="220"/>
        <v>2024</v>
      </c>
      <c r="L3559" s="6">
        <f t="shared" si="221"/>
        <v>45383</v>
      </c>
      <c r="M3559" s="3" t="str">
        <f t="shared" si="222"/>
        <v>21% to 25%</v>
      </c>
      <c r="N3559" s="3" t="str">
        <f t="shared" si="223"/>
        <v>OK</v>
      </c>
    </row>
    <row r="3560" spans="1:14" x14ac:dyDescent="0.3">
      <c r="A3560" s="2">
        <f>DATE(VALUE(RIGHT(TRIM([1]Raw_Data!A3558),4)),VALUE(MID(TRIM([1]Raw_Data!A3558),4,2)),VALUE(LEFT(TRIM([1]Raw_Data!A3558),2)))</f>
        <v>45390</v>
      </c>
      <c r="B3560" s="3" t="str">
        <f>TRIM([1]Raw_Data!B3558)</f>
        <v>Pre-Workout</v>
      </c>
      <c r="C3560" s="3" t="str">
        <f>TRIM([1]Raw_Data!C3558)</f>
        <v>Performance</v>
      </c>
      <c r="D3560" s="3">
        <f>[1]Raw_Data!D3558</f>
        <v>144</v>
      </c>
      <c r="E3560" s="4">
        <f>[1]Raw_Data!E3558</f>
        <v>52.26</v>
      </c>
      <c r="F3560" s="5">
        <f>[1]Raw_Data!F3558</f>
        <v>7525.44</v>
      </c>
      <c r="G3560" s="4">
        <f>[1]Raw_Data!G3558</f>
        <v>0.25</v>
      </c>
      <c r="H3560" s="3">
        <f>[1]Raw_Data!H3558</f>
        <v>2</v>
      </c>
      <c r="I3560" s="3" t="str">
        <f>TRIM([1]Raw_Data!I3558)</f>
        <v>USA</v>
      </c>
      <c r="J3560" s="3" t="str">
        <f>TRIM([1]Raw_Data!J3558)</f>
        <v>Amazon</v>
      </c>
      <c r="K3560" s="3">
        <f t="shared" si="220"/>
        <v>2024</v>
      </c>
      <c r="L3560" s="6">
        <f t="shared" si="221"/>
        <v>45383</v>
      </c>
      <c r="M3560" s="3" t="str">
        <f t="shared" si="222"/>
        <v>21% to 25%</v>
      </c>
      <c r="N3560" s="3" t="str">
        <f t="shared" si="223"/>
        <v>OK</v>
      </c>
    </row>
    <row r="3561" spans="1:14" x14ac:dyDescent="0.3">
      <c r="A3561" s="2">
        <f>DATE(VALUE(RIGHT(TRIM([1]Raw_Data!A3559),4)),VALUE(MID(TRIM([1]Raw_Data!A3559),4,2)),VALUE(LEFT(TRIM([1]Raw_Data!A3559),2)))</f>
        <v>45390</v>
      </c>
      <c r="B3561" s="3" t="str">
        <f>TRIM([1]Raw_Data!B3559)</f>
        <v>BCAA</v>
      </c>
      <c r="C3561" s="3" t="str">
        <f>TRIM([1]Raw_Data!C3559)</f>
        <v>Amino Acid</v>
      </c>
      <c r="D3561" s="3">
        <f>[1]Raw_Data!D3559</f>
        <v>146</v>
      </c>
      <c r="E3561" s="4">
        <f>[1]Raw_Data!E3559</f>
        <v>43.17</v>
      </c>
      <c r="F3561" s="5">
        <f>[1]Raw_Data!F3559</f>
        <v>6302.82</v>
      </c>
      <c r="G3561" s="4">
        <f>[1]Raw_Data!G3559</f>
        <v>0.25</v>
      </c>
      <c r="H3561" s="3">
        <f>[1]Raw_Data!H3559</f>
        <v>2</v>
      </c>
      <c r="I3561" s="3" t="str">
        <f>TRIM([1]Raw_Data!I3559)</f>
        <v>Canada</v>
      </c>
      <c r="J3561" s="3" t="str">
        <f>TRIM([1]Raw_Data!J3559)</f>
        <v>Amazon</v>
      </c>
      <c r="K3561" s="3">
        <f t="shared" si="220"/>
        <v>2024</v>
      </c>
      <c r="L3561" s="6">
        <f t="shared" si="221"/>
        <v>45383</v>
      </c>
      <c r="M3561" s="3" t="str">
        <f t="shared" si="222"/>
        <v>21% to 25%</v>
      </c>
      <c r="N3561" s="3" t="str">
        <f t="shared" si="223"/>
        <v>OK</v>
      </c>
    </row>
    <row r="3562" spans="1:14" x14ac:dyDescent="0.3">
      <c r="A3562" s="2">
        <f>DATE(VALUE(RIGHT(TRIM([1]Raw_Data!A3560),4)),VALUE(MID(TRIM([1]Raw_Data!A3560),4,2)),VALUE(LEFT(TRIM([1]Raw_Data!A3560),2)))</f>
        <v>45390</v>
      </c>
      <c r="B3562" s="3" t="str">
        <f>TRIM([1]Raw_Data!B3560)</f>
        <v>Creatine</v>
      </c>
      <c r="C3562" s="3" t="str">
        <f>TRIM([1]Raw_Data!C3560)</f>
        <v>Performance</v>
      </c>
      <c r="D3562" s="3">
        <f>[1]Raw_Data!D3560</f>
        <v>167</v>
      </c>
      <c r="E3562" s="4">
        <f>[1]Raw_Data!E3560</f>
        <v>30.35</v>
      </c>
      <c r="F3562" s="5">
        <f>[1]Raw_Data!F3560</f>
        <v>5068.45</v>
      </c>
      <c r="G3562" s="4">
        <f>[1]Raw_Data!G3560</f>
        <v>0.23</v>
      </c>
      <c r="H3562" s="3">
        <f>[1]Raw_Data!H3560</f>
        <v>2</v>
      </c>
      <c r="I3562" s="3" t="str">
        <f>TRIM([1]Raw_Data!I3560)</f>
        <v>UK</v>
      </c>
      <c r="J3562" s="3" t="str">
        <f>TRIM([1]Raw_Data!J3560)</f>
        <v>Walmart</v>
      </c>
      <c r="K3562" s="3">
        <f t="shared" si="220"/>
        <v>2024</v>
      </c>
      <c r="L3562" s="6">
        <f t="shared" si="221"/>
        <v>45383</v>
      </c>
      <c r="M3562" s="3" t="str">
        <f t="shared" si="222"/>
        <v>21% to 25%</v>
      </c>
      <c r="N3562" s="3" t="str">
        <f t="shared" si="223"/>
        <v>OK</v>
      </c>
    </row>
    <row r="3563" spans="1:14" x14ac:dyDescent="0.3">
      <c r="A3563" s="2">
        <f>DATE(VALUE(RIGHT(TRIM([1]Raw_Data!A3561),4)),VALUE(MID(TRIM([1]Raw_Data!A3561),4,2)),VALUE(LEFT(TRIM([1]Raw_Data!A3561),2)))</f>
        <v>45390</v>
      </c>
      <c r="B3563" s="3" t="str">
        <f>TRIM([1]Raw_Data!B3561)</f>
        <v>Zinc</v>
      </c>
      <c r="C3563" s="3" t="str">
        <f>TRIM([1]Raw_Data!C3561)</f>
        <v>Mineral</v>
      </c>
      <c r="D3563" s="3">
        <f>[1]Raw_Data!D3561</f>
        <v>148</v>
      </c>
      <c r="E3563" s="4">
        <f>[1]Raw_Data!E3561</f>
        <v>55.03</v>
      </c>
      <c r="F3563" s="5">
        <f>[1]Raw_Data!F3561</f>
        <v>8144.44</v>
      </c>
      <c r="G3563" s="4">
        <f>[1]Raw_Data!G3561</f>
        <v>0.14000000000000001</v>
      </c>
      <c r="H3563" s="3">
        <f>[1]Raw_Data!H3561</f>
        <v>1</v>
      </c>
      <c r="I3563" s="3" t="str">
        <f>TRIM([1]Raw_Data!I3561)</f>
        <v>Canada</v>
      </c>
      <c r="J3563" s="3" t="str">
        <f>TRIM([1]Raw_Data!J3561)</f>
        <v>Amazon</v>
      </c>
      <c r="K3563" s="3">
        <f t="shared" si="220"/>
        <v>2024</v>
      </c>
      <c r="L3563" s="6">
        <f t="shared" si="221"/>
        <v>45383</v>
      </c>
      <c r="M3563" s="3" t="str">
        <f t="shared" si="222"/>
        <v>11% to 15%</v>
      </c>
      <c r="N3563" s="3" t="str">
        <f t="shared" si="223"/>
        <v>OK</v>
      </c>
    </row>
    <row r="3564" spans="1:14" x14ac:dyDescent="0.3">
      <c r="A3564" s="2">
        <f>DATE(VALUE(RIGHT(TRIM([1]Raw_Data!A3562),4)),VALUE(MID(TRIM([1]Raw_Data!A3562),4,2)),VALUE(LEFT(TRIM([1]Raw_Data!A3562),2)))</f>
        <v>45390</v>
      </c>
      <c r="B3564" s="3" t="str">
        <f>TRIM([1]Raw_Data!B3562)</f>
        <v>Collagen Peptides</v>
      </c>
      <c r="C3564" s="3" t="str">
        <f>TRIM([1]Raw_Data!C3562)</f>
        <v>Protein</v>
      </c>
      <c r="D3564" s="3">
        <f>[1]Raw_Data!D3562</f>
        <v>148</v>
      </c>
      <c r="E3564" s="4">
        <f>[1]Raw_Data!E3562</f>
        <v>14.84</v>
      </c>
      <c r="F3564" s="5">
        <f>[1]Raw_Data!F3562</f>
        <v>2196.3200000000002</v>
      </c>
      <c r="G3564" s="4">
        <f>[1]Raw_Data!G3562</f>
        <v>0.19</v>
      </c>
      <c r="H3564" s="3">
        <f>[1]Raw_Data!H3562</f>
        <v>0</v>
      </c>
      <c r="I3564" s="3" t="str">
        <f>TRIM([1]Raw_Data!I3562)</f>
        <v>Canada</v>
      </c>
      <c r="J3564" s="3" t="str">
        <f>TRIM([1]Raw_Data!J3562)</f>
        <v>iHerb</v>
      </c>
      <c r="K3564" s="3">
        <f t="shared" si="220"/>
        <v>2024</v>
      </c>
      <c r="L3564" s="6">
        <f t="shared" si="221"/>
        <v>45383</v>
      </c>
      <c r="M3564" s="3" t="str">
        <f t="shared" si="222"/>
        <v>16% to 20%</v>
      </c>
      <c r="N3564" s="3" t="str">
        <f t="shared" si="223"/>
        <v>OK</v>
      </c>
    </row>
    <row r="3565" spans="1:14" x14ac:dyDescent="0.3">
      <c r="A3565" s="2">
        <f>DATE(VALUE(RIGHT(TRIM([1]Raw_Data!A3563),4)),VALUE(MID(TRIM([1]Raw_Data!A3563),4,2)),VALUE(LEFT(TRIM([1]Raw_Data!A3563),2)))</f>
        <v>45390</v>
      </c>
      <c r="B3565" s="3" t="str">
        <f>TRIM([1]Raw_Data!B3563)</f>
        <v>Magnesium</v>
      </c>
      <c r="C3565" s="3" t="str">
        <f>TRIM([1]Raw_Data!C3563)</f>
        <v>Mineral</v>
      </c>
      <c r="D3565" s="3">
        <f>[1]Raw_Data!D3563</f>
        <v>147</v>
      </c>
      <c r="E3565" s="4">
        <f>[1]Raw_Data!E3563</f>
        <v>33.380000000000003</v>
      </c>
      <c r="F3565" s="5">
        <f>[1]Raw_Data!F3563</f>
        <v>4906.8599999999997</v>
      </c>
      <c r="G3565" s="4">
        <f>[1]Raw_Data!G3563</f>
        <v>0.21</v>
      </c>
      <c r="H3565" s="3">
        <f>[1]Raw_Data!H3563</f>
        <v>1</v>
      </c>
      <c r="I3565" s="3" t="str">
        <f>TRIM([1]Raw_Data!I3563)</f>
        <v>Canada</v>
      </c>
      <c r="J3565" s="3" t="str">
        <f>TRIM([1]Raw_Data!J3563)</f>
        <v>Amazon</v>
      </c>
      <c r="K3565" s="3">
        <f t="shared" si="220"/>
        <v>2024</v>
      </c>
      <c r="L3565" s="6">
        <f t="shared" si="221"/>
        <v>45383</v>
      </c>
      <c r="M3565" s="3" t="str">
        <f t="shared" si="222"/>
        <v>21% to 25%</v>
      </c>
      <c r="N3565" s="3" t="str">
        <f t="shared" si="223"/>
        <v>OK</v>
      </c>
    </row>
    <row r="3566" spans="1:14" x14ac:dyDescent="0.3">
      <c r="A3566" s="2">
        <f>DATE(VALUE(RIGHT(TRIM([1]Raw_Data!A3564),4)),VALUE(MID(TRIM([1]Raw_Data!A3564),4,2)),VALUE(LEFT(TRIM([1]Raw_Data!A3564),2)))</f>
        <v>45390</v>
      </c>
      <c r="B3566" s="3" t="str">
        <f>TRIM([1]Raw_Data!B3564)</f>
        <v>Ashwagandha</v>
      </c>
      <c r="C3566" s="3" t="str">
        <f>TRIM([1]Raw_Data!C3564)</f>
        <v>Herbal</v>
      </c>
      <c r="D3566" s="3">
        <f>[1]Raw_Data!D3564</f>
        <v>180</v>
      </c>
      <c r="E3566" s="4">
        <f>[1]Raw_Data!E3564</f>
        <v>11.91</v>
      </c>
      <c r="F3566" s="5">
        <f>[1]Raw_Data!F3564</f>
        <v>2143.8000000000002</v>
      </c>
      <c r="G3566" s="4">
        <f>[1]Raw_Data!G3564</f>
        <v>0.22</v>
      </c>
      <c r="H3566" s="3">
        <f>[1]Raw_Data!H3564</f>
        <v>3</v>
      </c>
      <c r="I3566" s="3" t="str">
        <f>TRIM([1]Raw_Data!I3564)</f>
        <v>Canada</v>
      </c>
      <c r="J3566" s="3" t="str">
        <f>TRIM([1]Raw_Data!J3564)</f>
        <v>Walmart</v>
      </c>
      <c r="K3566" s="3">
        <f t="shared" si="220"/>
        <v>2024</v>
      </c>
      <c r="L3566" s="6">
        <f t="shared" si="221"/>
        <v>45383</v>
      </c>
      <c r="M3566" s="3" t="str">
        <f t="shared" si="222"/>
        <v>21% to 25%</v>
      </c>
      <c r="N3566" s="3" t="str">
        <f t="shared" si="223"/>
        <v>OK</v>
      </c>
    </row>
    <row r="3567" spans="1:14" x14ac:dyDescent="0.3">
      <c r="A3567" s="2">
        <f>DATE(VALUE(RIGHT(TRIM([1]Raw_Data!A3565),4)),VALUE(MID(TRIM([1]Raw_Data!A3565),4,2)),VALUE(LEFT(TRIM([1]Raw_Data!A3565),2)))</f>
        <v>45390</v>
      </c>
      <c r="B3567" s="3" t="str">
        <f>TRIM([1]Raw_Data!B3565)</f>
        <v>Melatonin</v>
      </c>
      <c r="C3567" s="3" t="str">
        <f>TRIM([1]Raw_Data!C3565)</f>
        <v>Sleep Aid</v>
      </c>
      <c r="D3567" s="3">
        <f>[1]Raw_Data!D3565</f>
        <v>150</v>
      </c>
      <c r="E3567" s="4">
        <f>[1]Raw_Data!E3565</f>
        <v>35.25</v>
      </c>
      <c r="F3567" s="5">
        <f>[1]Raw_Data!F3565</f>
        <v>5287.5</v>
      </c>
      <c r="G3567" s="4">
        <f>[1]Raw_Data!G3565</f>
        <v>0.12</v>
      </c>
      <c r="H3567" s="3">
        <f>[1]Raw_Data!H3565</f>
        <v>1</v>
      </c>
      <c r="I3567" s="3" t="str">
        <f>TRIM([1]Raw_Data!I3565)</f>
        <v>UK</v>
      </c>
      <c r="J3567" s="3" t="str">
        <f>TRIM([1]Raw_Data!J3565)</f>
        <v>iHerb</v>
      </c>
      <c r="K3567" s="3">
        <f t="shared" si="220"/>
        <v>2024</v>
      </c>
      <c r="L3567" s="6">
        <f t="shared" si="221"/>
        <v>45383</v>
      </c>
      <c r="M3567" s="3" t="str">
        <f t="shared" si="222"/>
        <v>11% to 15%</v>
      </c>
      <c r="N3567" s="3" t="str">
        <f t="shared" si="223"/>
        <v>OK</v>
      </c>
    </row>
    <row r="3568" spans="1:14" x14ac:dyDescent="0.3">
      <c r="A3568" s="2">
        <f>DATE(VALUE(RIGHT(TRIM([1]Raw_Data!A3566),4)),VALUE(MID(TRIM([1]Raw_Data!A3566),4,2)),VALUE(LEFT(TRIM([1]Raw_Data!A3566),2)))</f>
        <v>45390</v>
      </c>
      <c r="B3568" s="3" t="str">
        <f>TRIM([1]Raw_Data!B3566)</f>
        <v>Biotin</v>
      </c>
      <c r="C3568" s="3" t="str">
        <f>TRIM([1]Raw_Data!C3566)</f>
        <v>Vitamin</v>
      </c>
      <c r="D3568" s="3">
        <f>[1]Raw_Data!D3566</f>
        <v>144</v>
      </c>
      <c r="E3568" s="4">
        <f>[1]Raw_Data!E3566</f>
        <v>32.630000000000003</v>
      </c>
      <c r="F3568" s="5">
        <f>[1]Raw_Data!F3566</f>
        <v>4698.72</v>
      </c>
      <c r="G3568" s="4">
        <f>[1]Raw_Data!G3566</f>
        <v>0.01</v>
      </c>
      <c r="H3568" s="3">
        <f>[1]Raw_Data!H3566</f>
        <v>1</v>
      </c>
      <c r="I3568" s="3" t="str">
        <f>TRIM([1]Raw_Data!I3566)</f>
        <v>UK</v>
      </c>
      <c r="J3568" s="3" t="str">
        <f>TRIM([1]Raw_Data!J3566)</f>
        <v>Amazon</v>
      </c>
      <c r="K3568" s="3">
        <f t="shared" si="220"/>
        <v>2024</v>
      </c>
      <c r="L3568" s="6">
        <f t="shared" si="221"/>
        <v>45383</v>
      </c>
      <c r="M3568" s="3" t="str">
        <f t="shared" si="222"/>
        <v>0% to 5%</v>
      </c>
      <c r="N3568" s="3" t="str">
        <f t="shared" si="223"/>
        <v>OK</v>
      </c>
    </row>
    <row r="3569" spans="1:14" x14ac:dyDescent="0.3">
      <c r="A3569" s="2">
        <f>DATE(VALUE(RIGHT(TRIM([1]Raw_Data!A3567),4)),VALUE(MID(TRIM([1]Raw_Data!A3567),4,2)),VALUE(LEFT(TRIM([1]Raw_Data!A3567),2)))</f>
        <v>45390</v>
      </c>
      <c r="B3569" s="3" t="str">
        <f>TRIM([1]Raw_Data!B3567)</f>
        <v>Green Tea Extract</v>
      </c>
      <c r="C3569" s="3" t="str">
        <f>TRIM([1]Raw_Data!C3567)</f>
        <v>Fat Burner</v>
      </c>
      <c r="D3569" s="3">
        <f>[1]Raw_Data!D3567</f>
        <v>139</v>
      </c>
      <c r="E3569" s="4">
        <f>[1]Raw_Data!E3567</f>
        <v>39.94</v>
      </c>
      <c r="F3569" s="5">
        <f>[1]Raw_Data!F3567</f>
        <v>5551.66</v>
      </c>
      <c r="G3569" s="4">
        <f>[1]Raw_Data!G3567</f>
        <v>0.19</v>
      </c>
      <c r="H3569" s="3">
        <f>[1]Raw_Data!H3567</f>
        <v>4</v>
      </c>
      <c r="I3569" s="3" t="str">
        <f>TRIM([1]Raw_Data!I3567)</f>
        <v>UK</v>
      </c>
      <c r="J3569" s="3" t="str">
        <f>TRIM([1]Raw_Data!J3567)</f>
        <v>iHerb</v>
      </c>
      <c r="K3569" s="3">
        <f t="shared" si="220"/>
        <v>2024</v>
      </c>
      <c r="L3569" s="6">
        <f t="shared" si="221"/>
        <v>45383</v>
      </c>
      <c r="M3569" s="3" t="str">
        <f t="shared" si="222"/>
        <v>16% to 20%</v>
      </c>
      <c r="N3569" s="3" t="str">
        <f t="shared" si="223"/>
        <v>OK</v>
      </c>
    </row>
    <row r="3570" spans="1:14" x14ac:dyDescent="0.3">
      <c r="A3570" s="2">
        <f>DATE(VALUE(RIGHT(TRIM([1]Raw_Data!A3568),4)),VALUE(MID(TRIM([1]Raw_Data!A3568),4,2)),VALUE(LEFT(TRIM([1]Raw_Data!A3568),2)))</f>
        <v>45390</v>
      </c>
      <c r="B3570" s="3" t="str">
        <f>TRIM([1]Raw_Data!B3568)</f>
        <v>Iron Supplement</v>
      </c>
      <c r="C3570" s="3" t="str">
        <f>TRIM([1]Raw_Data!C3568)</f>
        <v>Mineral</v>
      </c>
      <c r="D3570" s="3">
        <f>[1]Raw_Data!D3568</f>
        <v>143</v>
      </c>
      <c r="E3570" s="4">
        <f>[1]Raw_Data!E3568</f>
        <v>30.17</v>
      </c>
      <c r="F3570" s="5">
        <f>[1]Raw_Data!F3568</f>
        <v>4314.3100000000004</v>
      </c>
      <c r="G3570" s="4">
        <f>[1]Raw_Data!G3568</f>
        <v>0.12</v>
      </c>
      <c r="H3570" s="3">
        <f>[1]Raw_Data!H3568</f>
        <v>3</v>
      </c>
      <c r="I3570" s="3" t="str">
        <f>TRIM([1]Raw_Data!I3568)</f>
        <v>Canada</v>
      </c>
      <c r="J3570" s="3" t="str">
        <f>TRIM([1]Raw_Data!J3568)</f>
        <v>Amazon</v>
      </c>
      <c r="K3570" s="3">
        <f t="shared" si="220"/>
        <v>2024</v>
      </c>
      <c r="L3570" s="6">
        <f t="shared" si="221"/>
        <v>45383</v>
      </c>
      <c r="M3570" s="3" t="str">
        <f t="shared" si="222"/>
        <v>11% to 15%</v>
      </c>
      <c r="N3570" s="3" t="str">
        <f t="shared" si="223"/>
        <v>OK</v>
      </c>
    </row>
    <row r="3571" spans="1:14" x14ac:dyDescent="0.3">
      <c r="A3571" s="2">
        <f>DATE(VALUE(RIGHT(TRIM([1]Raw_Data!A3569),4)),VALUE(MID(TRIM([1]Raw_Data!A3569),4,2)),VALUE(LEFT(TRIM([1]Raw_Data!A3569),2)))</f>
        <v>45390</v>
      </c>
      <c r="B3571" s="3" t="str">
        <f>TRIM([1]Raw_Data!B3569)</f>
        <v>Electrolyte Powder</v>
      </c>
      <c r="C3571" s="3" t="str">
        <f>TRIM([1]Raw_Data!C3569)</f>
        <v>Hydration</v>
      </c>
      <c r="D3571" s="3">
        <f>[1]Raw_Data!D3569</f>
        <v>152</v>
      </c>
      <c r="E3571" s="4">
        <f>[1]Raw_Data!E3569</f>
        <v>47.13</v>
      </c>
      <c r="F3571" s="5">
        <f>[1]Raw_Data!F3569</f>
        <v>7163.76</v>
      </c>
      <c r="G3571" s="4">
        <f>[1]Raw_Data!G3569</f>
        <v>0.13</v>
      </c>
      <c r="H3571" s="3">
        <f>[1]Raw_Data!H3569</f>
        <v>0</v>
      </c>
      <c r="I3571" s="3" t="str">
        <f>TRIM([1]Raw_Data!I3569)</f>
        <v>USA</v>
      </c>
      <c r="J3571" s="3" t="str">
        <f>TRIM([1]Raw_Data!J3569)</f>
        <v>Walmart</v>
      </c>
      <c r="K3571" s="3">
        <f t="shared" si="220"/>
        <v>2024</v>
      </c>
      <c r="L3571" s="6">
        <f t="shared" si="221"/>
        <v>45383</v>
      </c>
      <c r="M3571" s="3" t="str">
        <f t="shared" si="222"/>
        <v>11% to 15%</v>
      </c>
      <c r="N3571" s="3" t="str">
        <f t="shared" si="223"/>
        <v>OK</v>
      </c>
    </row>
    <row r="3572" spans="1:14" x14ac:dyDescent="0.3">
      <c r="A3572" s="2">
        <f>DATE(VALUE(RIGHT(TRIM([1]Raw_Data!A3570),4)),VALUE(MID(TRIM([1]Raw_Data!A3570),4,2)),VALUE(LEFT(TRIM([1]Raw_Data!A3570),2)))</f>
        <v>45397</v>
      </c>
      <c r="B3572" s="3" t="str">
        <f>TRIM([1]Raw_Data!B3570)</f>
        <v>Whey Protein</v>
      </c>
      <c r="C3572" s="3" t="str">
        <f>TRIM([1]Raw_Data!C3570)</f>
        <v>Protein</v>
      </c>
      <c r="D3572" s="3">
        <f>[1]Raw_Data!D3570</f>
        <v>153</v>
      </c>
      <c r="E3572" s="4">
        <f>[1]Raw_Data!E3570</f>
        <v>52.13</v>
      </c>
      <c r="F3572" s="5">
        <f>[1]Raw_Data!F3570</f>
        <v>7975.89</v>
      </c>
      <c r="G3572" s="4">
        <f>[1]Raw_Data!G3570</f>
        <v>0.15</v>
      </c>
      <c r="H3572" s="3">
        <f>[1]Raw_Data!H3570</f>
        <v>1</v>
      </c>
      <c r="I3572" s="3" t="str">
        <f>TRIM([1]Raw_Data!I3570)</f>
        <v>Canada</v>
      </c>
      <c r="J3572" s="3" t="str">
        <f>TRIM([1]Raw_Data!J3570)</f>
        <v>Walmart</v>
      </c>
      <c r="K3572" s="3">
        <f t="shared" si="220"/>
        <v>2024</v>
      </c>
      <c r="L3572" s="6">
        <f t="shared" si="221"/>
        <v>45383</v>
      </c>
      <c r="M3572" s="3" t="str">
        <f t="shared" si="222"/>
        <v>11% to 15%</v>
      </c>
      <c r="N3572" s="3" t="str">
        <f t="shared" si="223"/>
        <v>OK</v>
      </c>
    </row>
    <row r="3573" spans="1:14" x14ac:dyDescent="0.3">
      <c r="A3573" s="2">
        <f>DATE(VALUE(RIGHT(TRIM([1]Raw_Data!A3571),4)),VALUE(MID(TRIM([1]Raw_Data!A3571),4,2)),VALUE(LEFT(TRIM([1]Raw_Data!A3571),2)))</f>
        <v>45397</v>
      </c>
      <c r="B3573" s="3" t="str">
        <f>TRIM([1]Raw_Data!B3571)</f>
        <v>Vitamin C</v>
      </c>
      <c r="C3573" s="3" t="str">
        <f>TRIM([1]Raw_Data!C3571)</f>
        <v>Vitamin</v>
      </c>
      <c r="D3573" s="3">
        <f>[1]Raw_Data!D3571</f>
        <v>130</v>
      </c>
      <c r="E3573" s="4">
        <f>[1]Raw_Data!E3571</f>
        <v>47.6</v>
      </c>
      <c r="F3573" s="5">
        <f>[1]Raw_Data!F3571</f>
        <v>6188</v>
      </c>
      <c r="G3573" s="4">
        <f>[1]Raw_Data!G3571</f>
        <v>0.09</v>
      </c>
      <c r="H3573" s="3">
        <f>[1]Raw_Data!H3571</f>
        <v>0</v>
      </c>
      <c r="I3573" s="3" t="str">
        <f>TRIM([1]Raw_Data!I3571)</f>
        <v>Canada</v>
      </c>
      <c r="J3573" s="3" t="str">
        <f>TRIM([1]Raw_Data!J3571)</f>
        <v>iHerb</v>
      </c>
      <c r="K3573" s="3">
        <f t="shared" si="220"/>
        <v>2024</v>
      </c>
      <c r="L3573" s="6">
        <f t="shared" si="221"/>
        <v>45383</v>
      </c>
      <c r="M3573" s="3" t="str">
        <f t="shared" si="222"/>
        <v>6% to 10%</v>
      </c>
      <c r="N3573" s="3" t="str">
        <f t="shared" si="223"/>
        <v>OK</v>
      </c>
    </row>
    <row r="3574" spans="1:14" x14ac:dyDescent="0.3">
      <c r="A3574" s="2">
        <f>DATE(VALUE(RIGHT(TRIM([1]Raw_Data!A3572),4)),VALUE(MID(TRIM([1]Raw_Data!A3572),4,2)),VALUE(LEFT(TRIM([1]Raw_Data!A3572),2)))</f>
        <v>45397</v>
      </c>
      <c r="B3574" s="3" t="str">
        <f>TRIM([1]Raw_Data!B3572)</f>
        <v>Fish Oil</v>
      </c>
      <c r="C3574" s="3" t="str">
        <f>TRIM([1]Raw_Data!C3572)</f>
        <v>Omega</v>
      </c>
      <c r="D3574" s="3">
        <f>[1]Raw_Data!D3572</f>
        <v>173</v>
      </c>
      <c r="E3574" s="4">
        <f>[1]Raw_Data!E3572</f>
        <v>41.91</v>
      </c>
      <c r="F3574" s="5">
        <f>[1]Raw_Data!F3572</f>
        <v>7250.43</v>
      </c>
      <c r="G3574" s="4">
        <f>[1]Raw_Data!G3572</f>
        <v>0.03</v>
      </c>
      <c r="H3574" s="3">
        <f>[1]Raw_Data!H3572</f>
        <v>0</v>
      </c>
      <c r="I3574" s="3" t="str">
        <f>TRIM([1]Raw_Data!I3572)</f>
        <v>USA</v>
      </c>
      <c r="J3574" s="3" t="str">
        <f>TRIM([1]Raw_Data!J3572)</f>
        <v>Amazon</v>
      </c>
      <c r="K3574" s="3">
        <f t="shared" si="220"/>
        <v>2024</v>
      </c>
      <c r="L3574" s="6">
        <f t="shared" si="221"/>
        <v>45383</v>
      </c>
      <c r="M3574" s="3" t="str">
        <f t="shared" si="222"/>
        <v>0% to 5%</v>
      </c>
      <c r="N3574" s="3" t="str">
        <f t="shared" si="223"/>
        <v>OK</v>
      </c>
    </row>
    <row r="3575" spans="1:14" x14ac:dyDescent="0.3">
      <c r="A3575" s="2">
        <f>DATE(VALUE(RIGHT(TRIM([1]Raw_Data!A3573),4)),VALUE(MID(TRIM([1]Raw_Data!A3573),4,2)),VALUE(LEFT(TRIM([1]Raw_Data!A3573),2)))</f>
        <v>45397</v>
      </c>
      <c r="B3575" s="3" t="str">
        <f>TRIM([1]Raw_Data!B3573)</f>
        <v>Multivitamin</v>
      </c>
      <c r="C3575" s="3" t="str">
        <f>TRIM([1]Raw_Data!C3573)</f>
        <v>Vitamin</v>
      </c>
      <c r="D3575" s="3">
        <f>[1]Raw_Data!D3573</f>
        <v>132</v>
      </c>
      <c r="E3575" s="4">
        <f>[1]Raw_Data!E3573</f>
        <v>15.78</v>
      </c>
      <c r="F3575" s="5">
        <f>[1]Raw_Data!F3573</f>
        <v>2082.96</v>
      </c>
      <c r="G3575" s="4">
        <f>[1]Raw_Data!G3573</f>
        <v>0.21</v>
      </c>
      <c r="H3575" s="3">
        <f>[1]Raw_Data!H3573</f>
        <v>5</v>
      </c>
      <c r="I3575" s="3" t="str">
        <f>TRIM([1]Raw_Data!I3573)</f>
        <v>UK</v>
      </c>
      <c r="J3575" s="3" t="str">
        <f>TRIM([1]Raw_Data!J3573)</f>
        <v>Amazon</v>
      </c>
      <c r="K3575" s="3">
        <f t="shared" si="220"/>
        <v>2024</v>
      </c>
      <c r="L3575" s="6">
        <f t="shared" si="221"/>
        <v>45383</v>
      </c>
      <c r="M3575" s="3" t="str">
        <f t="shared" si="222"/>
        <v>21% to 25%</v>
      </c>
      <c r="N3575" s="3" t="str">
        <f t="shared" si="223"/>
        <v>OK</v>
      </c>
    </row>
    <row r="3576" spans="1:14" x14ac:dyDescent="0.3">
      <c r="A3576" s="2">
        <f>DATE(VALUE(RIGHT(TRIM([1]Raw_Data!A3574),4)),VALUE(MID(TRIM([1]Raw_Data!A3574),4,2)),VALUE(LEFT(TRIM([1]Raw_Data!A3574),2)))</f>
        <v>45397</v>
      </c>
      <c r="B3576" s="3" t="str">
        <f>TRIM([1]Raw_Data!B3574)</f>
        <v>Pre-Workout</v>
      </c>
      <c r="C3576" s="3" t="str">
        <f>TRIM([1]Raw_Data!C3574)</f>
        <v>Performance</v>
      </c>
      <c r="D3576" s="3">
        <f>[1]Raw_Data!D3574</f>
        <v>145</v>
      </c>
      <c r="E3576" s="4">
        <f>[1]Raw_Data!E3574</f>
        <v>45.58</v>
      </c>
      <c r="F3576" s="5">
        <f>[1]Raw_Data!F3574</f>
        <v>6609.1</v>
      </c>
      <c r="G3576" s="4">
        <f>[1]Raw_Data!G3574</f>
        <v>0.23</v>
      </c>
      <c r="H3576" s="3">
        <f>[1]Raw_Data!H3574</f>
        <v>3</v>
      </c>
      <c r="I3576" s="3" t="str">
        <f>TRIM([1]Raw_Data!I3574)</f>
        <v>UK</v>
      </c>
      <c r="J3576" s="3" t="str">
        <f>TRIM([1]Raw_Data!J3574)</f>
        <v>Walmart</v>
      </c>
      <c r="K3576" s="3">
        <f t="shared" si="220"/>
        <v>2024</v>
      </c>
      <c r="L3576" s="6">
        <f t="shared" si="221"/>
        <v>45383</v>
      </c>
      <c r="M3576" s="3" t="str">
        <f t="shared" si="222"/>
        <v>21% to 25%</v>
      </c>
      <c r="N3576" s="3" t="str">
        <f t="shared" si="223"/>
        <v>OK</v>
      </c>
    </row>
    <row r="3577" spans="1:14" x14ac:dyDescent="0.3">
      <c r="A3577" s="2">
        <f>DATE(VALUE(RIGHT(TRIM([1]Raw_Data!A3575),4)),VALUE(MID(TRIM([1]Raw_Data!A3575),4,2)),VALUE(LEFT(TRIM([1]Raw_Data!A3575),2)))</f>
        <v>45397</v>
      </c>
      <c r="B3577" s="3" t="str">
        <f>TRIM([1]Raw_Data!B3575)</f>
        <v>BCAA</v>
      </c>
      <c r="C3577" s="3" t="str">
        <f>TRIM([1]Raw_Data!C3575)</f>
        <v>Amino Acid</v>
      </c>
      <c r="D3577" s="3">
        <f>[1]Raw_Data!D3575</f>
        <v>125</v>
      </c>
      <c r="E3577" s="4">
        <f>[1]Raw_Data!E3575</f>
        <v>47.73</v>
      </c>
      <c r="F3577" s="5">
        <f>[1]Raw_Data!F3575</f>
        <v>5966.25</v>
      </c>
      <c r="G3577" s="4">
        <f>[1]Raw_Data!G3575</f>
        <v>0.17</v>
      </c>
      <c r="H3577" s="3">
        <f>[1]Raw_Data!H3575</f>
        <v>0</v>
      </c>
      <c r="I3577" s="3" t="str">
        <f>TRIM([1]Raw_Data!I3575)</f>
        <v>USA</v>
      </c>
      <c r="J3577" s="3" t="str">
        <f>TRIM([1]Raw_Data!J3575)</f>
        <v>Walmart</v>
      </c>
      <c r="K3577" s="3">
        <f t="shared" si="220"/>
        <v>2024</v>
      </c>
      <c r="L3577" s="6">
        <f t="shared" si="221"/>
        <v>45383</v>
      </c>
      <c r="M3577" s="3" t="str">
        <f t="shared" si="222"/>
        <v>16% to 20%</v>
      </c>
      <c r="N3577" s="3" t="str">
        <f t="shared" si="223"/>
        <v>OK</v>
      </c>
    </row>
    <row r="3578" spans="1:14" x14ac:dyDescent="0.3">
      <c r="A3578" s="2">
        <f>DATE(VALUE(RIGHT(TRIM([1]Raw_Data!A3576),4)),VALUE(MID(TRIM([1]Raw_Data!A3576),4,2)),VALUE(LEFT(TRIM([1]Raw_Data!A3576),2)))</f>
        <v>45397</v>
      </c>
      <c r="B3578" s="3" t="str">
        <f>TRIM([1]Raw_Data!B3576)</f>
        <v>Creatine</v>
      </c>
      <c r="C3578" s="3" t="str">
        <f>TRIM([1]Raw_Data!C3576)</f>
        <v>Performance</v>
      </c>
      <c r="D3578" s="3">
        <f>[1]Raw_Data!D3576</f>
        <v>150</v>
      </c>
      <c r="E3578" s="4">
        <f>[1]Raw_Data!E3576</f>
        <v>20.94</v>
      </c>
      <c r="F3578" s="5">
        <f>[1]Raw_Data!F3576</f>
        <v>3141</v>
      </c>
      <c r="G3578" s="4">
        <f>[1]Raw_Data!G3576</f>
        <v>0.22</v>
      </c>
      <c r="H3578" s="3">
        <f>[1]Raw_Data!H3576</f>
        <v>0</v>
      </c>
      <c r="I3578" s="3" t="str">
        <f>TRIM([1]Raw_Data!I3576)</f>
        <v>UK</v>
      </c>
      <c r="J3578" s="3" t="str">
        <f>TRIM([1]Raw_Data!J3576)</f>
        <v>Walmart</v>
      </c>
      <c r="K3578" s="3">
        <f t="shared" si="220"/>
        <v>2024</v>
      </c>
      <c r="L3578" s="6">
        <f t="shared" si="221"/>
        <v>45383</v>
      </c>
      <c r="M3578" s="3" t="str">
        <f t="shared" si="222"/>
        <v>21% to 25%</v>
      </c>
      <c r="N3578" s="3" t="str">
        <f t="shared" si="223"/>
        <v>OK</v>
      </c>
    </row>
    <row r="3579" spans="1:14" x14ac:dyDescent="0.3">
      <c r="A3579" s="2">
        <f>DATE(VALUE(RIGHT(TRIM([1]Raw_Data!A3577),4)),VALUE(MID(TRIM([1]Raw_Data!A3577),4,2)),VALUE(LEFT(TRIM([1]Raw_Data!A3577),2)))</f>
        <v>45397</v>
      </c>
      <c r="B3579" s="3" t="str">
        <f>TRIM([1]Raw_Data!B3577)</f>
        <v>Zinc</v>
      </c>
      <c r="C3579" s="3" t="str">
        <f>TRIM([1]Raw_Data!C3577)</f>
        <v>Mineral</v>
      </c>
      <c r="D3579" s="3">
        <f>[1]Raw_Data!D3577</f>
        <v>161</v>
      </c>
      <c r="E3579" s="4">
        <f>[1]Raw_Data!E3577</f>
        <v>25.76</v>
      </c>
      <c r="F3579" s="5">
        <f>[1]Raw_Data!F3577</f>
        <v>4147.3599999999997</v>
      </c>
      <c r="G3579" s="4">
        <f>[1]Raw_Data!G3577</f>
        <v>0.18</v>
      </c>
      <c r="H3579" s="3">
        <f>[1]Raw_Data!H3577</f>
        <v>3</v>
      </c>
      <c r="I3579" s="3" t="str">
        <f>TRIM([1]Raw_Data!I3577)</f>
        <v>USA</v>
      </c>
      <c r="J3579" s="3" t="str">
        <f>TRIM([1]Raw_Data!J3577)</f>
        <v>iHerb</v>
      </c>
      <c r="K3579" s="3">
        <f t="shared" si="220"/>
        <v>2024</v>
      </c>
      <c r="L3579" s="6">
        <f t="shared" si="221"/>
        <v>45383</v>
      </c>
      <c r="M3579" s="3" t="str">
        <f t="shared" si="222"/>
        <v>16% to 20%</v>
      </c>
      <c r="N3579" s="3" t="str">
        <f t="shared" si="223"/>
        <v>OK</v>
      </c>
    </row>
    <row r="3580" spans="1:14" x14ac:dyDescent="0.3">
      <c r="A3580" s="2">
        <f>DATE(VALUE(RIGHT(TRIM([1]Raw_Data!A3578),4)),VALUE(MID(TRIM([1]Raw_Data!A3578),4,2)),VALUE(LEFT(TRIM([1]Raw_Data!A3578),2)))</f>
        <v>45397</v>
      </c>
      <c r="B3580" s="3" t="str">
        <f>TRIM([1]Raw_Data!B3578)</f>
        <v>Collagen Peptides</v>
      </c>
      <c r="C3580" s="3" t="str">
        <f>TRIM([1]Raw_Data!C3578)</f>
        <v>Protein</v>
      </c>
      <c r="D3580" s="3">
        <f>[1]Raw_Data!D3578</f>
        <v>173</v>
      </c>
      <c r="E3580" s="4">
        <f>[1]Raw_Data!E3578</f>
        <v>44.3</v>
      </c>
      <c r="F3580" s="5">
        <f>[1]Raw_Data!F3578</f>
        <v>7663.9</v>
      </c>
      <c r="G3580" s="4">
        <f>[1]Raw_Data!G3578</f>
        <v>0.15</v>
      </c>
      <c r="H3580" s="3">
        <f>[1]Raw_Data!H3578</f>
        <v>2</v>
      </c>
      <c r="I3580" s="3" t="str">
        <f>TRIM([1]Raw_Data!I3578)</f>
        <v>USA</v>
      </c>
      <c r="J3580" s="3" t="str">
        <f>TRIM([1]Raw_Data!J3578)</f>
        <v>iHerb</v>
      </c>
      <c r="K3580" s="3">
        <f t="shared" si="220"/>
        <v>2024</v>
      </c>
      <c r="L3580" s="6">
        <f t="shared" si="221"/>
        <v>45383</v>
      </c>
      <c r="M3580" s="3" t="str">
        <f t="shared" si="222"/>
        <v>11% to 15%</v>
      </c>
      <c r="N3580" s="3" t="str">
        <f t="shared" si="223"/>
        <v>OK</v>
      </c>
    </row>
    <row r="3581" spans="1:14" x14ac:dyDescent="0.3">
      <c r="A3581" s="2">
        <f>DATE(VALUE(RIGHT(TRIM([1]Raw_Data!A3579),4)),VALUE(MID(TRIM([1]Raw_Data!A3579),4,2)),VALUE(LEFT(TRIM([1]Raw_Data!A3579),2)))</f>
        <v>45397</v>
      </c>
      <c r="B3581" s="3" t="str">
        <f>TRIM([1]Raw_Data!B3579)</f>
        <v>Magnesium</v>
      </c>
      <c r="C3581" s="3" t="str">
        <f>TRIM([1]Raw_Data!C3579)</f>
        <v>Mineral</v>
      </c>
      <c r="D3581" s="3">
        <f>[1]Raw_Data!D3579</f>
        <v>168</v>
      </c>
      <c r="E3581" s="4">
        <f>[1]Raw_Data!E3579</f>
        <v>24.11</v>
      </c>
      <c r="F3581" s="5">
        <f>[1]Raw_Data!F3579</f>
        <v>4050.48</v>
      </c>
      <c r="G3581" s="4">
        <f>[1]Raw_Data!G3579</f>
        <v>0.13</v>
      </c>
      <c r="H3581" s="3">
        <f>[1]Raw_Data!H3579</f>
        <v>0</v>
      </c>
      <c r="I3581" s="3" t="str">
        <f>TRIM([1]Raw_Data!I3579)</f>
        <v>USA</v>
      </c>
      <c r="J3581" s="3" t="str">
        <f>TRIM([1]Raw_Data!J3579)</f>
        <v>iHerb</v>
      </c>
      <c r="K3581" s="3">
        <f t="shared" si="220"/>
        <v>2024</v>
      </c>
      <c r="L3581" s="6">
        <f t="shared" si="221"/>
        <v>45383</v>
      </c>
      <c r="M3581" s="3" t="str">
        <f t="shared" si="222"/>
        <v>11% to 15%</v>
      </c>
      <c r="N3581" s="3" t="str">
        <f t="shared" si="223"/>
        <v>OK</v>
      </c>
    </row>
    <row r="3582" spans="1:14" x14ac:dyDescent="0.3">
      <c r="A3582" s="2">
        <f>DATE(VALUE(RIGHT(TRIM([1]Raw_Data!A3580),4)),VALUE(MID(TRIM([1]Raw_Data!A3580),4,2)),VALUE(LEFT(TRIM([1]Raw_Data!A3580),2)))</f>
        <v>45397</v>
      </c>
      <c r="B3582" s="3" t="str">
        <f>TRIM([1]Raw_Data!B3580)</f>
        <v>Ashwagandha</v>
      </c>
      <c r="C3582" s="3" t="str">
        <f>TRIM([1]Raw_Data!C3580)</f>
        <v>Herbal</v>
      </c>
      <c r="D3582" s="3">
        <f>[1]Raw_Data!D3580</f>
        <v>169</v>
      </c>
      <c r="E3582" s="4">
        <f>[1]Raw_Data!E3580</f>
        <v>33.89</v>
      </c>
      <c r="F3582" s="5">
        <f>[1]Raw_Data!F3580</f>
        <v>5727.41</v>
      </c>
      <c r="G3582" s="4">
        <f>[1]Raw_Data!G3580</f>
        <v>0.2</v>
      </c>
      <c r="H3582" s="3">
        <f>[1]Raw_Data!H3580</f>
        <v>1</v>
      </c>
      <c r="I3582" s="3" t="str">
        <f>TRIM([1]Raw_Data!I3580)</f>
        <v>Canada</v>
      </c>
      <c r="J3582" s="3" t="str">
        <f>TRIM([1]Raw_Data!J3580)</f>
        <v>iHerb</v>
      </c>
      <c r="K3582" s="3">
        <f t="shared" si="220"/>
        <v>2024</v>
      </c>
      <c r="L3582" s="6">
        <f t="shared" si="221"/>
        <v>45383</v>
      </c>
      <c r="M3582" s="3" t="str">
        <f t="shared" si="222"/>
        <v>16% to 20%</v>
      </c>
      <c r="N3582" s="3" t="str">
        <f t="shared" si="223"/>
        <v>OK</v>
      </c>
    </row>
    <row r="3583" spans="1:14" x14ac:dyDescent="0.3">
      <c r="A3583" s="2">
        <f>DATE(VALUE(RIGHT(TRIM([1]Raw_Data!A3581),4)),VALUE(MID(TRIM([1]Raw_Data!A3581),4,2)),VALUE(LEFT(TRIM([1]Raw_Data!A3581),2)))</f>
        <v>45397</v>
      </c>
      <c r="B3583" s="3" t="str">
        <f>TRIM([1]Raw_Data!B3581)</f>
        <v>Melatonin</v>
      </c>
      <c r="C3583" s="3" t="str">
        <f>TRIM([1]Raw_Data!C3581)</f>
        <v>Sleep Aid</v>
      </c>
      <c r="D3583" s="3">
        <f>[1]Raw_Data!D3581</f>
        <v>152</v>
      </c>
      <c r="E3583" s="4">
        <f>[1]Raw_Data!E3581</f>
        <v>28.29</v>
      </c>
      <c r="F3583" s="5">
        <f>[1]Raw_Data!F3581</f>
        <v>4300.08</v>
      </c>
      <c r="G3583" s="4">
        <f>[1]Raw_Data!G3581</f>
        <v>0.03</v>
      </c>
      <c r="H3583" s="3">
        <f>[1]Raw_Data!H3581</f>
        <v>2</v>
      </c>
      <c r="I3583" s="3" t="str">
        <f>TRIM([1]Raw_Data!I3581)</f>
        <v>USA</v>
      </c>
      <c r="J3583" s="3" t="str">
        <f>TRIM([1]Raw_Data!J3581)</f>
        <v>iHerb</v>
      </c>
      <c r="K3583" s="3">
        <f t="shared" si="220"/>
        <v>2024</v>
      </c>
      <c r="L3583" s="6">
        <f t="shared" si="221"/>
        <v>45383</v>
      </c>
      <c r="M3583" s="3" t="str">
        <f t="shared" si="222"/>
        <v>0% to 5%</v>
      </c>
      <c r="N3583" s="3" t="str">
        <f t="shared" si="223"/>
        <v>OK</v>
      </c>
    </row>
    <row r="3584" spans="1:14" x14ac:dyDescent="0.3">
      <c r="A3584" s="2">
        <f>DATE(VALUE(RIGHT(TRIM([1]Raw_Data!A3582),4)),VALUE(MID(TRIM([1]Raw_Data!A3582),4,2)),VALUE(LEFT(TRIM([1]Raw_Data!A3582),2)))</f>
        <v>45397</v>
      </c>
      <c r="B3584" s="3" t="str">
        <f>TRIM([1]Raw_Data!B3582)</f>
        <v>Biotin</v>
      </c>
      <c r="C3584" s="3" t="str">
        <f>TRIM([1]Raw_Data!C3582)</f>
        <v>Vitamin</v>
      </c>
      <c r="D3584" s="3">
        <f>[1]Raw_Data!D3582</f>
        <v>149</v>
      </c>
      <c r="E3584" s="4">
        <f>[1]Raw_Data!E3582</f>
        <v>33.39</v>
      </c>
      <c r="F3584" s="5">
        <f>[1]Raw_Data!F3582</f>
        <v>4975.1099999999997</v>
      </c>
      <c r="G3584" s="4">
        <f>[1]Raw_Data!G3582</f>
        <v>0.05</v>
      </c>
      <c r="H3584" s="3">
        <f>[1]Raw_Data!H3582</f>
        <v>3</v>
      </c>
      <c r="I3584" s="3" t="str">
        <f>TRIM([1]Raw_Data!I3582)</f>
        <v>USA</v>
      </c>
      <c r="J3584" s="3" t="str">
        <f>TRIM([1]Raw_Data!J3582)</f>
        <v>Walmart</v>
      </c>
      <c r="K3584" s="3">
        <f t="shared" si="220"/>
        <v>2024</v>
      </c>
      <c r="L3584" s="6">
        <f t="shared" si="221"/>
        <v>45383</v>
      </c>
      <c r="M3584" s="3" t="str">
        <f t="shared" si="222"/>
        <v>0% to 5%</v>
      </c>
      <c r="N3584" s="3" t="str">
        <f t="shared" si="223"/>
        <v>OK</v>
      </c>
    </row>
    <row r="3585" spans="1:14" x14ac:dyDescent="0.3">
      <c r="A3585" s="2">
        <f>DATE(VALUE(RIGHT(TRIM([1]Raw_Data!A3583),4)),VALUE(MID(TRIM([1]Raw_Data!A3583),4,2)),VALUE(LEFT(TRIM([1]Raw_Data!A3583),2)))</f>
        <v>45397</v>
      </c>
      <c r="B3585" s="3" t="str">
        <f>TRIM([1]Raw_Data!B3583)</f>
        <v>Green Tea Extract</v>
      </c>
      <c r="C3585" s="3" t="str">
        <f>TRIM([1]Raw_Data!C3583)</f>
        <v>Fat Burner</v>
      </c>
      <c r="D3585" s="3">
        <f>[1]Raw_Data!D3583</f>
        <v>150</v>
      </c>
      <c r="E3585" s="4">
        <f>[1]Raw_Data!E3583</f>
        <v>25.13</v>
      </c>
      <c r="F3585" s="5">
        <f>[1]Raw_Data!F3583</f>
        <v>3769.5</v>
      </c>
      <c r="G3585" s="4">
        <f>[1]Raw_Data!G3583</f>
        <v>0.24</v>
      </c>
      <c r="H3585" s="3">
        <f>[1]Raw_Data!H3583</f>
        <v>1</v>
      </c>
      <c r="I3585" s="3" t="str">
        <f>TRIM([1]Raw_Data!I3583)</f>
        <v>USA</v>
      </c>
      <c r="J3585" s="3" t="str">
        <f>TRIM([1]Raw_Data!J3583)</f>
        <v>Walmart</v>
      </c>
      <c r="K3585" s="3">
        <f t="shared" si="220"/>
        <v>2024</v>
      </c>
      <c r="L3585" s="6">
        <f t="shared" si="221"/>
        <v>45383</v>
      </c>
      <c r="M3585" s="3" t="str">
        <f t="shared" si="222"/>
        <v>21% to 25%</v>
      </c>
      <c r="N3585" s="3" t="str">
        <f t="shared" si="223"/>
        <v>OK</v>
      </c>
    </row>
    <row r="3586" spans="1:14" x14ac:dyDescent="0.3">
      <c r="A3586" s="2">
        <f>DATE(VALUE(RIGHT(TRIM([1]Raw_Data!A3584),4)),VALUE(MID(TRIM([1]Raw_Data!A3584),4,2)),VALUE(LEFT(TRIM([1]Raw_Data!A3584),2)))</f>
        <v>45397</v>
      </c>
      <c r="B3586" s="3" t="str">
        <f>TRIM([1]Raw_Data!B3584)</f>
        <v>Iron Supplement</v>
      </c>
      <c r="C3586" s="3" t="str">
        <f>TRIM([1]Raw_Data!C3584)</f>
        <v>Mineral</v>
      </c>
      <c r="D3586" s="3">
        <f>[1]Raw_Data!D3584</f>
        <v>167</v>
      </c>
      <c r="E3586" s="4">
        <f>[1]Raw_Data!E3584</f>
        <v>59.52</v>
      </c>
      <c r="F3586" s="5">
        <f>[1]Raw_Data!F3584</f>
        <v>9939.84</v>
      </c>
      <c r="G3586" s="4">
        <f>[1]Raw_Data!G3584</f>
        <v>0.18</v>
      </c>
      <c r="H3586" s="3">
        <f>[1]Raw_Data!H3584</f>
        <v>1</v>
      </c>
      <c r="I3586" s="3" t="str">
        <f>TRIM([1]Raw_Data!I3584)</f>
        <v>Canada</v>
      </c>
      <c r="J3586" s="3" t="str">
        <f>TRIM([1]Raw_Data!J3584)</f>
        <v>Amazon</v>
      </c>
      <c r="K3586" s="3">
        <f t="shared" si="220"/>
        <v>2024</v>
      </c>
      <c r="L3586" s="6">
        <f t="shared" si="221"/>
        <v>45383</v>
      </c>
      <c r="M3586" s="3" t="str">
        <f t="shared" si="222"/>
        <v>16% to 20%</v>
      </c>
      <c r="N3586" s="3" t="str">
        <f t="shared" si="223"/>
        <v>OK</v>
      </c>
    </row>
    <row r="3587" spans="1:14" x14ac:dyDescent="0.3">
      <c r="A3587" s="2">
        <f>DATE(VALUE(RIGHT(TRIM([1]Raw_Data!A3585),4)),VALUE(MID(TRIM([1]Raw_Data!A3585),4,2)),VALUE(LEFT(TRIM([1]Raw_Data!A3585),2)))</f>
        <v>45397</v>
      </c>
      <c r="B3587" s="3" t="str">
        <f>TRIM([1]Raw_Data!B3585)</f>
        <v>Electrolyte Powder</v>
      </c>
      <c r="C3587" s="3" t="str">
        <f>TRIM([1]Raw_Data!C3585)</f>
        <v>Hydration</v>
      </c>
      <c r="D3587" s="3">
        <f>[1]Raw_Data!D3585</f>
        <v>147</v>
      </c>
      <c r="E3587" s="4">
        <f>[1]Raw_Data!E3585</f>
        <v>27.2</v>
      </c>
      <c r="F3587" s="5">
        <f>[1]Raw_Data!F3585</f>
        <v>3998.4</v>
      </c>
      <c r="G3587" s="4">
        <f>[1]Raw_Data!G3585</f>
        <v>0.19</v>
      </c>
      <c r="H3587" s="3">
        <f>[1]Raw_Data!H3585</f>
        <v>2</v>
      </c>
      <c r="I3587" s="3" t="str">
        <f>TRIM([1]Raw_Data!I3585)</f>
        <v>Canada</v>
      </c>
      <c r="J3587" s="3" t="str">
        <f>TRIM([1]Raw_Data!J3585)</f>
        <v>iHerb</v>
      </c>
      <c r="K3587" s="3">
        <f t="shared" si="220"/>
        <v>2024</v>
      </c>
      <c r="L3587" s="6">
        <f t="shared" si="221"/>
        <v>45383</v>
      </c>
      <c r="M3587" s="3" t="str">
        <f t="shared" si="222"/>
        <v>16% to 20%</v>
      </c>
      <c r="N3587" s="3" t="str">
        <f t="shared" si="223"/>
        <v>OK</v>
      </c>
    </row>
    <row r="3588" spans="1:14" x14ac:dyDescent="0.3">
      <c r="A3588" s="2">
        <f>DATE(VALUE(RIGHT(TRIM([1]Raw_Data!A3586),4)),VALUE(MID(TRIM([1]Raw_Data!A3586),4,2)),VALUE(LEFT(TRIM([1]Raw_Data!A3586),2)))</f>
        <v>45404</v>
      </c>
      <c r="B3588" s="3" t="str">
        <f>TRIM([1]Raw_Data!B3586)</f>
        <v>Whey Protein</v>
      </c>
      <c r="C3588" s="3" t="str">
        <f>TRIM([1]Raw_Data!C3586)</f>
        <v>Protein</v>
      </c>
      <c r="D3588" s="3">
        <f>[1]Raw_Data!D3586</f>
        <v>162</v>
      </c>
      <c r="E3588" s="4">
        <f>[1]Raw_Data!E3586</f>
        <v>36.630000000000003</v>
      </c>
      <c r="F3588" s="5">
        <f>[1]Raw_Data!F3586</f>
        <v>5934.06</v>
      </c>
      <c r="G3588" s="4">
        <f>[1]Raw_Data!G3586</f>
        <v>0.06</v>
      </c>
      <c r="H3588" s="3">
        <f>[1]Raw_Data!H3586</f>
        <v>1</v>
      </c>
      <c r="I3588" s="3" t="str">
        <f>TRIM([1]Raw_Data!I3586)</f>
        <v>Canada</v>
      </c>
      <c r="J3588" s="3" t="str">
        <f>TRIM([1]Raw_Data!J3586)</f>
        <v>Walmart</v>
      </c>
      <c r="K3588" s="3">
        <f t="shared" ref="K3588:K3651" si="224">YEAR(A3588)</f>
        <v>2024</v>
      </c>
      <c r="L3588" s="6">
        <f t="shared" ref="L3588:L3651" si="225">DATE(YEAR(A3588),MONTH(A3588),1)</f>
        <v>45383</v>
      </c>
      <c r="M3588" s="3" t="str">
        <f t="shared" ref="M3588:M3651" si="226">IF(ROUND(G3588*100,0)&lt;=5,"0% to 5%",IF(ROUND(G3588*100,0)&lt;=10,"6% to 10%",IF(ROUND(G3588*100,0)&lt;=15,"11% to 15%",IF(ROUND(G3588*100,0)&lt;=20,"16% to 20%","21% to 25%"))))</f>
        <v>6% to 10%</v>
      </c>
      <c r="N3588" s="3" t="str">
        <f t="shared" ref="N3588:N3651" si="227">IF(ROUND(D3588*E3588,2)=ROUND(F3588,2),"OK","Check")</f>
        <v>OK</v>
      </c>
    </row>
    <row r="3589" spans="1:14" x14ac:dyDescent="0.3">
      <c r="A3589" s="2">
        <f>DATE(VALUE(RIGHT(TRIM([1]Raw_Data!A3587),4)),VALUE(MID(TRIM([1]Raw_Data!A3587),4,2)),VALUE(LEFT(TRIM([1]Raw_Data!A3587),2)))</f>
        <v>45404</v>
      </c>
      <c r="B3589" s="3" t="str">
        <f>TRIM([1]Raw_Data!B3587)</f>
        <v>Vitamin C</v>
      </c>
      <c r="C3589" s="3" t="str">
        <f>TRIM([1]Raw_Data!C3587)</f>
        <v>Vitamin</v>
      </c>
      <c r="D3589" s="3">
        <f>[1]Raw_Data!D3587</f>
        <v>154</v>
      </c>
      <c r="E3589" s="4">
        <f>[1]Raw_Data!E3587</f>
        <v>58.47</v>
      </c>
      <c r="F3589" s="5">
        <f>[1]Raw_Data!F3587</f>
        <v>9004.3799999999992</v>
      </c>
      <c r="G3589" s="4">
        <f>[1]Raw_Data!G3587</f>
        <v>0.23</v>
      </c>
      <c r="H3589" s="3">
        <f>[1]Raw_Data!H3587</f>
        <v>1</v>
      </c>
      <c r="I3589" s="3" t="str">
        <f>TRIM([1]Raw_Data!I3587)</f>
        <v>USA</v>
      </c>
      <c r="J3589" s="3" t="str">
        <f>TRIM([1]Raw_Data!J3587)</f>
        <v>iHerb</v>
      </c>
      <c r="K3589" s="3">
        <f t="shared" si="224"/>
        <v>2024</v>
      </c>
      <c r="L3589" s="6">
        <f t="shared" si="225"/>
        <v>45383</v>
      </c>
      <c r="M3589" s="3" t="str">
        <f t="shared" si="226"/>
        <v>21% to 25%</v>
      </c>
      <c r="N3589" s="3" t="str">
        <f t="shared" si="227"/>
        <v>OK</v>
      </c>
    </row>
    <row r="3590" spans="1:14" x14ac:dyDescent="0.3">
      <c r="A3590" s="2">
        <f>DATE(VALUE(RIGHT(TRIM([1]Raw_Data!A3588),4)),VALUE(MID(TRIM([1]Raw_Data!A3588),4,2)),VALUE(LEFT(TRIM([1]Raw_Data!A3588),2)))</f>
        <v>45404</v>
      </c>
      <c r="B3590" s="3" t="str">
        <f>TRIM([1]Raw_Data!B3588)</f>
        <v>Fish Oil</v>
      </c>
      <c r="C3590" s="3" t="str">
        <f>TRIM([1]Raw_Data!C3588)</f>
        <v>Omega</v>
      </c>
      <c r="D3590" s="3">
        <f>[1]Raw_Data!D3588</f>
        <v>150</v>
      </c>
      <c r="E3590" s="4">
        <f>[1]Raw_Data!E3588</f>
        <v>54.11</v>
      </c>
      <c r="F3590" s="5">
        <f>[1]Raw_Data!F3588</f>
        <v>8116.5</v>
      </c>
      <c r="G3590" s="4">
        <f>[1]Raw_Data!G3588</f>
        <v>0.17</v>
      </c>
      <c r="H3590" s="3">
        <f>[1]Raw_Data!H3588</f>
        <v>1</v>
      </c>
      <c r="I3590" s="3" t="str">
        <f>TRIM([1]Raw_Data!I3588)</f>
        <v>Canada</v>
      </c>
      <c r="J3590" s="3" t="str">
        <f>TRIM([1]Raw_Data!J3588)</f>
        <v>Walmart</v>
      </c>
      <c r="K3590" s="3">
        <f t="shared" si="224"/>
        <v>2024</v>
      </c>
      <c r="L3590" s="6">
        <f t="shared" si="225"/>
        <v>45383</v>
      </c>
      <c r="M3590" s="3" t="str">
        <f t="shared" si="226"/>
        <v>16% to 20%</v>
      </c>
      <c r="N3590" s="3" t="str">
        <f t="shared" si="227"/>
        <v>OK</v>
      </c>
    </row>
    <row r="3591" spans="1:14" x14ac:dyDescent="0.3">
      <c r="A3591" s="2">
        <f>DATE(VALUE(RIGHT(TRIM([1]Raw_Data!A3589),4)),VALUE(MID(TRIM([1]Raw_Data!A3589),4,2)),VALUE(LEFT(TRIM([1]Raw_Data!A3589),2)))</f>
        <v>45404</v>
      </c>
      <c r="B3591" s="3" t="str">
        <f>TRIM([1]Raw_Data!B3589)</f>
        <v>Multivitamin</v>
      </c>
      <c r="C3591" s="3" t="str">
        <f>TRIM([1]Raw_Data!C3589)</f>
        <v>Vitamin</v>
      </c>
      <c r="D3591" s="3">
        <f>[1]Raw_Data!D3589</f>
        <v>148</v>
      </c>
      <c r="E3591" s="4">
        <f>[1]Raw_Data!E3589</f>
        <v>57.97</v>
      </c>
      <c r="F3591" s="5">
        <f>[1]Raw_Data!F3589</f>
        <v>8579.56</v>
      </c>
      <c r="G3591" s="4">
        <f>[1]Raw_Data!G3589</f>
        <v>0.04</v>
      </c>
      <c r="H3591" s="3">
        <f>[1]Raw_Data!H3589</f>
        <v>0</v>
      </c>
      <c r="I3591" s="3" t="str">
        <f>TRIM([1]Raw_Data!I3589)</f>
        <v>UK</v>
      </c>
      <c r="J3591" s="3" t="str">
        <f>TRIM([1]Raw_Data!J3589)</f>
        <v>Amazon</v>
      </c>
      <c r="K3591" s="3">
        <f t="shared" si="224"/>
        <v>2024</v>
      </c>
      <c r="L3591" s="6">
        <f t="shared" si="225"/>
        <v>45383</v>
      </c>
      <c r="M3591" s="3" t="str">
        <f t="shared" si="226"/>
        <v>0% to 5%</v>
      </c>
      <c r="N3591" s="3" t="str">
        <f t="shared" si="227"/>
        <v>OK</v>
      </c>
    </row>
    <row r="3592" spans="1:14" x14ac:dyDescent="0.3">
      <c r="A3592" s="2">
        <f>DATE(VALUE(RIGHT(TRIM([1]Raw_Data!A3590),4)),VALUE(MID(TRIM([1]Raw_Data!A3590),4,2)),VALUE(LEFT(TRIM([1]Raw_Data!A3590),2)))</f>
        <v>45404</v>
      </c>
      <c r="B3592" s="3" t="str">
        <f>TRIM([1]Raw_Data!B3590)</f>
        <v>Pre-Workout</v>
      </c>
      <c r="C3592" s="3" t="str">
        <f>TRIM([1]Raw_Data!C3590)</f>
        <v>Performance</v>
      </c>
      <c r="D3592" s="3">
        <f>[1]Raw_Data!D3590</f>
        <v>166</v>
      </c>
      <c r="E3592" s="4">
        <f>[1]Raw_Data!E3590</f>
        <v>42.99</v>
      </c>
      <c r="F3592" s="5">
        <f>[1]Raw_Data!F3590</f>
        <v>7136.34</v>
      </c>
      <c r="G3592" s="4">
        <f>[1]Raw_Data!G3590</f>
        <v>0.14000000000000001</v>
      </c>
      <c r="H3592" s="3">
        <f>[1]Raw_Data!H3590</f>
        <v>0</v>
      </c>
      <c r="I3592" s="3" t="str">
        <f>TRIM([1]Raw_Data!I3590)</f>
        <v>UK</v>
      </c>
      <c r="J3592" s="3" t="str">
        <f>TRIM([1]Raw_Data!J3590)</f>
        <v>Amazon</v>
      </c>
      <c r="K3592" s="3">
        <f t="shared" si="224"/>
        <v>2024</v>
      </c>
      <c r="L3592" s="6">
        <f t="shared" si="225"/>
        <v>45383</v>
      </c>
      <c r="M3592" s="3" t="str">
        <f t="shared" si="226"/>
        <v>11% to 15%</v>
      </c>
      <c r="N3592" s="3" t="str">
        <f t="shared" si="227"/>
        <v>OK</v>
      </c>
    </row>
    <row r="3593" spans="1:14" x14ac:dyDescent="0.3">
      <c r="A3593" s="2">
        <f>DATE(VALUE(RIGHT(TRIM([1]Raw_Data!A3591),4)),VALUE(MID(TRIM([1]Raw_Data!A3591),4,2)),VALUE(LEFT(TRIM([1]Raw_Data!A3591),2)))</f>
        <v>45404</v>
      </c>
      <c r="B3593" s="3" t="str">
        <f>TRIM([1]Raw_Data!B3591)</f>
        <v>BCAA</v>
      </c>
      <c r="C3593" s="3" t="str">
        <f>TRIM([1]Raw_Data!C3591)</f>
        <v>Amino Acid</v>
      </c>
      <c r="D3593" s="3">
        <f>[1]Raw_Data!D3591</f>
        <v>153</v>
      </c>
      <c r="E3593" s="4">
        <f>[1]Raw_Data!E3591</f>
        <v>26.25</v>
      </c>
      <c r="F3593" s="5">
        <f>[1]Raw_Data!F3591</f>
        <v>4016.25</v>
      </c>
      <c r="G3593" s="4">
        <f>[1]Raw_Data!G3591</f>
        <v>0.23</v>
      </c>
      <c r="H3593" s="3">
        <f>[1]Raw_Data!H3591</f>
        <v>1</v>
      </c>
      <c r="I3593" s="3" t="str">
        <f>TRIM([1]Raw_Data!I3591)</f>
        <v>USA</v>
      </c>
      <c r="J3593" s="3" t="str">
        <f>TRIM([1]Raw_Data!J3591)</f>
        <v>Amazon</v>
      </c>
      <c r="K3593" s="3">
        <f t="shared" si="224"/>
        <v>2024</v>
      </c>
      <c r="L3593" s="6">
        <f t="shared" si="225"/>
        <v>45383</v>
      </c>
      <c r="M3593" s="3" t="str">
        <f t="shared" si="226"/>
        <v>21% to 25%</v>
      </c>
      <c r="N3593" s="3" t="str">
        <f t="shared" si="227"/>
        <v>OK</v>
      </c>
    </row>
    <row r="3594" spans="1:14" x14ac:dyDescent="0.3">
      <c r="A3594" s="2">
        <f>DATE(VALUE(RIGHT(TRIM([1]Raw_Data!A3592),4)),VALUE(MID(TRIM([1]Raw_Data!A3592),4,2)),VALUE(LEFT(TRIM([1]Raw_Data!A3592),2)))</f>
        <v>45404</v>
      </c>
      <c r="B3594" s="3" t="str">
        <f>TRIM([1]Raw_Data!B3592)</f>
        <v>Creatine</v>
      </c>
      <c r="C3594" s="3" t="str">
        <f>TRIM([1]Raw_Data!C3592)</f>
        <v>Performance</v>
      </c>
      <c r="D3594" s="3">
        <f>[1]Raw_Data!D3592</f>
        <v>175</v>
      </c>
      <c r="E3594" s="4">
        <f>[1]Raw_Data!E3592</f>
        <v>25.73</v>
      </c>
      <c r="F3594" s="5">
        <f>[1]Raw_Data!F3592</f>
        <v>4502.75</v>
      </c>
      <c r="G3594" s="4">
        <f>[1]Raw_Data!G3592</f>
        <v>0.16</v>
      </c>
      <c r="H3594" s="3">
        <f>[1]Raw_Data!H3592</f>
        <v>3</v>
      </c>
      <c r="I3594" s="3" t="str">
        <f>TRIM([1]Raw_Data!I3592)</f>
        <v>Canada</v>
      </c>
      <c r="J3594" s="3" t="str">
        <f>TRIM([1]Raw_Data!J3592)</f>
        <v>iHerb</v>
      </c>
      <c r="K3594" s="3">
        <f t="shared" si="224"/>
        <v>2024</v>
      </c>
      <c r="L3594" s="6">
        <f t="shared" si="225"/>
        <v>45383</v>
      </c>
      <c r="M3594" s="3" t="str">
        <f t="shared" si="226"/>
        <v>16% to 20%</v>
      </c>
      <c r="N3594" s="3" t="str">
        <f t="shared" si="227"/>
        <v>OK</v>
      </c>
    </row>
    <row r="3595" spans="1:14" x14ac:dyDescent="0.3">
      <c r="A3595" s="2">
        <f>DATE(VALUE(RIGHT(TRIM([1]Raw_Data!A3593),4)),VALUE(MID(TRIM([1]Raw_Data!A3593),4,2)),VALUE(LEFT(TRIM([1]Raw_Data!A3593),2)))</f>
        <v>45404</v>
      </c>
      <c r="B3595" s="3" t="str">
        <f>TRIM([1]Raw_Data!B3593)</f>
        <v>Zinc</v>
      </c>
      <c r="C3595" s="3" t="str">
        <f>TRIM([1]Raw_Data!C3593)</f>
        <v>Mineral</v>
      </c>
      <c r="D3595" s="3">
        <f>[1]Raw_Data!D3593</f>
        <v>150</v>
      </c>
      <c r="E3595" s="4">
        <f>[1]Raw_Data!E3593</f>
        <v>12.01</v>
      </c>
      <c r="F3595" s="5">
        <f>[1]Raw_Data!F3593</f>
        <v>1801.5</v>
      </c>
      <c r="G3595" s="4">
        <f>[1]Raw_Data!G3593</f>
        <v>0.23</v>
      </c>
      <c r="H3595" s="3">
        <f>[1]Raw_Data!H3593</f>
        <v>0</v>
      </c>
      <c r="I3595" s="3" t="str">
        <f>TRIM([1]Raw_Data!I3593)</f>
        <v>Canada</v>
      </c>
      <c r="J3595" s="3" t="str">
        <f>TRIM([1]Raw_Data!J3593)</f>
        <v>iHerb</v>
      </c>
      <c r="K3595" s="3">
        <f t="shared" si="224"/>
        <v>2024</v>
      </c>
      <c r="L3595" s="6">
        <f t="shared" si="225"/>
        <v>45383</v>
      </c>
      <c r="M3595" s="3" t="str">
        <f t="shared" si="226"/>
        <v>21% to 25%</v>
      </c>
      <c r="N3595" s="3" t="str">
        <f t="shared" si="227"/>
        <v>OK</v>
      </c>
    </row>
    <row r="3596" spans="1:14" x14ac:dyDescent="0.3">
      <c r="A3596" s="2">
        <f>DATE(VALUE(RIGHT(TRIM([1]Raw_Data!A3594),4)),VALUE(MID(TRIM([1]Raw_Data!A3594),4,2)),VALUE(LEFT(TRIM([1]Raw_Data!A3594),2)))</f>
        <v>45404</v>
      </c>
      <c r="B3596" s="3" t="str">
        <f>TRIM([1]Raw_Data!B3594)</f>
        <v>Collagen Peptides</v>
      </c>
      <c r="C3596" s="3" t="str">
        <f>TRIM([1]Raw_Data!C3594)</f>
        <v>Protein</v>
      </c>
      <c r="D3596" s="3">
        <f>[1]Raw_Data!D3594</f>
        <v>167</v>
      </c>
      <c r="E3596" s="4">
        <f>[1]Raw_Data!E3594</f>
        <v>51.64</v>
      </c>
      <c r="F3596" s="5">
        <f>[1]Raw_Data!F3594</f>
        <v>8623.8799999999992</v>
      </c>
      <c r="G3596" s="4">
        <f>[1]Raw_Data!G3594</f>
        <v>0.17</v>
      </c>
      <c r="H3596" s="3">
        <f>[1]Raw_Data!H3594</f>
        <v>0</v>
      </c>
      <c r="I3596" s="3" t="str">
        <f>TRIM([1]Raw_Data!I3594)</f>
        <v>UK</v>
      </c>
      <c r="J3596" s="3" t="str">
        <f>TRIM([1]Raw_Data!J3594)</f>
        <v>iHerb</v>
      </c>
      <c r="K3596" s="3">
        <f t="shared" si="224"/>
        <v>2024</v>
      </c>
      <c r="L3596" s="6">
        <f t="shared" si="225"/>
        <v>45383</v>
      </c>
      <c r="M3596" s="3" t="str">
        <f t="shared" si="226"/>
        <v>16% to 20%</v>
      </c>
      <c r="N3596" s="3" t="str">
        <f t="shared" si="227"/>
        <v>OK</v>
      </c>
    </row>
    <row r="3597" spans="1:14" x14ac:dyDescent="0.3">
      <c r="A3597" s="2">
        <f>DATE(VALUE(RIGHT(TRIM([1]Raw_Data!A3595),4)),VALUE(MID(TRIM([1]Raw_Data!A3595),4,2)),VALUE(LEFT(TRIM([1]Raw_Data!A3595),2)))</f>
        <v>45404</v>
      </c>
      <c r="B3597" s="3" t="str">
        <f>TRIM([1]Raw_Data!B3595)</f>
        <v>Magnesium</v>
      </c>
      <c r="C3597" s="3" t="str">
        <f>TRIM([1]Raw_Data!C3595)</f>
        <v>Mineral</v>
      </c>
      <c r="D3597" s="3">
        <f>[1]Raw_Data!D3595</f>
        <v>171</v>
      </c>
      <c r="E3597" s="4">
        <f>[1]Raw_Data!E3595</f>
        <v>22.21</v>
      </c>
      <c r="F3597" s="5">
        <f>[1]Raw_Data!F3595</f>
        <v>3797.91</v>
      </c>
      <c r="G3597" s="4">
        <f>[1]Raw_Data!G3595</f>
        <v>0.2</v>
      </c>
      <c r="H3597" s="3">
        <f>[1]Raw_Data!H3595</f>
        <v>0</v>
      </c>
      <c r="I3597" s="3" t="str">
        <f>TRIM([1]Raw_Data!I3595)</f>
        <v>USA</v>
      </c>
      <c r="J3597" s="3" t="str">
        <f>TRIM([1]Raw_Data!J3595)</f>
        <v>iHerb</v>
      </c>
      <c r="K3597" s="3">
        <f t="shared" si="224"/>
        <v>2024</v>
      </c>
      <c r="L3597" s="6">
        <f t="shared" si="225"/>
        <v>45383</v>
      </c>
      <c r="M3597" s="3" t="str">
        <f t="shared" si="226"/>
        <v>16% to 20%</v>
      </c>
      <c r="N3597" s="3" t="str">
        <f t="shared" si="227"/>
        <v>OK</v>
      </c>
    </row>
    <row r="3598" spans="1:14" x14ac:dyDescent="0.3">
      <c r="A3598" s="2">
        <f>DATE(VALUE(RIGHT(TRIM([1]Raw_Data!A3596),4)),VALUE(MID(TRIM([1]Raw_Data!A3596),4,2)),VALUE(LEFT(TRIM([1]Raw_Data!A3596),2)))</f>
        <v>45404</v>
      </c>
      <c r="B3598" s="3" t="str">
        <f>TRIM([1]Raw_Data!B3596)</f>
        <v>Ashwagandha</v>
      </c>
      <c r="C3598" s="3" t="str">
        <f>TRIM([1]Raw_Data!C3596)</f>
        <v>Herbal</v>
      </c>
      <c r="D3598" s="3">
        <f>[1]Raw_Data!D3596</f>
        <v>139</v>
      </c>
      <c r="E3598" s="4">
        <f>[1]Raw_Data!E3596</f>
        <v>51.52</v>
      </c>
      <c r="F3598" s="5">
        <f>[1]Raw_Data!F3596</f>
        <v>7161.28</v>
      </c>
      <c r="G3598" s="4">
        <f>[1]Raw_Data!G3596</f>
        <v>0.04</v>
      </c>
      <c r="H3598" s="3">
        <f>[1]Raw_Data!H3596</f>
        <v>1</v>
      </c>
      <c r="I3598" s="3" t="str">
        <f>TRIM([1]Raw_Data!I3596)</f>
        <v>USA</v>
      </c>
      <c r="J3598" s="3" t="str">
        <f>TRIM([1]Raw_Data!J3596)</f>
        <v>iHerb</v>
      </c>
      <c r="K3598" s="3">
        <f t="shared" si="224"/>
        <v>2024</v>
      </c>
      <c r="L3598" s="6">
        <f t="shared" si="225"/>
        <v>45383</v>
      </c>
      <c r="M3598" s="3" t="str">
        <f t="shared" si="226"/>
        <v>0% to 5%</v>
      </c>
      <c r="N3598" s="3" t="str">
        <f t="shared" si="227"/>
        <v>OK</v>
      </c>
    </row>
    <row r="3599" spans="1:14" x14ac:dyDescent="0.3">
      <c r="A3599" s="2">
        <f>DATE(VALUE(RIGHT(TRIM([1]Raw_Data!A3597),4)),VALUE(MID(TRIM([1]Raw_Data!A3597),4,2)),VALUE(LEFT(TRIM([1]Raw_Data!A3597),2)))</f>
        <v>45404</v>
      </c>
      <c r="B3599" s="3" t="str">
        <f>TRIM([1]Raw_Data!B3597)</f>
        <v>Melatonin</v>
      </c>
      <c r="C3599" s="3" t="str">
        <f>TRIM([1]Raw_Data!C3597)</f>
        <v>Sleep Aid</v>
      </c>
      <c r="D3599" s="3">
        <f>[1]Raw_Data!D3597</f>
        <v>158</v>
      </c>
      <c r="E3599" s="4">
        <f>[1]Raw_Data!E3597</f>
        <v>56.78</v>
      </c>
      <c r="F3599" s="5">
        <f>[1]Raw_Data!F3597</f>
        <v>8971.24</v>
      </c>
      <c r="G3599" s="4">
        <f>[1]Raw_Data!G3597</f>
        <v>0.2</v>
      </c>
      <c r="H3599" s="3">
        <f>[1]Raw_Data!H3597</f>
        <v>2</v>
      </c>
      <c r="I3599" s="3" t="str">
        <f>TRIM([1]Raw_Data!I3597)</f>
        <v>UK</v>
      </c>
      <c r="J3599" s="3" t="str">
        <f>TRIM([1]Raw_Data!J3597)</f>
        <v>Walmart</v>
      </c>
      <c r="K3599" s="3">
        <f t="shared" si="224"/>
        <v>2024</v>
      </c>
      <c r="L3599" s="6">
        <f t="shared" si="225"/>
        <v>45383</v>
      </c>
      <c r="M3599" s="3" t="str">
        <f t="shared" si="226"/>
        <v>16% to 20%</v>
      </c>
      <c r="N3599" s="3" t="str">
        <f t="shared" si="227"/>
        <v>OK</v>
      </c>
    </row>
    <row r="3600" spans="1:14" x14ac:dyDescent="0.3">
      <c r="A3600" s="2">
        <f>DATE(VALUE(RIGHT(TRIM([1]Raw_Data!A3598),4)),VALUE(MID(TRIM([1]Raw_Data!A3598),4,2)),VALUE(LEFT(TRIM([1]Raw_Data!A3598),2)))</f>
        <v>45404</v>
      </c>
      <c r="B3600" s="3" t="str">
        <f>TRIM([1]Raw_Data!B3598)</f>
        <v>Biotin</v>
      </c>
      <c r="C3600" s="3" t="str">
        <f>TRIM([1]Raw_Data!C3598)</f>
        <v>Vitamin</v>
      </c>
      <c r="D3600" s="3">
        <f>[1]Raw_Data!D3598</f>
        <v>148</v>
      </c>
      <c r="E3600" s="4">
        <f>[1]Raw_Data!E3598</f>
        <v>45.49</v>
      </c>
      <c r="F3600" s="5">
        <f>[1]Raw_Data!F3598</f>
        <v>6732.52</v>
      </c>
      <c r="G3600" s="4">
        <f>[1]Raw_Data!G3598</f>
        <v>0.25</v>
      </c>
      <c r="H3600" s="3">
        <f>[1]Raw_Data!H3598</f>
        <v>2</v>
      </c>
      <c r="I3600" s="3" t="str">
        <f>TRIM([1]Raw_Data!I3598)</f>
        <v>USA</v>
      </c>
      <c r="J3600" s="3" t="str">
        <f>TRIM([1]Raw_Data!J3598)</f>
        <v>iHerb</v>
      </c>
      <c r="K3600" s="3">
        <f t="shared" si="224"/>
        <v>2024</v>
      </c>
      <c r="L3600" s="6">
        <f t="shared" si="225"/>
        <v>45383</v>
      </c>
      <c r="M3600" s="3" t="str">
        <f t="shared" si="226"/>
        <v>21% to 25%</v>
      </c>
      <c r="N3600" s="3" t="str">
        <f t="shared" si="227"/>
        <v>OK</v>
      </c>
    </row>
    <row r="3601" spans="1:14" x14ac:dyDescent="0.3">
      <c r="A3601" s="2">
        <f>DATE(VALUE(RIGHT(TRIM([1]Raw_Data!A3599),4)),VALUE(MID(TRIM([1]Raw_Data!A3599),4,2)),VALUE(LEFT(TRIM([1]Raw_Data!A3599),2)))</f>
        <v>45404</v>
      </c>
      <c r="B3601" s="3" t="str">
        <f>TRIM([1]Raw_Data!B3599)</f>
        <v>Green Tea Extract</v>
      </c>
      <c r="C3601" s="3" t="str">
        <f>TRIM([1]Raw_Data!C3599)</f>
        <v>Fat Burner</v>
      </c>
      <c r="D3601" s="3">
        <f>[1]Raw_Data!D3599</f>
        <v>154</v>
      </c>
      <c r="E3601" s="4">
        <f>[1]Raw_Data!E3599</f>
        <v>45.99</v>
      </c>
      <c r="F3601" s="5">
        <f>[1]Raw_Data!F3599</f>
        <v>7082.46</v>
      </c>
      <c r="G3601" s="4">
        <f>[1]Raw_Data!G3599</f>
        <v>0.14000000000000001</v>
      </c>
      <c r="H3601" s="3">
        <f>[1]Raw_Data!H3599</f>
        <v>1</v>
      </c>
      <c r="I3601" s="3" t="str">
        <f>TRIM([1]Raw_Data!I3599)</f>
        <v>Canada</v>
      </c>
      <c r="J3601" s="3" t="str">
        <f>TRIM([1]Raw_Data!J3599)</f>
        <v>Amazon</v>
      </c>
      <c r="K3601" s="3">
        <f t="shared" si="224"/>
        <v>2024</v>
      </c>
      <c r="L3601" s="6">
        <f t="shared" si="225"/>
        <v>45383</v>
      </c>
      <c r="M3601" s="3" t="str">
        <f t="shared" si="226"/>
        <v>11% to 15%</v>
      </c>
      <c r="N3601" s="3" t="str">
        <f t="shared" si="227"/>
        <v>OK</v>
      </c>
    </row>
    <row r="3602" spans="1:14" x14ac:dyDescent="0.3">
      <c r="A3602" s="2">
        <f>DATE(VALUE(RIGHT(TRIM([1]Raw_Data!A3600),4)),VALUE(MID(TRIM([1]Raw_Data!A3600),4,2)),VALUE(LEFT(TRIM([1]Raw_Data!A3600),2)))</f>
        <v>45404</v>
      </c>
      <c r="B3602" s="3" t="str">
        <f>TRIM([1]Raw_Data!B3600)</f>
        <v>Iron Supplement</v>
      </c>
      <c r="C3602" s="3" t="str">
        <f>TRIM([1]Raw_Data!C3600)</f>
        <v>Mineral</v>
      </c>
      <c r="D3602" s="3">
        <f>[1]Raw_Data!D3600</f>
        <v>175</v>
      </c>
      <c r="E3602" s="4">
        <f>[1]Raw_Data!E3600</f>
        <v>21.84</v>
      </c>
      <c r="F3602" s="5">
        <f>[1]Raw_Data!F3600</f>
        <v>3822</v>
      </c>
      <c r="G3602" s="4">
        <f>[1]Raw_Data!G3600</f>
        <v>0.08</v>
      </c>
      <c r="H3602" s="3">
        <f>[1]Raw_Data!H3600</f>
        <v>4</v>
      </c>
      <c r="I3602" s="3" t="str">
        <f>TRIM([1]Raw_Data!I3600)</f>
        <v>USA</v>
      </c>
      <c r="J3602" s="3" t="str">
        <f>TRIM([1]Raw_Data!J3600)</f>
        <v>Amazon</v>
      </c>
      <c r="K3602" s="3">
        <f t="shared" si="224"/>
        <v>2024</v>
      </c>
      <c r="L3602" s="6">
        <f t="shared" si="225"/>
        <v>45383</v>
      </c>
      <c r="M3602" s="3" t="str">
        <f t="shared" si="226"/>
        <v>6% to 10%</v>
      </c>
      <c r="N3602" s="3" t="str">
        <f t="shared" si="227"/>
        <v>OK</v>
      </c>
    </row>
    <row r="3603" spans="1:14" x14ac:dyDescent="0.3">
      <c r="A3603" s="2">
        <f>DATE(VALUE(RIGHT(TRIM([1]Raw_Data!A3601),4)),VALUE(MID(TRIM([1]Raw_Data!A3601),4,2)),VALUE(LEFT(TRIM([1]Raw_Data!A3601),2)))</f>
        <v>45404</v>
      </c>
      <c r="B3603" s="3" t="str">
        <f>TRIM([1]Raw_Data!B3601)</f>
        <v>Electrolyte Powder</v>
      </c>
      <c r="C3603" s="3" t="str">
        <f>TRIM([1]Raw_Data!C3601)</f>
        <v>Hydration</v>
      </c>
      <c r="D3603" s="3">
        <f>[1]Raw_Data!D3601</f>
        <v>167</v>
      </c>
      <c r="E3603" s="4">
        <f>[1]Raw_Data!E3601</f>
        <v>11.92</v>
      </c>
      <c r="F3603" s="5">
        <f>[1]Raw_Data!F3601</f>
        <v>1990.64</v>
      </c>
      <c r="G3603" s="4">
        <f>[1]Raw_Data!G3601</f>
        <v>0.01</v>
      </c>
      <c r="H3603" s="3">
        <f>[1]Raw_Data!H3601</f>
        <v>1</v>
      </c>
      <c r="I3603" s="3" t="str">
        <f>TRIM([1]Raw_Data!I3601)</f>
        <v>UK</v>
      </c>
      <c r="J3603" s="3" t="str">
        <f>TRIM([1]Raw_Data!J3601)</f>
        <v>Walmart</v>
      </c>
      <c r="K3603" s="3">
        <f t="shared" si="224"/>
        <v>2024</v>
      </c>
      <c r="L3603" s="6">
        <f t="shared" si="225"/>
        <v>45383</v>
      </c>
      <c r="M3603" s="3" t="str">
        <f t="shared" si="226"/>
        <v>0% to 5%</v>
      </c>
      <c r="N3603" s="3" t="str">
        <f t="shared" si="227"/>
        <v>OK</v>
      </c>
    </row>
    <row r="3604" spans="1:14" x14ac:dyDescent="0.3">
      <c r="A3604" s="2">
        <f>DATE(VALUE(RIGHT(TRIM([1]Raw_Data!A3602),4)),VALUE(MID(TRIM([1]Raw_Data!A3602),4,2)),VALUE(LEFT(TRIM([1]Raw_Data!A3602),2)))</f>
        <v>45411</v>
      </c>
      <c r="B3604" s="3" t="str">
        <f>TRIM([1]Raw_Data!B3602)</f>
        <v>Whey Protein</v>
      </c>
      <c r="C3604" s="3" t="str">
        <f>TRIM([1]Raw_Data!C3602)</f>
        <v>Protein</v>
      </c>
      <c r="D3604" s="3">
        <f>[1]Raw_Data!D3602</f>
        <v>155</v>
      </c>
      <c r="E3604" s="4">
        <f>[1]Raw_Data!E3602</f>
        <v>41.69</v>
      </c>
      <c r="F3604" s="5">
        <f>[1]Raw_Data!F3602</f>
        <v>6461.95</v>
      </c>
      <c r="G3604" s="4">
        <f>[1]Raw_Data!G3602</f>
        <v>0.18</v>
      </c>
      <c r="H3604" s="3">
        <f>[1]Raw_Data!H3602</f>
        <v>0</v>
      </c>
      <c r="I3604" s="3" t="str">
        <f>TRIM([1]Raw_Data!I3602)</f>
        <v>USA</v>
      </c>
      <c r="J3604" s="3" t="str">
        <f>TRIM([1]Raw_Data!J3602)</f>
        <v>Walmart</v>
      </c>
      <c r="K3604" s="3">
        <f t="shared" si="224"/>
        <v>2024</v>
      </c>
      <c r="L3604" s="6">
        <f t="shared" si="225"/>
        <v>45383</v>
      </c>
      <c r="M3604" s="3" t="str">
        <f t="shared" si="226"/>
        <v>16% to 20%</v>
      </c>
      <c r="N3604" s="3" t="str">
        <f t="shared" si="227"/>
        <v>OK</v>
      </c>
    </row>
    <row r="3605" spans="1:14" x14ac:dyDescent="0.3">
      <c r="A3605" s="2">
        <f>DATE(VALUE(RIGHT(TRIM([1]Raw_Data!A3603),4)),VALUE(MID(TRIM([1]Raw_Data!A3603),4,2)),VALUE(LEFT(TRIM([1]Raw_Data!A3603),2)))</f>
        <v>45411</v>
      </c>
      <c r="B3605" s="3" t="str">
        <f>TRIM([1]Raw_Data!B3603)</f>
        <v>Vitamin C</v>
      </c>
      <c r="C3605" s="3" t="str">
        <f>TRIM([1]Raw_Data!C3603)</f>
        <v>Vitamin</v>
      </c>
      <c r="D3605" s="3">
        <f>[1]Raw_Data!D3603</f>
        <v>132</v>
      </c>
      <c r="E3605" s="4">
        <f>[1]Raw_Data!E3603</f>
        <v>17.739999999999998</v>
      </c>
      <c r="F3605" s="5">
        <f>[1]Raw_Data!F3603</f>
        <v>2341.6799999999998</v>
      </c>
      <c r="G3605" s="4">
        <f>[1]Raw_Data!G3603</f>
        <v>0.02</v>
      </c>
      <c r="H3605" s="3">
        <f>[1]Raw_Data!H3603</f>
        <v>2</v>
      </c>
      <c r="I3605" s="3" t="str">
        <f>TRIM([1]Raw_Data!I3603)</f>
        <v>USA</v>
      </c>
      <c r="J3605" s="3" t="str">
        <f>TRIM([1]Raw_Data!J3603)</f>
        <v>Walmart</v>
      </c>
      <c r="K3605" s="3">
        <f t="shared" si="224"/>
        <v>2024</v>
      </c>
      <c r="L3605" s="6">
        <f t="shared" si="225"/>
        <v>45383</v>
      </c>
      <c r="M3605" s="3" t="str">
        <f t="shared" si="226"/>
        <v>0% to 5%</v>
      </c>
      <c r="N3605" s="3" t="str">
        <f t="shared" si="227"/>
        <v>OK</v>
      </c>
    </row>
    <row r="3606" spans="1:14" x14ac:dyDescent="0.3">
      <c r="A3606" s="2">
        <f>DATE(VALUE(RIGHT(TRIM([1]Raw_Data!A3604),4)),VALUE(MID(TRIM([1]Raw_Data!A3604),4,2)),VALUE(LEFT(TRIM([1]Raw_Data!A3604),2)))</f>
        <v>45411</v>
      </c>
      <c r="B3606" s="3" t="str">
        <f>TRIM([1]Raw_Data!B3604)</f>
        <v>Fish Oil</v>
      </c>
      <c r="C3606" s="3" t="str">
        <f>TRIM([1]Raw_Data!C3604)</f>
        <v>Omega</v>
      </c>
      <c r="D3606" s="3">
        <f>[1]Raw_Data!D3604</f>
        <v>162</v>
      </c>
      <c r="E3606" s="4">
        <f>[1]Raw_Data!E3604</f>
        <v>50.85</v>
      </c>
      <c r="F3606" s="5">
        <f>[1]Raw_Data!F3604</f>
        <v>8237.7000000000007</v>
      </c>
      <c r="G3606" s="4">
        <f>[1]Raw_Data!G3604</f>
        <v>0.17</v>
      </c>
      <c r="H3606" s="3">
        <f>[1]Raw_Data!H3604</f>
        <v>2</v>
      </c>
      <c r="I3606" s="3" t="str">
        <f>TRIM([1]Raw_Data!I3604)</f>
        <v>Canada</v>
      </c>
      <c r="J3606" s="3" t="str">
        <f>TRIM([1]Raw_Data!J3604)</f>
        <v>Walmart</v>
      </c>
      <c r="K3606" s="3">
        <f t="shared" si="224"/>
        <v>2024</v>
      </c>
      <c r="L3606" s="6">
        <f t="shared" si="225"/>
        <v>45383</v>
      </c>
      <c r="M3606" s="3" t="str">
        <f t="shared" si="226"/>
        <v>16% to 20%</v>
      </c>
      <c r="N3606" s="3" t="str">
        <f t="shared" si="227"/>
        <v>OK</v>
      </c>
    </row>
    <row r="3607" spans="1:14" x14ac:dyDescent="0.3">
      <c r="A3607" s="2">
        <f>DATE(VALUE(RIGHT(TRIM([1]Raw_Data!A3605),4)),VALUE(MID(TRIM([1]Raw_Data!A3605),4,2)),VALUE(LEFT(TRIM([1]Raw_Data!A3605),2)))</f>
        <v>45411</v>
      </c>
      <c r="B3607" s="3" t="str">
        <f>TRIM([1]Raw_Data!B3605)</f>
        <v>Multivitamin</v>
      </c>
      <c r="C3607" s="3" t="str">
        <f>TRIM([1]Raw_Data!C3605)</f>
        <v>Vitamin</v>
      </c>
      <c r="D3607" s="3">
        <f>[1]Raw_Data!D3605</f>
        <v>137</v>
      </c>
      <c r="E3607" s="4">
        <f>[1]Raw_Data!E3605</f>
        <v>24.45</v>
      </c>
      <c r="F3607" s="5">
        <f>[1]Raw_Data!F3605</f>
        <v>3349.65</v>
      </c>
      <c r="G3607" s="4">
        <f>[1]Raw_Data!G3605</f>
        <v>0.24</v>
      </c>
      <c r="H3607" s="3">
        <f>[1]Raw_Data!H3605</f>
        <v>5</v>
      </c>
      <c r="I3607" s="3" t="str">
        <f>TRIM([1]Raw_Data!I3605)</f>
        <v>Canada</v>
      </c>
      <c r="J3607" s="3" t="str">
        <f>TRIM([1]Raw_Data!J3605)</f>
        <v>Amazon</v>
      </c>
      <c r="K3607" s="3">
        <f t="shared" si="224"/>
        <v>2024</v>
      </c>
      <c r="L3607" s="6">
        <f t="shared" si="225"/>
        <v>45383</v>
      </c>
      <c r="M3607" s="3" t="str">
        <f t="shared" si="226"/>
        <v>21% to 25%</v>
      </c>
      <c r="N3607" s="3" t="str">
        <f t="shared" si="227"/>
        <v>OK</v>
      </c>
    </row>
    <row r="3608" spans="1:14" x14ac:dyDescent="0.3">
      <c r="A3608" s="2">
        <f>DATE(VALUE(RIGHT(TRIM([1]Raw_Data!A3606),4)),VALUE(MID(TRIM([1]Raw_Data!A3606),4,2)),VALUE(LEFT(TRIM([1]Raw_Data!A3606),2)))</f>
        <v>45411</v>
      </c>
      <c r="B3608" s="3" t="str">
        <f>TRIM([1]Raw_Data!B3606)</f>
        <v>Pre-Workout</v>
      </c>
      <c r="C3608" s="3" t="str">
        <f>TRIM([1]Raw_Data!C3606)</f>
        <v>Performance</v>
      </c>
      <c r="D3608" s="3">
        <f>[1]Raw_Data!D3606</f>
        <v>161</v>
      </c>
      <c r="E3608" s="4">
        <f>[1]Raw_Data!E3606</f>
        <v>36</v>
      </c>
      <c r="F3608" s="5">
        <f>[1]Raw_Data!F3606</f>
        <v>5796</v>
      </c>
      <c r="G3608" s="4">
        <f>[1]Raw_Data!G3606</f>
        <v>0.24</v>
      </c>
      <c r="H3608" s="3">
        <f>[1]Raw_Data!H3606</f>
        <v>2</v>
      </c>
      <c r="I3608" s="3" t="str">
        <f>TRIM([1]Raw_Data!I3606)</f>
        <v>UK</v>
      </c>
      <c r="J3608" s="3" t="str">
        <f>TRIM([1]Raw_Data!J3606)</f>
        <v>iHerb</v>
      </c>
      <c r="K3608" s="3">
        <f t="shared" si="224"/>
        <v>2024</v>
      </c>
      <c r="L3608" s="6">
        <f t="shared" si="225"/>
        <v>45383</v>
      </c>
      <c r="M3608" s="3" t="str">
        <f t="shared" si="226"/>
        <v>21% to 25%</v>
      </c>
      <c r="N3608" s="3" t="str">
        <f t="shared" si="227"/>
        <v>OK</v>
      </c>
    </row>
    <row r="3609" spans="1:14" x14ac:dyDescent="0.3">
      <c r="A3609" s="2">
        <f>DATE(VALUE(RIGHT(TRIM([1]Raw_Data!A3607),4)),VALUE(MID(TRIM([1]Raw_Data!A3607),4,2)),VALUE(LEFT(TRIM([1]Raw_Data!A3607),2)))</f>
        <v>45411</v>
      </c>
      <c r="B3609" s="3" t="str">
        <f>TRIM([1]Raw_Data!B3607)</f>
        <v>BCAA</v>
      </c>
      <c r="C3609" s="3" t="str">
        <f>TRIM([1]Raw_Data!C3607)</f>
        <v>Amino Acid</v>
      </c>
      <c r="D3609" s="3">
        <f>[1]Raw_Data!D3607</f>
        <v>176</v>
      </c>
      <c r="E3609" s="4">
        <f>[1]Raw_Data!E3607</f>
        <v>26.69</v>
      </c>
      <c r="F3609" s="5">
        <f>[1]Raw_Data!F3607</f>
        <v>4697.4399999999996</v>
      </c>
      <c r="G3609" s="4">
        <f>[1]Raw_Data!G3607</f>
        <v>0.21</v>
      </c>
      <c r="H3609" s="3">
        <f>[1]Raw_Data!H3607</f>
        <v>0</v>
      </c>
      <c r="I3609" s="3" t="str">
        <f>TRIM([1]Raw_Data!I3607)</f>
        <v>Canada</v>
      </c>
      <c r="J3609" s="3" t="str">
        <f>TRIM([1]Raw_Data!J3607)</f>
        <v>Amazon</v>
      </c>
      <c r="K3609" s="3">
        <f t="shared" si="224"/>
        <v>2024</v>
      </c>
      <c r="L3609" s="6">
        <f t="shared" si="225"/>
        <v>45383</v>
      </c>
      <c r="M3609" s="3" t="str">
        <f t="shared" si="226"/>
        <v>21% to 25%</v>
      </c>
      <c r="N3609" s="3" t="str">
        <f t="shared" si="227"/>
        <v>OK</v>
      </c>
    </row>
    <row r="3610" spans="1:14" x14ac:dyDescent="0.3">
      <c r="A3610" s="2">
        <f>DATE(VALUE(RIGHT(TRIM([1]Raw_Data!A3608),4)),VALUE(MID(TRIM([1]Raw_Data!A3608),4,2)),VALUE(LEFT(TRIM([1]Raw_Data!A3608),2)))</f>
        <v>45411</v>
      </c>
      <c r="B3610" s="3" t="str">
        <f>TRIM([1]Raw_Data!B3608)</f>
        <v>Creatine</v>
      </c>
      <c r="C3610" s="3" t="str">
        <f>TRIM([1]Raw_Data!C3608)</f>
        <v>Performance</v>
      </c>
      <c r="D3610" s="3">
        <f>[1]Raw_Data!D3608</f>
        <v>176</v>
      </c>
      <c r="E3610" s="4">
        <f>[1]Raw_Data!E3608</f>
        <v>56.32</v>
      </c>
      <c r="F3610" s="5">
        <f>[1]Raw_Data!F3608</f>
        <v>9912.32</v>
      </c>
      <c r="G3610" s="4">
        <f>[1]Raw_Data!G3608</f>
        <v>0.08</v>
      </c>
      <c r="H3610" s="3">
        <f>[1]Raw_Data!H3608</f>
        <v>2</v>
      </c>
      <c r="I3610" s="3" t="str">
        <f>TRIM([1]Raw_Data!I3608)</f>
        <v>UK</v>
      </c>
      <c r="J3610" s="3" t="str">
        <f>TRIM([1]Raw_Data!J3608)</f>
        <v>Walmart</v>
      </c>
      <c r="K3610" s="3">
        <f t="shared" si="224"/>
        <v>2024</v>
      </c>
      <c r="L3610" s="6">
        <f t="shared" si="225"/>
        <v>45383</v>
      </c>
      <c r="M3610" s="3" t="str">
        <f t="shared" si="226"/>
        <v>6% to 10%</v>
      </c>
      <c r="N3610" s="3" t="str">
        <f t="shared" si="227"/>
        <v>OK</v>
      </c>
    </row>
    <row r="3611" spans="1:14" x14ac:dyDescent="0.3">
      <c r="A3611" s="2">
        <f>DATE(VALUE(RIGHT(TRIM([1]Raw_Data!A3609),4)),VALUE(MID(TRIM([1]Raw_Data!A3609),4,2)),VALUE(LEFT(TRIM([1]Raw_Data!A3609),2)))</f>
        <v>45411</v>
      </c>
      <c r="B3611" s="3" t="str">
        <f>TRIM([1]Raw_Data!B3609)</f>
        <v>Zinc</v>
      </c>
      <c r="C3611" s="3" t="str">
        <f>TRIM([1]Raw_Data!C3609)</f>
        <v>Mineral</v>
      </c>
      <c r="D3611" s="3">
        <f>[1]Raw_Data!D3609</f>
        <v>149</v>
      </c>
      <c r="E3611" s="4">
        <f>[1]Raw_Data!E3609</f>
        <v>35.22</v>
      </c>
      <c r="F3611" s="5">
        <f>[1]Raw_Data!F3609</f>
        <v>5247.78</v>
      </c>
      <c r="G3611" s="4">
        <f>[1]Raw_Data!G3609</f>
        <v>0.24</v>
      </c>
      <c r="H3611" s="3">
        <f>[1]Raw_Data!H3609</f>
        <v>2</v>
      </c>
      <c r="I3611" s="3" t="str">
        <f>TRIM([1]Raw_Data!I3609)</f>
        <v>Canada</v>
      </c>
      <c r="J3611" s="3" t="str">
        <f>TRIM([1]Raw_Data!J3609)</f>
        <v>Walmart</v>
      </c>
      <c r="K3611" s="3">
        <f t="shared" si="224"/>
        <v>2024</v>
      </c>
      <c r="L3611" s="6">
        <f t="shared" si="225"/>
        <v>45383</v>
      </c>
      <c r="M3611" s="3" t="str">
        <f t="shared" si="226"/>
        <v>21% to 25%</v>
      </c>
      <c r="N3611" s="3" t="str">
        <f t="shared" si="227"/>
        <v>OK</v>
      </c>
    </row>
    <row r="3612" spans="1:14" x14ac:dyDescent="0.3">
      <c r="A3612" s="2">
        <f>DATE(VALUE(RIGHT(TRIM([1]Raw_Data!A3610),4)),VALUE(MID(TRIM([1]Raw_Data!A3610),4,2)),VALUE(LEFT(TRIM([1]Raw_Data!A3610),2)))</f>
        <v>45411</v>
      </c>
      <c r="B3612" s="3" t="str">
        <f>TRIM([1]Raw_Data!B3610)</f>
        <v>Collagen Peptides</v>
      </c>
      <c r="C3612" s="3" t="str">
        <f>TRIM([1]Raw_Data!C3610)</f>
        <v>Protein</v>
      </c>
      <c r="D3612" s="3">
        <f>[1]Raw_Data!D3610</f>
        <v>141</v>
      </c>
      <c r="E3612" s="4">
        <f>[1]Raw_Data!E3610</f>
        <v>24.7</v>
      </c>
      <c r="F3612" s="5">
        <f>[1]Raw_Data!F3610</f>
        <v>3482.7</v>
      </c>
      <c r="G3612" s="4">
        <f>[1]Raw_Data!G3610</f>
        <v>0.09</v>
      </c>
      <c r="H3612" s="3">
        <f>[1]Raw_Data!H3610</f>
        <v>0</v>
      </c>
      <c r="I3612" s="3" t="str">
        <f>TRIM([1]Raw_Data!I3610)</f>
        <v>Canada</v>
      </c>
      <c r="J3612" s="3" t="str">
        <f>TRIM([1]Raw_Data!J3610)</f>
        <v>Amazon</v>
      </c>
      <c r="K3612" s="3">
        <f t="shared" si="224"/>
        <v>2024</v>
      </c>
      <c r="L3612" s="6">
        <f t="shared" si="225"/>
        <v>45383</v>
      </c>
      <c r="M3612" s="3" t="str">
        <f t="shared" si="226"/>
        <v>6% to 10%</v>
      </c>
      <c r="N3612" s="3" t="str">
        <f t="shared" si="227"/>
        <v>OK</v>
      </c>
    </row>
    <row r="3613" spans="1:14" x14ac:dyDescent="0.3">
      <c r="A3613" s="2">
        <f>DATE(VALUE(RIGHT(TRIM([1]Raw_Data!A3611),4)),VALUE(MID(TRIM([1]Raw_Data!A3611),4,2)),VALUE(LEFT(TRIM([1]Raw_Data!A3611),2)))</f>
        <v>45411</v>
      </c>
      <c r="B3613" s="3" t="str">
        <f>TRIM([1]Raw_Data!B3611)</f>
        <v>Magnesium</v>
      </c>
      <c r="C3613" s="3" t="str">
        <f>TRIM([1]Raw_Data!C3611)</f>
        <v>Mineral</v>
      </c>
      <c r="D3613" s="3">
        <f>[1]Raw_Data!D3611</f>
        <v>169</v>
      </c>
      <c r="E3613" s="4">
        <f>[1]Raw_Data!E3611</f>
        <v>22.95</v>
      </c>
      <c r="F3613" s="5">
        <f>[1]Raw_Data!F3611</f>
        <v>3878.55</v>
      </c>
      <c r="G3613" s="4">
        <f>[1]Raw_Data!G3611</f>
        <v>0.23</v>
      </c>
      <c r="H3613" s="3">
        <f>[1]Raw_Data!H3611</f>
        <v>3</v>
      </c>
      <c r="I3613" s="3" t="str">
        <f>TRIM([1]Raw_Data!I3611)</f>
        <v>USA</v>
      </c>
      <c r="J3613" s="3" t="str">
        <f>TRIM([1]Raw_Data!J3611)</f>
        <v>Amazon</v>
      </c>
      <c r="K3613" s="3">
        <f t="shared" si="224"/>
        <v>2024</v>
      </c>
      <c r="L3613" s="6">
        <f t="shared" si="225"/>
        <v>45383</v>
      </c>
      <c r="M3613" s="3" t="str">
        <f t="shared" si="226"/>
        <v>21% to 25%</v>
      </c>
      <c r="N3613" s="3" t="str">
        <f t="shared" si="227"/>
        <v>OK</v>
      </c>
    </row>
    <row r="3614" spans="1:14" x14ac:dyDescent="0.3">
      <c r="A3614" s="2">
        <f>DATE(VALUE(RIGHT(TRIM([1]Raw_Data!A3612),4)),VALUE(MID(TRIM([1]Raw_Data!A3612),4,2)),VALUE(LEFT(TRIM([1]Raw_Data!A3612),2)))</f>
        <v>45411</v>
      </c>
      <c r="B3614" s="3" t="str">
        <f>TRIM([1]Raw_Data!B3612)</f>
        <v>Ashwagandha</v>
      </c>
      <c r="C3614" s="3" t="str">
        <f>TRIM([1]Raw_Data!C3612)</f>
        <v>Herbal</v>
      </c>
      <c r="D3614" s="3">
        <f>[1]Raw_Data!D3612</f>
        <v>135</v>
      </c>
      <c r="E3614" s="4">
        <f>[1]Raw_Data!E3612</f>
        <v>55.65</v>
      </c>
      <c r="F3614" s="5">
        <f>[1]Raw_Data!F3612</f>
        <v>7512.75</v>
      </c>
      <c r="G3614" s="4">
        <f>[1]Raw_Data!G3612</f>
        <v>0.02</v>
      </c>
      <c r="H3614" s="3">
        <f>[1]Raw_Data!H3612</f>
        <v>2</v>
      </c>
      <c r="I3614" s="3" t="str">
        <f>TRIM([1]Raw_Data!I3612)</f>
        <v>USA</v>
      </c>
      <c r="J3614" s="3" t="str">
        <f>TRIM([1]Raw_Data!J3612)</f>
        <v>iHerb</v>
      </c>
      <c r="K3614" s="3">
        <f t="shared" si="224"/>
        <v>2024</v>
      </c>
      <c r="L3614" s="6">
        <f t="shared" si="225"/>
        <v>45383</v>
      </c>
      <c r="M3614" s="3" t="str">
        <f t="shared" si="226"/>
        <v>0% to 5%</v>
      </c>
      <c r="N3614" s="3" t="str">
        <f t="shared" si="227"/>
        <v>OK</v>
      </c>
    </row>
    <row r="3615" spans="1:14" x14ac:dyDescent="0.3">
      <c r="A3615" s="2">
        <f>DATE(VALUE(RIGHT(TRIM([1]Raw_Data!A3613),4)),VALUE(MID(TRIM([1]Raw_Data!A3613),4,2)),VALUE(LEFT(TRIM([1]Raw_Data!A3613),2)))</f>
        <v>45411</v>
      </c>
      <c r="B3615" s="3" t="str">
        <f>TRIM([1]Raw_Data!B3613)</f>
        <v>Melatonin</v>
      </c>
      <c r="C3615" s="3" t="str">
        <f>TRIM([1]Raw_Data!C3613)</f>
        <v>Sleep Aid</v>
      </c>
      <c r="D3615" s="3">
        <f>[1]Raw_Data!D3613</f>
        <v>152</v>
      </c>
      <c r="E3615" s="4">
        <f>[1]Raw_Data!E3613</f>
        <v>34.64</v>
      </c>
      <c r="F3615" s="5">
        <f>[1]Raw_Data!F3613</f>
        <v>5265.28</v>
      </c>
      <c r="G3615" s="4">
        <f>[1]Raw_Data!G3613</f>
        <v>0.17</v>
      </c>
      <c r="H3615" s="3">
        <f>[1]Raw_Data!H3613</f>
        <v>0</v>
      </c>
      <c r="I3615" s="3" t="str">
        <f>TRIM([1]Raw_Data!I3613)</f>
        <v>USA</v>
      </c>
      <c r="J3615" s="3" t="str">
        <f>TRIM([1]Raw_Data!J3613)</f>
        <v>iHerb</v>
      </c>
      <c r="K3615" s="3">
        <f t="shared" si="224"/>
        <v>2024</v>
      </c>
      <c r="L3615" s="6">
        <f t="shared" si="225"/>
        <v>45383</v>
      </c>
      <c r="M3615" s="3" t="str">
        <f t="shared" si="226"/>
        <v>16% to 20%</v>
      </c>
      <c r="N3615" s="3" t="str">
        <f t="shared" si="227"/>
        <v>OK</v>
      </c>
    </row>
    <row r="3616" spans="1:14" x14ac:dyDescent="0.3">
      <c r="A3616" s="2">
        <f>DATE(VALUE(RIGHT(TRIM([1]Raw_Data!A3614),4)),VALUE(MID(TRIM([1]Raw_Data!A3614),4,2)),VALUE(LEFT(TRIM([1]Raw_Data!A3614),2)))</f>
        <v>45411</v>
      </c>
      <c r="B3616" s="3" t="str">
        <f>TRIM([1]Raw_Data!B3614)</f>
        <v>Biotin</v>
      </c>
      <c r="C3616" s="3" t="str">
        <f>TRIM([1]Raw_Data!C3614)</f>
        <v>Vitamin</v>
      </c>
      <c r="D3616" s="3">
        <f>[1]Raw_Data!D3614</f>
        <v>160</v>
      </c>
      <c r="E3616" s="4">
        <f>[1]Raw_Data!E3614</f>
        <v>32.76</v>
      </c>
      <c r="F3616" s="5">
        <f>[1]Raw_Data!F3614</f>
        <v>5241.6000000000004</v>
      </c>
      <c r="G3616" s="4">
        <f>[1]Raw_Data!G3614</f>
        <v>0.04</v>
      </c>
      <c r="H3616" s="3">
        <f>[1]Raw_Data!H3614</f>
        <v>3</v>
      </c>
      <c r="I3616" s="3" t="str">
        <f>TRIM([1]Raw_Data!I3614)</f>
        <v>USA</v>
      </c>
      <c r="J3616" s="3" t="str">
        <f>TRIM([1]Raw_Data!J3614)</f>
        <v>Amazon</v>
      </c>
      <c r="K3616" s="3">
        <f t="shared" si="224"/>
        <v>2024</v>
      </c>
      <c r="L3616" s="6">
        <f t="shared" si="225"/>
        <v>45383</v>
      </c>
      <c r="M3616" s="3" t="str">
        <f t="shared" si="226"/>
        <v>0% to 5%</v>
      </c>
      <c r="N3616" s="3" t="str">
        <f t="shared" si="227"/>
        <v>OK</v>
      </c>
    </row>
    <row r="3617" spans="1:14" x14ac:dyDescent="0.3">
      <c r="A3617" s="2">
        <f>DATE(VALUE(RIGHT(TRIM([1]Raw_Data!A3615),4)),VALUE(MID(TRIM([1]Raw_Data!A3615),4,2)),VALUE(LEFT(TRIM([1]Raw_Data!A3615),2)))</f>
        <v>45411</v>
      </c>
      <c r="B3617" s="3" t="str">
        <f>TRIM([1]Raw_Data!B3615)</f>
        <v>Green Tea Extract</v>
      </c>
      <c r="C3617" s="3" t="str">
        <f>TRIM([1]Raw_Data!C3615)</f>
        <v>Fat Burner</v>
      </c>
      <c r="D3617" s="3">
        <f>[1]Raw_Data!D3615</f>
        <v>143</v>
      </c>
      <c r="E3617" s="4">
        <f>[1]Raw_Data!E3615</f>
        <v>31.44</v>
      </c>
      <c r="F3617" s="5">
        <f>[1]Raw_Data!F3615</f>
        <v>4495.92</v>
      </c>
      <c r="G3617" s="4">
        <f>[1]Raw_Data!G3615</f>
        <v>0.19</v>
      </c>
      <c r="H3617" s="3">
        <f>[1]Raw_Data!H3615</f>
        <v>1</v>
      </c>
      <c r="I3617" s="3" t="str">
        <f>TRIM([1]Raw_Data!I3615)</f>
        <v>USA</v>
      </c>
      <c r="J3617" s="3" t="str">
        <f>TRIM([1]Raw_Data!J3615)</f>
        <v>Amazon</v>
      </c>
      <c r="K3617" s="3">
        <f t="shared" si="224"/>
        <v>2024</v>
      </c>
      <c r="L3617" s="6">
        <f t="shared" si="225"/>
        <v>45383</v>
      </c>
      <c r="M3617" s="3" t="str">
        <f t="shared" si="226"/>
        <v>16% to 20%</v>
      </c>
      <c r="N3617" s="3" t="str">
        <f t="shared" si="227"/>
        <v>OK</v>
      </c>
    </row>
    <row r="3618" spans="1:14" x14ac:dyDescent="0.3">
      <c r="A3618" s="2">
        <f>DATE(VALUE(RIGHT(TRIM([1]Raw_Data!A3616),4)),VALUE(MID(TRIM([1]Raw_Data!A3616),4,2)),VALUE(LEFT(TRIM([1]Raw_Data!A3616),2)))</f>
        <v>45411</v>
      </c>
      <c r="B3618" s="3" t="str">
        <f>TRIM([1]Raw_Data!B3616)</f>
        <v>Iron Supplement</v>
      </c>
      <c r="C3618" s="3" t="str">
        <f>TRIM([1]Raw_Data!C3616)</f>
        <v>Mineral</v>
      </c>
      <c r="D3618" s="3">
        <f>[1]Raw_Data!D3616</f>
        <v>161</v>
      </c>
      <c r="E3618" s="4">
        <f>[1]Raw_Data!E3616</f>
        <v>19.579999999999998</v>
      </c>
      <c r="F3618" s="5">
        <f>[1]Raw_Data!F3616</f>
        <v>3152.38</v>
      </c>
      <c r="G3618" s="4">
        <f>[1]Raw_Data!G3616</f>
        <v>0.14000000000000001</v>
      </c>
      <c r="H3618" s="3">
        <f>[1]Raw_Data!H3616</f>
        <v>4</v>
      </c>
      <c r="I3618" s="3" t="str">
        <f>TRIM([1]Raw_Data!I3616)</f>
        <v>UK</v>
      </c>
      <c r="J3618" s="3" t="str">
        <f>TRIM([1]Raw_Data!J3616)</f>
        <v>Walmart</v>
      </c>
      <c r="K3618" s="3">
        <f t="shared" si="224"/>
        <v>2024</v>
      </c>
      <c r="L3618" s="6">
        <f t="shared" si="225"/>
        <v>45383</v>
      </c>
      <c r="M3618" s="3" t="str">
        <f t="shared" si="226"/>
        <v>11% to 15%</v>
      </c>
      <c r="N3618" s="3" t="str">
        <f t="shared" si="227"/>
        <v>OK</v>
      </c>
    </row>
    <row r="3619" spans="1:14" x14ac:dyDescent="0.3">
      <c r="A3619" s="2">
        <f>DATE(VALUE(RIGHT(TRIM([1]Raw_Data!A3617),4)),VALUE(MID(TRIM([1]Raw_Data!A3617),4,2)),VALUE(LEFT(TRIM([1]Raw_Data!A3617),2)))</f>
        <v>45411</v>
      </c>
      <c r="B3619" s="3" t="str">
        <f>TRIM([1]Raw_Data!B3617)</f>
        <v>Electrolyte Powder</v>
      </c>
      <c r="C3619" s="3" t="str">
        <f>TRIM([1]Raw_Data!C3617)</f>
        <v>Hydration</v>
      </c>
      <c r="D3619" s="3">
        <f>[1]Raw_Data!D3617</f>
        <v>128</v>
      </c>
      <c r="E3619" s="4">
        <f>[1]Raw_Data!E3617</f>
        <v>17.829999999999998</v>
      </c>
      <c r="F3619" s="5">
        <f>[1]Raw_Data!F3617</f>
        <v>2282.2399999999998</v>
      </c>
      <c r="G3619" s="4">
        <f>[1]Raw_Data!G3617</f>
        <v>0.16</v>
      </c>
      <c r="H3619" s="3">
        <f>[1]Raw_Data!H3617</f>
        <v>1</v>
      </c>
      <c r="I3619" s="3" t="str">
        <f>TRIM([1]Raw_Data!I3617)</f>
        <v>Canada</v>
      </c>
      <c r="J3619" s="3" t="str">
        <f>TRIM([1]Raw_Data!J3617)</f>
        <v>iHerb</v>
      </c>
      <c r="K3619" s="3">
        <f t="shared" si="224"/>
        <v>2024</v>
      </c>
      <c r="L3619" s="6">
        <f t="shared" si="225"/>
        <v>45383</v>
      </c>
      <c r="M3619" s="3" t="str">
        <f t="shared" si="226"/>
        <v>16% to 20%</v>
      </c>
      <c r="N3619" s="3" t="str">
        <f t="shared" si="227"/>
        <v>OK</v>
      </c>
    </row>
    <row r="3620" spans="1:14" x14ac:dyDescent="0.3">
      <c r="A3620" s="2">
        <f>DATE(VALUE(RIGHT(TRIM([1]Raw_Data!A3618),4)),VALUE(MID(TRIM([1]Raw_Data!A3618),4,2)),VALUE(LEFT(TRIM([1]Raw_Data!A3618),2)))</f>
        <v>45418</v>
      </c>
      <c r="B3620" s="3" t="str">
        <f>TRIM([1]Raw_Data!B3618)</f>
        <v>Whey Protein</v>
      </c>
      <c r="C3620" s="3" t="str">
        <f>TRIM([1]Raw_Data!C3618)</f>
        <v>Protein</v>
      </c>
      <c r="D3620" s="3">
        <f>[1]Raw_Data!D3618</f>
        <v>163</v>
      </c>
      <c r="E3620" s="4">
        <f>[1]Raw_Data!E3618</f>
        <v>19.82</v>
      </c>
      <c r="F3620" s="5">
        <f>[1]Raw_Data!F3618</f>
        <v>3230.66</v>
      </c>
      <c r="G3620" s="4">
        <f>[1]Raw_Data!G3618</f>
        <v>0.08</v>
      </c>
      <c r="H3620" s="3">
        <f>[1]Raw_Data!H3618</f>
        <v>2</v>
      </c>
      <c r="I3620" s="3" t="str">
        <f>TRIM([1]Raw_Data!I3618)</f>
        <v>USA</v>
      </c>
      <c r="J3620" s="3" t="str">
        <f>TRIM([1]Raw_Data!J3618)</f>
        <v>Walmart</v>
      </c>
      <c r="K3620" s="3">
        <f t="shared" si="224"/>
        <v>2024</v>
      </c>
      <c r="L3620" s="6">
        <f t="shared" si="225"/>
        <v>45413</v>
      </c>
      <c r="M3620" s="3" t="str">
        <f t="shared" si="226"/>
        <v>6% to 10%</v>
      </c>
      <c r="N3620" s="3" t="str">
        <f t="shared" si="227"/>
        <v>OK</v>
      </c>
    </row>
    <row r="3621" spans="1:14" x14ac:dyDescent="0.3">
      <c r="A3621" s="2">
        <f>DATE(VALUE(RIGHT(TRIM([1]Raw_Data!A3619),4)),VALUE(MID(TRIM([1]Raw_Data!A3619),4,2)),VALUE(LEFT(TRIM([1]Raw_Data!A3619),2)))</f>
        <v>45418</v>
      </c>
      <c r="B3621" s="3" t="str">
        <f>TRIM([1]Raw_Data!B3619)</f>
        <v>Vitamin C</v>
      </c>
      <c r="C3621" s="3" t="str">
        <f>TRIM([1]Raw_Data!C3619)</f>
        <v>Vitamin</v>
      </c>
      <c r="D3621" s="3">
        <f>[1]Raw_Data!D3619</f>
        <v>157</v>
      </c>
      <c r="E3621" s="4">
        <f>[1]Raw_Data!E3619</f>
        <v>57.19</v>
      </c>
      <c r="F3621" s="5">
        <f>[1]Raw_Data!F3619</f>
        <v>8978.83</v>
      </c>
      <c r="G3621" s="4">
        <f>[1]Raw_Data!G3619</f>
        <v>0.09</v>
      </c>
      <c r="H3621" s="3">
        <f>[1]Raw_Data!H3619</f>
        <v>2</v>
      </c>
      <c r="I3621" s="3" t="str">
        <f>TRIM([1]Raw_Data!I3619)</f>
        <v>USA</v>
      </c>
      <c r="J3621" s="3" t="str">
        <f>TRIM([1]Raw_Data!J3619)</f>
        <v>Amazon</v>
      </c>
      <c r="K3621" s="3">
        <f t="shared" si="224"/>
        <v>2024</v>
      </c>
      <c r="L3621" s="6">
        <f t="shared" si="225"/>
        <v>45413</v>
      </c>
      <c r="M3621" s="3" t="str">
        <f t="shared" si="226"/>
        <v>6% to 10%</v>
      </c>
      <c r="N3621" s="3" t="str">
        <f t="shared" si="227"/>
        <v>OK</v>
      </c>
    </row>
    <row r="3622" spans="1:14" x14ac:dyDescent="0.3">
      <c r="A3622" s="2">
        <f>DATE(VALUE(RIGHT(TRIM([1]Raw_Data!A3620),4)),VALUE(MID(TRIM([1]Raw_Data!A3620),4,2)),VALUE(LEFT(TRIM([1]Raw_Data!A3620),2)))</f>
        <v>45418</v>
      </c>
      <c r="B3622" s="3" t="str">
        <f>TRIM([1]Raw_Data!B3620)</f>
        <v>Fish Oil</v>
      </c>
      <c r="C3622" s="3" t="str">
        <f>TRIM([1]Raw_Data!C3620)</f>
        <v>Omega</v>
      </c>
      <c r="D3622" s="3">
        <f>[1]Raw_Data!D3620</f>
        <v>151</v>
      </c>
      <c r="E3622" s="4">
        <f>[1]Raw_Data!E3620</f>
        <v>52.31</v>
      </c>
      <c r="F3622" s="5">
        <f>[1]Raw_Data!F3620</f>
        <v>7898.81</v>
      </c>
      <c r="G3622" s="4">
        <f>[1]Raw_Data!G3620</f>
        <v>0.2</v>
      </c>
      <c r="H3622" s="3">
        <f>[1]Raw_Data!H3620</f>
        <v>1</v>
      </c>
      <c r="I3622" s="3" t="str">
        <f>TRIM([1]Raw_Data!I3620)</f>
        <v>Canada</v>
      </c>
      <c r="J3622" s="3" t="str">
        <f>TRIM([1]Raw_Data!J3620)</f>
        <v>iHerb</v>
      </c>
      <c r="K3622" s="3">
        <f t="shared" si="224"/>
        <v>2024</v>
      </c>
      <c r="L3622" s="6">
        <f t="shared" si="225"/>
        <v>45413</v>
      </c>
      <c r="M3622" s="3" t="str">
        <f t="shared" si="226"/>
        <v>16% to 20%</v>
      </c>
      <c r="N3622" s="3" t="str">
        <f t="shared" si="227"/>
        <v>OK</v>
      </c>
    </row>
    <row r="3623" spans="1:14" x14ac:dyDescent="0.3">
      <c r="A3623" s="2">
        <f>DATE(VALUE(RIGHT(TRIM([1]Raw_Data!A3621),4)),VALUE(MID(TRIM([1]Raw_Data!A3621),4,2)),VALUE(LEFT(TRIM([1]Raw_Data!A3621),2)))</f>
        <v>45418</v>
      </c>
      <c r="B3623" s="3" t="str">
        <f>TRIM([1]Raw_Data!B3621)</f>
        <v>Multivitamin</v>
      </c>
      <c r="C3623" s="3" t="str">
        <f>TRIM([1]Raw_Data!C3621)</f>
        <v>Vitamin</v>
      </c>
      <c r="D3623" s="3">
        <f>[1]Raw_Data!D3621</f>
        <v>153</v>
      </c>
      <c r="E3623" s="4">
        <f>[1]Raw_Data!E3621</f>
        <v>44.49</v>
      </c>
      <c r="F3623" s="5">
        <f>[1]Raw_Data!F3621</f>
        <v>6806.97</v>
      </c>
      <c r="G3623" s="4">
        <f>[1]Raw_Data!G3621</f>
        <v>0.08</v>
      </c>
      <c r="H3623" s="3">
        <f>[1]Raw_Data!H3621</f>
        <v>3</v>
      </c>
      <c r="I3623" s="3" t="str">
        <f>TRIM([1]Raw_Data!I3621)</f>
        <v>Canada</v>
      </c>
      <c r="J3623" s="3" t="str">
        <f>TRIM([1]Raw_Data!J3621)</f>
        <v>Walmart</v>
      </c>
      <c r="K3623" s="3">
        <f t="shared" si="224"/>
        <v>2024</v>
      </c>
      <c r="L3623" s="6">
        <f t="shared" si="225"/>
        <v>45413</v>
      </c>
      <c r="M3623" s="3" t="str">
        <f t="shared" si="226"/>
        <v>6% to 10%</v>
      </c>
      <c r="N3623" s="3" t="str">
        <f t="shared" si="227"/>
        <v>OK</v>
      </c>
    </row>
    <row r="3624" spans="1:14" x14ac:dyDescent="0.3">
      <c r="A3624" s="2">
        <f>DATE(VALUE(RIGHT(TRIM([1]Raw_Data!A3622),4)),VALUE(MID(TRIM([1]Raw_Data!A3622),4,2)),VALUE(LEFT(TRIM([1]Raw_Data!A3622),2)))</f>
        <v>45418</v>
      </c>
      <c r="B3624" s="3" t="str">
        <f>TRIM([1]Raw_Data!B3622)</f>
        <v>Pre-Workout</v>
      </c>
      <c r="C3624" s="3" t="str">
        <f>TRIM([1]Raw_Data!C3622)</f>
        <v>Performance</v>
      </c>
      <c r="D3624" s="3">
        <f>[1]Raw_Data!D3622</f>
        <v>139</v>
      </c>
      <c r="E3624" s="4">
        <f>[1]Raw_Data!E3622</f>
        <v>23.43</v>
      </c>
      <c r="F3624" s="5">
        <f>[1]Raw_Data!F3622</f>
        <v>3256.77</v>
      </c>
      <c r="G3624" s="4">
        <f>[1]Raw_Data!G3622</f>
        <v>0.05</v>
      </c>
      <c r="H3624" s="3">
        <f>[1]Raw_Data!H3622</f>
        <v>1</v>
      </c>
      <c r="I3624" s="3" t="str">
        <f>TRIM([1]Raw_Data!I3622)</f>
        <v>Canada</v>
      </c>
      <c r="J3624" s="3" t="str">
        <f>TRIM([1]Raw_Data!J3622)</f>
        <v>Amazon</v>
      </c>
      <c r="K3624" s="3">
        <f t="shared" si="224"/>
        <v>2024</v>
      </c>
      <c r="L3624" s="6">
        <f t="shared" si="225"/>
        <v>45413</v>
      </c>
      <c r="M3624" s="3" t="str">
        <f t="shared" si="226"/>
        <v>0% to 5%</v>
      </c>
      <c r="N3624" s="3" t="str">
        <f t="shared" si="227"/>
        <v>OK</v>
      </c>
    </row>
    <row r="3625" spans="1:14" x14ac:dyDescent="0.3">
      <c r="A3625" s="2">
        <f>DATE(VALUE(RIGHT(TRIM([1]Raw_Data!A3623),4)),VALUE(MID(TRIM([1]Raw_Data!A3623),4,2)),VALUE(LEFT(TRIM([1]Raw_Data!A3623),2)))</f>
        <v>45418</v>
      </c>
      <c r="B3625" s="3" t="str">
        <f>TRIM([1]Raw_Data!B3623)</f>
        <v>BCAA</v>
      </c>
      <c r="C3625" s="3" t="str">
        <f>TRIM([1]Raw_Data!C3623)</f>
        <v>Amino Acid</v>
      </c>
      <c r="D3625" s="3">
        <f>[1]Raw_Data!D3623</f>
        <v>138</v>
      </c>
      <c r="E3625" s="4">
        <f>[1]Raw_Data!E3623</f>
        <v>22.07</v>
      </c>
      <c r="F3625" s="5">
        <f>[1]Raw_Data!F3623</f>
        <v>3045.66</v>
      </c>
      <c r="G3625" s="4">
        <f>[1]Raw_Data!G3623</f>
        <v>0.18</v>
      </c>
      <c r="H3625" s="3">
        <f>[1]Raw_Data!H3623</f>
        <v>1</v>
      </c>
      <c r="I3625" s="3" t="str">
        <f>TRIM([1]Raw_Data!I3623)</f>
        <v>Canada</v>
      </c>
      <c r="J3625" s="3" t="str">
        <f>TRIM([1]Raw_Data!J3623)</f>
        <v>iHerb</v>
      </c>
      <c r="K3625" s="3">
        <f t="shared" si="224"/>
        <v>2024</v>
      </c>
      <c r="L3625" s="6">
        <f t="shared" si="225"/>
        <v>45413</v>
      </c>
      <c r="M3625" s="3" t="str">
        <f t="shared" si="226"/>
        <v>16% to 20%</v>
      </c>
      <c r="N3625" s="3" t="str">
        <f t="shared" si="227"/>
        <v>OK</v>
      </c>
    </row>
    <row r="3626" spans="1:14" x14ac:dyDescent="0.3">
      <c r="A3626" s="2">
        <f>DATE(VALUE(RIGHT(TRIM([1]Raw_Data!A3624),4)),VALUE(MID(TRIM([1]Raw_Data!A3624),4,2)),VALUE(LEFT(TRIM([1]Raw_Data!A3624),2)))</f>
        <v>45418</v>
      </c>
      <c r="B3626" s="3" t="str">
        <f>TRIM([1]Raw_Data!B3624)</f>
        <v>Creatine</v>
      </c>
      <c r="C3626" s="3" t="str">
        <f>TRIM([1]Raw_Data!C3624)</f>
        <v>Performance</v>
      </c>
      <c r="D3626" s="3">
        <f>[1]Raw_Data!D3624</f>
        <v>166</v>
      </c>
      <c r="E3626" s="4">
        <f>[1]Raw_Data!E3624</f>
        <v>29.32</v>
      </c>
      <c r="F3626" s="5">
        <f>[1]Raw_Data!F3624</f>
        <v>4867.12</v>
      </c>
      <c r="G3626" s="4">
        <f>[1]Raw_Data!G3624</f>
        <v>0.19</v>
      </c>
      <c r="H3626" s="3">
        <f>[1]Raw_Data!H3624</f>
        <v>4</v>
      </c>
      <c r="I3626" s="3" t="str">
        <f>TRIM([1]Raw_Data!I3624)</f>
        <v>UK</v>
      </c>
      <c r="J3626" s="3" t="str">
        <f>TRIM([1]Raw_Data!J3624)</f>
        <v>iHerb</v>
      </c>
      <c r="K3626" s="3">
        <f t="shared" si="224"/>
        <v>2024</v>
      </c>
      <c r="L3626" s="6">
        <f t="shared" si="225"/>
        <v>45413</v>
      </c>
      <c r="M3626" s="3" t="str">
        <f t="shared" si="226"/>
        <v>16% to 20%</v>
      </c>
      <c r="N3626" s="3" t="str">
        <f t="shared" si="227"/>
        <v>OK</v>
      </c>
    </row>
    <row r="3627" spans="1:14" x14ac:dyDescent="0.3">
      <c r="A3627" s="2">
        <f>DATE(VALUE(RIGHT(TRIM([1]Raw_Data!A3625),4)),VALUE(MID(TRIM([1]Raw_Data!A3625),4,2)),VALUE(LEFT(TRIM([1]Raw_Data!A3625),2)))</f>
        <v>45418</v>
      </c>
      <c r="B3627" s="3" t="str">
        <f>TRIM([1]Raw_Data!B3625)</f>
        <v>Zinc</v>
      </c>
      <c r="C3627" s="3" t="str">
        <f>TRIM([1]Raw_Data!C3625)</f>
        <v>Mineral</v>
      </c>
      <c r="D3627" s="3">
        <f>[1]Raw_Data!D3625</f>
        <v>139</v>
      </c>
      <c r="E3627" s="4">
        <f>[1]Raw_Data!E3625</f>
        <v>33.32</v>
      </c>
      <c r="F3627" s="5">
        <f>[1]Raw_Data!F3625</f>
        <v>4631.4799999999996</v>
      </c>
      <c r="G3627" s="4">
        <f>[1]Raw_Data!G3625</f>
        <v>0.14000000000000001</v>
      </c>
      <c r="H3627" s="3">
        <f>[1]Raw_Data!H3625</f>
        <v>1</v>
      </c>
      <c r="I3627" s="3" t="str">
        <f>TRIM([1]Raw_Data!I3625)</f>
        <v>UK</v>
      </c>
      <c r="J3627" s="3" t="str">
        <f>TRIM([1]Raw_Data!J3625)</f>
        <v>iHerb</v>
      </c>
      <c r="K3627" s="3">
        <f t="shared" si="224"/>
        <v>2024</v>
      </c>
      <c r="L3627" s="6">
        <f t="shared" si="225"/>
        <v>45413</v>
      </c>
      <c r="M3627" s="3" t="str">
        <f t="shared" si="226"/>
        <v>11% to 15%</v>
      </c>
      <c r="N3627" s="3" t="str">
        <f t="shared" si="227"/>
        <v>OK</v>
      </c>
    </row>
    <row r="3628" spans="1:14" x14ac:dyDescent="0.3">
      <c r="A3628" s="2">
        <f>DATE(VALUE(RIGHT(TRIM([1]Raw_Data!A3626),4)),VALUE(MID(TRIM([1]Raw_Data!A3626),4,2)),VALUE(LEFT(TRIM([1]Raw_Data!A3626),2)))</f>
        <v>45418</v>
      </c>
      <c r="B3628" s="3" t="str">
        <f>TRIM([1]Raw_Data!B3626)</f>
        <v>Collagen Peptides</v>
      </c>
      <c r="C3628" s="3" t="str">
        <f>TRIM([1]Raw_Data!C3626)</f>
        <v>Protein</v>
      </c>
      <c r="D3628" s="3">
        <f>[1]Raw_Data!D3626</f>
        <v>164</v>
      </c>
      <c r="E3628" s="4">
        <f>[1]Raw_Data!E3626</f>
        <v>31.91</v>
      </c>
      <c r="F3628" s="5">
        <f>[1]Raw_Data!F3626</f>
        <v>5233.24</v>
      </c>
      <c r="G3628" s="4">
        <f>[1]Raw_Data!G3626</f>
        <v>0.12</v>
      </c>
      <c r="H3628" s="3">
        <f>[1]Raw_Data!H3626</f>
        <v>1</v>
      </c>
      <c r="I3628" s="3" t="str">
        <f>TRIM([1]Raw_Data!I3626)</f>
        <v>USA</v>
      </c>
      <c r="J3628" s="3" t="str">
        <f>TRIM([1]Raw_Data!J3626)</f>
        <v>Amazon</v>
      </c>
      <c r="K3628" s="3">
        <f t="shared" si="224"/>
        <v>2024</v>
      </c>
      <c r="L3628" s="6">
        <f t="shared" si="225"/>
        <v>45413</v>
      </c>
      <c r="M3628" s="3" t="str">
        <f t="shared" si="226"/>
        <v>11% to 15%</v>
      </c>
      <c r="N3628" s="3" t="str">
        <f t="shared" si="227"/>
        <v>OK</v>
      </c>
    </row>
    <row r="3629" spans="1:14" x14ac:dyDescent="0.3">
      <c r="A3629" s="2">
        <f>DATE(VALUE(RIGHT(TRIM([1]Raw_Data!A3627),4)),VALUE(MID(TRIM([1]Raw_Data!A3627),4,2)),VALUE(LEFT(TRIM([1]Raw_Data!A3627),2)))</f>
        <v>45418</v>
      </c>
      <c r="B3629" s="3" t="str">
        <f>TRIM([1]Raw_Data!B3627)</f>
        <v>Magnesium</v>
      </c>
      <c r="C3629" s="3" t="str">
        <f>TRIM([1]Raw_Data!C3627)</f>
        <v>Mineral</v>
      </c>
      <c r="D3629" s="3">
        <f>[1]Raw_Data!D3627</f>
        <v>146</v>
      </c>
      <c r="E3629" s="4">
        <f>[1]Raw_Data!E3627</f>
        <v>39.01</v>
      </c>
      <c r="F3629" s="5">
        <f>[1]Raw_Data!F3627</f>
        <v>5695.46</v>
      </c>
      <c r="G3629" s="4">
        <f>[1]Raw_Data!G3627</f>
        <v>0.16</v>
      </c>
      <c r="H3629" s="3">
        <f>[1]Raw_Data!H3627</f>
        <v>1</v>
      </c>
      <c r="I3629" s="3" t="str">
        <f>TRIM([1]Raw_Data!I3627)</f>
        <v>UK</v>
      </c>
      <c r="J3629" s="3" t="str">
        <f>TRIM([1]Raw_Data!J3627)</f>
        <v>Walmart</v>
      </c>
      <c r="K3629" s="3">
        <f t="shared" si="224"/>
        <v>2024</v>
      </c>
      <c r="L3629" s="6">
        <f t="shared" si="225"/>
        <v>45413</v>
      </c>
      <c r="M3629" s="3" t="str">
        <f t="shared" si="226"/>
        <v>16% to 20%</v>
      </c>
      <c r="N3629" s="3" t="str">
        <f t="shared" si="227"/>
        <v>OK</v>
      </c>
    </row>
    <row r="3630" spans="1:14" x14ac:dyDescent="0.3">
      <c r="A3630" s="2">
        <f>DATE(VALUE(RIGHT(TRIM([1]Raw_Data!A3628),4)),VALUE(MID(TRIM([1]Raw_Data!A3628),4,2)),VALUE(LEFT(TRIM([1]Raw_Data!A3628),2)))</f>
        <v>45418</v>
      </c>
      <c r="B3630" s="3" t="str">
        <f>TRIM([1]Raw_Data!B3628)</f>
        <v>Ashwagandha</v>
      </c>
      <c r="C3630" s="3" t="str">
        <f>TRIM([1]Raw_Data!C3628)</f>
        <v>Herbal</v>
      </c>
      <c r="D3630" s="3">
        <f>[1]Raw_Data!D3628</f>
        <v>143</v>
      </c>
      <c r="E3630" s="4">
        <f>[1]Raw_Data!E3628</f>
        <v>16.64</v>
      </c>
      <c r="F3630" s="5">
        <f>[1]Raw_Data!F3628</f>
        <v>2379.52</v>
      </c>
      <c r="G3630" s="4">
        <f>[1]Raw_Data!G3628</f>
        <v>0.06</v>
      </c>
      <c r="H3630" s="3">
        <f>[1]Raw_Data!H3628</f>
        <v>0</v>
      </c>
      <c r="I3630" s="3" t="str">
        <f>TRIM([1]Raw_Data!I3628)</f>
        <v>UK</v>
      </c>
      <c r="J3630" s="3" t="str">
        <f>TRIM([1]Raw_Data!J3628)</f>
        <v>Walmart</v>
      </c>
      <c r="K3630" s="3">
        <f t="shared" si="224"/>
        <v>2024</v>
      </c>
      <c r="L3630" s="6">
        <f t="shared" si="225"/>
        <v>45413</v>
      </c>
      <c r="M3630" s="3" t="str">
        <f t="shared" si="226"/>
        <v>6% to 10%</v>
      </c>
      <c r="N3630" s="3" t="str">
        <f t="shared" si="227"/>
        <v>OK</v>
      </c>
    </row>
    <row r="3631" spans="1:14" x14ac:dyDescent="0.3">
      <c r="A3631" s="2">
        <f>DATE(VALUE(RIGHT(TRIM([1]Raw_Data!A3629),4)),VALUE(MID(TRIM([1]Raw_Data!A3629),4,2)),VALUE(LEFT(TRIM([1]Raw_Data!A3629),2)))</f>
        <v>45418</v>
      </c>
      <c r="B3631" s="3" t="str">
        <f>TRIM([1]Raw_Data!B3629)</f>
        <v>Melatonin</v>
      </c>
      <c r="C3631" s="3" t="str">
        <f>TRIM([1]Raw_Data!C3629)</f>
        <v>Sleep Aid</v>
      </c>
      <c r="D3631" s="3">
        <f>[1]Raw_Data!D3629</f>
        <v>128</v>
      </c>
      <c r="E3631" s="4">
        <f>[1]Raw_Data!E3629</f>
        <v>10.98</v>
      </c>
      <c r="F3631" s="5">
        <f>[1]Raw_Data!F3629</f>
        <v>1405.44</v>
      </c>
      <c r="G3631" s="4">
        <f>[1]Raw_Data!G3629</f>
        <v>0.06</v>
      </c>
      <c r="H3631" s="3">
        <f>[1]Raw_Data!H3629</f>
        <v>2</v>
      </c>
      <c r="I3631" s="3" t="str">
        <f>TRIM([1]Raw_Data!I3629)</f>
        <v>USA</v>
      </c>
      <c r="J3631" s="3" t="str">
        <f>TRIM([1]Raw_Data!J3629)</f>
        <v>Walmart</v>
      </c>
      <c r="K3631" s="3">
        <f t="shared" si="224"/>
        <v>2024</v>
      </c>
      <c r="L3631" s="6">
        <f t="shared" si="225"/>
        <v>45413</v>
      </c>
      <c r="M3631" s="3" t="str">
        <f t="shared" si="226"/>
        <v>6% to 10%</v>
      </c>
      <c r="N3631" s="3" t="str">
        <f t="shared" si="227"/>
        <v>OK</v>
      </c>
    </row>
    <row r="3632" spans="1:14" x14ac:dyDescent="0.3">
      <c r="A3632" s="2">
        <f>DATE(VALUE(RIGHT(TRIM([1]Raw_Data!A3630),4)),VALUE(MID(TRIM([1]Raw_Data!A3630),4,2)),VALUE(LEFT(TRIM([1]Raw_Data!A3630),2)))</f>
        <v>45418</v>
      </c>
      <c r="B3632" s="3" t="str">
        <f>TRIM([1]Raw_Data!B3630)</f>
        <v>Biotin</v>
      </c>
      <c r="C3632" s="3" t="str">
        <f>TRIM([1]Raw_Data!C3630)</f>
        <v>Vitamin</v>
      </c>
      <c r="D3632" s="3">
        <f>[1]Raw_Data!D3630</f>
        <v>125</v>
      </c>
      <c r="E3632" s="4">
        <f>[1]Raw_Data!E3630</f>
        <v>55.66</v>
      </c>
      <c r="F3632" s="5">
        <f>[1]Raw_Data!F3630</f>
        <v>6957.5</v>
      </c>
      <c r="G3632" s="4">
        <f>[1]Raw_Data!G3630</f>
        <v>0.2</v>
      </c>
      <c r="H3632" s="3">
        <f>[1]Raw_Data!H3630</f>
        <v>1</v>
      </c>
      <c r="I3632" s="3" t="str">
        <f>TRIM([1]Raw_Data!I3630)</f>
        <v>USA</v>
      </c>
      <c r="J3632" s="3" t="str">
        <f>TRIM([1]Raw_Data!J3630)</f>
        <v>Amazon</v>
      </c>
      <c r="K3632" s="3">
        <f t="shared" si="224"/>
        <v>2024</v>
      </c>
      <c r="L3632" s="6">
        <f t="shared" si="225"/>
        <v>45413</v>
      </c>
      <c r="M3632" s="3" t="str">
        <f t="shared" si="226"/>
        <v>16% to 20%</v>
      </c>
      <c r="N3632" s="3" t="str">
        <f t="shared" si="227"/>
        <v>OK</v>
      </c>
    </row>
    <row r="3633" spans="1:14" x14ac:dyDescent="0.3">
      <c r="A3633" s="2">
        <f>DATE(VALUE(RIGHT(TRIM([1]Raw_Data!A3631),4)),VALUE(MID(TRIM([1]Raw_Data!A3631),4,2)),VALUE(LEFT(TRIM([1]Raw_Data!A3631),2)))</f>
        <v>45418</v>
      </c>
      <c r="B3633" s="3" t="str">
        <f>TRIM([1]Raw_Data!B3631)</f>
        <v>Green Tea Extract</v>
      </c>
      <c r="C3633" s="3" t="str">
        <f>TRIM([1]Raw_Data!C3631)</f>
        <v>Fat Burner</v>
      </c>
      <c r="D3633" s="3">
        <f>[1]Raw_Data!D3631</f>
        <v>172</v>
      </c>
      <c r="E3633" s="4">
        <f>[1]Raw_Data!E3631</f>
        <v>13.63</v>
      </c>
      <c r="F3633" s="5">
        <f>[1]Raw_Data!F3631</f>
        <v>2344.36</v>
      </c>
      <c r="G3633" s="4">
        <f>[1]Raw_Data!G3631</f>
        <v>0.25</v>
      </c>
      <c r="H3633" s="3">
        <f>[1]Raw_Data!H3631</f>
        <v>3</v>
      </c>
      <c r="I3633" s="3" t="str">
        <f>TRIM([1]Raw_Data!I3631)</f>
        <v>Canada</v>
      </c>
      <c r="J3633" s="3" t="str">
        <f>TRIM([1]Raw_Data!J3631)</f>
        <v>Amazon</v>
      </c>
      <c r="K3633" s="3">
        <f t="shared" si="224"/>
        <v>2024</v>
      </c>
      <c r="L3633" s="6">
        <f t="shared" si="225"/>
        <v>45413</v>
      </c>
      <c r="M3633" s="3" t="str">
        <f t="shared" si="226"/>
        <v>21% to 25%</v>
      </c>
      <c r="N3633" s="3" t="str">
        <f t="shared" si="227"/>
        <v>OK</v>
      </c>
    </row>
    <row r="3634" spans="1:14" x14ac:dyDescent="0.3">
      <c r="A3634" s="2">
        <f>DATE(VALUE(RIGHT(TRIM([1]Raw_Data!A3632),4)),VALUE(MID(TRIM([1]Raw_Data!A3632),4,2)),VALUE(LEFT(TRIM([1]Raw_Data!A3632),2)))</f>
        <v>45418</v>
      </c>
      <c r="B3634" s="3" t="str">
        <f>TRIM([1]Raw_Data!B3632)</f>
        <v>Iron Supplement</v>
      </c>
      <c r="C3634" s="3" t="str">
        <f>TRIM([1]Raw_Data!C3632)</f>
        <v>Mineral</v>
      </c>
      <c r="D3634" s="3">
        <f>[1]Raw_Data!D3632</f>
        <v>149</v>
      </c>
      <c r="E3634" s="4">
        <f>[1]Raw_Data!E3632</f>
        <v>43.56</v>
      </c>
      <c r="F3634" s="5">
        <f>[1]Raw_Data!F3632</f>
        <v>6490.44</v>
      </c>
      <c r="G3634" s="4">
        <f>[1]Raw_Data!G3632</f>
        <v>0.05</v>
      </c>
      <c r="H3634" s="3">
        <f>[1]Raw_Data!H3632</f>
        <v>0</v>
      </c>
      <c r="I3634" s="3" t="str">
        <f>TRIM([1]Raw_Data!I3632)</f>
        <v>Canada</v>
      </c>
      <c r="J3634" s="3" t="str">
        <f>TRIM([1]Raw_Data!J3632)</f>
        <v>iHerb</v>
      </c>
      <c r="K3634" s="3">
        <f t="shared" si="224"/>
        <v>2024</v>
      </c>
      <c r="L3634" s="6">
        <f t="shared" si="225"/>
        <v>45413</v>
      </c>
      <c r="M3634" s="3" t="str">
        <f t="shared" si="226"/>
        <v>0% to 5%</v>
      </c>
      <c r="N3634" s="3" t="str">
        <f t="shared" si="227"/>
        <v>OK</v>
      </c>
    </row>
    <row r="3635" spans="1:14" x14ac:dyDescent="0.3">
      <c r="A3635" s="2">
        <f>DATE(VALUE(RIGHT(TRIM([1]Raw_Data!A3633),4)),VALUE(MID(TRIM([1]Raw_Data!A3633),4,2)),VALUE(LEFT(TRIM([1]Raw_Data!A3633),2)))</f>
        <v>45418</v>
      </c>
      <c r="B3635" s="3" t="str">
        <f>TRIM([1]Raw_Data!B3633)</f>
        <v>Electrolyte Powder</v>
      </c>
      <c r="C3635" s="3" t="str">
        <f>TRIM([1]Raw_Data!C3633)</f>
        <v>Hydration</v>
      </c>
      <c r="D3635" s="3">
        <f>[1]Raw_Data!D3633</f>
        <v>149</v>
      </c>
      <c r="E3635" s="4">
        <f>[1]Raw_Data!E3633</f>
        <v>10.5</v>
      </c>
      <c r="F3635" s="5">
        <f>[1]Raw_Data!F3633</f>
        <v>1564.5</v>
      </c>
      <c r="G3635" s="4">
        <f>[1]Raw_Data!G3633</f>
        <v>0.2</v>
      </c>
      <c r="H3635" s="3">
        <f>[1]Raw_Data!H3633</f>
        <v>0</v>
      </c>
      <c r="I3635" s="3" t="str">
        <f>TRIM([1]Raw_Data!I3633)</f>
        <v>USA</v>
      </c>
      <c r="J3635" s="3" t="str">
        <f>TRIM([1]Raw_Data!J3633)</f>
        <v>Walmart</v>
      </c>
      <c r="K3635" s="3">
        <f t="shared" si="224"/>
        <v>2024</v>
      </c>
      <c r="L3635" s="6">
        <f t="shared" si="225"/>
        <v>45413</v>
      </c>
      <c r="M3635" s="3" t="str">
        <f t="shared" si="226"/>
        <v>16% to 20%</v>
      </c>
      <c r="N3635" s="3" t="str">
        <f t="shared" si="227"/>
        <v>OK</v>
      </c>
    </row>
    <row r="3636" spans="1:14" x14ac:dyDescent="0.3">
      <c r="A3636" s="2">
        <f>DATE(VALUE(RIGHT(TRIM([1]Raw_Data!A3634),4)),VALUE(MID(TRIM([1]Raw_Data!A3634),4,2)),VALUE(LEFT(TRIM([1]Raw_Data!A3634),2)))</f>
        <v>45425</v>
      </c>
      <c r="B3636" s="3" t="str">
        <f>TRIM([1]Raw_Data!B3634)</f>
        <v>Whey Protein</v>
      </c>
      <c r="C3636" s="3" t="str">
        <f>TRIM([1]Raw_Data!C3634)</f>
        <v>Protein</v>
      </c>
      <c r="D3636" s="3">
        <f>[1]Raw_Data!D3634</f>
        <v>149</v>
      </c>
      <c r="E3636" s="4">
        <f>[1]Raw_Data!E3634</f>
        <v>44.34</v>
      </c>
      <c r="F3636" s="5">
        <f>[1]Raw_Data!F3634</f>
        <v>6606.66</v>
      </c>
      <c r="G3636" s="4">
        <f>[1]Raw_Data!G3634</f>
        <v>0.01</v>
      </c>
      <c r="H3636" s="3">
        <f>[1]Raw_Data!H3634</f>
        <v>1</v>
      </c>
      <c r="I3636" s="3" t="str">
        <f>TRIM([1]Raw_Data!I3634)</f>
        <v>Canada</v>
      </c>
      <c r="J3636" s="3" t="str">
        <f>TRIM([1]Raw_Data!J3634)</f>
        <v>iHerb</v>
      </c>
      <c r="K3636" s="3">
        <f t="shared" si="224"/>
        <v>2024</v>
      </c>
      <c r="L3636" s="6">
        <f t="shared" si="225"/>
        <v>45413</v>
      </c>
      <c r="M3636" s="3" t="str">
        <f t="shared" si="226"/>
        <v>0% to 5%</v>
      </c>
      <c r="N3636" s="3" t="str">
        <f t="shared" si="227"/>
        <v>OK</v>
      </c>
    </row>
    <row r="3637" spans="1:14" x14ac:dyDescent="0.3">
      <c r="A3637" s="2">
        <f>DATE(VALUE(RIGHT(TRIM([1]Raw_Data!A3635),4)),VALUE(MID(TRIM([1]Raw_Data!A3635),4,2)),VALUE(LEFT(TRIM([1]Raw_Data!A3635),2)))</f>
        <v>45425</v>
      </c>
      <c r="B3637" s="3" t="str">
        <f>TRIM([1]Raw_Data!B3635)</f>
        <v>Vitamin C</v>
      </c>
      <c r="C3637" s="3" t="str">
        <f>TRIM([1]Raw_Data!C3635)</f>
        <v>Vitamin</v>
      </c>
      <c r="D3637" s="3">
        <f>[1]Raw_Data!D3635</f>
        <v>153</v>
      </c>
      <c r="E3637" s="4">
        <f>[1]Raw_Data!E3635</f>
        <v>16.75</v>
      </c>
      <c r="F3637" s="5">
        <f>[1]Raw_Data!F3635</f>
        <v>2562.75</v>
      </c>
      <c r="G3637" s="4">
        <f>[1]Raw_Data!G3635</f>
        <v>0.17</v>
      </c>
      <c r="H3637" s="3">
        <f>[1]Raw_Data!H3635</f>
        <v>1</v>
      </c>
      <c r="I3637" s="3" t="str">
        <f>TRIM([1]Raw_Data!I3635)</f>
        <v>USA</v>
      </c>
      <c r="J3637" s="3" t="str">
        <f>TRIM([1]Raw_Data!J3635)</f>
        <v>Walmart</v>
      </c>
      <c r="K3637" s="3">
        <f t="shared" si="224"/>
        <v>2024</v>
      </c>
      <c r="L3637" s="6">
        <f t="shared" si="225"/>
        <v>45413</v>
      </c>
      <c r="M3637" s="3" t="str">
        <f t="shared" si="226"/>
        <v>16% to 20%</v>
      </c>
      <c r="N3637" s="3" t="str">
        <f t="shared" si="227"/>
        <v>OK</v>
      </c>
    </row>
    <row r="3638" spans="1:14" x14ac:dyDescent="0.3">
      <c r="A3638" s="2">
        <f>DATE(VALUE(RIGHT(TRIM([1]Raw_Data!A3636),4)),VALUE(MID(TRIM([1]Raw_Data!A3636),4,2)),VALUE(LEFT(TRIM([1]Raw_Data!A3636),2)))</f>
        <v>45425</v>
      </c>
      <c r="B3638" s="3" t="str">
        <f>TRIM([1]Raw_Data!B3636)</f>
        <v>Fish Oil</v>
      </c>
      <c r="C3638" s="3" t="str">
        <f>TRIM([1]Raw_Data!C3636)</f>
        <v>Omega</v>
      </c>
      <c r="D3638" s="3">
        <f>[1]Raw_Data!D3636</f>
        <v>136</v>
      </c>
      <c r="E3638" s="4">
        <f>[1]Raw_Data!E3636</f>
        <v>55.63</v>
      </c>
      <c r="F3638" s="5">
        <f>[1]Raw_Data!F3636</f>
        <v>7565.68</v>
      </c>
      <c r="G3638" s="4">
        <f>[1]Raw_Data!G3636</f>
        <v>0</v>
      </c>
      <c r="H3638" s="3">
        <f>[1]Raw_Data!H3636</f>
        <v>2</v>
      </c>
      <c r="I3638" s="3" t="str">
        <f>TRIM([1]Raw_Data!I3636)</f>
        <v>USA</v>
      </c>
      <c r="J3638" s="3" t="str">
        <f>TRIM([1]Raw_Data!J3636)</f>
        <v>iHerb</v>
      </c>
      <c r="K3638" s="3">
        <f t="shared" si="224"/>
        <v>2024</v>
      </c>
      <c r="L3638" s="6">
        <f t="shared" si="225"/>
        <v>45413</v>
      </c>
      <c r="M3638" s="3" t="str">
        <f t="shared" si="226"/>
        <v>0% to 5%</v>
      </c>
      <c r="N3638" s="3" t="str">
        <f t="shared" si="227"/>
        <v>OK</v>
      </c>
    </row>
    <row r="3639" spans="1:14" x14ac:dyDescent="0.3">
      <c r="A3639" s="2">
        <f>DATE(VALUE(RIGHT(TRIM([1]Raw_Data!A3637),4)),VALUE(MID(TRIM([1]Raw_Data!A3637),4,2)),VALUE(LEFT(TRIM([1]Raw_Data!A3637),2)))</f>
        <v>45425</v>
      </c>
      <c r="B3639" s="3" t="str">
        <f>TRIM([1]Raw_Data!B3637)</f>
        <v>Multivitamin</v>
      </c>
      <c r="C3639" s="3" t="str">
        <f>TRIM([1]Raw_Data!C3637)</f>
        <v>Vitamin</v>
      </c>
      <c r="D3639" s="3">
        <f>[1]Raw_Data!D3637</f>
        <v>128</v>
      </c>
      <c r="E3639" s="4">
        <f>[1]Raw_Data!E3637</f>
        <v>17.53</v>
      </c>
      <c r="F3639" s="5">
        <f>[1]Raw_Data!F3637</f>
        <v>2243.84</v>
      </c>
      <c r="G3639" s="4">
        <f>[1]Raw_Data!G3637</f>
        <v>0.11</v>
      </c>
      <c r="H3639" s="3">
        <f>[1]Raw_Data!H3637</f>
        <v>2</v>
      </c>
      <c r="I3639" s="3" t="str">
        <f>TRIM([1]Raw_Data!I3637)</f>
        <v>UK</v>
      </c>
      <c r="J3639" s="3" t="str">
        <f>TRIM([1]Raw_Data!J3637)</f>
        <v>Amazon</v>
      </c>
      <c r="K3639" s="3">
        <f t="shared" si="224"/>
        <v>2024</v>
      </c>
      <c r="L3639" s="6">
        <f t="shared" si="225"/>
        <v>45413</v>
      </c>
      <c r="M3639" s="3" t="str">
        <f t="shared" si="226"/>
        <v>11% to 15%</v>
      </c>
      <c r="N3639" s="3" t="str">
        <f t="shared" si="227"/>
        <v>OK</v>
      </c>
    </row>
    <row r="3640" spans="1:14" x14ac:dyDescent="0.3">
      <c r="A3640" s="2">
        <f>DATE(VALUE(RIGHT(TRIM([1]Raw_Data!A3638),4)),VALUE(MID(TRIM([1]Raw_Data!A3638),4,2)),VALUE(LEFT(TRIM([1]Raw_Data!A3638),2)))</f>
        <v>45425</v>
      </c>
      <c r="B3640" s="3" t="str">
        <f>TRIM([1]Raw_Data!B3638)</f>
        <v>Pre-Workout</v>
      </c>
      <c r="C3640" s="3" t="str">
        <f>TRIM([1]Raw_Data!C3638)</f>
        <v>Performance</v>
      </c>
      <c r="D3640" s="3">
        <f>[1]Raw_Data!D3638</f>
        <v>142</v>
      </c>
      <c r="E3640" s="4">
        <f>[1]Raw_Data!E3638</f>
        <v>30.56</v>
      </c>
      <c r="F3640" s="5">
        <f>[1]Raw_Data!F3638</f>
        <v>4339.5200000000004</v>
      </c>
      <c r="G3640" s="4">
        <f>[1]Raw_Data!G3638</f>
        <v>0.06</v>
      </c>
      <c r="H3640" s="3">
        <f>[1]Raw_Data!H3638</f>
        <v>1</v>
      </c>
      <c r="I3640" s="3" t="str">
        <f>TRIM([1]Raw_Data!I3638)</f>
        <v>UK</v>
      </c>
      <c r="J3640" s="3" t="str">
        <f>TRIM([1]Raw_Data!J3638)</f>
        <v>iHerb</v>
      </c>
      <c r="K3640" s="3">
        <f t="shared" si="224"/>
        <v>2024</v>
      </c>
      <c r="L3640" s="6">
        <f t="shared" si="225"/>
        <v>45413</v>
      </c>
      <c r="M3640" s="3" t="str">
        <f t="shared" si="226"/>
        <v>6% to 10%</v>
      </c>
      <c r="N3640" s="3" t="str">
        <f t="shared" si="227"/>
        <v>OK</v>
      </c>
    </row>
    <row r="3641" spans="1:14" x14ac:dyDescent="0.3">
      <c r="A3641" s="2">
        <f>DATE(VALUE(RIGHT(TRIM([1]Raw_Data!A3639),4)),VALUE(MID(TRIM([1]Raw_Data!A3639),4,2)),VALUE(LEFT(TRIM([1]Raw_Data!A3639),2)))</f>
        <v>45425</v>
      </c>
      <c r="B3641" s="3" t="str">
        <f>TRIM([1]Raw_Data!B3639)</f>
        <v>BCAA</v>
      </c>
      <c r="C3641" s="3" t="str">
        <f>TRIM([1]Raw_Data!C3639)</f>
        <v>Amino Acid</v>
      </c>
      <c r="D3641" s="3">
        <f>[1]Raw_Data!D3639</f>
        <v>162</v>
      </c>
      <c r="E3641" s="4">
        <f>[1]Raw_Data!E3639</f>
        <v>52.33</v>
      </c>
      <c r="F3641" s="5">
        <f>[1]Raw_Data!F3639</f>
        <v>8477.4599999999991</v>
      </c>
      <c r="G3641" s="4">
        <f>[1]Raw_Data!G3639</f>
        <v>0.08</v>
      </c>
      <c r="H3641" s="3">
        <f>[1]Raw_Data!H3639</f>
        <v>3</v>
      </c>
      <c r="I3641" s="3" t="str">
        <f>TRIM([1]Raw_Data!I3639)</f>
        <v>USA</v>
      </c>
      <c r="J3641" s="3" t="str">
        <f>TRIM([1]Raw_Data!J3639)</f>
        <v>Walmart</v>
      </c>
      <c r="K3641" s="3">
        <f t="shared" si="224"/>
        <v>2024</v>
      </c>
      <c r="L3641" s="6">
        <f t="shared" si="225"/>
        <v>45413</v>
      </c>
      <c r="M3641" s="3" t="str">
        <f t="shared" si="226"/>
        <v>6% to 10%</v>
      </c>
      <c r="N3641" s="3" t="str">
        <f t="shared" si="227"/>
        <v>OK</v>
      </c>
    </row>
    <row r="3642" spans="1:14" x14ac:dyDescent="0.3">
      <c r="A3642" s="2">
        <f>DATE(VALUE(RIGHT(TRIM([1]Raw_Data!A3640),4)),VALUE(MID(TRIM([1]Raw_Data!A3640),4,2)),VALUE(LEFT(TRIM([1]Raw_Data!A3640),2)))</f>
        <v>45425</v>
      </c>
      <c r="B3642" s="3" t="str">
        <f>TRIM([1]Raw_Data!B3640)</f>
        <v>Creatine</v>
      </c>
      <c r="C3642" s="3" t="str">
        <f>TRIM([1]Raw_Data!C3640)</f>
        <v>Performance</v>
      </c>
      <c r="D3642" s="3">
        <f>[1]Raw_Data!D3640</f>
        <v>139</v>
      </c>
      <c r="E3642" s="4">
        <f>[1]Raw_Data!E3640</f>
        <v>57.42</v>
      </c>
      <c r="F3642" s="5">
        <f>[1]Raw_Data!F3640</f>
        <v>7981.38</v>
      </c>
      <c r="G3642" s="4">
        <f>[1]Raw_Data!G3640</f>
        <v>0</v>
      </c>
      <c r="H3642" s="3">
        <f>[1]Raw_Data!H3640</f>
        <v>1</v>
      </c>
      <c r="I3642" s="3" t="str">
        <f>TRIM([1]Raw_Data!I3640)</f>
        <v>Canada</v>
      </c>
      <c r="J3642" s="3" t="str">
        <f>TRIM([1]Raw_Data!J3640)</f>
        <v>iHerb</v>
      </c>
      <c r="K3642" s="3">
        <f t="shared" si="224"/>
        <v>2024</v>
      </c>
      <c r="L3642" s="6">
        <f t="shared" si="225"/>
        <v>45413</v>
      </c>
      <c r="M3642" s="3" t="str">
        <f t="shared" si="226"/>
        <v>0% to 5%</v>
      </c>
      <c r="N3642" s="3" t="str">
        <f t="shared" si="227"/>
        <v>OK</v>
      </c>
    </row>
    <row r="3643" spans="1:14" x14ac:dyDescent="0.3">
      <c r="A3643" s="2">
        <f>DATE(VALUE(RIGHT(TRIM([1]Raw_Data!A3641),4)),VALUE(MID(TRIM([1]Raw_Data!A3641),4,2)),VALUE(LEFT(TRIM([1]Raw_Data!A3641),2)))</f>
        <v>45425</v>
      </c>
      <c r="B3643" s="3" t="str">
        <f>TRIM([1]Raw_Data!B3641)</f>
        <v>Zinc</v>
      </c>
      <c r="C3643" s="3" t="str">
        <f>TRIM([1]Raw_Data!C3641)</f>
        <v>Mineral</v>
      </c>
      <c r="D3643" s="3">
        <f>[1]Raw_Data!D3641</f>
        <v>155</v>
      </c>
      <c r="E3643" s="4">
        <f>[1]Raw_Data!E3641</f>
        <v>18.8</v>
      </c>
      <c r="F3643" s="5">
        <f>[1]Raw_Data!F3641</f>
        <v>2914</v>
      </c>
      <c r="G3643" s="4">
        <f>[1]Raw_Data!G3641</f>
        <v>0.24</v>
      </c>
      <c r="H3643" s="3">
        <f>[1]Raw_Data!H3641</f>
        <v>2</v>
      </c>
      <c r="I3643" s="3" t="str">
        <f>TRIM([1]Raw_Data!I3641)</f>
        <v>Canada</v>
      </c>
      <c r="J3643" s="3" t="str">
        <f>TRIM([1]Raw_Data!J3641)</f>
        <v>Amazon</v>
      </c>
      <c r="K3643" s="3">
        <f t="shared" si="224"/>
        <v>2024</v>
      </c>
      <c r="L3643" s="6">
        <f t="shared" si="225"/>
        <v>45413</v>
      </c>
      <c r="M3643" s="3" t="str">
        <f t="shared" si="226"/>
        <v>21% to 25%</v>
      </c>
      <c r="N3643" s="3" t="str">
        <f t="shared" si="227"/>
        <v>OK</v>
      </c>
    </row>
    <row r="3644" spans="1:14" x14ac:dyDescent="0.3">
      <c r="A3644" s="2">
        <f>DATE(VALUE(RIGHT(TRIM([1]Raw_Data!A3642),4)),VALUE(MID(TRIM([1]Raw_Data!A3642),4,2)),VALUE(LEFT(TRIM([1]Raw_Data!A3642),2)))</f>
        <v>45425</v>
      </c>
      <c r="B3644" s="3" t="str">
        <f>TRIM([1]Raw_Data!B3642)</f>
        <v>Collagen Peptides</v>
      </c>
      <c r="C3644" s="3" t="str">
        <f>TRIM([1]Raw_Data!C3642)</f>
        <v>Protein</v>
      </c>
      <c r="D3644" s="3">
        <f>[1]Raw_Data!D3642</f>
        <v>136</v>
      </c>
      <c r="E3644" s="4">
        <f>[1]Raw_Data!E3642</f>
        <v>49.16</v>
      </c>
      <c r="F3644" s="5">
        <f>[1]Raw_Data!F3642</f>
        <v>6685.76</v>
      </c>
      <c r="G3644" s="4">
        <f>[1]Raw_Data!G3642</f>
        <v>0.02</v>
      </c>
      <c r="H3644" s="3">
        <f>[1]Raw_Data!H3642</f>
        <v>0</v>
      </c>
      <c r="I3644" s="3" t="str">
        <f>TRIM([1]Raw_Data!I3642)</f>
        <v>UK</v>
      </c>
      <c r="J3644" s="3" t="str">
        <f>TRIM([1]Raw_Data!J3642)</f>
        <v>Amazon</v>
      </c>
      <c r="K3644" s="3">
        <f t="shared" si="224"/>
        <v>2024</v>
      </c>
      <c r="L3644" s="6">
        <f t="shared" si="225"/>
        <v>45413</v>
      </c>
      <c r="M3644" s="3" t="str">
        <f t="shared" si="226"/>
        <v>0% to 5%</v>
      </c>
      <c r="N3644" s="3" t="str">
        <f t="shared" si="227"/>
        <v>OK</v>
      </c>
    </row>
    <row r="3645" spans="1:14" x14ac:dyDescent="0.3">
      <c r="A3645" s="2">
        <f>DATE(VALUE(RIGHT(TRIM([1]Raw_Data!A3643),4)),VALUE(MID(TRIM([1]Raw_Data!A3643),4,2)),VALUE(LEFT(TRIM([1]Raw_Data!A3643),2)))</f>
        <v>45425</v>
      </c>
      <c r="B3645" s="3" t="str">
        <f>TRIM([1]Raw_Data!B3643)</f>
        <v>Magnesium</v>
      </c>
      <c r="C3645" s="3" t="str">
        <f>TRIM([1]Raw_Data!C3643)</f>
        <v>Mineral</v>
      </c>
      <c r="D3645" s="3">
        <f>[1]Raw_Data!D3643</f>
        <v>153</v>
      </c>
      <c r="E3645" s="4">
        <f>[1]Raw_Data!E3643</f>
        <v>44.34</v>
      </c>
      <c r="F3645" s="5">
        <f>[1]Raw_Data!F3643</f>
        <v>6784.02</v>
      </c>
      <c r="G3645" s="4">
        <f>[1]Raw_Data!G3643</f>
        <v>0.1</v>
      </c>
      <c r="H3645" s="3">
        <f>[1]Raw_Data!H3643</f>
        <v>2</v>
      </c>
      <c r="I3645" s="3" t="str">
        <f>TRIM([1]Raw_Data!I3643)</f>
        <v>USA</v>
      </c>
      <c r="J3645" s="3" t="str">
        <f>TRIM([1]Raw_Data!J3643)</f>
        <v>iHerb</v>
      </c>
      <c r="K3645" s="3">
        <f t="shared" si="224"/>
        <v>2024</v>
      </c>
      <c r="L3645" s="6">
        <f t="shared" si="225"/>
        <v>45413</v>
      </c>
      <c r="M3645" s="3" t="str">
        <f t="shared" si="226"/>
        <v>6% to 10%</v>
      </c>
      <c r="N3645" s="3" t="str">
        <f t="shared" si="227"/>
        <v>OK</v>
      </c>
    </row>
    <row r="3646" spans="1:14" x14ac:dyDescent="0.3">
      <c r="A3646" s="2">
        <f>DATE(VALUE(RIGHT(TRIM([1]Raw_Data!A3644),4)),VALUE(MID(TRIM([1]Raw_Data!A3644),4,2)),VALUE(LEFT(TRIM([1]Raw_Data!A3644),2)))</f>
        <v>45425</v>
      </c>
      <c r="B3646" s="3" t="str">
        <f>TRIM([1]Raw_Data!B3644)</f>
        <v>Ashwagandha</v>
      </c>
      <c r="C3646" s="3" t="str">
        <f>TRIM([1]Raw_Data!C3644)</f>
        <v>Herbal</v>
      </c>
      <c r="D3646" s="3">
        <f>[1]Raw_Data!D3644</f>
        <v>157</v>
      </c>
      <c r="E3646" s="4">
        <f>[1]Raw_Data!E3644</f>
        <v>44.31</v>
      </c>
      <c r="F3646" s="5">
        <f>[1]Raw_Data!F3644</f>
        <v>6956.67</v>
      </c>
      <c r="G3646" s="4">
        <f>[1]Raw_Data!G3644</f>
        <v>0.17</v>
      </c>
      <c r="H3646" s="3">
        <f>[1]Raw_Data!H3644</f>
        <v>1</v>
      </c>
      <c r="I3646" s="3" t="str">
        <f>TRIM([1]Raw_Data!I3644)</f>
        <v>USA</v>
      </c>
      <c r="J3646" s="3" t="str">
        <f>TRIM([1]Raw_Data!J3644)</f>
        <v>Amazon</v>
      </c>
      <c r="K3646" s="3">
        <f t="shared" si="224"/>
        <v>2024</v>
      </c>
      <c r="L3646" s="6">
        <f t="shared" si="225"/>
        <v>45413</v>
      </c>
      <c r="M3646" s="3" t="str">
        <f t="shared" si="226"/>
        <v>16% to 20%</v>
      </c>
      <c r="N3646" s="3" t="str">
        <f t="shared" si="227"/>
        <v>OK</v>
      </c>
    </row>
    <row r="3647" spans="1:14" x14ac:dyDescent="0.3">
      <c r="A3647" s="2">
        <f>DATE(VALUE(RIGHT(TRIM([1]Raw_Data!A3645),4)),VALUE(MID(TRIM([1]Raw_Data!A3645),4,2)),VALUE(LEFT(TRIM([1]Raw_Data!A3645),2)))</f>
        <v>45425</v>
      </c>
      <c r="B3647" s="3" t="str">
        <f>TRIM([1]Raw_Data!B3645)</f>
        <v>Melatonin</v>
      </c>
      <c r="C3647" s="3" t="str">
        <f>TRIM([1]Raw_Data!C3645)</f>
        <v>Sleep Aid</v>
      </c>
      <c r="D3647" s="3">
        <f>[1]Raw_Data!D3645</f>
        <v>151</v>
      </c>
      <c r="E3647" s="4">
        <f>[1]Raw_Data!E3645</f>
        <v>45.01</v>
      </c>
      <c r="F3647" s="5">
        <f>[1]Raw_Data!F3645</f>
        <v>6796.51</v>
      </c>
      <c r="G3647" s="4">
        <f>[1]Raw_Data!G3645</f>
        <v>0.25</v>
      </c>
      <c r="H3647" s="3">
        <f>[1]Raw_Data!H3645</f>
        <v>0</v>
      </c>
      <c r="I3647" s="3" t="str">
        <f>TRIM([1]Raw_Data!I3645)</f>
        <v>Canada</v>
      </c>
      <c r="J3647" s="3" t="str">
        <f>TRIM([1]Raw_Data!J3645)</f>
        <v>iHerb</v>
      </c>
      <c r="K3647" s="3">
        <f t="shared" si="224"/>
        <v>2024</v>
      </c>
      <c r="L3647" s="6">
        <f t="shared" si="225"/>
        <v>45413</v>
      </c>
      <c r="M3647" s="3" t="str">
        <f t="shared" si="226"/>
        <v>21% to 25%</v>
      </c>
      <c r="N3647" s="3" t="str">
        <f t="shared" si="227"/>
        <v>OK</v>
      </c>
    </row>
    <row r="3648" spans="1:14" x14ac:dyDescent="0.3">
      <c r="A3648" s="2">
        <f>DATE(VALUE(RIGHT(TRIM([1]Raw_Data!A3646),4)),VALUE(MID(TRIM([1]Raw_Data!A3646),4,2)),VALUE(LEFT(TRIM([1]Raw_Data!A3646),2)))</f>
        <v>45425</v>
      </c>
      <c r="B3648" s="3" t="str">
        <f>TRIM([1]Raw_Data!B3646)</f>
        <v>Biotin</v>
      </c>
      <c r="C3648" s="3" t="str">
        <f>TRIM([1]Raw_Data!C3646)</f>
        <v>Vitamin</v>
      </c>
      <c r="D3648" s="3">
        <f>[1]Raw_Data!D3646</f>
        <v>126</v>
      </c>
      <c r="E3648" s="4">
        <f>[1]Raw_Data!E3646</f>
        <v>47.15</v>
      </c>
      <c r="F3648" s="5">
        <f>[1]Raw_Data!F3646</f>
        <v>5940.9</v>
      </c>
      <c r="G3648" s="4">
        <f>[1]Raw_Data!G3646</f>
        <v>0.03</v>
      </c>
      <c r="H3648" s="3">
        <f>[1]Raw_Data!H3646</f>
        <v>1</v>
      </c>
      <c r="I3648" s="3" t="str">
        <f>TRIM([1]Raw_Data!I3646)</f>
        <v>UK</v>
      </c>
      <c r="J3648" s="3" t="str">
        <f>TRIM([1]Raw_Data!J3646)</f>
        <v>iHerb</v>
      </c>
      <c r="K3648" s="3">
        <f t="shared" si="224"/>
        <v>2024</v>
      </c>
      <c r="L3648" s="6">
        <f t="shared" si="225"/>
        <v>45413</v>
      </c>
      <c r="M3648" s="3" t="str">
        <f t="shared" si="226"/>
        <v>0% to 5%</v>
      </c>
      <c r="N3648" s="3" t="str">
        <f t="shared" si="227"/>
        <v>OK</v>
      </c>
    </row>
    <row r="3649" spans="1:14" x14ac:dyDescent="0.3">
      <c r="A3649" s="2">
        <f>DATE(VALUE(RIGHT(TRIM([1]Raw_Data!A3647),4)),VALUE(MID(TRIM([1]Raw_Data!A3647),4,2)),VALUE(LEFT(TRIM([1]Raw_Data!A3647),2)))</f>
        <v>45425</v>
      </c>
      <c r="B3649" s="3" t="str">
        <f>TRIM([1]Raw_Data!B3647)</f>
        <v>Green Tea Extract</v>
      </c>
      <c r="C3649" s="3" t="str">
        <f>TRIM([1]Raw_Data!C3647)</f>
        <v>Fat Burner</v>
      </c>
      <c r="D3649" s="3">
        <f>[1]Raw_Data!D3647</f>
        <v>144</v>
      </c>
      <c r="E3649" s="4">
        <f>[1]Raw_Data!E3647</f>
        <v>20.78</v>
      </c>
      <c r="F3649" s="5">
        <f>[1]Raw_Data!F3647</f>
        <v>2992.32</v>
      </c>
      <c r="G3649" s="4">
        <f>[1]Raw_Data!G3647</f>
        <v>0.22</v>
      </c>
      <c r="H3649" s="3">
        <f>[1]Raw_Data!H3647</f>
        <v>2</v>
      </c>
      <c r="I3649" s="3" t="str">
        <f>TRIM([1]Raw_Data!I3647)</f>
        <v>UK</v>
      </c>
      <c r="J3649" s="3" t="str">
        <f>TRIM([1]Raw_Data!J3647)</f>
        <v>Walmart</v>
      </c>
      <c r="K3649" s="3">
        <f t="shared" si="224"/>
        <v>2024</v>
      </c>
      <c r="L3649" s="6">
        <f t="shared" si="225"/>
        <v>45413</v>
      </c>
      <c r="M3649" s="3" t="str">
        <f t="shared" si="226"/>
        <v>21% to 25%</v>
      </c>
      <c r="N3649" s="3" t="str">
        <f t="shared" si="227"/>
        <v>OK</v>
      </c>
    </row>
    <row r="3650" spans="1:14" x14ac:dyDescent="0.3">
      <c r="A3650" s="2">
        <f>DATE(VALUE(RIGHT(TRIM([1]Raw_Data!A3648),4)),VALUE(MID(TRIM([1]Raw_Data!A3648),4,2)),VALUE(LEFT(TRIM([1]Raw_Data!A3648),2)))</f>
        <v>45425</v>
      </c>
      <c r="B3650" s="3" t="str">
        <f>TRIM([1]Raw_Data!B3648)</f>
        <v>Iron Supplement</v>
      </c>
      <c r="C3650" s="3" t="str">
        <f>TRIM([1]Raw_Data!C3648)</f>
        <v>Mineral</v>
      </c>
      <c r="D3650" s="3">
        <f>[1]Raw_Data!D3648</f>
        <v>176</v>
      </c>
      <c r="E3650" s="4">
        <f>[1]Raw_Data!E3648</f>
        <v>16.2</v>
      </c>
      <c r="F3650" s="5">
        <f>[1]Raw_Data!F3648</f>
        <v>2851.2</v>
      </c>
      <c r="G3650" s="4">
        <f>[1]Raw_Data!G3648</f>
        <v>0.04</v>
      </c>
      <c r="H3650" s="3">
        <f>[1]Raw_Data!H3648</f>
        <v>5</v>
      </c>
      <c r="I3650" s="3" t="str">
        <f>TRIM([1]Raw_Data!I3648)</f>
        <v>Canada</v>
      </c>
      <c r="J3650" s="3" t="str">
        <f>TRIM([1]Raw_Data!J3648)</f>
        <v>Walmart</v>
      </c>
      <c r="K3650" s="3">
        <f t="shared" si="224"/>
        <v>2024</v>
      </c>
      <c r="L3650" s="6">
        <f t="shared" si="225"/>
        <v>45413</v>
      </c>
      <c r="M3650" s="3" t="str">
        <f t="shared" si="226"/>
        <v>0% to 5%</v>
      </c>
      <c r="N3650" s="3" t="str">
        <f t="shared" si="227"/>
        <v>OK</v>
      </c>
    </row>
    <row r="3651" spans="1:14" x14ac:dyDescent="0.3">
      <c r="A3651" s="2">
        <f>DATE(VALUE(RIGHT(TRIM([1]Raw_Data!A3649),4)),VALUE(MID(TRIM([1]Raw_Data!A3649),4,2)),VALUE(LEFT(TRIM([1]Raw_Data!A3649),2)))</f>
        <v>45425</v>
      </c>
      <c r="B3651" s="3" t="str">
        <f>TRIM([1]Raw_Data!B3649)</f>
        <v>Electrolyte Powder</v>
      </c>
      <c r="C3651" s="3" t="str">
        <f>TRIM([1]Raw_Data!C3649)</f>
        <v>Hydration</v>
      </c>
      <c r="D3651" s="3">
        <f>[1]Raw_Data!D3649</f>
        <v>158</v>
      </c>
      <c r="E3651" s="4">
        <f>[1]Raw_Data!E3649</f>
        <v>45.19</v>
      </c>
      <c r="F3651" s="5">
        <f>[1]Raw_Data!F3649</f>
        <v>7140.02</v>
      </c>
      <c r="G3651" s="4">
        <f>[1]Raw_Data!G3649</f>
        <v>0.1</v>
      </c>
      <c r="H3651" s="3">
        <f>[1]Raw_Data!H3649</f>
        <v>1</v>
      </c>
      <c r="I3651" s="3" t="str">
        <f>TRIM([1]Raw_Data!I3649)</f>
        <v>UK</v>
      </c>
      <c r="J3651" s="3" t="str">
        <f>TRIM([1]Raw_Data!J3649)</f>
        <v>Amazon</v>
      </c>
      <c r="K3651" s="3">
        <f t="shared" si="224"/>
        <v>2024</v>
      </c>
      <c r="L3651" s="6">
        <f t="shared" si="225"/>
        <v>45413</v>
      </c>
      <c r="M3651" s="3" t="str">
        <f t="shared" si="226"/>
        <v>6% to 10%</v>
      </c>
      <c r="N3651" s="3" t="str">
        <f t="shared" si="227"/>
        <v>OK</v>
      </c>
    </row>
    <row r="3652" spans="1:14" x14ac:dyDescent="0.3">
      <c r="A3652" s="2">
        <f>DATE(VALUE(RIGHT(TRIM([1]Raw_Data!A3650),4)),VALUE(MID(TRIM([1]Raw_Data!A3650),4,2)),VALUE(LEFT(TRIM([1]Raw_Data!A3650),2)))</f>
        <v>45432</v>
      </c>
      <c r="B3652" s="3" t="str">
        <f>TRIM([1]Raw_Data!B3650)</f>
        <v>Whey Protein</v>
      </c>
      <c r="C3652" s="3" t="str">
        <f>TRIM([1]Raw_Data!C3650)</f>
        <v>Protein</v>
      </c>
      <c r="D3652" s="3">
        <f>[1]Raw_Data!D3650</f>
        <v>136</v>
      </c>
      <c r="E3652" s="4">
        <f>[1]Raw_Data!E3650</f>
        <v>13.19</v>
      </c>
      <c r="F3652" s="5">
        <f>[1]Raw_Data!F3650</f>
        <v>1793.84</v>
      </c>
      <c r="G3652" s="4">
        <f>[1]Raw_Data!G3650</f>
        <v>7.0000000000000007E-2</v>
      </c>
      <c r="H3652" s="3">
        <f>[1]Raw_Data!H3650</f>
        <v>1</v>
      </c>
      <c r="I3652" s="3" t="str">
        <f>TRIM([1]Raw_Data!I3650)</f>
        <v>UK</v>
      </c>
      <c r="J3652" s="3" t="str">
        <f>TRIM([1]Raw_Data!J3650)</f>
        <v>iHerb</v>
      </c>
      <c r="K3652" s="3">
        <f t="shared" ref="K3652:K3715" si="228">YEAR(A3652)</f>
        <v>2024</v>
      </c>
      <c r="L3652" s="6">
        <f t="shared" ref="L3652:L3715" si="229">DATE(YEAR(A3652),MONTH(A3652),1)</f>
        <v>45413</v>
      </c>
      <c r="M3652" s="3" t="str">
        <f t="shared" ref="M3652:M3715" si="230">IF(ROUND(G3652*100,0)&lt;=5,"0% to 5%",IF(ROUND(G3652*100,0)&lt;=10,"6% to 10%",IF(ROUND(G3652*100,0)&lt;=15,"11% to 15%",IF(ROUND(G3652*100,0)&lt;=20,"16% to 20%","21% to 25%"))))</f>
        <v>6% to 10%</v>
      </c>
      <c r="N3652" s="3" t="str">
        <f t="shared" ref="N3652:N3715" si="231">IF(ROUND(D3652*E3652,2)=ROUND(F3652,2),"OK","Check")</f>
        <v>OK</v>
      </c>
    </row>
    <row r="3653" spans="1:14" x14ac:dyDescent="0.3">
      <c r="A3653" s="2">
        <f>DATE(VALUE(RIGHT(TRIM([1]Raw_Data!A3651),4)),VALUE(MID(TRIM([1]Raw_Data!A3651),4,2)),VALUE(LEFT(TRIM([1]Raw_Data!A3651),2)))</f>
        <v>45432</v>
      </c>
      <c r="B3653" s="3" t="str">
        <f>TRIM([1]Raw_Data!B3651)</f>
        <v>Vitamin C</v>
      </c>
      <c r="C3653" s="3" t="str">
        <f>TRIM([1]Raw_Data!C3651)</f>
        <v>Vitamin</v>
      </c>
      <c r="D3653" s="3">
        <f>[1]Raw_Data!D3651</f>
        <v>136</v>
      </c>
      <c r="E3653" s="4">
        <f>[1]Raw_Data!E3651</f>
        <v>10.59</v>
      </c>
      <c r="F3653" s="5">
        <f>[1]Raw_Data!F3651</f>
        <v>1440.24</v>
      </c>
      <c r="G3653" s="4">
        <f>[1]Raw_Data!G3651</f>
        <v>0.08</v>
      </c>
      <c r="H3653" s="3">
        <f>[1]Raw_Data!H3651</f>
        <v>3</v>
      </c>
      <c r="I3653" s="3" t="str">
        <f>TRIM([1]Raw_Data!I3651)</f>
        <v>UK</v>
      </c>
      <c r="J3653" s="3" t="str">
        <f>TRIM([1]Raw_Data!J3651)</f>
        <v>iHerb</v>
      </c>
      <c r="K3653" s="3">
        <f t="shared" si="228"/>
        <v>2024</v>
      </c>
      <c r="L3653" s="6">
        <f t="shared" si="229"/>
        <v>45413</v>
      </c>
      <c r="M3653" s="3" t="str">
        <f t="shared" si="230"/>
        <v>6% to 10%</v>
      </c>
      <c r="N3653" s="3" t="str">
        <f t="shared" si="231"/>
        <v>OK</v>
      </c>
    </row>
    <row r="3654" spans="1:14" x14ac:dyDescent="0.3">
      <c r="A3654" s="2">
        <f>DATE(VALUE(RIGHT(TRIM([1]Raw_Data!A3652),4)),VALUE(MID(TRIM([1]Raw_Data!A3652),4,2)),VALUE(LEFT(TRIM([1]Raw_Data!A3652),2)))</f>
        <v>45432</v>
      </c>
      <c r="B3654" s="3" t="str">
        <f>TRIM([1]Raw_Data!B3652)</f>
        <v>Fish Oil</v>
      </c>
      <c r="C3654" s="3" t="str">
        <f>TRIM([1]Raw_Data!C3652)</f>
        <v>Omega</v>
      </c>
      <c r="D3654" s="3">
        <f>[1]Raw_Data!D3652</f>
        <v>143</v>
      </c>
      <c r="E3654" s="4">
        <f>[1]Raw_Data!E3652</f>
        <v>33.659999999999997</v>
      </c>
      <c r="F3654" s="5">
        <f>[1]Raw_Data!F3652</f>
        <v>4813.38</v>
      </c>
      <c r="G3654" s="4">
        <f>[1]Raw_Data!G3652</f>
        <v>0.14000000000000001</v>
      </c>
      <c r="H3654" s="3">
        <f>[1]Raw_Data!H3652</f>
        <v>2</v>
      </c>
      <c r="I3654" s="3" t="str">
        <f>TRIM([1]Raw_Data!I3652)</f>
        <v>Canada</v>
      </c>
      <c r="J3654" s="3" t="str">
        <f>TRIM([1]Raw_Data!J3652)</f>
        <v>Amazon</v>
      </c>
      <c r="K3654" s="3">
        <f t="shared" si="228"/>
        <v>2024</v>
      </c>
      <c r="L3654" s="6">
        <f t="shared" si="229"/>
        <v>45413</v>
      </c>
      <c r="M3654" s="3" t="str">
        <f t="shared" si="230"/>
        <v>11% to 15%</v>
      </c>
      <c r="N3654" s="3" t="str">
        <f t="shared" si="231"/>
        <v>OK</v>
      </c>
    </row>
    <row r="3655" spans="1:14" x14ac:dyDescent="0.3">
      <c r="A3655" s="2">
        <f>DATE(VALUE(RIGHT(TRIM([1]Raw_Data!A3653),4)),VALUE(MID(TRIM([1]Raw_Data!A3653),4,2)),VALUE(LEFT(TRIM([1]Raw_Data!A3653),2)))</f>
        <v>45432</v>
      </c>
      <c r="B3655" s="3" t="str">
        <f>TRIM([1]Raw_Data!B3653)</f>
        <v>Multivitamin</v>
      </c>
      <c r="C3655" s="3" t="str">
        <f>TRIM([1]Raw_Data!C3653)</f>
        <v>Vitamin</v>
      </c>
      <c r="D3655" s="3">
        <f>[1]Raw_Data!D3653</f>
        <v>138</v>
      </c>
      <c r="E3655" s="4">
        <f>[1]Raw_Data!E3653</f>
        <v>47.88</v>
      </c>
      <c r="F3655" s="5">
        <f>[1]Raw_Data!F3653</f>
        <v>6607.44</v>
      </c>
      <c r="G3655" s="4">
        <f>[1]Raw_Data!G3653</f>
        <v>0.18</v>
      </c>
      <c r="H3655" s="3">
        <f>[1]Raw_Data!H3653</f>
        <v>0</v>
      </c>
      <c r="I3655" s="3" t="str">
        <f>TRIM([1]Raw_Data!I3653)</f>
        <v>USA</v>
      </c>
      <c r="J3655" s="3" t="str">
        <f>TRIM([1]Raw_Data!J3653)</f>
        <v>Walmart</v>
      </c>
      <c r="K3655" s="3">
        <f t="shared" si="228"/>
        <v>2024</v>
      </c>
      <c r="L3655" s="6">
        <f t="shared" si="229"/>
        <v>45413</v>
      </c>
      <c r="M3655" s="3" t="str">
        <f t="shared" si="230"/>
        <v>16% to 20%</v>
      </c>
      <c r="N3655" s="3" t="str">
        <f t="shared" si="231"/>
        <v>OK</v>
      </c>
    </row>
    <row r="3656" spans="1:14" x14ac:dyDescent="0.3">
      <c r="A3656" s="2">
        <f>DATE(VALUE(RIGHT(TRIM([1]Raw_Data!A3654),4)),VALUE(MID(TRIM([1]Raw_Data!A3654),4,2)),VALUE(LEFT(TRIM([1]Raw_Data!A3654),2)))</f>
        <v>45432</v>
      </c>
      <c r="B3656" s="3" t="str">
        <f>TRIM([1]Raw_Data!B3654)</f>
        <v>Pre-Workout</v>
      </c>
      <c r="C3656" s="3" t="str">
        <f>TRIM([1]Raw_Data!C3654)</f>
        <v>Performance</v>
      </c>
      <c r="D3656" s="3">
        <f>[1]Raw_Data!D3654</f>
        <v>165</v>
      </c>
      <c r="E3656" s="4">
        <f>[1]Raw_Data!E3654</f>
        <v>20.66</v>
      </c>
      <c r="F3656" s="5">
        <f>[1]Raw_Data!F3654</f>
        <v>3408.9</v>
      </c>
      <c r="G3656" s="4">
        <f>[1]Raw_Data!G3654</f>
        <v>0.02</v>
      </c>
      <c r="H3656" s="3">
        <f>[1]Raw_Data!H3654</f>
        <v>2</v>
      </c>
      <c r="I3656" s="3" t="str">
        <f>TRIM([1]Raw_Data!I3654)</f>
        <v>UK</v>
      </c>
      <c r="J3656" s="3" t="str">
        <f>TRIM([1]Raw_Data!J3654)</f>
        <v>iHerb</v>
      </c>
      <c r="K3656" s="3">
        <f t="shared" si="228"/>
        <v>2024</v>
      </c>
      <c r="L3656" s="6">
        <f t="shared" si="229"/>
        <v>45413</v>
      </c>
      <c r="M3656" s="3" t="str">
        <f t="shared" si="230"/>
        <v>0% to 5%</v>
      </c>
      <c r="N3656" s="3" t="str">
        <f t="shared" si="231"/>
        <v>OK</v>
      </c>
    </row>
    <row r="3657" spans="1:14" x14ac:dyDescent="0.3">
      <c r="A3657" s="2">
        <f>DATE(VALUE(RIGHT(TRIM([1]Raw_Data!A3655),4)),VALUE(MID(TRIM([1]Raw_Data!A3655),4,2)),VALUE(LEFT(TRIM([1]Raw_Data!A3655),2)))</f>
        <v>45432</v>
      </c>
      <c r="B3657" s="3" t="str">
        <f>TRIM([1]Raw_Data!B3655)</f>
        <v>BCAA</v>
      </c>
      <c r="C3657" s="3" t="str">
        <f>TRIM([1]Raw_Data!C3655)</f>
        <v>Amino Acid</v>
      </c>
      <c r="D3657" s="3">
        <f>[1]Raw_Data!D3655</f>
        <v>158</v>
      </c>
      <c r="E3657" s="4">
        <f>[1]Raw_Data!E3655</f>
        <v>11.41</v>
      </c>
      <c r="F3657" s="5">
        <f>[1]Raw_Data!F3655</f>
        <v>1802.78</v>
      </c>
      <c r="G3657" s="4">
        <f>[1]Raw_Data!G3655</f>
        <v>0.1</v>
      </c>
      <c r="H3657" s="3">
        <f>[1]Raw_Data!H3655</f>
        <v>2</v>
      </c>
      <c r="I3657" s="3" t="str">
        <f>TRIM([1]Raw_Data!I3655)</f>
        <v>USA</v>
      </c>
      <c r="J3657" s="3" t="str">
        <f>TRIM([1]Raw_Data!J3655)</f>
        <v>iHerb</v>
      </c>
      <c r="K3657" s="3">
        <f t="shared" si="228"/>
        <v>2024</v>
      </c>
      <c r="L3657" s="6">
        <f t="shared" si="229"/>
        <v>45413</v>
      </c>
      <c r="M3657" s="3" t="str">
        <f t="shared" si="230"/>
        <v>6% to 10%</v>
      </c>
      <c r="N3657" s="3" t="str">
        <f t="shared" si="231"/>
        <v>OK</v>
      </c>
    </row>
    <row r="3658" spans="1:14" x14ac:dyDescent="0.3">
      <c r="A3658" s="2">
        <f>DATE(VALUE(RIGHT(TRIM([1]Raw_Data!A3656),4)),VALUE(MID(TRIM([1]Raw_Data!A3656),4,2)),VALUE(LEFT(TRIM([1]Raw_Data!A3656),2)))</f>
        <v>45432</v>
      </c>
      <c r="B3658" s="3" t="str">
        <f>TRIM([1]Raw_Data!B3656)</f>
        <v>Creatine</v>
      </c>
      <c r="C3658" s="3" t="str">
        <f>TRIM([1]Raw_Data!C3656)</f>
        <v>Performance</v>
      </c>
      <c r="D3658" s="3">
        <f>[1]Raw_Data!D3656</f>
        <v>158</v>
      </c>
      <c r="E3658" s="4">
        <f>[1]Raw_Data!E3656</f>
        <v>40.53</v>
      </c>
      <c r="F3658" s="5">
        <f>[1]Raw_Data!F3656</f>
        <v>6403.74</v>
      </c>
      <c r="G3658" s="4">
        <f>[1]Raw_Data!G3656</f>
        <v>0.03</v>
      </c>
      <c r="H3658" s="3">
        <f>[1]Raw_Data!H3656</f>
        <v>2</v>
      </c>
      <c r="I3658" s="3" t="str">
        <f>TRIM([1]Raw_Data!I3656)</f>
        <v>Canada</v>
      </c>
      <c r="J3658" s="3" t="str">
        <f>TRIM([1]Raw_Data!J3656)</f>
        <v>iHerb</v>
      </c>
      <c r="K3658" s="3">
        <f t="shared" si="228"/>
        <v>2024</v>
      </c>
      <c r="L3658" s="6">
        <f t="shared" si="229"/>
        <v>45413</v>
      </c>
      <c r="M3658" s="3" t="str">
        <f t="shared" si="230"/>
        <v>0% to 5%</v>
      </c>
      <c r="N3658" s="3" t="str">
        <f t="shared" si="231"/>
        <v>OK</v>
      </c>
    </row>
    <row r="3659" spans="1:14" x14ac:dyDescent="0.3">
      <c r="A3659" s="2">
        <f>DATE(VALUE(RIGHT(TRIM([1]Raw_Data!A3657),4)),VALUE(MID(TRIM([1]Raw_Data!A3657),4,2)),VALUE(LEFT(TRIM([1]Raw_Data!A3657),2)))</f>
        <v>45432</v>
      </c>
      <c r="B3659" s="3" t="str">
        <f>TRIM([1]Raw_Data!B3657)</f>
        <v>Zinc</v>
      </c>
      <c r="C3659" s="3" t="str">
        <f>TRIM([1]Raw_Data!C3657)</f>
        <v>Mineral</v>
      </c>
      <c r="D3659" s="3">
        <f>[1]Raw_Data!D3657</f>
        <v>166</v>
      </c>
      <c r="E3659" s="4">
        <f>[1]Raw_Data!E3657</f>
        <v>47.54</v>
      </c>
      <c r="F3659" s="5">
        <f>[1]Raw_Data!F3657</f>
        <v>7891.64</v>
      </c>
      <c r="G3659" s="4">
        <f>[1]Raw_Data!G3657</f>
        <v>0.21</v>
      </c>
      <c r="H3659" s="3">
        <f>[1]Raw_Data!H3657</f>
        <v>2</v>
      </c>
      <c r="I3659" s="3" t="str">
        <f>TRIM([1]Raw_Data!I3657)</f>
        <v>Canada</v>
      </c>
      <c r="J3659" s="3" t="str">
        <f>TRIM([1]Raw_Data!J3657)</f>
        <v>Amazon</v>
      </c>
      <c r="K3659" s="3">
        <f t="shared" si="228"/>
        <v>2024</v>
      </c>
      <c r="L3659" s="6">
        <f t="shared" si="229"/>
        <v>45413</v>
      </c>
      <c r="M3659" s="3" t="str">
        <f t="shared" si="230"/>
        <v>21% to 25%</v>
      </c>
      <c r="N3659" s="3" t="str">
        <f t="shared" si="231"/>
        <v>OK</v>
      </c>
    </row>
    <row r="3660" spans="1:14" x14ac:dyDescent="0.3">
      <c r="A3660" s="2">
        <f>DATE(VALUE(RIGHT(TRIM([1]Raw_Data!A3658),4)),VALUE(MID(TRIM([1]Raw_Data!A3658),4,2)),VALUE(LEFT(TRIM([1]Raw_Data!A3658),2)))</f>
        <v>45432</v>
      </c>
      <c r="B3660" s="3" t="str">
        <f>TRIM([1]Raw_Data!B3658)</f>
        <v>Collagen Peptides</v>
      </c>
      <c r="C3660" s="3" t="str">
        <f>TRIM([1]Raw_Data!C3658)</f>
        <v>Protein</v>
      </c>
      <c r="D3660" s="3">
        <f>[1]Raw_Data!D3658</f>
        <v>141</v>
      </c>
      <c r="E3660" s="4">
        <f>[1]Raw_Data!E3658</f>
        <v>32.54</v>
      </c>
      <c r="F3660" s="5">
        <f>[1]Raw_Data!F3658</f>
        <v>4588.1400000000003</v>
      </c>
      <c r="G3660" s="4">
        <f>[1]Raw_Data!G3658</f>
        <v>0.03</v>
      </c>
      <c r="H3660" s="3">
        <f>[1]Raw_Data!H3658</f>
        <v>0</v>
      </c>
      <c r="I3660" s="3" t="str">
        <f>TRIM([1]Raw_Data!I3658)</f>
        <v>Canada</v>
      </c>
      <c r="J3660" s="3" t="str">
        <f>TRIM([1]Raw_Data!J3658)</f>
        <v>iHerb</v>
      </c>
      <c r="K3660" s="3">
        <f t="shared" si="228"/>
        <v>2024</v>
      </c>
      <c r="L3660" s="6">
        <f t="shared" si="229"/>
        <v>45413</v>
      </c>
      <c r="M3660" s="3" t="str">
        <f t="shared" si="230"/>
        <v>0% to 5%</v>
      </c>
      <c r="N3660" s="3" t="str">
        <f t="shared" si="231"/>
        <v>OK</v>
      </c>
    </row>
    <row r="3661" spans="1:14" x14ac:dyDescent="0.3">
      <c r="A3661" s="2">
        <f>DATE(VALUE(RIGHT(TRIM([1]Raw_Data!A3659),4)),VALUE(MID(TRIM([1]Raw_Data!A3659),4,2)),VALUE(LEFT(TRIM([1]Raw_Data!A3659),2)))</f>
        <v>45432</v>
      </c>
      <c r="B3661" s="3" t="str">
        <f>TRIM([1]Raw_Data!B3659)</f>
        <v>Magnesium</v>
      </c>
      <c r="C3661" s="3" t="str">
        <f>TRIM([1]Raw_Data!C3659)</f>
        <v>Mineral</v>
      </c>
      <c r="D3661" s="3">
        <f>[1]Raw_Data!D3659</f>
        <v>155</v>
      </c>
      <c r="E3661" s="4">
        <f>[1]Raw_Data!E3659</f>
        <v>14.72</v>
      </c>
      <c r="F3661" s="5">
        <f>[1]Raw_Data!F3659</f>
        <v>2281.6</v>
      </c>
      <c r="G3661" s="4">
        <f>[1]Raw_Data!G3659</f>
        <v>0.19</v>
      </c>
      <c r="H3661" s="3">
        <f>[1]Raw_Data!H3659</f>
        <v>3</v>
      </c>
      <c r="I3661" s="3" t="str">
        <f>TRIM([1]Raw_Data!I3659)</f>
        <v>UK</v>
      </c>
      <c r="J3661" s="3" t="str">
        <f>TRIM([1]Raw_Data!J3659)</f>
        <v>iHerb</v>
      </c>
      <c r="K3661" s="3">
        <f t="shared" si="228"/>
        <v>2024</v>
      </c>
      <c r="L3661" s="6">
        <f t="shared" si="229"/>
        <v>45413</v>
      </c>
      <c r="M3661" s="3" t="str">
        <f t="shared" si="230"/>
        <v>16% to 20%</v>
      </c>
      <c r="N3661" s="3" t="str">
        <f t="shared" si="231"/>
        <v>OK</v>
      </c>
    </row>
    <row r="3662" spans="1:14" x14ac:dyDescent="0.3">
      <c r="A3662" s="2">
        <f>DATE(VALUE(RIGHT(TRIM([1]Raw_Data!A3660),4)),VALUE(MID(TRIM([1]Raw_Data!A3660),4,2)),VALUE(LEFT(TRIM([1]Raw_Data!A3660),2)))</f>
        <v>45432</v>
      </c>
      <c r="B3662" s="3" t="str">
        <f>TRIM([1]Raw_Data!B3660)</f>
        <v>Ashwagandha</v>
      </c>
      <c r="C3662" s="3" t="str">
        <f>TRIM([1]Raw_Data!C3660)</f>
        <v>Herbal</v>
      </c>
      <c r="D3662" s="3">
        <f>[1]Raw_Data!D3660</f>
        <v>158</v>
      </c>
      <c r="E3662" s="4">
        <f>[1]Raw_Data!E3660</f>
        <v>44.49</v>
      </c>
      <c r="F3662" s="5">
        <f>[1]Raw_Data!F3660</f>
        <v>7029.42</v>
      </c>
      <c r="G3662" s="4">
        <f>[1]Raw_Data!G3660</f>
        <v>0</v>
      </c>
      <c r="H3662" s="3">
        <f>[1]Raw_Data!H3660</f>
        <v>1</v>
      </c>
      <c r="I3662" s="3" t="str">
        <f>TRIM([1]Raw_Data!I3660)</f>
        <v>Canada</v>
      </c>
      <c r="J3662" s="3" t="str">
        <f>TRIM([1]Raw_Data!J3660)</f>
        <v>Amazon</v>
      </c>
      <c r="K3662" s="3">
        <f t="shared" si="228"/>
        <v>2024</v>
      </c>
      <c r="L3662" s="6">
        <f t="shared" si="229"/>
        <v>45413</v>
      </c>
      <c r="M3662" s="3" t="str">
        <f t="shared" si="230"/>
        <v>0% to 5%</v>
      </c>
      <c r="N3662" s="3" t="str">
        <f t="shared" si="231"/>
        <v>OK</v>
      </c>
    </row>
    <row r="3663" spans="1:14" x14ac:dyDescent="0.3">
      <c r="A3663" s="2">
        <f>DATE(VALUE(RIGHT(TRIM([1]Raw_Data!A3661),4)),VALUE(MID(TRIM([1]Raw_Data!A3661),4,2)),VALUE(LEFT(TRIM([1]Raw_Data!A3661),2)))</f>
        <v>45432</v>
      </c>
      <c r="B3663" s="3" t="str">
        <f>TRIM([1]Raw_Data!B3661)</f>
        <v>Melatonin</v>
      </c>
      <c r="C3663" s="3" t="str">
        <f>TRIM([1]Raw_Data!C3661)</f>
        <v>Sleep Aid</v>
      </c>
      <c r="D3663" s="3">
        <f>[1]Raw_Data!D3661</f>
        <v>146</v>
      </c>
      <c r="E3663" s="4">
        <f>[1]Raw_Data!E3661</f>
        <v>29.52</v>
      </c>
      <c r="F3663" s="5">
        <f>[1]Raw_Data!F3661</f>
        <v>4309.92</v>
      </c>
      <c r="G3663" s="4">
        <f>[1]Raw_Data!G3661</f>
        <v>0</v>
      </c>
      <c r="H3663" s="3">
        <f>[1]Raw_Data!H3661</f>
        <v>1</v>
      </c>
      <c r="I3663" s="3" t="str">
        <f>TRIM([1]Raw_Data!I3661)</f>
        <v>UK</v>
      </c>
      <c r="J3663" s="3" t="str">
        <f>TRIM([1]Raw_Data!J3661)</f>
        <v>Amazon</v>
      </c>
      <c r="K3663" s="3">
        <f t="shared" si="228"/>
        <v>2024</v>
      </c>
      <c r="L3663" s="6">
        <f t="shared" si="229"/>
        <v>45413</v>
      </c>
      <c r="M3663" s="3" t="str">
        <f t="shared" si="230"/>
        <v>0% to 5%</v>
      </c>
      <c r="N3663" s="3" t="str">
        <f t="shared" si="231"/>
        <v>OK</v>
      </c>
    </row>
    <row r="3664" spans="1:14" x14ac:dyDescent="0.3">
      <c r="A3664" s="2">
        <f>DATE(VALUE(RIGHT(TRIM([1]Raw_Data!A3662),4)),VALUE(MID(TRIM([1]Raw_Data!A3662),4,2)),VALUE(LEFT(TRIM([1]Raw_Data!A3662),2)))</f>
        <v>45432</v>
      </c>
      <c r="B3664" s="3" t="str">
        <f>TRIM([1]Raw_Data!B3662)</f>
        <v>Biotin</v>
      </c>
      <c r="C3664" s="3" t="str">
        <f>TRIM([1]Raw_Data!C3662)</f>
        <v>Vitamin</v>
      </c>
      <c r="D3664" s="3">
        <f>[1]Raw_Data!D3662</f>
        <v>150</v>
      </c>
      <c r="E3664" s="4">
        <f>[1]Raw_Data!E3662</f>
        <v>57.05</v>
      </c>
      <c r="F3664" s="5">
        <f>[1]Raw_Data!F3662</f>
        <v>8557.5</v>
      </c>
      <c r="G3664" s="4">
        <f>[1]Raw_Data!G3662</f>
        <v>0.05</v>
      </c>
      <c r="H3664" s="3">
        <f>[1]Raw_Data!H3662</f>
        <v>0</v>
      </c>
      <c r="I3664" s="3" t="str">
        <f>TRIM([1]Raw_Data!I3662)</f>
        <v>USA</v>
      </c>
      <c r="J3664" s="3" t="str">
        <f>TRIM([1]Raw_Data!J3662)</f>
        <v>Amazon</v>
      </c>
      <c r="K3664" s="3">
        <f t="shared" si="228"/>
        <v>2024</v>
      </c>
      <c r="L3664" s="6">
        <f t="shared" si="229"/>
        <v>45413</v>
      </c>
      <c r="M3664" s="3" t="str">
        <f t="shared" si="230"/>
        <v>0% to 5%</v>
      </c>
      <c r="N3664" s="3" t="str">
        <f t="shared" si="231"/>
        <v>OK</v>
      </c>
    </row>
    <row r="3665" spans="1:14" x14ac:dyDescent="0.3">
      <c r="A3665" s="2">
        <f>DATE(VALUE(RIGHT(TRIM([1]Raw_Data!A3663),4)),VALUE(MID(TRIM([1]Raw_Data!A3663),4,2)),VALUE(LEFT(TRIM([1]Raw_Data!A3663),2)))</f>
        <v>45432</v>
      </c>
      <c r="B3665" s="3" t="str">
        <f>TRIM([1]Raw_Data!B3663)</f>
        <v>Green Tea Extract</v>
      </c>
      <c r="C3665" s="3" t="str">
        <f>TRIM([1]Raw_Data!C3663)</f>
        <v>Fat Burner</v>
      </c>
      <c r="D3665" s="3">
        <f>[1]Raw_Data!D3663</f>
        <v>136</v>
      </c>
      <c r="E3665" s="4">
        <f>[1]Raw_Data!E3663</f>
        <v>10.3</v>
      </c>
      <c r="F3665" s="5">
        <f>[1]Raw_Data!F3663</f>
        <v>1400.8</v>
      </c>
      <c r="G3665" s="4">
        <f>[1]Raw_Data!G3663</f>
        <v>0.03</v>
      </c>
      <c r="H3665" s="3">
        <f>[1]Raw_Data!H3663</f>
        <v>1</v>
      </c>
      <c r="I3665" s="3" t="str">
        <f>TRIM([1]Raw_Data!I3663)</f>
        <v>UK</v>
      </c>
      <c r="J3665" s="3" t="str">
        <f>TRIM([1]Raw_Data!J3663)</f>
        <v>Amazon</v>
      </c>
      <c r="K3665" s="3">
        <f t="shared" si="228"/>
        <v>2024</v>
      </c>
      <c r="L3665" s="6">
        <f t="shared" si="229"/>
        <v>45413</v>
      </c>
      <c r="M3665" s="3" t="str">
        <f t="shared" si="230"/>
        <v>0% to 5%</v>
      </c>
      <c r="N3665" s="3" t="str">
        <f t="shared" si="231"/>
        <v>OK</v>
      </c>
    </row>
    <row r="3666" spans="1:14" x14ac:dyDescent="0.3">
      <c r="A3666" s="2">
        <f>DATE(VALUE(RIGHT(TRIM([1]Raw_Data!A3664),4)),VALUE(MID(TRIM([1]Raw_Data!A3664),4,2)),VALUE(LEFT(TRIM([1]Raw_Data!A3664),2)))</f>
        <v>45432</v>
      </c>
      <c r="B3666" s="3" t="str">
        <f>TRIM([1]Raw_Data!B3664)</f>
        <v>Iron Supplement</v>
      </c>
      <c r="C3666" s="3" t="str">
        <f>TRIM([1]Raw_Data!C3664)</f>
        <v>Mineral</v>
      </c>
      <c r="D3666" s="3">
        <f>[1]Raw_Data!D3664</f>
        <v>140</v>
      </c>
      <c r="E3666" s="4">
        <f>[1]Raw_Data!E3664</f>
        <v>27.99</v>
      </c>
      <c r="F3666" s="5">
        <f>[1]Raw_Data!F3664</f>
        <v>3918.6</v>
      </c>
      <c r="G3666" s="4">
        <f>[1]Raw_Data!G3664</f>
        <v>7.0000000000000007E-2</v>
      </c>
      <c r="H3666" s="3">
        <f>[1]Raw_Data!H3664</f>
        <v>1</v>
      </c>
      <c r="I3666" s="3" t="str">
        <f>TRIM([1]Raw_Data!I3664)</f>
        <v>Canada</v>
      </c>
      <c r="J3666" s="3" t="str">
        <f>TRIM([1]Raw_Data!J3664)</f>
        <v>Walmart</v>
      </c>
      <c r="K3666" s="3">
        <f t="shared" si="228"/>
        <v>2024</v>
      </c>
      <c r="L3666" s="6">
        <f t="shared" si="229"/>
        <v>45413</v>
      </c>
      <c r="M3666" s="3" t="str">
        <f t="shared" si="230"/>
        <v>6% to 10%</v>
      </c>
      <c r="N3666" s="3" t="str">
        <f t="shared" si="231"/>
        <v>OK</v>
      </c>
    </row>
    <row r="3667" spans="1:14" x14ac:dyDescent="0.3">
      <c r="A3667" s="2">
        <f>DATE(VALUE(RIGHT(TRIM([1]Raw_Data!A3665),4)),VALUE(MID(TRIM([1]Raw_Data!A3665),4,2)),VALUE(LEFT(TRIM([1]Raw_Data!A3665),2)))</f>
        <v>45432</v>
      </c>
      <c r="B3667" s="3" t="str">
        <f>TRIM([1]Raw_Data!B3665)</f>
        <v>Electrolyte Powder</v>
      </c>
      <c r="C3667" s="3" t="str">
        <f>TRIM([1]Raw_Data!C3665)</f>
        <v>Hydration</v>
      </c>
      <c r="D3667" s="3">
        <f>[1]Raw_Data!D3665</f>
        <v>145</v>
      </c>
      <c r="E3667" s="4">
        <f>[1]Raw_Data!E3665</f>
        <v>53.84</v>
      </c>
      <c r="F3667" s="5">
        <f>[1]Raw_Data!F3665</f>
        <v>7806.8</v>
      </c>
      <c r="G3667" s="4">
        <f>[1]Raw_Data!G3665</f>
        <v>0.1</v>
      </c>
      <c r="H3667" s="3">
        <f>[1]Raw_Data!H3665</f>
        <v>2</v>
      </c>
      <c r="I3667" s="3" t="str">
        <f>TRIM([1]Raw_Data!I3665)</f>
        <v>UK</v>
      </c>
      <c r="J3667" s="3" t="str">
        <f>TRIM([1]Raw_Data!J3665)</f>
        <v>Walmart</v>
      </c>
      <c r="K3667" s="3">
        <f t="shared" si="228"/>
        <v>2024</v>
      </c>
      <c r="L3667" s="6">
        <f t="shared" si="229"/>
        <v>45413</v>
      </c>
      <c r="M3667" s="3" t="str">
        <f t="shared" si="230"/>
        <v>6% to 10%</v>
      </c>
      <c r="N3667" s="3" t="str">
        <f t="shared" si="231"/>
        <v>OK</v>
      </c>
    </row>
    <row r="3668" spans="1:14" x14ac:dyDescent="0.3">
      <c r="A3668" s="2">
        <f>DATE(VALUE(RIGHT(TRIM([1]Raw_Data!A3666),4)),VALUE(MID(TRIM([1]Raw_Data!A3666),4,2)),VALUE(LEFT(TRIM([1]Raw_Data!A3666),2)))</f>
        <v>45439</v>
      </c>
      <c r="B3668" s="3" t="str">
        <f>TRIM([1]Raw_Data!B3666)</f>
        <v>Whey Protein</v>
      </c>
      <c r="C3668" s="3" t="str">
        <f>TRIM([1]Raw_Data!C3666)</f>
        <v>Protein</v>
      </c>
      <c r="D3668" s="3">
        <f>[1]Raw_Data!D3666</f>
        <v>130</v>
      </c>
      <c r="E3668" s="4">
        <f>[1]Raw_Data!E3666</f>
        <v>58.64</v>
      </c>
      <c r="F3668" s="5">
        <f>[1]Raw_Data!F3666</f>
        <v>7623.2</v>
      </c>
      <c r="G3668" s="4">
        <f>[1]Raw_Data!G3666</f>
        <v>0.13</v>
      </c>
      <c r="H3668" s="3">
        <f>[1]Raw_Data!H3666</f>
        <v>1</v>
      </c>
      <c r="I3668" s="3" t="str">
        <f>TRIM([1]Raw_Data!I3666)</f>
        <v>Canada</v>
      </c>
      <c r="J3668" s="3" t="str">
        <f>TRIM([1]Raw_Data!J3666)</f>
        <v>Amazon</v>
      </c>
      <c r="K3668" s="3">
        <f t="shared" si="228"/>
        <v>2024</v>
      </c>
      <c r="L3668" s="6">
        <f t="shared" si="229"/>
        <v>45413</v>
      </c>
      <c r="M3668" s="3" t="str">
        <f t="shared" si="230"/>
        <v>11% to 15%</v>
      </c>
      <c r="N3668" s="3" t="str">
        <f t="shared" si="231"/>
        <v>OK</v>
      </c>
    </row>
    <row r="3669" spans="1:14" x14ac:dyDescent="0.3">
      <c r="A3669" s="2">
        <f>DATE(VALUE(RIGHT(TRIM([1]Raw_Data!A3667),4)),VALUE(MID(TRIM([1]Raw_Data!A3667),4,2)),VALUE(LEFT(TRIM([1]Raw_Data!A3667),2)))</f>
        <v>45439</v>
      </c>
      <c r="B3669" s="3" t="str">
        <f>TRIM([1]Raw_Data!B3667)</f>
        <v>Vitamin C</v>
      </c>
      <c r="C3669" s="3" t="str">
        <f>TRIM([1]Raw_Data!C3667)</f>
        <v>Vitamin</v>
      </c>
      <c r="D3669" s="3">
        <f>[1]Raw_Data!D3667</f>
        <v>138</v>
      </c>
      <c r="E3669" s="4">
        <f>[1]Raw_Data!E3667</f>
        <v>39.520000000000003</v>
      </c>
      <c r="F3669" s="5">
        <f>[1]Raw_Data!F3667</f>
        <v>5453.76</v>
      </c>
      <c r="G3669" s="4">
        <f>[1]Raw_Data!G3667</f>
        <v>0.16</v>
      </c>
      <c r="H3669" s="3">
        <f>[1]Raw_Data!H3667</f>
        <v>0</v>
      </c>
      <c r="I3669" s="3" t="str">
        <f>TRIM([1]Raw_Data!I3667)</f>
        <v>Canada</v>
      </c>
      <c r="J3669" s="3" t="str">
        <f>TRIM([1]Raw_Data!J3667)</f>
        <v>iHerb</v>
      </c>
      <c r="K3669" s="3">
        <f t="shared" si="228"/>
        <v>2024</v>
      </c>
      <c r="L3669" s="6">
        <f t="shared" si="229"/>
        <v>45413</v>
      </c>
      <c r="M3669" s="3" t="str">
        <f t="shared" si="230"/>
        <v>16% to 20%</v>
      </c>
      <c r="N3669" s="3" t="str">
        <f t="shared" si="231"/>
        <v>OK</v>
      </c>
    </row>
    <row r="3670" spans="1:14" x14ac:dyDescent="0.3">
      <c r="A3670" s="2">
        <f>DATE(VALUE(RIGHT(TRIM([1]Raw_Data!A3668),4)),VALUE(MID(TRIM([1]Raw_Data!A3668),4,2)),VALUE(LEFT(TRIM([1]Raw_Data!A3668),2)))</f>
        <v>45439</v>
      </c>
      <c r="B3670" s="3" t="str">
        <f>TRIM([1]Raw_Data!B3668)</f>
        <v>Fish Oil</v>
      </c>
      <c r="C3670" s="3" t="str">
        <f>TRIM([1]Raw_Data!C3668)</f>
        <v>Omega</v>
      </c>
      <c r="D3670" s="3">
        <f>[1]Raw_Data!D3668</f>
        <v>152</v>
      </c>
      <c r="E3670" s="4">
        <f>[1]Raw_Data!E3668</f>
        <v>20.38</v>
      </c>
      <c r="F3670" s="5">
        <f>[1]Raw_Data!F3668</f>
        <v>3097.76</v>
      </c>
      <c r="G3670" s="4">
        <f>[1]Raw_Data!G3668</f>
        <v>0.05</v>
      </c>
      <c r="H3670" s="3">
        <f>[1]Raw_Data!H3668</f>
        <v>1</v>
      </c>
      <c r="I3670" s="3" t="str">
        <f>TRIM([1]Raw_Data!I3668)</f>
        <v>USA</v>
      </c>
      <c r="J3670" s="3" t="str">
        <f>TRIM([1]Raw_Data!J3668)</f>
        <v>Amazon</v>
      </c>
      <c r="K3670" s="3">
        <f t="shared" si="228"/>
        <v>2024</v>
      </c>
      <c r="L3670" s="6">
        <f t="shared" si="229"/>
        <v>45413</v>
      </c>
      <c r="M3670" s="3" t="str">
        <f t="shared" si="230"/>
        <v>0% to 5%</v>
      </c>
      <c r="N3670" s="3" t="str">
        <f t="shared" si="231"/>
        <v>OK</v>
      </c>
    </row>
    <row r="3671" spans="1:14" x14ac:dyDescent="0.3">
      <c r="A3671" s="2">
        <f>DATE(VALUE(RIGHT(TRIM([1]Raw_Data!A3669),4)),VALUE(MID(TRIM([1]Raw_Data!A3669),4,2)),VALUE(LEFT(TRIM([1]Raw_Data!A3669),2)))</f>
        <v>45439</v>
      </c>
      <c r="B3671" s="3" t="str">
        <f>TRIM([1]Raw_Data!B3669)</f>
        <v>Multivitamin</v>
      </c>
      <c r="C3671" s="3" t="str">
        <f>TRIM([1]Raw_Data!C3669)</f>
        <v>Vitamin</v>
      </c>
      <c r="D3671" s="3">
        <f>[1]Raw_Data!D3669</f>
        <v>158</v>
      </c>
      <c r="E3671" s="4">
        <f>[1]Raw_Data!E3669</f>
        <v>52.29</v>
      </c>
      <c r="F3671" s="5">
        <f>[1]Raw_Data!F3669</f>
        <v>8261.82</v>
      </c>
      <c r="G3671" s="4">
        <f>[1]Raw_Data!G3669</f>
        <v>7.0000000000000007E-2</v>
      </c>
      <c r="H3671" s="3">
        <f>[1]Raw_Data!H3669</f>
        <v>3</v>
      </c>
      <c r="I3671" s="3" t="str">
        <f>TRIM([1]Raw_Data!I3669)</f>
        <v>UK</v>
      </c>
      <c r="J3671" s="3" t="str">
        <f>TRIM([1]Raw_Data!J3669)</f>
        <v>Walmart</v>
      </c>
      <c r="K3671" s="3">
        <f t="shared" si="228"/>
        <v>2024</v>
      </c>
      <c r="L3671" s="6">
        <f t="shared" si="229"/>
        <v>45413</v>
      </c>
      <c r="M3671" s="3" t="str">
        <f t="shared" si="230"/>
        <v>6% to 10%</v>
      </c>
      <c r="N3671" s="3" t="str">
        <f t="shared" si="231"/>
        <v>OK</v>
      </c>
    </row>
    <row r="3672" spans="1:14" x14ac:dyDescent="0.3">
      <c r="A3672" s="2">
        <f>DATE(VALUE(RIGHT(TRIM([1]Raw_Data!A3670),4)),VALUE(MID(TRIM([1]Raw_Data!A3670),4,2)),VALUE(LEFT(TRIM([1]Raw_Data!A3670),2)))</f>
        <v>45439</v>
      </c>
      <c r="B3672" s="3" t="str">
        <f>TRIM([1]Raw_Data!B3670)</f>
        <v>Pre-Workout</v>
      </c>
      <c r="C3672" s="3" t="str">
        <f>TRIM([1]Raw_Data!C3670)</f>
        <v>Performance</v>
      </c>
      <c r="D3672" s="3">
        <f>[1]Raw_Data!D3670</f>
        <v>159</v>
      </c>
      <c r="E3672" s="4">
        <f>[1]Raw_Data!E3670</f>
        <v>14.76</v>
      </c>
      <c r="F3672" s="5">
        <f>[1]Raw_Data!F3670</f>
        <v>2346.84</v>
      </c>
      <c r="G3672" s="4">
        <f>[1]Raw_Data!G3670</f>
        <v>0.06</v>
      </c>
      <c r="H3672" s="3">
        <f>[1]Raw_Data!H3670</f>
        <v>4</v>
      </c>
      <c r="I3672" s="3" t="str">
        <f>TRIM([1]Raw_Data!I3670)</f>
        <v>USA</v>
      </c>
      <c r="J3672" s="3" t="str">
        <f>TRIM([1]Raw_Data!J3670)</f>
        <v>Amazon</v>
      </c>
      <c r="K3672" s="3">
        <f t="shared" si="228"/>
        <v>2024</v>
      </c>
      <c r="L3672" s="6">
        <f t="shared" si="229"/>
        <v>45413</v>
      </c>
      <c r="M3672" s="3" t="str">
        <f t="shared" si="230"/>
        <v>6% to 10%</v>
      </c>
      <c r="N3672" s="3" t="str">
        <f t="shared" si="231"/>
        <v>OK</v>
      </c>
    </row>
    <row r="3673" spans="1:14" x14ac:dyDescent="0.3">
      <c r="A3673" s="2">
        <f>DATE(VALUE(RIGHT(TRIM([1]Raw_Data!A3671),4)),VALUE(MID(TRIM([1]Raw_Data!A3671),4,2)),VALUE(LEFT(TRIM([1]Raw_Data!A3671),2)))</f>
        <v>45439</v>
      </c>
      <c r="B3673" s="3" t="str">
        <f>TRIM([1]Raw_Data!B3671)</f>
        <v>BCAA</v>
      </c>
      <c r="C3673" s="3" t="str">
        <f>TRIM([1]Raw_Data!C3671)</f>
        <v>Amino Acid</v>
      </c>
      <c r="D3673" s="3">
        <f>[1]Raw_Data!D3671</f>
        <v>143</v>
      </c>
      <c r="E3673" s="4">
        <f>[1]Raw_Data!E3671</f>
        <v>19.48</v>
      </c>
      <c r="F3673" s="5">
        <f>[1]Raw_Data!F3671</f>
        <v>2785.64</v>
      </c>
      <c r="G3673" s="4">
        <f>[1]Raw_Data!G3671</f>
        <v>0.2</v>
      </c>
      <c r="H3673" s="3">
        <f>[1]Raw_Data!H3671</f>
        <v>1</v>
      </c>
      <c r="I3673" s="3" t="str">
        <f>TRIM([1]Raw_Data!I3671)</f>
        <v>Canada</v>
      </c>
      <c r="J3673" s="3" t="str">
        <f>TRIM([1]Raw_Data!J3671)</f>
        <v>Walmart</v>
      </c>
      <c r="K3673" s="3">
        <f t="shared" si="228"/>
        <v>2024</v>
      </c>
      <c r="L3673" s="6">
        <f t="shared" si="229"/>
        <v>45413</v>
      </c>
      <c r="M3673" s="3" t="str">
        <f t="shared" si="230"/>
        <v>16% to 20%</v>
      </c>
      <c r="N3673" s="3" t="str">
        <f t="shared" si="231"/>
        <v>OK</v>
      </c>
    </row>
    <row r="3674" spans="1:14" x14ac:dyDescent="0.3">
      <c r="A3674" s="2">
        <f>DATE(VALUE(RIGHT(TRIM([1]Raw_Data!A3672),4)),VALUE(MID(TRIM([1]Raw_Data!A3672),4,2)),VALUE(LEFT(TRIM([1]Raw_Data!A3672),2)))</f>
        <v>45439</v>
      </c>
      <c r="B3674" s="3" t="str">
        <f>TRIM([1]Raw_Data!B3672)</f>
        <v>Creatine</v>
      </c>
      <c r="C3674" s="3" t="str">
        <f>TRIM([1]Raw_Data!C3672)</f>
        <v>Performance</v>
      </c>
      <c r="D3674" s="3">
        <f>[1]Raw_Data!D3672</f>
        <v>144</v>
      </c>
      <c r="E3674" s="4">
        <f>[1]Raw_Data!E3672</f>
        <v>31.69</v>
      </c>
      <c r="F3674" s="5">
        <f>[1]Raw_Data!F3672</f>
        <v>4563.3599999999997</v>
      </c>
      <c r="G3674" s="4">
        <f>[1]Raw_Data!G3672</f>
        <v>0.1</v>
      </c>
      <c r="H3674" s="3">
        <f>[1]Raw_Data!H3672</f>
        <v>1</v>
      </c>
      <c r="I3674" s="3" t="str">
        <f>TRIM([1]Raw_Data!I3672)</f>
        <v>UK</v>
      </c>
      <c r="J3674" s="3" t="str">
        <f>TRIM([1]Raw_Data!J3672)</f>
        <v>Amazon</v>
      </c>
      <c r="K3674" s="3">
        <f t="shared" si="228"/>
        <v>2024</v>
      </c>
      <c r="L3674" s="6">
        <f t="shared" si="229"/>
        <v>45413</v>
      </c>
      <c r="M3674" s="3" t="str">
        <f t="shared" si="230"/>
        <v>6% to 10%</v>
      </c>
      <c r="N3674" s="3" t="str">
        <f t="shared" si="231"/>
        <v>OK</v>
      </c>
    </row>
    <row r="3675" spans="1:14" x14ac:dyDescent="0.3">
      <c r="A3675" s="2">
        <f>DATE(VALUE(RIGHT(TRIM([1]Raw_Data!A3673),4)),VALUE(MID(TRIM([1]Raw_Data!A3673),4,2)),VALUE(LEFT(TRIM([1]Raw_Data!A3673),2)))</f>
        <v>45439</v>
      </c>
      <c r="B3675" s="3" t="str">
        <f>TRIM([1]Raw_Data!B3673)</f>
        <v>Zinc</v>
      </c>
      <c r="C3675" s="3" t="str">
        <f>TRIM([1]Raw_Data!C3673)</f>
        <v>Mineral</v>
      </c>
      <c r="D3675" s="3">
        <f>[1]Raw_Data!D3673</f>
        <v>162</v>
      </c>
      <c r="E3675" s="4">
        <f>[1]Raw_Data!E3673</f>
        <v>49.92</v>
      </c>
      <c r="F3675" s="5">
        <f>[1]Raw_Data!F3673</f>
        <v>8087.04</v>
      </c>
      <c r="G3675" s="4">
        <f>[1]Raw_Data!G3673</f>
        <v>0.03</v>
      </c>
      <c r="H3675" s="3">
        <f>[1]Raw_Data!H3673</f>
        <v>3</v>
      </c>
      <c r="I3675" s="3" t="str">
        <f>TRIM([1]Raw_Data!I3673)</f>
        <v>USA</v>
      </c>
      <c r="J3675" s="3" t="str">
        <f>TRIM([1]Raw_Data!J3673)</f>
        <v>Amazon</v>
      </c>
      <c r="K3675" s="3">
        <f t="shared" si="228"/>
        <v>2024</v>
      </c>
      <c r="L3675" s="6">
        <f t="shared" si="229"/>
        <v>45413</v>
      </c>
      <c r="M3675" s="3" t="str">
        <f t="shared" si="230"/>
        <v>0% to 5%</v>
      </c>
      <c r="N3675" s="3" t="str">
        <f t="shared" si="231"/>
        <v>OK</v>
      </c>
    </row>
    <row r="3676" spans="1:14" x14ac:dyDescent="0.3">
      <c r="A3676" s="2">
        <f>DATE(VALUE(RIGHT(TRIM([1]Raw_Data!A3674),4)),VALUE(MID(TRIM([1]Raw_Data!A3674),4,2)),VALUE(LEFT(TRIM([1]Raw_Data!A3674),2)))</f>
        <v>45439</v>
      </c>
      <c r="B3676" s="3" t="str">
        <f>TRIM([1]Raw_Data!B3674)</f>
        <v>Collagen Peptides</v>
      </c>
      <c r="C3676" s="3" t="str">
        <f>TRIM([1]Raw_Data!C3674)</f>
        <v>Protein</v>
      </c>
      <c r="D3676" s="3">
        <f>[1]Raw_Data!D3674</f>
        <v>133</v>
      </c>
      <c r="E3676" s="4">
        <f>[1]Raw_Data!E3674</f>
        <v>57.39</v>
      </c>
      <c r="F3676" s="5">
        <f>[1]Raw_Data!F3674</f>
        <v>7632.87</v>
      </c>
      <c r="G3676" s="4">
        <f>[1]Raw_Data!G3674</f>
        <v>0.2</v>
      </c>
      <c r="H3676" s="3">
        <f>[1]Raw_Data!H3674</f>
        <v>1</v>
      </c>
      <c r="I3676" s="3" t="str">
        <f>TRIM([1]Raw_Data!I3674)</f>
        <v>UK</v>
      </c>
      <c r="J3676" s="3" t="str">
        <f>TRIM([1]Raw_Data!J3674)</f>
        <v>iHerb</v>
      </c>
      <c r="K3676" s="3">
        <f t="shared" si="228"/>
        <v>2024</v>
      </c>
      <c r="L3676" s="6">
        <f t="shared" si="229"/>
        <v>45413</v>
      </c>
      <c r="M3676" s="3" t="str">
        <f t="shared" si="230"/>
        <v>16% to 20%</v>
      </c>
      <c r="N3676" s="3" t="str">
        <f t="shared" si="231"/>
        <v>OK</v>
      </c>
    </row>
    <row r="3677" spans="1:14" x14ac:dyDescent="0.3">
      <c r="A3677" s="2">
        <f>DATE(VALUE(RIGHT(TRIM([1]Raw_Data!A3675),4)),VALUE(MID(TRIM([1]Raw_Data!A3675),4,2)),VALUE(LEFT(TRIM([1]Raw_Data!A3675),2)))</f>
        <v>45439</v>
      </c>
      <c r="B3677" s="3" t="str">
        <f>TRIM([1]Raw_Data!B3675)</f>
        <v>Magnesium</v>
      </c>
      <c r="C3677" s="3" t="str">
        <f>TRIM([1]Raw_Data!C3675)</f>
        <v>Mineral</v>
      </c>
      <c r="D3677" s="3">
        <f>[1]Raw_Data!D3675</f>
        <v>154</v>
      </c>
      <c r="E3677" s="4">
        <f>[1]Raw_Data!E3675</f>
        <v>47.72</v>
      </c>
      <c r="F3677" s="5">
        <f>[1]Raw_Data!F3675</f>
        <v>7348.88</v>
      </c>
      <c r="G3677" s="4">
        <f>[1]Raw_Data!G3675</f>
        <v>0.06</v>
      </c>
      <c r="H3677" s="3">
        <f>[1]Raw_Data!H3675</f>
        <v>0</v>
      </c>
      <c r="I3677" s="3" t="str">
        <f>TRIM([1]Raw_Data!I3675)</f>
        <v>UK</v>
      </c>
      <c r="J3677" s="3" t="str">
        <f>TRIM([1]Raw_Data!J3675)</f>
        <v>Amazon</v>
      </c>
      <c r="K3677" s="3">
        <f t="shared" si="228"/>
        <v>2024</v>
      </c>
      <c r="L3677" s="6">
        <f t="shared" si="229"/>
        <v>45413</v>
      </c>
      <c r="M3677" s="3" t="str">
        <f t="shared" si="230"/>
        <v>6% to 10%</v>
      </c>
      <c r="N3677" s="3" t="str">
        <f t="shared" si="231"/>
        <v>OK</v>
      </c>
    </row>
    <row r="3678" spans="1:14" x14ac:dyDescent="0.3">
      <c r="A3678" s="2">
        <f>DATE(VALUE(RIGHT(TRIM([1]Raw_Data!A3676),4)),VALUE(MID(TRIM([1]Raw_Data!A3676),4,2)),VALUE(LEFT(TRIM([1]Raw_Data!A3676),2)))</f>
        <v>45439</v>
      </c>
      <c r="B3678" s="3" t="str">
        <f>TRIM([1]Raw_Data!B3676)</f>
        <v>Ashwagandha</v>
      </c>
      <c r="C3678" s="3" t="str">
        <f>TRIM([1]Raw_Data!C3676)</f>
        <v>Herbal</v>
      </c>
      <c r="D3678" s="3">
        <f>[1]Raw_Data!D3676</f>
        <v>160</v>
      </c>
      <c r="E3678" s="4">
        <f>[1]Raw_Data!E3676</f>
        <v>16.75</v>
      </c>
      <c r="F3678" s="5">
        <f>[1]Raw_Data!F3676</f>
        <v>2680</v>
      </c>
      <c r="G3678" s="4">
        <f>[1]Raw_Data!G3676</f>
        <v>0.08</v>
      </c>
      <c r="H3678" s="3">
        <f>[1]Raw_Data!H3676</f>
        <v>1</v>
      </c>
      <c r="I3678" s="3" t="str">
        <f>TRIM([1]Raw_Data!I3676)</f>
        <v>UK</v>
      </c>
      <c r="J3678" s="3" t="str">
        <f>TRIM([1]Raw_Data!J3676)</f>
        <v>Amazon</v>
      </c>
      <c r="K3678" s="3">
        <f t="shared" si="228"/>
        <v>2024</v>
      </c>
      <c r="L3678" s="6">
        <f t="shared" si="229"/>
        <v>45413</v>
      </c>
      <c r="M3678" s="3" t="str">
        <f t="shared" si="230"/>
        <v>6% to 10%</v>
      </c>
      <c r="N3678" s="3" t="str">
        <f t="shared" si="231"/>
        <v>OK</v>
      </c>
    </row>
    <row r="3679" spans="1:14" x14ac:dyDescent="0.3">
      <c r="A3679" s="2">
        <f>DATE(VALUE(RIGHT(TRIM([1]Raw_Data!A3677),4)),VALUE(MID(TRIM([1]Raw_Data!A3677),4,2)),VALUE(LEFT(TRIM([1]Raw_Data!A3677),2)))</f>
        <v>45439</v>
      </c>
      <c r="B3679" s="3" t="str">
        <f>TRIM([1]Raw_Data!B3677)</f>
        <v>Melatonin</v>
      </c>
      <c r="C3679" s="3" t="str">
        <f>TRIM([1]Raw_Data!C3677)</f>
        <v>Sleep Aid</v>
      </c>
      <c r="D3679" s="3">
        <f>[1]Raw_Data!D3677</f>
        <v>151</v>
      </c>
      <c r="E3679" s="4">
        <f>[1]Raw_Data!E3677</f>
        <v>55.16</v>
      </c>
      <c r="F3679" s="5">
        <f>[1]Raw_Data!F3677</f>
        <v>8329.16</v>
      </c>
      <c r="G3679" s="4">
        <f>[1]Raw_Data!G3677</f>
        <v>0.13</v>
      </c>
      <c r="H3679" s="3">
        <f>[1]Raw_Data!H3677</f>
        <v>3</v>
      </c>
      <c r="I3679" s="3" t="str">
        <f>TRIM([1]Raw_Data!I3677)</f>
        <v>UK</v>
      </c>
      <c r="J3679" s="3" t="str">
        <f>TRIM([1]Raw_Data!J3677)</f>
        <v>Amazon</v>
      </c>
      <c r="K3679" s="3">
        <f t="shared" si="228"/>
        <v>2024</v>
      </c>
      <c r="L3679" s="6">
        <f t="shared" si="229"/>
        <v>45413</v>
      </c>
      <c r="M3679" s="3" t="str">
        <f t="shared" si="230"/>
        <v>11% to 15%</v>
      </c>
      <c r="N3679" s="3" t="str">
        <f t="shared" si="231"/>
        <v>OK</v>
      </c>
    </row>
    <row r="3680" spans="1:14" x14ac:dyDescent="0.3">
      <c r="A3680" s="2">
        <f>DATE(VALUE(RIGHT(TRIM([1]Raw_Data!A3678),4)),VALUE(MID(TRIM([1]Raw_Data!A3678),4,2)),VALUE(LEFT(TRIM([1]Raw_Data!A3678),2)))</f>
        <v>45439</v>
      </c>
      <c r="B3680" s="3" t="str">
        <f>TRIM([1]Raw_Data!B3678)</f>
        <v>Biotin</v>
      </c>
      <c r="C3680" s="3" t="str">
        <f>TRIM([1]Raw_Data!C3678)</f>
        <v>Vitamin</v>
      </c>
      <c r="D3680" s="3">
        <f>[1]Raw_Data!D3678</f>
        <v>147</v>
      </c>
      <c r="E3680" s="4">
        <f>[1]Raw_Data!E3678</f>
        <v>21.63</v>
      </c>
      <c r="F3680" s="5">
        <f>[1]Raw_Data!F3678</f>
        <v>3179.61</v>
      </c>
      <c r="G3680" s="4">
        <f>[1]Raw_Data!G3678</f>
        <v>0.17</v>
      </c>
      <c r="H3680" s="3">
        <f>[1]Raw_Data!H3678</f>
        <v>1</v>
      </c>
      <c r="I3680" s="3" t="str">
        <f>TRIM([1]Raw_Data!I3678)</f>
        <v>USA</v>
      </c>
      <c r="J3680" s="3" t="str">
        <f>TRIM([1]Raw_Data!J3678)</f>
        <v>iHerb</v>
      </c>
      <c r="K3680" s="3">
        <f t="shared" si="228"/>
        <v>2024</v>
      </c>
      <c r="L3680" s="6">
        <f t="shared" si="229"/>
        <v>45413</v>
      </c>
      <c r="M3680" s="3" t="str">
        <f t="shared" si="230"/>
        <v>16% to 20%</v>
      </c>
      <c r="N3680" s="3" t="str">
        <f t="shared" si="231"/>
        <v>OK</v>
      </c>
    </row>
    <row r="3681" spans="1:14" x14ac:dyDescent="0.3">
      <c r="A3681" s="2">
        <f>DATE(VALUE(RIGHT(TRIM([1]Raw_Data!A3679),4)),VALUE(MID(TRIM([1]Raw_Data!A3679),4,2)),VALUE(LEFT(TRIM([1]Raw_Data!A3679),2)))</f>
        <v>45439</v>
      </c>
      <c r="B3681" s="3" t="str">
        <f>TRIM([1]Raw_Data!B3679)</f>
        <v>Green Tea Extract</v>
      </c>
      <c r="C3681" s="3" t="str">
        <f>TRIM([1]Raw_Data!C3679)</f>
        <v>Fat Burner</v>
      </c>
      <c r="D3681" s="3">
        <f>[1]Raw_Data!D3679</f>
        <v>156</v>
      </c>
      <c r="E3681" s="4">
        <f>[1]Raw_Data!E3679</f>
        <v>11.12</v>
      </c>
      <c r="F3681" s="5">
        <f>[1]Raw_Data!F3679</f>
        <v>1734.72</v>
      </c>
      <c r="G3681" s="4">
        <f>[1]Raw_Data!G3679</f>
        <v>0.01</v>
      </c>
      <c r="H3681" s="3">
        <f>[1]Raw_Data!H3679</f>
        <v>1</v>
      </c>
      <c r="I3681" s="3" t="str">
        <f>TRIM([1]Raw_Data!I3679)</f>
        <v>USA</v>
      </c>
      <c r="J3681" s="3" t="str">
        <f>TRIM([1]Raw_Data!J3679)</f>
        <v>iHerb</v>
      </c>
      <c r="K3681" s="3">
        <f t="shared" si="228"/>
        <v>2024</v>
      </c>
      <c r="L3681" s="6">
        <f t="shared" si="229"/>
        <v>45413</v>
      </c>
      <c r="M3681" s="3" t="str">
        <f t="shared" si="230"/>
        <v>0% to 5%</v>
      </c>
      <c r="N3681" s="3" t="str">
        <f t="shared" si="231"/>
        <v>OK</v>
      </c>
    </row>
    <row r="3682" spans="1:14" x14ac:dyDescent="0.3">
      <c r="A3682" s="2">
        <f>DATE(VALUE(RIGHT(TRIM([1]Raw_Data!A3680),4)),VALUE(MID(TRIM([1]Raw_Data!A3680),4,2)),VALUE(LEFT(TRIM([1]Raw_Data!A3680),2)))</f>
        <v>45439</v>
      </c>
      <c r="B3682" s="3" t="str">
        <f>TRIM([1]Raw_Data!B3680)</f>
        <v>Iron Supplement</v>
      </c>
      <c r="C3682" s="3" t="str">
        <f>TRIM([1]Raw_Data!C3680)</f>
        <v>Mineral</v>
      </c>
      <c r="D3682" s="3">
        <f>[1]Raw_Data!D3680</f>
        <v>138</v>
      </c>
      <c r="E3682" s="4">
        <f>[1]Raw_Data!E3680</f>
        <v>37.61</v>
      </c>
      <c r="F3682" s="5">
        <f>[1]Raw_Data!F3680</f>
        <v>5190.18</v>
      </c>
      <c r="G3682" s="4">
        <f>[1]Raw_Data!G3680</f>
        <v>0.15</v>
      </c>
      <c r="H3682" s="3">
        <f>[1]Raw_Data!H3680</f>
        <v>1</v>
      </c>
      <c r="I3682" s="3" t="str">
        <f>TRIM([1]Raw_Data!I3680)</f>
        <v>UK</v>
      </c>
      <c r="J3682" s="3" t="str">
        <f>TRIM([1]Raw_Data!J3680)</f>
        <v>Walmart</v>
      </c>
      <c r="K3682" s="3">
        <f t="shared" si="228"/>
        <v>2024</v>
      </c>
      <c r="L3682" s="6">
        <f t="shared" si="229"/>
        <v>45413</v>
      </c>
      <c r="M3682" s="3" t="str">
        <f t="shared" si="230"/>
        <v>11% to 15%</v>
      </c>
      <c r="N3682" s="3" t="str">
        <f t="shared" si="231"/>
        <v>OK</v>
      </c>
    </row>
    <row r="3683" spans="1:14" x14ac:dyDescent="0.3">
      <c r="A3683" s="2">
        <f>DATE(VALUE(RIGHT(TRIM([1]Raw_Data!A3681),4)),VALUE(MID(TRIM([1]Raw_Data!A3681),4,2)),VALUE(LEFT(TRIM([1]Raw_Data!A3681),2)))</f>
        <v>45439</v>
      </c>
      <c r="B3683" s="3" t="str">
        <f>TRIM([1]Raw_Data!B3681)</f>
        <v>Electrolyte Powder</v>
      </c>
      <c r="C3683" s="3" t="str">
        <f>TRIM([1]Raw_Data!C3681)</f>
        <v>Hydration</v>
      </c>
      <c r="D3683" s="3">
        <f>[1]Raw_Data!D3681</f>
        <v>155</v>
      </c>
      <c r="E3683" s="4">
        <f>[1]Raw_Data!E3681</f>
        <v>59.9</v>
      </c>
      <c r="F3683" s="5">
        <f>[1]Raw_Data!F3681</f>
        <v>9284.5</v>
      </c>
      <c r="G3683" s="4">
        <f>[1]Raw_Data!G3681</f>
        <v>0.21</v>
      </c>
      <c r="H3683" s="3">
        <f>[1]Raw_Data!H3681</f>
        <v>2</v>
      </c>
      <c r="I3683" s="3" t="str">
        <f>TRIM([1]Raw_Data!I3681)</f>
        <v>UK</v>
      </c>
      <c r="J3683" s="3" t="str">
        <f>TRIM([1]Raw_Data!J3681)</f>
        <v>Amazon</v>
      </c>
      <c r="K3683" s="3">
        <f t="shared" si="228"/>
        <v>2024</v>
      </c>
      <c r="L3683" s="6">
        <f t="shared" si="229"/>
        <v>45413</v>
      </c>
      <c r="M3683" s="3" t="str">
        <f t="shared" si="230"/>
        <v>21% to 25%</v>
      </c>
      <c r="N3683" s="3" t="str">
        <f t="shared" si="231"/>
        <v>OK</v>
      </c>
    </row>
    <row r="3684" spans="1:14" x14ac:dyDescent="0.3">
      <c r="A3684" s="2">
        <f>DATE(VALUE(RIGHT(TRIM([1]Raw_Data!A3682),4)),VALUE(MID(TRIM([1]Raw_Data!A3682),4,2)),VALUE(LEFT(TRIM([1]Raw_Data!A3682),2)))</f>
        <v>45446</v>
      </c>
      <c r="B3684" s="3" t="str">
        <f>TRIM([1]Raw_Data!B3682)</f>
        <v>Whey Protein</v>
      </c>
      <c r="C3684" s="3" t="str">
        <f>TRIM([1]Raw_Data!C3682)</f>
        <v>Protein</v>
      </c>
      <c r="D3684" s="3">
        <f>[1]Raw_Data!D3682</f>
        <v>138</v>
      </c>
      <c r="E3684" s="4">
        <f>[1]Raw_Data!E3682</f>
        <v>56.88</v>
      </c>
      <c r="F3684" s="5">
        <f>[1]Raw_Data!F3682</f>
        <v>7849.44</v>
      </c>
      <c r="G3684" s="4">
        <f>[1]Raw_Data!G3682</f>
        <v>0.05</v>
      </c>
      <c r="H3684" s="3">
        <f>[1]Raw_Data!H3682</f>
        <v>1</v>
      </c>
      <c r="I3684" s="3" t="str">
        <f>TRIM([1]Raw_Data!I3682)</f>
        <v>Canada</v>
      </c>
      <c r="J3684" s="3" t="str">
        <f>TRIM([1]Raw_Data!J3682)</f>
        <v>Amazon</v>
      </c>
      <c r="K3684" s="3">
        <f t="shared" si="228"/>
        <v>2024</v>
      </c>
      <c r="L3684" s="6">
        <f t="shared" si="229"/>
        <v>45444</v>
      </c>
      <c r="M3684" s="3" t="str">
        <f t="shared" si="230"/>
        <v>0% to 5%</v>
      </c>
      <c r="N3684" s="3" t="str">
        <f t="shared" si="231"/>
        <v>OK</v>
      </c>
    </row>
    <row r="3685" spans="1:14" x14ac:dyDescent="0.3">
      <c r="A3685" s="2">
        <f>DATE(VALUE(RIGHT(TRIM([1]Raw_Data!A3683),4)),VALUE(MID(TRIM([1]Raw_Data!A3683),4,2)),VALUE(LEFT(TRIM([1]Raw_Data!A3683),2)))</f>
        <v>45446</v>
      </c>
      <c r="B3685" s="3" t="str">
        <f>TRIM([1]Raw_Data!B3683)</f>
        <v>Vitamin C</v>
      </c>
      <c r="C3685" s="3" t="str">
        <f>TRIM([1]Raw_Data!C3683)</f>
        <v>Vitamin</v>
      </c>
      <c r="D3685" s="3">
        <f>[1]Raw_Data!D3683</f>
        <v>135</v>
      </c>
      <c r="E3685" s="4">
        <f>[1]Raw_Data!E3683</f>
        <v>30.33</v>
      </c>
      <c r="F3685" s="5">
        <f>[1]Raw_Data!F3683</f>
        <v>4094.55</v>
      </c>
      <c r="G3685" s="4">
        <f>[1]Raw_Data!G3683</f>
        <v>0.02</v>
      </c>
      <c r="H3685" s="3">
        <f>[1]Raw_Data!H3683</f>
        <v>3</v>
      </c>
      <c r="I3685" s="3" t="str">
        <f>TRIM([1]Raw_Data!I3683)</f>
        <v>Canada</v>
      </c>
      <c r="J3685" s="3" t="str">
        <f>TRIM([1]Raw_Data!J3683)</f>
        <v>iHerb</v>
      </c>
      <c r="K3685" s="3">
        <f t="shared" si="228"/>
        <v>2024</v>
      </c>
      <c r="L3685" s="6">
        <f t="shared" si="229"/>
        <v>45444</v>
      </c>
      <c r="M3685" s="3" t="str">
        <f t="shared" si="230"/>
        <v>0% to 5%</v>
      </c>
      <c r="N3685" s="3" t="str">
        <f t="shared" si="231"/>
        <v>OK</v>
      </c>
    </row>
    <row r="3686" spans="1:14" x14ac:dyDescent="0.3">
      <c r="A3686" s="2">
        <f>DATE(VALUE(RIGHT(TRIM([1]Raw_Data!A3684),4)),VALUE(MID(TRIM([1]Raw_Data!A3684),4,2)),VALUE(LEFT(TRIM([1]Raw_Data!A3684),2)))</f>
        <v>45446</v>
      </c>
      <c r="B3686" s="3" t="str">
        <f>TRIM([1]Raw_Data!B3684)</f>
        <v>Fish Oil</v>
      </c>
      <c r="C3686" s="3" t="str">
        <f>TRIM([1]Raw_Data!C3684)</f>
        <v>Omega</v>
      </c>
      <c r="D3686" s="3">
        <f>[1]Raw_Data!D3684</f>
        <v>152</v>
      </c>
      <c r="E3686" s="4">
        <f>[1]Raw_Data!E3684</f>
        <v>27.2</v>
      </c>
      <c r="F3686" s="5">
        <f>[1]Raw_Data!F3684</f>
        <v>4134.3999999999996</v>
      </c>
      <c r="G3686" s="4">
        <f>[1]Raw_Data!G3684</f>
        <v>7.0000000000000007E-2</v>
      </c>
      <c r="H3686" s="3">
        <f>[1]Raw_Data!H3684</f>
        <v>1</v>
      </c>
      <c r="I3686" s="3" t="str">
        <f>TRIM([1]Raw_Data!I3684)</f>
        <v>USA</v>
      </c>
      <c r="J3686" s="3" t="str">
        <f>TRIM([1]Raw_Data!J3684)</f>
        <v>Walmart</v>
      </c>
      <c r="K3686" s="3">
        <f t="shared" si="228"/>
        <v>2024</v>
      </c>
      <c r="L3686" s="6">
        <f t="shared" si="229"/>
        <v>45444</v>
      </c>
      <c r="M3686" s="3" t="str">
        <f t="shared" si="230"/>
        <v>6% to 10%</v>
      </c>
      <c r="N3686" s="3" t="str">
        <f t="shared" si="231"/>
        <v>OK</v>
      </c>
    </row>
    <row r="3687" spans="1:14" x14ac:dyDescent="0.3">
      <c r="A3687" s="2">
        <f>DATE(VALUE(RIGHT(TRIM([1]Raw_Data!A3685),4)),VALUE(MID(TRIM([1]Raw_Data!A3685),4,2)),VALUE(LEFT(TRIM([1]Raw_Data!A3685),2)))</f>
        <v>45446</v>
      </c>
      <c r="B3687" s="3" t="str">
        <f>TRIM([1]Raw_Data!B3685)</f>
        <v>Multivitamin</v>
      </c>
      <c r="C3687" s="3" t="str">
        <f>TRIM([1]Raw_Data!C3685)</f>
        <v>Vitamin</v>
      </c>
      <c r="D3687" s="3">
        <f>[1]Raw_Data!D3685</f>
        <v>144</v>
      </c>
      <c r="E3687" s="4">
        <f>[1]Raw_Data!E3685</f>
        <v>48.68</v>
      </c>
      <c r="F3687" s="5">
        <f>[1]Raw_Data!F3685</f>
        <v>7009.92</v>
      </c>
      <c r="G3687" s="4">
        <f>[1]Raw_Data!G3685</f>
        <v>0.17</v>
      </c>
      <c r="H3687" s="3">
        <f>[1]Raw_Data!H3685</f>
        <v>1</v>
      </c>
      <c r="I3687" s="3" t="str">
        <f>TRIM([1]Raw_Data!I3685)</f>
        <v>Canada</v>
      </c>
      <c r="J3687" s="3" t="str">
        <f>TRIM([1]Raw_Data!J3685)</f>
        <v>Walmart</v>
      </c>
      <c r="K3687" s="3">
        <f t="shared" si="228"/>
        <v>2024</v>
      </c>
      <c r="L3687" s="6">
        <f t="shared" si="229"/>
        <v>45444</v>
      </c>
      <c r="M3687" s="3" t="str">
        <f t="shared" si="230"/>
        <v>16% to 20%</v>
      </c>
      <c r="N3687" s="3" t="str">
        <f t="shared" si="231"/>
        <v>OK</v>
      </c>
    </row>
    <row r="3688" spans="1:14" x14ac:dyDescent="0.3">
      <c r="A3688" s="2">
        <f>DATE(VALUE(RIGHT(TRIM([1]Raw_Data!A3686),4)),VALUE(MID(TRIM([1]Raw_Data!A3686),4,2)),VALUE(LEFT(TRIM([1]Raw_Data!A3686),2)))</f>
        <v>45446</v>
      </c>
      <c r="B3688" s="3" t="str">
        <f>TRIM([1]Raw_Data!B3686)</f>
        <v>Pre-Workout</v>
      </c>
      <c r="C3688" s="3" t="str">
        <f>TRIM([1]Raw_Data!C3686)</f>
        <v>Performance</v>
      </c>
      <c r="D3688" s="3">
        <f>[1]Raw_Data!D3686</f>
        <v>151</v>
      </c>
      <c r="E3688" s="4">
        <f>[1]Raw_Data!E3686</f>
        <v>13.41</v>
      </c>
      <c r="F3688" s="5">
        <f>[1]Raw_Data!F3686</f>
        <v>2024.91</v>
      </c>
      <c r="G3688" s="4">
        <f>[1]Raw_Data!G3686</f>
        <v>0.02</v>
      </c>
      <c r="H3688" s="3">
        <f>[1]Raw_Data!H3686</f>
        <v>2</v>
      </c>
      <c r="I3688" s="3" t="str">
        <f>TRIM([1]Raw_Data!I3686)</f>
        <v>UK</v>
      </c>
      <c r="J3688" s="3" t="str">
        <f>TRIM([1]Raw_Data!J3686)</f>
        <v>iHerb</v>
      </c>
      <c r="K3688" s="3">
        <f t="shared" si="228"/>
        <v>2024</v>
      </c>
      <c r="L3688" s="6">
        <f t="shared" si="229"/>
        <v>45444</v>
      </c>
      <c r="M3688" s="3" t="str">
        <f t="shared" si="230"/>
        <v>0% to 5%</v>
      </c>
      <c r="N3688" s="3" t="str">
        <f t="shared" si="231"/>
        <v>OK</v>
      </c>
    </row>
    <row r="3689" spans="1:14" x14ac:dyDescent="0.3">
      <c r="A3689" s="2">
        <f>DATE(VALUE(RIGHT(TRIM([1]Raw_Data!A3687),4)),VALUE(MID(TRIM([1]Raw_Data!A3687),4,2)),VALUE(LEFT(TRIM([1]Raw_Data!A3687),2)))</f>
        <v>45446</v>
      </c>
      <c r="B3689" s="3" t="str">
        <f>TRIM([1]Raw_Data!B3687)</f>
        <v>BCAA</v>
      </c>
      <c r="C3689" s="3" t="str">
        <f>TRIM([1]Raw_Data!C3687)</f>
        <v>Amino Acid</v>
      </c>
      <c r="D3689" s="3">
        <f>[1]Raw_Data!D3687</f>
        <v>155</v>
      </c>
      <c r="E3689" s="4">
        <f>[1]Raw_Data!E3687</f>
        <v>47.26</v>
      </c>
      <c r="F3689" s="5">
        <f>[1]Raw_Data!F3687</f>
        <v>7325.3</v>
      </c>
      <c r="G3689" s="4">
        <f>[1]Raw_Data!G3687</f>
        <v>0.16</v>
      </c>
      <c r="H3689" s="3">
        <f>[1]Raw_Data!H3687</f>
        <v>3</v>
      </c>
      <c r="I3689" s="3" t="str">
        <f>TRIM([1]Raw_Data!I3687)</f>
        <v>USA</v>
      </c>
      <c r="J3689" s="3" t="str">
        <f>TRIM([1]Raw_Data!J3687)</f>
        <v>Walmart</v>
      </c>
      <c r="K3689" s="3">
        <f t="shared" si="228"/>
        <v>2024</v>
      </c>
      <c r="L3689" s="6">
        <f t="shared" si="229"/>
        <v>45444</v>
      </c>
      <c r="M3689" s="3" t="str">
        <f t="shared" si="230"/>
        <v>16% to 20%</v>
      </c>
      <c r="N3689" s="3" t="str">
        <f t="shared" si="231"/>
        <v>OK</v>
      </c>
    </row>
    <row r="3690" spans="1:14" x14ac:dyDescent="0.3">
      <c r="A3690" s="2">
        <f>DATE(VALUE(RIGHT(TRIM([1]Raw_Data!A3688),4)),VALUE(MID(TRIM([1]Raw_Data!A3688),4,2)),VALUE(LEFT(TRIM([1]Raw_Data!A3688),2)))</f>
        <v>45446</v>
      </c>
      <c r="B3690" s="3" t="str">
        <f>TRIM([1]Raw_Data!B3688)</f>
        <v>Creatine</v>
      </c>
      <c r="C3690" s="3" t="str">
        <f>TRIM([1]Raw_Data!C3688)</f>
        <v>Performance</v>
      </c>
      <c r="D3690" s="3">
        <f>[1]Raw_Data!D3688</f>
        <v>136</v>
      </c>
      <c r="E3690" s="4">
        <f>[1]Raw_Data!E3688</f>
        <v>14.18</v>
      </c>
      <c r="F3690" s="5">
        <f>[1]Raw_Data!F3688</f>
        <v>1928.48</v>
      </c>
      <c r="G3690" s="4">
        <f>[1]Raw_Data!G3688</f>
        <v>0.14000000000000001</v>
      </c>
      <c r="H3690" s="3">
        <f>[1]Raw_Data!H3688</f>
        <v>1</v>
      </c>
      <c r="I3690" s="3" t="str">
        <f>TRIM([1]Raw_Data!I3688)</f>
        <v>Canada</v>
      </c>
      <c r="J3690" s="3" t="str">
        <f>TRIM([1]Raw_Data!J3688)</f>
        <v>iHerb</v>
      </c>
      <c r="K3690" s="3">
        <f t="shared" si="228"/>
        <v>2024</v>
      </c>
      <c r="L3690" s="6">
        <f t="shared" si="229"/>
        <v>45444</v>
      </c>
      <c r="M3690" s="3" t="str">
        <f t="shared" si="230"/>
        <v>11% to 15%</v>
      </c>
      <c r="N3690" s="3" t="str">
        <f t="shared" si="231"/>
        <v>OK</v>
      </c>
    </row>
    <row r="3691" spans="1:14" x14ac:dyDescent="0.3">
      <c r="A3691" s="2">
        <f>DATE(VALUE(RIGHT(TRIM([1]Raw_Data!A3689),4)),VALUE(MID(TRIM([1]Raw_Data!A3689),4,2)),VALUE(LEFT(TRIM([1]Raw_Data!A3689),2)))</f>
        <v>45446</v>
      </c>
      <c r="B3691" s="3" t="str">
        <f>TRIM([1]Raw_Data!B3689)</f>
        <v>Zinc</v>
      </c>
      <c r="C3691" s="3" t="str">
        <f>TRIM([1]Raw_Data!C3689)</f>
        <v>Mineral</v>
      </c>
      <c r="D3691" s="3">
        <f>[1]Raw_Data!D3689</f>
        <v>146</v>
      </c>
      <c r="E3691" s="4">
        <f>[1]Raw_Data!E3689</f>
        <v>10.220000000000001</v>
      </c>
      <c r="F3691" s="5">
        <f>[1]Raw_Data!F3689</f>
        <v>1492.12</v>
      </c>
      <c r="G3691" s="4">
        <f>[1]Raw_Data!G3689</f>
        <v>0.13</v>
      </c>
      <c r="H3691" s="3">
        <f>[1]Raw_Data!H3689</f>
        <v>0</v>
      </c>
      <c r="I3691" s="3" t="str">
        <f>TRIM([1]Raw_Data!I3689)</f>
        <v>UK</v>
      </c>
      <c r="J3691" s="3" t="str">
        <f>TRIM([1]Raw_Data!J3689)</f>
        <v>Walmart</v>
      </c>
      <c r="K3691" s="3">
        <f t="shared" si="228"/>
        <v>2024</v>
      </c>
      <c r="L3691" s="6">
        <f t="shared" si="229"/>
        <v>45444</v>
      </c>
      <c r="M3691" s="3" t="str">
        <f t="shared" si="230"/>
        <v>11% to 15%</v>
      </c>
      <c r="N3691" s="3" t="str">
        <f t="shared" si="231"/>
        <v>OK</v>
      </c>
    </row>
    <row r="3692" spans="1:14" x14ac:dyDescent="0.3">
      <c r="A3692" s="2">
        <f>DATE(VALUE(RIGHT(TRIM([1]Raw_Data!A3690),4)),VALUE(MID(TRIM([1]Raw_Data!A3690),4,2)),VALUE(LEFT(TRIM([1]Raw_Data!A3690),2)))</f>
        <v>45446</v>
      </c>
      <c r="B3692" s="3" t="str">
        <f>TRIM([1]Raw_Data!B3690)</f>
        <v>Collagen Peptides</v>
      </c>
      <c r="C3692" s="3" t="str">
        <f>TRIM([1]Raw_Data!C3690)</f>
        <v>Protein</v>
      </c>
      <c r="D3692" s="3">
        <f>[1]Raw_Data!D3690</f>
        <v>159</v>
      </c>
      <c r="E3692" s="4">
        <f>[1]Raw_Data!E3690</f>
        <v>51.58</v>
      </c>
      <c r="F3692" s="5">
        <f>[1]Raw_Data!F3690</f>
        <v>8201.2199999999993</v>
      </c>
      <c r="G3692" s="4">
        <f>[1]Raw_Data!G3690</f>
        <v>0.21</v>
      </c>
      <c r="H3692" s="3">
        <f>[1]Raw_Data!H3690</f>
        <v>3</v>
      </c>
      <c r="I3692" s="3" t="str">
        <f>TRIM([1]Raw_Data!I3690)</f>
        <v>USA</v>
      </c>
      <c r="J3692" s="3" t="str">
        <f>TRIM([1]Raw_Data!J3690)</f>
        <v>Walmart</v>
      </c>
      <c r="K3692" s="3">
        <f t="shared" si="228"/>
        <v>2024</v>
      </c>
      <c r="L3692" s="6">
        <f t="shared" si="229"/>
        <v>45444</v>
      </c>
      <c r="M3692" s="3" t="str">
        <f t="shared" si="230"/>
        <v>21% to 25%</v>
      </c>
      <c r="N3692" s="3" t="str">
        <f t="shared" si="231"/>
        <v>OK</v>
      </c>
    </row>
    <row r="3693" spans="1:14" x14ac:dyDescent="0.3">
      <c r="A3693" s="2">
        <f>DATE(VALUE(RIGHT(TRIM([1]Raw_Data!A3691),4)),VALUE(MID(TRIM([1]Raw_Data!A3691),4,2)),VALUE(LEFT(TRIM([1]Raw_Data!A3691),2)))</f>
        <v>45446</v>
      </c>
      <c r="B3693" s="3" t="str">
        <f>TRIM([1]Raw_Data!B3691)</f>
        <v>Magnesium</v>
      </c>
      <c r="C3693" s="3" t="str">
        <f>TRIM([1]Raw_Data!C3691)</f>
        <v>Mineral</v>
      </c>
      <c r="D3693" s="3">
        <f>[1]Raw_Data!D3691</f>
        <v>136</v>
      </c>
      <c r="E3693" s="4">
        <f>[1]Raw_Data!E3691</f>
        <v>10.72</v>
      </c>
      <c r="F3693" s="5">
        <f>[1]Raw_Data!F3691</f>
        <v>1457.92</v>
      </c>
      <c r="G3693" s="4">
        <f>[1]Raw_Data!G3691</f>
        <v>0.21</v>
      </c>
      <c r="H3693" s="3">
        <f>[1]Raw_Data!H3691</f>
        <v>2</v>
      </c>
      <c r="I3693" s="3" t="str">
        <f>TRIM([1]Raw_Data!I3691)</f>
        <v>UK</v>
      </c>
      <c r="J3693" s="3" t="str">
        <f>TRIM([1]Raw_Data!J3691)</f>
        <v>iHerb</v>
      </c>
      <c r="K3693" s="3">
        <f t="shared" si="228"/>
        <v>2024</v>
      </c>
      <c r="L3693" s="6">
        <f t="shared" si="229"/>
        <v>45444</v>
      </c>
      <c r="M3693" s="3" t="str">
        <f t="shared" si="230"/>
        <v>21% to 25%</v>
      </c>
      <c r="N3693" s="3" t="str">
        <f t="shared" si="231"/>
        <v>OK</v>
      </c>
    </row>
    <row r="3694" spans="1:14" x14ac:dyDescent="0.3">
      <c r="A3694" s="2">
        <f>DATE(VALUE(RIGHT(TRIM([1]Raw_Data!A3692),4)),VALUE(MID(TRIM([1]Raw_Data!A3692),4,2)),VALUE(LEFT(TRIM([1]Raw_Data!A3692),2)))</f>
        <v>45446</v>
      </c>
      <c r="B3694" s="3" t="str">
        <f>TRIM([1]Raw_Data!B3692)</f>
        <v>Ashwagandha</v>
      </c>
      <c r="C3694" s="3" t="str">
        <f>TRIM([1]Raw_Data!C3692)</f>
        <v>Herbal</v>
      </c>
      <c r="D3694" s="3">
        <f>[1]Raw_Data!D3692</f>
        <v>151</v>
      </c>
      <c r="E3694" s="4">
        <f>[1]Raw_Data!E3692</f>
        <v>14.72</v>
      </c>
      <c r="F3694" s="5">
        <f>[1]Raw_Data!F3692</f>
        <v>2222.7199999999998</v>
      </c>
      <c r="G3694" s="4">
        <f>[1]Raw_Data!G3692</f>
        <v>0.13</v>
      </c>
      <c r="H3694" s="3">
        <f>[1]Raw_Data!H3692</f>
        <v>1</v>
      </c>
      <c r="I3694" s="3" t="str">
        <f>TRIM([1]Raw_Data!I3692)</f>
        <v>Canada</v>
      </c>
      <c r="J3694" s="3" t="str">
        <f>TRIM([1]Raw_Data!J3692)</f>
        <v>Walmart</v>
      </c>
      <c r="K3694" s="3">
        <f t="shared" si="228"/>
        <v>2024</v>
      </c>
      <c r="L3694" s="6">
        <f t="shared" si="229"/>
        <v>45444</v>
      </c>
      <c r="M3694" s="3" t="str">
        <f t="shared" si="230"/>
        <v>11% to 15%</v>
      </c>
      <c r="N3694" s="3" t="str">
        <f t="shared" si="231"/>
        <v>OK</v>
      </c>
    </row>
    <row r="3695" spans="1:14" x14ac:dyDescent="0.3">
      <c r="A3695" s="2">
        <f>DATE(VALUE(RIGHT(TRIM([1]Raw_Data!A3693),4)),VALUE(MID(TRIM([1]Raw_Data!A3693),4,2)),VALUE(LEFT(TRIM([1]Raw_Data!A3693),2)))</f>
        <v>45446</v>
      </c>
      <c r="B3695" s="3" t="str">
        <f>TRIM([1]Raw_Data!B3693)</f>
        <v>Melatonin</v>
      </c>
      <c r="C3695" s="3" t="str">
        <f>TRIM([1]Raw_Data!C3693)</f>
        <v>Sleep Aid</v>
      </c>
      <c r="D3695" s="3">
        <f>[1]Raw_Data!D3693</f>
        <v>144</v>
      </c>
      <c r="E3695" s="4">
        <f>[1]Raw_Data!E3693</f>
        <v>26.26</v>
      </c>
      <c r="F3695" s="5">
        <f>[1]Raw_Data!F3693</f>
        <v>3781.44</v>
      </c>
      <c r="G3695" s="4">
        <f>[1]Raw_Data!G3693</f>
        <v>0.18</v>
      </c>
      <c r="H3695" s="3">
        <f>[1]Raw_Data!H3693</f>
        <v>2</v>
      </c>
      <c r="I3695" s="3" t="str">
        <f>TRIM([1]Raw_Data!I3693)</f>
        <v>USA</v>
      </c>
      <c r="J3695" s="3" t="str">
        <f>TRIM([1]Raw_Data!J3693)</f>
        <v>Amazon</v>
      </c>
      <c r="K3695" s="3">
        <f t="shared" si="228"/>
        <v>2024</v>
      </c>
      <c r="L3695" s="6">
        <f t="shared" si="229"/>
        <v>45444</v>
      </c>
      <c r="M3695" s="3" t="str">
        <f t="shared" si="230"/>
        <v>16% to 20%</v>
      </c>
      <c r="N3695" s="3" t="str">
        <f t="shared" si="231"/>
        <v>OK</v>
      </c>
    </row>
    <row r="3696" spans="1:14" x14ac:dyDescent="0.3">
      <c r="A3696" s="2">
        <f>DATE(VALUE(RIGHT(TRIM([1]Raw_Data!A3694),4)),VALUE(MID(TRIM([1]Raw_Data!A3694),4,2)),VALUE(LEFT(TRIM([1]Raw_Data!A3694),2)))</f>
        <v>45446</v>
      </c>
      <c r="B3696" s="3" t="str">
        <f>TRIM([1]Raw_Data!B3694)</f>
        <v>Biotin</v>
      </c>
      <c r="C3696" s="3" t="str">
        <f>TRIM([1]Raw_Data!C3694)</f>
        <v>Vitamin</v>
      </c>
      <c r="D3696" s="3">
        <f>[1]Raw_Data!D3694</f>
        <v>133</v>
      </c>
      <c r="E3696" s="4">
        <f>[1]Raw_Data!E3694</f>
        <v>49.53</v>
      </c>
      <c r="F3696" s="5">
        <f>[1]Raw_Data!F3694</f>
        <v>6587.49</v>
      </c>
      <c r="G3696" s="4">
        <f>[1]Raw_Data!G3694</f>
        <v>0.05</v>
      </c>
      <c r="H3696" s="3">
        <f>[1]Raw_Data!H3694</f>
        <v>1</v>
      </c>
      <c r="I3696" s="3" t="str">
        <f>TRIM([1]Raw_Data!I3694)</f>
        <v>USA</v>
      </c>
      <c r="J3696" s="3" t="str">
        <f>TRIM([1]Raw_Data!J3694)</f>
        <v>Walmart</v>
      </c>
      <c r="K3696" s="3">
        <f t="shared" si="228"/>
        <v>2024</v>
      </c>
      <c r="L3696" s="6">
        <f t="shared" si="229"/>
        <v>45444</v>
      </c>
      <c r="M3696" s="3" t="str">
        <f t="shared" si="230"/>
        <v>0% to 5%</v>
      </c>
      <c r="N3696" s="3" t="str">
        <f t="shared" si="231"/>
        <v>OK</v>
      </c>
    </row>
    <row r="3697" spans="1:14" x14ac:dyDescent="0.3">
      <c r="A3697" s="2">
        <f>DATE(VALUE(RIGHT(TRIM([1]Raw_Data!A3695),4)),VALUE(MID(TRIM([1]Raw_Data!A3695),4,2)),VALUE(LEFT(TRIM([1]Raw_Data!A3695),2)))</f>
        <v>45446</v>
      </c>
      <c r="B3697" s="3" t="str">
        <f>TRIM([1]Raw_Data!B3695)</f>
        <v>Green Tea Extract</v>
      </c>
      <c r="C3697" s="3" t="str">
        <f>TRIM([1]Raw_Data!C3695)</f>
        <v>Fat Burner</v>
      </c>
      <c r="D3697" s="3">
        <f>[1]Raw_Data!D3695</f>
        <v>154</v>
      </c>
      <c r="E3697" s="4">
        <f>[1]Raw_Data!E3695</f>
        <v>48.93</v>
      </c>
      <c r="F3697" s="5">
        <f>[1]Raw_Data!F3695</f>
        <v>7535.22</v>
      </c>
      <c r="G3697" s="4">
        <f>[1]Raw_Data!G3695</f>
        <v>7.0000000000000007E-2</v>
      </c>
      <c r="H3697" s="3">
        <f>[1]Raw_Data!H3695</f>
        <v>0</v>
      </c>
      <c r="I3697" s="3" t="str">
        <f>TRIM([1]Raw_Data!I3695)</f>
        <v>UK</v>
      </c>
      <c r="J3697" s="3" t="str">
        <f>TRIM([1]Raw_Data!J3695)</f>
        <v>Walmart</v>
      </c>
      <c r="K3697" s="3">
        <f t="shared" si="228"/>
        <v>2024</v>
      </c>
      <c r="L3697" s="6">
        <f t="shared" si="229"/>
        <v>45444</v>
      </c>
      <c r="M3697" s="3" t="str">
        <f t="shared" si="230"/>
        <v>6% to 10%</v>
      </c>
      <c r="N3697" s="3" t="str">
        <f t="shared" si="231"/>
        <v>OK</v>
      </c>
    </row>
    <row r="3698" spans="1:14" x14ac:dyDescent="0.3">
      <c r="A3698" s="2">
        <f>DATE(VALUE(RIGHT(TRIM([1]Raw_Data!A3696),4)),VALUE(MID(TRIM([1]Raw_Data!A3696),4,2)),VALUE(LEFT(TRIM([1]Raw_Data!A3696),2)))</f>
        <v>45446</v>
      </c>
      <c r="B3698" s="3" t="str">
        <f>TRIM([1]Raw_Data!B3696)</f>
        <v>Iron Supplement</v>
      </c>
      <c r="C3698" s="3" t="str">
        <f>TRIM([1]Raw_Data!C3696)</f>
        <v>Mineral</v>
      </c>
      <c r="D3698" s="3">
        <f>[1]Raw_Data!D3696</f>
        <v>152</v>
      </c>
      <c r="E3698" s="4">
        <f>[1]Raw_Data!E3696</f>
        <v>56.01</v>
      </c>
      <c r="F3698" s="5">
        <f>[1]Raw_Data!F3696</f>
        <v>8513.52</v>
      </c>
      <c r="G3698" s="4">
        <f>[1]Raw_Data!G3696</f>
        <v>0.22</v>
      </c>
      <c r="H3698" s="3">
        <f>[1]Raw_Data!H3696</f>
        <v>1</v>
      </c>
      <c r="I3698" s="3" t="str">
        <f>TRIM([1]Raw_Data!I3696)</f>
        <v>USA</v>
      </c>
      <c r="J3698" s="3" t="str">
        <f>TRIM([1]Raw_Data!J3696)</f>
        <v>iHerb</v>
      </c>
      <c r="K3698" s="3">
        <f t="shared" si="228"/>
        <v>2024</v>
      </c>
      <c r="L3698" s="6">
        <f t="shared" si="229"/>
        <v>45444</v>
      </c>
      <c r="M3698" s="3" t="str">
        <f t="shared" si="230"/>
        <v>21% to 25%</v>
      </c>
      <c r="N3698" s="3" t="str">
        <f t="shared" si="231"/>
        <v>OK</v>
      </c>
    </row>
    <row r="3699" spans="1:14" x14ac:dyDescent="0.3">
      <c r="A3699" s="2">
        <f>DATE(VALUE(RIGHT(TRIM([1]Raw_Data!A3697),4)),VALUE(MID(TRIM([1]Raw_Data!A3697),4,2)),VALUE(LEFT(TRIM([1]Raw_Data!A3697),2)))</f>
        <v>45446</v>
      </c>
      <c r="B3699" s="3" t="str">
        <f>TRIM([1]Raw_Data!B3697)</f>
        <v>Electrolyte Powder</v>
      </c>
      <c r="C3699" s="3" t="str">
        <f>TRIM([1]Raw_Data!C3697)</f>
        <v>Hydration</v>
      </c>
      <c r="D3699" s="3">
        <f>[1]Raw_Data!D3697</f>
        <v>145</v>
      </c>
      <c r="E3699" s="4">
        <f>[1]Raw_Data!E3697</f>
        <v>23.38</v>
      </c>
      <c r="F3699" s="5">
        <f>[1]Raw_Data!F3697</f>
        <v>3390.1</v>
      </c>
      <c r="G3699" s="4">
        <f>[1]Raw_Data!G3697</f>
        <v>0.14000000000000001</v>
      </c>
      <c r="H3699" s="3">
        <f>[1]Raw_Data!H3697</f>
        <v>2</v>
      </c>
      <c r="I3699" s="3" t="str">
        <f>TRIM([1]Raw_Data!I3697)</f>
        <v>Canada</v>
      </c>
      <c r="J3699" s="3" t="str">
        <f>TRIM([1]Raw_Data!J3697)</f>
        <v>Amazon</v>
      </c>
      <c r="K3699" s="3">
        <f t="shared" si="228"/>
        <v>2024</v>
      </c>
      <c r="L3699" s="6">
        <f t="shared" si="229"/>
        <v>45444</v>
      </c>
      <c r="M3699" s="3" t="str">
        <f t="shared" si="230"/>
        <v>11% to 15%</v>
      </c>
      <c r="N3699" s="3" t="str">
        <f t="shared" si="231"/>
        <v>OK</v>
      </c>
    </row>
    <row r="3700" spans="1:14" x14ac:dyDescent="0.3">
      <c r="A3700" s="2">
        <f>DATE(VALUE(RIGHT(TRIM([1]Raw_Data!A3698),4)),VALUE(MID(TRIM([1]Raw_Data!A3698),4,2)),VALUE(LEFT(TRIM([1]Raw_Data!A3698),2)))</f>
        <v>45453</v>
      </c>
      <c r="B3700" s="3" t="str">
        <f>TRIM([1]Raw_Data!B3698)</f>
        <v>Whey Protein</v>
      </c>
      <c r="C3700" s="3" t="str">
        <f>TRIM([1]Raw_Data!C3698)</f>
        <v>Protein</v>
      </c>
      <c r="D3700" s="3">
        <f>[1]Raw_Data!D3698</f>
        <v>143</v>
      </c>
      <c r="E3700" s="4">
        <f>[1]Raw_Data!E3698</f>
        <v>33.770000000000003</v>
      </c>
      <c r="F3700" s="5">
        <f>[1]Raw_Data!F3698</f>
        <v>4829.1099999999997</v>
      </c>
      <c r="G3700" s="4">
        <f>[1]Raw_Data!G3698</f>
        <v>0.02</v>
      </c>
      <c r="H3700" s="3">
        <f>[1]Raw_Data!H3698</f>
        <v>2</v>
      </c>
      <c r="I3700" s="3" t="str">
        <f>TRIM([1]Raw_Data!I3698)</f>
        <v>Canada</v>
      </c>
      <c r="J3700" s="3" t="str">
        <f>TRIM([1]Raw_Data!J3698)</f>
        <v>Amazon</v>
      </c>
      <c r="K3700" s="3">
        <f t="shared" si="228"/>
        <v>2024</v>
      </c>
      <c r="L3700" s="6">
        <f t="shared" si="229"/>
        <v>45444</v>
      </c>
      <c r="M3700" s="3" t="str">
        <f t="shared" si="230"/>
        <v>0% to 5%</v>
      </c>
      <c r="N3700" s="3" t="str">
        <f t="shared" si="231"/>
        <v>OK</v>
      </c>
    </row>
    <row r="3701" spans="1:14" x14ac:dyDescent="0.3">
      <c r="A3701" s="2">
        <f>DATE(VALUE(RIGHT(TRIM([1]Raw_Data!A3699),4)),VALUE(MID(TRIM([1]Raw_Data!A3699),4,2)),VALUE(LEFT(TRIM([1]Raw_Data!A3699),2)))</f>
        <v>45453</v>
      </c>
      <c r="B3701" s="3" t="str">
        <f>TRIM([1]Raw_Data!B3699)</f>
        <v>Vitamin C</v>
      </c>
      <c r="C3701" s="3" t="str">
        <f>TRIM([1]Raw_Data!C3699)</f>
        <v>Vitamin</v>
      </c>
      <c r="D3701" s="3">
        <f>[1]Raw_Data!D3699</f>
        <v>151</v>
      </c>
      <c r="E3701" s="4">
        <f>[1]Raw_Data!E3699</f>
        <v>25.02</v>
      </c>
      <c r="F3701" s="5">
        <f>[1]Raw_Data!F3699</f>
        <v>3778.02</v>
      </c>
      <c r="G3701" s="4">
        <f>[1]Raw_Data!G3699</f>
        <v>0.23</v>
      </c>
      <c r="H3701" s="3">
        <f>[1]Raw_Data!H3699</f>
        <v>0</v>
      </c>
      <c r="I3701" s="3" t="str">
        <f>TRIM([1]Raw_Data!I3699)</f>
        <v>UK</v>
      </c>
      <c r="J3701" s="3" t="str">
        <f>TRIM([1]Raw_Data!J3699)</f>
        <v>Walmart</v>
      </c>
      <c r="K3701" s="3">
        <f t="shared" si="228"/>
        <v>2024</v>
      </c>
      <c r="L3701" s="6">
        <f t="shared" si="229"/>
        <v>45444</v>
      </c>
      <c r="M3701" s="3" t="str">
        <f t="shared" si="230"/>
        <v>21% to 25%</v>
      </c>
      <c r="N3701" s="3" t="str">
        <f t="shared" si="231"/>
        <v>OK</v>
      </c>
    </row>
    <row r="3702" spans="1:14" x14ac:dyDescent="0.3">
      <c r="A3702" s="2">
        <f>DATE(VALUE(RIGHT(TRIM([1]Raw_Data!A3700),4)),VALUE(MID(TRIM([1]Raw_Data!A3700),4,2)),VALUE(LEFT(TRIM([1]Raw_Data!A3700),2)))</f>
        <v>45453</v>
      </c>
      <c r="B3702" s="3" t="str">
        <f>TRIM([1]Raw_Data!B3700)</f>
        <v>Fish Oil</v>
      </c>
      <c r="C3702" s="3" t="str">
        <f>TRIM([1]Raw_Data!C3700)</f>
        <v>Omega</v>
      </c>
      <c r="D3702" s="3">
        <f>[1]Raw_Data!D3700</f>
        <v>166</v>
      </c>
      <c r="E3702" s="4">
        <f>[1]Raw_Data!E3700</f>
        <v>54.03</v>
      </c>
      <c r="F3702" s="5">
        <f>[1]Raw_Data!F3700</f>
        <v>8968.98</v>
      </c>
      <c r="G3702" s="4">
        <f>[1]Raw_Data!G3700</f>
        <v>0.18</v>
      </c>
      <c r="H3702" s="3">
        <f>[1]Raw_Data!H3700</f>
        <v>0</v>
      </c>
      <c r="I3702" s="3" t="str">
        <f>TRIM([1]Raw_Data!I3700)</f>
        <v>USA</v>
      </c>
      <c r="J3702" s="3" t="str">
        <f>TRIM([1]Raw_Data!J3700)</f>
        <v>Amazon</v>
      </c>
      <c r="K3702" s="3">
        <f t="shared" si="228"/>
        <v>2024</v>
      </c>
      <c r="L3702" s="6">
        <f t="shared" si="229"/>
        <v>45444</v>
      </c>
      <c r="M3702" s="3" t="str">
        <f t="shared" si="230"/>
        <v>16% to 20%</v>
      </c>
      <c r="N3702" s="3" t="str">
        <f t="shared" si="231"/>
        <v>OK</v>
      </c>
    </row>
    <row r="3703" spans="1:14" x14ac:dyDescent="0.3">
      <c r="A3703" s="2">
        <f>DATE(VALUE(RIGHT(TRIM([1]Raw_Data!A3701),4)),VALUE(MID(TRIM([1]Raw_Data!A3701),4,2)),VALUE(LEFT(TRIM([1]Raw_Data!A3701),2)))</f>
        <v>45453</v>
      </c>
      <c r="B3703" s="3" t="str">
        <f>TRIM([1]Raw_Data!B3701)</f>
        <v>Multivitamin</v>
      </c>
      <c r="C3703" s="3" t="str">
        <f>TRIM([1]Raw_Data!C3701)</f>
        <v>Vitamin</v>
      </c>
      <c r="D3703" s="3">
        <f>[1]Raw_Data!D3701</f>
        <v>163</v>
      </c>
      <c r="E3703" s="4">
        <f>[1]Raw_Data!E3701</f>
        <v>11.62</v>
      </c>
      <c r="F3703" s="5">
        <f>[1]Raw_Data!F3701</f>
        <v>1894.06</v>
      </c>
      <c r="G3703" s="4">
        <f>[1]Raw_Data!G3701</f>
        <v>0.03</v>
      </c>
      <c r="H3703" s="3">
        <f>[1]Raw_Data!H3701</f>
        <v>2</v>
      </c>
      <c r="I3703" s="3" t="str">
        <f>TRIM([1]Raw_Data!I3701)</f>
        <v>USA</v>
      </c>
      <c r="J3703" s="3" t="str">
        <f>TRIM([1]Raw_Data!J3701)</f>
        <v>Walmart</v>
      </c>
      <c r="K3703" s="3">
        <f t="shared" si="228"/>
        <v>2024</v>
      </c>
      <c r="L3703" s="6">
        <f t="shared" si="229"/>
        <v>45444</v>
      </c>
      <c r="M3703" s="3" t="str">
        <f t="shared" si="230"/>
        <v>0% to 5%</v>
      </c>
      <c r="N3703" s="3" t="str">
        <f t="shared" si="231"/>
        <v>OK</v>
      </c>
    </row>
    <row r="3704" spans="1:14" x14ac:dyDescent="0.3">
      <c r="A3704" s="2">
        <f>DATE(VALUE(RIGHT(TRIM([1]Raw_Data!A3702),4)),VALUE(MID(TRIM([1]Raw_Data!A3702),4,2)),VALUE(LEFT(TRIM([1]Raw_Data!A3702),2)))</f>
        <v>45453</v>
      </c>
      <c r="B3704" s="3" t="str">
        <f>TRIM([1]Raw_Data!B3702)</f>
        <v>Pre-Workout</v>
      </c>
      <c r="C3704" s="3" t="str">
        <f>TRIM([1]Raw_Data!C3702)</f>
        <v>Performance</v>
      </c>
      <c r="D3704" s="3">
        <f>[1]Raw_Data!D3702</f>
        <v>156</v>
      </c>
      <c r="E3704" s="4">
        <f>[1]Raw_Data!E3702</f>
        <v>46.01</v>
      </c>
      <c r="F3704" s="5">
        <f>[1]Raw_Data!F3702</f>
        <v>7177.56</v>
      </c>
      <c r="G3704" s="4">
        <f>[1]Raw_Data!G3702</f>
        <v>0.16</v>
      </c>
      <c r="H3704" s="3">
        <f>[1]Raw_Data!H3702</f>
        <v>2</v>
      </c>
      <c r="I3704" s="3" t="str">
        <f>TRIM([1]Raw_Data!I3702)</f>
        <v>USA</v>
      </c>
      <c r="J3704" s="3" t="str">
        <f>TRIM([1]Raw_Data!J3702)</f>
        <v>Walmart</v>
      </c>
      <c r="K3704" s="3">
        <f t="shared" si="228"/>
        <v>2024</v>
      </c>
      <c r="L3704" s="6">
        <f t="shared" si="229"/>
        <v>45444</v>
      </c>
      <c r="M3704" s="3" t="str">
        <f t="shared" si="230"/>
        <v>16% to 20%</v>
      </c>
      <c r="N3704" s="3" t="str">
        <f t="shared" si="231"/>
        <v>OK</v>
      </c>
    </row>
    <row r="3705" spans="1:14" x14ac:dyDescent="0.3">
      <c r="A3705" s="2">
        <f>DATE(VALUE(RIGHT(TRIM([1]Raw_Data!A3703),4)),VALUE(MID(TRIM([1]Raw_Data!A3703),4,2)),VALUE(LEFT(TRIM([1]Raw_Data!A3703),2)))</f>
        <v>45453</v>
      </c>
      <c r="B3705" s="3" t="str">
        <f>TRIM([1]Raw_Data!B3703)</f>
        <v>BCAA</v>
      </c>
      <c r="C3705" s="3" t="str">
        <f>TRIM([1]Raw_Data!C3703)</f>
        <v>Amino Acid</v>
      </c>
      <c r="D3705" s="3">
        <f>[1]Raw_Data!D3703</f>
        <v>153</v>
      </c>
      <c r="E3705" s="4">
        <f>[1]Raw_Data!E3703</f>
        <v>55.62</v>
      </c>
      <c r="F3705" s="5">
        <f>[1]Raw_Data!F3703</f>
        <v>8509.86</v>
      </c>
      <c r="G3705" s="4">
        <f>[1]Raw_Data!G3703</f>
        <v>0</v>
      </c>
      <c r="H3705" s="3">
        <f>[1]Raw_Data!H3703</f>
        <v>1</v>
      </c>
      <c r="I3705" s="3" t="str">
        <f>TRIM([1]Raw_Data!I3703)</f>
        <v>UK</v>
      </c>
      <c r="J3705" s="3" t="str">
        <f>TRIM([1]Raw_Data!J3703)</f>
        <v>Amazon</v>
      </c>
      <c r="K3705" s="3">
        <f t="shared" si="228"/>
        <v>2024</v>
      </c>
      <c r="L3705" s="6">
        <f t="shared" si="229"/>
        <v>45444</v>
      </c>
      <c r="M3705" s="3" t="str">
        <f t="shared" si="230"/>
        <v>0% to 5%</v>
      </c>
      <c r="N3705" s="3" t="str">
        <f t="shared" si="231"/>
        <v>OK</v>
      </c>
    </row>
    <row r="3706" spans="1:14" x14ac:dyDescent="0.3">
      <c r="A3706" s="2">
        <f>DATE(VALUE(RIGHT(TRIM([1]Raw_Data!A3704),4)),VALUE(MID(TRIM([1]Raw_Data!A3704),4,2)),VALUE(LEFT(TRIM([1]Raw_Data!A3704),2)))</f>
        <v>45453</v>
      </c>
      <c r="B3706" s="3" t="str">
        <f>TRIM([1]Raw_Data!B3704)</f>
        <v>Creatine</v>
      </c>
      <c r="C3706" s="3" t="str">
        <f>TRIM([1]Raw_Data!C3704)</f>
        <v>Performance</v>
      </c>
      <c r="D3706" s="3">
        <f>[1]Raw_Data!D3704</f>
        <v>158</v>
      </c>
      <c r="E3706" s="4">
        <f>[1]Raw_Data!E3704</f>
        <v>11.24</v>
      </c>
      <c r="F3706" s="5">
        <f>[1]Raw_Data!F3704</f>
        <v>1775.92</v>
      </c>
      <c r="G3706" s="4">
        <f>[1]Raw_Data!G3704</f>
        <v>0.02</v>
      </c>
      <c r="H3706" s="3">
        <f>[1]Raw_Data!H3704</f>
        <v>2</v>
      </c>
      <c r="I3706" s="3" t="str">
        <f>TRIM([1]Raw_Data!I3704)</f>
        <v>UK</v>
      </c>
      <c r="J3706" s="3" t="str">
        <f>TRIM([1]Raw_Data!J3704)</f>
        <v>Walmart</v>
      </c>
      <c r="K3706" s="3">
        <f t="shared" si="228"/>
        <v>2024</v>
      </c>
      <c r="L3706" s="6">
        <f t="shared" si="229"/>
        <v>45444</v>
      </c>
      <c r="M3706" s="3" t="str">
        <f t="shared" si="230"/>
        <v>0% to 5%</v>
      </c>
      <c r="N3706" s="3" t="str">
        <f t="shared" si="231"/>
        <v>OK</v>
      </c>
    </row>
    <row r="3707" spans="1:14" x14ac:dyDescent="0.3">
      <c r="A3707" s="2">
        <f>DATE(VALUE(RIGHT(TRIM([1]Raw_Data!A3705),4)),VALUE(MID(TRIM([1]Raw_Data!A3705),4,2)),VALUE(LEFT(TRIM([1]Raw_Data!A3705),2)))</f>
        <v>45453</v>
      </c>
      <c r="B3707" s="3" t="str">
        <f>TRIM([1]Raw_Data!B3705)</f>
        <v>Zinc</v>
      </c>
      <c r="C3707" s="3" t="str">
        <f>TRIM([1]Raw_Data!C3705)</f>
        <v>Mineral</v>
      </c>
      <c r="D3707" s="3">
        <f>[1]Raw_Data!D3705</f>
        <v>150</v>
      </c>
      <c r="E3707" s="4">
        <f>[1]Raw_Data!E3705</f>
        <v>22.83</v>
      </c>
      <c r="F3707" s="5">
        <f>[1]Raw_Data!F3705</f>
        <v>3424.5</v>
      </c>
      <c r="G3707" s="4">
        <f>[1]Raw_Data!G3705</f>
        <v>0.01</v>
      </c>
      <c r="H3707" s="3">
        <f>[1]Raw_Data!H3705</f>
        <v>1</v>
      </c>
      <c r="I3707" s="3" t="str">
        <f>TRIM([1]Raw_Data!I3705)</f>
        <v>Canada</v>
      </c>
      <c r="J3707" s="3" t="str">
        <f>TRIM([1]Raw_Data!J3705)</f>
        <v>iHerb</v>
      </c>
      <c r="K3707" s="3">
        <f t="shared" si="228"/>
        <v>2024</v>
      </c>
      <c r="L3707" s="6">
        <f t="shared" si="229"/>
        <v>45444</v>
      </c>
      <c r="M3707" s="3" t="str">
        <f t="shared" si="230"/>
        <v>0% to 5%</v>
      </c>
      <c r="N3707" s="3" t="str">
        <f t="shared" si="231"/>
        <v>OK</v>
      </c>
    </row>
    <row r="3708" spans="1:14" x14ac:dyDescent="0.3">
      <c r="A3708" s="2">
        <f>DATE(VALUE(RIGHT(TRIM([1]Raw_Data!A3706),4)),VALUE(MID(TRIM([1]Raw_Data!A3706),4,2)),VALUE(LEFT(TRIM([1]Raw_Data!A3706),2)))</f>
        <v>45453</v>
      </c>
      <c r="B3708" s="3" t="str">
        <f>TRIM([1]Raw_Data!B3706)</f>
        <v>Collagen Peptides</v>
      </c>
      <c r="C3708" s="3" t="str">
        <f>TRIM([1]Raw_Data!C3706)</f>
        <v>Protein</v>
      </c>
      <c r="D3708" s="3">
        <f>[1]Raw_Data!D3706</f>
        <v>148</v>
      </c>
      <c r="E3708" s="4">
        <f>[1]Raw_Data!E3706</f>
        <v>14.37</v>
      </c>
      <c r="F3708" s="5">
        <f>[1]Raw_Data!F3706</f>
        <v>2126.7600000000002</v>
      </c>
      <c r="G3708" s="4">
        <f>[1]Raw_Data!G3706</f>
        <v>0.18</v>
      </c>
      <c r="H3708" s="3">
        <f>[1]Raw_Data!H3706</f>
        <v>3</v>
      </c>
      <c r="I3708" s="3" t="str">
        <f>TRIM([1]Raw_Data!I3706)</f>
        <v>USA</v>
      </c>
      <c r="J3708" s="3" t="str">
        <f>TRIM([1]Raw_Data!J3706)</f>
        <v>iHerb</v>
      </c>
      <c r="K3708" s="3">
        <f t="shared" si="228"/>
        <v>2024</v>
      </c>
      <c r="L3708" s="6">
        <f t="shared" si="229"/>
        <v>45444</v>
      </c>
      <c r="M3708" s="3" t="str">
        <f t="shared" si="230"/>
        <v>16% to 20%</v>
      </c>
      <c r="N3708" s="3" t="str">
        <f t="shared" si="231"/>
        <v>OK</v>
      </c>
    </row>
    <row r="3709" spans="1:14" x14ac:dyDescent="0.3">
      <c r="A3709" s="2">
        <f>DATE(VALUE(RIGHT(TRIM([1]Raw_Data!A3707),4)),VALUE(MID(TRIM([1]Raw_Data!A3707),4,2)),VALUE(LEFT(TRIM([1]Raw_Data!A3707),2)))</f>
        <v>45453</v>
      </c>
      <c r="B3709" s="3" t="str">
        <f>TRIM([1]Raw_Data!B3707)</f>
        <v>Magnesium</v>
      </c>
      <c r="C3709" s="3" t="str">
        <f>TRIM([1]Raw_Data!C3707)</f>
        <v>Mineral</v>
      </c>
      <c r="D3709" s="3">
        <f>[1]Raw_Data!D3707</f>
        <v>174</v>
      </c>
      <c r="E3709" s="4">
        <f>[1]Raw_Data!E3707</f>
        <v>12.64</v>
      </c>
      <c r="F3709" s="5">
        <f>[1]Raw_Data!F3707</f>
        <v>2199.36</v>
      </c>
      <c r="G3709" s="4">
        <f>[1]Raw_Data!G3707</f>
        <v>0.19</v>
      </c>
      <c r="H3709" s="3">
        <f>[1]Raw_Data!H3707</f>
        <v>0</v>
      </c>
      <c r="I3709" s="3" t="str">
        <f>TRIM([1]Raw_Data!I3707)</f>
        <v>Canada</v>
      </c>
      <c r="J3709" s="3" t="str">
        <f>TRIM([1]Raw_Data!J3707)</f>
        <v>iHerb</v>
      </c>
      <c r="K3709" s="3">
        <f t="shared" si="228"/>
        <v>2024</v>
      </c>
      <c r="L3709" s="6">
        <f t="shared" si="229"/>
        <v>45444</v>
      </c>
      <c r="M3709" s="3" t="str">
        <f t="shared" si="230"/>
        <v>16% to 20%</v>
      </c>
      <c r="N3709" s="3" t="str">
        <f t="shared" si="231"/>
        <v>OK</v>
      </c>
    </row>
    <row r="3710" spans="1:14" x14ac:dyDescent="0.3">
      <c r="A3710" s="2">
        <f>DATE(VALUE(RIGHT(TRIM([1]Raw_Data!A3708),4)),VALUE(MID(TRIM([1]Raw_Data!A3708),4,2)),VALUE(LEFT(TRIM([1]Raw_Data!A3708),2)))</f>
        <v>45453</v>
      </c>
      <c r="B3710" s="3" t="str">
        <f>TRIM([1]Raw_Data!B3708)</f>
        <v>Ashwagandha</v>
      </c>
      <c r="C3710" s="3" t="str">
        <f>TRIM([1]Raw_Data!C3708)</f>
        <v>Herbal</v>
      </c>
      <c r="D3710" s="3">
        <f>[1]Raw_Data!D3708</f>
        <v>156</v>
      </c>
      <c r="E3710" s="4">
        <f>[1]Raw_Data!E3708</f>
        <v>46.29</v>
      </c>
      <c r="F3710" s="5">
        <f>[1]Raw_Data!F3708</f>
        <v>7221.24</v>
      </c>
      <c r="G3710" s="4">
        <f>[1]Raw_Data!G3708</f>
        <v>0.24</v>
      </c>
      <c r="H3710" s="3">
        <f>[1]Raw_Data!H3708</f>
        <v>2</v>
      </c>
      <c r="I3710" s="3" t="str">
        <f>TRIM([1]Raw_Data!I3708)</f>
        <v>USA</v>
      </c>
      <c r="J3710" s="3" t="str">
        <f>TRIM([1]Raw_Data!J3708)</f>
        <v>iHerb</v>
      </c>
      <c r="K3710" s="3">
        <f t="shared" si="228"/>
        <v>2024</v>
      </c>
      <c r="L3710" s="6">
        <f t="shared" si="229"/>
        <v>45444</v>
      </c>
      <c r="M3710" s="3" t="str">
        <f t="shared" si="230"/>
        <v>21% to 25%</v>
      </c>
      <c r="N3710" s="3" t="str">
        <f t="shared" si="231"/>
        <v>OK</v>
      </c>
    </row>
    <row r="3711" spans="1:14" x14ac:dyDescent="0.3">
      <c r="A3711" s="2">
        <f>DATE(VALUE(RIGHT(TRIM([1]Raw_Data!A3709),4)),VALUE(MID(TRIM([1]Raw_Data!A3709),4,2)),VALUE(LEFT(TRIM([1]Raw_Data!A3709),2)))</f>
        <v>45453</v>
      </c>
      <c r="B3711" s="3" t="str">
        <f>TRIM([1]Raw_Data!B3709)</f>
        <v>Melatonin</v>
      </c>
      <c r="C3711" s="3" t="str">
        <f>TRIM([1]Raw_Data!C3709)</f>
        <v>Sleep Aid</v>
      </c>
      <c r="D3711" s="3">
        <f>[1]Raw_Data!D3709</f>
        <v>157</v>
      </c>
      <c r="E3711" s="4">
        <f>[1]Raw_Data!E3709</f>
        <v>56.24</v>
      </c>
      <c r="F3711" s="5">
        <f>[1]Raw_Data!F3709</f>
        <v>8829.68</v>
      </c>
      <c r="G3711" s="4">
        <f>[1]Raw_Data!G3709</f>
        <v>0.04</v>
      </c>
      <c r="H3711" s="3">
        <f>[1]Raw_Data!H3709</f>
        <v>3</v>
      </c>
      <c r="I3711" s="3" t="str">
        <f>TRIM([1]Raw_Data!I3709)</f>
        <v>USA</v>
      </c>
      <c r="J3711" s="3" t="str">
        <f>TRIM([1]Raw_Data!J3709)</f>
        <v>Walmart</v>
      </c>
      <c r="K3711" s="3">
        <f t="shared" si="228"/>
        <v>2024</v>
      </c>
      <c r="L3711" s="6">
        <f t="shared" si="229"/>
        <v>45444</v>
      </c>
      <c r="M3711" s="3" t="str">
        <f t="shared" si="230"/>
        <v>0% to 5%</v>
      </c>
      <c r="N3711" s="3" t="str">
        <f t="shared" si="231"/>
        <v>OK</v>
      </c>
    </row>
    <row r="3712" spans="1:14" x14ac:dyDescent="0.3">
      <c r="A3712" s="2">
        <f>DATE(VALUE(RIGHT(TRIM([1]Raw_Data!A3710),4)),VALUE(MID(TRIM([1]Raw_Data!A3710),4,2)),VALUE(LEFT(TRIM([1]Raw_Data!A3710),2)))</f>
        <v>45453</v>
      </c>
      <c r="B3712" s="3" t="str">
        <f>TRIM([1]Raw_Data!B3710)</f>
        <v>Biotin</v>
      </c>
      <c r="C3712" s="3" t="str">
        <f>TRIM([1]Raw_Data!C3710)</f>
        <v>Vitamin</v>
      </c>
      <c r="D3712" s="3">
        <f>[1]Raw_Data!D3710</f>
        <v>143</v>
      </c>
      <c r="E3712" s="4">
        <f>[1]Raw_Data!E3710</f>
        <v>51.33</v>
      </c>
      <c r="F3712" s="5">
        <f>[1]Raw_Data!F3710</f>
        <v>7340.19</v>
      </c>
      <c r="G3712" s="4">
        <f>[1]Raw_Data!G3710</f>
        <v>0</v>
      </c>
      <c r="H3712" s="3">
        <f>[1]Raw_Data!H3710</f>
        <v>3</v>
      </c>
      <c r="I3712" s="3" t="str">
        <f>TRIM([1]Raw_Data!I3710)</f>
        <v>Canada</v>
      </c>
      <c r="J3712" s="3" t="str">
        <f>TRIM([1]Raw_Data!J3710)</f>
        <v>Amazon</v>
      </c>
      <c r="K3712" s="3">
        <f t="shared" si="228"/>
        <v>2024</v>
      </c>
      <c r="L3712" s="6">
        <f t="shared" si="229"/>
        <v>45444</v>
      </c>
      <c r="M3712" s="3" t="str">
        <f t="shared" si="230"/>
        <v>0% to 5%</v>
      </c>
      <c r="N3712" s="3" t="str">
        <f t="shared" si="231"/>
        <v>OK</v>
      </c>
    </row>
    <row r="3713" spans="1:14" x14ac:dyDescent="0.3">
      <c r="A3713" s="2">
        <f>DATE(VALUE(RIGHT(TRIM([1]Raw_Data!A3711),4)),VALUE(MID(TRIM([1]Raw_Data!A3711),4,2)),VALUE(LEFT(TRIM([1]Raw_Data!A3711),2)))</f>
        <v>45453</v>
      </c>
      <c r="B3713" s="3" t="str">
        <f>TRIM([1]Raw_Data!B3711)</f>
        <v>Green Tea Extract</v>
      </c>
      <c r="C3713" s="3" t="str">
        <f>TRIM([1]Raw_Data!C3711)</f>
        <v>Fat Burner</v>
      </c>
      <c r="D3713" s="3">
        <f>[1]Raw_Data!D3711</f>
        <v>141</v>
      </c>
      <c r="E3713" s="4">
        <f>[1]Raw_Data!E3711</f>
        <v>44.57</v>
      </c>
      <c r="F3713" s="5">
        <f>[1]Raw_Data!F3711</f>
        <v>6284.37</v>
      </c>
      <c r="G3713" s="4">
        <f>[1]Raw_Data!G3711</f>
        <v>0.17</v>
      </c>
      <c r="H3713" s="3">
        <f>[1]Raw_Data!H3711</f>
        <v>1</v>
      </c>
      <c r="I3713" s="3" t="str">
        <f>TRIM([1]Raw_Data!I3711)</f>
        <v>UK</v>
      </c>
      <c r="J3713" s="3" t="str">
        <f>TRIM([1]Raw_Data!J3711)</f>
        <v>iHerb</v>
      </c>
      <c r="K3713" s="3">
        <f t="shared" si="228"/>
        <v>2024</v>
      </c>
      <c r="L3713" s="6">
        <f t="shared" si="229"/>
        <v>45444</v>
      </c>
      <c r="M3713" s="3" t="str">
        <f t="shared" si="230"/>
        <v>16% to 20%</v>
      </c>
      <c r="N3713" s="3" t="str">
        <f t="shared" si="231"/>
        <v>OK</v>
      </c>
    </row>
    <row r="3714" spans="1:14" x14ac:dyDescent="0.3">
      <c r="A3714" s="2">
        <f>DATE(VALUE(RIGHT(TRIM([1]Raw_Data!A3712),4)),VALUE(MID(TRIM([1]Raw_Data!A3712),4,2)),VALUE(LEFT(TRIM([1]Raw_Data!A3712),2)))</f>
        <v>45453</v>
      </c>
      <c r="B3714" s="3" t="str">
        <f>TRIM([1]Raw_Data!B3712)</f>
        <v>Iron Supplement</v>
      </c>
      <c r="C3714" s="3" t="str">
        <f>TRIM([1]Raw_Data!C3712)</f>
        <v>Mineral</v>
      </c>
      <c r="D3714" s="3">
        <f>[1]Raw_Data!D3712</f>
        <v>137</v>
      </c>
      <c r="E3714" s="4">
        <f>[1]Raw_Data!E3712</f>
        <v>40.020000000000003</v>
      </c>
      <c r="F3714" s="5">
        <f>[1]Raw_Data!F3712</f>
        <v>5482.74</v>
      </c>
      <c r="G3714" s="4">
        <f>[1]Raw_Data!G3712</f>
        <v>0.12</v>
      </c>
      <c r="H3714" s="3">
        <f>[1]Raw_Data!H3712</f>
        <v>0</v>
      </c>
      <c r="I3714" s="3" t="str">
        <f>TRIM([1]Raw_Data!I3712)</f>
        <v>Canada</v>
      </c>
      <c r="J3714" s="3" t="str">
        <f>TRIM([1]Raw_Data!J3712)</f>
        <v>iHerb</v>
      </c>
      <c r="K3714" s="3">
        <f t="shared" si="228"/>
        <v>2024</v>
      </c>
      <c r="L3714" s="6">
        <f t="shared" si="229"/>
        <v>45444</v>
      </c>
      <c r="M3714" s="3" t="str">
        <f t="shared" si="230"/>
        <v>11% to 15%</v>
      </c>
      <c r="N3714" s="3" t="str">
        <f t="shared" si="231"/>
        <v>OK</v>
      </c>
    </row>
    <row r="3715" spans="1:14" x14ac:dyDescent="0.3">
      <c r="A3715" s="2">
        <f>DATE(VALUE(RIGHT(TRIM([1]Raw_Data!A3713),4)),VALUE(MID(TRIM([1]Raw_Data!A3713),4,2)),VALUE(LEFT(TRIM([1]Raw_Data!A3713),2)))</f>
        <v>45453</v>
      </c>
      <c r="B3715" s="3" t="str">
        <f>TRIM([1]Raw_Data!B3713)</f>
        <v>Electrolyte Powder</v>
      </c>
      <c r="C3715" s="3" t="str">
        <f>TRIM([1]Raw_Data!C3713)</f>
        <v>Hydration</v>
      </c>
      <c r="D3715" s="3">
        <f>[1]Raw_Data!D3713</f>
        <v>135</v>
      </c>
      <c r="E3715" s="4">
        <f>[1]Raw_Data!E3713</f>
        <v>53.15</v>
      </c>
      <c r="F3715" s="5">
        <f>[1]Raw_Data!F3713</f>
        <v>7175.25</v>
      </c>
      <c r="G3715" s="4">
        <f>[1]Raw_Data!G3713</f>
        <v>0.01</v>
      </c>
      <c r="H3715" s="3">
        <f>[1]Raw_Data!H3713</f>
        <v>4</v>
      </c>
      <c r="I3715" s="3" t="str">
        <f>TRIM([1]Raw_Data!I3713)</f>
        <v>UK</v>
      </c>
      <c r="J3715" s="3" t="str">
        <f>TRIM([1]Raw_Data!J3713)</f>
        <v>iHerb</v>
      </c>
      <c r="K3715" s="3">
        <f t="shared" si="228"/>
        <v>2024</v>
      </c>
      <c r="L3715" s="6">
        <f t="shared" si="229"/>
        <v>45444</v>
      </c>
      <c r="M3715" s="3" t="str">
        <f t="shared" si="230"/>
        <v>0% to 5%</v>
      </c>
      <c r="N3715" s="3" t="str">
        <f t="shared" si="231"/>
        <v>OK</v>
      </c>
    </row>
    <row r="3716" spans="1:14" x14ac:dyDescent="0.3">
      <c r="A3716" s="2">
        <f>DATE(VALUE(RIGHT(TRIM([1]Raw_Data!A3714),4)),VALUE(MID(TRIM([1]Raw_Data!A3714),4,2)),VALUE(LEFT(TRIM([1]Raw_Data!A3714),2)))</f>
        <v>45460</v>
      </c>
      <c r="B3716" s="3" t="str">
        <f>TRIM([1]Raw_Data!B3714)</f>
        <v>Whey Protein</v>
      </c>
      <c r="C3716" s="3" t="str">
        <f>TRIM([1]Raw_Data!C3714)</f>
        <v>Protein</v>
      </c>
      <c r="D3716" s="3">
        <f>[1]Raw_Data!D3714</f>
        <v>138</v>
      </c>
      <c r="E3716" s="4">
        <f>[1]Raw_Data!E3714</f>
        <v>38.85</v>
      </c>
      <c r="F3716" s="5">
        <f>[1]Raw_Data!F3714</f>
        <v>5361.3</v>
      </c>
      <c r="G3716" s="4">
        <f>[1]Raw_Data!G3714</f>
        <v>0.02</v>
      </c>
      <c r="H3716" s="3">
        <f>[1]Raw_Data!H3714</f>
        <v>2</v>
      </c>
      <c r="I3716" s="3" t="str">
        <f>TRIM([1]Raw_Data!I3714)</f>
        <v>Canada</v>
      </c>
      <c r="J3716" s="3" t="str">
        <f>TRIM([1]Raw_Data!J3714)</f>
        <v>Walmart</v>
      </c>
      <c r="K3716" s="3">
        <f t="shared" ref="K3716:K3779" si="232">YEAR(A3716)</f>
        <v>2024</v>
      </c>
      <c r="L3716" s="6">
        <f t="shared" ref="L3716:L3779" si="233">DATE(YEAR(A3716),MONTH(A3716),1)</f>
        <v>45444</v>
      </c>
      <c r="M3716" s="3" t="str">
        <f t="shared" ref="M3716:M3779" si="234">IF(ROUND(G3716*100,0)&lt;=5,"0% to 5%",IF(ROUND(G3716*100,0)&lt;=10,"6% to 10%",IF(ROUND(G3716*100,0)&lt;=15,"11% to 15%",IF(ROUND(G3716*100,0)&lt;=20,"16% to 20%","21% to 25%"))))</f>
        <v>0% to 5%</v>
      </c>
      <c r="N3716" s="3" t="str">
        <f t="shared" ref="N3716:N3779" si="235">IF(ROUND(D3716*E3716,2)=ROUND(F3716,2),"OK","Check")</f>
        <v>OK</v>
      </c>
    </row>
    <row r="3717" spans="1:14" x14ac:dyDescent="0.3">
      <c r="A3717" s="2">
        <f>DATE(VALUE(RIGHT(TRIM([1]Raw_Data!A3715),4)),VALUE(MID(TRIM([1]Raw_Data!A3715),4,2)),VALUE(LEFT(TRIM([1]Raw_Data!A3715),2)))</f>
        <v>45460</v>
      </c>
      <c r="B3717" s="3" t="str">
        <f>TRIM([1]Raw_Data!B3715)</f>
        <v>Vitamin C</v>
      </c>
      <c r="C3717" s="3" t="str">
        <f>TRIM([1]Raw_Data!C3715)</f>
        <v>Vitamin</v>
      </c>
      <c r="D3717" s="3">
        <f>[1]Raw_Data!D3715</f>
        <v>165</v>
      </c>
      <c r="E3717" s="4">
        <f>[1]Raw_Data!E3715</f>
        <v>49.99</v>
      </c>
      <c r="F3717" s="5">
        <f>[1]Raw_Data!F3715</f>
        <v>8248.35</v>
      </c>
      <c r="G3717" s="4">
        <f>[1]Raw_Data!G3715</f>
        <v>0.1</v>
      </c>
      <c r="H3717" s="3">
        <f>[1]Raw_Data!H3715</f>
        <v>0</v>
      </c>
      <c r="I3717" s="3" t="str">
        <f>TRIM([1]Raw_Data!I3715)</f>
        <v>USA</v>
      </c>
      <c r="J3717" s="3" t="str">
        <f>TRIM([1]Raw_Data!J3715)</f>
        <v>Amazon</v>
      </c>
      <c r="K3717" s="3">
        <f t="shared" si="232"/>
        <v>2024</v>
      </c>
      <c r="L3717" s="6">
        <f t="shared" si="233"/>
        <v>45444</v>
      </c>
      <c r="M3717" s="3" t="str">
        <f t="shared" si="234"/>
        <v>6% to 10%</v>
      </c>
      <c r="N3717" s="3" t="str">
        <f t="shared" si="235"/>
        <v>OK</v>
      </c>
    </row>
    <row r="3718" spans="1:14" x14ac:dyDescent="0.3">
      <c r="A3718" s="2">
        <f>DATE(VALUE(RIGHT(TRIM([1]Raw_Data!A3716),4)),VALUE(MID(TRIM([1]Raw_Data!A3716),4,2)),VALUE(LEFT(TRIM([1]Raw_Data!A3716),2)))</f>
        <v>45460</v>
      </c>
      <c r="B3718" s="3" t="str">
        <f>TRIM([1]Raw_Data!B3716)</f>
        <v>Fish Oil</v>
      </c>
      <c r="C3718" s="3" t="str">
        <f>TRIM([1]Raw_Data!C3716)</f>
        <v>Omega</v>
      </c>
      <c r="D3718" s="3">
        <f>[1]Raw_Data!D3716</f>
        <v>132</v>
      </c>
      <c r="E3718" s="4">
        <f>[1]Raw_Data!E3716</f>
        <v>37.21</v>
      </c>
      <c r="F3718" s="5">
        <f>[1]Raw_Data!F3716</f>
        <v>4911.72</v>
      </c>
      <c r="G3718" s="4">
        <f>[1]Raw_Data!G3716</f>
        <v>0.01</v>
      </c>
      <c r="H3718" s="3">
        <f>[1]Raw_Data!H3716</f>
        <v>1</v>
      </c>
      <c r="I3718" s="3" t="str">
        <f>TRIM([1]Raw_Data!I3716)</f>
        <v>UK</v>
      </c>
      <c r="J3718" s="3" t="str">
        <f>TRIM([1]Raw_Data!J3716)</f>
        <v>Walmart</v>
      </c>
      <c r="K3718" s="3">
        <f t="shared" si="232"/>
        <v>2024</v>
      </c>
      <c r="L3718" s="6">
        <f t="shared" si="233"/>
        <v>45444</v>
      </c>
      <c r="M3718" s="3" t="str">
        <f t="shared" si="234"/>
        <v>0% to 5%</v>
      </c>
      <c r="N3718" s="3" t="str">
        <f t="shared" si="235"/>
        <v>OK</v>
      </c>
    </row>
    <row r="3719" spans="1:14" x14ac:dyDescent="0.3">
      <c r="A3719" s="2">
        <f>DATE(VALUE(RIGHT(TRIM([1]Raw_Data!A3717),4)),VALUE(MID(TRIM([1]Raw_Data!A3717),4,2)),VALUE(LEFT(TRIM([1]Raw_Data!A3717),2)))</f>
        <v>45460</v>
      </c>
      <c r="B3719" s="3" t="str">
        <f>TRIM([1]Raw_Data!B3717)</f>
        <v>Multivitamin</v>
      </c>
      <c r="C3719" s="3" t="str">
        <f>TRIM([1]Raw_Data!C3717)</f>
        <v>Vitamin</v>
      </c>
      <c r="D3719" s="3">
        <f>[1]Raw_Data!D3717</f>
        <v>163</v>
      </c>
      <c r="E3719" s="4">
        <f>[1]Raw_Data!E3717</f>
        <v>34.44</v>
      </c>
      <c r="F3719" s="5">
        <f>[1]Raw_Data!F3717</f>
        <v>5613.72</v>
      </c>
      <c r="G3719" s="4">
        <f>[1]Raw_Data!G3717</f>
        <v>0.22</v>
      </c>
      <c r="H3719" s="3">
        <f>[1]Raw_Data!H3717</f>
        <v>0</v>
      </c>
      <c r="I3719" s="3" t="str">
        <f>TRIM([1]Raw_Data!I3717)</f>
        <v>Canada</v>
      </c>
      <c r="J3719" s="3" t="str">
        <f>TRIM([1]Raw_Data!J3717)</f>
        <v>iHerb</v>
      </c>
      <c r="K3719" s="3">
        <f t="shared" si="232"/>
        <v>2024</v>
      </c>
      <c r="L3719" s="6">
        <f t="shared" si="233"/>
        <v>45444</v>
      </c>
      <c r="M3719" s="3" t="str">
        <f t="shared" si="234"/>
        <v>21% to 25%</v>
      </c>
      <c r="N3719" s="3" t="str">
        <f t="shared" si="235"/>
        <v>OK</v>
      </c>
    </row>
    <row r="3720" spans="1:14" x14ac:dyDescent="0.3">
      <c r="A3720" s="2">
        <f>DATE(VALUE(RIGHT(TRIM([1]Raw_Data!A3718),4)),VALUE(MID(TRIM([1]Raw_Data!A3718),4,2)),VALUE(LEFT(TRIM([1]Raw_Data!A3718),2)))</f>
        <v>45460</v>
      </c>
      <c r="B3720" s="3" t="str">
        <f>TRIM([1]Raw_Data!B3718)</f>
        <v>Pre-Workout</v>
      </c>
      <c r="C3720" s="3" t="str">
        <f>TRIM([1]Raw_Data!C3718)</f>
        <v>Performance</v>
      </c>
      <c r="D3720" s="3">
        <f>[1]Raw_Data!D3718</f>
        <v>170</v>
      </c>
      <c r="E3720" s="4">
        <f>[1]Raw_Data!E3718</f>
        <v>45.41</v>
      </c>
      <c r="F3720" s="5">
        <f>[1]Raw_Data!F3718</f>
        <v>7719.7</v>
      </c>
      <c r="G3720" s="4">
        <f>[1]Raw_Data!G3718</f>
        <v>0.2</v>
      </c>
      <c r="H3720" s="3">
        <f>[1]Raw_Data!H3718</f>
        <v>2</v>
      </c>
      <c r="I3720" s="3" t="str">
        <f>TRIM([1]Raw_Data!I3718)</f>
        <v>USA</v>
      </c>
      <c r="J3720" s="3" t="str">
        <f>TRIM([1]Raw_Data!J3718)</f>
        <v>Walmart</v>
      </c>
      <c r="K3720" s="3">
        <f t="shared" si="232"/>
        <v>2024</v>
      </c>
      <c r="L3720" s="6">
        <f t="shared" si="233"/>
        <v>45444</v>
      </c>
      <c r="M3720" s="3" t="str">
        <f t="shared" si="234"/>
        <v>16% to 20%</v>
      </c>
      <c r="N3720" s="3" t="str">
        <f t="shared" si="235"/>
        <v>OK</v>
      </c>
    </row>
    <row r="3721" spans="1:14" x14ac:dyDescent="0.3">
      <c r="A3721" s="2">
        <f>DATE(VALUE(RIGHT(TRIM([1]Raw_Data!A3719),4)),VALUE(MID(TRIM([1]Raw_Data!A3719),4,2)),VALUE(LEFT(TRIM([1]Raw_Data!A3719),2)))</f>
        <v>45460</v>
      </c>
      <c r="B3721" s="3" t="str">
        <f>TRIM([1]Raw_Data!B3719)</f>
        <v>BCAA</v>
      </c>
      <c r="C3721" s="3" t="str">
        <f>TRIM([1]Raw_Data!C3719)</f>
        <v>Amino Acid</v>
      </c>
      <c r="D3721" s="3">
        <f>[1]Raw_Data!D3719</f>
        <v>156</v>
      </c>
      <c r="E3721" s="4">
        <f>[1]Raw_Data!E3719</f>
        <v>27.77</v>
      </c>
      <c r="F3721" s="5">
        <f>[1]Raw_Data!F3719</f>
        <v>4332.12</v>
      </c>
      <c r="G3721" s="4">
        <f>[1]Raw_Data!G3719</f>
        <v>0.14000000000000001</v>
      </c>
      <c r="H3721" s="3">
        <f>[1]Raw_Data!H3719</f>
        <v>1</v>
      </c>
      <c r="I3721" s="3" t="str">
        <f>TRIM([1]Raw_Data!I3719)</f>
        <v>Canada</v>
      </c>
      <c r="J3721" s="3" t="str">
        <f>TRIM([1]Raw_Data!J3719)</f>
        <v>Walmart</v>
      </c>
      <c r="K3721" s="3">
        <f t="shared" si="232"/>
        <v>2024</v>
      </c>
      <c r="L3721" s="6">
        <f t="shared" si="233"/>
        <v>45444</v>
      </c>
      <c r="M3721" s="3" t="str">
        <f t="shared" si="234"/>
        <v>11% to 15%</v>
      </c>
      <c r="N3721" s="3" t="str">
        <f t="shared" si="235"/>
        <v>OK</v>
      </c>
    </row>
    <row r="3722" spans="1:14" x14ac:dyDescent="0.3">
      <c r="A3722" s="2">
        <f>DATE(VALUE(RIGHT(TRIM([1]Raw_Data!A3720),4)),VALUE(MID(TRIM([1]Raw_Data!A3720),4,2)),VALUE(LEFT(TRIM([1]Raw_Data!A3720),2)))</f>
        <v>45460</v>
      </c>
      <c r="B3722" s="3" t="str">
        <f>TRIM([1]Raw_Data!B3720)</f>
        <v>Creatine</v>
      </c>
      <c r="C3722" s="3" t="str">
        <f>TRIM([1]Raw_Data!C3720)</f>
        <v>Performance</v>
      </c>
      <c r="D3722" s="3">
        <f>[1]Raw_Data!D3720</f>
        <v>148</v>
      </c>
      <c r="E3722" s="4">
        <f>[1]Raw_Data!E3720</f>
        <v>16.14</v>
      </c>
      <c r="F3722" s="5">
        <f>[1]Raw_Data!F3720</f>
        <v>2388.7199999999998</v>
      </c>
      <c r="G3722" s="4">
        <f>[1]Raw_Data!G3720</f>
        <v>0.08</v>
      </c>
      <c r="H3722" s="3">
        <f>[1]Raw_Data!H3720</f>
        <v>3</v>
      </c>
      <c r="I3722" s="3" t="str">
        <f>TRIM([1]Raw_Data!I3720)</f>
        <v>UK</v>
      </c>
      <c r="J3722" s="3" t="str">
        <f>TRIM([1]Raw_Data!J3720)</f>
        <v>iHerb</v>
      </c>
      <c r="K3722" s="3">
        <f t="shared" si="232"/>
        <v>2024</v>
      </c>
      <c r="L3722" s="6">
        <f t="shared" si="233"/>
        <v>45444</v>
      </c>
      <c r="M3722" s="3" t="str">
        <f t="shared" si="234"/>
        <v>6% to 10%</v>
      </c>
      <c r="N3722" s="3" t="str">
        <f t="shared" si="235"/>
        <v>OK</v>
      </c>
    </row>
    <row r="3723" spans="1:14" x14ac:dyDescent="0.3">
      <c r="A3723" s="2">
        <f>DATE(VALUE(RIGHT(TRIM([1]Raw_Data!A3721),4)),VALUE(MID(TRIM([1]Raw_Data!A3721),4,2)),VALUE(LEFT(TRIM([1]Raw_Data!A3721),2)))</f>
        <v>45460</v>
      </c>
      <c r="B3723" s="3" t="str">
        <f>TRIM([1]Raw_Data!B3721)</f>
        <v>Zinc</v>
      </c>
      <c r="C3723" s="3" t="str">
        <f>TRIM([1]Raw_Data!C3721)</f>
        <v>Mineral</v>
      </c>
      <c r="D3723" s="3">
        <f>[1]Raw_Data!D3721</f>
        <v>146</v>
      </c>
      <c r="E3723" s="4">
        <f>[1]Raw_Data!E3721</f>
        <v>18.760000000000002</v>
      </c>
      <c r="F3723" s="5">
        <f>[1]Raw_Data!F3721</f>
        <v>2738.96</v>
      </c>
      <c r="G3723" s="4">
        <f>[1]Raw_Data!G3721</f>
        <v>0.11</v>
      </c>
      <c r="H3723" s="3">
        <f>[1]Raw_Data!H3721</f>
        <v>0</v>
      </c>
      <c r="I3723" s="3" t="str">
        <f>TRIM([1]Raw_Data!I3721)</f>
        <v>UK</v>
      </c>
      <c r="J3723" s="3" t="str">
        <f>TRIM([1]Raw_Data!J3721)</f>
        <v>Amazon</v>
      </c>
      <c r="K3723" s="3">
        <f t="shared" si="232"/>
        <v>2024</v>
      </c>
      <c r="L3723" s="6">
        <f t="shared" si="233"/>
        <v>45444</v>
      </c>
      <c r="M3723" s="3" t="str">
        <f t="shared" si="234"/>
        <v>11% to 15%</v>
      </c>
      <c r="N3723" s="3" t="str">
        <f t="shared" si="235"/>
        <v>OK</v>
      </c>
    </row>
    <row r="3724" spans="1:14" x14ac:dyDescent="0.3">
      <c r="A3724" s="2">
        <f>DATE(VALUE(RIGHT(TRIM([1]Raw_Data!A3722),4)),VALUE(MID(TRIM([1]Raw_Data!A3722),4,2)),VALUE(LEFT(TRIM([1]Raw_Data!A3722),2)))</f>
        <v>45460</v>
      </c>
      <c r="B3724" s="3" t="str">
        <f>TRIM([1]Raw_Data!B3722)</f>
        <v>Collagen Peptides</v>
      </c>
      <c r="C3724" s="3" t="str">
        <f>TRIM([1]Raw_Data!C3722)</f>
        <v>Protein</v>
      </c>
      <c r="D3724" s="3">
        <f>[1]Raw_Data!D3722</f>
        <v>135</v>
      </c>
      <c r="E3724" s="4">
        <f>[1]Raw_Data!E3722</f>
        <v>40.369999999999997</v>
      </c>
      <c r="F3724" s="5">
        <f>[1]Raw_Data!F3722</f>
        <v>5449.95</v>
      </c>
      <c r="G3724" s="4">
        <f>[1]Raw_Data!G3722</f>
        <v>0.05</v>
      </c>
      <c r="H3724" s="3">
        <f>[1]Raw_Data!H3722</f>
        <v>1</v>
      </c>
      <c r="I3724" s="3" t="str">
        <f>TRIM([1]Raw_Data!I3722)</f>
        <v>USA</v>
      </c>
      <c r="J3724" s="3" t="str">
        <f>TRIM([1]Raw_Data!J3722)</f>
        <v>Walmart</v>
      </c>
      <c r="K3724" s="3">
        <f t="shared" si="232"/>
        <v>2024</v>
      </c>
      <c r="L3724" s="6">
        <f t="shared" si="233"/>
        <v>45444</v>
      </c>
      <c r="M3724" s="3" t="str">
        <f t="shared" si="234"/>
        <v>0% to 5%</v>
      </c>
      <c r="N3724" s="3" t="str">
        <f t="shared" si="235"/>
        <v>OK</v>
      </c>
    </row>
    <row r="3725" spans="1:14" x14ac:dyDescent="0.3">
      <c r="A3725" s="2">
        <f>DATE(VALUE(RIGHT(TRIM([1]Raw_Data!A3723),4)),VALUE(MID(TRIM([1]Raw_Data!A3723),4,2)),VALUE(LEFT(TRIM([1]Raw_Data!A3723),2)))</f>
        <v>45460</v>
      </c>
      <c r="B3725" s="3" t="str">
        <f>TRIM([1]Raw_Data!B3723)</f>
        <v>Magnesium</v>
      </c>
      <c r="C3725" s="3" t="str">
        <f>TRIM([1]Raw_Data!C3723)</f>
        <v>Mineral</v>
      </c>
      <c r="D3725" s="3">
        <f>[1]Raw_Data!D3723</f>
        <v>165</v>
      </c>
      <c r="E3725" s="4">
        <f>[1]Raw_Data!E3723</f>
        <v>10.96</v>
      </c>
      <c r="F3725" s="5">
        <f>[1]Raw_Data!F3723</f>
        <v>1808.4</v>
      </c>
      <c r="G3725" s="4">
        <f>[1]Raw_Data!G3723</f>
        <v>0.16</v>
      </c>
      <c r="H3725" s="3">
        <f>[1]Raw_Data!H3723</f>
        <v>0</v>
      </c>
      <c r="I3725" s="3" t="str">
        <f>TRIM([1]Raw_Data!I3723)</f>
        <v>Canada</v>
      </c>
      <c r="J3725" s="3" t="str">
        <f>TRIM([1]Raw_Data!J3723)</f>
        <v>iHerb</v>
      </c>
      <c r="K3725" s="3">
        <f t="shared" si="232"/>
        <v>2024</v>
      </c>
      <c r="L3725" s="6">
        <f t="shared" si="233"/>
        <v>45444</v>
      </c>
      <c r="M3725" s="3" t="str">
        <f t="shared" si="234"/>
        <v>16% to 20%</v>
      </c>
      <c r="N3725" s="3" t="str">
        <f t="shared" si="235"/>
        <v>OK</v>
      </c>
    </row>
    <row r="3726" spans="1:14" x14ac:dyDescent="0.3">
      <c r="A3726" s="2">
        <f>DATE(VALUE(RIGHT(TRIM([1]Raw_Data!A3724),4)),VALUE(MID(TRIM([1]Raw_Data!A3724),4,2)),VALUE(LEFT(TRIM([1]Raw_Data!A3724),2)))</f>
        <v>45460</v>
      </c>
      <c r="B3726" s="3" t="str">
        <f>TRIM([1]Raw_Data!B3724)</f>
        <v>Ashwagandha</v>
      </c>
      <c r="C3726" s="3" t="str">
        <f>TRIM([1]Raw_Data!C3724)</f>
        <v>Herbal</v>
      </c>
      <c r="D3726" s="3">
        <f>[1]Raw_Data!D3724</f>
        <v>149</v>
      </c>
      <c r="E3726" s="4">
        <f>[1]Raw_Data!E3724</f>
        <v>38.65</v>
      </c>
      <c r="F3726" s="5">
        <f>[1]Raw_Data!F3724</f>
        <v>5758.85</v>
      </c>
      <c r="G3726" s="4">
        <f>[1]Raw_Data!G3724</f>
        <v>0.02</v>
      </c>
      <c r="H3726" s="3">
        <f>[1]Raw_Data!H3724</f>
        <v>3</v>
      </c>
      <c r="I3726" s="3" t="str">
        <f>TRIM([1]Raw_Data!I3724)</f>
        <v>UK</v>
      </c>
      <c r="J3726" s="3" t="str">
        <f>TRIM([1]Raw_Data!J3724)</f>
        <v>iHerb</v>
      </c>
      <c r="K3726" s="3">
        <f t="shared" si="232"/>
        <v>2024</v>
      </c>
      <c r="L3726" s="6">
        <f t="shared" si="233"/>
        <v>45444</v>
      </c>
      <c r="M3726" s="3" t="str">
        <f t="shared" si="234"/>
        <v>0% to 5%</v>
      </c>
      <c r="N3726" s="3" t="str">
        <f t="shared" si="235"/>
        <v>OK</v>
      </c>
    </row>
    <row r="3727" spans="1:14" x14ac:dyDescent="0.3">
      <c r="A3727" s="2">
        <f>DATE(VALUE(RIGHT(TRIM([1]Raw_Data!A3725),4)),VALUE(MID(TRIM([1]Raw_Data!A3725),4,2)),VALUE(LEFT(TRIM([1]Raw_Data!A3725),2)))</f>
        <v>45460</v>
      </c>
      <c r="B3727" s="3" t="str">
        <f>TRIM([1]Raw_Data!B3725)</f>
        <v>Melatonin</v>
      </c>
      <c r="C3727" s="3" t="str">
        <f>TRIM([1]Raw_Data!C3725)</f>
        <v>Sleep Aid</v>
      </c>
      <c r="D3727" s="3">
        <f>[1]Raw_Data!D3725</f>
        <v>154</v>
      </c>
      <c r="E3727" s="4">
        <f>[1]Raw_Data!E3725</f>
        <v>38.130000000000003</v>
      </c>
      <c r="F3727" s="5">
        <f>[1]Raw_Data!F3725</f>
        <v>5872.02</v>
      </c>
      <c r="G3727" s="4">
        <f>[1]Raw_Data!G3725</f>
        <v>0.03</v>
      </c>
      <c r="H3727" s="3">
        <f>[1]Raw_Data!H3725</f>
        <v>0</v>
      </c>
      <c r="I3727" s="3" t="str">
        <f>TRIM([1]Raw_Data!I3725)</f>
        <v>UK</v>
      </c>
      <c r="J3727" s="3" t="str">
        <f>TRIM([1]Raw_Data!J3725)</f>
        <v>Walmart</v>
      </c>
      <c r="K3727" s="3">
        <f t="shared" si="232"/>
        <v>2024</v>
      </c>
      <c r="L3727" s="6">
        <f t="shared" si="233"/>
        <v>45444</v>
      </c>
      <c r="M3727" s="3" t="str">
        <f t="shared" si="234"/>
        <v>0% to 5%</v>
      </c>
      <c r="N3727" s="3" t="str">
        <f t="shared" si="235"/>
        <v>OK</v>
      </c>
    </row>
    <row r="3728" spans="1:14" x14ac:dyDescent="0.3">
      <c r="A3728" s="2">
        <f>DATE(VALUE(RIGHT(TRIM([1]Raw_Data!A3726),4)),VALUE(MID(TRIM([1]Raw_Data!A3726),4,2)),VALUE(LEFT(TRIM([1]Raw_Data!A3726),2)))</f>
        <v>45460</v>
      </c>
      <c r="B3728" s="3" t="str">
        <f>TRIM([1]Raw_Data!B3726)</f>
        <v>Biotin</v>
      </c>
      <c r="C3728" s="3" t="str">
        <f>TRIM([1]Raw_Data!C3726)</f>
        <v>Vitamin</v>
      </c>
      <c r="D3728" s="3">
        <f>[1]Raw_Data!D3726</f>
        <v>155</v>
      </c>
      <c r="E3728" s="4">
        <f>[1]Raw_Data!E3726</f>
        <v>39.18</v>
      </c>
      <c r="F3728" s="5">
        <f>[1]Raw_Data!F3726</f>
        <v>6072.9</v>
      </c>
      <c r="G3728" s="4">
        <f>[1]Raw_Data!G3726</f>
        <v>0.05</v>
      </c>
      <c r="H3728" s="3">
        <f>[1]Raw_Data!H3726</f>
        <v>2</v>
      </c>
      <c r="I3728" s="3" t="str">
        <f>TRIM([1]Raw_Data!I3726)</f>
        <v>UK</v>
      </c>
      <c r="J3728" s="3" t="str">
        <f>TRIM([1]Raw_Data!J3726)</f>
        <v>Amazon</v>
      </c>
      <c r="K3728" s="3">
        <f t="shared" si="232"/>
        <v>2024</v>
      </c>
      <c r="L3728" s="6">
        <f t="shared" si="233"/>
        <v>45444</v>
      </c>
      <c r="M3728" s="3" t="str">
        <f t="shared" si="234"/>
        <v>0% to 5%</v>
      </c>
      <c r="N3728" s="3" t="str">
        <f t="shared" si="235"/>
        <v>OK</v>
      </c>
    </row>
    <row r="3729" spans="1:14" x14ac:dyDescent="0.3">
      <c r="A3729" s="2">
        <f>DATE(VALUE(RIGHT(TRIM([1]Raw_Data!A3727),4)),VALUE(MID(TRIM([1]Raw_Data!A3727),4,2)),VALUE(LEFT(TRIM([1]Raw_Data!A3727),2)))</f>
        <v>45460</v>
      </c>
      <c r="B3729" s="3" t="str">
        <f>TRIM([1]Raw_Data!B3727)</f>
        <v>Green Tea Extract</v>
      </c>
      <c r="C3729" s="3" t="str">
        <f>TRIM([1]Raw_Data!C3727)</f>
        <v>Fat Burner</v>
      </c>
      <c r="D3729" s="3">
        <f>[1]Raw_Data!D3727</f>
        <v>124</v>
      </c>
      <c r="E3729" s="4">
        <f>[1]Raw_Data!E3727</f>
        <v>37.700000000000003</v>
      </c>
      <c r="F3729" s="5">
        <f>[1]Raw_Data!F3727</f>
        <v>4674.8</v>
      </c>
      <c r="G3729" s="4">
        <f>[1]Raw_Data!G3727</f>
        <v>0.16</v>
      </c>
      <c r="H3729" s="3">
        <f>[1]Raw_Data!H3727</f>
        <v>3</v>
      </c>
      <c r="I3729" s="3" t="str">
        <f>TRIM([1]Raw_Data!I3727)</f>
        <v>Canada</v>
      </c>
      <c r="J3729" s="3" t="str">
        <f>TRIM([1]Raw_Data!J3727)</f>
        <v>Amazon</v>
      </c>
      <c r="K3729" s="3">
        <f t="shared" si="232"/>
        <v>2024</v>
      </c>
      <c r="L3729" s="6">
        <f t="shared" si="233"/>
        <v>45444</v>
      </c>
      <c r="M3729" s="3" t="str">
        <f t="shared" si="234"/>
        <v>16% to 20%</v>
      </c>
      <c r="N3729" s="3" t="str">
        <f t="shared" si="235"/>
        <v>OK</v>
      </c>
    </row>
    <row r="3730" spans="1:14" x14ac:dyDescent="0.3">
      <c r="A3730" s="2">
        <f>DATE(VALUE(RIGHT(TRIM([1]Raw_Data!A3728),4)),VALUE(MID(TRIM([1]Raw_Data!A3728),4,2)),VALUE(LEFT(TRIM([1]Raw_Data!A3728),2)))</f>
        <v>45460</v>
      </c>
      <c r="B3730" s="3" t="str">
        <f>TRIM([1]Raw_Data!B3728)</f>
        <v>Iron Supplement</v>
      </c>
      <c r="C3730" s="3" t="str">
        <f>TRIM([1]Raw_Data!C3728)</f>
        <v>Mineral</v>
      </c>
      <c r="D3730" s="3">
        <f>[1]Raw_Data!D3728</f>
        <v>158</v>
      </c>
      <c r="E3730" s="4">
        <f>[1]Raw_Data!E3728</f>
        <v>12.45</v>
      </c>
      <c r="F3730" s="5">
        <f>[1]Raw_Data!F3728</f>
        <v>1967.1</v>
      </c>
      <c r="G3730" s="4">
        <f>[1]Raw_Data!G3728</f>
        <v>0.21</v>
      </c>
      <c r="H3730" s="3">
        <f>[1]Raw_Data!H3728</f>
        <v>1</v>
      </c>
      <c r="I3730" s="3" t="str">
        <f>TRIM([1]Raw_Data!I3728)</f>
        <v>Canada</v>
      </c>
      <c r="J3730" s="3" t="str">
        <f>TRIM([1]Raw_Data!J3728)</f>
        <v>Walmart</v>
      </c>
      <c r="K3730" s="3">
        <f t="shared" si="232"/>
        <v>2024</v>
      </c>
      <c r="L3730" s="6">
        <f t="shared" si="233"/>
        <v>45444</v>
      </c>
      <c r="M3730" s="3" t="str">
        <f t="shared" si="234"/>
        <v>21% to 25%</v>
      </c>
      <c r="N3730" s="3" t="str">
        <f t="shared" si="235"/>
        <v>OK</v>
      </c>
    </row>
    <row r="3731" spans="1:14" x14ac:dyDescent="0.3">
      <c r="A3731" s="2">
        <f>DATE(VALUE(RIGHT(TRIM([1]Raw_Data!A3729),4)),VALUE(MID(TRIM([1]Raw_Data!A3729),4,2)),VALUE(LEFT(TRIM([1]Raw_Data!A3729),2)))</f>
        <v>45460</v>
      </c>
      <c r="B3731" s="3" t="str">
        <f>TRIM([1]Raw_Data!B3729)</f>
        <v>Electrolyte Powder</v>
      </c>
      <c r="C3731" s="3" t="str">
        <f>TRIM([1]Raw_Data!C3729)</f>
        <v>Hydration</v>
      </c>
      <c r="D3731" s="3">
        <f>[1]Raw_Data!D3729</f>
        <v>162</v>
      </c>
      <c r="E3731" s="4">
        <f>[1]Raw_Data!E3729</f>
        <v>29.88</v>
      </c>
      <c r="F3731" s="5">
        <f>[1]Raw_Data!F3729</f>
        <v>4840.5600000000004</v>
      </c>
      <c r="G3731" s="4">
        <f>[1]Raw_Data!G3729</f>
        <v>0.18</v>
      </c>
      <c r="H3731" s="3">
        <f>[1]Raw_Data!H3729</f>
        <v>3</v>
      </c>
      <c r="I3731" s="3" t="str">
        <f>TRIM([1]Raw_Data!I3729)</f>
        <v>Canada</v>
      </c>
      <c r="J3731" s="3" t="str">
        <f>TRIM([1]Raw_Data!J3729)</f>
        <v>Amazon</v>
      </c>
      <c r="K3731" s="3">
        <f t="shared" si="232"/>
        <v>2024</v>
      </c>
      <c r="L3731" s="6">
        <f t="shared" si="233"/>
        <v>45444</v>
      </c>
      <c r="M3731" s="3" t="str">
        <f t="shared" si="234"/>
        <v>16% to 20%</v>
      </c>
      <c r="N3731" s="3" t="str">
        <f t="shared" si="235"/>
        <v>OK</v>
      </c>
    </row>
    <row r="3732" spans="1:14" x14ac:dyDescent="0.3">
      <c r="A3732" s="2">
        <f>DATE(VALUE(RIGHT(TRIM([1]Raw_Data!A3730),4)),VALUE(MID(TRIM([1]Raw_Data!A3730),4,2)),VALUE(LEFT(TRIM([1]Raw_Data!A3730),2)))</f>
        <v>45467</v>
      </c>
      <c r="B3732" s="3" t="str">
        <f>TRIM([1]Raw_Data!B3730)</f>
        <v>Whey Protein</v>
      </c>
      <c r="C3732" s="3" t="str">
        <f>TRIM([1]Raw_Data!C3730)</f>
        <v>Protein</v>
      </c>
      <c r="D3732" s="3">
        <f>[1]Raw_Data!D3730</f>
        <v>130</v>
      </c>
      <c r="E3732" s="4">
        <f>[1]Raw_Data!E3730</f>
        <v>49.65</v>
      </c>
      <c r="F3732" s="5">
        <f>[1]Raw_Data!F3730</f>
        <v>6454.5</v>
      </c>
      <c r="G3732" s="4">
        <f>[1]Raw_Data!G3730</f>
        <v>0.08</v>
      </c>
      <c r="H3732" s="3">
        <f>[1]Raw_Data!H3730</f>
        <v>1</v>
      </c>
      <c r="I3732" s="3" t="str">
        <f>TRIM([1]Raw_Data!I3730)</f>
        <v>USA</v>
      </c>
      <c r="J3732" s="3" t="str">
        <f>TRIM([1]Raw_Data!J3730)</f>
        <v>Walmart</v>
      </c>
      <c r="K3732" s="3">
        <f t="shared" si="232"/>
        <v>2024</v>
      </c>
      <c r="L3732" s="6">
        <f t="shared" si="233"/>
        <v>45444</v>
      </c>
      <c r="M3732" s="3" t="str">
        <f t="shared" si="234"/>
        <v>6% to 10%</v>
      </c>
      <c r="N3732" s="3" t="str">
        <f t="shared" si="235"/>
        <v>OK</v>
      </c>
    </row>
    <row r="3733" spans="1:14" x14ac:dyDescent="0.3">
      <c r="A3733" s="2">
        <f>DATE(VALUE(RIGHT(TRIM([1]Raw_Data!A3731),4)),VALUE(MID(TRIM([1]Raw_Data!A3731),4,2)),VALUE(LEFT(TRIM([1]Raw_Data!A3731),2)))</f>
        <v>45467</v>
      </c>
      <c r="B3733" s="3" t="str">
        <f>TRIM([1]Raw_Data!B3731)</f>
        <v>Vitamin C</v>
      </c>
      <c r="C3733" s="3" t="str">
        <f>TRIM([1]Raw_Data!C3731)</f>
        <v>Vitamin</v>
      </c>
      <c r="D3733" s="3">
        <f>[1]Raw_Data!D3731</f>
        <v>121</v>
      </c>
      <c r="E3733" s="4">
        <f>[1]Raw_Data!E3731</f>
        <v>33.85</v>
      </c>
      <c r="F3733" s="5">
        <f>[1]Raw_Data!F3731</f>
        <v>4095.85</v>
      </c>
      <c r="G3733" s="4">
        <f>[1]Raw_Data!G3731</f>
        <v>0.02</v>
      </c>
      <c r="H3733" s="3">
        <f>[1]Raw_Data!H3731</f>
        <v>0</v>
      </c>
      <c r="I3733" s="3" t="str">
        <f>TRIM([1]Raw_Data!I3731)</f>
        <v>UK</v>
      </c>
      <c r="J3733" s="3" t="str">
        <f>TRIM([1]Raw_Data!J3731)</f>
        <v>iHerb</v>
      </c>
      <c r="K3733" s="3">
        <f t="shared" si="232"/>
        <v>2024</v>
      </c>
      <c r="L3733" s="6">
        <f t="shared" si="233"/>
        <v>45444</v>
      </c>
      <c r="M3733" s="3" t="str">
        <f t="shared" si="234"/>
        <v>0% to 5%</v>
      </c>
      <c r="N3733" s="3" t="str">
        <f t="shared" si="235"/>
        <v>OK</v>
      </c>
    </row>
    <row r="3734" spans="1:14" x14ac:dyDescent="0.3">
      <c r="A3734" s="2">
        <f>DATE(VALUE(RIGHT(TRIM([1]Raw_Data!A3732),4)),VALUE(MID(TRIM([1]Raw_Data!A3732),4,2)),VALUE(LEFT(TRIM([1]Raw_Data!A3732),2)))</f>
        <v>45467</v>
      </c>
      <c r="B3734" s="3" t="str">
        <f>TRIM([1]Raw_Data!B3732)</f>
        <v>Fish Oil</v>
      </c>
      <c r="C3734" s="3" t="str">
        <f>TRIM([1]Raw_Data!C3732)</f>
        <v>Omega</v>
      </c>
      <c r="D3734" s="3">
        <f>[1]Raw_Data!D3732</f>
        <v>164</v>
      </c>
      <c r="E3734" s="4">
        <f>[1]Raw_Data!E3732</f>
        <v>41.68</v>
      </c>
      <c r="F3734" s="5">
        <f>[1]Raw_Data!F3732</f>
        <v>6835.52</v>
      </c>
      <c r="G3734" s="4">
        <f>[1]Raw_Data!G3732</f>
        <v>0.05</v>
      </c>
      <c r="H3734" s="3">
        <f>[1]Raw_Data!H3732</f>
        <v>3</v>
      </c>
      <c r="I3734" s="3" t="str">
        <f>TRIM([1]Raw_Data!I3732)</f>
        <v>UK</v>
      </c>
      <c r="J3734" s="3" t="str">
        <f>TRIM([1]Raw_Data!J3732)</f>
        <v>Walmart</v>
      </c>
      <c r="K3734" s="3">
        <f t="shared" si="232"/>
        <v>2024</v>
      </c>
      <c r="L3734" s="6">
        <f t="shared" si="233"/>
        <v>45444</v>
      </c>
      <c r="M3734" s="3" t="str">
        <f t="shared" si="234"/>
        <v>0% to 5%</v>
      </c>
      <c r="N3734" s="3" t="str">
        <f t="shared" si="235"/>
        <v>OK</v>
      </c>
    </row>
    <row r="3735" spans="1:14" x14ac:dyDescent="0.3">
      <c r="A3735" s="2">
        <f>DATE(VALUE(RIGHT(TRIM([1]Raw_Data!A3733),4)),VALUE(MID(TRIM([1]Raw_Data!A3733),4,2)),VALUE(LEFT(TRIM([1]Raw_Data!A3733),2)))</f>
        <v>45467</v>
      </c>
      <c r="B3735" s="3" t="str">
        <f>TRIM([1]Raw_Data!B3733)</f>
        <v>Multivitamin</v>
      </c>
      <c r="C3735" s="3" t="str">
        <f>TRIM([1]Raw_Data!C3733)</f>
        <v>Vitamin</v>
      </c>
      <c r="D3735" s="3">
        <f>[1]Raw_Data!D3733</f>
        <v>166</v>
      </c>
      <c r="E3735" s="4">
        <f>[1]Raw_Data!E3733</f>
        <v>55.63</v>
      </c>
      <c r="F3735" s="5">
        <f>[1]Raw_Data!F3733</f>
        <v>9234.58</v>
      </c>
      <c r="G3735" s="4">
        <f>[1]Raw_Data!G3733</f>
        <v>0.21</v>
      </c>
      <c r="H3735" s="3">
        <f>[1]Raw_Data!H3733</f>
        <v>2</v>
      </c>
      <c r="I3735" s="3" t="str">
        <f>TRIM([1]Raw_Data!I3733)</f>
        <v>Canada</v>
      </c>
      <c r="J3735" s="3" t="str">
        <f>TRIM([1]Raw_Data!J3733)</f>
        <v>Amazon</v>
      </c>
      <c r="K3735" s="3">
        <f t="shared" si="232"/>
        <v>2024</v>
      </c>
      <c r="L3735" s="6">
        <f t="shared" si="233"/>
        <v>45444</v>
      </c>
      <c r="M3735" s="3" t="str">
        <f t="shared" si="234"/>
        <v>21% to 25%</v>
      </c>
      <c r="N3735" s="3" t="str">
        <f t="shared" si="235"/>
        <v>OK</v>
      </c>
    </row>
    <row r="3736" spans="1:14" x14ac:dyDescent="0.3">
      <c r="A3736" s="2">
        <f>DATE(VALUE(RIGHT(TRIM([1]Raw_Data!A3734),4)),VALUE(MID(TRIM([1]Raw_Data!A3734),4,2)),VALUE(LEFT(TRIM([1]Raw_Data!A3734),2)))</f>
        <v>45467</v>
      </c>
      <c r="B3736" s="3" t="str">
        <f>TRIM([1]Raw_Data!B3734)</f>
        <v>Pre-Workout</v>
      </c>
      <c r="C3736" s="3" t="str">
        <f>TRIM([1]Raw_Data!C3734)</f>
        <v>Performance</v>
      </c>
      <c r="D3736" s="3">
        <f>[1]Raw_Data!D3734</f>
        <v>159</v>
      </c>
      <c r="E3736" s="4">
        <f>[1]Raw_Data!E3734</f>
        <v>23.54</v>
      </c>
      <c r="F3736" s="5">
        <f>[1]Raw_Data!F3734</f>
        <v>3742.86</v>
      </c>
      <c r="G3736" s="4">
        <f>[1]Raw_Data!G3734</f>
        <v>0.02</v>
      </c>
      <c r="H3736" s="3">
        <f>[1]Raw_Data!H3734</f>
        <v>0</v>
      </c>
      <c r="I3736" s="3" t="str">
        <f>TRIM([1]Raw_Data!I3734)</f>
        <v>Canada</v>
      </c>
      <c r="J3736" s="3" t="str">
        <f>TRIM([1]Raw_Data!J3734)</f>
        <v>Walmart</v>
      </c>
      <c r="K3736" s="3">
        <f t="shared" si="232"/>
        <v>2024</v>
      </c>
      <c r="L3736" s="6">
        <f t="shared" si="233"/>
        <v>45444</v>
      </c>
      <c r="M3736" s="3" t="str">
        <f t="shared" si="234"/>
        <v>0% to 5%</v>
      </c>
      <c r="N3736" s="3" t="str">
        <f t="shared" si="235"/>
        <v>OK</v>
      </c>
    </row>
    <row r="3737" spans="1:14" x14ac:dyDescent="0.3">
      <c r="A3737" s="2">
        <f>DATE(VALUE(RIGHT(TRIM([1]Raw_Data!A3735),4)),VALUE(MID(TRIM([1]Raw_Data!A3735),4,2)),VALUE(LEFT(TRIM([1]Raw_Data!A3735),2)))</f>
        <v>45467</v>
      </c>
      <c r="B3737" s="3" t="str">
        <f>TRIM([1]Raw_Data!B3735)</f>
        <v>BCAA</v>
      </c>
      <c r="C3737" s="3" t="str">
        <f>TRIM([1]Raw_Data!C3735)</f>
        <v>Amino Acid</v>
      </c>
      <c r="D3737" s="3">
        <f>[1]Raw_Data!D3735</f>
        <v>136</v>
      </c>
      <c r="E3737" s="4">
        <f>[1]Raw_Data!E3735</f>
        <v>21.99</v>
      </c>
      <c r="F3737" s="5">
        <f>[1]Raw_Data!F3735</f>
        <v>2990.64</v>
      </c>
      <c r="G3737" s="4">
        <f>[1]Raw_Data!G3735</f>
        <v>0.24</v>
      </c>
      <c r="H3737" s="3">
        <f>[1]Raw_Data!H3735</f>
        <v>1</v>
      </c>
      <c r="I3737" s="3" t="str">
        <f>TRIM([1]Raw_Data!I3735)</f>
        <v>USA</v>
      </c>
      <c r="J3737" s="3" t="str">
        <f>TRIM([1]Raw_Data!J3735)</f>
        <v>Amazon</v>
      </c>
      <c r="K3737" s="3">
        <f t="shared" si="232"/>
        <v>2024</v>
      </c>
      <c r="L3737" s="6">
        <f t="shared" si="233"/>
        <v>45444</v>
      </c>
      <c r="M3737" s="3" t="str">
        <f t="shared" si="234"/>
        <v>21% to 25%</v>
      </c>
      <c r="N3737" s="3" t="str">
        <f t="shared" si="235"/>
        <v>OK</v>
      </c>
    </row>
    <row r="3738" spans="1:14" x14ac:dyDescent="0.3">
      <c r="A3738" s="2">
        <f>DATE(VALUE(RIGHT(TRIM([1]Raw_Data!A3736),4)),VALUE(MID(TRIM([1]Raw_Data!A3736),4,2)),VALUE(LEFT(TRIM([1]Raw_Data!A3736),2)))</f>
        <v>45467</v>
      </c>
      <c r="B3738" s="3" t="str">
        <f>TRIM([1]Raw_Data!B3736)</f>
        <v>Creatine</v>
      </c>
      <c r="C3738" s="3" t="str">
        <f>TRIM([1]Raw_Data!C3736)</f>
        <v>Performance</v>
      </c>
      <c r="D3738" s="3">
        <f>[1]Raw_Data!D3736</f>
        <v>140</v>
      </c>
      <c r="E3738" s="4">
        <f>[1]Raw_Data!E3736</f>
        <v>20.95</v>
      </c>
      <c r="F3738" s="5">
        <f>[1]Raw_Data!F3736</f>
        <v>2933</v>
      </c>
      <c r="G3738" s="4">
        <f>[1]Raw_Data!G3736</f>
        <v>0.25</v>
      </c>
      <c r="H3738" s="3">
        <f>[1]Raw_Data!H3736</f>
        <v>3</v>
      </c>
      <c r="I3738" s="3" t="str">
        <f>TRIM([1]Raw_Data!I3736)</f>
        <v>UK</v>
      </c>
      <c r="J3738" s="3" t="str">
        <f>TRIM([1]Raw_Data!J3736)</f>
        <v>Walmart</v>
      </c>
      <c r="K3738" s="3">
        <f t="shared" si="232"/>
        <v>2024</v>
      </c>
      <c r="L3738" s="6">
        <f t="shared" si="233"/>
        <v>45444</v>
      </c>
      <c r="M3738" s="3" t="str">
        <f t="shared" si="234"/>
        <v>21% to 25%</v>
      </c>
      <c r="N3738" s="3" t="str">
        <f t="shared" si="235"/>
        <v>OK</v>
      </c>
    </row>
    <row r="3739" spans="1:14" x14ac:dyDescent="0.3">
      <c r="A3739" s="2">
        <f>DATE(VALUE(RIGHT(TRIM([1]Raw_Data!A3737),4)),VALUE(MID(TRIM([1]Raw_Data!A3737),4,2)),VALUE(LEFT(TRIM([1]Raw_Data!A3737),2)))</f>
        <v>45467</v>
      </c>
      <c r="B3739" s="3" t="str">
        <f>TRIM([1]Raw_Data!B3737)</f>
        <v>Zinc</v>
      </c>
      <c r="C3739" s="3" t="str">
        <f>TRIM([1]Raw_Data!C3737)</f>
        <v>Mineral</v>
      </c>
      <c r="D3739" s="3">
        <f>[1]Raw_Data!D3737</f>
        <v>158</v>
      </c>
      <c r="E3739" s="4">
        <f>[1]Raw_Data!E3737</f>
        <v>43.53</v>
      </c>
      <c r="F3739" s="5">
        <f>[1]Raw_Data!F3737</f>
        <v>6877.74</v>
      </c>
      <c r="G3739" s="4">
        <f>[1]Raw_Data!G3737</f>
        <v>0.16</v>
      </c>
      <c r="H3739" s="3">
        <f>[1]Raw_Data!H3737</f>
        <v>1</v>
      </c>
      <c r="I3739" s="3" t="str">
        <f>TRIM([1]Raw_Data!I3737)</f>
        <v>Canada</v>
      </c>
      <c r="J3739" s="3" t="str">
        <f>TRIM([1]Raw_Data!J3737)</f>
        <v>iHerb</v>
      </c>
      <c r="K3739" s="3">
        <f t="shared" si="232"/>
        <v>2024</v>
      </c>
      <c r="L3739" s="6">
        <f t="shared" si="233"/>
        <v>45444</v>
      </c>
      <c r="M3739" s="3" t="str">
        <f t="shared" si="234"/>
        <v>16% to 20%</v>
      </c>
      <c r="N3739" s="3" t="str">
        <f t="shared" si="235"/>
        <v>OK</v>
      </c>
    </row>
    <row r="3740" spans="1:14" x14ac:dyDescent="0.3">
      <c r="A3740" s="2">
        <f>DATE(VALUE(RIGHT(TRIM([1]Raw_Data!A3738),4)),VALUE(MID(TRIM([1]Raw_Data!A3738),4,2)),VALUE(LEFT(TRIM([1]Raw_Data!A3738),2)))</f>
        <v>45467</v>
      </c>
      <c r="B3740" s="3" t="str">
        <f>TRIM([1]Raw_Data!B3738)</f>
        <v>Collagen Peptides</v>
      </c>
      <c r="C3740" s="3" t="str">
        <f>TRIM([1]Raw_Data!C3738)</f>
        <v>Protein</v>
      </c>
      <c r="D3740" s="3">
        <f>[1]Raw_Data!D3738</f>
        <v>160</v>
      </c>
      <c r="E3740" s="4">
        <f>[1]Raw_Data!E3738</f>
        <v>34.47</v>
      </c>
      <c r="F3740" s="5">
        <f>[1]Raw_Data!F3738</f>
        <v>5515.2</v>
      </c>
      <c r="G3740" s="4">
        <f>[1]Raw_Data!G3738</f>
        <v>0</v>
      </c>
      <c r="H3740" s="3">
        <f>[1]Raw_Data!H3738</f>
        <v>4</v>
      </c>
      <c r="I3740" s="3" t="str">
        <f>TRIM([1]Raw_Data!I3738)</f>
        <v>UK</v>
      </c>
      <c r="J3740" s="3" t="str">
        <f>TRIM([1]Raw_Data!J3738)</f>
        <v>Walmart</v>
      </c>
      <c r="K3740" s="3">
        <f t="shared" si="232"/>
        <v>2024</v>
      </c>
      <c r="L3740" s="6">
        <f t="shared" si="233"/>
        <v>45444</v>
      </c>
      <c r="M3740" s="3" t="str">
        <f t="shared" si="234"/>
        <v>0% to 5%</v>
      </c>
      <c r="N3740" s="3" t="str">
        <f t="shared" si="235"/>
        <v>OK</v>
      </c>
    </row>
    <row r="3741" spans="1:14" x14ac:dyDescent="0.3">
      <c r="A3741" s="2">
        <f>DATE(VALUE(RIGHT(TRIM([1]Raw_Data!A3739),4)),VALUE(MID(TRIM([1]Raw_Data!A3739),4,2)),VALUE(LEFT(TRIM([1]Raw_Data!A3739),2)))</f>
        <v>45467</v>
      </c>
      <c r="B3741" s="3" t="str">
        <f>TRIM([1]Raw_Data!B3739)</f>
        <v>Magnesium</v>
      </c>
      <c r="C3741" s="3" t="str">
        <f>TRIM([1]Raw_Data!C3739)</f>
        <v>Mineral</v>
      </c>
      <c r="D3741" s="3">
        <f>[1]Raw_Data!D3739</f>
        <v>159</v>
      </c>
      <c r="E3741" s="4">
        <f>[1]Raw_Data!E3739</f>
        <v>27.08</v>
      </c>
      <c r="F3741" s="5">
        <f>[1]Raw_Data!F3739</f>
        <v>4305.72</v>
      </c>
      <c r="G3741" s="4">
        <f>[1]Raw_Data!G3739</f>
        <v>0.04</v>
      </c>
      <c r="H3741" s="3">
        <f>[1]Raw_Data!H3739</f>
        <v>2</v>
      </c>
      <c r="I3741" s="3" t="str">
        <f>TRIM([1]Raw_Data!I3739)</f>
        <v>USA</v>
      </c>
      <c r="J3741" s="3" t="str">
        <f>TRIM([1]Raw_Data!J3739)</f>
        <v>iHerb</v>
      </c>
      <c r="K3741" s="3">
        <f t="shared" si="232"/>
        <v>2024</v>
      </c>
      <c r="L3741" s="6">
        <f t="shared" si="233"/>
        <v>45444</v>
      </c>
      <c r="M3741" s="3" t="str">
        <f t="shared" si="234"/>
        <v>0% to 5%</v>
      </c>
      <c r="N3741" s="3" t="str">
        <f t="shared" si="235"/>
        <v>OK</v>
      </c>
    </row>
    <row r="3742" spans="1:14" x14ac:dyDescent="0.3">
      <c r="A3742" s="2">
        <f>DATE(VALUE(RIGHT(TRIM([1]Raw_Data!A3740),4)),VALUE(MID(TRIM([1]Raw_Data!A3740),4,2)),VALUE(LEFT(TRIM([1]Raw_Data!A3740),2)))</f>
        <v>45467</v>
      </c>
      <c r="B3742" s="3" t="str">
        <f>TRIM([1]Raw_Data!B3740)</f>
        <v>Ashwagandha</v>
      </c>
      <c r="C3742" s="3" t="str">
        <f>TRIM([1]Raw_Data!C3740)</f>
        <v>Herbal</v>
      </c>
      <c r="D3742" s="3">
        <f>[1]Raw_Data!D3740</f>
        <v>175</v>
      </c>
      <c r="E3742" s="4">
        <f>[1]Raw_Data!E3740</f>
        <v>20.65</v>
      </c>
      <c r="F3742" s="5">
        <f>[1]Raw_Data!F3740</f>
        <v>3613.75</v>
      </c>
      <c r="G3742" s="4">
        <f>[1]Raw_Data!G3740</f>
        <v>0.09</v>
      </c>
      <c r="H3742" s="3">
        <f>[1]Raw_Data!H3740</f>
        <v>2</v>
      </c>
      <c r="I3742" s="3" t="str">
        <f>TRIM([1]Raw_Data!I3740)</f>
        <v>USA</v>
      </c>
      <c r="J3742" s="3" t="str">
        <f>TRIM([1]Raw_Data!J3740)</f>
        <v>iHerb</v>
      </c>
      <c r="K3742" s="3">
        <f t="shared" si="232"/>
        <v>2024</v>
      </c>
      <c r="L3742" s="6">
        <f t="shared" si="233"/>
        <v>45444</v>
      </c>
      <c r="M3742" s="3" t="str">
        <f t="shared" si="234"/>
        <v>6% to 10%</v>
      </c>
      <c r="N3742" s="3" t="str">
        <f t="shared" si="235"/>
        <v>OK</v>
      </c>
    </row>
    <row r="3743" spans="1:14" x14ac:dyDescent="0.3">
      <c r="A3743" s="2">
        <f>DATE(VALUE(RIGHT(TRIM([1]Raw_Data!A3741),4)),VALUE(MID(TRIM([1]Raw_Data!A3741),4,2)),VALUE(LEFT(TRIM([1]Raw_Data!A3741),2)))</f>
        <v>45467</v>
      </c>
      <c r="B3743" s="3" t="str">
        <f>TRIM([1]Raw_Data!B3741)</f>
        <v>Melatonin</v>
      </c>
      <c r="C3743" s="3" t="str">
        <f>TRIM([1]Raw_Data!C3741)</f>
        <v>Sleep Aid</v>
      </c>
      <c r="D3743" s="3">
        <f>[1]Raw_Data!D3741</f>
        <v>154</v>
      </c>
      <c r="E3743" s="4">
        <f>[1]Raw_Data!E3741</f>
        <v>37.71</v>
      </c>
      <c r="F3743" s="5">
        <f>[1]Raw_Data!F3741</f>
        <v>5807.34</v>
      </c>
      <c r="G3743" s="4">
        <f>[1]Raw_Data!G3741</f>
        <v>0.09</v>
      </c>
      <c r="H3743" s="3">
        <f>[1]Raw_Data!H3741</f>
        <v>3</v>
      </c>
      <c r="I3743" s="3" t="str">
        <f>TRIM([1]Raw_Data!I3741)</f>
        <v>UK</v>
      </c>
      <c r="J3743" s="3" t="str">
        <f>TRIM([1]Raw_Data!J3741)</f>
        <v>Amazon</v>
      </c>
      <c r="K3743" s="3">
        <f t="shared" si="232"/>
        <v>2024</v>
      </c>
      <c r="L3743" s="6">
        <f t="shared" si="233"/>
        <v>45444</v>
      </c>
      <c r="M3743" s="3" t="str">
        <f t="shared" si="234"/>
        <v>6% to 10%</v>
      </c>
      <c r="N3743" s="3" t="str">
        <f t="shared" si="235"/>
        <v>OK</v>
      </c>
    </row>
    <row r="3744" spans="1:14" x14ac:dyDescent="0.3">
      <c r="A3744" s="2">
        <f>DATE(VALUE(RIGHT(TRIM([1]Raw_Data!A3742),4)),VALUE(MID(TRIM([1]Raw_Data!A3742),4,2)),VALUE(LEFT(TRIM([1]Raw_Data!A3742),2)))</f>
        <v>45467</v>
      </c>
      <c r="B3744" s="3" t="str">
        <f>TRIM([1]Raw_Data!B3742)</f>
        <v>Biotin</v>
      </c>
      <c r="C3744" s="3" t="str">
        <f>TRIM([1]Raw_Data!C3742)</f>
        <v>Vitamin</v>
      </c>
      <c r="D3744" s="3">
        <f>[1]Raw_Data!D3742</f>
        <v>129</v>
      </c>
      <c r="E3744" s="4">
        <f>[1]Raw_Data!E3742</f>
        <v>48.78</v>
      </c>
      <c r="F3744" s="5">
        <f>[1]Raw_Data!F3742</f>
        <v>6292.62</v>
      </c>
      <c r="G3744" s="4">
        <f>[1]Raw_Data!G3742</f>
        <v>0.02</v>
      </c>
      <c r="H3744" s="3">
        <f>[1]Raw_Data!H3742</f>
        <v>2</v>
      </c>
      <c r="I3744" s="3" t="str">
        <f>TRIM([1]Raw_Data!I3742)</f>
        <v>UK</v>
      </c>
      <c r="J3744" s="3" t="str">
        <f>TRIM([1]Raw_Data!J3742)</f>
        <v>Amazon</v>
      </c>
      <c r="K3744" s="3">
        <f t="shared" si="232"/>
        <v>2024</v>
      </c>
      <c r="L3744" s="6">
        <f t="shared" si="233"/>
        <v>45444</v>
      </c>
      <c r="M3744" s="3" t="str">
        <f t="shared" si="234"/>
        <v>0% to 5%</v>
      </c>
      <c r="N3744" s="3" t="str">
        <f t="shared" si="235"/>
        <v>OK</v>
      </c>
    </row>
    <row r="3745" spans="1:14" x14ac:dyDescent="0.3">
      <c r="A3745" s="2">
        <f>DATE(VALUE(RIGHT(TRIM([1]Raw_Data!A3743),4)),VALUE(MID(TRIM([1]Raw_Data!A3743),4,2)),VALUE(LEFT(TRIM([1]Raw_Data!A3743),2)))</f>
        <v>45467</v>
      </c>
      <c r="B3745" s="3" t="str">
        <f>TRIM([1]Raw_Data!B3743)</f>
        <v>Green Tea Extract</v>
      </c>
      <c r="C3745" s="3" t="str">
        <f>TRIM([1]Raw_Data!C3743)</f>
        <v>Fat Burner</v>
      </c>
      <c r="D3745" s="3">
        <f>[1]Raw_Data!D3743</f>
        <v>163</v>
      </c>
      <c r="E3745" s="4">
        <f>[1]Raw_Data!E3743</f>
        <v>10.65</v>
      </c>
      <c r="F3745" s="5">
        <f>[1]Raw_Data!F3743</f>
        <v>1735.95</v>
      </c>
      <c r="G3745" s="4">
        <f>[1]Raw_Data!G3743</f>
        <v>0.05</v>
      </c>
      <c r="H3745" s="3">
        <f>[1]Raw_Data!H3743</f>
        <v>1</v>
      </c>
      <c r="I3745" s="3" t="str">
        <f>TRIM([1]Raw_Data!I3743)</f>
        <v>Canada</v>
      </c>
      <c r="J3745" s="3" t="str">
        <f>TRIM([1]Raw_Data!J3743)</f>
        <v>Amazon</v>
      </c>
      <c r="K3745" s="3">
        <f t="shared" si="232"/>
        <v>2024</v>
      </c>
      <c r="L3745" s="6">
        <f t="shared" si="233"/>
        <v>45444</v>
      </c>
      <c r="M3745" s="3" t="str">
        <f t="shared" si="234"/>
        <v>0% to 5%</v>
      </c>
      <c r="N3745" s="3" t="str">
        <f t="shared" si="235"/>
        <v>OK</v>
      </c>
    </row>
    <row r="3746" spans="1:14" x14ac:dyDescent="0.3">
      <c r="A3746" s="2">
        <f>DATE(VALUE(RIGHT(TRIM([1]Raw_Data!A3744),4)),VALUE(MID(TRIM([1]Raw_Data!A3744),4,2)),VALUE(LEFT(TRIM([1]Raw_Data!A3744),2)))</f>
        <v>45467</v>
      </c>
      <c r="B3746" s="3" t="str">
        <f>TRIM([1]Raw_Data!B3744)</f>
        <v>Iron Supplement</v>
      </c>
      <c r="C3746" s="3" t="str">
        <f>TRIM([1]Raw_Data!C3744)</f>
        <v>Mineral</v>
      </c>
      <c r="D3746" s="3">
        <f>[1]Raw_Data!D3744</f>
        <v>155</v>
      </c>
      <c r="E3746" s="4">
        <f>[1]Raw_Data!E3744</f>
        <v>56.48</v>
      </c>
      <c r="F3746" s="5">
        <f>[1]Raw_Data!F3744</f>
        <v>8754.4</v>
      </c>
      <c r="G3746" s="4">
        <f>[1]Raw_Data!G3744</f>
        <v>0.19</v>
      </c>
      <c r="H3746" s="3">
        <f>[1]Raw_Data!H3744</f>
        <v>1</v>
      </c>
      <c r="I3746" s="3" t="str">
        <f>TRIM([1]Raw_Data!I3744)</f>
        <v>Canada</v>
      </c>
      <c r="J3746" s="3" t="str">
        <f>TRIM([1]Raw_Data!J3744)</f>
        <v>iHerb</v>
      </c>
      <c r="K3746" s="3">
        <f t="shared" si="232"/>
        <v>2024</v>
      </c>
      <c r="L3746" s="6">
        <f t="shared" si="233"/>
        <v>45444</v>
      </c>
      <c r="M3746" s="3" t="str">
        <f t="shared" si="234"/>
        <v>16% to 20%</v>
      </c>
      <c r="N3746" s="3" t="str">
        <f t="shared" si="235"/>
        <v>OK</v>
      </c>
    </row>
    <row r="3747" spans="1:14" x14ac:dyDescent="0.3">
      <c r="A3747" s="2">
        <f>DATE(VALUE(RIGHT(TRIM([1]Raw_Data!A3745),4)),VALUE(MID(TRIM([1]Raw_Data!A3745),4,2)),VALUE(LEFT(TRIM([1]Raw_Data!A3745),2)))</f>
        <v>45467</v>
      </c>
      <c r="B3747" s="3" t="str">
        <f>TRIM([1]Raw_Data!B3745)</f>
        <v>Electrolyte Powder</v>
      </c>
      <c r="C3747" s="3" t="str">
        <f>TRIM([1]Raw_Data!C3745)</f>
        <v>Hydration</v>
      </c>
      <c r="D3747" s="3">
        <f>[1]Raw_Data!D3745</f>
        <v>146</v>
      </c>
      <c r="E3747" s="4">
        <f>[1]Raw_Data!E3745</f>
        <v>58.55</v>
      </c>
      <c r="F3747" s="5">
        <f>[1]Raw_Data!F3745</f>
        <v>8548.2999999999993</v>
      </c>
      <c r="G3747" s="4">
        <f>[1]Raw_Data!G3745</f>
        <v>0.13</v>
      </c>
      <c r="H3747" s="3">
        <f>[1]Raw_Data!H3745</f>
        <v>3</v>
      </c>
      <c r="I3747" s="3" t="str">
        <f>TRIM([1]Raw_Data!I3745)</f>
        <v>Canada</v>
      </c>
      <c r="J3747" s="3" t="str">
        <f>TRIM([1]Raw_Data!J3745)</f>
        <v>Amazon</v>
      </c>
      <c r="K3747" s="3">
        <f t="shared" si="232"/>
        <v>2024</v>
      </c>
      <c r="L3747" s="6">
        <f t="shared" si="233"/>
        <v>45444</v>
      </c>
      <c r="M3747" s="3" t="str">
        <f t="shared" si="234"/>
        <v>11% to 15%</v>
      </c>
      <c r="N3747" s="3" t="str">
        <f t="shared" si="235"/>
        <v>OK</v>
      </c>
    </row>
    <row r="3748" spans="1:14" x14ac:dyDescent="0.3">
      <c r="A3748" s="2">
        <f>DATE(VALUE(RIGHT(TRIM([1]Raw_Data!A3746),4)),VALUE(MID(TRIM([1]Raw_Data!A3746),4,2)),VALUE(LEFT(TRIM([1]Raw_Data!A3746),2)))</f>
        <v>45474</v>
      </c>
      <c r="B3748" s="3" t="str">
        <f>TRIM([1]Raw_Data!B3746)</f>
        <v>Whey Protein</v>
      </c>
      <c r="C3748" s="3" t="str">
        <f>TRIM([1]Raw_Data!C3746)</f>
        <v>Protein</v>
      </c>
      <c r="D3748" s="3">
        <f>[1]Raw_Data!D3746</f>
        <v>144</v>
      </c>
      <c r="E3748" s="4">
        <f>[1]Raw_Data!E3746</f>
        <v>12.69</v>
      </c>
      <c r="F3748" s="5">
        <f>[1]Raw_Data!F3746</f>
        <v>1827.36</v>
      </c>
      <c r="G3748" s="4">
        <f>[1]Raw_Data!G3746</f>
        <v>0.25</v>
      </c>
      <c r="H3748" s="3">
        <f>[1]Raw_Data!H3746</f>
        <v>3</v>
      </c>
      <c r="I3748" s="3" t="str">
        <f>TRIM([1]Raw_Data!I3746)</f>
        <v>UK</v>
      </c>
      <c r="J3748" s="3" t="str">
        <f>TRIM([1]Raw_Data!J3746)</f>
        <v>iHerb</v>
      </c>
      <c r="K3748" s="3">
        <f t="shared" si="232"/>
        <v>2024</v>
      </c>
      <c r="L3748" s="6">
        <f t="shared" si="233"/>
        <v>45474</v>
      </c>
      <c r="M3748" s="3" t="str">
        <f t="shared" si="234"/>
        <v>21% to 25%</v>
      </c>
      <c r="N3748" s="3" t="str">
        <f t="shared" si="235"/>
        <v>OK</v>
      </c>
    </row>
    <row r="3749" spans="1:14" x14ac:dyDescent="0.3">
      <c r="A3749" s="2">
        <f>DATE(VALUE(RIGHT(TRIM([1]Raw_Data!A3747),4)),VALUE(MID(TRIM([1]Raw_Data!A3747),4,2)),VALUE(LEFT(TRIM([1]Raw_Data!A3747),2)))</f>
        <v>45474</v>
      </c>
      <c r="B3749" s="3" t="str">
        <f>TRIM([1]Raw_Data!B3747)</f>
        <v>Vitamin C</v>
      </c>
      <c r="C3749" s="3" t="str">
        <f>TRIM([1]Raw_Data!C3747)</f>
        <v>Vitamin</v>
      </c>
      <c r="D3749" s="3">
        <f>[1]Raw_Data!D3747</f>
        <v>145</v>
      </c>
      <c r="E3749" s="4">
        <f>[1]Raw_Data!E3747</f>
        <v>47.61</v>
      </c>
      <c r="F3749" s="5">
        <f>[1]Raw_Data!F3747</f>
        <v>6903.45</v>
      </c>
      <c r="G3749" s="4">
        <f>[1]Raw_Data!G3747</f>
        <v>0.23</v>
      </c>
      <c r="H3749" s="3">
        <f>[1]Raw_Data!H3747</f>
        <v>1</v>
      </c>
      <c r="I3749" s="3" t="str">
        <f>TRIM([1]Raw_Data!I3747)</f>
        <v>USA</v>
      </c>
      <c r="J3749" s="3" t="str">
        <f>TRIM([1]Raw_Data!J3747)</f>
        <v>Amazon</v>
      </c>
      <c r="K3749" s="3">
        <f t="shared" si="232"/>
        <v>2024</v>
      </c>
      <c r="L3749" s="6">
        <f t="shared" si="233"/>
        <v>45474</v>
      </c>
      <c r="M3749" s="3" t="str">
        <f t="shared" si="234"/>
        <v>21% to 25%</v>
      </c>
      <c r="N3749" s="3" t="str">
        <f t="shared" si="235"/>
        <v>OK</v>
      </c>
    </row>
    <row r="3750" spans="1:14" x14ac:dyDescent="0.3">
      <c r="A3750" s="2">
        <f>DATE(VALUE(RIGHT(TRIM([1]Raw_Data!A3748),4)),VALUE(MID(TRIM([1]Raw_Data!A3748),4,2)),VALUE(LEFT(TRIM([1]Raw_Data!A3748),2)))</f>
        <v>45474</v>
      </c>
      <c r="B3750" s="3" t="str">
        <f>TRIM([1]Raw_Data!B3748)</f>
        <v>Fish Oil</v>
      </c>
      <c r="C3750" s="3" t="str">
        <f>TRIM([1]Raw_Data!C3748)</f>
        <v>Omega</v>
      </c>
      <c r="D3750" s="3">
        <f>[1]Raw_Data!D3748</f>
        <v>149</v>
      </c>
      <c r="E3750" s="4">
        <f>[1]Raw_Data!E3748</f>
        <v>48.93</v>
      </c>
      <c r="F3750" s="5">
        <f>[1]Raw_Data!F3748</f>
        <v>7290.57</v>
      </c>
      <c r="G3750" s="4">
        <f>[1]Raw_Data!G3748</f>
        <v>0.1</v>
      </c>
      <c r="H3750" s="3">
        <f>[1]Raw_Data!H3748</f>
        <v>3</v>
      </c>
      <c r="I3750" s="3" t="str">
        <f>TRIM([1]Raw_Data!I3748)</f>
        <v>UK</v>
      </c>
      <c r="J3750" s="3" t="str">
        <f>TRIM([1]Raw_Data!J3748)</f>
        <v>iHerb</v>
      </c>
      <c r="K3750" s="3">
        <f t="shared" si="232"/>
        <v>2024</v>
      </c>
      <c r="L3750" s="6">
        <f t="shared" si="233"/>
        <v>45474</v>
      </c>
      <c r="M3750" s="3" t="str">
        <f t="shared" si="234"/>
        <v>6% to 10%</v>
      </c>
      <c r="N3750" s="3" t="str">
        <f t="shared" si="235"/>
        <v>OK</v>
      </c>
    </row>
    <row r="3751" spans="1:14" x14ac:dyDescent="0.3">
      <c r="A3751" s="2">
        <f>DATE(VALUE(RIGHT(TRIM([1]Raw_Data!A3749),4)),VALUE(MID(TRIM([1]Raw_Data!A3749),4,2)),VALUE(LEFT(TRIM([1]Raw_Data!A3749),2)))</f>
        <v>45474</v>
      </c>
      <c r="B3751" s="3" t="str">
        <f>TRIM([1]Raw_Data!B3749)</f>
        <v>Multivitamin</v>
      </c>
      <c r="C3751" s="3" t="str">
        <f>TRIM([1]Raw_Data!C3749)</f>
        <v>Vitamin</v>
      </c>
      <c r="D3751" s="3">
        <f>[1]Raw_Data!D3749</f>
        <v>138</v>
      </c>
      <c r="E3751" s="4">
        <f>[1]Raw_Data!E3749</f>
        <v>34.659999999999997</v>
      </c>
      <c r="F3751" s="5">
        <f>[1]Raw_Data!F3749</f>
        <v>4783.08</v>
      </c>
      <c r="G3751" s="4">
        <f>[1]Raw_Data!G3749</f>
        <v>0.11</v>
      </c>
      <c r="H3751" s="3">
        <f>[1]Raw_Data!H3749</f>
        <v>1</v>
      </c>
      <c r="I3751" s="3" t="str">
        <f>TRIM([1]Raw_Data!I3749)</f>
        <v>UK</v>
      </c>
      <c r="J3751" s="3" t="str">
        <f>TRIM([1]Raw_Data!J3749)</f>
        <v>Amazon</v>
      </c>
      <c r="K3751" s="3">
        <f t="shared" si="232"/>
        <v>2024</v>
      </c>
      <c r="L3751" s="6">
        <f t="shared" si="233"/>
        <v>45474</v>
      </c>
      <c r="M3751" s="3" t="str">
        <f t="shared" si="234"/>
        <v>11% to 15%</v>
      </c>
      <c r="N3751" s="3" t="str">
        <f t="shared" si="235"/>
        <v>OK</v>
      </c>
    </row>
    <row r="3752" spans="1:14" x14ac:dyDescent="0.3">
      <c r="A3752" s="2">
        <f>DATE(VALUE(RIGHT(TRIM([1]Raw_Data!A3750),4)),VALUE(MID(TRIM([1]Raw_Data!A3750),4,2)),VALUE(LEFT(TRIM([1]Raw_Data!A3750),2)))</f>
        <v>45474</v>
      </c>
      <c r="B3752" s="3" t="str">
        <f>TRIM([1]Raw_Data!B3750)</f>
        <v>Pre-Workout</v>
      </c>
      <c r="C3752" s="3" t="str">
        <f>TRIM([1]Raw_Data!C3750)</f>
        <v>Performance</v>
      </c>
      <c r="D3752" s="3">
        <f>[1]Raw_Data!D3750</f>
        <v>152</v>
      </c>
      <c r="E3752" s="4">
        <f>[1]Raw_Data!E3750</f>
        <v>18.760000000000002</v>
      </c>
      <c r="F3752" s="5">
        <f>[1]Raw_Data!F3750</f>
        <v>2851.52</v>
      </c>
      <c r="G3752" s="4">
        <f>[1]Raw_Data!G3750</f>
        <v>0.19</v>
      </c>
      <c r="H3752" s="3">
        <f>[1]Raw_Data!H3750</f>
        <v>1</v>
      </c>
      <c r="I3752" s="3" t="str">
        <f>TRIM([1]Raw_Data!I3750)</f>
        <v>UK</v>
      </c>
      <c r="J3752" s="3" t="str">
        <f>TRIM([1]Raw_Data!J3750)</f>
        <v>Amazon</v>
      </c>
      <c r="K3752" s="3">
        <f t="shared" si="232"/>
        <v>2024</v>
      </c>
      <c r="L3752" s="6">
        <f t="shared" si="233"/>
        <v>45474</v>
      </c>
      <c r="M3752" s="3" t="str">
        <f t="shared" si="234"/>
        <v>16% to 20%</v>
      </c>
      <c r="N3752" s="3" t="str">
        <f t="shared" si="235"/>
        <v>OK</v>
      </c>
    </row>
    <row r="3753" spans="1:14" x14ac:dyDescent="0.3">
      <c r="A3753" s="2">
        <f>DATE(VALUE(RIGHT(TRIM([1]Raw_Data!A3751),4)),VALUE(MID(TRIM([1]Raw_Data!A3751),4,2)),VALUE(LEFT(TRIM([1]Raw_Data!A3751),2)))</f>
        <v>45474</v>
      </c>
      <c r="B3753" s="3" t="str">
        <f>TRIM([1]Raw_Data!B3751)</f>
        <v>BCAA</v>
      </c>
      <c r="C3753" s="3" t="str">
        <f>TRIM([1]Raw_Data!C3751)</f>
        <v>Amino Acid</v>
      </c>
      <c r="D3753" s="3">
        <f>[1]Raw_Data!D3751</f>
        <v>150</v>
      </c>
      <c r="E3753" s="4">
        <f>[1]Raw_Data!E3751</f>
        <v>55.48</v>
      </c>
      <c r="F3753" s="5">
        <f>[1]Raw_Data!F3751</f>
        <v>8322</v>
      </c>
      <c r="G3753" s="4">
        <f>[1]Raw_Data!G3751</f>
        <v>0.18</v>
      </c>
      <c r="H3753" s="3">
        <f>[1]Raw_Data!H3751</f>
        <v>0</v>
      </c>
      <c r="I3753" s="3" t="str">
        <f>TRIM([1]Raw_Data!I3751)</f>
        <v>UK</v>
      </c>
      <c r="J3753" s="3" t="str">
        <f>TRIM([1]Raw_Data!J3751)</f>
        <v>Amazon</v>
      </c>
      <c r="K3753" s="3">
        <f t="shared" si="232"/>
        <v>2024</v>
      </c>
      <c r="L3753" s="6">
        <f t="shared" si="233"/>
        <v>45474</v>
      </c>
      <c r="M3753" s="3" t="str">
        <f t="shared" si="234"/>
        <v>16% to 20%</v>
      </c>
      <c r="N3753" s="3" t="str">
        <f t="shared" si="235"/>
        <v>OK</v>
      </c>
    </row>
    <row r="3754" spans="1:14" x14ac:dyDescent="0.3">
      <c r="A3754" s="2">
        <f>DATE(VALUE(RIGHT(TRIM([1]Raw_Data!A3752),4)),VALUE(MID(TRIM([1]Raw_Data!A3752),4,2)),VALUE(LEFT(TRIM([1]Raw_Data!A3752),2)))</f>
        <v>45474</v>
      </c>
      <c r="B3754" s="3" t="str">
        <f>TRIM([1]Raw_Data!B3752)</f>
        <v>Creatine</v>
      </c>
      <c r="C3754" s="3" t="str">
        <f>TRIM([1]Raw_Data!C3752)</f>
        <v>Performance</v>
      </c>
      <c r="D3754" s="3">
        <f>[1]Raw_Data!D3752</f>
        <v>149</v>
      </c>
      <c r="E3754" s="4">
        <f>[1]Raw_Data!E3752</f>
        <v>37.369999999999997</v>
      </c>
      <c r="F3754" s="5">
        <f>[1]Raw_Data!F3752</f>
        <v>5568.13</v>
      </c>
      <c r="G3754" s="4">
        <f>[1]Raw_Data!G3752</f>
        <v>0.11</v>
      </c>
      <c r="H3754" s="3">
        <f>[1]Raw_Data!H3752</f>
        <v>1</v>
      </c>
      <c r="I3754" s="3" t="str">
        <f>TRIM([1]Raw_Data!I3752)</f>
        <v>UK</v>
      </c>
      <c r="J3754" s="3" t="str">
        <f>TRIM([1]Raw_Data!J3752)</f>
        <v>Amazon</v>
      </c>
      <c r="K3754" s="3">
        <f t="shared" si="232"/>
        <v>2024</v>
      </c>
      <c r="L3754" s="6">
        <f t="shared" si="233"/>
        <v>45474</v>
      </c>
      <c r="M3754" s="3" t="str">
        <f t="shared" si="234"/>
        <v>11% to 15%</v>
      </c>
      <c r="N3754" s="3" t="str">
        <f t="shared" si="235"/>
        <v>OK</v>
      </c>
    </row>
    <row r="3755" spans="1:14" x14ac:dyDescent="0.3">
      <c r="A3755" s="2">
        <f>DATE(VALUE(RIGHT(TRIM([1]Raw_Data!A3753),4)),VALUE(MID(TRIM([1]Raw_Data!A3753),4,2)),VALUE(LEFT(TRIM([1]Raw_Data!A3753),2)))</f>
        <v>45474</v>
      </c>
      <c r="B3755" s="3" t="str">
        <f>TRIM([1]Raw_Data!B3753)</f>
        <v>Zinc</v>
      </c>
      <c r="C3755" s="3" t="str">
        <f>TRIM([1]Raw_Data!C3753)</f>
        <v>Mineral</v>
      </c>
      <c r="D3755" s="3">
        <f>[1]Raw_Data!D3753</f>
        <v>156</v>
      </c>
      <c r="E3755" s="4">
        <f>[1]Raw_Data!E3753</f>
        <v>15.25</v>
      </c>
      <c r="F3755" s="5">
        <f>[1]Raw_Data!F3753</f>
        <v>2379</v>
      </c>
      <c r="G3755" s="4">
        <f>[1]Raw_Data!G3753</f>
        <v>0.01</v>
      </c>
      <c r="H3755" s="3">
        <f>[1]Raw_Data!H3753</f>
        <v>1</v>
      </c>
      <c r="I3755" s="3" t="str">
        <f>TRIM([1]Raw_Data!I3753)</f>
        <v>UK</v>
      </c>
      <c r="J3755" s="3" t="str">
        <f>TRIM([1]Raw_Data!J3753)</f>
        <v>iHerb</v>
      </c>
      <c r="K3755" s="3">
        <f t="shared" si="232"/>
        <v>2024</v>
      </c>
      <c r="L3755" s="6">
        <f t="shared" si="233"/>
        <v>45474</v>
      </c>
      <c r="M3755" s="3" t="str">
        <f t="shared" si="234"/>
        <v>0% to 5%</v>
      </c>
      <c r="N3755" s="3" t="str">
        <f t="shared" si="235"/>
        <v>OK</v>
      </c>
    </row>
    <row r="3756" spans="1:14" x14ac:dyDescent="0.3">
      <c r="A3756" s="2">
        <f>DATE(VALUE(RIGHT(TRIM([1]Raw_Data!A3754),4)),VALUE(MID(TRIM([1]Raw_Data!A3754),4,2)),VALUE(LEFT(TRIM([1]Raw_Data!A3754),2)))</f>
        <v>45474</v>
      </c>
      <c r="B3756" s="3" t="str">
        <f>TRIM([1]Raw_Data!B3754)</f>
        <v>Collagen Peptides</v>
      </c>
      <c r="C3756" s="3" t="str">
        <f>TRIM([1]Raw_Data!C3754)</f>
        <v>Protein</v>
      </c>
      <c r="D3756" s="3">
        <f>[1]Raw_Data!D3754</f>
        <v>146</v>
      </c>
      <c r="E3756" s="4">
        <f>[1]Raw_Data!E3754</f>
        <v>24.64</v>
      </c>
      <c r="F3756" s="5">
        <f>[1]Raw_Data!F3754</f>
        <v>3597.44</v>
      </c>
      <c r="G3756" s="4">
        <f>[1]Raw_Data!G3754</f>
        <v>0.25</v>
      </c>
      <c r="H3756" s="3">
        <f>[1]Raw_Data!H3754</f>
        <v>1</v>
      </c>
      <c r="I3756" s="3" t="str">
        <f>TRIM([1]Raw_Data!I3754)</f>
        <v>UK</v>
      </c>
      <c r="J3756" s="3" t="str">
        <f>TRIM([1]Raw_Data!J3754)</f>
        <v>iHerb</v>
      </c>
      <c r="K3756" s="3">
        <f t="shared" si="232"/>
        <v>2024</v>
      </c>
      <c r="L3756" s="6">
        <f t="shared" si="233"/>
        <v>45474</v>
      </c>
      <c r="M3756" s="3" t="str">
        <f t="shared" si="234"/>
        <v>21% to 25%</v>
      </c>
      <c r="N3756" s="3" t="str">
        <f t="shared" si="235"/>
        <v>OK</v>
      </c>
    </row>
    <row r="3757" spans="1:14" x14ac:dyDescent="0.3">
      <c r="A3757" s="2">
        <f>DATE(VALUE(RIGHT(TRIM([1]Raw_Data!A3755),4)),VALUE(MID(TRIM([1]Raw_Data!A3755),4,2)),VALUE(LEFT(TRIM([1]Raw_Data!A3755),2)))</f>
        <v>45474</v>
      </c>
      <c r="B3757" s="3" t="str">
        <f>TRIM([1]Raw_Data!B3755)</f>
        <v>Magnesium</v>
      </c>
      <c r="C3757" s="3" t="str">
        <f>TRIM([1]Raw_Data!C3755)</f>
        <v>Mineral</v>
      </c>
      <c r="D3757" s="3">
        <f>[1]Raw_Data!D3755</f>
        <v>148</v>
      </c>
      <c r="E3757" s="4">
        <f>[1]Raw_Data!E3755</f>
        <v>23.03</v>
      </c>
      <c r="F3757" s="5">
        <f>[1]Raw_Data!F3755</f>
        <v>3408.44</v>
      </c>
      <c r="G3757" s="4">
        <f>[1]Raw_Data!G3755</f>
        <v>0.01</v>
      </c>
      <c r="H3757" s="3">
        <f>[1]Raw_Data!H3755</f>
        <v>1</v>
      </c>
      <c r="I3757" s="3" t="str">
        <f>TRIM([1]Raw_Data!I3755)</f>
        <v>Canada</v>
      </c>
      <c r="J3757" s="3" t="str">
        <f>TRIM([1]Raw_Data!J3755)</f>
        <v>Walmart</v>
      </c>
      <c r="K3757" s="3">
        <f t="shared" si="232"/>
        <v>2024</v>
      </c>
      <c r="L3757" s="6">
        <f t="shared" si="233"/>
        <v>45474</v>
      </c>
      <c r="M3757" s="3" t="str">
        <f t="shared" si="234"/>
        <v>0% to 5%</v>
      </c>
      <c r="N3757" s="3" t="str">
        <f t="shared" si="235"/>
        <v>OK</v>
      </c>
    </row>
    <row r="3758" spans="1:14" x14ac:dyDescent="0.3">
      <c r="A3758" s="2">
        <f>DATE(VALUE(RIGHT(TRIM([1]Raw_Data!A3756),4)),VALUE(MID(TRIM([1]Raw_Data!A3756),4,2)),VALUE(LEFT(TRIM([1]Raw_Data!A3756),2)))</f>
        <v>45474</v>
      </c>
      <c r="B3758" s="3" t="str">
        <f>TRIM([1]Raw_Data!B3756)</f>
        <v>Ashwagandha</v>
      </c>
      <c r="C3758" s="3" t="str">
        <f>TRIM([1]Raw_Data!C3756)</f>
        <v>Herbal</v>
      </c>
      <c r="D3758" s="3">
        <f>[1]Raw_Data!D3756</f>
        <v>159</v>
      </c>
      <c r="E3758" s="4">
        <f>[1]Raw_Data!E3756</f>
        <v>28.4</v>
      </c>
      <c r="F3758" s="5">
        <f>[1]Raw_Data!F3756</f>
        <v>4515.6000000000004</v>
      </c>
      <c r="G3758" s="4">
        <f>[1]Raw_Data!G3756</f>
        <v>0</v>
      </c>
      <c r="H3758" s="3">
        <f>[1]Raw_Data!H3756</f>
        <v>3</v>
      </c>
      <c r="I3758" s="3" t="str">
        <f>TRIM([1]Raw_Data!I3756)</f>
        <v>USA</v>
      </c>
      <c r="J3758" s="3" t="str">
        <f>TRIM([1]Raw_Data!J3756)</f>
        <v>Amazon</v>
      </c>
      <c r="K3758" s="3">
        <f t="shared" si="232"/>
        <v>2024</v>
      </c>
      <c r="L3758" s="6">
        <f t="shared" si="233"/>
        <v>45474</v>
      </c>
      <c r="M3758" s="3" t="str">
        <f t="shared" si="234"/>
        <v>0% to 5%</v>
      </c>
      <c r="N3758" s="3" t="str">
        <f t="shared" si="235"/>
        <v>OK</v>
      </c>
    </row>
    <row r="3759" spans="1:14" x14ac:dyDescent="0.3">
      <c r="A3759" s="2">
        <f>DATE(VALUE(RIGHT(TRIM([1]Raw_Data!A3757),4)),VALUE(MID(TRIM([1]Raw_Data!A3757),4,2)),VALUE(LEFT(TRIM([1]Raw_Data!A3757),2)))</f>
        <v>45474</v>
      </c>
      <c r="B3759" s="3" t="str">
        <f>TRIM([1]Raw_Data!B3757)</f>
        <v>Melatonin</v>
      </c>
      <c r="C3759" s="3" t="str">
        <f>TRIM([1]Raw_Data!C3757)</f>
        <v>Sleep Aid</v>
      </c>
      <c r="D3759" s="3">
        <f>[1]Raw_Data!D3757</f>
        <v>161</v>
      </c>
      <c r="E3759" s="4">
        <f>[1]Raw_Data!E3757</f>
        <v>28.24</v>
      </c>
      <c r="F3759" s="5">
        <f>[1]Raw_Data!F3757</f>
        <v>4546.6400000000003</v>
      </c>
      <c r="G3759" s="4">
        <f>[1]Raw_Data!G3757</f>
        <v>0.24</v>
      </c>
      <c r="H3759" s="3">
        <f>[1]Raw_Data!H3757</f>
        <v>1</v>
      </c>
      <c r="I3759" s="3" t="str">
        <f>TRIM([1]Raw_Data!I3757)</f>
        <v>USA</v>
      </c>
      <c r="J3759" s="3" t="str">
        <f>TRIM([1]Raw_Data!J3757)</f>
        <v>Amazon</v>
      </c>
      <c r="K3759" s="3">
        <f t="shared" si="232"/>
        <v>2024</v>
      </c>
      <c r="L3759" s="6">
        <f t="shared" si="233"/>
        <v>45474</v>
      </c>
      <c r="M3759" s="3" t="str">
        <f t="shared" si="234"/>
        <v>21% to 25%</v>
      </c>
      <c r="N3759" s="3" t="str">
        <f t="shared" si="235"/>
        <v>OK</v>
      </c>
    </row>
    <row r="3760" spans="1:14" x14ac:dyDescent="0.3">
      <c r="A3760" s="2">
        <f>DATE(VALUE(RIGHT(TRIM([1]Raw_Data!A3758),4)),VALUE(MID(TRIM([1]Raw_Data!A3758),4,2)),VALUE(LEFT(TRIM([1]Raw_Data!A3758),2)))</f>
        <v>45474</v>
      </c>
      <c r="B3760" s="3" t="str">
        <f>TRIM([1]Raw_Data!B3758)</f>
        <v>Biotin</v>
      </c>
      <c r="C3760" s="3" t="str">
        <f>TRIM([1]Raw_Data!C3758)</f>
        <v>Vitamin</v>
      </c>
      <c r="D3760" s="3">
        <f>[1]Raw_Data!D3758</f>
        <v>151</v>
      </c>
      <c r="E3760" s="4">
        <f>[1]Raw_Data!E3758</f>
        <v>39.81</v>
      </c>
      <c r="F3760" s="5">
        <f>[1]Raw_Data!F3758</f>
        <v>6011.31</v>
      </c>
      <c r="G3760" s="4">
        <f>[1]Raw_Data!G3758</f>
        <v>0.24</v>
      </c>
      <c r="H3760" s="3">
        <f>[1]Raw_Data!H3758</f>
        <v>6</v>
      </c>
      <c r="I3760" s="3" t="str">
        <f>TRIM([1]Raw_Data!I3758)</f>
        <v>UK</v>
      </c>
      <c r="J3760" s="3" t="str">
        <f>TRIM([1]Raw_Data!J3758)</f>
        <v>Walmart</v>
      </c>
      <c r="K3760" s="3">
        <f t="shared" si="232"/>
        <v>2024</v>
      </c>
      <c r="L3760" s="6">
        <f t="shared" si="233"/>
        <v>45474</v>
      </c>
      <c r="M3760" s="3" t="str">
        <f t="shared" si="234"/>
        <v>21% to 25%</v>
      </c>
      <c r="N3760" s="3" t="str">
        <f t="shared" si="235"/>
        <v>OK</v>
      </c>
    </row>
    <row r="3761" spans="1:14" x14ac:dyDescent="0.3">
      <c r="A3761" s="2">
        <f>DATE(VALUE(RIGHT(TRIM([1]Raw_Data!A3759),4)),VALUE(MID(TRIM([1]Raw_Data!A3759),4,2)),VALUE(LEFT(TRIM([1]Raw_Data!A3759),2)))</f>
        <v>45474</v>
      </c>
      <c r="B3761" s="3" t="str">
        <f>TRIM([1]Raw_Data!B3759)</f>
        <v>Green Tea Extract</v>
      </c>
      <c r="C3761" s="3" t="str">
        <f>TRIM([1]Raw_Data!C3759)</f>
        <v>Fat Burner</v>
      </c>
      <c r="D3761" s="3">
        <f>[1]Raw_Data!D3759</f>
        <v>160</v>
      </c>
      <c r="E3761" s="4">
        <f>[1]Raw_Data!E3759</f>
        <v>34.72</v>
      </c>
      <c r="F3761" s="5">
        <f>[1]Raw_Data!F3759</f>
        <v>5555.2</v>
      </c>
      <c r="G3761" s="4">
        <f>[1]Raw_Data!G3759</f>
        <v>0.09</v>
      </c>
      <c r="H3761" s="3">
        <f>[1]Raw_Data!H3759</f>
        <v>5</v>
      </c>
      <c r="I3761" s="3" t="str">
        <f>TRIM([1]Raw_Data!I3759)</f>
        <v>UK</v>
      </c>
      <c r="J3761" s="3" t="str">
        <f>TRIM([1]Raw_Data!J3759)</f>
        <v>iHerb</v>
      </c>
      <c r="K3761" s="3">
        <f t="shared" si="232"/>
        <v>2024</v>
      </c>
      <c r="L3761" s="6">
        <f t="shared" si="233"/>
        <v>45474</v>
      </c>
      <c r="M3761" s="3" t="str">
        <f t="shared" si="234"/>
        <v>6% to 10%</v>
      </c>
      <c r="N3761" s="3" t="str">
        <f t="shared" si="235"/>
        <v>OK</v>
      </c>
    </row>
    <row r="3762" spans="1:14" x14ac:dyDescent="0.3">
      <c r="A3762" s="2">
        <f>DATE(VALUE(RIGHT(TRIM([1]Raw_Data!A3760),4)),VALUE(MID(TRIM([1]Raw_Data!A3760),4,2)),VALUE(LEFT(TRIM([1]Raw_Data!A3760),2)))</f>
        <v>45474</v>
      </c>
      <c r="B3762" s="3" t="str">
        <f>TRIM([1]Raw_Data!B3760)</f>
        <v>Iron Supplement</v>
      </c>
      <c r="C3762" s="3" t="str">
        <f>TRIM([1]Raw_Data!C3760)</f>
        <v>Mineral</v>
      </c>
      <c r="D3762" s="3">
        <f>[1]Raw_Data!D3760</f>
        <v>158</v>
      </c>
      <c r="E3762" s="4">
        <f>[1]Raw_Data!E3760</f>
        <v>10.61</v>
      </c>
      <c r="F3762" s="5">
        <f>[1]Raw_Data!F3760</f>
        <v>1676.38</v>
      </c>
      <c r="G3762" s="4">
        <f>[1]Raw_Data!G3760</f>
        <v>0.13</v>
      </c>
      <c r="H3762" s="3">
        <f>[1]Raw_Data!H3760</f>
        <v>5</v>
      </c>
      <c r="I3762" s="3" t="str">
        <f>TRIM([1]Raw_Data!I3760)</f>
        <v>UK</v>
      </c>
      <c r="J3762" s="3" t="str">
        <f>TRIM([1]Raw_Data!J3760)</f>
        <v>Amazon</v>
      </c>
      <c r="K3762" s="3">
        <f t="shared" si="232"/>
        <v>2024</v>
      </c>
      <c r="L3762" s="6">
        <f t="shared" si="233"/>
        <v>45474</v>
      </c>
      <c r="M3762" s="3" t="str">
        <f t="shared" si="234"/>
        <v>11% to 15%</v>
      </c>
      <c r="N3762" s="3" t="str">
        <f t="shared" si="235"/>
        <v>OK</v>
      </c>
    </row>
    <row r="3763" spans="1:14" x14ac:dyDescent="0.3">
      <c r="A3763" s="2">
        <f>DATE(VALUE(RIGHT(TRIM([1]Raw_Data!A3761),4)),VALUE(MID(TRIM([1]Raw_Data!A3761),4,2)),VALUE(LEFT(TRIM([1]Raw_Data!A3761),2)))</f>
        <v>45474</v>
      </c>
      <c r="B3763" s="3" t="str">
        <f>TRIM([1]Raw_Data!B3761)</f>
        <v>Electrolyte Powder</v>
      </c>
      <c r="C3763" s="3" t="str">
        <f>TRIM([1]Raw_Data!C3761)</f>
        <v>Hydration</v>
      </c>
      <c r="D3763" s="3">
        <f>[1]Raw_Data!D3761</f>
        <v>151</v>
      </c>
      <c r="E3763" s="4">
        <f>[1]Raw_Data!E3761</f>
        <v>11.1</v>
      </c>
      <c r="F3763" s="5">
        <f>[1]Raw_Data!F3761</f>
        <v>1676.1</v>
      </c>
      <c r="G3763" s="4">
        <f>[1]Raw_Data!G3761</f>
        <v>0.09</v>
      </c>
      <c r="H3763" s="3">
        <f>[1]Raw_Data!H3761</f>
        <v>3</v>
      </c>
      <c r="I3763" s="3" t="str">
        <f>TRIM([1]Raw_Data!I3761)</f>
        <v>USA</v>
      </c>
      <c r="J3763" s="3" t="str">
        <f>TRIM([1]Raw_Data!J3761)</f>
        <v>Walmart</v>
      </c>
      <c r="K3763" s="3">
        <f t="shared" si="232"/>
        <v>2024</v>
      </c>
      <c r="L3763" s="6">
        <f t="shared" si="233"/>
        <v>45474</v>
      </c>
      <c r="M3763" s="3" t="str">
        <f t="shared" si="234"/>
        <v>6% to 10%</v>
      </c>
      <c r="N3763" s="3" t="str">
        <f t="shared" si="235"/>
        <v>OK</v>
      </c>
    </row>
    <row r="3764" spans="1:14" x14ac:dyDescent="0.3">
      <c r="A3764" s="2">
        <f>DATE(VALUE(RIGHT(TRIM([1]Raw_Data!A3762),4)),VALUE(MID(TRIM([1]Raw_Data!A3762),4,2)),VALUE(LEFT(TRIM([1]Raw_Data!A3762),2)))</f>
        <v>45481</v>
      </c>
      <c r="B3764" s="3" t="str">
        <f>TRIM([1]Raw_Data!B3762)</f>
        <v>Whey Protein</v>
      </c>
      <c r="C3764" s="3" t="str">
        <f>TRIM([1]Raw_Data!C3762)</f>
        <v>Protein</v>
      </c>
      <c r="D3764" s="3">
        <f>[1]Raw_Data!D3762</f>
        <v>158</v>
      </c>
      <c r="E3764" s="4">
        <f>[1]Raw_Data!E3762</f>
        <v>39.53</v>
      </c>
      <c r="F3764" s="5">
        <f>[1]Raw_Data!F3762</f>
        <v>6245.74</v>
      </c>
      <c r="G3764" s="4">
        <f>[1]Raw_Data!G3762</f>
        <v>0.13</v>
      </c>
      <c r="H3764" s="3">
        <f>[1]Raw_Data!H3762</f>
        <v>2</v>
      </c>
      <c r="I3764" s="3" t="str">
        <f>TRIM([1]Raw_Data!I3762)</f>
        <v>Canada</v>
      </c>
      <c r="J3764" s="3" t="str">
        <f>TRIM([1]Raw_Data!J3762)</f>
        <v>Walmart</v>
      </c>
      <c r="K3764" s="3">
        <f t="shared" si="232"/>
        <v>2024</v>
      </c>
      <c r="L3764" s="6">
        <f t="shared" si="233"/>
        <v>45474</v>
      </c>
      <c r="M3764" s="3" t="str">
        <f t="shared" si="234"/>
        <v>11% to 15%</v>
      </c>
      <c r="N3764" s="3" t="str">
        <f t="shared" si="235"/>
        <v>OK</v>
      </c>
    </row>
    <row r="3765" spans="1:14" x14ac:dyDescent="0.3">
      <c r="A3765" s="2">
        <f>DATE(VALUE(RIGHT(TRIM([1]Raw_Data!A3763),4)),VALUE(MID(TRIM([1]Raw_Data!A3763),4,2)),VALUE(LEFT(TRIM([1]Raw_Data!A3763),2)))</f>
        <v>45481</v>
      </c>
      <c r="B3765" s="3" t="str">
        <f>TRIM([1]Raw_Data!B3763)</f>
        <v>Vitamin C</v>
      </c>
      <c r="C3765" s="3" t="str">
        <f>TRIM([1]Raw_Data!C3763)</f>
        <v>Vitamin</v>
      </c>
      <c r="D3765" s="3">
        <f>[1]Raw_Data!D3763</f>
        <v>147</v>
      </c>
      <c r="E3765" s="4">
        <f>[1]Raw_Data!E3763</f>
        <v>16.079999999999998</v>
      </c>
      <c r="F3765" s="5">
        <f>[1]Raw_Data!F3763</f>
        <v>2363.7600000000002</v>
      </c>
      <c r="G3765" s="4">
        <f>[1]Raw_Data!G3763</f>
        <v>7.0000000000000007E-2</v>
      </c>
      <c r="H3765" s="3">
        <f>[1]Raw_Data!H3763</f>
        <v>3</v>
      </c>
      <c r="I3765" s="3" t="str">
        <f>TRIM([1]Raw_Data!I3763)</f>
        <v>Canada</v>
      </c>
      <c r="J3765" s="3" t="str">
        <f>TRIM([1]Raw_Data!J3763)</f>
        <v>Walmart</v>
      </c>
      <c r="K3765" s="3">
        <f t="shared" si="232"/>
        <v>2024</v>
      </c>
      <c r="L3765" s="6">
        <f t="shared" si="233"/>
        <v>45474</v>
      </c>
      <c r="M3765" s="3" t="str">
        <f t="shared" si="234"/>
        <v>6% to 10%</v>
      </c>
      <c r="N3765" s="3" t="str">
        <f t="shared" si="235"/>
        <v>OK</v>
      </c>
    </row>
    <row r="3766" spans="1:14" x14ac:dyDescent="0.3">
      <c r="A3766" s="2">
        <f>DATE(VALUE(RIGHT(TRIM([1]Raw_Data!A3764),4)),VALUE(MID(TRIM([1]Raw_Data!A3764),4,2)),VALUE(LEFT(TRIM([1]Raw_Data!A3764),2)))</f>
        <v>45481</v>
      </c>
      <c r="B3766" s="3" t="str">
        <f>TRIM([1]Raw_Data!B3764)</f>
        <v>Fish Oil</v>
      </c>
      <c r="C3766" s="3" t="str">
        <f>TRIM([1]Raw_Data!C3764)</f>
        <v>Omega</v>
      </c>
      <c r="D3766" s="3">
        <f>[1]Raw_Data!D3764</f>
        <v>169</v>
      </c>
      <c r="E3766" s="4">
        <f>[1]Raw_Data!E3764</f>
        <v>11.58</v>
      </c>
      <c r="F3766" s="5">
        <f>[1]Raw_Data!F3764</f>
        <v>1957.02</v>
      </c>
      <c r="G3766" s="4">
        <f>[1]Raw_Data!G3764</f>
        <v>0.23</v>
      </c>
      <c r="H3766" s="3">
        <f>[1]Raw_Data!H3764</f>
        <v>2</v>
      </c>
      <c r="I3766" s="3" t="str">
        <f>TRIM([1]Raw_Data!I3764)</f>
        <v>UK</v>
      </c>
      <c r="J3766" s="3" t="str">
        <f>TRIM([1]Raw_Data!J3764)</f>
        <v>iHerb</v>
      </c>
      <c r="K3766" s="3">
        <f t="shared" si="232"/>
        <v>2024</v>
      </c>
      <c r="L3766" s="6">
        <f t="shared" si="233"/>
        <v>45474</v>
      </c>
      <c r="M3766" s="3" t="str">
        <f t="shared" si="234"/>
        <v>21% to 25%</v>
      </c>
      <c r="N3766" s="3" t="str">
        <f t="shared" si="235"/>
        <v>OK</v>
      </c>
    </row>
    <row r="3767" spans="1:14" x14ac:dyDescent="0.3">
      <c r="A3767" s="2">
        <f>DATE(VALUE(RIGHT(TRIM([1]Raw_Data!A3765),4)),VALUE(MID(TRIM([1]Raw_Data!A3765),4,2)),VALUE(LEFT(TRIM([1]Raw_Data!A3765),2)))</f>
        <v>45481</v>
      </c>
      <c r="B3767" s="3" t="str">
        <f>TRIM([1]Raw_Data!B3765)</f>
        <v>Multivitamin</v>
      </c>
      <c r="C3767" s="3" t="str">
        <f>TRIM([1]Raw_Data!C3765)</f>
        <v>Vitamin</v>
      </c>
      <c r="D3767" s="3">
        <f>[1]Raw_Data!D3765</f>
        <v>147</v>
      </c>
      <c r="E3767" s="4">
        <f>[1]Raw_Data!E3765</f>
        <v>31.49</v>
      </c>
      <c r="F3767" s="5">
        <f>[1]Raw_Data!F3765</f>
        <v>4629.03</v>
      </c>
      <c r="G3767" s="4">
        <f>[1]Raw_Data!G3765</f>
        <v>0.12</v>
      </c>
      <c r="H3767" s="3">
        <f>[1]Raw_Data!H3765</f>
        <v>3</v>
      </c>
      <c r="I3767" s="3" t="str">
        <f>TRIM([1]Raw_Data!I3765)</f>
        <v>USA</v>
      </c>
      <c r="J3767" s="3" t="str">
        <f>TRIM([1]Raw_Data!J3765)</f>
        <v>Walmart</v>
      </c>
      <c r="K3767" s="3">
        <f t="shared" si="232"/>
        <v>2024</v>
      </c>
      <c r="L3767" s="6">
        <f t="shared" si="233"/>
        <v>45474</v>
      </c>
      <c r="M3767" s="3" t="str">
        <f t="shared" si="234"/>
        <v>11% to 15%</v>
      </c>
      <c r="N3767" s="3" t="str">
        <f t="shared" si="235"/>
        <v>OK</v>
      </c>
    </row>
    <row r="3768" spans="1:14" x14ac:dyDescent="0.3">
      <c r="A3768" s="2">
        <f>DATE(VALUE(RIGHT(TRIM([1]Raw_Data!A3766),4)),VALUE(MID(TRIM([1]Raw_Data!A3766),4,2)),VALUE(LEFT(TRIM([1]Raw_Data!A3766),2)))</f>
        <v>45481</v>
      </c>
      <c r="B3768" s="3" t="str">
        <f>TRIM([1]Raw_Data!B3766)</f>
        <v>Pre-Workout</v>
      </c>
      <c r="C3768" s="3" t="str">
        <f>TRIM([1]Raw_Data!C3766)</f>
        <v>Performance</v>
      </c>
      <c r="D3768" s="3">
        <f>[1]Raw_Data!D3766</f>
        <v>136</v>
      </c>
      <c r="E3768" s="4">
        <f>[1]Raw_Data!E3766</f>
        <v>10.14</v>
      </c>
      <c r="F3768" s="5">
        <f>[1]Raw_Data!F3766</f>
        <v>1379.04</v>
      </c>
      <c r="G3768" s="4">
        <f>[1]Raw_Data!G3766</f>
        <v>0.08</v>
      </c>
      <c r="H3768" s="3">
        <f>[1]Raw_Data!H3766</f>
        <v>0</v>
      </c>
      <c r="I3768" s="3" t="str">
        <f>TRIM([1]Raw_Data!I3766)</f>
        <v>UK</v>
      </c>
      <c r="J3768" s="3" t="str">
        <f>TRIM([1]Raw_Data!J3766)</f>
        <v>Walmart</v>
      </c>
      <c r="K3768" s="3">
        <f t="shared" si="232"/>
        <v>2024</v>
      </c>
      <c r="L3768" s="6">
        <f t="shared" si="233"/>
        <v>45474</v>
      </c>
      <c r="M3768" s="3" t="str">
        <f t="shared" si="234"/>
        <v>6% to 10%</v>
      </c>
      <c r="N3768" s="3" t="str">
        <f t="shared" si="235"/>
        <v>OK</v>
      </c>
    </row>
    <row r="3769" spans="1:14" x14ac:dyDescent="0.3">
      <c r="A3769" s="2">
        <f>DATE(VALUE(RIGHT(TRIM([1]Raw_Data!A3767),4)),VALUE(MID(TRIM([1]Raw_Data!A3767),4,2)),VALUE(LEFT(TRIM([1]Raw_Data!A3767),2)))</f>
        <v>45481</v>
      </c>
      <c r="B3769" s="3" t="str">
        <f>TRIM([1]Raw_Data!B3767)</f>
        <v>BCAA</v>
      </c>
      <c r="C3769" s="3" t="str">
        <f>TRIM([1]Raw_Data!C3767)</f>
        <v>Amino Acid</v>
      </c>
      <c r="D3769" s="3">
        <f>[1]Raw_Data!D3767</f>
        <v>139</v>
      </c>
      <c r="E3769" s="4">
        <f>[1]Raw_Data!E3767</f>
        <v>21.36</v>
      </c>
      <c r="F3769" s="5">
        <f>[1]Raw_Data!F3767</f>
        <v>2969.04</v>
      </c>
      <c r="G3769" s="4">
        <f>[1]Raw_Data!G3767</f>
        <v>0.08</v>
      </c>
      <c r="H3769" s="3">
        <f>[1]Raw_Data!H3767</f>
        <v>0</v>
      </c>
      <c r="I3769" s="3" t="str">
        <f>TRIM([1]Raw_Data!I3767)</f>
        <v>UK</v>
      </c>
      <c r="J3769" s="3" t="str">
        <f>TRIM([1]Raw_Data!J3767)</f>
        <v>Amazon</v>
      </c>
      <c r="K3769" s="3">
        <f t="shared" si="232"/>
        <v>2024</v>
      </c>
      <c r="L3769" s="6">
        <f t="shared" si="233"/>
        <v>45474</v>
      </c>
      <c r="M3769" s="3" t="str">
        <f t="shared" si="234"/>
        <v>6% to 10%</v>
      </c>
      <c r="N3769" s="3" t="str">
        <f t="shared" si="235"/>
        <v>OK</v>
      </c>
    </row>
    <row r="3770" spans="1:14" x14ac:dyDescent="0.3">
      <c r="A3770" s="2">
        <f>DATE(VALUE(RIGHT(TRIM([1]Raw_Data!A3768),4)),VALUE(MID(TRIM([1]Raw_Data!A3768),4,2)),VALUE(LEFT(TRIM([1]Raw_Data!A3768),2)))</f>
        <v>45481</v>
      </c>
      <c r="B3770" s="3" t="str">
        <f>TRIM([1]Raw_Data!B3768)</f>
        <v>Creatine</v>
      </c>
      <c r="C3770" s="3" t="str">
        <f>TRIM([1]Raw_Data!C3768)</f>
        <v>Performance</v>
      </c>
      <c r="D3770" s="3">
        <f>[1]Raw_Data!D3768</f>
        <v>154</v>
      </c>
      <c r="E3770" s="4">
        <f>[1]Raw_Data!E3768</f>
        <v>14.85</v>
      </c>
      <c r="F3770" s="5">
        <f>[1]Raw_Data!F3768</f>
        <v>2286.9</v>
      </c>
      <c r="G3770" s="4">
        <f>[1]Raw_Data!G3768</f>
        <v>0.15</v>
      </c>
      <c r="H3770" s="3">
        <f>[1]Raw_Data!H3768</f>
        <v>6</v>
      </c>
      <c r="I3770" s="3" t="str">
        <f>TRIM([1]Raw_Data!I3768)</f>
        <v>Canada</v>
      </c>
      <c r="J3770" s="3" t="str">
        <f>TRIM([1]Raw_Data!J3768)</f>
        <v>Amazon</v>
      </c>
      <c r="K3770" s="3">
        <f t="shared" si="232"/>
        <v>2024</v>
      </c>
      <c r="L3770" s="6">
        <f t="shared" si="233"/>
        <v>45474</v>
      </c>
      <c r="M3770" s="3" t="str">
        <f t="shared" si="234"/>
        <v>11% to 15%</v>
      </c>
      <c r="N3770" s="3" t="str">
        <f t="shared" si="235"/>
        <v>OK</v>
      </c>
    </row>
    <row r="3771" spans="1:14" x14ac:dyDescent="0.3">
      <c r="A3771" s="2">
        <f>DATE(VALUE(RIGHT(TRIM([1]Raw_Data!A3769),4)),VALUE(MID(TRIM([1]Raw_Data!A3769),4,2)),VALUE(LEFT(TRIM([1]Raw_Data!A3769),2)))</f>
        <v>45481</v>
      </c>
      <c r="B3771" s="3" t="str">
        <f>TRIM([1]Raw_Data!B3769)</f>
        <v>Zinc</v>
      </c>
      <c r="C3771" s="3" t="str">
        <f>TRIM([1]Raw_Data!C3769)</f>
        <v>Mineral</v>
      </c>
      <c r="D3771" s="3">
        <f>[1]Raw_Data!D3769</f>
        <v>176</v>
      </c>
      <c r="E3771" s="4">
        <f>[1]Raw_Data!E3769</f>
        <v>49.77</v>
      </c>
      <c r="F3771" s="5">
        <f>[1]Raw_Data!F3769</f>
        <v>8759.52</v>
      </c>
      <c r="G3771" s="4">
        <f>[1]Raw_Data!G3769</f>
        <v>0.09</v>
      </c>
      <c r="H3771" s="3">
        <f>[1]Raw_Data!H3769</f>
        <v>0</v>
      </c>
      <c r="I3771" s="3" t="str">
        <f>TRIM([1]Raw_Data!I3769)</f>
        <v>Canada</v>
      </c>
      <c r="J3771" s="3" t="str">
        <f>TRIM([1]Raw_Data!J3769)</f>
        <v>Amazon</v>
      </c>
      <c r="K3771" s="3">
        <f t="shared" si="232"/>
        <v>2024</v>
      </c>
      <c r="L3771" s="6">
        <f t="shared" si="233"/>
        <v>45474</v>
      </c>
      <c r="M3771" s="3" t="str">
        <f t="shared" si="234"/>
        <v>6% to 10%</v>
      </c>
      <c r="N3771" s="3" t="str">
        <f t="shared" si="235"/>
        <v>OK</v>
      </c>
    </row>
    <row r="3772" spans="1:14" x14ac:dyDescent="0.3">
      <c r="A3772" s="2">
        <f>DATE(VALUE(RIGHT(TRIM([1]Raw_Data!A3770),4)),VALUE(MID(TRIM([1]Raw_Data!A3770),4,2)),VALUE(LEFT(TRIM([1]Raw_Data!A3770),2)))</f>
        <v>45481</v>
      </c>
      <c r="B3772" s="3" t="str">
        <f>TRIM([1]Raw_Data!B3770)</f>
        <v>Collagen Peptides</v>
      </c>
      <c r="C3772" s="3" t="str">
        <f>TRIM([1]Raw_Data!C3770)</f>
        <v>Protein</v>
      </c>
      <c r="D3772" s="3">
        <f>[1]Raw_Data!D3770</f>
        <v>142</v>
      </c>
      <c r="E3772" s="4">
        <f>[1]Raw_Data!E3770</f>
        <v>36.159999999999997</v>
      </c>
      <c r="F3772" s="5">
        <f>[1]Raw_Data!F3770</f>
        <v>5134.72</v>
      </c>
      <c r="G3772" s="4">
        <f>[1]Raw_Data!G3770</f>
        <v>0.17</v>
      </c>
      <c r="H3772" s="3">
        <f>[1]Raw_Data!H3770</f>
        <v>2</v>
      </c>
      <c r="I3772" s="3" t="str">
        <f>TRIM([1]Raw_Data!I3770)</f>
        <v>Canada</v>
      </c>
      <c r="J3772" s="3" t="str">
        <f>TRIM([1]Raw_Data!J3770)</f>
        <v>iHerb</v>
      </c>
      <c r="K3772" s="3">
        <f t="shared" si="232"/>
        <v>2024</v>
      </c>
      <c r="L3772" s="6">
        <f t="shared" si="233"/>
        <v>45474</v>
      </c>
      <c r="M3772" s="3" t="str">
        <f t="shared" si="234"/>
        <v>16% to 20%</v>
      </c>
      <c r="N3772" s="3" t="str">
        <f t="shared" si="235"/>
        <v>OK</v>
      </c>
    </row>
    <row r="3773" spans="1:14" x14ac:dyDescent="0.3">
      <c r="A3773" s="2">
        <f>DATE(VALUE(RIGHT(TRIM([1]Raw_Data!A3771),4)),VALUE(MID(TRIM([1]Raw_Data!A3771),4,2)),VALUE(LEFT(TRIM([1]Raw_Data!A3771),2)))</f>
        <v>45481</v>
      </c>
      <c r="B3773" s="3" t="str">
        <f>TRIM([1]Raw_Data!B3771)</f>
        <v>Magnesium</v>
      </c>
      <c r="C3773" s="3" t="str">
        <f>TRIM([1]Raw_Data!C3771)</f>
        <v>Mineral</v>
      </c>
      <c r="D3773" s="3">
        <f>[1]Raw_Data!D3771</f>
        <v>140</v>
      </c>
      <c r="E3773" s="4">
        <f>[1]Raw_Data!E3771</f>
        <v>25.42</v>
      </c>
      <c r="F3773" s="5">
        <f>[1]Raw_Data!F3771</f>
        <v>3558.8</v>
      </c>
      <c r="G3773" s="4">
        <f>[1]Raw_Data!G3771</f>
        <v>0.09</v>
      </c>
      <c r="H3773" s="3">
        <f>[1]Raw_Data!H3771</f>
        <v>7</v>
      </c>
      <c r="I3773" s="3" t="str">
        <f>TRIM([1]Raw_Data!I3771)</f>
        <v>UK</v>
      </c>
      <c r="J3773" s="3" t="str">
        <f>TRIM([1]Raw_Data!J3771)</f>
        <v>iHerb</v>
      </c>
      <c r="K3773" s="3">
        <f t="shared" si="232"/>
        <v>2024</v>
      </c>
      <c r="L3773" s="6">
        <f t="shared" si="233"/>
        <v>45474</v>
      </c>
      <c r="M3773" s="3" t="str">
        <f t="shared" si="234"/>
        <v>6% to 10%</v>
      </c>
      <c r="N3773" s="3" t="str">
        <f t="shared" si="235"/>
        <v>OK</v>
      </c>
    </row>
    <row r="3774" spans="1:14" x14ac:dyDescent="0.3">
      <c r="A3774" s="2">
        <f>DATE(VALUE(RIGHT(TRIM([1]Raw_Data!A3772),4)),VALUE(MID(TRIM([1]Raw_Data!A3772),4,2)),VALUE(LEFT(TRIM([1]Raw_Data!A3772),2)))</f>
        <v>45481</v>
      </c>
      <c r="B3774" s="3" t="str">
        <f>TRIM([1]Raw_Data!B3772)</f>
        <v>Ashwagandha</v>
      </c>
      <c r="C3774" s="3" t="str">
        <f>TRIM([1]Raw_Data!C3772)</f>
        <v>Herbal</v>
      </c>
      <c r="D3774" s="3">
        <f>[1]Raw_Data!D3772</f>
        <v>157</v>
      </c>
      <c r="E3774" s="4">
        <f>[1]Raw_Data!E3772</f>
        <v>29.49</v>
      </c>
      <c r="F3774" s="5">
        <f>[1]Raw_Data!F3772</f>
        <v>4629.93</v>
      </c>
      <c r="G3774" s="4">
        <f>[1]Raw_Data!G3772</f>
        <v>0.12</v>
      </c>
      <c r="H3774" s="3">
        <f>[1]Raw_Data!H3772</f>
        <v>1</v>
      </c>
      <c r="I3774" s="3" t="str">
        <f>TRIM([1]Raw_Data!I3772)</f>
        <v>UK</v>
      </c>
      <c r="J3774" s="3" t="str">
        <f>TRIM([1]Raw_Data!J3772)</f>
        <v>Walmart</v>
      </c>
      <c r="K3774" s="3">
        <f t="shared" si="232"/>
        <v>2024</v>
      </c>
      <c r="L3774" s="6">
        <f t="shared" si="233"/>
        <v>45474</v>
      </c>
      <c r="M3774" s="3" t="str">
        <f t="shared" si="234"/>
        <v>11% to 15%</v>
      </c>
      <c r="N3774" s="3" t="str">
        <f t="shared" si="235"/>
        <v>OK</v>
      </c>
    </row>
    <row r="3775" spans="1:14" x14ac:dyDescent="0.3">
      <c r="A3775" s="2">
        <f>DATE(VALUE(RIGHT(TRIM([1]Raw_Data!A3773),4)),VALUE(MID(TRIM([1]Raw_Data!A3773),4,2)),VALUE(LEFT(TRIM([1]Raw_Data!A3773),2)))</f>
        <v>45481</v>
      </c>
      <c r="B3775" s="3" t="str">
        <f>TRIM([1]Raw_Data!B3773)</f>
        <v>Melatonin</v>
      </c>
      <c r="C3775" s="3" t="str">
        <f>TRIM([1]Raw_Data!C3773)</f>
        <v>Sleep Aid</v>
      </c>
      <c r="D3775" s="3">
        <f>[1]Raw_Data!D3773</f>
        <v>163</v>
      </c>
      <c r="E3775" s="4">
        <f>[1]Raw_Data!E3773</f>
        <v>24.78</v>
      </c>
      <c r="F3775" s="5">
        <f>[1]Raw_Data!F3773</f>
        <v>4039.14</v>
      </c>
      <c r="G3775" s="4">
        <f>[1]Raw_Data!G3773</f>
        <v>0.19</v>
      </c>
      <c r="H3775" s="3">
        <f>[1]Raw_Data!H3773</f>
        <v>3</v>
      </c>
      <c r="I3775" s="3" t="str">
        <f>TRIM([1]Raw_Data!I3773)</f>
        <v>UK</v>
      </c>
      <c r="J3775" s="3" t="str">
        <f>TRIM([1]Raw_Data!J3773)</f>
        <v>Walmart</v>
      </c>
      <c r="K3775" s="3">
        <f t="shared" si="232"/>
        <v>2024</v>
      </c>
      <c r="L3775" s="6">
        <f t="shared" si="233"/>
        <v>45474</v>
      </c>
      <c r="M3775" s="3" t="str">
        <f t="shared" si="234"/>
        <v>16% to 20%</v>
      </c>
      <c r="N3775" s="3" t="str">
        <f t="shared" si="235"/>
        <v>OK</v>
      </c>
    </row>
    <row r="3776" spans="1:14" x14ac:dyDescent="0.3">
      <c r="A3776" s="2">
        <f>DATE(VALUE(RIGHT(TRIM([1]Raw_Data!A3774),4)),VALUE(MID(TRIM([1]Raw_Data!A3774),4,2)),VALUE(LEFT(TRIM([1]Raw_Data!A3774),2)))</f>
        <v>45481</v>
      </c>
      <c r="B3776" s="3" t="str">
        <f>TRIM([1]Raw_Data!B3774)</f>
        <v>Biotin</v>
      </c>
      <c r="C3776" s="3" t="str">
        <f>TRIM([1]Raw_Data!C3774)</f>
        <v>Vitamin</v>
      </c>
      <c r="D3776" s="3">
        <f>[1]Raw_Data!D3774</f>
        <v>147</v>
      </c>
      <c r="E3776" s="4">
        <f>[1]Raw_Data!E3774</f>
        <v>12.94</v>
      </c>
      <c r="F3776" s="5">
        <f>[1]Raw_Data!F3774</f>
        <v>1902.18</v>
      </c>
      <c r="G3776" s="4">
        <f>[1]Raw_Data!G3774</f>
        <v>0.13</v>
      </c>
      <c r="H3776" s="3">
        <f>[1]Raw_Data!H3774</f>
        <v>0</v>
      </c>
      <c r="I3776" s="3" t="str">
        <f>TRIM([1]Raw_Data!I3774)</f>
        <v>UK</v>
      </c>
      <c r="J3776" s="3" t="str">
        <f>TRIM([1]Raw_Data!J3774)</f>
        <v>Amazon</v>
      </c>
      <c r="K3776" s="3">
        <f t="shared" si="232"/>
        <v>2024</v>
      </c>
      <c r="L3776" s="6">
        <f t="shared" si="233"/>
        <v>45474</v>
      </c>
      <c r="M3776" s="3" t="str">
        <f t="shared" si="234"/>
        <v>11% to 15%</v>
      </c>
      <c r="N3776" s="3" t="str">
        <f t="shared" si="235"/>
        <v>OK</v>
      </c>
    </row>
    <row r="3777" spans="1:14" x14ac:dyDescent="0.3">
      <c r="A3777" s="2">
        <f>DATE(VALUE(RIGHT(TRIM([1]Raw_Data!A3775),4)),VALUE(MID(TRIM([1]Raw_Data!A3775),4,2)),VALUE(LEFT(TRIM([1]Raw_Data!A3775),2)))</f>
        <v>45481</v>
      </c>
      <c r="B3777" s="3" t="str">
        <f>TRIM([1]Raw_Data!B3775)</f>
        <v>Green Tea Extract</v>
      </c>
      <c r="C3777" s="3" t="str">
        <f>TRIM([1]Raw_Data!C3775)</f>
        <v>Fat Burner</v>
      </c>
      <c r="D3777" s="3">
        <f>[1]Raw_Data!D3775</f>
        <v>143</v>
      </c>
      <c r="E3777" s="4">
        <f>[1]Raw_Data!E3775</f>
        <v>54.8</v>
      </c>
      <c r="F3777" s="5">
        <f>[1]Raw_Data!F3775</f>
        <v>7836.4</v>
      </c>
      <c r="G3777" s="4">
        <f>[1]Raw_Data!G3775</f>
        <v>0.03</v>
      </c>
      <c r="H3777" s="3">
        <f>[1]Raw_Data!H3775</f>
        <v>2</v>
      </c>
      <c r="I3777" s="3" t="str">
        <f>TRIM([1]Raw_Data!I3775)</f>
        <v>UK</v>
      </c>
      <c r="J3777" s="3" t="str">
        <f>TRIM([1]Raw_Data!J3775)</f>
        <v>iHerb</v>
      </c>
      <c r="K3777" s="3">
        <f t="shared" si="232"/>
        <v>2024</v>
      </c>
      <c r="L3777" s="6">
        <f t="shared" si="233"/>
        <v>45474</v>
      </c>
      <c r="M3777" s="3" t="str">
        <f t="shared" si="234"/>
        <v>0% to 5%</v>
      </c>
      <c r="N3777" s="3" t="str">
        <f t="shared" si="235"/>
        <v>OK</v>
      </c>
    </row>
    <row r="3778" spans="1:14" x14ac:dyDescent="0.3">
      <c r="A3778" s="2">
        <f>DATE(VALUE(RIGHT(TRIM([1]Raw_Data!A3776),4)),VALUE(MID(TRIM([1]Raw_Data!A3776),4,2)),VALUE(LEFT(TRIM([1]Raw_Data!A3776),2)))</f>
        <v>45481</v>
      </c>
      <c r="B3778" s="3" t="str">
        <f>TRIM([1]Raw_Data!B3776)</f>
        <v>Iron Supplement</v>
      </c>
      <c r="C3778" s="3" t="str">
        <f>TRIM([1]Raw_Data!C3776)</f>
        <v>Mineral</v>
      </c>
      <c r="D3778" s="3">
        <f>[1]Raw_Data!D3776</f>
        <v>150</v>
      </c>
      <c r="E3778" s="4">
        <f>[1]Raw_Data!E3776</f>
        <v>42.58</v>
      </c>
      <c r="F3778" s="5">
        <f>[1]Raw_Data!F3776</f>
        <v>6387</v>
      </c>
      <c r="G3778" s="4">
        <f>[1]Raw_Data!G3776</f>
        <v>0.15</v>
      </c>
      <c r="H3778" s="3">
        <f>[1]Raw_Data!H3776</f>
        <v>1</v>
      </c>
      <c r="I3778" s="3" t="str">
        <f>TRIM([1]Raw_Data!I3776)</f>
        <v>USA</v>
      </c>
      <c r="J3778" s="3" t="str">
        <f>TRIM([1]Raw_Data!J3776)</f>
        <v>Walmart</v>
      </c>
      <c r="K3778" s="3">
        <f t="shared" si="232"/>
        <v>2024</v>
      </c>
      <c r="L3778" s="6">
        <f t="shared" si="233"/>
        <v>45474</v>
      </c>
      <c r="M3778" s="3" t="str">
        <f t="shared" si="234"/>
        <v>11% to 15%</v>
      </c>
      <c r="N3778" s="3" t="str">
        <f t="shared" si="235"/>
        <v>OK</v>
      </c>
    </row>
    <row r="3779" spans="1:14" x14ac:dyDescent="0.3">
      <c r="A3779" s="2">
        <f>DATE(VALUE(RIGHT(TRIM([1]Raw_Data!A3777),4)),VALUE(MID(TRIM([1]Raw_Data!A3777),4,2)),VALUE(LEFT(TRIM([1]Raw_Data!A3777),2)))</f>
        <v>45481</v>
      </c>
      <c r="B3779" s="3" t="str">
        <f>TRIM([1]Raw_Data!B3777)</f>
        <v>Electrolyte Powder</v>
      </c>
      <c r="C3779" s="3" t="str">
        <f>TRIM([1]Raw_Data!C3777)</f>
        <v>Hydration</v>
      </c>
      <c r="D3779" s="3">
        <f>[1]Raw_Data!D3777</f>
        <v>172</v>
      </c>
      <c r="E3779" s="4">
        <f>[1]Raw_Data!E3777</f>
        <v>59.53</v>
      </c>
      <c r="F3779" s="5">
        <f>[1]Raw_Data!F3777</f>
        <v>10239.16</v>
      </c>
      <c r="G3779" s="4">
        <f>[1]Raw_Data!G3777</f>
        <v>0.13</v>
      </c>
      <c r="H3779" s="3">
        <f>[1]Raw_Data!H3777</f>
        <v>0</v>
      </c>
      <c r="I3779" s="3" t="str">
        <f>TRIM([1]Raw_Data!I3777)</f>
        <v>UK</v>
      </c>
      <c r="J3779" s="3" t="str">
        <f>TRIM([1]Raw_Data!J3777)</f>
        <v>Walmart</v>
      </c>
      <c r="K3779" s="3">
        <f t="shared" si="232"/>
        <v>2024</v>
      </c>
      <c r="L3779" s="6">
        <f t="shared" si="233"/>
        <v>45474</v>
      </c>
      <c r="M3779" s="3" t="str">
        <f t="shared" si="234"/>
        <v>11% to 15%</v>
      </c>
      <c r="N3779" s="3" t="str">
        <f t="shared" si="235"/>
        <v>OK</v>
      </c>
    </row>
    <row r="3780" spans="1:14" x14ac:dyDescent="0.3">
      <c r="A3780" s="2">
        <f>DATE(VALUE(RIGHT(TRIM([1]Raw_Data!A3778),4)),VALUE(MID(TRIM([1]Raw_Data!A3778),4,2)),VALUE(LEFT(TRIM([1]Raw_Data!A3778),2)))</f>
        <v>45488</v>
      </c>
      <c r="B3780" s="3" t="str">
        <f>TRIM([1]Raw_Data!B3778)</f>
        <v>Whey Protein</v>
      </c>
      <c r="C3780" s="3" t="str">
        <f>TRIM([1]Raw_Data!C3778)</f>
        <v>Protein</v>
      </c>
      <c r="D3780" s="3">
        <f>[1]Raw_Data!D3778</f>
        <v>149</v>
      </c>
      <c r="E3780" s="4">
        <f>[1]Raw_Data!E3778</f>
        <v>39.86</v>
      </c>
      <c r="F3780" s="5">
        <f>[1]Raw_Data!F3778</f>
        <v>5939.14</v>
      </c>
      <c r="G3780" s="4">
        <f>[1]Raw_Data!G3778</f>
        <v>0.17</v>
      </c>
      <c r="H3780" s="3">
        <f>[1]Raw_Data!H3778</f>
        <v>1</v>
      </c>
      <c r="I3780" s="3" t="str">
        <f>TRIM([1]Raw_Data!I3778)</f>
        <v>Canada</v>
      </c>
      <c r="J3780" s="3" t="str">
        <f>TRIM([1]Raw_Data!J3778)</f>
        <v>iHerb</v>
      </c>
      <c r="K3780" s="3">
        <f t="shared" ref="K3780:K3843" si="236">YEAR(A3780)</f>
        <v>2024</v>
      </c>
      <c r="L3780" s="6">
        <f t="shared" ref="L3780:L3843" si="237">DATE(YEAR(A3780),MONTH(A3780),1)</f>
        <v>45474</v>
      </c>
      <c r="M3780" s="3" t="str">
        <f t="shared" ref="M3780:M3843" si="238">IF(ROUND(G3780*100,0)&lt;=5,"0% to 5%",IF(ROUND(G3780*100,0)&lt;=10,"6% to 10%",IF(ROUND(G3780*100,0)&lt;=15,"11% to 15%",IF(ROUND(G3780*100,0)&lt;=20,"16% to 20%","21% to 25%"))))</f>
        <v>16% to 20%</v>
      </c>
      <c r="N3780" s="3" t="str">
        <f t="shared" ref="N3780:N3843" si="239">IF(ROUND(D3780*E3780,2)=ROUND(F3780,2),"OK","Check")</f>
        <v>OK</v>
      </c>
    </row>
    <row r="3781" spans="1:14" x14ac:dyDescent="0.3">
      <c r="A3781" s="2">
        <f>DATE(VALUE(RIGHT(TRIM([1]Raw_Data!A3779),4)),VALUE(MID(TRIM([1]Raw_Data!A3779),4,2)),VALUE(LEFT(TRIM([1]Raw_Data!A3779),2)))</f>
        <v>45488</v>
      </c>
      <c r="B3781" s="3" t="str">
        <f>TRIM([1]Raw_Data!B3779)</f>
        <v>Vitamin C</v>
      </c>
      <c r="C3781" s="3" t="str">
        <f>TRIM([1]Raw_Data!C3779)</f>
        <v>Vitamin</v>
      </c>
      <c r="D3781" s="3">
        <f>[1]Raw_Data!D3779</f>
        <v>131</v>
      </c>
      <c r="E3781" s="4">
        <f>[1]Raw_Data!E3779</f>
        <v>14.07</v>
      </c>
      <c r="F3781" s="5">
        <f>[1]Raw_Data!F3779</f>
        <v>1843.17</v>
      </c>
      <c r="G3781" s="4">
        <f>[1]Raw_Data!G3779</f>
        <v>0.17</v>
      </c>
      <c r="H3781" s="3">
        <f>[1]Raw_Data!H3779</f>
        <v>2</v>
      </c>
      <c r="I3781" s="3" t="str">
        <f>TRIM([1]Raw_Data!I3779)</f>
        <v>Canada</v>
      </c>
      <c r="J3781" s="3" t="str">
        <f>TRIM([1]Raw_Data!J3779)</f>
        <v>Amazon</v>
      </c>
      <c r="K3781" s="3">
        <f t="shared" si="236"/>
        <v>2024</v>
      </c>
      <c r="L3781" s="6">
        <f t="shared" si="237"/>
        <v>45474</v>
      </c>
      <c r="M3781" s="3" t="str">
        <f t="shared" si="238"/>
        <v>16% to 20%</v>
      </c>
      <c r="N3781" s="3" t="str">
        <f t="shared" si="239"/>
        <v>OK</v>
      </c>
    </row>
    <row r="3782" spans="1:14" x14ac:dyDescent="0.3">
      <c r="A3782" s="2">
        <f>DATE(VALUE(RIGHT(TRIM([1]Raw_Data!A3780),4)),VALUE(MID(TRIM([1]Raw_Data!A3780),4,2)),VALUE(LEFT(TRIM([1]Raw_Data!A3780),2)))</f>
        <v>45488</v>
      </c>
      <c r="B3782" s="3" t="str">
        <f>TRIM([1]Raw_Data!B3780)</f>
        <v>Fish Oil</v>
      </c>
      <c r="C3782" s="3" t="str">
        <f>TRIM([1]Raw_Data!C3780)</f>
        <v>Omega</v>
      </c>
      <c r="D3782" s="3">
        <f>[1]Raw_Data!D3780</f>
        <v>183</v>
      </c>
      <c r="E3782" s="4">
        <f>[1]Raw_Data!E3780</f>
        <v>36.619999999999997</v>
      </c>
      <c r="F3782" s="5">
        <f>[1]Raw_Data!F3780</f>
        <v>6701.46</v>
      </c>
      <c r="G3782" s="4">
        <f>[1]Raw_Data!G3780</f>
        <v>0.14000000000000001</v>
      </c>
      <c r="H3782" s="3">
        <f>[1]Raw_Data!H3780</f>
        <v>4</v>
      </c>
      <c r="I3782" s="3" t="str">
        <f>TRIM([1]Raw_Data!I3780)</f>
        <v>Canada</v>
      </c>
      <c r="J3782" s="3" t="str">
        <f>TRIM([1]Raw_Data!J3780)</f>
        <v>iHerb</v>
      </c>
      <c r="K3782" s="3">
        <f t="shared" si="236"/>
        <v>2024</v>
      </c>
      <c r="L3782" s="6">
        <f t="shared" si="237"/>
        <v>45474</v>
      </c>
      <c r="M3782" s="3" t="str">
        <f t="shared" si="238"/>
        <v>11% to 15%</v>
      </c>
      <c r="N3782" s="3" t="str">
        <f t="shared" si="239"/>
        <v>OK</v>
      </c>
    </row>
    <row r="3783" spans="1:14" x14ac:dyDescent="0.3">
      <c r="A3783" s="2">
        <f>DATE(VALUE(RIGHT(TRIM([1]Raw_Data!A3781),4)),VALUE(MID(TRIM([1]Raw_Data!A3781),4,2)),VALUE(LEFT(TRIM([1]Raw_Data!A3781),2)))</f>
        <v>45488</v>
      </c>
      <c r="B3783" s="3" t="str">
        <f>TRIM([1]Raw_Data!B3781)</f>
        <v>Multivitamin</v>
      </c>
      <c r="C3783" s="3" t="str">
        <f>TRIM([1]Raw_Data!C3781)</f>
        <v>Vitamin</v>
      </c>
      <c r="D3783" s="3">
        <f>[1]Raw_Data!D3781</f>
        <v>154</v>
      </c>
      <c r="E3783" s="4">
        <f>[1]Raw_Data!E3781</f>
        <v>31.82</v>
      </c>
      <c r="F3783" s="5">
        <f>[1]Raw_Data!F3781</f>
        <v>4900.28</v>
      </c>
      <c r="G3783" s="4">
        <f>[1]Raw_Data!G3781</f>
        <v>0.16</v>
      </c>
      <c r="H3783" s="3">
        <f>[1]Raw_Data!H3781</f>
        <v>2</v>
      </c>
      <c r="I3783" s="3" t="str">
        <f>TRIM([1]Raw_Data!I3781)</f>
        <v>UK</v>
      </c>
      <c r="J3783" s="3" t="str">
        <f>TRIM([1]Raw_Data!J3781)</f>
        <v>Walmart</v>
      </c>
      <c r="K3783" s="3">
        <f t="shared" si="236"/>
        <v>2024</v>
      </c>
      <c r="L3783" s="6">
        <f t="shared" si="237"/>
        <v>45474</v>
      </c>
      <c r="M3783" s="3" t="str">
        <f t="shared" si="238"/>
        <v>16% to 20%</v>
      </c>
      <c r="N3783" s="3" t="str">
        <f t="shared" si="239"/>
        <v>OK</v>
      </c>
    </row>
    <row r="3784" spans="1:14" x14ac:dyDescent="0.3">
      <c r="A3784" s="2">
        <f>DATE(VALUE(RIGHT(TRIM([1]Raw_Data!A3782),4)),VALUE(MID(TRIM([1]Raw_Data!A3782),4,2)),VALUE(LEFT(TRIM([1]Raw_Data!A3782),2)))</f>
        <v>45488</v>
      </c>
      <c r="B3784" s="3" t="str">
        <f>TRIM([1]Raw_Data!B3782)</f>
        <v>Pre-Workout</v>
      </c>
      <c r="C3784" s="3" t="str">
        <f>TRIM([1]Raw_Data!C3782)</f>
        <v>Performance</v>
      </c>
      <c r="D3784" s="3">
        <f>[1]Raw_Data!D3782</f>
        <v>165</v>
      </c>
      <c r="E3784" s="4">
        <f>[1]Raw_Data!E3782</f>
        <v>57.58</v>
      </c>
      <c r="F3784" s="5">
        <f>[1]Raw_Data!F3782</f>
        <v>9500.7000000000007</v>
      </c>
      <c r="G3784" s="4">
        <f>[1]Raw_Data!G3782</f>
        <v>0.01</v>
      </c>
      <c r="H3784" s="3">
        <f>[1]Raw_Data!H3782</f>
        <v>5</v>
      </c>
      <c r="I3784" s="3" t="str">
        <f>TRIM([1]Raw_Data!I3782)</f>
        <v>UK</v>
      </c>
      <c r="J3784" s="3" t="str">
        <f>TRIM([1]Raw_Data!J3782)</f>
        <v>iHerb</v>
      </c>
      <c r="K3784" s="3">
        <f t="shared" si="236"/>
        <v>2024</v>
      </c>
      <c r="L3784" s="6">
        <f t="shared" si="237"/>
        <v>45474</v>
      </c>
      <c r="M3784" s="3" t="str">
        <f t="shared" si="238"/>
        <v>0% to 5%</v>
      </c>
      <c r="N3784" s="3" t="str">
        <f t="shared" si="239"/>
        <v>OK</v>
      </c>
    </row>
    <row r="3785" spans="1:14" x14ac:dyDescent="0.3">
      <c r="A3785" s="2">
        <f>DATE(VALUE(RIGHT(TRIM([1]Raw_Data!A3783),4)),VALUE(MID(TRIM([1]Raw_Data!A3783),4,2)),VALUE(LEFT(TRIM([1]Raw_Data!A3783),2)))</f>
        <v>45488</v>
      </c>
      <c r="B3785" s="3" t="str">
        <f>TRIM([1]Raw_Data!B3783)</f>
        <v>BCAA</v>
      </c>
      <c r="C3785" s="3" t="str">
        <f>TRIM([1]Raw_Data!C3783)</f>
        <v>Amino Acid</v>
      </c>
      <c r="D3785" s="3">
        <f>[1]Raw_Data!D3783</f>
        <v>165</v>
      </c>
      <c r="E3785" s="4">
        <f>[1]Raw_Data!E3783</f>
        <v>46.75</v>
      </c>
      <c r="F3785" s="5">
        <f>[1]Raw_Data!F3783</f>
        <v>7713.75</v>
      </c>
      <c r="G3785" s="4">
        <f>[1]Raw_Data!G3783</f>
        <v>0.02</v>
      </c>
      <c r="H3785" s="3">
        <f>[1]Raw_Data!H3783</f>
        <v>0</v>
      </c>
      <c r="I3785" s="3" t="str">
        <f>TRIM([1]Raw_Data!I3783)</f>
        <v>UK</v>
      </c>
      <c r="J3785" s="3" t="str">
        <f>TRIM([1]Raw_Data!J3783)</f>
        <v>iHerb</v>
      </c>
      <c r="K3785" s="3">
        <f t="shared" si="236"/>
        <v>2024</v>
      </c>
      <c r="L3785" s="6">
        <f t="shared" si="237"/>
        <v>45474</v>
      </c>
      <c r="M3785" s="3" t="str">
        <f t="shared" si="238"/>
        <v>0% to 5%</v>
      </c>
      <c r="N3785" s="3" t="str">
        <f t="shared" si="239"/>
        <v>OK</v>
      </c>
    </row>
    <row r="3786" spans="1:14" x14ac:dyDescent="0.3">
      <c r="A3786" s="2">
        <f>DATE(VALUE(RIGHT(TRIM([1]Raw_Data!A3784),4)),VALUE(MID(TRIM([1]Raw_Data!A3784),4,2)),VALUE(LEFT(TRIM([1]Raw_Data!A3784),2)))</f>
        <v>45488</v>
      </c>
      <c r="B3786" s="3" t="str">
        <f>TRIM([1]Raw_Data!B3784)</f>
        <v>Creatine</v>
      </c>
      <c r="C3786" s="3" t="str">
        <f>TRIM([1]Raw_Data!C3784)</f>
        <v>Performance</v>
      </c>
      <c r="D3786" s="3">
        <f>[1]Raw_Data!D3784</f>
        <v>131</v>
      </c>
      <c r="E3786" s="4">
        <f>[1]Raw_Data!E3784</f>
        <v>37.369999999999997</v>
      </c>
      <c r="F3786" s="5">
        <f>[1]Raw_Data!F3784</f>
        <v>4895.47</v>
      </c>
      <c r="G3786" s="4">
        <f>[1]Raw_Data!G3784</f>
        <v>0.05</v>
      </c>
      <c r="H3786" s="3">
        <f>[1]Raw_Data!H3784</f>
        <v>3</v>
      </c>
      <c r="I3786" s="3" t="str">
        <f>TRIM([1]Raw_Data!I3784)</f>
        <v>UK</v>
      </c>
      <c r="J3786" s="3" t="str">
        <f>TRIM([1]Raw_Data!J3784)</f>
        <v>Amazon</v>
      </c>
      <c r="K3786" s="3">
        <f t="shared" si="236"/>
        <v>2024</v>
      </c>
      <c r="L3786" s="6">
        <f t="shared" si="237"/>
        <v>45474</v>
      </c>
      <c r="M3786" s="3" t="str">
        <f t="shared" si="238"/>
        <v>0% to 5%</v>
      </c>
      <c r="N3786" s="3" t="str">
        <f t="shared" si="239"/>
        <v>OK</v>
      </c>
    </row>
    <row r="3787" spans="1:14" x14ac:dyDescent="0.3">
      <c r="A3787" s="2">
        <f>DATE(VALUE(RIGHT(TRIM([1]Raw_Data!A3785),4)),VALUE(MID(TRIM([1]Raw_Data!A3785),4,2)),VALUE(LEFT(TRIM([1]Raw_Data!A3785),2)))</f>
        <v>45488</v>
      </c>
      <c r="B3787" s="3" t="str">
        <f>TRIM([1]Raw_Data!B3785)</f>
        <v>Zinc</v>
      </c>
      <c r="C3787" s="3" t="str">
        <f>TRIM([1]Raw_Data!C3785)</f>
        <v>Mineral</v>
      </c>
      <c r="D3787" s="3">
        <f>[1]Raw_Data!D3785</f>
        <v>148</v>
      </c>
      <c r="E3787" s="4">
        <f>[1]Raw_Data!E3785</f>
        <v>42.64</v>
      </c>
      <c r="F3787" s="5">
        <f>[1]Raw_Data!F3785</f>
        <v>6310.72</v>
      </c>
      <c r="G3787" s="4">
        <f>[1]Raw_Data!G3785</f>
        <v>0.08</v>
      </c>
      <c r="H3787" s="3">
        <f>[1]Raw_Data!H3785</f>
        <v>1</v>
      </c>
      <c r="I3787" s="3" t="str">
        <f>TRIM([1]Raw_Data!I3785)</f>
        <v>Canada</v>
      </c>
      <c r="J3787" s="3" t="str">
        <f>TRIM([1]Raw_Data!J3785)</f>
        <v>Walmart</v>
      </c>
      <c r="K3787" s="3">
        <f t="shared" si="236"/>
        <v>2024</v>
      </c>
      <c r="L3787" s="6">
        <f t="shared" si="237"/>
        <v>45474</v>
      </c>
      <c r="M3787" s="3" t="str">
        <f t="shared" si="238"/>
        <v>6% to 10%</v>
      </c>
      <c r="N3787" s="3" t="str">
        <f t="shared" si="239"/>
        <v>OK</v>
      </c>
    </row>
    <row r="3788" spans="1:14" x14ac:dyDescent="0.3">
      <c r="A3788" s="2">
        <f>DATE(VALUE(RIGHT(TRIM([1]Raw_Data!A3786),4)),VALUE(MID(TRIM([1]Raw_Data!A3786),4,2)),VALUE(LEFT(TRIM([1]Raw_Data!A3786),2)))</f>
        <v>45488</v>
      </c>
      <c r="B3788" s="3" t="str">
        <f>TRIM([1]Raw_Data!B3786)</f>
        <v>Collagen Peptides</v>
      </c>
      <c r="C3788" s="3" t="str">
        <f>TRIM([1]Raw_Data!C3786)</f>
        <v>Protein</v>
      </c>
      <c r="D3788" s="3">
        <f>[1]Raw_Data!D3786</f>
        <v>144</v>
      </c>
      <c r="E3788" s="4">
        <f>[1]Raw_Data!E3786</f>
        <v>39.31</v>
      </c>
      <c r="F3788" s="5">
        <f>[1]Raw_Data!F3786</f>
        <v>5660.64</v>
      </c>
      <c r="G3788" s="4">
        <f>[1]Raw_Data!G3786</f>
        <v>0.06</v>
      </c>
      <c r="H3788" s="3">
        <f>[1]Raw_Data!H3786</f>
        <v>2</v>
      </c>
      <c r="I3788" s="3" t="str">
        <f>TRIM([1]Raw_Data!I3786)</f>
        <v>UK</v>
      </c>
      <c r="J3788" s="3" t="str">
        <f>TRIM([1]Raw_Data!J3786)</f>
        <v>iHerb</v>
      </c>
      <c r="K3788" s="3">
        <f t="shared" si="236"/>
        <v>2024</v>
      </c>
      <c r="L3788" s="6">
        <f t="shared" si="237"/>
        <v>45474</v>
      </c>
      <c r="M3788" s="3" t="str">
        <f t="shared" si="238"/>
        <v>6% to 10%</v>
      </c>
      <c r="N3788" s="3" t="str">
        <f t="shared" si="239"/>
        <v>OK</v>
      </c>
    </row>
    <row r="3789" spans="1:14" x14ac:dyDescent="0.3">
      <c r="A3789" s="2">
        <f>DATE(VALUE(RIGHT(TRIM([1]Raw_Data!A3787),4)),VALUE(MID(TRIM([1]Raw_Data!A3787),4,2)),VALUE(LEFT(TRIM([1]Raw_Data!A3787),2)))</f>
        <v>45488</v>
      </c>
      <c r="B3789" s="3" t="str">
        <f>TRIM([1]Raw_Data!B3787)</f>
        <v>Magnesium</v>
      </c>
      <c r="C3789" s="3" t="str">
        <f>TRIM([1]Raw_Data!C3787)</f>
        <v>Mineral</v>
      </c>
      <c r="D3789" s="3">
        <f>[1]Raw_Data!D3787</f>
        <v>124</v>
      </c>
      <c r="E3789" s="4">
        <f>[1]Raw_Data!E3787</f>
        <v>31.96</v>
      </c>
      <c r="F3789" s="5">
        <f>[1]Raw_Data!F3787</f>
        <v>3963.04</v>
      </c>
      <c r="G3789" s="4">
        <f>[1]Raw_Data!G3787</f>
        <v>0.18</v>
      </c>
      <c r="H3789" s="3">
        <f>[1]Raw_Data!H3787</f>
        <v>3</v>
      </c>
      <c r="I3789" s="3" t="str">
        <f>TRIM([1]Raw_Data!I3787)</f>
        <v>Canada</v>
      </c>
      <c r="J3789" s="3" t="str">
        <f>TRIM([1]Raw_Data!J3787)</f>
        <v>iHerb</v>
      </c>
      <c r="K3789" s="3">
        <f t="shared" si="236"/>
        <v>2024</v>
      </c>
      <c r="L3789" s="6">
        <f t="shared" si="237"/>
        <v>45474</v>
      </c>
      <c r="M3789" s="3" t="str">
        <f t="shared" si="238"/>
        <v>16% to 20%</v>
      </c>
      <c r="N3789" s="3" t="str">
        <f t="shared" si="239"/>
        <v>OK</v>
      </c>
    </row>
    <row r="3790" spans="1:14" x14ac:dyDescent="0.3">
      <c r="A3790" s="2">
        <f>DATE(VALUE(RIGHT(TRIM([1]Raw_Data!A3788),4)),VALUE(MID(TRIM([1]Raw_Data!A3788),4,2)),VALUE(LEFT(TRIM([1]Raw_Data!A3788),2)))</f>
        <v>45488</v>
      </c>
      <c r="B3790" s="3" t="str">
        <f>TRIM([1]Raw_Data!B3788)</f>
        <v>Ashwagandha</v>
      </c>
      <c r="C3790" s="3" t="str">
        <f>TRIM([1]Raw_Data!C3788)</f>
        <v>Herbal</v>
      </c>
      <c r="D3790" s="3">
        <f>[1]Raw_Data!D3788</f>
        <v>159</v>
      </c>
      <c r="E3790" s="4">
        <f>[1]Raw_Data!E3788</f>
        <v>17.55</v>
      </c>
      <c r="F3790" s="5">
        <f>[1]Raw_Data!F3788</f>
        <v>2790.45</v>
      </c>
      <c r="G3790" s="4">
        <f>[1]Raw_Data!G3788</f>
        <v>0.2</v>
      </c>
      <c r="H3790" s="3">
        <f>[1]Raw_Data!H3788</f>
        <v>1</v>
      </c>
      <c r="I3790" s="3" t="str">
        <f>TRIM([1]Raw_Data!I3788)</f>
        <v>UK</v>
      </c>
      <c r="J3790" s="3" t="str">
        <f>TRIM([1]Raw_Data!J3788)</f>
        <v>Walmart</v>
      </c>
      <c r="K3790" s="3">
        <f t="shared" si="236"/>
        <v>2024</v>
      </c>
      <c r="L3790" s="6">
        <f t="shared" si="237"/>
        <v>45474</v>
      </c>
      <c r="M3790" s="3" t="str">
        <f t="shared" si="238"/>
        <v>16% to 20%</v>
      </c>
      <c r="N3790" s="3" t="str">
        <f t="shared" si="239"/>
        <v>OK</v>
      </c>
    </row>
    <row r="3791" spans="1:14" x14ac:dyDescent="0.3">
      <c r="A3791" s="2">
        <f>DATE(VALUE(RIGHT(TRIM([1]Raw_Data!A3789),4)),VALUE(MID(TRIM([1]Raw_Data!A3789),4,2)),VALUE(LEFT(TRIM([1]Raw_Data!A3789),2)))</f>
        <v>45488</v>
      </c>
      <c r="B3791" s="3" t="str">
        <f>TRIM([1]Raw_Data!B3789)</f>
        <v>Melatonin</v>
      </c>
      <c r="C3791" s="3" t="str">
        <f>TRIM([1]Raw_Data!C3789)</f>
        <v>Sleep Aid</v>
      </c>
      <c r="D3791" s="3">
        <f>[1]Raw_Data!D3789</f>
        <v>128</v>
      </c>
      <c r="E3791" s="4">
        <f>[1]Raw_Data!E3789</f>
        <v>24.59</v>
      </c>
      <c r="F3791" s="5">
        <f>[1]Raw_Data!F3789</f>
        <v>3147.52</v>
      </c>
      <c r="G3791" s="4">
        <f>[1]Raw_Data!G3789</f>
        <v>0.01</v>
      </c>
      <c r="H3791" s="3">
        <f>[1]Raw_Data!H3789</f>
        <v>3</v>
      </c>
      <c r="I3791" s="3" t="str">
        <f>TRIM([1]Raw_Data!I3789)</f>
        <v>Canada</v>
      </c>
      <c r="J3791" s="3" t="str">
        <f>TRIM([1]Raw_Data!J3789)</f>
        <v>Amazon</v>
      </c>
      <c r="K3791" s="3">
        <f t="shared" si="236"/>
        <v>2024</v>
      </c>
      <c r="L3791" s="6">
        <f t="shared" si="237"/>
        <v>45474</v>
      </c>
      <c r="M3791" s="3" t="str">
        <f t="shared" si="238"/>
        <v>0% to 5%</v>
      </c>
      <c r="N3791" s="3" t="str">
        <f t="shared" si="239"/>
        <v>OK</v>
      </c>
    </row>
    <row r="3792" spans="1:14" x14ac:dyDescent="0.3">
      <c r="A3792" s="2">
        <f>DATE(VALUE(RIGHT(TRIM([1]Raw_Data!A3790),4)),VALUE(MID(TRIM([1]Raw_Data!A3790),4,2)),VALUE(LEFT(TRIM([1]Raw_Data!A3790),2)))</f>
        <v>45488</v>
      </c>
      <c r="B3792" s="3" t="str">
        <f>TRIM([1]Raw_Data!B3790)</f>
        <v>Biotin</v>
      </c>
      <c r="C3792" s="3" t="str">
        <f>TRIM([1]Raw_Data!C3790)</f>
        <v>Vitamin</v>
      </c>
      <c r="D3792" s="3">
        <f>[1]Raw_Data!D3790</f>
        <v>149</v>
      </c>
      <c r="E3792" s="4">
        <f>[1]Raw_Data!E3790</f>
        <v>45.82</v>
      </c>
      <c r="F3792" s="5">
        <f>[1]Raw_Data!F3790</f>
        <v>6827.18</v>
      </c>
      <c r="G3792" s="4">
        <f>[1]Raw_Data!G3790</f>
        <v>0.22</v>
      </c>
      <c r="H3792" s="3">
        <f>[1]Raw_Data!H3790</f>
        <v>0</v>
      </c>
      <c r="I3792" s="3" t="str">
        <f>TRIM([1]Raw_Data!I3790)</f>
        <v>USA</v>
      </c>
      <c r="J3792" s="3" t="str">
        <f>TRIM([1]Raw_Data!J3790)</f>
        <v>iHerb</v>
      </c>
      <c r="K3792" s="3">
        <f t="shared" si="236"/>
        <v>2024</v>
      </c>
      <c r="L3792" s="6">
        <f t="shared" si="237"/>
        <v>45474</v>
      </c>
      <c r="M3792" s="3" t="str">
        <f t="shared" si="238"/>
        <v>21% to 25%</v>
      </c>
      <c r="N3792" s="3" t="str">
        <f t="shared" si="239"/>
        <v>OK</v>
      </c>
    </row>
    <row r="3793" spans="1:14" x14ac:dyDescent="0.3">
      <c r="A3793" s="2">
        <f>DATE(VALUE(RIGHT(TRIM([1]Raw_Data!A3791),4)),VALUE(MID(TRIM([1]Raw_Data!A3791),4,2)),VALUE(LEFT(TRIM([1]Raw_Data!A3791),2)))</f>
        <v>45488</v>
      </c>
      <c r="B3793" s="3" t="str">
        <f>TRIM([1]Raw_Data!B3791)</f>
        <v>Green Tea Extract</v>
      </c>
      <c r="C3793" s="3" t="str">
        <f>TRIM([1]Raw_Data!C3791)</f>
        <v>Fat Burner</v>
      </c>
      <c r="D3793" s="3">
        <f>[1]Raw_Data!D3791</f>
        <v>157</v>
      </c>
      <c r="E3793" s="4">
        <f>[1]Raw_Data!E3791</f>
        <v>20.5</v>
      </c>
      <c r="F3793" s="5">
        <f>[1]Raw_Data!F3791</f>
        <v>3218.5</v>
      </c>
      <c r="G3793" s="4">
        <f>[1]Raw_Data!G3791</f>
        <v>0.12</v>
      </c>
      <c r="H3793" s="3">
        <f>[1]Raw_Data!H3791</f>
        <v>0</v>
      </c>
      <c r="I3793" s="3" t="str">
        <f>TRIM([1]Raw_Data!I3791)</f>
        <v>UK</v>
      </c>
      <c r="J3793" s="3" t="str">
        <f>TRIM([1]Raw_Data!J3791)</f>
        <v>Amazon</v>
      </c>
      <c r="K3793" s="3">
        <f t="shared" si="236"/>
        <v>2024</v>
      </c>
      <c r="L3793" s="6">
        <f t="shared" si="237"/>
        <v>45474</v>
      </c>
      <c r="M3793" s="3" t="str">
        <f t="shared" si="238"/>
        <v>11% to 15%</v>
      </c>
      <c r="N3793" s="3" t="str">
        <f t="shared" si="239"/>
        <v>OK</v>
      </c>
    </row>
    <row r="3794" spans="1:14" x14ac:dyDescent="0.3">
      <c r="A3794" s="2">
        <f>DATE(VALUE(RIGHT(TRIM([1]Raw_Data!A3792),4)),VALUE(MID(TRIM([1]Raw_Data!A3792),4,2)),VALUE(LEFT(TRIM([1]Raw_Data!A3792),2)))</f>
        <v>45488</v>
      </c>
      <c r="B3794" s="3" t="str">
        <f>TRIM([1]Raw_Data!B3792)</f>
        <v>Iron Supplement</v>
      </c>
      <c r="C3794" s="3" t="str">
        <f>TRIM([1]Raw_Data!C3792)</f>
        <v>Mineral</v>
      </c>
      <c r="D3794" s="3">
        <f>[1]Raw_Data!D3792</f>
        <v>159</v>
      </c>
      <c r="E3794" s="4">
        <f>[1]Raw_Data!E3792</f>
        <v>15.41</v>
      </c>
      <c r="F3794" s="5">
        <f>[1]Raw_Data!F3792</f>
        <v>2450.19</v>
      </c>
      <c r="G3794" s="4">
        <f>[1]Raw_Data!G3792</f>
        <v>0.2</v>
      </c>
      <c r="H3794" s="3">
        <f>[1]Raw_Data!H3792</f>
        <v>2</v>
      </c>
      <c r="I3794" s="3" t="str">
        <f>TRIM([1]Raw_Data!I3792)</f>
        <v>Canada</v>
      </c>
      <c r="J3794" s="3" t="str">
        <f>TRIM([1]Raw_Data!J3792)</f>
        <v>Amazon</v>
      </c>
      <c r="K3794" s="3">
        <f t="shared" si="236"/>
        <v>2024</v>
      </c>
      <c r="L3794" s="6">
        <f t="shared" si="237"/>
        <v>45474</v>
      </c>
      <c r="M3794" s="3" t="str">
        <f t="shared" si="238"/>
        <v>16% to 20%</v>
      </c>
      <c r="N3794" s="3" t="str">
        <f t="shared" si="239"/>
        <v>OK</v>
      </c>
    </row>
    <row r="3795" spans="1:14" x14ac:dyDescent="0.3">
      <c r="A3795" s="2">
        <f>DATE(VALUE(RIGHT(TRIM([1]Raw_Data!A3793),4)),VALUE(MID(TRIM([1]Raw_Data!A3793),4,2)),VALUE(LEFT(TRIM([1]Raw_Data!A3793),2)))</f>
        <v>45488</v>
      </c>
      <c r="B3795" s="3" t="str">
        <f>TRIM([1]Raw_Data!B3793)</f>
        <v>Electrolyte Powder</v>
      </c>
      <c r="C3795" s="3" t="str">
        <f>TRIM([1]Raw_Data!C3793)</f>
        <v>Hydration</v>
      </c>
      <c r="D3795" s="3">
        <f>[1]Raw_Data!D3793</f>
        <v>144</v>
      </c>
      <c r="E3795" s="4">
        <f>[1]Raw_Data!E3793</f>
        <v>10</v>
      </c>
      <c r="F3795" s="5">
        <f>[1]Raw_Data!F3793</f>
        <v>1440</v>
      </c>
      <c r="G3795" s="4">
        <f>[1]Raw_Data!G3793</f>
        <v>0.23</v>
      </c>
      <c r="H3795" s="3">
        <f>[1]Raw_Data!H3793</f>
        <v>1</v>
      </c>
      <c r="I3795" s="3" t="str">
        <f>TRIM([1]Raw_Data!I3793)</f>
        <v>Canada</v>
      </c>
      <c r="J3795" s="3" t="str">
        <f>TRIM([1]Raw_Data!J3793)</f>
        <v>iHerb</v>
      </c>
      <c r="K3795" s="3">
        <f t="shared" si="236"/>
        <v>2024</v>
      </c>
      <c r="L3795" s="6">
        <f t="shared" si="237"/>
        <v>45474</v>
      </c>
      <c r="M3795" s="3" t="str">
        <f t="shared" si="238"/>
        <v>21% to 25%</v>
      </c>
      <c r="N3795" s="3" t="str">
        <f t="shared" si="239"/>
        <v>OK</v>
      </c>
    </row>
    <row r="3796" spans="1:14" x14ac:dyDescent="0.3">
      <c r="A3796" s="2">
        <f>DATE(VALUE(RIGHT(TRIM([1]Raw_Data!A3794),4)),VALUE(MID(TRIM([1]Raw_Data!A3794),4,2)),VALUE(LEFT(TRIM([1]Raw_Data!A3794),2)))</f>
        <v>45495</v>
      </c>
      <c r="B3796" s="3" t="str">
        <f>TRIM([1]Raw_Data!B3794)</f>
        <v>Whey Protein</v>
      </c>
      <c r="C3796" s="3" t="str">
        <f>TRIM([1]Raw_Data!C3794)</f>
        <v>Protein</v>
      </c>
      <c r="D3796" s="3">
        <f>[1]Raw_Data!D3794</f>
        <v>154</v>
      </c>
      <c r="E3796" s="4">
        <f>[1]Raw_Data!E3794</f>
        <v>38.07</v>
      </c>
      <c r="F3796" s="5">
        <f>[1]Raw_Data!F3794</f>
        <v>5862.78</v>
      </c>
      <c r="G3796" s="4">
        <f>[1]Raw_Data!G3794</f>
        <v>0.21</v>
      </c>
      <c r="H3796" s="3">
        <f>[1]Raw_Data!H3794</f>
        <v>2</v>
      </c>
      <c r="I3796" s="3" t="str">
        <f>TRIM([1]Raw_Data!I3794)</f>
        <v>USA</v>
      </c>
      <c r="J3796" s="3" t="str">
        <f>TRIM([1]Raw_Data!J3794)</f>
        <v>iHerb</v>
      </c>
      <c r="K3796" s="3">
        <f t="shared" si="236"/>
        <v>2024</v>
      </c>
      <c r="L3796" s="6">
        <f t="shared" si="237"/>
        <v>45474</v>
      </c>
      <c r="M3796" s="3" t="str">
        <f t="shared" si="238"/>
        <v>21% to 25%</v>
      </c>
      <c r="N3796" s="3" t="str">
        <f t="shared" si="239"/>
        <v>OK</v>
      </c>
    </row>
    <row r="3797" spans="1:14" x14ac:dyDescent="0.3">
      <c r="A3797" s="2">
        <f>DATE(VALUE(RIGHT(TRIM([1]Raw_Data!A3795),4)),VALUE(MID(TRIM([1]Raw_Data!A3795),4,2)),VALUE(LEFT(TRIM([1]Raw_Data!A3795),2)))</f>
        <v>45495</v>
      </c>
      <c r="B3797" s="3" t="str">
        <f>TRIM([1]Raw_Data!B3795)</f>
        <v>Vitamin C</v>
      </c>
      <c r="C3797" s="3" t="str">
        <f>TRIM([1]Raw_Data!C3795)</f>
        <v>Vitamin</v>
      </c>
      <c r="D3797" s="3">
        <f>[1]Raw_Data!D3795</f>
        <v>169</v>
      </c>
      <c r="E3797" s="4">
        <f>[1]Raw_Data!E3795</f>
        <v>18.559999999999999</v>
      </c>
      <c r="F3797" s="5">
        <f>[1]Raw_Data!F3795</f>
        <v>3136.64</v>
      </c>
      <c r="G3797" s="4">
        <f>[1]Raw_Data!G3795</f>
        <v>0.23</v>
      </c>
      <c r="H3797" s="3">
        <f>[1]Raw_Data!H3795</f>
        <v>2</v>
      </c>
      <c r="I3797" s="3" t="str">
        <f>TRIM([1]Raw_Data!I3795)</f>
        <v>Canada</v>
      </c>
      <c r="J3797" s="3" t="str">
        <f>TRIM([1]Raw_Data!J3795)</f>
        <v>Walmart</v>
      </c>
      <c r="K3797" s="3">
        <f t="shared" si="236"/>
        <v>2024</v>
      </c>
      <c r="L3797" s="6">
        <f t="shared" si="237"/>
        <v>45474</v>
      </c>
      <c r="M3797" s="3" t="str">
        <f t="shared" si="238"/>
        <v>21% to 25%</v>
      </c>
      <c r="N3797" s="3" t="str">
        <f t="shared" si="239"/>
        <v>OK</v>
      </c>
    </row>
    <row r="3798" spans="1:14" x14ac:dyDescent="0.3">
      <c r="A3798" s="2">
        <f>DATE(VALUE(RIGHT(TRIM([1]Raw_Data!A3796),4)),VALUE(MID(TRIM([1]Raw_Data!A3796),4,2)),VALUE(LEFT(TRIM([1]Raw_Data!A3796),2)))</f>
        <v>45495</v>
      </c>
      <c r="B3798" s="3" t="str">
        <f>TRIM([1]Raw_Data!B3796)</f>
        <v>Fish Oil</v>
      </c>
      <c r="C3798" s="3" t="str">
        <f>TRIM([1]Raw_Data!C3796)</f>
        <v>Omega</v>
      </c>
      <c r="D3798" s="3">
        <f>[1]Raw_Data!D3796</f>
        <v>128</v>
      </c>
      <c r="E3798" s="4">
        <f>[1]Raw_Data!E3796</f>
        <v>21.95</v>
      </c>
      <c r="F3798" s="5">
        <f>[1]Raw_Data!F3796</f>
        <v>2809.6</v>
      </c>
      <c r="G3798" s="4">
        <f>[1]Raw_Data!G3796</f>
        <v>0.16</v>
      </c>
      <c r="H3798" s="3">
        <f>[1]Raw_Data!H3796</f>
        <v>2</v>
      </c>
      <c r="I3798" s="3" t="str">
        <f>TRIM([1]Raw_Data!I3796)</f>
        <v>UK</v>
      </c>
      <c r="J3798" s="3" t="str">
        <f>TRIM([1]Raw_Data!J3796)</f>
        <v>iHerb</v>
      </c>
      <c r="K3798" s="3">
        <f t="shared" si="236"/>
        <v>2024</v>
      </c>
      <c r="L3798" s="6">
        <f t="shared" si="237"/>
        <v>45474</v>
      </c>
      <c r="M3798" s="3" t="str">
        <f t="shared" si="238"/>
        <v>16% to 20%</v>
      </c>
      <c r="N3798" s="3" t="str">
        <f t="shared" si="239"/>
        <v>OK</v>
      </c>
    </row>
    <row r="3799" spans="1:14" x14ac:dyDescent="0.3">
      <c r="A3799" s="2">
        <f>DATE(VALUE(RIGHT(TRIM([1]Raw_Data!A3797),4)),VALUE(MID(TRIM([1]Raw_Data!A3797),4,2)),VALUE(LEFT(TRIM([1]Raw_Data!A3797),2)))</f>
        <v>45495</v>
      </c>
      <c r="B3799" s="3" t="str">
        <f>TRIM([1]Raw_Data!B3797)</f>
        <v>Multivitamin</v>
      </c>
      <c r="C3799" s="3" t="str">
        <f>TRIM([1]Raw_Data!C3797)</f>
        <v>Vitamin</v>
      </c>
      <c r="D3799" s="3">
        <f>[1]Raw_Data!D3797</f>
        <v>157</v>
      </c>
      <c r="E3799" s="4">
        <f>[1]Raw_Data!E3797</f>
        <v>40.39</v>
      </c>
      <c r="F3799" s="5">
        <f>[1]Raw_Data!F3797</f>
        <v>6341.23</v>
      </c>
      <c r="G3799" s="4">
        <f>[1]Raw_Data!G3797</f>
        <v>0.24</v>
      </c>
      <c r="H3799" s="3">
        <f>[1]Raw_Data!H3797</f>
        <v>5</v>
      </c>
      <c r="I3799" s="3" t="str">
        <f>TRIM([1]Raw_Data!I3797)</f>
        <v>Canada</v>
      </c>
      <c r="J3799" s="3" t="str">
        <f>TRIM([1]Raw_Data!J3797)</f>
        <v>iHerb</v>
      </c>
      <c r="K3799" s="3">
        <f t="shared" si="236"/>
        <v>2024</v>
      </c>
      <c r="L3799" s="6">
        <f t="shared" si="237"/>
        <v>45474</v>
      </c>
      <c r="M3799" s="3" t="str">
        <f t="shared" si="238"/>
        <v>21% to 25%</v>
      </c>
      <c r="N3799" s="3" t="str">
        <f t="shared" si="239"/>
        <v>OK</v>
      </c>
    </row>
    <row r="3800" spans="1:14" x14ac:dyDescent="0.3">
      <c r="A3800" s="2">
        <f>DATE(VALUE(RIGHT(TRIM([1]Raw_Data!A3798),4)),VALUE(MID(TRIM([1]Raw_Data!A3798),4,2)),VALUE(LEFT(TRIM([1]Raw_Data!A3798),2)))</f>
        <v>45495</v>
      </c>
      <c r="B3800" s="3" t="str">
        <f>TRIM([1]Raw_Data!B3798)</f>
        <v>Pre-Workout</v>
      </c>
      <c r="C3800" s="3" t="str">
        <f>TRIM([1]Raw_Data!C3798)</f>
        <v>Performance</v>
      </c>
      <c r="D3800" s="3">
        <f>[1]Raw_Data!D3798</f>
        <v>155</v>
      </c>
      <c r="E3800" s="4">
        <f>[1]Raw_Data!E3798</f>
        <v>20.02</v>
      </c>
      <c r="F3800" s="5">
        <f>[1]Raw_Data!F3798</f>
        <v>3103.1</v>
      </c>
      <c r="G3800" s="4">
        <f>[1]Raw_Data!G3798</f>
        <v>0.06</v>
      </c>
      <c r="H3800" s="3">
        <f>[1]Raw_Data!H3798</f>
        <v>4</v>
      </c>
      <c r="I3800" s="3" t="str">
        <f>TRIM([1]Raw_Data!I3798)</f>
        <v>UK</v>
      </c>
      <c r="J3800" s="3" t="str">
        <f>TRIM([1]Raw_Data!J3798)</f>
        <v>Amazon</v>
      </c>
      <c r="K3800" s="3">
        <f t="shared" si="236"/>
        <v>2024</v>
      </c>
      <c r="L3800" s="6">
        <f t="shared" si="237"/>
        <v>45474</v>
      </c>
      <c r="M3800" s="3" t="str">
        <f t="shared" si="238"/>
        <v>6% to 10%</v>
      </c>
      <c r="N3800" s="3" t="str">
        <f t="shared" si="239"/>
        <v>OK</v>
      </c>
    </row>
    <row r="3801" spans="1:14" x14ac:dyDescent="0.3">
      <c r="A3801" s="2">
        <f>DATE(VALUE(RIGHT(TRIM([1]Raw_Data!A3799),4)),VALUE(MID(TRIM([1]Raw_Data!A3799),4,2)),VALUE(LEFT(TRIM([1]Raw_Data!A3799),2)))</f>
        <v>45495</v>
      </c>
      <c r="B3801" s="3" t="str">
        <f>TRIM([1]Raw_Data!B3799)</f>
        <v>BCAA</v>
      </c>
      <c r="C3801" s="3" t="str">
        <f>TRIM([1]Raw_Data!C3799)</f>
        <v>Amino Acid</v>
      </c>
      <c r="D3801" s="3">
        <f>[1]Raw_Data!D3799</f>
        <v>134</v>
      </c>
      <c r="E3801" s="4">
        <f>[1]Raw_Data!E3799</f>
        <v>31.03</v>
      </c>
      <c r="F3801" s="5">
        <f>[1]Raw_Data!F3799</f>
        <v>4158.0200000000004</v>
      </c>
      <c r="G3801" s="4">
        <f>[1]Raw_Data!G3799</f>
        <v>0.15</v>
      </c>
      <c r="H3801" s="3">
        <f>[1]Raw_Data!H3799</f>
        <v>1</v>
      </c>
      <c r="I3801" s="3" t="str">
        <f>TRIM([1]Raw_Data!I3799)</f>
        <v>Canada</v>
      </c>
      <c r="J3801" s="3" t="str">
        <f>TRIM([1]Raw_Data!J3799)</f>
        <v>Amazon</v>
      </c>
      <c r="K3801" s="3">
        <f t="shared" si="236"/>
        <v>2024</v>
      </c>
      <c r="L3801" s="6">
        <f t="shared" si="237"/>
        <v>45474</v>
      </c>
      <c r="M3801" s="3" t="str">
        <f t="shared" si="238"/>
        <v>11% to 15%</v>
      </c>
      <c r="N3801" s="3" t="str">
        <f t="shared" si="239"/>
        <v>OK</v>
      </c>
    </row>
    <row r="3802" spans="1:14" x14ac:dyDescent="0.3">
      <c r="A3802" s="2">
        <f>DATE(VALUE(RIGHT(TRIM([1]Raw_Data!A3800),4)),VALUE(MID(TRIM([1]Raw_Data!A3800),4,2)),VALUE(LEFT(TRIM([1]Raw_Data!A3800),2)))</f>
        <v>45495</v>
      </c>
      <c r="B3802" s="3" t="str">
        <f>TRIM([1]Raw_Data!B3800)</f>
        <v>Creatine</v>
      </c>
      <c r="C3802" s="3" t="str">
        <f>TRIM([1]Raw_Data!C3800)</f>
        <v>Performance</v>
      </c>
      <c r="D3802" s="3">
        <f>[1]Raw_Data!D3800</f>
        <v>142</v>
      </c>
      <c r="E3802" s="4">
        <f>[1]Raw_Data!E3800</f>
        <v>55.75</v>
      </c>
      <c r="F3802" s="5">
        <f>[1]Raw_Data!F3800</f>
        <v>7916.5</v>
      </c>
      <c r="G3802" s="4">
        <f>[1]Raw_Data!G3800</f>
        <v>0.1</v>
      </c>
      <c r="H3802" s="3">
        <f>[1]Raw_Data!H3800</f>
        <v>1</v>
      </c>
      <c r="I3802" s="3" t="str">
        <f>TRIM([1]Raw_Data!I3800)</f>
        <v>Canada</v>
      </c>
      <c r="J3802" s="3" t="str">
        <f>TRIM([1]Raw_Data!J3800)</f>
        <v>Amazon</v>
      </c>
      <c r="K3802" s="3">
        <f t="shared" si="236"/>
        <v>2024</v>
      </c>
      <c r="L3802" s="6">
        <f t="shared" si="237"/>
        <v>45474</v>
      </c>
      <c r="M3802" s="3" t="str">
        <f t="shared" si="238"/>
        <v>6% to 10%</v>
      </c>
      <c r="N3802" s="3" t="str">
        <f t="shared" si="239"/>
        <v>OK</v>
      </c>
    </row>
    <row r="3803" spans="1:14" x14ac:dyDescent="0.3">
      <c r="A3803" s="2">
        <f>DATE(VALUE(RIGHT(TRIM([1]Raw_Data!A3801),4)),VALUE(MID(TRIM([1]Raw_Data!A3801),4,2)),VALUE(LEFT(TRIM([1]Raw_Data!A3801),2)))</f>
        <v>45495</v>
      </c>
      <c r="B3803" s="3" t="str">
        <f>TRIM([1]Raw_Data!B3801)</f>
        <v>Zinc</v>
      </c>
      <c r="C3803" s="3" t="str">
        <f>TRIM([1]Raw_Data!C3801)</f>
        <v>Mineral</v>
      </c>
      <c r="D3803" s="3">
        <f>[1]Raw_Data!D3801</f>
        <v>157</v>
      </c>
      <c r="E3803" s="4">
        <f>[1]Raw_Data!E3801</f>
        <v>29.11</v>
      </c>
      <c r="F3803" s="5">
        <f>[1]Raw_Data!F3801</f>
        <v>4570.2700000000004</v>
      </c>
      <c r="G3803" s="4">
        <f>[1]Raw_Data!G3801</f>
        <v>0.1</v>
      </c>
      <c r="H3803" s="3">
        <f>[1]Raw_Data!H3801</f>
        <v>1</v>
      </c>
      <c r="I3803" s="3" t="str">
        <f>TRIM([1]Raw_Data!I3801)</f>
        <v>Canada</v>
      </c>
      <c r="J3803" s="3" t="str">
        <f>TRIM([1]Raw_Data!J3801)</f>
        <v>Amazon</v>
      </c>
      <c r="K3803" s="3">
        <f t="shared" si="236"/>
        <v>2024</v>
      </c>
      <c r="L3803" s="6">
        <f t="shared" si="237"/>
        <v>45474</v>
      </c>
      <c r="M3803" s="3" t="str">
        <f t="shared" si="238"/>
        <v>6% to 10%</v>
      </c>
      <c r="N3803" s="3" t="str">
        <f t="shared" si="239"/>
        <v>OK</v>
      </c>
    </row>
    <row r="3804" spans="1:14" x14ac:dyDescent="0.3">
      <c r="A3804" s="2">
        <f>DATE(VALUE(RIGHT(TRIM([1]Raw_Data!A3802),4)),VALUE(MID(TRIM([1]Raw_Data!A3802),4,2)),VALUE(LEFT(TRIM([1]Raw_Data!A3802),2)))</f>
        <v>45495</v>
      </c>
      <c r="B3804" s="3" t="str">
        <f>TRIM([1]Raw_Data!B3802)</f>
        <v>Collagen Peptides</v>
      </c>
      <c r="C3804" s="3" t="str">
        <f>TRIM([1]Raw_Data!C3802)</f>
        <v>Protein</v>
      </c>
      <c r="D3804" s="3">
        <f>[1]Raw_Data!D3802</f>
        <v>140</v>
      </c>
      <c r="E3804" s="4">
        <f>[1]Raw_Data!E3802</f>
        <v>44.32</v>
      </c>
      <c r="F3804" s="5">
        <f>[1]Raw_Data!F3802</f>
        <v>6204.8</v>
      </c>
      <c r="G3804" s="4">
        <f>[1]Raw_Data!G3802</f>
        <v>0.19</v>
      </c>
      <c r="H3804" s="3">
        <f>[1]Raw_Data!H3802</f>
        <v>2</v>
      </c>
      <c r="I3804" s="3" t="str">
        <f>TRIM([1]Raw_Data!I3802)</f>
        <v>Canada</v>
      </c>
      <c r="J3804" s="3" t="str">
        <f>TRIM([1]Raw_Data!J3802)</f>
        <v>Amazon</v>
      </c>
      <c r="K3804" s="3">
        <f t="shared" si="236"/>
        <v>2024</v>
      </c>
      <c r="L3804" s="6">
        <f t="shared" si="237"/>
        <v>45474</v>
      </c>
      <c r="M3804" s="3" t="str">
        <f t="shared" si="238"/>
        <v>16% to 20%</v>
      </c>
      <c r="N3804" s="3" t="str">
        <f t="shared" si="239"/>
        <v>OK</v>
      </c>
    </row>
    <row r="3805" spans="1:14" x14ac:dyDescent="0.3">
      <c r="A3805" s="2">
        <f>DATE(VALUE(RIGHT(TRIM([1]Raw_Data!A3803),4)),VALUE(MID(TRIM([1]Raw_Data!A3803),4,2)),VALUE(LEFT(TRIM([1]Raw_Data!A3803),2)))</f>
        <v>45495</v>
      </c>
      <c r="B3805" s="3" t="str">
        <f>TRIM([1]Raw_Data!B3803)</f>
        <v>Magnesium</v>
      </c>
      <c r="C3805" s="3" t="str">
        <f>TRIM([1]Raw_Data!C3803)</f>
        <v>Mineral</v>
      </c>
      <c r="D3805" s="3">
        <f>[1]Raw_Data!D3803</f>
        <v>145</v>
      </c>
      <c r="E3805" s="4">
        <f>[1]Raw_Data!E3803</f>
        <v>10.33</v>
      </c>
      <c r="F3805" s="5">
        <f>[1]Raw_Data!F3803</f>
        <v>1497.85</v>
      </c>
      <c r="G3805" s="4">
        <f>[1]Raw_Data!G3803</f>
        <v>0.12</v>
      </c>
      <c r="H3805" s="3">
        <f>[1]Raw_Data!H3803</f>
        <v>2</v>
      </c>
      <c r="I3805" s="3" t="str">
        <f>TRIM([1]Raw_Data!I3803)</f>
        <v>UK</v>
      </c>
      <c r="J3805" s="3" t="str">
        <f>TRIM([1]Raw_Data!J3803)</f>
        <v>iHerb</v>
      </c>
      <c r="K3805" s="3">
        <f t="shared" si="236"/>
        <v>2024</v>
      </c>
      <c r="L3805" s="6">
        <f t="shared" si="237"/>
        <v>45474</v>
      </c>
      <c r="M3805" s="3" t="str">
        <f t="shared" si="238"/>
        <v>11% to 15%</v>
      </c>
      <c r="N3805" s="3" t="str">
        <f t="shared" si="239"/>
        <v>OK</v>
      </c>
    </row>
    <row r="3806" spans="1:14" x14ac:dyDescent="0.3">
      <c r="A3806" s="2">
        <f>DATE(VALUE(RIGHT(TRIM([1]Raw_Data!A3804),4)),VALUE(MID(TRIM([1]Raw_Data!A3804),4,2)),VALUE(LEFT(TRIM([1]Raw_Data!A3804),2)))</f>
        <v>45495</v>
      </c>
      <c r="B3806" s="3" t="str">
        <f>TRIM([1]Raw_Data!B3804)</f>
        <v>Ashwagandha</v>
      </c>
      <c r="C3806" s="3" t="str">
        <f>TRIM([1]Raw_Data!C3804)</f>
        <v>Herbal</v>
      </c>
      <c r="D3806" s="3">
        <f>[1]Raw_Data!D3804</f>
        <v>155</v>
      </c>
      <c r="E3806" s="4">
        <f>[1]Raw_Data!E3804</f>
        <v>42.23</v>
      </c>
      <c r="F3806" s="5">
        <f>[1]Raw_Data!F3804</f>
        <v>6545.65</v>
      </c>
      <c r="G3806" s="4">
        <f>[1]Raw_Data!G3804</f>
        <v>0.23</v>
      </c>
      <c r="H3806" s="3">
        <f>[1]Raw_Data!H3804</f>
        <v>2</v>
      </c>
      <c r="I3806" s="3" t="str">
        <f>TRIM([1]Raw_Data!I3804)</f>
        <v>Canada</v>
      </c>
      <c r="J3806" s="3" t="str">
        <f>TRIM([1]Raw_Data!J3804)</f>
        <v>Walmart</v>
      </c>
      <c r="K3806" s="3">
        <f t="shared" si="236"/>
        <v>2024</v>
      </c>
      <c r="L3806" s="6">
        <f t="shared" si="237"/>
        <v>45474</v>
      </c>
      <c r="M3806" s="3" t="str">
        <f t="shared" si="238"/>
        <v>21% to 25%</v>
      </c>
      <c r="N3806" s="3" t="str">
        <f t="shared" si="239"/>
        <v>OK</v>
      </c>
    </row>
    <row r="3807" spans="1:14" x14ac:dyDescent="0.3">
      <c r="A3807" s="2">
        <f>DATE(VALUE(RIGHT(TRIM([1]Raw_Data!A3805),4)),VALUE(MID(TRIM([1]Raw_Data!A3805),4,2)),VALUE(LEFT(TRIM([1]Raw_Data!A3805),2)))</f>
        <v>45495</v>
      </c>
      <c r="B3807" s="3" t="str">
        <f>TRIM([1]Raw_Data!B3805)</f>
        <v>Melatonin</v>
      </c>
      <c r="C3807" s="3" t="str">
        <f>TRIM([1]Raw_Data!C3805)</f>
        <v>Sleep Aid</v>
      </c>
      <c r="D3807" s="3">
        <f>[1]Raw_Data!D3805</f>
        <v>158</v>
      </c>
      <c r="E3807" s="4">
        <f>[1]Raw_Data!E3805</f>
        <v>11.87</v>
      </c>
      <c r="F3807" s="5">
        <f>[1]Raw_Data!F3805</f>
        <v>1875.46</v>
      </c>
      <c r="G3807" s="4">
        <f>[1]Raw_Data!G3805</f>
        <v>0.09</v>
      </c>
      <c r="H3807" s="3">
        <f>[1]Raw_Data!H3805</f>
        <v>2</v>
      </c>
      <c r="I3807" s="3" t="str">
        <f>TRIM([1]Raw_Data!I3805)</f>
        <v>UK</v>
      </c>
      <c r="J3807" s="3" t="str">
        <f>TRIM([1]Raw_Data!J3805)</f>
        <v>iHerb</v>
      </c>
      <c r="K3807" s="3">
        <f t="shared" si="236"/>
        <v>2024</v>
      </c>
      <c r="L3807" s="6">
        <f t="shared" si="237"/>
        <v>45474</v>
      </c>
      <c r="M3807" s="3" t="str">
        <f t="shared" si="238"/>
        <v>6% to 10%</v>
      </c>
      <c r="N3807" s="3" t="str">
        <f t="shared" si="239"/>
        <v>OK</v>
      </c>
    </row>
    <row r="3808" spans="1:14" x14ac:dyDescent="0.3">
      <c r="A3808" s="2">
        <f>DATE(VALUE(RIGHT(TRIM([1]Raw_Data!A3806),4)),VALUE(MID(TRIM([1]Raw_Data!A3806),4,2)),VALUE(LEFT(TRIM([1]Raw_Data!A3806),2)))</f>
        <v>45495</v>
      </c>
      <c r="B3808" s="3" t="str">
        <f>TRIM([1]Raw_Data!B3806)</f>
        <v>Biotin</v>
      </c>
      <c r="C3808" s="3" t="str">
        <f>TRIM([1]Raw_Data!C3806)</f>
        <v>Vitamin</v>
      </c>
      <c r="D3808" s="3">
        <f>[1]Raw_Data!D3806</f>
        <v>162</v>
      </c>
      <c r="E3808" s="4">
        <f>[1]Raw_Data!E3806</f>
        <v>58</v>
      </c>
      <c r="F3808" s="5">
        <f>[1]Raw_Data!F3806</f>
        <v>9396</v>
      </c>
      <c r="G3808" s="4">
        <f>[1]Raw_Data!G3806</f>
        <v>7.0000000000000007E-2</v>
      </c>
      <c r="H3808" s="3">
        <f>[1]Raw_Data!H3806</f>
        <v>2</v>
      </c>
      <c r="I3808" s="3" t="str">
        <f>TRIM([1]Raw_Data!I3806)</f>
        <v>UK</v>
      </c>
      <c r="J3808" s="3" t="str">
        <f>TRIM([1]Raw_Data!J3806)</f>
        <v>Amazon</v>
      </c>
      <c r="K3808" s="3">
        <f t="shared" si="236"/>
        <v>2024</v>
      </c>
      <c r="L3808" s="6">
        <f t="shared" si="237"/>
        <v>45474</v>
      </c>
      <c r="M3808" s="3" t="str">
        <f t="shared" si="238"/>
        <v>6% to 10%</v>
      </c>
      <c r="N3808" s="3" t="str">
        <f t="shared" si="239"/>
        <v>OK</v>
      </c>
    </row>
    <row r="3809" spans="1:14" x14ac:dyDescent="0.3">
      <c r="A3809" s="2">
        <f>DATE(VALUE(RIGHT(TRIM([1]Raw_Data!A3807),4)),VALUE(MID(TRIM([1]Raw_Data!A3807),4,2)),VALUE(LEFT(TRIM([1]Raw_Data!A3807),2)))</f>
        <v>45495</v>
      </c>
      <c r="B3809" s="3" t="str">
        <f>TRIM([1]Raw_Data!B3807)</f>
        <v>Green Tea Extract</v>
      </c>
      <c r="C3809" s="3" t="str">
        <f>TRIM([1]Raw_Data!C3807)</f>
        <v>Fat Burner</v>
      </c>
      <c r="D3809" s="3">
        <f>[1]Raw_Data!D3807</f>
        <v>147</v>
      </c>
      <c r="E3809" s="4">
        <f>[1]Raw_Data!E3807</f>
        <v>50.13</v>
      </c>
      <c r="F3809" s="5">
        <f>[1]Raw_Data!F3807</f>
        <v>7369.11</v>
      </c>
      <c r="G3809" s="4">
        <f>[1]Raw_Data!G3807</f>
        <v>7.0000000000000007E-2</v>
      </c>
      <c r="H3809" s="3">
        <f>[1]Raw_Data!H3807</f>
        <v>0</v>
      </c>
      <c r="I3809" s="3" t="str">
        <f>TRIM([1]Raw_Data!I3807)</f>
        <v>USA</v>
      </c>
      <c r="J3809" s="3" t="str">
        <f>TRIM([1]Raw_Data!J3807)</f>
        <v>iHerb</v>
      </c>
      <c r="K3809" s="3">
        <f t="shared" si="236"/>
        <v>2024</v>
      </c>
      <c r="L3809" s="6">
        <f t="shared" si="237"/>
        <v>45474</v>
      </c>
      <c r="M3809" s="3" t="str">
        <f t="shared" si="238"/>
        <v>6% to 10%</v>
      </c>
      <c r="N3809" s="3" t="str">
        <f t="shared" si="239"/>
        <v>OK</v>
      </c>
    </row>
    <row r="3810" spans="1:14" x14ac:dyDescent="0.3">
      <c r="A3810" s="2">
        <f>DATE(VALUE(RIGHT(TRIM([1]Raw_Data!A3808),4)),VALUE(MID(TRIM([1]Raw_Data!A3808),4,2)),VALUE(LEFT(TRIM([1]Raw_Data!A3808),2)))</f>
        <v>45495</v>
      </c>
      <c r="B3810" s="3" t="str">
        <f>TRIM([1]Raw_Data!B3808)</f>
        <v>Iron Supplement</v>
      </c>
      <c r="C3810" s="3" t="str">
        <f>TRIM([1]Raw_Data!C3808)</f>
        <v>Mineral</v>
      </c>
      <c r="D3810" s="3">
        <f>[1]Raw_Data!D3808</f>
        <v>151</v>
      </c>
      <c r="E3810" s="4">
        <f>[1]Raw_Data!E3808</f>
        <v>49.86</v>
      </c>
      <c r="F3810" s="5">
        <f>[1]Raw_Data!F3808</f>
        <v>7528.86</v>
      </c>
      <c r="G3810" s="4">
        <f>[1]Raw_Data!G3808</f>
        <v>0.24</v>
      </c>
      <c r="H3810" s="3">
        <f>[1]Raw_Data!H3808</f>
        <v>0</v>
      </c>
      <c r="I3810" s="3" t="str">
        <f>TRIM([1]Raw_Data!I3808)</f>
        <v>USA</v>
      </c>
      <c r="J3810" s="3" t="str">
        <f>TRIM([1]Raw_Data!J3808)</f>
        <v>iHerb</v>
      </c>
      <c r="K3810" s="3">
        <f t="shared" si="236"/>
        <v>2024</v>
      </c>
      <c r="L3810" s="6">
        <f t="shared" si="237"/>
        <v>45474</v>
      </c>
      <c r="M3810" s="3" t="str">
        <f t="shared" si="238"/>
        <v>21% to 25%</v>
      </c>
      <c r="N3810" s="3" t="str">
        <f t="shared" si="239"/>
        <v>OK</v>
      </c>
    </row>
    <row r="3811" spans="1:14" x14ac:dyDescent="0.3">
      <c r="A3811" s="2">
        <f>DATE(VALUE(RIGHT(TRIM([1]Raw_Data!A3809),4)),VALUE(MID(TRIM([1]Raw_Data!A3809),4,2)),VALUE(LEFT(TRIM([1]Raw_Data!A3809),2)))</f>
        <v>45495</v>
      </c>
      <c r="B3811" s="3" t="str">
        <f>TRIM([1]Raw_Data!B3809)</f>
        <v>Electrolyte Powder</v>
      </c>
      <c r="C3811" s="3" t="str">
        <f>TRIM([1]Raw_Data!C3809)</f>
        <v>Hydration</v>
      </c>
      <c r="D3811" s="3">
        <f>[1]Raw_Data!D3809</f>
        <v>153</v>
      </c>
      <c r="E3811" s="4">
        <f>[1]Raw_Data!E3809</f>
        <v>59.29</v>
      </c>
      <c r="F3811" s="5">
        <f>[1]Raw_Data!F3809</f>
        <v>9071.3700000000008</v>
      </c>
      <c r="G3811" s="4">
        <f>[1]Raw_Data!G3809</f>
        <v>0.24</v>
      </c>
      <c r="H3811" s="3">
        <f>[1]Raw_Data!H3809</f>
        <v>2</v>
      </c>
      <c r="I3811" s="3" t="str">
        <f>TRIM([1]Raw_Data!I3809)</f>
        <v>USA</v>
      </c>
      <c r="J3811" s="3" t="str">
        <f>TRIM([1]Raw_Data!J3809)</f>
        <v>Amazon</v>
      </c>
      <c r="K3811" s="3">
        <f t="shared" si="236"/>
        <v>2024</v>
      </c>
      <c r="L3811" s="6">
        <f t="shared" si="237"/>
        <v>45474</v>
      </c>
      <c r="M3811" s="3" t="str">
        <f t="shared" si="238"/>
        <v>21% to 25%</v>
      </c>
      <c r="N3811" s="3" t="str">
        <f t="shared" si="239"/>
        <v>OK</v>
      </c>
    </row>
    <row r="3812" spans="1:14" x14ac:dyDescent="0.3">
      <c r="A3812" s="2">
        <f>DATE(VALUE(RIGHT(TRIM([1]Raw_Data!A3810),4)),VALUE(MID(TRIM([1]Raw_Data!A3810),4,2)),VALUE(LEFT(TRIM([1]Raw_Data!A3810),2)))</f>
        <v>45502</v>
      </c>
      <c r="B3812" s="3" t="str">
        <f>TRIM([1]Raw_Data!B3810)</f>
        <v>Whey Protein</v>
      </c>
      <c r="C3812" s="3" t="str">
        <f>TRIM([1]Raw_Data!C3810)</f>
        <v>Protein</v>
      </c>
      <c r="D3812" s="3">
        <f>[1]Raw_Data!D3810</f>
        <v>151</v>
      </c>
      <c r="E3812" s="4">
        <f>[1]Raw_Data!E3810</f>
        <v>29.21</v>
      </c>
      <c r="F3812" s="5">
        <f>[1]Raw_Data!F3810</f>
        <v>4410.71</v>
      </c>
      <c r="G3812" s="4">
        <f>[1]Raw_Data!G3810</f>
        <v>0.15</v>
      </c>
      <c r="H3812" s="3">
        <f>[1]Raw_Data!H3810</f>
        <v>2</v>
      </c>
      <c r="I3812" s="3" t="str">
        <f>TRIM([1]Raw_Data!I3810)</f>
        <v>Canada</v>
      </c>
      <c r="J3812" s="3" t="str">
        <f>TRIM([1]Raw_Data!J3810)</f>
        <v>iHerb</v>
      </c>
      <c r="K3812" s="3">
        <f t="shared" si="236"/>
        <v>2024</v>
      </c>
      <c r="L3812" s="6">
        <f t="shared" si="237"/>
        <v>45474</v>
      </c>
      <c r="M3812" s="3" t="str">
        <f t="shared" si="238"/>
        <v>11% to 15%</v>
      </c>
      <c r="N3812" s="3" t="str">
        <f t="shared" si="239"/>
        <v>OK</v>
      </c>
    </row>
    <row r="3813" spans="1:14" x14ac:dyDescent="0.3">
      <c r="A3813" s="2">
        <f>DATE(VALUE(RIGHT(TRIM([1]Raw_Data!A3811),4)),VALUE(MID(TRIM([1]Raw_Data!A3811),4,2)),VALUE(LEFT(TRIM([1]Raw_Data!A3811),2)))</f>
        <v>45502</v>
      </c>
      <c r="B3813" s="3" t="str">
        <f>TRIM([1]Raw_Data!B3811)</f>
        <v>Vitamin C</v>
      </c>
      <c r="C3813" s="3" t="str">
        <f>TRIM([1]Raw_Data!C3811)</f>
        <v>Vitamin</v>
      </c>
      <c r="D3813" s="3">
        <f>[1]Raw_Data!D3811</f>
        <v>155</v>
      </c>
      <c r="E3813" s="4">
        <f>[1]Raw_Data!E3811</f>
        <v>31.46</v>
      </c>
      <c r="F3813" s="5">
        <f>[1]Raw_Data!F3811</f>
        <v>4876.3</v>
      </c>
      <c r="G3813" s="4">
        <f>[1]Raw_Data!G3811</f>
        <v>0.18</v>
      </c>
      <c r="H3813" s="3">
        <f>[1]Raw_Data!H3811</f>
        <v>0</v>
      </c>
      <c r="I3813" s="3" t="str">
        <f>TRIM([1]Raw_Data!I3811)</f>
        <v>Canada</v>
      </c>
      <c r="J3813" s="3" t="str">
        <f>TRIM([1]Raw_Data!J3811)</f>
        <v>iHerb</v>
      </c>
      <c r="K3813" s="3">
        <f t="shared" si="236"/>
        <v>2024</v>
      </c>
      <c r="L3813" s="6">
        <f t="shared" si="237"/>
        <v>45474</v>
      </c>
      <c r="M3813" s="3" t="str">
        <f t="shared" si="238"/>
        <v>16% to 20%</v>
      </c>
      <c r="N3813" s="3" t="str">
        <f t="shared" si="239"/>
        <v>OK</v>
      </c>
    </row>
    <row r="3814" spans="1:14" x14ac:dyDescent="0.3">
      <c r="A3814" s="2">
        <f>DATE(VALUE(RIGHT(TRIM([1]Raw_Data!A3812),4)),VALUE(MID(TRIM([1]Raw_Data!A3812),4,2)),VALUE(LEFT(TRIM([1]Raw_Data!A3812),2)))</f>
        <v>45502</v>
      </c>
      <c r="B3814" s="3" t="str">
        <f>TRIM([1]Raw_Data!B3812)</f>
        <v>Fish Oil</v>
      </c>
      <c r="C3814" s="3" t="str">
        <f>TRIM([1]Raw_Data!C3812)</f>
        <v>Omega</v>
      </c>
      <c r="D3814" s="3">
        <f>[1]Raw_Data!D3812</f>
        <v>136</v>
      </c>
      <c r="E3814" s="4">
        <f>[1]Raw_Data!E3812</f>
        <v>54.54</v>
      </c>
      <c r="F3814" s="5">
        <f>[1]Raw_Data!F3812</f>
        <v>7417.44</v>
      </c>
      <c r="G3814" s="4">
        <f>[1]Raw_Data!G3812</f>
        <v>0.02</v>
      </c>
      <c r="H3814" s="3">
        <f>[1]Raw_Data!H3812</f>
        <v>2</v>
      </c>
      <c r="I3814" s="3" t="str">
        <f>TRIM([1]Raw_Data!I3812)</f>
        <v>UK</v>
      </c>
      <c r="J3814" s="3" t="str">
        <f>TRIM([1]Raw_Data!J3812)</f>
        <v>Walmart</v>
      </c>
      <c r="K3814" s="3">
        <f t="shared" si="236"/>
        <v>2024</v>
      </c>
      <c r="L3814" s="6">
        <f t="shared" si="237"/>
        <v>45474</v>
      </c>
      <c r="M3814" s="3" t="str">
        <f t="shared" si="238"/>
        <v>0% to 5%</v>
      </c>
      <c r="N3814" s="3" t="str">
        <f t="shared" si="239"/>
        <v>OK</v>
      </c>
    </row>
    <row r="3815" spans="1:14" x14ac:dyDescent="0.3">
      <c r="A3815" s="2">
        <f>DATE(VALUE(RIGHT(TRIM([1]Raw_Data!A3813),4)),VALUE(MID(TRIM([1]Raw_Data!A3813),4,2)),VALUE(LEFT(TRIM([1]Raw_Data!A3813),2)))</f>
        <v>45502</v>
      </c>
      <c r="B3815" s="3" t="str">
        <f>TRIM([1]Raw_Data!B3813)</f>
        <v>Multivitamin</v>
      </c>
      <c r="C3815" s="3" t="str">
        <f>TRIM([1]Raw_Data!C3813)</f>
        <v>Vitamin</v>
      </c>
      <c r="D3815" s="3">
        <f>[1]Raw_Data!D3813</f>
        <v>140</v>
      </c>
      <c r="E3815" s="4">
        <f>[1]Raw_Data!E3813</f>
        <v>55.8</v>
      </c>
      <c r="F3815" s="5">
        <f>[1]Raw_Data!F3813</f>
        <v>7812</v>
      </c>
      <c r="G3815" s="4">
        <f>[1]Raw_Data!G3813</f>
        <v>0.15</v>
      </c>
      <c r="H3815" s="3">
        <f>[1]Raw_Data!H3813</f>
        <v>0</v>
      </c>
      <c r="I3815" s="3" t="str">
        <f>TRIM([1]Raw_Data!I3813)</f>
        <v>Canada</v>
      </c>
      <c r="J3815" s="3" t="str">
        <f>TRIM([1]Raw_Data!J3813)</f>
        <v>Amazon</v>
      </c>
      <c r="K3815" s="3">
        <f t="shared" si="236"/>
        <v>2024</v>
      </c>
      <c r="L3815" s="6">
        <f t="shared" si="237"/>
        <v>45474</v>
      </c>
      <c r="M3815" s="3" t="str">
        <f t="shared" si="238"/>
        <v>11% to 15%</v>
      </c>
      <c r="N3815" s="3" t="str">
        <f t="shared" si="239"/>
        <v>OK</v>
      </c>
    </row>
    <row r="3816" spans="1:14" x14ac:dyDescent="0.3">
      <c r="A3816" s="2">
        <f>DATE(VALUE(RIGHT(TRIM([1]Raw_Data!A3814),4)),VALUE(MID(TRIM([1]Raw_Data!A3814),4,2)),VALUE(LEFT(TRIM([1]Raw_Data!A3814),2)))</f>
        <v>45502</v>
      </c>
      <c r="B3816" s="3" t="str">
        <f>TRIM([1]Raw_Data!B3814)</f>
        <v>Pre-Workout</v>
      </c>
      <c r="C3816" s="3" t="str">
        <f>TRIM([1]Raw_Data!C3814)</f>
        <v>Performance</v>
      </c>
      <c r="D3816" s="3">
        <f>[1]Raw_Data!D3814</f>
        <v>142</v>
      </c>
      <c r="E3816" s="4">
        <f>[1]Raw_Data!E3814</f>
        <v>31.36</v>
      </c>
      <c r="F3816" s="5">
        <f>[1]Raw_Data!F3814</f>
        <v>4453.12</v>
      </c>
      <c r="G3816" s="4">
        <f>[1]Raw_Data!G3814</f>
        <v>0.15</v>
      </c>
      <c r="H3816" s="3">
        <f>[1]Raw_Data!H3814</f>
        <v>1</v>
      </c>
      <c r="I3816" s="3" t="str">
        <f>TRIM([1]Raw_Data!I3814)</f>
        <v>Canada</v>
      </c>
      <c r="J3816" s="3" t="str">
        <f>TRIM([1]Raw_Data!J3814)</f>
        <v>Amazon</v>
      </c>
      <c r="K3816" s="3">
        <f t="shared" si="236"/>
        <v>2024</v>
      </c>
      <c r="L3816" s="6">
        <f t="shared" si="237"/>
        <v>45474</v>
      </c>
      <c r="M3816" s="3" t="str">
        <f t="shared" si="238"/>
        <v>11% to 15%</v>
      </c>
      <c r="N3816" s="3" t="str">
        <f t="shared" si="239"/>
        <v>OK</v>
      </c>
    </row>
    <row r="3817" spans="1:14" x14ac:dyDescent="0.3">
      <c r="A3817" s="2">
        <f>DATE(VALUE(RIGHT(TRIM([1]Raw_Data!A3815),4)),VALUE(MID(TRIM([1]Raw_Data!A3815),4,2)),VALUE(LEFT(TRIM([1]Raw_Data!A3815),2)))</f>
        <v>45502</v>
      </c>
      <c r="B3817" s="3" t="str">
        <f>TRIM([1]Raw_Data!B3815)</f>
        <v>BCAA</v>
      </c>
      <c r="C3817" s="3" t="str">
        <f>TRIM([1]Raw_Data!C3815)</f>
        <v>Amino Acid</v>
      </c>
      <c r="D3817" s="3">
        <f>[1]Raw_Data!D3815</f>
        <v>146</v>
      </c>
      <c r="E3817" s="4">
        <f>[1]Raw_Data!E3815</f>
        <v>44.31</v>
      </c>
      <c r="F3817" s="5">
        <f>[1]Raw_Data!F3815</f>
        <v>6469.26</v>
      </c>
      <c r="G3817" s="4">
        <f>[1]Raw_Data!G3815</f>
        <v>0.18</v>
      </c>
      <c r="H3817" s="3">
        <f>[1]Raw_Data!H3815</f>
        <v>1</v>
      </c>
      <c r="I3817" s="3" t="str">
        <f>TRIM([1]Raw_Data!I3815)</f>
        <v>USA</v>
      </c>
      <c r="J3817" s="3" t="str">
        <f>TRIM([1]Raw_Data!J3815)</f>
        <v>Walmart</v>
      </c>
      <c r="K3817" s="3">
        <f t="shared" si="236"/>
        <v>2024</v>
      </c>
      <c r="L3817" s="6">
        <f t="shared" si="237"/>
        <v>45474</v>
      </c>
      <c r="M3817" s="3" t="str">
        <f t="shared" si="238"/>
        <v>16% to 20%</v>
      </c>
      <c r="N3817" s="3" t="str">
        <f t="shared" si="239"/>
        <v>OK</v>
      </c>
    </row>
    <row r="3818" spans="1:14" x14ac:dyDescent="0.3">
      <c r="A3818" s="2">
        <f>DATE(VALUE(RIGHT(TRIM([1]Raw_Data!A3816),4)),VALUE(MID(TRIM([1]Raw_Data!A3816),4,2)),VALUE(LEFT(TRIM([1]Raw_Data!A3816),2)))</f>
        <v>45502</v>
      </c>
      <c r="B3818" s="3" t="str">
        <f>TRIM([1]Raw_Data!B3816)</f>
        <v>Creatine</v>
      </c>
      <c r="C3818" s="3" t="str">
        <f>TRIM([1]Raw_Data!C3816)</f>
        <v>Performance</v>
      </c>
      <c r="D3818" s="3">
        <f>[1]Raw_Data!D3816</f>
        <v>161</v>
      </c>
      <c r="E3818" s="4">
        <f>[1]Raw_Data!E3816</f>
        <v>56.03</v>
      </c>
      <c r="F3818" s="5">
        <f>[1]Raw_Data!F3816</f>
        <v>9020.83</v>
      </c>
      <c r="G3818" s="4">
        <f>[1]Raw_Data!G3816</f>
        <v>0.04</v>
      </c>
      <c r="H3818" s="3">
        <f>[1]Raw_Data!H3816</f>
        <v>1</v>
      </c>
      <c r="I3818" s="3" t="str">
        <f>TRIM([1]Raw_Data!I3816)</f>
        <v>Canada</v>
      </c>
      <c r="J3818" s="3" t="str">
        <f>TRIM([1]Raw_Data!J3816)</f>
        <v>iHerb</v>
      </c>
      <c r="K3818" s="3">
        <f t="shared" si="236"/>
        <v>2024</v>
      </c>
      <c r="L3818" s="6">
        <f t="shared" si="237"/>
        <v>45474</v>
      </c>
      <c r="M3818" s="3" t="str">
        <f t="shared" si="238"/>
        <v>0% to 5%</v>
      </c>
      <c r="N3818" s="3" t="str">
        <f t="shared" si="239"/>
        <v>OK</v>
      </c>
    </row>
    <row r="3819" spans="1:14" x14ac:dyDescent="0.3">
      <c r="A3819" s="2">
        <f>DATE(VALUE(RIGHT(TRIM([1]Raw_Data!A3817),4)),VALUE(MID(TRIM([1]Raw_Data!A3817),4,2)),VALUE(LEFT(TRIM([1]Raw_Data!A3817),2)))</f>
        <v>45502</v>
      </c>
      <c r="B3819" s="3" t="str">
        <f>TRIM([1]Raw_Data!B3817)</f>
        <v>Zinc</v>
      </c>
      <c r="C3819" s="3" t="str">
        <f>TRIM([1]Raw_Data!C3817)</f>
        <v>Mineral</v>
      </c>
      <c r="D3819" s="3">
        <f>[1]Raw_Data!D3817</f>
        <v>165</v>
      </c>
      <c r="E3819" s="4">
        <f>[1]Raw_Data!E3817</f>
        <v>10.17</v>
      </c>
      <c r="F3819" s="5">
        <f>[1]Raw_Data!F3817</f>
        <v>1678.05</v>
      </c>
      <c r="G3819" s="4">
        <f>[1]Raw_Data!G3817</f>
        <v>0.22</v>
      </c>
      <c r="H3819" s="3">
        <f>[1]Raw_Data!H3817</f>
        <v>1</v>
      </c>
      <c r="I3819" s="3" t="str">
        <f>TRIM([1]Raw_Data!I3817)</f>
        <v>Canada</v>
      </c>
      <c r="J3819" s="3" t="str">
        <f>TRIM([1]Raw_Data!J3817)</f>
        <v>Walmart</v>
      </c>
      <c r="K3819" s="3">
        <f t="shared" si="236"/>
        <v>2024</v>
      </c>
      <c r="L3819" s="6">
        <f t="shared" si="237"/>
        <v>45474</v>
      </c>
      <c r="M3819" s="3" t="str">
        <f t="shared" si="238"/>
        <v>21% to 25%</v>
      </c>
      <c r="N3819" s="3" t="str">
        <f t="shared" si="239"/>
        <v>OK</v>
      </c>
    </row>
    <row r="3820" spans="1:14" x14ac:dyDescent="0.3">
      <c r="A3820" s="2">
        <f>DATE(VALUE(RIGHT(TRIM([1]Raw_Data!A3818),4)),VALUE(MID(TRIM([1]Raw_Data!A3818),4,2)),VALUE(LEFT(TRIM([1]Raw_Data!A3818),2)))</f>
        <v>45502</v>
      </c>
      <c r="B3820" s="3" t="str">
        <f>TRIM([1]Raw_Data!B3818)</f>
        <v>Collagen Peptides</v>
      </c>
      <c r="C3820" s="3" t="str">
        <f>TRIM([1]Raw_Data!C3818)</f>
        <v>Protein</v>
      </c>
      <c r="D3820" s="3">
        <f>[1]Raw_Data!D3818</f>
        <v>147</v>
      </c>
      <c r="E3820" s="4">
        <f>[1]Raw_Data!E3818</f>
        <v>52.41</v>
      </c>
      <c r="F3820" s="5">
        <f>[1]Raw_Data!F3818</f>
        <v>7704.27</v>
      </c>
      <c r="G3820" s="4">
        <f>[1]Raw_Data!G3818</f>
        <v>0.08</v>
      </c>
      <c r="H3820" s="3">
        <f>[1]Raw_Data!H3818</f>
        <v>3</v>
      </c>
      <c r="I3820" s="3" t="str">
        <f>TRIM([1]Raw_Data!I3818)</f>
        <v>UK</v>
      </c>
      <c r="J3820" s="3" t="str">
        <f>TRIM([1]Raw_Data!J3818)</f>
        <v>iHerb</v>
      </c>
      <c r="K3820" s="3">
        <f t="shared" si="236"/>
        <v>2024</v>
      </c>
      <c r="L3820" s="6">
        <f t="shared" si="237"/>
        <v>45474</v>
      </c>
      <c r="M3820" s="3" t="str">
        <f t="shared" si="238"/>
        <v>6% to 10%</v>
      </c>
      <c r="N3820" s="3" t="str">
        <f t="shared" si="239"/>
        <v>OK</v>
      </c>
    </row>
    <row r="3821" spans="1:14" x14ac:dyDescent="0.3">
      <c r="A3821" s="2">
        <f>DATE(VALUE(RIGHT(TRIM([1]Raw_Data!A3819),4)),VALUE(MID(TRIM([1]Raw_Data!A3819),4,2)),VALUE(LEFT(TRIM([1]Raw_Data!A3819),2)))</f>
        <v>45502</v>
      </c>
      <c r="B3821" s="3" t="str">
        <f>TRIM([1]Raw_Data!B3819)</f>
        <v>Magnesium</v>
      </c>
      <c r="C3821" s="3" t="str">
        <f>TRIM([1]Raw_Data!C3819)</f>
        <v>Mineral</v>
      </c>
      <c r="D3821" s="3">
        <f>[1]Raw_Data!D3819</f>
        <v>154</v>
      </c>
      <c r="E3821" s="4">
        <f>[1]Raw_Data!E3819</f>
        <v>26.28</v>
      </c>
      <c r="F3821" s="5">
        <f>[1]Raw_Data!F3819</f>
        <v>4047.12</v>
      </c>
      <c r="G3821" s="4">
        <f>[1]Raw_Data!G3819</f>
        <v>0.06</v>
      </c>
      <c r="H3821" s="3">
        <f>[1]Raw_Data!H3819</f>
        <v>2</v>
      </c>
      <c r="I3821" s="3" t="str">
        <f>TRIM([1]Raw_Data!I3819)</f>
        <v>UK</v>
      </c>
      <c r="J3821" s="3" t="str">
        <f>TRIM([1]Raw_Data!J3819)</f>
        <v>Walmart</v>
      </c>
      <c r="K3821" s="3">
        <f t="shared" si="236"/>
        <v>2024</v>
      </c>
      <c r="L3821" s="6">
        <f t="shared" si="237"/>
        <v>45474</v>
      </c>
      <c r="M3821" s="3" t="str">
        <f t="shared" si="238"/>
        <v>6% to 10%</v>
      </c>
      <c r="N3821" s="3" t="str">
        <f t="shared" si="239"/>
        <v>OK</v>
      </c>
    </row>
    <row r="3822" spans="1:14" x14ac:dyDescent="0.3">
      <c r="A3822" s="2">
        <f>DATE(VALUE(RIGHT(TRIM([1]Raw_Data!A3820),4)),VALUE(MID(TRIM([1]Raw_Data!A3820),4,2)),VALUE(LEFT(TRIM([1]Raw_Data!A3820),2)))</f>
        <v>45502</v>
      </c>
      <c r="B3822" s="3" t="str">
        <f>TRIM([1]Raw_Data!B3820)</f>
        <v>Ashwagandha</v>
      </c>
      <c r="C3822" s="3" t="str">
        <f>TRIM([1]Raw_Data!C3820)</f>
        <v>Herbal</v>
      </c>
      <c r="D3822" s="3">
        <f>[1]Raw_Data!D3820</f>
        <v>148</v>
      </c>
      <c r="E3822" s="4">
        <f>[1]Raw_Data!E3820</f>
        <v>34.58</v>
      </c>
      <c r="F3822" s="5">
        <f>[1]Raw_Data!F3820</f>
        <v>5117.84</v>
      </c>
      <c r="G3822" s="4">
        <f>[1]Raw_Data!G3820</f>
        <v>0.13</v>
      </c>
      <c r="H3822" s="3">
        <f>[1]Raw_Data!H3820</f>
        <v>1</v>
      </c>
      <c r="I3822" s="3" t="str">
        <f>TRIM([1]Raw_Data!I3820)</f>
        <v>Canada</v>
      </c>
      <c r="J3822" s="3" t="str">
        <f>TRIM([1]Raw_Data!J3820)</f>
        <v>Walmart</v>
      </c>
      <c r="K3822" s="3">
        <f t="shared" si="236"/>
        <v>2024</v>
      </c>
      <c r="L3822" s="6">
        <f t="shared" si="237"/>
        <v>45474</v>
      </c>
      <c r="M3822" s="3" t="str">
        <f t="shared" si="238"/>
        <v>11% to 15%</v>
      </c>
      <c r="N3822" s="3" t="str">
        <f t="shared" si="239"/>
        <v>OK</v>
      </c>
    </row>
    <row r="3823" spans="1:14" x14ac:dyDescent="0.3">
      <c r="A3823" s="2">
        <f>DATE(VALUE(RIGHT(TRIM([1]Raw_Data!A3821),4)),VALUE(MID(TRIM([1]Raw_Data!A3821),4,2)),VALUE(LEFT(TRIM([1]Raw_Data!A3821),2)))</f>
        <v>45502</v>
      </c>
      <c r="B3823" s="3" t="str">
        <f>TRIM([1]Raw_Data!B3821)</f>
        <v>Melatonin</v>
      </c>
      <c r="C3823" s="3" t="str">
        <f>TRIM([1]Raw_Data!C3821)</f>
        <v>Sleep Aid</v>
      </c>
      <c r="D3823" s="3">
        <f>[1]Raw_Data!D3821</f>
        <v>161</v>
      </c>
      <c r="E3823" s="4">
        <f>[1]Raw_Data!E3821</f>
        <v>23.47</v>
      </c>
      <c r="F3823" s="5">
        <f>[1]Raw_Data!F3821</f>
        <v>3778.67</v>
      </c>
      <c r="G3823" s="4">
        <f>[1]Raw_Data!G3821</f>
        <v>0.22</v>
      </c>
      <c r="H3823" s="3">
        <f>[1]Raw_Data!H3821</f>
        <v>2</v>
      </c>
      <c r="I3823" s="3" t="str">
        <f>TRIM([1]Raw_Data!I3821)</f>
        <v>Canada</v>
      </c>
      <c r="J3823" s="3" t="str">
        <f>TRIM([1]Raw_Data!J3821)</f>
        <v>Walmart</v>
      </c>
      <c r="K3823" s="3">
        <f t="shared" si="236"/>
        <v>2024</v>
      </c>
      <c r="L3823" s="6">
        <f t="shared" si="237"/>
        <v>45474</v>
      </c>
      <c r="M3823" s="3" t="str">
        <f t="shared" si="238"/>
        <v>21% to 25%</v>
      </c>
      <c r="N3823" s="3" t="str">
        <f t="shared" si="239"/>
        <v>OK</v>
      </c>
    </row>
    <row r="3824" spans="1:14" x14ac:dyDescent="0.3">
      <c r="A3824" s="2">
        <f>DATE(VALUE(RIGHT(TRIM([1]Raw_Data!A3822),4)),VALUE(MID(TRIM([1]Raw_Data!A3822),4,2)),VALUE(LEFT(TRIM([1]Raw_Data!A3822),2)))</f>
        <v>45502</v>
      </c>
      <c r="B3824" s="3" t="str">
        <f>TRIM([1]Raw_Data!B3822)</f>
        <v>Biotin</v>
      </c>
      <c r="C3824" s="3" t="str">
        <f>TRIM([1]Raw_Data!C3822)</f>
        <v>Vitamin</v>
      </c>
      <c r="D3824" s="3">
        <f>[1]Raw_Data!D3822</f>
        <v>153</v>
      </c>
      <c r="E3824" s="4">
        <f>[1]Raw_Data!E3822</f>
        <v>45.94</v>
      </c>
      <c r="F3824" s="5">
        <f>[1]Raw_Data!F3822</f>
        <v>7028.82</v>
      </c>
      <c r="G3824" s="4">
        <f>[1]Raw_Data!G3822</f>
        <v>0.08</v>
      </c>
      <c r="H3824" s="3">
        <f>[1]Raw_Data!H3822</f>
        <v>0</v>
      </c>
      <c r="I3824" s="3" t="str">
        <f>TRIM([1]Raw_Data!I3822)</f>
        <v>USA</v>
      </c>
      <c r="J3824" s="3" t="str">
        <f>TRIM([1]Raw_Data!J3822)</f>
        <v>Amazon</v>
      </c>
      <c r="K3824" s="3">
        <f t="shared" si="236"/>
        <v>2024</v>
      </c>
      <c r="L3824" s="6">
        <f t="shared" si="237"/>
        <v>45474</v>
      </c>
      <c r="M3824" s="3" t="str">
        <f t="shared" si="238"/>
        <v>6% to 10%</v>
      </c>
      <c r="N3824" s="3" t="str">
        <f t="shared" si="239"/>
        <v>OK</v>
      </c>
    </row>
    <row r="3825" spans="1:14" x14ac:dyDescent="0.3">
      <c r="A3825" s="2">
        <f>DATE(VALUE(RIGHT(TRIM([1]Raw_Data!A3823),4)),VALUE(MID(TRIM([1]Raw_Data!A3823),4,2)),VALUE(LEFT(TRIM([1]Raw_Data!A3823),2)))</f>
        <v>45502</v>
      </c>
      <c r="B3825" s="3" t="str">
        <f>TRIM([1]Raw_Data!B3823)</f>
        <v>Green Tea Extract</v>
      </c>
      <c r="C3825" s="3" t="str">
        <f>TRIM([1]Raw_Data!C3823)</f>
        <v>Fat Burner</v>
      </c>
      <c r="D3825" s="3">
        <f>[1]Raw_Data!D3823</f>
        <v>162</v>
      </c>
      <c r="E3825" s="4">
        <f>[1]Raw_Data!E3823</f>
        <v>46.09</v>
      </c>
      <c r="F3825" s="5">
        <f>[1]Raw_Data!F3823</f>
        <v>7466.58</v>
      </c>
      <c r="G3825" s="4">
        <f>[1]Raw_Data!G3823</f>
        <v>0.02</v>
      </c>
      <c r="H3825" s="3">
        <f>[1]Raw_Data!H3823</f>
        <v>1</v>
      </c>
      <c r="I3825" s="3" t="str">
        <f>TRIM([1]Raw_Data!I3823)</f>
        <v>Canada</v>
      </c>
      <c r="J3825" s="3" t="str">
        <f>TRIM([1]Raw_Data!J3823)</f>
        <v>Walmart</v>
      </c>
      <c r="K3825" s="3">
        <f t="shared" si="236"/>
        <v>2024</v>
      </c>
      <c r="L3825" s="6">
        <f t="shared" si="237"/>
        <v>45474</v>
      </c>
      <c r="M3825" s="3" t="str">
        <f t="shared" si="238"/>
        <v>0% to 5%</v>
      </c>
      <c r="N3825" s="3" t="str">
        <f t="shared" si="239"/>
        <v>OK</v>
      </c>
    </row>
    <row r="3826" spans="1:14" x14ac:dyDescent="0.3">
      <c r="A3826" s="2">
        <f>DATE(VALUE(RIGHT(TRIM([1]Raw_Data!A3824),4)),VALUE(MID(TRIM([1]Raw_Data!A3824),4,2)),VALUE(LEFT(TRIM([1]Raw_Data!A3824),2)))</f>
        <v>45502</v>
      </c>
      <c r="B3826" s="3" t="str">
        <f>TRIM([1]Raw_Data!B3824)</f>
        <v>Iron Supplement</v>
      </c>
      <c r="C3826" s="3" t="str">
        <f>TRIM([1]Raw_Data!C3824)</f>
        <v>Mineral</v>
      </c>
      <c r="D3826" s="3">
        <f>[1]Raw_Data!D3824</f>
        <v>126</v>
      </c>
      <c r="E3826" s="4">
        <f>[1]Raw_Data!E3824</f>
        <v>42.66</v>
      </c>
      <c r="F3826" s="5">
        <f>[1]Raw_Data!F3824</f>
        <v>5375.16</v>
      </c>
      <c r="G3826" s="4">
        <f>[1]Raw_Data!G3824</f>
        <v>0.04</v>
      </c>
      <c r="H3826" s="3">
        <f>[1]Raw_Data!H3824</f>
        <v>1</v>
      </c>
      <c r="I3826" s="3" t="str">
        <f>TRIM([1]Raw_Data!I3824)</f>
        <v>USA</v>
      </c>
      <c r="J3826" s="3" t="str">
        <f>TRIM([1]Raw_Data!J3824)</f>
        <v>Walmart</v>
      </c>
      <c r="K3826" s="3">
        <f t="shared" si="236"/>
        <v>2024</v>
      </c>
      <c r="L3826" s="6">
        <f t="shared" si="237"/>
        <v>45474</v>
      </c>
      <c r="M3826" s="3" t="str">
        <f t="shared" si="238"/>
        <v>0% to 5%</v>
      </c>
      <c r="N3826" s="3" t="str">
        <f t="shared" si="239"/>
        <v>OK</v>
      </c>
    </row>
    <row r="3827" spans="1:14" x14ac:dyDescent="0.3">
      <c r="A3827" s="2">
        <f>DATE(VALUE(RIGHT(TRIM([1]Raw_Data!A3825),4)),VALUE(MID(TRIM([1]Raw_Data!A3825),4,2)),VALUE(LEFT(TRIM([1]Raw_Data!A3825),2)))</f>
        <v>45502</v>
      </c>
      <c r="B3827" s="3" t="str">
        <f>TRIM([1]Raw_Data!B3825)</f>
        <v>Electrolyte Powder</v>
      </c>
      <c r="C3827" s="3" t="str">
        <f>TRIM([1]Raw_Data!C3825)</f>
        <v>Hydration</v>
      </c>
      <c r="D3827" s="3">
        <f>[1]Raw_Data!D3825</f>
        <v>173</v>
      </c>
      <c r="E3827" s="4">
        <f>[1]Raw_Data!E3825</f>
        <v>50.13</v>
      </c>
      <c r="F3827" s="5">
        <f>[1]Raw_Data!F3825</f>
        <v>8672.49</v>
      </c>
      <c r="G3827" s="4">
        <f>[1]Raw_Data!G3825</f>
        <v>0.23</v>
      </c>
      <c r="H3827" s="3">
        <f>[1]Raw_Data!H3825</f>
        <v>5</v>
      </c>
      <c r="I3827" s="3" t="str">
        <f>TRIM([1]Raw_Data!I3825)</f>
        <v>UK</v>
      </c>
      <c r="J3827" s="3" t="str">
        <f>TRIM([1]Raw_Data!J3825)</f>
        <v>Amazon</v>
      </c>
      <c r="K3827" s="3">
        <f t="shared" si="236"/>
        <v>2024</v>
      </c>
      <c r="L3827" s="6">
        <f t="shared" si="237"/>
        <v>45474</v>
      </c>
      <c r="M3827" s="3" t="str">
        <f t="shared" si="238"/>
        <v>21% to 25%</v>
      </c>
      <c r="N3827" s="3" t="str">
        <f t="shared" si="239"/>
        <v>OK</v>
      </c>
    </row>
    <row r="3828" spans="1:14" x14ac:dyDescent="0.3">
      <c r="A3828" s="2">
        <f>DATE(VALUE(RIGHT(TRIM([1]Raw_Data!A3826),4)),VALUE(MID(TRIM([1]Raw_Data!A3826),4,2)),VALUE(LEFT(TRIM([1]Raw_Data!A3826),2)))</f>
        <v>45509</v>
      </c>
      <c r="B3828" s="3" t="str">
        <f>TRIM([1]Raw_Data!B3826)</f>
        <v>Whey Protein</v>
      </c>
      <c r="C3828" s="3" t="str">
        <f>TRIM([1]Raw_Data!C3826)</f>
        <v>Protein</v>
      </c>
      <c r="D3828" s="3">
        <f>[1]Raw_Data!D3826</f>
        <v>168</v>
      </c>
      <c r="E3828" s="4">
        <f>[1]Raw_Data!E3826</f>
        <v>58.13</v>
      </c>
      <c r="F3828" s="5">
        <f>[1]Raw_Data!F3826</f>
        <v>9765.84</v>
      </c>
      <c r="G3828" s="4">
        <f>[1]Raw_Data!G3826</f>
        <v>0.2</v>
      </c>
      <c r="H3828" s="3">
        <f>[1]Raw_Data!H3826</f>
        <v>3</v>
      </c>
      <c r="I3828" s="3" t="str">
        <f>TRIM([1]Raw_Data!I3826)</f>
        <v>UK</v>
      </c>
      <c r="J3828" s="3" t="str">
        <f>TRIM([1]Raw_Data!J3826)</f>
        <v>Walmart</v>
      </c>
      <c r="K3828" s="3">
        <f t="shared" si="236"/>
        <v>2024</v>
      </c>
      <c r="L3828" s="6">
        <f t="shared" si="237"/>
        <v>45505</v>
      </c>
      <c r="M3828" s="3" t="str">
        <f t="shared" si="238"/>
        <v>16% to 20%</v>
      </c>
      <c r="N3828" s="3" t="str">
        <f t="shared" si="239"/>
        <v>OK</v>
      </c>
    </row>
    <row r="3829" spans="1:14" x14ac:dyDescent="0.3">
      <c r="A3829" s="2">
        <f>DATE(VALUE(RIGHT(TRIM([1]Raw_Data!A3827),4)),VALUE(MID(TRIM([1]Raw_Data!A3827),4,2)),VALUE(LEFT(TRIM([1]Raw_Data!A3827),2)))</f>
        <v>45509</v>
      </c>
      <c r="B3829" s="3" t="str">
        <f>TRIM([1]Raw_Data!B3827)</f>
        <v>Vitamin C</v>
      </c>
      <c r="C3829" s="3" t="str">
        <f>TRIM([1]Raw_Data!C3827)</f>
        <v>Vitamin</v>
      </c>
      <c r="D3829" s="3">
        <f>[1]Raw_Data!D3827</f>
        <v>161</v>
      </c>
      <c r="E3829" s="4">
        <f>[1]Raw_Data!E3827</f>
        <v>14.08</v>
      </c>
      <c r="F3829" s="5">
        <f>[1]Raw_Data!F3827</f>
        <v>2266.88</v>
      </c>
      <c r="G3829" s="4">
        <f>[1]Raw_Data!G3827</f>
        <v>0.06</v>
      </c>
      <c r="H3829" s="3">
        <f>[1]Raw_Data!H3827</f>
        <v>4</v>
      </c>
      <c r="I3829" s="3" t="str">
        <f>TRIM([1]Raw_Data!I3827)</f>
        <v>Canada</v>
      </c>
      <c r="J3829" s="3" t="str">
        <f>TRIM([1]Raw_Data!J3827)</f>
        <v>Walmart</v>
      </c>
      <c r="K3829" s="3">
        <f t="shared" si="236"/>
        <v>2024</v>
      </c>
      <c r="L3829" s="6">
        <f t="shared" si="237"/>
        <v>45505</v>
      </c>
      <c r="M3829" s="3" t="str">
        <f t="shared" si="238"/>
        <v>6% to 10%</v>
      </c>
      <c r="N3829" s="3" t="str">
        <f t="shared" si="239"/>
        <v>OK</v>
      </c>
    </row>
    <row r="3830" spans="1:14" x14ac:dyDescent="0.3">
      <c r="A3830" s="2">
        <f>DATE(VALUE(RIGHT(TRIM([1]Raw_Data!A3828),4)),VALUE(MID(TRIM([1]Raw_Data!A3828),4,2)),VALUE(LEFT(TRIM([1]Raw_Data!A3828),2)))</f>
        <v>45509</v>
      </c>
      <c r="B3830" s="3" t="str">
        <f>TRIM([1]Raw_Data!B3828)</f>
        <v>Fish Oil</v>
      </c>
      <c r="C3830" s="3" t="str">
        <f>TRIM([1]Raw_Data!C3828)</f>
        <v>Omega</v>
      </c>
      <c r="D3830" s="3">
        <f>[1]Raw_Data!D3828</f>
        <v>150</v>
      </c>
      <c r="E3830" s="4">
        <f>[1]Raw_Data!E3828</f>
        <v>52</v>
      </c>
      <c r="F3830" s="5">
        <f>[1]Raw_Data!F3828</f>
        <v>7800</v>
      </c>
      <c r="G3830" s="4">
        <f>[1]Raw_Data!G3828</f>
        <v>0.02</v>
      </c>
      <c r="H3830" s="3">
        <f>[1]Raw_Data!H3828</f>
        <v>1</v>
      </c>
      <c r="I3830" s="3" t="str">
        <f>TRIM([1]Raw_Data!I3828)</f>
        <v>Canada</v>
      </c>
      <c r="J3830" s="3" t="str">
        <f>TRIM([1]Raw_Data!J3828)</f>
        <v>Amazon</v>
      </c>
      <c r="K3830" s="3">
        <f t="shared" si="236"/>
        <v>2024</v>
      </c>
      <c r="L3830" s="6">
        <f t="shared" si="237"/>
        <v>45505</v>
      </c>
      <c r="M3830" s="3" t="str">
        <f t="shared" si="238"/>
        <v>0% to 5%</v>
      </c>
      <c r="N3830" s="3" t="str">
        <f t="shared" si="239"/>
        <v>OK</v>
      </c>
    </row>
    <row r="3831" spans="1:14" x14ac:dyDescent="0.3">
      <c r="A3831" s="2">
        <f>DATE(VALUE(RIGHT(TRIM([1]Raw_Data!A3829),4)),VALUE(MID(TRIM([1]Raw_Data!A3829),4,2)),VALUE(LEFT(TRIM([1]Raw_Data!A3829),2)))</f>
        <v>45509</v>
      </c>
      <c r="B3831" s="3" t="str">
        <f>TRIM([1]Raw_Data!B3829)</f>
        <v>Multivitamin</v>
      </c>
      <c r="C3831" s="3" t="str">
        <f>TRIM([1]Raw_Data!C3829)</f>
        <v>Vitamin</v>
      </c>
      <c r="D3831" s="3">
        <f>[1]Raw_Data!D3829</f>
        <v>145</v>
      </c>
      <c r="E3831" s="4">
        <f>[1]Raw_Data!E3829</f>
        <v>25.38</v>
      </c>
      <c r="F3831" s="5">
        <f>[1]Raw_Data!F3829</f>
        <v>3680.1</v>
      </c>
      <c r="G3831" s="4">
        <f>[1]Raw_Data!G3829</f>
        <v>0.05</v>
      </c>
      <c r="H3831" s="3">
        <f>[1]Raw_Data!H3829</f>
        <v>0</v>
      </c>
      <c r="I3831" s="3" t="str">
        <f>TRIM([1]Raw_Data!I3829)</f>
        <v>Canada</v>
      </c>
      <c r="J3831" s="3" t="str">
        <f>TRIM([1]Raw_Data!J3829)</f>
        <v>Walmart</v>
      </c>
      <c r="K3831" s="3">
        <f t="shared" si="236"/>
        <v>2024</v>
      </c>
      <c r="L3831" s="6">
        <f t="shared" si="237"/>
        <v>45505</v>
      </c>
      <c r="M3831" s="3" t="str">
        <f t="shared" si="238"/>
        <v>0% to 5%</v>
      </c>
      <c r="N3831" s="3" t="str">
        <f t="shared" si="239"/>
        <v>OK</v>
      </c>
    </row>
    <row r="3832" spans="1:14" x14ac:dyDescent="0.3">
      <c r="A3832" s="2">
        <f>DATE(VALUE(RIGHT(TRIM([1]Raw_Data!A3830),4)),VALUE(MID(TRIM([1]Raw_Data!A3830),4,2)),VALUE(LEFT(TRIM([1]Raw_Data!A3830),2)))</f>
        <v>45509</v>
      </c>
      <c r="B3832" s="3" t="str">
        <f>TRIM([1]Raw_Data!B3830)</f>
        <v>Pre-Workout</v>
      </c>
      <c r="C3832" s="3" t="str">
        <f>TRIM([1]Raw_Data!C3830)</f>
        <v>Performance</v>
      </c>
      <c r="D3832" s="3">
        <f>[1]Raw_Data!D3830</f>
        <v>155</v>
      </c>
      <c r="E3832" s="4">
        <f>[1]Raw_Data!E3830</f>
        <v>35.44</v>
      </c>
      <c r="F3832" s="5">
        <f>[1]Raw_Data!F3830</f>
        <v>5493.2</v>
      </c>
      <c r="G3832" s="4">
        <f>[1]Raw_Data!G3830</f>
        <v>7.0000000000000007E-2</v>
      </c>
      <c r="H3832" s="3">
        <f>[1]Raw_Data!H3830</f>
        <v>0</v>
      </c>
      <c r="I3832" s="3" t="str">
        <f>TRIM([1]Raw_Data!I3830)</f>
        <v>Canada</v>
      </c>
      <c r="J3832" s="3" t="str">
        <f>TRIM([1]Raw_Data!J3830)</f>
        <v>Amazon</v>
      </c>
      <c r="K3832" s="3">
        <f t="shared" si="236"/>
        <v>2024</v>
      </c>
      <c r="L3832" s="6">
        <f t="shared" si="237"/>
        <v>45505</v>
      </c>
      <c r="M3832" s="3" t="str">
        <f t="shared" si="238"/>
        <v>6% to 10%</v>
      </c>
      <c r="N3832" s="3" t="str">
        <f t="shared" si="239"/>
        <v>OK</v>
      </c>
    </row>
    <row r="3833" spans="1:14" x14ac:dyDescent="0.3">
      <c r="A3833" s="2">
        <f>DATE(VALUE(RIGHT(TRIM([1]Raw_Data!A3831),4)),VALUE(MID(TRIM([1]Raw_Data!A3831),4,2)),VALUE(LEFT(TRIM([1]Raw_Data!A3831),2)))</f>
        <v>45509</v>
      </c>
      <c r="B3833" s="3" t="str">
        <f>TRIM([1]Raw_Data!B3831)</f>
        <v>BCAA</v>
      </c>
      <c r="C3833" s="3" t="str">
        <f>TRIM([1]Raw_Data!C3831)</f>
        <v>Amino Acid</v>
      </c>
      <c r="D3833" s="3">
        <f>[1]Raw_Data!D3831</f>
        <v>144</v>
      </c>
      <c r="E3833" s="4">
        <f>[1]Raw_Data!E3831</f>
        <v>40.07</v>
      </c>
      <c r="F3833" s="5">
        <f>[1]Raw_Data!F3831</f>
        <v>5770.08</v>
      </c>
      <c r="G3833" s="4">
        <f>[1]Raw_Data!G3831</f>
        <v>0.19</v>
      </c>
      <c r="H3833" s="3">
        <f>[1]Raw_Data!H3831</f>
        <v>1</v>
      </c>
      <c r="I3833" s="3" t="str">
        <f>TRIM([1]Raw_Data!I3831)</f>
        <v>UK</v>
      </c>
      <c r="J3833" s="3" t="str">
        <f>TRIM([1]Raw_Data!J3831)</f>
        <v>Amazon</v>
      </c>
      <c r="K3833" s="3">
        <f t="shared" si="236"/>
        <v>2024</v>
      </c>
      <c r="L3833" s="6">
        <f t="shared" si="237"/>
        <v>45505</v>
      </c>
      <c r="M3833" s="3" t="str">
        <f t="shared" si="238"/>
        <v>16% to 20%</v>
      </c>
      <c r="N3833" s="3" t="str">
        <f t="shared" si="239"/>
        <v>OK</v>
      </c>
    </row>
    <row r="3834" spans="1:14" x14ac:dyDescent="0.3">
      <c r="A3834" s="2">
        <f>DATE(VALUE(RIGHT(TRIM([1]Raw_Data!A3832),4)),VALUE(MID(TRIM([1]Raw_Data!A3832),4,2)),VALUE(LEFT(TRIM([1]Raw_Data!A3832),2)))</f>
        <v>45509</v>
      </c>
      <c r="B3834" s="3" t="str">
        <f>TRIM([1]Raw_Data!B3832)</f>
        <v>Creatine</v>
      </c>
      <c r="C3834" s="3" t="str">
        <f>TRIM([1]Raw_Data!C3832)</f>
        <v>Performance</v>
      </c>
      <c r="D3834" s="3">
        <f>[1]Raw_Data!D3832</f>
        <v>155</v>
      </c>
      <c r="E3834" s="4">
        <f>[1]Raw_Data!E3832</f>
        <v>58.03</v>
      </c>
      <c r="F3834" s="5">
        <f>[1]Raw_Data!F3832</f>
        <v>8994.65</v>
      </c>
      <c r="G3834" s="4">
        <f>[1]Raw_Data!G3832</f>
        <v>0.04</v>
      </c>
      <c r="H3834" s="3">
        <f>[1]Raw_Data!H3832</f>
        <v>6</v>
      </c>
      <c r="I3834" s="3" t="str">
        <f>TRIM([1]Raw_Data!I3832)</f>
        <v>Canada</v>
      </c>
      <c r="J3834" s="3" t="str">
        <f>TRIM([1]Raw_Data!J3832)</f>
        <v>iHerb</v>
      </c>
      <c r="K3834" s="3">
        <f t="shared" si="236"/>
        <v>2024</v>
      </c>
      <c r="L3834" s="6">
        <f t="shared" si="237"/>
        <v>45505</v>
      </c>
      <c r="M3834" s="3" t="str">
        <f t="shared" si="238"/>
        <v>0% to 5%</v>
      </c>
      <c r="N3834" s="3" t="str">
        <f t="shared" si="239"/>
        <v>OK</v>
      </c>
    </row>
    <row r="3835" spans="1:14" x14ac:dyDescent="0.3">
      <c r="A3835" s="2">
        <f>DATE(VALUE(RIGHT(TRIM([1]Raw_Data!A3833),4)),VALUE(MID(TRIM([1]Raw_Data!A3833),4,2)),VALUE(LEFT(TRIM([1]Raw_Data!A3833),2)))</f>
        <v>45509</v>
      </c>
      <c r="B3835" s="3" t="str">
        <f>TRIM([1]Raw_Data!B3833)</f>
        <v>Zinc</v>
      </c>
      <c r="C3835" s="3" t="str">
        <f>TRIM([1]Raw_Data!C3833)</f>
        <v>Mineral</v>
      </c>
      <c r="D3835" s="3">
        <f>[1]Raw_Data!D3833</f>
        <v>146</v>
      </c>
      <c r="E3835" s="4">
        <f>[1]Raw_Data!E3833</f>
        <v>38.619999999999997</v>
      </c>
      <c r="F3835" s="5">
        <f>[1]Raw_Data!F3833</f>
        <v>5638.52</v>
      </c>
      <c r="G3835" s="4">
        <f>[1]Raw_Data!G3833</f>
        <v>0.12</v>
      </c>
      <c r="H3835" s="3">
        <f>[1]Raw_Data!H3833</f>
        <v>2</v>
      </c>
      <c r="I3835" s="3" t="str">
        <f>TRIM([1]Raw_Data!I3833)</f>
        <v>UK</v>
      </c>
      <c r="J3835" s="3" t="str">
        <f>TRIM([1]Raw_Data!J3833)</f>
        <v>iHerb</v>
      </c>
      <c r="K3835" s="3">
        <f t="shared" si="236"/>
        <v>2024</v>
      </c>
      <c r="L3835" s="6">
        <f t="shared" si="237"/>
        <v>45505</v>
      </c>
      <c r="M3835" s="3" t="str">
        <f t="shared" si="238"/>
        <v>11% to 15%</v>
      </c>
      <c r="N3835" s="3" t="str">
        <f t="shared" si="239"/>
        <v>OK</v>
      </c>
    </row>
    <row r="3836" spans="1:14" x14ac:dyDescent="0.3">
      <c r="A3836" s="2">
        <f>DATE(VALUE(RIGHT(TRIM([1]Raw_Data!A3834),4)),VALUE(MID(TRIM([1]Raw_Data!A3834),4,2)),VALUE(LEFT(TRIM([1]Raw_Data!A3834),2)))</f>
        <v>45509</v>
      </c>
      <c r="B3836" s="3" t="str">
        <f>TRIM([1]Raw_Data!B3834)</f>
        <v>Collagen Peptides</v>
      </c>
      <c r="C3836" s="3" t="str">
        <f>TRIM([1]Raw_Data!C3834)</f>
        <v>Protein</v>
      </c>
      <c r="D3836" s="3">
        <f>[1]Raw_Data!D3834</f>
        <v>146</v>
      </c>
      <c r="E3836" s="4">
        <f>[1]Raw_Data!E3834</f>
        <v>34.44</v>
      </c>
      <c r="F3836" s="5">
        <f>[1]Raw_Data!F3834</f>
        <v>5028.24</v>
      </c>
      <c r="G3836" s="4">
        <f>[1]Raw_Data!G3834</f>
        <v>0.13</v>
      </c>
      <c r="H3836" s="3">
        <f>[1]Raw_Data!H3834</f>
        <v>0</v>
      </c>
      <c r="I3836" s="3" t="str">
        <f>TRIM([1]Raw_Data!I3834)</f>
        <v>USA</v>
      </c>
      <c r="J3836" s="3" t="str">
        <f>TRIM([1]Raw_Data!J3834)</f>
        <v>iHerb</v>
      </c>
      <c r="K3836" s="3">
        <f t="shared" si="236"/>
        <v>2024</v>
      </c>
      <c r="L3836" s="6">
        <f t="shared" si="237"/>
        <v>45505</v>
      </c>
      <c r="M3836" s="3" t="str">
        <f t="shared" si="238"/>
        <v>11% to 15%</v>
      </c>
      <c r="N3836" s="3" t="str">
        <f t="shared" si="239"/>
        <v>OK</v>
      </c>
    </row>
    <row r="3837" spans="1:14" x14ac:dyDescent="0.3">
      <c r="A3837" s="2">
        <f>DATE(VALUE(RIGHT(TRIM([1]Raw_Data!A3835),4)),VALUE(MID(TRIM([1]Raw_Data!A3835),4,2)),VALUE(LEFT(TRIM([1]Raw_Data!A3835),2)))</f>
        <v>45509</v>
      </c>
      <c r="B3837" s="3" t="str">
        <f>TRIM([1]Raw_Data!B3835)</f>
        <v>Magnesium</v>
      </c>
      <c r="C3837" s="3" t="str">
        <f>TRIM([1]Raw_Data!C3835)</f>
        <v>Mineral</v>
      </c>
      <c r="D3837" s="3">
        <f>[1]Raw_Data!D3835</f>
        <v>174</v>
      </c>
      <c r="E3837" s="4">
        <f>[1]Raw_Data!E3835</f>
        <v>30.46</v>
      </c>
      <c r="F3837" s="5">
        <f>[1]Raw_Data!F3835</f>
        <v>5300.04</v>
      </c>
      <c r="G3837" s="4">
        <f>[1]Raw_Data!G3835</f>
        <v>0.04</v>
      </c>
      <c r="H3837" s="3">
        <f>[1]Raw_Data!H3835</f>
        <v>2</v>
      </c>
      <c r="I3837" s="3" t="str">
        <f>TRIM([1]Raw_Data!I3835)</f>
        <v>Canada</v>
      </c>
      <c r="J3837" s="3" t="str">
        <f>TRIM([1]Raw_Data!J3835)</f>
        <v>Walmart</v>
      </c>
      <c r="K3837" s="3">
        <f t="shared" si="236"/>
        <v>2024</v>
      </c>
      <c r="L3837" s="6">
        <f t="shared" si="237"/>
        <v>45505</v>
      </c>
      <c r="M3837" s="3" t="str">
        <f t="shared" si="238"/>
        <v>0% to 5%</v>
      </c>
      <c r="N3837" s="3" t="str">
        <f t="shared" si="239"/>
        <v>OK</v>
      </c>
    </row>
    <row r="3838" spans="1:14" x14ac:dyDescent="0.3">
      <c r="A3838" s="2">
        <f>DATE(VALUE(RIGHT(TRIM([1]Raw_Data!A3836),4)),VALUE(MID(TRIM([1]Raw_Data!A3836),4,2)),VALUE(LEFT(TRIM([1]Raw_Data!A3836),2)))</f>
        <v>45509</v>
      </c>
      <c r="B3838" s="3" t="str">
        <f>TRIM([1]Raw_Data!B3836)</f>
        <v>Ashwagandha</v>
      </c>
      <c r="C3838" s="3" t="str">
        <f>TRIM([1]Raw_Data!C3836)</f>
        <v>Herbal</v>
      </c>
      <c r="D3838" s="3">
        <f>[1]Raw_Data!D3836</f>
        <v>143</v>
      </c>
      <c r="E3838" s="4">
        <f>[1]Raw_Data!E3836</f>
        <v>21.23</v>
      </c>
      <c r="F3838" s="5">
        <f>[1]Raw_Data!F3836</f>
        <v>3035.89</v>
      </c>
      <c r="G3838" s="4">
        <f>[1]Raw_Data!G3836</f>
        <v>0.01</v>
      </c>
      <c r="H3838" s="3">
        <f>[1]Raw_Data!H3836</f>
        <v>2</v>
      </c>
      <c r="I3838" s="3" t="str">
        <f>TRIM([1]Raw_Data!I3836)</f>
        <v>Canada</v>
      </c>
      <c r="J3838" s="3" t="str">
        <f>TRIM([1]Raw_Data!J3836)</f>
        <v>Amazon</v>
      </c>
      <c r="K3838" s="3">
        <f t="shared" si="236"/>
        <v>2024</v>
      </c>
      <c r="L3838" s="6">
        <f t="shared" si="237"/>
        <v>45505</v>
      </c>
      <c r="M3838" s="3" t="str">
        <f t="shared" si="238"/>
        <v>0% to 5%</v>
      </c>
      <c r="N3838" s="3" t="str">
        <f t="shared" si="239"/>
        <v>OK</v>
      </c>
    </row>
    <row r="3839" spans="1:14" x14ac:dyDescent="0.3">
      <c r="A3839" s="2">
        <f>DATE(VALUE(RIGHT(TRIM([1]Raw_Data!A3837),4)),VALUE(MID(TRIM([1]Raw_Data!A3837),4,2)),VALUE(LEFT(TRIM([1]Raw_Data!A3837),2)))</f>
        <v>45509</v>
      </c>
      <c r="B3839" s="3" t="str">
        <f>TRIM([1]Raw_Data!B3837)</f>
        <v>Melatonin</v>
      </c>
      <c r="C3839" s="3" t="str">
        <f>TRIM([1]Raw_Data!C3837)</f>
        <v>Sleep Aid</v>
      </c>
      <c r="D3839" s="3">
        <f>[1]Raw_Data!D3837</f>
        <v>155</v>
      </c>
      <c r="E3839" s="4">
        <f>[1]Raw_Data!E3837</f>
        <v>12.37</v>
      </c>
      <c r="F3839" s="5">
        <f>[1]Raw_Data!F3837</f>
        <v>1917.35</v>
      </c>
      <c r="G3839" s="4">
        <f>[1]Raw_Data!G3837</f>
        <v>0.22</v>
      </c>
      <c r="H3839" s="3">
        <f>[1]Raw_Data!H3837</f>
        <v>0</v>
      </c>
      <c r="I3839" s="3" t="str">
        <f>TRIM([1]Raw_Data!I3837)</f>
        <v>UK</v>
      </c>
      <c r="J3839" s="3" t="str">
        <f>TRIM([1]Raw_Data!J3837)</f>
        <v>iHerb</v>
      </c>
      <c r="K3839" s="3">
        <f t="shared" si="236"/>
        <v>2024</v>
      </c>
      <c r="L3839" s="6">
        <f t="shared" si="237"/>
        <v>45505</v>
      </c>
      <c r="M3839" s="3" t="str">
        <f t="shared" si="238"/>
        <v>21% to 25%</v>
      </c>
      <c r="N3839" s="3" t="str">
        <f t="shared" si="239"/>
        <v>OK</v>
      </c>
    </row>
    <row r="3840" spans="1:14" x14ac:dyDescent="0.3">
      <c r="A3840" s="2">
        <f>DATE(VALUE(RIGHT(TRIM([1]Raw_Data!A3838),4)),VALUE(MID(TRIM([1]Raw_Data!A3838),4,2)),VALUE(LEFT(TRIM([1]Raw_Data!A3838),2)))</f>
        <v>45509</v>
      </c>
      <c r="B3840" s="3" t="str">
        <f>TRIM([1]Raw_Data!B3838)</f>
        <v>Biotin</v>
      </c>
      <c r="C3840" s="3" t="str">
        <f>TRIM([1]Raw_Data!C3838)</f>
        <v>Vitamin</v>
      </c>
      <c r="D3840" s="3">
        <f>[1]Raw_Data!D3838</f>
        <v>173</v>
      </c>
      <c r="E3840" s="4">
        <f>[1]Raw_Data!E3838</f>
        <v>27.02</v>
      </c>
      <c r="F3840" s="5">
        <f>[1]Raw_Data!F3838</f>
        <v>4674.46</v>
      </c>
      <c r="G3840" s="4">
        <f>[1]Raw_Data!G3838</f>
        <v>0.19</v>
      </c>
      <c r="H3840" s="3">
        <f>[1]Raw_Data!H3838</f>
        <v>3</v>
      </c>
      <c r="I3840" s="3" t="str">
        <f>TRIM([1]Raw_Data!I3838)</f>
        <v>USA</v>
      </c>
      <c r="J3840" s="3" t="str">
        <f>TRIM([1]Raw_Data!J3838)</f>
        <v>iHerb</v>
      </c>
      <c r="K3840" s="3">
        <f t="shared" si="236"/>
        <v>2024</v>
      </c>
      <c r="L3840" s="6">
        <f t="shared" si="237"/>
        <v>45505</v>
      </c>
      <c r="M3840" s="3" t="str">
        <f t="shared" si="238"/>
        <v>16% to 20%</v>
      </c>
      <c r="N3840" s="3" t="str">
        <f t="shared" si="239"/>
        <v>OK</v>
      </c>
    </row>
    <row r="3841" spans="1:14" x14ac:dyDescent="0.3">
      <c r="A3841" s="2">
        <f>DATE(VALUE(RIGHT(TRIM([1]Raw_Data!A3839),4)),VALUE(MID(TRIM([1]Raw_Data!A3839),4,2)),VALUE(LEFT(TRIM([1]Raw_Data!A3839),2)))</f>
        <v>45509</v>
      </c>
      <c r="B3841" s="3" t="str">
        <f>TRIM([1]Raw_Data!B3839)</f>
        <v>Green Tea Extract</v>
      </c>
      <c r="C3841" s="3" t="str">
        <f>TRIM([1]Raw_Data!C3839)</f>
        <v>Fat Burner</v>
      </c>
      <c r="D3841" s="3">
        <f>[1]Raw_Data!D3839</f>
        <v>145</v>
      </c>
      <c r="E3841" s="4">
        <f>[1]Raw_Data!E3839</f>
        <v>31.66</v>
      </c>
      <c r="F3841" s="5">
        <f>[1]Raw_Data!F3839</f>
        <v>4590.7</v>
      </c>
      <c r="G3841" s="4">
        <f>[1]Raw_Data!G3839</f>
        <v>0.23</v>
      </c>
      <c r="H3841" s="3">
        <f>[1]Raw_Data!H3839</f>
        <v>2</v>
      </c>
      <c r="I3841" s="3" t="str">
        <f>TRIM([1]Raw_Data!I3839)</f>
        <v>USA</v>
      </c>
      <c r="J3841" s="3" t="str">
        <f>TRIM([1]Raw_Data!J3839)</f>
        <v>iHerb</v>
      </c>
      <c r="K3841" s="3">
        <f t="shared" si="236"/>
        <v>2024</v>
      </c>
      <c r="L3841" s="6">
        <f t="shared" si="237"/>
        <v>45505</v>
      </c>
      <c r="M3841" s="3" t="str">
        <f t="shared" si="238"/>
        <v>21% to 25%</v>
      </c>
      <c r="N3841" s="3" t="str">
        <f t="shared" si="239"/>
        <v>OK</v>
      </c>
    </row>
    <row r="3842" spans="1:14" x14ac:dyDescent="0.3">
      <c r="A3842" s="2">
        <f>DATE(VALUE(RIGHT(TRIM([1]Raw_Data!A3840),4)),VALUE(MID(TRIM([1]Raw_Data!A3840),4,2)),VALUE(LEFT(TRIM([1]Raw_Data!A3840),2)))</f>
        <v>45509</v>
      </c>
      <c r="B3842" s="3" t="str">
        <f>TRIM([1]Raw_Data!B3840)</f>
        <v>Iron Supplement</v>
      </c>
      <c r="C3842" s="3" t="str">
        <f>TRIM([1]Raw_Data!C3840)</f>
        <v>Mineral</v>
      </c>
      <c r="D3842" s="3">
        <f>[1]Raw_Data!D3840</f>
        <v>140</v>
      </c>
      <c r="E3842" s="4">
        <f>[1]Raw_Data!E3840</f>
        <v>21.52</v>
      </c>
      <c r="F3842" s="5">
        <f>[1]Raw_Data!F3840</f>
        <v>3012.8</v>
      </c>
      <c r="G3842" s="4">
        <f>[1]Raw_Data!G3840</f>
        <v>7.0000000000000007E-2</v>
      </c>
      <c r="H3842" s="3">
        <f>[1]Raw_Data!H3840</f>
        <v>0</v>
      </c>
      <c r="I3842" s="3" t="str">
        <f>TRIM([1]Raw_Data!I3840)</f>
        <v>Canada</v>
      </c>
      <c r="J3842" s="3" t="str">
        <f>TRIM([1]Raw_Data!J3840)</f>
        <v>iHerb</v>
      </c>
      <c r="K3842" s="3">
        <f t="shared" si="236"/>
        <v>2024</v>
      </c>
      <c r="L3842" s="6">
        <f t="shared" si="237"/>
        <v>45505</v>
      </c>
      <c r="M3842" s="3" t="str">
        <f t="shared" si="238"/>
        <v>6% to 10%</v>
      </c>
      <c r="N3842" s="3" t="str">
        <f t="shared" si="239"/>
        <v>OK</v>
      </c>
    </row>
    <row r="3843" spans="1:14" x14ac:dyDescent="0.3">
      <c r="A3843" s="2">
        <f>DATE(VALUE(RIGHT(TRIM([1]Raw_Data!A3841),4)),VALUE(MID(TRIM([1]Raw_Data!A3841),4,2)),VALUE(LEFT(TRIM([1]Raw_Data!A3841),2)))</f>
        <v>45509</v>
      </c>
      <c r="B3843" s="3" t="str">
        <f>TRIM([1]Raw_Data!B3841)</f>
        <v>Electrolyte Powder</v>
      </c>
      <c r="C3843" s="3" t="str">
        <f>TRIM([1]Raw_Data!C3841)</f>
        <v>Hydration</v>
      </c>
      <c r="D3843" s="3">
        <f>[1]Raw_Data!D3841</f>
        <v>156</v>
      </c>
      <c r="E3843" s="4">
        <f>[1]Raw_Data!E3841</f>
        <v>29.37</v>
      </c>
      <c r="F3843" s="5">
        <f>[1]Raw_Data!F3841</f>
        <v>4581.72</v>
      </c>
      <c r="G3843" s="4">
        <f>[1]Raw_Data!G3841</f>
        <v>0.16</v>
      </c>
      <c r="H3843" s="3">
        <f>[1]Raw_Data!H3841</f>
        <v>1</v>
      </c>
      <c r="I3843" s="3" t="str">
        <f>TRIM([1]Raw_Data!I3841)</f>
        <v>UK</v>
      </c>
      <c r="J3843" s="3" t="str">
        <f>TRIM([1]Raw_Data!J3841)</f>
        <v>Amazon</v>
      </c>
      <c r="K3843" s="3">
        <f t="shared" si="236"/>
        <v>2024</v>
      </c>
      <c r="L3843" s="6">
        <f t="shared" si="237"/>
        <v>45505</v>
      </c>
      <c r="M3843" s="3" t="str">
        <f t="shared" si="238"/>
        <v>16% to 20%</v>
      </c>
      <c r="N3843" s="3" t="str">
        <f t="shared" si="239"/>
        <v>OK</v>
      </c>
    </row>
    <row r="3844" spans="1:14" x14ac:dyDescent="0.3">
      <c r="A3844" s="2">
        <f>DATE(VALUE(RIGHT(TRIM([1]Raw_Data!A3842),4)),VALUE(MID(TRIM([1]Raw_Data!A3842),4,2)),VALUE(LEFT(TRIM([1]Raw_Data!A3842),2)))</f>
        <v>45516</v>
      </c>
      <c r="B3844" s="3" t="str">
        <f>TRIM([1]Raw_Data!B3842)</f>
        <v>Whey Protein</v>
      </c>
      <c r="C3844" s="3" t="str">
        <f>TRIM([1]Raw_Data!C3842)</f>
        <v>Protein</v>
      </c>
      <c r="D3844" s="3">
        <f>[1]Raw_Data!D3842</f>
        <v>126</v>
      </c>
      <c r="E3844" s="4">
        <f>[1]Raw_Data!E3842</f>
        <v>16.3</v>
      </c>
      <c r="F3844" s="5">
        <f>[1]Raw_Data!F3842</f>
        <v>2053.8000000000002</v>
      </c>
      <c r="G3844" s="4">
        <f>[1]Raw_Data!G3842</f>
        <v>0.21</v>
      </c>
      <c r="H3844" s="3">
        <f>[1]Raw_Data!H3842</f>
        <v>2</v>
      </c>
      <c r="I3844" s="3" t="str">
        <f>TRIM([1]Raw_Data!I3842)</f>
        <v>UK</v>
      </c>
      <c r="J3844" s="3" t="str">
        <f>TRIM([1]Raw_Data!J3842)</f>
        <v>Walmart</v>
      </c>
      <c r="K3844" s="3">
        <f t="shared" ref="K3844:K3907" si="240">YEAR(A3844)</f>
        <v>2024</v>
      </c>
      <c r="L3844" s="6">
        <f t="shared" ref="L3844:L3907" si="241">DATE(YEAR(A3844),MONTH(A3844),1)</f>
        <v>45505</v>
      </c>
      <c r="M3844" s="3" t="str">
        <f t="shared" ref="M3844:M3907" si="242">IF(ROUND(G3844*100,0)&lt;=5,"0% to 5%",IF(ROUND(G3844*100,0)&lt;=10,"6% to 10%",IF(ROUND(G3844*100,0)&lt;=15,"11% to 15%",IF(ROUND(G3844*100,0)&lt;=20,"16% to 20%","21% to 25%"))))</f>
        <v>21% to 25%</v>
      </c>
      <c r="N3844" s="3" t="str">
        <f t="shared" ref="N3844:N3907" si="243">IF(ROUND(D3844*E3844,2)=ROUND(F3844,2),"OK","Check")</f>
        <v>OK</v>
      </c>
    </row>
    <row r="3845" spans="1:14" x14ac:dyDescent="0.3">
      <c r="A3845" s="2">
        <f>DATE(VALUE(RIGHT(TRIM([1]Raw_Data!A3843),4)),VALUE(MID(TRIM([1]Raw_Data!A3843),4,2)),VALUE(LEFT(TRIM([1]Raw_Data!A3843),2)))</f>
        <v>45516</v>
      </c>
      <c r="B3845" s="3" t="str">
        <f>TRIM([1]Raw_Data!B3843)</f>
        <v>Vitamin C</v>
      </c>
      <c r="C3845" s="3" t="str">
        <f>TRIM([1]Raw_Data!C3843)</f>
        <v>Vitamin</v>
      </c>
      <c r="D3845" s="3">
        <f>[1]Raw_Data!D3843</f>
        <v>126</v>
      </c>
      <c r="E3845" s="4">
        <f>[1]Raw_Data!E3843</f>
        <v>23.93</v>
      </c>
      <c r="F3845" s="5">
        <f>[1]Raw_Data!F3843</f>
        <v>3015.18</v>
      </c>
      <c r="G3845" s="4">
        <f>[1]Raw_Data!G3843</f>
        <v>0.14000000000000001</v>
      </c>
      <c r="H3845" s="3">
        <f>[1]Raw_Data!H3843</f>
        <v>1</v>
      </c>
      <c r="I3845" s="3" t="str">
        <f>TRIM([1]Raw_Data!I3843)</f>
        <v>Canada</v>
      </c>
      <c r="J3845" s="3" t="str">
        <f>TRIM([1]Raw_Data!J3843)</f>
        <v>iHerb</v>
      </c>
      <c r="K3845" s="3">
        <f t="shared" si="240"/>
        <v>2024</v>
      </c>
      <c r="L3845" s="6">
        <f t="shared" si="241"/>
        <v>45505</v>
      </c>
      <c r="M3845" s="3" t="str">
        <f t="shared" si="242"/>
        <v>11% to 15%</v>
      </c>
      <c r="N3845" s="3" t="str">
        <f t="shared" si="243"/>
        <v>OK</v>
      </c>
    </row>
    <row r="3846" spans="1:14" x14ac:dyDescent="0.3">
      <c r="A3846" s="2">
        <f>DATE(VALUE(RIGHT(TRIM([1]Raw_Data!A3844),4)),VALUE(MID(TRIM([1]Raw_Data!A3844),4,2)),VALUE(LEFT(TRIM([1]Raw_Data!A3844),2)))</f>
        <v>45516</v>
      </c>
      <c r="B3846" s="3" t="str">
        <f>TRIM([1]Raw_Data!B3844)</f>
        <v>Fish Oil</v>
      </c>
      <c r="C3846" s="3" t="str">
        <f>TRIM([1]Raw_Data!C3844)</f>
        <v>Omega</v>
      </c>
      <c r="D3846" s="3">
        <f>[1]Raw_Data!D3844</f>
        <v>149</v>
      </c>
      <c r="E3846" s="4">
        <f>[1]Raw_Data!E3844</f>
        <v>16.89</v>
      </c>
      <c r="F3846" s="5">
        <f>[1]Raw_Data!F3844</f>
        <v>2516.61</v>
      </c>
      <c r="G3846" s="4">
        <f>[1]Raw_Data!G3844</f>
        <v>0.19</v>
      </c>
      <c r="H3846" s="3">
        <f>[1]Raw_Data!H3844</f>
        <v>3</v>
      </c>
      <c r="I3846" s="3" t="str">
        <f>TRIM([1]Raw_Data!I3844)</f>
        <v>UK</v>
      </c>
      <c r="J3846" s="3" t="str">
        <f>TRIM([1]Raw_Data!J3844)</f>
        <v>Amazon</v>
      </c>
      <c r="K3846" s="3">
        <f t="shared" si="240"/>
        <v>2024</v>
      </c>
      <c r="L3846" s="6">
        <f t="shared" si="241"/>
        <v>45505</v>
      </c>
      <c r="M3846" s="3" t="str">
        <f t="shared" si="242"/>
        <v>16% to 20%</v>
      </c>
      <c r="N3846" s="3" t="str">
        <f t="shared" si="243"/>
        <v>OK</v>
      </c>
    </row>
    <row r="3847" spans="1:14" x14ac:dyDescent="0.3">
      <c r="A3847" s="2">
        <f>DATE(VALUE(RIGHT(TRIM([1]Raw_Data!A3845),4)),VALUE(MID(TRIM([1]Raw_Data!A3845),4,2)),VALUE(LEFT(TRIM([1]Raw_Data!A3845),2)))</f>
        <v>45516</v>
      </c>
      <c r="B3847" s="3" t="str">
        <f>TRIM([1]Raw_Data!B3845)</f>
        <v>Multivitamin</v>
      </c>
      <c r="C3847" s="3" t="str">
        <f>TRIM([1]Raw_Data!C3845)</f>
        <v>Vitamin</v>
      </c>
      <c r="D3847" s="3">
        <f>[1]Raw_Data!D3845</f>
        <v>176</v>
      </c>
      <c r="E3847" s="4">
        <f>[1]Raw_Data!E3845</f>
        <v>47</v>
      </c>
      <c r="F3847" s="5">
        <f>[1]Raw_Data!F3845</f>
        <v>8272</v>
      </c>
      <c r="G3847" s="4">
        <f>[1]Raw_Data!G3845</f>
        <v>0.18</v>
      </c>
      <c r="H3847" s="3">
        <f>[1]Raw_Data!H3845</f>
        <v>4</v>
      </c>
      <c r="I3847" s="3" t="str">
        <f>TRIM([1]Raw_Data!I3845)</f>
        <v>UK</v>
      </c>
      <c r="J3847" s="3" t="str">
        <f>TRIM([1]Raw_Data!J3845)</f>
        <v>iHerb</v>
      </c>
      <c r="K3847" s="3">
        <f t="shared" si="240"/>
        <v>2024</v>
      </c>
      <c r="L3847" s="6">
        <f t="shared" si="241"/>
        <v>45505</v>
      </c>
      <c r="M3847" s="3" t="str">
        <f t="shared" si="242"/>
        <v>16% to 20%</v>
      </c>
      <c r="N3847" s="3" t="str">
        <f t="shared" si="243"/>
        <v>OK</v>
      </c>
    </row>
    <row r="3848" spans="1:14" x14ac:dyDescent="0.3">
      <c r="A3848" s="2">
        <f>DATE(VALUE(RIGHT(TRIM([1]Raw_Data!A3846),4)),VALUE(MID(TRIM([1]Raw_Data!A3846),4,2)),VALUE(LEFT(TRIM([1]Raw_Data!A3846),2)))</f>
        <v>45516</v>
      </c>
      <c r="B3848" s="3" t="str">
        <f>TRIM([1]Raw_Data!B3846)</f>
        <v>Pre-Workout</v>
      </c>
      <c r="C3848" s="3" t="str">
        <f>TRIM([1]Raw_Data!C3846)</f>
        <v>Performance</v>
      </c>
      <c r="D3848" s="3">
        <f>[1]Raw_Data!D3846</f>
        <v>141</v>
      </c>
      <c r="E3848" s="4">
        <f>[1]Raw_Data!E3846</f>
        <v>12.73</v>
      </c>
      <c r="F3848" s="5">
        <f>[1]Raw_Data!F3846</f>
        <v>1794.93</v>
      </c>
      <c r="G3848" s="4">
        <f>[1]Raw_Data!G3846</f>
        <v>0.16</v>
      </c>
      <c r="H3848" s="3">
        <f>[1]Raw_Data!H3846</f>
        <v>1</v>
      </c>
      <c r="I3848" s="3" t="str">
        <f>TRIM([1]Raw_Data!I3846)</f>
        <v>Canada</v>
      </c>
      <c r="J3848" s="3" t="str">
        <f>TRIM([1]Raw_Data!J3846)</f>
        <v>Walmart</v>
      </c>
      <c r="K3848" s="3">
        <f t="shared" si="240"/>
        <v>2024</v>
      </c>
      <c r="L3848" s="6">
        <f t="shared" si="241"/>
        <v>45505</v>
      </c>
      <c r="M3848" s="3" t="str">
        <f t="shared" si="242"/>
        <v>16% to 20%</v>
      </c>
      <c r="N3848" s="3" t="str">
        <f t="shared" si="243"/>
        <v>OK</v>
      </c>
    </row>
    <row r="3849" spans="1:14" x14ac:dyDescent="0.3">
      <c r="A3849" s="2">
        <f>DATE(VALUE(RIGHT(TRIM([1]Raw_Data!A3847),4)),VALUE(MID(TRIM([1]Raw_Data!A3847),4,2)),VALUE(LEFT(TRIM([1]Raw_Data!A3847),2)))</f>
        <v>45516</v>
      </c>
      <c r="B3849" s="3" t="str">
        <f>TRIM([1]Raw_Data!B3847)</f>
        <v>BCAA</v>
      </c>
      <c r="C3849" s="3" t="str">
        <f>TRIM([1]Raw_Data!C3847)</f>
        <v>Amino Acid</v>
      </c>
      <c r="D3849" s="3">
        <f>[1]Raw_Data!D3847</f>
        <v>160</v>
      </c>
      <c r="E3849" s="4">
        <f>[1]Raw_Data!E3847</f>
        <v>28.24</v>
      </c>
      <c r="F3849" s="5">
        <f>[1]Raw_Data!F3847</f>
        <v>4518.3999999999996</v>
      </c>
      <c r="G3849" s="4">
        <f>[1]Raw_Data!G3847</f>
        <v>0.13</v>
      </c>
      <c r="H3849" s="3">
        <f>[1]Raw_Data!H3847</f>
        <v>0</v>
      </c>
      <c r="I3849" s="3" t="str">
        <f>TRIM([1]Raw_Data!I3847)</f>
        <v>UK</v>
      </c>
      <c r="J3849" s="3" t="str">
        <f>TRIM([1]Raw_Data!J3847)</f>
        <v>Walmart</v>
      </c>
      <c r="K3849" s="3">
        <f t="shared" si="240"/>
        <v>2024</v>
      </c>
      <c r="L3849" s="6">
        <f t="shared" si="241"/>
        <v>45505</v>
      </c>
      <c r="M3849" s="3" t="str">
        <f t="shared" si="242"/>
        <v>11% to 15%</v>
      </c>
      <c r="N3849" s="3" t="str">
        <f t="shared" si="243"/>
        <v>OK</v>
      </c>
    </row>
    <row r="3850" spans="1:14" x14ac:dyDescent="0.3">
      <c r="A3850" s="2">
        <f>DATE(VALUE(RIGHT(TRIM([1]Raw_Data!A3848),4)),VALUE(MID(TRIM([1]Raw_Data!A3848),4,2)),VALUE(LEFT(TRIM([1]Raw_Data!A3848),2)))</f>
        <v>45516</v>
      </c>
      <c r="B3850" s="3" t="str">
        <f>TRIM([1]Raw_Data!B3848)</f>
        <v>Creatine</v>
      </c>
      <c r="C3850" s="3" t="str">
        <f>TRIM([1]Raw_Data!C3848)</f>
        <v>Performance</v>
      </c>
      <c r="D3850" s="3">
        <f>[1]Raw_Data!D3848</f>
        <v>147</v>
      </c>
      <c r="E3850" s="4">
        <f>[1]Raw_Data!E3848</f>
        <v>19.16</v>
      </c>
      <c r="F3850" s="5">
        <f>[1]Raw_Data!F3848</f>
        <v>2816.52</v>
      </c>
      <c r="G3850" s="4">
        <f>[1]Raw_Data!G3848</f>
        <v>0.22</v>
      </c>
      <c r="H3850" s="3">
        <f>[1]Raw_Data!H3848</f>
        <v>0</v>
      </c>
      <c r="I3850" s="3" t="str">
        <f>TRIM([1]Raw_Data!I3848)</f>
        <v>Canada</v>
      </c>
      <c r="J3850" s="3" t="str">
        <f>TRIM([1]Raw_Data!J3848)</f>
        <v>Walmart</v>
      </c>
      <c r="K3850" s="3">
        <f t="shared" si="240"/>
        <v>2024</v>
      </c>
      <c r="L3850" s="6">
        <f t="shared" si="241"/>
        <v>45505</v>
      </c>
      <c r="M3850" s="3" t="str">
        <f t="shared" si="242"/>
        <v>21% to 25%</v>
      </c>
      <c r="N3850" s="3" t="str">
        <f t="shared" si="243"/>
        <v>OK</v>
      </c>
    </row>
    <row r="3851" spans="1:14" x14ac:dyDescent="0.3">
      <c r="A3851" s="2">
        <f>DATE(VALUE(RIGHT(TRIM([1]Raw_Data!A3849),4)),VALUE(MID(TRIM([1]Raw_Data!A3849),4,2)),VALUE(LEFT(TRIM([1]Raw_Data!A3849),2)))</f>
        <v>45516</v>
      </c>
      <c r="B3851" s="3" t="str">
        <f>TRIM([1]Raw_Data!B3849)</f>
        <v>Zinc</v>
      </c>
      <c r="C3851" s="3" t="str">
        <f>TRIM([1]Raw_Data!C3849)</f>
        <v>Mineral</v>
      </c>
      <c r="D3851" s="3">
        <f>[1]Raw_Data!D3849</f>
        <v>155</v>
      </c>
      <c r="E3851" s="4">
        <f>[1]Raw_Data!E3849</f>
        <v>55.6</v>
      </c>
      <c r="F3851" s="5">
        <f>[1]Raw_Data!F3849</f>
        <v>8618</v>
      </c>
      <c r="G3851" s="4">
        <f>[1]Raw_Data!G3849</f>
        <v>0.2</v>
      </c>
      <c r="H3851" s="3">
        <f>[1]Raw_Data!H3849</f>
        <v>0</v>
      </c>
      <c r="I3851" s="3" t="str">
        <f>TRIM([1]Raw_Data!I3849)</f>
        <v>UK</v>
      </c>
      <c r="J3851" s="3" t="str">
        <f>TRIM([1]Raw_Data!J3849)</f>
        <v>Amazon</v>
      </c>
      <c r="K3851" s="3">
        <f t="shared" si="240"/>
        <v>2024</v>
      </c>
      <c r="L3851" s="6">
        <f t="shared" si="241"/>
        <v>45505</v>
      </c>
      <c r="M3851" s="3" t="str">
        <f t="shared" si="242"/>
        <v>16% to 20%</v>
      </c>
      <c r="N3851" s="3" t="str">
        <f t="shared" si="243"/>
        <v>OK</v>
      </c>
    </row>
    <row r="3852" spans="1:14" x14ac:dyDescent="0.3">
      <c r="A3852" s="2">
        <f>DATE(VALUE(RIGHT(TRIM([1]Raw_Data!A3850),4)),VALUE(MID(TRIM([1]Raw_Data!A3850),4,2)),VALUE(LEFT(TRIM([1]Raw_Data!A3850),2)))</f>
        <v>45516</v>
      </c>
      <c r="B3852" s="3" t="str">
        <f>TRIM([1]Raw_Data!B3850)</f>
        <v>Collagen Peptides</v>
      </c>
      <c r="C3852" s="3" t="str">
        <f>TRIM([1]Raw_Data!C3850)</f>
        <v>Protein</v>
      </c>
      <c r="D3852" s="3">
        <f>[1]Raw_Data!D3850</f>
        <v>163</v>
      </c>
      <c r="E3852" s="4">
        <f>[1]Raw_Data!E3850</f>
        <v>56.12</v>
      </c>
      <c r="F3852" s="5">
        <f>[1]Raw_Data!F3850</f>
        <v>9147.56</v>
      </c>
      <c r="G3852" s="4">
        <f>[1]Raw_Data!G3850</f>
        <v>0.18</v>
      </c>
      <c r="H3852" s="3">
        <f>[1]Raw_Data!H3850</f>
        <v>3</v>
      </c>
      <c r="I3852" s="3" t="str">
        <f>TRIM([1]Raw_Data!I3850)</f>
        <v>USA</v>
      </c>
      <c r="J3852" s="3" t="str">
        <f>TRIM([1]Raw_Data!J3850)</f>
        <v>Amazon</v>
      </c>
      <c r="K3852" s="3">
        <f t="shared" si="240"/>
        <v>2024</v>
      </c>
      <c r="L3852" s="6">
        <f t="shared" si="241"/>
        <v>45505</v>
      </c>
      <c r="M3852" s="3" t="str">
        <f t="shared" si="242"/>
        <v>16% to 20%</v>
      </c>
      <c r="N3852" s="3" t="str">
        <f t="shared" si="243"/>
        <v>OK</v>
      </c>
    </row>
    <row r="3853" spans="1:14" x14ac:dyDescent="0.3">
      <c r="A3853" s="2">
        <f>DATE(VALUE(RIGHT(TRIM([1]Raw_Data!A3851),4)),VALUE(MID(TRIM([1]Raw_Data!A3851),4,2)),VALUE(LEFT(TRIM([1]Raw_Data!A3851),2)))</f>
        <v>45516</v>
      </c>
      <c r="B3853" s="3" t="str">
        <f>TRIM([1]Raw_Data!B3851)</f>
        <v>Magnesium</v>
      </c>
      <c r="C3853" s="3" t="str">
        <f>TRIM([1]Raw_Data!C3851)</f>
        <v>Mineral</v>
      </c>
      <c r="D3853" s="3">
        <f>[1]Raw_Data!D3851</f>
        <v>130</v>
      </c>
      <c r="E3853" s="4">
        <f>[1]Raw_Data!E3851</f>
        <v>51.06</v>
      </c>
      <c r="F3853" s="5">
        <f>[1]Raw_Data!F3851</f>
        <v>6637.8</v>
      </c>
      <c r="G3853" s="4">
        <f>[1]Raw_Data!G3851</f>
        <v>0.22</v>
      </c>
      <c r="H3853" s="3">
        <f>[1]Raw_Data!H3851</f>
        <v>0</v>
      </c>
      <c r="I3853" s="3" t="str">
        <f>TRIM([1]Raw_Data!I3851)</f>
        <v>UK</v>
      </c>
      <c r="J3853" s="3" t="str">
        <f>TRIM([1]Raw_Data!J3851)</f>
        <v>iHerb</v>
      </c>
      <c r="K3853" s="3">
        <f t="shared" si="240"/>
        <v>2024</v>
      </c>
      <c r="L3853" s="6">
        <f t="shared" si="241"/>
        <v>45505</v>
      </c>
      <c r="M3853" s="3" t="str">
        <f t="shared" si="242"/>
        <v>21% to 25%</v>
      </c>
      <c r="N3853" s="3" t="str">
        <f t="shared" si="243"/>
        <v>OK</v>
      </c>
    </row>
    <row r="3854" spans="1:14" x14ac:dyDescent="0.3">
      <c r="A3854" s="2">
        <f>DATE(VALUE(RIGHT(TRIM([1]Raw_Data!A3852),4)),VALUE(MID(TRIM([1]Raw_Data!A3852),4,2)),VALUE(LEFT(TRIM([1]Raw_Data!A3852),2)))</f>
        <v>45516</v>
      </c>
      <c r="B3854" s="3" t="str">
        <f>TRIM([1]Raw_Data!B3852)</f>
        <v>Ashwagandha</v>
      </c>
      <c r="C3854" s="3" t="str">
        <f>TRIM([1]Raw_Data!C3852)</f>
        <v>Herbal</v>
      </c>
      <c r="D3854" s="3">
        <f>[1]Raw_Data!D3852</f>
        <v>175</v>
      </c>
      <c r="E3854" s="4">
        <f>[1]Raw_Data!E3852</f>
        <v>40.729999999999997</v>
      </c>
      <c r="F3854" s="5">
        <f>[1]Raw_Data!F3852</f>
        <v>7127.75</v>
      </c>
      <c r="G3854" s="4">
        <f>[1]Raw_Data!G3852</f>
        <v>0.17</v>
      </c>
      <c r="H3854" s="3">
        <f>[1]Raw_Data!H3852</f>
        <v>0</v>
      </c>
      <c r="I3854" s="3" t="str">
        <f>TRIM([1]Raw_Data!I3852)</f>
        <v>UK</v>
      </c>
      <c r="J3854" s="3" t="str">
        <f>TRIM([1]Raw_Data!J3852)</f>
        <v>Walmart</v>
      </c>
      <c r="K3854" s="3">
        <f t="shared" si="240"/>
        <v>2024</v>
      </c>
      <c r="L3854" s="6">
        <f t="shared" si="241"/>
        <v>45505</v>
      </c>
      <c r="M3854" s="3" t="str">
        <f t="shared" si="242"/>
        <v>16% to 20%</v>
      </c>
      <c r="N3854" s="3" t="str">
        <f t="shared" si="243"/>
        <v>OK</v>
      </c>
    </row>
    <row r="3855" spans="1:14" x14ac:dyDescent="0.3">
      <c r="A3855" s="2">
        <f>DATE(VALUE(RIGHT(TRIM([1]Raw_Data!A3853),4)),VALUE(MID(TRIM([1]Raw_Data!A3853),4,2)),VALUE(LEFT(TRIM([1]Raw_Data!A3853),2)))</f>
        <v>45516</v>
      </c>
      <c r="B3855" s="3" t="str">
        <f>TRIM([1]Raw_Data!B3853)</f>
        <v>Melatonin</v>
      </c>
      <c r="C3855" s="3" t="str">
        <f>TRIM([1]Raw_Data!C3853)</f>
        <v>Sleep Aid</v>
      </c>
      <c r="D3855" s="3">
        <f>[1]Raw_Data!D3853</f>
        <v>146</v>
      </c>
      <c r="E3855" s="4">
        <f>[1]Raw_Data!E3853</f>
        <v>48.13</v>
      </c>
      <c r="F3855" s="5">
        <f>[1]Raw_Data!F3853</f>
        <v>7026.98</v>
      </c>
      <c r="G3855" s="4">
        <f>[1]Raw_Data!G3853</f>
        <v>0.21</v>
      </c>
      <c r="H3855" s="3">
        <f>[1]Raw_Data!H3853</f>
        <v>2</v>
      </c>
      <c r="I3855" s="3" t="str">
        <f>TRIM([1]Raw_Data!I3853)</f>
        <v>USA</v>
      </c>
      <c r="J3855" s="3" t="str">
        <f>TRIM([1]Raw_Data!J3853)</f>
        <v>iHerb</v>
      </c>
      <c r="K3855" s="3">
        <f t="shared" si="240"/>
        <v>2024</v>
      </c>
      <c r="L3855" s="6">
        <f t="shared" si="241"/>
        <v>45505</v>
      </c>
      <c r="M3855" s="3" t="str">
        <f t="shared" si="242"/>
        <v>21% to 25%</v>
      </c>
      <c r="N3855" s="3" t="str">
        <f t="shared" si="243"/>
        <v>OK</v>
      </c>
    </row>
    <row r="3856" spans="1:14" x14ac:dyDescent="0.3">
      <c r="A3856" s="2">
        <f>DATE(VALUE(RIGHT(TRIM([1]Raw_Data!A3854),4)),VALUE(MID(TRIM([1]Raw_Data!A3854),4,2)),VALUE(LEFT(TRIM([1]Raw_Data!A3854),2)))</f>
        <v>45516</v>
      </c>
      <c r="B3856" s="3" t="str">
        <f>TRIM([1]Raw_Data!B3854)</f>
        <v>Biotin</v>
      </c>
      <c r="C3856" s="3" t="str">
        <f>TRIM([1]Raw_Data!C3854)</f>
        <v>Vitamin</v>
      </c>
      <c r="D3856" s="3">
        <f>[1]Raw_Data!D3854</f>
        <v>136</v>
      </c>
      <c r="E3856" s="4">
        <f>[1]Raw_Data!E3854</f>
        <v>45.04</v>
      </c>
      <c r="F3856" s="5">
        <f>[1]Raw_Data!F3854</f>
        <v>6125.44</v>
      </c>
      <c r="G3856" s="4">
        <f>[1]Raw_Data!G3854</f>
        <v>0.14000000000000001</v>
      </c>
      <c r="H3856" s="3">
        <f>[1]Raw_Data!H3854</f>
        <v>2</v>
      </c>
      <c r="I3856" s="3" t="str">
        <f>TRIM([1]Raw_Data!I3854)</f>
        <v>USA</v>
      </c>
      <c r="J3856" s="3" t="str">
        <f>TRIM([1]Raw_Data!J3854)</f>
        <v>Amazon</v>
      </c>
      <c r="K3856" s="3">
        <f t="shared" si="240"/>
        <v>2024</v>
      </c>
      <c r="L3856" s="6">
        <f t="shared" si="241"/>
        <v>45505</v>
      </c>
      <c r="M3856" s="3" t="str">
        <f t="shared" si="242"/>
        <v>11% to 15%</v>
      </c>
      <c r="N3856" s="3" t="str">
        <f t="shared" si="243"/>
        <v>OK</v>
      </c>
    </row>
    <row r="3857" spans="1:14" x14ac:dyDescent="0.3">
      <c r="A3857" s="2">
        <f>DATE(VALUE(RIGHT(TRIM([1]Raw_Data!A3855),4)),VALUE(MID(TRIM([1]Raw_Data!A3855),4,2)),VALUE(LEFT(TRIM([1]Raw_Data!A3855),2)))</f>
        <v>45516</v>
      </c>
      <c r="B3857" s="3" t="str">
        <f>TRIM([1]Raw_Data!B3855)</f>
        <v>Green Tea Extract</v>
      </c>
      <c r="C3857" s="3" t="str">
        <f>TRIM([1]Raw_Data!C3855)</f>
        <v>Fat Burner</v>
      </c>
      <c r="D3857" s="3">
        <f>[1]Raw_Data!D3855</f>
        <v>162</v>
      </c>
      <c r="E3857" s="4">
        <f>[1]Raw_Data!E3855</f>
        <v>16.23</v>
      </c>
      <c r="F3857" s="5">
        <f>[1]Raw_Data!F3855</f>
        <v>2629.26</v>
      </c>
      <c r="G3857" s="4">
        <f>[1]Raw_Data!G3855</f>
        <v>0.23</v>
      </c>
      <c r="H3857" s="3">
        <f>[1]Raw_Data!H3855</f>
        <v>2</v>
      </c>
      <c r="I3857" s="3" t="str">
        <f>TRIM([1]Raw_Data!I3855)</f>
        <v>UK</v>
      </c>
      <c r="J3857" s="3" t="str">
        <f>TRIM([1]Raw_Data!J3855)</f>
        <v>Walmart</v>
      </c>
      <c r="K3857" s="3">
        <f t="shared" si="240"/>
        <v>2024</v>
      </c>
      <c r="L3857" s="6">
        <f t="shared" si="241"/>
        <v>45505</v>
      </c>
      <c r="M3857" s="3" t="str">
        <f t="shared" si="242"/>
        <v>21% to 25%</v>
      </c>
      <c r="N3857" s="3" t="str">
        <f t="shared" si="243"/>
        <v>OK</v>
      </c>
    </row>
    <row r="3858" spans="1:14" x14ac:dyDescent="0.3">
      <c r="A3858" s="2">
        <f>DATE(VALUE(RIGHT(TRIM([1]Raw_Data!A3856),4)),VALUE(MID(TRIM([1]Raw_Data!A3856),4,2)),VALUE(LEFT(TRIM([1]Raw_Data!A3856),2)))</f>
        <v>45516</v>
      </c>
      <c r="B3858" s="3" t="str">
        <f>TRIM([1]Raw_Data!B3856)</f>
        <v>Iron Supplement</v>
      </c>
      <c r="C3858" s="3" t="str">
        <f>TRIM([1]Raw_Data!C3856)</f>
        <v>Mineral</v>
      </c>
      <c r="D3858" s="3">
        <f>[1]Raw_Data!D3856</f>
        <v>154</v>
      </c>
      <c r="E3858" s="4">
        <f>[1]Raw_Data!E3856</f>
        <v>56.58</v>
      </c>
      <c r="F3858" s="5">
        <f>[1]Raw_Data!F3856</f>
        <v>8713.32</v>
      </c>
      <c r="G3858" s="4">
        <f>[1]Raw_Data!G3856</f>
        <v>0.14000000000000001</v>
      </c>
      <c r="H3858" s="3">
        <f>[1]Raw_Data!H3856</f>
        <v>1</v>
      </c>
      <c r="I3858" s="3" t="str">
        <f>TRIM([1]Raw_Data!I3856)</f>
        <v>Canada</v>
      </c>
      <c r="J3858" s="3" t="str">
        <f>TRIM([1]Raw_Data!J3856)</f>
        <v>iHerb</v>
      </c>
      <c r="K3858" s="3">
        <f t="shared" si="240"/>
        <v>2024</v>
      </c>
      <c r="L3858" s="6">
        <f t="shared" si="241"/>
        <v>45505</v>
      </c>
      <c r="M3858" s="3" t="str">
        <f t="shared" si="242"/>
        <v>11% to 15%</v>
      </c>
      <c r="N3858" s="3" t="str">
        <f t="shared" si="243"/>
        <v>OK</v>
      </c>
    </row>
    <row r="3859" spans="1:14" x14ac:dyDescent="0.3">
      <c r="A3859" s="2">
        <f>DATE(VALUE(RIGHT(TRIM([1]Raw_Data!A3857),4)),VALUE(MID(TRIM([1]Raw_Data!A3857),4,2)),VALUE(LEFT(TRIM([1]Raw_Data!A3857),2)))</f>
        <v>45516</v>
      </c>
      <c r="B3859" s="3" t="str">
        <f>TRIM([1]Raw_Data!B3857)</f>
        <v>Electrolyte Powder</v>
      </c>
      <c r="C3859" s="3" t="str">
        <f>TRIM([1]Raw_Data!C3857)</f>
        <v>Hydration</v>
      </c>
      <c r="D3859" s="3">
        <f>[1]Raw_Data!D3857</f>
        <v>147</v>
      </c>
      <c r="E3859" s="4">
        <f>[1]Raw_Data!E3857</f>
        <v>30.79</v>
      </c>
      <c r="F3859" s="5">
        <f>[1]Raw_Data!F3857</f>
        <v>4526.13</v>
      </c>
      <c r="G3859" s="4">
        <f>[1]Raw_Data!G3857</f>
        <v>0.22</v>
      </c>
      <c r="H3859" s="3">
        <f>[1]Raw_Data!H3857</f>
        <v>1</v>
      </c>
      <c r="I3859" s="3" t="str">
        <f>TRIM([1]Raw_Data!I3857)</f>
        <v>USA</v>
      </c>
      <c r="J3859" s="3" t="str">
        <f>TRIM([1]Raw_Data!J3857)</f>
        <v>iHerb</v>
      </c>
      <c r="K3859" s="3">
        <f t="shared" si="240"/>
        <v>2024</v>
      </c>
      <c r="L3859" s="6">
        <f t="shared" si="241"/>
        <v>45505</v>
      </c>
      <c r="M3859" s="3" t="str">
        <f t="shared" si="242"/>
        <v>21% to 25%</v>
      </c>
      <c r="N3859" s="3" t="str">
        <f t="shared" si="243"/>
        <v>OK</v>
      </c>
    </row>
    <row r="3860" spans="1:14" x14ac:dyDescent="0.3">
      <c r="A3860" s="2">
        <f>DATE(VALUE(RIGHT(TRIM([1]Raw_Data!A3858),4)),VALUE(MID(TRIM([1]Raw_Data!A3858),4,2)),VALUE(LEFT(TRIM([1]Raw_Data!A3858),2)))</f>
        <v>45523</v>
      </c>
      <c r="B3860" s="3" t="str">
        <f>TRIM([1]Raw_Data!B3858)</f>
        <v>Whey Protein</v>
      </c>
      <c r="C3860" s="3" t="str">
        <f>TRIM([1]Raw_Data!C3858)</f>
        <v>Protein</v>
      </c>
      <c r="D3860" s="3">
        <f>[1]Raw_Data!D3858</f>
        <v>163</v>
      </c>
      <c r="E3860" s="4">
        <f>[1]Raw_Data!E3858</f>
        <v>51.22</v>
      </c>
      <c r="F3860" s="5">
        <f>[1]Raw_Data!F3858</f>
        <v>8348.86</v>
      </c>
      <c r="G3860" s="4">
        <f>[1]Raw_Data!G3858</f>
        <v>0.18</v>
      </c>
      <c r="H3860" s="3">
        <f>[1]Raw_Data!H3858</f>
        <v>3</v>
      </c>
      <c r="I3860" s="3" t="str">
        <f>TRIM([1]Raw_Data!I3858)</f>
        <v>UK</v>
      </c>
      <c r="J3860" s="3" t="str">
        <f>TRIM([1]Raw_Data!J3858)</f>
        <v>iHerb</v>
      </c>
      <c r="K3860" s="3">
        <f t="shared" si="240"/>
        <v>2024</v>
      </c>
      <c r="L3860" s="6">
        <f t="shared" si="241"/>
        <v>45505</v>
      </c>
      <c r="M3860" s="3" t="str">
        <f t="shared" si="242"/>
        <v>16% to 20%</v>
      </c>
      <c r="N3860" s="3" t="str">
        <f t="shared" si="243"/>
        <v>OK</v>
      </c>
    </row>
    <row r="3861" spans="1:14" x14ac:dyDescent="0.3">
      <c r="A3861" s="2">
        <f>DATE(VALUE(RIGHT(TRIM([1]Raw_Data!A3859),4)),VALUE(MID(TRIM([1]Raw_Data!A3859),4,2)),VALUE(LEFT(TRIM([1]Raw_Data!A3859),2)))</f>
        <v>45523</v>
      </c>
      <c r="B3861" s="3" t="str">
        <f>TRIM([1]Raw_Data!B3859)</f>
        <v>Vitamin C</v>
      </c>
      <c r="C3861" s="3" t="str">
        <f>TRIM([1]Raw_Data!C3859)</f>
        <v>Vitamin</v>
      </c>
      <c r="D3861" s="3">
        <f>[1]Raw_Data!D3859</f>
        <v>146</v>
      </c>
      <c r="E3861" s="4">
        <f>[1]Raw_Data!E3859</f>
        <v>52.12</v>
      </c>
      <c r="F3861" s="5">
        <f>[1]Raw_Data!F3859</f>
        <v>7609.52</v>
      </c>
      <c r="G3861" s="4">
        <f>[1]Raw_Data!G3859</f>
        <v>0.12</v>
      </c>
      <c r="H3861" s="3">
        <f>[1]Raw_Data!H3859</f>
        <v>0</v>
      </c>
      <c r="I3861" s="3" t="str">
        <f>TRIM([1]Raw_Data!I3859)</f>
        <v>USA</v>
      </c>
      <c r="J3861" s="3" t="str">
        <f>TRIM([1]Raw_Data!J3859)</f>
        <v>Walmart</v>
      </c>
      <c r="K3861" s="3">
        <f t="shared" si="240"/>
        <v>2024</v>
      </c>
      <c r="L3861" s="6">
        <f t="shared" si="241"/>
        <v>45505</v>
      </c>
      <c r="M3861" s="3" t="str">
        <f t="shared" si="242"/>
        <v>11% to 15%</v>
      </c>
      <c r="N3861" s="3" t="str">
        <f t="shared" si="243"/>
        <v>OK</v>
      </c>
    </row>
    <row r="3862" spans="1:14" x14ac:dyDescent="0.3">
      <c r="A3862" s="2">
        <f>DATE(VALUE(RIGHT(TRIM([1]Raw_Data!A3860),4)),VALUE(MID(TRIM([1]Raw_Data!A3860),4,2)),VALUE(LEFT(TRIM([1]Raw_Data!A3860),2)))</f>
        <v>45523</v>
      </c>
      <c r="B3862" s="3" t="str">
        <f>TRIM([1]Raw_Data!B3860)</f>
        <v>Fish Oil</v>
      </c>
      <c r="C3862" s="3" t="str">
        <f>TRIM([1]Raw_Data!C3860)</f>
        <v>Omega</v>
      </c>
      <c r="D3862" s="3">
        <f>[1]Raw_Data!D3860</f>
        <v>133</v>
      </c>
      <c r="E3862" s="4">
        <f>[1]Raw_Data!E3860</f>
        <v>47.55</v>
      </c>
      <c r="F3862" s="5">
        <f>[1]Raw_Data!F3860</f>
        <v>6324.15</v>
      </c>
      <c r="G3862" s="4">
        <f>[1]Raw_Data!G3860</f>
        <v>0.18</v>
      </c>
      <c r="H3862" s="3">
        <f>[1]Raw_Data!H3860</f>
        <v>0</v>
      </c>
      <c r="I3862" s="3" t="str">
        <f>TRIM([1]Raw_Data!I3860)</f>
        <v>USA</v>
      </c>
      <c r="J3862" s="3" t="str">
        <f>TRIM([1]Raw_Data!J3860)</f>
        <v>Amazon</v>
      </c>
      <c r="K3862" s="3">
        <f t="shared" si="240"/>
        <v>2024</v>
      </c>
      <c r="L3862" s="6">
        <f t="shared" si="241"/>
        <v>45505</v>
      </c>
      <c r="M3862" s="3" t="str">
        <f t="shared" si="242"/>
        <v>16% to 20%</v>
      </c>
      <c r="N3862" s="3" t="str">
        <f t="shared" si="243"/>
        <v>OK</v>
      </c>
    </row>
    <row r="3863" spans="1:14" x14ac:dyDescent="0.3">
      <c r="A3863" s="2">
        <f>DATE(VALUE(RIGHT(TRIM([1]Raw_Data!A3861),4)),VALUE(MID(TRIM([1]Raw_Data!A3861),4,2)),VALUE(LEFT(TRIM([1]Raw_Data!A3861),2)))</f>
        <v>45523</v>
      </c>
      <c r="B3863" s="3" t="str">
        <f>TRIM([1]Raw_Data!B3861)</f>
        <v>Multivitamin</v>
      </c>
      <c r="C3863" s="3" t="str">
        <f>TRIM([1]Raw_Data!C3861)</f>
        <v>Vitamin</v>
      </c>
      <c r="D3863" s="3">
        <f>[1]Raw_Data!D3861</f>
        <v>164</v>
      </c>
      <c r="E3863" s="4">
        <f>[1]Raw_Data!E3861</f>
        <v>49.65</v>
      </c>
      <c r="F3863" s="5">
        <f>[1]Raw_Data!F3861</f>
        <v>8142.6</v>
      </c>
      <c r="G3863" s="4">
        <f>[1]Raw_Data!G3861</f>
        <v>0.12</v>
      </c>
      <c r="H3863" s="3">
        <f>[1]Raw_Data!H3861</f>
        <v>2</v>
      </c>
      <c r="I3863" s="3" t="str">
        <f>TRIM([1]Raw_Data!I3861)</f>
        <v>USA</v>
      </c>
      <c r="J3863" s="3" t="str">
        <f>TRIM([1]Raw_Data!J3861)</f>
        <v>Walmart</v>
      </c>
      <c r="K3863" s="3">
        <f t="shared" si="240"/>
        <v>2024</v>
      </c>
      <c r="L3863" s="6">
        <f t="shared" si="241"/>
        <v>45505</v>
      </c>
      <c r="M3863" s="3" t="str">
        <f t="shared" si="242"/>
        <v>11% to 15%</v>
      </c>
      <c r="N3863" s="3" t="str">
        <f t="shared" si="243"/>
        <v>OK</v>
      </c>
    </row>
    <row r="3864" spans="1:14" x14ac:dyDescent="0.3">
      <c r="A3864" s="2">
        <f>DATE(VALUE(RIGHT(TRIM([1]Raw_Data!A3862),4)),VALUE(MID(TRIM([1]Raw_Data!A3862),4,2)),VALUE(LEFT(TRIM([1]Raw_Data!A3862),2)))</f>
        <v>45523</v>
      </c>
      <c r="B3864" s="3" t="str">
        <f>TRIM([1]Raw_Data!B3862)</f>
        <v>Pre-Workout</v>
      </c>
      <c r="C3864" s="3" t="str">
        <f>TRIM([1]Raw_Data!C3862)</f>
        <v>Performance</v>
      </c>
      <c r="D3864" s="3">
        <f>[1]Raw_Data!D3862</f>
        <v>146</v>
      </c>
      <c r="E3864" s="4">
        <f>[1]Raw_Data!E3862</f>
        <v>52.07</v>
      </c>
      <c r="F3864" s="5">
        <f>[1]Raw_Data!F3862</f>
        <v>7602.22</v>
      </c>
      <c r="G3864" s="4">
        <f>[1]Raw_Data!G3862</f>
        <v>0.01</v>
      </c>
      <c r="H3864" s="3">
        <f>[1]Raw_Data!H3862</f>
        <v>4</v>
      </c>
      <c r="I3864" s="3" t="str">
        <f>TRIM([1]Raw_Data!I3862)</f>
        <v>USA</v>
      </c>
      <c r="J3864" s="3" t="str">
        <f>TRIM([1]Raw_Data!J3862)</f>
        <v>iHerb</v>
      </c>
      <c r="K3864" s="3">
        <f t="shared" si="240"/>
        <v>2024</v>
      </c>
      <c r="L3864" s="6">
        <f t="shared" si="241"/>
        <v>45505</v>
      </c>
      <c r="M3864" s="3" t="str">
        <f t="shared" si="242"/>
        <v>0% to 5%</v>
      </c>
      <c r="N3864" s="3" t="str">
        <f t="shared" si="243"/>
        <v>OK</v>
      </c>
    </row>
    <row r="3865" spans="1:14" x14ac:dyDescent="0.3">
      <c r="A3865" s="2">
        <f>DATE(VALUE(RIGHT(TRIM([1]Raw_Data!A3863),4)),VALUE(MID(TRIM([1]Raw_Data!A3863),4,2)),VALUE(LEFT(TRIM([1]Raw_Data!A3863),2)))</f>
        <v>45523</v>
      </c>
      <c r="B3865" s="3" t="str">
        <f>TRIM([1]Raw_Data!B3863)</f>
        <v>BCAA</v>
      </c>
      <c r="C3865" s="3" t="str">
        <f>TRIM([1]Raw_Data!C3863)</f>
        <v>Amino Acid</v>
      </c>
      <c r="D3865" s="3">
        <f>[1]Raw_Data!D3863</f>
        <v>155</v>
      </c>
      <c r="E3865" s="4">
        <f>[1]Raw_Data!E3863</f>
        <v>41.4</v>
      </c>
      <c r="F3865" s="5">
        <f>[1]Raw_Data!F3863</f>
        <v>6417</v>
      </c>
      <c r="G3865" s="4">
        <f>[1]Raw_Data!G3863</f>
        <v>0.03</v>
      </c>
      <c r="H3865" s="3">
        <f>[1]Raw_Data!H3863</f>
        <v>1</v>
      </c>
      <c r="I3865" s="3" t="str">
        <f>TRIM([1]Raw_Data!I3863)</f>
        <v>USA</v>
      </c>
      <c r="J3865" s="3" t="str">
        <f>TRIM([1]Raw_Data!J3863)</f>
        <v>Amazon</v>
      </c>
      <c r="K3865" s="3">
        <f t="shared" si="240"/>
        <v>2024</v>
      </c>
      <c r="L3865" s="6">
        <f t="shared" si="241"/>
        <v>45505</v>
      </c>
      <c r="M3865" s="3" t="str">
        <f t="shared" si="242"/>
        <v>0% to 5%</v>
      </c>
      <c r="N3865" s="3" t="str">
        <f t="shared" si="243"/>
        <v>OK</v>
      </c>
    </row>
    <row r="3866" spans="1:14" x14ac:dyDescent="0.3">
      <c r="A3866" s="2">
        <f>DATE(VALUE(RIGHT(TRIM([1]Raw_Data!A3864),4)),VALUE(MID(TRIM([1]Raw_Data!A3864),4,2)),VALUE(LEFT(TRIM([1]Raw_Data!A3864),2)))</f>
        <v>45523</v>
      </c>
      <c r="B3866" s="3" t="str">
        <f>TRIM([1]Raw_Data!B3864)</f>
        <v>Creatine</v>
      </c>
      <c r="C3866" s="3" t="str">
        <f>TRIM([1]Raw_Data!C3864)</f>
        <v>Performance</v>
      </c>
      <c r="D3866" s="3">
        <f>[1]Raw_Data!D3864</f>
        <v>158</v>
      </c>
      <c r="E3866" s="4">
        <f>[1]Raw_Data!E3864</f>
        <v>42.62</v>
      </c>
      <c r="F3866" s="5">
        <f>[1]Raw_Data!F3864</f>
        <v>6733.96</v>
      </c>
      <c r="G3866" s="4">
        <f>[1]Raw_Data!G3864</f>
        <v>0.05</v>
      </c>
      <c r="H3866" s="3">
        <f>[1]Raw_Data!H3864</f>
        <v>1</v>
      </c>
      <c r="I3866" s="3" t="str">
        <f>TRIM([1]Raw_Data!I3864)</f>
        <v>USA</v>
      </c>
      <c r="J3866" s="3" t="str">
        <f>TRIM([1]Raw_Data!J3864)</f>
        <v>Amazon</v>
      </c>
      <c r="K3866" s="3">
        <f t="shared" si="240"/>
        <v>2024</v>
      </c>
      <c r="L3866" s="6">
        <f t="shared" si="241"/>
        <v>45505</v>
      </c>
      <c r="M3866" s="3" t="str">
        <f t="shared" si="242"/>
        <v>0% to 5%</v>
      </c>
      <c r="N3866" s="3" t="str">
        <f t="shared" si="243"/>
        <v>OK</v>
      </c>
    </row>
    <row r="3867" spans="1:14" x14ac:dyDescent="0.3">
      <c r="A3867" s="2">
        <f>DATE(VALUE(RIGHT(TRIM([1]Raw_Data!A3865),4)),VALUE(MID(TRIM([1]Raw_Data!A3865),4,2)),VALUE(LEFT(TRIM([1]Raw_Data!A3865),2)))</f>
        <v>45523</v>
      </c>
      <c r="B3867" s="3" t="str">
        <f>TRIM([1]Raw_Data!B3865)</f>
        <v>Zinc</v>
      </c>
      <c r="C3867" s="3" t="str">
        <f>TRIM([1]Raw_Data!C3865)</f>
        <v>Mineral</v>
      </c>
      <c r="D3867" s="3">
        <f>[1]Raw_Data!D3865</f>
        <v>155</v>
      </c>
      <c r="E3867" s="4">
        <f>[1]Raw_Data!E3865</f>
        <v>38.25</v>
      </c>
      <c r="F3867" s="5">
        <f>[1]Raw_Data!F3865</f>
        <v>5928.75</v>
      </c>
      <c r="G3867" s="4">
        <f>[1]Raw_Data!G3865</f>
        <v>0.15</v>
      </c>
      <c r="H3867" s="3">
        <f>[1]Raw_Data!H3865</f>
        <v>1</v>
      </c>
      <c r="I3867" s="3" t="str">
        <f>TRIM([1]Raw_Data!I3865)</f>
        <v>USA</v>
      </c>
      <c r="J3867" s="3" t="str">
        <f>TRIM([1]Raw_Data!J3865)</f>
        <v>iHerb</v>
      </c>
      <c r="K3867" s="3">
        <f t="shared" si="240"/>
        <v>2024</v>
      </c>
      <c r="L3867" s="6">
        <f t="shared" si="241"/>
        <v>45505</v>
      </c>
      <c r="M3867" s="3" t="str">
        <f t="shared" si="242"/>
        <v>11% to 15%</v>
      </c>
      <c r="N3867" s="3" t="str">
        <f t="shared" si="243"/>
        <v>OK</v>
      </c>
    </row>
    <row r="3868" spans="1:14" x14ac:dyDescent="0.3">
      <c r="A3868" s="2">
        <f>DATE(VALUE(RIGHT(TRIM([1]Raw_Data!A3866),4)),VALUE(MID(TRIM([1]Raw_Data!A3866),4,2)),VALUE(LEFT(TRIM([1]Raw_Data!A3866),2)))</f>
        <v>45523</v>
      </c>
      <c r="B3868" s="3" t="str">
        <f>TRIM([1]Raw_Data!B3866)</f>
        <v>Collagen Peptides</v>
      </c>
      <c r="C3868" s="3" t="str">
        <f>TRIM([1]Raw_Data!C3866)</f>
        <v>Protein</v>
      </c>
      <c r="D3868" s="3">
        <f>[1]Raw_Data!D3866</f>
        <v>163</v>
      </c>
      <c r="E3868" s="4">
        <f>[1]Raw_Data!E3866</f>
        <v>30.66</v>
      </c>
      <c r="F3868" s="5">
        <f>[1]Raw_Data!F3866</f>
        <v>4997.58</v>
      </c>
      <c r="G3868" s="4">
        <f>[1]Raw_Data!G3866</f>
        <v>0.19</v>
      </c>
      <c r="H3868" s="3">
        <f>[1]Raw_Data!H3866</f>
        <v>5</v>
      </c>
      <c r="I3868" s="3" t="str">
        <f>TRIM([1]Raw_Data!I3866)</f>
        <v>Canada</v>
      </c>
      <c r="J3868" s="3" t="str">
        <f>TRIM([1]Raw_Data!J3866)</f>
        <v>Amazon</v>
      </c>
      <c r="K3868" s="3">
        <f t="shared" si="240"/>
        <v>2024</v>
      </c>
      <c r="L3868" s="6">
        <f t="shared" si="241"/>
        <v>45505</v>
      </c>
      <c r="M3868" s="3" t="str">
        <f t="shared" si="242"/>
        <v>16% to 20%</v>
      </c>
      <c r="N3868" s="3" t="str">
        <f t="shared" si="243"/>
        <v>OK</v>
      </c>
    </row>
    <row r="3869" spans="1:14" x14ac:dyDescent="0.3">
      <c r="A3869" s="2">
        <f>DATE(VALUE(RIGHT(TRIM([1]Raw_Data!A3867),4)),VALUE(MID(TRIM([1]Raw_Data!A3867),4,2)),VALUE(LEFT(TRIM([1]Raw_Data!A3867),2)))</f>
        <v>45523</v>
      </c>
      <c r="B3869" s="3" t="str">
        <f>TRIM([1]Raw_Data!B3867)</f>
        <v>Magnesium</v>
      </c>
      <c r="C3869" s="3" t="str">
        <f>TRIM([1]Raw_Data!C3867)</f>
        <v>Mineral</v>
      </c>
      <c r="D3869" s="3">
        <f>[1]Raw_Data!D3867</f>
        <v>136</v>
      </c>
      <c r="E3869" s="4">
        <f>[1]Raw_Data!E3867</f>
        <v>53.92</v>
      </c>
      <c r="F3869" s="5">
        <f>[1]Raw_Data!F3867</f>
        <v>7333.12</v>
      </c>
      <c r="G3869" s="4">
        <f>[1]Raw_Data!G3867</f>
        <v>0.09</v>
      </c>
      <c r="H3869" s="3">
        <f>[1]Raw_Data!H3867</f>
        <v>1</v>
      </c>
      <c r="I3869" s="3" t="str">
        <f>TRIM([1]Raw_Data!I3867)</f>
        <v>Canada</v>
      </c>
      <c r="J3869" s="3" t="str">
        <f>TRIM([1]Raw_Data!J3867)</f>
        <v>iHerb</v>
      </c>
      <c r="K3869" s="3">
        <f t="shared" si="240"/>
        <v>2024</v>
      </c>
      <c r="L3869" s="6">
        <f t="shared" si="241"/>
        <v>45505</v>
      </c>
      <c r="M3869" s="3" t="str">
        <f t="shared" si="242"/>
        <v>6% to 10%</v>
      </c>
      <c r="N3869" s="3" t="str">
        <f t="shared" si="243"/>
        <v>OK</v>
      </c>
    </row>
    <row r="3870" spans="1:14" x14ac:dyDescent="0.3">
      <c r="A3870" s="2">
        <f>DATE(VALUE(RIGHT(TRIM([1]Raw_Data!A3868),4)),VALUE(MID(TRIM([1]Raw_Data!A3868),4,2)),VALUE(LEFT(TRIM([1]Raw_Data!A3868),2)))</f>
        <v>45523</v>
      </c>
      <c r="B3870" s="3" t="str">
        <f>TRIM([1]Raw_Data!B3868)</f>
        <v>Ashwagandha</v>
      </c>
      <c r="C3870" s="3" t="str">
        <f>TRIM([1]Raw_Data!C3868)</f>
        <v>Herbal</v>
      </c>
      <c r="D3870" s="3">
        <f>[1]Raw_Data!D3868</f>
        <v>149</v>
      </c>
      <c r="E3870" s="4">
        <f>[1]Raw_Data!E3868</f>
        <v>23.04</v>
      </c>
      <c r="F3870" s="5">
        <f>[1]Raw_Data!F3868</f>
        <v>3432.96</v>
      </c>
      <c r="G3870" s="4">
        <f>[1]Raw_Data!G3868</f>
        <v>0.01</v>
      </c>
      <c r="H3870" s="3">
        <f>[1]Raw_Data!H3868</f>
        <v>0</v>
      </c>
      <c r="I3870" s="3" t="str">
        <f>TRIM([1]Raw_Data!I3868)</f>
        <v>USA</v>
      </c>
      <c r="J3870" s="3" t="str">
        <f>TRIM([1]Raw_Data!J3868)</f>
        <v>iHerb</v>
      </c>
      <c r="K3870" s="3">
        <f t="shared" si="240"/>
        <v>2024</v>
      </c>
      <c r="L3870" s="6">
        <f t="shared" si="241"/>
        <v>45505</v>
      </c>
      <c r="M3870" s="3" t="str">
        <f t="shared" si="242"/>
        <v>0% to 5%</v>
      </c>
      <c r="N3870" s="3" t="str">
        <f t="shared" si="243"/>
        <v>OK</v>
      </c>
    </row>
    <row r="3871" spans="1:14" x14ac:dyDescent="0.3">
      <c r="A3871" s="2">
        <f>DATE(VALUE(RIGHT(TRIM([1]Raw_Data!A3869),4)),VALUE(MID(TRIM([1]Raw_Data!A3869),4,2)),VALUE(LEFT(TRIM([1]Raw_Data!A3869),2)))</f>
        <v>45523</v>
      </c>
      <c r="B3871" s="3" t="str">
        <f>TRIM([1]Raw_Data!B3869)</f>
        <v>Melatonin</v>
      </c>
      <c r="C3871" s="3" t="str">
        <f>TRIM([1]Raw_Data!C3869)</f>
        <v>Sleep Aid</v>
      </c>
      <c r="D3871" s="3">
        <f>[1]Raw_Data!D3869</f>
        <v>148</v>
      </c>
      <c r="E3871" s="4">
        <f>[1]Raw_Data!E3869</f>
        <v>48.23</v>
      </c>
      <c r="F3871" s="5">
        <f>[1]Raw_Data!F3869</f>
        <v>7138.04</v>
      </c>
      <c r="G3871" s="4">
        <f>[1]Raw_Data!G3869</f>
        <v>0.03</v>
      </c>
      <c r="H3871" s="3">
        <f>[1]Raw_Data!H3869</f>
        <v>3</v>
      </c>
      <c r="I3871" s="3" t="str">
        <f>TRIM([1]Raw_Data!I3869)</f>
        <v>Canada</v>
      </c>
      <c r="J3871" s="3" t="str">
        <f>TRIM([1]Raw_Data!J3869)</f>
        <v>Walmart</v>
      </c>
      <c r="K3871" s="3">
        <f t="shared" si="240"/>
        <v>2024</v>
      </c>
      <c r="L3871" s="6">
        <f t="shared" si="241"/>
        <v>45505</v>
      </c>
      <c r="M3871" s="3" t="str">
        <f t="shared" si="242"/>
        <v>0% to 5%</v>
      </c>
      <c r="N3871" s="3" t="str">
        <f t="shared" si="243"/>
        <v>OK</v>
      </c>
    </row>
    <row r="3872" spans="1:14" x14ac:dyDescent="0.3">
      <c r="A3872" s="2">
        <f>DATE(VALUE(RIGHT(TRIM([1]Raw_Data!A3870),4)),VALUE(MID(TRIM([1]Raw_Data!A3870),4,2)),VALUE(LEFT(TRIM([1]Raw_Data!A3870),2)))</f>
        <v>45523</v>
      </c>
      <c r="B3872" s="3" t="str">
        <f>TRIM([1]Raw_Data!B3870)</f>
        <v>Biotin</v>
      </c>
      <c r="C3872" s="3" t="str">
        <f>TRIM([1]Raw_Data!C3870)</f>
        <v>Vitamin</v>
      </c>
      <c r="D3872" s="3">
        <f>[1]Raw_Data!D3870</f>
        <v>168</v>
      </c>
      <c r="E3872" s="4">
        <f>[1]Raw_Data!E3870</f>
        <v>46.98</v>
      </c>
      <c r="F3872" s="5">
        <f>[1]Raw_Data!F3870</f>
        <v>7892.64</v>
      </c>
      <c r="G3872" s="4">
        <f>[1]Raw_Data!G3870</f>
        <v>0.03</v>
      </c>
      <c r="H3872" s="3">
        <f>[1]Raw_Data!H3870</f>
        <v>1</v>
      </c>
      <c r="I3872" s="3" t="str">
        <f>TRIM([1]Raw_Data!I3870)</f>
        <v>Canada</v>
      </c>
      <c r="J3872" s="3" t="str">
        <f>TRIM([1]Raw_Data!J3870)</f>
        <v>iHerb</v>
      </c>
      <c r="K3872" s="3">
        <f t="shared" si="240"/>
        <v>2024</v>
      </c>
      <c r="L3872" s="6">
        <f t="shared" si="241"/>
        <v>45505</v>
      </c>
      <c r="M3872" s="3" t="str">
        <f t="shared" si="242"/>
        <v>0% to 5%</v>
      </c>
      <c r="N3872" s="3" t="str">
        <f t="shared" si="243"/>
        <v>OK</v>
      </c>
    </row>
    <row r="3873" spans="1:14" x14ac:dyDescent="0.3">
      <c r="A3873" s="2">
        <f>DATE(VALUE(RIGHT(TRIM([1]Raw_Data!A3871),4)),VALUE(MID(TRIM([1]Raw_Data!A3871),4,2)),VALUE(LEFT(TRIM([1]Raw_Data!A3871),2)))</f>
        <v>45523</v>
      </c>
      <c r="B3873" s="3" t="str">
        <f>TRIM([1]Raw_Data!B3871)</f>
        <v>Green Tea Extract</v>
      </c>
      <c r="C3873" s="3" t="str">
        <f>TRIM([1]Raw_Data!C3871)</f>
        <v>Fat Burner</v>
      </c>
      <c r="D3873" s="3">
        <f>[1]Raw_Data!D3871</f>
        <v>144</v>
      </c>
      <c r="E3873" s="4">
        <f>[1]Raw_Data!E3871</f>
        <v>48.97</v>
      </c>
      <c r="F3873" s="5">
        <f>[1]Raw_Data!F3871</f>
        <v>7051.68</v>
      </c>
      <c r="G3873" s="4">
        <f>[1]Raw_Data!G3871</f>
        <v>0.23</v>
      </c>
      <c r="H3873" s="3">
        <f>[1]Raw_Data!H3871</f>
        <v>2</v>
      </c>
      <c r="I3873" s="3" t="str">
        <f>TRIM([1]Raw_Data!I3871)</f>
        <v>Canada</v>
      </c>
      <c r="J3873" s="3" t="str">
        <f>TRIM([1]Raw_Data!J3871)</f>
        <v>Amazon</v>
      </c>
      <c r="K3873" s="3">
        <f t="shared" si="240"/>
        <v>2024</v>
      </c>
      <c r="L3873" s="6">
        <f t="shared" si="241"/>
        <v>45505</v>
      </c>
      <c r="M3873" s="3" t="str">
        <f t="shared" si="242"/>
        <v>21% to 25%</v>
      </c>
      <c r="N3873" s="3" t="str">
        <f t="shared" si="243"/>
        <v>OK</v>
      </c>
    </row>
    <row r="3874" spans="1:14" x14ac:dyDescent="0.3">
      <c r="A3874" s="2">
        <f>DATE(VALUE(RIGHT(TRIM([1]Raw_Data!A3872),4)),VALUE(MID(TRIM([1]Raw_Data!A3872),4,2)),VALUE(LEFT(TRIM([1]Raw_Data!A3872),2)))</f>
        <v>45523</v>
      </c>
      <c r="B3874" s="3" t="str">
        <f>TRIM([1]Raw_Data!B3872)</f>
        <v>Iron Supplement</v>
      </c>
      <c r="C3874" s="3" t="str">
        <f>TRIM([1]Raw_Data!C3872)</f>
        <v>Mineral</v>
      </c>
      <c r="D3874" s="3">
        <f>[1]Raw_Data!D3872</f>
        <v>156</v>
      </c>
      <c r="E3874" s="4">
        <f>[1]Raw_Data!E3872</f>
        <v>40.270000000000003</v>
      </c>
      <c r="F3874" s="5">
        <f>[1]Raw_Data!F3872</f>
        <v>6282.12</v>
      </c>
      <c r="G3874" s="4">
        <f>[1]Raw_Data!G3872</f>
        <v>0.02</v>
      </c>
      <c r="H3874" s="3">
        <f>[1]Raw_Data!H3872</f>
        <v>3</v>
      </c>
      <c r="I3874" s="3" t="str">
        <f>TRIM([1]Raw_Data!I3872)</f>
        <v>Canada</v>
      </c>
      <c r="J3874" s="3" t="str">
        <f>TRIM([1]Raw_Data!J3872)</f>
        <v>Walmart</v>
      </c>
      <c r="K3874" s="3">
        <f t="shared" si="240"/>
        <v>2024</v>
      </c>
      <c r="L3874" s="6">
        <f t="shared" si="241"/>
        <v>45505</v>
      </c>
      <c r="M3874" s="3" t="str">
        <f t="shared" si="242"/>
        <v>0% to 5%</v>
      </c>
      <c r="N3874" s="3" t="str">
        <f t="shared" si="243"/>
        <v>OK</v>
      </c>
    </row>
    <row r="3875" spans="1:14" x14ac:dyDescent="0.3">
      <c r="A3875" s="2">
        <f>DATE(VALUE(RIGHT(TRIM([1]Raw_Data!A3873),4)),VALUE(MID(TRIM([1]Raw_Data!A3873),4,2)),VALUE(LEFT(TRIM([1]Raw_Data!A3873),2)))</f>
        <v>45523</v>
      </c>
      <c r="B3875" s="3" t="str">
        <f>TRIM([1]Raw_Data!B3873)</f>
        <v>Electrolyte Powder</v>
      </c>
      <c r="C3875" s="3" t="str">
        <f>TRIM([1]Raw_Data!C3873)</f>
        <v>Hydration</v>
      </c>
      <c r="D3875" s="3">
        <f>[1]Raw_Data!D3873</f>
        <v>151</v>
      </c>
      <c r="E3875" s="4">
        <f>[1]Raw_Data!E3873</f>
        <v>56</v>
      </c>
      <c r="F3875" s="5">
        <f>[1]Raw_Data!F3873</f>
        <v>8456</v>
      </c>
      <c r="G3875" s="4">
        <f>[1]Raw_Data!G3873</f>
        <v>0.12</v>
      </c>
      <c r="H3875" s="3">
        <f>[1]Raw_Data!H3873</f>
        <v>3</v>
      </c>
      <c r="I3875" s="3" t="str">
        <f>TRIM([1]Raw_Data!I3873)</f>
        <v>UK</v>
      </c>
      <c r="J3875" s="3" t="str">
        <f>TRIM([1]Raw_Data!J3873)</f>
        <v>iHerb</v>
      </c>
      <c r="K3875" s="3">
        <f t="shared" si="240"/>
        <v>2024</v>
      </c>
      <c r="L3875" s="6">
        <f t="shared" si="241"/>
        <v>45505</v>
      </c>
      <c r="M3875" s="3" t="str">
        <f t="shared" si="242"/>
        <v>11% to 15%</v>
      </c>
      <c r="N3875" s="3" t="str">
        <f t="shared" si="243"/>
        <v>OK</v>
      </c>
    </row>
    <row r="3876" spans="1:14" x14ac:dyDescent="0.3">
      <c r="A3876" s="2">
        <f>DATE(VALUE(RIGHT(TRIM([1]Raw_Data!A3874),4)),VALUE(MID(TRIM([1]Raw_Data!A3874),4,2)),VALUE(LEFT(TRIM([1]Raw_Data!A3874),2)))</f>
        <v>45530</v>
      </c>
      <c r="B3876" s="3" t="str">
        <f>TRIM([1]Raw_Data!B3874)</f>
        <v>Whey Protein</v>
      </c>
      <c r="C3876" s="3" t="str">
        <f>TRIM([1]Raw_Data!C3874)</f>
        <v>Protein</v>
      </c>
      <c r="D3876" s="3">
        <f>[1]Raw_Data!D3874</f>
        <v>165</v>
      </c>
      <c r="E3876" s="4">
        <f>[1]Raw_Data!E3874</f>
        <v>13.07</v>
      </c>
      <c r="F3876" s="5">
        <f>[1]Raw_Data!F3874</f>
        <v>2156.5500000000002</v>
      </c>
      <c r="G3876" s="4">
        <f>[1]Raw_Data!G3874</f>
        <v>0.06</v>
      </c>
      <c r="H3876" s="3">
        <f>[1]Raw_Data!H3874</f>
        <v>3</v>
      </c>
      <c r="I3876" s="3" t="str">
        <f>TRIM([1]Raw_Data!I3874)</f>
        <v>USA</v>
      </c>
      <c r="J3876" s="3" t="str">
        <f>TRIM([1]Raw_Data!J3874)</f>
        <v>Amazon</v>
      </c>
      <c r="K3876" s="3">
        <f t="shared" si="240"/>
        <v>2024</v>
      </c>
      <c r="L3876" s="6">
        <f t="shared" si="241"/>
        <v>45505</v>
      </c>
      <c r="M3876" s="3" t="str">
        <f t="shared" si="242"/>
        <v>6% to 10%</v>
      </c>
      <c r="N3876" s="3" t="str">
        <f t="shared" si="243"/>
        <v>OK</v>
      </c>
    </row>
    <row r="3877" spans="1:14" x14ac:dyDescent="0.3">
      <c r="A3877" s="2">
        <f>DATE(VALUE(RIGHT(TRIM([1]Raw_Data!A3875),4)),VALUE(MID(TRIM([1]Raw_Data!A3875),4,2)),VALUE(LEFT(TRIM([1]Raw_Data!A3875),2)))</f>
        <v>45530</v>
      </c>
      <c r="B3877" s="3" t="str">
        <f>TRIM([1]Raw_Data!B3875)</f>
        <v>Vitamin C</v>
      </c>
      <c r="C3877" s="3" t="str">
        <f>TRIM([1]Raw_Data!C3875)</f>
        <v>Vitamin</v>
      </c>
      <c r="D3877" s="3">
        <f>[1]Raw_Data!D3875</f>
        <v>168</v>
      </c>
      <c r="E3877" s="4">
        <f>[1]Raw_Data!E3875</f>
        <v>32</v>
      </c>
      <c r="F3877" s="5">
        <f>[1]Raw_Data!F3875</f>
        <v>5376</v>
      </c>
      <c r="G3877" s="4">
        <f>[1]Raw_Data!G3875</f>
        <v>0.04</v>
      </c>
      <c r="H3877" s="3">
        <f>[1]Raw_Data!H3875</f>
        <v>4</v>
      </c>
      <c r="I3877" s="3" t="str">
        <f>TRIM([1]Raw_Data!I3875)</f>
        <v>UK</v>
      </c>
      <c r="J3877" s="3" t="str">
        <f>TRIM([1]Raw_Data!J3875)</f>
        <v>iHerb</v>
      </c>
      <c r="K3877" s="3">
        <f t="shared" si="240"/>
        <v>2024</v>
      </c>
      <c r="L3877" s="6">
        <f t="shared" si="241"/>
        <v>45505</v>
      </c>
      <c r="M3877" s="3" t="str">
        <f t="shared" si="242"/>
        <v>0% to 5%</v>
      </c>
      <c r="N3877" s="3" t="str">
        <f t="shared" si="243"/>
        <v>OK</v>
      </c>
    </row>
    <row r="3878" spans="1:14" x14ac:dyDescent="0.3">
      <c r="A3878" s="2">
        <f>DATE(VALUE(RIGHT(TRIM([1]Raw_Data!A3876),4)),VALUE(MID(TRIM([1]Raw_Data!A3876),4,2)),VALUE(LEFT(TRIM([1]Raw_Data!A3876),2)))</f>
        <v>45530</v>
      </c>
      <c r="B3878" s="3" t="str">
        <f>TRIM([1]Raw_Data!B3876)</f>
        <v>Fish Oil</v>
      </c>
      <c r="C3878" s="3" t="str">
        <f>TRIM([1]Raw_Data!C3876)</f>
        <v>Omega</v>
      </c>
      <c r="D3878" s="3">
        <f>[1]Raw_Data!D3876</f>
        <v>139</v>
      </c>
      <c r="E3878" s="4">
        <f>[1]Raw_Data!E3876</f>
        <v>43.04</v>
      </c>
      <c r="F3878" s="5">
        <f>[1]Raw_Data!F3876</f>
        <v>5982.56</v>
      </c>
      <c r="G3878" s="4">
        <f>[1]Raw_Data!G3876</f>
        <v>0.06</v>
      </c>
      <c r="H3878" s="3">
        <f>[1]Raw_Data!H3876</f>
        <v>3</v>
      </c>
      <c r="I3878" s="3" t="str">
        <f>TRIM([1]Raw_Data!I3876)</f>
        <v>USA</v>
      </c>
      <c r="J3878" s="3" t="str">
        <f>TRIM([1]Raw_Data!J3876)</f>
        <v>Amazon</v>
      </c>
      <c r="K3878" s="3">
        <f t="shared" si="240"/>
        <v>2024</v>
      </c>
      <c r="L3878" s="6">
        <f t="shared" si="241"/>
        <v>45505</v>
      </c>
      <c r="M3878" s="3" t="str">
        <f t="shared" si="242"/>
        <v>6% to 10%</v>
      </c>
      <c r="N3878" s="3" t="str">
        <f t="shared" si="243"/>
        <v>OK</v>
      </c>
    </row>
    <row r="3879" spans="1:14" x14ac:dyDescent="0.3">
      <c r="A3879" s="2">
        <f>DATE(VALUE(RIGHT(TRIM([1]Raw_Data!A3877),4)),VALUE(MID(TRIM([1]Raw_Data!A3877),4,2)),VALUE(LEFT(TRIM([1]Raw_Data!A3877),2)))</f>
        <v>45530</v>
      </c>
      <c r="B3879" s="3" t="str">
        <f>TRIM([1]Raw_Data!B3877)</f>
        <v>Multivitamin</v>
      </c>
      <c r="C3879" s="3" t="str">
        <f>TRIM([1]Raw_Data!C3877)</f>
        <v>Vitamin</v>
      </c>
      <c r="D3879" s="3">
        <f>[1]Raw_Data!D3877</f>
        <v>150</v>
      </c>
      <c r="E3879" s="4">
        <f>[1]Raw_Data!E3877</f>
        <v>18.170000000000002</v>
      </c>
      <c r="F3879" s="5">
        <f>[1]Raw_Data!F3877</f>
        <v>2725.5</v>
      </c>
      <c r="G3879" s="4">
        <f>[1]Raw_Data!G3877</f>
        <v>0.12</v>
      </c>
      <c r="H3879" s="3">
        <f>[1]Raw_Data!H3877</f>
        <v>1</v>
      </c>
      <c r="I3879" s="3" t="str">
        <f>TRIM([1]Raw_Data!I3877)</f>
        <v>USA</v>
      </c>
      <c r="J3879" s="3" t="str">
        <f>TRIM([1]Raw_Data!J3877)</f>
        <v>Amazon</v>
      </c>
      <c r="K3879" s="3">
        <f t="shared" si="240"/>
        <v>2024</v>
      </c>
      <c r="L3879" s="6">
        <f t="shared" si="241"/>
        <v>45505</v>
      </c>
      <c r="M3879" s="3" t="str">
        <f t="shared" si="242"/>
        <v>11% to 15%</v>
      </c>
      <c r="N3879" s="3" t="str">
        <f t="shared" si="243"/>
        <v>OK</v>
      </c>
    </row>
    <row r="3880" spans="1:14" x14ac:dyDescent="0.3">
      <c r="A3880" s="2">
        <f>DATE(VALUE(RIGHT(TRIM([1]Raw_Data!A3878),4)),VALUE(MID(TRIM([1]Raw_Data!A3878),4,2)),VALUE(LEFT(TRIM([1]Raw_Data!A3878),2)))</f>
        <v>45530</v>
      </c>
      <c r="B3880" s="3" t="str">
        <f>TRIM([1]Raw_Data!B3878)</f>
        <v>Pre-Workout</v>
      </c>
      <c r="C3880" s="3" t="str">
        <f>TRIM([1]Raw_Data!C3878)</f>
        <v>Performance</v>
      </c>
      <c r="D3880" s="3">
        <f>[1]Raw_Data!D3878</f>
        <v>168</v>
      </c>
      <c r="E3880" s="4">
        <f>[1]Raw_Data!E3878</f>
        <v>58.81</v>
      </c>
      <c r="F3880" s="5">
        <f>[1]Raw_Data!F3878</f>
        <v>9880.08</v>
      </c>
      <c r="G3880" s="4">
        <f>[1]Raw_Data!G3878</f>
        <v>0.16</v>
      </c>
      <c r="H3880" s="3">
        <f>[1]Raw_Data!H3878</f>
        <v>0</v>
      </c>
      <c r="I3880" s="3" t="str">
        <f>TRIM([1]Raw_Data!I3878)</f>
        <v>USA</v>
      </c>
      <c r="J3880" s="3" t="str">
        <f>TRIM([1]Raw_Data!J3878)</f>
        <v>Walmart</v>
      </c>
      <c r="K3880" s="3">
        <f t="shared" si="240"/>
        <v>2024</v>
      </c>
      <c r="L3880" s="6">
        <f t="shared" si="241"/>
        <v>45505</v>
      </c>
      <c r="M3880" s="3" t="str">
        <f t="shared" si="242"/>
        <v>16% to 20%</v>
      </c>
      <c r="N3880" s="3" t="str">
        <f t="shared" si="243"/>
        <v>OK</v>
      </c>
    </row>
    <row r="3881" spans="1:14" x14ac:dyDescent="0.3">
      <c r="A3881" s="2">
        <f>DATE(VALUE(RIGHT(TRIM([1]Raw_Data!A3879),4)),VALUE(MID(TRIM([1]Raw_Data!A3879),4,2)),VALUE(LEFT(TRIM([1]Raw_Data!A3879),2)))</f>
        <v>45530</v>
      </c>
      <c r="B3881" s="3" t="str">
        <f>TRIM([1]Raw_Data!B3879)</f>
        <v>BCAA</v>
      </c>
      <c r="C3881" s="3" t="str">
        <f>TRIM([1]Raw_Data!C3879)</f>
        <v>Amino Acid</v>
      </c>
      <c r="D3881" s="3">
        <f>[1]Raw_Data!D3879</f>
        <v>121</v>
      </c>
      <c r="E3881" s="4">
        <f>[1]Raw_Data!E3879</f>
        <v>21.74</v>
      </c>
      <c r="F3881" s="5">
        <f>[1]Raw_Data!F3879</f>
        <v>2630.54</v>
      </c>
      <c r="G3881" s="4">
        <f>[1]Raw_Data!G3879</f>
        <v>0.08</v>
      </c>
      <c r="H3881" s="3">
        <f>[1]Raw_Data!H3879</f>
        <v>0</v>
      </c>
      <c r="I3881" s="3" t="str">
        <f>TRIM([1]Raw_Data!I3879)</f>
        <v>Canada</v>
      </c>
      <c r="J3881" s="3" t="str">
        <f>TRIM([1]Raw_Data!J3879)</f>
        <v>Walmart</v>
      </c>
      <c r="K3881" s="3">
        <f t="shared" si="240"/>
        <v>2024</v>
      </c>
      <c r="L3881" s="6">
        <f t="shared" si="241"/>
        <v>45505</v>
      </c>
      <c r="M3881" s="3" t="str">
        <f t="shared" si="242"/>
        <v>6% to 10%</v>
      </c>
      <c r="N3881" s="3" t="str">
        <f t="shared" si="243"/>
        <v>OK</v>
      </c>
    </row>
    <row r="3882" spans="1:14" x14ac:dyDescent="0.3">
      <c r="A3882" s="2">
        <f>DATE(VALUE(RIGHT(TRIM([1]Raw_Data!A3880),4)),VALUE(MID(TRIM([1]Raw_Data!A3880),4,2)),VALUE(LEFT(TRIM([1]Raw_Data!A3880),2)))</f>
        <v>45530</v>
      </c>
      <c r="B3882" s="3" t="str">
        <f>TRIM([1]Raw_Data!B3880)</f>
        <v>Creatine</v>
      </c>
      <c r="C3882" s="3" t="str">
        <f>TRIM([1]Raw_Data!C3880)</f>
        <v>Performance</v>
      </c>
      <c r="D3882" s="3">
        <f>[1]Raw_Data!D3880</f>
        <v>155</v>
      </c>
      <c r="E3882" s="4">
        <f>[1]Raw_Data!E3880</f>
        <v>13.9</v>
      </c>
      <c r="F3882" s="5">
        <f>[1]Raw_Data!F3880</f>
        <v>2154.5</v>
      </c>
      <c r="G3882" s="4">
        <f>[1]Raw_Data!G3880</f>
        <v>0.13</v>
      </c>
      <c r="H3882" s="3">
        <f>[1]Raw_Data!H3880</f>
        <v>2</v>
      </c>
      <c r="I3882" s="3" t="str">
        <f>TRIM([1]Raw_Data!I3880)</f>
        <v>USA</v>
      </c>
      <c r="J3882" s="3" t="str">
        <f>TRIM([1]Raw_Data!J3880)</f>
        <v>Amazon</v>
      </c>
      <c r="K3882" s="3">
        <f t="shared" si="240"/>
        <v>2024</v>
      </c>
      <c r="L3882" s="6">
        <f t="shared" si="241"/>
        <v>45505</v>
      </c>
      <c r="M3882" s="3" t="str">
        <f t="shared" si="242"/>
        <v>11% to 15%</v>
      </c>
      <c r="N3882" s="3" t="str">
        <f t="shared" si="243"/>
        <v>OK</v>
      </c>
    </row>
    <row r="3883" spans="1:14" x14ac:dyDescent="0.3">
      <c r="A3883" s="2">
        <f>DATE(VALUE(RIGHT(TRIM([1]Raw_Data!A3881),4)),VALUE(MID(TRIM([1]Raw_Data!A3881),4,2)),VALUE(LEFT(TRIM([1]Raw_Data!A3881),2)))</f>
        <v>45530</v>
      </c>
      <c r="B3883" s="3" t="str">
        <f>TRIM([1]Raw_Data!B3881)</f>
        <v>Zinc</v>
      </c>
      <c r="C3883" s="3" t="str">
        <f>TRIM([1]Raw_Data!C3881)</f>
        <v>Mineral</v>
      </c>
      <c r="D3883" s="3">
        <f>[1]Raw_Data!D3881</f>
        <v>129</v>
      </c>
      <c r="E3883" s="4">
        <f>[1]Raw_Data!E3881</f>
        <v>38.92</v>
      </c>
      <c r="F3883" s="5">
        <f>[1]Raw_Data!F3881</f>
        <v>5020.68</v>
      </c>
      <c r="G3883" s="4">
        <f>[1]Raw_Data!G3881</f>
        <v>0.24</v>
      </c>
      <c r="H3883" s="3">
        <f>[1]Raw_Data!H3881</f>
        <v>0</v>
      </c>
      <c r="I3883" s="3" t="str">
        <f>TRIM([1]Raw_Data!I3881)</f>
        <v>UK</v>
      </c>
      <c r="J3883" s="3" t="str">
        <f>TRIM([1]Raw_Data!J3881)</f>
        <v>Amazon</v>
      </c>
      <c r="K3883" s="3">
        <f t="shared" si="240"/>
        <v>2024</v>
      </c>
      <c r="L3883" s="6">
        <f t="shared" si="241"/>
        <v>45505</v>
      </c>
      <c r="M3883" s="3" t="str">
        <f t="shared" si="242"/>
        <v>21% to 25%</v>
      </c>
      <c r="N3883" s="3" t="str">
        <f t="shared" si="243"/>
        <v>OK</v>
      </c>
    </row>
    <row r="3884" spans="1:14" x14ac:dyDescent="0.3">
      <c r="A3884" s="2">
        <f>DATE(VALUE(RIGHT(TRIM([1]Raw_Data!A3882),4)),VALUE(MID(TRIM([1]Raw_Data!A3882),4,2)),VALUE(LEFT(TRIM([1]Raw_Data!A3882),2)))</f>
        <v>45530</v>
      </c>
      <c r="B3884" s="3" t="str">
        <f>TRIM([1]Raw_Data!B3882)</f>
        <v>Collagen Peptides</v>
      </c>
      <c r="C3884" s="3" t="str">
        <f>TRIM([1]Raw_Data!C3882)</f>
        <v>Protein</v>
      </c>
      <c r="D3884" s="3">
        <f>[1]Raw_Data!D3882</f>
        <v>152</v>
      </c>
      <c r="E3884" s="4">
        <f>[1]Raw_Data!E3882</f>
        <v>11.18</v>
      </c>
      <c r="F3884" s="5">
        <f>[1]Raw_Data!F3882</f>
        <v>1699.36</v>
      </c>
      <c r="G3884" s="4">
        <f>[1]Raw_Data!G3882</f>
        <v>0.23</v>
      </c>
      <c r="H3884" s="3">
        <f>[1]Raw_Data!H3882</f>
        <v>2</v>
      </c>
      <c r="I3884" s="3" t="str">
        <f>TRIM([1]Raw_Data!I3882)</f>
        <v>UK</v>
      </c>
      <c r="J3884" s="3" t="str">
        <f>TRIM([1]Raw_Data!J3882)</f>
        <v>Amazon</v>
      </c>
      <c r="K3884" s="3">
        <f t="shared" si="240"/>
        <v>2024</v>
      </c>
      <c r="L3884" s="6">
        <f t="shared" si="241"/>
        <v>45505</v>
      </c>
      <c r="M3884" s="3" t="str">
        <f t="shared" si="242"/>
        <v>21% to 25%</v>
      </c>
      <c r="N3884" s="3" t="str">
        <f t="shared" si="243"/>
        <v>OK</v>
      </c>
    </row>
    <row r="3885" spans="1:14" x14ac:dyDescent="0.3">
      <c r="A3885" s="2">
        <f>DATE(VALUE(RIGHT(TRIM([1]Raw_Data!A3883),4)),VALUE(MID(TRIM([1]Raw_Data!A3883),4,2)),VALUE(LEFT(TRIM([1]Raw_Data!A3883),2)))</f>
        <v>45530</v>
      </c>
      <c r="B3885" s="3" t="str">
        <f>TRIM([1]Raw_Data!B3883)</f>
        <v>Magnesium</v>
      </c>
      <c r="C3885" s="3" t="str">
        <f>TRIM([1]Raw_Data!C3883)</f>
        <v>Mineral</v>
      </c>
      <c r="D3885" s="3">
        <f>[1]Raw_Data!D3883</f>
        <v>130</v>
      </c>
      <c r="E3885" s="4">
        <f>[1]Raw_Data!E3883</f>
        <v>12.54</v>
      </c>
      <c r="F3885" s="5">
        <f>[1]Raw_Data!F3883</f>
        <v>1630.2</v>
      </c>
      <c r="G3885" s="4">
        <f>[1]Raw_Data!G3883</f>
        <v>0.15</v>
      </c>
      <c r="H3885" s="3">
        <f>[1]Raw_Data!H3883</f>
        <v>1</v>
      </c>
      <c r="I3885" s="3" t="str">
        <f>TRIM([1]Raw_Data!I3883)</f>
        <v>UK</v>
      </c>
      <c r="J3885" s="3" t="str">
        <f>TRIM([1]Raw_Data!J3883)</f>
        <v>Amazon</v>
      </c>
      <c r="K3885" s="3">
        <f t="shared" si="240"/>
        <v>2024</v>
      </c>
      <c r="L3885" s="6">
        <f t="shared" si="241"/>
        <v>45505</v>
      </c>
      <c r="M3885" s="3" t="str">
        <f t="shared" si="242"/>
        <v>11% to 15%</v>
      </c>
      <c r="N3885" s="3" t="str">
        <f t="shared" si="243"/>
        <v>OK</v>
      </c>
    </row>
    <row r="3886" spans="1:14" x14ac:dyDescent="0.3">
      <c r="A3886" s="2">
        <f>DATE(VALUE(RIGHT(TRIM([1]Raw_Data!A3884),4)),VALUE(MID(TRIM([1]Raw_Data!A3884),4,2)),VALUE(LEFT(TRIM([1]Raw_Data!A3884),2)))</f>
        <v>45530</v>
      </c>
      <c r="B3886" s="3" t="str">
        <f>TRIM([1]Raw_Data!B3884)</f>
        <v>Ashwagandha</v>
      </c>
      <c r="C3886" s="3" t="str">
        <f>TRIM([1]Raw_Data!C3884)</f>
        <v>Herbal</v>
      </c>
      <c r="D3886" s="3">
        <f>[1]Raw_Data!D3884</f>
        <v>150</v>
      </c>
      <c r="E3886" s="4">
        <f>[1]Raw_Data!E3884</f>
        <v>36.590000000000003</v>
      </c>
      <c r="F3886" s="5">
        <f>[1]Raw_Data!F3884</f>
        <v>5488.5</v>
      </c>
      <c r="G3886" s="4">
        <f>[1]Raw_Data!G3884</f>
        <v>0.13</v>
      </c>
      <c r="H3886" s="3">
        <f>[1]Raw_Data!H3884</f>
        <v>0</v>
      </c>
      <c r="I3886" s="3" t="str">
        <f>TRIM([1]Raw_Data!I3884)</f>
        <v>USA</v>
      </c>
      <c r="J3886" s="3" t="str">
        <f>TRIM([1]Raw_Data!J3884)</f>
        <v>iHerb</v>
      </c>
      <c r="K3886" s="3">
        <f t="shared" si="240"/>
        <v>2024</v>
      </c>
      <c r="L3886" s="6">
        <f t="shared" si="241"/>
        <v>45505</v>
      </c>
      <c r="M3886" s="3" t="str">
        <f t="shared" si="242"/>
        <v>11% to 15%</v>
      </c>
      <c r="N3886" s="3" t="str">
        <f t="shared" si="243"/>
        <v>OK</v>
      </c>
    </row>
    <row r="3887" spans="1:14" x14ac:dyDescent="0.3">
      <c r="A3887" s="2">
        <f>DATE(VALUE(RIGHT(TRIM([1]Raw_Data!A3885),4)),VALUE(MID(TRIM([1]Raw_Data!A3885),4,2)),VALUE(LEFT(TRIM([1]Raw_Data!A3885),2)))</f>
        <v>45530</v>
      </c>
      <c r="B3887" s="3" t="str">
        <f>TRIM([1]Raw_Data!B3885)</f>
        <v>Melatonin</v>
      </c>
      <c r="C3887" s="3" t="str">
        <f>TRIM([1]Raw_Data!C3885)</f>
        <v>Sleep Aid</v>
      </c>
      <c r="D3887" s="3">
        <f>[1]Raw_Data!D3885</f>
        <v>142</v>
      </c>
      <c r="E3887" s="4">
        <f>[1]Raw_Data!E3885</f>
        <v>55.01</v>
      </c>
      <c r="F3887" s="5">
        <f>[1]Raw_Data!F3885</f>
        <v>7811.42</v>
      </c>
      <c r="G3887" s="4">
        <f>[1]Raw_Data!G3885</f>
        <v>0.18</v>
      </c>
      <c r="H3887" s="3">
        <f>[1]Raw_Data!H3885</f>
        <v>5</v>
      </c>
      <c r="I3887" s="3" t="str">
        <f>TRIM([1]Raw_Data!I3885)</f>
        <v>UK</v>
      </c>
      <c r="J3887" s="3" t="str">
        <f>TRIM([1]Raw_Data!J3885)</f>
        <v>iHerb</v>
      </c>
      <c r="K3887" s="3">
        <f t="shared" si="240"/>
        <v>2024</v>
      </c>
      <c r="L3887" s="6">
        <f t="shared" si="241"/>
        <v>45505</v>
      </c>
      <c r="M3887" s="3" t="str">
        <f t="shared" si="242"/>
        <v>16% to 20%</v>
      </c>
      <c r="N3887" s="3" t="str">
        <f t="shared" si="243"/>
        <v>OK</v>
      </c>
    </row>
    <row r="3888" spans="1:14" x14ac:dyDescent="0.3">
      <c r="A3888" s="2">
        <f>DATE(VALUE(RIGHT(TRIM([1]Raw_Data!A3886),4)),VALUE(MID(TRIM([1]Raw_Data!A3886),4,2)),VALUE(LEFT(TRIM([1]Raw_Data!A3886),2)))</f>
        <v>45530</v>
      </c>
      <c r="B3888" s="3" t="str">
        <f>TRIM([1]Raw_Data!B3886)</f>
        <v>Biotin</v>
      </c>
      <c r="C3888" s="3" t="str">
        <f>TRIM([1]Raw_Data!C3886)</f>
        <v>Vitamin</v>
      </c>
      <c r="D3888" s="3">
        <f>[1]Raw_Data!D3886</f>
        <v>143</v>
      </c>
      <c r="E3888" s="4">
        <f>[1]Raw_Data!E3886</f>
        <v>40.15</v>
      </c>
      <c r="F3888" s="5">
        <f>[1]Raw_Data!F3886</f>
        <v>5741.45</v>
      </c>
      <c r="G3888" s="4">
        <f>[1]Raw_Data!G3886</f>
        <v>0.11</v>
      </c>
      <c r="H3888" s="3">
        <f>[1]Raw_Data!H3886</f>
        <v>0</v>
      </c>
      <c r="I3888" s="3" t="str">
        <f>TRIM([1]Raw_Data!I3886)</f>
        <v>Canada</v>
      </c>
      <c r="J3888" s="3" t="str">
        <f>TRIM([1]Raw_Data!J3886)</f>
        <v>Amazon</v>
      </c>
      <c r="K3888" s="3">
        <f t="shared" si="240"/>
        <v>2024</v>
      </c>
      <c r="L3888" s="6">
        <f t="shared" si="241"/>
        <v>45505</v>
      </c>
      <c r="M3888" s="3" t="str">
        <f t="shared" si="242"/>
        <v>11% to 15%</v>
      </c>
      <c r="N3888" s="3" t="str">
        <f t="shared" si="243"/>
        <v>OK</v>
      </c>
    </row>
    <row r="3889" spans="1:14" x14ac:dyDescent="0.3">
      <c r="A3889" s="2">
        <f>DATE(VALUE(RIGHT(TRIM([1]Raw_Data!A3887),4)),VALUE(MID(TRIM([1]Raw_Data!A3887),4,2)),VALUE(LEFT(TRIM([1]Raw_Data!A3887),2)))</f>
        <v>45530</v>
      </c>
      <c r="B3889" s="3" t="str">
        <f>TRIM([1]Raw_Data!B3887)</f>
        <v>Green Tea Extract</v>
      </c>
      <c r="C3889" s="3" t="str">
        <f>TRIM([1]Raw_Data!C3887)</f>
        <v>Fat Burner</v>
      </c>
      <c r="D3889" s="3">
        <f>[1]Raw_Data!D3887</f>
        <v>140</v>
      </c>
      <c r="E3889" s="4">
        <f>[1]Raw_Data!E3887</f>
        <v>44.81</v>
      </c>
      <c r="F3889" s="5">
        <f>[1]Raw_Data!F3887</f>
        <v>6273.4</v>
      </c>
      <c r="G3889" s="4">
        <f>[1]Raw_Data!G3887</f>
        <v>0.24</v>
      </c>
      <c r="H3889" s="3">
        <f>[1]Raw_Data!H3887</f>
        <v>2</v>
      </c>
      <c r="I3889" s="3" t="str">
        <f>TRIM([1]Raw_Data!I3887)</f>
        <v>USA</v>
      </c>
      <c r="J3889" s="3" t="str">
        <f>TRIM([1]Raw_Data!J3887)</f>
        <v>iHerb</v>
      </c>
      <c r="K3889" s="3">
        <f t="shared" si="240"/>
        <v>2024</v>
      </c>
      <c r="L3889" s="6">
        <f t="shared" si="241"/>
        <v>45505</v>
      </c>
      <c r="M3889" s="3" t="str">
        <f t="shared" si="242"/>
        <v>21% to 25%</v>
      </c>
      <c r="N3889" s="3" t="str">
        <f t="shared" si="243"/>
        <v>OK</v>
      </c>
    </row>
    <row r="3890" spans="1:14" x14ac:dyDescent="0.3">
      <c r="A3890" s="2">
        <f>DATE(VALUE(RIGHT(TRIM([1]Raw_Data!A3888),4)),VALUE(MID(TRIM([1]Raw_Data!A3888),4,2)),VALUE(LEFT(TRIM([1]Raw_Data!A3888),2)))</f>
        <v>45530</v>
      </c>
      <c r="B3890" s="3" t="str">
        <f>TRIM([1]Raw_Data!B3888)</f>
        <v>Iron Supplement</v>
      </c>
      <c r="C3890" s="3" t="str">
        <f>TRIM([1]Raw_Data!C3888)</f>
        <v>Mineral</v>
      </c>
      <c r="D3890" s="3">
        <f>[1]Raw_Data!D3888</f>
        <v>142</v>
      </c>
      <c r="E3890" s="4">
        <f>[1]Raw_Data!E3888</f>
        <v>29.22</v>
      </c>
      <c r="F3890" s="5">
        <f>[1]Raw_Data!F3888</f>
        <v>4149.24</v>
      </c>
      <c r="G3890" s="4">
        <f>[1]Raw_Data!G3888</f>
        <v>0.21</v>
      </c>
      <c r="H3890" s="3">
        <f>[1]Raw_Data!H3888</f>
        <v>2</v>
      </c>
      <c r="I3890" s="3" t="str">
        <f>TRIM([1]Raw_Data!I3888)</f>
        <v>UK</v>
      </c>
      <c r="J3890" s="3" t="str">
        <f>TRIM([1]Raw_Data!J3888)</f>
        <v>Walmart</v>
      </c>
      <c r="K3890" s="3">
        <f t="shared" si="240"/>
        <v>2024</v>
      </c>
      <c r="L3890" s="6">
        <f t="shared" si="241"/>
        <v>45505</v>
      </c>
      <c r="M3890" s="3" t="str">
        <f t="shared" si="242"/>
        <v>21% to 25%</v>
      </c>
      <c r="N3890" s="3" t="str">
        <f t="shared" si="243"/>
        <v>OK</v>
      </c>
    </row>
    <row r="3891" spans="1:14" x14ac:dyDescent="0.3">
      <c r="A3891" s="2">
        <f>DATE(VALUE(RIGHT(TRIM([1]Raw_Data!A3889),4)),VALUE(MID(TRIM([1]Raw_Data!A3889),4,2)),VALUE(LEFT(TRIM([1]Raw_Data!A3889),2)))</f>
        <v>45530</v>
      </c>
      <c r="B3891" s="3" t="str">
        <f>TRIM([1]Raw_Data!B3889)</f>
        <v>Electrolyte Powder</v>
      </c>
      <c r="C3891" s="3" t="str">
        <f>TRIM([1]Raw_Data!C3889)</f>
        <v>Hydration</v>
      </c>
      <c r="D3891" s="3">
        <f>[1]Raw_Data!D3889</f>
        <v>153</v>
      </c>
      <c r="E3891" s="4">
        <f>[1]Raw_Data!E3889</f>
        <v>56.9</v>
      </c>
      <c r="F3891" s="5">
        <f>[1]Raw_Data!F3889</f>
        <v>8705.7000000000007</v>
      </c>
      <c r="G3891" s="4">
        <f>[1]Raw_Data!G3889</f>
        <v>0.16</v>
      </c>
      <c r="H3891" s="3">
        <f>[1]Raw_Data!H3889</f>
        <v>4</v>
      </c>
      <c r="I3891" s="3" t="str">
        <f>TRIM([1]Raw_Data!I3889)</f>
        <v>USA</v>
      </c>
      <c r="J3891" s="3" t="str">
        <f>TRIM([1]Raw_Data!J3889)</f>
        <v>Amazon</v>
      </c>
      <c r="K3891" s="3">
        <f t="shared" si="240"/>
        <v>2024</v>
      </c>
      <c r="L3891" s="6">
        <f t="shared" si="241"/>
        <v>45505</v>
      </c>
      <c r="M3891" s="3" t="str">
        <f t="shared" si="242"/>
        <v>16% to 20%</v>
      </c>
      <c r="N3891" s="3" t="str">
        <f t="shared" si="243"/>
        <v>OK</v>
      </c>
    </row>
    <row r="3892" spans="1:14" x14ac:dyDescent="0.3">
      <c r="A3892" s="2">
        <f>DATE(VALUE(RIGHT(TRIM([1]Raw_Data!A3890),4)),VALUE(MID(TRIM([1]Raw_Data!A3890),4,2)),VALUE(LEFT(TRIM([1]Raw_Data!A3890),2)))</f>
        <v>45537</v>
      </c>
      <c r="B3892" s="3" t="str">
        <f>TRIM([1]Raw_Data!B3890)</f>
        <v>Whey Protein</v>
      </c>
      <c r="C3892" s="3" t="str">
        <f>TRIM([1]Raw_Data!C3890)</f>
        <v>Protein</v>
      </c>
      <c r="D3892" s="3">
        <f>[1]Raw_Data!D3890</f>
        <v>153</v>
      </c>
      <c r="E3892" s="4">
        <f>[1]Raw_Data!E3890</f>
        <v>50.66</v>
      </c>
      <c r="F3892" s="5">
        <f>[1]Raw_Data!F3890</f>
        <v>7750.98</v>
      </c>
      <c r="G3892" s="4">
        <f>[1]Raw_Data!G3890</f>
        <v>0.08</v>
      </c>
      <c r="H3892" s="3">
        <f>[1]Raw_Data!H3890</f>
        <v>4</v>
      </c>
      <c r="I3892" s="3" t="str">
        <f>TRIM([1]Raw_Data!I3890)</f>
        <v>UK</v>
      </c>
      <c r="J3892" s="3" t="str">
        <f>TRIM([1]Raw_Data!J3890)</f>
        <v>Walmart</v>
      </c>
      <c r="K3892" s="3">
        <f t="shared" si="240"/>
        <v>2024</v>
      </c>
      <c r="L3892" s="6">
        <f t="shared" si="241"/>
        <v>45536</v>
      </c>
      <c r="M3892" s="3" t="str">
        <f t="shared" si="242"/>
        <v>6% to 10%</v>
      </c>
      <c r="N3892" s="3" t="str">
        <f t="shared" si="243"/>
        <v>OK</v>
      </c>
    </row>
    <row r="3893" spans="1:14" x14ac:dyDescent="0.3">
      <c r="A3893" s="2">
        <f>DATE(VALUE(RIGHT(TRIM([1]Raw_Data!A3891),4)),VALUE(MID(TRIM([1]Raw_Data!A3891),4,2)),VALUE(LEFT(TRIM([1]Raw_Data!A3891),2)))</f>
        <v>45537</v>
      </c>
      <c r="B3893" s="3" t="str">
        <f>TRIM([1]Raw_Data!B3891)</f>
        <v>Vitamin C</v>
      </c>
      <c r="C3893" s="3" t="str">
        <f>TRIM([1]Raw_Data!C3891)</f>
        <v>Vitamin</v>
      </c>
      <c r="D3893" s="3">
        <f>[1]Raw_Data!D3891</f>
        <v>185</v>
      </c>
      <c r="E3893" s="4">
        <f>[1]Raw_Data!E3891</f>
        <v>42.41</v>
      </c>
      <c r="F3893" s="5">
        <f>[1]Raw_Data!F3891</f>
        <v>7845.85</v>
      </c>
      <c r="G3893" s="4">
        <f>[1]Raw_Data!G3891</f>
        <v>0.14000000000000001</v>
      </c>
      <c r="H3893" s="3">
        <f>[1]Raw_Data!H3891</f>
        <v>3</v>
      </c>
      <c r="I3893" s="3" t="str">
        <f>TRIM([1]Raw_Data!I3891)</f>
        <v>USA</v>
      </c>
      <c r="J3893" s="3" t="str">
        <f>TRIM([1]Raw_Data!J3891)</f>
        <v>Amazon</v>
      </c>
      <c r="K3893" s="3">
        <f t="shared" si="240"/>
        <v>2024</v>
      </c>
      <c r="L3893" s="6">
        <f t="shared" si="241"/>
        <v>45536</v>
      </c>
      <c r="M3893" s="3" t="str">
        <f t="shared" si="242"/>
        <v>11% to 15%</v>
      </c>
      <c r="N3893" s="3" t="str">
        <f t="shared" si="243"/>
        <v>OK</v>
      </c>
    </row>
    <row r="3894" spans="1:14" x14ac:dyDescent="0.3">
      <c r="A3894" s="2">
        <f>DATE(VALUE(RIGHT(TRIM([1]Raw_Data!A3892),4)),VALUE(MID(TRIM([1]Raw_Data!A3892),4,2)),VALUE(LEFT(TRIM([1]Raw_Data!A3892),2)))</f>
        <v>45537</v>
      </c>
      <c r="B3894" s="3" t="str">
        <f>TRIM([1]Raw_Data!B3892)</f>
        <v>Fish Oil</v>
      </c>
      <c r="C3894" s="3" t="str">
        <f>TRIM([1]Raw_Data!C3892)</f>
        <v>Omega</v>
      </c>
      <c r="D3894" s="3">
        <f>[1]Raw_Data!D3892</f>
        <v>166</v>
      </c>
      <c r="E3894" s="4">
        <f>[1]Raw_Data!E3892</f>
        <v>50.8</v>
      </c>
      <c r="F3894" s="5">
        <f>[1]Raw_Data!F3892</f>
        <v>8432.7999999999993</v>
      </c>
      <c r="G3894" s="4">
        <f>[1]Raw_Data!G3892</f>
        <v>0.08</v>
      </c>
      <c r="H3894" s="3">
        <f>[1]Raw_Data!H3892</f>
        <v>1</v>
      </c>
      <c r="I3894" s="3" t="str">
        <f>TRIM([1]Raw_Data!I3892)</f>
        <v>UK</v>
      </c>
      <c r="J3894" s="3" t="str">
        <f>TRIM([1]Raw_Data!J3892)</f>
        <v>Amazon</v>
      </c>
      <c r="K3894" s="3">
        <f t="shared" si="240"/>
        <v>2024</v>
      </c>
      <c r="L3894" s="6">
        <f t="shared" si="241"/>
        <v>45536</v>
      </c>
      <c r="M3894" s="3" t="str">
        <f t="shared" si="242"/>
        <v>6% to 10%</v>
      </c>
      <c r="N3894" s="3" t="str">
        <f t="shared" si="243"/>
        <v>OK</v>
      </c>
    </row>
    <row r="3895" spans="1:14" x14ac:dyDescent="0.3">
      <c r="A3895" s="2">
        <f>DATE(VALUE(RIGHT(TRIM([1]Raw_Data!A3893),4)),VALUE(MID(TRIM([1]Raw_Data!A3893),4,2)),VALUE(LEFT(TRIM([1]Raw_Data!A3893),2)))</f>
        <v>45537</v>
      </c>
      <c r="B3895" s="3" t="str">
        <f>TRIM([1]Raw_Data!B3893)</f>
        <v>Multivitamin</v>
      </c>
      <c r="C3895" s="3" t="str">
        <f>TRIM([1]Raw_Data!C3893)</f>
        <v>Vitamin</v>
      </c>
      <c r="D3895" s="3">
        <f>[1]Raw_Data!D3893</f>
        <v>147</v>
      </c>
      <c r="E3895" s="4">
        <f>[1]Raw_Data!E3893</f>
        <v>19.36</v>
      </c>
      <c r="F3895" s="5">
        <f>[1]Raw_Data!F3893</f>
        <v>2845.92</v>
      </c>
      <c r="G3895" s="4">
        <f>[1]Raw_Data!G3893</f>
        <v>0.17</v>
      </c>
      <c r="H3895" s="3">
        <f>[1]Raw_Data!H3893</f>
        <v>1</v>
      </c>
      <c r="I3895" s="3" t="str">
        <f>TRIM([1]Raw_Data!I3893)</f>
        <v>USA</v>
      </c>
      <c r="J3895" s="3" t="str">
        <f>TRIM([1]Raw_Data!J3893)</f>
        <v>Amazon</v>
      </c>
      <c r="K3895" s="3">
        <f t="shared" si="240"/>
        <v>2024</v>
      </c>
      <c r="L3895" s="6">
        <f t="shared" si="241"/>
        <v>45536</v>
      </c>
      <c r="M3895" s="3" t="str">
        <f t="shared" si="242"/>
        <v>16% to 20%</v>
      </c>
      <c r="N3895" s="3" t="str">
        <f t="shared" si="243"/>
        <v>OK</v>
      </c>
    </row>
    <row r="3896" spans="1:14" x14ac:dyDescent="0.3">
      <c r="A3896" s="2">
        <f>DATE(VALUE(RIGHT(TRIM([1]Raw_Data!A3894),4)),VALUE(MID(TRIM([1]Raw_Data!A3894),4,2)),VALUE(LEFT(TRIM([1]Raw_Data!A3894),2)))</f>
        <v>45537</v>
      </c>
      <c r="B3896" s="3" t="str">
        <f>TRIM([1]Raw_Data!B3894)</f>
        <v>Pre-Workout</v>
      </c>
      <c r="C3896" s="3" t="str">
        <f>TRIM([1]Raw_Data!C3894)</f>
        <v>Performance</v>
      </c>
      <c r="D3896" s="3">
        <f>[1]Raw_Data!D3894</f>
        <v>161</v>
      </c>
      <c r="E3896" s="4">
        <f>[1]Raw_Data!E3894</f>
        <v>43.4</v>
      </c>
      <c r="F3896" s="5">
        <f>[1]Raw_Data!F3894</f>
        <v>6987.4</v>
      </c>
      <c r="G3896" s="4">
        <f>[1]Raw_Data!G3894</f>
        <v>0.16</v>
      </c>
      <c r="H3896" s="3">
        <f>[1]Raw_Data!H3894</f>
        <v>4</v>
      </c>
      <c r="I3896" s="3" t="str">
        <f>TRIM([1]Raw_Data!I3894)</f>
        <v>Canada</v>
      </c>
      <c r="J3896" s="3" t="str">
        <f>TRIM([1]Raw_Data!J3894)</f>
        <v>Amazon</v>
      </c>
      <c r="K3896" s="3">
        <f t="shared" si="240"/>
        <v>2024</v>
      </c>
      <c r="L3896" s="6">
        <f t="shared" si="241"/>
        <v>45536</v>
      </c>
      <c r="M3896" s="3" t="str">
        <f t="shared" si="242"/>
        <v>16% to 20%</v>
      </c>
      <c r="N3896" s="3" t="str">
        <f t="shared" si="243"/>
        <v>OK</v>
      </c>
    </row>
    <row r="3897" spans="1:14" x14ac:dyDescent="0.3">
      <c r="A3897" s="2">
        <f>DATE(VALUE(RIGHT(TRIM([1]Raw_Data!A3895),4)),VALUE(MID(TRIM([1]Raw_Data!A3895),4,2)),VALUE(LEFT(TRIM([1]Raw_Data!A3895),2)))</f>
        <v>45537</v>
      </c>
      <c r="B3897" s="3" t="str">
        <f>TRIM([1]Raw_Data!B3895)</f>
        <v>BCAA</v>
      </c>
      <c r="C3897" s="3" t="str">
        <f>TRIM([1]Raw_Data!C3895)</f>
        <v>Amino Acid</v>
      </c>
      <c r="D3897" s="3">
        <f>[1]Raw_Data!D3895</f>
        <v>158</v>
      </c>
      <c r="E3897" s="4">
        <f>[1]Raw_Data!E3895</f>
        <v>55.23</v>
      </c>
      <c r="F3897" s="5">
        <f>[1]Raw_Data!F3895</f>
        <v>8726.34</v>
      </c>
      <c r="G3897" s="4">
        <f>[1]Raw_Data!G3895</f>
        <v>0.17</v>
      </c>
      <c r="H3897" s="3">
        <f>[1]Raw_Data!H3895</f>
        <v>1</v>
      </c>
      <c r="I3897" s="3" t="str">
        <f>TRIM([1]Raw_Data!I3895)</f>
        <v>USA</v>
      </c>
      <c r="J3897" s="3" t="str">
        <f>TRIM([1]Raw_Data!J3895)</f>
        <v>iHerb</v>
      </c>
      <c r="K3897" s="3">
        <f t="shared" si="240"/>
        <v>2024</v>
      </c>
      <c r="L3897" s="6">
        <f t="shared" si="241"/>
        <v>45536</v>
      </c>
      <c r="M3897" s="3" t="str">
        <f t="shared" si="242"/>
        <v>16% to 20%</v>
      </c>
      <c r="N3897" s="3" t="str">
        <f t="shared" si="243"/>
        <v>OK</v>
      </c>
    </row>
    <row r="3898" spans="1:14" x14ac:dyDescent="0.3">
      <c r="A3898" s="2">
        <f>DATE(VALUE(RIGHT(TRIM([1]Raw_Data!A3896),4)),VALUE(MID(TRIM([1]Raw_Data!A3896),4,2)),VALUE(LEFT(TRIM([1]Raw_Data!A3896),2)))</f>
        <v>45537</v>
      </c>
      <c r="B3898" s="3" t="str">
        <f>TRIM([1]Raw_Data!B3896)</f>
        <v>Creatine</v>
      </c>
      <c r="C3898" s="3" t="str">
        <f>TRIM([1]Raw_Data!C3896)</f>
        <v>Performance</v>
      </c>
      <c r="D3898" s="3">
        <f>[1]Raw_Data!D3896</f>
        <v>166</v>
      </c>
      <c r="E3898" s="4">
        <f>[1]Raw_Data!E3896</f>
        <v>31.22</v>
      </c>
      <c r="F3898" s="5">
        <f>[1]Raw_Data!F3896</f>
        <v>5182.5200000000004</v>
      </c>
      <c r="G3898" s="4">
        <f>[1]Raw_Data!G3896</f>
        <v>0.18</v>
      </c>
      <c r="H3898" s="3">
        <f>[1]Raw_Data!H3896</f>
        <v>3</v>
      </c>
      <c r="I3898" s="3" t="str">
        <f>TRIM([1]Raw_Data!I3896)</f>
        <v>USA</v>
      </c>
      <c r="J3898" s="3" t="str">
        <f>TRIM([1]Raw_Data!J3896)</f>
        <v>Amazon</v>
      </c>
      <c r="K3898" s="3">
        <f t="shared" si="240"/>
        <v>2024</v>
      </c>
      <c r="L3898" s="6">
        <f t="shared" si="241"/>
        <v>45536</v>
      </c>
      <c r="M3898" s="3" t="str">
        <f t="shared" si="242"/>
        <v>16% to 20%</v>
      </c>
      <c r="N3898" s="3" t="str">
        <f t="shared" si="243"/>
        <v>OK</v>
      </c>
    </row>
    <row r="3899" spans="1:14" x14ac:dyDescent="0.3">
      <c r="A3899" s="2">
        <f>DATE(VALUE(RIGHT(TRIM([1]Raw_Data!A3897),4)),VALUE(MID(TRIM([1]Raw_Data!A3897),4,2)),VALUE(LEFT(TRIM([1]Raw_Data!A3897),2)))</f>
        <v>45537</v>
      </c>
      <c r="B3899" s="3" t="str">
        <f>TRIM([1]Raw_Data!B3897)</f>
        <v>Zinc</v>
      </c>
      <c r="C3899" s="3" t="str">
        <f>TRIM([1]Raw_Data!C3897)</f>
        <v>Mineral</v>
      </c>
      <c r="D3899" s="3">
        <f>[1]Raw_Data!D3897</f>
        <v>144</v>
      </c>
      <c r="E3899" s="4">
        <f>[1]Raw_Data!E3897</f>
        <v>15.48</v>
      </c>
      <c r="F3899" s="5">
        <f>[1]Raw_Data!F3897</f>
        <v>2229.12</v>
      </c>
      <c r="G3899" s="4">
        <f>[1]Raw_Data!G3897</f>
        <v>0.06</v>
      </c>
      <c r="H3899" s="3">
        <f>[1]Raw_Data!H3897</f>
        <v>3</v>
      </c>
      <c r="I3899" s="3" t="str">
        <f>TRIM([1]Raw_Data!I3897)</f>
        <v>UK</v>
      </c>
      <c r="J3899" s="3" t="str">
        <f>TRIM([1]Raw_Data!J3897)</f>
        <v>Amazon</v>
      </c>
      <c r="K3899" s="3">
        <f t="shared" si="240"/>
        <v>2024</v>
      </c>
      <c r="L3899" s="6">
        <f t="shared" si="241"/>
        <v>45536</v>
      </c>
      <c r="M3899" s="3" t="str">
        <f t="shared" si="242"/>
        <v>6% to 10%</v>
      </c>
      <c r="N3899" s="3" t="str">
        <f t="shared" si="243"/>
        <v>OK</v>
      </c>
    </row>
    <row r="3900" spans="1:14" x14ac:dyDescent="0.3">
      <c r="A3900" s="2">
        <f>DATE(VALUE(RIGHT(TRIM([1]Raw_Data!A3898),4)),VALUE(MID(TRIM([1]Raw_Data!A3898),4,2)),VALUE(LEFT(TRIM([1]Raw_Data!A3898),2)))</f>
        <v>45537</v>
      </c>
      <c r="B3900" s="3" t="str">
        <f>TRIM([1]Raw_Data!B3898)</f>
        <v>Collagen Peptides</v>
      </c>
      <c r="C3900" s="3" t="str">
        <f>TRIM([1]Raw_Data!C3898)</f>
        <v>Protein</v>
      </c>
      <c r="D3900" s="3">
        <f>[1]Raw_Data!D3898</f>
        <v>145</v>
      </c>
      <c r="E3900" s="4">
        <f>[1]Raw_Data!E3898</f>
        <v>43.3</v>
      </c>
      <c r="F3900" s="5">
        <f>[1]Raw_Data!F3898</f>
        <v>6278.5</v>
      </c>
      <c r="G3900" s="4">
        <f>[1]Raw_Data!G3898</f>
        <v>0.2</v>
      </c>
      <c r="H3900" s="3">
        <f>[1]Raw_Data!H3898</f>
        <v>0</v>
      </c>
      <c r="I3900" s="3" t="str">
        <f>TRIM([1]Raw_Data!I3898)</f>
        <v>USA</v>
      </c>
      <c r="J3900" s="3" t="str">
        <f>TRIM([1]Raw_Data!J3898)</f>
        <v>iHerb</v>
      </c>
      <c r="K3900" s="3">
        <f t="shared" si="240"/>
        <v>2024</v>
      </c>
      <c r="L3900" s="6">
        <f t="shared" si="241"/>
        <v>45536</v>
      </c>
      <c r="M3900" s="3" t="str">
        <f t="shared" si="242"/>
        <v>16% to 20%</v>
      </c>
      <c r="N3900" s="3" t="str">
        <f t="shared" si="243"/>
        <v>OK</v>
      </c>
    </row>
    <row r="3901" spans="1:14" x14ac:dyDescent="0.3">
      <c r="A3901" s="2">
        <f>DATE(VALUE(RIGHT(TRIM([1]Raw_Data!A3899),4)),VALUE(MID(TRIM([1]Raw_Data!A3899),4,2)),VALUE(LEFT(TRIM([1]Raw_Data!A3899),2)))</f>
        <v>45537</v>
      </c>
      <c r="B3901" s="3" t="str">
        <f>TRIM([1]Raw_Data!B3899)</f>
        <v>Magnesium</v>
      </c>
      <c r="C3901" s="3" t="str">
        <f>TRIM([1]Raw_Data!C3899)</f>
        <v>Mineral</v>
      </c>
      <c r="D3901" s="3">
        <f>[1]Raw_Data!D3899</f>
        <v>143</v>
      </c>
      <c r="E3901" s="4">
        <f>[1]Raw_Data!E3899</f>
        <v>28.24</v>
      </c>
      <c r="F3901" s="5">
        <f>[1]Raw_Data!F3899</f>
        <v>4038.32</v>
      </c>
      <c r="G3901" s="4">
        <f>[1]Raw_Data!G3899</f>
        <v>0.25</v>
      </c>
      <c r="H3901" s="3">
        <f>[1]Raw_Data!H3899</f>
        <v>3</v>
      </c>
      <c r="I3901" s="3" t="str">
        <f>TRIM([1]Raw_Data!I3899)</f>
        <v>UK</v>
      </c>
      <c r="J3901" s="3" t="str">
        <f>TRIM([1]Raw_Data!J3899)</f>
        <v>iHerb</v>
      </c>
      <c r="K3901" s="3">
        <f t="shared" si="240"/>
        <v>2024</v>
      </c>
      <c r="L3901" s="6">
        <f t="shared" si="241"/>
        <v>45536</v>
      </c>
      <c r="M3901" s="3" t="str">
        <f t="shared" si="242"/>
        <v>21% to 25%</v>
      </c>
      <c r="N3901" s="3" t="str">
        <f t="shared" si="243"/>
        <v>OK</v>
      </c>
    </row>
    <row r="3902" spans="1:14" x14ac:dyDescent="0.3">
      <c r="A3902" s="2">
        <f>DATE(VALUE(RIGHT(TRIM([1]Raw_Data!A3900),4)),VALUE(MID(TRIM([1]Raw_Data!A3900),4,2)),VALUE(LEFT(TRIM([1]Raw_Data!A3900),2)))</f>
        <v>45537</v>
      </c>
      <c r="B3902" s="3" t="str">
        <f>TRIM([1]Raw_Data!B3900)</f>
        <v>Ashwagandha</v>
      </c>
      <c r="C3902" s="3" t="str">
        <f>TRIM([1]Raw_Data!C3900)</f>
        <v>Herbal</v>
      </c>
      <c r="D3902" s="3">
        <f>[1]Raw_Data!D3900</f>
        <v>149</v>
      </c>
      <c r="E3902" s="4">
        <f>[1]Raw_Data!E3900</f>
        <v>27.38</v>
      </c>
      <c r="F3902" s="5">
        <f>[1]Raw_Data!F3900</f>
        <v>4079.62</v>
      </c>
      <c r="G3902" s="4">
        <f>[1]Raw_Data!G3900</f>
        <v>0.2</v>
      </c>
      <c r="H3902" s="3">
        <f>[1]Raw_Data!H3900</f>
        <v>0</v>
      </c>
      <c r="I3902" s="3" t="str">
        <f>TRIM([1]Raw_Data!I3900)</f>
        <v>UK</v>
      </c>
      <c r="J3902" s="3" t="str">
        <f>TRIM([1]Raw_Data!J3900)</f>
        <v>Amazon</v>
      </c>
      <c r="K3902" s="3">
        <f t="shared" si="240"/>
        <v>2024</v>
      </c>
      <c r="L3902" s="6">
        <f t="shared" si="241"/>
        <v>45536</v>
      </c>
      <c r="M3902" s="3" t="str">
        <f t="shared" si="242"/>
        <v>16% to 20%</v>
      </c>
      <c r="N3902" s="3" t="str">
        <f t="shared" si="243"/>
        <v>OK</v>
      </c>
    </row>
    <row r="3903" spans="1:14" x14ac:dyDescent="0.3">
      <c r="A3903" s="2">
        <f>DATE(VALUE(RIGHT(TRIM([1]Raw_Data!A3901),4)),VALUE(MID(TRIM([1]Raw_Data!A3901),4,2)),VALUE(LEFT(TRIM([1]Raw_Data!A3901),2)))</f>
        <v>45537</v>
      </c>
      <c r="B3903" s="3" t="str">
        <f>TRIM([1]Raw_Data!B3901)</f>
        <v>Melatonin</v>
      </c>
      <c r="C3903" s="3" t="str">
        <f>TRIM([1]Raw_Data!C3901)</f>
        <v>Sleep Aid</v>
      </c>
      <c r="D3903" s="3">
        <f>[1]Raw_Data!D3901</f>
        <v>160</v>
      </c>
      <c r="E3903" s="4">
        <f>[1]Raw_Data!E3901</f>
        <v>15.37</v>
      </c>
      <c r="F3903" s="5">
        <f>[1]Raw_Data!F3901</f>
        <v>2459.1999999999998</v>
      </c>
      <c r="G3903" s="4">
        <f>[1]Raw_Data!G3901</f>
        <v>7.0000000000000007E-2</v>
      </c>
      <c r="H3903" s="3">
        <f>[1]Raw_Data!H3901</f>
        <v>1</v>
      </c>
      <c r="I3903" s="3" t="str">
        <f>TRIM([1]Raw_Data!I3901)</f>
        <v>UK</v>
      </c>
      <c r="J3903" s="3" t="str">
        <f>TRIM([1]Raw_Data!J3901)</f>
        <v>iHerb</v>
      </c>
      <c r="K3903" s="3">
        <f t="shared" si="240"/>
        <v>2024</v>
      </c>
      <c r="L3903" s="6">
        <f t="shared" si="241"/>
        <v>45536</v>
      </c>
      <c r="M3903" s="3" t="str">
        <f t="shared" si="242"/>
        <v>6% to 10%</v>
      </c>
      <c r="N3903" s="3" t="str">
        <f t="shared" si="243"/>
        <v>OK</v>
      </c>
    </row>
    <row r="3904" spans="1:14" x14ac:dyDescent="0.3">
      <c r="A3904" s="2">
        <f>DATE(VALUE(RIGHT(TRIM([1]Raw_Data!A3902),4)),VALUE(MID(TRIM([1]Raw_Data!A3902),4,2)),VALUE(LEFT(TRIM([1]Raw_Data!A3902),2)))</f>
        <v>45537</v>
      </c>
      <c r="B3904" s="3" t="str">
        <f>TRIM([1]Raw_Data!B3902)</f>
        <v>Biotin</v>
      </c>
      <c r="C3904" s="3" t="str">
        <f>TRIM([1]Raw_Data!C3902)</f>
        <v>Vitamin</v>
      </c>
      <c r="D3904" s="3">
        <f>[1]Raw_Data!D3902</f>
        <v>159</v>
      </c>
      <c r="E3904" s="4">
        <f>[1]Raw_Data!E3902</f>
        <v>42.98</v>
      </c>
      <c r="F3904" s="5">
        <f>[1]Raw_Data!F3902</f>
        <v>6833.82</v>
      </c>
      <c r="G3904" s="4">
        <f>[1]Raw_Data!G3902</f>
        <v>0.18</v>
      </c>
      <c r="H3904" s="3">
        <f>[1]Raw_Data!H3902</f>
        <v>2</v>
      </c>
      <c r="I3904" s="3" t="str">
        <f>TRIM([1]Raw_Data!I3902)</f>
        <v>Canada</v>
      </c>
      <c r="J3904" s="3" t="str">
        <f>TRIM([1]Raw_Data!J3902)</f>
        <v>Amazon</v>
      </c>
      <c r="K3904" s="3">
        <f t="shared" si="240"/>
        <v>2024</v>
      </c>
      <c r="L3904" s="6">
        <f t="shared" si="241"/>
        <v>45536</v>
      </c>
      <c r="M3904" s="3" t="str">
        <f t="shared" si="242"/>
        <v>16% to 20%</v>
      </c>
      <c r="N3904" s="3" t="str">
        <f t="shared" si="243"/>
        <v>OK</v>
      </c>
    </row>
    <row r="3905" spans="1:14" x14ac:dyDescent="0.3">
      <c r="A3905" s="2">
        <f>DATE(VALUE(RIGHT(TRIM([1]Raw_Data!A3903),4)),VALUE(MID(TRIM([1]Raw_Data!A3903),4,2)),VALUE(LEFT(TRIM([1]Raw_Data!A3903),2)))</f>
        <v>45537</v>
      </c>
      <c r="B3905" s="3" t="str">
        <f>TRIM([1]Raw_Data!B3903)</f>
        <v>Green Tea Extract</v>
      </c>
      <c r="C3905" s="3" t="str">
        <f>TRIM([1]Raw_Data!C3903)</f>
        <v>Fat Burner</v>
      </c>
      <c r="D3905" s="3">
        <f>[1]Raw_Data!D3903</f>
        <v>160</v>
      </c>
      <c r="E3905" s="4">
        <f>[1]Raw_Data!E3903</f>
        <v>39.36</v>
      </c>
      <c r="F3905" s="5">
        <f>[1]Raw_Data!F3903</f>
        <v>6297.6</v>
      </c>
      <c r="G3905" s="4">
        <f>[1]Raw_Data!G3903</f>
        <v>0.24</v>
      </c>
      <c r="H3905" s="3">
        <f>[1]Raw_Data!H3903</f>
        <v>2</v>
      </c>
      <c r="I3905" s="3" t="str">
        <f>TRIM([1]Raw_Data!I3903)</f>
        <v>USA</v>
      </c>
      <c r="J3905" s="3" t="str">
        <f>TRIM([1]Raw_Data!J3903)</f>
        <v>iHerb</v>
      </c>
      <c r="K3905" s="3">
        <f t="shared" si="240"/>
        <v>2024</v>
      </c>
      <c r="L3905" s="6">
        <f t="shared" si="241"/>
        <v>45536</v>
      </c>
      <c r="M3905" s="3" t="str">
        <f t="shared" si="242"/>
        <v>21% to 25%</v>
      </c>
      <c r="N3905" s="3" t="str">
        <f t="shared" si="243"/>
        <v>OK</v>
      </c>
    </row>
    <row r="3906" spans="1:14" x14ac:dyDescent="0.3">
      <c r="A3906" s="2">
        <f>DATE(VALUE(RIGHT(TRIM([1]Raw_Data!A3904),4)),VALUE(MID(TRIM([1]Raw_Data!A3904),4,2)),VALUE(LEFT(TRIM([1]Raw_Data!A3904),2)))</f>
        <v>45537</v>
      </c>
      <c r="B3906" s="3" t="str">
        <f>TRIM([1]Raw_Data!B3904)</f>
        <v>Iron Supplement</v>
      </c>
      <c r="C3906" s="3" t="str">
        <f>TRIM([1]Raw_Data!C3904)</f>
        <v>Mineral</v>
      </c>
      <c r="D3906" s="3">
        <f>[1]Raw_Data!D3904</f>
        <v>154</v>
      </c>
      <c r="E3906" s="4">
        <f>[1]Raw_Data!E3904</f>
        <v>26.66</v>
      </c>
      <c r="F3906" s="5">
        <f>[1]Raw_Data!F3904</f>
        <v>4105.6400000000003</v>
      </c>
      <c r="G3906" s="4">
        <f>[1]Raw_Data!G3904</f>
        <v>0.18</v>
      </c>
      <c r="H3906" s="3">
        <f>[1]Raw_Data!H3904</f>
        <v>3</v>
      </c>
      <c r="I3906" s="3" t="str">
        <f>TRIM([1]Raw_Data!I3904)</f>
        <v>Canada</v>
      </c>
      <c r="J3906" s="3" t="str">
        <f>TRIM([1]Raw_Data!J3904)</f>
        <v>iHerb</v>
      </c>
      <c r="K3906" s="3">
        <f t="shared" si="240"/>
        <v>2024</v>
      </c>
      <c r="L3906" s="6">
        <f t="shared" si="241"/>
        <v>45536</v>
      </c>
      <c r="M3906" s="3" t="str">
        <f t="shared" si="242"/>
        <v>16% to 20%</v>
      </c>
      <c r="N3906" s="3" t="str">
        <f t="shared" si="243"/>
        <v>OK</v>
      </c>
    </row>
    <row r="3907" spans="1:14" x14ac:dyDescent="0.3">
      <c r="A3907" s="2">
        <f>DATE(VALUE(RIGHT(TRIM([1]Raw_Data!A3905),4)),VALUE(MID(TRIM([1]Raw_Data!A3905),4,2)),VALUE(LEFT(TRIM([1]Raw_Data!A3905),2)))</f>
        <v>45537</v>
      </c>
      <c r="B3907" s="3" t="str">
        <f>TRIM([1]Raw_Data!B3905)</f>
        <v>Electrolyte Powder</v>
      </c>
      <c r="C3907" s="3" t="str">
        <f>TRIM([1]Raw_Data!C3905)</f>
        <v>Hydration</v>
      </c>
      <c r="D3907" s="3">
        <f>[1]Raw_Data!D3905</f>
        <v>139</v>
      </c>
      <c r="E3907" s="4">
        <f>[1]Raw_Data!E3905</f>
        <v>52.62</v>
      </c>
      <c r="F3907" s="5">
        <f>[1]Raw_Data!F3905</f>
        <v>7314.18</v>
      </c>
      <c r="G3907" s="4">
        <f>[1]Raw_Data!G3905</f>
        <v>0.21</v>
      </c>
      <c r="H3907" s="3">
        <f>[1]Raw_Data!H3905</f>
        <v>3</v>
      </c>
      <c r="I3907" s="3" t="str">
        <f>TRIM([1]Raw_Data!I3905)</f>
        <v>UK</v>
      </c>
      <c r="J3907" s="3" t="str">
        <f>TRIM([1]Raw_Data!J3905)</f>
        <v>Amazon</v>
      </c>
      <c r="K3907" s="3">
        <f t="shared" si="240"/>
        <v>2024</v>
      </c>
      <c r="L3907" s="6">
        <f t="shared" si="241"/>
        <v>45536</v>
      </c>
      <c r="M3907" s="3" t="str">
        <f t="shared" si="242"/>
        <v>21% to 25%</v>
      </c>
      <c r="N3907" s="3" t="str">
        <f t="shared" si="243"/>
        <v>OK</v>
      </c>
    </row>
    <row r="3908" spans="1:14" x14ac:dyDescent="0.3">
      <c r="A3908" s="2">
        <f>DATE(VALUE(RIGHT(TRIM([1]Raw_Data!A3906),4)),VALUE(MID(TRIM([1]Raw_Data!A3906),4,2)),VALUE(LEFT(TRIM([1]Raw_Data!A3906),2)))</f>
        <v>45544</v>
      </c>
      <c r="B3908" s="3" t="str">
        <f>TRIM([1]Raw_Data!B3906)</f>
        <v>Whey Protein</v>
      </c>
      <c r="C3908" s="3" t="str">
        <f>TRIM([1]Raw_Data!C3906)</f>
        <v>Protein</v>
      </c>
      <c r="D3908" s="3">
        <f>[1]Raw_Data!D3906</f>
        <v>175</v>
      </c>
      <c r="E3908" s="4">
        <f>[1]Raw_Data!E3906</f>
        <v>42.82</v>
      </c>
      <c r="F3908" s="5">
        <f>[1]Raw_Data!F3906</f>
        <v>7493.5</v>
      </c>
      <c r="G3908" s="4">
        <f>[1]Raw_Data!G3906</f>
        <v>0.1</v>
      </c>
      <c r="H3908" s="3">
        <f>[1]Raw_Data!H3906</f>
        <v>1</v>
      </c>
      <c r="I3908" s="3" t="str">
        <f>TRIM([1]Raw_Data!I3906)</f>
        <v>USA</v>
      </c>
      <c r="J3908" s="3" t="str">
        <f>TRIM([1]Raw_Data!J3906)</f>
        <v>Amazon</v>
      </c>
      <c r="K3908" s="3">
        <f t="shared" ref="K3908:K3971" si="244">YEAR(A3908)</f>
        <v>2024</v>
      </c>
      <c r="L3908" s="6">
        <f t="shared" ref="L3908:L3971" si="245">DATE(YEAR(A3908),MONTH(A3908),1)</f>
        <v>45536</v>
      </c>
      <c r="M3908" s="3" t="str">
        <f t="shared" ref="M3908:M3971" si="246">IF(ROUND(G3908*100,0)&lt;=5,"0% to 5%",IF(ROUND(G3908*100,0)&lt;=10,"6% to 10%",IF(ROUND(G3908*100,0)&lt;=15,"11% to 15%",IF(ROUND(G3908*100,0)&lt;=20,"16% to 20%","21% to 25%"))))</f>
        <v>6% to 10%</v>
      </c>
      <c r="N3908" s="3" t="str">
        <f t="shared" ref="N3908:N3971" si="247">IF(ROUND(D3908*E3908,2)=ROUND(F3908,2),"OK","Check")</f>
        <v>OK</v>
      </c>
    </row>
    <row r="3909" spans="1:14" x14ac:dyDescent="0.3">
      <c r="A3909" s="2">
        <f>DATE(VALUE(RIGHT(TRIM([1]Raw_Data!A3907),4)),VALUE(MID(TRIM([1]Raw_Data!A3907),4,2)),VALUE(LEFT(TRIM([1]Raw_Data!A3907),2)))</f>
        <v>45544</v>
      </c>
      <c r="B3909" s="3" t="str">
        <f>TRIM([1]Raw_Data!B3907)</f>
        <v>Vitamin C</v>
      </c>
      <c r="C3909" s="3" t="str">
        <f>TRIM([1]Raw_Data!C3907)</f>
        <v>Vitamin</v>
      </c>
      <c r="D3909" s="3">
        <f>[1]Raw_Data!D3907</f>
        <v>148</v>
      </c>
      <c r="E3909" s="4">
        <f>[1]Raw_Data!E3907</f>
        <v>35.07</v>
      </c>
      <c r="F3909" s="5">
        <f>[1]Raw_Data!F3907</f>
        <v>5190.3599999999997</v>
      </c>
      <c r="G3909" s="4">
        <f>[1]Raw_Data!G3907</f>
        <v>0.2</v>
      </c>
      <c r="H3909" s="3">
        <f>[1]Raw_Data!H3907</f>
        <v>2</v>
      </c>
      <c r="I3909" s="3" t="str">
        <f>TRIM([1]Raw_Data!I3907)</f>
        <v>UK</v>
      </c>
      <c r="J3909" s="3" t="str">
        <f>TRIM([1]Raw_Data!J3907)</f>
        <v>iHerb</v>
      </c>
      <c r="K3909" s="3">
        <f t="shared" si="244"/>
        <v>2024</v>
      </c>
      <c r="L3909" s="6">
        <f t="shared" si="245"/>
        <v>45536</v>
      </c>
      <c r="M3909" s="3" t="str">
        <f t="shared" si="246"/>
        <v>16% to 20%</v>
      </c>
      <c r="N3909" s="3" t="str">
        <f t="shared" si="247"/>
        <v>OK</v>
      </c>
    </row>
    <row r="3910" spans="1:14" x14ac:dyDescent="0.3">
      <c r="A3910" s="2">
        <f>DATE(VALUE(RIGHT(TRIM([1]Raw_Data!A3908),4)),VALUE(MID(TRIM([1]Raw_Data!A3908),4,2)),VALUE(LEFT(TRIM([1]Raw_Data!A3908),2)))</f>
        <v>45544</v>
      </c>
      <c r="B3910" s="3" t="str">
        <f>TRIM([1]Raw_Data!B3908)</f>
        <v>Fish Oil</v>
      </c>
      <c r="C3910" s="3" t="str">
        <f>TRIM([1]Raw_Data!C3908)</f>
        <v>Omega</v>
      </c>
      <c r="D3910" s="3">
        <f>[1]Raw_Data!D3908</f>
        <v>148</v>
      </c>
      <c r="E3910" s="4">
        <f>[1]Raw_Data!E3908</f>
        <v>50.92</v>
      </c>
      <c r="F3910" s="5">
        <f>[1]Raw_Data!F3908</f>
        <v>7536.16</v>
      </c>
      <c r="G3910" s="4">
        <f>[1]Raw_Data!G3908</f>
        <v>0.14000000000000001</v>
      </c>
      <c r="H3910" s="3">
        <f>[1]Raw_Data!H3908</f>
        <v>3</v>
      </c>
      <c r="I3910" s="3" t="str">
        <f>TRIM([1]Raw_Data!I3908)</f>
        <v>Canada</v>
      </c>
      <c r="J3910" s="3" t="str">
        <f>TRIM([1]Raw_Data!J3908)</f>
        <v>Amazon</v>
      </c>
      <c r="K3910" s="3">
        <f t="shared" si="244"/>
        <v>2024</v>
      </c>
      <c r="L3910" s="6">
        <f t="shared" si="245"/>
        <v>45536</v>
      </c>
      <c r="M3910" s="3" t="str">
        <f t="shared" si="246"/>
        <v>11% to 15%</v>
      </c>
      <c r="N3910" s="3" t="str">
        <f t="shared" si="247"/>
        <v>OK</v>
      </c>
    </row>
    <row r="3911" spans="1:14" x14ac:dyDescent="0.3">
      <c r="A3911" s="2">
        <f>DATE(VALUE(RIGHT(TRIM([1]Raw_Data!A3909),4)),VALUE(MID(TRIM([1]Raw_Data!A3909),4,2)),VALUE(LEFT(TRIM([1]Raw_Data!A3909),2)))</f>
        <v>45544</v>
      </c>
      <c r="B3911" s="3" t="str">
        <f>TRIM([1]Raw_Data!B3909)</f>
        <v>Multivitamin</v>
      </c>
      <c r="C3911" s="3" t="str">
        <f>TRIM([1]Raw_Data!C3909)</f>
        <v>Vitamin</v>
      </c>
      <c r="D3911" s="3">
        <f>[1]Raw_Data!D3909</f>
        <v>158</v>
      </c>
      <c r="E3911" s="4">
        <f>[1]Raw_Data!E3909</f>
        <v>47.73</v>
      </c>
      <c r="F3911" s="5">
        <f>[1]Raw_Data!F3909</f>
        <v>7541.34</v>
      </c>
      <c r="G3911" s="4">
        <f>[1]Raw_Data!G3909</f>
        <v>0.01</v>
      </c>
      <c r="H3911" s="3">
        <f>[1]Raw_Data!H3909</f>
        <v>0</v>
      </c>
      <c r="I3911" s="3" t="str">
        <f>TRIM([1]Raw_Data!I3909)</f>
        <v>USA</v>
      </c>
      <c r="J3911" s="3" t="str">
        <f>TRIM([1]Raw_Data!J3909)</f>
        <v>iHerb</v>
      </c>
      <c r="K3911" s="3">
        <f t="shared" si="244"/>
        <v>2024</v>
      </c>
      <c r="L3911" s="6">
        <f t="shared" si="245"/>
        <v>45536</v>
      </c>
      <c r="M3911" s="3" t="str">
        <f t="shared" si="246"/>
        <v>0% to 5%</v>
      </c>
      <c r="N3911" s="3" t="str">
        <f t="shared" si="247"/>
        <v>OK</v>
      </c>
    </row>
    <row r="3912" spans="1:14" x14ac:dyDescent="0.3">
      <c r="A3912" s="2">
        <f>DATE(VALUE(RIGHT(TRIM([1]Raw_Data!A3910),4)),VALUE(MID(TRIM([1]Raw_Data!A3910),4,2)),VALUE(LEFT(TRIM([1]Raw_Data!A3910),2)))</f>
        <v>45544</v>
      </c>
      <c r="B3912" s="3" t="str">
        <f>TRIM([1]Raw_Data!B3910)</f>
        <v>Pre-Workout</v>
      </c>
      <c r="C3912" s="3" t="str">
        <f>TRIM([1]Raw_Data!C3910)</f>
        <v>Performance</v>
      </c>
      <c r="D3912" s="3">
        <f>[1]Raw_Data!D3910</f>
        <v>129</v>
      </c>
      <c r="E3912" s="4">
        <f>[1]Raw_Data!E3910</f>
        <v>21.77</v>
      </c>
      <c r="F3912" s="5">
        <f>[1]Raw_Data!F3910</f>
        <v>2808.33</v>
      </c>
      <c r="G3912" s="4">
        <f>[1]Raw_Data!G3910</f>
        <v>0.25</v>
      </c>
      <c r="H3912" s="3">
        <f>[1]Raw_Data!H3910</f>
        <v>1</v>
      </c>
      <c r="I3912" s="3" t="str">
        <f>TRIM([1]Raw_Data!I3910)</f>
        <v>USA</v>
      </c>
      <c r="J3912" s="3" t="str">
        <f>TRIM([1]Raw_Data!J3910)</f>
        <v>iHerb</v>
      </c>
      <c r="K3912" s="3">
        <f t="shared" si="244"/>
        <v>2024</v>
      </c>
      <c r="L3912" s="6">
        <f t="shared" si="245"/>
        <v>45536</v>
      </c>
      <c r="M3912" s="3" t="str">
        <f t="shared" si="246"/>
        <v>21% to 25%</v>
      </c>
      <c r="N3912" s="3" t="str">
        <f t="shared" si="247"/>
        <v>OK</v>
      </c>
    </row>
    <row r="3913" spans="1:14" x14ac:dyDescent="0.3">
      <c r="A3913" s="2">
        <f>DATE(VALUE(RIGHT(TRIM([1]Raw_Data!A3911),4)),VALUE(MID(TRIM([1]Raw_Data!A3911),4,2)),VALUE(LEFT(TRIM([1]Raw_Data!A3911),2)))</f>
        <v>45544</v>
      </c>
      <c r="B3913" s="3" t="str">
        <f>TRIM([1]Raw_Data!B3911)</f>
        <v>BCAA</v>
      </c>
      <c r="C3913" s="3" t="str">
        <f>TRIM([1]Raw_Data!C3911)</f>
        <v>Amino Acid</v>
      </c>
      <c r="D3913" s="3">
        <f>[1]Raw_Data!D3911</f>
        <v>156</v>
      </c>
      <c r="E3913" s="4">
        <f>[1]Raw_Data!E3911</f>
        <v>26.09</v>
      </c>
      <c r="F3913" s="5">
        <f>[1]Raw_Data!F3911</f>
        <v>4070.04</v>
      </c>
      <c r="G3913" s="4">
        <f>[1]Raw_Data!G3911</f>
        <v>0.08</v>
      </c>
      <c r="H3913" s="3">
        <f>[1]Raw_Data!H3911</f>
        <v>2</v>
      </c>
      <c r="I3913" s="3" t="str">
        <f>TRIM([1]Raw_Data!I3911)</f>
        <v>USA</v>
      </c>
      <c r="J3913" s="3" t="str">
        <f>TRIM([1]Raw_Data!J3911)</f>
        <v>Walmart</v>
      </c>
      <c r="K3913" s="3">
        <f t="shared" si="244"/>
        <v>2024</v>
      </c>
      <c r="L3913" s="6">
        <f t="shared" si="245"/>
        <v>45536</v>
      </c>
      <c r="M3913" s="3" t="str">
        <f t="shared" si="246"/>
        <v>6% to 10%</v>
      </c>
      <c r="N3913" s="3" t="str">
        <f t="shared" si="247"/>
        <v>OK</v>
      </c>
    </row>
    <row r="3914" spans="1:14" x14ac:dyDescent="0.3">
      <c r="A3914" s="2">
        <f>DATE(VALUE(RIGHT(TRIM([1]Raw_Data!A3912),4)),VALUE(MID(TRIM([1]Raw_Data!A3912),4,2)),VALUE(LEFT(TRIM([1]Raw_Data!A3912),2)))</f>
        <v>45544</v>
      </c>
      <c r="B3914" s="3" t="str">
        <f>TRIM([1]Raw_Data!B3912)</f>
        <v>Creatine</v>
      </c>
      <c r="C3914" s="3" t="str">
        <f>TRIM([1]Raw_Data!C3912)</f>
        <v>Performance</v>
      </c>
      <c r="D3914" s="3">
        <f>[1]Raw_Data!D3912</f>
        <v>149</v>
      </c>
      <c r="E3914" s="4">
        <f>[1]Raw_Data!E3912</f>
        <v>39.6</v>
      </c>
      <c r="F3914" s="5">
        <f>[1]Raw_Data!F3912</f>
        <v>5900.4</v>
      </c>
      <c r="G3914" s="4">
        <f>[1]Raw_Data!G3912</f>
        <v>0.19</v>
      </c>
      <c r="H3914" s="3">
        <f>[1]Raw_Data!H3912</f>
        <v>0</v>
      </c>
      <c r="I3914" s="3" t="str">
        <f>TRIM([1]Raw_Data!I3912)</f>
        <v>UK</v>
      </c>
      <c r="J3914" s="3" t="str">
        <f>TRIM([1]Raw_Data!J3912)</f>
        <v>Walmart</v>
      </c>
      <c r="K3914" s="3">
        <f t="shared" si="244"/>
        <v>2024</v>
      </c>
      <c r="L3914" s="6">
        <f t="shared" si="245"/>
        <v>45536</v>
      </c>
      <c r="M3914" s="3" t="str">
        <f t="shared" si="246"/>
        <v>16% to 20%</v>
      </c>
      <c r="N3914" s="3" t="str">
        <f t="shared" si="247"/>
        <v>OK</v>
      </c>
    </row>
    <row r="3915" spans="1:14" x14ac:dyDescent="0.3">
      <c r="A3915" s="2">
        <f>DATE(VALUE(RIGHT(TRIM([1]Raw_Data!A3913),4)),VALUE(MID(TRIM([1]Raw_Data!A3913),4,2)),VALUE(LEFT(TRIM([1]Raw_Data!A3913),2)))</f>
        <v>45544</v>
      </c>
      <c r="B3915" s="3" t="str">
        <f>TRIM([1]Raw_Data!B3913)</f>
        <v>Zinc</v>
      </c>
      <c r="C3915" s="3" t="str">
        <f>TRIM([1]Raw_Data!C3913)</f>
        <v>Mineral</v>
      </c>
      <c r="D3915" s="3">
        <f>[1]Raw_Data!D3913</f>
        <v>161</v>
      </c>
      <c r="E3915" s="4">
        <f>[1]Raw_Data!E3913</f>
        <v>43.45</v>
      </c>
      <c r="F3915" s="5">
        <f>[1]Raw_Data!F3913</f>
        <v>6995.45</v>
      </c>
      <c r="G3915" s="4">
        <f>[1]Raw_Data!G3913</f>
        <v>0.08</v>
      </c>
      <c r="H3915" s="3">
        <f>[1]Raw_Data!H3913</f>
        <v>1</v>
      </c>
      <c r="I3915" s="3" t="str">
        <f>TRIM([1]Raw_Data!I3913)</f>
        <v>USA</v>
      </c>
      <c r="J3915" s="3" t="str">
        <f>TRIM([1]Raw_Data!J3913)</f>
        <v>iHerb</v>
      </c>
      <c r="K3915" s="3">
        <f t="shared" si="244"/>
        <v>2024</v>
      </c>
      <c r="L3915" s="6">
        <f t="shared" si="245"/>
        <v>45536</v>
      </c>
      <c r="M3915" s="3" t="str">
        <f t="shared" si="246"/>
        <v>6% to 10%</v>
      </c>
      <c r="N3915" s="3" t="str">
        <f t="shared" si="247"/>
        <v>OK</v>
      </c>
    </row>
    <row r="3916" spans="1:14" x14ac:dyDescent="0.3">
      <c r="A3916" s="2">
        <f>DATE(VALUE(RIGHT(TRIM([1]Raw_Data!A3914),4)),VALUE(MID(TRIM([1]Raw_Data!A3914),4,2)),VALUE(LEFT(TRIM([1]Raw_Data!A3914),2)))</f>
        <v>45544</v>
      </c>
      <c r="B3916" s="3" t="str">
        <f>TRIM([1]Raw_Data!B3914)</f>
        <v>Collagen Peptides</v>
      </c>
      <c r="C3916" s="3" t="str">
        <f>TRIM([1]Raw_Data!C3914)</f>
        <v>Protein</v>
      </c>
      <c r="D3916" s="3">
        <f>[1]Raw_Data!D3914</f>
        <v>150</v>
      </c>
      <c r="E3916" s="4">
        <f>[1]Raw_Data!E3914</f>
        <v>35.369999999999997</v>
      </c>
      <c r="F3916" s="5">
        <f>[1]Raw_Data!F3914</f>
        <v>5305.5</v>
      </c>
      <c r="G3916" s="4">
        <f>[1]Raw_Data!G3914</f>
        <v>0.01</v>
      </c>
      <c r="H3916" s="3">
        <f>[1]Raw_Data!H3914</f>
        <v>3</v>
      </c>
      <c r="I3916" s="3" t="str">
        <f>TRIM([1]Raw_Data!I3914)</f>
        <v>UK</v>
      </c>
      <c r="J3916" s="3" t="str">
        <f>TRIM([1]Raw_Data!J3914)</f>
        <v>iHerb</v>
      </c>
      <c r="K3916" s="3">
        <f t="shared" si="244"/>
        <v>2024</v>
      </c>
      <c r="L3916" s="6">
        <f t="shared" si="245"/>
        <v>45536</v>
      </c>
      <c r="M3916" s="3" t="str">
        <f t="shared" si="246"/>
        <v>0% to 5%</v>
      </c>
      <c r="N3916" s="3" t="str">
        <f t="shared" si="247"/>
        <v>OK</v>
      </c>
    </row>
    <row r="3917" spans="1:14" x14ac:dyDescent="0.3">
      <c r="A3917" s="2">
        <f>DATE(VALUE(RIGHT(TRIM([1]Raw_Data!A3915),4)),VALUE(MID(TRIM([1]Raw_Data!A3915),4,2)),VALUE(LEFT(TRIM([1]Raw_Data!A3915),2)))</f>
        <v>45544</v>
      </c>
      <c r="B3917" s="3" t="str">
        <f>TRIM([1]Raw_Data!B3915)</f>
        <v>Magnesium</v>
      </c>
      <c r="C3917" s="3" t="str">
        <f>TRIM([1]Raw_Data!C3915)</f>
        <v>Mineral</v>
      </c>
      <c r="D3917" s="3">
        <f>[1]Raw_Data!D3915</f>
        <v>163</v>
      </c>
      <c r="E3917" s="4">
        <f>[1]Raw_Data!E3915</f>
        <v>40.49</v>
      </c>
      <c r="F3917" s="5">
        <f>[1]Raw_Data!F3915</f>
        <v>6599.87</v>
      </c>
      <c r="G3917" s="4">
        <f>[1]Raw_Data!G3915</f>
        <v>0.14000000000000001</v>
      </c>
      <c r="H3917" s="3">
        <f>[1]Raw_Data!H3915</f>
        <v>6</v>
      </c>
      <c r="I3917" s="3" t="str">
        <f>TRIM([1]Raw_Data!I3915)</f>
        <v>USA</v>
      </c>
      <c r="J3917" s="3" t="str">
        <f>TRIM([1]Raw_Data!J3915)</f>
        <v>Amazon</v>
      </c>
      <c r="K3917" s="3">
        <f t="shared" si="244"/>
        <v>2024</v>
      </c>
      <c r="L3917" s="6">
        <f t="shared" si="245"/>
        <v>45536</v>
      </c>
      <c r="M3917" s="3" t="str">
        <f t="shared" si="246"/>
        <v>11% to 15%</v>
      </c>
      <c r="N3917" s="3" t="str">
        <f t="shared" si="247"/>
        <v>OK</v>
      </c>
    </row>
    <row r="3918" spans="1:14" x14ac:dyDescent="0.3">
      <c r="A3918" s="2">
        <f>DATE(VALUE(RIGHT(TRIM([1]Raw_Data!A3916),4)),VALUE(MID(TRIM([1]Raw_Data!A3916),4,2)),VALUE(LEFT(TRIM([1]Raw_Data!A3916),2)))</f>
        <v>45544</v>
      </c>
      <c r="B3918" s="3" t="str">
        <f>TRIM([1]Raw_Data!B3916)</f>
        <v>Ashwagandha</v>
      </c>
      <c r="C3918" s="3" t="str">
        <f>TRIM([1]Raw_Data!C3916)</f>
        <v>Herbal</v>
      </c>
      <c r="D3918" s="3">
        <f>[1]Raw_Data!D3916</f>
        <v>142</v>
      </c>
      <c r="E3918" s="4">
        <f>[1]Raw_Data!E3916</f>
        <v>39.07</v>
      </c>
      <c r="F3918" s="5">
        <f>[1]Raw_Data!F3916</f>
        <v>5547.94</v>
      </c>
      <c r="G3918" s="4">
        <f>[1]Raw_Data!G3916</f>
        <v>0.24</v>
      </c>
      <c r="H3918" s="3">
        <f>[1]Raw_Data!H3916</f>
        <v>2</v>
      </c>
      <c r="I3918" s="3" t="str">
        <f>TRIM([1]Raw_Data!I3916)</f>
        <v>USA</v>
      </c>
      <c r="J3918" s="3" t="str">
        <f>TRIM([1]Raw_Data!J3916)</f>
        <v>Walmart</v>
      </c>
      <c r="K3918" s="3">
        <f t="shared" si="244"/>
        <v>2024</v>
      </c>
      <c r="L3918" s="6">
        <f t="shared" si="245"/>
        <v>45536</v>
      </c>
      <c r="M3918" s="3" t="str">
        <f t="shared" si="246"/>
        <v>21% to 25%</v>
      </c>
      <c r="N3918" s="3" t="str">
        <f t="shared" si="247"/>
        <v>OK</v>
      </c>
    </row>
    <row r="3919" spans="1:14" x14ac:dyDescent="0.3">
      <c r="A3919" s="2">
        <f>DATE(VALUE(RIGHT(TRIM([1]Raw_Data!A3917),4)),VALUE(MID(TRIM([1]Raw_Data!A3917),4,2)),VALUE(LEFT(TRIM([1]Raw_Data!A3917),2)))</f>
        <v>45544</v>
      </c>
      <c r="B3919" s="3" t="str">
        <f>TRIM([1]Raw_Data!B3917)</f>
        <v>Melatonin</v>
      </c>
      <c r="C3919" s="3" t="str">
        <f>TRIM([1]Raw_Data!C3917)</f>
        <v>Sleep Aid</v>
      </c>
      <c r="D3919" s="3">
        <f>[1]Raw_Data!D3917</f>
        <v>138</v>
      </c>
      <c r="E3919" s="4">
        <f>[1]Raw_Data!E3917</f>
        <v>45.56</v>
      </c>
      <c r="F3919" s="5">
        <f>[1]Raw_Data!F3917</f>
        <v>6287.28</v>
      </c>
      <c r="G3919" s="4">
        <f>[1]Raw_Data!G3917</f>
        <v>0.19</v>
      </c>
      <c r="H3919" s="3">
        <f>[1]Raw_Data!H3917</f>
        <v>0</v>
      </c>
      <c r="I3919" s="3" t="str">
        <f>TRIM([1]Raw_Data!I3917)</f>
        <v>UK</v>
      </c>
      <c r="J3919" s="3" t="str">
        <f>TRIM([1]Raw_Data!J3917)</f>
        <v>iHerb</v>
      </c>
      <c r="K3919" s="3">
        <f t="shared" si="244"/>
        <v>2024</v>
      </c>
      <c r="L3919" s="6">
        <f t="shared" si="245"/>
        <v>45536</v>
      </c>
      <c r="M3919" s="3" t="str">
        <f t="shared" si="246"/>
        <v>16% to 20%</v>
      </c>
      <c r="N3919" s="3" t="str">
        <f t="shared" si="247"/>
        <v>OK</v>
      </c>
    </row>
    <row r="3920" spans="1:14" x14ac:dyDescent="0.3">
      <c r="A3920" s="2">
        <f>DATE(VALUE(RIGHT(TRIM([1]Raw_Data!A3918),4)),VALUE(MID(TRIM([1]Raw_Data!A3918),4,2)),VALUE(LEFT(TRIM([1]Raw_Data!A3918),2)))</f>
        <v>45544</v>
      </c>
      <c r="B3920" s="3" t="str">
        <f>TRIM([1]Raw_Data!B3918)</f>
        <v>Biotin</v>
      </c>
      <c r="C3920" s="3" t="str">
        <f>TRIM([1]Raw_Data!C3918)</f>
        <v>Vitamin</v>
      </c>
      <c r="D3920" s="3">
        <f>[1]Raw_Data!D3918</f>
        <v>150</v>
      </c>
      <c r="E3920" s="4">
        <f>[1]Raw_Data!E3918</f>
        <v>53.75</v>
      </c>
      <c r="F3920" s="5">
        <f>[1]Raw_Data!F3918</f>
        <v>8062.5</v>
      </c>
      <c r="G3920" s="4">
        <f>[1]Raw_Data!G3918</f>
        <v>0.04</v>
      </c>
      <c r="H3920" s="3">
        <f>[1]Raw_Data!H3918</f>
        <v>2</v>
      </c>
      <c r="I3920" s="3" t="str">
        <f>TRIM([1]Raw_Data!I3918)</f>
        <v>USA</v>
      </c>
      <c r="J3920" s="3" t="str">
        <f>TRIM([1]Raw_Data!J3918)</f>
        <v>iHerb</v>
      </c>
      <c r="K3920" s="3">
        <f t="shared" si="244"/>
        <v>2024</v>
      </c>
      <c r="L3920" s="6">
        <f t="shared" si="245"/>
        <v>45536</v>
      </c>
      <c r="M3920" s="3" t="str">
        <f t="shared" si="246"/>
        <v>0% to 5%</v>
      </c>
      <c r="N3920" s="3" t="str">
        <f t="shared" si="247"/>
        <v>OK</v>
      </c>
    </row>
    <row r="3921" spans="1:14" x14ac:dyDescent="0.3">
      <c r="A3921" s="2">
        <f>DATE(VALUE(RIGHT(TRIM([1]Raw_Data!A3919),4)),VALUE(MID(TRIM([1]Raw_Data!A3919),4,2)),VALUE(LEFT(TRIM([1]Raw_Data!A3919),2)))</f>
        <v>45544</v>
      </c>
      <c r="B3921" s="3" t="str">
        <f>TRIM([1]Raw_Data!B3919)</f>
        <v>Green Tea Extract</v>
      </c>
      <c r="C3921" s="3" t="str">
        <f>TRIM([1]Raw_Data!C3919)</f>
        <v>Fat Burner</v>
      </c>
      <c r="D3921" s="3">
        <f>[1]Raw_Data!D3919</f>
        <v>141</v>
      </c>
      <c r="E3921" s="4">
        <f>[1]Raw_Data!E3919</f>
        <v>57.03</v>
      </c>
      <c r="F3921" s="5">
        <f>[1]Raw_Data!F3919</f>
        <v>8041.23</v>
      </c>
      <c r="G3921" s="4">
        <f>[1]Raw_Data!G3919</f>
        <v>0.06</v>
      </c>
      <c r="H3921" s="3">
        <f>[1]Raw_Data!H3919</f>
        <v>0</v>
      </c>
      <c r="I3921" s="3" t="str">
        <f>TRIM([1]Raw_Data!I3919)</f>
        <v>UK</v>
      </c>
      <c r="J3921" s="3" t="str">
        <f>TRIM([1]Raw_Data!J3919)</f>
        <v>Walmart</v>
      </c>
      <c r="K3921" s="3">
        <f t="shared" si="244"/>
        <v>2024</v>
      </c>
      <c r="L3921" s="6">
        <f t="shared" si="245"/>
        <v>45536</v>
      </c>
      <c r="M3921" s="3" t="str">
        <f t="shared" si="246"/>
        <v>6% to 10%</v>
      </c>
      <c r="N3921" s="3" t="str">
        <f t="shared" si="247"/>
        <v>OK</v>
      </c>
    </row>
    <row r="3922" spans="1:14" x14ac:dyDescent="0.3">
      <c r="A3922" s="2">
        <f>DATE(VALUE(RIGHT(TRIM([1]Raw_Data!A3920),4)),VALUE(MID(TRIM([1]Raw_Data!A3920),4,2)),VALUE(LEFT(TRIM([1]Raw_Data!A3920),2)))</f>
        <v>45544</v>
      </c>
      <c r="B3922" s="3" t="str">
        <f>TRIM([1]Raw_Data!B3920)</f>
        <v>Iron Supplement</v>
      </c>
      <c r="C3922" s="3" t="str">
        <f>TRIM([1]Raw_Data!C3920)</f>
        <v>Mineral</v>
      </c>
      <c r="D3922" s="3">
        <f>[1]Raw_Data!D3920</f>
        <v>127</v>
      </c>
      <c r="E3922" s="4">
        <f>[1]Raw_Data!E3920</f>
        <v>42.09</v>
      </c>
      <c r="F3922" s="5">
        <f>[1]Raw_Data!F3920</f>
        <v>5345.43</v>
      </c>
      <c r="G3922" s="4">
        <f>[1]Raw_Data!G3920</f>
        <v>0.08</v>
      </c>
      <c r="H3922" s="3">
        <f>[1]Raw_Data!H3920</f>
        <v>2</v>
      </c>
      <c r="I3922" s="3" t="str">
        <f>TRIM([1]Raw_Data!I3920)</f>
        <v>USA</v>
      </c>
      <c r="J3922" s="3" t="str">
        <f>TRIM([1]Raw_Data!J3920)</f>
        <v>iHerb</v>
      </c>
      <c r="K3922" s="3">
        <f t="shared" si="244"/>
        <v>2024</v>
      </c>
      <c r="L3922" s="6">
        <f t="shared" si="245"/>
        <v>45536</v>
      </c>
      <c r="M3922" s="3" t="str">
        <f t="shared" si="246"/>
        <v>6% to 10%</v>
      </c>
      <c r="N3922" s="3" t="str">
        <f t="shared" si="247"/>
        <v>OK</v>
      </c>
    </row>
    <row r="3923" spans="1:14" x14ac:dyDescent="0.3">
      <c r="A3923" s="2">
        <f>DATE(VALUE(RIGHT(TRIM([1]Raw_Data!A3921),4)),VALUE(MID(TRIM([1]Raw_Data!A3921),4,2)),VALUE(LEFT(TRIM([1]Raw_Data!A3921),2)))</f>
        <v>45544</v>
      </c>
      <c r="B3923" s="3" t="str">
        <f>TRIM([1]Raw_Data!B3921)</f>
        <v>Electrolyte Powder</v>
      </c>
      <c r="C3923" s="3" t="str">
        <f>TRIM([1]Raw_Data!C3921)</f>
        <v>Hydration</v>
      </c>
      <c r="D3923" s="3">
        <f>[1]Raw_Data!D3921</f>
        <v>174</v>
      </c>
      <c r="E3923" s="4">
        <f>[1]Raw_Data!E3921</f>
        <v>29.96</v>
      </c>
      <c r="F3923" s="5">
        <f>[1]Raw_Data!F3921</f>
        <v>5213.04</v>
      </c>
      <c r="G3923" s="4">
        <f>[1]Raw_Data!G3921</f>
        <v>0.19</v>
      </c>
      <c r="H3923" s="3">
        <f>[1]Raw_Data!H3921</f>
        <v>0</v>
      </c>
      <c r="I3923" s="3" t="str">
        <f>TRIM([1]Raw_Data!I3921)</f>
        <v>Canada</v>
      </c>
      <c r="J3923" s="3" t="str">
        <f>TRIM([1]Raw_Data!J3921)</f>
        <v>iHerb</v>
      </c>
      <c r="K3923" s="3">
        <f t="shared" si="244"/>
        <v>2024</v>
      </c>
      <c r="L3923" s="6">
        <f t="shared" si="245"/>
        <v>45536</v>
      </c>
      <c r="M3923" s="3" t="str">
        <f t="shared" si="246"/>
        <v>16% to 20%</v>
      </c>
      <c r="N3923" s="3" t="str">
        <f t="shared" si="247"/>
        <v>OK</v>
      </c>
    </row>
    <row r="3924" spans="1:14" x14ac:dyDescent="0.3">
      <c r="A3924" s="2">
        <f>DATE(VALUE(RIGHT(TRIM([1]Raw_Data!A3922),4)),VALUE(MID(TRIM([1]Raw_Data!A3922),4,2)),VALUE(LEFT(TRIM([1]Raw_Data!A3922),2)))</f>
        <v>45551</v>
      </c>
      <c r="B3924" s="3" t="str">
        <f>TRIM([1]Raw_Data!B3922)</f>
        <v>Whey Protein</v>
      </c>
      <c r="C3924" s="3" t="str">
        <f>TRIM([1]Raw_Data!C3922)</f>
        <v>Protein</v>
      </c>
      <c r="D3924" s="3">
        <f>[1]Raw_Data!D3922</f>
        <v>143</v>
      </c>
      <c r="E3924" s="4">
        <f>[1]Raw_Data!E3922</f>
        <v>32.74</v>
      </c>
      <c r="F3924" s="5">
        <f>[1]Raw_Data!F3922</f>
        <v>4681.82</v>
      </c>
      <c r="G3924" s="4">
        <f>[1]Raw_Data!G3922</f>
        <v>0.14000000000000001</v>
      </c>
      <c r="H3924" s="3">
        <f>[1]Raw_Data!H3922</f>
        <v>0</v>
      </c>
      <c r="I3924" s="3" t="str">
        <f>TRIM([1]Raw_Data!I3922)</f>
        <v>UK</v>
      </c>
      <c r="J3924" s="3" t="str">
        <f>TRIM([1]Raw_Data!J3922)</f>
        <v>iHerb</v>
      </c>
      <c r="K3924" s="3">
        <f t="shared" si="244"/>
        <v>2024</v>
      </c>
      <c r="L3924" s="6">
        <f t="shared" si="245"/>
        <v>45536</v>
      </c>
      <c r="M3924" s="3" t="str">
        <f t="shared" si="246"/>
        <v>11% to 15%</v>
      </c>
      <c r="N3924" s="3" t="str">
        <f t="shared" si="247"/>
        <v>OK</v>
      </c>
    </row>
    <row r="3925" spans="1:14" x14ac:dyDescent="0.3">
      <c r="A3925" s="2">
        <f>DATE(VALUE(RIGHT(TRIM([1]Raw_Data!A3923),4)),VALUE(MID(TRIM([1]Raw_Data!A3923),4,2)),VALUE(LEFT(TRIM([1]Raw_Data!A3923),2)))</f>
        <v>45551</v>
      </c>
      <c r="B3925" s="3" t="str">
        <f>TRIM([1]Raw_Data!B3923)</f>
        <v>Vitamin C</v>
      </c>
      <c r="C3925" s="3" t="str">
        <f>TRIM([1]Raw_Data!C3923)</f>
        <v>Vitamin</v>
      </c>
      <c r="D3925" s="3">
        <f>[1]Raw_Data!D3923</f>
        <v>139</v>
      </c>
      <c r="E3925" s="4">
        <f>[1]Raw_Data!E3923</f>
        <v>31.74</v>
      </c>
      <c r="F3925" s="5">
        <f>[1]Raw_Data!F3923</f>
        <v>4411.8599999999997</v>
      </c>
      <c r="G3925" s="4">
        <f>[1]Raw_Data!G3923</f>
        <v>0.01</v>
      </c>
      <c r="H3925" s="3">
        <f>[1]Raw_Data!H3923</f>
        <v>1</v>
      </c>
      <c r="I3925" s="3" t="str">
        <f>TRIM([1]Raw_Data!I3923)</f>
        <v>USA</v>
      </c>
      <c r="J3925" s="3" t="str">
        <f>TRIM([1]Raw_Data!J3923)</f>
        <v>Amazon</v>
      </c>
      <c r="K3925" s="3">
        <f t="shared" si="244"/>
        <v>2024</v>
      </c>
      <c r="L3925" s="6">
        <f t="shared" si="245"/>
        <v>45536</v>
      </c>
      <c r="M3925" s="3" t="str">
        <f t="shared" si="246"/>
        <v>0% to 5%</v>
      </c>
      <c r="N3925" s="3" t="str">
        <f t="shared" si="247"/>
        <v>OK</v>
      </c>
    </row>
    <row r="3926" spans="1:14" x14ac:dyDescent="0.3">
      <c r="A3926" s="2">
        <f>DATE(VALUE(RIGHT(TRIM([1]Raw_Data!A3924),4)),VALUE(MID(TRIM([1]Raw_Data!A3924),4,2)),VALUE(LEFT(TRIM([1]Raw_Data!A3924),2)))</f>
        <v>45551</v>
      </c>
      <c r="B3926" s="3" t="str">
        <f>TRIM([1]Raw_Data!B3924)</f>
        <v>Fish Oil</v>
      </c>
      <c r="C3926" s="3" t="str">
        <f>TRIM([1]Raw_Data!C3924)</f>
        <v>Omega</v>
      </c>
      <c r="D3926" s="3">
        <f>[1]Raw_Data!D3924</f>
        <v>151</v>
      </c>
      <c r="E3926" s="4">
        <f>[1]Raw_Data!E3924</f>
        <v>46.62</v>
      </c>
      <c r="F3926" s="5">
        <f>[1]Raw_Data!F3924</f>
        <v>7039.62</v>
      </c>
      <c r="G3926" s="4">
        <f>[1]Raw_Data!G3924</f>
        <v>0.02</v>
      </c>
      <c r="H3926" s="3">
        <f>[1]Raw_Data!H3924</f>
        <v>0</v>
      </c>
      <c r="I3926" s="3" t="str">
        <f>TRIM([1]Raw_Data!I3924)</f>
        <v>USA</v>
      </c>
      <c r="J3926" s="3" t="str">
        <f>TRIM([1]Raw_Data!J3924)</f>
        <v>iHerb</v>
      </c>
      <c r="K3926" s="3">
        <f t="shared" si="244"/>
        <v>2024</v>
      </c>
      <c r="L3926" s="6">
        <f t="shared" si="245"/>
        <v>45536</v>
      </c>
      <c r="M3926" s="3" t="str">
        <f t="shared" si="246"/>
        <v>0% to 5%</v>
      </c>
      <c r="N3926" s="3" t="str">
        <f t="shared" si="247"/>
        <v>OK</v>
      </c>
    </row>
    <row r="3927" spans="1:14" x14ac:dyDescent="0.3">
      <c r="A3927" s="2">
        <f>DATE(VALUE(RIGHT(TRIM([1]Raw_Data!A3925),4)),VALUE(MID(TRIM([1]Raw_Data!A3925),4,2)),VALUE(LEFT(TRIM([1]Raw_Data!A3925),2)))</f>
        <v>45551</v>
      </c>
      <c r="B3927" s="3" t="str">
        <f>TRIM([1]Raw_Data!B3925)</f>
        <v>Multivitamin</v>
      </c>
      <c r="C3927" s="3" t="str">
        <f>TRIM([1]Raw_Data!C3925)</f>
        <v>Vitamin</v>
      </c>
      <c r="D3927" s="3">
        <f>[1]Raw_Data!D3925</f>
        <v>143</v>
      </c>
      <c r="E3927" s="4">
        <f>[1]Raw_Data!E3925</f>
        <v>32.840000000000003</v>
      </c>
      <c r="F3927" s="5">
        <f>[1]Raw_Data!F3925</f>
        <v>4696.12</v>
      </c>
      <c r="G3927" s="4">
        <f>[1]Raw_Data!G3925</f>
        <v>0.25</v>
      </c>
      <c r="H3927" s="3">
        <f>[1]Raw_Data!H3925</f>
        <v>1</v>
      </c>
      <c r="I3927" s="3" t="str">
        <f>TRIM([1]Raw_Data!I3925)</f>
        <v>UK</v>
      </c>
      <c r="J3927" s="3" t="str">
        <f>TRIM([1]Raw_Data!J3925)</f>
        <v>Walmart</v>
      </c>
      <c r="K3927" s="3">
        <f t="shared" si="244"/>
        <v>2024</v>
      </c>
      <c r="L3927" s="6">
        <f t="shared" si="245"/>
        <v>45536</v>
      </c>
      <c r="M3927" s="3" t="str">
        <f t="shared" si="246"/>
        <v>21% to 25%</v>
      </c>
      <c r="N3927" s="3" t="str">
        <f t="shared" si="247"/>
        <v>OK</v>
      </c>
    </row>
    <row r="3928" spans="1:14" x14ac:dyDescent="0.3">
      <c r="A3928" s="2">
        <f>DATE(VALUE(RIGHT(TRIM([1]Raw_Data!A3926),4)),VALUE(MID(TRIM([1]Raw_Data!A3926),4,2)),VALUE(LEFT(TRIM([1]Raw_Data!A3926),2)))</f>
        <v>45551</v>
      </c>
      <c r="B3928" s="3" t="str">
        <f>TRIM([1]Raw_Data!B3926)</f>
        <v>Pre-Workout</v>
      </c>
      <c r="C3928" s="3" t="str">
        <f>TRIM([1]Raw_Data!C3926)</f>
        <v>Performance</v>
      </c>
      <c r="D3928" s="3">
        <f>[1]Raw_Data!D3926</f>
        <v>159</v>
      </c>
      <c r="E3928" s="4">
        <f>[1]Raw_Data!E3926</f>
        <v>52.5</v>
      </c>
      <c r="F3928" s="5">
        <f>[1]Raw_Data!F3926</f>
        <v>8347.5</v>
      </c>
      <c r="G3928" s="4">
        <f>[1]Raw_Data!G3926</f>
        <v>0.05</v>
      </c>
      <c r="H3928" s="3">
        <f>[1]Raw_Data!H3926</f>
        <v>2</v>
      </c>
      <c r="I3928" s="3" t="str">
        <f>TRIM([1]Raw_Data!I3926)</f>
        <v>UK</v>
      </c>
      <c r="J3928" s="3" t="str">
        <f>TRIM([1]Raw_Data!J3926)</f>
        <v>iHerb</v>
      </c>
      <c r="K3928" s="3">
        <f t="shared" si="244"/>
        <v>2024</v>
      </c>
      <c r="L3928" s="6">
        <f t="shared" si="245"/>
        <v>45536</v>
      </c>
      <c r="M3928" s="3" t="str">
        <f t="shared" si="246"/>
        <v>0% to 5%</v>
      </c>
      <c r="N3928" s="3" t="str">
        <f t="shared" si="247"/>
        <v>OK</v>
      </c>
    </row>
    <row r="3929" spans="1:14" x14ac:dyDescent="0.3">
      <c r="A3929" s="2">
        <f>DATE(VALUE(RIGHT(TRIM([1]Raw_Data!A3927),4)),VALUE(MID(TRIM([1]Raw_Data!A3927),4,2)),VALUE(LEFT(TRIM([1]Raw_Data!A3927),2)))</f>
        <v>45551</v>
      </c>
      <c r="B3929" s="3" t="str">
        <f>TRIM([1]Raw_Data!B3927)</f>
        <v>BCAA</v>
      </c>
      <c r="C3929" s="3" t="str">
        <f>TRIM([1]Raw_Data!C3927)</f>
        <v>Amino Acid</v>
      </c>
      <c r="D3929" s="3">
        <f>[1]Raw_Data!D3927</f>
        <v>167</v>
      </c>
      <c r="E3929" s="4">
        <f>[1]Raw_Data!E3927</f>
        <v>27.34</v>
      </c>
      <c r="F3929" s="5">
        <f>[1]Raw_Data!F3927</f>
        <v>4565.78</v>
      </c>
      <c r="G3929" s="4">
        <f>[1]Raw_Data!G3927</f>
        <v>0.24</v>
      </c>
      <c r="H3929" s="3">
        <f>[1]Raw_Data!H3927</f>
        <v>3</v>
      </c>
      <c r="I3929" s="3" t="str">
        <f>TRIM([1]Raw_Data!I3927)</f>
        <v>Canada</v>
      </c>
      <c r="J3929" s="3" t="str">
        <f>TRIM([1]Raw_Data!J3927)</f>
        <v>iHerb</v>
      </c>
      <c r="K3929" s="3">
        <f t="shared" si="244"/>
        <v>2024</v>
      </c>
      <c r="L3929" s="6">
        <f t="shared" si="245"/>
        <v>45536</v>
      </c>
      <c r="M3929" s="3" t="str">
        <f t="shared" si="246"/>
        <v>21% to 25%</v>
      </c>
      <c r="N3929" s="3" t="str">
        <f t="shared" si="247"/>
        <v>OK</v>
      </c>
    </row>
    <row r="3930" spans="1:14" x14ac:dyDescent="0.3">
      <c r="A3930" s="2">
        <f>DATE(VALUE(RIGHT(TRIM([1]Raw_Data!A3928),4)),VALUE(MID(TRIM([1]Raw_Data!A3928),4,2)),VALUE(LEFT(TRIM([1]Raw_Data!A3928),2)))</f>
        <v>45551</v>
      </c>
      <c r="B3930" s="3" t="str">
        <f>TRIM([1]Raw_Data!B3928)</f>
        <v>Creatine</v>
      </c>
      <c r="C3930" s="3" t="str">
        <f>TRIM([1]Raw_Data!C3928)</f>
        <v>Performance</v>
      </c>
      <c r="D3930" s="3">
        <f>[1]Raw_Data!D3928</f>
        <v>142</v>
      </c>
      <c r="E3930" s="4">
        <f>[1]Raw_Data!E3928</f>
        <v>30.22</v>
      </c>
      <c r="F3930" s="5">
        <f>[1]Raw_Data!F3928</f>
        <v>4291.24</v>
      </c>
      <c r="G3930" s="4">
        <f>[1]Raw_Data!G3928</f>
        <v>0.12</v>
      </c>
      <c r="H3930" s="3">
        <f>[1]Raw_Data!H3928</f>
        <v>1</v>
      </c>
      <c r="I3930" s="3" t="str">
        <f>TRIM([1]Raw_Data!I3928)</f>
        <v>USA</v>
      </c>
      <c r="J3930" s="3" t="str">
        <f>TRIM([1]Raw_Data!J3928)</f>
        <v>Amazon</v>
      </c>
      <c r="K3930" s="3">
        <f t="shared" si="244"/>
        <v>2024</v>
      </c>
      <c r="L3930" s="6">
        <f t="shared" si="245"/>
        <v>45536</v>
      </c>
      <c r="M3930" s="3" t="str">
        <f t="shared" si="246"/>
        <v>11% to 15%</v>
      </c>
      <c r="N3930" s="3" t="str">
        <f t="shared" si="247"/>
        <v>OK</v>
      </c>
    </row>
    <row r="3931" spans="1:14" x14ac:dyDescent="0.3">
      <c r="A3931" s="2">
        <f>DATE(VALUE(RIGHT(TRIM([1]Raw_Data!A3929),4)),VALUE(MID(TRIM([1]Raw_Data!A3929),4,2)),VALUE(LEFT(TRIM([1]Raw_Data!A3929),2)))</f>
        <v>45551</v>
      </c>
      <c r="B3931" s="3" t="str">
        <f>TRIM([1]Raw_Data!B3929)</f>
        <v>Zinc</v>
      </c>
      <c r="C3931" s="3" t="str">
        <f>TRIM([1]Raw_Data!C3929)</f>
        <v>Mineral</v>
      </c>
      <c r="D3931" s="3">
        <f>[1]Raw_Data!D3929</f>
        <v>142</v>
      </c>
      <c r="E3931" s="4">
        <f>[1]Raw_Data!E3929</f>
        <v>48.93</v>
      </c>
      <c r="F3931" s="5">
        <f>[1]Raw_Data!F3929</f>
        <v>6948.06</v>
      </c>
      <c r="G3931" s="4">
        <f>[1]Raw_Data!G3929</f>
        <v>0.22</v>
      </c>
      <c r="H3931" s="3">
        <f>[1]Raw_Data!H3929</f>
        <v>0</v>
      </c>
      <c r="I3931" s="3" t="str">
        <f>TRIM([1]Raw_Data!I3929)</f>
        <v>UK</v>
      </c>
      <c r="J3931" s="3" t="str">
        <f>TRIM([1]Raw_Data!J3929)</f>
        <v>Walmart</v>
      </c>
      <c r="K3931" s="3">
        <f t="shared" si="244"/>
        <v>2024</v>
      </c>
      <c r="L3931" s="6">
        <f t="shared" si="245"/>
        <v>45536</v>
      </c>
      <c r="M3931" s="3" t="str">
        <f t="shared" si="246"/>
        <v>21% to 25%</v>
      </c>
      <c r="N3931" s="3" t="str">
        <f t="shared" si="247"/>
        <v>OK</v>
      </c>
    </row>
    <row r="3932" spans="1:14" x14ac:dyDescent="0.3">
      <c r="A3932" s="2">
        <f>DATE(VALUE(RIGHT(TRIM([1]Raw_Data!A3930),4)),VALUE(MID(TRIM([1]Raw_Data!A3930),4,2)),VALUE(LEFT(TRIM([1]Raw_Data!A3930),2)))</f>
        <v>45551</v>
      </c>
      <c r="B3932" s="3" t="str">
        <f>TRIM([1]Raw_Data!B3930)</f>
        <v>Collagen Peptides</v>
      </c>
      <c r="C3932" s="3" t="str">
        <f>TRIM([1]Raw_Data!C3930)</f>
        <v>Protein</v>
      </c>
      <c r="D3932" s="3">
        <f>[1]Raw_Data!D3930</f>
        <v>163</v>
      </c>
      <c r="E3932" s="4">
        <f>[1]Raw_Data!E3930</f>
        <v>31.37</v>
      </c>
      <c r="F3932" s="5">
        <f>[1]Raw_Data!F3930</f>
        <v>5113.3100000000004</v>
      </c>
      <c r="G3932" s="4">
        <f>[1]Raw_Data!G3930</f>
        <v>0.23</v>
      </c>
      <c r="H3932" s="3">
        <f>[1]Raw_Data!H3930</f>
        <v>1</v>
      </c>
      <c r="I3932" s="3" t="str">
        <f>TRIM([1]Raw_Data!I3930)</f>
        <v>UK</v>
      </c>
      <c r="J3932" s="3" t="str">
        <f>TRIM([1]Raw_Data!J3930)</f>
        <v>Amazon</v>
      </c>
      <c r="K3932" s="3">
        <f t="shared" si="244"/>
        <v>2024</v>
      </c>
      <c r="L3932" s="6">
        <f t="shared" si="245"/>
        <v>45536</v>
      </c>
      <c r="M3932" s="3" t="str">
        <f t="shared" si="246"/>
        <v>21% to 25%</v>
      </c>
      <c r="N3932" s="3" t="str">
        <f t="shared" si="247"/>
        <v>OK</v>
      </c>
    </row>
    <row r="3933" spans="1:14" x14ac:dyDescent="0.3">
      <c r="A3933" s="2">
        <f>DATE(VALUE(RIGHT(TRIM([1]Raw_Data!A3931),4)),VALUE(MID(TRIM([1]Raw_Data!A3931),4,2)),VALUE(LEFT(TRIM([1]Raw_Data!A3931),2)))</f>
        <v>45551</v>
      </c>
      <c r="B3933" s="3" t="str">
        <f>TRIM([1]Raw_Data!B3931)</f>
        <v>Magnesium</v>
      </c>
      <c r="C3933" s="3" t="str">
        <f>TRIM([1]Raw_Data!C3931)</f>
        <v>Mineral</v>
      </c>
      <c r="D3933" s="3">
        <f>[1]Raw_Data!D3931</f>
        <v>138</v>
      </c>
      <c r="E3933" s="4">
        <f>[1]Raw_Data!E3931</f>
        <v>33.65</v>
      </c>
      <c r="F3933" s="5">
        <f>[1]Raw_Data!F3931</f>
        <v>4643.7</v>
      </c>
      <c r="G3933" s="4">
        <f>[1]Raw_Data!G3931</f>
        <v>0.19</v>
      </c>
      <c r="H3933" s="3">
        <f>[1]Raw_Data!H3931</f>
        <v>6</v>
      </c>
      <c r="I3933" s="3" t="str">
        <f>TRIM([1]Raw_Data!I3931)</f>
        <v>USA</v>
      </c>
      <c r="J3933" s="3" t="str">
        <f>TRIM([1]Raw_Data!J3931)</f>
        <v>Walmart</v>
      </c>
      <c r="K3933" s="3">
        <f t="shared" si="244"/>
        <v>2024</v>
      </c>
      <c r="L3933" s="6">
        <f t="shared" si="245"/>
        <v>45536</v>
      </c>
      <c r="M3933" s="3" t="str">
        <f t="shared" si="246"/>
        <v>16% to 20%</v>
      </c>
      <c r="N3933" s="3" t="str">
        <f t="shared" si="247"/>
        <v>OK</v>
      </c>
    </row>
    <row r="3934" spans="1:14" x14ac:dyDescent="0.3">
      <c r="A3934" s="2">
        <f>DATE(VALUE(RIGHT(TRIM([1]Raw_Data!A3932),4)),VALUE(MID(TRIM([1]Raw_Data!A3932),4,2)),VALUE(LEFT(TRIM([1]Raw_Data!A3932),2)))</f>
        <v>45551</v>
      </c>
      <c r="B3934" s="3" t="str">
        <f>TRIM([1]Raw_Data!B3932)</f>
        <v>Ashwagandha</v>
      </c>
      <c r="C3934" s="3" t="str">
        <f>TRIM([1]Raw_Data!C3932)</f>
        <v>Herbal</v>
      </c>
      <c r="D3934" s="3">
        <f>[1]Raw_Data!D3932</f>
        <v>159</v>
      </c>
      <c r="E3934" s="4">
        <f>[1]Raw_Data!E3932</f>
        <v>13.81</v>
      </c>
      <c r="F3934" s="5">
        <f>[1]Raw_Data!F3932</f>
        <v>2195.79</v>
      </c>
      <c r="G3934" s="4">
        <f>[1]Raw_Data!G3932</f>
        <v>0.23</v>
      </c>
      <c r="H3934" s="3">
        <f>[1]Raw_Data!H3932</f>
        <v>1</v>
      </c>
      <c r="I3934" s="3" t="str">
        <f>TRIM([1]Raw_Data!I3932)</f>
        <v>UK</v>
      </c>
      <c r="J3934" s="3" t="str">
        <f>TRIM([1]Raw_Data!J3932)</f>
        <v>Walmart</v>
      </c>
      <c r="K3934" s="3">
        <f t="shared" si="244"/>
        <v>2024</v>
      </c>
      <c r="L3934" s="6">
        <f t="shared" si="245"/>
        <v>45536</v>
      </c>
      <c r="M3934" s="3" t="str">
        <f t="shared" si="246"/>
        <v>21% to 25%</v>
      </c>
      <c r="N3934" s="3" t="str">
        <f t="shared" si="247"/>
        <v>OK</v>
      </c>
    </row>
    <row r="3935" spans="1:14" x14ac:dyDescent="0.3">
      <c r="A3935" s="2">
        <f>DATE(VALUE(RIGHT(TRIM([1]Raw_Data!A3933),4)),VALUE(MID(TRIM([1]Raw_Data!A3933),4,2)),VALUE(LEFT(TRIM([1]Raw_Data!A3933),2)))</f>
        <v>45551</v>
      </c>
      <c r="B3935" s="3" t="str">
        <f>TRIM([1]Raw_Data!B3933)</f>
        <v>Melatonin</v>
      </c>
      <c r="C3935" s="3" t="str">
        <f>TRIM([1]Raw_Data!C3933)</f>
        <v>Sleep Aid</v>
      </c>
      <c r="D3935" s="3">
        <f>[1]Raw_Data!D3933</f>
        <v>171</v>
      </c>
      <c r="E3935" s="4">
        <f>[1]Raw_Data!E3933</f>
        <v>45.76</v>
      </c>
      <c r="F3935" s="5">
        <f>[1]Raw_Data!F3933</f>
        <v>7824.96</v>
      </c>
      <c r="G3935" s="4">
        <f>[1]Raw_Data!G3933</f>
        <v>0.18</v>
      </c>
      <c r="H3935" s="3">
        <f>[1]Raw_Data!H3933</f>
        <v>6</v>
      </c>
      <c r="I3935" s="3" t="str">
        <f>TRIM([1]Raw_Data!I3933)</f>
        <v>Canada</v>
      </c>
      <c r="J3935" s="3" t="str">
        <f>TRIM([1]Raw_Data!J3933)</f>
        <v>iHerb</v>
      </c>
      <c r="K3935" s="3">
        <f t="shared" si="244"/>
        <v>2024</v>
      </c>
      <c r="L3935" s="6">
        <f t="shared" si="245"/>
        <v>45536</v>
      </c>
      <c r="M3935" s="3" t="str">
        <f t="shared" si="246"/>
        <v>16% to 20%</v>
      </c>
      <c r="N3935" s="3" t="str">
        <f t="shared" si="247"/>
        <v>OK</v>
      </c>
    </row>
    <row r="3936" spans="1:14" x14ac:dyDescent="0.3">
      <c r="A3936" s="2">
        <f>DATE(VALUE(RIGHT(TRIM([1]Raw_Data!A3934),4)),VALUE(MID(TRIM([1]Raw_Data!A3934),4,2)),VALUE(LEFT(TRIM([1]Raw_Data!A3934),2)))</f>
        <v>45551</v>
      </c>
      <c r="B3936" s="3" t="str">
        <f>TRIM([1]Raw_Data!B3934)</f>
        <v>Biotin</v>
      </c>
      <c r="C3936" s="3" t="str">
        <f>TRIM([1]Raw_Data!C3934)</f>
        <v>Vitamin</v>
      </c>
      <c r="D3936" s="3">
        <f>[1]Raw_Data!D3934</f>
        <v>160</v>
      </c>
      <c r="E3936" s="4">
        <f>[1]Raw_Data!E3934</f>
        <v>37.86</v>
      </c>
      <c r="F3936" s="5">
        <f>[1]Raw_Data!F3934</f>
        <v>6057.6</v>
      </c>
      <c r="G3936" s="4">
        <f>[1]Raw_Data!G3934</f>
        <v>0.09</v>
      </c>
      <c r="H3936" s="3">
        <f>[1]Raw_Data!H3934</f>
        <v>0</v>
      </c>
      <c r="I3936" s="3" t="str">
        <f>TRIM([1]Raw_Data!I3934)</f>
        <v>Canada</v>
      </c>
      <c r="J3936" s="3" t="str">
        <f>TRIM([1]Raw_Data!J3934)</f>
        <v>Amazon</v>
      </c>
      <c r="K3936" s="3">
        <f t="shared" si="244"/>
        <v>2024</v>
      </c>
      <c r="L3936" s="6">
        <f t="shared" si="245"/>
        <v>45536</v>
      </c>
      <c r="M3936" s="3" t="str">
        <f t="shared" si="246"/>
        <v>6% to 10%</v>
      </c>
      <c r="N3936" s="3" t="str">
        <f t="shared" si="247"/>
        <v>OK</v>
      </c>
    </row>
    <row r="3937" spans="1:14" x14ac:dyDescent="0.3">
      <c r="A3937" s="2">
        <f>DATE(VALUE(RIGHT(TRIM([1]Raw_Data!A3935),4)),VALUE(MID(TRIM([1]Raw_Data!A3935),4,2)),VALUE(LEFT(TRIM([1]Raw_Data!A3935),2)))</f>
        <v>45551</v>
      </c>
      <c r="B3937" s="3" t="str">
        <f>TRIM([1]Raw_Data!B3935)</f>
        <v>Green Tea Extract</v>
      </c>
      <c r="C3937" s="3" t="str">
        <f>TRIM([1]Raw_Data!C3935)</f>
        <v>Fat Burner</v>
      </c>
      <c r="D3937" s="3">
        <f>[1]Raw_Data!D3935</f>
        <v>140</v>
      </c>
      <c r="E3937" s="4">
        <f>[1]Raw_Data!E3935</f>
        <v>37.44</v>
      </c>
      <c r="F3937" s="5">
        <f>[1]Raw_Data!F3935</f>
        <v>5241.6000000000004</v>
      </c>
      <c r="G3937" s="4">
        <f>[1]Raw_Data!G3935</f>
        <v>0.23</v>
      </c>
      <c r="H3937" s="3">
        <f>[1]Raw_Data!H3935</f>
        <v>3</v>
      </c>
      <c r="I3937" s="3" t="str">
        <f>TRIM([1]Raw_Data!I3935)</f>
        <v>Canada</v>
      </c>
      <c r="J3937" s="3" t="str">
        <f>TRIM([1]Raw_Data!J3935)</f>
        <v>Walmart</v>
      </c>
      <c r="K3937" s="3">
        <f t="shared" si="244"/>
        <v>2024</v>
      </c>
      <c r="L3937" s="6">
        <f t="shared" si="245"/>
        <v>45536</v>
      </c>
      <c r="M3937" s="3" t="str">
        <f t="shared" si="246"/>
        <v>21% to 25%</v>
      </c>
      <c r="N3937" s="3" t="str">
        <f t="shared" si="247"/>
        <v>OK</v>
      </c>
    </row>
    <row r="3938" spans="1:14" x14ac:dyDescent="0.3">
      <c r="A3938" s="2">
        <f>DATE(VALUE(RIGHT(TRIM([1]Raw_Data!A3936),4)),VALUE(MID(TRIM([1]Raw_Data!A3936),4,2)),VALUE(LEFT(TRIM([1]Raw_Data!A3936),2)))</f>
        <v>45551</v>
      </c>
      <c r="B3938" s="3" t="str">
        <f>TRIM([1]Raw_Data!B3936)</f>
        <v>Iron Supplement</v>
      </c>
      <c r="C3938" s="3" t="str">
        <f>TRIM([1]Raw_Data!C3936)</f>
        <v>Mineral</v>
      </c>
      <c r="D3938" s="3">
        <f>[1]Raw_Data!D3936</f>
        <v>124</v>
      </c>
      <c r="E3938" s="4">
        <f>[1]Raw_Data!E3936</f>
        <v>22.26</v>
      </c>
      <c r="F3938" s="5">
        <f>[1]Raw_Data!F3936</f>
        <v>2760.24</v>
      </c>
      <c r="G3938" s="4">
        <f>[1]Raw_Data!G3936</f>
        <v>0.06</v>
      </c>
      <c r="H3938" s="3">
        <f>[1]Raw_Data!H3936</f>
        <v>0</v>
      </c>
      <c r="I3938" s="3" t="str">
        <f>TRIM([1]Raw_Data!I3936)</f>
        <v>USA</v>
      </c>
      <c r="J3938" s="3" t="str">
        <f>TRIM([1]Raw_Data!J3936)</f>
        <v>Walmart</v>
      </c>
      <c r="K3938" s="3">
        <f t="shared" si="244"/>
        <v>2024</v>
      </c>
      <c r="L3938" s="6">
        <f t="shared" si="245"/>
        <v>45536</v>
      </c>
      <c r="M3938" s="3" t="str">
        <f t="shared" si="246"/>
        <v>6% to 10%</v>
      </c>
      <c r="N3938" s="3" t="str">
        <f t="shared" si="247"/>
        <v>OK</v>
      </c>
    </row>
    <row r="3939" spans="1:14" x14ac:dyDescent="0.3">
      <c r="A3939" s="2">
        <f>DATE(VALUE(RIGHT(TRIM([1]Raw_Data!A3937),4)),VALUE(MID(TRIM([1]Raw_Data!A3937),4,2)),VALUE(LEFT(TRIM([1]Raw_Data!A3937),2)))</f>
        <v>45551</v>
      </c>
      <c r="B3939" s="3" t="str">
        <f>TRIM([1]Raw_Data!B3937)</f>
        <v>Electrolyte Powder</v>
      </c>
      <c r="C3939" s="3" t="str">
        <f>TRIM([1]Raw_Data!C3937)</f>
        <v>Hydration</v>
      </c>
      <c r="D3939" s="3">
        <f>[1]Raw_Data!D3937</f>
        <v>146</v>
      </c>
      <c r="E3939" s="4">
        <f>[1]Raw_Data!E3937</f>
        <v>38.909999999999997</v>
      </c>
      <c r="F3939" s="5">
        <f>[1]Raw_Data!F3937</f>
        <v>5680.86</v>
      </c>
      <c r="G3939" s="4">
        <f>[1]Raw_Data!G3937</f>
        <v>0.14000000000000001</v>
      </c>
      <c r="H3939" s="3">
        <f>[1]Raw_Data!H3937</f>
        <v>1</v>
      </c>
      <c r="I3939" s="3" t="str">
        <f>TRIM([1]Raw_Data!I3937)</f>
        <v>UK</v>
      </c>
      <c r="J3939" s="3" t="str">
        <f>TRIM([1]Raw_Data!J3937)</f>
        <v>iHerb</v>
      </c>
      <c r="K3939" s="3">
        <f t="shared" si="244"/>
        <v>2024</v>
      </c>
      <c r="L3939" s="6">
        <f t="shared" si="245"/>
        <v>45536</v>
      </c>
      <c r="M3939" s="3" t="str">
        <f t="shared" si="246"/>
        <v>11% to 15%</v>
      </c>
      <c r="N3939" s="3" t="str">
        <f t="shared" si="247"/>
        <v>OK</v>
      </c>
    </row>
    <row r="3940" spans="1:14" x14ac:dyDescent="0.3">
      <c r="A3940" s="2">
        <f>DATE(VALUE(RIGHT(TRIM([1]Raw_Data!A3938),4)),VALUE(MID(TRIM([1]Raw_Data!A3938),4,2)),VALUE(LEFT(TRIM([1]Raw_Data!A3938),2)))</f>
        <v>45558</v>
      </c>
      <c r="B3940" s="3" t="str">
        <f>TRIM([1]Raw_Data!B3938)</f>
        <v>Whey Protein</v>
      </c>
      <c r="C3940" s="3" t="str">
        <f>TRIM([1]Raw_Data!C3938)</f>
        <v>Protein</v>
      </c>
      <c r="D3940" s="3">
        <f>[1]Raw_Data!D3938</f>
        <v>158</v>
      </c>
      <c r="E3940" s="4">
        <f>[1]Raw_Data!E3938</f>
        <v>27.31</v>
      </c>
      <c r="F3940" s="5">
        <f>[1]Raw_Data!F3938</f>
        <v>4314.9799999999996</v>
      </c>
      <c r="G3940" s="4">
        <f>[1]Raw_Data!G3938</f>
        <v>0.02</v>
      </c>
      <c r="H3940" s="3">
        <f>[1]Raw_Data!H3938</f>
        <v>1</v>
      </c>
      <c r="I3940" s="3" t="str">
        <f>TRIM([1]Raw_Data!I3938)</f>
        <v>Canada</v>
      </c>
      <c r="J3940" s="3" t="str">
        <f>TRIM([1]Raw_Data!J3938)</f>
        <v>iHerb</v>
      </c>
      <c r="K3940" s="3">
        <f t="shared" si="244"/>
        <v>2024</v>
      </c>
      <c r="L3940" s="6">
        <f t="shared" si="245"/>
        <v>45536</v>
      </c>
      <c r="M3940" s="3" t="str">
        <f t="shared" si="246"/>
        <v>0% to 5%</v>
      </c>
      <c r="N3940" s="3" t="str">
        <f t="shared" si="247"/>
        <v>OK</v>
      </c>
    </row>
    <row r="3941" spans="1:14" x14ac:dyDescent="0.3">
      <c r="A3941" s="2">
        <f>DATE(VALUE(RIGHT(TRIM([1]Raw_Data!A3939),4)),VALUE(MID(TRIM([1]Raw_Data!A3939),4,2)),VALUE(LEFT(TRIM([1]Raw_Data!A3939),2)))</f>
        <v>45558</v>
      </c>
      <c r="B3941" s="3" t="str">
        <f>TRIM([1]Raw_Data!B3939)</f>
        <v>Vitamin C</v>
      </c>
      <c r="C3941" s="3" t="str">
        <f>TRIM([1]Raw_Data!C3939)</f>
        <v>Vitamin</v>
      </c>
      <c r="D3941" s="3">
        <f>[1]Raw_Data!D3939</f>
        <v>134</v>
      </c>
      <c r="E3941" s="4">
        <f>[1]Raw_Data!E3939</f>
        <v>17.8</v>
      </c>
      <c r="F3941" s="5">
        <f>[1]Raw_Data!F3939</f>
        <v>2385.1999999999998</v>
      </c>
      <c r="G3941" s="4">
        <f>[1]Raw_Data!G3939</f>
        <v>0.12</v>
      </c>
      <c r="H3941" s="3">
        <f>[1]Raw_Data!H3939</f>
        <v>0</v>
      </c>
      <c r="I3941" s="3" t="str">
        <f>TRIM([1]Raw_Data!I3939)</f>
        <v>USA</v>
      </c>
      <c r="J3941" s="3" t="str">
        <f>TRIM([1]Raw_Data!J3939)</f>
        <v>Amazon</v>
      </c>
      <c r="K3941" s="3">
        <f t="shared" si="244"/>
        <v>2024</v>
      </c>
      <c r="L3941" s="6">
        <f t="shared" si="245"/>
        <v>45536</v>
      </c>
      <c r="M3941" s="3" t="str">
        <f t="shared" si="246"/>
        <v>11% to 15%</v>
      </c>
      <c r="N3941" s="3" t="str">
        <f t="shared" si="247"/>
        <v>OK</v>
      </c>
    </row>
    <row r="3942" spans="1:14" x14ac:dyDescent="0.3">
      <c r="A3942" s="2">
        <f>DATE(VALUE(RIGHT(TRIM([1]Raw_Data!A3940),4)),VALUE(MID(TRIM([1]Raw_Data!A3940),4,2)),VALUE(LEFT(TRIM([1]Raw_Data!A3940),2)))</f>
        <v>45558</v>
      </c>
      <c r="B3942" s="3" t="str">
        <f>TRIM([1]Raw_Data!B3940)</f>
        <v>Fish Oil</v>
      </c>
      <c r="C3942" s="3" t="str">
        <f>TRIM([1]Raw_Data!C3940)</f>
        <v>Omega</v>
      </c>
      <c r="D3942" s="3">
        <f>[1]Raw_Data!D3940</f>
        <v>159</v>
      </c>
      <c r="E3942" s="4">
        <f>[1]Raw_Data!E3940</f>
        <v>37.74</v>
      </c>
      <c r="F3942" s="5">
        <f>[1]Raw_Data!F3940</f>
        <v>6000.66</v>
      </c>
      <c r="G3942" s="4">
        <f>[1]Raw_Data!G3940</f>
        <v>0.04</v>
      </c>
      <c r="H3942" s="3">
        <f>[1]Raw_Data!H3940</f>
        <v>0</v>
      </c>
      <c r="I3942" s="3" t="str">
        <f>TRIM([1]Raw_Data!I3940)</f>
        <v>UK</v>
      </c>
      <c r="J3942" s="3" t="str">
        <f>TRIM([1]Raw_Data!J3940)</f>
        <v>Amazon</v>
      </c>
      <c r="K3942" s="3">
        <f t="shared" si="244"/>
        <v>2024</v>
      </c>
      <c r="L3942" s="6">
        <f t="shared" si="245"/>
        <v>45536</v>
      </c>
      <c r="M3942" s="3" t="str">
        <f t="shared" si="246"/>
        <v>0% to 5%</v>
      </c>
      <c r="N3942" s="3" t="str">
        <f t="shared" si="247"/>
        <v>OK</v>
      </c>
    </row>
    <row r="3943" spans="1:14" x14ac:dyDescent="0.3">
      <c r="A3943" s="2">
        <f>DATE(VALUE(RIGHT(TRIM([1]Raw_Data!A3941),4)),VALUE(MID(TRIM([1]Raw_Data!A3941),4,2)),VALUE(LEFT(TRIM([1]Raw_Data!A3941),2)))</f>
        <v>45558</v>
      </c>
      <c r="B3943" s="3" t="str">
        <f>TRIM([1]Raw_Data!B3941)</f>
        <v>Multivitamin</v>
      </c>
      <c r="C3943" s="3" t="str">
        <f>TRIM([1]Raw_Data!C3941)</f>
        <v>Vitamin</v>
      </c>
      <c r="D3943" s="3">
        <f>[1]Raw_Data!D3941</f>
        <v>166</v>
      </c>
      <c r="E3943" s="4">
        <f>[1]Raw_Data!E3941</f>
        <v>14.95</v>
      </c>
      <c r="F3943" s="5">
        <f>[1]Raw_Data!F3941</f>
        <v>2481.6999999999998</v>
      </c>
      <c r="G3943" s="4">
        <f>[1]Raw_Data!G3941</f>
        <v>0.17</v>
      </c>
      <c r="H3943" s="3">
        <f>[1]Raw_Data!H3941</f>
        <v>2</v>
      </c>
      <c r="I3943" s="3" t="str">
        <f>TRIM([1]Raw_Data!I3941)</f>
        <v>USA</v>
      </c>
      <c r="J3943" s="3" t="str">
        <f>TRIM([1]Raw_Data!J3941)</f>
        <v>Walmart</v>
      </c>
      <c r="K3943" s="3">
        <f t="shared" si="244"/>
        <v>2024</v>
      </c>
      <c r="L3943" s="6">
        <f t="shared" si="245"/>
        <v>45536</v>
      </c>
      <c r="M3943" s="3" t="str">
        <f t="shared" si="246"/>
        <v>16% to 20%</v>
      </c>
      <c r="N3943" s="3" t="str">
        <f t="shared" si="247"/>
        <v>OK</v>
      </c>
    </row>
    <row r="3944" spans="1:14" x14ac:dyDescent="0.3">
      <c r="A3944" s="2">
        <f>DATE(VALUE(RIGHT(TRIM([1]Raw_Data!A3942),4)),VALUE(MID(TRIM([1]Raw_Data!A3942),4,2)),VALUE(LEFT(TRIM([1]Raw_Data!A3942),2)))</f>
        <v>45558</v>
      </c>
      <c r="B3944" s="3" t="str">
        <f>TRIM([1]Raw_Data!B3942)</f>
        <v>Pre-Workout</v>
      </c>
      <c r="C3944" s="3" t="str">
        <f>TRIM([1]Raw_Data!C3942)</f>
        <v>Performance</v>
      </c>
      <c r="D3944" s="3">
        <f>[1]Raw_Data!D3942</f>
        <v>149</v>
      </c>
      <c r="E3944" s="4">
        <f>[1]Raw_Data!E3942</f>
        <v>54.35</v>
      </c>
      <c r="F3944" s="5">
        <f>[1]Raw_Data!F3942</f>
        <v>8098.15</v>
      </c>
      <c r="G3944" s="4">
        <f>[1]Raw_Data!G3942</f>
        <v>0.06</v>
      </c>
      <c r="H3944" s="3">
        <f>[1]Raw_Data!H3942</f>
        <v>1</v>
      </c>
      <c r="I3944" s="3" t="str">
        <f>TRIM([1]Raw_Data!I3942)</f>
        <v>Canada</v>
      </c>
      <c r="J3944" s="3" t="str">
        <f>TRIM([1]Raw_Data!J3942)</f>
        <v>Walmart</v>
      </c>
      <c r="K3944" s="3">
        <f t="shared" si="244"/>
        <v>2024</v>
      </c>
      <c r="L3944" s="6">
        <f t="shared" si="245"/>
        <v>45536</v>
      </c>
      <c r="M3944" s="3" t="str">
        <f t="shared" si="246"/>
        <v>6% to 10%</v>
      </c>
      <c r="N3944" s="3" t="str">
        <f t="shared" si="247"/>
        <v>OK</v>
      </c>
    </row>
    <row r="3945" spans="1:14" x14ac:dyDescent="0.3">
      <c r="A3945" s="2">
        <f>DATE(VALUE(RIGHT(TRIM([1]Raw_Data!A3943),4)),VALUE(MID(TRIM([1]Raw_Data!A3943),4,2)),VALUE(LEFT(TRIM([1]Raw_Data!A3943),2)))</f>
        <v>45558</v>
      </c>
      <c r="B3945" s="3" t="str">
        <f>TRIM([1]Raw_Data!B3943)</f>
        <v>BCAA</v>
      </c>
      <c r="C3945" s="3" t="str">
        <f>TRIM([1]Raw_Data!C3943)</f>
        <v>Amino Acid</v>
      </c>
      <c r="D3945" s="3">
        <f>[1]Raw_Data!D3943</f>
        <v>144</v>
      </c>
      <c r="E3945" s="4">
        <f>[1]Raw_Data!E3943</f>
        <v>55.82</v>
      </c>
      <c r="F3945" s="5">
        <f>[1]Raw_Data!F3943</f>
        <v>8038.08</v>
      </c>
      <c r="G3945" s="4">
        <f>[1]Raw_Data!G3943</f>
        <v>0.21</v>
      </c>
      <c r="H3945" s="3">
        <f>[1]Raw_Data!H3943</f>
        <v>2</v>
      </c>
      <c r="I3945" s="3" t="str">
        <f>TRIM([1]Raw_Data!I3943)</f>
        <v>USA</v>
      </c>
      <c r="J3945" s="3" t="str">
        <f>TRIM([1]Raw_Data!J3943)</f>
        <v>iHerb</v>
      </c>
      <c r="K3945" s="3">
        <f t="shared" si="244"/>
        <v>2024</v>
      </c>
      <c r="L3945" s="6">
        <f t="shared" si="245"/>
        <v>45536</v>
      </c>
      <c r="M3945" s="3" t="str">
        <f t="shared" si="246"/>
        <v>21% to 25%</v>
      </c>
      <c r="N3945" s="3" t="str">
        <f t="shared" si="247"/>
        <v>OK</v>
      </c>
    </row>
    <row r="3946" spans="1:14" x14ac:dyDescent="0.3">
      <c r="A3946" s="2">
        <f>DATE(VALUE(RIGHT(TRIM([1]Raw_Data!A3944),4)),VALUE(MID(TRIM([1]Raw_Data!A3944),4,2)),VALUE(LEFT(TRIM([1]Raw_Data!A3944),2)))</f>
        <v>45558</v>
      </c>
      <c r="B3946" s="3" t="str">
        <f>TRIM([1]Raw_Data!B3944)</f>
        <v>Creatine</v>
      </c>
      <c r="C3946" s="3" t="str">
        <f>TRIM([1]Raw_Data!C3944)</f>
        <v>Performance</v>
      </c>
      <c r="D3946" s="3">
        <f>[1]Raw_Data!D3944</f>
        <v>167</v>
      </c>
      <c r="E3946" s="4">
        <f>[1]Raw_Data!E3944</f>
        <v>57.29</v>
      </c>
      <c r="F3946" s="5">
        <f>[1]Raw_Data!F3944</f>
        <v>9567.43</v>
      </c>
      <c r="G3946" s="4">
        <f>[1]Raw_Data!G3944</f>
        <v>0.13</v>
      </c>
      <c r="H3946" s="3">
        <f>[1]Raw_Data!H3944</f>
        <v>0</v>
      </c>
      <c r="I3946" s="3" t="str">
        <f>TRIM([1]Raw_Data!I3944)</f>
        <v>Canada</v>
      </c>
      <c r="J3946" s="3" t="str">
        <f>TRIM([1]Raw_Data!J3944)</f>
        <v>Walmart</v>
      </c>
      <c r="K3946" s="3">
        <f t="shared" si="244"/>
        <v>2024</v>
      </c>
      <c r="L3946" s="6">
        <f t="shared" si="245"/>
        <v>45536</v>
      </c>
      <c r="M3946" s="3" t="str">
        <f t="shared" si="246"/>
        <v>11% to 15%</v>
      </c>
      <c r="N3946" s="3" t="str">
        <f t="shared" si="247"/>
        <v>OK</v>
      </c>
    </row>
    <row r="3947" spans="1:14" x14ac:dyDescent="0.3">
      <c r="A3947" s="2">
        <f>DATE(VALUE(RIGHT(TRIM([1]Raw_Data!A3945),4)),VALUE(MID(TRIM([1]Raw_Data!A3945),4,2)),VALUE(LEFT(TRIM([1]Raw_Data!A3945),2)))</f>
        <v>45558</v>
      </c>
      <c r="B3947" s="3" t="str">
        <f>TRIM([1]Raw_Data!B3945)</f>
        <v>Zinc</v>
      </c>
      <c r="C3947" s="3" t="str">
        <f>TRIM([1]Raw_Data!C3945)</f>
        <v>Mineral</v>
      </c>
      <c r="D3947" s="3">
        <f>[1]Raw_Data!D3945</f>
        <v>148</v>
      </c>
      <c r="E3947" s="4">
        <f>[1]Raw_Data!E3945</f>
        <v>30.02</v>
      </c>
      <c r="F3947" s="5">
        <f>[1]Raw_Data!F3945</f>
        <v>4442.96</v>
      </c>
      <c r="G3947" s="4">
        <f>[1]Raw_Data!G3945</f>
        <v>0.23</v>
      </c>
      <c r="H3947" s="3">
        <f>[1]Raw_Data!H3945</f>
        <v>1</v>
      </c>
      <c r="I3947" s="3" t="str">
        <f>TRIM([1]Raw_Data!I3945)</f>
        <v>UK</v>
      </c>
      <c r="J3947" s="3" t="str">
        <f>TRIM([1]Raw_Data!J3945)</f>
        <v>Amazon</v>
      </c>
      <c r="K3947" s="3">
        <f t="shared" si="244"/>
        <v>2024</v>
      </c>
      <c r="L3947" s="6">
        <f t="shared" si="245"/>
        <v>45536</v>
      </c>
      <c r="M3947" s="3" t="str">
        <f t="shared" si="246"/>
        <v>21% to 25%</v>
      </c>
      <c r="N3947" s="3" t="str">
        <f t="shared" si="247"/>
        <v>OK</v>
      </c>
    </row>
    <row r="3948" spans="1:14" x14ac:dyDescent="0.3">
      <c r="A3948" s="2">
        <f>DATE(VALUE(RIGHT(TRIM([1]Raw_Data!A3946),4)),VALUE(MID(TRIM([1]Raw_Data!A3946),4,2)),VALUE(LEFT(TRIM([1]Raw_Data!A3946),2)))</f>
        <v>45558</v>
      </c>
      <c r="B3948" s="3" t="str">
        <f>TRIM([1]Raw_Data!B3946)</f>
        <v>Collagen Peptides</v>
      </c>
      <c r="C3948" s="3" t="str">
        <f>TRIM([1]Raw_Data!C3946)</f>
        <v>Protein</v>
      </c>
      <c r="D3948" s="3">
        <f>[1]Raw_Data!D3946</f>
        <v>150</v>
      </c>
      <c r="E3948" s="4">
        <f>[1]Raw_Data!E3946</f>
        <v>48.05</v>
      </c>
      <c r="F3948" s="5">
        <f>[1]Raw_Data!F3946</f>
        <v>7207.5</v>
      </c>
      <c r="G3948" s="4">
        <f>[1]Raw_Data!G3946</f>
        <v>0.18</v>
      </c>
      <c r="H3948" s="3">
        <f>[1]Raw_Data!H3946</f>
        <v>1</v>
      </c>
      <c r="I3948" s="3" t="str">
        <f>TRIM([1]Raw_Data!I3946)</f>
        <v>Canada</v>
      </c>
      <c r="J3948" s="3" t="str">
        <f>TRIM([1]Raw_Data!J3946)</f>
        <v>iHerb</v>
      </c>
      <c r="K3948" s="3">
        <f t="shared" si="244"/>
        <v>2024</v>
      </c>
      <c r="L3948" s="6">
        <f t="shared" si="245"/>
        <v>45536</v>
      </c>
      <c r="M3948" s="3" t="str">
        <f t="shared" si="246"/>
        <v>16% to 20%</v>
      </c>
      <c r="N3948" s="3" t="str">
        <f t="shared" si="247"/>
        <v>OK</v>
      </c>
    </row>
    <row r="3949" spans="1:14" x14ac:dyDescent="0.3">
      <c r="A3949" s="2">
        <f>DATE(VALUE(RIGHT(TRIM([1]Raw_Data!A3947),4)),VALUE(MID(TRIM([1]Raw_Data!A3947),4,2)),VALUE(LEFT(TRIM([1]Raw_Data!A3947),2)))</f>
        <v>45558</v>
      </c>
      <c r="B3949" s="3" t="str">
        <f>TRIM([1]Raw_Data!B3947)</f>
        <v>Magnesium</v>
      </c>
      <c r="C3949" s="3" t="str">
        <f>TRIM([1]Raw_Data!C3947)</f>
        <v>Mineral</v>
      </c>
      <c r="D3949" s="3">
        <f>[1]Raw_Data!D3947</f>
        <v>132</v>
      </c>
      <c r="E3949" s="4">
        <f>[1]Raw_Data!E3947</f>
        <v>16.55</v>
      </c>
      <c r="F3949" s="5">
        <f>[1]Raw_Data!F3947</f>
        <v>2184.6</v>
      </c>
      <c r="G3949" s="4">
        <f>[1]Raw_Data!G3947</f>
        <v>7.0000000000000007E-2</v>
      </c>
      <c r="H3949" s="3">
        <f>[1]Raw_Data!H3947</f>
        <v>0</v>
      </c>
      <c r="I3949" s="3" t="str">
        <f>TRIM([1]Raw_Data!I3947)</f>
        <v>Canada</v>
      </c>
      <c r="J3949" s="3" t="str">
        <f>TRIM([1]Raw_Data!J3947)</f>
        <v>Amazon</v>
      </c>
      <c r="K3949" s="3">
        <f t="shared" si="244"/>
        <v>2024</v>
      </c>
      <c r="L3949" s="6">
        <f t="shared" si="245"/>
        <v>45536</v>
      </c>
      <c r="M3949" s="3" t="str">
        <f t="shared" si="246"/>
        <v>6% to 10%</v>
      </c>
      <c r="N3949" s="3" t="str">
        <f t="shared" si="247"/>
        <v>OK</v>
      </c>
    </row>
    <row r="3950" spans="1:14" x14ac:dyDescent="0.3">
      <c r="A3950" s="2">
        <f>DATE(VALUE(RIGHT(TRIM([1]Raw_Data!A3948),4)),VALUE(MID(TRIM([1]Raw_Data!A3948),4,2)),VALUE(LEFT(TRIM([1]Raw_Data!A3948),2)))</f>
        <v>45558</v>
      </c>
      <c r="B3950" s="3" t="str">
        <f>TRIM([1]Raw_Data!B3948)</f>
        <v>Ashwagandha</v>
      </c>
      <c r="C3950" s="3" t="str">
        <f>TRIM([1]Raw_Data!C3948)</f>
        <v>Herbal</v>
      </c>
      <c r="D3950" s="3">
        <f>[1]Raw_Data!D3948</f>
        <v>161</v>
      </c>
      <c r="E3950" s="4">
        <f>[1]Raw_Data!E3948</f>
        <v>30.7</v>
      </c>
      <c r="F3950" s="5">
        <f>[1]Raw_Data!F3948</f>
        <v>4942.7</v>
      </c>
      <c r="G3950" s="4">
        <f>[1]Raw_Data!G3948</f>
        <v>0.08</v>
      </c>
      <c r="H3950" s="3">
        <f>[1]Raw_Data!H3948</f>
        <v>3</v>
      </c>
      <c r="I3950" s="3" t="str">
        <f>TRIM([1]Raw_Data!I3948)</f>
        <v>UK</v>
      </c>
      <c r="J3950" s="3" t="str">
        <f>TRIM([1]Raw_Data!J3948)</f>
        <v>iHerb</v>
      </c>
      <c r="K3950" s="3">
        <f t="shared" si="244"/>
        <v>2024</v>
      </c>
      <c r="L3950" s="6">
        <f t="shared" si="245"/>
        <v>45536</v>
      </c>
      <c r="M3950" s="3" t="str">
        <f t="shared" si="246"/>
        <v>6% to 10%</v>
      </c>
      <c r="N3950" s="3" t="str">
        <f t="shared" si="247"/>
        <v>OK</v>
      </c>
    </row>
    <row r="3951" spans="1:14" x14ac:dyDescent="0.3">
      <c r="A3951" s="2">
        <f>DATE(VALUE(RIGHT(TRIM([1]Raw_Data!A3949),4)),VALUE(MID(TRIM([1]Raw_Data!A3949),4,2)),VALUE(LEFT(TRIM([1]Raw_Data!A3949),2)))</f>
        <v>45558</v>
      </c>
      <c r="B3951" s="3" t="str">
        <f>TRIM([1]Raw_Data!B3949)</f>
        <v>Melatonin</v>
      </c>
      <c r="C3951" s="3" t="str">
        <f>TRIM([1]Raw_Data!C3949)</f>
        <v>Sleep Aid</v>
      </c>
      <c r="D3951" s="3">
        <f>[1]Raw_Data!D3949</f>
        <v>169</v>
      </c>
      <c r="E3951" s="4">
        <f>[1]Raw_Data!E3949</f>
        <v>10.45</v>
      </c>
      <c r="F3951" s="5">
        <f>[1]Raw_Data!F3949</f>
        <v>1766.05</v>
      </c>
      <c r="G3951" s="4">
        <f>[1]Raw_Data!G3949</f>
        <v>0.2</v>
      </c>
      <c r="H3951" s="3">
        <f>[1]Raw_Data!H3949</f>
        <v>1</v>
      </c>
      <c r="I3951" s="3" t="str">
        <f>TRIM([1]Raw_Data!I3949)</f>
        <v>USA</v>
      </c>
      <c r="J3951" s="3" t="str">
        <f>TRIM([1]Raw_Data!J3949)</f>
        <v>iHerb</v>
      </c>
      <c r="K3951" s="3">
        <f t="shared" si="244"/>
        <v>2024</v>
      </c>
      <c r="L3951" s="6">
        <f t="shared" si="245"/>
        <v>45536</v>
      </c>
      <c r="M3951" s="3" t="str">
        <f t="shared" si="246"/>
        <v>16% to 20%</v>
      </c>
      <c r="N3951" s="3" t="str">
        <f t="shared" si="247"/>
        <v>OK</v>
      </c>
    </row>
    <row r="3952" spans="1:14" x14ac:dyDescent="0.3">
      <c r="A3952" s="2">
        <f>DATE(VALUE(RIGHT(TRIM([1]Raw_Data!A3950),4)),VALUE(MID(TRIM([1]Raw_Data!A3950),4,2)),VALUE(LEFT(TRIM([1]Raw_Data!A3950),2)))</f>
        <v>45558</v>
      </c>
      <c r="B3952" s="3" t="str">
        <f>TRIM([1]Raw_Data!B3950)</f>
        <v>Biotin</v>
      </c>
      <c r="C3952" s="3" t="str">
        <f>TRIM([1]Raw_Data!C3950)</f>
        <v>Vitamin</v>
      </c>
      <c r="D3952" s="3">
        <f>[1]Raw_Data!D3950</f>
        <v>151</v>
      </c>
      <c r="E3952" s="4">
        <f>[1]Raw_Data!E3950</f>
        <v>55.73</v>
      </c>
      <c r="F3952" s="5">
        <f>[1]Raw_Data!F3950</f>
        <v>8415.23</v>
      </c>
      <c r="G3952" s="4">
        <f>[1]Raw_Data!G3950</f>
        <v>0.14000000000000001</v>
      </c>
      <c r="H3952" s="3">
        <f>[1]Raw_Data!H3950</f>
        <v>1</v>
      </c>
      <c r="I3952" s="3" t="str">
        <f>TRIM([1]Raw_Data!I3950)</f>
        <v>USA</v>
      </c>
      <c r="J3952" s="3" t="str">
        <f>TRIM([1]Raw_Data!J3950)</f>
        <v>Amazon</v>
      </c>
      <c r="K3952" s="3">
        <f t="shared" si="244"/>
        <v>2024</v>
      </c>
      <c r="L3952" s="6">
        <f t="shared" si="245"/>
        <v>45536</v>
      </c>
      <c r="M3952" s="3" t="str">
        <f t="shared" si="246"/>
        <v>11% to 15%</v>
      </c>
      <c r="N3952" s="3" t="str">
        <f t="shared" si="247"/>
        <v>OK</v>
      </c>
    </row>
    <row r="3953" spans="1:14" x14ac:dyDescent="0.3">
      <c r="A3953" s="2">
        <f>DATE(VALUE(RIGHT(TRIM([1]Raw_Data!A3951),4)),VALUE(MID(TRIM([1]Raw_Data!A3951),4,2)),VALUE(LEFT(TRIM([1]Raw_Data!A3951),2)))</f>
        <v>45558</v>
      </c>
      <c r="B3953" s="3" t="str">
        <f>TRIM([1]Raw_Data!B3951)</f>
        <v>Green Tea Extract</v>
      </c>
      <c r="C3953" s="3" t="str">
        <f>TRIM([1]Raw_Data!C3951)</f>
        <v>Fat Burner</v>
      </c>
      <c r="D3953" s="3">
        <f>[1]Raw_Data!D3951</f>
        <v>142</v>
      </c>
      <c r="E3953" s="4">
        <f>[1]Raw_Data!E3951</f>
        <v>49.83</v>
      </c>
      <c r="F3953" s="5">
        <f>[1]Raw_Data!F3951</f>
        <v>7075.86</v>
      </c>
      <c r="G3953" s="4">
        <f>[1]Raw_Data!G3951</f>
        <v>0.11</v>
      </c>
      <c r="H3953" s="3">
        <f>[1]Raw_Data!H3951</f>
        <v>0</v>
      </c>
      <c r="I3953" s="3" t="str">
        <f>TRIM([1]Raw_Data!I3951)</f>
        <v>Canada</v>
      </c>
      <c r="J3953" s="3" t="str">
        <f>TRIM([1]Raw_Data!J3951)</f>
        <v>Walmart</v>
      </c>
      <c r="K3953" s="3">
        <f t="shared" si="244"/>
        <v>2024</v>
      </c>
      <c r="L3953" s="6">
        <f t="shared" si="245"/>
        <v>45536</v>
      </c>
      <c r="M3953" s="3" t="str">
        <f t="shared" si="246"/>
        <v>11% to 15%</v>
      </c>
      <c r="N3953" s="3" t="str">
        <f t="shared" si="247"/>
        <v>OK</v>
      </c>
    </row>
    <row r="3954" spans="1:14" x14ac:dyDescent="0.3">
      <c r="A3954" s="2">
        <f>DATE(VALUE(RIGHT(TRIM([1]Raw_Data!A3952),4)),VALUE(MID(TRIM([1]Raw_Data!A3952),4,2)),VALUE(LEFT(TRIM([1]Raw_Data!A3952),2)))</f>
        <v>45558</v>
      </c>
      <c r="B3954" s="3" t="str">
        <f>TRIM([1]Raw_Data!B3952)</f>
        <v>Iron Supplement</v>
      </c>
      <c r="C3954" s="3" t="str">
        <f>TRIM([1]Raw_Data!C3952)</f>
        <v>Mineral</v>
      </c>
      <c r="D3954" s="3">
        <f>[1]Raw_Data!D3952</f>
        <v>131</v>
      </c>
      <c r="E3954" s="4">
        <f>[1]Raw_Data!E3952</f>
        <v>33.25</v>
      </c>
      <c r="F3954" s="5">
        <f>[1]Raw_Data!F3952</f>
        <v>4355.75</v>
      </c>
      <c r="G3954" s="4">
        <f>[1]Raw_Data!G3952</f>
        <v>0.16</v>
      </c>
      <c r="H3954" s="3">
        <f>[1]Raw_Data!H3952</f>
        <v>1</v>
      </c>
      <c r="I3954" s="3" t="str">
        <f>TRIM([1]Raw_Data!I3952)</f>
        <v>UK</v>
      </c>
      <c r="J3954" s="3" t="str">
        <f>TRIM([1]Raw_Data!J3952)</f>
        <v>Amazon</v>
      </c>
      <c r="K3954" s="3">
        <f t="shared" si="244"/>
        <v>2024</v>
      </c>
      <c r="L3954" s="6">
        <f t="shared" si="245"/>
        <v>45536</v>
      </c>
      <c r="M3954" s="3" t="str">
        <f t="shared" si="246"/>
        <v>16% to 20%</v>
      </c>
      <c r="N3954" s="3" t="str">
        <f t="shared" si="247"/>
        <v>OK</v>
      </c>
    </row>
    <row r="3955" spans="1:14" x14ac:dyDescent="0.3">
      <c r="A3955" s="2">
        <f>DATE(VALUE(RIGHT(TRIM([1]Raw_Data!A3953),4)),VALUE(MID(TRIM([1]Raw_Data!A3953),4,2)),VALUE(LEFT(TRIM([1]Raw_Data!A3953),2)))</f>
        <v>45558</v>
      </c>
      <c r="B3955" s="3" t="str">
        <f>TRIM([1]Raw_Data!B3953)</f>
        <v>Electrolyte Powder</v>
      </c>
      <c r="C3955" s="3" t="str">
        <f>TRIM([1]Raw_Data!C3953)</f>
        <v>Hydration</v>
      </c>
      <c r="D3955" s="3">
        <f>[1]Raw_Data!D3953</f>
        <v>135</v>
      </c>
      <c r="E3955" s="4">
        <f>[1]Raw_Data!E3953</f>
        <v>55.34</v>
      </c>
      <c r="F3955" s="5">
        <f>[1]Raw_Data!F3953</f>
        <v>7470.9</v>
      </c>
      <c r="G3955" s="4">
        <f>[1]Raw_Data!G3953</f>
        <v>0.04</v>
      </c>
      <c r="H3955" s="3">
        <f>[1]Raw_Data!H3953</f>
        <v>2</v>
      </c>
      <c r="I3955" s="3" t="str">
        <f>TRIM([1]Raw_Data!I3953)</f>
        <v>Canada</v>
      </c>
      <c r="J3955" s="3" t="str">
        <f>TRIM([1]Raw_Data!J3953)</f>
        <v>iHerb</v>
      </c>
      <c r="K3955" s="3">
        <f t="shared" si="244"/>
        <v>2024</v>
      </c>
      <c r="L3955" s="6">
        <f t="shared" si="245"/>
        <v>45536</v>
      </c>
      <c r="M3955" s="3" t="str">
        <f t="shared" si="246"/>
        <v>0% to 5%</v>
      </c>
      <c r="N3955" s="3" t="str">
        <f t="shared" si="247"/>
        <v>OK</v>
      </c>
    </row>
    <row r="3956" spans="1:14" x14ac:dyDescent="0.3">
      <c r="A3956" s="2">
        <f>DATE(VALUE(RIGHT(TRIM([1]Raw_Data!A3954),4)),VALUE(MID(TRIM([1]Raw_Data!A3954),4,2)),VALUE(LEFT(TRIM([1]Raw_Data!A3954),2)))</f>
        <v>45565</v>
      </c>
      <c r="B3956" s="3" t="str">
        <f>TRIM([1]Raw_Data!B3954)</f>
        <v>Whey Protein</v>
      </c>
      <c r="C3956" s="3" t="str">
        <f>TRIM([1]Raw_Data!C3954)</f>
        <v>Protein</v>
      </c>
      <c r="D3956" s="3">
        <f>[1]Raw_Data!D3954</f>
        <v>153</v>
      </c>
      <c r="E3956" s="4">
        <f>[1]Raw_Data!E3954</f>
        <v>17.53</v>
      </c>
      <c r="F3956" s="5">
        <f>[1]Raw_Data!F3954</f>
        <v>2682.09</v>
      </c>
      <c r="G3956" s="4">
        <f>[1]Raw_Data!G3954</f>
        <v>0.24</v>
      </c>
      <c r="H3956" s="3">
        <f>[1]Raw_Data!H3954</f>
        <v>2</v>
      </c>
      <c r="I3956" s="3" t="str">
        <f>TRIM([1]Raw_Data!I3954)</f>
        <v>Canada</v>
      </c>
      <c r="J3956" s="3" t="str">
        <f>TRIM([1]Raw_Data!J3954)</f>
        <v>iHerb</v>
      </c>
      <c r="K3956" s="3">
        <f t="shared" si="244"/>
        <v>2024</v>
      </c>
      <c r="L3956" s="6">
        <f t="shared" si="245"/>
        <v>45536</v>
      </c>
      <c r="M3956" s="3" t="str">
        <f t="shared" si="246"/>
        <v>21% to 25%</v>
      </c>
      <c r="N3956" s="3" t="str">
        <f t="shared" si="247"/>
        <v>OK</v>
      </c>
    </row>
    <row r="3957" spans="1:14" x14ac:dyDescent="0.3">
      <c r="A3957" s="2">
        <f>DATE(VALUE(RIGHT(TRIM([1]Raw_Data!A3955),4)),VALUE(MID(TRIM([1]Raw_Data!A3955),4,2)),VALUE(LEFT(TRIM([1]Raw_Data!A3955),2)))</f>
        <v>45565</v>
      </c>
      <c r="B3957" s="3" t="str">
        <f>TRIM([1]Raw_Data!B3955)</f>
        <v>Vitamin C</v>
      </c>
      <c r="C3957" s="3" t="str">
        <f>TRIM([1]Raw_Data!C3955)</f>
        <v>Vitamin</v>
      </c>
      <c r="D3957" s="3">
        <f>[1]Raw_Data!D3955</f>
        <v>164</v>
      </c>
      <c r="E3957" s="4">
        <f>[1]Raw_Data!E3955</f>
        <v>46.97</v>
      </c>
      <c r="F3957" s="5">
        <f>[1]Raw_Data!F3955</f>
        <v>7703.08</v>
      </c>
      <c r="G3957" s="4">
        <f>[1]Raw_Data!G3955</f>
        <v>0.2</v>
      </c>
      <c r="H3957" s="3">
        <f>[1]Raw_Data!H3955</f>
        <v>1</v>
      </c>
      <c r="I3957" s="3" t="str">
        <f>TRIM([1]Raw_Data!I3955)</f>
        <v>UK</v>
      </c>
      <c r="J3957" s="3" t="str">
        <f>TRIM([1]Raw_Data!J3955)</f>
        <v>Walmart</v>
      </c>
      <c r="K3957" s="3">
        <f t="shared" si="244"/>
        <v>2024</v>
      </c>
      <c r="L3957" s="6">
        <f t="shared" si="245"/>
        <v>45536</v>
      </c>
      <c r="M3957" s="3" t="str">
        <f t="shared" si="246"/>
        <v>16% to 20%</v>
      </c>
      <c r="N3957" s="3" t="str">
        <f t="shared" si="247"/>
        <v>OK</v>
      </c>
    </row>
    <row r="3958" spans="1:14" x14ac:dyDescent="0.3">
      <c r="A3958" s="2">
        <f>DATE(VALUE(RIGHT(TRIM([1]Raw_Data!A3956),4)),VALUE(MID(TRIM([1]Raw_Data!A3956),4,2)),VALUE(LEFT(TRIM([1]Raw_Data!A3956),2)))</f>
        <v>45565</v>
      </c>
      <c r="B3958" s="3" t="str">
        <f>TRIM([1]Raw_Data!B3956)</f>
        <v>Fish Oil</v>
      </c>
      <c r="C3958" s="3" t="str">
        <f>TRIM([1]Raw_Data!C3956)</f>
        <v>Omega</v>
      </c>
      <c r="D3958" s="3">
        <f>[1]Raw_Data!D3956</f>
        <v>146</v>
      </c>
      <c r="E3958" s="4">
        <f>[1]Raw_Data!E3956</f>
        <v>14.67</v>
      </c>
      <c r="F3958" s="5">
        <f>[1]Raw_Data!F3956</f>
        <v>2141.8200000000002</v>
      </c>
      <c r="G3958" s="4">
        <f>[1]Raw_Data!G3956</f>
        <v>0.18</v>
      </c>
      <c r="H3958" s="3">
        <f>[1]Raw_Data!H3956</f>
        <v>0</v>
      </c>
      <c r="I3958" s="3" t="str">
        <f>TRIM([1]Raw_Data!I3956)</f>
        <v>USA</v>
      </c>
      <c r="J3958" s="3" t="str">
        <f>TRIM([1]Raw_Data!J3956)</f>
        <v>iHerb</v>
      </c>
      <c r="K3958" s="3">
        <f t="shared" si="244"/>
        <v>2024</v>
      </c>
      <c r="L3958" s="6">
        <f t="shared" si="245"/>
        <v>45536</v>
      </c>
      <c r="M3958" s="3" t="str">
        <f t="shared" si="246"/>
        <v>16% to 20%</v>
      </c>
      <c r="N3958" s="3" t="str">
        <f t="shared" si="247"/>
        <v>OK</v>
      </c>
    </row>
    <row r="3959" spans="1:14" x14ac:dyDescent="0.3">
      <c r="A3959" s="2">
        <f>DATE(VALUE(RIGHT(TRIM([1]Raw_Data!A3957),4)),VALUE(MID(TRIM([1]Raw_Data!A3957),4,2)),VALUE(LEFT(TRIM([1]Raw_Data!A3957),2)))</f>
        <v>45565</v>
      </c>
      <c r="B3959" s="3" t="str">
        <f>TRIM([1]Raw_Data!B3957)</f>
        <v>Multivitamin</v>
      </c>
      <c r="C3959" s="3" t="str">
        <f>TRIM([1]Raw_Data!C3957)</f>
        <v>Vitamin</v>
      </c>
      <c r="D3959" s="3">
        <f>[1]Raw_Data!D3957</f>
        <v>138</v>
      </c>
      <c r="E3959" s="4">
        <f>[1]Raw_Data!E3957</f>
        <v>14.92</v>
      </c>
      <c r="F3959" s="5">
        <f>[1]Raw_Data!F3957</f>
        <v>2058.96</v>
      </c>
      <c r="G3959" s="4">
        <f>[1]Raw_Data!G3957</f>
        <v>0.24</v>
      </c>
      <c r="H3959" s="3">
        <f>[1]Raw_Data!H3957</f>
        <v>3</v>
      </c>
      <c r="I3959" s="3" t="str">
        <f>TRIM([1]Raw_Data!I3957)</f>
        <v>Canada</v>
      </c>
      <c r="J3959" s="3" t="str">
        <f>TRIM([1]Raw_Data!J3957)</f>
        <v>Amazon</v>
      </c>
      <c r="K3959" s="3">
        <f t="shared" si="244"/>
        <v>2024</v>
      </c>
      <c r="L3959" s="6">
        <f t="shared" si="245"/>
        <v>45536</v>
      </c>
      <c r="M3959" s="3" t="str">
        <f t="shared" si="246"/>
        <v>21% to 25%</v>
      </c>
      <c r="N3959" s="3" t="str">
        <f t="shared" si="247"/>
        <v>OK</v>
      </c>
    </row>
    <row r="3960" spans="1:14" x14ac:dyDescent="0.3">
      <c r="A3960" s="2">
        <f>DATE(VALUE(RIGHT(TRIM([1]Raw_Data!A3958),4)),VALUE(MID(TRIM([1]Raw_Data!A3958),4,2)),VALUE(LEFT(TRIM([1]Raw_Data!A3958),2)))</f>
        <v>45565</v>
      </c>
      <c r="B3960" s="3" t="str">
        <f>TRIM([1]Raw_Data!B3958)</f>
        <v>Pre-Workout</v>
      </c>
      <c r="C3960" s="3" t="str">
        <f>TRIM([1]Raw_Data!C3958)</f>
        <v>Performance</v>
      </c>
      <c r="D3960" s="3">
        <f>[1]Raw_Data!D3958</f>
        <v>154</v>
      </c>
      <c r="E3960" s="4">
        <f>[1]Raw_Data!E3958</f>
        <v>54.38</v>
      </c>
      <c r="F3960" s="5">
        <f>[1]Raw_Data!F3958</f>
        <v>8374.52</v>
      </c>
      <c r="G3960" s="4">
        <f>[1]Raw_Data!G3958</f>
        <v>0.06</v>
      </c>
      <c r="H3960" s="3">
        <f>[1]Raw_Data!H3958</f>
        <v>3</v>
      </c>
      <c r="I3960" s="3" t="str">
        <f>TRIM([1]Raw_Data!I3958)</f>
        <v>UK</v>
      </c>
      <c r="J3960" s="3" t="str">
        <f>TRIM([1]Raw_Data!J3958)</f>
        <v>Amazon</v>
      </c>
      <c r="K3960" s="3">
        <f t="shared" si="244"/>
        <v>2024</v>
      </c>
      <c r="L3960" s="6">
        <f t="shared" si="245"/>
        <v>45536</v>
      </c>
      <c r="M3960" s="3" t="str">
        <f t="shared" si="246"/>
        <v>6% to 10%</v>
      </c>
      <c r="N3960" s="3" t="str">
        <f t="shared" si="247"/>
        <v>OK</v>
      </c>
    </row>
    <row r="3961" spans="1:14" x14ac:dyDescent="0.3">
      <c r="A3961" s="2">
        <f>DATE(VALUE(RIGHT(TRIM([1]Raw_Data!A3959),4)),VALUE(MID(TRIM([1]Raw_Data!A3959),4,2)),VALUE(LEFT(TRIM([1]Raw_Data!A3959),2)))</f>
        <v>45565</v>
      </c>
      <c r="B3961" s="3" t="str">
        <f>TRIM([1]Raw_Data!B3959)</f>
        <v>BCAA</v>
      </c>
      <c r="C3961" s="3" t="str">
        <f>TRIM([1]Raw_Data!C3959)</f>
        <v>Amino Acid</v>
      </c>
      <c r="D3961" s="3">
        <f>[1]Raw_Data!D3959</f>
        <v>138</v>
      </c>
      <c r="E3961" s="4">
        <f>[1]Raw_Data!E3959</f>
        <v>37.909999999999997</v>
      </c>
      <c r="F3961" s="5">
        <f>[1]Raw_Data!F3959</f>
        <v>5231.58</v>
      </c>
      <c r="G3961" s="4">
        <f>[1]Raw_Data!G3959</f>
        <v>0.18</v>
      </c>
      <c r="H3961" s="3">
        <f>[1]Raw_Data!H3959</f>
        <v>0</v>
      </c>
      <c r="I3961" s="3" t="str">
        <f>TRIM([1]Raw_Data!I3959)</f>
        <v>UK</v>
      </c>
      <c r="J3961" s="3" t="str">
        <f>TRIM([1]Raw_Data!J3959)</f>
        <v>iHerb</v>
      </c>
      <c r="K3961" s="3">
        <f t="shared" si="244"/>
        <v>2024</v>
      </c>
      <c r="L3961" s="6">
        <f t="shared" si="245"/>
        <v>45536</v>
      </c>
      <c r="M3961" s="3" t="str">
        <f t="shared" si="246"/>
        <v>16% to 20%</v>
      </c>
      <c r="N3961" s="3" t="str">
        <f t="shared" si="247"/>
        <v>OK</v>
      </c>
    </row>
    <row r="3962" spans="1:14" x14ac:dyDescent="0.3">
      <c r="A3962" s="2">
        <f>DATE(VALUE(RIGHT(TRIM([1]Raw_Data!A3960),4)),VALUE(MID(TRIM([1]Raw_Data!A3960),4,2)),VALUE(LEFT(TRIM([1]Raw_Data!A3960),2)))</f>
        <v>45565</v>
      </c>
      <c r="B3962" s="3" t="str">
        <f>TRIM([1]Raw_Data!B3960)</f>
        <v>Creatine</v>
      </c>
      <c r="C3962" s="3" t="str">
        <f>TRIM([1]Raw_Data!C3960)</f>
        <v>Performance</v>
      </c>
      <c r="D3962" s="3">
        <f>[1]Raw_Data!D3960</f>
        <v>142</v>
      </c>
      <c r="E3962" s="4">
        <f>[1]Raw_Data!E3960</f>
        <v>27.87</v>
      </c>
      <c r="F3962" s="5">
        <f>[1]Raw_Data!F3960</f>
        <v>3957.54</v>
      </c>
      <c r="G3962" s="4">
        <f>[1]Raw_Data!G3960</f>
        <v>0.19</v>
      </c>
      <c r="H3962" s="3">
        <f>[1]Raw_Data!H3960</f>
        <v>2</v>
      </c>
      <c r="I3962" s="3" t="str">
        <f>TRIM([1]Raw_Data!I3960)</f>
        <v>Canada</v>
      </c>
      <c r="J3962" s="3" t="str">
        <f>TRIM([1]Raw_Data!J3960)</f>
        <v>iHerb</v>
      </c>
      <c r="K3962" s="3">
        <f t="shared" si="244"/>
        <v>2024</v>
      </c>
      <c r="L3962" s="6">
        <f t="shared" si="245"/>
        <v>45536</v>
      </c>
      <c r="M3962" s="3" t="str">
        <f t="shared" si="246"/>
        <v>16% to 20%</v>
      </c>
      <c r="N3962" s="3" t="str">
        <f t="shared" si="247"/>
        <v>OK</v>
      </c>
    </row>
    <row r="3963" spans="1:14" x14ac:dyDescent="0.3">
      <c r="A3963" s="2">
        <f>DATE(VALUE(RIGHT(TRIM([1]Raw_Data!A3961),4)),VALUE(MID(TRIM([1]Raw_Data!A3961),4,2)),VALUE(LEFT(TRIM([1]Raw_Data!A3961),2)))</f>
        <v>45565</v>
      </c>
      <c r="B3963" s="3" t="str">
        <f>TRIM([1]Raw_Data!B3961)</f>
        <v>Zinc</v>
      </c>
      <c r="C3963" s="3" t="str">
        <f>TRIM([1]Raw_Data!C3961)</f>
        <v>Mineral</v>
      </c>
      <c r="D3963" s="3">
        <f>[1]Raw_Data!D3961</f>
        <v>140</v>
      </c>
      <c r="E3963" s="4">
        <f>[1]Raw_Data!E3961</f>
        <v>41.45</v>
      </c>
      <c r="F3963" s="5">
        <f>[1]Raw_Data!F3961</f>
        <v>5803</v>
      </c>
      <c r="G3963" s="4">
        <f>[1]Raw_Data!G3961</f>
        <v>0.11</v>
      </c>
      <c r="H3963" s="3">
        <f>[1]Raw_Data!H3961</f>
        <v>0</v>
      </c>
      <c r="I3963" s="3" t="str">
        <f>TRIM([1]Raw_Data!I3961)</f>
        <v>Canada</v>
      </c>
      <c r="J3963" s="3" t="str">
        <f>TRIM([1]Raw_Data!J3961)</f>
        <v>Amazon</v>
      </c>
      <c r="K3963" s="3">
        <f t="shared" si="244"/>
        <v>2024</v>
      </c>
      <c r="L3963" s="6">
        <f t="shared" si="245"/>
        <v>45536</v>
      </c>
      <c r="M3963" s="3" t="str">
        <f t="shared" si="246"/>
        <v>11% to 15%</v>
      </c>
      <c r="N3963" s="3" t="str">
        <f t="shared" si="247"/>
        <v>OK</v>
      </c>
    </row>
    <row r="3964" spans="1:14" x14ac:dyDescent="0.3">
      <c r="A3964" s="2">
        <f>DATE(VALUE(RIGHT(TRIM([1]Raw_Data!A3962),4)),VALUE(MID(TRIM([1]Raw_Data!A3962),4,2)),VALUE(LEFT(TRIM([1]Raw_Data!A3962),2)))</f>
        <v>45565</v>
      </c>
      <c r="B3964" s="3" t="str">
        <f>TRIM([1]Raw_Data!B3962)</f>
        <v>Collagen Peptides</v>
      </c>
      <c r="C3964" s="3" t="str">
        <f>TRIM([1]Raw_Data!C3962)</f>
        <v>Protein</v>
      </c>
      <c r="D3964" s="3">
        <f>[1]Raw_Data!D3962</f>
        <v>144</v>
      </c>
      <c r="E3964" s="4">
        <f>[1]Raw_Data!E3962</f>
        <v>15.41</v>
      </c>
      <c r="F3964" s="5">
        <f>[1]Raw_Data!F3962</f>
        <v>2219.04</v>
      </c>
      <c r="G3964" s="4">
        <f>[1]Raw_Data!G3962</f>
        <v>0.14000000000000001</v>
      </c>
      <c r="H3964" s="3">
        <f>[1]Raw_Data!H3962</f>
        <v>2</v>
      </c>
      <c r="I3964" s="3" t="str">
        <f>TRIM([1]Raw_Data!I3962)</f>
        <v>USA</v>
      </c>
      <c r="J3964" s="3" t="str">
        <f>TRIM([1]Raw_Data!J3962)</f>
        <v>iHerb</v>
      </c>
      <c r="K3964" s="3">
        <f t="shared" si="244"/>
        <v>2024</v>
      </c>
      <c r="L3964" s="6">
        <f t="shared" si="245"/>
        <v>45536</v>
      </c>
      <c r="M3964" s="3" t="str">
        <f t="shared" si="246"/>
        <v>11% to 15%</v>
      </c>
      <c r="N3964" s="3" t="str">
        <f t="shared" si="247"/>
        <v>OK</v>
      </c>
    </row>
    <row r="3965" spans="1:14" x14ac:dyDescent="0.3">
      <c r="A3965" s="2">
        <f>DATE(VALUE(RIGHT(TRIM([1]Raw_Data!A3963),4)),VALUE(MID(TRIM([1]Raw_Data!A3963),4,2)),VALUE(LEFT(TRIM([1]Raw_Data!A3963),2)))</f>
        <v>45565</v>
      </c>
      <c r="B3965" s="3" t="str">
        <f>TRIM([1]Raw_Data!B3963)</f>
        <v>Magnesium</v>
      </c>
      <c r="C3965" s="3" t="str">
        <f>TRIM([1]Raw_Data!C3963)</f>
        <v>Mineral</v>
      </c>
      <c r="D3965" s="3">
        <f>[1]Raw_Data!D3963</f>
        <v>153</v>
      </c>
      <c r="E3965" s="4">
        <f>[1]Raw_Data!E3963</f>
        <v>16.38</v>
      </c>
      <c r="F3965" s="5">
        <f>[1]Raw_Data!F3963</f>
        <v>2506.14</v>
      </c>
      <c r="G3965" s="4">
        <f>[1]Raw_Data!G3963</f>
        <v>0.11</v>
      </c>
      <c r="H3965" s="3">
        <f>[1]Raw_Data!H3963</f>
        <v>2</v>
      </c>
      <c r="I3965" s="3" t="str">
        <f>TRIM([1]Raw_Data!I3963)</f>
        <v>UK</v>
      </c>
      <c r="J3965" s="3" t="str">
        <f>TRIM([1]Raw_Data!J3963)</f>
        <v>Walmart</v>
      </c>
      <c r="K3965" s="3">
        <f t="shared" si="244"/>
        <v>2024</v>
      </c>
      <c r="L3965" s="6">
        <f t="shared" si="245"/>
        <v>45536</v>
      </c>
      <c r="M3965" s="3" t="str">
        <f t="shared" si="246"/>
        <v>11% to 15%</v>
      </c>
      <c r="N3965" s="3" t="str">
        <f t="shared" si="247"/>
        <v>OK</v>
      </c>
    </row>
    <row r="3966" spans="1:14" x14ac:dyDescent="0.3">
      <c r="A3966" s="2">
        <f>DATE(VALUE(RIGHT(TRIM([1]Raw_Data!A3964),4)),VALUE(MID(TRIM([1]Raw_Data!A3964),4,2)),VALUE(LEFT(TRIM([1]Raw_Data!A3964),2)))</f>
        <v>45565</v>
      </c>
      <c r="B3966" s="3" t="str">
        <f>TRIM([1]Raw_Data!B3964)</f>
        <v>Ashwagandha</v>
      </c>
      <c r="C3966" s="3" t="str">
        <f>TRIM([1]Raw_Data!C3964)</f>
        <v>Herbal</v>
      </c>
      <c r="D3966" s="3">
        <f>[1]Raw_Data!D3964</f>
        <v>156</v>
      </c>
      <c r="E3966" s="4">
        <f>[1]Raw_Data!E3964</f>
        <v>46.45</v>
      </c>
      <c r="F3966" s="5">
        <f>[1]Raw_Data!F3964</f>
        <v>7246.2</v>
      </c>
      <c r="G3966" s="4">
        <f>[1]Raw_Data!G3964</f>
        <v>0.16</v>
      </c>
      <c r="H3966" s="3">
        <f>[1]Raw_Data!H3964</f>
        <v>0</v>
      </c>
      <c r="I3966" s="3" t="str">
        <f>TRIM([1]Raw_Data!I3964)</f>
        <v>Canada</v>
      </c>
      <c r="J3966" s="3" t="str">
        <f>TRIM([1]Raw_Data!J3964)</f>
        <v>Walmart</v>
      </c>
      <c r="K3966" s="3">
        <f t="shared" si="244"/>
        <v>2024</v>
      </c>
      <c r="L3966" s="6">
        <f t="shared" si="245"/>
        <v>45536</v>
      </c>
      <c r="M3966" s="3" t="str">
        <f t="shared" si="246"/>
        <v>16% to 20%</v>
      </c>
      <c r="N3966" s="3" t="str">
        <f t="shared" si="247"/>
        <v>OK</v>
      </c>
    </row>
    <row r="3967" spans="1:14" x14ac:dyDescent="0.3">
      <c r="A3967" s="2">
        <f>DATE(VALUE(RIGHT(TRIM([1]Raw_Data!A3965),4)),VALUE(MID(TRIM([1]Raw_Data!A3965),4,2)),VALUE(LEFT(TRIM([1]Raw_Data!A3965),2)))</f>
        <v>45565</v>
      </c>
      <c r="B3967" s="3" t="str">
        <f>TRIM([1]Raw_Data!B3965)</f>
        <v>Melatonin</v>
      </c>
      <c r="C3967" s="3" t="str">
        <f>TRIM([1]Raw_Data!C3965)</f>
        <v>Sleep Aid</v>
      </c>
      <c r="D3967" s="3">
        <f>[1]Raw_Data!D3965</f>
        <v>157</v>
      </c>
      <c r="E3967" s="4">
        <f>[1]Raw_Data!E3965</f>
        <v>59.67</v>
      </c>
      <c r="F3967" s="5">
        <f>[1]Raw_Data!F3965</f>
        <v>9368.19</v>
      </c>
      <c r="G3967" s="4">
        <f>[1]Raw_Data!G3965</f>
        <v>0.17</v>
      </c>
      <c r="H3967" s="3">
        <f>[1]Raw_Data!H3965</f>
        <v>2</v>
      </c>
      <c r="I3967" s="3" t="str">
        <f>TRIM([1]Raw_Data!I3965)</f>
        <v>UK</v>
      </c>
      <c r="J3967" s="3" t="str">
        <f>TRIM([1]Raw_Data!J3965)</f>
        <v>iHerb</v>
      </c>
      <c r="K3967" s="3">
        <f t="shared" si="244"/>
        <v>2024</v>
      </c>
      <c r="L3967" s="6">
        <f t="shared" si="245"/>
        <v>45536</v>
      </c>
      <c r="M3967" s="3" t="str">
        <f t="shared" si="246"/>
        <v>16% to 20%</v>
      </c>
      <c r="N3967" s="3" t="str">
        <f t="shared" si="247"/>
        <v>OK</v>
      </c>
    </row>
    <row r="3968" spans="1:14" x14ac:dyDescent="0.3">
      <c r="A3968" s="2">
        <f>DATE(VALUE(RIGHT(TRIM([1]Raw_Data!A3966),4)),VALUE(MID(TRIM([1]Raw_Data!A3966),4,2)),VALUE(LEFT(TRIM([1]Raw_Data!A3966),2)))</f>
        <v>45565</v>
      </c>
      <c r="B3968" s="3" t="str">
        <f>TRIM([1]Raw_Data!B3966)</f>
        <v>Biotin</v>
      </c>
      <c r="C3968" s="3" t="str">
        <f>TRIM([1]Raw_Data!C3966)</f>
        <v>Vitamin</v>
      </c>
      <c r="D3968" s="3">
        <f>[1]Raw_Data!D3966</f>
        <v>150</v>
      </c>
      <c r="E3968" s="4">
        <f>[1]Raw_Data!E3966</f>
        <v>59.84</v>
      </c>
      <c r="F3968" s="5">
        <f>[1]Raw_Data!F3966</f>
        <v>8976</v>
      </c>
      <c r="G3968" s="4">
        <f>[1]Raw_Data!G3966</f>
        <v>0.19</v>
      </c>
      <c r="H3968" s="3">
        <f>[1]Raw_Data!H3966</f>
        <v>2</v>
      </c>
      <c r="I3968" s="3" t="str">
        <f>TRIM([1]Raw_Data!I3966)</f>
        <v>UK</v>
      </c>
      <c r="J3968" s="3" t="str">
        <f>TRIM([1]Raw_Data!J3966)</f>
        <v>iHerb</v>
      </c>
      <c r="K3968" s="3">
        <f t="shared" si="244"/>
        <v>2024</v>
      </c>
      <c r="L3968" s="6">
        <f t="shared" si="245"/>
        <v>45536</v>
      </c>
      <c r="M3968" s="3" t="str">
        <f t="shared" si="246"/>
        <v>16% to 20%</v>
      </c>
      <c r="N3968" s="3" t="str">
        <f t="shared" si="247"/>
        <v>OK</v>
      </c>
    </row>
    <row r="3969" spans="1:14" x14ac:dyDescent="0.3">
      <c r="A3969" s="2">
        <f>DATE(VALUE(RIGHT(TRIM([1]Raw_Data!A3967),4)),VALUE(MID(TRIM([1]Raw_Data!A3967),4,2)),VALUE(LEFT(TRIM([1]Raw_Data!A3967),2)))</f>
        <v>45565</v>
      </c>
      <c r="B3969" s="3" t="str">
        <f>TRIM([1]Raw_Data!B3967)</f>
        <v>Green Tea Extract</v>
      </c>
      <c r="C3969" s="3" t="str">
        <f>TRIM([1]Raw_Data!C3967)</f>
        <v>Fat Burner</v>
      </c>
      <c r="D3969" s="3">
        <f>[1]Raw_Data!D3967</f>
        <v>129</v>
      </c>
      <c r="E3969" s="4">
        <f>[1]Raw_Data!E3967</f>
        <v>45.43</v>
      </c>
      <c r="F3969" s="5">
        <f>[1]Raw_Data!F3967</f>
        <v>5860.47</v>
      </c>
      <c r="G3969" s="4">
        <f>[1]Raw_Data!G3967</f>
        <v>0.19</v>
      </c>
      <c r="H3969" s="3">
        <f>[1]Raw_Data!H3967</f>
        <v>0</v>
      </c>
      <c r="I3969" s="3" t="str">
        <f>TRIM([1]Raw_Data!I3967)</f>
        <v>USA</v>
      </c>
      <c r="J3969" s="3" t="str">
        <f>TRIM([1]Raw_Data!J3967)</f>
        <v>Amazon</v>
      </c>
      <c r="K3969" s="3">
        <f t="shared" si="244"/>
        <v>2024</v>
      </c>
      <c r="L3969" s="6">
        <f t="shared" si="245"/>
        <v>45536</v>
      </c>
      <c r="M3969" s="3" t="str">
        <f t="shared" si="246"/>
        <v>16% to 20%</v>
      </c>
      <c r="N3969" s="3" t="str">
        <f t="shared" si="247"/>
        <v>OK</v>
      </c>
    </row>
    <row r="3970" spans="1:14" x14ac:dyDescent="0.3">
      <c r="A3970" s="2">
        <f>DATE(VALUE(RIGHT(TRIM([1]Raw_Data!A3968),4)),VALUE(MID(TRIM([1]Raw_Data!A3968),4,2)),VALUE(LEFT(TRIM([1]Raw_Data!A3968),2)))</f>
        <v>45565</v>
      </c>
      <c r="B3970" s="3" t="str">
        <f>TRIM([1]Raw_Data!B3968)</f>
        <v>Iron Supplement</v>
      </c>
      <c r="C3970" s="3" t="str">
        <f>TRIM([1]Raw_Data!C3968)</f>
        <v>Mineral</v>
      </c>
      <c r="D3970" s="3">
        <f>[1]Raw_Data!D3968</f>
        <v>155</v>
      </c>
      <c r="E3970" s="4">
        <f>[1]Raw_Data!E3968</f>
        <v>48.01</v>
      </c>
      <c r="F3970" s="5">
        <f>[1]Raw_Data!F3968</f>
        <v>7441.55</v>
      </c>
      <c r="G3970" s="4">
        <f>[1]Raw_Data!G3968</f>
        <v>0.06</v>
      </c>
      <c r="H3970" s="3">
        <f>[1]Raw_Data!H3968</f>
        <v>2</v>
      </c>
      <c r="I3970" s="3" t="str">
        <f>TRIM([1]Raw_Data!I3968)</f>
        <v>USA</v>
      </c>
      <c r="J3970" s="3" t="str">
        <f>TRIM([1]Raw_Data!J3968)</f>
        <v>iHerb</v>
      </c>
      <c r="K3970" s="3">
        <f t="shared" si="244"/>
        <v>2024</v>
      </c>
      <c r="L3970" s="6">
        <f t="shared" si="245"/>
        <v>45536</v>
      </c>
      <c r="M3970" s="3" t="str">
        <f t="shared" si="246"/>
        <v>6% to 10%</v>
      </c>
      <c r="N3970" s="3" t="str">
        <f t="shared" si="247"/>
        <v>OK</v>
      </c>
    </row>
    <row r="3971" spans="1:14" x14ac:dyDescent="0.3">
      <c r="A3971" s="2">
        <f>DATE(VALUE(RIGHT(TRIM([1]Raw_Data!A3969),4)),VALUE(MID(TRIM([1]Raw_Data!A3969),4,2)),VALUE(LEFT(TRIM([1]Raw_Data!A3969),2)))</f>
        <v>45565</v>
      </c>
      <c r="B3971" s="3" t="str">
        <f>TRIM([1]Raw_Data!B3969)</f>
        <v>Electrolyte Powder</v>
      </c>
      <c r="C3971" s="3" t="str">
        <f>TRIM([1]Raw_Data!C3969)</f>
        <v>Hydration</v>
      </c>
      <c r="D3971" s="3">
        <f>[1]Raw_Data!D3969</f>
        <v>142</v>
      </c>
      <c r="E3971" s="4">
        <f>[1]Raw_Data!E3969</f>
        <v>41.67</v>
      </c>
      <c r="F3971" s="5">
        <f>[1]Raw_Data!F3969</f>
        <v>5917.14</v>
      </c>
      <c r="G3971" s="4">
        <f>[1]Raw_Data!G3969</f>
        <v>0.03</v>
      </c>
      <c r="H3971" s="3">
        <f>[1]Raw_Data!H3969</f>
        <v>2</v>
      </c>
      <c r="I3971" s="3" t="str">
        <f>TRIM([1]Raw_Data!I3969)</f>
        <v>USA</v>
      </c>
      <c r="J3971" s="3" t="str">
        <f>TRIM([1]Raw_Data!J3969)</f>
        <v>iHerb</v>
      </c>
      <c r="K3971" s="3">
        <f t="shared" si="244"/>
        <v>2024</v>
      </c>
      <c r="L3971" s="6">
        <f t="shared" si="245"/>
        <v>45536</v>
      </c>
      <c r="M3971" s="3" t="str">
        <f t="shared" si="246"/>
        <v>0% to 5%</v>
      </c>
      <c r="N3971" s="3" t="str">
        <f t="shared" si="247"/>
        <v>OK</v>
      </c>
    </row>
    <row r="3972" spans="1:14" x14ac:dyDescent="0.3">
      <c r="A3972" s="2">
        <f>DATE(VALUE(RIGHT(TRIM([1]Raw_Data!A3970),4)),VALUE(MID(TRIM([1]Raw_Data!A3970),4,2)),VALUE(LEFT(TRIM([1]Raw_Data!A3970),2)))</f>
        <v>45572</v>
      </c>
      <c r="B3972" s="3" t="str">
        <f>TRIM([1]Raw_Data!B3970)</f>
        <v>Whey Protein</v>
      </c>
      <c r="C3972" s="3" t="str">
        <f>TRIM([1]Raw_Data!C3970)</f>
        <v>Protein</v>
      </c>
      <c r="D3972" s="3">
        <f>[1]Raw_Data!D3970</f>
        <v>140</v>
      </c>
      <c r="E3972" s="4">
        <f>[1]Raw_Data!E3970</f>
        <v>27.68</v>
      </c>
      <c r="F3972" s="5">
        <f>[1]Raw_Data!F3970</f>
        <v>3875.2</v>
      </c>
      <c r="G3972" s="4">
        <f>[1]Raw_Data!G3970</f>
        <v>0.23</v>
      </c>
      <c r="H3972" s="3">
        <f>[1]Raw_Data!H3970</f>
        <v>2</v>
      </c>
      <c r="I3972" s="3" t="str">
        <f>TRIM([1]Raw_Data!I3970)</f>
        <v>Canada</v>
      </c>
      <c r="J3972" s="3" t="str">
        <f>TRIM([1]Raw_Data!J3970)</f>
        <v>Amazon</v>
      </c>
      <c r="K3972" s="3">
        <f t="shared" ref="K3972:K4035" si="248">YEAR(A3972)</f>
        <v>2024</v>
      </c>
      <c r="L3972" s="6">
        <f t="shared" ref="L3972:L4035" si="249">DATE(YEAR(A3972),MONTH(A3972),1)</f>
        <v>45566</v>
      </c>
      <c r="M3972" s="3" t="str">
        <f t="shared" ref="M3972:M4035" si="250">IF(ROUND(G3972*100,0)&lt;=5,"0% to 5%",IF(ROUND(G3972*100,0)&lt;=10,"6% to 10%",IF(ROUND(G3972*100,0)&lt;=15,"11% to 15%",IF(ROUND(G3972*100,0)&lt;=20,"16% to 20%","21% to 25%"))))</f>
        <v>21% to 25%</v>
      </c>
      <c r="N3972" s="3" t="str">
        <f t="shared" ref="N3972:N4035" si="251">IF(ROUND(D3972*E3972,2)=ROUND(F3972,2),"OK","Check")</f>
        <v>OK</v>
      </c>
    </row>
    <row r="3973" spans="1:14" x14ac:dyDescent="0.3">
      <c r="A3973" s="2">
        <f>DATE(VALUE(RIGHT(TRIM([1]Raw_Data!A3971),4)),VALUE(MID(TRIM([1]Raw_Data!A3971),4,2)),VALUE(LEFT(TRIM([1]Raw_Data!A3971),2)))</f>
        <v>45572</v>
      </c>
      <c r="B3973" s="3" t="str">
        <f>TRIM([1]Raw_Data!B3971)</f>
        <v>Vitamin C</v>
      </c>
      <c r="C3973" s="3" t="str">
        <f>TRIM([1]Raw_Data!C3971)</f>
        <v>Vitamin</v>
      </c>
      <c r="D3973" s="3">
        <f>[1]Raw_Data!D3971</f>
        <v>128</v>
      </c>
      <c r="E3973" s="4">
        <f>[1]Raw_Data!E3971</f>
        <v>26.87</v>
      </c>
      <c r="F3973" s="5">
        <f>[1]Raw_Data!F3971</f>
        <v>3439.36</v>
      </c>
      <c r="G3973" s="4">
        <f>[1]Raw_Data!G3971</f>
        <v>0.2</v>
      </c>
      <c r="H3973" s="3">
        <f>[1]Raw_Data!H3971</f>
        <v>1</v>
      </c>
      <c r="I3973" s="3" t="str">
        <f>TRIM([1]Raw_Data!I3971)</f>
        <v>USA</v>
      </c>
      <c r="J3973" s="3" t="str">
        <f>TRIM([1]Raw_Data!J3971)</f>
        <v>iHerb</v>
      </c>
      <c r="K3973" s="3">
        <f t="shared" si="248"/>
        <v>2024</v>
      </c>
      <c r="L3973" s="6">
        <f t="shared" si="249"/>
        <v>45566</v>
      </c>
      <c r="M3973" s="3" t="str">
        <f t="shared" si="250"/>
        <v>16% to 20%</v>
      </c>
      <c r="N3973" s="3" t="str">
        <f t="shared" si="251"/>
        <v>OK</v>
      </c>
    </row>
    <row r="3974" spans="1:14" x14ac:dyDescent="0.3">
      <c r="A3974" s="2">
        <f>DATE(VALUE(RIGHT(TRIM([1]Raw_Data!A3972),4)),VALUE(MID(TRIM([1]Raw_Data!A3972),4,2)),VALUE(LEFT(TRIM([1]Raw_Data!A3972),2)))</f>
        <v>45572</v>
      </c>
      <c r="B3974" s="3" t="str">
        <f>TRIM([1]Raw_Data!B3972)</f>
        <v>Fish Oil</v>
      </c>
      <c r="C3974" s="3" t="str">
        <f>TRIM([1]Raw_Data!C3972)</f>
        <v>Omega</v>
      </c>
      <c r="D3974" s="3">
        <f>[1]Raw_Data!D3972</f>
        <v>157</v>
      </c>
      <c r="E3974" s="4">
        <f>[1]Raw_Data!E3972</f>
        <v>58.78</v>
      </c>
      <c r="F3974" s="5">
        <f>[1]Raw_Data!F3972</f>
        <v>9228.4599999999991</v>
      </c>
      <c r="G3974" s="4">
        <f>[1]Raw_Data!G3972</f>
        <v>0.23</v>
      </c>
      <c r="H3974" s="3">
        <f>[1]Raw_Data!H3972</f>
        <v>1</v>
      </c>
      <c r="I3974" s="3" t="str">
        <f>TRIM([1]Raw_Data!I3972)</f>
        <v>USA</v>
      </c>
      <c r="J3974" s="3" t="str">
        <f>TRIM([1]Raw_Data!J3972)</f>
        <v>iHerb</v>
      </c>
      <c r="K3974" s="3">
        <f t="shared" si="248"/>
        <v>2024</v>
      </c>
      <c r="L3974" s="6">
        <f t="shared" si="249"/>
        <v>45566</v>
      </c>
      <c r="M3974" s="3" t="str">
        <f t="shared" si="250"/>
        <v>21% to 25%</v>
      </c>
      <c r="N3974" s="3" t="str">
        <f t="shared" si="251"/>
        <v>OK</v>
      </c>
    </row>
    <row r="3975" spans="1:14" x14ac:dyDescent="0.3">
      <c r="A3975" s="2">
        <f>DATE(VALUE(RIGHT(TRIM([1]Raw_Data!A3973),4)),VALUE(MID(TRIM([1]Raw_Data!A3973),4,2)),VALUE(LEFT(TRIM([1]Raw_Data!A3973),2)))</f>
        <v>45572</v>
      </c>
      <c r="B3975" s="3" t="str">
        <f>TRIM([1]Raw_Data!B3973)</f>
        <v>Multivitamin</v>
      </c>
      <c r="C3975" s="3" t="str">
        <f>TRIM([1]Raw_Data!C3973)</f>
        <v>Vitamin</v>
      </c>
      <c r="D3975" s="3">
        <f>[1]Raw_Data!D3973</f>
        <v>158</v>
      </c>
      <c r="E3975" s="4">
        <f>[1]Raw_Data!E3973</f>
        <v>54.94</v>
      </c>
      <c r="F3975" s="5">
        <f>[1]Raw_Data!F3973</f>
        <v>8680.52</v>
      </c>
      <c r="G3975" s="4">
        <f>[1]Raw_Data!G3973</f>
        <v>0.02</v>
      </c>
      <c r="H3975" s="3">
        <f>[1]Raw_Data!H3973</f>
        <v>1</v>
      </c>
      <c r="I3975" s="3" t="str">
        <f>TRIM([1]Raw_Data!I3973)</f>
        <v>USA</v>
      </c>
      <c r="J3975" s="3" t="str">
        <f>TRIM([1]Raw_Data!J3973)</f>
        <v>iHerb</v>
      </c>
      <c r="K3975" s="3">
        <f t="shared" si="248"/>
        <v>2024</v>
      </c>
      <c r="L3975" s="6">
        <f t="shared" si="249"/>
        <v>45566</v>
      </c>
      <c r="M3975" s="3" t="str">
        <f t="shared" si="250"/>
        <v>0% to 5%</v>
      </c>
      <c r="N3975" s="3" t="str">
        <f t="shared" si="251"/>
        <v>OK</v>
      </c>
    </row>
    <row r="3976" spans="1:14" x14ac:dyDescent="0.3">
      <c r="A3976" s="2">
        <f>DATE(VALUE(RIGHT(TRIM([1]Raw_Data!A3974),4)),VALUE(MID(TRIM([1]Raw_Data!A3974),4,2)),VALUE(LEFT(TRIM([1]Raw_Data!A3974),2)))</f>
        <v>45572</v>
      </c>
      <c r="B3976" s="3" t="str">
        <f>TRIM([1]Raw_Data!B3974)</f>
        <v>Pre-Workout</v>
      </c>
      <c r="C3976" s="3" t="str">
        <f>TRIM([1]Raw_Data!C3974)</f>
        <v>Performance</v>
      </c>
      <c r="D3976" s="3">
        <f>[1]Raw_Data!D3974</f>
        <v>143</v>
      </c>
      <c r="E3976" s="4">
        <f>[1]Raw_Data!E3974</f>
        <v>18.46</v>
      </c>
      <c r="F3976" s="5">
        <f>[1]Raw_Data!F3974</f>
        <v>2639.78</v>
      </c>
      <c r="G3976" s="4">
        <f>[1]Raw_Data!G3974</f>
        <v>0.12</v>
      </c>
      <c r="H3976" s="3">
        <f>[1]Raw_Data!H3974</f>
        <v>2</v>
      </c>
      <c r="I3976" s="3" t="str">
        <f>TRIM([1]Raw_Data!I3974)</f>
        <v>UK</v>
      </c>
      <c r="J3976" s="3" t="str">
        <f>TRIM([1]Raw_Data!J3974)</f>
        <v>Amazon</v>
      </c>
      <c r="K3976" s="3">
        <f t="shared" si="248"/>
        <v>2024</v>
      </c>
      <c r="L3976" s="6">
        <f t="shared" si="249"/>
        <v>45566</v>
      </c>
      <c r="M3976" s="3" t="str">
        <f t="shared" si="250"/>
        <v>11% to 15%</v>
      </c>
      <c r="N3976" s="3" t="str">
        <f t="shared" si="251"/>
        <v>OK</v>
      </c>
    </row>
    <row r="3977" spans="1:14" x14ac:dyDescent="0.3">
      <c r="A3977" s="2">
        <f>DATE(VALUE(RIGHT(TRIM([1]Raw_Data!A3975),4)),VALUE(MID(TRIM([1]Raw_Data!A3975),4,2)),VALUE(LEFT(TRIM([1]Raw_Data!A3975),2)))</f>
        <v>45572</v>
      </c>
      <c r="B3977" s="3" t="str">
        <f>TRIM([1]Raw_Data!B3975)</f>
        <v>BCAA</v>
      </c>
      <c r="C3977" s="3" t="str">
        <f>TRIM([1]Raw_Data!C3975)</f>
        <v>Amino Acid</v>
      </c>
      <c r="D3977" s="3">
        <f>[1]Raw_Data!D3975</f>
        <v>150</v>
      </c>
      <c r="E3977" s="4">
        <f>[1]Raw_Data!E3975</f>
        <v>13.32</v>
      </c>
      <c r="F3977" s="5">
        <f>[1]Raw_Data!F3975</f>
        <v>1998</v>
      </c>
      <c r="G3977" s="4">
        <f>[1]Raw_Data!G3975</f>
        <v>0.22</v>
      </c>
      <c r="H3977" s="3">
        <f>[1]Raw_Data!H3975</f>
        <v>4</v>
      </c>
      <c r="I3977" s="3" t="str">
        <f>TRIM([1]Raw_Data!I3975)</f>
        <v>UK</v>
      </c>
      <c r="J3977" s="3" t="str">
        <f>TRIM([1]Raw_Data!J3975)</f>
        <v>Walmart</v>
      </c>
      <c r="K3977" s="3">
        <f t="shared" si="248"/>
        <v>2024</v>
      </c>
      <c r="L3977" s="6">
        <f t="shared" si="249"/>
        <v>45566</v>
      </c>
      <c r="M3977" s="3" t="str">
        <f t="shared" si="250"/>
        <v>21% to 25%</v>
      </c>
      <c r="N3977" s="3" t="str">
        <f t="shared" si="251"/>
        <v>OK</v>
      </c>
    </row>
    <row r="3978" spans="1:14" x14ac:dyDescent="0.3">
      <c r="A3978" s="2">
        <f>DATE(VALUE(RIGHT(TRIM([1]Raw_Data!A3976),4)),VALUE(MID(TRIM([1]Raw_Data!A3976),4,2)),VALUE(LEFT(TRIM([1]Raw_Data!A3976),2)))</f>
        <v>45572</v>
      </c>
      <c r="B3978" s="3" t="str">
        <f>TRIM([1]Raw_Data!B3976)</f>
        <v>Creatine</v>
      </c>
      <c r="C3978" s="3" t="str">
        <f>TRIM([1]Raw_Data!C3976)</f>
        <v>Performance</v>
      </c>
      <c r="D3978" s="3">
        <f>[1]Raw_Data!D3976</f>
        <v>154</v>
      </c>
      <c r="E3978" s="4">
        <f>[1]Raw_Data!E3976</f>
        <v>16.57</v>
      </c>
      <c r="F3978" s="5">
        <f>[1]Raw_Data!F3976</f>
        <v>2551.7800000000002</v>
      </c>
      <c r="G3978" s="4">
        <f>[1]Raw_Data!G3976</f>
        <v>0.2</v>
      </c>
      <c r="H3978" s="3">
        <f>[1]Raw_Data!H3976</f>
        <v>0</v>
      </c>
      <c r="I3978" s="3" t="str">
        <f>TRIM([1]Raw_Data!I3976)</f>
        <v>Canada</v>
      </c>
      <c r="J3978" s="3" t="str">
        <f>TRIM([1]Raw_Data!J3976)</f>
        <v>Amazon</v>
      </c>
      <c r="K3978" s="3">
        <f t="shared" si="248"/>
        <v>2024</v>
      </c>
      <c r="L3978" s="6">
        <f t="shared" si="249"/>
        <v>45566</v>
      </c>
      <c r="M3978" s="3" t="str">
        <f t="shared" si="250"/>
        <v>16% to 20%</v>
      </c>
      <c r="N3978" s="3" t="str">
        <f t="shared" si="251"/>
        <v>OK</v>
      </c>
    </row>
    <row r="3979" spans="1:14" x14ac:dyDescent="0.3">
      <c r="A3979" s="2">
        <f>DATE(VALUE(RIGHT(TRIM([1]Raw_Data!A3977),4)),VALUE(MID(TRIM([1]Raw_Data!A3977),4,2)),VALUE(LEFT(TRIM([1]Raw_Data!A3977),2)))</f>
        <v>45572</v>
      </c>
      <c r="B3979" s="3" t="str">
        <f>TRIM([1]Raw_Data!B3977)</f>
        <v>Zinc</v>
      </c>
      <c r="C3979" s="3" t="str">
        <f>TRIM([1]Raw_Data!C3977)</f>
        <v>Mineral</v>
      </c>
      <c r="D3979" s="3">
        <f>[1]Raw_Data!D3977</f>
        <v>147</v>
      </c>
      <c r="E3979" s="4">
        <f>[1]Raw_Data!E3977</f>
        <v>39.28</v>
      </c>
      <c r="F3979" s="5">
        <f>[1]Raw_Data!F3977</f>
        <v>5774.16</v>
      </c>
      <c r="G3979" s="4">
        <f>[1]Raw_Data!G3977</f>
        <v>0.08</v>
      </c>
      <c r="H3979" s="3">
        <f>[1]Raw_Data!H3977</f>
        <v>2</v>
      </c>
      <c r="I3979" s="3" t="str">
        <f>TRIM([1]Raw_Data!I3977)</f>
        <v>UK</v>
      </c>
      <c r="J3979" s="3" t="str">
        <f>TRIM([1]Raw_Data!J3977)</f>
        <v>iHerb</v>
      </c>
      <c r="K3979" s="3">
        <f t="shared" si="248"/>
        <v>2024</v>
      </c>
      <c r="L3979" s="6">
        <f t="shared" si="249"/>
        <v>45566</v>
      </c>
      <c r="M3979" s="3" t="str">
        <f t="shared" si="250"/>
        <v>6% to 10%</v>
      </c>
      <c r="N3979" s="3" t="str">
        <f t="shared" si="251"/>
        <v>OK</v>
      </c>
    </row>
    <row r="3980" spans="1:14" x14ac:dyDescent="0.3">
      <c r="A3980" s="2">
        <f>DATE(VALUE(RIGHT(TRIM([1]Raw_Data!A3978),4)),VALUE(MID(TRIM([1]Raw_Data!A3978),4,2)),VALUE(LEFT(TRIM([1]Raw_Data!A3978),2)))</f>
        <v>45572</v>
      </c>
      <c r="B3980" s="3" t="str">
        <f>TRIM([1]Raw_Data!B3978)</f>
        <v>Collagen Peptides</v>
      </c>
      <c r="C3980" s="3" t="str">
        <f>TRIM([1]Raw_Data!C3978)</f>
        <v>Protein</v>
      </c>
      <c r="D3980" s="3">
        <f>[1]Raw_Data!D3978</f>
        <v>145</v>
      </c>
      <c r="E3980" s="4">
        <f>[1]Raw_Data!E3978</f>
        <v>41.69</v>
      </c>
      <c r="F3980" s="5">
        <f>[1]Raw_Data!F3978</f>
        <v>6045.05</v>
      </c>
      <c r="G3980" s="4">
        <f>[1]Raw_Data!G3978</f>
        <v>0.05</v>
      </c>
      <c r="H3980" s="3">
        <f>[1]Raw_Data!H3978</f>
        <v>1</v>
      </c>
      <c r="I3980" s="3" t="str">
        <f>TRIM([1]Raw_Data!I3978)</f>
        <v>UK</v>
      </c>
      <c r="J3980" s="3" t="str">
        <f>TRIM([1]Raw_Data!J3978)</f>
        <v>Walmart</v>
      </c>
      <c r="K3980" s="3">
        <f t="shared" si="248"/>
        <v>2024</v>
      </c>
      <c r="L3980" s="6">
        <f t="shared" si="249"/>
        <v>45566</v>
      </c>
      <c r="M3980" s="3" t="str">
        <f t="shared" si="250"/>
        <v>0% to 5%</v>
      </c>
      <c r="N3980" s="3" t="str">
        <f t="shared" si="251"/>
        <v>OK</v>
      </c>
    </row>
    <row r="3981" spans="1:14" x14ac:dyDescent="0.3">
      <c r="A3981" s="2">
        <f>DATE(VALUE(RIGHT(TRIM([1]Raw_Data!A3979),4)),VALUE(MID(TRIM([1]Raw_Data!A3979),4,2)),VALUE(LEFT(TRIM([1]Raw_Data!A3979),2)))</f>
        <v>45572</v>
      </c>
      <c r="B3981" s="3" t="str">
        <f>TRIM([1]Raw_Data!B3979)</f>
        <v>Magnesium</v>
      </c>
      <c r="C3981" s="3" t="str">
        <f>TRIM([1]Raw_Data!C3979)</f>
        <v>Mineral</v>
      </c>
      <c r="D3981" s="3">
        <f>[1]Raw_Data!D3979</f>
        <v>164</v>
      </c>
      <c r="E3981" s="4">
        <f>[1]Raw_Data!E3979</f>
        <v>36.79</v>
      </c>
      <c r="F3981" s="5">
        <f>[1]Raw_Data!F3979</f>
        <v>6033.56</v>
      </c>
      <c r="G3981" s="4">
        <f>[1]Raw_Data!G3979</f>
        <v>0.16</v>
      </c>
      <c r="H3981" s="3">
        <f>[1]Raw_Data!H3979</f>
        <v>1</v>
      </c>
      <c r="I3981" s="3" t="str">
        <f>TRIM([1]Raw_Data!I3979)</f>
        <v>USA</v>
      </c>
      <c r="J3981" s="3" t="str">
        <f>TRIM([1]Raw_Data!J3979)</f>
        <v>Amazon</v>
      </c>
      <c r="K3981" s="3">
        <f t="shared" si="248"/>
        <v>2024</v>
      </c>
      <c r="L3981" s="6">
        <f t="shared" si="249"/>
        <v>45566</v>
      </c>
      <c r="M3981" s="3" t="str">
        <f t="shared" si="250"/>
        <v>16% to 20%</v>
      </c>
      <c r="N3981" s="3" t="str">
        <f t="shared" si="251"/>
        <v>OK</v>
      </c>
    </row>
    <row r="3982" spans="1:14" x14ac:dyDescent="0.3">
      <c r="A3982" s="2">
        <f>DATE(VALUE(RIGHT(TRIM([1]Raw_Data!A3980),4)),VALUE(MID(TRIM([1]Raw_Data!A3980),4,2)),VALUE(LEFT(TRIM([1]Raw_Data!A3980),2)))</f>
        <v>45572</v>
      </c>
      <c r="B3982" s="3" t="str">
        <f>TRIM([1]Raw_Data!B3980)</f>
        <v>Ashwagandha</v>
      </c>
      <c r="C3982" s="3" t="str">
        <f>TRIM([1]Raw_Data!C3980)</f>
        <v>Herbal</v>
      </c>
      <c r="D3982" s="3">
        <f>[1]Raw_Data!D3980</f>
        <v>142</v>
      </c>
      <c r="E3982" s="4">
        <f>[1]Raw_Data!E3980</f>
        <v>20.74</v>
      </c>
      <c r="F3982" s="5">
        <f>[1]Raw_Data!F3980</f>
        <v>2945.08</v>
      </c>
      <c r="G3982" s="4">
        <f>[1]Raw_Data!G3980</f>
        <v>7.0000000000000007E-2</v>
      </c>
      <c r="H3982" s="3">
        <f>[1]Raw_Data!H3980</f>
        <v>0</v>
      </c>
      <c r="I3982" s="3" t="str">
        <f>TRIM([1]Raw_Data!I3980)</f>
        <v>Canada</v>
      </c>
      <c r="J3982" s="3" t="str">
        <f>TRIM([1]Raw_Data!J3980)</f>
        <v>Amazon</v>
      </c>
      <c r="K3982" s="3">
        <f t="shared" si="248"/>
        <v>2024</v>
      </c>
      <c r="L3982" s="6">
        <f t="shared" si="249"/>
        <v>45566</v>
      </c>
      <c r="M3982" s="3" t="str">
        <f t="shared" si="250"/>
        <v>6% to 10%</v>
      </c>
      <c r="N3982" s="3" t="str">
        <f t="shared" si="251"/>
        <v>OK</v>
      </c>
    </row>
    <row r="3983" spans="1:14" x14ac:dyDescent="0.3">
      <c r="A3983" s="2">
        <f>DATE(VALUE(RIGHT(TRIM([1]Raw_Data!A3981),4)),VALUE(MID(TRIM([1]Raw_Data!A3981),4,2)),VALUE(LEFT(TRIM([1]Raw_Data!A3981),2)))</f>
        <v>45572</v>
      </c>
      <c r="B3983" s="3" t="str">
        <f>TRIM([1]Raw_Data!B3981)</f>
        <v>Melatonin</v>
      </c>
      <c r="C3983" s="3" t="str">
        <f>TRIM([1]Raw_Data!C3981)</f>
        <v>Sleep Aid</v>
      </c>
      <c r="D3983" s="3">
        <f>[1]Raw_Data!D3981</f>
        <v>143</v>
      </c>
      <c r="E3983" s="4">
        <f>[1]Raw_Data!E3981</f>
        <v>58.09</v>
      </c>
      <c r="F3983" s="5">
        <f>[1]Raw_Data!F3981</f>
        <v>8306.8700000000008</v>
      </c>
      <c r="G3983" s="4">
        <f>[1]Raw_Data!G3981</f>
        <v>0.15</v>
      </c>
      <c r="H3983" s="3">
        <f>[1]Raw_Data!H3981</f>
        <v>2</v>
      </c>
      <c r="I3983" s="3" t="str">
        <f>TRIM([1]Raw_Data!I3981)</f>
        <v>Canada</v>
      </c>
      <c r="J3983" s="3" t="str">
        <f>TRIM([1]Raw_Data!J3981)</f>
        <v>Amazon</v>
      </c>
      <c r="K3983" s="3">
        <f t="shared" si="248"/>
        <v>2024</v>
      </c>
      <c r="L3983" s="6">
        <f t="shared" si="249"/>
        <v>45566</v>
      </c>
      <c r="M3983" s="3" t="str">
        <f t="shared" si="250"/>
        <v>11% to 15%</v>
      </c>
      <c r="N3983" s="3" t="str">
        <f t="shared" si="251"/>
        <v>OK</v>
      </c>
    </row>
    <row r="3984" spans="1:14" x14ac:dyDescent="0.3">
      <c r="A3984" s="2">
        <f>DATE(VALUE(RIGHT(TRIM([1]Raw_Data!A3982),4)),VALUE(MID(TRIM([1]Raw_Data!A3982),4,2)),VALUE(LEFT(TRIM([1]Raw_Data!A3982),2)))</f>
        <v>45572</v>
      </c>
      <c r="B3984" s="3" t="str">
        <f>TRIM([1]Raw_Data!B3982)</f>
        <v>Biotin</v>
      </c>
      <c r="C3984" s="3" t="str">
        <f>TRIM([1]Raw_Data!C3982)</f>
        <v>Vitamin</v>
      </c>
      <c r="D3984" s="3">
        <f>[1]Raw_Data!D3982</f>
        <v>121</v>
      </c>
      <c r="E3984" s="4">
        <f>[1]Raw_Data!E3982</f>
        <v>50.73</v>
      </c>
      <c r="F3984" s="5">
        <f>[1]Raw_Data!F3982</f>
        <v>6138.33</v>
      </c>
      <c r="G3984" s="4">
        <f>[1]Raw_Data!G3982</f>
        <v>0.16</v>
      </c>
      <c r="H3984" s="3">
        <f>[1]Raw_Data!H3982</f>
        <v>0</v>
      </c>
      <c r="I3984" s="3" t="str">
        <f>TRIM([1]Raw_Data!I3982)</f>
        <v>UK</v>
      </c>
      <c r="J3984" s="3" t="str">
        <f>TRIM([1]Raw_Data!J3982)</f>
        <v>Walmart</v>
      </c>
      <c r="K3984" s="3">
        <f t="shared" si="248"/>
        <v>2024</v>
      </c>
      <c r="L3984" s="6">
        <f t="shared" si="249"/>
        <v>45566</v>
      </c>
      <c r="M3984" s="3" t="str">
        <f t="shared" si="250"/>
        <v>16% to 20%</v>
      </c>
      <c r="N3984" s="3" t="str">
        <f t="shared" si="251"/>
        <v>OK</v>
      </c>
    </row>
    <row r="3985" spans="1:14" x14ac:dyDescent="0.3">
      <c r="A3985" s="2">
        <f>DATE(VALUE(RIGHT(TRIM([1]Raw_Data!A3983),4)),VALUE(MID(TRIM([1]Raw_Data!A3983),4,2)),VALUE(LEFT(TRIM([1]Raw_Data!A3983),2)))</f>
        <v>45572</v>
      </c>
      <c r="B3985" s="3" t="str">
        <f>TRIM([1]Raw_Data!B3983)</f>
        <v>Green Tea Extract</v>
      </c>
      <c r="C3985" s="3" t="str">
        <f>TRIM([1]Raw_Data!C3983)</f>
        <v>Fat Burner</v>
      </c>
      <c r="D3985" s="3">
        <f>[1]Raw_Data!D3983</f>
        <v>147</v>
      </c>
      <c r="E3985" s="4">
        <f>[1]Raw_Data!E3983</f>
        <v>52.18</v>
      </c>
      <c r="F3985" s="5">
        <f>[1]Raw_Data!F3983</f>
        <v>7670.46</v>
      </c>
      <c r="G3985" s="4">
        <f>[1]Raw_Data!G3983</f>
        <v>0.02</v>
      </c>
      <c r="H3985" s="3">
        <f>[1]Raw_Data!H3983</f>
        <v>2</v>
      </c>
      <c r="I3985" s="3" t="str">
        <f>TRIM([1]Raw_Data!I3983)</f>
        <v>USA</v>
      </c>
      <c r="J3985" s="3" t="str">
        <f>TRIM([1]Raw_Data!J3983)</f>
        <v>iHerb</v>
      </c>
      <c r="K3985" s="3">
        <f t="shared" si="248"/>
        <v>2024</v>
      </c>
      <c r="L3985" s="6">
        <f t="shared" si="249"/>
        <v>45566</v>
      </c>
      <c r="M3985" s="3" t="str">
        <f t="shared" si="250"/>
        <v>0% to 5%</v>
      </c>
      <c r="N3985" s="3" t="str">
        <f t="shared" si="251"/>
        <v>OK</v>
      </c>
    </row>
    <row r="3986" spans="1:14" x14ac:dyDescent="0.3">
      <c r="A3986" s="2">
        <f>DATE(VALUE(RIGHT(TRIM([1]Raw_Data!A3984),4)),VALUE(MID(TRIM([1]Raw_Data!A3984),4,2)),VALUE(LEFT(TRIM([1]Raw_Data!A3984),2)))</f>
        <v>45572</v>
      </c>
      <c r="B3986" s="3" t="str">
        <f>TRIM([1]Raw_Data!B3984)</f>
        <v>Iron Supplement</v>
      </c>
      <c r="C3986" s="3" t="str">
        <f>TRIM([1]Raw_Data!C3984)</f>
        <v>Mineral</v>
      </c>
      <c r="D3986" s="3">
        <f>[1]Raw_Data!D3984</f>
        <v>162</v>
      </c>
      <c r="E3986" s="4">
        <f>[1]Raw_Data!E3984</f>
        <v>45.48</v>
      </c>
      <c r="F3986" s="5">
        <f>[1]Raw_Data!F3984</f>
        <v>7367.76</v>
      </c>
      <c r="G3986" s="4">
        <f>[1]Raw_Data!G3984</f>
        <v>0.19</v>
      </c>
      <c r="H3986" s="3">
        <f>[1]Raw_Data!H3984</f>
        <v>2</v>
      </c>
      <c r="I3986" s="3" t="str">
        <f>TRIM([1]Raw_Data!I3984)</f>
        <v>USA</v>
      </c>
      <c r="J3986" s="3" t="str">
        <f>TRIM([1]Raw_Data!J3984)</f>
        <v>Walmart</v>
      </c>
      <c r="K3986" s="3">
        <f t="shared" si="248"/>
        <v>2024</v>
      </c>
      <c r="L3986" s="6">
        <f t="shared" si="249"/>
        <v>45566</v>
      </c>
      <c r="M3986" s="3" t="str">
        <f t="shared" si="250"/>
        <v>16% to 20%</v>
      </c>
      <c r="N3986" s="3" t="str">
        <f t="shared" si="251"/>
        <v>OK</v>
      </c>
    </row>
    <row r="3987" spans="1:14" x14ac:dyDescent="0.3">
      <c r="A3987" s="2">
        <f>DATE(VALUE(RIGHT(TRIM([1]Raw_Data!A3985),4)),VALUE(MID(TRIM([1]Raw_Data!A3985),4,2)),VALUE(LEFT(TRIM([1]Raw_Data!A3985),2)))</f>
        <v>45572</v>
      </c>
      <c r="B3987" s="3" t="str">
        <f>TRIM([1]Raw_Data!B3985)</f>
        <v>Electrolyte Powder</v>
      </c>
      <c r="C3987" s="3" t="str">
        <f>TRIM([1]Raw_Data!C3985)</f>
        <v>Hydration</v>
      </c>
      <c r="D3987" s="3">
        <f>[1]Raw_Data!D3985</f>
        <v>131</v>
      </c>
      <c r="E3987" s="4">
        <f>[1]Raw_Data!E3985</f>
        <v>49.82</v>
      </c>
      <c r="F3987" s="5">
        <f>[1]Raw_Data!F3985</f>
        <v>6526.42</v>
      </c>
      <c r="G3987" s="4">
        <f>[1]Raw_Data!G3985</f>
        <v>0.06</v>
      </c>
      <c r="H3987" s="3">
        <f>[1]Raw_Data!H3985</f>
        <v>0</v>
      </c>
      <c r="I3987" s="3" t="str">
        <f>TRIM([1]Raw_Data!I3985)</f>
        <v>UK</v>
      </c>
      <c r="J3987" s="3" t="str">
        <f>TRIM([1]Raw_Data!J3985)</f>
        <v>Walmart</v>
      </c>
      <c r="K3987" s="3">
        <f t="shared" si="248"/>
        <v>2024</v>
      </c>
      <c r="L3987" s="6">
        <f t="shared" si="249"/>
        <v>45566</v>
      </c>
      <c r="M3987" s="3" t="str">
        <f t="shared" si="250"/>
        <v>6% to 10%</v>
      </c>
      <c r="N3987" s="3" t="str">
        <f t="shared" si="251"/>
        <v>OK</v>
      </c>
    </row>
    <row r="3988" spans="1:14" x14ac:dyDescent="0.3">
      <c r="A3988" s="2">
        <f>DATE(VALUE(RIGHT(TRIM([1]Raw_Data!A3986),4)),VALUE(MID(TRIM([1]Raw_Data!A3986),4,2)),VALUE(LEFT(TRIM([1]Raw_Data!A3986),2)))</f>
        <v>45579</v>
      </c>
      <c r="B3988" s="3" t="str">
        <f>TRIM([1]Raw_Data!B3986)</f>
        <v>Whey Protein</v>
      </c>
      <c r="C3988" s="3" t="str">
        <f>TRIM([1]Raw_Data!C3986)</f>
        <v>Protein</v>
      </c>
      <c r="D3988" s="3">
        <f>[1]Raw_Data!D3986</f>
        <v>146</v>
      </c>
      <c r="E3988" s="4">
        <f>[1]Raw_Data!E3986</f>
        <v>16.329999999999998</v>
      </c>
      <c r="F3988" s="5">
        <f>[1]Raw_Data!F3986</f>
        <v>2384.1799999999998</v>
      </c>
      <c r="G3988" s="4">
        <f>[1]Raw_Data!G3986</f>
        <v>0.17</v>
      </c>
      <c r="H3988" s="3">
        <f>[1]Raw_Data!H3986</f>
        <v>0</v>
      </c>
      <c r="I3988" s="3" t="str">
        <f>TRIM([1]Raw_Data!I3986)</f>
        <v>UK</v>
      </c>
      <c r="J3988" s="3" t="str">
        <f>TRIM([1]Raw_Data!J3986)</f>
        <v>iHerb</v>
      </c>
      <c r="K3988" s="3">
        <f t="shared" si="248"/>
        <v>2024</v>
      </c>
      <c r="L3988" s="6">
        <f t="shared" si="249"/>
        <v>45566</v>
      </c>
      <c r="M3988" s="3" t="str">
        <f t="shared" si="250"/>
        <v>16% to 20%</v>
      </c>
      <c r="N3988" s="3" t="str">
        <f t="shared" si="251"/>
        <v>OK</v>
      </c>
    </row>
    <row r="3989" spans="1:14" x14ac:dyDescent="0.3">
      <c r="A3989" s="2">
        <f>DATE(VALUE(RIGHT(TRIM([1]Raw_Data!A3987),4)),VALUE(MID(TRIM([1]Raw_Data!A3987),4,2)),VALUE(LEFT(TRIM([1]Raw_Data!A3987),2)))</f>
        <v>45579</v>
      </c>
      <c r="B3989" s="3" t="str">
        <f>TRIM([1]Raw_Data!B3987)</f>
        <v>Vitamin C</v>
      </c>
      <c r="C3989" s="3" t="str">
        <f>TRIM([1]Raw_Data!C3987)</f>
        <v>Vitamin</v>
      </c>
      <c r="D3989" s="3">
        <f>[1]Raw_Data!D3987</f>
        <v>132</v>
      </c>
      <c r="E3989" s="4">
        <f>[1]Raw_Data!E3987</f>
        <v>14.18</v>
      </c>
      <c r="F3989" s="5">
        <f>[1]Raw_Data!F3987</f>
        <v>1871.76</v>
      </c>
      <c r="G3989" s="4">
        <f>[1]Raw_Data!G3987</f>
        <v>0.21</v>
      </c>
      <c r="H3989" s="3">
        <f>[1]Raw_Data!H3987</f>
        <v>3</v>
      </c>
      <c r="I3989" s="3" t="str">
        <f>TRIM([1]Raw_Data!I3987)</f>
        <v>UK</v>
      </c>
      <c r="J3989" s="3" t="str">
        <f>TRIM([1]Raw_Data!J3987)</f>
        <v>Walmart</v>
      </c>
      <c r="K3989" s="3">
        <f t="shared" si="248"/>
        <v>2024</v>
      </c>
      <c r="L3989" s="6">
        <f t="shared" si="249"/>
        <v>45566</v>
      </c>
      <c r="M3989" s="3" t="str">
        <f t="shared" si="250"/>
        <v>21% to 25%</v>
      </c>
      <c r="N3989" s="3" t="str">
        <f t="shared" si="251"/>
        <v>OK</v>
      </c>
    </row>
    <row r="3990" spans="1:14" x14ac:dyDescent="0.3">
      <c r="A3990" s="2">
        <f>DATE(VALUE(RIGHT(TRIM([1]Raw_Data!A3988),4)),VALUE(MID(TRIM([1]Raw_Data!A3988),4,2)),VALUE(LEFT(TRIM([1]Raw_Data!A3988),2)))</f>
        <v>45579</v>
      </c>
      <c r="B3990" s="3" t="str">
        <f>TRIM([1]Raw_Data!B3988)</f>
        <v>Fish Oil</v>
      </c>
      <c r="C3990" s="3" t="str">
        <f>TRIM([1]Raw_Data!C3988)</f>
        <v>Omega</v>
      </c>
      <c r="D3990" s="3">
        <f>[1]Raw_Data!D3988</f>
        <v>160</v>
      </c>
      <c r="E3990" s="4">
        <f>[1]Raw_Data!E3988</f>
        <v>36.159999999999997</v>
      </c>
      <c r="F3990" s="5">
        <f>[1]Raw_Data!F3988</f>
        <v>5785.6</v>
      </c>
      <c r="G3990" s="4">
        <f>[1]Raw_Data!G3988</f>
        <v>0.05</v>
      </c>
      <c r="H3990" s="3">
        <f>[1]Raw_Data!H3988</f>
        <v>1</v>
      </c>
      <c r="I3990" s="3" t="str">
        <f>TRIM([1]Raw_Data!I3988)</f>
        <v>USA</v>
      </c>
      <c r="J3990" s="3" t="str">
        <f>TRIM([1]Raw_Data!J3988)</f>
        <v>iHerb</v>
      </c>
      <c r="K3990" s="3">
        <f t="shared" si="248"/>
        <v>2024</v>
      </c>
      <c r="L3990" s="6">
        <f t="shared" si="249"/>
        <v>45566</v>
      </c>
      <c r="M3990" s="3" t="str">
        <f t="shared" si="250"/>
        <v>0% to 5%</v>
      </c>
      <c r="N3990" s="3" t="str">
        <f t="shared" si="251"/>
        <v>OK</v>
      </c>
    </row>
    <row r="3991" spans="1:14" x14ac:dyDescent="0.3">
      <c r="A3991" s="2">
        <f>DATE(VALUE(RIGHT(TRIM([1]Raw_Data!A3989),4)),VALUE(MID(TRIM([1]Raw_Data!A3989),4,2)),VALUE(LEFT(TRIM([1]Raw_Data!A3989),2)))</f>
        <v>45579</v>
      </c>
      <c r="B3991" s="3" t="str">
        <f>TRIM([1]Raw_Data!B3989)</f>
        <v>Multivitamin</v>
      </c>
      <c r="C3991" s="3" t="str">
        <f>TRIM([1]Raw_Data!C3989)</f>
        <v>Vitamin</v>
      </c>
      <c r="D3991" s="3">
        <f>[1]Raw_Data!D3989</f>
        <v>150</v>
      </c>
      <c r="E3991" s="4">
        <f>[1]Raw_Data!E3989</f>
        <v>14.73</v>
      </c>
      <c r="F3991" s="5">
        <f>[1]Raw_Data!F3989</f>
        <v>2209.5</v>
      </c>
      <c r="G3991" s="4">
        <f>[1]Raw_Data!G3989</f>
        <v>7.0000000000000007E-2</v>
      </c>
      <c r="H3991" s="3">
        <f>[1]Raw_Data!H3989</f>
        <v>3</v>
      </c>
      <c r="I3991" s="3" t="str">
        <f>TRIM([1]Raw_Data!I3989)</f>
        <v>Canada</v>
      </c>
      <c r="J3991" s="3" t="str">
        <f>TRIM([1]Raw_Data!J3989)</f>
        <v>iHerb</v>
      </c>
      <c r="K3991" s="3">
        <f t="shared" si="248"/>
        <v>2024</v>
      </c>
      <c r="L3991" s="6">
        <f t="shared" si="249"/>
        <v>45566</v>
      </c>
      <c r="M3991" s="3" t="str">
        <f t="shared" si="250"/>
        <v>6% to 10%</v>
      </c>
      <c r="N3991" s="3" t="str">
        <f t="shared" si="251"/>
        <v>OK</v>
      </c>
    </row>
    <row r="3992" spans="1:14" x14ac:dyDescent="0.3">
      <c r="A3992" s="2">
        <f>DATE(VALUE(RIGHT(TRIM([1]Raw_Data!A3990),4)),VALUE(MID(TRIM([1]Raw_Data!A3990),4,2)),VALUE(LEFT(TRIM([1]Raw_Data!A3990),2)))</f>
        <v>45579</v>
      </c>
      <c r="B3992" s="3" t="str">
        <f>TRIM([1]Raw_Data!B3990)</f>
        <v>Pre-Workout</v>
      </c>
      <c r="C3992" s="3" t="str">
        <f>TRIM([1]Raw_Data!C3990)</f>
        <v>Performance</v>
      </c>
      <c r="D3992" s="3">
        <f>[1]Raw_Data!D3990</f>
        <v>147</v>
      </c>
      <c r="E3992" s="4">
        <f>[1]Raw_Data!E3990</f>
        <v>59.57</v>
      </c>
      <c r="F3992" s="5">
        <f>[1]Raw_Data!F3990</f>
        <v>8756.7900000000009</v>
      </c>
      <c r="G3992" s="4">
        <f>[1]Raw_Data!G3990</f>
        <v>0.13</v>
      </c>
      <c r="H3992" s="3">
        <f>[1]Raw_Data!H3990</f>
        <v>1</v>
      </c>
      <c r="I3992" s="3" t="str">
        <f>TRIM([1]Raw_Data!I3990)</f>
        <v>Canada</v>
      </c>
      <c r="J3992" s="3" t="str">
        <f>TRIM([1]Raw_Data!J3990)</f>
        <v>Walmart</v>
      </c>
      <c r="K3992" s="3">
        <f t="shared" si="248"/>
        <v>2024</v>
      </c>
      <c r="L3992" s="6">
        <f t="shared" si="249"/>
        <v>45566</v>
      </c>
      <c r="M3992" s="3" t="str">
        <f t="shared" si="250"/>
        <v>11% to 15%</v>
      </c>
      <c r="N3992" s="3" t="str">
        <f t="shared" si="251"/>
        <v>OK</v>
      </c>
    </row>
    <row r="3993" spans="1:14" x14ac:dyDescent="0.3">
      <c r="A3993" s="2">
        <f>DATE(VALUE(RIGHT(TRIM([1]Raw_Data!A3991),4)),VALUE(MID(TRIM([1]Raw_Data!A3991),4,2)),VALUE(LEFT(TRIM([1]Raw_Data!A3991),2)))</f>
        <v>45579</v>
      </c>
      <c r="B3993" s="3" t="str">
        <f>TRIM([1]Raw_Data!B3991)</f>
        <v>BCAA</v>
      </c>
      <c r="C3993" s="3" t="str">
        <f>TRIM([1]Raw_Data!C3991)</f>
        <v>Amino Acid</v>
      </c>
      <c r="D3993" s="3">
        <f>[1]Raw_Data!D3991</f>
        <v>161</v>
      </c>
      <c r="E3993" s="4">
        <f>[1]Raw_Data!E3991</f>
        <v>22.6</v>
      </c>
      <c r="F3993" s="5">
        <f>[1]Raw_Data!F3991</f>
        <v>3638.6</v>
      </c>
      <c r="G3993" s="4">
        <f>[1]Raw_Data!G3991</f>
        <v>0.2</v>
      </c>
      <c r="H3993" s="3">
        <f>[1]Raw_Data!H3991</f>
        <v>1</v>
      </c>
      <c r="I3993" s="3" t="str">
        <f>TRIM([1]Raw_Data!I3991)</f>
        <v>UK</v>
      </c>
      <c r="J3993" s="3" t="str">
        <f>TRIM([1]Raw_Data!J3991)</f>
        <v>Walmart</v>
      </c>
      <c r="K3993" s="3">
        <f t="shared" si="248"/>
        <v>2024</v>
      </c>
      <c r="L3993" s="6">
        <f t="shared" si="249"/>
        <v>45566</v>
      </c>
      <c r="M3993" s="3" t="str">
        <f t="shared" si="250"/>
        <v>16% to 20%</v>
      </c>
      <c r="N3993" s="3" t="str">
        <f t="shared" si="251"/>
        <v>OK</v>
      </c>
    </row>
    <row r="3994" spans="1:14" x14ac:dyDescent="0.3">
      <c r="A3994" s="2">
        <f>DATE(VALUE(RIGHT(TRIM([1]Raw_Data!A3992),4)),VALUE(MID(TRIM([1]Raw_Data!A3992),4,2)),VALUE(LEFT(TRIM([1]Raw_Data!A3992),2)))</f>
        <v>45579</v>
      </c>
      <c r="B3994" s="3" t="str">
        <f>TRIM([1]Raw_Data!B3992)</f>
        <v>Creatine</v>
      </c>
      <c r="C3994" s="3" t="str">
        <f>TRIM([1]Raw_Data!C3992)</f>
        <v>Performance</v>
      </c>
      <c r="D3994" s="3">
        <f>[1]Raw_Data!D3992</f>
        <v>138</v>
      </c>
      <c r="E3994" s="4">
        <f>[1]Raw_Data!E3992</f>
        <v>46.64</v>
      </c>
      <c r="F3994" s="5">
        <f>[1]Raw_Data!F3992</f>
        <v>6436.32</v>
      </c>
      <c r="G3994" s="4">
        <f>[1]Raw_Data!G3992</f>
        <v>0.03</v>
      </c>
      <c r="H3994" s="3">
        <f>[1]Raw_Data!H3992</f>
        <v>1</v>
      </c>
      <c r="I3994" s="3" t="str">
        <f>TRIM([1]Raw_Data!I3992)</f>
        <v>Canada</v>
      </c>
      <c r="J3994" s="3" t="str">
        <f>TRIM([1]Raw_Data!J3992)</f>
        <v>iHerb</v>
      </c>
      <c r="K3994" s="3">
        <f t="shared" si="248"/>
        <v>2024</v>
      </c>
      <c r="L3994" s="6">
        <f t="shared" si="249"/>
        <v>45566</v>
      </c>
      <c r="M3994" s="3" t="str">
        <f t="shared" si="250"/>
        <v>0% to 5%</v>
      </c>
      <c r="N3994" s="3" t="str">
        <f t="shared" si="251"/>
        <v>OK</v>
      </c>
    </row>
    <row r="3995" spans="1:14" x14ac:dyDescent="0.3">
      <c r="A3995" s="2">
        <f>DATE(VALUE(RIGHT(TRIM([1]Raw_Data!A3993),4)),VALUE(MID(TRIM([1]Raw_Data!A3993),4,2)),VALUE(LEFT(TRIM([1]Raw_Data!A3993),2)))</f>
        <v>45579</v>
      </c>
      <c r="B3995" s="3" t="str">
        <f>TRIM([1]Raw_Data!B3993)</f>
        <v>Zinc</v>
      </c>
      <c r="C3995" s="3" t="str">
        <f>TRIM([1]Raw_Data!C3993)</f>
        <v>Mineral</v>
      </c>
      <c r="D3995" s="3">
        <f>[1]Raw_Data!D3993</f>
        <v>139</v>
      </c>
      <c r="E3995" s="4">
        <f>[1]Raw_Data!E3993</f>
        <v>48.17</v>
      </c>
      <c r="F3995" s="5">
        <f>[1]Raw_Data!F3993</f>
        <v>6695.63</v>
      </c>
      <c r="G3995" s="4">
        <f>[1]Raw_Data!G3993</f>
        <v>0.18</v>
      </c>
      <c r="H3995" s="3">
        <f>[1]Raw_Data!H3993</f>
        <v>2</v>
      </c>
      <c r="I3995" s="3" t="str">
        <f>TRIM([1]Raw_Data!I3993)</f>
        <v>USA</v>
      </c>
      <c r="J3995" s="3" t="str">
        <f>TRIM([1]Raw_Data!J3993)</f>
        <v>Amazon</v>
      </c>
      <c r="K3995" s="3">
        <f t="shared" si="248"/>
        <v>2024</v>
      </c>
      <c r="L3995" s="6">
        <f t="shared" si="249"/>
        <v>45566</v>
      </c>
      <c r="M3995" s="3" t="str">
        <f t="shared" si="250"/>
        <v>16% to 20%</v>
      </c>
      <c r="N3995" s="3" t="str">
        <f t="shared" si="251"/>
        <v>OK</v>
      </c>
    </row>
    <row r="3996" spans="1:14" x14ac:dyDescent="0.3">
      <c r="A3996" s="2">
        <f>DATE(VALUE(RIGHT(TRIM([1]Raw_Data!A3994),4)),VALUE(MID(TRIM([1]Raw_Data!A3994),4,2)),VALUE(LEFT(TRIM([1]Raw_Data!A3994),2)))</f>
        <v>45579</v>
      </c>
      <c r="B3996" s="3" t="str">
        <f>TRIM([1]Raw_Data!B3994)</f>
        <v>Collagen Peptides</v>
      </c>
      <c r="C3996" s="3" t="str">
        <f>TRIM([1]Raw_Data!C3994)</f>
        <v>Protein</v>
      </c>
      <c r="D3996" s="3">
        <f>[1]Raw_Data!D3994</f>
        <v>139</v>
      </c>
      <c r="E3996" s="4">
        <f>[1]Raw_Data!E3994</f>
        <v>17.32</v>
      </c>
      <c r="F3996" s="5">
        <f>[1]Raw_Data!F3994</f>
        <v>2407.48</v>
      </c>
      <c r="G3996" s="4">
        <f>[1]Raw_Data!G3994</f>
        <v>0.1</v>
      </c>
      <c r="H3996" s="3">
        <f>[1]Raw_Data!H3994</f>
        <v>0</v>
      </c>
      <c r="I3996" s="3" t="str">
        <f>TRIM([1]Raw_Data!I3994)</f>
        <v>Canada</v>
      </c>
      <c r="J3996" s="3" t="str">
        <f>TRIM([1]Raw_Data!J3994)</f>
        <v>Walmart</v>
      </c>
      <c r="K3996" s="3">
        <f t="shared" si="248"/>
        <v>2024</v>
      </c>
      <c r="L3996" s="6">
        <f t="shared" si="249"/>
        <v>45566</v>
      </c>
      <c r="M3996" s="3" t="str">
        <f t="shared" si="250"/>
        <v>6% to 10%</v>
      </c>
      <c r="N3996" s="3" t="str">
        <f t="shared" si="251"/>
        <v>OK</v>
      </c>
    </row>
    <row r="3997" spans="1:14" x14ac:dyDescent="0.3">
      <c r="A3997" s="2">
        <f>DATE(VALUE(RIGHT(TRIM([1]Raw_Data!A3995),4)),VALUE(MID(TRIM([1]Raw_Data!A3995),4,2)),VALUE(LEFT(TRIM([1]Raw_Data!A3995),2)))</f>
        <v>45579</v>
      </c>
      <c r="B3997" s="3" t="str">
        <f>TRIM([1]Raw_Data!B3995)</f>
        <v>Magnesium</v>
      </c>
      <c r="C3997" s="3" t="str">
        <f>TRIM([1]Raw_Data!C3995)</f>
        <v>Mineral</v>
      </c>
      <c r="D3997" s="3">
        <f>[1]Raw_Data!D3995</f>
        <v>159</v>
      </c>
      <c r="E3997" s="4">
        <f>[1]Raw_Data!E3995</f>
        <v>38.71</v>
      </c>
      <c r="F3997" s="5">
        <f>[1]Raw_Data!F3995</f>
        <v>6154.89</v>
      </c>
      <c r="G3997" s="4">
        <f>[1]Raw_Data!G3995</f>
        <v>0.02</v>
      </c>
      <c r="H3997" s="3">
        <f>[1]Raw_Data!H3995</f>
        <v>3</v>
      </c>
      <c r="I3997" s="3" t="str">
        <f>TRIM([1]Raw_Data!I3995)</f>
        <v>Canada</v>
      </c>
      <c r="J3997" s="3" t="str">
        <f>TRIM([1]Raw_Data!J3995)</f>
        <v>iHerb</v>
      </c>
      <c r="K3997" s="3">
        <f t="shared" si="248"/>
        <v>2024</v>
      </c>
      <c r="L3997" s="6">
        <f t="shared" si="249"/>
        <v>45566</v>
      </c>
      <c r="M3997" s="3" t="str">
        <f t="shared" si="250"/>
        <v>0% to 5%</v>
      </c>
      <c r="N3997" s="3" t="str">
        <f t="shared" si="251"/>
        <v>OK</v>
      </c>
    </row>
    <row r="3998" spans="1:14" x14ac:dyDescent="0.3">
      <c r="A3998" s="2">
        <f>DATE(VALUE(RIGHT(TRIM([1]Raw_Data!A3996),4)),VALUE(MID(TRIM([1]Raw_Data!A3996),4,2)),VALUE(LEFT(TRIM([1]Raw_Data!A3996),2)))</f>
        <v>45579</v>
      </c>
      <c r="B3998" s="3" t="str">
        <f>TRIM([1]Raw_Data!B3996)</f>
        <v>Ashwagandha</v>
      </c>
      <c r="C3998" s="3" t="str">
        <f>TRIM([1]Raw_Data!C3996)</f>
        <v>Herbal</v>
      </c>
      <c r="D3998" s="3">
        <f>[1]Raw_Data!D3996</f>
        <v>185</v>
      </c>
      <c r="E3998" s="4">
        <f>[1]Raw_Data!E3996</f>
        <v>45.23</v>
      </c>
      <c r="F3998" s="5">
        <f>[1]Raw_Data!F3996</f>
        <v>8367.5499999999993</v>
      </c>
      <c r="G3998" s="4">
        <f>[1]Raw_Data!G3996</f>
        <v>0.21</v>
      </c>
      <c r="H3998" s="3">
        <f>[1]Raw_Data!H3996</f>
        <v>2</v>
      </c>
      <c r="I3998" s="3" t="str">
        <f>TRIM([1]Raw_Data!I3996)</f>
        <v>Canada</v>
      </c>
      <c r="J3998" s="3" t="str">
        <f>TRIM([1]Raw_Data!J3996)</f>
        <v>Amazon</v>
      </c>
      <c r="K3998" s="3">
        <f t="shared" si="248"/>
        <v>2024</v>
      </c>
      <c r="L3998" s="6">
        <f t="shared" si="249"/>
        <v>45566</v>
      </c>
      <c r="M3998" s="3" t="str">
        <f t="shared" si="250"/>
        <v>21% to 25%</v>
      </c>
      <c r="N3998" s="3" t="str">
        <f t="shared" si="251"/>
        <v>OK</v>
      </c>
    </row>
    <row r="3999" spans="1:14" x14ac:dyDescent="0.3">
      <c r="A3999" s="2">
        <f>DATE(VALUE(RIGHT(TRIM([1]Raw_Data!A3997),4)),VALUE(MID(TRIM([1]Raw_Data!A3997),4,2)),VALUE(LEFT(TRIM([1]Raw_Data!A3997),2)))</f>
        <v>45579</v>
      </c>
      <c r="B3999" s="3" t="str">
        <f>TRIM([1]Raw_Data!B3997)</f>
        <v>Melatonin</v>
      </c>
      <c r="C3999" s="3" t="str">
        <f>TRIM([1]Raw_Data!C3997)</f>
        <v>Sleep Aid</v>
      </c>
      <c r="D3999" s="3">
        <f>[1]Raw_Data!D3997</f>
        <v>143</v>
      </c>
      <c r="E3999" s="4">
        <f>[1]Raw_Data!E3997</f>
        <v>35.61</v>
      </c>
      <c r="F3999" s="5">
        <f>[1]Raw_Data!F3997</f>
        <v>5092.2299999999996</v>
      </c>
      <c r="G3999" s="4">
        <f>[1]Raw_Data!G3997</f>
        <v>0.1</v>
      </c>
      <c r="H3999" s="3">
        <f>[1]Raw_Data!H3997</f>
        <v>3</v>
      </c>
      <c r="I3999" s="3" t="str">
        <f>TRIM([1]Raw_Data!I3997)</f>
        <v>Canada</v>
      </c>
      <c r="J3999" s="3" t="str">
        <f>TRIM([1]Raw_Data!J3997)</f>
        <v>iHerb</v>
      </c>
      <c r="K3999" s="3">
        <f t="shared" si="248"/>
        <v>2024</v>
      </c>
      <c r="L3999" s="6">
        <f t="shared" si="249"/>
        <v>45566</v>
      </c>
      <c r="M3999" s="3" t="str">
        <f t="shared" si="250"/>
        <v>6% to 10%</v>
      </c>
      <c r="N3999" s="3" t="str">
        <f t="shared" si="251"/>
        <v>OK</v>
      </c>
    </row>
    <row r="4000" spans="1:14" x14ac:dyDescent="0.3">
      <c r="A4000" s="2">
        <f>DATE(VALUE(RIGHT(TRIM([1]Raw_Data!A3998),4)),VALUE(MID(TRIM([1]Raw_Data!A3998),4,2)),VALUE(LEFT(TRIM([1]Raw_Data!A3998),2)))</f>
        <v>45579</v>
      </c>
      <c r="B4000" s="3" t="str">
        <f>TRIM([1]Raw_Data!B3998)</f>
        <v>Biotin</v>
      </c>
      <c r="C4000" s="3" t="str">
        <f>TRIM([1]Raw_Data!C3998)</f>
        <v>Vitamin</v>
      </c>
      <c r="D4000" s="3">
        <f>[1]Raw_Data!D3998</f>
        <v>159</v>
      </c>
      <c r="E4000" s="4">
        <f>[1]Raw_Data!E3998</f>
        <v>39.28</v>
      </c>
      <c r="F4000" s="5">
        <f>[1]Raw_Data!F3998</f>
        <v>6245.52</v>
      </c>
      <c r="G4000" s="4">
        <f>[1]Raw_Data!G3998</f>
        <v>0.17</v>
      </c>
      <c r="H4000" s="3">
        <f>[1]Raw_Data!H3998</f>
        <v>0</v>
      </c>
      <c r="I4000" s="3" t="str">
        <f>TRIM([1]Raw_Data!I3998)</f>
        <v>USA</v>
      </c>
      <c r="J4000" s="3" t="str">
        <f>TRIM([1]Raw_Data!J3998)</f>
        <v>Walmart</v>
      </c>
      <c r="K4000" s="3">
        <f t="shared" si="248"/>
        <v>2024</v>
      </c>
      <c r="L4000" s="6">
        <f t="shared" si="249"/>
        <v>45566</v>
      </c>
      <c r="M4000" s="3" t="str">
        <f t="shared" si="250"/>
        <v>16% to 20%</v>
      </c>
      <c r="N4000" s="3" t="str">
        <f t="shared" si="251"/>
        <v>OK</v>
      </c>
    </row>
    <row r="4001" spans="1:14" x14ac:dyDescent="0.3">
      <c r="A4001" s="2">
        <f>DATE(VALUE(RIGHT(TRIM([1]Raw_Data!A3999),4)),VALUE(MID(TRIM([1]Raw_Data!A3999),4,2)),VALUE(LEFT(TRIM([1]Raw_Data!A3999),2)))</f>
        <v>45579</v>
      </c>
      <c r="B4001" s="3" t="str">
        <f>TRIM([1]Raw_Data!B3999)</f>
        <v>Green Tea Extract</v>
      </c>
      <c r="C4001" s="3" t="str">
        <f>TRIM([1]Raw_Data!C3999)</f>
        <v>Fat Burner</v>
      </c>
      <c r="D4001" s="3">
        <f>[1]Raw_Data!D3999</f>
        <v>145</v>
      </c>
      <c r="E4001" s="4">
        <f>[1]Raw_Data!E3999</f>
        <v>38.36</v>
      </c>
      <c r="F4001" s="5">
        <f>[1]Raw_Data!F3999</f>
        <v>5562.2</v>
      </c>
      <c r="G4001" s="4">
        <f>[1]Raw_Data!G3999</f>
        <v>0.05</v>
      </c>
      <c r="H4001" s="3">
        <f>[1]Raw_Data!H3999</f>
        <v>0</v>
      </c>
      <c r="I4001" s="3" t="str">
        <f>TRIM([1]Raw_Data!I3999)</f>
        <v>USA</v>
      </c>
      <c r="J4001" s="3" t="str">
        <f>TRIM([1]Raw_Data!J3999)</f>
        <v>iHerb</v>
      </c>
      <c r="K4001" s="3">
        <f t="shared" si="248"/>
        <v>2024</v>
      </c>
      <c r="L4001" s="6">
        <f t="shared" si="249"/>
        <v>45566</v>
      </c>
      <c r="M4001" s="3" t="str">
        <f t="shared" si="250"/>
        <v>0% to 5%</v>
      </c>
      <c r="N4001" s="3" t="str">
        <f t="shared" si="251"/>
        <v>OK</v>
      </c>
    </row>
    <row r="4002" spans="1:14" x14ac:dyDescent="0.3">
      <c r="A4002" s="2">
        <f>DATE(VALUE(RIGHT(TRIM([1]Raw_Data!A4000),4)),VALUE(MID(TRIM([1]Raw_Data!A4000),4,2)),VALUE(LEFT(TRIM([1]Raw_Data!A4000),2)))</f>
        <v>45579</v>
      </c>
      <c r="B4002" s="3" t="str">
        <f>TRIM([1]Raw_Data!B4000)</f>
        <v>Iron Supplement</v>
      </c>
      <c r="C4002" s="3" t="str">
        <f>TRIM([1]Raw_Data!C4000)</f>
        <v>Mineral</v>
      </c>
      <c r="D4002" s="3">
        <f>[1]Raw_Data!D4000</f>
        <v>151</v>
      </c>
      <c r="E4002" s="4">
        <f>[1]Raw_Data!E4000</f>
        <v>26.72</v>
      </c>
      <c r="F4002" s="5">
        <f>[1]Raw_Data!F4000</f>
        <v>4034.72</v>
      </c>
      <c r="G4002" s="4">
        <f>[1]Raw_Data!G4000</f>
        <v>0.16</v>
      </c>
      <c r="H4002" s="3">
        <f>[1]Raw_Data!H4000</f>
        <v>0</v>
      </c>
      <c r="I4002" s="3" t="str">
        <f>TRIM([1]Raw_Data!I4000)</f>
        <v>USA</v>
      </c>
      <c r="J4002" s="3" t="str">
        <f>TRIM([1]Raw_Data!J4000)</f>
        <v>Amazon</v>
      </c>
      <c r="K4002" s="3">
        <f t="shared" si="248"/>
        <v>2024</v>
      </c>
      <c r="L4002" s="6">
        <f t="shared" si="249"/>
        <v>45566</v>
      </c>
      <c r="M4002" s="3" t="str">
        <f t="shared" si="250"/>
        <v>16% to 20%</v>
      </c>
      <c r="N4002" s="3" t="str">
        <f t="shared" si="251"/>
        <v>OK</v>
      </c>
    </row>
    <row r="4003" spans="1:14" x14ac:dyDescent="0.3">
      <c r="A4003" s="2">
        <f>DATE(VALUE(RIGHT(TRIM([1]Raw_Data!A4001),4)),VALUE(MID(TRIM([1]Raw_Data!A4001),4,2)),VALUE(LEFT(TRIM([1]Raw_Data!A4001),2)))</f>
        <v>45579</v>
      </c>
      <c r="B4003" s="3" t="str">
        <f>TRIM([1]Raw_Data!B4001)</f>
        <v>Electrolyte Powder</v>
      </c>
      <c r="C4003" s="3" t="str">
        <f>TRIM([1]Raw_Data!C4001)</f>
        <v>Hydration</v>
      </c>
      <c r="D4003" s="3">
        <f>[1]Raw_Data!D4001</f>
        <v>135</v>
      </c>
      <c r="E4003" s="4">
        <f>[1]Raw_Data!E4001</f>
        <v>13.09</v>
      </c>
      <c r="F4003" s="5">
        <f>[1]Raw_Data!F4001</f>
        <v>1767.15</v>
      </c>
      <c r="G4003" s="4">
        <f>[1]Raw_Data!G4001</f>
        <v>0.22</v>
      </c>
      <c r="H4003" s="3">
        <f>[1]Raw_Data!H4001</f>
        <v>0</v>
      </c>
      <c r="I4003" s="3" t="str">
        <f>TRIM([1]Raw_Data!I4001)</f>
        <v>USA</v>
      </c>
      <c r="J4003" s="3" t="str">
        <f>TRIM([1]Raw_Data!J4001)</f>
        <v>Amazon</v>
      </c>
      <c r="K4003" s="3">
        <f t="shared" si="248"/>
        <v>2024</v>
      </c>
      <c r="L4003" s="6">
        <f t="shared" si="249"/>
        <v>45566</v>
      </c>
      <c r="M4003" s="3" t="str">
        <f t="shared" si="250"/>
        <v>21% to 25%</v>
      </c>
      <c r="N4003" s="3" t="str">
        <f t="shared" si="251"/>
        <v>OK</v>
      </c>
    </row>
    <row r="4004" spans="1:14" x14ac:dyDescent="0.3">
      <c r="A4004" s="2">
        <f>DATE(VALUE(RIGHT(TRIM([1]Raw_Data!A4002),4)),VALUE(MID(TRIM([1]Raw_Data!A4002),4,2)),VALUE(LEFT(TRIM([1]Raw_Data!A4002),2)))</f>
        <v>45586</v>
      </c>
      <c r="B4004" s="3" t="str">
        <f>TRIM([1]Raw_Data!B4002)</f>
        <v>Whey Protein</v>
      </c>
      <c r="C4004" s="3" t="str">
        <f>TRIM([1]Raw_Data!C4002)</f>
        <v>Protein</v>
      </c>
      <c r="D4004" s="3">
        <f>[1]Raw_Data!D4002</f>
        <v>156</v>
      </c>
      <c r="E4004" s="4">
        <f>[1]Raw_Data!E4002</f>
        <v>29.99</v>
      </c>
      <c r="F4004" s="5">
        <f>[1]Raw_Data!F4002</f>
        <v>4678.4399999999996</v>
      </c>
      <c r="G4004" s="4">
        <f>[1]Raw_Data!G4002</f>
        <v>0.19</v>
      </c>
      <c r="H4004" s="3">
        <f>[1]Raw_Data!H4002</f>
        <v>1</v>
      </c>
      <c r="I4004" s="3" t="str">
        <f>TRIM([1]Raw_Data!I4002)</f>
        <v>USA</v>
      </c>
      <c r="J4004" s="3" t="str">
        <f>TRIM([1]Raw_Data!J4002)</f>
        <v>Walmart</v>
      </c>
      <c r="K4004" s="3">
        <f t="shared" si="248"/>
        <v>2024</v>
      </c>
      <c r="L4004" s="6">
        <f t="shared" si="249"/>
        <v>45566</v>
      </c>
      <c r="M4004" s="3" t="str">
        <f t="shared" si="250"/>
        <v>16% to 20%</v>
      </c>
      <c r="N4004" s="3" t="str">
        <f t="shared" si="251"/>
        <v>OK</v>
      </c>
    </row>
    <row r="4005" spans="1:14" x14ac:dyDescent="0.3">
      <c r="A4005" s="2">
        <f>DATE(VALUE(RIGHT(TRIM([1]Raw_Data!A4003),4)),VALUE(MID(TRIM([1]Raw_Data!A4003),4,2)),VALUE(LEFT(TRIM([1]Raw_Data!A4003),2)))</f>
        <v>45586</v>
      </c>
      <c r="B4005" s="3" t="str">
        <f>TRIM([1]Raw_Data!B4003)</f>
        <v>Vitamin C</v>
      </c>
      <c r="C4005" s="3" t="str">
        <f>TRIM([1]Raw_Data!C4003)</f>
        <v>Vitamin</v>
      </c>
      <c r="D4005" s="3">
        <f>[1]Raw_Data!D4003</f>
        <v>158</v>
      </c>
      <c r="E4005" s="4">
        <f>[1]Raw_Data!E4003</f>
        <v>39.65</v>
      </c>
      <c r="F4005" s="5">
        <f>[1]Raw_Data!F4003</f>
        <v>6264.7</v>
      </c>
      <c r="G4005" s="4">
        <f>[1]Raw_Data!G4003</f>
        <v>0.19</v>
      </c>
      <c r="H4005" s="3">
        <f>[1]Raw_Data!H4003</f>
        <v>2</v>
      </c>
      <c r="I4005" s="3" t="str">
        <f>TRIM([1]Raw_Data!I4003)</f>
        <v>UK</v>
      </c>
      <c r="J4005" s="3" t="str">
        <f>TRIM([1]Raw_Data!J4003)</f>
        <v>iHerb</v>
      </c>
      <c r="K4005" s="3">
        <f t="shared" si="248"/>
        <v>2024</v>
      </c>
      <c r="L4005" s="6">
        <f t="shared" si="249"/>
        <v>45566</v>
      </c>
      <c r="M4005" s="3" t="str">
        <f t="shared" si="250"/>
        <v>16% to 20%</v>
      </c>
      <c r="N4005" s="3" t="str">
        <f t="shared" si="251"/>
        <v>OK</v>
      </c>
    </row>
    <row r="4006" spans="1:14" x14ac:dyDescent="0.3">
      <c r="A4006" s="2">
        <f>DATE(VALUE(RIGHT(TRIM([1]Raw_Data!A4004),4)),VALUE(MID(TRIM([1]Raw_Data!A4004),4,2)),VALUE(LEFT(TRIM([1]Raw_Data!A4004),2)))</f>
        <v>45586</v>
      </c>
      <c r="B4006" s="3" t="str">
        <f>TRIM([1]Raw_Data!B4004)</f>
        <v>Fish Oil</v>
      </c>
      <c r="C4006" s="3" t="str">
        <f>TRIM([1]Raw_Data!C4004)</f>
        <v>Omega</v>
      </c>
      <c r="D4006" s="3">
        <f>[1]Raw_Data!D4004</f>
        <v>154</v>
      </c>
      <c r="E4006" s="4">
        <f>[1]Raw_Data!E4004</f>
        <v>57.45</v>
      </c>
      <c r="F4006" s="5">
        <f>[1]Raw_Data!F4004</f>
        <v>8847.2999999999993</v>
      </c>
      <c r="G4006" s="4">
        <f>[1]Raw_Data!G4004</f>
        <v>0.09</v>
      </c>
      <c r="H4006" s="3">
        <f>[1]Raw_Data!H4004</f>
        <v>2</v>
      </c>
      <c r="I4006" s="3" t="str">
        <f>TRIM([1]Raw_Data!I4004)</f>
        <v>UK</v>
      </c>
      <c r="J4006" s="3" t="str">
        <f>TRIM([1]Raw_Data!J4004)</f>
        <v>Walmart</v>
      </c>
      <c r="K4006" s="3">
        <f t="shared" si="248"/>
        <v>2024</v>
      </c>
      <c r="L4006" s="6">
        <f t="shared" si="249"/>
        <v>45566</v>
      </c>
      <c r="M4006" s="3" t="str">
        <f t="shared" si="250"/>
        <v>6% to 10%</v>
      </c>
      <c r="N4006" s="3" t="str">
        <f t="shared" si="251"/>
        <v>OK</v>
      </c>
    </row>
    <row r="4007" spans="1:14" x14ac:dyDescent="0.3">
      <c r="A4007" s="2">
        <f>DATE(VALUE(RIGHT(TRIM([1]Raw_Data!A4005),4)),VALUE(MID(TRIM([1]Raw_Data!A4005),4,2)),VALUE(LEFT(TRIM([1]Raw_Data!A4005),2)))</f>
        <v>45586</v>
      </c>
      <c r="B4007" s="3" t="str">
        <f>TRIM([1]Raw_Data!B4005)</f>
        <v>Multivitamin</v>
      </c>
      <c r="C4007" s="3" t="str">
        <f>TRIM([1]Raw_Data!C4005)</f>
        <v>Vitamin</v>
      </c>
      <c r="D4007" s="3">
        <f>[1]Raw_Data!D4005</f>
        <v>130</v>
      </c>
      <c r="E4007" s="4">
        <f>[1]Raw_Data!E4005</f>
        <v>30.6</v>
      </c>
      <c r="F4007" s="5">
        <f>[1]Raw_Data!F4005</f>
        <v>3978</v>
      </c>
      <c r="G4007" s="4">
        <f>[1]Raw_Data!G4005</f>
        <v>0.21</v>
      </c>
      <c r="H4007" s="3">
        <f>[1]Raw_Data!H4005</f>
        <v>1</v>
      </c>
      <c r="I4007" s="3" t="str">
        <f>TRIM([1]Raw_Data!I4005)</f>
        <v>UK</v>
      </c>
      <c r="J4007" s="3" t="str">
        <f>TRIM([1]Raw_Data!J4005)</f>
        <v>Walmart</v>
      </c>
      <c r="K4007" s="3">
        <f t="shared" si="248"/>
        <v>2024</v>
      </c>
      <c r="L4007" s="6">
        <f t="shared" si="249"/>
        <v>45566</v>
      </c>
      <c r="M4007" s="3" t="str">
        <f t="shared" si="250"/>
        <v>21% to 25%</v>
      </c>
      <c r="N4007" s="3" t="str">
        <f t="shared" si="251"/>
        <v>OK</v>
      </c>
    </row>
    <row r="4008" spans="1:14" x14ac:dyDescent="0.3">
      <c r="A4008" s="2">
        <f>DATE(VALUE(RIGHT(TRIM([1]Raw_Data!A4006),4)),VALUE(MID(TRIM([1]Raw_Data!A4006),4,2)),VALUE(LEFT(TRIM([1]Raw_Data!A4006),2)))</f>
        <v>45586</v>
      </c>
      <c r="B4008" s="3" t="str">
        <f>TRIM([1]Raw_Data!B4006)</f>
        <v>Pre-Workout</v>
      </c>
      <c r="C4008" s="3" t="str">
        <f>TRIM([1]Raw_Data!C4006)</f>
        <v>Performance</v>
      </c>
      <c r="D4008" s="3">
        <f>[1]Raw_Data!D4006</f>
        <v>159</v>
      </c>
      <c r="E4008" s="4">
        <f>[1]Raw_Data!E4006</f>
        <v>33.22</v>
      </c>
      <c r="F4008" s="5">
        <f>[1]Raw_Data!F4006</f>
        <v>5281.98</v>
      </c>
      <c r="G4008" s="4">
        <f>[1]Raw_Data!G4006</f>
        <v>0.23</v>
      </c>
      <c r="H4008" s="3">
        <f>[1]Raw_Data!H4006</f>
        <v>1</v>
      </c>
      <c r="I4008" s="3" t="str">
        <f>TRIM([1]Raw_Data!I4006)</f>
        <v>USA</v>
      </c>
      <c r="J4008" s="3" t="str">
        <f>TRIM([1]Raw_Data!J4006)</f>
        <v>iHerb</v>
      </c>
      <c r="K4008" s="3">
        <f t="shared" si="248"/>
        <v>2024</v>
      </c>
      <c r="L4008" s="6">
        <f t="shared" si="249"/>
        <v>45566</v>
      </c>
      <c r="M4008" s="3" t="str">
        <f t="shared" si="250"/>
        <v>21% to 25%</v>
      </c>
      <c r="N4008" s="3" t="str">
        <f t="shared" si="251"/>
        <v>OK</v>
      </c>
    </row>
    <row r="4009" spans="1:14" x14ac:dyDescent="0.3">
      <c r="A4009" s="2">
        <f>DATE(VALUE(RIGHT(TRIM([1]Raw_Data!A4007),4)),VALUE(MID(TRIM([1]Raw_Data!A4007),4,2)),VALUE(LEFT(TRIM([1]Raw_Data!A4007),2)))</f>
        <v>45586</v>
      </c>
      <c r="B4009" s="3" t="str">
        <f>TRIM([1]Raw_Data!B4007)</f>
        <v>BCAA</v>
      </c>
      <c r="C4009" s="3" t="str">
        <f>TRIM([1]Raw_Data!C4007)</f>
        <v>Amino Acid</v>
      </c>
      <c r="D4009" s="3">
        <f>[1]Raw_Data!D4007</f>
        <v>157</v>
      </c>
      <c r="E4009" s="4">
        <f>[1]Raw_Data!E4007</f>
        <v>33</v>
      </c>
      <c r="F4009" s="5">
        <f>[1]Raw_Data!F4007</f>
        <v>5181</v>
      </c>
      <c r="G4009" s="4">
        <f>[1]Raw_Data!G4007</f>
        <v>0.17</v>
      </c>
      <c r="H4009" s="3">
        <f>[1]Raw_Data!H4007</f>
        <v>1</v>
      </c>
      <c r="I4009" s="3" t="str">
        <f>TRIM([1]Raw_Data!I4007)</f>
        <v>UK</v>
      </c>
      <c r="J4009" s="3" t="str">
        <f>TRIM([1]Raw_Data!J4007)</f>
        <v>iHerb</v>
      </c>
      <c r="K4009" s="3">
        <f t="shared" si="248"/>
        <v>2024</v>
      </c>
      <c r="L4009" s="6">
        <f t="shared" si="249"/>
        <v>45566</v>
      </c>
      <c r="M4009" s="3" t="str">
        <f t="shared" si="250"/>
        <v>16% to 20%</v>
      </c>
      <c r="N4009" s="3" t="str">
        <f t="shared" si="251"/>
        <v>OK</v>
      </c>
    </row>
    <row r="4010" spans="1:14" x14ac:dyDescent="0.3">
      <c r="A4010" s="2">
        <f>DATE(VALUE(RIGHT(TRIM([1]Raw_Data!A4008),4)),VALUE(MID(TRIM([1]Raw_Data!A4008),4,2)),VALUE(LEFT(TRIM([1]Raw_Data!A4008),2)))</f>
        <v>45586</v>
      </c>
      <c r="B4010" s="3" t="str">
        <f>TRIM([1]Raw_Data!B4008)</f>
        <v>Creatine</v>
      </c>
      <c r="C4010" s="3" t="str">
        <f>TRIM([1]Raw_Data!C4008)</f>
        <v>Performance</v>
      </c>
      <c r="D4010" s="3">
        <f>[1]Raw_Data!D4008</f>
        <v>159</v>
      </c>
      <c r="E4010" s="4">
        <f>[1]Raw_Data!E4008</f>
        <v>29.79</v>
      </c>
      <c r="F4010" s="5">
        <f>[1]Raw_Data!F4008</f>
        <v>4736.6099999999997</v>
      </c>
      <c r="G4010" s="4">
        <f>[1]Raw_Data!G4008</f>
        <v>0.16</v>
      </c>
      <c r="H4010" s="3">
        <f>[1]Raw_Data!H4008</f>
        <v>3</v>
      </c>
      <c r="I4010" s="3" t="str">
        <f>TRIM([1]Raw_Data!I4008)</f>
        <v>Canada</v>
      </c>
      <c r="J4010" s="3" t="str">
        <f>TRIM([1]Raw_Data!J4008)</f>
        <v>Amazon</v>
      </c>
      <c r="K4010" s="3">
        <f t="shared" si="248"/>
        <v>2024</v>
      </c>
      <c r="L4010" s="6">
        <f t="shared" si="249"/>
        <v>45566</v>
      </c>
      <c r="M4010" s="3" t="str">
        <f t="shared" si="250"/>
        <v>16% to 20%</v>
      </c>
      <c r="N4010" s="3" t="str">
        <f t="shared" si="251"/>
        <v>OK</v>
      </c>
    </row>
    <row r="4011" spans="1:14" x14ac:dyDescent="0.3">
      <c r="A4011" s="2">
        <f>DATE(VALUE(RIGHT(TRIM([1]Raw_Data!A4009),4)),VALUE(MID(TRIM([1]Raw_Data!A4009),4,2)),VALUE(LEFT(TRIM([1]Raw_Data!A4009),2)))</f>
        <v>45586</v>
      </c>
      <c r="B4011" s="3" t="str">
        <f>TRIM([1]Raw_Data!B4009)</f>
        <v>Zinc</v>
      </c>
      <c r="C4011" s="3" t="str">
        <f>TRIM([1]Raw_Data!C4009)</f>
        <v>Mineral</v>
      </c>
      <c r="D4011" s="3">
        <f>[1]Raw_Data!D4009</f>
        <v>161</v>
      </c>
      <c r="E4011" s="4">
        <f>[1]Raw_Data!E4009</f>
        <v>27.95</v>
      </c>
      <c r="F4011" s="5">
        <f>[1]Raw_Data!F4009</f>
        <v>4499.95</v>
      </c>
      <c r="G4011" s="4">
        <f>[1]Raw_Data!G4009</f>
        <v>0.03</v>
      </c>
      <c r="H4011" s="3">
        <f>[1]Raw_Data!H4009</f>
        <v>1</v>
      </c>
      <c r="I4011" s="3" t="str">
        <f>TRIM([1]Raw_Data!I4009)</f>
        <v>UK</v>
      </c>
      <c r="J4011" s="3" t="str">
        <f>TRIM([1]Raw_Data!J4009)</f>
        <v>Amazon</v>
      </c>
      <c r="K4011" s="3">
        <f t="shared" si="248"/>
        <v>2024</v>
      </c>
      <c r="L4011" s="6">
        <f t="shared" si="249"/>
        <v>45566</v>
      </c>
      <c r="M4011" s="3" t="str">
        <f t="shared" si="250"/>
        <v>0% to 5%</v>
      </c>
      <c r="N4011" s="3" t="str">
        <f t="shared" si="251"/>
        <v>OK</v>
      </c>
    </row>
    <row r="4012" spans="1:14" x14ac:dyDescent="0.3">
      <c r="A4012" s="2">
        <f>DATE(VALUE(RIGHT(TRIM([1]Raw_Data!A4010),4)),VALUE(MID(TRIM([1]Raw_Data!A4010),4,2)),VALUE(LEFT(TRIM([1]Raw_Data!A4010),2)))</f>
        <v>45586</v>
      </c>
      <c r="B4012" s="3" t="str">
        <f>TRIM([1]Raw_Data!B4010)</f>
        <v>Collagen Peptides</v>
      </c>
      <c r="C4012" s="3" t="str">
        <f>TRIM([1]Raw_Data!C4010)</f>
        <v>Protein</v>
      </c>
      <c r="D4012" s="3">
        <f>[1]Raw_Data!D4010</f>
        <v>178</v>
      </c>
      <c r="E4012" s="4">
        <f>[1]Raw_Data!E4010</f>
        <v>36.840000000000003</v>
      </c>
      <c r="F4012" s="5">
        <f>[1]Raw_Data!F4010</f>
        <v>6557.52</v>
      </c>
      <c r="G4012" s="4">
        <f>[1]Raw_Data!G4010</f>
        <v>0.16</v>
      </c>
      <c r="H4012" s="3">
        <f>[1]Raw_Data!H4010</f>
        <v>2</v>
      </c>
      <c r="I4012" s="3" t="str">
        <f>TRIM([1]Raw_Data!I4010)</f>
        <v>Canada</v>
      </c>
      <c r="J4012" s="3" t="str">
        <f>TRIM([1]Raw_Data!J4010)</f>
        <v>iHerb</v>
      </c>
      <c r="K4012" s="3">
        <f t="shared" si="248"/>
        <v>2024</v>
      </c>
      <c r="L4012" s="6">
        <f t="shared" si="249"/>
        <v>45566</v>
      </c>
      <c r="M4012" s="3" t="str">
        <f t="shared" si="250"/>
        <v>16% to 20%</v>
      </c>
      <c r="N4012" s="3" t="str">
        <f t="shared" si="251"/>
        <v>OK</v>
      </c>
    </row>
    <row r="4013" spans="1:14" x14ac:dyDescent="0.3">
      <c r="A4013" s="2">
        <f>DATE(VALUE(RIGHT(TRIM([1]Raw_Data!A4011),4)),VALUE(MID(TRIM([1]Raw_Data!A4011),4,2)),VALUE(LEFT(TRIM([1]Raw_Data!A4011),2)))</f>
        <v>45586</v>
      </c>
      <c r="B4013" s="3" t="str">
        <f>TRIM([1]Raw_Data!B4011)</f>
        <v>Magnesium</v>
      </c>
      <c r="C4013" s="3" t="str">
        <f>TRIM([1]Raw_Data!C4011)</f>
        <v>Mineral</v>
      </c>
      <c r="D4013" s="3">
        <f>[1]Raw_Data!D4011</f>
        <v>155</v>
      </c>
      <c r="E4013" s="4">
        <f>[1]Raw_Data!E4011</f>
        <v>27.97</v>
      </c>
      <c r="F4013" s="5">
        <f>[1]Raw_Data!F4011</f>
        <v>4335.3500000000004</v>
      </c>
      <c r="G4013" s="4">
        <f>[1]Raw_Data!G4011</f>
        <v>0.04</v>
      </c>
      <c r="H4013" s="3">
        <f>[1]Raw_Data!H4011</f>
        <v>0</v>
      </c>
      <c r="I4013" s="3" t="str">
        <f>TRIM([1]Raw_Data!I4011)</f>
        <v>USA</v>
      </c>
      <c r="J4013" s="3" t="str">
        <f>TRIM([1]Raw_Data!J4011)</f>
        <v>Walmart</v>
      </c>
      <c r="K4013" s="3">
        <f t="shared" si="248"/>
        <v>2024</v>
      </c>
      <c r="L4013" s="6">
        <f t="shared" si="249"/>
        <v>45566</v>
      </c>
      <c r="M4013" s="3" t="str">
        <f t="shared" si="250"/>
        <v>0% to 5%</v>
      </c>
      <c r="N4013" s="3" t="str">
        <f t="shared" si="251"/>
        <v>OK</v>
      </c>
    </row>
    <row r="4014" spans="1:14" x14ac:dyDescent="0.3">
      <c r="A4014" s="2">
        <f>DATE(VALUE(RIGHT(TRIM([1]Raw_Data!A4012),4)),VALUE(MID(TRIM([1]Raw_Data!A4012),4,2)),VALUE(LEFT(TRIM([1]Raw_Data!A4012),2)))</f>
        <v>45586</v>
      </c>
      <c r="B4014" s="3" t="str">
        <f>TRIM([1]Raw_Data!B4012)</f>
        <v>Ashwagandha</v>
      </c>
      <c r="C4014" s="3" t="str">
        <f>TRIM([1]Raw_Data!C4012)</f>
        <v>Herbal</v>
      </c>
      <c r="D4014" s="3">
        <f>[1]Raw_Data!D4012</f>
        <v>130</v>
      </c>
      <c r="E4014" s="4">
        <f>[1]Raw_Data!E4012</f>
        <v>41.41</v>
      </c>
      <c r="F4014" s="5">
        <f>[1]Raw_Data!F4012</f>
        <v>5383.3</v>
      </c>
      <c r="G4014" s="4">
        <f>[1]Raw_Data!G4012</f>
        <v>0.22</v>
      </c>
      <c r="H4014" s="3">
        <f>[1]Raw_Data!H4012</f>
        <v>2</v>
      </c>
      <c r="I4014" s="3" t="str">
        <f>TRIM([1]Raw_Data!I4012)</f>
        <v>USA</v>
      </c>
      <c r="J4014" s="3" t="str">
        <f>TRIM([1]Raw_Data!J4012)</f>
        <v>iHerb</v>
      </c>
      <c r="K4014" s="3">
        <f t="shared" si="248"/>
        <v>2024</v>
      </c>
      <c r="L4014" s="6">
        <f t="shared" si="249"/>
        <v>45566</v>
      </c>
      <c r="M4014" s="3" t="str">
        <f t="shared" si="250"/>
        <v>21% to 25%</v>
      </c>
      <c r="N4014" s="3" t="str">
        <f t="shared" si="251"/>
        <v>OK</v>
      </c>
    </row>
    <row r="4015" spans="1:14" x14ac:dyDescent="0.3">
      <c r="A4015" s="2">
        <f>DATE(VALUE(RIGHT(TRIM([1]Raw_Data!A4013),4)),VALUE(MID(TRIM([1]Raw_Data!A4013),4,2)),VALUE(LEFT(TRIM([1]Raw_Data!A4013),2)))</f>
        <v>45586</v>
      </c>
      <c r="B4015" s="3" t="str">
        <f>TRIM([1]Raw_Data!B4013)</f>
        <v>Melatonin</v>
      </c>
      <c r="C4015" s="3" t="str">
        <f>TRIM([1]Raw_Data!C4013)</f>
        <v>Sleep Aid</v>
      </c>
      <c r="D4015" s="3">
        <f>[1]Raw_Data!D4013</f>
        <v>141</v>
      </c>
      <c r="E4015" s="4">
        <f>[1]Raw_Data!E4013</f>
        <v>19.649999999999999</v>
      </c>
      <c r="F4015" s="5">
        <f>[1]Raw_Data!F4013</f>
        <v>2770.65</v>
      </c>
      <c r="G4015" s="4">
        <f>[1]Raw_Data!G4013</f>
        <v>0.24</v>
      </c>
      <c r="H4015" s="3">
        <f>[1]Raw_Data!H4013</f>
        <v>1</v>
      </c>
      <c r="I4015" s="3" t="str">
        <f>TRIM([1]Raw_Data!I4013)</f>
        <v>Canada</v>
      </c>
      <c r="J4015" s="3" t="str">
        <f>TRIM([1]Raw_Data!J4013)</f>
        <v>Amazon</v>
      </c>
      <c r="K4015" s="3">
        <f t="shared" si="248"/>
        <v>2024</v>
      </c>
      <c r="L4015" s="6">
        <f t="shared" si="249"/>
        <v>45566</v>
      </c>
      <c r="M4015" s="3" t="str">
        <f t="shared" si="250"/>
        <v>21% to 25%</v>
      </c>
      <c r="N4015" s="3" t="str">
        <f t="shared" si="251"/>
        <v>OK</v>
      </c>
    </row>
    <row r="4016" spans="1:14" x14ac:dyDescent="0.3">
      <c r="A4016" s="2">
        <f>DATE(VALUE(RIGHT(TRIM([1]Raw_Data!A4014),4)),VALUE(MID(TRIM([1]Raw_Data!A4014),4,2)),VALUE(LEFT(TRIM([1]Raw_Data!A4014),2)))</f>
        <v>45586</v>
      </c>
      <c r="B4016" s="3" t="str">
        <f>TRIM([1]Raw_Data!B4014)</f>
        <v>Biotin</v>
      </c>
      <c r="C4016" s="3" t="str">
        <f>TRIM([1]Raw_Data!C4014)</f>
        <v>Vitamin</v>
      </c>
      <c r="D4016" s="3">
        <f>[1]Raw_Data!D4014</f>
        <v>137</v>
      </c>
      <c r="E4016" s="4">
        <f>[1]Raw_Data!E4014</f>
        <v>29.76</v>
      </c>
      <c r="F4016" s="5">
        <f>[1]Raw_Data!F4014</f>
        <v>4077.12</v>
      </c>
      <c r="G4016" s="4">
        <f>[1]Raw_Data!G4014</f>
        <v>0.22</v>
      </c>
      <c r="H4016" s="3">
        <f>[1]Raw_Data!H4014</f>
        <v>1</v>
      </c>
      <c r="I4016" s="3" t="str">
        <f>TRIM([1]Raw_Data!I4014)</f>
        <v>UK</v>
      </c>
      <c r="J4016" s="3" t="str">
        <f>TRIM([1]Raw_Data!J4014)</f>
        <v>Amazon</v>
      </c>
      <c r="K4016" s="3">
        <f t="shared" si="248"/>
        <v>2024</v>
      </c>
      <c r="L4016" s="6">
        <f t="shared" si="249"/>
        <v>45566</v>
      </c>
      <c r="M4016" s="3" t="str">
        <f t="shared" si="250"/>
        <v>21% to 25%</v>
      </c>
      <c r="N4016" s="3" t="str">
        <f t="shared" si="251"/>
        <v>OK</v>
      </c>
    </row>
    <row r="4017" spans="1:14" x14ac:dyDescent="0.3">
      <c r="A4017" s="2">
        <f>DATE(VALUE(RIGHT(TRIM([1]Raw_Data!A4015),4)),VALUE(MID(TRIM([1]Raw_Data!A4015),4,2)),VALUE(LEFT(TRIM([1]Raw_Data!A4015),2)))</f>
        <v>45586</v>
      </c>
      <c r="B4017" s="3" t="str">
        <f>TRIM([1]Raw_Data!B4015)</f>
        <v>Green Tea Extract</v>
      </c>
      <c r="C4017" s="3" t="str">
        <f>TRIM([1]Raw_Data!C4015)</f>
        <v>Fat Burner</v>
      </c>
      <c r="D4017" s="3">
        <f>[1]Raw_Data!D4015</f>
        <v>146</v>
      </c>
      <c r="E4017" s="4">
        <f>[1]Raw_Data!E4015</f>
        <v>54.63</v>
      </c>
      <c r="F4017" s="5">
        <f>[1]Raw_Data!F4015</f>
        <v>7975.98</v>
      </c>
      <c r="G4017" s="4">
        <f>[1]Raw_Data!G4015</f>
        <v>0.22</v>
      </c>
      <c r="H4017" s="3">
        <f>[1]Raw_Data!H4015</f>
        <v>2</v>
      </c>
      <c r="I4017" s="3" t="str">
        <f>TRIM([1]Raw_Data!I4015)</f>
        <v>Canada</v>
      </c>
      <c r="J4017" s="3" t="str">
        <f>TRIM([1]Raw_Data!J4015)</f>
        <v>Walmart</v>
      </c>
      <c r="K4017" s="3">
        <f t="shared" si="248"/>
        <v>2024</v>
      </c>
      <c r="L4017" s="6">
        <f t="shared" si="249"/>
        <v>45566</v>
      </c>
      <c r="M4017" s="3" t="str">
        <f t="shared" si="250"/>
        <v>21% to 25%</v>
      </c>
      <c r="N4017" s="3" t="str">
        <f t="shared" si="251"/>
        <v>OK</v>
      </c>
    </row>
    <row r="4018" spans="1:14" x14ac:dyDescent="0.3">
      <c r="A4018" s="2">
        <f>DATE(VALUE(RIGHT(TRIM([1]Raw_Data!A4016),4)),VALUE(MID(TRIM([1]Raw_Data!A4016),4,2)),VALUE(LEFT(TRIM([1]Raw_Data!A4016),2)))</f>
        <v>45586</v>
      </c>
      <c r="B4018" s="3" t="str">
        <f>TRIM([1]Raw_Data!B4016)</f>
        <v>Iron Supplement</v>
      </c>
      <c r="C4018" s="3" t="str">
        <f>TRIM([1]Raw_Data!C4016)</f>
        <v>Mineral</v>
      </c>
      <c r="D4018" s="3">
        <f>[1]Raw_Data!D4016</f>
        <v>139</v>
      </c>
      <c r="E4018" s="4">
        <f>[1]Raw_Data!E4016</f>
        <v>58.78</v>
      </c>
      <c r="F4018" s="5">
        <f>[1]Raw_Data!F4016</f>
        <v>8170.42</v>
      </c>
      <c r="G4018" s="4">
        <f>[1]Raw_Data!G4016</f>
        <v>0.15</v>
      </c>
      <c r="H4018" s="3">
        <f>[1]Raw_Data!H4016</f>
        <v>2</v>
      </c>
      <c r="I4018" s="3" t="str">
        <f>TRIM([1]Raw_Data!I4016)</f>
        <v>Canada</v>
      </c>
      <c r="J4018" s="3" t="str">
        <f>TRIM([1]Raw_Data!J4016)</f>
        <v>iHerb</v>
      </c>
      <c r="K4018" s="3">
        <f t="shared" si="248"/>
        <v>2024</v>
      </c>
      <c r="L4018" s="6">
        <f t="shared" si="249"/>
        <v>45566</v>
      </c>
      <c r="M4018" s="3" t="str">
        <f t="shared" si="250"/>
        <v>11% to 15%</v>
      </c>
      <c r="N4018" s="3" t="str">
        <f t="shared" si="251"/>
        <v>OK</v>
      </c>
    </row>
    <row r="4019" spans="1:14" x14ac:dyDescent="0.3">
      <c r="A4019" s="2">
        <f>DATE(VALUE(RIGHT(TRIM([1]Raw_Data!A4017),4)),VALUE(MID(TRIM([1]Raw_Data!A4017),4,2)),VALUE(LEFT(TRIM([1]Raw_Data!A4017),2)))</f>
        <v>45586</v>
      </c>
      <c r="B4019" s="3" t="str">
        <f>TRIM([1]Raw_Data!B4017)</f>
        <v>Electrolyte Powder</v>
      </c>
      <c r="C4019" s="3" t="str">
        <f>TRIM([1]Raw_Data!C4017)</f>
        <v>Hydration</v>
      </c>
      <c r="D4019" s="3">
        <f>[1]Raw_Data!D4017</f>
        <v>148</v>
      </c>
      <c r="E4019" s="4">
        <f>[1]Raw_Data!E4017</f>
        <v>31.45</v>
      </c>
      <c r="F4019" s="5">
        <f>[1]Raw_Data!F4017</f>
        <v>4654.6000000000004</v>
      </c>
      <c r="G4019" s="4">
        <f>[1]Raw_Data!G4017</f>
        <v>0.18</v>
      </c>
      <c r="H4019" s="3">
        <f>[1]Raw_Data!H4017</f>
        <v>3</v>
      </c>
      <c r="I4019" s="3" t="str">
        <f>TRIM([1]Raw_Data!I4017)</f>
        <v>Canada</v>
      </c>
      <c r="J4019" s="3" t="str">
        <f>TRIM([1]Raw_Data!J4017)</f>
        <v>iHerb</v>
      </c>
      <c r="K4019" s="3">
        <f t="shared" si="248"/>
        <v>2024</v>
      </c>
      <c r="L4019" s="6">
        <f t="shared" si="249"/>
        <v>45566</v>
      </c>
      <c r="M4019" s="3" t="str">
        <f t="shared" si="250"/>
        <v>16% to 20%</v>
      </c>
      <c r="N4019" s="3" t="str">
        <f t="shared" si="251"/>
        <v>OK</v>
      </c>
    </row>
    <row r="4020" spans="1:14" x14ac:dyDescent="0.3">
      <c r="A4020" s="2">
        <f>DATE(VALUE(RIGHT(TRIM([1]Raw_Data!A4018),4)),VALUE(MID(TRIM([1]Raw_Data!A4018),4,2)),VALUE(LEFT(TRIM([1]Raw_Data!A4018),2)))</f>
        <v>45593</v>
      </c>
      <c r="B4020" s="3" t="str">
        <f>TRIM([1]Raw_Data!B4018)</f>
        <v>Whey Protein</v>
      </c>
      <c r="C4020" s="3" t="str">
        <f>TRIM([1]Raw_Data!C4018)</f>
        <v>Protein</v>
      </c>
      <c r="D4020" s="3">
        <f>[1]Raw_Data!D4018</f>
        <v>150</v>
      </c>
      <c r="E4020" s="4">
        <f>[1]Raw_Data!E4018</f>
        <v>27.01</v>
      </c>
      <c r="F4020" s="5">
        <f>[1]Raw_Data!F4018</f>
        <v>4051.5</v>
      </c>
      <c r="G4020" s="4">
        <f>[1]Raw_Data!G4018</f>
        <v>0.04</v>
      </c>
      <c r="H4020" s="3">
        <f>[1]Raw_Data!H4018</f>
        <v>4</v>
      </c>
      <c r="I4020" s="3" t="str">
        <f>TRIM([1]Raw_Data!I4018)</f>
        <v>UK</v>
      </c>
      <c r="J4020" s="3" t="str">
        <f>TRIM([1]Raw_Data!J4018)</f>
        <v>Amazon</v>
      </c>
      <c r="K4020" s="3">
        <f t="shared" si="248"/>
        <v>2024</v>
      </c>
      <c r="L4020" s="6">
        <f t="shared" si="249"/>
        <v>45566</v>
      </c>
      <c r="M4020" s="3" t="str">
        <f t="shared" si="250"/>
        <v>0% to 5%</v>
      </c>
      <c r="N4020" s="3" t="str">
        <f t="shared" si="251"/>
        <v>OK</v>
      </c>
    </row>
    <row r="4021" spans="1:14" x14ac:dyDescent="0.3">
      <c r="A4021" s="2">
        <f>DATE(VALUE(RIGHT(TRIM([1]Raw_Data!A4019),4)),VALUE(MID(TRIM([1]Raw_Data!A4019),4,2)),VALUE(LEFT(TRIM([1]Raw_Data!A4019),2)))</f>
        <v>45593</v>
      </c>
      <c r="B4021" s="3" t="str">
        <f>TRIM([1]Raw_Data!B4019)</f>
        <v>Vitamin C</v>
      </c>
      <c r="C4021" s="3" t="str">
        <f>TRIM([1]Raw_Data!C4019)</f>
        <v>Vitamin</v>
      </c>
      <c r="D4021" s="3">
        <f>[1]Raw_Data!D4019</f>
        <v>143</v>
      </c>
      <c r="E4021" s="4">
        <f>[1]Raw_Data!E4019</f>
        <v>45.77</v>
      </c>
      <c r="F4021" s="5">
        <f>[1]Raw_Data!F4019</f>
        <v>6545.11</v>
      </c>
      <c r="G4021" s="4">
        <f>[1]Raw_Data!G4019</f>
        <v>0.2</v>
      </c>
      <c r="H4021" s="3">
        <f>[1]Raw_Data!H4019</f>
        <v>3</v>
      </c>
      <c r="I4021" s="3" t="str">
        <f>TRIM([1]Raw_Data!I4019)</f>
        <v>USA</v>
      </c>
      <c r="J4021" s="3" t="str">
        <f>TRIM([1]Raw_Data!J4019)</f>
        <v>Walmart</v>
      </c>
      <c r="K4021" s="3">
        <f t="shared" si="248"/>
        <v>2024</v>
      </c>
      <c r="L4021" s="6">
        <f t="shared" si="249"/>
        <v>45566</v>
      </c>
      <c r="M4021" s="3" t="str">
        <f t="shared" si="250"/>
        <v>16% to 20%</v>
      </c>
      <c r="N4021" s="3" t="str">
        <f t="shared" si="251"/>
        <v>OK</v>
      </c>
    </row>
    <row r="4022" spans="1:14" x14ac:dyDescent="0.3">
      <c r="A4022" s="2">
        <f>DATE(VALUE(RIGHT(TRIM([1]Raw_Data!A4020),4)),VALUE(MID(TRIM([1]Raw_Data!A4020),4,2)),VALUE(LEFT(TRIM([1]Raw_Data!A4020),2)))</f>
        <v>45593</v>
      </c>
      <c r="B4022" s="3" t="str">
        <f>TRIM([1]Raw_Data!B4020)</f>
        <v>Fish Oil</v>
      </c>
      <c r="C4022" s="3" t="str">
        <f>TRIM([1]Raw_Data!C4020)</f>
        <v>Omega</v>
      </c>
      <c r="D4022" s="3">
        <f>[1]Raw_Data!D4020</f>
        <v>154</v>
      </c>
      <c r="E4022" s="4">
        <f>[1]Raw_Data!E4020</f>
        <v>18.38</v>
      </c>
      <c r="F4022" s="5">
        <f>[1]Raw_Data!F4020</f>
        <v>2830.52</v>
      </c>
      <c r="G4022" s="4">
        <f>[1]Raw_Data!G4020</f>
        <v>0.16</v>
      </c>
      <c r="H4022" s="3">
        <f>[1]Raw_Data!H4020</f>
        <v>2</v>
      </c>
      <c r="I4022" s="3" t="str">
        <f>TRIM([1]Raw_Data!I4020)</f>
        <v>Canada</v>
      </c>
      <c r="J4022" s="3" t="str">
        <f>TRIM([1]Raw_Data!J4020)</f>
        <v>iHerb</v>
      </c>
      <c r="K4022" s="3">
        <f t="shared" si="248"/>
        <v>2024</v>
      </c>
      <c r="L4022" s="6">
        <f t="shared" si="249"/>
        <v>45566</v>
      </c>
      <c r="M4022" s="3" t="str">
        <f t="shared" si="250"/>
        <v>16% to 20%</v>
      </c>
      <c r="N4022" s="3" t="str">
        <f t="shared" si="251"/>
        <v>OK</v>
      </c>
    </row>
    <row r="4023" spans="1:14" x14ac:dyDescent="0.3">
      <c r="A4023" s="2">
        <f>DATE(VALUE(RIGHT(TRIM([1]Raw_Data!A4021),4)),VALUE(MID(TRIM([1]Raw_Data!A4021),4,2)),VALUE(LEFT(TRIM([1]Raw_Data!A4021),2)))</f>
        <v>45593</v>
      </c>
      <c r="B4023" s="3" t="str">
        <f>TRIM([1]Raw_Data!B4021)</f>
        <v>Multivitamin</v>
      </c>
      <c r="C4023" s="3" t="str">
        <f>TRIM([1]Raw_Data!C4021)</f>
        <v>Vitamin</v>
      </c>
      <c r="D4023" s="3">
        <f>[1]Raw_Data!D4021</f>
        <v>141</v>
      </c>
      <c r="E4023" s="4">
        <f>[1]Raw_Data!E4021</f>
        <v>48.92</v>
      </c>
      <c r="F4023" s="5">
        <f>[1]Raw_Data!F4021</f>
        <v>6897.72</v>
      </c>
      <c r="G4023" s="4">
        <f>[1]Raw_Data!G4021</f>
        <v>0.21</v>
      </c>
      <c r="H4023" s="3">
        <f>[1]Raw_Data!H4021</f>
        <v>1</v>
      </c>
      <c r="I4023" s="3" t="str">
        <f>TRIM([1]Raw_Data!I4021)</f>
        <v>USA</v>
      </c>
      <c r="J4023" s="3" t="str">
        <f>TRIM([1]Raw_Data!J4021)</f>
        <v>iHerb</v>
      </c>
      <c r="K4023" s="3">
        <f t="shared" si="248"/>
        <v>2024</v>
      </c>
      <c r="L4023" s="6">
        <f t="shared" si="249"/>
        <v>45566</v>
      </c>
      <c r="M4023" s="3" t="str">
        <f t="shared" si="250"/>
        <v>21% to 25%</v>
      </c>
      <c r="N4023" s="3" t="str">
        <f t="shared" si="251"/>
        <v>OK</v>
      </c>
    </row>
    <row r="4024" spans="1:14" x14ac:dyDescent="0.3">
      <c r="A4024" s="2">
        <f>DATE(VALUE(RIGHT(TRIM([1]Raw_Data!A4022),4)),VALUE(MID(TRIM([1]Raw_Data!A4022),4,2)),VALUE(LEFT(TRIM([1]Raw_Data!A4022),2)))</f>
        <v>45593</v>
      </c>
      <c r="B4024" s="3" t="str">
        <f>TRIM([1]Raw_Data!B4022)</f>
        <v>Pre-Workout</v>
      </c>
      <c r="C4024" s="3" t="str">
        <f>TRIM([1]Raw_Data!C4022)</f>
        <v>Performance</v>
      </c>
      <c r="D4024" s="3">
        <f>[1]Raw_Data!D4022</f>
        <v>157</v>
      </c>
      <c r="E4024" s="4">
        <f>[1]Raw_Data!E4022</f>
        <v>46.95</v>
      </c>
      <c r="F4024" s="5">
        <f>[1]Raw_Data!F4022</f>
        <v>7371.15</v>
      </c>
      <c r="G4024" s="4">
        <f>[1]Raw_Data!G4022</f>
        <v>0.12</v>
      </c>
      <c r="H4024" s="3">
        <f>[1]Raw_Data!H4022</f>
        <v>2</v>
      </c>
      <c r="I4024" s="3" t="str">
        <f>TRIM([1]Raw_Data!I4022)</f>
        <v>USA</v>
      </c>
      <c r="J4024" s="3" t="str">
        <f>TRIM([1]Raw_Data!J4022)</f>
        <v>Walmart</v>
      </c>
      <c r="K4024" s="3">
        <f t="shared" si="248"/>
        <v>2024</v>
      </c>
      <c r="L4024" s="6">
        <f t="shared" si="249"/>
        <v>45566</v>
      </c>
      <c r="M4024" s="3" t="str">
        <f t="shared" si="250"/>
        <v>11% to 15%</v>
      </c>
      <c r="N4024" s="3" t="str">
        <f t="shared" si="251"/>
        <v>OK</v>
      </c>
    </row>
    <row r="4025" spans="1:14" x14ac:dyDescent="0.3">
      <c r="A4025" s="2">
        <f>DATE(VALUE(RIGHT(TRIM([1]Raw_Data!A4023),4)),VALUE(MID(TRIM([1]Raw_Data!A4023),4,2)),VALUE(LEFT(TRIM([1]Raw_Data!A4023),2)))</f>
        <v>45593</v>
      </c>
      <c r="B4025" s="3" t="str">
        <f>TRIM([1]Raw_Data!B4023)</f>
        <v>BCAA</v>
      </c>
      <c r="C4025" s="3" t="str">
        <f>TRIM([1]Raw_Data!C4023)</f>
        <v>Amino Acid</v>
      </c>
      <c r="D4025" s="3">
        <f>[1]Raw_Data!D4023</f>
        <v>147</v>
      </c>
      <c r="E4025" s="4">
        <f>[1]Raw_Data!E4023</f>
        <v>18.899999999999999</v>
      </c>
      <c r="F4025" s="5">
        <f>[1]Raw_Data!F4023</f>
        <v>2778.3</v>
      </c>
      <c r="G4025" s="4">
        <f>[1]Raw_Data!G4023</f>
        <v>0.02</v>
      </c>
      <c r="H4025" s="3">
        <f>[1]Raw_Data!H4023</f>
        <v>2</v>
      </c>
      <c r="I4025" s="3" t="str">
        <f>TRIM([1]Raw_Data!I4023)</f>
        <v>UK</v>
      </c>
      <c r="J4025" s="3" t="str">
        <f>TRIM([1]Raw_Data!J4023)</f>
        <v>Walmart</v>
      </c>
      <c r="K4025" s="3">
        <f t="shared" si="248"/>
        <v>2024</v>
      </c>
      <c r="L4025" s="6">
        <f t="shared" si="249"/>
        <v>45566</v>
      </c>
      <c r="M4025" s="3" t="str">
        <f t="shared" si="250"/>
        <v>0% to 5%</v>
      </c>
      <c r="N4025" s="3" t="str">
        <f t="shared" si="251"/>
        <v>OK</v>
      </c>
    </row>
    <row r="4026" spans="1:14" x14ac:dyDescent="0.3">
      <c r="A4026" s="2">
        <f>DATE(VALUE(RIGHT(TRIM([1]Raw_Data!A4024),4)),VALUE(MID(TRIM([1]Raw_Data!A4024),4,2)),VALUE(LEFT(TRIM([1]Raw_Data!A4024),2)))</f>
        <v>45593</v>
      </c>
      <c r="B4026" s="3" t="str">
        <f>TRIM([1]Raw_Data!B4024)</f>
        <v>Creatine</v>
      </c>
      <c r="C4026" s="3" t="str">
        <f>TRIM([1]Raw_Data!C4024)</f>
        <v>Performance</v>
      </c>
      <c r="D4026" s="3">
        <f>[1]Raw_Data!D4024</f>
        <v>164</v>
      </c>
      <c r="E4026" s="4">
        <f>[1]Raw_Data!E4024</f>
        <v>13.31</v>
      </c>
      <c r="F4026" s="5">
        <f>[1]Raw_Data!F4024</f>
        <v>2182.84</v>
      </c>
      <c r="G4026" s="4">
        <f>[1]Raw_Data!G4024</f>
        <v>0.11</v>
      </c>
      <c r="H4026" s="3">
        <f>[1]Raw_Data!H4024</f>
        <v>2</v>
      </c>
      <c r="I4026" s="3" t="str">
        <f>TRIM([1]Raw_Data!I4024)</f>
        <v>Canada</v>
      </c>
      <c r="J4026" s="3" t="str">
        <f>TRIM([1]Raw_Data!J4024)</f>
        <v>Amazon</v>
      </c>
      <c r="K4026" s="3">
        <f t="shared" si="248"/>
        <v>2024</v>
      </c>
      <c r="L4026" s="6">
        <f t="shared" si="249"/>
        <v>45566</v>
      </c>
      <c r="M4026" s="3" t="str">
        <f t="shared" si="250"/>
        <v>11% to 15%</v>
      </c>
      <c r="N4026" s="3" t="str">
        <f t="shared" si="251"/>
        <v>OK</v>
      </c>
    </row>
    <row r="4027" spans="1:14" x14ac:dyDescent="0.3">
      <c r="A4027" s="2">
        <f>DATE(VALUE(RIGHT(TRIM([1]Raw_Data!A4025),4)),VALUE(MID(TRIM([1]Raw_Data!A4025),4,2)),VALUE(LEFT(TRIM([1]Raw_Data!A4025),2)))</f>
        <v>45593</v>
      </c>
      <c r="B4027" s="3" t="str">
        <f>TRIM([1]Raw_Data!B4025)</f>
        <v>Zinc</v>
      </c>
      <c r="C4027" s="3" t="str">
        <f>TRIM([1]Raw_Data!C4025)</f>
        <v>Mineral</v>
      </c>
      <c r="D4027" s="3">
        <f>[1]Raw_Data!D4025</f>
        <v>136</v>
      </c>
      <c r="E4027" s="4">
        <f>[1]Raw_Data!E4025</f>
        <v>21.6</v>
      </c>
      <c r="F4027" s="5">
        <f>[1]Raw_Data!F4025</f>
        <v>2937.6</v>
      </c>
      <c r="G4027" s="4">
        <f>[1]Raw_Data!G4025</f>
        <v>0.1</v>
      </c>
      <c r="H4027" s="3">
        <f>[1]Raw_Data!H4025</f>
        <v>0</v>
      </c>
      <c r="I4027" s="3" t="str">
        <f>TRIM([1]Raw_Data!I4025)</f>
        <v>UK</v>
      </c>
      <c r="J4027" s="3" t="str">
        <f>TRIM([1]Raw_Data!J4025)</f>
        <v>Amazon</v>
      </c>
      <c r="K4027" s="3">
        <f t="shared" si="248"/>
        <v>2024</v>
      </c>
      <c r="L4027" s="6">
        <f t="shared" si="249"/>
        <v>45566</v>
      </c>
      <c r="M4027" s="3" t="str">
        <f t="shared" si="250"/>
        <v>6% to 10%</v>
      </c>
      <c r="N4027" s="3" t="str">
        <f t="shared" si="251"/>
        <v>OK</v>
      </c>
    </row>
    <row r="4028" spans="1:14" x14ac:dyDescent="0.3">
      <c r="A4028" s="2">
        <f>DATE(VALUE(RIGHT(TRIM([1]Raw_Data!A4026),4)),VALUE(MID(TRIM([1]Raw_Data!A4026),4,2)),VALUE(LEFT(TRIM([1]Raw_Data!A4026),2)))</f>
        <v>45593</v>
      </c>
      <c r="B4028" s="3" t="str">
        <f>TRIM([1]Raw_Data!B4026)</f>
        <v>Collagen Peptides</v>
      </c>
      <c r="C4028" s="3" t="str">
        <f>TRIM([1]Raw_Data!C4026)</f>
        <v>Protein</v>
      </c>
      <c r="D4028" s="3">
        <f>[1]Raw_Data!D4026</f>
        <v>145</v>
      </c>
      <c r="E4028" s="4">
        <f>[1]Raw_Data!E4026</f>
        <v>40.549999999999997</v>
      </c>
      <c r="F4028" s="5">
        <f>[1]Raw_Data!F4026</f>
        <v>5879.75</v>
      </c>
      <c r="G4028" s="4">
        <f>[1]Raw_Data!G4026</f>
        <v>0.02</v>
      </c>
      <c r="H4028" s="3">
        <f>[1]Raw_Data!H4026</f>
        <v>2</v>
      </c>
      <c r="I4028" s="3" t="str">
        <f>TRIM([1]Raw_Data!I4026)</f>
        <v>USA</v>
      </c>
      <c r="J4028" s="3" t="str">
        <f>TRIM([1]Raw_Data!J4026)</f>
        <v>iHerb</v>
      </c>
      <c r="K4028" s="3">
        <f t="shared" si="248"/>
        <v>2024</v>
      </c>
      <c r="L4028" s="6">
        <f t="shared" si="249"/>
        <v>45566</v>
      </c>
      <c r="M4028" s="3" t="str">
        <f t="shared" si="250"/>
        <v>0% to 5%</v>
      </c>
      <c r="N4028" s="3" t="str">
        <f t="shared" si="251"/>
        <v>OK</v>
      </c>
    </row>
    <row r="4029" spans="1:14" x14ac:dyDescent="0.3">
      <c r="A4029" s="2">
        <f>DATE(VALUE(RIGHT(TRIM([1]Raw_Data!A4027),4)),VALUE(MID(TRIM([1]Raw_Data!A4027),4,2)),VALUE(LEFT(TRIM([1]Raw_Data!A4027),2)))</f>
        <v>45593</v>
      </c>
      <c r="B4029" s="3" t="str">
        <f>TRIM([1]Raw_Data!B4027)</f>
        <v>Magnesium</v>
      </c>
      <c r="C4029" s="3" t="str">
        <f>TRIM([1]Raw_Data!C4027)</f>
        <v>Mineral</v>
      </c>
      <c r="D4029" s="3">
        <f>[1]Raw_Data!D4027</f>
        <v>149</v>
      </c>
      <c r="E4029" s="4">
        <f>[1]Raw_Data!E4027</f>
        <v>24.47</v>
      </c>
      <c r="F4029" s="5">
        <f>[1]Raw_Data!F4027</f>
        <v>3646.03</v>
      </c>
      <c r="G4029" s="4">
        <f>[1]Raw_Data!G4027</f>
        <v>0.18</v>
      </c>
      <c r="H4029" s="3">
        <f>[1]Raw_Data!H4027</f>
        <v>2</v>
      </c>
      <c r="I4029" s="3" t="str">
        <f>TRIM([1]Raw_Data!I4027)</f>
        <v>Canada</v>
      </c>
      <c r="J4029" s="3" t="str">
        <f>TRIM([1]Raw_Data!J4027)</f>
        <v>Amazon</v>
      </c>
      <c r="K4029" s="3">
        <f t="shared" si="248"/>
        <v>2024</v>
      </c>
      <c r="L4029" s="6">
        <f t="shared" si="249"/>
        <v>45566</v>
      </c>
      <c r="M4029" s="3" t="str">
        <f t="shared" si="250"/>
        <v>16% to 20%</v>
      </c>
      <c r="N4029" s="3" t="str">
        <f t="shared" si="251"/>
        <v>OK</v>
      </c>
    </row>
    <row r="4030" spans="1:14" x14ac:dyDescent="0.3">
      <c r="A4030" s="2">
        <f>DATE(VALUE(RIGHT(TRIM([1]Raw_Data!A4028),4)),VALUE(MID(TRIM([1]Raw_Data!A4028),4,2)),VALUE(LEFT(TRIM([1]Raw_Data!A4028),2)))</f>
        <v>45593</v>
      </c>
      <c r="B4030" s="3" t="str">
        <f>TRIM([1]Raw_Data!B4028)</f>
        <v>Ashwagandha</v>
      </c>
      <c r="C4030" s="3" t="str">
        <f>TRIM([1]Raw_Data!C4028)</f>
        <v>Herbal</v>
      </c>
      <c r="D4030" s="3">
        <f>[1]Raw_Data!D4028</f>
        <v>150</v>
      </c>
      <c r="E4030" s="4">
        <f>[1]Raw_Data!E4028</f>
        <v>17.29</v>
      </c>
      <c r="F4030" s="5">
        <f>[1]Raw_Data!F4028</f>
        <v>2593.5</v>
      </c>
      <c r="G4030" s="4">
        <f>[1]Raw_Data!G4028</f>
        <v>0.06</v>
      </c>
      <c r="H4030" s="3">
        <f>[1]Raw_Data!H4028</f>
        <v>2</v>
      </c>
      <c r="I4030" s="3" t="str">
        <f>TRIM([1]Raw_Data!I4028)</f>
        <v>USA</v>
      </c>
      <c r="J4030" s="3" t="str">
        <f>TRIM([1]Raw_Data!J4028)</f>
        <v>iHerb</v>
      </c>
      <c r="K4030" s="3">
        <f t="shared" si="248"/>
        <v>2024</v>
      </c>
      <c r="L4030" s="6">
        <f t="shared" si="249"/>
        <v>45566</v>
      </c>
      <c r="M4030" s="3" t="str">
        <f t="shared" si="250"/>
        <v>6% to 10%</v>
      </c>
      <c r="N4030" s="3" t="str">
        <f t="shared" si="251"/>
        <v>OK</v>
      </c>
    </row>
    <row r="4031" spans="1:14" x14ac:dyDescent="0.3">
      <c r="A4031" s="2">
        <f>DATE(VALUE(RIGHT(TRIM([1]Raw_Data!A4029),4)),VALUE(MID(TRIM([1]Raw_Data!A4029),4,2)),VALUE(LEFT(TRIM([1]Raw_Data!A4029),2)))</f>
        <v>45593</v>
      </c>
      <c r="B4031" s="3" t="str">
        <f>TRIM([1]Raw_Data!B4029)</f>
        <v>Melatonin</v>
      </c>
      <c r="C4031" s="3" t="str">
        <f>TRIM([1]Raw_Data!C4029)</f>
        <v>Sleep Aid</v>
      </c>
      <c r="D4031" s="3">
        <f>[1]Raw_Data!D4029</f>
        <v>143</v>
      </c>
      <c r="E4031" s="4">
        <f>[1]Raw_Data!E4029</f>
        <v>28.7</v>
      </c>
      <c r="F4031" s="5">
        <f>[1]Raw_Data!F4029</f>
        <v>4104.1000000000004</v>
      </c>
      <c r="G4031" s="4">
        <f>[1]Raw_Data!G4029</f>
        <v>0.16</v>
      </c>
      <c r="H4031" s="3">
        <f>[1]Raw_Data!H4029</f>
        <v>1</v>
      </c>
      <c r="I4031" s="3" t="str">
        <f>TRIM([1]Raw_Data!I4029)</f>
        <v>USA</v>
      </c>
      <c r="J4031" s="3" t="str">
        <f>TRIM([1]Raw_Data!J4029)</f>
        <v>Amazon</v>
      </c>
      <c r="K4031" s="3">
        <f t="shared" si="248"/>
        <v>2024</v>
      </c>
      <c r="L4031" s="6">
        <f t="shared" si="249"/>
        <v>45566</v>
      </c>
      <c r="M4031" s="3" t="str">
        <f t="shared" si="250"/>
        <v>16% to 20%</v>
      </c>
      <c r="N4031" s="3" t="str">
        <f t="shared" si="251"/>
        <v>OK</v>
      </c>
    </row>
    <row r="4032" spans="1:14" x14ac:dyDescent="0.3">
      <c r="A4032" s="2">
        <f>DATE(VALUE(RIGHT(TRIM([1]Raw_Data!A4030),4)),VALUE(MID(TRIM([1]Raw_Data!A4030),4,2)),VALUE(LEFT(TRIM([1]Raw_Data!A4030),2)))</f>
        <v>45593</v>
      </c>
      <c r="B4032" s="3" t="str">
        <f>TRIM([1]Raw_Data!B4030)</f>
        <v>Biotin</v>
      </c>
      <c r="C4032" s="3" t="str">
        <f>TRIM([1]Raw_Data!C4030)</f>
        <v>Vitamin</v>
      </c>
      <c r="D4032" s="3">
        <f>[1]Raw_Data!D4030</f>
        <v>147</v>
      </c>
      <c r="E4032" s="4">
        <f>[1]Raw_Data!E4030</f>
        <v>14.71</v>
      </c>
      <c r="F4032" s="5">
        <f>[1]Raw_Data!F4030</f>
        <v>2162.37</v>
      </c>
      <c r="G4032" s="4">
        <f>[1]Raw_Data!G4030</f>
        <v>0.06</v>
      </c>
      <c r="H4032" s="3">
        <f>[1]Raw_Data!H4030</f>
        <v>0</v>
      </c>
      <c r="I4032" s="3" t="str">
        <f>TRIM([1]Raw_Data!I4030)</f>
        <v>USA</v>
      </c>
      <c r="J4032" s="3" t="str">
        <f>TRIM([1]Raw_Data!J4030)</f>
        <v>iHerb</v>
      </c>
      <c r="K4032" s="3">
        <f t="shared" si="248"/>
        <v>2024</v>
      </c>
      <c r="L4032" s="6">
        <f t="shared" si="249"/>
        <v>45566</v>
      </c>
      <c r="M4032" s="3" t="str">
        <f t="shared" si="250"/>
        <v>6% to 10%</v>
      </c>
      <c r="N4032" s="3" t="str">
        <f t="shared" si="251"/>
        <v>OK</v>
      </c>
    </row>
    <row r="4033" spans="1:14" x14ac:dyDescent="0.3">
      <c r="A4033" s="2">
        <f>DATE(VALUE(RIGHT(TRIM([1]Raw_Data!A4031),4)),VALUE(MID(TRIM([1]Raw_Data!A4031),4,2)),VALUE(LEFT(TRIM([1]Raw_Data!A4031),2)))</f>
        <v>45593</v>
      </c>
      <c r="B4033" s="3" t="str">
        <f>TRIM([1]Raw_Data!B4031)</f>
        <v>Green Tea Extract</v>
      </c>
      <c r="C4033" s="3" t="str">
        <f>TRIM([1]Raw_Data!C4031)</f>
        <v>Fat Burner</v>
      </c>
      <c r="D4033" s="3">
        <f>[1]Raw_Data!D4031</f>
        <v>174</v>
      </c>
      <c r="E4033" s="4">
        <f>[1]Raw_Data!E4031</f>
        <v>12.1</v>
      </c>
      <c r="F4033" s="5">
        <f>[1]Raw_Data!F4031</f>
        <v>2105.4</v>
      </c>
      <c r="G4033" s="4">
        <f>[1]Raw_Data!G4031</f>
        <v>0.03</v>
      </c>
      <c r="H4033" s="3">
        <f>[1]Raw_Data!H4031</f>
        <v>0</v>
      </c>
      <c r="I4033" s="3" t="str">
        <f>TRIM([1]Raw_Data!I4031)</f>
        <v>USA</v>
      </c>
      <c r="J4033" s="3" t="str">
        <f>TRIM([1]Raw_Data!J4031)</f>
        <v>Walmart</v>
      </c>
      <c r="K4033" s="3">
        <f t="shared" si="248"/>
        <v>2024</v>
      </c>
      <c r="L4033" s="6">
        <f t="shared" si="249"/>
        <v>45566</v>
      </c>
      <c r="M4033" s="3" t="str">
        <f t="shared" si="250"/>
        <v>0% to 5%</v>
      </c>
      <c r="N4033" s="3" t="str">
        <f t="shared" si="251"/>
        <v>OK</v>
      </c>
    </row>
    <row r="4034" spans="1:14" x14ac:dyDescent="0.3">
      <c r="A4034" s="2">
        <f>DATE(VALUE(RIGHT(TRIM([1]Raw_Data!A4032),4)),VALUE(MID(TRIM([1]Raw_Data!A4032),4,2)),VALUE(LEFT(TRIM([1]Raw_Data!A4032),2)))</f>
        <v>45593</v>
      </c>
      <c r="B4034" s="3" t="str">
        <f>TRIM([1]Raw_Data!B4032)</f>
        <v>Iron Supplement</v>
      </c>
      <c r="C4034" s="3" t="str">
        <f>TRIM([1]Raw_Data!C4032)</f>
        <v>Mineral</v>
      </c>
      <c r="D4034" s="3">
        <f>[1]Raw_Data!D4032</f>
        <v>153</v>
      </c>
      <c r="E4034" s="4">
        <f>[1]Raw_Data!E4032</f>
        <v>34.93</v>
      </c>
      <c r="F4034" s="5">
        <f>[1]Raw_Data!F4032</f>
        <v>5344.29</v>
      </c>
      <c r="G4034" s="4">
        <f>[1]Raw_Data!G4032</f>
        <v>0.09</v>
      </c>
      <c r="H4034" s="3">
        <f>[1]Raw_Data!H4032</f>
        <v>3</v>
      </c>
      <c r="I4034" s="3" t="str">
        <f>TRIM([1]Raw_Data!I4032)</f>
        <v>Canada</v>
      </c>
      <c r="J4034" s="3" t="str">
        <f>TRIM([1]Raw_Data!J4032)</f>
        <v>Amazon</v>
      </c>
      <c r="K4034" s="3">
        <f t="shared" si="248"/>
        <v>2024</v>
      </c>
      <c r="L4034" s="6">
        <f t="shared" si="249"/>
        <v>45566</v>
      </c>
      <c r="M4034" s="3" t="str">
        <f t="shared" si="250"/>
        <v>6% to 10%</v>
      </c>
      <c r="N4034" s="3" t="str">
        <f t="shared" si="251"/>
        <v>OK</v>
      </c>
    </row>
    <row r="4035" spans="1:14" x14ac:dyDescent="0.3">
      <c r="A4035" s="2">
        <f>DATE(VALUE(RIGHT(TRIM([1]Raw_Data!A4033),4)),VALUE(MID(TRIM([1]Raw_Data!A4033),4,2)),VALUE(LEFT(TRIM([1]Raw_Data!A4033),2)))</f>
        <v>45593</v>
      </c>
      <c r="B4035" s="3" t="str">
        <f>TRIM([1]Raw_Data!B4033)</f>
        <v>Electrolyte Powder</v>
      </c>
      <c r="C4035" s="3" t="str">
        <f>TRIM([1]Raw_Data!C4033)</f>
        <v>Hydration</v>
      </c>
      <c r="D4035" s="3">
        <f>[1]Raw_Data!D4033</f>
        <v>143</v>
      </c>
      <c r="E4035" s="4">
        <f>[1]Raw_Data!E4033</f>
        <v>46.06</v>
      </c>
      <c r="F4035" s="5">
        <f>[1]Raw_Data!F4033</f>
        <v>6586.58</v>
      </c>
      <c r="G4035" s="4">
        <f>[1]Raw_Data!G4033</f>
        <v>0.11</v>
      </c>
      <c r="H4035" s="3">
        <f>[1]Raw_Data!H4033</f>
        <v>2</v>
      </c>
      <c r="I4035" s="3" t="str">
        <f>TRIM([1]Raw_Data!I4033)</f>
        <v>Canada</v>
      </c>
      <c r="J4035" s="3" t="str">
        <f>TRIM([1]Raw_Data!J4033)</f>
        <v>Amazon</v>
      </c>
      <c r="K4035" s="3">
        <f t="shared" si="248"/>
        <v>2024</v>
      </c>
      <c r="L4035" s="6">
        <f t="shared" si="249"/>
        <v>45566</v>
      </c>
      <c r="M4035" s="3" t="str">
        <f t="shared" si="250"/>
        <v>11% to 15%</v>
      </c>
      <c r="N4035" s="3" t="str">
        <f t="shared" si="251"/>
        <v>OK</v>
      </c>
    </row>
    <row r="4036" spans="1:14" x14ac:dyDescent="0.3">
      <c r="A4036" s="2">
        <f>DATE(VALUE(RIGHT(TRIM([1]Raw_Data!A4034),4)),VALUE(MID(TRIM([1]Raw_Data!A4034),4,2)),VALUE(LEFT(TRIM([1]Raw_Data!A4034),2)))</f>
        <v>45600</v>
      </c>
      <c r="B4036" s="3" t="str">
        <f>TRIM([1]Raw_Data!B4034)</f>
        <v>Whey Protein</v>
      </c>
      <c r="C4036" s="3" t="str">
        <f>TRIM([1]Raw_Data!C4034)</f>
        <v>Protein</v>
      </c>
      <c r="D4036" s="3">
        <f>[1]Raw_Data!D4034</f>
        <v>156</v>
      </c>
      <c r="E4036" s="4">
        <f>[1]Raw_Data!E4034</f>
        <v>35.200000000000003</v>
      </c>
      <c r="F4036" s="5">
        <f>[1]Raw_Data!F4034</f>
        <v>5491.2</v>
      </c>
      <c r="G4036" s="4">
        <f>[1]Raw_Data!G4034</f>
        <v>0.24</v>
      </c>
      <c r="H4036" s="3">
        <f>[1]Raw_Data!H4034</f>
        <v>2</v>
      </c>
      <c r="I4036" s="3" t="str">
        <f>TRIM([1]Raw_Data!I4034)</f>
        <v>UK</v>
      </c>
      <c r="J4036" s="3" t="str">
        <f>TRIM([1]Raw_Data!J4034)</f>
        <v>Amazon</v>
      </c>
      <c r="K4036" s="3">
        <f t="shared" ref="K4036:K4099" si="252">YEAR(A4036)</f>
        <v>2024</v>
      </c>
      <c r="L4036" s="6">
        <f t="shared" ref="L4036:L4099" si="253">DATE(YEAR(A4036),MONTH(A4036),1)</f>
        <v>45597</v>
      </c>
      <c r="M4036" s="3" t="str">
        <f t="shared" ref="M4036:M4099" si="254">IF(ROUND(G4036*100,0)&lt;=5,"0% to 5%",IF(ROUND(G4036*100,0)&lt;=10,"6% to 10%",IF(ROUND(G4036*100,0)&lt;=15,"11% to 15%",IF(ROUND(G4036*100,0)&lt;=20,"16% to 20%","21% to 25%"))))</f>
        <v>21% to 25%</v>
      </c>
      <c r="N4036" s="3" t="str">
        <f t="shared" ref="N4036:N4099" si="255">IF(ROUND(D4036*E4036,2)=ROUND(F4036,2),"OK","Check")</f>
        <v>OK</v>
      </c>
    </row>
    <row r="4037" spans="1:14" x14ac:dyDescent="0.3">
      <c r="A4037" s="2">
        <f>DATE(VALUE(RIGHT(TRIM([1]Raw_Data!A4035),4)),VALUE(MID(TRIM([1]Raw_Data!A4035),4,2)),VALUE(LEFT(TRIM([1]Raw_Data!A4035),2)))</f>
        <v>45600</v>
      </c>
      <c r="B4037" s="3" t="str">
        <f>TRIM([1]Raw_Data!B4035)</f>
        <v>Vitamin C</v>
      </c>
      <c r="C4037" s="3" t="str">
        <f>TRIM([1]Raw_Data!C4035)</f>
        <v>Vitamin</v>
      </c>
      <c r="D4037" s="3">
        <f>[1]Raw_Data!D4035</f>
        <v>169</v>
      </c>
      <c r="E4037" s="4">
        <f>[1]Raw_Data!E4035</f>
        <v>34.159999999999997</v>
      </c>
      <c r="F4037" s="5">
        <f>[1]Raw_Data!F4035</f>
        <v>5773.04</v>
      </c>
      <c r="G4037" s="4">
        <f>[1]Raw_Data!G4035</f>
        <v>0.23</v>
      </c>
      <c r="H4037" s="3">
        <f>[1]Raw_Data!H4035</f>
        <v>1</v>
      </c>
      <c r="I4037" s="3" t="str">
        <f>TRIM([1]Raw_Data!I4035)</f>
        <v>Canada</v>
      </c>
      <c r="J4037" s="3" t="str">
        <f>TRIM([1]Raw_Data!J4035)</f>
        <v>Walmart</v>
      </c>
      <c r="K4037" s="3">
        <f t="shared" si="252"/>
        <v>2024</v>
      </c>
      <c r="L4037" s="6">
        <f t="shared" si="253"/>
        <v>45597</v>
      </c>
      <c r="M4037" s="3" t="str">
        <f t="shared" si="254"/>
        <v>21% to 25%</v>
      </c>
      <c r="N4037" s="3" t="str">
        <f t="shared" si="255"/>
        <v>OK</v>
      </c>
    </row>
    <row r="4038" spans="1:14" x14ac:dyDescent="0.3">
      <c r="A4038" s="2">
        <f>DATE(VALUE(RIGHT(TRIM([1]Raw_Data!A4036),4)),VALUE(MID(TRIM([1]Raw_Data!A4036),4,2)),VALUE(LEFT(TRIM([1]Raw_Data!A4036),2)))</f>
        <v>45600</v>
      </c>
      <c r="B4038" s="3" t="str">
        <f>TRIM([1]Raw_Data!B4036)</f>
        <v>Fish Oil</v>
      </c>
      <c r="C4038" s="3" t="str">
        <f>TRIM([1]Raw_Data!C4036)</f>
        <v>Omega</v>
      </c>
      <c r="D4038" s="3">
        <f>[1]Raw_Data!D4036</f>
        <v>186</v>
      </c>
      <c r="E4038" s="4">
        <f>[1]Raw_Data!E4036</f>
        <v>55.13</v>
      </c>
      <c r="F4038" s="5">
        <f>[1]Raw_Data!F4036</f>
        <v>10254.18</v>
      </c>
      <c r="G4038" s="4">
        <f>[1]Raw_Data!G4036</f>
        <v>0.11</v>
      </c>
      <c r="H4038" s="3">
        <f>[1]Raw_Data!H4036</f>
        <v>0</v>
      </c>
      <c r="I4038" s="3" t="str">
        <f>TRIM([1]Raw_Data!I4036)</f>
        <v>Canada</v>
      </c>
      <c r="J4038" s="3" t="str">
        <f>TRIM([1]Raw_Data!J4036)</f>
        <v>Amazon</v>
      </c>
      <c r="K4038" s="3">
        <f t="shared" si="252"/>
        <v>2024</v>
      </c>
      <c r="L4038" s="6">
        <f t="shared" si="253"/>
        <v>45597</v>
      </c>
      <c r="M4038" s="3" t="str">
        <f t="shared" si="254"/>
        <v>11% to 15%</v>
      </c>
      <c r="N4038" s="3" t="str">
        <f t="shared" si="255"/>
        <v>OK</v>
      </c>
    </row>
    <row r="4039" spans="1:14" x14ac:dyDescent="0.3">
      <c r="A4039" s="2">
        <f>DATE(VALUE(RIGHT(TRIM([1]Raw_Data!A4037),4)),VALUE(MID(TRIM([1]Raw_Data!A4037),4,2)),VALUE(LEFT(TRIM([1]Raw_Data!A4037),2)))</f>
        <v>45600</v>
      </c>
      <c r="B4039" s="3" t="str">
        <f>TRIM([1]Raw_Data!B4037)</f>
        <v>Multivitamin</v>
      </c>
      <c r="C4039" s="3" t="str">
        <f>TRIM([1]Raw_Data!C4037)</f>
        <v>Vitamin</v>
      </c>
      <c r="D4039" s="3">
        <f>[1]Raw_Data!D4037</f>
        <v>167</v>
      </c>
      <c r="E4039" s="4">
        <f>[1]Raw_Data!E4037</f>
        <v>11.11</v>
      </c>
      <c r="F4039" s="5">
        <f>[1]Raw_Data!F4037</f>
        <v>1855.37</v>
      </c>
      <c r="G4039" s="4">
        <f>[1]Raw_Data!G4037</f>
        <v>0.03</v>
      </c>
      <c r="H4039" s="3">
        <f>[1]Raw_Data!H4037</f>
        <v>2</v>
      </c>
      <c r="I4039" s="3" t="str">
        <f>TRIM([1]Raw_Data!I4037)</f>
        <v>USA</v>
      </c>
      <c r="J4039" s="3" t="str">
        <f>TRIM([1]Raw_Data!J4037)</f>
        <v>iHerb</v>
      </c>
      <c r="K4039" s="3">
        <f t="shared" si="252"/>
        <v>2024</v>
      </c>
      <c r="L4039" s="6">
        <f t="shared" si="253"/>
        <v>45597</v>
      </c>
      <c r="M4039" s="3" t="str">
        <f t="shared" si="254"/>
        <v>0% to 5%</v>
      </c>
      <c r="N4039" s="3" t="str">
        <f t="shared" si="255"/>
        <v>OK</v>
      </c>
    </row>
    <row r="4040" spans="1:14" x14ac:dyDescent="0.3">
      <c r="A4040" s="2">
        <f>DATE(VALUE(RIGHT(TRIM([1]Raw_Data!A4038),4)),VALUE(MID(TRIM([1]Raw_Data!A4038),4,2)),VALUE(LEFT(TRIM([1]Raw_Data!A4038),2)))</f>
        <v>45600</v>
      </c>
      <c r="B4040" s="3" t="str">
        <f>TRIM([1]Raw_Data!B4038)</f>
        <v>Pre-Workout</v>
      </c>
      <c r="C4040" s="3" t="str">
        <f>TRIM([1]Raw_Data!C4038)</f>
        <v>Performance</v>
      </c>
      <c r="D4040" s="3">
        <f>[1]Raw_Data!D4038</f>
        <v>149</v>
      </c>
      <c r="E4040" s="4">
        <f>[1]Raw_Data!E4038</f>
        <v>47.25</v>
      </c>
      <c r="F4040" s="5">
        <f>[1]Raw_Data!F4038</f>
        <v>7040.25</v>
      </c>
      <c r="G4040" s="4">
        <f>[1]Raw_Data!G4038</f>
        <v>0.03</v>
      </c>
      <c r="H4040" s="3">
        <f>[1]Raw_Data!H4038</f>
        <v>1</v>
      </c>
      <c r="I4040" s="3" t="str">
        <f>TRIM([1]Raw_Data!I4038)</f>
        <v>UK</v>
      </c>
      <c r="J4040" s="3" t="str">
        <f>TRIM([1]Raw_Data!J4038)</f>
        <v>iHerb</v>
      </c>
      <c r="K4040" s="3">
        <f t="shared" si="252"/>
        <v>2024</v>
      </c>
      <c r="L4040" s="6">
        <f t="shared" si="253"/>
        <v>45597</v>
      </c>
      <c r="M4040" s="3" t="str">
        <f t="shared" si="254"/>
        <v>0% to 5%</v>
      </c>
      <c r="N4040" s="3" t="str">
        <f t="shared" si="255"/>
        <v>OK</v>
      </c>
    </row>
    <row r="4041" spans="1:14" x14ac:dyDescent="0.3">
      <c r="A4041" s="2">
        <f>DATE(VALUE(RIGHT(TRIM([1]Raw_Data!A4039),4)),VALUE(MID(TRIM([1]Raw_Data!A4039),4,2)),VALUE(LEFT(TRIM([1]Raw_Data!A4039),2)))</f>
        <v>45600</v>
      </c>
      <c r="B4041" s="3" t="str">
        <f>TRIM([1]Raw_Data!B4039)</f>
        <v>BCAA</v>
      </c>
      <c r="C4041" s="3" t="str">
        <f>TRIM([1]Raw_Data!C4039)</f>
        <v>Amino Acid</v>
      </c>
      <c r="D4041" s="3">
        <f>[1]Raw_Data!D4039</f>
        <v>138</v>
      </c>
      <c r="E4041" s="4">
        <f>[1]Raw_Data!E4039</f>
        <v>53.66</v>
      </c>
      <c r="F4041" s="5">
        <f>[1]Raw_Data!F4039</f>
        <v>7405.08</v>
      </c>
      <c r="G4041" s="4">
        <f>[1]Raw_Data!G4039</f>
        <v>0.13</v>
      </c>
      <c r="H4041" s="3">
        <f>[1]Raw_Data!H4039</f>
        <v>0</v>
      </c>
      <c r="I4041" s="3" t="str">
        <f>TRIM([1]Raw_Data!I4039)</f>
        <v>Canada</v>
      </c>
      <c r="J4041" s="3" t="str">
        <f>TRIM([1]Raw_Data!J4039)</f>
        <v>Amazon</v>
      </c>
      <c r="K4041" s="3">
        <f t="shared" si="252"/>
        <v>2024</v>
      </c>
      <c r="L4041" s="6">
        <f t="shared" si="253"/>
        <v>45597</v>
      </c>
      <c r="M4041" s="3" t="str">
        <f t="shared" si="254"/>
        <v>11% to 15%</v>
      </c>
      <c r="N4041" s="3" t="str">
        <f t="shared" si="255"/>
        <v>OK</v>
      </c>
    </row>
    <row r="4042" spans="1:14" x14ac:dyDescent="0.3">
      <c r="A4042" s="2">
        <f>DATE(VALUE(RIGHT(TRIM([1]Raw_Data!A4040),4)),VALUE(MID(TRIM([1]Raw_Data!A4040),4,2)),VALUE(LEFT(TRIM([1]Raw_Data!A4040),2)))</f>
        <v>45600</v>
      </c>
      <c r="B4042" s="3" t="str">
        <f>TRIM([1]Raw_Data!B4040)</f>
        <v>Creatine</v>
      </c>
      <c r="C4042" s="3" t="str">
        <f>TRIM([1]Raw_Data!C4040)</f>
        <v>Performance</v>
      </c>
      <c r="D4042" s="3">
        <f>[1]Raw_Data!D4040</f>
        <v>152</v>
      </c>
      <c r="E4042" s="4">
        <f>[1]Raw_Data!E4040</f>
        <v>16.61</v>
      </c>
      <c r="F4042" s="5">
        <f>[1]Raw_Data!F4040</f>
        <v>2524.7199999999998</v>
      </c>
      <c r="G4042" s="4">
        <f>[1]Raw_Data!G4040</f>
        <v>0.02</v>
      </c>
      <c r="H4042" s="3">
        <f>[1]Raw_Data!H4040</f>
        <v>0</v>
      </c>
      <c r="I4042" s="3" t="str">
        <f>TRIM([1]Raw_Data!I4040)</f>
        <v>Canada</v>
      </c>
      <c r="J4042" s="3" t="str">
        <f>TRIM([1]Raw_Data!J4040)</f>
        <v>Walmart</v>
      </c>
      <c r="K4042" s="3">
        <f t="shared" si="252"/>
        <v>2024</v>
      </c>
      <c r="L4042" s="6">
        <f t="shared" si="253"/>
        <v>45597</v>
      </c>
      <c r="M4042" s="3" t="str">
        <f t="shared" si="254"/>
        <v>0% to 5%</v>
      </c>
      <c r="N4042" s="3" t="str">
        <f t="shared" si="255"/>
        <v>OK</v>
      </c>
    </row>
    <row r="4043" spans="1:14" x14ac:dyDescent="0.3">
      <c r="A4043" s="2">
        <f>DATE(VALUE(RIGHT(TRIM([1]Raw_Data!A4041),4)),VALUE(MID(TRIM([1]Raw_Data!A4041),4,2)),VALUE(LEFT(TRIM([1]Raw_Data!A4041),2)))</f>
        <v>45600</v>
      </c>
      <c r="B4043" s="3" t="str">
        <f>TRIM([1]Raw_Data!B4041)</f>
        <v>Zinc</v>
      </c>
      <c r="C4043" s="3" t="str">
        <f>TRIM([1]Raw_Data!C4041)</f>
        <v>Mineral</v>
      </c>
      <c r="D4043" s="3">
        <f>[1]Raw_Data!D4041</f>
        <v>159</v>
      </c>
      <c r="E4043" s="4">
        <f>[1]Raw_Data!E4041</f>
        <v>37.03</v>
      </c>
      <c r="F4043" s="5">
        <f>[1]Raw_Data!F4041</f>
        <v>5887.77</v>
      </c>
      <c r="G4043" s="4">
        <f>[1]Raw_Data!G4041</f>
        <v>0.06</v>
      </c>
      <c r="H4043" s="3">
        <f>[1]Raw_Data!H4041</f>
        <v>1</v>
      </c>
      <c r="I4043" s="3" t="str">
        <f>TRIM([1]Raw_Data!I4041)</f>
        <v>Canada</v>
      </c>
      <c r="J4043" s="3" t="str">
        <f>TRIM([1]Raw_Data!J4041)</f>
        <v>Walmart</v>
      </c>
      <c r="K4043" s="3">
        <f t="shared" si="252"/>
        <v>2024</v>
      </c>
      <c r="L4043" s="6">
        <f t="shared" si="253"/>
        <v>45597</v>
      </c>
      <c r="M4043" s="3" t="str">
        <f t="shared" si="254"/>
        <v>6% to 10%</v>
      </c>
      <c r="N4043" s="3" t="str">
        <f t="shared" si="255"/>
        <v>OK</v>
      </c>
    </row>
    <row r="4044" spans="1:14" x14ac:dyDescent="0.3">
      <c r="A4044" s="2">
        <f>DATE(VALUE(RIGHT(TRIM([1]Raw_Data!A4042),4)),VALUE(MID(TRIM([1]Raw_Data!A4042),4,2)),VALUE(LEFT(TRIM([1]Raw_Data!A4042),2)))</f>
        <v>45600</v>
      </c>
      <c r="B4044" s="3" t="str">
        <f>TRIM([1]Raw_Data!B4042)</f>
        <v>Collagen Peptides</v>
      </c>
      <c r="C4044" s="3" t="str">
        <f>TRIM([1]Raw_Data!C4042)</f>
        <v>Protein</v>
      </c>
      <c r="D4044" s="3">
        <f>[1]Raw_Data!D4042</f>
        <v>185</v>
      </c>
      <c r="E4044" s="4">
        <f>[1]Raw_Data!E4042</f>
        <v>55.08</v>
      </c>
      <c r="F4044" s="5">
        <f>[1]Raw_Data!F4042</f>
        <v>10189.799999999999</v>
      </c>
      <c r="G4044" s="4">
        <f>[1]Raw_Data!G4042</f>
        <v>0.15</v>
      </c>
      <c r="H4044" s="3">
        <f>[1]Raw_Data!H4042</f>
        <v>0</v>
      </c>
      <c r="I4044" s="3" t="str">
        <f>TRIM([1]Raw_Data!I4042)</f>
        <v>Canada</v>
      </c>
      <c r="J4044" s="3" t="str">
        <f>TRIM([1]Raw_Data!J4042)</f>
        <v>Amazon</v>
      </c>
      <c r="K4044" s="3">
        <f t="shared" si="252"/>
        <v>2024</v>
      </c>
      <c r="L4044" s="6">
        <f t="shared" si="253"/>
        <v>45597</v>
      </c>
      <c r="M4044" s="3" t="str">
        <f t="shared" si="254"/>
        <v>11% to 15%</v>
      </c>
      <c r="N4044" s="3" t="str">
        <f t="shared" si="255"/>
        <v>OK</v>
      </c>
    </row>
    <row r="4045" spans="1:14" x14ac:dyDescent="0.3">
      <c r="A4045" s="2">
        <f>DATE(VALUE(RIGHT(TRIM([1]Raw_Data!A4043),4)),VALUE(MID(TRIM([1]Raw_Data!A4043),4,2)),VALUE(LEFT(TRIM([1]Raw_Data!A4043),2)))</f>
        <v>45600</v>
      </c>
      <c r="B4045" s="3" t="str">
        <f>TRIM([1]Raw_Data!B4043)</f>
        <v>Magnesium</v>
      </c>
      <c r="C4045" s="3" t="str">
        <f>TRIM([1]Raw_Data!C4043)</f>
        <v>Mineral</v>
      </c>
      <c r="D4045" s="3">
        <f>[1]Raw_Data!D4043</f>
        <v>149</v>
      </c>
      <c r="E4045" s="4">
        <f>[1]Raw_Data!E4043</f>
        <v>30.93</v>
      </c>
      <c r="F4045" s="5">
        <f>[1]Raw_Data!F4043</f>
        <v>4608.57</v>
      </c>
      <c r="G4045" s="4">
        <f>[1]Raw_Data!G4043</f>
        <v>0.22</v>
      </c>
      <c r="H4045" s="3">
        <f>[1]Raw_Data!H4043</f>
        <v>1</v>
      </c>
      <c r="I4045" s="3" t="str">
        <f>TRIM([1]Raw_Data!I4043)</f>
        <v>Canada</v>
      </c>
      <c r="J4045" s="3" t="str">
        <f>TRIM([1]Raw_Data!J4043)</f>
        <v>Walmart</v>
      </c>
      <c r="K4045" s="3">
        <f t="shared" si="252"/>
        <v>2024</v>
      </c>
      <c r="L4045" s="6">
        <f t="shared" si="253"/>
        <v>45597</v>
      </c>
      <c r="M4045" s="3" t="str">
        <f t="shared" si="254"/>
        <v>21% to 25%</v>
      </c>
      <c r="N4045" s="3" t="str">
        <f t="shared" si="255"/>
        <v>OK</v>
      </c>
    </row>
    <row r="4046" spans="1:14" x14ac:dyDescent="0.3">
      <c r="A4046" s="2">
        <f>DATE(VALUE(RIGHT(TRIM([1]Raw_Data!A4044),4)),VALUE(MID(TRIM([1]Raw_Data!A4044),4,2)),VALUE(LEFT(TRIM([1]Raw_Data!A4044),2)))</f>
        <v>45600</v>
      </c>
      <c r="B4046" s="3" t="str">
        <f>TRIM([1]Raw_Data!B4044)</f>
        <v>Ashwagandha</v>
      </c>
      <c r="C4046" s="3" t="str">
        <f>TRIM([1]Raw_Data!C4044)</f>
        <v>Herbal</v>
      </c>
      <c r="D4046" s="3">
        <f>[1]Raw_Data!D4044</f>
        <v>152</v>
      </c>
      <c r="E4046" s="4">
        <f>[1]Raw_Data!E4044</f>
        <v>56.03</v>
      </c>
      <c r="F4046" s="5">
        <f>[1]Raw_Data!F4044</f>
        <v>8516.56</v>
      </c>
      <c r="G4046" s="4">
        <f>[1]Raw_Data!G4044</f>
        <v>0.12</v>
      </c>
      <c r="H4046" s="3">
        <f>[1]Raw_Data!H4044</f>
        <v>2</v>
      </c>
      <c r="I4046" s="3" t="str">
        <f>TRIM([1]Raw_Data!I4044)</f>
        <v>USA</v>
      </c>
      <c r="J4046" s="3" t="str">
        <f>TRIM([1]Raw_Data!J4044)</f>
        <v>iHerb</v>
      </c>
      <c r="K4046" s="3">
        <f t="shared" si="252"/>
        <v>2024</v>
      </c>
      <c r="L4046" s="6">
        <f t="shared" si="253"/>
        <v>45597</v>
      </c>
      <c r="M4046" s="3" t="str">
        <f t="shared" si="254"/>
        <v>11% to 15%</v>
      </c>
      <c r="N4046" s="3" t="str">
        <f t="shared" si="255"/>
        <v>OK</v>
      </c>
    </row>
    <row r="4047" spans="1:14" x14ac:dyDescent="0.3">
      <c r="A4047" s="2">
        <f>DATE(VALUE(RIGHT(TRIM([1]Raw_Data!A4045),4)),VALUE(MID(TRIM([1]Raw_Data!A4045),4,2)),VALUE(LEFT(TRIM([1]Raw_Data!A4045),2)))</f>
        <v>45600</v>
      </c>
      <c r="B4047" s="3" t="str">
        <f>TRIM([1]Raw_Data!B4045)</f>
        <v>Melatonin</v>
      </c>
      <c r="C4047" s="3" t="str">
        <f>TRIM([1]Raw_Data!C4045)</f>
        <v>Sleep Aid</v>
      </c>
      <c r="D4047" s="3">
        <f>[1]Raw_Data!D4045</f>
        <v>142</v>
      </c>
      <c r="E4047" s="4">
        <f>[1]Raw_Data!E4045</f>
        <v>23.98</v>
      </c>
      <c r="F4047" s="5">
        <f>[1]Raw_Data!F4045</f>
        <v>3405.16</v>
      </c>
      <c r="G4047" s="4">
        <f>[1]Raw_Data!G4045</f>
        <v>0.08</v>
      </c>
      <c r="H4047" s="3">
        <f>[1]Raw_Data!H4045</f>
        <v>4</v>
      </c>
      <c r="I4047" s="3" t="str">
        <f>TRIM([1]Raw_Data!I4045)</f>
        <v>USA</v>
      </c>
      <c r="J4047" s="3" t="str">
        <f>TRIM([1]Raw_Data!J4045)</f>
        <v>Amazon</v>
      </c>
      <c r="K4047" s="3">
        <f t="shared" si="252"/>
        <v>2024</v>
      </c>
      <c r="L4047" s="6">
        <f t="shared" si="253"/>
        <v>45597</v>
      </c>
      <c r="M4047" s="3" t="str">
        <f t="shared" si="254"/>
        <v>6% to 10%</v>
      </c>
      <c r="N4047" s="3" t="str">
        <f t="shared" si="255"/>
        <v>OK</v>
      </c>
    </row>
    <row r="4048" spans="1:14" x14ac:dyDescent="0.3">
      <c r="A4048" s="2">
        <f>DATE(VALUE(RIGHT(TRIM([1]Raw_Data!A4046),4)),VALUE(MID(TRIM([1]Raw_Data!A4046),4,2)),VALUE(LEFT(TRIM([1]Raw_Data!A4046),2)))</f>
        <v>45600</v>
      </c>
      <c r="B4048" s="3" t="str">
        <f>TRIM([1]Raw_Data!B4046)</f>
        <v>Biotin</v>
      </c>
      <c r="C4048" s="3" t="str">
        <f>TRIM([1]Raw_Data!C4046)</f>
        <v>Vitamin</v>
      </c>
      <c r="D4048" s="3">
        <f>[1]Raw_Data!D4046</f>
        <v>156</v>
      </c>
      <c r="E4048" s="4">
        <f>[1]Raw_Data!E4046</f>
        <v>59.4</v>
      </c>
      <c r="F4048" s="5">
        <f>[1]Raw_Data!F4046</f>
        <v>9266.4</v>
      </c>
      <c r="G4048" s="4">
        <f>[1]Raw_Data!G4046</f>
        <v>0.04</v>
      </c>
      <c r="H4048" s="3">
        <f>[1]Raw_Data!H4046</f>
        <v>1</v>
      </c>
      <c r="I4048" s="3" t="str">
        <f>TRIM([1]Raw_Data!I4046)</f>
        <v>Canada</v>
      </c>
      <c r="J4048" s="3" t="str">
        <f>TRIM([1]Raw_Data!J4046)</f>
        <v>iHerb</v>
      </c>
      <c r="K4048" s="3">
        <f t="shared" si="252"/>
        <v>2024</v>
      </c>
      <c r="L4048" s="6">
        <f t="shared" si="253"/>
        <v>45597</v>
      </c>
      <c r="M4048" s="3" t="str">
        <f t="shared" si="254"/>
        <v>0% to 5%</v>
      </c>
      <c r="N4048" s="3" t="str">
        <f t="shared" si="255"/>
        <v>OK</v>
      </c>
    </row>
    <row r="4049" spans="1:14" x14ac:dyDescent="0.3">
      <c r="A4049" s="2">
        <f>DATE(VALUE(RIGHT(TRIM([1]Raw_Data!A4047),4)),VALUE(MID(TRIM([1]Raw_Data!A4047),4,2)),VALUE(LEFT(TRIM([1]Raw_Data!A4047),2)))</f>
        <v>45600</v>
      </c>
      <c r="B4049" s="3" t="str">
        <f>TRIM([1]Raw_Data!B4047)</f>
        <v>Green Tea Extract</v>
      </c>
      <c r="C4049" s="3" t="str">
        <f>TRIM([1]Raw_Data!C4047)</f>
        <v>Fat Burner</v>
      </c>
      <c r="D4049" s="3">
        <f>[1]Raw_Data!D4047</f>
        <v>155</v>
      </c>
      <c r="E4049" s="4">
        <f>[1]Raw_Data!E4047</f>
        <v>45.85</v>
      </c>
      <c r="F4049" s="5">
        <f>[1]Raw_Data!F4047</f>
        <v>7106.75</v>
      </c>
      <c r="G4049" s="4">
        <f>[1]Raw_Data!G4047</f>
        <v>0.02</v>
      </c>
      <c r="H4049" s="3">
        <f>[1]Raw_Data!H4047</f>
        <v>0</v>
      </c>
      <c r="I4049" s="3" t="str">
        <f>TRIM([1]Raw_Data!I4047)</f>
        <v>Canada</v>
      </c>
      <c r="J4049" s="3" t="str">
        <f>TRIM([1]Raw_Data!J4047)</f>
        <v>Walmart</v>
      </c>
      <c r="K4049" s="3">
        <f t="shared" si="252"/>
        <v>2024</v>
      </c>
      <c r="L4049" s="6">
        <f t="shared" si="253"/>
        <v>45597</v>
      </c>
      <c r="M4049" s="3" t="str">
        <f t="shared" si="254"/>
        <v>0% to 5%</v>
      </c>
      <c r="N4049" s="3" t="str">
        <f t="shared" si="255"/>
        <v>OK</v>
      </c>
    </row>
    <row r="4050" spans="1:14" x14ac:dyDescent="0.3">
      <c r="A4050" s="2">
        <f>DATE(VALUE(RIGHT(TRIM([1]Raw_Data!A4048),4)),VALUE(MID(TRIM([1]Raw_Data!A4048),4,2)),VALUE(LEFT(TRIM([1]Raw_Data!A4048),2)))</f>
        <v>45600</v>
      </c>
      <c r="B4050" s="3" t="str">
        <f>TRIM([1]Raw_Data!B4048)</f>
        <v>Iron Supplement</v>
      </c>
      <c r="C4050" s="3" t="str">
        <f>TRIM([1]Raw_Data!C4048)</f>
        <v>Mineral</v>
      </c>
      <c r="D4050" s="3">
        <f>[1]Raw_Data!D4048</f>
        <v>157</v>
      </c>
      <c r="E4050" s="4">
        <f>[1]Raw_Data!E4048</f>
        <v>37.770000000000003</v>
      </c>
      <c r="F4050" s="5">
        <f>[1]Raw_Data!F4048</f>
        <v>5929.89</v>
      </c>
      <c r="G4050" s="4">
        <f>[1]Raw_Data!G4048</f>
        <v>7.0000000000000007E-2</v>
      </c>
      <c r="H4050" s="3">
        <f>[1]Raw_Data!H4048</f>
        <v>2</v>
      </c>
      <c r="I4050" s="3" t="str">
        <f>TRIM([1]Raw_Data!I4048)</f>
        <v>USA</v>
      </c>
      <c r="J4050" s="3" t="str">
        <f>TRIM([1]Raw_Data!J4048)</f>
        <v>Walmart</v>
      </c>
      <c r="K4050" s="3">
        <f t="shared" si="252"/>
        <v>2024</v>
      </c>
      <c r="L4050" s="6">
        <f t="shared" si="253"/>
        <v>45597</v>
      </c>
      <c r="M4050" s="3" t="str">
        <f t="shared" si="254"/>
        <v>6% to 10%</v>
      </c>
      <c r="N4050" s="3" t="str">
        <f t="shared" si="255"/>
        <v>OK</v>
      </c>
    </row>
    <row r="4051" spans="1:14" x14ac:dyDescent="0.3">
      <c r="A4051" s="2">
        <f>DATE(VALUE(RIGHT(TRIM([1]Raw_Data!A4049),4)),VALUE(MID(TRIM([1]Raw_Data!A4049),4,2)),VALUE(LEFT(TRIM([1]Raw_Data!A4049),2)))</f>
        <v>45600</v>
      </c>
      <c r="B4051" s="3" t="str">
        <f>TRIM([1]Raw_Data!B4049)</f>
        <v>Electrolyte Powder</v>
      </c>
      <c r="C4051" s="3" t="str">
        <f>TRIM([1]Raw_Data!C4049)</f>
        <v>Hydration</v>
      </c>
      <c r="D4051" s="3">
        <f>[1]Raw_Data!D4049</f>
        <v>147</v>
      </c>
      <c r="E4051" s="4">
        <f>[1]Raw_Data!E4049</f>
        <v>44.48</v>
      </c>
      <c r="F4051" s="5">
        <f>[1]Raw_Data!F4049</f>
        <v>6538.56</v>
      </c>
      <c r="G4051" s="4">
        <f>[1]Raw_Data!G4049</f>
        <v>0.03</v>
      </c>
      <c r="H4051" s="3">
        <f>[1]Raw_Data!H4049</f>
        <v>0</v>
      </c>
      <c r="I4051" s="3" t="str">
        <f>TRIM([1]Raw_Data!I4049)</f>
        <v>Canada</v>
      </c>
      <c r="J4051" s="3" t="str">
        <f>TRIM([1]Raw_Data!J4049)</f>
        <v>Amazon</v>
      </c>
      <c r="K4051" s="3">
        <f t="shared" si="252"/>
        <v>2024</v>
      </c>
      <c r="L4051" s="6">
        <f t="shared" si="253"/>
        <v>45597</v>
      </c>
      <c r="M4051" s="3" t="str">
        <f t="shared" si="254"/>
        <v>0% to 5%</v>
      </c>
      <c r="N4051" s="3" t="str">
        <f t="shared" si="255"/>
        <v>OK</v>
      </c>
    </row>
    <row r="4052" spans="1:14" x14ac:dyDescent="0.3">
      <c r="A4052" s="2">
        <f>DATE(VALUE(RIGHT(TRIM([1]Raw_Data!A4050),4)),VALUE(MID(TRIM([1]Raw_Data!A4050),4,2)),VALUE(LEFT(TRIM([1]Raw_Data!A4050),2)))</f>
        <v>45607</v>
      </c>
      <c r="B4052" s="3" t="str">
        <f>TRIM([1]Raw_Data!B4050)</f>
        <v>Whey Protein</v>
      </c>
      <c r="C4052" s="3" t="str">
        <f>TRIM([1]Raw_Data!C4050)</f>
        <v>Protein</v>
      </c>
      <c r="D4052" s="3">
        <f>[1]Raw_Data!D4050</f>
        <v>163</v>
      </c>
      <c r="E4052" s="4">
        <f>[1]Raw_Data!E4050</f>
        <v>41.55</v>
      </c>
      <c r="F4052" s="5">
        <f>[1]Raw_Data!F4050</f>
        <v>6772.65</v>
      </c>
      <c r="G4052" s="4">
        <f>[1]Raw_Data!G4050</f>
        <v>0.1</v>
      </c>
      <c r="H4052" s="3">
        <f>[1]Raw_Data!H4050</f>
        <v>1</v>
      </c>
      <c r="I4052" s="3" t="str">
        <f>TRIM([1]Raw_Data!I4050)</f>
        <v>USA</v>
      </c>
      <c r="J4052" s="3" t="str">
        <f>TRIM([1]Raw_Data!J4050)</f>
        <v>Amazon</v>
      </c>
      <c r="K4052" s="3">
        <f t="shared" si="252"/>
        <v>2024</v>
      </c>
      <c r="L4052" s="6">
        <f t="shared" si="253"/>
        <v>45597</v>
      </c>
      <c r="M4052" s="3" t="str">
        <f t="shared" si="254"/>
        <v>6% to 10%</v>
      </c>
      <c r="N4052" s="3" t="str">
        <f t="shared" si="255"/>
        <v>OK</v>
      </c>
    </row>
    <row r="4053" spans="1:14" x14ac:dyDescent="0.3">
      <c r="A4053" s="2">
        <f>DATE(VALUE(RIGHT(TRIM([1]Raw_Data!A4051),4)),VALUE(MID(TRIM([1]Raw_Data!A4051),4,2)),VALUE(LEFT(TRIM([1]Raw_Data!A4051),2)))</f>
        <v>45607</v>
      </c>
      <c r="B4053" s="3" t="str">
        <f>TRIM([1]Raw_Data!B4051)</f>
        <v>Vitamin C</v>
      </c>
      <c r="C4053" s="3" t="str">
        <f>TRIM([1]Raw_Data!C4051)</f>
        <v>Vitamin</v>
      </c>
      <c r="D4053" s="3">
        <f>[1]Raw_Data!D4051</f>
        <v>157</v>
      </c>
      <c r="E4053" s="4">
        <f>[1]Raw_Data!E4051</f>
        <v>35.51</v>
      </c>
      <c r="F4053" s="5">
        <f>[1]Raw_Data!F4051</f>
        <v>5575.07</v>
      </c>
      <c r="G4053" s="4">
        <f>[1]Raw_Data!G4051</f>
        <v>0.24</v>
      </c>
      <c r="H4053" s="3">
        <f>[1]Raw_Data!H4051</f>
        <v>4</v>
      </c>
      <c r="I4053" s="3" t="str">
        <f>TRIM([1]Raw_Data!I4051)</f>
        <v>UK</v>
      </c>
      <c r="J4053" s="3" t="str">
        <f>TRIM([1]Raw_Data!J4051)</f>
        <v>iHerb</v>
      </c>
      <c r="K4053" s="3">
        <f t="shared" si="252"/>
        <v>2024</v>
      </c>
      <c r="L4053" s="6">
        <f t="shared" si="253"/>
        <v>45597</v>
      </c>
      <c r="M4053" s="3" t="str">
        <f t="shared" si="254"/>
        <v>21% to 25%</v>
      </c>
      <c r="N4053" s="3" t="str">
        <f t="shared" si="255"/>
        <v>OK</v>
      </c>
    </row>
    <row r="4054" spans="1:14" x14ac:dyDescent="0.3">
      <c r="A4054" s="2">
        <f>DATE(VALUE(RIGHT(TRIM([1]Raw_Data!A4052),4)),VALUE(MID(TRIM([1]Raw_Data!A4052),4,2)),VALUE(LEFT(TRIM([1]Raw_Data!A4052),2)))</f>
        <v>45607</v>
      </c>
      <c r="B4054" s="3" t="str">
        <f>TRIM([1]Raw_Data!B4052)</f>
        <v>Fish Oil</v>
      </c>
      <c r="C4054" s="3" t="str">
        <f>TRIM([1]Raw_Data!C4052)</f>
        <v>Omega</v>
      </c>
      <c r="D4054" s="3">
        <f>[1]Raw_Data!D4052</f>
        <v>147</v>
      </c>
      <c r="E4054" s="4">
        <f>[1]Raw_Data!E4052</f>
        <v>37.159999999999997</v>
      </c>
      <c r="F4054" s="5">
        <f>[1]Raw_Data!F4052</f>
        <v>5462.52</v>
      </c>
      <c r="G4054" s="4">
        <f>[1]Raw_Data!G4052</f>
        <v>0.13</v>
      </c>
      <c r="H4054" s="3">
        <f>[1]Raw_Data!H4052</f>
        <v>0</v>
      </c>
      <c r="I4054" s="3" t="str">
        <f>TRIM([1]Raw_Data!I4052)</f>
        <v>USA</v>
      </c>
      <c r="J4054" s="3" t="str">
        <f>TRIM([1]Raw_Data!J4052)</f>
        <v>Amazon</v>
      </c>
      <c r="K4054" s="3">
        <f t="shared" si="252"/>
        <v>2024</v>
      </c>
      <c r="L4054" s="6">
        <f t="shared" si="253"/>
        <v>45597</v>
      </c>
      <c r="M4054" s="3" t="str">
        <f t="shared" si="254"/>
        <v>11% to 15%</v>
      </c>
      <c r="N4054" s="3" t="str">
        <f t="shared" si="255"/>
        <v>OK</v>
      </c>
    </row>
    <row r="4055" spans="1:14" x14ac:dyDescent="0.3">
      <c r="A4055" s="2">
        <f>DATE(VALUE(RIGHT(TRIM([1]Raw_Data!A4053),4)),VALUE(MID(TRIM([1]Raw_Data!A4053),4,2)),VALUE(LEFT(TRIM([1]Raw_Data!A4053),2)))</f>
        <v>45607</v>
      </c>
      <c r="B4055" s="3" t="str">
        <f>TRIM([1]Raw_Data!B4053)</f>
        <v>Multivitamin</v>
      </c>
      <c r="C4055" s="3" t="str">
        <f>TRIM([1]Raw_Data!C4053)</f>
        <v>Vitamin</v>
      </c>
      <c r="D4055" s="3">
        <f>[1]Raw_Data!D4053</f>
        <v>153</v>
      </c>
      <c r="E4055" s="4">
        <f>[1]Raw_Data!E4053</f>
        <v>49.01</v>
      </c>
      <c r="F4055" s="5">
        <f>[1]Raw_Data!F4053</f>
        <v>7498.53</v>
      </c>
      <c r="G4055" s="4">
        <f>[1]Raw_Data!G4053</f>
        <v>0.2</v>
      </c>
      <c r="H4055" s="3">
        <f>[1]Raw_Data!H4053</f>
        <v>0</v>
      </c>
      <c r="I4055" s="3" t="str">
        <f>TRIM([1]Raw_Data!I4053)</f>
        <v>Canada</v>
      </c>
      <c r="J4055" s="3" t="str">
        <f>TRIM([1]Raw_Data!J4053)</f>
        <v>Amazon</v>
      </c>
      <c r="K4055" s="3">
        <f t="shared" si="252"/>
        <v>2024</v>
      </c>
      <c r="L4055" s="6">
        <f t="shared" si="253"/>
        <v>45597</v>
      </c>
      <c r="M4055" s="3" t="str">
        <f t="shared" si="254"/>
        <v>16% to 20%</v>
      </c>
      <c r="N4055" s="3" t="str">
        <f t="shared" si="255"/>
        <v>OK</v>
      </c>
    </row>
    <row r="4056" spans="1:14" x14ac:dyDescent="0.3">
      <c r="A4056" s="2">
        <f>DATE(VALUE(RIGHT(TRIM([1]Raw_Data!A4054),4)),VALUE(MID(TRIM([1]Raw_Data!A4054),4,2)),VALUE(LEFT(TRIM([1]Raw_Data!A4054),2)))</f>
        <v>45607</v>
      </c>
      <c r="B4056" s="3" t="str">
        <f>TRIM([1]Raw_Data!B4054)</f>
        <v>Pre-Workout</v>
      </c>
      <c r="C4056" s="3" t="str">
        <f>TRIM([1]Raw_Data!C4054)</f>
        <v>Performance</v>
      </c>
      <c r="D4056" s="3">
        <f>[1]Raw_Data!D4054</f>
        <v>145</v>
      </c>
      <c r="E4056" s="4">
        <f>[1]Raw_Data!E4054</f>
        <v>25.8</v>
      </c>
      <c r="F4056" s="5">
        <f>[1]Raw_Data!F4054</f>
        <v>3741</v>
      </c>
      <c r="G4056" s="4">
        <f>[1]Raw_Data!G4054</f>
        <v>0.14000000000000001</v>
      </c>
      <c r="H4056" s="3">
        <f>[1]Raw_Data!H4054</f>
        <v>1</v>
      </c>
      <c r="I4056" s="3" t="str">
        <f>TRIM([1]Raw_Data!I4054)</f>
        <v>Canada</v>
      </c>
      <c r="J4056" s="3" t="str">
        <f>TRIM([1]Raw_Data!J4054)</f>
        <v>Walmart</v>
      </c>
      <c r="K4056" s="3">
        <f t="shared" si="252"/>
        <v>2024</v>
      </c>
      <c r="L4056" s="6">
        <f t="shared" si="253"/>
        <v>45597</v>
      </c>
      <c r="M4056" s="3" t="str">
        <f t="shared" si="254"/>
        <v>11% to 15%</v>
      </c>
      <c r="N4056" s="3" t="str">
        <f t="shared" si="255"/>
        <v>OK</v>
      </c>
    </row>
    <row r="4057" spans="1:14" x14ac:dyDescent="0.3">
      <c r="A4057" s="2">
        <f>DATE(VALUE(RIGHT(TRIM([1]Raw_Data!A4055),4)),VALUE(MID(TRIM([1]Raw_Data!A4055),4,2)),VALUE(LEFT(TRIM([1]Raw_Data!A4055),2)))</f>
        <v>45607</v>
      </c>
      <c r="B4057" s="3" t="str">
        <f>TRIM([1]Raw_Data!B4055)</f>
        <v>BCAA</v>
      </c>
      <c r="C4057" s="3" t="str">
        <f>TRIM([1]Raw_Data!C4055)</f>
        <v>Amino Acid</v>
      </c>
      <c r="D4057" s="3">
        <f>[1]Raw_Data!D4055</f>
        <v>152</v>
      </c>
      <c r="E4057" s="4">
        <f>[1]Raw_Data!E4055</f>
        <v>24.33</v>
      </c>
      <c r="F4057" s="5">
        <f>[1]Raw_Data!F4055</f>
        <v>3698.16</v>
      </c>
      <c r="G4057" s="4">
        <f>[1]Raw_Data!G4055</f>
        <v>0.02</v>
      </c>
      <c r="H4057" s="3">
        <f>[1]Raw_Data!H4055</f>
        <v>3</v>
      </c>
      <c r="I4057" s="3" t="str">
        <f>TRIM([1]Raw_Data!I4055)</f>
        <v>Canada</v>
      </c>
      <c r="J4057" s="3" t="str">
        <f>TRIM([1]Raw_Data!J4055)</f>
        <v>Walmart</v>
      </c>
      <c r="K4057" s="3">
        <f t="shared" si="252"/>
        <v>2024</v>
      </c>
      <c r="L4057" s="6">
        <f t="shared" si="253"/>
        <v>45597</v>
      </c>
      <c r="M4057" s="3" t="str">
        <f t="shared" si="254"/>
        <v>0% to 5%</v>
      </c>
      <c r="N4057" s="3" t="str">
        <f t="shared" si="255"/>
        <v>OK</v>
      </c>
    </row>
    <row r="4058" spans="1:14" x14ac:dyDescent="0.3">
      <c r="A4058" s="2">
        <f>DATE(VALUE(RIGHT(TRIM([1]Raw_Data!A4056),4)),VALUE(MID(TRIM([1]Raw_Data!A4056),4,2)),VALUE(LEFT(TRIM([1]Raw_Data!A4056),2)))</f>
        <v>45607</v>
      </c>
      <c r="B4058" s="3" t="str">
        <f>TRIM([1]Raw_Data!B4056)</f>
        <v>Creatine</v>
      </c>
      <c r="C4058" s="3" t="str">
        <f>TRIM([1]Raw_Data!C4056)</f>
        <v>Performance</v>
      </c>
      <c r="D4058" s="3">
        <f>[1]Raw_Data!D4056</f>
        <v>158</v>
      </c>
      <c r="E4058" s="4">
        <f>[1]Raw_Data!E4056</f>
        <v>21.33</v>
      </c>
      <c r="F4058" s="5">
        <f>[1]Raw_Data!F4056</f>
        <v>3370.14</v>
      </c>
      <c r="G4058" s="4">
        <f>[1]Raw_Data!G4056</f>
        <v>0.24</v>
      </c>
      <c r="H4058" s="3">
        <f>[1]Raw_Data!H4056</f>
        <v>3</v>
      </c>
      <c r="I4058" s="3" t="str">
        <f>TRIM([1]Raw_Data!I4056)</f>
        <v>UK</v>
      </c>
      <c r="J4058" s="3" t="str">
        <f>TRIM([1]Raw_Data!J4056)</f>
        <v>Amazon</v>
      </c>
      <c r="K4058" s="3">
        <f t="shared" si="252"/>
        <v>2024</v>
      </c>
      <c r="L4058" s="6">
        <f t="shared" si="253"/>
        <v>45597</v>
      </c>
      <c r="M4058" s="3" t="str">
        <f t="shared" si="254"/>
        <v>21% to 25%</v>
      </c>
      <c r="N4058" s="3" t="str">
        <f t="shared" si="255"/>
        <v>OK</v>
      </c>
    </row>
    <row r="4059" spans="1:14" x14ac:dyDescent="0.3">
      <c r="A4059" s="2">
        <f>DATE(VALUE(RIGHT(TRIM([1]Raw_Data!A4057),4)),VALUE(MID(TRIM([1]Raw_Data!A4057),4,2)),VALUE(LEFT(TRIM([1]Raw_Data!A4057),2)))</f>
        <v>45607</v>
      </c>
      <c r="B4059" s="3" t="str">
        <f>TRIM([1]Raw_Data!B4057)</f>
        <v>Zinc</v>
      </c>
      <c r="C4059" s="3" t="str">
        <f>TRIM([1]Raw_Data!C4057)</f>
        <v>Mineral</v>
      </c>
      <c r="D4059" s="3">
        <f>[1]Raw_Data!D4057</f>
        <v>152</v>
      </c>
      <c r="E4059" s="4">
        <f>[1]Raw_Data!E4057</f>
        <v>10.72</v>
      </c>
      <c r="F4059" s="5">
        <f>[1]Raw_Data!F4057</f>
        <v>1629.44</v>
      </c>
      <c r="G4059" s="4">
        <f>[1]Raw_Data!G4057</f>
        <v>0.01</v>
      </c>
      <c r="H4059" s="3">
        <f>[1]Raw_Data!H4057</f>
        <v>2</v>
      </c>
      <c r="I4059" s="3" t="str">
        <f>TRIM([1]Raw_Data!I4057)</f>
        <v>UK</v>
      </c>
      <c r="J4059" s="3" t="str">
        <f>TRIM([1]Raw_Data!J4057)</f>
        <v>Walmart</v>
      </c>
      <c r="K4059" s="3">
        <f t="shared" si="252"/>
        <v>2024</v>
      </c>
      <c r="L4059" s="6">
        <f t="shared" si="253"/>
        <v>45597</v>
      </c>
      <c r="M4059" s="3" t="str">
        <f t="shared" si="254"/>
        <v>0% to 5%</v>
      </c>
      <c r="N4059" s="3" t="str">
        <f t="shared" si="255"/>
        <v>OK</v>
      </c>
    </row>
    <row r="4060" spans="1:14" x14ac:dyDescent="0.3">
      <c r="A4060" s="2">
        <f>DATE(VALUE(RIGHT(TRIM([1]Raw_Data!A4058),4)),VALUE(MID(TRIM([1]Raw_Data!A4058),4,2)),VALUE(LEFT(TRIM([1]Raw_Data!A4058),2)))</f>
        <v>45607</v>
      </c>
      <c r="B4060" s="3" t="str">
        <f>TRIM([1]Raw_Data!B4058)</f>
        <v>Collagen Peptides</v>
      </c>
      <c r="C4060" s="3" t="str">
        <f>TRIM([1]Raw_Data!C4058)</f>
        <v>Protein</v>
      </c>
      <c r="D4060" s="3">
        <f>[1]Raw_Data!D4058</f>
        <v>137</v>
      </c>
      <c r="E4060" s="4">
        <f>[1]Raw_Data!E4058</f>
        <v>17.75</v>
      </c>
      <c r="F4060" s="5">
        <f>[1]Raw_Data!F4058</f>
        <v>2431.75</v>
      </c>
      <c r="G4060" s="4">
        <f>[1]Raw_Data!G4058</f>
        <v>0.14000000000000001</v>
      </c>
      <c r="H4060" s="3">
        <f>[1]Raw_Data!H4058</f>
        <v>0</v>
      </c>
      <c r="I4060" s="3" t="str">
        <f>TRIM([1]Raw_Data!I4058)</f>
        <v>UK</v>
      </c>
      <c r="J4060" s="3" t="str">
        <f>TRIM([1]Raw_Data!J4058)</f>
        <v>Walmart</v>
      </c>
      <c r="K4060" s="3">
        <f t="shared" si="252"/>
        <v>2024</v>
      </c>
      <c r="L4060" s="6">
        <f t="shared" si="253"/>
        <v>45597</v>
      </c>
      <c r="M4060" s="3" t="str">
        <f t="shared" si="254"/>
        <v>11% to 15%</v>
      </c>
      <c r="N4060" s="3" t="str">
        <f t="shared" si="255"/>
        <v>OK</v>
      </c>
    </row>
    <row r="4061" spans="1:14" x14ac:dyDescent="0.3">
      <c r="A4061" s="2">
        <f>DATE(VALUE(RIGHT(TRIM([1]Raw_Data!A4059),4)),VALUE(MID(TRIM([1]Raw_Data!A4059),4,2)),VALUE(LEFT(TRIM([1]Raw_Data!A4059),2)))</f>
        <v>45607</v>
      </c>
      <c r="B4061" s="3" t="str">
        <f>TRIM([1]Raw_Data!B4059)</f>
        <v>Magnesium</v>
      </c>
      <c r="C4061" s="3" t="str">
        <f>TRIM([1]Raw_Data!C4059)</f>
        <v>Mineral</v>
      </c>
      <c r="D4061" s="3">
        <f>[1]Raw_Data!D4059</f>
        <v>160</v>
      </c>
      <c r="E4061" s="4">
        <f>[1]Raw_Data!E4059</f>
        <v>14.31</v>
      </c>
      <c r="F4061" s="5">
        <f>[1]Raw_Data!F4059</f>
        <v>2289.6</v>
      </c>
      <c r="G4061" s="4">
        <f>[1]Raw_Data!G4059</f>
        <v>0.21</v>
      </c>
      <c r="H4061" s="3">
        <f>[1]Raw_Data!H4059</f>
        <v>2</v>
      </c>
      <c r="I4061" s="3" t="str">
        <f>TRIM([1]Raw_Data!I4059)</f>
        <v>Canada</v>
      </c>
      <c r="J4061" s="3" t="str">
        <f>TRIM([1]Raw_Data!J4059)</f>
        <v>Amazon</v>
      </c>
      <c r="K4061" s="3">
        <f t="shared" si="252"/>
        <v>2024</v>
      </c>
      <c r="L4061" s="6">
        <f t="shared" si="253"/>
        <v>45597</v>
      </c>
      <c r="M4061" s="3" t="str">
        <f t="shared" si="254"/>
        <v>21% to 25%</v>
      </c>
      <c r="N4061" s="3" t="str">
        <f t="shared" si="255"/>
        <v>OK</v>
      </c>
    </row>
    <row r="4062" spans="1:14" x14ac:dyDescent="0.3">
      <c r="A4062" s="2">
        <f>DATE(VALUE(RIGHT(TRIM([1]Raw_Data!A4060),4)),VALUE(MID(TRIM([1]Raw_Data!A4060),4,2)),VALUE(LEFT(TRIM([1]Raw_Data!A4060),2)))</f>
        <v>45607</v>
      </c>
      <c r="B4062" s="3" t="str">
        <f>TRIM([1]Raw_Data!B4060)</f>
        <v>Ashwagandha</v>
      </c>
      <c r="C4062" s="3" t="str">
        <f>TRIM([1]Raw_Data!C4060)</f>
        <v>Herbal</v>
      </c>
      <c r="D4062" s="3">
        <f>[1]Raw_Data!D4060</f>
        <v>171</v>
      </c>
      <c r="E4062" s="4">
        <f>[1]Raw_Data!E4060</f>
        <v>56.03</v>
      </c>
      <c r="F4062" s="5">
        <f>[1]Raw_Data!F4060</f>
        <v>9581.1299999999992</v>
      </c>
      <c r="G4062" s="4">
        <f>[1]Raw_Data!G4060</f>
        <v>0.02</v>
      </c>
      <c r="H4062" s="3">
        <f>[1]Raw_Data!H4060</f>
        <v>0</v>
      </c>
      <c r="I4062" s="3" t="str">
        <f>TRIM([1]Raw_Data!I4060)</f>
        <v>Canada</v>
      </c>
      <c r="J4062" s="3" t="str">
        <f>TRIM([1]Raw_Data!J4060)</f>
        <v>Walmart</v>
      </c>
      <c r="K4062" s="3">
        <f t="shared" si="252"/>
        <v>2024</v>
      </c>
      <c r="L4062" s="6">
        <f t="shared" si="253"/>
        <v>45597</v>
      </c>
      <c r="M4062" s="3" t="str">
        <f t="shared" si="254"/>
        <v>0% to 5%</v>
      </c>
      <c r="N4062" s="3" t="str">
        <f t="shared" si="255"/>
        <v>OK</v>
      </c>
    </row>
    <row r="4063" spans="1:14" x14ac:dyDescent="0.3">
      <c r="A4063" s="2">
        <f>DATE(VALUE(RIGHT(TRIM([1]Raw_Data!A4061),4)),VALUE(MID(TRIM([1]Raw_Data!A4061),4,2)),VALUE(LEFT(TRIM([1]Raw_Data!A4061),2)))</f>
        <v>45607</v>
      </c>
      <c r="B4063" s="3" t="str">
        <f>TRIM([1]Raw_Data!B4061)</f>
        <v>Melatonin</v>
      </c>
      <c r="C4063" s="3" t="str">
        <f>TRIM([1]Raw_Data!C4061)</f>
        <v>Sleep Aid</v>
      </c>
      <c r="D4063" s="3">
        <f>[1]Raw_Data!D4061</f>
        <v>140</v>
      </c>
      <c r="E4063" s="4">
        <f>[1]Raw_Data!E4061</f>
        <v>23.21</v>
      </c>
      <c r="F4063" s="5">
        <f>[1]Raw_Data!F4061</f>
        <v>3249.4</v>
      </c>
      <c r="G4063" s="4">
        <f>[1]Raw_Data!G4061</f>
        <v>0.18</v>
      </c>
      <c r="H4063" s="3">
        <f>[1]Raw_Data!H4061</f>
        <v>3</v>
      </c>
      <c r="I4063" s="3" t="str">
        <f>TRIM([1]Raw_Data!I4061)</f>
        <v>USA</v>
      </c>
      <c r="J4063" s="3" t="str">
        <f>TRIM([1]Raw_Data!J4061)</f>
        <v>iHerb</v>
      </c>
      <c r="K4063" s="3">
        <f t="shared" si="252"/>
        <v>2024</v>
      </c>
      <c r="L4063" s="6">
        <f t="shared" si="253"/>
        <v>45597</v>
      </c>
      <c r="M4063" s="3" t="str">
        <f t="shared" si="254"/>
        <v>16% to 20%</v>
      </c>
      <c r="N4063" s="3" t="str">
        <f t="shared" si="255"/>
        <v>OK</v>
      </c>
    </row>
    <row r="4064" spans="1:14" x14ac:dyDescent="0.3">
      <c r="A4064" s="2">
        <f>DATE(VALUE(RIGHT(TRIM([1]Raw_Data!A4062),4)),VALUE(MID(TRIM([1]Raw_Data!A4062),4,2)),VALUE(LEFT(TRIM([1]Raw_Data!A4062),2)))</f>
        <v>45607</v>
      </c>
      <c r="B4064" s="3" t="str">
        <f>TRIM([1]Raw_Data!B4062)</f>
        <v>Biotin</v>
      </c>
      <c r="C4064" s="3" t="str">
        <f>TRIM([1]Raw_Data!C4062)</f>
        <v>Vitamin</v>
      </c>
      <c r="D4064" s="3">
        <f>[1]Raw_Data!D4062</f>
        <v>161</v>
      </c>
      <c r="E4064" s="4">
        <f>[1]Raw_Data!E4062</f>
        <v>30.08</v>
      </c>
      <c r="F4064" s="5">
        <f>[1]Raw_Data!F4062</f>
        <v>4842.88</v>
      </c>
      <c r="G4064" s="4">
        <f>[1]Raw_Data!G4062</f>
        <v>0.1</v>
      </c>
      <c r="H4064" s="3">
        <f>[1]Raw_Data!H4062</f>
        <v>1</v>
      </c>
      <c r="I4064" s="3" t="str">
        <f>TRIM([1]Raw_Data!I4062)</f>
        <v>UK</v>
      </c>
      <c r="J4064" s="3" t="str">
        <f>TRIM([1]Raw_Data!J4062)</f>
        <v>Walmart</v>
      </c>
      <c r="K4064" s="3">
        <f t="shared" si="252"/>
        <v>2024</v>
      </c>
      <c r="L4064" s="6">
        <f t="shared" si="253"/>
        <v>45597</v>
      </c>
      <c r="M4064" s="3" t="str">
        <f t="shared" si="254"/>
        <v>6% to 10%</v>
      </c>
      <c r="N4064" s="3" t="str">
        <f t="shared" si="255"/>
        <v>OK</v>
      </c>
    </row>
    <row r="4065" spans="1:14" x14ac:dyDescent="0.3">
      <c r="A4065" s="2">
        <f>DATE(VALUE(RIGHT(TRIM([1]Raw_Data!A4063),4)),VALUE(MID(TRIM([1]Raw_Data!A4063),4,2)),VALUE(LEFT(TRIM([1]Raw_Data!A4063),2)))</f>
        <v>45607</v>
      </c>
      <c r="B4065" s="3" t="str">
        <f>TRIM([1]Raw_Data!B4063)</f>
        <v>Green Tea Extract</v>
      </c>
      <c r="C4065" s="3" t="str">
        <f>TRIM([1]Raw_Data!C4063)</f>
        <v>Fat Burner</v>
      </c>
      <c r="D4065" s="3">
        <f>[1]Raw_Data!D4063</f>
        <v>136</v>
      </c>
      <c r="E4065" s="4">
        <f>[1]Raw_Data!E4063</f>
        <v>35.54</v>
      </c>
      <c r="F4065" s="5">
        <f>[1]Raw_Data!F4063</f>
        <v>4833.4399999999996</v>
      </c>
      <c r="G4065" s="4">
        <f>[1]Raw_Data!G4063</f>
        <v>0.13</v>
      </c>
      <c r="H4065" s="3">
        <f>[1]Raw_Data!H4063</f>
        <v>2</v>
      </c>
      <c r="I4065" s="3" t="str">
        <f>TRIM([1]Raw_Data!I4063)</f>
        <v>Canada</v>
      </c>
      <c r="J4065" s="3" t="str">
        <f>TRIM([1]Raw_Data!J4063)</f>
        <v>Amazon</v>
      </c>
      <c r="K4065" s="3">
        <f t="shared" si="252"/>
        <v>2024</v>
      </c>
      <c r="L4065" s="6">
        <f t="shared" si="253"/>
        <v>45597</v>
      </c>
      <c r="M4065" s="3" t="str">
        <f t="shared" si="254"/>
        <v>11% to 15%</v>
      </c>
      <c r="N4065" s="3" t="str">
        <f t="shared" si="255"/>
        <v>OK</v>
      </c>
    </row>
    <row r="4066" spans="1:14" x14ac:dyDescent="0.3">
      <c r="A4066" s="2">
        <f>DATE(VALUE(RIGHT(TRIM([1]Raw_Data!A4064),4)),VALUE(MID(TRIM([1]Raw_Data!A4064),4,2)),VALUE(LEFT(TRIM([1]Raw_Data!A4064),2)))</f>
        <v>45607</v>
      </c>
      <c r="B4066" s="3" t="str">
        <f>TRIM([1]Raw_Data!B4064)</f>
        <v>Iron Supplement</v>
      </c>
      <c r="C4066" s="3" t="str">
        <f>TRIM([1]Raw_Data!C4064)</f>
        <v>Mineral</v>
      </c>
      <c r="D4066" s="3">
        <f>[1]Raw_Data!D4064</f>
        <v>151</v>
      </c>
      <c r="E4066" s="4">
        <f>[1]Raw_Data!E4064</f>
        <v>43.16</v>
      </c>
      <c r="F4066" s="5">
        <f>[1]Raw_Data!F4064</f>
        <v>6517.16</v>
      </c>
      <c r="G4066" s="4">
        <f>[1]Raw_Data!G4064</f>
        <v>0.2</v>
      </c>
      <c r="H4066" s="3">
        <f>[1]Raw_Data!H4064</f>
        <v>1</v>
      </c>
      <c r="I4066" s="3" t="str">
        <f>TRIM([1]Raw_Data!I4064)</f>
        <v>Canada</v>
      </c>
      <c r="J4066" s="3" t="str">
        <f>TRIM([1]Raw_Data!J4064)</f>
        <v>Walmart</v>
      </c>
      <c r="K4066" s="3">
        <f t="shared" si="252"/>
        <v>2024</v>
      </c>
      <c r="L4066" s="6">
        <f t="shared" si="253"/>
        <v>45597</v>
      </c>
      <c r="M4066" s="3" t="str">
        <f t="shared" si="254"/>
        <v>16% to 20%</v>
      </c>
      <c r="N4066" s="3" t="str">
        <f t="shared" si="255"/>
        <v>OK</v>
      </c>
    </row>
    <row r="4067" spans="1:14" x14ac:dyDescent="0.3">
      <c r="A4067" s="2">
        <f>DATE(VALUE(RIGHT(TRIM([1]Raw_Data!A4065),4)),VALUE(MID(TRIM([1]Raw_Data!A4065),4,2)),VALUE(LEFT(TRIM([1]Raw_Data!A4065),2)))</f>
        <v>45607</v>
      </c>
      <c r="B4067" s="3" t="str">
        <f>TRIM([1]Raw_Data!B4065)</f>
        <v>Electrolyte Powder</v>
      </c>
      <c r="C4067" s="3" t="str">
        <f>TRIM([1]Raw_Data!C4065)</f>
        <v>Hydration</v>
      </c>
      <c r="D4067" s="3">
        <f>[1]Raw_Data!D4065</f>
        <v>155</v>
      </c>
      <c r="E4067" s="4">
        <f>[1]Raw_Data!E4065</f>
        <v>27.1</v>
      </c>
      <c r="F4067" s="5">
        <f>[1]Raw_Data!F4065</f>
        <v>4200.5</v>
      </c>
      <c r="G4067" s="4">
        <f>[1]Raw_Data!G4065</f>
        <v>0.23</v>
      </c>
      <c r="H4067" s="3">
        <f>[1]Raw_Data!H4065</f>
        <v>3</v>
      </c>
      <c r="I4067" s="3" t="str">
        <f>TRIM([1]Raw_Data!I4065)</f>
        <v>Canada</v>
      </c>
      <c r="J4067" s="3" t="str">
        <f>TRIM([1]Raw_Data!J4065)</f>
        <v>Walmart</v>
      </c>
      <c r="K4067" s="3">
        <f t="shared" si="252"/>
        <v>2024</v>
      </c>
      <c r="L4067" s="6">
        <f t="shared" si="253"/>
        <v>45597</v>
      </c>
      <c r="M4067" s="3" t="str">
        <f t="shared" si="254"/>
        <v>21% to 25%</v>
      </c>
      <c r="N4067" s="3" t="str">
        <f t="shared" si="255"/>
        <v>OK</v>
      </c>
    </row>
    <row r="4068" spans="1:14" x14ac:dyDescent="0.3">
      <c r="A4068" s="2">
        <f>DATE(VALUE(RIGHT(TRIM([1]Raw_Data!A4066),4)),VALUE(MID(TRIM([1]Raw_Data!A4066),4,2)),VALUE(LEFT(TRIM([1]Raw_Data!A4066),2)))</f>
        <v>45614</v>
      </c>
      <c r="B4068" s="3" t="str">
        <f>TRIM([1]Raw_Data!B4066)</f>
        <v>Whey Protein</v>
      </c>
      <c r="C4068" s="3" t="str">
        <f>TRIM([1]Raw_Data!C4066)</f>
        <v>Protein</v>
      </c>
      <c r="D4068" s="3">
        <f>[1]Raw_Data!D4066</f>
        <v>153</v>
      </c>
      <c r="E4068" s="4">
        <f>[1]Raw_Data!E4066</f>
        <v>52.7</v>
      </c>
      <c r="F4068" s="5">
        <f>[1]Raw_Data!F4066</f>
        <v>8063.1</v>
      </c>
      <c r="G4068" s="4">
        <f>[1]Raw_Data!G4066</f>
        <v>0.24</v>
      </c>
      <c r="H4068" s="3">
        <f>[1]Raw_Data!H4066</f>
        <v>1</v>
      </c>
      <c r="I4068" s="3" t="str">
        <f>TRIM([1]Raw_Data!I4066)</f>
        <v>USA</v>
      </c>
      <c r="J4068" s="3" t="str">
        <f>TRIM([1]Raw_Data!J4066)</f>
        <v>iHerb</v>
      </c>
      <c r="K4068" s="3">
        <f t="shared" si="252"/>
        <v>2024</v>
      </c>
      <c r="L4068" s="6">
        <f t="shared" si="253"/>
        <v>45597</v>
      </c>
      <c r="M4068" s="3" t="str">
        <f t="shared" si="254"/>
        <v>21% to 25%</v>
      </c>
      <c r="N4068" s="3" t="str">
        <f t="shared" si="255"/>
        <v>OK</v>
      </c>
    </row>
    <row r="4069" spans="1:14" x14ac:dyDescent="0.3">
      <c r="A4069" s="2">
        <f>DATE(VALUE(RIGHT(TRIM([1]Raw_Data!A4067),4)),VALUE(MID(TRIM([1]Raw_Data!A4067),4,2)),VALUE(LEFT(TRIM([1]Raw_Data!A4067),2)))</f>
        <v>45614</v>
      </c>
      <c r="B4069" s="3" t="str">
        <f>TRIM([1]Raw_Data!B4067)</f>
        <v>Vitamin C</v>
      </c>
      <c r="C4069" s="3" t="str">
        <f>TRIM([1]Raw_Data!C4067)</f>
        <v>Vitamin</v>
      </c>
      <c r="D4069" s="3">
        <f>[1]Raw_Data!D4067</f>
        <v>152</v>
      </c>
      <c r="E4069" s="4">
        <f>[1]Raw_Data!E4067</f>
        <v>13.6</v>
      </c>
      <c r="F4069" s="5">
        <f>[1]Raw_Data!F4067</f>
        <v>2067.1999999999998</v>
      </c>
      <c r="G4069" s="4">
        <f>[1]Raw_Data!G4067</f>
        <v>0.11</v>
      </c>
      <c r="H4069" s="3">
        <f>[1]Raw_Data!H4067</f>
        <v>2</v>
      </c>
      <c r="I4069" s="3" t="str">
        <f>TRIM([1]Raw_Data!I4067)</f>
        <v>USA</v>
      </c>
      <c r="J4069" s="3" t="str">
        <f>TRIM([1]Raw_Data!J4067)</f>
        <v>iHerb</v>
      </c>
      <c r="K4069" s="3">
        <f t="shared" si="252"/>
        <v>2024</v>
      </c>
      <c r="L4069" s="6">
        <f t="shared" si="253"/>
        <v>45597</v>
      </c>
      <c r="M4069" s="3" t="str">
        <f t="shared" si="254"/>
        <v>11% to 15%</v>
      </c>
      <c r="N4069" s="3" t="str">
        <f t="shared" si="255"/>
        <v>OK</v>
      </c>
    </row>
    <row r="4070" spans="1:14" x14ac:dyDescent="0.3">
      <c r="A4070" s="2">
        <f>DATE(VALUE(RIGHT(TRIM([1]Raw_Data!A4068),4)),VALUE(MID(TRIM([1]Raw_Data!A4068),4,2)),VALUE(LEFT(TRIM([1]Raw_Data!A4068),2)))</f>
        <v>45614</v>
      </c>
      <c r="B4070" s="3" t="str">
        <f>TRIM([1]Raw_Data!B4068)</f>
        <v>Fish Oil</v>
      </c>
      <c r="C4070" s="3" t="str">
        <f>TRIM([1]Raw_Data!C4068)</f>
        <v>Omega</v>
      </c>
      <c r="D4070" s="3">
        <f>[1]Raw_Data!D4068</f>
        <v>123</v>
      </c>
      <c r="E4070" s="4">
        <f>[1]Raw_Data!E4068</f>
        <v>15.37</v>
      </c>
      <c r="F4070" s="5">
        <f>[1]Raw_Data!F4068</f>
        <v>1890.51</v>
      </c>
      <c r="G4070" s="4">
        <f>[1]Raw_Data!G4068</f>
        <v>0.05</v>
      </c>
      <c r="H4070" s="3">
        <f>[1]Raw_Data!H4068</f>
        <v>3</v>
      </c>
      <c r="I4070" s="3" t="str">
        <f>TRIM([1]Raw_Data!I4068)</f>
        <v>UK</v>
      </c>
      <c r="J4070" s="3" t="str">
        <f>TRIM([1]Raw_Data!J4068)</f>
        <v>Amazon</v>
      </c>
      <c r="K4070" s="3">
        <f t="shared" si="252"/>
        <v>2024</v>
      </c>
      <c r="L4070" s="6">
        <f t="shared" si="253"/>
        <v>45597</v>
      </c>
      <c r="M4070" s="3" t="str">
        <f t="shared" si="254"/>
        <v>0% to 5%</v>
      </c>
      <c r="N4070" s="3" t="str">
        <f t="shared" si="255"/>
        <v>OK</v>
      </c>
    </row>
    <row r="4071" spans="1:14" x14ac:dyDescent="0.3">
      <c r="A4071" s="2">
        <f>DATE(VALUE(RIGHT(TRIM([1]Raw_Data!A4069),4)),VALUE(MID(TRIM([1]Raw_Data!A4069),4,2)),VALUE(LEFT(TRIM([1]Raw_Data!A4069),2)))</f>
        <v>45614</v>
      </c>
      <c r="B4071" s="3" t="str">
        <f>TRIM([1]Raw_Data!B4069)</f>
        <v>Multivitamin</v>
      </c>
      <c r="C4071" s="3" t="str">
        <f>TRIM([1]Raw_Data!C4069)</f>
        <v>Vitamin</v>
      </c>
      <c r="D4071" s="3">
        <f>[1]Raw_Data!D4069</f>
        <v>150</v>
      </c>
      <c r="E4071" s="4">
        <f>[1]Raw_Data!E4069</f>
        <v>13.22</v>
      </c>
      <c r="F4071" s="5">
        <f>[1]Raw_Data!F4069</f>
        <v>1983</v>
      </c>
      <c r="G4071" s="4">
        <f>[1]Raw_Data!G4069</f>
        <v>0.1</v>
      </c>
      <c r="H4071" s="3">
        <f>[1]Raw_Data!H4069</f>
        <v>2</v>
      </c>
      <c r="I4071" s="3" t="str">
        <f>TRIM([1]Raw_Data!I4069)</f>
        <v>Canada</v>
      </c>
      <c r="J4071" s="3" t="str">
        <f>TRIM([1]Raw_Data!J4069)</f>
        <v>iHerb</v>
      </c>
      <c r="K4071" s="3">
        <f t="shared" si="252"/>
        <v>2024</v>
      </c>
      <c r="L4071" s="6">
        <f t="shared" si="253"/>
        <v>45597</v>
      </c>
      <c r="M4071" s="3" t="str">
        <f t="shared" si="254"/>
        <v>6% to 10%</v>
      </c>
      <c r="N4071" s="3" t="str">
        <f t="shared" si="255"/>
        <v>OK</v>
      </c>
    </row>
    <row r="4072" spans="1:14" x14ac:dyDescent="0.3">
      <c r="A4072" s="2">
        <f>DATE(VALUE(RIGHT(TRIM([1]Raw_Data!A4070),4)),VALUE(MID(TRIM([1]Raw_Data!A4070),4,2)),VALUE(LEFT(TRIM([1]Raw_Data!A4070),2)))</f>
        <v>45614</v>
      </c>
      <c r="B4072" s="3" t="str">
        <f>TRIM([1]Raw_Data!B4070)</f>
        <v>Pre-Workout</v>
      </c>
      <c r="C4072" s="3" t="str">
        <f>TRIM([1]Raw_Data!C4070)</f>
        <v>Performance</v>
      </c>
      <c r="D4072" s="3">
        <f>[1]Raw_Data!D4070</f>
        <v>134</v>
      </c>
      <c r="E4072" s="4">
        <f>[1]Raw_Data!E4070</f>
        <v>13.23</v>
      </c>
      <c r="F4072" s="5">
        <f>[1]Raw_Data!F4070</f>
        <v>1772.82</v>
      </c>
      <c r="G4072" s="4">
        <f>[1]Raw_Data!G4070</f>
        <v>0.16</v>
      </c>
      <c r="H4072" s="3">
        <f>[1]Raw_Data!H4070</f>
        <v>4</v>
      </c>
      <c r="I4072" s="3" t="str">
        <f>TRIM([1]Raw_Data!I4070)</f>
        <v>USA</v>
      </c>
      <c r="J4072" s="3" t="str">
        <f>TRIM([1]Raw_Data!J4070)</f>
        <v>iHerb</v>
      </c>
      <c r="K4072" s="3">
        <f t="shared" si="252"/>
        <v>2024</v>
      </c>
      <c r="L4072" s="6">
        <f t="shared" si="253"/>
        <v>45597</v>
      </c>
      <c r="M4072" s="3" t="str">
        <f t="shared" si="254"/>
        <v>16% to 20%</v>
      </c>
      <c r="N4072" s="3" t="str">
        <f t="shared" si="255"/>
        <v>OK</v>
      </c>
    </row>
    <row r="4073" spans="1:14" x14ac:dyDescent="0.3">
      <c r="A4073" s="2">
        <f>DATE(VALUE(RIGHT(TRIM([1]Raw_Data!A4071),4)),VALUE(MID(TRIM([1]Raw_Data!A4071),4,2)),VALUE(LEFT(TRIM([1]Raw_Data!A4071),2)))</f>
        <v>45614</v>
      </c>
      <c r="B4073" s="3" t="str">
        <f>TRIM([1]Raw_Data!B4071)</f>
        <v>BCAA</v>
      </c>
      <c r="C4073" s="3" t="str">
        <f>TRIM([1]Raw_Data!C4071)</f>
        <v>Amino Acid</v>
      </c>
      <c r="D4073" s="3">
        <f>[1]Raw_Data!D4071</f>
        <v>164</v>
      </c>
      <c r="E4073" s="4">
        <f>[1]Raw_Data!E4071</f>
        <v>38.86</v>
      </c>
      <c r="F4073" s="5">
        <f>[1]Raw_Data!F4071</f>
        <v>6373.04</v>
      </c>
      <c r="G4073" s="4">
        <f>[1]Raw_Data!G4071</f>
        <v>0.13</v>
      </c>
      <c r="H4073" s="3">
        <f>[1]Raw_Data!H4071</f>
        <v>1</v>
      </c>
      <c r="I4073" s="3" t="str">
        <f>TRIM([1]Raw_Data!I4071)</f>
        <v>USA</v>
      </c>
      <c r="J4073" s="3" t="str">
        <f>TRIM([1]Raw_Data!J4071)</f>
        <v>iHerb</v>
      </c>
      <c r="K4073" s="3">
        <f t="shared" si="252"/>
        <v>2024</v>
      </c>
      <c r="L4073" s="6">
        <f t="shared" si="253"/>
        <v>45597</v>
      </c>
      <c r="M4073" s="3" t="str">
        <f t="shared" si="254"/>
        <v>11% to 15%</v>
      </c>
      <c r="N4073" s="3" t="str">
        <f t="shared" si="255"/>
        <v>OK</v>
      </c>
    </row>
    <row r="4074" spans="1:14" x14ac:dyDescent="0.3">
      <c r="A4074" s="2">
        <f>DATE(VALUE(RIGHT(TRIM([1]Raw_Data!A4072),4)),VALUE(MID(TRIM([1]Raw_Data!A4072),4,2)),VALUE(LEFT(TRIM([1]Raw_Data!A4072),2)))</f>
        <v>45614</v>
      </c>
      <c r="B4074" s="3" t="str">
        <f>TRIM([1]Raw_Data!B4072)</f>
        <v>Creatine</v>
      </c>
      <c r="C4074" s="3" t="str">
        <f>TRIM([1]Raw_Data!C4072)</f>
        <v>Performance</v>
      </c>
      <c r="D4074" s="3">
        <f>[1]Raw_Data!D4072</f>
        <v>163</v>
      </c>
      <c r="E4074" s="4">
        <f>[1]Raw_Data!E4072</f>
        <v>12.81</v>
      </c>
      <c r="F4074" s="5">
        <f>[1]Raw_Data!F4072</f>
        <v>2088.0300000000002</v>
      </c>
      <c r="G4074" s="4">
        <f>[1]Raw_Data!G4072</f>
        <v>0.24</v>
      </c>
      <c r="H4074" s="3">
        <f>[1]Raw_Data!H4072</f>
        <v>0</v>
      </c>
      <c r="I4074" s="3" t="str">
        <f>TRIM([1]Raw_Data!I4072)</f>
        <v>UK</v>
      </c>
      <c r="J4074" s="3" t="str">
        <f>TRIM([1]Raw_Data!J4072)</f>
        <v>iHerb</v>
      </c>
      <c r="K4074" s="3">
        <f t="shared" si="252"/>
        <v>2024</v>
      </c>
      <c r="L4074" s="6">
        <f t="shared" si="253"/>
        <v>45597</v>
      </c>
      <c r="M4074" s="3" t="str">
        <f t="shared" si="254"/>
        <v>21% to 25%</v>
      </c>
      <c r="N4074" s="3" t="str">
        <f t="shared" si="255"/>
        <v>OK</v>
      </c>
    </row>
    <row r="4075" spans="1:14" x14ac:dyDescent="0.3">
      <c r="A4075" s="2">
        <f>DATE(VALUE(RIGHT(TRIM([1]Raw_Data!A4073),4)),VALUE(MID(TRIM([1]Raw_Data!A4073),4,2)),VALUE(LEFT(TRIM([1]Raw_Data!A4073),2)))</f>
        <v>45614</v>
      </c>
      <c r="B4075" s="3" t="str">
        <f>TRIM([1]Raw_Data!B4073)</f>
        <v>Zinc</v>
      </c>
      <c r="C4075" s="3" t="str">
        <f>TRIM([1]Raw_Data!C4073)</f>
        <v>Mineral</v>
      </c>
      <c r="D4075" s="3">
        <f>[1]Raw_Data!D4073</f>
        <v>144</v>
      </c>
      <c r="E4075" s="4">
        <f>[1]Raw_Data!E4073</f>
        <v>50.89</v>
      </c>
      <c r="F4075" s="5">
        <f>[1]Raw_Data!F4073</f>
        <v>7328.16</v>
      </c>
      <c r="G4075" s="4">
        <f>[1]Raw_Data!G4073</f>
        <v>0.06</v>
      </c>
      <c r="H4075" s="3">
        <f>[1]Raw_Data!H4073</f>
        <v>2</v>
      </c>
      <c r="I4075" s="3" t="str">
        <f>TRIM([1]Raw_Data!I4073)</f>
        <v>UK</v>
      </c>
      <c r="J4075" s="3" t="str">
        <f>TRIM([1]Raw_Data!J4073)</f>
        <v>Amazon</v>
      </c>
      <c r="K4075" s="3">
        <f t="shared" si="252"/>
        <v>2024</v>
      </c>
      <c r="L4075" s="6">
        <f t="shared" si="253"/>
        <v>45597</v>
      </c>
      <c r="M4075" s="3" t="str">
        <f t="shared" si="254"/>
        <v>6% to 10%</v>
      </c>
      <c r="N4075" s="3" t="str">
        <f t="shared" si="255"/>
        <v>OK</v>
      </c>
    </row>
    <row r="4076" spans="1:14" x14ac:dyDescent="0.3">
      <c r="A4076" s="2">
        <f>DATE(VALUE(RIGHT(TRIM([1]Raw_Data!A4074),4)),VALUE(MID(TRIM([1]Raw_Data!A4074),4,2)),VALUE(LEFT(TRIM([1]Raw_Data!A4074),2)))</f>
        <v>45614</v>
      </c>
      <c r="B4076" s="3" t="str">
        <f>TRIM([1]Raw_Data!B4074)</f>
        <v>Collagen Peptides</v>
      </c>
      <c r="C4076" s="3" t="str">
        <f>TRIM([1]Raw_Data!C4074)</f>
        <v>Protein</v>
      </c>
      <c r="D4076" s="3">
        <f>[1]Raw_Data!D4074</f>
        <v>162</v>
      </c>
      <c r="E4076" s="4">
        <f>[1]Raw_Data!E4074</f>
        <v>12.1</v>
      </c>
      <c r="F4076" s="5">
        <f>[1]Raw_Data!F4074</f>
        <v>1960.2</v>
      </c>
      <c r="G4076" s="4">
        <f>[1]Raw_Data!G4074</f>
        <v>0.05</v>
      </c>
      <c r="H4076" s="3">
        <f>[1]Raw_Data!H4074</f>
        <v>1</v>
      </c>
      <c r="I4076" s="3" t="str">
        <f>TRIM([1]Raw_Data!I4074)</f>
        <v>Canada</v>
      </c>
      <c r="J4076" s="3" t="str">
        <f>TRIM([1]Raw_Data!J4074)</f>
        <v>iHerb</v>
      </c>
      <c r="K4076" s="3">
        <f t="shared" si="252"/>
        <v>2024</v>
      </c>
      <c r="L4076" s="6">
        <f t="shared" si="253"/>
        <v>45597</v>
      </c>
      <c r="M4076" s="3" t="str">
        <f t="shared" si="254"/>
        <v>0% to 5%</v>
      </c>
      <c r="N4076" s="3" t="str">
        <f t="shared" si="255"/>
        <v>OK</v>
      </c>
    </row>
    <row r="4077" spans="1:14" x14ac:dyDescent="0.3">
      <c r="A4077" s="2">
        <f>DATE(VALUE(RIGHT(TRIM([1]Raw_Data!A4075),4)),VALUE(MID(TRIM([1]Raw_Data!A4075),4,2)),VALUE(LEFT(TRIM([1]Raw_Data!A4075),2)))</f>
        <v>45614</v>
      </c>
      <c r="B4077" s="3" t="str">
        <f>TRIM([1]Raw_Data!B4075)</f>
        <v>Magnesium</v>
      </c>
      <c r="C4077" s="3" t="str">
        <f>TRIM([1]Raw_Data!C4075)</f>
        <v>Mineral</v>
      </c>
      <c r="D4077" s="3">
        <f>[1]Raw_Data!D4075</f>
        <v>126</v>
      </c>
      <c r="E4077" s="4">
        <f>[1]Raw_Data!E4075</f>
        <v>29</v>
      </c>
      <c r="F4077" s="5">
        <f>[1]Raw_Data!F4075</f>
        <v>3654</v>
      </c>
      <c r="G4077" s="4">
        <f>[1]Raw_Data!G4075</f>
        <v>0.22</v>
      </c>
      <c r="H4077" s="3">
        <f>[1]Raw_Data!H4075</f>
        <v>0</v>
      </c>
      <c r="I4077" s="3" t="str">
        <f>TRIM([1]Raw_Data!I4075)</f>
        <v>USA</v>
      </c>
      <c r="J4077" s="3" t="str">
        <f>TRIM([1]Raw_Data!J4075)</f>
        <v>Amazon</v>
      </c>
      <c r="K4077" s="3">
        <f t="shared" si="252"/>
        <v>2024</v>
      </c>
      <c r="L4077" s="6">
        <f t="shared" si="253"/>
        <v>45597</v>
      </c>
      <c r="M4077" s="3" t="str">
        <f t="shared" si="254"/>
        <v>21% to 25%</v>
      </c>
      <c r="N4077" s="3" t="str">
        <f t="shared" si="255"/>
        <v>OK</v>
      </c>
    </row>
    <row r="4078" spans="1:14" x14ac:dyDescent="0.3">
      <c r="A4078" s="2">
        <f>DATE(VALUE(RIGHT(TRIM([1]Raw_Data!A4076),4)),VALUE(MID(TRIM([1]Raw_Data!A4076),4,2)),VALUE(LEFT(TRIM([1]Raw_Data!A4076),2)))</f>
        <v>45614</v>
      </c>
      <c r="B4078" s="3" t="str">
        <f>TRIM([1]Raw_Data!B4076)</f>
        <v>Ashwagandha</v>
      </c>
      <c r="C4078" s="3" t="str">
        <f>TRIM([1]Raw_Data!C4076)</f>
        <v>Herbal</v>
      </c>
      <c r="D4078" s="3">
        <f>[1]Raw_Data!D4076</f>
        <v>148</v>
      </c>
      <c r="E4078" s="4">
        <f>[1]Raw_Data!E4076</f>
        <v>53.87</v>
      </c>
      <c r="F4078" s="5">
        <f>[1]Raw_Data!F4076</f>
        <v>7972.76</v>
      </c>
      <c r="G4078" s="4">
        <f>[1]Raw_Data!G4076</f>
        <v>0.13</v>
      </c>
      <c r="H4078" s="3">
        <f>[1]Raw_Data!H4076</f>
        <v>1</v>
      </c>
      <c r="I4078" s="3" t="str">
        <f>TRIM([1]Raw_Data!I4076)</f>
        <v>UK</v>
      </c>
      <c r="J4078" s="3" t="str">
        <f>TRIM([1]Raw_Data!J4076)</f>
        <v>Amazon</v>
      </c>
      <c r="K4078" s="3">
        <f t="shared" si="252"/>
        <v>2024</v>
      </c>
      <c r="L4078" s="6">
        <f t="shared" si="253"/>
        <v>45597</v>
      </c>
      <c r="M4078" s="3" t="str">
        <f t="shared" si="254"/>
        <v>11% to 15%</v>
      </c>
      <c r="N4078" s="3" t="str">
        <f t="shared" si="255"/>
        <v>OK</v>
      </c>
    </row>
    <row r="4079" spans="1:14" x14ac:dyDescent="0.3">
      <c r="A4079" s="2">
        <f>DATE(VALUE(RIGHT(TRIM([1]Raw_Data!A4077),4)),VALUE(MID(TRIM([1]Raw_Data!A4077),4,2)),VALUE(LEFT(TRIM([1]Raw_Data!A4077),2)))</f>
        <v>45614</v>
      </c>
      <c r="B4079" s="3" t="str">
        <f>TRIM([1]Raw_Data!B4077)</f>
        <v>Melatonin</v>
      </c>
      <c r="C4079" s="3" t="str">
        <f>TRIM([1]Raw_Data!C4077)</f>
        <v>Sleep Aid</v>
      </c>
      <c r="D4079" s="3">
        <f>[1]Raw_Data!D4077</f>
        <v>166</v>
      </c>
      <c r="E4079" s="4">
        <f>[1]Raw_Data!E4077</f>
        <v>13.97</v>
      </c>
      <c r="F4079" s="5">
        <f>[1]Raw_Data!F4077</f>
        <v>2319.02</v>
      </c>
      <c r="G4079" s="4">
        <f>[1]Raw_Data!G4077</f>
        <v>0.11</v>
      </c>
      <c r="H4079" s="3">
        <f>[1]Raw_Data!H4077</f>
        <v>3</v>
      </c>
      <c r="I4079" s="3" t="str">
        <f>TRIM([1]Raw_Data!I4077)</f>
        <v>Canada</v>
      </c>
      <c r="J4079" s="3" t="str">
        <f>TRIM([1]Raw_Data!J4077)</f>
        <v>iHerb</v>
      </c>
      <c r="K4079" s="3">
        <f t="shared" si="252"/>
        <v>2024</v>
      </c>
      <c r="L4079" s="6">
        <f t="shared" si="253"/>
        <v>45597</v>
      </c>
      <c r="M4079" s="3" t="str">
        <f t="shared" si="254"/>
        <v>11% to 15%</v>
      </c>
      <c r="N4079" s="3" t="str">
        <f t="shared" si="255"/>
        <v>OK</v>
      </c>
    </row>
    <row r="4080" spans="1:14" x14ac:dyDescent="0.3">
      <c r="A4080" s="2">
        <f>DATE(VALUE(RIGHT(TRIM([1]Raw_Data!A4078),4)),VALUE(MID(TRIM([1]Raw_Data!A4078),4,2)),VALUE(LEFT(TRIM([1]Raw_Data!A4078),2)))</f>
        <v>45614</v>
      </c>
      <c r="B4080" s="3" t="str">
        <f>TRIM([1]Raw_Data!B4078)</f>
        <v>Biotin</v>
      </c>
      <c r="C4080" s="3" t="str">
        <f>TRIM([1]Raw_Data!C4078)</f>
        <v>Vitamin</v>
      </c>
      <c r="D4080" s="3">
        <f>[1]Raw_Data!D4078</f>
        <v>153</v>
      </c>
      <c r="E4080" s="4">
        <f>[1]Raw_Data!E4078</f>
        <v>24.32</v>
      </c>
      <c r="F4080" s="5">
        <f>[1]Raw_Data!F4078</f>
        <v>3720.96</v>
      </c>
      <c r="G4080" s="4">
        <f>[1]Raw_Data!G4078</f>
        <v>7.0000000000000007E-2</v>
      </c>
      <c r="H4080" s="3">
        <f>[1]Raw_Data!H4078</f>
        <v>1</v>
      </c>
      <c r="I4080" s="3" t="str">
        <f>TRIM([1]Raw_Data!I4078)</f>
        <v>UK</v>
      </c>
      <c r="J4080" s="3" t="str">
        <f>TRIM([1]Raw_Data!J4078)</f>
        <v>Walmart</v>
      </c>
      <c r="K4080" s="3">
        <f t="shared" si="252"/>
        <v>2024</v>
      </c>
      <c r="L4080" s="6">
        <f t="shared" si="253"/>
        <v>45597</v>
      </c>
      <c r="M4080" s="3" t="str">
        <f t="shared" si="254"/>
        <v>6% to 10%</v>
      </c>
      <c r="N4080" s="3" t="str">
        <f t="shared" si="255"/>
        <v>OK</v>
      </c>
    </row>
    <row r="4081" spans="1:14" x14ac:dyDescent="0.3">
      <c r="A4081" s="2">
        <f>DATE(VALUE(RIGHT(TRIM([1]Raw_Data!A4079),4)),VALUE(MID(TRIM([1]Raw_Data!A4079),4,2)),VALUE(LEFT(TRIM([1]Raw_Data!A4079),2)))</f>
        <v>45614</v>
      </c>
      <c r="B4081" s="3" t="str">
        <f>TRIM([1]Raw_Data!B4079)</f>
        <v>Green Tea Extract</v>
      </c>
      <c r="C4081" s="3" t="str">
        <f>TRIM([1]Raw_Data!C4079)</f>
        <v>Fat Burner</v>
      </c>
      <c r="D4081" s="3">
        <f>[1]Raw_Data!D4079</f>
        <v>145</v>
      </c>
      <c r="E4081" s="4">
        <f>[1]Raw_Data!E4079</f>
        <v>42.09</v>
      </c>
      <c r="F4081" s="5">
        <f>[1]Raw_Data!F4079</f>
        <v>6103.05</v>
      </c>
      <c r="G4081" s="4">
        <f>[1]Raw_Data!G4079</f>
        <v>0.19</v>
      </c>
      <c r="H4081" s="3">
        <f>[1]Raw_Data!H4079</f>
        <v>2</v>
      </c>
      <c r="I4081" s="3" t="str">
        <f>TRIM([1]Raw_Data!I4079)</f>
        <v>Canada</v>
      </c>
      <c r="J4081" s="3" t="str">
        <f>TRIM([1]Raw_Data!J4079)</f>
        <v>iHerb</v>
      </c>
      <c r="K4081" s="3">
        <f t="shared" si="252"/>
        <v>2024</v>
      </c>
      <c r="L4081" s="6">
        <f t="shared" si="253"/>
        <v>45597</v>
      </c>
      <c r="M4081" s="3" t="str">
        <f t="shared" si="254"/>
        <v>16% to 20%</v>
      </c>
      <c r="N4081" s="3" t="str">
        <f t="shared" si="255"/>
        <v>OK</v>
      </c>
    </row>
    <row r="4082" spans="1:14" x14ac:dyDescent="0.3">
      <c r="A4082" s="2">
        <f>DATE(VALUE(RIGHT(TRIM([1]Raw_Data!A4080),4)),VALUE(MID(TRIM([1]Raw_Data!A4080),4,2)),VALUE(LEFT(TRIM([1]Raw_Data!A4080),2)))</f>
        <v>45614</v>
      </c>
      <c r="B4082" s="3" t="str">
        <f>TRIM([1]Raw_Data!B4080)</f>
        <v>Iron Supplement</v>
      </c>
      <c r="C4082" s="3" t="str">
        <f>TRIM([1]Raw_Data!C4080)</f>
        <v>Mineral</v>
      </c>
      <c r="D4082" s="3">
        <f>[1]Raw_Data!D4080</f>
        <v>171</v>
      </c>
      <c r="E4082" s="4">
        <f>[1]Raw_Data!E4080</f>
        <v>59.23</v>
      </c>
      <c r="F4082" s="5">
        <f>[1]Raw_Data!F4080</f>
        <v>10128.33</v>
      </c>
      <c r="G4082" s="4">
        <f>[1]Raw_Data!G4080</f>
        <v>0.05</v>
      </c>
      <c r="H4082" s="3">
        <f>[1]Raw_Data!H4080</f>
        <v>2</v>
      </c>
      <c r="I4082" s="3" t="str">
        <f>TRIM([1]Raw_Data!I4080)</f>
        <v>Canada</v>
      </c>
      <c r="J4082" s="3" t="str">
        <f>TRIM([1]Raw_Data!J4080)</f>
        <v>Amazon</v>
      </c>
      <c r="K4082" s="3">
        <f t="shared" si="252"/>
        <v>2024</v>
      </c>
      <c r="L4082" s="6">
        <f t="shared" si="253"/>
        <v>45597</v>
      </c>
      <c r="M4082" s="3" t="str">
        <f t="shared" si="254"/>
        <v>0% to 5%</v>
      </c>
      <c r="N4082" s="3" t="str">
        <f t="shared" si="255"/>
        <v>OK</v>
      </c>
    </row>
    <row r="4083" spans="1:14" x14ac:dyDescent="0.3">
      <c r="A4083" s="2">
        <f>DATE(VALUE(RIGHT(TRIM([1]Raw_Data!A4081),4)),VALUE(MID(TRIM([1]Raw_Data!A4081),4,2)),VALUE(LEFT(TRIM([1]Raw_Data!A4081),2)))</f>
        <v>45614</v>
      </c>
      <c r="B4083" s="3" t="str">
        <f>TRIM([1]Raw_Data!B4081)</f>
        <v>Electrolyte Powder</v>
      </c>
      <c r="C4083" s="3" t="str">
        <f>TRIM([1]Raw_Data!C4081)</f>
        <v>Hydration</v>
      </c>
      <c r="D4083" s="3">
        <f>[1]Raw_Data!D4081</f>
        <v>151</v>
      </c>
      <c r="E4083" s="4">
        <f>[1]Raw_Data!E4081</f>
        <v>33.840000000000003</v>
      </c>
      <c r="F4083" s="5">
        <f>[1]Raw_Data!F4081</f>
        <v>5109.84</v>
      </c>
      <c r="G4083" s="4">
        <f>[1]Raw_Data!G4081</f>
        <v>0.2</v>
      </c>
      <c r="H4083" s="3">
        <f>[1]Raw_Data!H4081</f>
        <v>3</v>
      </c>
      <c r="I4083" s="3" t="str">
        <f>TRIM([1]Raw_Data!I4081)</f>
        <v>USA</v>
      </c>
      <c r="J4083" s="3" t="str">
        <f>TRIM([1]Raw_Data!J4081)</f>
        <v>Amazon</v>
      </c>
      <c r="K4083" s="3">
        <f t="shared" si="252"/>
        <v>2024</v>
      </c>
      <c r="L4083" s="6">
        <f t="shared" si="253"/>
        <v>45597</v>
      </c>
      <c r="M4083" s="3" t="str">
        <f t="shared" si="254"/>
        <v>16% to 20%</v>
      </c>
      <c r="N4083" s="3" t="str">
        <f t="shared" si="255"/>
        <v>OK</v>
      </c>
    </row>
    <row r="4084" spans="1:14" x14ac:dyDescent="0.3">
      <c r="A4084" s="2">
        <f>DATE(VALUE(RIGHT(TRIM([1]Raw_Data!A4082),4)),VALUE(MID(TRIM([1]Raw_Data!A4082),4,2)),VALUE(LEFT(TRIM([1]Raw_Data!A4082),2)))</f>
        <v>45621</v>
      </c>
      <c r="B4084" s="3" t="str">
        <f>TRIM([1]Raw_Data!B4082)</f>
        <v>Whey Protein</v>
      </c>
      <c r="C4084" s="3" t="str">
        <f>TRIM([1]Raw_Data!C4082)</f>
        <v>Protein</v>
      </c>
      <c r="D4084" s="3">
        <f>[1]Raw_Data!D4082</f>
        <v>159</v>
      </c>
      <c r="E4084" s="4">
        <f>[1]Raw_Data!E4082</f>
        <v>13.36</v>
      </c>
      <c r="F4084" s="5">
        <f>[1]Raw_Data!F4082</f>
        <v>2124.2399999999998</v>
      </c>
      <c r="G4084" s="4">
        <f>[1]Raw_Data!G4082</f>
        <v>0.05</v>
      </c>
      <c r="H4084" s="3">
        <f>[1]Raw_Data!H4082</f>
        <v>4</v>
      </c>
      <c r="I4084" s="3" t="str">
        <f>TRIM([1]Raw_Data!I4082)</f>
        <v>UK</v>
      </c>
      <c r="J4084" s="3" t="str">
        <f>TRIM([1]Raw_Data!J4082)</f>
        <v>Walmart</v>
      </c>
      <c r="K4084" s="3">
        <f t="shared" si="252"/>
        <v>2024</v>
      </c>
      <c r="L4084" s="6">
        <f t="shared" si="253"/>
        <v>45597</v>
      </c>
      <c r="M4084" s="3" t="str">
        <f t="shared" si="254"/>
        <v>0% to 5%</v>
      </c>
      <c r="N4084" s="3" t="str">
        <f t="shared" si="255"/>
        <v>OK</v>
      </c>
    </row>
    <row r="4085" spans="1:14" x14ac:dyDescent="0.3">
      <c r="A4085" s="2">
        <f>DATE(VALUE(RIGHT(TRIM([1]Raw_Data!A4083),4)),VALUE(MID(TRIM([1]Raw_Data!A4083),4,2)),VALUE(LEFT(TRIM([1]Raw_Data!A4083),2)))</f>
        <v>45621</v>
      </c>
      <c r="B4085" s="3" t="str">
        <f>TRIM([1]Raw_Data!B4083)</f>
        <v>Vitamin C</v>
      </c>
      <c r="C4085" s="3" t="str">
        <f>TRIM([1]Raw_Data!C4083)</f>
        <v>Vitamin</v>
      </c>
      <c r="D4085" s="3">
        <f>[1]Raw_Data!D4083</f>
        <v>157</v>
      </c>
      <c r="E4085" s="4">
        <f>[1]Raw_Data!E4083</f>
        <v>28.35</v>
      </c>
      <c r="F4085" s="5">
        <f>[1]Raw_Data!F4083</f>
        <v>4450.95</v>
      </c>
      <c r="G4085" s="4">
        <f>[1]Raw_Data!G4083</f>
        <v>0.01</v>
      </c>
      <c r="H4085" s="3">
        <f>[1]Raw_Data!H4083</f>
        <v>1</v>
      </c>
      <c r="I4085" s="3" t="str">
        <f>TRIM([1]Raw_Data!I4083)</f>
        <v>Canada</v>
      </c>
      <c r="J4085" s="3" t="str">
        <f>TRIM([1]Raw_Data!J4083)</f>
        <v>iHerb</v>
      </c>
      <c r="K4085" s="3">
        <f t="shared" si="252"/>
        <v>2024</v>
      </c>
      <c r="L4085" s="6">
        <f t="shared" si="253"/>
        <v>45597</v>
      </c>
      <c r="M4085" s="3" t="str">
        <f t="shared" si="254"/>
        <v>0% to 5%</v>
      </c>
      <c r="N4085" s="3" t="str">
        <f t="shared" si="255"/>
        <v>OK</v>
      </c>
    </row>
    <row r="4086" spans="1:14" x14ac:dyDescent="0.3">
      <c r="A4086" s="2">
        <f>DATE(VALUE(RIGHT(TRIM([1]Raw_Data!A4084),4)),VALUE(MID(TRIM([1]Raw_Data!A4084),4,2)),VALUE(LEFT(TRIM([1]Raw_Data!A4084),2)))</f>
        <v>45621</v>
      </c>
      <c r="B4086" s="3" t="str">
        <f>TRIM([1]Raw_Data!B4084)</f>
        <v>Fish Oil</v>
      </c>
      <c r="C4086" s="3" t="str">
        <f>TRIM([1]Raw_Data!C4084)</f>
        <v>Omega</v>
      </c>
      <c r="D4086" s="3">
        <f>[1]Raw_Data!D4084</f>
        <v>150</v>
      </c>
      <c r="E4086" s="4">
        <f>[1]Raw_Data!E4084</f>
        <v>18.66</v>
      </c>
      <c r="F4086" s="5">
        <f>[1]Raw_Data!F4084</f>
        <v>2799</v>
      </c>
      <c r="G4086" s="4">
        <f>[1]Raw_Data!G4084</f>
        <v>0.13</v>
      </c>
      <c r="H4086" s="3">
        <f>[1]Raw_Data!H4084</f>
        <v>2</v>
      </c>
      <c r="I4086" s="3" t="str">
        <f>TRIM([1]Raw_Data!I4084)</f>
        <v>UK</v>
      </c>
      <c r="J4086" s="3" t="str">
        <f>TRIM([1]Raw_Data!J4084)</f>
        <v>Walmart</v>
      </c>
      <c r="K4086" s="3">
        <f t="shared" si="252"/>
        <v>2024</v>
      </c>
      <c r="L4086" s="6">
        <f t="shared" si="253"/>
        <v>45597</v>
      </c>
      <c r="M4086" s="3" t="str">
        <f t="shared" si="254"/>
        <v>11% to 15%</v>
      </c>
      <c r="N4086" s="3" t="str">
        <f t="shared" si="255"/>
        <v>OK</v>
      </c>
    </row>
    <row r="4087" spans="1:14" x14ac:dyDescent="0.3">
      <c r="A4087" s="2">
        <f>DATE(VALUE(RIGHT(TRIM([1]Raw_Data!A4085),4)),VALUE(MID(TRIM([1]Raw_Data!A4085),4,2)),VALUE(LEFT(TRIM([1]Raw_Data!A4085),2)))</f>
        <v>45621</v>
      </c>
      <c r="B4087" s="3" t="str">
        <f>TRIM([1]Raw_Data!B4085)</f>
        <v>Multivitamin</v>
      </c>
      <c r="C4087" s="3" t="str">
        <f>TRIM([1]Raw_Data!C4085)</f>
        <v>Vitamin</v>
      </c>
      <c r="D4087" s="3">
        <f>[1]Raw_Data!D4085</f>
        <v>140</v>
      </c>
      <c r="E4087" s="4">
        <f>[1]Raw_Data!E4085</f>
        <v>55.02</v>
      </c>
      <c r="F4087" s="5">
        <f>[1]Raw_Data!F4085</f>
        <v>7702.8</v>
      </c>
      <c r="G4087" s="4">
        <f>[1]Raw_Data!G4085</f>
        <v>0.12</v>
      </c>
      <c r="H4087" s="3">
        <f>[1]Raw_Data!H4085</f>
        <v>3</v>
      </c>
      <c r="I4087" s="3" t="str">
        <f>TRIM([1]Raw_Data!I4085)</f>
        <v>Canada</v>
      </c>
      <c r="J4087" s="3" t="str">
        <f>TRIM([1]Raw_Data!J4085)</f>
        <v>Amazon</v>
      </c>
      <c r="K4087" s="3">
        <f t="shared" si="252"/>
        <v>2024</v>
      </c>
      <c r="L4087" s="6">
        <f t="shared" si="253"/>
        <v>45597</v>
      </c>
      <c r="M4087" s="3" t="str">
        <f t="shared" si="254"/>
        <v>11% to 15%</v>
      </c>
      <c r="N4087" s="3" t="str">
        <f t="shared" si="255"/>
        <v>OK</v>
      </c>
    </row>
    <row r="4088" spans="1:14" x14ac:dyDescent="0.3">
      <c r="A4088" s="2">
        <f>DATE(VALUE(RIGHT(TRIM([1]Raw_Data!A4086),4)),VALUE(MID(TRIM([1]Raw_Data!A4086),4,2)),VALUE(LEFT(TRIM([1]Raw_Data!A4086),2)))</f>
        <v>45621</v>
      </c>
      <c r="B4088" s="3" t="str">
        <f>TRIM([1]Raw_Data!B4086)</f>
        <v>Pre-Workout</v>
      </c>
      <c r="C4088" s="3" t="str">
        <f>TRIM([1]Raw_Data!C4086)</f>
        <v>Performance</v>
      </c>
      <c r="D4088" s="3">
        <f>[1]Raw_Data!D4086</f>
        <v>172</v>
      </c>
      <c r="E4088" s="4">
        <f>[1]Raw_Data!E4086</f>
        <v>14.79</v>
      </c>
      <c r="F4088" s="5">
        <f>[1]Raw_Data!F4086</f>
        <v>2543.88</v>
      </c>
      <c r="G4088" s="4">
        <f>[1]Raw_Data!G4086</f>
        <v>0.12</v>
      </c>
      <c r="H4088" s="3">
        <f>[1]Raw_Data!H4086</f>
        <v>2</v>
      </c>
      <c r="I4088" s="3" t="str">
        <f>TRIM([1]Raw_Data!I4086)</f>
        <v>USA</v>
      </c>
      <c r="J4088" s="3" t="str">
        <f>TRIM([1]Raw_Data!J4086)</f>
        <v>iHerb</v>
      </c>
      <c r="K4088" s="3">
        <f t="shared" si="252"/>
        <v>2024</v>
      </c>
      <c r="L4088" s="6">
        <f t="shared" si="253"/>
        <v>45597</v>
      </c>
      <c r="M4088" s="3" t="str">
        <f t="shared" si="254"/>
        <v>11% to 15%</v>
      </c>
      <c r="N4088" s="3" t="str">
        <f t="shared" si="255"/>
        <v>OK</v>
      </c>
    </row>
    <row r="4089" spans="1:14" x14ac:dyDescent="0.3">
      <c r="A4089" s="2">
        <f>DATE(VALUE(RIGHT(TRIM([1]Raw_Data!A4087),4)),VALUE(MID(TRIM([1]Raw_Data!A4087),4,2)),VALUE(LEFT(TRIM([1]Raw_Data!A4087),2)))</f>
        <v>45621</v>
      </c>
      <c r="B4089" s="3" t="str">
        <f>TRIM([1]Raw_Data!B4087)</f>
        <v>BCAA</v>
      </c>
      <c r="C4089" s="3" t="str">
        <f>TRIM([1]Raw_Data!C4087)</f>
        <v>Amino Acid</v>
      </c>
      <c r="D4089" s="3">
        <f>[1]Raw_Data!D4087</f>
        <v>147</v>
      </c>
      <c r="E4089" s="4">
        <f>[1]Raw_Data!E4087</f>
        <v>42.05</v>
      </c>
      <c r="F4089" s="5">
        <f>[1]Raw_Data!F4087</f>
        <v>6181.35</v>
      </c>
      <c r="G4089" s="4">
        <f>[1]Raw_Data!G4087</f>
        <v>0</v>
      </c>
      <c r="H4089" s="3">
        <f>[1]Raw_Data!H4087</f>
        <v>4</v>
      </c>
      <c r="I4089" s="3" t="str">
        <f>TRIM([1]Raw_Data!I4087)</f>
        <v>Canada</v>
      </c>
      <c r="J4089" s="3" t="str">
        <f>TRIM([1]Raw_Data!J4087)</f>
        <v>iHerb</v>
      </c>
      <c r="K4089" s="3">
        <f t="shared" si="252"/>
        <v>2024</v>
      </c>
      <c r="L4089" s="6">
        <f t="shared" si="253"/>
        <v>45597</v>
      </c>
      <c r="M4089" s="3" t="str">
        <f t="shared" si="254"/>
        <v>0% to 5%</v>
      </c>
      <c r="N4089" s="3" t="str">
        <f t="shared" si="255"/>
        <v>OK</v>
      </c>
    </row>
    <row r="4090" spans="1:14" x14ac:dyDescent="0.3">
      <c r="A4090" s="2">
        <f>DATE(VALUE(RIGHT(TRIM([1]Raw_Data!A4088),4)),VALUE(MID(TRIM([1]Raw_Data!A4088),4,2)),VALUE(LEFT(TRIM([1]Raw_Data!A4088),2)))</f>
        <v>45621</v>
      </c>
      <c r="B4090" s="3" t="str">
        <f>TRIM([1]Raw_Data!B4088)</f>
        <v>Creatine</v>
      </c>
      <c r="C4090" s="3" t="str">
        <f>TRIM([1]Raw_Data!C4088)</f>
        <v>Performance</v>
      </c>
      <c r="D4090" s="3">
        <f>[1]Raw_Data!D4088</f>
        <v>140</v>
      </c>
      <c r="E4090" s="4">
        <f>[1]Raw_Data!E4088</f>
        <v>15.45</v>
      </c>
      <c r="F4090" s="5">
        <f>[1]Raw_Data!F4088</f>
        <v>2163</v>
      </c>
      <c r="G4090" s="4">
        <f>[1]Raw_Data!G4088</f>
        <v>0.06</v>
      </c>
      <c r="H4090" s="3">
        <f>[1]Raw_Data!H4088</f>
        <v>0</v>
      </c>
      <c r="I4090" s="3" t="str">
        <f>TRIM([1]Raw_Data!I4088)</f>
        <v>USA</v>
      </c>
      <c r="J4090" s="3" t="str">
        <f>TRIM([1]Raw_Data!J4088)</f>
        <v>iHerb</v>
      </c>
      <c r="K4090" s="3">
        <f t="shared" si="252"/>
        <v>2024</v>
      </c>
      <c r="L4090" s="6">
        <f t="shared" si="253"/>
        <v>45597</v>
      </c>
      <c r="M4090" s="3" t="str">
        <f t="shared" si="254"/>
        <v>6% to 10%</v>
      </c>
      <c r="N4090" s="3" t="str">
        <f t="shared" si="255"/>
        <v>OK</v>
      </c>
    </row>
    <row r="4091" spans="1:14" x14ac:dyDescent="0.3">
      <c r="A4091" s="2">
        <f>DATE(VALUE(RIGHT(TRIM([1]Raw_Data!A4089),4)),VALUE(MID(TRIM([1]Raw_Data!A4089),4,2)),VALUE(LEFT(TRIM([1]Raw_Data!A4089),2)))</f>
        <v>45621</v>
      </c>
      <c r="B4091" s="3" t="str">
        <f>TRIM([1]Raw_Data!B4089)</f>
        <v>Zinc</v>
      </c>
      <c r="C4091" s="3" t="str">
        <f>TRIM([1]Raw_Data!C4089)</f>
        <v>Mineral</v>
      </c>
      <c r="D4091" s="3">
        <f>[1]Raw_Data!D4089</f>
        <v>155</v>
      </c>
      <c r="E4091" s="4">
        <f>[1]Raw_Data!E4089</f>
        <v>43.61</v>
      </c>
      <c r="F4091" s="5">
        <f>[1]Raw_Data!F4089</f>
        <v>6759.55</v>
      </c>
      <c r="G4091" s="4">
        <f>[1]Raw_Data!G4089</f>
        <v>0.09</v>
      </c>
      <c r="H4091" s="3">
        <f>[1]Raw_Data!H4089</f>
        <v>4</v>
      </c>
      <c r="I4091" s="3" t="str">
        <f>TRIM([1]Raw_Data!I4089)</f>
        <v>UK</v>
      </c>
      <c r="J4091" s="3" t="str">
        <f>TRIM([1]Raw_Data!J4089)</f>
        <v>iHerb</v>
      </c>
      <c r="K4091" s="3">
        <f t="shared" si="252"/>
        <v>2024</v>
      </c>
      <c r="L4091" s="6">
        <f t="shared" si="253"/>
        <v>45597</v>
      </c>
      <c r="M4091" s="3" t="str">
        <f t="shared" si="254"/>
        <v>6% to 10%</v>
      </c>
      <c r="N4091" s="3" t="str">
        <f t="shared" si="255"/>
        <v>OK</v>
      </c>
    </row>
    <row r="4092" spans="1:14" x14ac:dyDescent="0.3">
      <c r="A4092" s="2">
        <f>DATE(VALUE(RIGHT(TRIM([1]Raw_Data!A4090),4)),VALUE(MID(TRIM([1]Raw_Data!A4090),4,2)),VALUE(LEFT(TRIM([1]Raw_Data!A4090),2)))</f>
        <v>45621</v>
      </c>
      <c r="B4092" s="3" t="str">
        <f>TRIM([1]Raw_Data!B4090)</f>
        <v>Collagen Peptides</v>
      </c>
      <c r="C4092" s="3" t="str">
        <f>TRIM([1]Raw_Data!C4090)</f>
        <v>Protein</v>
      </c>
      <c r="D4092" s="3">
        <f>[1]Raw_Data!D4090</f>
        <v>168</v>
      </c>
      <c r="E4092" s="4">
        <f>[1]Raw_Data!E4090</f>
        <v>38.67</v>
      </c>
      <c r="F4092" s="5">
        <f>[1]Raw_Data!F4090</f>
        <v>6496.56</v>
      </c>
      <c r="G4092" s="4">
        <f>[1]Raw_Data!G4090</f>
        <v>0.24</v>
      </c>
      <c r="H4092" s="3">
        <f>[1]Raw_Data!H4090</f>
        <v>5</v>
      </c>
      <c r="I4092" s="3" t="str">
        <f>TRIM([1]Raw_Data!I4090)</f>
        <v>USA</v>
      </c>
      <c r="J4092" s="3" t="str">
        <f>TRIM([1]Raw_Data!J4090)</f>
        <v>Walmart</v>
      </c>
      <c r="K4092" s="3">
        <f t="shared" si="252"/>
        <v>2024</v>
      </c>
      <c r="L4092" s="6">
        <f t="shared" si="253"/>
        <v>45597</v>
      </c>
      <c r="M4092" s="3" t="str">
        <f t="shared" si="254"/>
        <v>21% to 25%</v>
      </c>
      <c r="N4092" s="3" t="str">
        <f t="shared" si="255"/>
        <v>OK</v>
      </c>
    </row>
    <row r="4093" spans="1:14" x14ac:dyDescent="0.3">
      <c r="A4093" s="2">
        <f>DATE(VALUE(RIGHT(TRIM([1]Raw_Data!A4091),4)),VALUE(MID(TRIM([1]Raw_Data!A4091),4,2)),VALUE(LEFT(TRIM([1]Raw_Data!A4091),2)))</f>
        <v>45621</v>
      </c>
      <c r="B4093" s="3" t="str">
        <f>TRIM([1]Raw_Data!B4091)</f>
        <v>Magnesium</v>
      </c>
      <c r="C4093" s="3" t="str">
        <f>TRIM([1]Raw_Data!C4091)</f>
        <v>Mineral</v>
      </c>
      <c r="D4093" s="3">
        <f>[1]Raw_Data!D4091</f>
        <v>148</v>
      </c>
      <c r="E4093" s="4">
        <f>[1]Raw_Data!E4091</f>
        <v>25.1</v>
      </c>
      <c r="F4093" s="5">
        <f>[1]Raw_Data!F4091</f>
        <v>3714.8</v>
      </c>
      <c r="G4093" s="4">
        <f>[1]Raw_Data!G4091</f>
        <v>0.09</v>
      </c>
      <c r="H4093" s="3">
        <f>[1]Raw_Data!H4091</f>
        <v>0</v>
      </c>
      <c r="I4093" s="3" t="str">
        <f>TRIM([1]Raw_Data!I4091)</f>
        <v>USA</v>
      </c>
      <c r="J4093" s="3" t="str">
        <f>TRIM([1]Raw_Data!J4091)</f>
        <v>Amazon</v>
      </c>
      <c r="K4093" s="3">
        <f t="shared" si="252"/>
        <v>2024</v>
      </c>
      <c r="L4093" s="6">
        <f t="shared" si="253"/>
        <v>45597</v>
      </c>
      <c r="M4093" s="3" t="str">
        <f t="shared" si="254"/>
        <v>6% to 10%</v>
      </c>
      <c r="N4093" s="3" t="str">
        <f t="shared" si="255"/>
        <v>OK</v>
      </c>
    </row>
    <row r="4094" spans="1:14" x14ac:dyDescent="0.3">
      <c r="A4094" s="2">
        <f>DATE(VALUE(RIGHT(TRIM([1]Raw_Data!A4092),4)),VALUE(MID(TRIM([1]Raw_Data!A4092),4,2)),VALUE(LEFT(TRIM([1]Raw_Data!A4092),2)))</f>
        <v>45621</v>
      </c>
      <c r="B4094" s="3" t="str">
        <f>TRIM([1]Raw_Data!B4092)</f>
        <v>Ashwagandha</v>
      </c>
      <c r="C4094" s="3" t="str">
        <f>TRIM([1]Raw_Data!C4092)</f>
        <v>Herbal</v>
      </c>
      <c r="D4094" s="3">
        <f>[1]Raw_Data!D4092</f>
        <v>139</v>
      </c>
      <c r="E4094" s="4">
        <f>[1]Raw_Data!E4092</f>
        <v>35.54</v>
      </c>
      <c r="F4094" s="5">
        <f>[1]Raw_Data!F4092</f>
        <v>4940.0600000000004</v>
      </c>
      <c r="G4094" s="4">
        <f>[1]Raw_Data!G4092</f>
        <v>0.06</v>
      </c>
      <c r="H4094" s="3">
        <f>[1]Raw_Data!H4092</f>
        <v>1</v>
      </c>
      <c r="I4094" s="3" t="str">
        <f>TRIM([1]Raw_Data!I4092)</f>
        <v>USA</v>
      </c>
      <c r="J4094" s="3" t="str">
        <f>TRIM([1]Raw_Data!J4092)</f>
        <v>Amazon</v>
      </c>
      <c r="K4094" s="3">
        <f t="shared" si="252"/>
        <v>2024</v>
      </c>
      <c r="L4094" s="6">
        <f t="shared" si="253"/>
        <v>45597</v>
      </c>
      <c r="M4094" s="3" t="str">
        <f t="shared" si="254"/>
        <v>6% to 10%</v>
      </c>
      <c r="N4094" s="3" t="str">
        <f t="shared" si="255"/>
        <v>OK</v>
      </c>
    </row>
    <row r="4095" spans="1:14" x14ac:dyDescent="0.3">
      <c r="A4095" s="2">
        <f>DATE(VALUE(RIGHT(TRIM([1]Raw_Data!A4093),4)),VALUE(MID(TRIM([1]Raw_Data!A4093),4,2)),VALUE(LEFT(TRIM([1]Raw_Data!A4093),2)))</f>
        <v>45621</v>
      </c>
      <c r="B4095" s="3" t="str">
        <f>TRIM([1]Raw_Data!B4093)</f>
        <v>Melatonin</v>
      </c>
      <c r="C4095" s="3" t="str">
        <f>TRIM([1]Raw_Data!C4093)</f>
        <v>Sleep Aid</v>
      </c>
      <c r="D4095" s="3">
        <f>[1]Raw_Data!D4093</f>
        <v>165</v>
      </c>
      <c r="E4095" s="4">
        <f>[1]Raw_Data!E4093</f>
        <v>55.7</v>
      </c>
      <c r="F4095" s="5">
        <f>[1]Raw_Data!F4093</f>
        <v>9190.5</v>
      </c>
      <c r="G4095" s="4">
        <f>[1]Raw_Data!G4093</f>
        <v>0.09</v>
      </c>
      <c r="H4095" s="3">
        <f>[1]Raw_Data!H4093</f>
        <v>2</v>
      </c>
      <c r="I4095" s="3" t="str">
        <f>TRIM([1]Raw_Data!I4093)</f>
        <v>Canada</v>
      </c>
      <c r="J4095" s="3" t="str">
        <f>TRIM([1]Raw_Data!J4093)</f>
        <v>iHerb</v>
      </c>
      <c r="K4095" s="3">
        <f t="shared" si="252"/>
        <v>2024</v>
      </c>
      <c r="L4095" s="6">
        <f t="shared" si="253"/>
        <v>45597</v>
      </c>
      <c r="M4095" s="3" t="str">
        <f t="shared" si="254"/>
        <v>6% to 10%</v>
      </c>
      <c r="N4095" s="3" t="str">
        <f t="shared" si="255"/>
        <v>OK</v>
      </c>
    </row>
    <row r="4096" spans="1:14" x14ac:dyDescent="0.3">
      <c r="A4096" s="2">
        <f>DATE(VALUE(RIGHT(TRIM([1]Raw_Data!A4094),4)),VALUE(MID(TRIM([1]Raw_Data!A4094),4,2)),VALUE(LEFT(TRIM([1]Raw_Data!A4094),2)))</f>
        <v>45621</v>
      </c>
      <c r="B4096" s="3" t="str">
        <f>TRIM([1]Raw_Data!B4094)</f>
        <v>Biotin</v>
      </c>
      <c r="C4096" s="3" t="str">
        <f>TRIM([1]Raw_Data!C4094)</f>
        <v>Vitamin</v>
      </c>
      <c r="D4096" s="3">
        <f>[1]Raw_Data!D4094</f>
        <v>185</v>
      </c>
      <c r="E4096" s="4">
        <f>[1]Raw_Data!E4094</f>
        <v>43.99</v>
      </c>
      <c r="F4096" s="5">
        <f>[1]Raw_Data!F4094</f>
        <v>8138.15</v>
      </c>
      <c r="G4096" s="4">
        <f>[1]Raw_Data!G4094</f>
        <v>7.0000000000000007E-2</v>
      </c>
      <c r="H4096" s="3">
        <f>[1]Raw_Data!H4094</f>
        <v>1</v>
      </c>
      <c r="I4096" s="3" t="str">
        <f>TRIM([1]Raw_Data!I4094)</f>
        <v>Canada</v>
      </c>
      <c r="J4096" s="3" t="str">
        <f>TRIM([1]Raw_Data!J4094)</f>
        <v>Amazon</v>
      </c>
      <c r="K4096" s="3">
        <f t="shared" si="252"/>
        <v>2024</v>
      </c>
      <c r="L4096" s="6">
        <f t="shared" si="253"/>
        <v>45597</v>
      </c>
      <c r="M4096" s="3" t="str">
        <f t="shared" si="254"/>
        <v>6% to 10%</v>
      </c>
      <c r="N4096" s="3" t="str">
        <f t="shared" si="255"/>
        <v>OK</v>
      </c>
    </row>
    <row r="4097" spans="1:14" x14ac:dyDescent="0.3">
      <c r="A4097" s="2">
        <f>DATE(VALUE(RIGHT(TRIM([1]Raw_Data!A4095),4)),VALUE(MID(TRIM([1]Raw_Data!A4095),4,2)),VALUE(LEFT(TRIM([1]Raw_Data!A4095),2)))</f>
        <v>45621</v>
      </c>
      <c r="B4097" s="3" t="str">
        <f>TRIM([1]Raw_Data!B4095)</f>
        <v>Green Tea Extract</v>
      </c>
      <c r="C4097" s="3" t="str">
        <f>TRIM([1]Raw_Data!C4095)</f>
        <v>Fat Burner</v>
      </c>
      <c r="D4097" s="3">
        <f>[1]Raw_Data!D4095</f>
        <v>148</v>
      </c>
      <c r="E4097" s="4">
        <f>[1]Raw_Data!E4095</f>
        <v>55.72</v>
      </c>
      <c r="F4097" s="5">
        <f>[1]Raw_Data!F4095</f>
        <v>8246.56</v>
      </c>
      <c r="G4097" s="4">
        <f>[1]Raw_Data!G4095</f>
        <v>0.06</v>
      </c>
      <c r="H4097" s="3">
        <f>[1]Raw_Data!H4095</f>
        <v>1</v>
      </c>
      <c r="I4097" s="3" t="str">
        <f>TRIM([1]Raw_Data!I4095)</f>
        <v>USA</v>
      </c>
      <c r="J4097" s="3" t="str">
        <f>TRIM([1]Raw_Data!J4095)</f>
        <v>Walmart</v>
      </c>
      <c r="K4097" s="3">
        <f t="shared" si="252"/>
        <v>2024</v>
      </c>
      <c r="L4097" s="6">
        <f t="shared" si="253"/>
        <v>45597</v>
      </c>
      <c r="M4097" s="3" t="str">
        <f t="shared" si="254"/>
        <v>6% to 10%</v>
      </c>
      <c r="N4097" s="3" t="str">
        <f t="shared" si="255"/>
        <v>OK</v>
      </c>
    </row>
    <row r="4098" spans="1:14" x14ac:dyDescent="0.3">
      <c r="A4098" s="2">
        <f>DATE(VALUE(RIGHT(TRIM([1]Raw_Data!A4096),4)),VALUE(MID(TRIM([1]Raw_Data!A4096),4,2)),VALUE(LEFT(TRIM([1]Raw_Data!A4096),2)))</f>
        <v>45621</v>
      </c>
      <c r="B4098" s="3" t="str">
        <f>TRIM([1]Raw_Data!B4096)</f>
        <v>Iron Supplement</v>
      </c>
      <c r="C4098" s="3" t="str">
        <f>TRIM([1]Raw_Data!C4096)</f>
        <v>Mineral</v>
      </c>
      <c r="D4098" s="3">
        <f>[1]Raw_Data!D4096</f>
        <v>155</v>
      </c>
      <c r="E4098" s="4">
        <f>[1]Raw_Data!E4096</f>
        <v>14.8</v>
      </c>
      <c r="F4098" s="5">
        <f>[1]Raw_Data!F4096</f>
        <v>2294</v>
      </c>
      <c r="G4098" s="4">
        <f>[1]Raw_Data!G4096</f>
        <v>0.25</v>
      </c>
      <c r="H4098" s="3">
        <f>[1]Raw_Data!H4096</f>
        <v>2</v>
      </c>
      <c r="I4098" s="3" t="str">
        <f>TRIM([1]Raw_Data!I4096)</f>
        <v>UK</v>
      </c>
      <c r="J4098" s="3" t="str">
        <f>TRIM([1]Raw_Data!J4096)</f>
        <v>Amazon</v>
      </c>
      <c r="K4098" s="3">
        <f t="shared" si="252"/>
        <v>2024</v>
      </c>
      <c r="L4098" s="6">
        <f t="shared" si="253"/>
        <v>45597</v>
      </c>
      <c r="M4098" s="3" t="str">
        <f t="shared" si="254"/>
        <v>21% to 25%</v>
      </c>
      <c r="N4098" s="3" t="str">
        <f t="shared" si="255"/>
        <v>OK</v>
      </c>
    </row>
    <row r="4099" spans="1:14" x14ac:dyDescent="0.3">
      <c r="A4099" s="2">
        <f>DATE(VALUE(RIGHT(TRIM([1]Raw_Data!A4097),4)),VALUE(MID(TRIM([1]Raw_Data!A4097),4,2)),VALUE(LEFT(TRIM([1]Raw_Data!A4097),2)))</f>
        <v>45621</v>
      </c>
      <c r="B4099" s="3" t="str">
        <f>TRIM([1]Raw_Data!B4097)</f>
        <v>Electrolyte Powder</v>
      </c>
      <c r="C4099" s="3" t="str">
        <f>TRIM([1]Raw_Data!C4097)</f>
        <v>Hydration</v>
      </c>
      <c r="D4099" s="3">
        <f>[1]Raw_Data!D4097</f>
        <v>148</v>
      </c>
      <c r="E4099" s="4">
        <f>[1]Raw_Data!E4097</f>
        <v>14.38</v>
      </c>
      <c r="F4099" s="5">
        <f>[1]Raw_Data!F4097</f>
        <v>2128.2399999999998</v>
      </c>
      <c r="G4099" s="4">
        <f>[1]Raw_Data!G4097</f>
        <v>0.12</v>
      </c>
      <c r="H4099" s="3">
        <f>[1]Raw_Data!H4097</f>
        <v>3</v>
      </c>
      <c r="I4099" s="3" t="str">
        <f>TRIM([1]Raw_Data!I4097)</f>
        <v>USA</v>
      </c>
      <c r="J4099" s="3" t="str">
        <f>TRIM([1]Raw_Data!J4097)</f>
        <v>Walmart</v>
      </c>
      <c r="K4099" s="3">
        <f t="shared" si="252"/>
        <v>2024</v>
      </c>
      <c r="L4099" s="6">
        <f t="shared" si="253"/>
        <v>45597</v>
      </c>
      <c r="M4099" s="3" t="str">
        <f t="shared" si="254"/>
        <v>11% to 15%</v>
      </c>
      <c r="N4099" s="3" t="str">
        <f t="shared" si="255"/>
        <v>OK</v>
      </c>
    </row>
    <row r="4100" spans="1:14" x14ac:dyDescent="0.3">
      <c r="A4100" s="2">
        <f>DATE(VALUE(RIGHT(TRIM([1]Raw_Data!A4098),4)),VALUE(MID(TRIM([1]Raw_Data!A4098),4,2)),VALUE(LEFT(TRIM([1]Raw_Data!A4098),2)))</f>
        <v>45628</v>
      </c>
      <c r="B4100" s="3" t="str">
        <f>TRIM([1]Raw_Data!B4098)</f>
        <v>Whey Protein</v>
      </c>
      <c r="C4100" s="3" t="str">
        <f>TRIM([1]Raw_Data!C4098)</f>
        <v>Protein</v>
      </c>
      <c r="D4100" s="3">
        <f>[1]Raw_Data!D4098</f>
        <v>168</v>
      </c>
      <c r="E4100" s="4">
        <f>[1]Raw_Data!E4098</f>
        <v>36.57</v>
      </c>
      <c r="F4100" s="5">
        <f>[1]Raw_Data!F4098</f>
        <v>6143.76</v>
      </c>
      <c r="G4100" s="4">
        <f>[1]Raw_Data!G4098</f>
        <v>0.17</v>
      </c>
      <c r="H4100" s="3">
        <f>[1]Raw_Data!H4098</f>
        <v>1</v>
      </c>
      <c r="I4100" s="3" t="str">
        <f>TRIM([1]Raw_Data!I4098)</f>
        <v>Canada</v>
      </c>
      <c r="J4100" s="3" t="str">
        <f>TRIM([1]Raw_Data!J4098)</f>
        <v>iHerb</v>
      </c>
      <c r="K4100" s="3">
        <f t="shared" ref="K4100:K4163" si="256">YEAR(A4100)</f>
        <v>2024</v>
      </c>
      <c r="L4100" s="6">
        <f t="shared" ref="L4100:L4163" si="257">DATE(YEAR(A4100),MONTH(A4100),1)</f>
        <v>45627</v>
      </c>
      <c r="M4100" s="3" t="str">
        <f t="shared" ref="M4100:M4163" si="258">IF(ROUND(G4100*100,0)&lt;=5,"0% to 5%",IF(ROUND(G4100*100,0)&lt;=10,"6% to 10%",IF(ROUND(G4100*100,0)&lt;=15,"11% to 15%",IF(ROUND(G4100*100,0)&lt;=20,"16% to 20%","21% to 25%"))))</f>
        <v>16% to 20%</v>
      </c>
      <c r="N4100" s="3" t="str">
        <f t="shared" ref="N4100:N4163" si="259">IF(ROUND(D4100*E4100,2)=ROUND(F4100,2),"OK","Check")</f>
        <v>OK</v>
      </c>
    </row>
    <row r="4101" spans="1:14" x14ac:dyDescent="0.3">
      <c r="A4101" s="2">
        <f>DATE(VALUE(RIGHT(TRIM([1]Raw_Data!A4099),4)),VALUE(MID(TRIM([1]Raw_Data!A4099),4,2)),VALUE(LEFT(TRIM([1]Raw_Data!A4099),2)))</f>
        <v>45628</v>
      </c>
      <c r="B4101" s="3" t="str">
        <f>TRIM([1]Raw_Data!B4099)</f>
        <v>Vitamin C</v>
      </c>
      <c r="C4101" s="3" t="str">
        <f>TRIM([1]Raw_Data!C4099)</f>
        <v>Vitamin</v>
      </c>
      <c r="D4101" s="3">
        <f>[1]Raw_Data!D4099</f>
        <v>126</v>
      </c>
      <c r="E4101" s="4">
        <f>[1]Raw_Data!E4099</f>
        <v>40.08</v>
      </c>
      <c r="F4101" s="5">
        <f>[1]Raw_Data!F4099</f>
        <v>5050.08</v>
      </c>
      <c r="G4101" s="4">
        <f>[1]Raw_Data!G4099</f>
        <v>0</v>
      </c>
      <c r="H4101" s="3">
        <f>[1]Raw_Data!H4099</f>
        <v>0</v>
      </c>
      <c r="I4101" s="3" t="str">
        <f>TRIM([1]Raw_Data!I4099)</f>
        <v>UK</v>
      </c>
      <c r="J4101" s="3" t="str">
        <f>TRIM([1]Raw_Data!J4099)</f>
        <v>Walmart</v>
      </c>
      <c r="K4101" s="3">
        <f t="shared" si="256"/>
        <v>2024</v>
      </c>
      <c r="L4101" s="6">
        <f t="shared" si="257"/>
        <v>45627</v>
      </c>
      <c r="M4101" s="3" t="str">
        <f t="shared" si="258"/>
        <v>0% to 5%</v>
      </c>
      <c r="N4101" s="3" t="str">
        <f t="shared" si="259"/>
        <v>OK</v>
      </c>
    </row>
    <row r="4102" spans="1:14" x14ac:dyDescent="0.3">
      <c r="A4102" s="2">
        <f>DATE(VALUE(RIGHT(TRIM([1]Raw_Data!A4100),4)),VALUE(MID(TRIM([1]Raw_Data!A4100),4,2)),VALUE(LEFT(TRIM([1]Raw_Data!A4100),2)))</f>
        <v>45628</v>
      </c>
      <c r="B4102" s="3" t="str">
        <f>TRIM([1]Raw_Data!B4100)</f>
        <v>Fish Oil</v>
      </c>
      <c r="C4102" s="3" t="str">
        <f>TRIM([1]Raw_Data!C4100)</f>
        <v>Omega</v>
      </c>
      <c r="D4102" s="3">
        <f>[1]Raw_Data!D4100</f>
        <v>139</v>
      </c>
      <c r="E4102" s="4">
        <f>[1]Raw_Data!E4100</f>
        <v>37.049999999999997</v>
      </c>
      <c r="F4102" s="5">
        <f>[1]Raw_Data!F4100</f>
        <v>5149.95</v>
      </c>
      <c r="G4102" s="4">
        <f>[1]Raw_Data!G4100</f>
        <v>7.0000000000000007E-2</v>
      </c>
      <c r="H4102" s="3">
        <f>[1]Raw_Data!H4100</f>
        <v>1</v>
      </c>
      <c r="I4102" s="3" t="str">
        <f>TRIM([1]Raw_Data!I4100)</f>
        <v>USA</v>
      </c>
      <c r="J4102" s="3" t="str">
        <f>TRIM([1]Raw_Data!J4100)</f>
        <v>Walmart</v>
      </c>
      <c r="K4102" s="3">
        <f t="shared" si="256"/>
        <v>2024</v>
      </c>
      <c r="L4102" s="6">
        <f t="shared" si="257"/>
        <v>45627</v>
      </c>
      <c r="M4102" s="3" t="str">
        <f t="shared" si="258"/>
        <v>6% to 10%</v>
      </c>
      <c r="N4102" s="3" t="str">
        <f t="shared" si="259"/>
        <v>OK</v>
      </c>
    </row>
    <row r="4103" spans="1:14" x14ac:dyDescent="0.3">
      <c r="A4103" s="2">
        <f>DATE(VALUE(RIGHT(TRIM([1]Raw_Data!A4101),4)),VALUE(MID(TRIM([1]Raw_Data!A4101),4,2)),VALUE(LEFT(TRIM([1]Raw_Data!A4101),2)))</f>
        <v>45628</v>
      </c>
      <c r="B4103" s="3" t="str">
        <f>TRIM([1]Raw_Data!B4101)</f>
        <v>Multivitamin</v>
      </c>
      <c r="C4103" s="3" t="str">
        <f>TRIM([1]Raw_Data!C4101)</f>
        <v>Vitamin</v>
      </c>
      <c r="D4103" s="3">
        <f>[1]Raw_Data!D4101</f>
        <v>166</v>
      </c>
      <c r="E4103" s="4">
        <f>[1]Raw_Data!E4101</f>
        <v>34.770000000000003</v>
      </c>
      <c r="F4103" s="5">
        <f>[1]Raw_Data!F4101</f>
        <v>5771.82</v>
      </c>
      <c r="G4103" s="4">
        <f>[1]Raw_Data!G4101</f>
        <v>0.24</v>
      </c>
      <c r="H4103" s="3">
        <f>[1]Raw_Data!H4101</f>
        <v>2</v>
      </c>
      <c r="I4103" s="3" t="str">
        <f>TRIM([1]Raw_Data!I4101)</f>
        <v>Canada</v>
      </c>
      <c r="J4103" s="3" t="str">
        <f>TRIM([1]Raw_Data!J4101)</f>
        <v>Walmart</v>
      </c>
      <c r="K4103" s="3">
        <f t="shared" si="256"/>
        <v>2024</v>
      </c>
      <c r="L4103" s="6">
        <f t="shared" si="257"/>
        <v>45627</v>
      </c>
      <c r="M4103" s="3" t="str">
        <f t="shared" si="258"/>
        <v>21% to 25%</v>
      </c>
      <c r="N4103" s="3" t="str">
        <f t="shared" si="259"/>
        <v>OK</v>
      </c>
    </row>
    <row r="4104" spans="1:14" x14ac:dyDescent="0.3">
      <c r="A4104" s="2">
        <f>DATE(VALUE(RIGHT(TRIM([1]Raw_Data!A4102),4)),VALUE(MID(TRIM([1]Raw_Data!A4102),4,2)),VALUE(LEFT(TRIM([1]Raw_Data!A4102),2)))</f>
        <v>45628</v>
      </c>
      <c r="B4104" s="3" t="str">
        <f>TRIM([1]Raw_Data!B4102)</f>
        <v>Pre-Workout</v>
      </c>
      <c r="C4104" s="3" t="str">
        <f>TRIM([1]Raw_Data!C4102)</f>
        <v>Performance</v>
      </c>
      <c r="D4104" s="3">
        <f>[1]Raw_Data!D4102</f>
        <v>158</v>
      </c>
      <c r="E4104" s="4">
        <f>[1]Raw_Data!E4102</f>
        <v>11</v>
      </c>
      <c r="F4104" s="5">
        <f>[1]Raw_Data!F4102</f>
        <v>1738</v>
      </c>
      <c r="G4104" s="4">
        <f>[1]Raw_Data!G4102</f>
        <v>0.16</v>
      </c>
      <c r="H4104" s="3">
        <f>[1]Raw_Data!H4102</f>
        <v>2</v>
      </c>
      <c r="I4104" s="3" t="str">
        <f>TRIM([1]Raw_Data!I4102)</f>
        <v>Canada</v>
      </c>
      <c r="J4104" s="3" t="str">
        <f>TRIM([1]Raw_Data!J4102)</f>
        <v>Walmart</v>
      </c>
      <c r="K4104" s="3">
        <f t="shared" si="256"/>
        <v>2024</v>
      </c>
      <c r="L4104" s="6">
        <f t="shared" si="257"/>
        <v>45627</v>
      </c>
      <c r="M4104" s="3" t="str">
        <f t="shared" si="258"/>
        <v>16% to 20%</v>
      </c>
      <c r="N4104" s="3" t="str">
        <f t="shared" si="259"/>
        <v>OK</v>
      </c>
    </row>
    <row r="4105" spans="1:14" x14ac:dyDescent="0.3">
      <c r="A4105" s="2">
        <f>DATE(VALUE(RIGHT(TRIM([1]Raw_Data!A4103),4)),VALUE(MID(TRIM([1]Raw_Data!A4103),4,2)),VALUE(LEFT(TRIM([1]Raw_Data!A4103),2)))</f>
        <v>45628</v>
      </c>
      <c r="B4105" s="3" t="str">
        <f>TRIM([1]Raw_Data!B4103)</f>
        <v>BCAA</v>
      </c>
      <c r="C4105" s="3" t="str">
        <f>TRIM([1]Raw_Data!C4103)</f>
        <v>Amino Acid</v>
      </c>
      <c r="D4105" s="3">
        <f>[1]Raw_Data!D4103</f>
        <v>132</v>
      </c>
      <c r="E4105" s="4">
        <f>[1]Raw_Data!E4103</f>
        <v>55.77</v>
      </c>
      <c r="F4105" s="5">
        <f>[1]Raw_Data!F4103</f>
        <v>7361.64</v>
      </c>
      <c r="G4105" s="4">
        <f>[1]Raw_Data!G4103</f>
        <v>0.05</v>
      </c>
      <c r="H4105" s="3">
        <f>[1]Raw_Data!H4103</f>
        <v>1</v>
      </c>
      <c r="I4105" s="3" t="str">
        <f>TRIM([1]Raw_Data!I4103)</f>
        <v>Canada</v>
      </c>
      <c r="J4105" s="3" t="str">
        <f>TRIM([1]Raw_Data!J4103)</f>
        <v>Walmart</v>
      </c>
      <c r="K4105" s="3">
        <f t="shared" si="256"/>
        <v>2024</v>
      </c>
      <c r="L4105" s="6">
        <f t="shared" si="257"/>
        <v>45627</v>
      </c>
      <c r="M4105" s="3" t="str">
        <f t="shared" si="258"/>
        <v>0% to 5%</v>
      </c>
      <c r="N4105" s="3" t="str">
        <f t="shared" si="259"/>
        <v>OK</v>
      </c>
    </row>
    <row r="4106" spans="1:14" x14ac:dyDescent="0.3">
      <c r="A4106" s="2">
        <f>DATE(VALUE(RIGHT(TRIM([1]Raw_Data!A4104),4)),VALUE(MID(TRIM([1]Raw_Data!A4104),4,2)),VALUE(LEFT(TRIM([1]Raw_Data!A4104),2)))</f>
        <v>45628</v>
      </c>
      <c r="B4106" s="3" t="str">
        <f>TRIM([1]Raw_Data!B4104)</f>
        <v>Creatine</v>
      </c>
      <c r="C4106" s="3" t="str">
        <f>TRIM([1]Raw_Data!C4104)</f>
        <v>Performance</v>
      </c>
      <c r="D4106" s="3">
        <f>[1]Raw_Data!D4104</f>
        <v>149</v>
      </c>
      <c r="E4106" s="4">
        <f>[1]Raw_Data!E4104</f>
        <v>51.23</v>
      </c>
      <c r="F4106" s="5">
        <f>[1]Raw_Data!F4104</f>
        <v>7633.27</v>
      </c>
      <c r="G4106" s="4">
        <f>[1]Raw_Data!G4104</f>
        <v>0.19</v>
      </c>
      <c r="H4106" s="3">
        <f>[1]Raw_Data!H4104</f>
        <v>1</v>
      </c>
      <c r="I4106" s="3" t="str">
        <f>TRIM([1]Raw_Data!I4104)</f>
        <v>UK</v>
      </c>
      <c r="J4106" s="3" t="str">
        <f>TRIM([1]Raw_Data!J4104)</f>
        <v>Walmart</v>
      </c>
      <c r="K4106" s="3">
        <f t="shared" si="256"/>
        <v>2024</v>
      </c>
      <c r="L4106" s="6">
        <f t="shared" si="257"/>
        <v>45627</v>
      </c>
      <c r="M4106" s="3" t="str">
        <f t="shared" si="258"/>
        <v>16% to 20%</v>
      </c>
      <c r="N4106" s="3" t="str">
        <f t="shared" si="259"/>
        <v>OK</v>
      </c>
    </row>
    <row r="4107" spans="1:14" x14ac:dyDescent="0.3">
      <c r="A4107" s="2">
        <f>DATE(VALUE(RIGHT(TRIM([1]Raw_Data!A4105),4)),VALUE(MID(TRIM([1]Raw_Data!A4105),4,2)),VALUE(LEFT(TRIM([1]Raw_Data!A4105),2)))</f>
        <v>45628</v>
      </c>
      <c r="B4107" s="3" t="str">
        <f>TRIM([1]Raw_Data!B4105)</f>
        <v>Zinc</v>
      </c>
      <c r="C4107" s="3" t="str">
        <f>TRIM([1]Raw_Data!C4105)</f>
        <v>Mineral</v>
      </c>
      <c r="D4107" s="3">
        <f>[1]Raw_Data!D4105</f>
        <v>128</v>
      </c>
      <c r="E4107" s="4">
        <f>[1]Raw_Data!E4105</f>
        <v>43.99</v>
      </c>
      <c r="F4107" s="5">
        <f>[1]Raw_Data!F4105</f>
        <v>5630.72</v>
      </c>
      <c r="G4107" s="4">
        <f>[1]Raw_Data!G4105</f>
        <v>0.18</v>
      </c>
      <c r="H4107" s="3">
        <f>[1]Raw_Data!H4105</f>
        <v>4</v>
      </c>
      <c r="I4107" s="3" t="str">
        <f>TRIM([1]Raw_Data!I4105)</f>
        <v>UK</v>
      </c>
      <c r="J4107" s="3" t="str">
        <f>TRIM([1]Raw_Data!J4105)</f>
        <v>Amazon</v>
      </c>
      <c r="K4107" s="3">
        <f t="shared" si="256"/>
        <v>2024</v>
      </c>
      <c r="L4107" s="6">
        <f t="shared" si="257"/>
        <v>45627</v>
      </c>
      <c r="M4107" s="3" t="str">
        <f t="shared" si="258"/>
        <v>16% to 20%</v>
      </c>
      <c r="N4107" s="3" t="str">
        <f t="shared" si="259"/>
        <v>OK</v>
      </c>
    </row>
    <row r="4108" spans="1:14" x14ac:dyDescent="0.3">
      <c r="A4108" s="2">
        <f>DATE(VALUE(RIGHT(TRIM([1]Raw_Data!A4106),4)),VALUE(MID(TRIM([1]Raw_Data!A4106),4,2)),VALUE(LEFT(TRIM([1]Raw_Data!A4106),2)))</f>
        <v>45628</v>
      </c>
      <c r="B4108" s="3" t="str">
        <f>TRIM([1]Raw_Data!B4106)</f>
        <v>Collagen Peptides</v>
      </c>
      <c r="C4108" s="3" t="str">
        <f>TRIM([1]Raw_Data!C4106)</f>
        <v>Protein</v>
      </c>
      <c r="D4108" s="3">
        <f>[1]Raw_Data!D4106</f>
        <v>148</v>
      </c>
      <c r="E4108" s="4">
        <f>[1]Raw_Data!E4106</f>
        <v>36.96</v>
      </c>
      <c r="F4108" s="5">
        <f>[1]Raw_Data!F4106</f>
        <v>5470.08</v>
      </c>
      <c r="G4108" s="4">
        <f>[1]Raw_Data!G4106</f>
        <v>0.04</v>
      </c>
      <c r="H4108" s="3">
        <f>[1]Raw_Data!H4106</f>
        <v>1</v>
      </c>
      <c r="I4108" s="3" t="str">
        <f>TRIM([1]Raw_Data!I4106)</f>
        <v>USA</v>
      </c>
      <c r="J4108" s="3" t="str">
        <f>TRIM([1]Raw_Data!J4106)</f>
        <v>Amazon</v>
      </c>
      <c r="K4108" s="3">
        <f t="shared" si="256"/>
        <v>2024</v>
      </c>
      <c r="L4108" s="6">
        <f t="shared" si="257"/>
        <v>45627</v>
      </c>
      <c r="M4108" s="3" t="str">
        <f t="shared" si="258"/>
        <v>0% to 5%</v>
      </c>
      <c r="N4108" s="3" t="str">
        <f t="shared" si="259"/>
        <v>OK</v>
      </c>
    </row>
    <row r="4109" spans="1:14" x14ac:dyDescent="0.3">
      <c r="A4109" s="2">
        <f>DATE(VALUE(RIGHT(TRIM([1]Raw_Data!A4107),4)),VALUE(MID(TRIM([1]Raw_Data!A4107),4,2)),VALUE(LEFT(TRIM([1]Raw_Data!A4107),2)))</f>
        <v>45628</v>
      </c>
      <c r="B4109" s="3" t="str">
        <f>TRIM([1]Raw_Data!B4107)</f>
        <v>Magnesium</v>
      </c>
      <c r="C4109" s="3" t="str">
        <f>TRIM([1]Raw_Data!C4107)</f>
        <v>Mineral</v>
      </c>
      <c r="D4109" s="3">
        <f>[1]Raw_Data!D4107</f>
        <v>152</v>
      </c>
      <c r="E4109" s="4">
        <f>[1]Raw_Data!E4107</f>
        <v>28.33</v>
      </c>
      <c r="F4109" s="5">
        <f>[1]Raw_Data!F4107</f>
        <v>4306.16</v>
      </c>
      <c r="G4109" s="4">
        <f>[1]Raw_Data!G4107</f>
        <v>0.25</v>
      </c>
      <c r="H4109" s="3">
        <f>[1]Raw_Data!H4107</f>
        <v>1</v>
      </c>
      <c r="I4109" s="3" t="str">
        <f>TRIM([1]Raw_Data!I4107)</f>
        <v>UK</v>
      </c>
      <c r="J4109" s="3" t="str">
        <f>TRIM([1]Raw_Data!J4107)</f>
        <v>iHerb</v>
      </c>
      <c r="K4109" s="3">
        <f t="shared" si="256"/>
        <v>2024</v>
      </c>
      <c r="L4109" s="6">
        <f t="shared" si="257"/>
        <v>45627</v>
      </c>
      <c r="M4109" s="3" t="str">
        <f t="shared" si="258"/>
        <v>21% to 25%</v>
      </c>
      <c r="N4109" s="3" t="str">
        <f t="shared" si="259"/>
        <v>OK</v>
      </c>
    </row>
    <row r="4110" spans="1:14" x14ac:dyDescent="0.3">
      <c r="A4110" s="2">
        <f>DATE(VALUE(RIGHT(TRIM([1]Raw_Data!A4108),4)),VALUE(MID(TRIM([1]Raw_Data!A4108),4,2)),VALUE(LEFT(TRIM([1]Raw_Data!A4108),2)))</f>
        <v>45628</v>
      </c>
      <c r="B4110" s="3" t="str">
        <f>TRIM([1]Raw_Data!B4108)</f>
        <v>Ashwagandha</v>
      </c>
      <c r="C4110" s="3" t="str">
        <f>TRIM([1]Raw_Data!C4108)</f>
        <v>Herbal</v>
      </c>
      <c r="D4110" s="3">
        <f>[1]Raw_Data!D4108</f>
        <v>140</v>
      </c>
      <c r="E4110" s="4">
        <f>[1]Raw_Data!E4108</f>
        <v>17.079999999999998</v>
      </c>
      <c r="F4110" s="5">
        <f>[1]Raw_Data!F4108</f>
        <v>2391.1999999999998</v>
      </c>
      <c r="G4110" s="4">
        <f>[1]Raw_Data!G4108</f>
        <v>0.11</v>
      </c>
      <c r="H4110" s="3">
        <f>[1]Raw_Data!H4108</f>
        <v>0</v>
      </c>
      <c r="I4110" s="3" t="str">
        <f>TRIM([1]Raw_Data!I4108)</f>
        <v>Canada</v>
      </c>
      <c r="J4110" s="3" t="str">
        <f>TRIM([1]Raw_Data!J4108)</f>
        <v>iHerb</v>
      </c>
      <c r="K4110" s="3">
        <f t="shared" si="256"/>
        <v>2024</v>
      </c>
      <c r="L4110" s="6">
        <f t="shared" si="257"/>
        <v>45627</v>
      </c>
      <c r="M4110" s="3" t="str">
        <f t="shared" si="258"/>
        <v>11% to 15%</v>
      </c>
      <c r="N4110" s="3" t="str">
        <f t="shared" si="259"/>
        <v>OK</v>
      </c>
    </row>
    <row r="4111" spans="1:14" x14ac:dyDescent="0.3">
      <c r="A4111" s="2">
        <f>DATE(VALUE(RIGHT(TRIM([1]Raw_Data!A4109),4)),VALUE(MID(TRIM([1]Raw_Data!A4109),4,2)),VALUE(LEFT(TRIM([1]Raw_Data!A4109),2)))</f>
        <v>45628</v>
      </c>
      <c r="B4111" s="3" t="str">
        <f>TRIM([1]Raw_Data!B4109)</f>
        <v>Melatonin</v>
      </c>
      <c r="C4111" s="3" t="str">
        <f>TRIM([1]Raw_Data!C4109)</f>
        <v>Sleep Aid</v>
      </c>
      <c r="D4111" s="3">
        <f>[1]Raw_Data!D4109</f>
        <v>148</v>
      </c>
      <c r="E4111" s="4">
        <f>[1]Raw_Data!E4109</f>
        <v>43.51</v>
      </c>
      <c r="F4111" s="5">
        <f>[1]Raw_Data!F4109</f>
        <v>6439.48</v>
      </c>
      <c r="G4111" s="4">
        <f>[1]Raw_Data!G4109</f>
        <v>0.19</v>
      </c>
      <c r="H4111" s="3">
        <f>[1]Raw_Data!H4109</f>
        <v>0</v>
      </c>
      <c r="I4111" s="3" t="str">
        <f>TRIM([1]Raw_Data!I4109)</f>
        <v>UK</v>
      </c>
      <c r="J4111" s="3" t="str">
        <f>TRIM([1]Raw_Data!J4109)</f>
        <v>Walmart</v>
      </c>
      <c r="K4111" s="3">
        <f t="shared" si="256"/>
        <v>2024</v>
      </c>
      <c r="L4111" s="6">
        <f t="shared" si="257"/>
        <v>45627</v>
      </c>
      <c r="M4111" s="3" t="str">
        <f t="shared" si="258"/>
        <v>16% to 20%</v>
      </c>
      <c r="N4111" s="3" t="str">
        <f t="shared" si="259"/>
        <v>OK</v>
      </c>
    </row>
    <row r="4112" spans="1:14" x14ac:dyDescent="0.3">
      <c r="A4112" s="2">
        <f>DATE(VALUE(RIGHT(TRIM([1]Raw_Data!A4110),4)),VALUE(MID(TRIM([1]Raw_Data!A4110),4,2)),VALUE(LEFT(TRIM([1]Raw_Data!A4110),2)))</f>
        <v>45628</v>
      </c>
      <c r="B4112" s="3" t="str">
        <f>TRIM([1]Raw_Data!B4110)</f>
        <v>Biotin</v>
      </c>
      <c r="C4112" s="3" t="str">
        <f>TRIM([1]Raw_Data!C4110)</f>
        <v>Vitamin</v>
      </c>
      <c r="D4112" s="3">
        <f>[1]Raw_Data!D4110</f>
        <v>149</v>
      </c>
      <c r="E4112" s="4">
        <f>[1]Raw_Data!E4110</f>
        <v>54.7</v>
      </c>
      <c r="F4112" s="5">
        <f>[1]Raw_Data!F4110</f>
        <v>8150.3</v>
      </c>
      <c r="G4112" s="4">
        <f>[1]Raw_Data!G4110</f>
        <v>0.05</v>
      </c>
      <c r="H4112" s="3">
        <f>[1]Raw_Data!H4110</f>
        <v>1</v>
      </c>
      <c r="I4112" s="3" t="str">
        <f>TRIM([1]Raw_Data!I4110)</f>
        <v>UK</v>
      </c>
      <c r="J4112" s="3" t="str">
        <f>TRIM([1]Raw_Data!J4110)</f>
        <v>iHerb</v>
      </c>
      <c r="K4112" s="3">
        <f t="shared" si="256"/>
        <v>2024</v>
      </c>
      <c r="L4112" s="6">
        <f t="shared" si="257"/>
        <v>45627</v>
      </c>
      <c r="M4112" s="3" t="str">
        <f t="shared" si="258"/>
        <v>0% to 5%</v>
      </c>
      <c r="N4112" s="3" t="str">
        <f t="shared" si="259"/>
        <v>OK</v>
      </c>
    </row>
    <row r="4113" spans="1:14" x14ac:dyDescent="0.3">
      <c r="A4113" s="2">
        <f>DATE(VALUE(RIGHT(TRIM([1]Raw_Data!A4111),4)),VALUE(MID(TRIM([1]Raw_Data!A4111),4,2)),VALUE(LEFT(TRIM([1]Raw_Data!A4111),2)))</f>
        <v>45628</v>
      </c>
      <c r="B4113" s="3" t="str">
        <f>TRIM([1]Raw_Data!B4111)</f>
        <v>Green Tea Extract</v>
      </c>
      <c r="C4113" s="3" t="str">
        <f>TRIM([1]Raw_Data!C4111)</f>
        <v>Fat Burner</v>
      </c>
      <c r="D4113" s="3">
        <f>[1]Raw_Data!D4111</f>
        <v>153</v>
      </c>
      <c r="E4113" s="4">
        <f>[1]Raw_Data!E4111</f>
        <v>51.51</v>
      </c>
      <c r="F4113" s="5">
        <f>[1]Raw_Data!F4111</f>
        <v>7881.03</v>
      </c>
      <c r="G4113" s="4">
        <f>[1]Raw_Data!G4111</f>
        <v>0.06</v>
      </c>
      <c r="H4113" s="3">
        <f>[1]Raw_Data!H4111</f>
        <v>1</v>
      </c>
      <c r="I4113" s="3" t="str">
        <f>TRIM([1]Raw_Data!I4111)</f>
        <v>USA</v>
      </c>
      <c r="J4113" s="3" t="str">
        <f>TRIM([1]Raw_Data!J4111)</f>
        <v>Amazon</v>
      </c>
      <c r="K4113" s="3">
        <f t="shared" si="256"/>
        <v>2024</v>
      </c>
      <c r="L4113" s="6">
        <f t="shared" si="257"/>
        <v>45627</v>
      </c>
      <c r="M4113" s="3" t="str">
        <f t="shared" si="258"/>
        <v>6% to 10%</v>
      </c>
      <c r="N4113" s="3" t="str">
        <f t="shared" si="259"/>
        <v>OK</v>
      </c>
    </row>
    <row r="4114" spans="1:14" x14ac:dyDescent="0.3">
      <c r="A4114" s="2">
        <f>DATE(VALUE(RIGHT(TRIM([1]Raw_Data!A4112),4)),VALUE(MID(TRIM([1]Raw_Data!A4112),4,2)),VALUE(LEFT(TRIM([1]Raw_Data!A4112),2)))</f>
        <v>45628</v>
      </c>
      <c r="B4114" s="3" t="str">
        <f>TRIM([1]Raw_Data!B4112)</f>
        <v>Iron Supplement</v>
      </c>
      <c r="C4114" s="3" t="str">
        <f>TRIM([1]Raw_Data!C4112)</f>
        <v>Mineral</v>
      </c>
      <c r="D4114" s="3">
        <f>[1]Raw_Data!D4112</f>
        <v>161</v>
      </c>
      <c r="E4114" s="4">
        <f>[1]Raw_Data!E4112</f>
        <v>30.11</v>
      </c>
      <c r="F4114" s="5">
        <f>[1]Raw_Data!F4112</f>
        <v>4847.71</v>
      </c>
      <c r="G4114" s="4">
        <f>[1]Raw_Data!G4112</f>
        <v>0.01</v>
      </c>
      <c r="H4114" s="3">
        <f>[1]Raw_Data!H4112</f>
        <v>2</v>
      </c>
      <c r="I4114" s="3" t="str">
        <f>TRIM([1]Raw_Data!I4112)</f>
        <v>USA</v>
      </c>
      <c r="J4114" s="3" t="str">
        <f>TRIM([1]Raw_Data!J4112)</f>
        <v>Walmart</v>
      </c>
      <c r="K4114" s="3">
        <f t="shared" si="256"/>
        <v>2024</v>
      </c>
      <c r="L4114" s="6">
        <f t="shared" si="257"/>
        <v>45627</v>
      </c>
      <c r="M4114" s="3" t="str">
        <f t="shared" si="258"/>
        <v>0% to 5%</v>
      </c>
      <c r="N4114" s="3" t="str">
        <f t="shared" si="259"/>
        <v>OK</v>
      </c>
    </row>
    <row r="4115" spans="1:14" x14ac:dyDescent="0.3">
      <c r="A4115" s="2">
        <f>DATE(VALUE(RIGHT(TRIM([1]Raw_Data!A4113),4)),VALUE(MID(TRIM([1]Raw_Data!A4113),4,2)),VALUE(LEFT(TRIM([1]Raw_Data!A4113),2)))</f>
        <v>45628</v>
      </c>
      <c r="B4115" s="3" t="str">
        <f>TRIM([1]Raw_Data!B4113)</f>
        <v>Electrolyte Powder</v>
      </c>
      <c r="C4115" s="3" t="str">
        <f>TRIM([1]Raw_Data!C4113)</f>
        <v>Hydration</v>
      </c>
      <c r="D4115" s="3">
        <f>[1]Raw_Data!D4113</f>
        <v>165</v>
      </c>
      <c r="E4115" s="4">
        <f>[1]Raw_Data!E4113</f>
        <v>21.58</v>
      </c>
      <c r="F4115" s="5">
        <f>[1]Raw_Data!F4113</f>
        <v>3560.7</v>
      </c>
      <c r="G4115" s="4">
        <f>[1]Raw_Data!G4113</f>
        <v>0</v>
      </c>
      <c r="H4115" s="3">
        <f>[1]Raw_Data!H4113</f>
        <v>2</v>
      </c>
      <c r="I4115" s="3" t="str">
        <f>TRIM([1]Raw_Data!I4113)</f>
        <v>USA</v>
      </c>
      <c r="J4115" s="3" t="str">
        <f>TRIM([1]Raw_Data!J4113)</f>
        <v>Amazon</v>
      </c>
      <c r="K4115" s="3">
        <f t="shared" si="256"/>
        <v>2024</v>
      </c>
      <c r="L4115" s="6">
        <f t="shared" si="257"/>
        <v>45627</v>
      </c>
      <c r="M4115" s="3" t="str">
        <f t="shared" si="258"/>
        <v>0% to 5%</v>
      </c>
      <c r="N4115" s="3" t="str">
        <f t="shared" si="259"/>
        <v>OK</v>
      </c>
    </row>
    <row r="4116" spans="1:14" x14ac:dyDescent="0.3">
      <c r="A4116" s="2">
        <f>DATE(VALUE(RIGHT(TRIM([1]Raw_Data!A4114),4)),VALUE(MID(TRIM([1]Raw_Data!A4114),4,2)),VALUE(LEFT(TRIM([1]Raw_Data!A4114),2)))</f>
        <v>45635</v>
      </c>
      <c r="B4116" s="3" t="str">
        <f>TRIM([1]Raw_Data!B4114)</f>
        <v>Whey Protein</v>
      </c>
      <c r="C4116" s="3" t="str">
        <f>TRIM([1]Raw_Data!C4114)</f>
        <v>Protein</v>
      </c>
      <c r="D4116" s="3">
        <f>[1]Raw_Data!D4114</f>
        <v>150</v>
      </c>
      <c r="E4116" s="4">
        <f>[1]Raw_Data!E4114</f>
        <v>44.73</v>
      </c>
      <c r="F4116" s="5">
        <f>[1]Raw_Data!F4114</f>
        <v>6709.5</v>
      </c>
      <c r="G4116" s="4">
        <f>[1]Raw_Data!G4114</f>
        <v>0.25</v>
      </c>
      <c r="H4116" s="3">
        <f>[1]Raw_Data!H4114</f>
        <v>1</v>
      </c>
      <c r="I4116" s="3" t="str">
        <f>TRIM([1]Raw_Data!I4114)</f>
        <v>UK</v>
      </c>
      <c r="J4116" s="3" t="str">
        <f>TRIM([1]Raw_Data!J4114)</f>
        <v>iHerb</v>
      </c>
      <c r="K4116" s="3">
        <f t="shared" si="256"/>
        <v>2024</v>
      </c>
      <c r="L4116" s="6">
        <f t="shared" si="257"/>
        <v>45627</v>
      </c>
      <c r="M4116" s="3" t="str">
        <f t="shared" si="258"/>
        <v>21% to 25%</v>
      </c>
      <c r="N4116" s="3" t="str">
        <f t="shared" si="259"/>
        <v>OK</v>
      </c>
    </row>
    <row r="4117" spans="1:14" x14ac:dyDescent="0.3">
      <c r="A4117" s="2">
        <f>DATE(VALUE(RIGHT(TRIM([1]Raw_Data!A4115),4)),VALUE(MID(TRIM([1]Raw_Data!A4115),4,2)),VALUE(LEFT(TRIM([1]Raw_Data!A4115),2)))</f>
        <v>45635</v>
      </c>
      <c r="B4117" s="3" t="str">
        <f>TRIM([1]Raw_Data!B4115)</f>
        <v>Vitamin C</v>
      </c>
      <c r="C4117" s="3" t="str">
        <f>TRIM([1]Raw_Data!C4115)</f>
        <v>Vitamin</v>
      </c>
      <c r="D4117" s="3">
        <f>[1]Raw_Data!D4115</f>
        <v>147</v>
      </c>
      <c r="E4117" s="4">
        <f>[1]Raw_Data!E4115</f>
        <v>33.840000000000003</v>
      </c>
      <c r="F4117" s="5">
        <f>[1]Raw_Data!F4115</f>
        <v>4974.4799999999996</v>
      </c>
      <c r="G4117" s="4">
        <f>[1]Raw_Data!G4115</f>
        <v>0.22</v>
      </c>
      <c r="H4117" s="3">
        <f>[1]Raw_Data!H4115</f>
        <v>0</v>
      </c>
      <c r="I4117" s="3" t="str">
        <f>TRIM([1]Raw_Data!I4115)</f>
        <v>Canada</v>
      </c>
      <c r="J4117" s="3" t="str">
        <f>TRIM([1]Raw_Data!J4115)</f>
        <v>iHerb</v>
      </c>
      <c r="K4117" s="3">
        <f t="shared" si="256"/>
        <v>2024</v>
      </c>
      <c r="L4117" s="6">
        <f t="shared" si="257"/>
        <v>45627</v>
      </c>
      <c r="M4117" s="3" t="str">
        <f t="shared" si="258"/>
        <v>21% to 25%</v>
      </c>
      <c r="N4117" s="3" t="str">
        <f t="shared" si="259"/>
        <v>OK</v>
      </c>
    </row>
    <row r="4118" spans="1:14" x14ac:dyDescent="0.3">
      <c r="A4118" s="2">
        <f>DATE(VALUE(RIGHT(TRIM([1]Raw_Data!A4116),4)),VALUE(MID(TRIM([1]Raw_Data!A4116),4,2)),VALUE(LEFT(TRIM([1]Raw_Data!A4116),2)))</f>
        <v>45635</v>
      </c>
      <c r="B4118" s="3" t="str">
        <f>TRIM([1]Raw_Data!B4116)</f>
        <v>Fish Oil</v>
      </c>
      <c r="C4118" s="3" t="str">
        <f>TRIM([1]Raw_Data!C4116)</f>
        <v>Omega</v>
      </c>
      <c r="D4118" s="3">
        <f>[1]Raw_Data!D4116</f>
        <v>153</v>
      </c>
      <c r="E4118" s="4">
        <f>[1]Raw_Data!E4116</f>
        <v>21.15</v>
      </c>
      <c r="F4118" s="5">
        <f>[1]Raw_Data!F4116</f>
        <v>3235.95</v>
      </c>
      <c r="G4118" s="4">
        <f>[1]Raw_Data!G4116</f>
        <v>7.0000000000000007E-2</v>
      </c>
      <c r="H4118" s="3">
        <f>[1]Raw_Data!H4116</f>
        <v>0</v>
      </c>
      <c r="I4118" s="3" t="str">
        <f>TRIM([1]Raw_Data!I4116)</f>
        <v>Canada</v>
      </c>
      <c r="J4118" s="3" t="str">
        <f>TRIM([1]Raw_Data!J4116)</f>
        <v>Walmart</v>
      </c>
      <c r="K4118" s="3">
        <f t="shared" si="256"/>
        <v>2024</v>
      </c>
      <c r="L4118" s="6">
        <f t="shared" si="257"/>
        <v>45627</v>
      </c>
      <c r="M4118" s="3" t="str">
        <f t="shared" si="258"/>
        <v>6% to 10%</v>
      </c>
      <c r="N4118" s="3" t="str">
        <f t="shared" si="259"/>
        <v>OK</v>
      </c>
    </row>
    <row r="4119" spans="1:14" x14ac:dyDescent="0.3">
      <c r="A4119" s="2">
        <f>DATE(VALUE(RIGHT(TRIM([1]Raw_Data!A4117),4)),VALUE(MID(TRIM([1]Raw_Data!A4117),4,2)),VALUE(LEFT(TRIM([1]Raw_Data!A4117),2)))</f>
        <v>45635</v>
      </c>
      <c r="B4119" s="3" t="str">
        <f>TRIM([1]Raw_Data!B4117)</f>
        <v>Multivitamin</v>
      </c>
      <c r="C4119" s="3" t="str">
        <f>TRIM([1]Raw_Data!C4117)</f>
        <v>Vitamin</v>
      </c>
      <c r="D4119" s="3">
        <f>[1]Raw_Data!D4117</f>
        <v>149</v>
      </c>
      <c r="E4119" s="4">
        <f>[1]Raw_Data!E4117</f>
        <v>45.92</v>
      </c>
      <c r="F4119" s="5">
        <f>[1]Raw_Data!F4117</f>
        <v>6842.08</v>
      </c>
      <c r="G4119" s="4">
        <f>[1]Raw_Data!G4117</f>
        <v>0.09</v>
      </c>
      <c r="H4119" s="3">
        <f>[1]Raw_Data!H4117</f>
        <v>0</v>
      </c>
      <c r="I4119" s="3" t="str">
        <f>TRIM([1]Raw_Data!I4117)</f>
        <v>Canada</v>
      </c>
      <c r="J4119" s="3" t="str">
        <f>TRIM([1]Raw_Data!J4117)</f>
        <v>iHerb</v>
      </c>
      <c r="K4119" s="3">
        <f t="shared" si="256"/>
        <v>2024</v>
      </c>
      <c r="L4119" s="6">
        <f t="shared" si="257"/>
        <v>45627</v>
      </c>
      <c r="M4119" s="3" t="str">
        <f t="shared" si="258"/>
        <v>6% to 10%</v>
      </c>
      <c r="N4119" s="3" t="str">
        <f t="shared" si="259"/>
        <v>OK</v>
      </c>
    </row>
    <row r="4120" spans="1:14" x14ac:dyDescent="0.3">
      <c r="A4120" s="2">
        <f>DATE(VALUE(RIGHT(TRIM([1]Raw_Data!A4118),4)),VALUE(MID(TRIM([1]Raw_Data!A4118),4,2)),VALUE(LEFT(TRIM([1]Raw_Data!A4118),2)))</f>
        <v>45635</v>
      </c>
      <c r="B4120" s="3" t="str">
        <f>TRIM([1]Raw_Data!B4118)</f>
        <v>Pre-Workout</v>
      </c>
      <c r="C4120" s="3" t="str">
        <f>TRIM([1]Raw_Data!C4118)</f>
        <v>Performance</v>
      </c>
      <c r="D4120" s="3">
        <f>[1]Raw_Data!D4118</f>
        <v>157</v>
      </c>
      <c r="E4120" s="4">
        <f>[1]Raw_Data!E4118</f>
        <v>48.85</v>
      </c>
      <c r="F4120" s="5">
        <f>[1]Raw_Data!F4118</f>
        <v>7669.45</v>
      </c>
      <c r="G4120" s="4">
        <f>[1]Raw_Data!G4118</f>
        <v>0.18</v>
      </c>
      <c r="H4120" s="3">
        <f>[1]Raw_Data!H4118</f>
        <v>3</v>
      </c>
      <c r="I4120" s="3" t="str">
        <f>TRIM([1]Raw_Data!I4118)</f>
        <v>Canada</v>
      </c>
      <c r="J4120" s="3" t="str">
        <f>TRIM([1]Raw_Data!J4118)</f>
        <v>Amazon</v>
      </c>
      <c r="K4120" s="3">
        <f t="shared" si="256"/>
        <v>2024</v>
      </c>
      <c r="L4120" s="6">
        <f t="shared" si="257"/>
        <v>45627</v>
      </c>
      <c r="M4120" s="3" t="str">
        <f t="shared" si="258"/>
        <v>16% to 20%</v>
      </c>
      <c r="N4120" s="3" t="str">
        <f t="shared" si="259"/>
        <v>OK</v>
      </c>
    </row>
    <row r="4121" spans="1:14" x14ac:dyDescent="0.3">
      <c r="A4121" s="2">
        <f>DATE(VALUE(RIGHT(TRIM([1]Raw_Data!A4119),4)),VALUE(MID(TRIM([1]Raw_Data!A4119),4,2)),VALUE(LEFT(TRIM([1]Raw_Data!A4119),2)))</f>
        <v>45635</v>
      </c>
      <c r="B4121" s="3" t="str">
        <f>TRIM([1]Raw_Data!B4119)</f>
        <v>BCAA</v>
      </c>
      <c r="C4121" s="3" t="str">
        <f>TRIM([1]Raw_Data!C4119)</f>
        <v>Amino Acid</v>
      </c>
      <c r="D4121" s="3">
        <f>[1]Raw_Data!D4119</f>
        <v>138</v>
      </c>
      <c r="E4121" s="4">
        <f>[1]Raw_Data!E4119</f>
        <v>25.05</v>
      </c>
      <c r="F4121" s="5">
        <f>[1]Raw_Data!F4119</f>
        <v>3456.9</v>
      </c>
      <c r="G4121" s="4">
        <f>[1]Raw_Data!G4119</f>
        <v>0.24</v>
      </c>
      <c r="H4121" s="3">
        <f>[1]Raw_Data!H4119</f>
        <v>1</v>
      </c>
      <c r="I4121" s="3" t="str">
        <f>TRIM([1]Raw_Data!I4119)</f>
        <v>USA</v>
      </c>
      <c r="J4121" s="3" t="str">
        <f>TRIM([1]Raw_Data!J4119)</f>
        <v>Amazon</v>
      </c>
      <c r="K4121" s="3">
        <f t="shared" si="256"/>
        <v>2024</v>
      </c>
      <c r="L4121" s="6">
        <f t="shared" si="257"/>
        <v>45627</v>
      </c>
      <c r="M4121" s="3" t="str">
        <f t="shared" si="258"/>
        <v>21% to 25%</v>
      </c>
      <c r="N4121" s="3" t="str">
        <f t="shared" si="259"/>
        <v>OK</v>
      </c>
    </row>
    <row r="4122" spans="1:14" x14ac:dyDescent="0.3">
      <c r="A4122" s="2">
        <f>DATE(VALUE(RIGHT(TRIM([1]Raw_Data!A4120),4)),VALUE(MID(TRIM([1]Raw_Data!A4120),4,2)),VALUE(LEFT(TRIM([1]Raw_Data!A4120),2)))</f>
        <v>45635</v>
      </c>
      <c r="B4122" s="3" t="str">
        <f>TRIM([1]Raw_Data!B4120)</f>
        <v>Creatine</v>
      </c>
      <c r="C4122" s="3" t="str">
        <f>TRIM([1]Raw_Data!C4120)</f>
        <v>Performance</v>
      </c>
      <c r="D4122" s="3">
        <f>[1]Raw_Data!D4120</f>
        <v>130</v>
      </c>
      <c r="E4122" s="4">
        <f>[1]Raw_Data!E4120</f>
        <v>32.21</v>
      </c>
      <c r="F4122" s="5">
        <f>[1]Raw_Data!F4120</f>
        <v>4187.3</v>
      </c>
      <c r="G4122" s="4">
        <f>[1]Raw_Data!G4120</f>
        <v>0.25</v>
      </c>
      <c r="H4122" s="3">
        <f>[1]Raw_Data!H4120</f>
        <v>1</v>
      </c>
      <c r="I4122" s="3" t="str">
        <f>TRIM([1]Raw_Data!I4120)</f>
        <v>UK</v>
      </c>
      <c r="J4122" s="3" t="str">
        <f>TRIM([1]Raw_Data!J4120)</f>
        <v>iHerb</v>
      </c>
      <c r="K4122" s="3">
        <f t="shared" si="256"/>
        <v>2024</v>
      </c>
      <c r="L4122" s="6">
        <f t="shared" si="257"/>
        <v>45627</v>
      </c>
      <c r="M4122" s="3" t="str">
        <f t="shared" si="258"/>
        <v>21% to 25%</v>
      </c>
      <c r="N4122" s="3" t="str">
        <f t="shared" si="259"/>
        <v>OK</v>
      </c>
    </row>
    <row r="4123" spans="1:14" x14ac:dyDescent="0.3">
      <c r="A4123" s="2">
        <f>DATE(VALUE(RIGHT(TRIM([1]Raw_Data!A4121),4)),VALUE(MID(TRIM([1]Raw_Data!A4121),4,2)),VALUE(LEFT(TRIM([1]Raw_Data!A4121),2)))</f>
        <v>45635</v>
      </c>
      <c r="B4123" s="3" t="str">
        <f>TRIM([1]Raw_Data!B4121)</f>
        <v>Zinc</v>
      </c>
      <c r="C4123" s="3" t="str">
        <f>TRIM([1]Raw_Data!C4121)</f>
        <v>Mineral</v>
      </c>
      <c r="D4123" s="3">
        <f>[1]Raw_Data!D4121</f>
        <v>152</v>
      </c>
      <c r="E4123" s="4">
        <f>[1]Raw_Data!E4121</f>
        <v>58.41</v>
      </c>
      <c r="F4123" s="5">
        <f>[1]Raw_Data!F4121</f>
        <v>8878.32</v>
      </c>
      <c r="G4123" s="4">
        <f>[1]Raw_Data!G4121</f>
        <v>0.2</v>
      </c>
      <c r="H4123" s="3">
        <f>[1]Raw_Data!H4121</f>
        <v>1</v>
      </c>
      <c r="I4123" s="3" t="str">
        <f>TRIM([1]Raw_Data!I4121)</f>
        <v>Canada</v>
      </c>
      <c r="J4123" s="3" t="str">
        <f>TRIM([1]Raw_Data!J4121)</f>
        <v>Amazon</v>
      </c>
      <c r="K4123" s="3">
        <f t="shared" si="256"/>
        <v>2024</v>
      </c>
      <c r="L4123" s="6">
        <f t="shared" si="257"/>
        <v>45627</v>
      </c>
      <c r="M4123" s="3" t="str">
        <f t="shared" si="258"/>
        <v>16% to 20%</v>
      </c>
      <c r="N4123" s="3" t="str">
        <f t="shared" si="259"/>
        <v>OK</v>
      </c>
    </row>
    <row r="4124" spans="1:14" x14ac:dyDescent="0.3">
      <c r="A4124" s="2">
        <f>DATE(VALUE(RIGHT(TRIM([1]Raw_Data!A4122),4)),VALUE(MID(TRIM([1]Raw_Data!A4122),4,2)),VALUE(LEFT(TRIM([1]Raw_Data!A4122),2)))</f>
        <v>45635</v>
      </c>
      <c r="B4124" s="3" t="str">
        <f>TRIM([1]Raw_Data!B4122)</f>
        <v>Collagen Peptides</v>
      </c>
      <c r="C4124" s="3" t="str">
        <f>TRIM([1]Raw_Data!C4122)</f>
        <v>Protein</v>
      </c>
      <c r="D4124" s="3">
        <f>[1]Raw_Data!D4122</f>
        <v>143</v>
      </c>
      <c r="E4124" s="4">
        <f>[1]Raw_Data!E4122</f>
        <v>42.22</v>
      </c>
      <c r="F4124" s="5">
        <f>[1]Raw_Data!F4122</f>
        <v>6037.46</v>
      </c>
      <c r="G4124" s="4">
        <f>[1]Raw_Data!G4122</f>
        <v>0.05</v>
      </c>
      <c r="H4124" s="3">
        <f>[1]Raw_Data!H4122</f>
        <v>1</v>
      </c>
      <c r="I4124" s="3" t="str">
        <f>TRIM([1]Raw_Data!I4122)</f>
        <v>USA</v>
      </c>
      <c r="J4124" s="3" t="str">
        <f>TRIM([1]Raw_Data!J4122)</f>
        <v>Amazon</v>
      </c>
      <c r="K4124" s="3">
        <f t="shared" si="256"/>
        <v>2024</v>
      </c>
      <c r="L4124" s="6">
        <f t="shared" si="257"/>
        <v>45627</v>
      </c>
      <c r="M4124" s="3" t="str">
        <f t="shared" si="258"/>
        <v>0% to 5%</v>
      </c>
      <c r="N4124" s="3" t="str">
        <f t="shared" si="259"/>
        <v>OK</v>
      </c>
    </row>
    <row r="4125" spans="1:14" x14ac:dyDescent="0.3">
      <c r="A4125" s="2">
        <f>DATE(VALUE(RIGHT(TRIM([1]Raw_Data!A4123),4)),VALUE(MID(TRIM([1]Raw_Data!A4123),4,2)),VALUE(LEFT(TRIM([1]Raw_Data!A4123),2)))</f>
        <v>45635</v>
      </c>
      <c r="B4125" s="3" t="str">
        <f>TRIM([1]Raw_Data!B4123)</f>
        <v>Magnesium</v>
      </c>
      <c r="C4125" s="3" t="str">
        <f>TRIM([1]Raw_Data!C4123)</f>
        <v>Mineral</v>
      </c>
      <c r="D4125" s="3">
        <f>[1]Raw_Data!D4123</f>
        <v>167</v>
      </c>
      <c r="E4125" s="4">
        <f>[1]Raw_Data!E4123</f>
        <v>38.33</v>
      </c>
      <c r="F4125" s="5">
        <f>[1]Raw_Data!F4123</f>
        <v>6401.11</v>
      </c>
      <c r="G4125" s="4">
        <f>[1]Raw_Data!G4123</f>
        <v>0.1</v>
      </c>
      <c r="H4125" s="3">
        <f>[1]Raw_Data!H4123</f>
        <v>0</v>
      </c>
      <c r="I4125" s="3" t="str">
        <f>TRIM([1]Raw_Data!I4123)</f>
        <v>USA</v>
      </c>
      <c r="J4125" s="3" t="str">
        <f>TRIM([1]Raw_Data!J4123)</f>
        <v>Amazon</v>
      </c>
      <c r="K4125" s="3">
        <f t="shared" si="256"/>
        <v>2024</v>
      </c>
      <c r="L4125" s="6">
        <f t="shared" si="257"/>
        <v>45627</v>
      </c>
      <c r="M4125" s="3" t="str">
        <f t="shared" si="258"/>
        <v>6% to 10%</v>
      </c>
      <c r="N4125" s="3" t="str">
        <f t="shared" si="259"/>
        <v>OK</v>
      </c>
    </row>
    <row r="4126" spans="1:14" x14ac:dyDescent="0.3">
      <c r="A4126" s="2">
        <f>DATE(VALUE(RIGHT(TRIM([1]Raw_Data!A4124),4)),VALUE(MID(TRIM([1]Raw_Data!A4124),4,2)),VALUE(LEFT(TRIM([1]Raw_Data!A4124),2)))</f>
        <v>45635</v>
      </c>
      <c r="B4126" s="3" t="str">
        <f>TRIM([1]Raw_Data!B4124)</f>
        <v>Ashwagandha</v>
      </c>
      <c r="C4126" s="3" t="str">
        <f>TRIM([1]Raw_Data!C4124)</f>
        <v>Herbal</v>
      </c>
      <c r="D4126" s="3">
        <f>[1]Raw_Data!D4124</f>
        <v>145</v>
      </c>
      <c r="E4126" s="4">
        <f>[1]Raw_Data!E4124</f>
        <v>54.79</v>
      </c>
      <c r="F4126" s="5">
        <f>[1]Raw_Data!F4124</f>
        <v>7944.55</v>
      </c>
      <c r="G4126" s="4">
        <f>[1]Raw_Data!G4124</f>
        <v>0.08</v>
      </c>
      <c r="H4126" s="3">
        <f>[1]Raw_Data!H4124</f>
        <v>1</v>
      </c>
      <c r="I4126" s="3" t="str">
        <f>TRIM([1]Raw_Data!I4124)</f>
        <v>UK</v>
      </c>
      <c r="J4126" s="3" t="str">
        <f>TRIM([1]Raw_Data!J4124)</f>
        <v>Amazon</v>
      </c>
      <c r="K4126" s="3">
        <f t="shared" si="256"/>
        <v>2024</v>
      </c>
      <c r="L4126" s="6">
        <f t="shared" si="257"/>
        <v>45627</v>
      </c>
      <c r="M4126" s="3" t="str">
        <f t="shared" si="258"/>
        <v>6% to 10%</v>
      </c>
      <c r="N4126" s="3" t="str">
        <f t="shared" si="259"/>
        <v>OK</v>
      </c>
    </row>
    <row r="4127" spans="1:14" x14ac:dyDescent="0.3">
      <c r="A4127" s="2">
        <f>DATE(VALUE(RIGHT(TRIM([1]Raw_Data!A4125),4)),VALUE(MID(TRIM([1]Raw_Data!A4125),4,2)),VALUE(LEFT(TRIM([1]Raw_Data!A4125),2)))</f>
        <v>45635</v>
      </c>
      <c r="B4127" s="3" t="str">
        <f>TRIM([1]Raw_Data!B4125)</f>
        <v>Melatonin</v>
      </c>
      <c r="C4127" s="3" t="str">
        <f>TRIM([1]Raw_Data!C4125)</f>
        <v>Sleep Aid</v>
      </c>
      <c r="D4127" s="3">
        <f>[1]Raw_Data!D4125</f>
        <v>161</v>
      </c>
      <c r="E4127" s="4">
        <f>[1]Raw_Data!E4125</f>
        <v>49.91</v>
      </c>
      <c r="F4127" s="5">
        <f>[1]Raw_Data!F4125</f>
        <v>8035.51</v>
      </c>
      <c r="G4127" s="4">
        <f>[1]Raw_Data!G4125</f>
        <v>0.24</v>
      </c>
      <c r="H4127" s="3">
        <f>[1]Raw_Data!H4125</f>
        <v>3</v>
      </c>
      <c r="I4127" s="3" t="str">
        <f>TRIM([1]Raw_Data!I4125)</f>
        <v>Canada</v>
      </c>
      <c r="J4127" s="3" t="str">
        <f>TRIM([1]Raw_Data!J4125)</f>
        <v>Amazon</v>
      </c>
      <c r="K4127" s="3">
        <f t="shared" si="256"/>
        <v>2024</v>
      </c>
      <c r="L4127" s="6">
        <f t="shared" si="257"/>
        <v>45627</v>
      </c>
      <c r="M4127" s="3" t="str">
        <f t="shared" si="258"/>
        <v>21% to 25%</v>
      </c>
      <c r="N4127" s="3" t="str">
        <f t="shared" si="259"/>
        <v>OK</v>
      </c>
    </row>
    <row r="4128" spans="1:14" x14ac:dyDescent="0.3">
      <c r="A4128" s="2">
        <f>DATE(VALUE(RIGHT(TRIM([1]Raw_Data!A4126),4)),VALUE(MID(TRIM([1]Raw_Data!A4126),4,2)),VALUE(LEFT(TRIM([1]Raw_Data!A4126),2)))</f>
        <v>45635</v>
      </c>
      <c r="B4128" s="3" t="str">
        <f>TRIM([1]Raw_Data!B4126)</f>
        <v>Biotin</v>
      </c>
      <c r="C4128" s="3" t="str">
        <f>TRIM([1]Raw_Data!C4126)</f>
        <v>Vitamin</v>
      </c>
      <c r="D4128" s="3">
        <f>[1]Raw_Data!D4126</f>
        <v>147</v>
      </c>
      <c r="E4128" s="4">
        <f>[1]Raw_Data!E4126</f>
        <v>35.43</v>
      </c>
      <c r="F4128" s="5">
        <f>[1]Raw_Data!F4126</f>
        <v>5208.21</v>
      </c>
      <c r="G4128" s="4">
        <f>[1]Raw_Data!G4126</f>
        <v>7.0000000000000007E-2</v>
      </c>
      <c r="H4128" s="3">
        <f>[1]Raw_Data!H4126</f>
        <v>1</v>
      </c>
      <c r="I4128" s="3" t="str">
        <f>TRIM([1]Raw_Data!I4126)</f>
        <v>UK</v>
      </c>
      <c r="J4128" s="3" t="str">
        <f>TRIM([1]Raw_Data!J4126)</f>
        <v>Walmart</v>
      </c>
      <c r="K4128" s="3">
        <f t="shared" si="256"/>
        <v>2024</v>
      </c>
      <c r="L4128" s="6">
        <f t="shared" si="257"/>
        <v>45627</v>
      </c>
      <c r="M4128" s="3" t="str">
        <f t="shared" si="258"/>
        <v>6% to 10%</v>
      </c>
      <c r="N4128" s="3" t="str">
        <f t="shared" si="259"/>
        <v>OK</v>
      </c>
    </row>
    <row r="4129" spans="1:14" x14ac:dyDescent="0.3">
      <c r="A4129" s="2">
        <f>DATE(VALUE(RIGHT(TRIM([1]Raw_Data!A4127),4)),VALUE(MID(TRIM([1]Raw_Data!A4127),4,2)),VALUE(LEFT(TRIM([1]Raw_Data!A4127),2)))</f>
        <v>45635</v>
      </c>
      <c r="B4129" s="3" t="str">
        <f>TRIM([1]Raw_Data!B4127)</f>
        <v>Green Tea Extract</v>
      </c>
      <c r="C4129" s="3" t="str">
        <f>TRIM([1]Raw_Data!C4127)</f>
        <v>Fat Burner</v>
      </c>
      <c r="D4129" s="3">
        <f>[1]Raw_Data!D4127</f>
        <v>139</v>
      </c>
      <c r="E4129" s="4">
        <f>[1]Raw_Data!E4127</f>
        <v>19.22</v>
      </c>
      <c r="F4129" s="5">
        <f>[1]Raw_Data!F4127</f>
        <v>2671.58</v>
      </c>
      <c r="G4129" s="4">
        <f>[1]Raw_Data!G4127</f>
        <v>0.02</v>
      </c>
      <c r="H4129" s="3">
        <f>[1]Raw_Data!H4127</f>
        <v>3</v>
      </c>
      <c r="I4129" s="3" t="str">
        <f>TRIM([1]Raw_Data!I4127)</f>
        <v>UK</v>
      </c>
      <c r="J4129" s="3" t="str">
        <f>TRIM([1]Raw_Data!J4127)</f>
        <v>Walmart</v>
      </c>
      <c r="K4129" s="3">
        <f t="shared" si="256"/>
        <v>2024</v>
      </c>
      <c r="L4129" s="6">
        <f t="shared" si="257"/>
        <v>45627</v>
      </c>
      <c r="M4129" s="3" t="str">
        <f t="shared" si="258"/>
        <v>0% to 5%</v>
      </c>
      <c r="N4129" s="3" t="str">
        <f t="shared" si="259"/>
        <v>OK</v>
      </c>
    </row>
    <row r="4130" spans="1:14" x14ac:dyDescent="0.3">
      <c r="A4130" s="2">
        <f>DATE(VALUE(RIGHT(TRIM([1]Raw_Data!A4128),4)),VALUE(MID(TRIM([1]Raw_Data!A4128),4,2)),VALUE(LEFT(TRIM([1]Raw_Data!A4128),2)))</f>
        <v>45635</v>
      </c>
      <c r="B4130" s="3" t="str">
        <f>TRIM([1]Raw_Data!B4128)</f>
        <v>Iron Supplement</v>
      </c>
      <c r="C4130" s="3" t="str">
        <f>TRIM([1]Raw_Data!C4128)</f>
        <v>Mineral</v>
      </c>
      <c r="D4130" s="3">
        <f>[1]Raw_Data!D4128</f>
        <v>173</v>
      </c>
      <c r="E4130" s="4">
        <f>[1]Raw_Data!E4128</f>
        <v>52.02</v>
      </c>
      <c r="F4130" s="5">
        <f>[1]Raw_Data!F4128</f>
        <v>8999.4599999999991</v>
      </c>
      <c r="G4130" s="4">
        <f>[1]Raw_Data!G4128</f>
        <v>0.05</v>
      </c>
      <c r="H4130" s="3">
        <f>[1]Raw_Data!H4128</f>
        <v>3</v>
      </c>
      <c r="I4130" s="3" t="str">
        <f>TRIM([1]Raw_Data!I4128)</f>
        <v>USA</v>
      </c>
      <c r="J4130" s="3" t="str">
        <f>TRIM([1]Raw_Data!J4128)</f>
        <v>iHerb</v>
      </c>
      <c r="K4130" s="3">
        <f t="shared" si="256"/>
        <v>2024</v>
      </c>
      <c r="L4130" s="6">
        <f t="shared" si="257"/>
        <v>45627</v>
      </c>
      <c r="M4130" s="3" t="str">
        <f t="shared" si="258"/>
        <v>0% to 5%</v>
      </c>
      <c r="N4130" s="3" t="str">
        <f t="shared" si="259"/>
        <v>OK</v>
      </c>
    </row>
    <row r="4131" spans="1:14" x14ac:dyDescent="0.3">
      <c r="A4131" s="2">
        <f>DATE(VALUE(RIGHT(TRIM([1]Raw_Data!A4129),4)),VALUE(MID(TRIM([1]Raw_Data!A4129),4,2)),VALUE(LEFT(TRIM([1]Raw_Data!A4129),2)))</f>
        <v>45635</v>
      </c>
      <c r="B4131" s="3" t="str">
        <f>TRIM([1]Raw_Data!B4129)</f>
        <v>Electrolyte Powder</v>
      </c>
      <c r="C4131" s="3" t="str">
        <f>TRIM([1]Raw_Data!C4129)</f>
        <v>Hydration</v>
      </c>
      <c r="D4131" s="3">
        <f>[1]Raw_Data!D4129</f>
        <v>150</v>
      </c>
      <c r="E4131" s="4">
        <f>[1]Raw_Data!E4129</f>
        <v>17.07</v>
      </c>
      <c r="F4131" s="5">
        <f>[1]Raw_Data!F4129</f>
        <v>2560.5</v>
      </c>
      <c r="G4131" s="4">
        <f>[1]Raw_Data!G4129</f>
        <v>0.08</v>
      </c>
      <c r="H4131" s="3">
        <f>[1]Raw_Data!H4129</f>
        <v>0</v>
      </c>
      <c r="I4131" s="3" t="str">
        <f>TRIM([1]Raw_Data!I4129)</f>
        <v>USA</v>
      </c>
      <c r="J4131" s="3" t="str">
        <f>TRIM([1]Raw_Data!J4129)</f>
        <v>Amazon</v>
      </c>
      <c r="K4131" s="3">
        <f t="shared" si="256"/>
        <v>2024</v>
      </c>
      <c r="L4131" s="6">
        <f t="shared" si="257"/>
        <v>45627</v>
      </c>
      <c r="M4131" s="3" t="str">
        <f t="shared" si="258"/>
        <v>6% to 10%</v>
      </c>
      <c r="N4131" s="3" t="str">
        <f t="shared" si="259"/>
        <v>OK</v>
      </c>
    </row>
    <row r="4132" spans="1:14" x14ac:dyDescent="0.3">
      <c r="A4132" s="2">
        <f>DATE(VALUE(RIGHT(TRIM([1]Raw_Data!A4130),4)),VALUE(MID(TRIM([1]Raw_Data!A4130),4,2)),VALUE(LEFT(TRIM([1]Raw_Data!A4130),2)))</f>
        <v>45642</v>
      </c>
      <c r="B4132" s="3" t="str">
        <f>TRIM([1]Raw_Data!B4130)</f>
        <v>Whey Protein</v>
      </c>
      <c r="C4132" s="3" t="str">
        <f>TRIM([1]Raw_Data!C4130)</f>
        <v>Protein</v>
      </c>
      <c r="D4132" s="3">
        <f>[1]Raw_Data!D4130</f>
        <v>143</v>
      </c>
      <c r="E4132" s="4">
        <f>[1]Raw_Data!E4130</f>
        <v>21.8</v>
      </c>
      <c r="F4132" s="5">
        <f>[1]Raw_Data!F4130</f>
        <v>3117.4</v>
      </c>
      <c r="G4132" s="4">
        <f>[1]Raw_Data!G4130</f>
        <v>7.0000000000000007E-2</v>
      </c>
      <c r="H4132" s="3">
        <f>[1]Raw_Data!H4130</f>
        <v>5</v>
      </c>
      <c r="I4132" s="3" t="str">
        <f>TRIM([1]Raw_Data!I4130)</f>
        <v>USA</v>
      </c>
      <c r="J4132" s="3" t="str">
        <f>TRIM([1]Raw_Data!J4130)</f>
        <v>iHerb</v>
      </c>
      <c r="K4132" s="3">
        <f t="shared" si="256"/>
        <v>2024</v>
      </c>
      <c r="L4132" s="6">
        <f t="shared" si="257"/>
        <v>45627</v>
      </c>
      <c r="M4132" s="3" t="str">
        <f t="shared" si="258"/>
        <v>6% to 10%</v>
      </c>
      <c r="N4132" s="3" t="str">
        <f t="shared" si="259"/>
        <v>OK</v>
      </c>
    </row>
    <row r="4133" spans="1:14" x14ac:dyDescent="0.3">
      <c r="A4133" s="2">
        <f>DATE(VALUE(RIGHT(TRIM([1]Raw_Data!A4131),4)),VALUE(MID(TRIM([1]Raw_Data!A4131),4,2)),VALUE(LEFT(TRIM([1]Raw_Data!A4131),2)))</f>
        <v>45642</v>
      </c>
      <c r="B4133" s="3" t="str">
        <f>TRIM([1]Raw_Data!B4131)</f>
        <v>Vitamin C</v>
      </c>
      <c r="C4133" s="3" t="str">
        <f>TRIM([1]Raw_Data!C4131)</f>
        <v>Vitamin</v>
      </c>
      <c r="D4133" s="3">
        <f>[1]Raw_Data!D4131</f>
        <v>140</v>
      </c>
      <c r="E4133" s="4">
        <f>[1]Raw_Data!E4131</f>
        <v>44.34</v>
      </c>
      <c r="F4133" s="5">
        <f>[1]Raw_Data!F4131</f>
        <v>6207.6</v>
      </c>
      <c r="G4133" s="4">
        <f>[1]Raw_Data!G4131</f>
        <v>0.21</v>
      </c>
      <c r="H4133" s="3">
        <f>[1]Raw_Data!H4131</f>
        <v>1</v>
      </c>
      <c r="I4133" s="3" t="str">
        <f>TRIM([1]Raw_Data!I4131)</f>
        <v>UK</v>
      </c>
      <c r="J4133" s="3" t="str">
        <f>TRIM([1]Raw_Data!J4131)</f>
        <v>Walmart</v>
      </c>
      <c r="K4133" s="3">
        <f t="shared" si="256"/>
        <v>2024</v>
      </c>
      <c r="L4133" s="6">
        <f t="shared" si="257"/>
        <v>45627</v>
      </c>
      <c r="M4133" s="3" t="str">
        <f t="shared" si="258"/>
        <v>21% to 25%</v>
      </c>
      <c r="N4133" s="3" t="str">
        <f t="shared" si="259"/>
        <v>OK</v>
      </c>
    </row>
    <row r="4134" spans="1:14" x14ac:dyDescent="0.3">
      <c r="A4134" s="2">
        <f>DATE(VALUE(RIGHT(TRIM([1]Raw_Data!A4132),4)),VALUE(MID(TRIM([1]Raw_Data!A4132),4,2)),VALUE(LEFT(TRIM([1]Raw_Data!A4132),2)))</f>
        <v>45642</v>
      </c>
      <c r="B4134" s="3" t="str">
        <f>TRIM([1]Raw_Data!B4132)</f>
        <v>Fish Oil</v>
      </c>
      <c r="C4134" s="3" t="str">
        <f>TRIM([1]Raw_Data!C4132)</f>
        <v>Omega</v>
      </c>
      <c r="D4134" s="3">
        <f>[1]Raw_Data!D4132</f>
        <v>166</v>
      </c>
      <c r="E4134" s="4">
        <f>[1]Raw_Data!E4132</f>
        <v>19.850000000000001</v>
      </c>
      <c r="F4134" s="5">
        <f>[1]Raw_Data!F4132</f>
        <v>3295.1</v>
      </c>
      <c r="G4134" s="4">
        <f>[1]Raw_Data!G4132</f>
        <v>0.08</v>
      </c>
      <c r="H4134" s="3">
        <f>[1]Raw_Data!H4132</f>
        <v>2</v>
      </c>
      <c r="I4134" s="3" t="str">
        <f>TRIM([1]Raw_Data!I4132)</f>
        <v>USA</v>
      </c>
      <c r="J4134" s="3" t="str">
        <f>TRIM([1]Raw_Data!J4132)</f>
        <v>Walmart</v>
      </c>
      <c r="K4134" s="3">
        <f t="shared" si="256"/>
        <v>2024</v>
      </c>
      <c r="L4134" s="6">
        <f t="shared" si="257"/>
        <v>45627</v>
      </c>
      <c r="M4134" s="3" t="str">
        <f t="shared" si="258"/>
        <v>6% to 10%</v>
      </c>
      <c r="N4134" s="3" t="str">
        <f t="shared" si="259"/>
        <v>OK</v>
      </c>
    </row>
    <row r="4135" spans="1:14" x14ac:dyDescent="0.3">
      <c r="A4135" s="2">
        <f>DATE(VALUE(RIGHT(TRIM([1]Raw_Data!A4133),4)),VALUE(MID(TRIM([1]Raw_Data!A4133),4,2)),VALUE(LEFT(TRIM([1]Raw_Data!A4133),2)))</f>
        <v>45642</v>
      </c>
      <c r="B4135" s="3" t="str">
        <f>TRIM([1]Raw_Data!B4133)</f>
        <v>Multivitamin</v>
      </c>
      <c r="C4135" s="3" t="str">
        <f>TRIM([1]Raw_Data!C4133)</f>
        <v>Vitamin</v>
      </c>
      <c r="D4135" s="3">
        <f>[1]Raw_Data!D4133</f>
        <v>145</v>
      </c>
      <c r="E4135" s="4">
        <f>[1]Raw_Data!E4133</f>
        <v>21.85</v>
      </c>
      <c r="F4135" s="5">
        <f>[1]Raw_Data!F4133</f>
        <v>3168.25</v>
      </c>
      <c r="G4135" s="4">
        <f>[1]Raw_Data!G4133</f>
        <v>0.18</v>
      </c>
      <c r="H4135" s="3">
        <f>[1]Raw_Data!H4133</f>
        <v>1</v>
      </c>
      <c r="I4135" s="3" t="str">
        <f>TRIM([1]Raw_Data!I4133)</f>
        <v>USA</v>
      </c>
      <c r="J4135" s="3" t="str">
        <f>TRIM([1]Raw_Data!J4133)</f>
        <v>iHerb</v>
      </c>
      <c r="K4135" s="3">
        <f t="shared" si="256"/>
        <v>2024</v>
      </c>
      <c r="L4135" s="6">
        <f t="shared" si="257"/>
        <v>45627</v>
      </c>
      <c r="M4135" s="3" t="str">
        <f t="shared" si="258"/>
        <v>16% to 20%</v>
      </c>
      <c r="N4135" s="3" t="str">
        <f t="shared" si="259"/>
        <v>OK</v>
      </c>
    </row>
    <row r="4136" spans="1:14" x14ac:dyDescent="0.3">
      <c r="A4136" s="2">
        <f>DATE(VALUE(RIGHT(TRIM([1]Raw_Data!A4134),4)),VALUE(MID(TRIM([1]Raw_Data!A4134),4,2)),VALUE(LEFT(TRIM([1]Raw_Data!A4134),2)))</f>
        <v>45642</v>
      </c>
      <c r="B4136" s="3" t="str">
        <f>TRIM([1]Raw_Data!B4134)</f>
        <v>Pre-Workout</v>
      </c>
      <c r="C4136" s="3" t="str">
        <f>TRIM([1]Raw_Data!C4134)</f>
        <v>Performance</v>
      </c>
      <c r="D4136" s="3">
        <f>[1]Raw_Data!D4134</f>
        <v>148</v>
      </c>
      <c r="E4136" s="4">
        <f>[1]Raw_Data!E4134</f>
        <v>44.31</v>
      </c>
      <c r="F4136" s="5">
        <f>[1]Raw_Data!F4134</f>
        <v>6557.88</v>
      </c>
      <c r="G4136" s="4">
        <f>[1]Raw_Data!G4134</f>
        <v>0.06</v>
      </c>
      <c r="H4136" s="3">
        <f>[1]Raw_Data!H4134</f>
        <v>3</v>
      </c>
      <c r="I4136" s="3" t="str">
        <f>TRIM([1]Raw_Data!I4134)</f>
        <v>Canada</v>
      </c>
      <c r="J4136" s="3" t="str">
        <f>TRIM([1]Raw_Data!J4134)</f>
        <v>Amazon</v>
      </c>
      <c r="K4136" s="3">
        <f t="shared" si="256"/>
        <v>2024</v>
      </c>
      <c r="L4136" s="6">
        <f t="shared" si="257"/>
        <v>45627</v>
      </c>
      <c r="M4136" s="3" t="str">
        <f t="shared" si="258"/>
        <v>6% to 10%</v>
      </c>
      <c r="N4136" s="3" t="str">
        <f t="shared" si="259"/>
        <v>OK</v>
      </c>
    </row>
    <row r="4137" spans="1:14" x14ac:dyDescent="0.3">
      <c r="A4137" s="2">
        <f>DATE(VALUE(RIGHT(TRIM([1]Raw_Data!A4135),4)),VALUE(MID(TRIM([1]Raw_Data!A4135),4,2)),VALUE(LEFT(TRIM([1]Raw_Data!A4135),2)))</f>
        <v>45642</v>
      </c>
      <c r="B4137" s="3" t="str">
        <f>TRIM([1]Raw_Data!B4135)</f>
        <v>BCAA</v>
      </c>
      <c r="C4137" s="3" t="str">
        <f>TRIM([1]Raw_Data!C4135)</f>
        <v>Amino Acid</v>
      </c>
      <c r="D4137" s="3">
        <f>[1]Raw_Data!D4135</f>
        <v>158</v>
      </c>
      <c r="E4137" s="4">
        <f>[1]Raw_Data!E4135</f>
        <v>58.75</v>
      </c>
      <c r="F4137" s="5">
        <f>[1]Raw_Data!F4135</f>
        <v>9282.5</v>
      </c>
      <c r="G4137" s="4">
        <f>[1]Raw_Data!G4135</f>
        <v>0.17</v>
      </c>
      <c r="H4137" s="3">
        <f>[1]Raw_Data!H4135</f>
        <v>1</v>
      </c>
      <c r="I4137" s="3" t="str">
        <f>TRIM([1]Raw_Data!I4135)</f>
        <v>USA</v>
      </c>
      <c r="J4137" s="3" t="str">
        <f>TRIM([1]Raw_Data!J4135)</f>
        <v>iHerb</v>
      </c>
      <c r="K4137" s="3">
        <f t="shared" si="256"/>
        <v>2024</v>
      </c>
      <c r="L4137" s="6">
        <f t="shared" si="257"/>
        <v>45627</v>
      </c>
      <c r="M4137" s="3" t="str">
        <f t="shared" si="258"/>
        <v>16% to 20%</v>
      </c>
      <c r="N4137" s="3" t="str">
        <f t="shared" si="259"/>
        <v>OK</v>
      </c>
    </row>
    <row r="4138" spans="1:14" x14ac:dyDescent="0.3">
      <c r="A4138" s="2">
        <f>DATE(VALUE(RIGHT(TRIM([1]Raw_Data!A4136),4)),VALUE(MID(TRIM([1]Raw_Data!A4136),4,2)),VALUE(LEFT(TRIM([1]Raw_Data!A4136),2)))</f>
        <v>45642</v>
      </c>
      <c r="B4138" s="3" t="str">
        <f>TRIM([1]Raw_Data!B4136)</f>
        <v>Creatine</v>
      </c>
      <c r="C4138" s="3" t="str">
        <f>TRIM([1]Raw_Data!C4136)</f>
        <v>Performance</v>
      </c>
      <c r="D4138" s="3">
        <f>[1]Raw_Data!D4136</f>
        <v>136</v>
      </c>
      <c r="E4138" s="4">
        <f>[1]Raw_Data!E4136</f>
        <v>18.239999999999998</v>
      </c>
      <c r="F4138" s="5">
        <f>[1]Raw_Data!F4136</f>
        <v>2480.64</v>
      </c>
      <c r="G4138" s="4">
        <f>[1]Raw_Data!G4136</f>
        <v>0.11</v>
      </c>
      <c r="H4138" s="3">
        <f>[1]Raw_Data!H4136</f>
        <v>1</v>
      </c>
      <c r="I4138" s="3" t="str">
        <f>TRIM([1]Raw_Data!I4136)</f>
        <v>USA</v>
      </c>
      <c r="J4138" s="3" t="str">
        <f>TRIM([1]Raw_Data!J4136)</f>
        <v>Amazon</v>
      </c>
      <c r="K4138" s="3">
        <f t="shared" si="256"/>
        <v>2024</v>
      </c>
      <c r="L4138" s="6">
        <f t="shared" si="257"/>
        <v>45627</v>
      </c>
      <c r="M4138" s="3" t="str">
        <f t="shared" si="258"/>
        <v>11% to 15%</v>
      </c>
      <c r="N4138" s="3" t="str">
        <f t="shared" si="259"/>
        <v>OK</v>
      </c>
    </row>
    <row r="4139" spans="1:14" x14ac:dyDescent="0.3">
      <c r="A4139" s="2">
        <f>DATE(VALUE(RIGHT(TRIM([1]Raw_Data!A4137),4)),VALUE(MID(TRIM([1]Raw_Data!A4137),4,2)),VALUE(LEFT(TRIM([1]Raw_Data!A4137),2)))</f>
        <v>45642</v>
      </c>
      <c r="B4139" s="3" t="str">
        <f>TRIM([1]Raw_Data!B4137)</f>
        <v>Zinc</v>
      </c>
      <c r="C4139" s="3" t="str">
        <f>TRIM([1]Raw_Data!C4137)</f>
        <v>Mineral</v>
      </c>
      <c r="D4139" s="3">
        <f>[1]Raw_Data!D4137</f>
        <v>158</v>
      </c>
      <c r="E4139" s="4">
        <f>[1]Raw_Data!E4137</f>
        <v>51.09</v>
      </c>
      <c r="F4139" s="5">
        <f>[1]Raw_Data!F4137</f>
        <v>8072.22</v>
      </c>
      <c r="G4139" s="4">
        <f>[1]Raw_Data!G4137</f>
        <v>0.08</v>
      </c>
      <c r="H4139" s="3">
        <f>[1]Raw_Data!H4137</f>
        <v>1</v>
      </c>
      <c r="I4139" s="3" t="str">
        <f>TRIM([1]Raw_Data!I4137)</f>
        <v>Canada</v>
      </c>
      <c r="J4139" s="3" t="str">
        <f>TRIM([1]Raw_Data!J4137)</f>
        <v>Amazon</v>
      </c>
      <c r="K4139" s="3">
        <f t="shared" si="256"/>
        <v>2024</v>
      </c>
      <c r="L4139" s="6">
        <f t="shared" si="257"/>
        <v>45627</v>
      </c>
      <c r="M4139" s="3" t="str">
        <f t="shared" si="258"/>
        <v>6% to 10%</v>
      </c>
      <c r="N4139" s="3" t="str">
        <f t="shared" si="259"/>
        <v>OK</v>
      </c>
    </row>
    <row r="4140" spans="1:14" x14ac:dyDescent="0.3">
      <c r="A4140" s="2">
        <f>DATE(VALUE(RIGHT(TRIM([1]Raw_Data!A4138),4)),VALUE(MID(TRIM([1]Raw_Data!A4138),4,2)),VALUE(LEFT(TRIM([1]Raw_Data!A4138),2)))</f>
        <v>45642</v>
      </c>
      <c r="B4140" s="3" t="str">
        <f>TRIM([1]Raw_Data!B4138)</f>
        <v>Collagen Peptides</v>
      </c>
      <c r="C4140" s="3" t="str">
        <f>TRIM([1]Raw_Data!C4138)</f>
        <v>Protein</v>
      </c>
      <c r="D4140" s="3">
        <f>[1]Raw_Data!D4138</f>
        <v>160</v>
      </c>
      <c r="E4140" s="4">
        <f>[1]Raw_Data!E4138</f>
        <v>25.4</v>
      </c>
      <c r="F4140" s="5">
        <f>[1]Raw_Data!F4138</f>
        <v>4064</v>
      </c>
      <c r="G4140" s="4">
        <f>[1]Raw_Data!G4138</f>
        <v>0.1</v>
      </c>
      <c r="H4140" s="3">
        <f>[1]Raw_Data!H4138</f>
        <v>1</v>
      </c>
      <c r="I4140" s="3" t="str">
        <f>TRIM([1]Raw_Data!I4138)</f>
        <v>USA</v>
      </c>
      <c r="J4140" s="3" t="str">
        <f>TRIM([1]Raw_Data!J4138)</f>
        <v>iHerb</v>
      </c>
      <c r="K4140" s="3">
        <f t="shared" si="256"/>
        <v>2024</v>
      </c>
      <c r="L4140" s="6">
        <f t="shared" si="257"/>
        <v>45627</v>
      </c>
      <c r="M4140" s="3" t="str">
        <f t="shared" si="258"/>
        <v>6% to 10%</v>
      </c>
      <c r="N4140" s="3" t="str">
        <f t="shared" si="259"/>
        <v>OK</v>
      </c>
    </row>
    <row r="4141" spans="1:14" x14ac:dyDescent="0.3">
      <c r="A4141" s="2">
        <f>DATE(VALUE(RIGHT(TRIM([1]Raw_Data!A4139),4)),VALUE(MID(TRIM([1]Raw_Data!A4139),4,2)),VALUE(LEFT(TRIM([1]Raw_Data!A4139),2)))</f>
        <v>45642</v>
      </c>
      <c r="B4141" s="3" t="str">
        <f>TRIM([1]Raw_Data!B4139)</f>
        <v>Magnesium</v>
      </c>
      <c r="C4141" s="3" t="str">
        <f>TRIM([1]Raw_Data!C4139)</f>
        <v>Mineral</v>
      </c>
      <c r="D4141" s="3">
        <f>[1]Raw_Data!D4139</f>
        <v>153</v>
      </c>
      <c r="E4141" s="4">
        <f>[1]Raw_Data!E4139</f>
        <v>46.28</v>
      </c>
      <c r="F4141" s="5">
        <f>[1]Raw_Data!F4139</f>
        <v>7080.84</v>
      </c>
      <c r="G4141" s="4">
        <f>[1]Raw_Data!G4139</f>
        <v>0.14000000000000001</v>
      </c>
      <c r="H4141" s="3">
        <f>[1]Raw_Data!H4139</f>
        <v>0</v>
      </c>
      <c r="I4141" s="3" t="str">
        <f>TRIM([1]Raw_Data!I4139)</f>
        <v>UK</v>
      </c>
      <c r="J4141" s="3" t="str">
        <f>TRIM([1]Raw_Data!J4139)</f>
        <v>iHerb</v>
      </c>
      <c r="K4141" s="3">
        <f t="shared" si="256"/>
        <v>2024</v>
      </c>
      <c r="L4141" s="6">
        <f t="shared" si="257"/>
        <v>45627</v>
      </c>
      <c r="M4141" s="3" t="str">
        <f t="shared" si="258"/>
        <v>11% to 15%</v>
      </c>
      <c r="N4141" s="3" t="str">
        <f t="shared" si="259"/>
        <v>OK</v>
      </c>
    </row>
    <row r="4142" spans="1:14" x14ac:dyDescent="0.3">
      <c r="A4142" s="2">
        <f>DATE(VALUE(RIGHT(TRIM([1]Raw_Data!A4140),4)),VALUE(MID(TRIM([1]Raw_Data!A4140),4,2)),VALUE(LEFT(TRIM([1]Raw_Data!A4140),2)))</f>
        <v>45642</v>
      </c>
      <c r="B4142" s="3" t="str">
        <f>TRIM([1]Raw_Data!B4140)</f>
        <v>Ashwagandha</v>
      </c>
      <c r="C4142" s="3" t="str">
        <f>TRIM([1]Raw_Data!C4140)</f>
        <v>Herbal</v>
      </c>
      <c r="D4142" s="3">
        <f>[1]Raw_Data!D4140</f>
        <v>143</v>
      </c>
      <c r="E4142" s="4">
        <f>[1]Raw_Data!E4140</f>
        <v>29.52</v>
      </c>
      <c r="F4142" s="5">
        <f>[1]Raw_Data!F4140</f>
        <v>4221.3599999999997</v>
      </c>
      <c r="G4142" s="4">
        <f>[1]Raw_Data!G4140</f>
        <v>0.13</v>
      </c>
      <c r="H4142" s="3">
        <f>[1]Raw_Data!H4140</f>
        <v>1</v>
      </c>
      <c r="I4142" s="3" t="str">
        <f>TRIM([1]Raw_Data!I4140)</f>
        <v>UK</v>
      </c>
      <c r="J4142" s="3" t="str">
        <f>TRIM([1]Raw_Data!J4140)</f>
        <v>Walmart</v>
      </c>
      <c r="K4142" s="3">
        <f t="shared" si="256"/>
        <v>2024</v>
      </c>
      <c r="L4142" s="6">
        <f t="shared" si="257"/>
        <v>45627</v>
      </c>
      <c r="M4142" s="3" t="str">
        <f t="shared" si="258"/>
        <v>11% to 15%</v>
      </c>
      <c r="N4142" s="3" t="str">
        <f t="shared" si="259"/>
        <v>OK</v>
      </c>
    </row>
    <row r="4143" spans="1:14" x14ac:dyDescent="0.3">
      <c r="A4143" s="2">
        <f>DATE(VALUE(RIGHT(TRIM([1]Raw_Data!A4141),4)),VALUE(MID(TRIM([1]Raw_Data!A4141),4,2)),VALUE(LEFT(TRIM([1]Raw_Data!A4141),2)))</f>
        <v>45642</v>
      </c>
      <c r="B4143" s="3" t="str">
        <f>TRIM([1]Raw_Data!B4141)</f>
        <v>Melatonin</v>
      </c>
      <c r="C4143" s="3" t="str">
        <f>TRIM([1]Raw_Data!C4141)</f>
        <v>Sleep Aid</v>
      </c>
      <c r="D4143" s="3">
        <f>[1]Raw_Data!D4141</f>
        <v>160</v>
      </c>
      <c r="E4143" s="4">
        <f>[1]Raw_Data!E4141</f>
        <v>57.32</v>
      </c>
      <c r="F4143" s="5">
        <f>[1]Raw_Data!F4141</f>
        <v>9171.2000000000007</v>
      </c>
      <c r="G4143" s="4">
        <f>[1]Raw_Data!G4141</f>
        <v>0.09</v>
      </c>
      <c r="H4143" s="3">
        <f>[1]Raw_Data!H4141</f>
        <v>1</v>
      </c>
      <c r="I4143" s="3" t="str">
        <f>TRIM([1]Raw_Data!I4141)</f>
        <v>USA</v>
      </c>
      <c r="J4143" s="3" t="str">
        <f>TRIM([1]Raw_Data!J4141)</f>
        <v>iHerb</v>
      </c>
      <c r="K4143" s="3">
        <f t="shared" si="256"/>
        <v>2024</v>
      </c>
      <c r="L4143" s="6">
        <f t="shared" si="257"/>
        <v>45627</v>
      </c>
      <c r="M4143" s="3" t="str">
        <f t="shared" si="258"/>
        <v>6% to 10%</v>
      </c>
      <c r="N4143" s="3" t="str">
        <f t="shared" si="259"/>
        <v>OK</v>
      </c>
    </row>
    <row r="4144" spans="1:14" x14ac:dyDescent="0.3">
      <c r="A4144" s="2">
        <f>DATE(VALUE(RIGHT(TRIM([1]Raw_Data!A4142),4)),VALUE(MID(TRIM([1]Raw_Data!A4142),4,2)),VALUE(LEFT(TRIM([1]Raw_Data!A4142),2)))</f>
        <v>45642</v>
      </c>
      <c r="B4144" s="3" t="str">
        <f>TRIM([1]Raw_Data!B4142)</f>
        <v>Biotin</v>
      </c>
      <c r="C4144" s="3" t="str">
        <f>TRIM([1]Raw_Data!C4142)</f>
        <v>Vitamin</v>
      </c>
      <c r="D4144" s="3">
        <f>[1]Raw_Data!D4142</f>
        <v>157</v>
      </c>
      <c r="E4144" s="4">
        <f>[1]Raw_Data!E4142</f>
        <v>28.92</v>
      </c>
      <c r="F4144" s="5">
        <f>[1]Raw_Data!F4142</f>
        <v>4540.4399999999996</v>
      </c>
      <c r="G4144" s="4">
        <f>[1]Raw_Data!G4142</f>
        <v>0.19</v>
      </c>
      <c r="H4144" s="3">
        <f>[1]Raw_Data!H4142</f>
        <v>3</v>
      </c>
      <c r="I4144" s="3" t="str">
        <f>TRIM([1]Raw_Data!I4142)</f>
        <v>Canada</v>
      </c>
      <c r="J4144" s="3" t="str">
        <f>TRIM([1]Raw_Data!J4142)</f>
        <v>Walmart</v>
      </c>
      <c r="K4144" s="3">
        <f t="shared" si="256"/>
        <v>2024</v>
      </c>
      <c r="L4144" s="6">
        <f t="shared" si="257"/>
        <v>45627</v>
      </c>
      <c r="M4144" s="3" t="str">
        <f t="shared" si="258"/>
        <v>16% to 20%</v>
      </c>
      <c r="N4144" s="3" t="str">
        <f t="shared" si="259"/>
        <v>OK</v>
      </c>
    </row>
    <row r="4145" spans="1:14" x14ac:dyDescent="0.3">
      <c r="A4145" s="2">
        <f>DATE(VALUE(RIGHT(TRIM([1]Raw_Data!A4143),4)),VALUE(MID(TRIM([1]Raw_Data!A4143),4,2)),VALUE(LEFT(TRIM([1]Raw_Data!A4143),2)))</f>
        <v>45642</v>
      </c>
      <c r="B4145" s="3" t="str">
        <f>TRIM([1]Raw_Data!B4143)</f>
        <v>Green Tea Extract</v>
      </c>
      <c r="C4145" s="3" t="str">
        <f>TRIM([1]Raw_Data!C4143)</f>
        <v>Fat Burner</v>
      </c>
      <c r="D4145" s="3">
        <f>[1]Raw_Data!D4143</f>
        <v>160</v>
      </c>
      <c r="E4145" s="4">
        <f>[1]Raw_Data!E4143</f>
        <v>51.37</v>
      </c>
      <c r="F4145" s="5">
        <f>[1]Raw_Data!F4143</f>
        <v>8219.2000000000007</v>
      </c>
      <c r="G4145" s="4">
        <f>[1]Raw_Data!G4143</f>
        <v>0.19</v>
      </c>
      <c r="H4145" s="3">
        <f>[1]Raw_Data!H4143</f>
        <v>2</v>
      </c>
      <c r="I4145" s="3" t="str">
        <f>TRIM([1]Raw_Data!I4143)</f>
        <v>USA</v>
      </c>
      <c r="J4145" s="3" t="str">
        <f>TRIM([1]Raw_Data!J4143)</f>
        <v>iHerb</v>
      </c>
      <c r="K4145" s="3">
        <f t="shared" si="256"/>
        <v>2024</v>
      </c>
      <c r="L4145" s="6">
        <f t="shared" si="257"/>
        <v>45627</v>
      </c>
      <c r="M4145" s="3" t="str">
        <f t="shared" si="258"/>
        <v>16% to 20%</v>
      </c>
      <c r="N4145" s="3" t="str">
        <f t="shared" si="259"/>
        <v>OK</v>
      </c>
    </row>
    <row r="4146" spans="1:14" x14ac:dyDescent="0.3">
      <c r="A4146" s="2">
        <f>DATE(VALUE(RIGHT(TRIM([1]Raw_Data!A4144),4)),VALUE(MID(TRIM([1]Raw_Data!A4144),4,2)),VALUE(LEFT(TRIM([1]Raw_Data!A4144),2)))</f>
        <v>45642</v>
      </c>
      <c r="B4146" s="3" t="str">
        <f>TRIM([1]Raw_Data!B4144)</f>
        <v>Iron Supplement</v>
      </c>
      <c r="C4146" s="3" t="str">
        <f>TRIM([1]Raw_Data!C4144)</f>
        <v>Mineral</v>
      </c>
      <c r="D4146" s="3">
        <f>[1]Raw_Data!D4144</f>
        <v>147</v>
      </c>
      <c r="E4146" s="4">
        <f>[1]Raw_Data!E4144</f>
        <v>33.04</v>
      </c>
      <c r="F4146" s="5">
        <f>[1]Raw_Data!F4144</f>
        <v>4856.88</v>
      </c>
      <c r="G4146" s="4">
        <f>[1]Raw_Data!G4144</f>
        <v>0.01</v>
      </c>
      <c r="H4146" s="3">
        <f>[1]Raw_Data!H4144</f>
        <v>1</v>
      </c>
      <c r="I4146" s="3" t="str">
        <f>TRIM([1]Raw_Data!I4144)</f>
        <v>Canada</v>
      </c>
      <c r="J4146" s="3" t="str">
        <f>TRIM([1]Raw_Data!J4144)</f>
        <v>Amazon</v>
      </c>
      <c r="K4146" s="3">
        <f t="shared" si="256"/>
        <v>2024</v>
      </c>
      <c r="L4146" s="6">
        <f t="shared" si="257"/>
        <v>45627</v>
      </c>
      <c r="M4146" s="3" t="str">
        <f t="shared" si="258"/>
        <v>0% to 5%</v>
      </c>
      <c r="N4146" s="3" t="str">
        <f t="shared" si="259"/>
        <v>OK</v>
      </c>
    </row>
    <row r="4147" spans="1:14" x14ac:dyDescent="0.3">
      <c r="A4147" s="2">
        <f>DATE(VALUE(RIGHT(TRIM([1]Raw_Data!A4145),4)),VALUE(MID(TRIM([1]Raw_Data!A4145),4,2)),VALUE(LEFT(TRIM([1]Raw_Data!A4145),2)))</f>
        <v>45642</v>
      </c>
      <c r="B4147" s="3" t="str">
        <f>TRIM([1]Raw_Data!B4145)</f>
        <v>Electrolyte Powder</v>
      </c>
      <c r="C4147" s="3" t="str">
        <f>TRIM([1]Raw_Data!C4145)</f>
        <v>Hydration</v>
      </c>
      <c r="D4147" s="3">
        <f>[1]Raw_Data!D4145</f>
        <v>153</v>
      </c>
      <c r="E4147" s="4">
        <f>[1]Raw_Data!E4145</f>
        <v>44.27</v>
      </c>
      <c r="F4147" s="5">
        <f>[1]Raw_Data!F4145</f>
        <v>6773.31</v>
      </c>
      <c r="G4147" s="4">
        <f>[1]Raw_Data!G4145</f>
        <v>0.21</v>
      </c>
      <c r="H4147" s="3">
        <f>[1]Raw_Data!H4145</f>
        <v>1</v>
      </c>
      <c r="I4147" s="3" t="str">
        <f>TRIM([1]Raw_Data!I4145)</f>
        <v>Canada</v>
      </c>
      <c r="J4147" s="3" t="str">
        <f>TRIM([1]Raw_Data!J4145)</f>
        <v>Amazon</v>
      </c>
      <c r="K4147" s="3">
        <f t="shared" si="256"/>
        <v>2024</v>
      </c>
      <c r="L4147" s="6">
        <f t="shared" si="257"/>
        <v>45627</v>
      </c>
      <c r="M4147" s="3" t="str">
        <f t="shared" si="258"/>
        <v>21% to 25%</v>
      </c>
      <c r="N4147" s="3" t="str">
        <f t="shared" si="259"/>
        <v>OK</v>
      </c>
    </row>
    <row r="4148" spans="1:14" x14ac:dyDescent="0.3">
      <c r="A4148" s="2">
        <f>DATE(VALUE(RIGHT(TRIM([1]Raw_Data!A4146),4)),VALUE(MID(TRIM([1]Raw_Data!A4146),4,2)),VALUE(LEFT(TRIM([1]Raw_Data!A4146),2)))</f>
        <v>45649</v>
      </c>
      <c r="B4148" s="3" t="str">
        <f>TRIM([1]Raw_Data!B4146)</f>
        <v>Whey Protein</v>
      </c>
      <c r="C4148" s="3" t="str">
        <f>TRIM([1]Raw_Data!C4146)</f>
        <v>Protein</v>
      </c>
      <c r="D4148" s="3">
        <f>[1]Raw_Data!D4146</f>
        <v>169</v>
      </c>
      <c r="E4148" s="4">
        <f>[1]Raw_Data!E4146</f>
        <v>52.01</v>
      </c>
      <c r="F4148" s="5">
        <f>[1]Raw_Data!F4146</f>
        <v>8789.69</v>
      </c>
      <c r="G4148" s="4">
        <f>[1]Raw_Data!G4146</f>
        <v>0.21</v>
      </c>
      <c r="H4148" s="3">
        <f>[1]Raw_Data!H4146</f>
        <v>1</v>
      </c>
      <c r="I4148" s="3" t="str">
        <f>TRIM([1]Raw_Data!I4146)</f>
        <v>USA</v>
      </c>
      <c r="J4148" s="3" t="str">
        <f>TRIM([1]Raw_Data!J4146)</f>
        <v>Amazon</v>
      </c>
      <c r="K4148" s="3">
        <f t="shared" si="256"/>
        <v>2024</v>
      </c>
      <c r="L4148" s="6">
        <f t="shared" si="257"/>
        <v>45627</v>
      </c>
      <c r="M4148" s="3" t="str">
        <f t="shared" si="258"/>
        <v>21% to 25%</v>
      </c>
      <c r="N4148" s="3" t="str">
        <f t="shared" si="259"/>
        <v>OK</v>
      </c>
    </row>
    <row r="4149" spans="1:14" x14ac:dyDescent="0.3">
      <c r="A4149" s="2">
        <f>DATE(VALUE(RIGHT(TRIM([1]Raw_Data!A4147),4)),VALUE(MID(TRIM([1]Raw_Data!A4147),4,2)),VALUE(LEFT(TRIM([1]Raw_Data!A4147),2)))</f>
        <v>45649</v>
      </c>
      <c r="B4149" s="3" t="str">
        <f>TRIM([1]Raw_Data!B4147)</f>
        <v>Vitamin C</v>
      </c>
      <c r="C4149" s="3" t="str">
        <f>TRIM([1]Raw_Data!C4147)</f>
        <v>Vitamin</v>
      </c>
      <c r="D4149" s="3">
        <f>[1]Raw_Data!D4147</f>
        <v>143</v>
      </c>
      <c r="E4149" s="4">
        <f>[1]Raw_Data!E4147</f>
        <v>50.57</v>
      </c>
      <c r="F4149" s="5">
        <f>[1]Raw_Data!F4147</f>
        <v>7231.51</v>
      </c>
      <c r="G4149" s="4">
        <f>[1]Raw_Data!G4147</f>
        <v>0.21</v>
      </c>
      <c r="H4149" s="3">
        <f>[1]Raw_Data!H4147</f>
        <v>1</v>
      </c>
      <c r="I4149" s="3" t="str">
        <f>TRIM([1]Raw_Data!I4147)</f>
        <v>Canada</v>
      </c>
      <c r="J4149" s="3" t="str">
        <f>TRIM([1]Raw_Data!J4147)</f>
        <v>Walmart</v>
      </c>
      <c r="K4149" s="3">
        <f t="shared" si="256"/>
        <v>2024</v>
      </c>
      <c r="L4149" s="6">
        <f t="shared" si="257"/>
        <v>45627</v>
      </c>
      <c r="M4149" s="3" t="str">
        <f t="shared" si="258"/>
        <v>21% to 25%</v>
      </c>
      <c r="N4149" s="3" t="str">
        <f t="shared" si="259"/>
        <v>OK</v>
      </c>
    </row>
    <row r="4150" spans="1:14" x14ac:dyDescent="0.3">
      <c r="A4150" s="2">
        <f>DATE(VALUE(RIGHT(TRIM([1]Raw_Data!A4148),4)),VALUE(MID(TRIM([1]Raw_Data!A4148),4,2)),VALUE(LEFT(TRIM([1]Raw_Data!A4148),2)))</f>
        <v>45649</v>
      </c>
      <c r="B4150" s="3" t="str">
        <f>TRIM([1]Raw_Data!B4148)</f>
        <v>Fish Oil</v>
      </c>
      <c r="C4150" s="3" t="str">
        <f>TRIM([1]Raw_Data!C4148)</f>
        <v>Omega</v>
      </c>
      <c r="D4150" s="3">
        <f>[1]Raw_Data!D4148</f>
        <v>153</v>
      </c>
      <c r="E4150" s="4">
        <f>[1]Raw_Data!E4148</f>
        <v>33.44</v>
      </c>
      <c r="F4150" s="5">
        <f>[1]Raw_Data!F4148</f>
        <v>5116.32</v>
      </c>
      <c r="G4150" s="4">
        <f>[1]Raw_Data!G4148</f>
        <v>0.25</v>
      </c>
      <c r="H4150" s="3">
        <f>[1]Raw_Data!H4148</f>
        <v>0</v>
      </c>
      <c r="I4150" s="3" t="str">
        <f>TRIM([1]Raw_Data!I4148)</f>
        <v>USA</v>
      </c>
      <c r="J4150" s="3" t="str">
        <f>TRIM([1]Raw_Data!J4148)</f>
        <v>Amazon</v>
      </c>
      <c r="K4150" s="3">
        <f t="shared" si="256"/>
        <v>2024</v>
      </c>
      <c r="L4150" s="6">
        <f t="shared" si="257"/>
        <v>45627</v>
      </c>
      <c r="M4150" s="3" t="str">
        <f t="shared" si="258"/>
        <v>21% to 25%</v>
      </c>
      <c r="N4150" s="3" t="str">
        <f t="shared" si="259"/>
        <v>OK</v>
      </c>
    </row>
    <row r="4151" spans="1:14" x14ac:dyDescent="0.3">
      <c r="A4151" s="2">
        <f>DATE(VALUE(RIGHT(TRIM([1]Raw_Data!A4149),4)),VALUE(MID(TRIM([1]Raw_Data!A4149),4,2)),VALUE(LEFT(TRIM([1]Raw_Data!A4149),2)))</f>
        <v>45649</v>
      </c>
      <c r="B4151" s="3" t="str">
        <f>TRIM([1]Raw_Data!B4149)</f>
        <v>Multivitamin</v>
      </c>
      <c r="C4151" s="3" t="str">
        <f>TRIM([1]Raw_Data!C4149)</f>
        <v>Vitamin</v>
      </c>
      <c r="D4151" s="3">
        <f>[1]Raw_Data!D4149</f>
        <v>139</v>
      </c>
      <c r="E4151" s="4">
        <f>[1]Raw_Data!E4149</f>
        <v>46.24</v>
      </c>
      <c r="F4151" s="5">
        <f>[1]Raw_Data!F4149</f>
        <v>6427.36</v>
      </c>
      <c r="G4151" s="4">
        <f>[1]Raw_Data!G4149</f>
        <v>0.16</v>
      </c>
      <c r="H4151" s="3">
        <f>[1]Raw_Data!H4149</f>
        <v>0</v>
      </c>
      <c r="I4151" s="3" t="str">
        <f>TRIM([1]Raw_Data!I4149)</f>
        <v>USA</v>
      </c>
      <c r="J4151" s="3" t="str">
        <f>TRIM([1]Raw_Data!J4149)</f>
        <v>iHerb</v>
      </c>
      <c r="K4151" s="3">
        <f t="shared" si="256"/>
        <v>2024</v>
      </c>
      <c r="L4151" s="6">
        <f t="shared" si="257"/>
        <v>45627</v>
      </c>
      <c r="M4151" s="3" t="str">
        <f t="shared" si="258"/>
        <v>16% to 20%</v>
      </c>
      <c r="N4151" s="3" t="str">
        <f t="shared" si="259"/>
        <v>OK</v>
      </c>
    </row>
    <row r="4152" spans="1:14" x14ac:dyDescent="0.3">
      <c r="A4152" s="2">
        <f>DATE(VALUE(RIGHT(TRIM([1]Raw_Data!A4150),4)),VALUE(MID(TRIM([1]Raw_Data!A4150),4,2)),VALUE(LEFT(TRIM([1]Raw_Data!A4150),2)))</f>
        <v>45649</v>
      </c>
      <c r="B4152" s="3" t="str">
        <f>TRIM([1]Raw_Data!B4150)</f>
        <v>Pre-Workout</v>
      </c>
      <c r="C4152" s="3" t="str">
        <f>TRIM([1]Raw_Data!C4150)</f>
        <v>Performance</v>
      </c>
      <c r="D4152" s="3">
        <f>[1]Raw_Data!D4150</f>
        <v>161</v>
      </c>
      <c r="E4152" s="4">
        <f>[1]Raw_Data!E4150</f>
        <v>16.75</v>
      </c>
      <c r="F4152" s="5">
        <f>[1]Raw_Data!F4150</f>
        <v>2696.75</v>
      </c>
      <c r="G4152" s="4">
        <f>[1]Raw_Data!G4150</f>
        <v>0.11</v>
      </c>
      <c r="H4152" s="3">
        <f>[1]Raw_Data!H4150</f>
        <v>0</v>
      </c>
      <c r="I4152" s="3" t="str">
        <f>TRIM([1]Raw_Data!I4150)</f>
        <v>Canada</v>
      </c>
      <c r="J4152" s="3" t="str">
        <f>TRIM([1]Raw_Data!J4150)</f>
        <v>iHerb</v>
      </c>
      <c r="K4152" s="3">
        <f t="shared" si="256"/>
        <v>2024</v>
      </c>
      <c r="L4152" s="6">
        <f t="shared" si="257"/>
        <v>45627</v>
      </c>
      <c r="M4152" s="3" t="str">
        <f t="shared" si="258"/>
        <v>11% to 15%</v>
      </c>
      <c r="N4152" s="3" t="str">
        <f t="shared" si="259"/>
        <v>OK</v>
      </c>
    </row>
    <row r="4153" spans="1:14" x14ac:dyDescent="0.3">
      <c r="A4153" s="2">
        <f>DATE(VALUE(RIGHT(TRIM([1]Raw_Data!A4151),4)),VALUE(MID(TRIM([1]Raw_Data!A4151),4,2)),VALUE(LEFT(TRIM([1]Raw_Data!A4151),2)))</f>
        <v>45649</v>
      </c>
      <c r="B4153" s="3" t="str">
        <f>TRIM([1]Raw_Data!B4151)</f>
        <v>BCAA</v>
      </c>
      <c r="C4153" s="3" t="str">
        <f>TRIM([1]Raw_Data!C4151)</f>
        <v>Amino Acid</v>
      </c>
      <c r="D4153" s="3">
        <f>[1]Raw_Data!D4151</f>
        <v>141</v>
      </c>
      <c r="E4153" s="4">
        <f>[1]Raw_Data!E4151</f>
        <v>52.59</v>
      </c>
      <c r="F4153" s="5">
        <f>[1]Raw_Data!F4151</f>
        <v>7415.19</v>
      </c>
      <c r="G4153" s="4">
        <f>[1]Raw_Data!G4151</f>
        <v>0.2</v>
      </c>
      <c r="H4153" s="3">
        <f>[1]Raw_Data!H4151</f>
        <v>1</v>
      </c>
      <c r="I4153" s="3" t="str">
        <f>TRIM([1]Raw_Data!I4151)</f>
        <v>UK</v>
      </c>
      <c r="J4153" s="3" t="str">
        <f>TRIM([1]Raw_Data!J4151)</f>
        <v>Amazon</v>
      </c>
      <c r="K4153" s="3">
        <f t="shared" si="256"/>
        <v>2024</v>
      </c>
      <c r="L4153" s="6">
        <f t="shared" si="257"/>
        <v>45627</v>
      </c>
      <c r="M4153" s="3" t="str">
        <f t="shared" si="258"/>
        <v>16% to 20%</v>
      </c>
      <c r="N4153" s="3" t="str">
        <f t="shared" si="259"/>
        <v>OK</v>
      </c>
    </row>
    <row r="4154" spans="1:14" x14ac:dyDescent="0.3">
      <c r="A4154" s="2">
        <f>DATE(VALUE(RIGHT(TRIM([1]Raw_Data!A4152),4)),VALUE(MID(TRIM([1]Raw_Data!A4152),4,2)),VALUE(LEFT(TRIM([1]Raw_Data!A4152),2)))</f>
        <v>45649</v>
      </c>
      <c r="B4154" s="3" t="str">
        <f>TRIM([1]Raw_Data!B4152)</f>
        <v>Creatine</v>
      </c>
      <c r="C4154" s="3" t="str">
        <f>TRIM([1]Raw_Data!C4152)</f>
        <v>Performance</v>
      </c>
      <c r="D4154" s="3">
        <f>[1]Raw_Data!D4152</f>
        <v>158</v>
      </c>
      <c r="E4154" s="4">
        <f>[1]Raw_Data!E4152</f>
        <v>27.04</v>
      </c>
      <c r="F4154" s="5">
        <f>[1]Raw_Data!F4152</f>
        <v>4272.32</v>
      </c>
      <c r="G4154" s="4">
        <f>[1]Raw_Data!G4152</f>
        <v>0.18</v>
      </c>
      <c r="H4154" s="3">
        <f>[1]Raw_Data!H4152</f>
        <v>2</v>
      </c>
      <c r="I4154" s="3" t="str">
        <f>TRIM([1]Raw_Data!I4152)</f>
        <v>USA</v>
      </c>
      <c r="J4154" s="3" t="str">
        <f>TRIM([1]Raw_Data!J4152)</f>
        <v>iHerb</v>
      </c>
      <c r="K4154" s="3">
        <f t="shared" si="256"/>
        <v>2024</v>
      </c>
      <c r="L4154" s="6">
        <f t="shared" si="257"/>
        <v>45627</v>
      </c>
      <c r="M4154" s="3" t="str">
        <f t="shared" si="258"/>
        <v>16% to 20%</v>
      </c>
      <c r="N4154" s="3" t="str">
        <f t="shared" si="259"/>
        <v>OK</v>
      </c>
    </row>
    <row r="4155" spans="1:14" x14ac:dyDescent="0.3">
      <c r="A4155" s="2">
        <f>DATE(VALUE(RIGHT(TRIM([1]Raw_Data!A4153),4)),VALUE(MID(TRIM([1]Raw_Data!A4153),4,2)),VALUE(LEFT(TRIM([1]Raw_Data!A4153),2)))</f>
        <v>45649</v>
      </c>
      <c r="B4155" s="3" t="str">
        <f>TRIM([1]Raw_Data!B4153)</f>
        <v>Zinc</v>
      </c>
      <c r="C4155" s="3" t="str">
        <f>TRIM([1]Raw_Data!C4153)</f>
        <v>Mineral</v>
      </c>
      <c r="D4155" s="3">
        <f>[1]Raw_Data!D4153</f>
        <v>154</v>
      </c>
      <c r="E4155" s="4">
        <f>[1]Raw_Data!E4153</f>
        <v>44.15</v>
      </c>
      <c r="F4155" s="5">
        <f>[1]Raw_Data!F4153</f>
        <v>6799.1</v>
      </c>
      <c r="G4155" s="4">
        <f>[1]Raw_Data!G4153</f>
        <v>0.1</v>
      </c>
      <c r="H4155" s="3">
        <f>[1]Raw_Data!H4153</f>
        <v>3</v>
      </c>
      <c r="I4155" s="3" t="str">
        <f>TRIM([1]Raw_Data!I4153)</f>
        <v>USA</v>
      </c>
      <c r="J4155" s="3" t="str">
        <f>TRIM([1]Raw_Data!J4153)</f>
        <v>iHerb</v>
      </c>
      <c r="K4155" s="3">
        <f t="shared" si="256"/>
        <v>2024</v>
      </c>
      <c r="L4155" s="6">
        <f t="shared" si="257"/>
        <v>45627</v>
      </c>
      <c r="M4155" s="3" t="str">
        <f t="shared" si="258"/>
        <v>6% to 10%</v>
      </c>
      <c r="N4155" s="3" t="str">
        <f t="shared" si="259"/>
        <v>OK</v>
      </c>
    </row>
    <row r="4156" spans="1:14" x14ac:dyDescent="0.3">
      <c r="A4156" s="2">
        <f>DATE(VALUE(RIGHT(TRIM([1]Raw_Data!A4154),4)),VALUE(MID(TRIM([1]Raw_Data!A4154),4,2)),VALUE(LEFT(TRIM([1]Raw_Data!A4154),2)))</f>
        <v>45649</v>
      </c>
      <c r="B4156" s="3" t="str">
        <f>TRIM([1]Raw_Data!B4154)</f>
        <v>Collagen Peptides</v>
      </c>
      <c r="C4156" s="3" t="str">
        <f>TRIM([1]Raw_Data!C4154)</f>
        <v>Protein</v>
      </c>
      <c r="D4156" s="3">
        <f>[1]Raw_Data!D4154</f>
        <v>136</v>
      </c>
      <c r="E4156" s="4">
        <f>[1]Raw_Data!E4154</f>
        <v>27.11</v>
      </c>
      <c r="F4156" s="5">
        <f>[1]Raw_Data!F4154</f>
        <v>3686.96</v>
      </c>
      <c r="G4156" s="4">
        <f>[1]Raw_Data!G4154</f>
        <v>0.03</v>
      </c>
      <c r="H4156" s="3">
        <f>[1]Raw_Data!H4154</f>
        <v>1</v>
      </c>
      <c r="I4156" s="3" t="str">
        <f>TRIM([1]Raw_Data!I4154)</f>
        <v>Canada</v>
      </c>
      <c r="J4156" s="3" t="str">
        <f>TRIM([1]Raw_Data!J4154)</f>
        <v>Walmart</v>
      </c>
      <c r="K4156" s="3">
        <f t="shared" si="256"/>
        <v>2024</v>
      </c>
      <c r="L4156" s="6">
        <f t="shared" si="257"/>
        <v>45627</v>
      </c>
      <c r="M4156" s="3" t="str">
        <f t="shared" si="258"/>
        <v>0% to 5%</v>
      </c>
      <c r="N4156" s="3" t="str">
        <f t="shared" si="259"/>
        <v>OK</v>
      </c>
    </row>
    <row r="4157" spans="1:14" x14ac:dyDescent="0.3">
      <c r="A4157" s="2">
        <f>DATE(VALUE(RIGHT(TRIM([1]Raw_Data!A4155),4)),VALUE(MID(TRIM([1]Raw_Data!A4155),4,2)),VALUE(LEFT(TRIM([1]Raw_Data!A4155),2)))</f>
        <v>45649</v>
      </c>
      <c r="B4157" s="3" t="str">
        <f>TRIM([1]Raw_Data!B4155)</f>
        <v>Magnesium</v>
      </c>
      <c r="C4157" s="3" t="str">
        <f>TRIM([1]Raw_Data!C4155)</f>
        <v>Mineral</v>
      </c>
      <c r="D4157" s="3">
        <f>[1]Raw_Data!D4155</f>
        <v>145</v>
      </c>
      <c r="E4157" s="4">
        <f>[1]Raw_Data!E4155</f>
        <v>31.54</v>
      </c>
      <c r="F4157" s="5">
        <f>[1]Raw_Data!F4155</f>
        <v>4573.3</v>
      </c>
      <c r="G4157" s="4">
        <f>[1]Raw_Data!G4155</f>
        <v>0.17</v>
      </c>
      <c r="H4157" s="3">
        <f>[1]Raw_Data!H4155</f>
        <v>1</v>
      </c>
      <c r="I4157" s="3" t="str">
        <f>TRIM([1]Raw_Data!I4155)</f>
        <v>USA</v>
      </c>
      <c r="J4157" s="3" t="str">
        <f>TRIM([1]Raw_Data!J4155)</f>
        <v>Walmart</v>
      </c>
      <c r="K4157" s="3">
        <f t="shared" si="256"/>
        <v>2024</v>
      </c>
      <c r="L4157" s="6">
        <f t="shared" si="257"/>
        <v>45627</v>
      </c>
      <c r="M4157" s="3" t="str">
        <f t="shared" si="258"/>
        <v>16% to 20%</v>
      </c>
      <c r="N4157" s="3" t="str">
        <f t="shared" si="259"/>
        <v>OK</v>
      </c>
    </row>
    <row r="4158" spans="1:14" x14ac:dyDescent="0.3">
      <c r="A4158" s="2">
        <f>DATE(VALUE(RIGHT(TRIM([1]Raw_Data!A4156),4)),VALUE(MID(TRIM([1]Raw_Data!A4156),4,2)),VALUE(LEFT(TRIM([1]Raw_Data!A4156),2)))</f>
        <v>45649</v>
      </c>
      <c r="B4158" s="3" t="str">
        <f>TRIM([1]Raw_Data!B4156)</f>
        <v>Ashwagandha</v>
      </c>
      <c r="C4158" s="3" t="str">
        <f>TRIM([1]Raw_Data!C4156)</f>
        <v>Herbal</v>
      </c>
      <c r="D4158" s="3">
        <f>[1]Raw_Data!D4156</f>
        <v>139</v>
      </c>
      <c r="E4158" s="4">
        <f>[1]Raw_Data!E4156</f>
        <v>40.340000000000003</v>
      </c>
      <c r="F4158" s="5">
        <f>[1]Raw_Data!F4156</f>
        <v>5607.26</v>
      </c>
      <c r="G4158" s="4">
        <f>[1]Raw_Data!G4156</f>
        <v>0.16</v>
      </c>
      <c r="H4158" s="3">
        <f>[1]Raw_Data!H4156</f>
        <v>1</v>
      </c>
      <c r="I4158" s="3" t="str">
        <f>TRIM([1]Raw_Data!I4156)</f>
        <v>Canada</v>
      </c>
      <c r="J4158" s="3" t="str">
        <f>TRIM([1]Raw_Data!J4156)</f>
        <v>Walmart</v>
      </c>
      <c r="K4158" s="3">
        <f t="shared" si="256"/>
        <v>2024</v>
      </c>
      <c r="L4158" s="6">
        <f t="shared" si="257"/>
        <v>45627</v>
      </c>
      <c r="M4158" s="3" t="str">
        <f t="shared" si="258"/>
        <v>16% to 20%</v>
      </c>
      <c r="N4158" s="3" t="str">
        <f t="shared" si="259"/>
        <v>OK</v>
      </c>
    </row>
    <row r="4159" spans="1:14" x14ac:dyDescent="0.3">
      <c r="A4159" s="2">
        <f>DATE(VALUE(RIGHT(TRIM([1]Raw_Data!A4157),4)),VALUE(MID(TRIM([1]Raw_Data!A4157),4,2)),VALUE(LEFT(TRIM([1]Raw_Data!A4157),2)))</f>
        <v>45649</v>
      </c>
      <c r="B4159" s="3" t="str">
        <f>TRIM([1]Raw_Data!B4157)</f>
        <v>Melatonin</v>
      </c>
      <c r="C4159" s="3" t="str">
        <f>TRIM([1]Raw_Data!C4157)</f>
        <v>Sleep Aid</v>
      </c>
      <c r="D4159" s="3">
        <f>[1]Raw_Data!D4157</f>
        <v>173</v>
      </c>
      <c r="E4159" s="4">
        <f>[1]Raw_Data!E4157</f>
        <v>13.07</v>
      </c>
      <c r="F4159" s="5">
        <f>[1]Raw_Data!F4157</f>
        <v>2261.11</v>
      </c>
      <c r="G4159" s="4">
        <f>[1]Raw_Data!G4157</f>
        <v>0.08</v>
      </c>
      <c r="H4159" s="3">
        <f>[1]Raw_Data!H4157</f>
        <v>0</v>
      </c>
      <c r="I4159" s="3" t="str">
        <f>TRIM([1]Raw_Data!I4157)</f>
        <v>Canada</v>
      </c>
      <c r="J4159" s="3" t="str">
        <f>TRIM([1]Raw_Data!J4157)</f>
        <v>Amazon</v>
      </c>
      <c r="K4159" s="3">
        <f t="shared" si="256"/>
        <v>2024</v>
      </c>
      <c r="L4159" s="6">
        <f t="shared" si="257"/>
        <v>45627</v>
      </c>
      <c r="M4159" s="3" t="str">
        <f t="shared" si="258"/>
        <v>6% to 10%</v>
      </c>
      <c r="N4159" s="3" t="str">
        <f t="shared" si="259"/>
        <v>OK</v>
      </c>
    </row>
    <row r="4160" spans="1:14" x14ac:dyDescent="0.3">
      <c r="A4160" s="2">
        <f>DATE(VALUE(RIGHT(TRIM([1]Raw_Data!A4158),4)),VALUE(MID(TRIM([1]Raw_Data!A4158),4,2)),VALUE(LEFT(TRIM([1]Raw_Data!A4158),2)))</f>
        <v>45649</v>
      </c>
      <c r="B4160" s="3" t="str">
        <f>TRIM([1]Raw_Data!B4158)</f>
        <v>Biotin</v>
      </c>
      <c r="C4160" s="3" t="str">
        <f>TRIM([1]Raw_Data!C4158)</f>
        <v>Vitamin</v>
      </c>
      <c r="D4160" s="3">
        <f>[1]Raw_Data!D4158</f>
        <v>151</v>
      </c>
      <c r="E4160" s="4">
        <f>[1]Raw_Data!E4158</f>
        <v>38.75</v>
      </c>
      <c r="F4160" s="5">
        <f>[1]Raw_Data!F4158</f>
        <v>5851.25</v>
      </c>
      <c r="G4160" s="4">
        <f>[1]Raw_Data!G4158</f>
        <v>0.19</v>
      </c>
      <c r="H4160" s="3">
        <f>[1]Raw_Data!H4158</f>
        <v>4</v>
      </c>
      <c r="I4160" s="3" t="str">
        <f>TRIM([1]Raw_Data!I4158)</f>
        <v>USA</v>
      </c>
      <c r="J4160" s="3" t="str">
        <f>TRIM([1]Raw_Data!J4158)</f>
        <v>Amazon</v>
      </c>
      <c r="K4160" s="3">
        <f t="shared" si="256"/>
        <v>2024</v>
      </c>
      <c r="L4160" s="6">
        <f t="shared" si="257"/>
        <v>45627</v>
      </c>
      <c r="M4160" s="3" t="str">
        <f t="shared" si="258"/>
        <v>16% to 20%</v>
      </c>
      <c r="N4160" s="3" t="str">
        <f t="shared" si="259"/>
        <v>OK</v>
      </c>
    </row>
    <row r="4161" spans="1:14" x14ac:dyDescent="0.3">
      <c r="A4161" s="2">
        <f>DATE(VALUE(RIGHT(TRIM([1]Raw_Data!A4159),4)),VALUE(MID(TRIM([1]Raw_Data!A4159),4,2)),VALUE(LEFT(TRIM([1]Raw_Data!A4159),2)))</f>
        <v>45649</v>
      </c>
      <c r="B4161" s="3" t="str">
        <f>TRIM([1]Raw_Data!B4159)</f>
        <v>Green Tea Extract</v>
      </c>
      <c r="C4161" s="3" t="str">
        <f>TRIM([1]Raw_Data!C4159)</f>
        <v>Fat Burner</v>
      </c>
      <c r="D4161" s="3">
        <f>[1]Raw_Data!D4159</f>
        <v>167</v>
      </c>
      <c r="E4161" s="4">
        <f>[1]Raw_Data!E4159</f>
        <v>26.93</v>
      </c>
      <c r="F4161" s="5">
        <f>[1]Raw_Data!F4159</f>
        <v>4497.3100000000004</v>
      </c>
      <c r="G4161" s="4">
        <f>[1]Raw_Data!G4159</f>
        <v>0.06</v>
      </c>
      <c r="H4161" s="3">
        <f>[1]Raw_Data!H4159</f>
        <v>0</v>
      </c>
      <c r="I4161" s="3" t="str">
        <f>TRIM([1]Raw_Data!I4159)</f>
        <v>Canada</v>
      </c>
      <c r="J4161" s="3" t="str">
        <f>TRIM([1]Raw_Data!J4159)</f>
        <v>iHerb</v>
      </c>
      <c r="K4161" s="3">
        <f t="shared" si="256"/>
        <v>2024</v>
      </c>
      <c r="L4161" s="6">
        <f t="shared" si="257"/>
        <v>45627</v>
      </c>
      <c r="M4161" s="3" t="str">
        <f t="shared" si="258"/>
        <v>6% to 10%</v>
      </c>
      <c r="N4161" s="3" t="str">
        <f t="shared" si="259"/>
        <v>OK</v>
      </c>
    </row>
    <row r="4162" spans="1:14" x14ac:dyDescent="0.3">
      <c r="A4162" s="2">
        <f>DATE(VALUE(RIGHT(TRIM([1]Raw_Data!A4160),4)),VALUE(MID(TRIM([1]Raw_Data!A4160),4,2)),VALUE(LEFT(TRIM([1]Raw_Data!A4160),2)))</f>
        <v>45649</v>
      </c>
      <c r="B4162" s="3" t="str">
        <f>TRIM([1]Raw_Data!B4160)</f>
        <v>Iron Supplement</v>
      </c>
      <c r="C4162" s="3" t="str">
        <f>TRIM([1]Raw_Data!C4160)</f>
        <v>Mineral</v>
      </c>
      <c r="D4162" s="3">
        <f>[1]Raw_Data!D4160</f>
        <v>152</v>
      </c>
      <c r="E4162" s="4">
        <f>[1]Raw_Data!E4160</f>
        <v>21.36</v>
      </c>
      <c r="F4162" s="5">
        <f>[1]Raw_Data!F4160</f>
        <v>3246.72</v>
      </c>
      <c r="G4162" s="4">
        <f>[1]Raw_Data!G4160</f>
        <v>0.18</v>
      </c>
      <c r="H4162" s="3">
        <f>[1]Raw_Data!H4160</f>
        <v>2</v>
      </c>
      <c r="I4162" s="3" t="str">
        <f>TRIM([1]Raw_Data!I4160)</f>
        <v>UK</v>
      </c>
      <c r="J4162" s="3" t="str">
        <f>TRIM([1]Raw_Data!J4160)</f>
        <v>Amazon</v>
      </c>
      <c r="K4162" s="3">
        <f t="shared" si="256"/>
        <v>2024</v>
      </c>
      <c r="L4162" s="6">
        <f t="shared" si="257"/>
        <v>45627</v>
      </c>
      <c r="M4162" s="3" t="str">
        <f t="shared" si="258"/>
        <v>16% to 20%</v>
      </c>
      <c r="N4162" s="3" t="str">
        <f t="shared" si="259"/>
        <v>OK</v>
      </c>
    </row>
    <row r="4163" spans="1:14" x14ac:dyDescent="0.3">
      <c r="A4163" s="2">
        <f>DATE(VALUE(RIGHT(TRIM([1]Raw_Data!A4161),4)),VALUE(MID(TRIM([1]Raw_Data!A4161),4,2)),VALUE(LEFT(TRIM([1]Raw_Data!A4161),2)))</f>
        <v>45649</v>
      </c>
      <c r="B4163" s="3" t="str">
        <f>TRIM([1]Raw_Data!B4161)</f>
        <v>Electrolyte Powder</v>
      </c>
      <c r="C4163" s="3" t="str">
        <f>TRIM([1]Raw_Data!C4161)</f>
        <v>Hydration</v>
      </c>
      <c r="D4163" s="3">
        <f>[1]Raw_Data!D4161</f>
        <v>168</v>
      </c>
      <c r="E4163" s="4">
        <f>[1]Raw_Data!E4161</f>
        <v>27.38</v>
      </c>
      <c r="F4163" s="5">
        <f>[1]Raw_Data!F4161</f>
        <v>4599.84</v>
      </c>
      <c r="G4163" s="4">
        <f>[1]Raw_Data!G4161</f>
        <v>0.06</v>
      </c>
      <c r="H4163" s="3">
        <f>[1]Raw_Data!H4161</f>
        <v>1</v>
      </c>
      <c r="I4163" s="3" t="str">
        <f>TRIM([1]Raw_Data!I4161)</f>
        <v>USA</v>
      </c>
      <c r="J4163" s="3" t="str">
        <f>TRIM([1]Raw_Data!J4161)</f>
        <v>Amazon</v>
      </c>
      <c r="K4163" s="3">
        <f t="shared" si="256"/>
        <v>2024</v>
      </c>
      <c r="L4163" s="6">
        <f t="shared" si="257"/>
        <v>45627</v>
      </c>
      <c r="M4163" s="3" t="str">
        <f t="shared" si="258"/>
        <v>6% to 10%</v>
      </c>
      <c r="N4163" s="3" t="str">
        <f t="shared" si="259"/>
        <v>OK</v>
      </c>
    </row>
    <row r="4164" spans="1:14" x14ac:dyDescent="0.3">
      <c r="A4164" s="2">
        <f>DATE(VALUE(RIGHT(TRIM([1]Raw_Data!A4162),4)),VALUE(MID(TRIM([1]Raw_Data!A4162),4,2)),VALUE(LEFT(TRIM([1]Raw_Data!A4162),2)))</f>
        <v>45656</v>
      </c>
      <c r="B4164" s="3" t="str">
        <f>TRIM([1]Raw_Data!B4162)</f>
        <v>Whey Protein</v>
      </c>
      <c r="C4164" s="3" t="str">
        <f>TRIM([1]Raw_Data!C4162)</f>
        <v>Protein</v>
      </c>
      <c r="D4164" s="3">
        <f>[1]Raw_Data!D4162</f>
        <v>131</v>
      </c>
      <c r="E4164" s="4">
        <f>[1]Raw_Data!E4162</f>
        <v>14.33</v>
      </c>
      <c r="F4164" s="5">
        <f>[1]Raw_Data!F4162</f>
        <v>1877.23</v>
      </c>
      <c r="G4164" s="4">
        <f>[1]Raw_Data!G4162</f>
        <v>7.0000000000000007E-2</v>
      </c>
      <c r="H4164" s="3">
        <f>[1]Raw_Data!H4162</f>
        <v>0</v>
      </c>
      <c r="I4164" s="3" t="str">
        <f>TRIM([1]Raw_Data!I4162)</f>
        <v>UK</v>
      </c>
      <c r="J4164" s="3" t="str">
        <f>TRIM([1]Raw_Data!J4162)</f>
        <v>Walmart</v>
      </c>
      <c r="K4164" s="3">
        <f t="shared" ref="K4164:K4227" si="260">YEAR(A4164)</f>
        <v>2024</v>
      </c>
      <c r="L4164" s="6">
        <f t="shared" ref="L4164:L4227" si="261">DATE(YEAR(A4164),MONTH(A4164),1)</f>
        <v>45627</v>
      </c>
      <c r="M4164" s="3" t="str">
        <f t="shared" ref="M4164:M4227" si="262">IF(ROUND(G4164*100,0)&lt;=5,"0% to 5%",IF(ROUND(G4164*100,0)&lt;=10,"6% to 10%",IF(ROUND(G4164*100,0)&lt;=15,"11% to 15%",IF(ROUND(G4164*100,0)&lt;=20,"16% to 20%","21% to 25%"))))</f>
        <v>6% to 10%</v>
      </c>
      <c r="N4164" s="3" t="str">
        <f t="shared" ref="N4164:N4227" si="263">IF(ROUND(D4164*E4164,2)=ROUND(F4164,2),"OK","Check")</f>
        <v>OK</v>
      </c>
    </row>
    <row r="4165" spans="1:14" x14ac:dyDescent="0.3">
      <c r="A4165" s="2">
        <f>DATE(VALUE(RIGHT(TRIM([1]Raw_Data!A4163),4)),VALUE(MID(TRIM([1]Raw_Data!A4163),4,2)),VALUE(LEFT(TRIM([1]Raw_Data!A4163),2)))</f>
        <v>45656</v>
      </c>
      <c r="B4165" s="3" t="str">
        <f>TRIM([1]Raw_Data!B4163)</f>
        <v>Vitamin C</v>
      </c>
      <c r="C4165" s="3" t="str">
        <f>TRIM([1]Raw_Data!C4163)</f>
        <v>Vitamin</v>
      </c>
      <c r="D4165" s="3">
        <f>[1]Raw_Data!D4163</f>
        <v>161</v>
      </c>
      <c r="E4165" s="4">
        <f>[1]Raw_Data!E4163</f>
        <v>25.42</v>
      </c>
      <c r="F4165" s="5">
        <f>[1]Raw_Data!F4163</f>
        <v>4092.62</v>
      </c>
      <c r="G4165" s="4">
        <f>[1]Raw_Data!G4163</f>
        <v>0.14000000000000001</v>
      </c>
      <c r="H4165" s="3">
        <f>[1]Raw_Data!H4163</f>
        <v>1</v>
      </c>
      <c r="I4165" s="3" t="str">
        <f>TRIM([1]Raw_Data!I4163)</f>
        <v>USA</v>
      </c>
      <c r="J4165" s="3" t="str">
        <f>TRIM([1]Raw_Data!J4163)</f>
        <v>Amazon</v>
      </c>
      <c r="K4165" s="3">
        <f t="shared" si="260"/>
        <v>2024</v>
      </c>
      <c r="L4165" s="6">
        <f t="shared" si="261"/>
        <v>45627</v>
      </c>
      <c r="M4165" s="3" t="str">
        <f t="shared" si="262"/>
        <v>11% to 15%</v>
      </c>
      <c r="N4165" s="3" t="str">
        <f t="shared" si="263"/>
        <v>OK</v>
      </c>
    </row>
    <row r="4166" spans="1:14" x14ac:dyDescent="0.3">
      <c r="A4166" s="2">
        <f>DATE(VALUE(RIGHT(TRIM([1]Raw_Data!A4164),4)),VALUE(MID(TRIM([1]Raw_Data!A4164),4,2)),VALUE(LEFT(TRIM([1]Raw_Data!A4164),2)))</f>
        <v>45656</v>
      </c>
      <c r="B4166" s="3" t="str">
        <f>TRIM([1]Raw_Data!B4164)</f>
        <v>Fish Oil</v>
      </c>
      <c r="C4166" s="3" t="str">
        <f>TRIM([1]Raw_Data!C4164)</f>
        <v>Omega</v>
      </c>
      <c r="D4166" s="3">
        <f>[1]Raw_Data!D4164</f>
        <v>142</v>
      </c>
      <c r="E4166" s="4">
        <f>[1]Raw_Data!E4164</f>
        <v>49.89</v>
      </c>
      <c r="F4166" s="5">
        <f>[1]Raw_Data!F4164</f>
        <v>7084.38</v>
      </c>
      <c r="G4166" s="4">
        <f>[1]Raw_Data!G4164</f>
        <v>0.24</v>
      </c>
      <c r="H4166" s="3">
        <f>[1]Raw_Data!H4164</f>
        <v>1</v>
      </c>
      <c r="I4166" s="3" t="str">
        <f>TRIM([1]Raw_Data!I4164)</f>
        <v>Canada</v>
      </c>
      <c r="J4166" s="3" t="str">
        <f>TRIM([1]Raw_Data!J4164)</f>
        <v>Walmart</v>
      </c>
      <c r="K4166" s="3">
        <f t="shared" si="260"/>
        <v>2024</v>
      </c>
      <c r="L4166" s="6">
        <f t="shared" si="261"/>
        <v>45627</v>
      </c>
      <c r="M4166" s="3" t="str">
        <f t="shared" si="262"/>
        <v>21% to 25%</v>
      </c>
      <c r="N4166" s="3" t="str">
        <f t="shared" si="263"/>
        <v>OK</v>
      </c>
    </row>
    <row r="4167" spans="1:14" x14ac:dyDescent="0.3">
      <c r="A4167" s="2">
        <f>DATE(VALUE(RIGHT(TRIM([1]Raw_Data!A4165),4)),VALUE(MID(TRIM([1]Raw_Data!A4165),4,2)),VALUE(LEFT(TRIM([1]Raw_Data!A4165),2)))</f>
        <v>45656</v>
      </c>
      <c r="B4167" s="3" t="str">
        <f>TRIM([1]Raw_Data!B4165)</f>
        <v>Multivitamin</v>
      </c>
      <c r="C4167" s="3" t="str">
        <f>TRIM([1]Raw_Data!C4165)</f>
        <v>Vitamin</v>
      </c>
      <c r="D4167" s="3">
        <f>[1]Raw_Data!D4165</f>
        <v>118</v>
      </c>
      <c r="E4167" s="4">
        <f>[1]Raw_Data!E4165</f>
        <v>47.96</v>
      </c>
      <c r="F4167" s="5">
        <f>[1]Raw_Data!F4165</f>
        <v>5659.28</v>
      </c>
      <c r="G4167" s="4">
        <f>[1]Raw_Data!G4165</f>
        <v>0.14000000000000001</v>
      </c>
      <c r="H4167" s="3">
        <f>[1]Raw_Data!H4165</f>
        <v>2</v>
      </c>
      <c r="I4167" s="3" t="str">
        <f>TRIM([1]Raw_Data!I4165)</f>
        <v>USA</v>
      </c>
      <c r="J4167" s="3" t="str">
        <f>TRIM([1]Raw_Data!J4165)</f>
        <v>iHerb</v>
      </c>
      <c r="K4167" s="3">
        <f t="shared" si="260"/>
        <v>2024</v>
      </c>
      <c r="L4167" s="6">
        <f t="shared" si="261"/>
        <v>45627</v>
      </c>
      <c r="M4167" s="3" t="str">
        <f t="shared" si="262"/>
        <v>11% to 15%</v>
      </c>
      <c r="N4167" s="3" t="str">
        <f t="shared" si="263"/>
        <v>OK</v>
      </c>
    </row>
    <row r="4168" spans="1:14" x14ac:dyDescent="0.3">
      <c r="A4168" s="2">
        <f>DATE(VALUE(RIGHT(TRIM([1]Raw_Data!A4166),4)),VALUE(MID(TRIM([1]Raw_Data!A4166),4,2)),VALUE(LEFT(TRIM([1]Raw_Data!A4166),2)))</f>
        <v>45656</v>
      </c>
      <c r="B4168" s="3" t="str">
        <f>TRIM([1]Raw_Data!B4166)</f>
        <v>Pre-Workout</v>
      </c>
      <c r="C4168" s="3" t="str">
        <f>TRIM([1]Raw_Data!C4166)</f>
        <v>Performance</v>
      </c>
      <c r="D4168" s="3">
        <f>[1]Raw_Data!D4166</f>
        <v>157</v>
      </c>
      <c r="E4168" s="4">
        <f>[1]Raw_Data!E4166</f>
        <v>54.29</v>
      </c>
      <c r="F4168" s="5">
        <f>[1]Raw_Data!F4166</f>
        <v>8523.5300000000007</v>
      </c>
      <c r="G4168" s="4">
        <f>[1]Raw_Data!G4166</f>
        <v>0.2</v>
      </c>
      <c r="H4168" s="3">
        <f>[1]Raw_Data!H4166</f>
        <v>1</v>
      </c>
      <c r="I4168" s="3" t="str">
        <f>TRIM([1]Raw_Data!I4166)</f>
        <v>USA</v>
      </c>
      <c r="J4168" s="3" t="str">
        <f>TRIM([1]Raw_Data!J4166)</f>
        <v>iHerb</v>
      </c>
      <c r="K4168" s="3">
        <f t="shared" si="260"/>
        <v>2024</v>
      </c>
      <c r="L4168" s="6">
        <f t="shared" si="261"/>
        <v>45627</v>
      </c>
      <c r="M4168" s="3" t="str">
        <f t="shared" si="262"/>
        <v>16% to 20%</v>
      </c>
      <c r="N4168" s="3" t="str">
        <f t="shared" si="263"/>
        <v>OK</v>
      </c>
    </row>
    <row r="4169" spans="1:14" x14ac:dyDescent="0.3">
      <c r="A4169" s="2">
        <f>DATE(VALUE(RIGHT(TRIM([1]Raw_Data!A4167),4)),VALUE(MID(TRIM([1]Raw_Data!A4167),4,2)),VALUE(LEFT(TRIM([1]Raw_Data!A4167),2)))</f>
        <v>45656</v>
      </c>
      <c r="B4169" s="3" t="str">
        <f>TRIM([1]Raw_Data!B4167)</f>
        <v>BCAA</v>
      </c>
      <c r="C4169" s="3" t="str">
        <f>TRIM([1]Raw_Data!C4167)</f>
        <v>Amino Acid</v>
      </c>
      <c r="D4169" s="3">
        <f>[1]Raw_Data!D4167</f>
        <v>143</v>
      </c>
      <c r="E4169" s="4">
        <f>[1]Raw_Data!E4167</f>
        <v>35.1</v>
      </c>
      <c r="F4169" s="5">
        <f>[1]Raw_Data!F4167</f>
        <v>5019.3</v>
      </c>
      <c r="G4169" s="4">
        <f>[1]Raw_Data!G4167</f>
        <v>0.15</v>
      </c>
      <c r="H4169" s="3">
        <f>[1]Raw_Data!H4167</f>
        <v>0</v>
      </c>
      <c r="I4169" s="3" t="str">
        <f>TRIM([1]Raw_Data!I4167)</f>
        <v>UK</v>
      </c>
      <c r="J4169" s="3" t="str">
        <f>TRIM([1]Raw_Data!J4167)</f>
        <v>Walmart</v>
      </c>
      <c r="K4169" s="3">
        <f t="shared" si="260"/>
        <v>2024</v>
      </c>
      <c r="L4169" s="6">
        <f t="shared" si="261"/>
        <v>45627</v>
      </c>
      <c r="M4169" s="3" t="str">
        <f t="shared" si="262"/>
        <v>11% to 15%</v>
      </c>
      <c r="N4169" s="3" t="str">
        <f t="shared" si="263"/>
        <v>OK</v>
      </c>
    </row>
    <row r="4170" spans="1:14" x14ac:dyDescent="0.3">
      <c r="A4170" s="2">
        <f>DATE(VALUE(RIGHT(TRIM([1]Raw_Data!A4168),4)),VALUE(MID(TRIM([1]Raw_Data!A4168),4,2)),VALUE(LEFT(TRIM([1]Raw_Data!A4168),2)))</f>
        <v>45656</v>
      </c>
      <c r="B4170" s="3" t="str">
        <f>TRIM([1]Raw_Data!B4168)</f>
        <v>Creatine</v>
      </c>
      <c r="C4170" s="3" t="str">
        <f>TRIM([1]Raw_Data!C4168)</f>
        <v>Performance</v>
      </c>
      <c r="D4170" s="3">
        <f>[1]Raw_Data!D4168</f>
        <v>156</v>
      </c>
      <c r="E4170" s="4">
        <f>[1]Raw_Data!E4168</f>
        <v>41.01</v>
      </c>
      <c r="F4170" s="5">
        <f>[1]Raw_Data!F4168</f>
        <v>6397.56</v>
      </c>
      <c r="G4170" s="4">
        <f>[1]Raw_Data!G4168</f>
        <v>0.06</v>
      </c>
      <c r="H4170" s="3">
        <f>[1]Raw_Data!H4168</f>
        <v>1</v>
      </c>
      <c r="I4170" s="3" t="str">
        <f>TRIM([1]Raw_Data!I4168)</f>
        <v>Canada</v>
      </c>
      <c r="J4170" s="3" t="str">
        <f>TRIM([1]Raw_Data!J4168)</f>
        <v>iHerb</v>
      </c>
      <c r="K4170" s="3">
        <f t="shared" si="260"/>
        <v>2024</v>
      </c>
      <c r="L4170" s="6">
        <f t="shared" si="261"/>
        <v>45627</v>
      </c>
      <c r="M4170" s="3" t="str">
        <f t="shared" si="262"/>
        <v>6% to 10%</v>
      </c>
      <c r="N4170" s="3" t="str">
        <f t="shared" si="263"/>
        <v>OK</v>
      </c>
    </row>
    <row r="4171" spans="1:14" x14ac:dyDescent="0.3">
      <c r="A4171" s="2">
        <f>DATE(VALUE(RIGHT(TRIM([1]Raw_Data!A4169),4)),VALUE(MID(TRIM([1]Raw_Data!A4169),4,2)),VALUE(LEFT(TRIM([1]Raw_Data!A4169),2)))</f>
        <v>45656</v>
      </c>
      <c r="B4171" s="3" t="str">
        <f>TRIM([1]Raw_Data!B4169)</f>
        <v>Zinc</v>
      </c>
      <c r="C4171" s="3" t="str">
        <f>TRIM([1]Raw_Data!C4169)</f>
        <v>Mineral</v>
      </c>
      <c r="D4171" s="3">
        <f>[1]Raw_Data!D4169</f>
        <v>139</v>
      </c>
      <c r="E4171" s="4">
        <f>[1]Raw_Data!E4169</f>
        <v>34.4</v>
      </c>
      <c r="F4171" s="5">
        <f>[1]Raw_Data!F4169</f>
        <v>4781.6000000000004</v>
      </c>
      <c r="G4171" s="4">
        <f>[1]Raw_Data!G4169</f>
        <v>0.06</v>
      </c>
      <c r="H4171" s="3">
        <f>[1]Raw_Data!H4169</f>
        <v>0</v>
      </c>
      <c r="I4171" s="3" t="str">
        <f>TRIM([1]Raw_Data!I4169)</f>
        <v>Canada</v>
      </c>
      <c r="J4171" s="3" t="str">
        <f>TRIM([1]Raw_Data!J4169)</f>
        <v>Amazon</v>
      </c>
      <c r="K4171" s="3">
        <f t="shared" si="260"/>
        <v>2024</v>
      </c>
      <c r="L4171" s="6">
        <f t="shared" si="261"/>
        <v>45627</v>
      </c>
      <c r="M4171" s="3" t="str">
        <f t="shared" si="262"/>
        <v>6% to 10%</v>
      </c>
      <c r="N4171" s="3" t="str">
        <f t="shared" si="263"/>
        <v>OK</v>
      </c>
    </row>
    <row r="4172" spans="1:14" x14ac:dyDescent="0.3">
      <c r="A4172" s="2">
        <f>DATE(VALUE(RIGHT(TRIM([1]Raw_Data!A4170),4)),VALUE(MID(TRIM([1]Raw_Data!A4170),4,2)),VALUE(LEFT(TRIM([1]Raw_Data!A4170),2)))</f>
        <v>45656</v>
      </c>
      <c r="B4172" s="3" t="str">
        <f>TRIM([1]Raw_Data!B4170)</f>
        <v>Collagen Peptides</v>
      </c>
      <c r="C4172" s="3" t="str">
        <f>TRIM([1]Raw_Data!C4170)</f>
        <v>Protein</v>
      </c>
      <c r="D4172" s="3">
        <f>[1]Raw_Data!D4170</f>
        <v>156</v>
      </c>
      <c r="E4172" s="4">
        <f>[1]Raw_Data!E4170</f>
        <v>59.48</v>
      </c>
      <c r="F4172" s="5">
        <f>[1]Raw_Data!F4170</f>
        <v>9278.8799999999992</v>
      </c>
      <c r="G4172" s="4">
        <f>[1]Raw_Data!G4170</f>
        <v>0.13</v>
      </c>
      <c r="H4172" s="3">
        <f>[1]Raw_Data!H4170</f>
        <v>1</v>
      </c>
      <c r="I4172" s="3" t="str">
        <f>TRIM([1]Raw_Data!I4170)</f>
        <v>UK</v>
      </c>
      <c r="J4172" s="3" t="str">
        <f>TRIM([1]Raw_Data!J4170)</f>
        <v>Walmart</v>
      </c>
      <c r="K4172" s="3">
        <f t="shared" si="260"/>
        <v>2024</v>
      </c>
      <c r="L4172" s="6">
        <f t="shared" si="261"/>
        <v>45627</v>
      </c>
      <c r="M4172" s="3" t="str">
        <f t="shared" si="262"/>
        <v>11% to 15%</v>
      </c>
      <c r="N4172" s="3" t="str">
        <f t="shared" si="263"/>
        <v>OK</v>
      </c>
    </row>
    <row r="4173" spans="1:14" x14ac:dyDescent="0.3">
      <c r="A4173" s="2">
        <f>DATE(VALUE(RIGHT(TRIM([1]Raw_Data!A4171),4)),VALUE(MID(TRIM([1]Raw_Data!A4171),4,2)),VALUE(LEFT(TRIM([1]Raw_Data!A4171),2)))</f>
        <v>45656</v>
      </c>
      <c r="B4173" s="3" t="str">
        <f>TRIM([1]Raw_Data!B4171)</f>
        <v>Magnesium</v>
      </c>
      <c r="C4173" s="3" t="str">
        <f>TRIM([1]Raw_Data!C4171)</f>
        <v>Mineral</v>
      </c>
      <c r="D4173" s="3">
        <f>[1]Raw_Data!D4171</f>
        <v>156</v>
      </c>
      <c r="E4173" s="4">
        <f>[1]Raw_Data!E4171</f>
        <v>51.01</v>
      </c>
      <c r="F4173" s="5">
        <f>[1]Raw_Data!F4171</f>
        <v>7957.56</v>
      </c>
      <c r="G4173" s="4">
        <f>[1]Raw_Data!G4171</f>
        <v>0.08</v>
      </c>
      <c r="H4173" s="3">
        <f>[1]Raw_Data!H4171</f>
        <v>5</v>
      </c>
      <c r="I4173" s="3" t="str">
        <f>TRIM([1]Raw_Data!I4171)</f>
        <v>USA</v>
      </c>
      <c r="J4173" s="3" t="str">
        <f>TRIM([1]Raw_Data!J4171)</f>
        <v>Walmart</v>
      </c>
      <c r="K4173" s="3">
        <f t="shared" si="260"/>
        <v>2024</v>
      </c>
      <c r="L4173" s="6">
        <f t="shared" si="261"/>
        <v>45627</v>
      </c>
      <c r="M4173" s="3" t="str">
        <f t="shared" si="262"/>
        <v>6% to 10%</v>
      </c>
      <c r="N4173" s="3" t="str">
        <f t="shared" si="263"/>
        <v>OK</v>
      </c>
    </row>
    <row r="4174" spans="1:14" x14ac:dyDescent="0.3">
      <c r="A4174" s="2">
        <f>DATE(VALUE(RIGHT(TRIM([1]Raw_Data!A4172),4)),VALUE(MID(TRIM([1]Raw_Data!A4172),4,2)),VALUE(LEFT(TRIM([1]Raw_Data!A4172),2)))</f>
        <v>45656</v>
      </c>
      <c r="B4174" s="3" t="str">
        <f>TRIM([1]Raw_Data!B4172)</f>
        <v>Ashwagandha</v>
      </c>
      <c r="C4174" s="3" t="str">
        <f>TRIM([1]Raw_Data!C4172)</f>
        <v>Herbal</v>
      </c>
      <c r="D4174" s="3">
        <f>[1]Raw_Data!D4172</f>
        <v>154</v>
      </c>
      <c r="E4174" s="4">
        <f>[1]Raw_Data!E4172</f>
        <v>13.64</v>
      </c>
      <c r="F4174" s="5">
        <f>[1]Raw_Data!F4172</f>
        <v>2100.56</v>
      </c>
      <c r="G4174" s="4">
        <f>[1]Raw_Data!G4172</f>
        <v>0.09</v>
      </c>
      <c r="H4174" s="3">
        <f>[1]Raw_Data!H4172</f>
        <v>2</v>
      </c>
      <c r="I4174" s="3" t="str">
        <f>TRIM([1]Raw_Data!I4172)</f>
        <v>USA</v>
      </c>
      <c r="J4174" s="3" t="str">
        <f>TRIM([1]Raw_Data!J4172)</f>
        <v>iHerb</v>
      </c>
      <c r="K4174" s="3">
        <f t="shared" si="260"/>
        <v>2024</v>
      </c>
      <c r="L4174" s="6">
        <f t="shared" si="261"/>
        <v>45627</v>
      </c>
      <c r="M4174" s="3" t="str">
        <f t="shared" si="262"/>
        <v>6% to 10%</v>
      </c>
      <c r="N4174" s="3" t="str">
        <f t="shared" si="263"/>
        <v>OK</v>
      </c>
    </row>
    <row r="4175" spans="1:14" x14ac:dyDescent="0.3">
      <c r="A4175" s="2">
        <f>DATE(VALUE(RIGHT(TRIM([1]Raw_Data!A4173),4)),VALUE(MID(TRIM([1]Raw_Data!A4173),4,2)),VALUE(LEFT(TRIM([1]Raw_Data!A4173),2)))</f>
        <v>45656</v>
      </c>
      <c r="B4175" s="3" t="str">
        <f>TRIM([1]Raw_Data!B4173)</f>
        <v>Melatonin</v>
      </c>
      <c r="C4175" s="3" t="str">
        <f>TRIM([1]Raw_Data!C4173)</f>
        <v>Sleep Aid</v>
      </c>
      <c r="D4175" s="3">
        <f>[1]Raw_Data!D4173</f>
        <v>156</v>
      </c>
      <c r="E4175" s="4">
        <f>[1]Raw_Data!E4173</f>
        <v>27.81</v>
      </c>
      <c r="F4175" s="5">
        <f>[1]Raw_Data!F4173</f>
        <v>4338.3599999999997</v>
      </c>
      <c r="G4175" s="4">
        <f>[1]Raw_Data!G4173</f>
        <v>7.0000000000000007E-2</v>
      </c>
      <c r="H4175" s="3">
        <f>[1]Raw_Data!H4173</f>
        <v>2</v>
      </c>
      <c r="I4175" s="3" t="str">
        <f>TRIM([1]Raw_Data!I4173)</f>
        <v>Canada</v>
      </c>
      <c r="J4175" s="3" t="str">
        <f>TRIM([1]Raw_Data!J4173)</f>
        <v>iHerb</v>
      </c>
      <c r="K4175" s="3">
        <f t="shared" si="260"/>
        <v>2024</v>
      </c>
      <c r="L4175" s="6">
        <f t="shared" si="261"/>
        <v>45627</v>
      </c>
      <c r="M4175" s="3" t="str">
        <f t="shared" si="262"/>
        <v>6% to 10%</v>
      </c>
      <c r="N4175" s="3" t="str">
        <f t="shared" si="263"/>
        <v>OK</v>
      </c>
    </row>
    <row r="4176" spans="1:14" x14ac:dyDescent="0.3">
      <c r="A4176" s="2">
        <f>DATE(VALUE(RIGHT(TRIM([1]Raw_Data!A4174),4)),VALUE(MID(TRIM([1]Raw_Data!A4174),4,2)),VALUE(LEFT(TRIM([1]Raw_Data!A4174),2)))</f>
        <v>45656</v>
      </c>
      <c r="B4176" s="3" t="str">
        <f>TRIM([1]Raw_Data!B4174)</f>
        <v>Biotin</v>
      </c>
      <c r="C4176" s="3" t="str">
        <f>TRIM([1]Raw_Data!C4174)</f>
        <v>Vitamin</v>
      </c>
      <c r="D4176" s="3">
        <f>[1]Raw_Data!D4174</f>
        <v>144</v>
      </c>
      <c r="E4176" s="4">
        <f>[1]Raw_Data!E4174</f>
        <v>20.37</v>
      </c>
      <c r="F4176" s="5">
        <f>[1]Raw_Data!F4174</f>
        <v>2933.28</v>
      </c>
      <c r="G4176" s="4">
        <f>[1]Raw_Data!G4174</f>
        <v>0.1</v>
      </c>
      <c r="H4176" s="3">
        <f>[1]Raw_Data!H4174</f>
        <v>0</v>
      </c>
      <c r="I4176" s="3" t="str">
        <f>TRIM([1]Raw_Data!I4174)</f>
        <v>USA</v>
      </c>
      <c r="J4176" s="3" t="str">
        <f>TRIM([1]Raw_Data!J4174)</f>
        <v>iHerb</v>
      </c>
      <c r="K4176" s="3">
        <f t="shared" si="260"/>
        <v>2024</v>
      </c>
      <c r="L4176" s="6">
        <f t="shared" si="261"/>
        <v>45627</v>
      </c>
      <c r="M4176" s="3" t="str">
        <f t="shared" si="262"/>
        <v>6% to 10%</v>
      </c>
      <c r="N4176" s="3" t="str">
        <f t="shared" si="263"/>
        <v>OK</v>
      </c>
    </row>
    <row r="4177" spans="1:14" x14ac:dyDescent="0.3">
      <c r="A4177" s="2">
        <f>DATE(VALUE(RIGHT(TRIM([1]Raw_Data!A4175),4)),VALUE(MID(TRIM([1]Raw_Data!A4175),4,2)),VALUE(LEFT(TRIM([1]Raw_Data!A4175),2)))</f>
        <v>45656</v>
      </c>
      <c r="B4177" s="3" t="str">
        <f>TRIM([1]Raw_Data!B4175)</f>
        <v>Green Tea Extract</v>
      </c>
      <c r="C4177" s="3" t="str">
        <f>TRIM([1]Raw_Data!C4175)</f>
        <v>Fat Burner</v>
      </c>
      <c r="D4177" s="3">
        <f>[1]Raw_Data!D4175</f>
        <v>183</v>
      </c>
      <c r="E4177" s="4">
        <f>[1]Raw_Data!E4175</f>
        <v>55.67</v>
      </c>
      <c r="F4177" s="5">
        <f>[1]Raw_Data!F4175</f>
        <v>10187.61</v>
      </c>
      <c r="G4177" s="4">
        <f>[1]Raw_Data!G4175</f>
        <v>0.11</v>
      </c>
      <c r="H4177" s="3">
        <f>[1]Raw_Data!H4175</f>
        <v>1</v>
      </c>
      <c r="I4177" s="3" t="str">
        <f>TRIM([1]Raw_Data!I4175)</f>
        <v>Canada</v>
      </c>
      <c r="J4177" s="3" t="str">
        <f>TRIM([1]Raw_Data!J4175)</f>
        <v>Walmart</v>
      </c>
      <c r="K4177" s="3">
        <f t="shared" si="260"/>
        <v>2024</v>
      </c>
      <c r="L4177" s="6">
        <f t="shared" si="261"/>
        <v>45627</v>
      </c>
      <c r="M4177" s="3" t="str">
        <f t="shared" si="262"/>
        <v>11% to 15%</v>
      </c>
      <c r="N4177" s="3" t="str">
        <f t="shared" si="263"/>
        <v>OK</v>
      </c>
    </row>
    <row r="4178" spans="1:14" x14ac:dyDescent="0.3">
      <c r="A4178" s="2">
        <f>DATE(VALUE(RIGHT(TRIM([1]Raw_Data!A4176),4)),VALUE(MID(TRIM([1]Raw_Data!A4176),4,2)),VALUE(LEFT(TRIM([1]Raw_Data!A4176),2)))</f>
        <v>45656</v>
      </c>
      <c r="B4178" s="3" t="str">
        <f>TRIM([1]Raw_Data!B4176)</f>
        <v>Iron Supplement</v>
      </c>
      <c r="C4178" s="3" t="str">
        <f>TRIM([1]Raw_Data!C4176)</f>
        <v>Mineral</v>
      </c>
      <c r="D4178" s="3">
        <f>[1]Raw_Data!D4176</f>
        <v>140</v>
      </c>
      <c r="E4178" s="4">
        <f>[1]Raw_Data!E4176</f>
        <v>44.28</v>
      </c>
      <c r="F4178" s="5">
        <f>[1]Raw_Data!F4176</f>
        <v>6199.2</v>
      </c>
      <c r="G4178" s="4">
        <f>[1]Raw_Data!G4176</f>
        <v>0.12</v>
      </c>
      <c r="H4178" s="3">
        <f>[1]Raw_Data!H4176</f>
        <v>0</v>
      </c>
      <c r="I4178" s="3" t="str">
        <f>TRIM([1]Raw_Data!I4176)</f>
        <v>USA</v>
      </c>
      <c r="J4178" s="3" t="str">
        <f>TRIM([1]Raw_Data!J4176)</f>
        <v>iHerb</v>
      </c>
      <c r="K4178" s="3">
        <f t="shared" si="260"/>
        <v>2024</v>
      </c>
      <c r="L4178" s="6">
        <f t="shared" si="261"/>
        <v>45627</v>
      </c>
      <c r="M4178" s="3" t="str">
        <f t="shared" si="262"/>
        <v>11% to 15%</v>
      </c>
      <c r="N4178" s="3" t="str">
        <f t="shared" si="263"/>
        <v>OK</v>
      </c>
    </row>
    <row r="4179" spans="1:14" x14ac:dyDescent="0.3">
      <c r="A4179" s="2">
        <f>DATE(VALUE(RIGHT(TRIM([1]Raw_Data!A4177),4)),VALUE(MID(TRIM([1]Raw_Data!A4177),4,2)),VALUE(LEFT(TRIM([1]Raw_Data!A4177),2)))</f>
        <v>45656</v>
      </c>
      <c r="B4179" s="3" t="str">
        <f>TRIM([1]Raw_Data!B4177)</f>
        <v>Electrolyte Powder</v>
      </c>
      <c r="C4179" s="3" t="str">
        <f>TRIM([1]Raw_Data!C4177)</f>
        <v>Hydration</v>
      </c>
      <c r="D4179" s="3">
        <f>[1]Raw_Data!D4177</f>
        <v>147</v>
      </c>
      <c r="E4179" s="4">
        <f>[1]Raw_Data!E4177</f>
        <v>32.51</v>
      </c>
      <c r="F4179" s="5">
        <f>[1]Raw_Data!F4177</f>
        <v>4778.97</v>
      </c>
      <c r="G4179" s="4">
        <f>[1]Raw_Data!G4177</f>
        <v>0.08</v>
      </c>
      <c r="H4179" s="3">
        <f>[1]Raw_Data!H4177</f>
        <v>0</v>
      </c>
      <c r="I4179" s="3" t="str">
        <f>TRIM([1]Raw_Data!I4177)</f>
        <v>USA</v>
      </c>
      <c r="J4179" s="3" t="str">
        <f>TRIM([1]Raw_Data!J4177)</f>
        <v>Amazon</v>
      </c>
      <c r="K4179" s="3">
        <f t="shared" si="260"/>
        <v>2024</v>
      </c>
      <c r="L4179" s="6">
        <f t="shared" si="261"/>
        <v>45627</v>
      </c>
      <c r="M4179" s="3" t="str">
        <f t="shared" si="262"/>
        <v>6% to 10%</v>
      </c>
      <c r="N4179" s="3" t="str">
        <f t="shared" si="263"/>
        <v>OK</v>
      </c>
    </row>
    <row r="4180" spans="1:14" x14ac:dyDescent="0.3">
      <c r="A4180" s="2">
        <f>DATE(VALUE(RIGHT(TRIM([1]Raw_Data!A4178),4)),VALUE(MID(TRIM([1]Raw_Data!A4178),4,2)),VALUE(LEFT(TRIM([1]Raw_Data!A4178),2)))</f>
        <v>45663</v>
      </c>
      <c r="B4180" s="3" t="str">
        <f>TRIM([1]Raw_Data!B4178)</f>
        <v>Whey Protein</v>
      </c>
      <c r="C4180" s="3" t="str">
        <f>TRIM([1]Raw_Data!C4178)</f>
        <v>Protein</v>
      </c>
      <c r="D4180" s="3">
        <f>[1]Raw_Data!D4178</f>
        <v>148</v>
      </c>
      <c r="E4180" s="4">
        <f>[1]Raw_Data!E4178</f>
        <v>10.85</v>
      </c>
      <c r="F4180" s="5">
        <f>[1]Raw_Data!F4178</f>
        <v>1605.8</v>
      </c>
      <c r="G4180" s="4">
        <f>[1]Raw_Data!G4178</f>
        <v>0.15</v>
      </c>
      <c r="H4180" s="3">
        <f>[1]Raw_Data!H4178</f>
        <v>3</v>
      </c>
      <c r="I4180" s="3" t="str">
        <f>TRIM([1]Raw_Data!I4178)</f>
        <v>Canada</v>
      </c>
      <c r="J4180" s="3" t="str">
        <f>TRIM([1]Raw_Data!J4178)</f>
        <v>Amazon</v>
      </c>
      <c r="K4180" s="3">
        <f t="shared" si="260"/>
        <v>2025</v>
      </c>
      <c r="L4180" s="6">
        <f t="shared" si="261"/>
        <v>45658</v>
      </c>
      <c r="M4180" s="3" t="str">
        <f t="shared" si="262"/>
        <v>11% to 15%</v>
      </c>
      <c r="N4180" s="3" t="str">
        <f t="shared" si="263"/>
        <v>OK</v>
      </c>
    </row>
    <row r="4181" spans="1:14" x14ac:dyDescent="0.3">
      <c r="A4181" s="2">
        <f>DATE(VALUE(RIGHT(TRIM([1]Raw_Data!A4179),4)),VALUE(MID(TRIM([1]Raw_Data!A4179),4,2)),VALUE(LEFT(TRIM([1]Raw_Data!A4179),2)))</f>
        <v>45663</v>
      </c>
      <c r="B4181" s="3" t="str">
        <f>TRIM([1]Raw_Data!B4179)</f>
        <v>Vitamin C</v>
      </c>
      <c r="C4181" s="3" t="str">
        <f>TRIM([1]Raw_Data!C4179)</f>
        <v>Vitamin</v>
      </c>
      <c r="D4181" s="3">
        <f>[1]Raw_Data!D4179</f>
        <v>139</v>
      </c>
      <c r="E4181" s="4">
        <f>[1]Raw_Data!E4179</f>
        <v>48.61</v>
      </c>
      <c r="F4181" s="5">
        <f>[1]Raw_Data!F4179</f>
        <v>6756.79</v>
      </c>
      <c r="G4181" s="4">
        <f>[1]Raw_Data!G4179</f>
        <v>0.06</v>
      </c>
      <c r="H4181" s="3">
        <f>[1]Raw_Data!H4179</f>
        <v>0</v>
      </c>
      <c r="I4181" s="3" t="str">
        <f>TRIM([1]Raw_Data!I4179)</f>
        <v>USA</v>
      </c>
      <c r="J4181" s="3" t="str">
        <f>TRIM([1]Raw_Data!J4179)</f>
        <v>Walmart</v>
      </c>
      <c r="K4181" s="3">
        <f t="shared" si="260"/>
        <v>2025</v>
      </c>
      <c r="L4181" s="6">
        <f t="shared" si="261"/>
        <v>45658</v>
      </c>
      <c r="M4181" s="3" t="str">
        <f t="shared" si="262"/>
        <v>6% to 10%</v>
      </c>
      <c r="N4181" s="3" t="str">
        <f t="shared" si="263"/>
        <v>OK</v>
      </c>
    </row>
    <row r="4182" spans="1:14" x14ac:dyDescent="0.3">
      <c r="A4182" s="2">
        <f>DATE(VALUE(RIGHT(TRIM([1]Raw_Data!A4180),4)),VALUE(MID(TRIM([1]Raw_Data!A4180),4,2)),VALUE(LEFT(TRIM([1]Raw_Data!A4180),2)))</f>
        <v>45663</v>
      </c>
      <c r="B4182" s="3" t="str">
        <f>TRIM([1]Raw_Data!B4180)</f>
        <v>Fish Oil</v>
      </c>
      <c r="C4182" s="3" t="str">
        <f>TRIM([1]Raw_Data!C4180)</f>
        <v>Omega</v>
      </c>
      <c r="D4182" s="3">
        <f>[1]Raw_Data!D4180</f>
        <v>146</v>
      </c>
      <c r="E4182" s="4">
        <f>[1]Raw_Data!E4180</f>
        <v>53.71</v>
      </c>
      <c r="F4182" s="5">
        <f>[1]Raw_Data!F4180</f>
        <v>7841.66</v>
      </c>
      <c r="G4182" s="4">
        <f>[1]Raw_Data!G4180</f>
        <v>0.15</v>
      </c>
      <c r="H4182" s="3">
        <f>[1]Raw_Data!H4180</f>
        <v>1</v>
      </c>
      <c r="I4182" s="3" t="str">
        <f>TRIM([1]Raw_Data!I4180)</f>
        <v>Canada</v>
      </c>
      <c r="J4182" s="3" t="str">
        <f>TRIM([1]Raw_Data!J4180)</f>
        <v>Walmart</v>
      </c>
      <c r="K4182" s="3">
        <f t="shared" si="260"/>
        <v>2025</v>
      </c>
      <c r="L4182" s="6">
        <f t="shared" si="261"/>
        <v>45658</v>
      </c>
      <c r="M4182" s="3" t="str">
        <f t="shared" si="262"/>
        <v>11% to 15%</v>
      </c>
      <c r="N4182" s="3" t="str">
        <f t="shared" si="263"/>
        <v>OK</v>
      </c>
    </row>
    <row r="4183" spans="1:14" x14ac:dyDescent="0.3">
      <c r="A4183" s="2">
        <f>DATE(VALUE(RIGHT(TRIM([1]Raw_Data!A4181),4)),VALUE(MID(TRIM([1]Raw_Data!A4181),4,2)),VALUE(LEFT(TRIM([1]Raw_Data!A4181),2)))</f>
        <v>45663</v>
      </c>
      <c r="B4183" s="3" t="str">
        <f>TRIM([1]Raw_Data!B4181)</f>
        <v>Multivitamin</v>
      </c>
      <c r="C4183" s="3" t="str">
        <f>TRIM([1]Raw_Data!C4181)</f>
        <v>Vitamin</v>
      </c>
      <c r="D4183" s="3">
        <f>[1]Raw_Data!D4181</f>
        <v>151</v>
      </c>
      <c r="E4183" s="4">
        <f>[1]Raw_Data!E4181</f>
        <v>15.66</v>
      </c>
      <c r="F4183" s="5">
        <f>[1]Raw_Data!F4181</f>
        <v>2364.66</v>
      </c>
      <c r="G4183" s="4">
        <f>[1]Raw_Data!G4181</f>
        <v>0.05</v>
      </c>
      <c r="H4183" s="3">
        <f>[1]Raw_Data!H4181</f>
        <v>4</v>
      </c>
      <c r="I4183" s="3" t="str">
        <f>TRIM([1]Raw_Data!I4181)</f>
        <v>Canada</v>
      </c>
      <c r="J4183" s="3" t="str">
        <f>TRIM([1]Raw_Data!J4181)</f>
        <v>Amazon</v>
      </c>
      <c r="K4183" s="3">
        <f t="shared" si="260"/>
        <v>2025</v>
      </c>
      <c r="L4183" s="6">
        <f t="shared" si="261"/>
        <v>45658</v>
      </c>
      <c r="M4183" s="3" t="str">
        <f t="shared" si="262"/>
        <v>0% to 5%</v>
      </c>
      <c r="N4183" s="3" t="str">
        <f t="shared" si="263"/>
        <v>OK</v>
      </c>
    </row>
    <row r="4184" spans="1:14" x14ac:dyDescent="0.3">
      <c r="A4184" s="2">
        <f>DATE(VALUE(RIGHT(TRIM([1]Raw_Data!A4182),4)),VALUE(MID(TRIM([1]Raw_Data!A4182),4,2)),VALUE(LEFT(TRIM([1]Raw_Data!A4182),2)))</f>
        <v>45663</v>
      </c>
      <c r="B4184" s="3" t="str">
        <f>TRIM([1]Raw_Data!B4182)</f>
        <v>Pre-Workout</v>
      </c>
      <c r="C4184" s="3" t="str">
        <f>TRIM([1]Raw_Data!C4182)</f>
        <v>Performance</v>
      </c>
      <c r="D4184" s="3">
        <f>[1]Raw_Data!D4182</f>
        <v>180</v>
      </c>
      <c r="E4184" s="4">
        <f>[1]Raw_Data!E4182</f>
        <v>17.260000000000002</v>
      </c>
      <c r="F4184" s="5">
        <f>[1]Raw_Data!F4182</f>
        <v>3106.8</v>
      </c>
      <c r="G4184" s="4">
        <f>[1]Raw_Data!G4182</f>
        <v>0.11</v>
      </c>
      <c r="H4184" s="3">
        <f>[1]Raw_Data!H4182</f>
        <v>0</v>
      </c>
      <c r="I4184" s="3" t="str">
        <f>TRIM([1]Raw_Data!I4182)</f>
        <v>USA</v>
      </c>
      <c r="J4184" s="3" t="str">
        <f>TRIM([1]Raw_Data!J4182)</f>
        <v>iHerb</v>
      </c>
      <c r="K4184" s="3">
        <f t="shared" si="260"/>
        <v>2025</v>
      </c>
      <c r="L4184" s="6">
        <f t="shared" si="261"/>
        <v>45658</v>
      </c>
      <c r="M4184" s="3" t="str">
        <f t="shared" si="262"/>
        <v>11% to 15%</v>
      </c>
      <c r="N4184" s="3" t="str">
        <f t="shared" si="263"/>
        <v>OK</v>
      </c>
    </row>
    <row r="4185" spans="1:14" x14ac:dyDescent="0.3">
      <c r="A4185" s="2">
        <f>DATE(VALUE(RIGHT(TRIM([1]Raw_Data!A4183),4)),VALUE(MID(TRIM([1]Raw_Data!A4183),4,2)),VALUE(LEFT(TRIM([1]Raw_Data!A4183),2)))</f>
        <v>45663</v>
      </c>
      <c r="B4185" s="3" t="str">
        <f>TRIM([1]Raw_Data!B4183)</f>
        <v>BCAA</v>
      </c>
      <c r="C4185" s="3" t="str">
        <f>TRIM([1]Raw_Data!C4183)</f>
        <v>Amino Acid</v>
      </c>
      <c r="D4185" s="3">
        <f>[1]Raw_Data!D4183</f>
        <v>156</v>
      </c>
      <c r="E4185" s="4">
        <f>[1]Raw_Data!E4183</f>
        <v>12.9</v>
      </c>
      <c r="F4185" s="5">
        <f>[1]Raw_Data!F4183</f>
        <v>2012.4</v>
      </c>
      <c r="G4185" s="4">
        <f>[1]Raw_Data!G4183</f>
        <v>0.12</v>
      </c>
      <c r="H4185" s="3">
        <f>[1]Raw_Data!H4183</f>
        <v>4</v>
      </c>
      <c r="I4185" s="3" t="str">
        <f>TRIM([1]Raw_Data!I4183)</f>
        <v>Canada</v>
      </c>
      <c r="J4185" s="3" t="str">
        <f>TRIM([1]Raw_Data!J4183)</f>
        <v>Walmart</v>
      </c>
      <c r="K4185" s="3">
        <f t="shared" si="260"/>
        <v>2025</v>
      </c>
      <c r="L4185" s="6">
        <f t="shared" si="261"/>
        <v>45658</v>
      </c>
      <c r="M4185" s="3" t="str">
        <f t="shared" si="262"/>
        <v>11% to 15%</v>
      </c>
      <c r="N4185" s="3" t="str">
        <f t="shared" si="263"/>
        <v>OK</v>
      </c>
    </row>
    <row r="4186" spans="1:14" x14ac:dyDescent="0.3">
      <c r="A4186" s="2">
        <f>DATE(VALUE(RIGHT(TRIM([1]Raw_Data!A4184),4)),VALUE(MID(TRIM([1]Raw_Data!A4184),4,2)),VALUE(LEFT(TRIM([1]Raw_Data!A4184),2)))</f>
        <v>45663</v>
      </c>
      <c r="B4186" s="3" t="str">
        <f>TRIM([1]Raw_Data!B4184)</f>
        <v>Creatine</v>
      </c>
      <c r="C4186" s="3" t="str">
        <f>TRIM([1]Raw_Data!C4184)</f>
        <v>Performance</v>
      </c>
      <c r="D4186" s="3">
        <f>[1]Raw_Data!D4184</f>
        <v>147</v>
      </c>
      <c r="E4186" s="4">
        <f>[1]Raw_Data!E4184</f>
        <v>59.9</v>
      </c>
      <c r="F4186" s="5">
        <f>[1]Raw_Data!F4184</f>
        <v>8805.2999999999993</v>
      </c>
      <c r="G4186" s="4">
        <f>[1]Raw_Data!G4184</f>
        <v>0.13</v>
      </c>
      <c r="H4186" s="3">
        <f>[1]Raw_Data!H4184</f>
        <v>1</v>
      </c>
      <c r="I4186" s="3" t="str">
        <f>TRIM([1]Raw_Data!I4184)</f>
        <v>USA</v>
      </c>
      <c r="J4186" s="3" t="str">
        <f>TRIM([1]Raw_Data!J4184)</f>
        <v>Walmart</v>
      </c>
      <c r="K4186" s="3">
        <f t="shared" si="260"/>
        <v>2025</v>
      </c>
      <c r="L4186" s="6">
        <f t="shared" si="261"/>
        <v>45658</v>
      </c>
      <c r="M4186" s="3" t="str">
        <f t="shared" si="262"/>
        <v>11% to 15%</v>
      </c>
      <c r="N4186" s="3" t="str">
        <f t="shared" si="263"/>
        <v>OK</v>
      </c>
    </row>
    <row r="4187" spans="1:14" x14ac:dyDescent="0.3">
      <c r="A4187" s="2">
        <f>DATE(VALUE(RIGHT(TRIM([1]Raw_Data!A4185),4)),VALUE(MID(TRIM([1]Raw_Data!A4185),4,2)),VALUE(LEFT(TRIM([1]Raw_Data!A4185),2)))</f>
        <v>45663</v>
      </c>
      <c r="B4187" s="3" t="str">
        <f>TRIM([1]Raw_Data!B4185)</f>
        <v>Zinc</v>
      </c>
      <c r="C4187" s="3" t="str">
        <f>TRIM([1]Raw_Data!C4185)</f>
        <v>Mineral</v>
      </c>
      <c r="D4187" s="3">
        <f>[1]Raw_Data!D4185</f>
        <v>146</v>
      </c>
      <c r="E4187" s="4">
        <f>[1]Raw_Data!E4185</f>
        <v>35.61</v>
      </c>
      <c r="F4187" s="5">
        <f>[1]Raw_Data!F4185</f>
        <v>5199.0600000000004</v>
      </c>
      <c r="G4187" s="4">
        <f>[1]Raw_Data!G4185</f>
        <v>0.11</v>
      </c>
      <c r="H4187" s="3">
        <f>[1]Raw_Data!H4185</f>
        <v>1</v>
      </c>
      <c r="I4187" s="3" t="str">
        <f>TRIM([1]Raw_Data!I4185)</f>
        <v>USA</v>
      </c>
      <c r="J4187" s="3" t="str">
        <f>TRIM([1]Raw_Data!J4185)</f>
        <v>Amazon</v>
      </c>
      <c r="K4187" s="3">
        <f t="shared" si="260"/>
        <v>2025</v>
      </c>
      <c r="L4187" s="6">
        <f t="shared" si="261"/>
        <v>45658</v>
      </c>
      <c r="M4187" s="3" t="str">
        <f t="shared" si="262"/>
        <v>11% to 15%</v>
      </c>
      <c r="N4187" s="3" t="str">
        <f t="shared" si="263"/>
        <v>OK</v>
      </c>
    </row>
    <row r="4188" spans="1:14" x14ac:dyDescent="0.3">
      <c r="A4188" s="2">
        <f>DATE(VALUE(RIGHT(TRIM([1]Raw_Data!A4186),4)),VALUE(MID(TRIM([1]Raw_Data!A4186),4,2)),VALUE(LEFT(TRIM([1]Raw_Data!A4186),2)))</f>
        <v>45663</v>
      </c>
      <c r="B4188" s="3" t="str">
        <f>TRIM([1]Raw_Data!B4186)</f>
        <v>Collagen Peptides</v>
      </c>
      <c r="C4188" s="3" t="str">
        <f>TRIM([1]Raw_Data!C4186)</f>
        <v>Protein</v>
      </c>
      <c r="D4188" s="3">
        <f>[1]Raw_Data!D4186</f>
        <v>136</v>
      </c>
      <c r="E4188" s="4">
        <f>[1]Raw_Data!E4186</f>
        <v>35.43</v>
      </c>
      <c r="F4188" s="5">
        <f>[1]Raw_Data!F4186</f>
        <v>4818.4799999999996</v>
      </c>
      <c r="G4188" s="4">
        <f>[1]Raw_Data!G4186</f>
        <v>0.01</v>
      </c>
      <c r="H4188" s="3">
        <f>[1]Raw_Data!H4186</f>
        <v>0</v>
      </c>
      <c r="I4188" s="3" t="str">
        <f>TRIM([1]Raw_Data!I4186)</f>
        <v>Canada</v>
      </c>
      <c r="J4188" s="3" t="str">
        <f>TRIM([1]Raw_Data!J4186)</f>
        <v>Amazon</v>
      </c>
      <c r="K4188" s="3">
        <f t="shared" si="260"/>
        <v>2025</v>
      </c>
      <c r="L4188" s="6">
        <f t="shared" si="261"/>
        <v>45658</v>
      </c>
      <c r="M4188" s="3" t="str">
        <f t="shared" si="262"/>
        <v>0% to 5%</v>
      </c>
      <c r="N4188" s="3" t="str">
        <f t="shared" si="263"/>
        <v>OK</v>
      </c>
    </row>
    <row r="4189" spans="1:14" x14ac:dyDescent="0.3">
      <c r="A4189" s="2">
        <f>DATE(VALUE(RIGHT(TRIM([1]Raw_Data!A4187),4)),VALUE(MID(TRIM([1]Raw_Data!A4187),4,2)),VALUE(LEFT(TRIM([1]Raw_Data!A4187),2)))</f>
        <v>45663</v>
      </c>
      <c r="B4189" s="3" t="str">
        <f>TRIM([1]Raw_Data!B4187)</f>
        <v>Magnesium</v>
      </c>
      <c r="C4189" s="3" t="str">
        <f>TRIM([1]Raw_Data!C4187)</f>
        <v>Mineral</v>
      </c>
      <c r="D4189" s="3">
        <f>[1]Raw_Data!D4187</f>
        <v>177</v>
      </c>
      <c r="E4189" s="4">
        <f>[1]Raw_Data!E4187</f>
        <v>13.17</v>
      </c>
      <c r="F4189" s="5">
        <f>[1]Raw_Data!F4187</f>
        <v>2331.09</v>
      </c>
      <c r="G4189" s="4">
        <f>[1]Raw_Data!G4187</f>
        <v>0.17</v>
      </c>
      <c r="H4189" s="3">
        <f>[1]Raw_Data!H4187</f>
        <v>0</v>
      </c>
      <c r="I4189" s="3" t="str">
        <f>TRIM([1]Raw_Data!I4187)</f>
        <v>USA</v>
      </c>
      <c r="J4189" s="3" t="str">
        <f>TRIM([1]Raw_Data!J4187)</f>
        <v>iHerb</v>
      </c>
      <c r="K4189" s="3">
        <f t="shared" si="260"/>
        <v>2025</v>
      </c>
      <c r="L4189" s="6">
        <f t="shared" si="261"/>
        <v>45658</v>
      </c>
      <c r="M4189" s="3" t="str">
        <f t="shared" si="262"/>
        <v>16% to 20%</v>
      </c>
      <c r="N4189" s="3" t="str">
        <f t="shared" si="263"/>
        <v>OK</v>
      </c>
    </row>
    <row r="4190" spans="1:14" x14ac:dyDescent="0.3">
      <c r="A4190" s="2">
        <f>DATE(VALUE(RIGHT(TRIM([1]Raw_Data!A4188),4)),VALUE(MID(TRIM([1]Raw_Data!A4188),4,2)),VALUE(LEFT(TRIM([1]Raw_Data!A4188),2)))</f>
        <v>45663</v>
      </c>
      <c r="B4190" s="3" t="str">
        <f>TRIM([1]Raw_Data!B4188)</f>
        <v>Ashwagandha</v>
      </c>
      <c r="C4190" s="3" t="str">
        <f>TRIM([1]Raw_Data!C4188)</f>
        <v>Herbal</v>
      </c>
      <c r="D4190" s="3">
        <f>[1]Raw_Data!D4188</f>
        <v>159</v>
      </c>
      <c r="E4190" s="4">
        <f>[1]Raw_Data!E4188</f>
        <v>42.55</v>
      </c>
      <c r="F4190" s="5">
        <f>[1]Raw_Data!F4188</f>
        <v>6765.45</v>
      </c>
      <c r="G4190" s="4">
        <f>[1]Raw_Data!G4188</f>
        <v>0.18</v>
      </c>
      <c r="H4190" s="3">
        <f>[1]Raw_Data!H4188</f>
        <v>0</v>
      </c>
      <c r="I4190" s="3" t="str">
        <f>TRIM([1]Raw_Data!I4188)</f>
        <v>UK</v>
      </c>
      <c r="J4190" s="3" t="str">
        <f>TRIM([1]Raw_Data!J4188)</f>
        <v>Walmart</v>
      </c>
      <c r="K4190" s="3">
        <f t="shared" si="260"/>
        <v>2025</v>
      </c>
      <c r="L4190" s="6">
        <f t="shared" si="261"/>
        <v>45658</v>
      </c>
      <c r="M4190" s="3" t="str">
        <f t="shared" si="262"/>
        <v>16% to 20%</v>
      </c>
      <c r="N4190" s="3" t="str">
        <f t="shared" si="263"/>
        <v>OK</v>
      </c>
    </row>
    <row r="4191" spans="1:14" x14ac:dyDescent="0.3">
      <c r="A4191" s="2">
        <f>DATE(VALUE(RIGHT(TRIM([1]Raw_Data!A4189),4)),VALUE(MID(TRIM([1]Raw_Data!A4189),4,2)),VALUE(LEFT(TRIM([1]Raw_Data!A4189),2)))</f>
        <v>45663</v>
      </c>
      <c r="B4191" s="3" t="str">
        <f>TRIM([1]Raw_Data!B4189)</f>
        <v>Melatonin</v>
      </c>
      <c r="C4191" s="3" t="str">
        <f>TRIM([1]Raw_Data!C4189)</f>
        <v>Sleep Aid</v>
      </c>
      <c r="D4191" s="3">
        <f>[1]Raw_Data!D4189</f>
        <v>158</v>
      </c>
      <c r="E4191" s="4">
        <f>[1]Raw_Data!E4189</f>
        <v>26.98</v>
      </c>
      <c r="F4191" s="5">
        <f>[1]Raw_Data!F4189</f>
        <v>4262.84</v>
      </c>
      <c r="G4191" s="4">
        <f>[1]Raw_Data!G4189</f>
        <v>0.24</v>
      </c>
      <c r="H4191" s="3">
        <f>[1]Raw_Data!H4189</f>
        <v>1</v>
      </c>
      <c r="I4191" s="3" t="str">
        <f>TRIM([1]Raw_Data!I4189)</f>
        <v>UK</v>
      </c>
      <c r="J4191" s="3" t="str">
        <f>TRIM([1]Raw_Data!J4189)</f>
        <v>Amazon</v>
      </c>
      <c r="K4191" s="3">
        <f t="shared" si="260"/>
        <v>2025</v>
      </c>
      <c r="L4191" s="6">
        <f t="shared" si="261"/>
        <v>45658</v>
      </c>
      <c r="M4191" s="3" t="str">
        <f t="shared" si="262"/>
        <v>21% to 25%</v>
      </c>
      <c r="N4191" s="3" t="str">
        <f t="shared" si="263"/>
        <v>OK</v>
      </c>
    </row>
    <row r="4192" spans="1:14" x14ac:dyDescent="0.3">
      <c r="A4192" s="2">
        <f>DATE(VALUE(RIGHT(TRIM([1]Raw_Data!A4190),4)),VALUE(MID(TRIM([1]Raw_Data!A4190),4,2)),VALUE(LEFT(TRIM([1]Raw_Data!A4190),2)))</f>
        <v>45663</v>
      </c>
      <c r="B4192" s="3" t="str">
        <f>TRIM([1]Raw_Data!B4190)</f>
        <v>Biotin</v>
      </c>
      <c r="C4192" s="3" t="str">
        <f>TRIM([1]Raw_Data!C4190)</f>
        <v>Vitamin</v>
      </c>
      <c r="D4192" s="3">
        <f>[1]Raw_Data!D4190</f>
        <v>186</v>
      </c>
      <c r="E4192" s="4">
        <f>[1]Raw_Data!E4190</f>
        <v>33.880000000000003</v>
      </c>
      <c r="F4192" s="5">
        <f>[1]Raw_Data!F4190</f>
        <v>6301.68</v>
      </c>
      <c r="G4192" s="4">
        <f>[1]Raw_Data!G4190</f>
        <v>0.02</v>
      </c>
      <c r="H4192" s="3">
        <f>[1]Raw_Data!H4190</f>
        <v>2</v>
      </c>
      <c r="I4192" s="3" t="str">
        <f>TRIM([1]Raw_Data!I4190)</f>
        <v>USA</v>
      </c>
      <c r="J4192" s="3" t="str">
        <f>TRIM([1]Raw_Data!J4190)</f>
        <v>Walmart</v>
      </c>
      <c r="K4192" s="3">
        <f t="shared" si="260"/>
        <v>2025</v>
      </c>
      <c r="L4192" s="6">
        <f t="shared" si="261"/>
        <v>45658</v>
      </c>
      <c r="M4192" s="3" t="str">
        <f t="shared" si="262"/>
        <v>0% to 5%</v>
      </c>
      <c r="N4192" s="3" t="str">
        <f t="shared" si="263"/>
        <v>OK</v>
      </c>
    </row>
    <row r="4193" spans="1:14" x14ac:dyDescent="0.3">
      <c r="A4193" s="2">
        <f>DATE(VALUE(RIGHT(TRIM([1]Raw_Data!A4191),4)),VALUE(MID(TRIM([1]Raw_Data!A4191),4,2)),VALUE(LEFT(TRIM([1]Raw_Data!A4191),2)))</f>
        <v>45663</v>
      </c>
      <c r="B4193" s="3" t="str">
        <f>TRIM([1]Raw_Data!B4191)</f>
        <v>Green Tea Extract</v>
      </c>
      <c r="C4193" s="3" t="str">
        <f>TRIM([1]Raw_Data!C4191)</f>
        <v>Fat Burner</v>
      </c>
      <c r="D4193" s="3">
        <f>[1]Raw_Data!D4191</f>
        <v>129</v>
      </c>
      <c r="E4193" s="4">
        <f>[1]Raw_Data!E4191</f>
        <v>22.94</v>
      </c>
      <c r="F4193" s="5">
        <f>[1]Raw_Data!F4191</f>
        <v>2959.26</v>
      </c>
      <c r="G4193" s="4">
        <f>[1]Raw_Data!G4191</f>
        <v>0.19</v>
      </c>
      <c r="H4193" s="3">
        <f>[1]Raw_Data!H4191</f>
        <v>0</v>
      </c>
      <c r="I4193" s="3" t="str">
        <f>TRIM([1]Raw_Data!I4191)</f>
        <v>USA</v>
      </c>
      <c r="J4193" s="3" t="str">
        <f>TRIM([1]Raw_Data!J4191)</f>
        <v>Walmart</v>
      </c>
      <c r="K4193" s="3">
        <f t="shared" si="260"/>
        <v>2025</v>
      </c>
      <c r="L4193" s="6">
        <f t="shared" si="261"/>
        <v>45658</v>
      </c>
      <c r="M4193" s="3" t="str">
        <f t="shared" si="262"/>
        <v>16% to 20%</v>
      </c>
      <c r="N4193" s="3" t="str">
        <f t="shared" si="263"/>
        <v>OK</v>
      </c>
    </row>
    <row r="4194" spans="1:14" x14ac:dyDescent="0.3">
      <c r="A4194" s="2">
        <f>DATE(VALUE(RIGHT(TRIM([1]Raw_Data!A4192),4)),VALUE(MID(TRIM([1]Raw_Data!A4192),4,2)),VALUE(LEFT(TRIM([1]Raw_Data!A4192),2)))</f>
        <v>45663</v>
      </c>
      <c r="B4194" s="3" t="str">
        <f>TRIM([1]Raw_Data!B4192)</f>
        <v>Iron Supplement</v>
      </c>
      <c r="C4194" s="3" t="str">
        <f>TRIM([1]Raw_Data!C4192)</f>
        <v>Mineral</v>
      </c>
      <c r="D4194" s="3">
        <f>[1]Raw_Data!D4192</f>
        <v>164</v>
      </c>
      <c r="E4194" s="4">
        <f>[1]Raw_Data!E4192</f>
        <v>11.76</v>
      </c>
      <c r="F4194" s="5">
        <f>[1]Raw_Data!F4192</f>
        <v>1928.64</v>
      </c>
      <c r="G4194" s="4">
        <f>[1]Raw_Data!G4192</f>
        <v>0.1</v>
      </c>
      <c r="H4194" s="3">
        <f>[1]Raw_Data!H4192</f>
        <v>5</v>
      </c>
      <c r="I4194" s="3" t="str">
        <f>TRIM([1]Raw_Data!I4192)</f>
        <v>UK</v>
      </c>
      <c r="J4194" s="3" t="str">
        <f>TRIM([1]Raw_Data!J4192)</f>
        <v>iHerb</v>
      </c>
      <c r="K4194" s="3">
        <f t="shared" si="260"/>
        <v>2025</v>
      </c>
      <c r="L4194" s="6">
        <f t="shared" si="261"/>
        <v>45658</v>
      </c>
      <c r="M4194" s="3" t="str">
        <f t="shared" si="262"/>
        <v>6% to 10%</v>
      </c>
      <c r="N4194" s="3" t="str">
        <f t="shared" si="263"/>
        <v>OK</v>
      </c>
    </row>
    <row r="4195" spans="1:14" x14ac:dyDescent="0.3">
      <c r="A4195" s="2">
        <f>DATE(VALUE(RIGHT(TRIM([1]Raw_Data!A4193),4)),VALUE(MID(TRIM([1]Raw_Data!A4193),4,2)),VALUE(LEFT(TRIM([1]Raw_Data!A4193),2)))</f>
        <v>45663</v>
      </c>
      <c r="B4195" s="3" t="str">
        <f>TRIM([1]Raw_Data!B4193)</f>
        <v>Electrolyte Powder</v>
      </c>
      <c r="C4195" s="3" t="str">
        <f>TRIM([1]Raw_Data!C4193)</f>
        <v>Hydration</v>
      </c>
      <c r="D4195" s="3">
        <f>[1]Raw_Data!D4193</f>
        <v>132</v>
      </c>
      <c r="E4195" s="4">
        <f>[1]Raw_Data!E4193</f>
        <v>47.56</v>
      </c>
      <c r="F4195" s="5">
        <f>[1]Raw_Data!F4193</f>
        <v>6277.92</v>
      </c>
      <c r="G4195" s="4">
        <f>[1]Raw_Data!G4193</f>
        <v>0.08</v>
      </c>
      <c r="H4195" s="3">
        <f>[1]Raw_Data!H4193</f>
        <v>2</v>
      </c>
      <c r="I4195" s="3" t="str">
        <f>TRIM([1]Raw_Data!I4193)</f>
        <v>USA</v>
      </c>
      <c r="J4195" s="3" t="str">
        <f>TRIM([1]Raw_Data!J4193)</f>
        <v>Amazon</v>
      </c>
      <c r="K4195" s="3">
        <f t="shared" si="260"/>
        <v>2025</v>
      </c>
      <c r="L4195" s="6">
        <f t="shared" si="261"/>
        <v>45658</v>
      </c>
      <c r="M4195" s="3" t="str">
        <f t="shared" si="262"/>
        <v>6% to 10%</v>
      </c>
      <c r="N4195" s="3" t="str">
        <f t="shared" si="263"/>
        <v>OK</v>
      </c>
    </row>
    <row r="4196" spans="1:14" x14ac:dyDescent="0.3">
      <c r="A4196" s="2">
        <f>DATE(VALUE(RIGHT(TRIM([1]Raw_Data!A4194),4)),VALUE(MID(TRIM([1]Raw_Data!A4194),4,2)),VALUE(LEFT(TRIM([1]Raw_Data!A4194),2)))</f>
        <v>45670</v>
      </c>
      <c r="B4196" s="3" t="str">
        <f>TRIM([1]Raw_Data!B4194)</f>
        <v>Whey Protein</v>
      </c>
      <c r="C4196" s="3" t="str">
        <f>TRIM([1]Raw_Data!C4194)</f>
        <v>Protein</v>
      </c>
      <c r="D4196" s="3">
        <f>[1]Raw_Data!D4194</f>
        <v>138</v>
      </c>
      <c r="E4196" s="4">
        <f>[1]Raw_Data!E4194</f>
        <v>23.26</v>
      </c>
      <c r="F4196" s="5">
        <f>[1]Raw_Data!F4194</f>
        <v>3209.88</v>
      </c>
      <c r="G4196" s="4">
        <f>[1]Raw_Data!G4194</f>
        <v>0.11</v>
      </c>
      <c r="H4196" s="3">
        <f>[1]Raw_Data!H4194</f>
        <v>2</v>
      </c>
      <c r="I4196" s="3" t="str">
        <f>TRIM([1]Raw_Data!I4194)</f>
        <v>UK</v>
      </c>
      <c r="J4196" s="3" t="str">
        <f>TRIM([1]Raw_Data!J4194)</f>
        <v>iHerb</v>
      </c>
      <c r="K4196" s="3">
        <f t="shared" si="260"/>
        <v>2025</v>
      </c>
      <c r="L4196" s="6">
        <f t="shared" si="261"/>
        <v>45658</v>
      </c>
      <c r="M4196" s="3" t="str">
        <f t="shared" si="262"/>
        <v>11% to 15%</v>
      </c>
      <c r="N4196" s="3" t="str">
        <f t="shared" si="263"/>
        <v>OK</v>
      </c>
    </row>
    <row r="4197" spans="1:14" x14ac:dyDescent="0.3">
      <c r="A4197" s="2">
        <f>DATE(VALUE(RIGHT(TRIM([1]Raw_Data!A4195),4)),VALUE(MID(TRIM([1]Raw_Data!A4195),4,2)),VALUE(LEFT(TRIM([1]Raw_Data!A4195),2)))</f>
        <v>45670</v>
      </c>
      <c r="B4197" s="3" t="str">
        <f>TRIM([1]Raw_Data!B4195)</f>
        <v>Vitamin C</v>
      </c>
      <c r="C4197" s="3" t="str">
        <f>TRIM([1]Raw_Data!C4195)</f>
        <v>Vitamin</v>
      </c>
      <c r="D4197" s="3">
        <f>[1]Raw_Data!D4195</f>
        <v>160</v>
      </c>
      <c r="E4197" s="4">
        <f>[1]Raw_Data!E4195</f>
        <v>56.42</v>
      </c>
      <c r="F4197" s="5">
        <f>[1]Raw_Data!F4195</f>
        <v>9027.2000000000007</v>
      </c>
      <c r="G4197" s="4">
        <f>[1]Raw_Data!G4195</f>
        <v>7.0000000000000007E-2</v>
      </c>
      <c r="H4197" s="3">
        <f>[1]Raw_Data!H4195</f>
        <v>1</v>
      </c>
      <c r="I4197" s="3" t="str">
        <f>TRIM([1]Raw_Data!I4195)</f>
        <v>Canada</v>
      </c>
      <c r="J4197" s="3" t="str">
        <f>TRIM([1]Raw_Data!J4195)</f>
        <v>Walmart</v>
      </c>
      <c r="K4197" s="3">
        <f t="shared" si="260"/>
        <v>2025</v>
      </c>
      <c r="L4197" s="6">
        <f t="shared" si="261"/>
        <v>45658</v>
      </c>
      <c r="M4197" s="3" t="str">
        <f t="shared" si="262"/>
        <v>6% to 10%</v>
      </c>
      <c r="N4197" s="3" t="str">
        <f t="shared" si="263"/>
        <v>OK</v>
      </c>
    </row>
    <row r="4198" spans="1:14" x14ac:dyDescent="0.3">
      <c r="A4198" s="2">
        <f>DATE(VALUE(RIGHT(TRIM([1]Raw_Data!A4196),4)),VALUE(MID(TRIM([1]Raw_Data!A4196),4,2)),VALUE(LEFT(TRIM([1]Raw_Data!A4196),2)))</f>
        <v>45670</v>
      </c>
      <c r="B4198" s="3" t="str">
        <f>TRIM([1]Raw_Data!B4196)</f>
        <v>Fish Oil</v>
      </c>
      <c r="C4198" s="3" t="str">
        <f>TRIM([1]Raw_Data!C4196)</f>
        <v>Omega</v>
      </c>
      <c r="D4198" s="3">
        <f>[1]Raw_Data!D4196</f>
        <v>154</v>
      </c>
      <c r="E4198" s="4">
        <f>[1]Raw_Data!E4196</f>
        <v>12.33</v>
      </c>
      <c r="F4198" s="5">
        <f>[1]Raw_Data!F4196</f>
        <v>1898.82</v>
      </c>
      <c r="G4198" s="4">
        <f>[1]Raw_Data!G4196</f>
        <v>0.15</v>
      </c>
      <c r="H4198" s="3">
        <f>[1]Raw_Data!H4196</f>
        <v>1</v>
      </c>
      <c r="I4198" s="3" t="str">
        <f>TRIM([1]Raw_Data!I4196)</f>
        <v>UK</v>
      </c>
      <c r="J4198" s="3" t="str">
        <f>TRIM([1]Raw_Data!J4196)</f>
        <v>iHerb</v>
      </c>
      <c r="K4198" s="3">
        <f t="shared" si="260"/>
        <v>2025</v>
      </c>
      <c r="L4198" s="6">
        <f t="shared" si="261"/>
        <v>45658</v>
      </c>
      <c r="M4198" s="3" t="str">
        <f t="shared" si="262"/>
        <v>11% to 15%</v>
      </c>
      <c r="N4198" s="3" t="str">
        <f t="shared" si="263"/>
        <v>OK</v>
      </c>
    </row>
    <row r="4199" spans="1:14" x14ac:dyDescent="0.3">
      <c r="A4199" s="2">
        <f>DATE(VALUE(RIGHT(TRIM([1]Raw_Data!A4197),4)),VALUE(MID(TRIM([1]Raw_Data!A4197),4,2)),VALUE(LEFT(TRIM([1]Raw_Data!A4197),2)))</f>
        <v>45670</v>
      </c>
      <c r="B4199" s="3" t="str">
        <f>TRIM([1]Raw_Data!B4197)</f>
        <v>Multivitamin</v>
      </c>
      <c r="C4199" s="3" t="str">
        <f>TRIM([1]Raw_Data!C4197)</f>
        <v>Vitamin</v>
      </c>
      <c r="D4199" s="3">
        <f>[1]Raw_Data!D4197</f>
        <v>159</v>
      </c>
      <c r="E4199" s="4">
        <f>[1]Raw_Data!E4197</f>
        <v>37.61</v>
      </c>
      <c r="F4199" s="5">
        <f>[1]Raw_Data!F4197</f>
        <v>5979.99</v>
      </c>
      <c r="G4199" s="4">
        <f>[1]Raw_Data!G4197</f>
        <v>0</v>
      </c>
      <c r="H4199" s="3">
        <f>[1]Raw_Data!H4197</f>
        <v>2</v>
      </c>
      <c r="I4199" s="3" t="str">
        <f>TRIM([1]Raw_Data!I4197)</f>
        <v>Canada</v>
      </c>
      <c r="J4199" s="3" t="str">
        <f>TRIM([1]Raw_Data!J4197)</f>
        <v>Amazon</v>
      </c>
      <c r="K4199" s="3">
        <f t="shared" si="260"/>
        <v>2025</v>
      </c>
      <c r="L4199" s="6">
        <f t="shared" si="261"/>
        <v>45658</v>
      </c>
      <c r="M4199" s="3" t="str">
        <f t="shared" si="262"/>
        <v>0% to 5%</v>
      </c>
      <c r="N4199" s="3" t="str">
        <f t="shared" si="263"/>
        <v>OK</v>
      </c>
    </row>
    <row r="4200" spans="1:14" x14ac:dyDescent="0.3">
      <c r="A4200" s="2">
        <f>DATE(VALUE(RIGHT(TRIM([1]Raw_Data!A4198),4)),VALUE(MID(TRIM([1]Raw_Data!A4198),4,2)),VALUE(LEFT(TRIM([1]Raw_Data!A4198),2)))</f>
        <v>45670</v>
      </c>
      <c r="B4200" s="3" t="str">
        <f>TRIM([1]Raw_Data!B4198)</f>
        <v>Pre-Workout</v>
      </c>
      <c r="C4200" s="3" t="str">
        <f>TRIM([1]Raw_Data!C4198)</f>
        <v>Performance</v>
      </c>
      <c r="D4200" s="3">
        <f>[1]Raw_Data!D4198</f>
        <v>159</v>
      </c>
      <c r="E4200" s="4">
        <f>[1]Raw_Data!E4198</f>
        <v>33.229999999999997</v>
      </c>
      <c r="F4200" s="5">
        <f>[1]Raw_Data!F4198</f>
        <v>5283.57</v>
      </c>
      <c r="G4200" s="4">
        <f>[1]Raw_Data!G4198</f>
        <v>0.24</v>
      </c>
      <c r="H4200" s="3">
        <f>[1]Raw_Data!H4198</f>
        <v>1</v>
      </c>
      <c r="I4200" s="3" t="str">
        <f>TRIM([1]Raw_Data!I4198)</f>
        <v>Canada</v>
      </c>
      <c r="J4200" s="3" t="str">
        <f>TRIM([1]Raw_Data!J4198)</f>
        <v>Walmart</v>
      </c>
      <c r="K4200" s="3">
        <f t="shared" si="260"/>
        <v>2025</v>
      </c>
      <c r="L4200" s="6">
        <f t="shared" si="261"/>
        <v>45658</v>
      </c>
      <c r="M4200" s="3" t="str">
        <f t="shared" si="262"/>
        <v>21% to 25%</v>
      </c>
      <c r="N4200" s="3" t="str">
        <f t="shared" si="263"/>
        <v>OK</v>
      </c>
    </row>
    <row r="4201" spans="1:14" x14ac:dyDescent="0.3">
      <c r="A4201" s="2">
        <f>DATE(VALUE(RIGHT(TRIM([1]Raw_Data!A4199),4)),VALUE(MID(TRIM([1]Raw_Data!A4199),4,2)),VALUE(LEFT(TRIM([1]Raw_Data!A4199),2)))</f>
        <v>45670</v>
      </c>
      <c r="B4201" s="3" t="str">
        <f>TRIM([1]Raw_Data!B4199)</f>
        <v>BCAA</v>
      </c>
      <c r="C4201" s="3" t="str">
        <f>TRIM([1]Raw_Data!C4199)</f>
        <v>Amino Acid</v>
      </c>
      <c r="D4201" s="3">
        <f>[1]Raw_Data!D4199</f>
        <v>139</v>
      </c>
      <c r="E4201" s="4">
        <f>[1]Raw_Data!E4199</f>
        <v>37.94</v>
      </c>
      <c r="F4201" s="5">
        <f>[1]Raw_Data!F4199</f>
        <v>5273.66</v>
      </c>
      <c r="G4201" s="4">
        <f>[1]Raw_Data!G4199</f>
        <v>0.24</v>
      </c>
      <c r="H4201" s="3">
        <f>[1]Raw_Data!H4199</f>
        <v>2</v>
      </c>
      <c r="I4201" s="3" t="str">
        <f>TRIM([1]Raw_Data!I4199)</f>
        <v>USA</v>
      </c>
      <c r="J4201" s="3" t="str">
        <f>TRIM([1]Raw_Data!J4199)</f>
        <v>iHerb</v>
      </c>
      <c r="K4201" s="3">
        <f t="shared" si="260"/>
        <v>2025</v>
      </c>
      <c r="L4201" s="6">
        <f t="shared" si="261"/>
        <v>45658</v>
      </c>
      <c r="M4201" s="3" t="str">
        <f t="shared" si="262"/>
        <v>21% to 25%</v>
      </c>
      <c r="N4201" s="3" t="str">
        <f t="shared" si="263"/>
        <v>OK</v>
      </c>
    </row>
    <row r="4202" spans="1:14" x14ac:dyDescent="0.3">
      <c r="A4202" s="2">
        <f>DATE(VALUE(RIGHT(TRIM([1]Raw_Data!A4200),4)),VALUE(MID(TRIM([1]Raw_Data!A4200),4,2)),VALUE(LEFT(TRIM([1]Raw_Data!A4200),2)))</f>
        <v>45670</v>
      </c>
      <c r="B4202" s="3" t="str">
        <f>TRIM([1]Raw_Data!B4200)</f>
        <v>Creatine</v>
      </c>
      <c r="C4202" s="3" t="str">
        <f>TRIM([1]Raw_Data!C4200)</f>
        <v>Performance</v>
      </c>
      <c r="D4202" s="3">
        <f>[1]Raw_Data!D4200</f>
        <v>143</v>
      </c>
      <c r="E4202" s="4">
        <f>[1]Raw_Data!E4200</f>
        <v>41.24</v>
      </c>
      <c r="F4202" s="5">
        <f>[1]Raw_Data!F4200</f>
        <v>5897.32</v>
      </c>
      <c r="G4202" s="4">
        <f>[1]Raw_Data!G4200</f>
        <v>0.15</v>
      </c>
      <c r="H4202" s="3">
        <f>[1]Raw_Data!H4200</f>
        <v>0</v>
      </c>
      <c r="I4202" s="3" t="str">
        <f>TRIM([1]Raw_Data!I4200)</f>
        <v>UK</v>
      </c>
      <c r="J4202" s="3" t="str">
        <f>TRIM([1]Raw_Data!J4200)</f>
        <v>Amazon</v>
      </c>
      <c r="K4202" s="3">
        <f t="shared" si="260"/>
        <v>2025</v>
      </c>
      <c r="L4202" s="6">
        <f t="shared" si="261"/>
        <v>45658</v>
      </c>
      <c r="M4202" s="3" t="str">
        <f t="shared" si="262"/>
        <v>11% to 15%</v>
      </c>
      <c r="N4202" s="3" t="str">
        <f t="shared" si="263"/>
        <v>OK</v>
      </c>
    </row>
    <row r="4203" spans="1:14" x14ac:dyDescent="0.3">
      <c r="A4203" s="2">
        <f>DATE(VALUE(RIGHT(TRIM([1]Raw_Data!A4201),4)),VALUE(MID(TRIM([1]Raw_Data!A4201),4,2)),VALUE(LEFT(TRIM([1]Raw_Data!A4201),2)))</f>
        <v>45670</v>
      </c>
      <c r="B4203" s="3" t="str">
        <f>TRIM([1]Raw_Data!B4201)</f>
        <v>Zinc</v>
      </c>
      <c r="C4203" s="3" t="str">
        <f>TRIM([1]Raw_Data!C4201)</f>
        <v>Mineral</v>
      </c>
      <c r="D4203" s="3">
        <f>[1]Raw_Data!D4201</f>
        <v>155</v>
      </c>
      <c r="E4203" s="4">
        <f>[1]Raw_Data!E4201</f>
        <v>10.93</v>
      </c>
      <c r="F4203" s="5">
        <f>[1]Raw_Data!F4201</f>
        <v>1694.15</v>
      </c>
      <c r="G4203" s="4">
        <f>[1]Raw_Data!G4201</f>
        <v>0.13</v>
      </c>
      <c r="H4203" s="3">
        <f>[1]Raw_Data!H4201</f>
        <v>5</v>
      </c>
      <c r="I4203" s="3" t="str">
        <f>TRIM([1]Raw_Data!I4201)</f>
        <v>Canada</v>
      </c>
      <c r="J4203" s="3" t="str">
        <f>TRIM([1]Raw_Data!J4201)</f>
        <v>iHerb</v>
      </c>
      <c r="K4203" s="3">
        <f t="shared" si="260"/>
        <v>2025</v>
      </c>
      <c r="L4203" s="6">
        <f t="shared" si="261"/>
        <v>45658</v>
      </c>
      <c r="M4203" s="3" t="str">
        <f t="shared" si="262"/>
        <v>11% to 15%</v>
      </c>
      <c r="N4203" s="3" t="str">
        <f t="shared" si="263"/>
        <v>OK</v>
      </c>
    </row>
    <row r="4204" spans="1:14" x14ac:dyDescent="0.3">
      <c r="A4204" s="2">
        <f>DATE(VALUE(RIGHT(TRIM([1]Raw_Data!A4202),4)),VALUE(MID(TRIM([1]Raw_Data!A4202),4,2)),VALUE(LEFT(TRIM([1]Raw_Data!A4202),2)))</f>
        <v>45670</v>
      </c>
      <c r="B4204" s="3" t="str">
        <f>TRIM([1]Raw_Data!B4202)</f>
        <v>Collagen Peptides</v>
      </c>
      <c r="C4204" s="3" t="str">
        <f>TRIM([1]Raw_Data!C4202)</f>
        <v>Protein</v>
      </c>
      <c r="D4204" s="3">
        <f>[1]Raw_Data!D4202</f>
        <v>145</v>
      </c>
      <c r="E4204" s="4">
        <f>[1]Raw_Data!E4202</f>
        <v>14.81</v>
      </c>
      <c r="F4204" s="5">
        <f>[1]Raw_Data!F4202</f>
        <v>2147.4499999999998</v>
      </c>
      <c r="G4204" s="4">
        <f>[1]Raw_Data!G4202</f>
        <v>0.18</v>
      </c>
      <c r="H4204" s="3">
        <f>[1]Raw_Data!H4202</f>
        <v>0</v>
      </c>
      <c r="I4204" s="3" t="str">
        <f>TRIM([1]Raw_Data!I4202)</f>
        <v>Canada</v>
      </c>
      <c r="J4204" s="3" t="str">
        <f>TRIM([1]Raw_Data!J4202)</f>
        <v>Walmart</v>
      </c>
      <c r="K4204" s="3">
        <f t="shared" si="260"/>
        <v>2025</v>
      </c>
      <c r="L4204" s="6">
        <f t="shared" si="261"/>
        <v>45658</v>
      </c>
      <c r="M4204" s="3" t="str">
        <f t="shared" si="262"/>
        <v>16% to 20%</v>
      </c>
      <c r="N4204" s="3" t="str">
        <f t="shared" si="263"/>
        <v>OK</v>
      </c>
    </row>
    <row r="4205" spans="1:14" x14ac:dyDescent="0.3">
      <c r="A4205" s="2">
        <f>DATE(VALUE(RIGHT(TRIM([1]Raw_Data!A4203),4)),VALUE(MID(TRIM([1]Raw_Data!A4203),4,2)),VALUE(LEFT(TRIM([1]Raw_Data!A4203),2)))</f>
        <v>45670</v>
      </c>
      <c r="B4205" s="3" t="str">
        <f>TRIM([1]Raw_Data!B4203)</f>
        <v>Magnesium</v>
      </c>
      <c r="C4205" s="3" t="str">
        <f>TRIM([1]Raw_Data!C4203)</f>
        <v>Mineral</v>
      </c>
      <c r="D4205" s="3">
        <f>[1]Raw_Data!D4203</f>
        <v>141</v>
      </c>
      <c r="E4205" s="4">
        <f>[1]Raw_Data!E4203</f>
        <v>39.64</v>
      </c>
      <c r="F4205" s="5">
        <f>[1]Raw_Data!F4203</f>
        <v>5589.24</v>
      </c>
      <c r="G4205" s="4">
        <f>[1]Raw_Data!G4203</f>
        <v>0.19</v>
      </c>
      <c r="H4205" s="3">
        <f>[1]Raw_Data!H4203</f>
        <v>2</v>
      </c>
      <c r="I4205" s="3" t="str">
        <f>TRIM([1]Raw_Data!I4203)</f>
        <v>Canada</v>
      </c>
      <c r="J4205" s="3" t="str">
        <f>TRIM([1]Raw_Data!J4203)</f>
        <v>iHerb</v>
      </c>
      <c r="K4205" s="3">
        <f t="shared" si="260"/>
        <v>2025</v>
      </c>
      <c r="L4205" s="6">
        <f t="shared" si="261"/>
        <v>45658</v>
      </c>
      <c r="M4205" s="3" t="str">
        <f t="shared" si="262"/>
        <v>16% to 20%</v>
      </c>
      <c r="N4205" s="3" t="str">
        <f t="shared" si="263"/>
        <v>OK</v>
      </c>
    </row>
    <row r="4206" spans="1:14" x14ac:dyDescent="0.3">
      <c r="A4206" s="2">
        <f>DATE(VALUE(RIGHT(TRIM([1]Raw_Data!A4204),4)),VALUE(MID(TRIM([1]Raw_Data!A4204),4,2)),VALUE(LEFT(TRIM([1]Raw_Data!A4204),2)))</f>
        <v>45670</v>
      </c>
      <c r="B4206" s="3" t="str">
        <f>TRIM([1]Raw_Data!B4204)</f>
        <v>Ashwagandha</v>
      </c>
      <c r="C4206" s="3" t="str">
        <f>TRIM([1]Raw_Data!C4204)</f>
        <v>Herbal</v>
      </c>
      <c r="D4206" s="3">
        <f>[1]Raw_Data!D4204</f>
        <v>153</v>
      </c>
      <c r="E4206" s="4">
        <f>[1]Raw_Data!E4204</f>
        <v>32.61</v>
      </c>
      <c r="F4206" s="5">
        <f>[1]Raw_Data!F4204</f>
        <v>4989.33</v>
      </c>
      <c r="G4206" s="4">
        <f>[1]Raw_Data!G4204</f>
        <v>0.06</v>
      </c>
      <c r="H4206" s="3">
        <f>[1]Raw_Data!H4204</f>
        <v>0</v>
      </c>
      <c r="I4206" s="3" t="str">
        <f>TRIM([1]Raw_Data!I4204)</f>
        <v>UK</v>
      </c>
      <c r="J4206" s="3" t="str">
        <f>TRIM([1]Raw_Data!J4204)</f>
        <v>Walmart</v>
      </c>
      <c r="K4206" s="3">
        <f t="shared" si="260"/>
        <v>2025</v>
      </c>
      <c r="L4206" s="6">
        <f t="shared" si="261"/>
        <v>45658</v>
      </c>
      <c r="M4206" s="3" t="str">
        <f t="shared" si="262"/>
        <v>6% to 10%</v>
      </c>
      <c r="N4206" s="3" t="str">
        <f t="shared" si="263"/>
        <v>OK</v>
      </c>
    </row>
    <row r="4207" spans="1:14" x14ac:dyDescent="0.3">
      <c r="A4207" s="2">
        <f>DATE(VALUE(RIGHT(TRIM([1]Raw_Data!A4205),4)),VALUE(MID(TRIM([1]Raw_Data!A4205),4,2)),VALUE(LEFT(TRIM([1]Raw_Data!A4205),2)))</f>
        <v>45670</v>
      </c>
      <c r="B4207" s="3" t="str">
        <f>TRIM([1]Raw_Data!B4205)</f>
        <v>Melatonin</v>
      </c>
      <c r="C4207" s="3" t="str">
        <f>TRIM([1]Raw_Data!C4205)</f>
        <v>Sleep Aid</v>
      </c>
      <c r="D4207" s="3">
        <f>[1]Raw_Data!D4205</f>
        <v>146</v>
      </c>
      <c r="E4207" s="4">
        <f>[1]Raw_Data!E4205</f>
        <v>12.13</v>
      </c>
      <c r="F4207" s="5">
        <f>[1]Raw_Data!F4205</f>
        <v>1770.98</v>
      </c>
      <c r="G4207" s="4">
        <f>[1]Raw_Data!G4205</f>
        <v>0.03</v>
      </c>
      <c r="H4207" s="3">
        <f>[1]Raw_Data!H4205</f>
        <v>0</v>
      </c>
      <c r="I4207" s="3" t="str">
        <f>TRIM([1]Raw_Data!I4205)</f>
        <v>USA</v>
      </c>
      <c r="J4207" s="3" t="str">
        <f>TRIM([1]Raw_Data!J4205)</f>
        <v>Walmart</v>
      </c>
      <c r="K4207" s="3">
        <f t="shared" si="260"/>
        <v>2025</v>
      </c>
      <c r="L4207" s="6">
        <f t="shared" si="261"/>
        <v>45658</v>
      </c>
      <c r="M4207" s="3" t="str">
        <f t="shared" si="262"/>
        <v>0% to 5%</v>
      </c>
      <c r="N4207" s="3" t="str">
        <f t="shared" si="263"/>
        <v>OK</v>
      </c>
    </row>
    <row r="4208" spans="1:14" x14ac:dyDescent="0.3">
      <c r="A4208" s="2">
        <f>DATE(VALUE(RIGHT(TRIM([1]Raw_Data!A4206),4)),VALUE(MID(TRIM([1]Raw_Data!A4206),4,2)),VALUE(LEFT(TRIM([1]Raw_Data!A4206),2)))</f>
        <v>45670</v>
      </c>
      <c r="B4208" s="3" t="str">
        <f>TRIM([1]Raw_Data!B4206)</f>
        <v>Biotin</v>
      </c>
      <c r="C4208" s="3" t="str">
        <f>TRIM([1]Raw_Data!C4206)</f>
        <v>Vitamin</v>
      </c>
      <c r="D4208" s="3">
        <f>[1]Raw_Data!D4206</f>
        <v>153</v>
      </c>
      <c r="E4208" s="4">
        <f>[1]Raw_Data!E4206</f>
        <v>18.309999999999999</v>
      </c>
      <c r="F4208" s="5">
        <f>[1]Raw_Data!F4206</f>
        <v>2801.43</v>
      </c>
      <c r="G4208" s="4">
        <f>[1]Raw_Data!G4206</f>
        <v>0.15</v>
      </c>
      <c r="H4208" s="3">
        <f>[1]Raw_Data!H4206</f>
        <v>2</v>
      </c>
      <c r="I4208" s="3" t="str">
        <f>TRIM([1]Raw_Data!I4206)</f>
        <v>Canada</v>
      </c>
      <c r="J4208" s="3" t="str">
        <f>TRIM([1]Raw_Data!J4206)</f>
        <v>iHerb</v>
      </c>
      <c r="K4208" s="3">
        <f t="shared" si="260"/>
        <v>2025</v>
      </c>
      <c r="L4208" s="6">
        <f t="shared" si="261"/>
        <v>45658</v>
      </c>
      <c r="M4208" s="3" t="str">
        <f t="shared" si="262"/>
        <v>11% to 15%</v>
      </c>
      <c r="N4208" s="3" t="str">
        <f t="shared" si="263"/>
        <v>OK</v>
      </c>
    </row>
    <row r="4209" spans="1:14" x14ac:dyDescent="0.3">
      <c r="A4209" s="2">
        <f>DATE(VALUE(RIGHT(TRIM([1]Raw_Data!A4207),4)),VALUE(MID(TRIM([1]Raw_Data!A4207),4,2)),VALUE(LEFT(TRIM([1]Raw_Data!A4207),2)))</f>
        <v>45670</v>
      </c>
      <c r="B4209" s="3" t="str">
        <f>TRIM([1]Raw_Data!B4207)</f>
        <v>Green Tea Extract</v>
      </c>
      <c r="C4209" s="3" t="str">
        <f>TRIM([1]Raw_Data!C4207)</f>
        <v>Fat Burner</v>
      </c>
      <c r="D4209" s="3">
        <f>[1]Raw_Data!D4207</f>
        <v>144</v>
      </c>
      <c r="E4209" s="4">
        <f>[1]Raw_Data!E4207</f>
        <v>14.91</v>
      </c>
      <c r="F4209" s="5">
        <f>[1]Raw_Data!F4207</f>
        <v>2147.04</v>
      </c>
      <c r="G4209" s="4">
        <f>[1]Raw_Data!G4207</f>
        <v>0.23</v>
      </c>
      <c r="H4209" s="3">
        <f>[1]Raw_Data!H4207</f>
        <v>1</v>
      </c>
      <c r="I4209" s="3" t="str">
        <f>TRIM([1]Raw_Data!I4207)</f>
        <v>UK</v>
      </c>
      <c r="J4209" s="3" t="str">
        <f>TRIM([1]Raw_Data!J4207)</f>
        <v>Walmart</v>
      </c>
      <c r="K4209" s="3">
        <f t="shared" si="260"/>
        <v>2025</v>
      </c>
      <c r="L4209" s="6">
        <f t="shared" si="261"/>
        <v>45658</v>
      </c>
      <c r="M4209" s="3" t="str">
        <f t="shared" si="262"/>
        <v>21% to 25%</v>
      </c>
      <c r="N4209" s="3" t="str">
        <f t="shared" si="263"/>
        <v>OK</v>
      </c>
    </row>
    <row r="4210" spans="1:14" x14ac:dyDescent="0.3">
      <c r="A4210" s="2">
        <f>DATE(VALUE(RIGHT(TRIM([1]Raw_Data!A4208),4)),VALUE(MID(TRIM([1]Raw_Data!A4208),4,2)),VALUE(LEFT(TRIM([1]Raw_Data!A4208),2)))</f>
        <v>45670</v>
      </c>
      <c r="B4210" s="3" t="str">
        <f>TRIM([1]Raw_Data!B4208)</f>
        <v>Iron Supplement</v>
      </c>
      <c r="C4210" s="3" t="str">
        <f>TRIM([1]Raw_Data!C4208)</f>
        <v>Mineral</v>
      </c>
      <c r="D4210" s="3">
        <f>[1]Raw_Data!D4208</f>
        <v>161</v>
      </c>
      <c r="E4210" s="4">
        <f>[1]Raw_Data!E4208</f>
        <v>37.17</v>
      </c>
      <c r="F4210" s="5">
        <f>[1]Raw_Data!F4208</f>
        <v>5984.37</v>
      </c>
      <c r="G4210" s="4">
        <f>[1]Raw_Data!G4208</f>
        <v>0.02</v>
      </c>
      <c r="H4210" s="3">
        <f>[1]Raw_Data!H4208</f>
        <v>3</v>
      </c>
      <c r="I4210" s="3" t="str">
        <f>TRIM([1]Raw_Data!I4208)</f>
        <v>USA</v>
      </c>
      <c r="J4210" s="3" t="str">
        <f>TRIM([1]Raw_Data!J4208)</f>
        <v>Amazon</v>
      </c>
      <c r="K4210" s="3">
        <f t="shared" si="260"/>
        <v>2025</v>
      </c>
      <c r="L4210" s="6">
        <f t="shared" si="261"/>
        <v>45658</v>
      </c>
      <c r="M4210" s="3" t="str">
        <f t="shared" si="262"/>
        <v>0% to 5%</v>
      </c>
      <c r="N4210" s="3" t="str">
        <f t="shared" si="263"/>
        <v>OK</v>
      </c>
    </row>
    <row r="4211" spans="1:14" x14ac:dyDescent="0.3">
      <c r="A4211" s="2">
        <f>DATE(VALUE(RIGHT(TRIM([1]Raw_Data!A4209),4)),VALUE(MID(TRIM([1]Raw_Data!A4209),4,2)),VALUE(LEFT(TRIM([1]Raw_Data!A4209),2)))</f>
        <v>45670</v>
      </c>
      <c r="B4211" s="3" t="str">
        <f>TRIM([1]Raw_Data!B4209)</f>
        <v>Electrolyte Powder</v>
      </c>
      <c r="C4211" s="3" t="str">
        <f>TRIM([1]Raw_Data!C4209)</f>
        <v>Hydration</v>
      </c>
      <c r="D4211" s="3">
        <f>[1]Raw_Data!D4209</f>
        <v>154</v>
      </c>
      <c r="E4211" s="4">
        <f>[1]Raw_Data!E4209</f>
        <v>35.950000000000003</v>
      </c>
      <c r="F4211" s="5">
        <f>[1]Raw_Data!F4209</f>
        <v>5536.3</v>
      </c>
      <c r="G4211" s="4">
        <f>[1]Raw_Data!G4209</f>
        <v>0.1</v>
      </c>
      <c r="H4211" s="3">
        <f>[1]Raw_Data!H4209</f>
        <v>1</v>
      </c>
      <c r="I4211" s="3" t="str">
        <f>TRIM([1]Raw_Data!I4209)</f>
        <v>USA</v>
      </c>
      <c r="J4211" s="3" t="str">
        <f>TRIM([1]Raw_Data!J4209)</f>
        <v>iHerb</v>
      </c>
      <c r="K4211" s="3">
        <f t="shared" si="260"/>
        <v>2025</v>
      </c>
      <c r="L4211" s="6">
        <f t="shared" si="261"/>
        <v>45658</v>
      </c>
      <c r="M4211" s="3" t="str">
        <f t="shared" si="262"/>
        <v>6% to 10%</v>
      </c>
      <c r="N4211" s="3" t="str">
        <f t="shared" si="263"/>
        <v>OK</v>
      </c>
    </row>
    <row r="4212" spans="1:14" x14ac:dyDescent="0.3">
      <c r="A4212" s="2">
        <f>DATE(VALUE(RIGHT(TRIM([1]Raw_Data!A4210),4)),VALUE(MID(TRIM([1]Raw_Data!A4210),4,2)),VALUE(LEFT(TRIM([1]Raw_Data!A4210),2)))</f>
        <v>45677</v>
      </c>
      <c r="B4212" s="3" t="str">
        <f>TRIM([1]Raw_Data!B4210)</f>
        <v>Whey Protein</v>
      </c>
      <c r="C4212" s="3" t="str">
        <f>TRIM([1]Raw_Data!C4210)</f>
        <v>Protein</v>
      </c>
      <c r="D4212" s="3">
        <f>[1]Raw_Data!D4210</f>
        <v>155</v>
      </c>
      <c r="E4212" s="4">
        <f>[1]Raw_Data!E4210</f>
        <v>39.79</v>
      </c>
      <c r="F4212" s="5">
        <f>[1]Raw_Data!F4210</f>
        <v>6167.45</v>
      </c>
      <c r="G4212" s="4">
        <f>[1]Raw_Data!G4210</f>
        <v>0.21</v>
      </c>
      <c r="H4212" s="3">
        <f>[1]Raw_Data!H4210</f>
        <v>3</v>
      </c>
      <c r="I4212" s="3" t="str">
        <f>TRIM([1]Raw_Data!I4210)</f>
        <v>UK</v>
      </c>
      <c r="J4212" s="3" t="str">
        <f>TRIM([1]Raw_Data!J4210)</f>
        <v>Amazon</v>
      </c>
      <c r="K4212" s="3">
        <f t="shared" si="260"/>
        <v>2025</v>
      </c>
      <c r="L4212" s="6">
        <f t="shared" si="261"/>
        <v>45658</v>
      </c>
      <c r="M4212" s="3" t="str">
        <f t="shared" si="262"/>
        <v>21% to 25%</v>
      </c>
      <c r="N4212" s="3" t="str">
        <f t="shared" si="263"/>
        <v>OK</v>
      </c>
    </row>
    <row r="4213" spans="1:14" x14ac:dyDescent="0.3">
      <c r="A4213" s="2">
        <f>DATE(VALUE(RIGHT(TRIM([1]Raw_Data!A4211),4)),VALUE(MID(TRIM([1]Raw_Data!A4211),4,2)),VALUE(LEFT(TRIM([1]Raw_Data!A4211),2)))</f>
        <v>45677</v>
      </c>
      <c r="B4213" s="3" t="str">
        <f>TRIM([1]Raw_Data!B4211)</f>
        <v>Vitamin C</v>
      </c>
      <c r="C4213" s="3" t="str">
        <f>TRIM([1]Raw_Data!C4211)</f>
        <v>Vitamin</v>
      </c>
      <c r="D4213" s="3">
        <f>[1]Raw_Data!D4211</f>
        <v>151</v>
      </c>
      <c r="E4213" s="4">
        <f>[1]Raw_Data!E4211</f>
        <v>41.98</v>
      </c>
      <c r="F4213" s="5">
        <f>[1]Raw_Data!F4211</f>
        <v>6338.98</v>
      </c>
      <c r="G4213" s="4">
        <f>[1]Raw_Data!G4211</f>
        <v>0.11</v>
      </c>
      <c r="H4213" s="3">
        <f>[1]Raw_Data!H4211</f>
        <v>0</v>
      </c>
      <c r="I4213" s="3" t="str">
        <f>TRIM([1]Raw_Data!I4211)</f>
        <v>Canada</v>
      </c>
      <c r="J4213" s="3" t="str">
        <f>TRIM([1]Raw_Data!J4211)</f>
        <v>iHerb</v>
      </c>
      <c r="K4213" s="3">
        <f t="shared" si="260"/>
        <v>2025</v>
      </c>
      <c r="L4213" s="6">
        <f t="shared" si="261"/>
        <v>45658</v>
      </c>
      <c r="M4213" s="3" t="str">
        <f t="shared" si="262"/>
        <v>11% to 15%</v>
      </c>
      <c r="N4213" s="3" t="str">
        <f t="shared" si="263"/>
        <v>OK</v>
      </c>
    </row>
    <row r="4214" spans="1:14" x14ac:dyDescent="0.3">
      <c r="A4214" s="2">
        <f>DATE(VALUE(RIGHT(TRIM([1]Raw_Data!A4212),4)),VALUE(MID(TRIM([1]Raw_Data!A4212),4,2)),VALUE(LEFT(TRIM([1]Raw_Data!A4212),2)))</f>
        <v>45677</v>
      </c>
      <c r="B4214" s="3" t="str">
        <f>TRIM([1]Raw_Data!B4212)</f>
        <v>Fish Oil</v>
      </c>
      <c r="C4214" s="3" t="str">
        <f>TRIM([1]Raw_Data!C4212)</f>
        <v>Omega</v>
      </c>
      <c r="D4214" s="3">
        <f>[1]Raw_Data!D4212</f>
        <v>146</v>
      </c>
      <c r="E4214" s="4">
        <f>[1]Raw_Data!E4212</f>
        <v>12.43</v>
      </c>
      <c r="F4214" s="5">
        <f>[1]Raw_Data!F4212</f>
        <v>1814.78</v>
      </c>
      <c r="G4214" s="4">
        <f>[1]Raw_Data!G4212</f>
        <v>0.17</v>
      </c>
      <c r="H4214" s="3">
        <f>[1]Raw_Data!H4212</f>
        <v>3</v>
      </c>
      <c r="I4214" s="3" t="str">
        <f>TRIM([1]Raw_Data!I4212)</f>
        <v>UK</v>
      </c>
      <c r="J4214" s="3" t="str">
        <f>TRIM([1]Raw_Data!J4212)</f>
        <v>iHerb</v>
      </c>
      <c r="K4214" s="3">
        <f t="shared" si="260"/>
        <v>2025</v>
      </c>
      <c r="L4214" s="6">
        <f t="shared" si="261"/>
        <v>45658</v>
      </c>
      <c r="M4214" s="3" t="str">
        <f t="shared" si="262"/>
        <v>16% to 20%</v>
      </c>
      <c r="N4214" s="3" t="str">
        <f t="shared" si="263"/>
        <v>OK</v>
      </c>
    </row>
    <row r="4215" spans="1:14" x14ac:dyDescent="0.3">
      <c r="A4215" s="2">
        <f>DATE(VALUE(RIGHT(TRIM([1]Raw_Data!A4213),4)),VALUE(MID(TRIM([1]Raw_Data!A4213),4,2)),VALUE(LEFT(TRIM([1]Raw_Data!A4213),2)))</f>
        <v>45677</v>
      </c>
      <c r="B4215" s="3" t="str">
        <f>TRIM([1]Raw_Data!B4213)</f>
        <v>Multivitamin</v>
      </c>
      <c r="C4215" s="3" t="str">
        <f>TRIM([1]Raw_Data!C4213)</f>
        <v>Vitamin</v>
      </c>
      <c r="D4215" s="3">
        <f>[1]Raw_Data!D4213</f>
        <v>155</v>
      </c>
      <c r="E4215" s="4">
        <f>[1]Raw_Data!E4213</f>
        <v>45.38</v>
      </c>
      <c r="F4215" s="5">
        <f>[1]Raw_Data!F4213</f>
        <v>7033.9</v>
      </c>
      <c r="G4215" s="4">
        <f>[1]Raw_Data!G4213</f>
        <v>0.11</v>
      </c>
      <c r="H4215" s="3">
        <f>[1]Raw_Data!H4213</f>
        <v>0</v>
      </c>
      <c r="I4215" s="3" t="str">
        <f>TRIM([1]Raw_Data!I4213)</f>
        <v>Canada</v>
      </c>
      <c r="J4215" s="3" t="str">
        <f>TRIM([1]Raw_Data!J4213)</f>
        <v>iHerb</v>
      </c>
      <c r="K4215" s="3">
        <f t="shared" si="260"/>
        <v>2025</v>
      </c>
      <c r="L4215" s="6">
        <f t="shared" si="261"/>
        <v>45658</v>
      </c>
      <c r="M4215" s="3" t="str">
        <f t="shared" si="262"/>
        <v>11% to 15%</v>
      </c>
      <c r="N4215" s="3" t="str">
        <f t="shared" si="263"/>
        <v>OK</v>
      </c>
    </row>
    <row r="4216" spans="1:14" x14ac:dyDescent="0.3">
      <c r="A4216" s="2">
        <f>DATE(VALUE(RIGHT(TRIM([1]Raw_Data!A4214),4)),VALUE(MID(TRIM([1]Raw_Data!A4214),4,2)),VALUE(LEFT(TRIM([1]Raw_Data!A4214),2)))</f>
        <v>45677</v>
      </c>
      <c r="B4216" s="3" t="str">
        <f>TRIM([1]Raw_Data!B4214)</f>
        <v>Pre-Workout</v>
      </c>
      <c r="C4216" s="3" t="str">
        <f>TRIM([1]Raw_Data!C4214)</f>
        <v>Performance</v>
      </c>
      <c r="D4216" s="3">
        <f>[1]Raw_Data!D4214</f>
        <v>183</v>
      </c>
      <c r="E4216" s="4">
        <f>[1]Raw_Data!E4214</f>
        <v>43.27</v>
      </c>
      <c r="F4216" s="5">
        <f>[1]Raw_Data!F4214</f>
        <v>7918.41</v>
      </c>
      <c r="G4216" s="4">
        <f>[1]Raw_Data!G4214</f>
        <v>0.13</v>
      </c>
      <c r="H4216" s="3">
        <f>[1]Raw_Data!H4214</f>
        <v>0</v>
      </c>
      <c r="I4216" s="3" t="str">
        <f>TRIM([1]Raw_Data!I4214)</f>
        <v>Canada</v>
      </c>
      <c r="J4216" s="3" t="str">
        <f>TRIM([1]Raw_Data!J4214)</f>
        <v>Walmart</v>
      </c>
      <c r="K4216" s="3">
        <f t="shared" si="260"/>
        <v>2025</v>
      </c>
      <c r="L4216" s="6">
        <f t="shared" si="261"/>
        <v>45658</v>
      </c>
      <c r="M4216" s="3" t="str">
        <f t="shared" si="262"/>
        <v>11% to 15%</v>
      </c>
      <c r="N4216" s="3" t="str">
        <f t="shared" si="263"/>
        <v>OK</v>
      </c>
    </row>
    <row r="4217" spans="1:14" x14ac:dyDescent="0.3">
      <c r="A4217" s="2">
        <f>DATE(VALUE(RIGHT(TRIM([1]Raw_Data!A4215),4)),VALUE(MID(TRIM([1]Raw_Data!A4215),4,2)),VALUE(LEFT(TRIM([1]Raw_Data!A4215),2)))</f>
        <v>45677</v>
      </c>
      <c r="B4217" s="3" t="str">
        <f>TRIM([1]Raw_Data!B4215)</f>
        <v>BCAA</v>
      </c>
      <c r="C4217" s="3" t="str">
        <f>TRIM([1]Raw_Data!C4215)</f>
        <v>Amino Acid</v>
      </c>
      <c r="D4217" s="3">
        <f>[1]Raw_Data!D4215</f>
        <v>159</v>
      </c>
      <c r="E4217" s="4">
        <f>[1]Raw_Data!E4215</f>
        <v>40.57</v>
      </c>
      <c r="F4217" s="5">
        <f>[1]Raw_Data!F4215</f>
        <v>6450.63</v>
      </c>
      <c r="G4217" s="4">
        <f>[1]Raw_Data!G4215</f>
        <v>0.03</v>
      </c>
      <c r="H4217" s="3">
        <f>[1]Raw_Data!H4215</f>
        <v>2</v>
      </c>
      <c r="I4217" s="3" t="str">
        <f>TRIM([1]Raw_Data!I4215)</f>
        <v>Canada</v>
      </c>
      <c r="J4217" s="3" t="str">
        <f>TRIM([1]Raw_Data!J4215)</f>
        <v>iHerb</v>
      </c>
      <c r="K4217" s="3">
        <f t="shared" si="260"/>
        <v>2025</v>
      </c>
      <c r="L4217" s="6">
        <f t="shared" si="261"/>
        <v>45658</v>
      </c>
      <c r="M4217" s="3" t="str">
        <f t="shared" si="262"/>
        <v>0% to 5%</v>
      </c>
      <c r="N4217" s="3" t="str">
        <f t="shared" si="263"/>
        <v>OK</v>
      </c>
    </row>
    <row r="4218" spans="1:14" x14ac:dyDescent="0.3">
      <c r="A4218" s="2">
        <f>DATE(VALUE(RIGHT(TRIM([1]Raw_Data!A4216),4)),VALUE(MID(TRIM([1]Raw_Data!A4216),4,2)),VALUE(LEFT(TRIM([1]Raw_Data!A4216),2)))</f>
        <v>45677</v>
      </c>
      <c r="B4218" s="3" t="str">
        <f>TRIM([1]Raw_Data!B4216)</f>
        <v>Creatine</v>
      </c>
      <c r="C4218" s="3" t="str">
        <f>TRIM([1]Raw_Data!C4216)</f>
        <v>Performance</v>
      </c>
      <c r="D4218" s="3">
        <f>[1]Raw_Data!D4216</f>
        <v>128</v>
      </c>
      <c r="E4218" s="4">
        <f>[1]Raw_Data!E4216</f>
        <v>37.630000000000003</v>
      </c>
      <c r="F4218" s="5">
        <f>[1]Raw_Data!F4216</f>
        <v>4816.6400000000003</v>
      </c>
      <c r="G4218" s="4">
        <f>[1]Raw_Data!G4216</f>
        <v>0.22</v>
      </c>
      <c r="H4218" s="3">
        <f>[1]Raw_Data!H4216</f>
        <v>2</v>
      </c>
      <c r="I4218" s="3" t="str">
        <f>TRIM([1]Raw_Data!I4216)</f>
        <v>UK</v>
      </c>
      <c r="J4218" s="3" t="str">
        <f>TRIM([1]Raw_Data!J4216)</f>
        <v>iHerb</v>
      </c>
      <c r="K4218" s="3">
        <f t="shared" si="260"/>
        <v>2025</v>
      </c>
      <c r="L4218" s="6">
        <f t="shared" si="261"/>
        <v>45658</v>
      </c>
      <c r="M4218" s="3" t="str">
        <f t="shared" si="262"/>
        <v>21% to 25%</v>
      </c>
      <c r="N4218" s="3" t="str">
        <f t="shared" si="263"/>
        <v>OK</v>
      </c>
    </row>
    <row r="4219" spans="1:14" x14ac:dyDescent="0.3">
      <c r="A4219" s="2">
        <f>DATE(VALUE(RIGHT(TRIM([1]Raw_Data!A4217),4)),VALUE(MID(TRIM([1]Raw_Data!A4217),4,2)),VALUE(LEFT(TRIM([1]Raw_Data!A4217),2)))</f>
        <v>45677</v>
      </c>
      <c r="B4219" s="3" t="str">
        <f>TRIM([1]Raw_Data!B4217)</f>
        <v>Zinc</v>
      </c>
      <c r="C4219" s="3" t="str">
        <f>TRIM([1]Raw_Data!C4217)</f>
        <v>Mineral</v>
      </c>
      <c r="D4219" s="3">
        <f>[1]Raw_Data!D4217</f>
        <v>140</v>
      </c>
      <c r="E4219" s="4">
        <f>[1]Raw_Data!E4217</f>
        <v>38.659999999999997</v>
      </c>
      <c r="F4219" s="5">
        <f>[1]Raw_Data!F4217</f>
        <v>5412.4</v>
      </c>
      <c r="G4219" s="4">
        <f>[1]Raw_Data!G4217</f>
        <v>0.15</v>
      </c>
      <c r="H4219" s="3">
        <f>[1]Raw_Data!H4217</f>
        <v>0</v>
      </c>
      <c r="I4219" s="3" t="str">
        <f>TRIM([1]Raw_Data!I4217)</f>
        <v>Canada</v>
      </c>
      <c r="J4219" s="3" t="str">
        <f>TRIM([1]Raw_Data!J4217)</f>
        <v>Walmart</v>
      </c>
      <c r="K4219" s="3">
        <f t="shared" si="260"/>
        <v>2025</v>
      </c>
      <c r="L4219" s="6">
        <f t="shared" si="261"/>
        <v>45658</v>
      </c>
      <c r="M4219" s="3" t="str">
        <f t="shared" si="262"/>
        <v>11% to 15%</v>
      </c>
      <c r="N4219" s="3" t="str">
        <f t="shared" si="263"/>
        <v>OK</v>
      </c>
    </row>
    <row r="4220" spans="1:14" x14ac:dyDescent="0.3">
      <c r="A4220" s="2">
        <f>DATE(VALUE(RIGHT(TRIM([1]Raw_Data!A4218),4)),VALUE(MID(TRIM([1]Raw_Data!A4218),4,2)),VALUE(LEFT(TRIM([1]Raw_Data!A4218),2)))</f>
        <v>45677</v>
      </c>
      <c r="B4220" s="3" t="str">
        <f>TRIM([1]Raw_Data!B4218)</f>
        <v>Collagen Peptides</v>
      </c>
      <c r="C4220" s="3" t="str">
        <f>TRIM([1]Raw_Data!C4218)</f>
        <v>Protein</v>
      </c>
      <c r="D4220" s="3">
        <f>[1]Raw_Data!D4218</f>
        <v>143</v>
      </c>
      <c r="E4220" s="4">
        <f>[1]Raw_Data!E4218</f>
        <v>34.44</v>
      </c>
      <c r="F4220" s="5">
        <f>[1]Raw_Data!F4218</f>
        <v>4924.92</v>
      </c>
      <c r="G4220" s="4">
        <f>[1]Raw_Data!G4218</f>
        <v>0.04</v>
      </c>
      <c r="H4220" s="3">
        <f>[1]Raw_Data!H4218</f>
        <v>2</v>
      </c>
      <c r="I4220" s="3" t="str">
        <f>TRIM([1]Raw_Data!I4218)</f>
        <v>Canada</v>
      </c>
      <c r="J4220" s="3" t="str">
        <f>TRIM([1]Raw_Data!J4218)</f>
        <v>iHerb</v>
      </c>
      <c r="K4220" s="3">
        <f t="shared" si="260"/>
        <v>2025</v>
      </c>
      <c r="L4220" s="6">
        <f t="shared" si="261"/>
        <v>45658</v>
      </c>
      <c r="M4220" s="3" t="str">
        <f t="shared" si="262"/>
        <v>0% to 5%</v>
      </c>
      <c r="N4220" s="3" t="str">
        <f t="shared" si="263"/>
        <v>OK</v>
      </c>
    </row>
    <row r="4221" spans="1:14" x14ac:dyDescent="0.3">
      <c r="A4221" s="2">
        <f>DATE(VALUE(RIGHT(TRIM([1]Raw_Data!A4219),4)),VALUE(MID(TRIM([1]Raw_Data!A4219),4,2)),VALUE(LEFT(TRIM([1]Raw_Data!A4219),2)))</f>
        <v>45677</v>
      </c>
      <c r="B4221" s="3" t="str">
        <f>TRIM([1]Raw_Data!B4219)</f>
        <v>Magnesium</v>
      </c>
      <c r="C4221" s="3" t="str">
        <f>TRIM([1]Raw_Data!C4219)</f>
        <v>Mineral</v>
      </c>
      <c r="D4221" s="3">
        <f>[1]Raw_Data!D4219</f>
        <v>157</v>
      </c>
      <c r="E4221" s="4">
        <f>[1]Raw_Data!E4219</f>
        <v>11.37</v>
      </c>
      <c r="F4221" s="5">
        <f>[1]Raw_Data!F4219</f>
        <v>1785.09</v>
      </c>
      <c r="G4221" s="4">
        <f>[1]Raw_Data!G4219</f>
        <v>0.05</v>
      </c>
      <c r="H4221" s="3">
        <f>[1]Raw_Data!H4219</f>
        <v>1</v>
      </c>
      <c r="I4221" s="3" t="str">
        <f>TRIM([1]Raw_Data!I4219)</f>
        <v>Canada</v>
      </c>
      <c r="J4221" s="3" t="str">
        <f>TRIM([1]Raw_Data!J4219)</f>
        <v>Amazon</v>
      </c>
      <c r="K4221" s="3">
        <f t="shared" si="260"/>
        <v>2025</v>
      </c>
      <c r="L4221" s="6">
        <f t="shared" si="261"/>
        <v>45658</v>
      </c>
      <c r="M4221" s="3" t="str">
        <f t="shared" si="262"/>
        <v>0% to 5%</v>
      </c>
      <c r="N4221" s="3" t="str">
        <f t="shared" si="263"/>
        <v>OK</v>
      </c>
    </row>
    <row r="4222" spans="1:14" x14ac:dyDescent="0.3">
      <c r="A4222" s="2">
        <f>DATE(VALUE(RIGHT(TRIM([1]Raw_Data!A4220),4)),VALUE(MID(TRIM([1]Raw_Data!A4220),4,2)),VALUE(LEFT(TRIM([1]Raw_Data!A4220),2)))</f>
        <v>45677</v>
      </c>
      <c r="B4222" s="3" t="str">
        <f>TRIM([1]Raw_Data!B4220)</f>
        <v>Ashwagandha</v>
      </c>
      <c r="C4222" s="3" t="str">
        <f>TRIM([1]Raw_Data!C4220)</f>
        <v>Herbal</v>
      </c>
      <c r="D4222" s="3">
        <f>[1]Raw_Data!D4220</f>
        <v>136</v>
      </c>
      <c r="E4222" s="4">
        <f>[1]Raw_Data!E4220</f>
        <v>29.57</v>
      </c>
      <c r="F4222" s="5">
        <f>[1]Raw_Data!F4220</f>
        <v>4021.52</v>
      </c>
      <c r="G4222" s="4">
        <f>[1]Raw_Data!G4220</f>
        <v>0.24</v>
      </c>
      <c r="H4222" s="3">
        <f>[1]Raw_Data!H4220</f>
        <v>2</v>
      </c>
      <c r="I4222" s="3" t="str">
        <f>TRIM([1]Raw_Data!I4220)</f>
        <v>UK</v>
      </c>
      <c r="J4222" s="3" t="str">
        <f>TRIM([1]Raw_Data!J4220)</f>
        <v>iHerb</v>
      </c>
      <c r="K4222" s="3">
        <f t="shared" si="260"/>
        <v>2025</v>
      </c>
      <c r="L4222" s="6">
        <f t="shared" si="261"/>
        <v>45658</v>
      </c>
      <c r="M4222" s="3" t="str">
        <f t="shared" si="262"/>
        <v>21% to 25%</v>
      </c>
      <c r="N4222" s="3" t="str">
        <f t="shared" si="263"/>
        <v>OK</v>
      </c>
    </row>
    <row r="4223" spans="1:14" x14ac:dyDescent="0.3">
      <c r="A4223" s="2">
        <f>DATE(VALUE(RIGHT(TRIM([1]Raw_Data!A4221),4)),VALUE(MID(TRIM([1]Raw_Data!A4221),4,2)),VALUE(LEFT(TRIM([1]Raw_Data!A4221),2)))</f>
        <v>45677</v>
      </c>
      <c r="B4223" s="3" t="str">
        <f>TRIM([1]Raw_Data!B4221)</f>
        <v>Melatonin</v>
      </c>
      <c r="C4223" s="3" t="str">
        <f>TRIM([1]Raw_Data!C4221)</f>
        <v>Sleep Aid</v>
      </c>
      <c r="D4223" s="3">
        <f>[1]Raw_Data!D4221</f>
        <v>155</v>
      </c>
      <c r="E4223" s="4">
        <f>[1]Raw_Data!E4221</f>
        <v>33.42</v>
      </c>
      <c r="F4223" s="5">
        <f>[1]Raw_Data!F4221</f>
        <v>5180.1000000000004</v>
      </c>
      <c r="G4223" s="4">
        <f>[1]Raw_Data!G4221</f>
        <v>0.1</v>
      </c>
      <c r="H4223" s="3">
        <f>[1]Raw_Data!H4221</f>
        <v>1</v>
      </c>
      <c r="I4223" s="3" t="str">
        <f>TRIM([1]Raw_Data!I4221)</f>
        <v>UK</v>
      </c>
      <c r="J4223" s="3" t="str">
        <f>TRIM([1]Raw_Data!J4221)</f>
        <v>iHerb</v>
      </c>
      <c r="K4223" s="3">
        <f t="shared" si="260"/>
        <v>2025</v>
      </c>
      <c r="L4223" s="6">
        <f t="shared" si="261"/>
        <v>45658</v>
      </c>
      <c r="M4223" s="3" t="str">
        <f t="shared" si="262"/>
        <v>6% to 10%</v>
      </c>
      <c r="N4223" s="3" t="str">
        <f t="shared" si="263"/>
        <v>OK</v>
      </c>
    </row>
    <row r="4224" spans="1:14" x14ac:dyDescent="0.3">
      <c r="A4224" s="2">
        <f>DATE(VALUE(RIGHT(TRIM([1]Raw_Data!A4222),4)),VALUE(MID(TRIM([1]Raw_Data!A4222),4,2)),VALUE(LEFT(TRIM([1]Raw_Data!A4222),2)))</f>
        <v>45677</v>
      </c>
      <c r="B4224" s="3" t="str">
        <f>TRIM([1]Raw_Data!B4222)</f>
        <v>Biotin</v>
      </c>
      <c r="C4224" s="3" t="str">
        <f>TRIM([1]Raw_Data!C4222)</f>
        <v>Vitamin</v>
      </c>
      <c r="D4224" s="3">
        <f>[1]Raw_Data!D4222</f>
        <v>146</v>
      </c>
      <c r="E4224" s="4">
        <f>[1]Raw_Data!E4222</f>
        <v>36.4</v>
      </c>
      <c r="F4224" s="5">
        <f>[1]Raw_Data!F4222</f>
        <v>5314.4</v>
      </c>
      <c r="G4224" s="4">
        <f>[1]Raw_Data!G4222</f>
        <v>0.19</v>
      </c>
      <c r="H4224" s="3">
        <f>[1]Raw_Data!H4222</f>
        <v>1</v>
      </c>
      <c r="I4224" s="3" t="str">
        <f>TRIM([1]Raw_Data!I4222)</f>
        <v>USA</v>
      </c>
      <c r="J4224" s="3" t="str">
        <f>TRIM([1]Raw_Data!J4222)</f>
        <v>Walmart</v>
      </c>
      <c r="K4224" s="3">
        <f t="shared" si="260"/>
        <v>2025</v>
      </c>
      <c r="L4224" s="6">
        <f t="shared" si="261"/>
        <v>45658</v>
      </c>
      <c r="M4224" s="3" t="str">
        <f t="shared" si="262"/>
        <v>16% to 20%</v>
      </c>
      <c r="N4224" s="3" t="str">
        <f t="shared" si="263"/>
        <v>OK</v>
      </c>
    </row>
    <row r="4225" spans="1:14" x14ac:dyDescent="0.3">
      <c r="A4225" s="2">
        <f>DATE(VALUE(RIGHT(TRIM([1]Raw_Data!A4223),4)),VALUE(MID(TRIM([1]Raw_Data!A4223),4,2)),VALUE(LEFT(TRIM([1]Raw_Data!A4223),2)))</f>
        <v>45677</v>
      </c>
      <c r="B4225" s="3" t="str">
        <f>TRIM([1]Raw_Data!B4223)</f>
        <v>Green Tea Extract</v>
      </c>
      <c r="C4225" s="3" t="str">
        <f>TRIM([1]Raw_Data!C4223)</f>
        <v>Fat Burner</v>
      </c>
      <c r="D4225" s="3">
        <f>[1]Raw_Data!D4223</f>
        <v>158</v>
      </c>
      <c r="E4225" s="4">
        <f>[1]Raw_Data!E4223</f>
        <v>58.09</v>
      </c>
      <c r="F4225" s="5">
        <f>[1]Raw_Data!F4223</f>
        <v>9178.2199999999993</v>
      </c>
      <c r="G4225" s="4">
        <f>[1]Raw_Data!G4223</f>
        <v>0.1</v>
      </c>
      <c r="H4225" s="3">
        <f>[1]Raw_Data!H4223</f>
        <v>3</v>
      </c>
      <c r="I4225" s="3" t="str">
        <f>TRIM([1]Raw_Data!I4223)</f>
        <v>Canada</v>
      </c>
      <c r="J4225" s="3" t="str">
        <f>TRIM([1]Raw_Data!J4223)</f>
        <v>iHerb</v>
      </c>
      <c r="K4225" s="3">
        <f t="shared" si="260"/>
        <v>2025</v>
      </c>
      <c r="L4225" s="6">
        <f t="shared" si="261"/>
        <v>45658</v>
      </c>
      <c r="M4225" s="3" t="str">
        <f t="shared" si="262"/>
        <v>6% to 10%</v>
      </c>
      <c r="N4225" s="3" t="str">
        <f t="shared" si="263"/>
        <v>OK</v>
      </c>
    </row>
    <row r="4226" spans="1:14" x14ac:dyDescent="0.3">
      <c r="A4226" s="2">
        <f>DATE(VALUE(RIGHT(TRIM([1]Raw_Data!A4224),4)),VALUE(MID(TRIM([1]Raw_Data!A4224),4,2)),VALUE(LEFT(TRIM([1]Raw_Data!A4224),2)))</f>
        <v>45677</v>
      </c>
      <c r="B4226" s="3" t="str">
        <f>TRIM([1]Raw_Data!B4224)</f>
        <v>Iron Supplement</v>
      </c>
      <c r="C4226" s="3" t="str">
        <f>TRIM([1]Raw_Data!C4224)</f>
        <v>Mineral</v>
      </c>
      <c r="D4226" s="3">
        <f>[1]Raw_Data!D4224</f>
        <v>163</v>
      </c>
      <c r="E4226" s="4">
        <f>[1]Raw_Data!E4224</f>
        <v>42.73</v>
      </c>
      <c r="F4226" s="5">
        <f>[1]Raw_Data!F4224</f>
        <v>6964.99</v>
      </c>
      <c r="G4226" s="4">
        <f>[1]Raw_Data!G4224</f>
        <v>0.02</v>
      </c>
      <c r="H4226" s="3">
        <f>[1]Raw_Data!H4224</f>
        <v>4</v>
      </c>
      <c r="I4226" s="3" t="str">
        <f>TRIM([1]Raw_Data!I4224)</f>
        <v>USA</v>
      </c>
      <c r="J4226" s="3" t="str">
        <f>TRIM([1]Raw_Data!J4224)</f>
        <v>iHerb</v>
      </c>
      <c r="K4226" s="3">
        <f t="shared" si="260"/>
        <v>2025</v>
      </c>
      <c r="L4226" s="6">
        <f t="shared" si="261"/>
        <v>45658</v>
      </c>
      <c r="M4226" s="3" t="str">
        <f t="shared" si="262"/>
        <v>0% to 5%</v>
      </c>
      <c r="N4226" s="3" t="str">
        <f t="shared" si="263"/>
        <v>OK</v>
      </c>
    </row>
    <row r="4227" spans="1:14" x14ac:dyDescent="0.3">
      <c r="A4227" s="2">
        <f>DATE(VALUE(RIGHT(TRIM([1]Raw_Data!A4225),4)),VALUE(MID(TRIM([1]Raw_Data!A4225),4,2)),VALUE(LEFT(TRIM([1]Raw_Data!A4225),2)))</f>
        <v>45677</v>
      </c>
      <c r="B4227" s="3" t="str">
        <f>TRIM([1]Raw_Data!B4225)</f>
        <v>Electrolyte Powder</v>
      </c>
      <c r="C4227" s="3" t="str">
        <f>TRIM([1]Raw_Data!C4225)</f>
        <v>Hydration</v>
      </c>
      <c r="D4227" s="3">
        <f>[1]Raw_Data!D4225</f>
        <v>132</v>
      </c>
      <c r="E4227" s="4">
        <f>[1]Raw_Data!E4225</f>
        <v>26.5</v>
      </c>
      <c r="F4227" s="5">
        <f>[1]Raw_Data!F4225</f>
        <v>3498</v>
      </c>
      <c r="G4227" s="4">
        <f>[1]Raw_Data!G4225</f>
        <v>0.11</v>
      </c>
      <c r="H4227" s="3">
        <f>[1]Raw_Data!H4225</f>
        <v>1</v>
      </c>
      <c r="I4227" s="3" t="str">
        <f>TRIM([1]Raw_Data!I4225)</f>
        <v>USA</v>
      </c>
      <c r="J4227" s="3" t="str">
        <f>TRIM([1]Raw_Data!J4225)</f>
        <v>Amazon</v>
      </c>
      <c r="K4227" s="3">
        <f t="shared" si="260"/>
        <v>2025</v>
      </c>
      <c r="L4227" s="6">
        <f t="shared" si="261"/>
        <v>45658</v>
      </c>
      <c r="M4227" s="3" t="str">
        <f t="shared" si="262"/>
        <v>11% to 15%</v>
      </c>
      <c r="N4227" s="3" t="str">
        <f t="shared" si="263"/>
        <v>OK</v>
      </c>
    </row>
    <row r="4228" spans="1:14" x14ac:dyDescent="0.3">
      <c r="A4228" s="2">
        <f>DATE(VALUE(RIGHT(TRIM([1]Raw_Data!A4226),4)),VALUE(MID(TRIM([1]Raw_Data!A4226),4,2)),VALUE(LEFT(TRIM([1]Raw_Data!A4226),2)))</f>
        <v>45684</v>
      </c>
      <c r="B4228" s="3" t="str">
        <f>TRIM([1]Raw_Data!B4226)</f>
        <v>Whey Protein</v>
      </c>
      <c r="C4228" s="3" t="str">
        <f>TRIM([1]Raw_Data!C4226)</f>
        <v>Protein</v>
      </c>
      <c r="D4228" s="3">
        <f>[1]Raw_Data!D4226</f>
        <v>170</v>
      </c>
      <c r="E4228" s="4">
        <f>[1]Raw_Data!E4226</f>
        <v>59.39</v>
      </c>
      <c r="F4228" s="5">
        <f>[1]Raw_Data!F4226</f>
        <v>10096.299999999999</v>
      </c>
      <c r="G4228" s="4">
        <f>[1]Raw_Data!G4226</f>
        <v>0.15</v>
      </c>
      <c r="H4228" s="3">
        <f>[1]Raw_Data!H4226</f>
        <v>0</v>
      </c>
      <c r="I4228" s="3" t="str">
        <f>TRIM([1]Raw_Data!I4226)</f>
        <v>Canada</v>
      </c>
      <c r="J4228" s="3" t="str">
        <f>TRIM([1]Raw_Data!J4226)</f>
        <v>Amazon</v>
      </c>
      <c r="K4228" s="3">
        <f t="shared" ref="K4228:K4291" si="264">YEAR(A4228)</f>
        <v>2025</v>
      </c>
      <c r="L4228" s="6">
        <f t="shared" ref="L4228:L4291" si="265">DATE(YEAR(A4228),MONTH(A4228),1)</f>
        <v>45658</v>
      </c>
      <c r="M4228" s="3" t="str">
        <f t="shared" ref="M4228:M4291" si="266">IF(ROUND(G4228*100,0)&lt;=5,"0% to 5%",IF(ROUND(G4228*100,0)&lt;=10,"6% to 10%",IF(ROUND(G4228*100,0)&lt;=15,"11% to 15%",IF(ROUND(G4228*100,0)&lt;=20,"16% to 20%","21% to 25%"))))</f>
        <v>11% to 15%</v>
      </c>
      <c r="N4228" s="3" t="str">
        <f t="shared" ref="N4228:N4291" si="267">IF(ROUND(D4228*E4228,2)=ROUND(F4228,2),"OK","Check")</f>
        <v>OK</v>
      </c>
    </row>
    <row r="4229" spans="1:14" x14ac:dyDescent="0.3">
      <c r="A4229" s="2">
        <f>DATE(VALUE(RIGHT(TRIM([1]Raw_Data!A4227),4)),VALUE(MID(TRIM([1]Raw_Data!A4227),4,2)),VALUE(LEFT(TRIM([1]Raw_Data!A4227),2)))</f>
        <v>45684</v>
      </c>
      <c r="B4229" s="3" t="str">
        <f>TRIM([1]Raw_Data!B4227)</f>
        <v>Vitamin C</v>
      </c>
      <c r="C4229" s="3" t="str">
        <f>TRIM([1]Raw_Data!C4227)</f>
        <v>Vitamin</v>
      </c>
      <c r="D4229" s="3">
        <f>[1]Raw_Data!D4227</f>
        <v>138</v>
      </c>
      <c r="E4229" s="4">
        <f>[1]Raw_Data!E4227</f>
        <v>12.52</v>
      </c>
      <c r="F4229" s="5">
        <f>[1]Raw_Data!F4227</f>
        <v>1727.76</v>
      </c>
      <c r="G4229" s="4">
        <f>[1]Raw_Data!G4227</f>
        <v>0.12</v>
      </c>
      <c r="H4229" s="3">
        <f>[1]Raw_Data!H4227</f>
        <v>0</v>
      </c>
      <c r="I4229" s="3" t="str">
        <f>TRIM([1]Raw_Data!I4227)</f>
        <v>Canada</v>
      </c>
      <c r="J4229" s="3" t="str">
        <f>TRIM([1]Raw_Data!J4227)</f>
        <v>Walmart</v>
      </c>
      <c r="K4229" s="3">
        <f t="shared" si="264"/>
        <v>2025</v>
      </c>
      <c r="L4229" s="6">
        <f t="shared" si="265"/>
        <v>45658</v>
      </c>
      <c r="M4229" s="3" t="str">
        <f t="shared" si="266"/>
        <v>11% to 15%</v>
      </c>
      <c r="N4229" s="3" t="str">
        <f t="shared" si="267"/>
        <v>OK</v>
      </c>
    </row>
    <row r="4230" spans="1:14" x14ac:dyDescent="0.3">
      <c r="A4230" s="2">
        <f>DATE(VALUE(RIGHT(TRIM([1]Raw_Data!A4228),4)),VALUE(MID(TRIM([1]Raw_Data!A4228),4,2)),VALUE(LEFT(TRIM([1]Raw_Data!A4228),2)))</f>
        <v>45684</v>
      </c>
      <c r="B4230" s="3" t="str">
        <f>TRIM([1]Raw_Data!B4228)</f>
        <v>Fish Oil</v>
      </c>
      <c r="C4230" s="3" t="str">
        <f>TRIM([1]Raw_Data!C4228)</f>
        <v>Omega</v>
      </c>
      <c r="D4230" s="3">
        <f>[1]Raw_Data!D4228</f>
        <v>148</v>
      </c>
      <c r="E4230" s="4">
        <f>[1]Raw_Data!E4228</f>
        <v>32.94</v>
      </c>
      <c r="F4230" s="5">
        <f>[1]Raw_Data!F4228</f>
        <v>4875.12</v>
      </c>
      <c r="G4230" s="4">
        <f>[1]Raw_Data!G4228</f>
        <v>0.04</v>
      </c>
      <c r="H4230" s="3">
        <f>[1]Raw_Data!H4228</f>
        <v>1</v>
      </c>
      <c r="I4230" s="3" t="str">
        <f>TRIM([1]Raw_Data!I4228)</f>
        <v>Canada</v>
      </c>
      <c r="J4230" s="3" t="str">
        <f>TRIM([1]Raw_Data!J4228)</f>
        <v>Walmart</v>
      </c>
      <c r="K4230" s="3">
        <f t="shared" si="264"/>
        <v>2025</v>
      </c>
      <c r="L4230" s="6">
        <f t="shared" si="265"/>
        <v>45658</v>
      </c>
      <c r="M4230" s="3" t="str">
        <f t="shared" si="266"/>
        <v>0% to 5%</v>
      </c>
      <c r="N4230" s="3" t="str">
        <f t="shared" si="267"/>
        <v>OK</v>
      </c>
    </row>
    <row r="4231" spans="1:14" x14ac:dyDescent="0.3">
      <c r="A4231" s="2">
        <f>DATE(VALUE(RIGHT(TRIM([1]Raw_Data!A4229),4)),VALUE(MID(TRIM([1]Raw_Data!A4229),4,2)),VALUE(LEFT(TRIM([1]Raw_Data!A4229),2)))</f>
        <v>45684</v>
      </c>
      <c r="B4231" s="3" t="str">
        <f>TRIM([1]Raw_Data!B4229)</f>
        <v>Multivitamin</v>
      </c>
      <c r="C4231" s="3" t="str">
        <f>TRIM([1]Raw_Data!C4229)</f>
        <v>Vitamin</v>
      </c>
      <c r="D4231" s="3">
        <f>[1]Raw_Data!D4229</f>
        <v>145</v>
      </c>
      <c r="E4231" s="4">
        <f>[1]Raw_Data!E4229</f>
        <v>39.22</v>
      </c>
      <c r="F4231" s="5">
        <f>[1]Raw_Data!F4229</f>
        <v>5686.9</v>
      </c>
      <c r="G4231" s="4">
        <f>[1]Raw_Data!G4229</f>
        <v>0.15</v>
      </c>
      <c r="H4231" s="3">
        <f>[1]Raw_Data!H4229</f>
        <v>0</v>
      </c>
      <c r="I4231" s="3" t="str">
        <f>TRIM([1]Raw_Data!I4229)</f>
        <v>USA</v>
      </c>
      <c r="J4231" s="3" t="str">
        <f>TRIM([1]Raw_Data!J4229)</f>
        <v>Walmart</v>
      </c>
      <c r="K4231" s="3">
        <f t="shared" si="264"/>
        <v>2025</v>
      </c>
      <c r="L4231" s="6">
        <f t="shared" si="265"/>
        <v>45658</v>
      </c>
      <c r="M4231" s="3" t="str">
        <f t="shared" si="266"/>
        <v>11% to 15%</v>
      </c>
      <c r="N4231" s="3" t="str">
        <f t="shared" si="267"/>
        <v>OK</v>
      </c>
    </row>
    <row r="4232" spans="1:14" x14ac:dyDescent="0.3">
      <c r="A4232" s="2">
        <f>DATE(VALUE(RIGHT(TRIM([1]Raw_Data!A4230),4)),VALUE(MID(TRIM([1]Raw_Data!A4230),4,2)),VALUE(LEFT(TRIM([1]Raw_Data!A4230),2)))</f>
        <v>45684</v>
      </c>
      <c r="B4232" s="3" t="str">
        <f>TRIM([1]Raw_Data!B4230)</f>
        <v>Pre-Workout</v>
      </c>
      <c r="C4232" s="3" t="str">
        <f>TRIM([1]Raw_Data!C4230)</f>
        <v>Performance</v>
      </c>
      <c r="D4232" s="3">
        <f>[1]Raw_Data!D4230</f>
        <v>146</v>
      </c>
      <c r="E4232" s="4">
        <f>[1]Raw_Data!E4230</f>
        <v>26.69</v>
      </c>
      <c r="F4232" s="5">
        <f>[1]Raw_Data!F4230</f>
        <v>3896.74</v>
      </c>
      <c r="G4232" s="4">
        <f>[1]Raw_Data!G4230</f>
        <v>0.14000000000000001</v>
      </c>
      <c r="H4232" s="3">
        <f>[1]Raw_Data!H4230</f>
        <v>1</v>
      </c>
      <c r="I4232" s="3" t="str">
        <f>TRIM([1]Raw_Data!I4230)</f>
        <v>Canada</v>
      </c>
      <c r="J4232" s="3" t="str">
        <f>TRIM([1]Raw_Data!J4230)</f>
        <v>Amazon</v>
      </c>
      <c r="K4232" s="3">
        <f t="shared" si="264"/>
        <v>2025</v>
      </c>
      <c r="L4232" s="6">
        <f t="shared" si="265"/>
        <v>45658</v>
      </c>
      <c r="M4232" s="3" t="str">
        <f t="shared" si="266"/>
        <v>11% to 15%</v>
      </c>
      <c r="N4232" s="3" t="str">
        <f t="shared" si="267"/>
        <v>OK</v>
      </c>
    </row>
    <row r="4233" spans="1:14" x14ac:dyDescent="0.3">
      <c r="A4233" s="2">
        <f>DATE(VALUE(RIGHT(TRIM([1]Raw_Data!A4231),4)),VALUE(MID(TRIM([1]Raw_Data!A4231),4,2)),VALUE(LEFT(TRIM([1]Raw_Data!A4231),2)))</f>
        <v>45684</v>
      </c>
      <c r="B4233" s="3" t="str">
        <f>TRIM([1]Raw_Data!B4231)</f>
        <v>BCAA</v>
      </c>
      <c r="C4233" s="3" t="str">
        <f>TRIM([1]Raw_Data!C4231)</f>
        <v>Amino Acid</v>
      </c>
      <c r="D4233" s="3">
        <f>[1]Raw_Data!D4231</f>
        <v>147</v>
      </c>
      <c r="E4233" s="4">
        <f>[1]Raw_Data!E4231</f>
        <v>18.11</v>
      </c>
      <c r="F4233" s="5">
        <f>[1]Raw_Data!F4231</f>
        <v>2662.17</v>
      </c>
      <c r="G4233" s="4">
        <f>[1]Raw_Data!G4231</f>
        <v>0.15</v>
      </c>
      <c r="H4233" s="3">
        <f>[1]Raw_Data!H4231</f>
        <v>1</v>
      </c>
      <c r="I4233" s="3" t="str">
        <f>TRIM([1]Raw_Data!I4231)</f>
        <v>USA</v>
      </c>
      <c r="J4233" s="3" t="str">
        <f>TRIM([1]Raw_Data!J4231)</f>
        <v>Amazon</v>
      </c>
      <c r="K4233" s="3">
        <f t="shared" si="264"/>
        <v>2025</v>
      </c>
      <c r="L4233" s="6">
        <f t="shared" si="265"/>
        <v>45658</v>
      </c>
      <c r="M4233" s="3" t="str">
        <f t="shared" si="266"/>
        <v>11% to 15%</v>
      </c>
      <c r="N4233" s="3" t="str">
        <f t="shared" si="267"/>
        <v>OK</v>
      </c>
    </row>
    <row r="4234" spans="1:14" x14ac:dyDescent="0.3">
      <c r="A4234" s="2">
        <f>DATE(VALUE(RIGHT(TRIM([1]Raw_Data!A4232),4)),VALUE(MID(TRIM([1]Raw_Data!A4232),4,2)),VALUE(LEFT(TRIM([1]Raw_Data!A4232),2)))</f>
        <v>45684</v>
      </c>
      <c r="B4234" s="3" t="str">
        <f>TRIM([1]Raw_Data!B4232)</f>
        <v>Creatine</v>
      </c>
      <c r="C4234" s="3" t="str">
        <f>TRIM([1]Raw_Data!C4232)</f>
        <v>Performance</v>
      </c>
      <c r="D4234" s="3">
        <f>[1]Raw_Data!D4232</f>
        <v>143</v>
      </c>
      <c r="E4234" s="4">
        <f>[1]Raw_Data!E4232</f>
        <v>37.56</v>
      </c>
      <c r="F4234" s="5">
        <f>[1]Raw_Data!F4232</f>
        <v>5371.08</v>
      </c>
      <c r="G4234" s="4">
        <f>[1]Raw_Data!G4232</f>
        <v>0.12</v>
      </c>
      <c r="H4234" s="3">
        <f>[1]Raw_Data!H4232</f>
        <v>2</v>
      </c>
      <c r="I4234" s="3" t="str">
        <f>TRIM([1]Raw_Data!I4232)</f>
        <v>Canada</v>
      </c>
      <c r="J4234" s="3" t="str">
        <f>TRIM([1]Raw_Data!J4232)</f>
        <v>Walmart</v>
      </c>
      <c r="K4234" s="3">
        <f t="shared" si="264"/>
        <v>2025</v>
      </c>
      <c r="L4234" s="6">
        <f t="shared" si="265"/>
        <v>45658</v>
      </c>
      <c r="M4234" s="3" t="str">
        <f t="shared" si="266"/>
        <v>11% to 15%</v>
      </c>
      <c r="N4234" s="3" t="str">
        <f t="shared" si="267"/>
        <v>OK</v>
      </c>
    </row>
    <row r="4235" spans="1:14" x14ac:dyDescent="0.3">
      <c r="A4235" s="2">
        <f>DATE(VALUE(RIGHT(TRIM([1]Raw_Data!A4233),4)),VALUE(MID(TRIM([1]Raw_Data!A4233),4,2)),VALUE(LEFT(TRIM([1]Raw_Data!A4233),2)))</f>
        <v>45684</v>
      </c>
      <c r="B4235" s="3" t="str">
        <f>TRIM([1]Raw_Data!B4233)</f>
        <v>Zinc</v>
      </c>
      <c r="C4235" s="3" t="str">
        <f>TRIM([1]Raw_Data!C4233)</f>
        <v>Mineral</v>
      </c>
      <c r="D4235" s="3">
        <f>[1]Raw_Data!D4233</f>
        <v>155</v>
      </c>
      <c r="E4235" s="4">
        <f>[1]Raw_Data!E4233</f>
        <v>10.050000000000001</v>
      </c>
      <c r="F4235" s="5">
        <f>[1]Raw_Data!F4233</f>
        <v>1557.75</v>
      </c>
      <c r="G4235" s="4">
        <f>[1]Raw_Data!G4233</f>
        <v>0.13</v>
      </c>
      <c r="H4235" s="3">
        <f>[1]Raw_Data!H4233</f>
        <v>1</v>
      </c>
      <c r="I4235" s="3" t="str">
        <f>TRIM([1]Raw_Data!I4233)</f>
        <v>UK</v>
      </c>
      <c r="J4235" s="3" t="str">
        <f>TRIM([1]Raw_Data!J4233)</f>
        <v>iHerb</v>
      </c>
      <c r="K4235" s="3">
        <f t="shared" si="264"/>
        <v>2025</v>
      </c>
      <c r="L4235" s="6">
        <f t="shared" si="265"/>
        <v>45658</v>
      </c>
      <c r="M4235" s="3" t="str">
        <f t="shared" si="266"/>
        <v>11% to 15%</v>
      </c>
      <c r="N4235" s="3" t="str">
        <f t="shared" si="267"/>
        <v>OK</v>
      </c>
    </row>
    <row r="4236" spans="1:14" x14ac:dyDescent="0.3">
      <c r="A4236" s="2">
        <f>DATE(VALUE(RIGHT(TRIM([1]Raw_Data!A4234),4)),VALUE(MID(TRIM([1]Raw_Data!A4234),4,2)),VALUE(LEFT(TRIM([1]Raw_Data!A4234),2)))</f>
        <v>45684</v>
      </c>
      <c r="B4236" s="3" t="str">
        <f>TRIM([1]Raw_Data!B4234)</f>
        <v>Collagen Peptides</v>
      </c>
      <c r="C4236" s="3" t="str">
        <f>TRIM([1]Raw_Data!C4234)</f>
        <v>Protein</v>
      </c>
      <c r="D4236" s="3">
        <f>[1]Raw_Data!D4234</f>
        <v>131</v>
      </c>
      <c r="E4236" s="4">
        <f>[1]Raw_Data!E4234</f>
        <v>47.34</v>
      </c>
      <c r="F4236" s="5">
        <f>[1]Raw_Data!F4234</f>
        <v>6201.54</v>
      </c>
      <c r="G4236" s="4">
        <f>[1]Raw_Data!G4234</f>
        <v>0.1</v>
      </c>
      <c r="H4236" s="3">
        <f>[1]Raw_Data!H4234</f>
        <v>2</v>
      </c>
      <c r="I4236" s="3" t="str">
        <f>TRIM([1]Raw_Data!I4234)</f>
        <v>UK</v>
      </c>
      <c r="J4236" s="3" t="str">
        <f>TRIM([1]Raw_Data!J4234)</f>
        <v>iHerb</v>
      </c>
      <c r="K4236" s="3">
        <f t="shared" si="264"/>
        <v>2025</v>
      </c>
      <c r="L4236" s="6">
        <f t="shared" si="265"/>
        <v>45658</v>
      </c>
      <c r="M4236" s="3" t="str">
        <f t="shared" si="266"/>
        <v>6% to 10%</v>
      </c>
      <c r="N4236" s="3" t="str">
        <f t="shared" si="267"/>
        <v>OK</v>
      </c>
    </row>
    <row r="4237" spans="1:14" x14ac:dyDescent="0.3">
      <c r="A4237" s="2">
        <f>DATE(VALUE(RIGHT(TRIM([1]Raw_Data!A4235),4)),VALUE(MID(TRIM([1]Raw_Data!A4235),4,2)),VALUE(LEFT(TRIM([1]Raw_Data!A4235),2)))</f>
        <v>45684</v>
      </c>
      <c r="B4237" s="3" t="str">
        <f>TRIM([1]Raw_Data!B4235)</f>
        <v>Magnesium</v>
      </c>
      <c r="C4237" s="3" t="str">
        <f>TRIM([1]Raw_Data!C4235)</f>
        <v>Mineral</v>
      </c>
      <c r="D4237" s="3">
        <f>[1]Raw_Data!D4235</f>
        <v>150</v>
      </c>
      <c r="E4237" s="4">
        <f>[1]Raw_Data!E4235</f>
        <v>24.51</v>
      </c>
      <c r="F4237" s="5">
        <f>[1]Raw_Data!F4235</f>
        <v>3676.5</v>
      </c>
      <c r="G4237" s="4">
        <f>[1]Raw_Data!G4235</f>
        <v>0.1</v>
      </c>
      <c r="H4237" s="3">
        <f>[1]Raw_Data!H4235</f>
        <v>1</v>
      </c>
      <c r="I4237" s="3" t="str">
        <f>TRIM([1]Raw_Data!I4235)</f>
        <v>UK</v>
      </c>
      <c r="J4237" s="3" t="str">
        <f>TRIM([1]Raw_Data!J4235)</f>
        <v>Amazon</v>
      </c>
      <c r="K4237" s="3">
        <f t="shared" si="264"/>
        <v>2025</v>
      </c>
      <c r="L4237" s="6">
        <f t="shared" si="265"/>
        <v>45658</v>
      </c>
      <c r="M4237" s="3" t="str">
        <f t="shared" si="266"/>
        <v>6% to 10%</v>
      </c>
      <c r="N4237" s="3" t="str">
        <f t="shared" si="267"/>
        <v>OK</v>
      </c>
    </row>
    <row r="4238" spans="1:14" x14ac:dyDescent="0.3">
      <c r="A4238" s="2">
        <f>DATE(VALUE(RIGHT(TRIM([1]Raw_Data!A4236),4)),VALUE(MID(TRIM([1]Raw_Data!A4236),4,2)),VALUE(LEFT(TRIM([1]Raw_Data!A4236),2)))</f>
        <v>45684</v>
      </c>
      <c r="B4238" s="3" t="str">
        <f>TRIM([1]Raw_Data!B4236)</f>
        <v>Ashwagandha</v>
      </c>
      <c r="C4238" s="3" t="str">
        <f>TRIM([1]Raw_Data!C4236)</f>
        <v>Herbal</v>
      </c>
      <c r="D4238" s="3">
        <f>[1]Raw_Data!D4236</f>
        <v>155</v>
      </c>
      <c r="E4238" s="4">
        <f>[1]Raw_Data!E4236</f>
        <v>14.63</v>
      </c>
      <c r="F4238" s="5">
        <f>[1]Raw_Data!F4236</f>
        <v>2267.65</v>
      </c>
      <c r="G4238" s="4">
        <f>[1]Raw_Data!G4236</f>
        <v>0.17</v>
      </c>
      <c r="H4238" s="3">
        <f>[1]Raw_Data!H4236</f>
        <v>2</v>
      </c>
      <c r="I4238" s="3" t="str">
        <f>TRIM([1]Raw_Data!I4236)</f>
        <v>USA</v>
      </c>
      <c r="J4238" s="3" t="str">
        <f>TRIM([1]Raw_Data!J4236)</f>
        <v>Walmart</v>
      </c>
      <c r="K4238" s="3">
        <f t="shared" si="264"/>
        <v>2025</v>
      </c>
      <c r="L4238" s="6">
        <f t="shared" si="265"/>
        <v>45658</v>
      </c>
      <c r="M4238" s="3" t="str">
        <f t="shared" si="266"/>
        <v>16% to 20%</v>
      </c>
      <c r="N4238" s="3" t="str">
        <f t="shared" si="267"/>
        <v>OK</v>
      </c>
    </row>
    <row r="4239" spans="1:14" x14ac:dyDescent="0.3">
      <c r="A4239" s="2">
        <f>DATE(VALUE(RIGHT(TRIM([1]Raw_Data!A4237),4)),VALUE(MID(TRIM([1]Raw_Data!A4237),4,2)),VALUE(LEFT(TRIM([1]Raw_Data!A4237),2)))</f>
        <v>45684</v>
      </c>
      <c r="B4239" s="3" t="str">
        <f>TRIM([1]Raw_Data!B4237)</f>
        <v>Melatonin</v>
      </c>
      <c r="C4239" s="3" t="str">
        <f>TRIM([1]Raw_Data!C4237)</f>
        <v>Sleep Aid</v>
      </c>
      <c r="D4239" s="3">
        <f>[1]Raw_Data!D4237</f>
        <v>147</v>
      </c>
      <c r="E4239" s="4">
        <f>[1]Raw_Data!E4237</f>
        <v>30.55</v>
      </c>
      <c r="F4239" s="5">
        <f>[1]Raw_Data!F4237</f>
        <v>4490.8500000000004</v>
      </c>
      <c r="G4239" s="4">
        <f>[1]Raw_Data!G4237</f>
        <v>0.2</v>
      </c>
      <c r="H4239" s="3">
        <f>[1]Raw_Data!H4237</f>
        <v>3</v>
      </c>
      <c r="I4239" s="3" t="str">
        <f>TRIM([1]Raw_Data!I4237)</f>
        <v>USA</v>
      </c>
      <c r="J4239" s="3" t="str">
        <f>TRIM([1]Raw_Data!J4237)</f>
        <v>Walmart</v>
      </c>
      <c r="K4239" s="3">
        <f t="shared" si="264"/>
        <v>2025</v>
      </c>
      <c r="L4239" s="6">
        <f t="shared" si="265"/>
        <v>45658</v>
      </c>
      <c r="M4239" s="3" t="str">
        <f t="shared" si="266"/>
        <v>16% to 20%</v>
      </c>
      <c r="N4239" s="3" t="str">
        <f t="shared" si="267"/>
        <v>OK</v>
      </c>
    </row>
    <row r="4240" spans="1:14" x14ac:dyDescent="0.3">
      <c r="A4240" s="2">
        <f>DATE(VALUE(RIGHT(TRIM([1]Raw_Data!A4238),4)),VALUE(MID(TRIM([1]Raw_Data!A4238),4,2)),VALUE(LEFT(TRIM([1]Raw_Data!A4238),2)))</f>
        <v>45684</v>
      </c>
      <c r="B4240" s="3" t="str">
        <f>TRIM([1]Raw_Data!B4238)</f>
        <v>Biotin</v>
      </c>
      <c r="C4240" s="3" t="str">
        <f>TRIM([1]Raw_Data!C4238)</f>
        <v>Vitamin</v>
      </c>
      <c r="D4240" s="3">
        <f>[1]Raw_Data!D4238</f>
        <v>157</v>
      </c>
      <c r="E4240" s="4">
        <f>[1]Raw_Data!E4238</f>
        <v>43.52</v>
      </c>
      <c r="F4240" s="5">
        <f>[1]Raw_Data!F4238</f>
        <v>6832.64</v>
      </c>
      <c r="G4240" s="4">
        <f>[1]Raw_Data!G4238</f>
        <v>0.06</v>
      </c>
      <c r="H4240" s="3">
        <f>[1]Raw_Data!H4238</f>
        <v>1</v>
      </c>
      <c r="I4240" s="3" t="str">
        <f>TRIM([1]Raw_Data!I4238)</f>
        <v>Canada</v>
      </c>
      <c r="J4240" s="3" t="str">
        <f>TRIM([1]Raw_Data!J4238)</f>
        <v>iHerb</v>
      </c>
      <c r="K4240" s="3">
        <f t="shared" si="264"/>
        <v>2025</v>
      </c>
      <c r="L4240" s="6">
        <f t="shared" si="265"/>
        <v>45658</v>
      </c>
      <c r="M4240" s="3" t="str">
        <f t="shared" si="266"/>
        <v>6% to 10%</v>
      </c>
      <c r="N4240" s="3" t="str">
        <f t="shared" si="267"/>
        <v>OK</v>
      </c>
    </row>
    <row r="4241" spans="1:14" x14ac:dyDescent="0.3">
      <c r="A4241" s="2">
        <f>DATE(VALUE(RIGHT(TRIM([1]Raw_Data!A4239),4)),VALUE(MID(TRIM([1]Raw_Data!A4239),4,2)),VALUE(LEFT(TRIM([1]Raw_Data!A4239),2)))</f>
        <v>45684</v>
      </c>
      <c r="B4241" s="3" t="str">
        <f>TRIM([1]Raw_Data!B4239)</f>
        <v>Green Tea Extract</v>
      </c>
      <c r="C4241" s="3" t="str">
        <f>TRIM([1]Raw_Data!C4239)</f>
        <v>Fat Burner</v>
      </c>
      <c r="D4241" s="3">
        <f>[1]Raw_Data!D4239</f>
        <v>138</v>
      </c>
      <c r="E4241" s="4">
        <f>[1]Raw_Data!E4239</f>
        <v>42.43</v>
      </c>
      <c r="F4241" s="5">
        <f>[1]Raw_Data!F4239</f>
        <v>5855.34</v>
      </c>
      <c r="G4241" s="4">
        <f>[1]Raw_Data!G4239</f>
        <v>0.15</v>
      </c>
      <c r="H4241" s="3">
        <f>[1]Raw_Data!H4239</f>
        <v>2</v>
      </c>
      <c r="I4241" s="3" t="str">
        <f>TRIM([1]Raw_Data!I4239)</f>
        <v>UK</v>
      </c>
      <c r="J4241" s="3" t="str">
        <f>TRIM([1]Raw_Data!J4239)</f>
        <v>iHerb</v>
      </c>
      <c r="K4241" s="3">
        <f t="shared" si="264"/>
        <v>2025</v>
      </c>
      <c r="L4241" s="6">
        <f t="shared" si="265"/>
        <v>45658</v>
      </c>
      <c r="M4241" s="3" t="str">
        <f t="shared" si="266"/>
        <v>11% to 15%</v>
      </c>
      <c r="N4241" s="3" t="str">
        <f t="shared" si="267"/>
        <v>OK</v>
      </c>
    </row>
    <row r="4242" spans="1:14" x14ac:dyDescent="0.3">
      <c r="A4242" s="2">
        <f>DATE(VALUE(RIGHT(TRIM([1]Raw_Data!A4240),4)),VALUE(MID(TRIM([1]Raw_Data!A4240),4,2)),VALUE(LEFT(TRIM([1]Raw_Data!A4240),2)))</f>
        <v>45684</v>
      </c>
      <c r="B4242" s="3" t="str">
        <f>TRIM([1]Raw_Data!B4240)</f>
        <v>Iron Supplement</v>
      </c>
      <c r="C4242" s="3" t="str">
        <f>TRIM([1]Raw_Data!C4240)</f>
        <v>Mineral</v>
      </c>
      <c r="D4242" s="3">
        <f>[1]Raw_Data!D4240</f>
        <v>140</v>
      </c>
      <c r="E4242" s="4">
        <f>[1]Raw_Data!E4240</f>
        <v>41.66</v>
      </c>
      <c r="F4242" s="5">
        <f>[1]Raw_Data!F4240</f>
        <v>5832.4</v>
      </c>
      <c r="G4242" s="4">
        <f>[1]Raw_Data!G4240</f>
        <v>0.16</v>
      </c>
      <c r="H4242" s="3">
        <f>[1]Raw_Data!H4240</f>
        <v>2</v>
      </c>
      <c r="I4242" s="3" t="str">
        <f>TRIM([1]Raw_Data!I4240)</f>
        <v>USA</v>
      </c>
      <c r="J4242" s="3" t="str">
        <f>TRIM([1]Raw_Data!J4240)</f>
        <v>iHerb</v>
      </c>
      <c r="K4242" s="3">
        <f t="shared" si="264"/>
        <v>2025</v>
      </c>
      <c r="L4242" s="6">
        <f t="shared" si="265"/>
        <v>45658</v>
      </c>
      <c r="M4242" s="3" t="str">
        <f t="shared" si="266"/>
        <v>16% to 20%</v>
      </c>
      <c r="N4242" s="3" t="str">
        <f t="shared" si="267"/>
        <v>OK</v>
      </c>
    </row>
    <row r="4243" spans="1:14" x14ac:dyDescent="0.3">
      <c r="A4243" s="2">
        <f>DATE(VALUE(RIGHT(TRIM([1]Raw_Data!A4241),4)),VALUE(MID(TRIM([1]Raw_Data!A4241),4,2)),VALUE(LEFT(TRIM([1]Raw_Data!A4241),2)))</f>
        <v>45684</v>
      </c>
      <c r="B4243" s="3" t="str">
        <f>TRIM([1]Raw_Data!B4241)</f>
        <v>Electrolyte Powder</v>
      </c>
      <c r="C4243" s="3" t="str">
        <f>TRIM([1]Raw_Data!C4241)</f>
        <v>Hydration</v>
      </c>
      <c r="D4243" s="3">
        <f>[1]Raw_Data!D4241</f>
        <v>142</v>
      </c>
      <c r="E4243" s="4">
        <f>[1]Raw_Data!E4241</f>
        <v>32.01</v>
      </c>
      <c r="F4243" s="5">
        <f>[1]Raw_Data!F4241</f>
        <v>4545.42</v>
      </c>
      <c r="G4243" s="4">
        <f>[1]Raw_Data!G4241</f>
        <v>0.17</v>
      </c>
      <c r="H4243" s="3">
        <f>[1]Raw_Data!H4241</f>
        <v>1</v>
      </c>
      <c r="I4243" s="3" t="str">
        <f>TRIM([1]Raw_Data!I4241)</f>
        <v>USA</v>
      </c>
      <c r="J4243" s="3" t="str">
        <f>TRIM([1]Raw_Data!J4241)</f>
        <v>Walmart</v>
      </c>
      <c r="K4243" s="3">
        <f t="shared" si="264"/>
        <v>2025</v>
      </c>
      <c r="L4243" s="6">
        <f t="shared" si="265"/>
        <v>45658</v>
      </c>
      <c r="M4243" s="3" t="str">
        <f t="shared" si="266"/>
        <v>16% to 20%</v>
      </c>
      <c r="N4243" s="3" t="str">
        <f t="shared" si="267"/>
        <v>OK</v>
      </c>
    </row>
    <row r="4244" spans="1:14" x14ac:dyDescent="0.3">
      <c r="A4244" s="2">
        <f>DATE(VALUE(RIGHT(TRIM([1]Raw_Data!A4242),4)),VALUE(MID(TRIM([1]Raw_Data!A4242),4,2)),VALUE(LEFT(TRIM([1]Raw_Data!A4242),2)))</f>
        <v>45691</v>
      </c>
      <c r="B4244" s="3" t="str">
        <f>TRIM([1]Raw_Data!B4242)</f>
        <v>Whey Protein</v>
      </c>
      <c r="C4244" s="3" t="str">
        <f>TRIM([1]Raw_Data!C4242)</f>
        <v>Protein</v>
      </c>
      <c r="D4244" s="3">
        <f>[1]Raw_Data!D4242</f>
        <v>177</v>
      </c>
      <c r="E4244" s="4">
        <f>[1]Raw_Data!E4242</f>
        <v>43.75</v>
      </c>
      <c r="F4244" s="5">
        <f>[1]Raw_Data!F4242</f>
        <v>7743.75</v>
      </c>
      <c r="G4244" s="4">
        <f>[1]Raw_Data!G4242</f>
        <v>0.14000000000000001</v>
      </c>
      <c r="H4244" s="3">
        <f>[1]Raw_Data!H4242</f>
        <v>1</v>
      </c>
      <c r="I4244" s="3" t="str">
        <f>TRIM([1]Raw_Data!I4242)</f>
        <v>UK</v>
      </c>
      <c r="J4244" s="3" t="str">
        <f>TRIM([1]Raw_Data!J4242)</f>
        <v>Walmart</v>
      </c>
      <c r="K4244" s="3">
        <f t="shared" si="264"/>
        <v>2025</v>
      </c>
      <c r="L4244" s="6">
        <f t="shared" si="265"/>
        <v>45689</v>
      </c>
      <c r="M4244" s="3" t="str">
        <f t="shared" si="266"/>
        <v>11% to 15%</v>
      </c>
      <c r="N4244" s="3" t="str">
        <f t="shared" si="267"/>
        <v>OK</v>
      </c>
    </row>
    <row r="4245" spans="1:14" x14ac:dyDescent="0.3">
      <c r="A4245" s="2">
        <f>DATE(VALUE(RIGHT(TRIM([1]Raw_Data!A4243),4)),VALUE(MID(TRIM([1]Raw_Data!A4243),4,2)),VALUE(LEFT(TRIM([1]Raw_Data!A4243),2)))</f>
        <v>45691</v>
      </c>
      <c r="B4245" s="3" t="str">
        <f>TRIM([1]Raw_Data!B4243)</f>
        <v>Vitamin C</v>
      </c>
      <c r="C4245" s="3" t="str">
        <f>TRIM([1]Raw_Data!C4243)</f>
        <v>Vitamin</v>
      </c>
      <c r="D4245" s="3">
        <f>[1]Raw_Data!D4243</f>
        <v>126</v>
      </c>
      <c r="E4245" s="4">
        <f>[1]Raw_Data!E4243</f>
        <v>17.87</v>
      </c>
      <c r="F4245" s="5">
        <f>[1]Raw_Data!F4243</f>
        <v>2251.62</v>
      </c>
      <c r="G4245" s="4">
        <f>[1]Raw_Data!G4243</f>
        <v>0.05</v>
      </c>
      <c r="H4245" s="3">
        <f>[1]Raw_Data!H4243</f>
        <v>4</v>
      </c>
      <c r="I4245" s="3" t="str">
        <f>TRIM([1]Raw_Data!I4243)</f>
        <v>UK</v>
      </c>
      <c r="J4245" s="3" t="str">
        <f>TRIM([1]Raw_Data!J4243)</f>
        <v>Walmart</v>
      </c>
      <c r="K4245" s="3">
        <f t="shared" si="264"/>
        <v>2025</v>
      </c>
      <c r="L4245" s="6">
        <f t="shared" si="265"/>
        <v>45689</v>
      </c>
      <c r="M4245" s="3" t="str">
        <f t="shared" si="266"/>
        <v>0% to 5%</v>
      </c>
      <c r="N4245" s="3" t="str">
        <f t="shared" si="267"/>
        <v>OK</v>
      </c>
    </row>
    <row r="4246" spans="1:14" x14ac:dyDescent="0.3">
      <c r="A4246" s="2">
        <f>DATE(VALUE(RIGHT(TRIM([1]Raw_Data!A4244),4)),VALUE(MID(TRIM([1]Raw_Data!A4244),4,2)),VALUE(LEFT(TRIM([1]Raw_Data!A4244),2)))</f>
        <v>45691</v>
      </c>
      <c r="B4246" s="3" t="str">
        <f>TRIM([1]Raw_Data!B4244)</f>
        <v>Fish Oil</v>
      </c>
      <c r="C4246" s="3" t="str">
        <f>TRIM([1]Raw_Data!C4244)</f>
        <v>Omega</v>
      </c>
      <c r="D4246" s="3">
        <f>[1]Raw_Data!D4244</f>
        <v>158</v>
      </c>
      <c r="E4246" s="4">
        <f>[1]Raw_Data!E4244</f>
        <v>39.549999999999997</v>
      </c>
      <c r="F4246" s="5">
        <f>[1]Raw_Data!F4244</f>
        <v>6248.9</v>
      </c>
      <c r="G4246" s="4">
        <f>[1]Raw_Data!G4244</f>
        <v>0.13</v>
      </c>
      <c r="H4246" s="3">
        <f>[1]Raw_Data!H4244</f>
        <v>3</v>
      </c>
      <c r="I4246" s="3" t="str">
        <f>TRIM([1]Raw_Data!I4244)</f>
        <v>Canada</v>
      </c>
      <c r="J4246" s="3" t="str">
        <f>TRIM([1]Raw_Data!J4244)</f>
        <v>iHerb</v>
      </c>
      <c r="K4246" s="3">
        <f t="shared" si="264"/>
        <v>2025</v>
      </c>
      <c r="L4246" s="6">
        <f t="shared" si="265"/>
        <v>45689</v>
      </c>
      <c r="M4246" s="3" t="str">
        <f t="shared" si="266"/>
        <v>11% to 15%</v>
      </c>
      <c r="N4246" s="3" t="str">
        <f t="shared" si="267"/>
        <v>OK</v>
      </c>
    </row>
    <row r="4247" spans="1:14" x14ac:dyDescent="0.3">
      <c r="A4247" s="2">
        <f>DATE(VALUE(RIGHT(TRIM([1]Raw_Data!A4245),4)),VALUE(MID(TRIM([1]Raw_Data!A4245),4,2)),VALUE(LEFT(TRIM([1]Raw_Data!A4245),2)))</f>
        <v>45691</v>
      </c>
      <c r="B4247" s="3" t="str">
        <f>TRIM([1]Raw_Data!B4245)</f>
        <v>Multivitamin</v>
      </c>
      <c r="C4247" s="3" t="str">
        <f>TRIM([1]Raw_Data!C4245)</f>
        <v>Vitamin</v>
      </c>
      <c r="D4247" s="3">
        <f>[1]Raw_Data!D4245</f>
        <v>158</v>
      </c>
      <c r="E4247" s="4">
        <f>[1]Raw_Data!E4245</f>
        <v>20.58</v>
      </c>
      <c r="F4247" s="5">
        <f>[1]Raw_Data!F4245</f>
        <v>3251.64</v>
      </c>
      <c r="G4247" s="4">
        <f>[1]Raw_Data!G4245</f>
        <v>0.16</v>
      </c>
      <c r="H4247" s="3">
        <f>[1]Raw_Data!H4245</f>
        <v>0</v>
      </c>
      <c r="I4247" s="3" t="str">
        <f>TRIM([1]Raw_Data!I4245)</f>
        <v>Canada</v>
      </c>
      <c r="J4247" s="3" t="str">
        <f>TRIM([1]Raw_Data!J4245)</f>
        <v>iHerb</v>
      </c>
      <c r="K4247" s="3">
        <f t="shared" si="264"/>
        <v>2025</v>
      </c>
      <c r="L4247" s="6">
        <f t="shared" si="265"/>
        <v>45689</v>
      </c>
      <c r="M4247" s="3" t="str">
        <f t="shared" si="266"/>
        <v>16% to 20%</v>
      </c>
      <c r="N4247" s="3" t="str">
        <f t="shared" si="267"/>
        <v>OK</v>
      </c>
    </row>
    <row r="4248" spans="1:14" x14ac:dyDescent="0.3">
      <c r="A4248" s="2">
        <f>DATE(VALUE(RIGHT(TRIM([1]Raw_Data!A4246),4)),VALUE(MID(TRIM([1]Raw_Data!A4246),4,2)),VALUE(LEFT(TRIM([1]Raw_Data!A4246),2)))</f>
        <v>45691</v>
      </c>
      <c r="B4248" s="3" t="str">
        <f>TRIM([1]Raw_Data!B4246)</f>
        <v>Pre-Workout</v>
      </c>
      <c r="C4248" s="3" t="str">
        <f>TRIM([1]Raw_Data!C4246)</f>
        <v>Performance</v>
      </c>
      <c r="D4248" s="3">
        <f>[1]Raw_Data!D4246</f>
        <v>127</v>
      </c>
      <c r="E4248" s="4">
        <f>[1]Raw_Data!E4246</f>
        <v>11.22</v>
      </c>
      <c r="F4248" s="5">
        <f>[1]Raw_Data!F4246</f>
        <v>1424.94</v>
      </c>
      <c r="G4248" s="4">
        <f>[1]Raw_Data!G4246</f>
        <v>0.14000000000000001</v>
      </c>
      <c r="H4248" s="3">
        <f>[1]Raw_Data!H4246</f>
        <v>2</v>
      </c>
      <c r="I4248" s="3" t="str">
        <f>TRIM([1]Raw_Data!I4246)</f>
        <v>UK</v>
      </c>
      <c r="J4248" s="3" t="str">
        <f>TRIM([1]Raw_Data!J4246)</f>
        <v>iHerb</v>
      </c>
      <c r="K4248" s="3">
        <f t="shared" si="264"/>
        <v>2025</v>
      </c>
      <c r="L4248" s="6">
        <f t="shared" si="265"/>
        <v>45689</v>
      </c>
      <c r="M4248" s="3" t="str">
        <f t="shared" si="266"/>
        <v>11% to 15%</v>
      </c>
      <c r="N4248" s="3" t="str">
        <f t="shared" si="267"/>
        <v>OK</v>
      </c>
    </row>
    <row r="4249" spans="1:14" x14ac:dyDescent="0.3">
      <c r="A4249" s="2">
        <f>DATE(VALUE(RIGHT(TRIM([1]Raw_Data!A4247),4)),VALUE(MID(TRIM([1]Raw_Data!A4247),4,2)),VALUE(LEFT(TRIM([1]Raw_Data!A4247),2)))</f>
        <v>45691</v>
      </c>
      <c r="B4249" s="3" t="str">
        <f>TRIM([1]Raw_Data!B4247)</f>
        <v>BCAA</v>
      </c>
      <c r="C4249" s="3" t="str">
        <f>TRIM([1]Raw_Data!C4247)</f>
        <v>Amino Acid</v>
      </c>
      <c r="D4249" s="3">
        <f>[1]Raw_Data!D4247</f>
        <v>146</v>
      </c>
      <c r="E4249" s="4">
        <f>[1]Raw_Data!E4247</f>
        <v>45.69</v>
      </c>
      <c r="F4249" s="5">
        <f>[1]Raw_Data!F4247</f>
        <v>6670.74</v>
      </c>
      <c r="G4249" s="4">
        <f>[1]Raw_Data!G4247</f>
        <v>0.23</v>
      </c>
      <c r="H4249" s="3">
        <f>[1]Raw_Data!H4247</f>
        <v>2</v>
      </c>
      <c r="I4249" s="3" t="str">
        <f>TRIM([1]Raw_Data!I4247)</f>
        <v>Canada</v>
      </c>
      <c r="J4249" s="3" t="str">
        <f>TRIM([1]Raw_Data!J4247)</f>
        <v>iHerb</v>
      </c>
      <c r="K4249" s="3">
        <f t="shared" si="264"/>
        <v>2025</v>
      </c>
      <c r="L4249" s="6">
        <f t="shared" si="265"/>
        <v>45689</v>
      </c>
      <c r="M4249" s="3" t="str">
        <f t="shared" si="266"/>
        <v>21% to 25%</v>
      </c>
      <c r="N4249" s="3" t="str">
        <f t="shared" si="267"/>
        <v>OK</v>
      </c>
    </row>
    <row r="4250" spans="1:14" x14ac:dyDescent="0.3">
      <c r="A4250" s="2">
        <f>DATE(VALUE(RIGHT(TRIM([1]Raw_Data!A4248),4)),VALUE(MID(TRIM([1]Raw_Data!A4248),4,2)),VALUE(LEFT(TRIM([1]Raw_Data!A4248),2)))</f>
        <v>45691</v>
      </c>
      <c r="B4250" s="3" t="str">
        <f>TRIM([1]Raw_Data!B4248)</f>
        <v>Creatine</v>
      </c>
      <c r="C4250" s="3" t="str">
        <f>TRIM([1]Raw_Data!C4248)</f>
        <v>Performance</v>
      </c>
      <c r="D4250" s="3">
        <f>[1]Raw_Data!D4248</f>
        <v>153</v>
      </c>
      <c r="E4250" s="4">
        <f>[1]Raw_Data!E4248</f>
        <v>10.77</v>
      </c>
      <c r="F4250" s="5">
        <f>[1]Raw_Data!F4248</f>
        <v>1647.81</v>
      </c>
      <c r="G4250" s="4">
        <f>[1]Raw_Data!G4248</f>
        <v>0.17</v>
      </c>
      <c r="H4250" s="3">
        <f>[1]Raw_Data!H4248</f>
        <v>1</v>
      </c>
      <c r="I4250" s="3" t="str">
        <f>TRIM([1]Raw_Data!I4248)</f>
        <v>Canada</v>
      </c>
      <c r="J4250" s="3" t="str">
        <f>TRIM([1]Raw_Data!J4248)</f>
        <v>Amazon</v>
      </c>
      <c r="K4250" s="3">
        <f t="shared" si="264"/>
        <v>2025</v>
      </c>
      <c r="L4250" s="6">
        <f t="shared" si="265"/>
        <v>45689</v>
      </c>
      <c r="M4250" s="3" t="str">
        <f t="shared" si="266"/>
        <v>16% to 20%</v>
      </c>
      <c r="N4250" s="3" t="str">
        <f t="shared" si="267"/>
        <v>OK</v>
      </c>
    </row>
    <row r="4251" spans="1:14" x14ac:dyDescent="0.3">
      <c r="A4251" s="2">
        <f>DATE(VALUE(RIGHT(TRIM([1]Raw_Data!A4249),4)),VALUE(MID(TRIM([1]Raw_Data!A4249),4,2)),VALUE(LEFT(TRIM([1]Raw_Data!A4249),2)))</f>
        <v>45691</v>
      </c>
      <c r="B4251" s="3" t="str">
        <f>TRIM([1]Raw_Data!B4249)</f>
        <v>Zinc</v>
      </c>
      <c r="C4251" s="3" t="str">
        <f>TRIM([1]Raw_Data!C4249)</f>
        <v>Mineral</v>
      </c>
      <c r="D4251" s="3">
        <f>[1]Raw_Data!D4249</f>
        <v>165</v>
      </c>
      <c r="E4251" s="4">
        <f>[1]Raw_Data!E4249</f>
        <v>36.53</v>
      </c>
      <c r="F4251" s="5">
        <f>[1]Raw_Data!F4249</f>
        <v>6027.45</v>
      </c>
      <c r="G4251" s="4">
        <f>[1]Raw_Data!G4249</f>
        <v>0.19</v>
      </c>
      <c r="H4251" s="3">
        <f>[1]Raw_Data!H4249</f>
        <v>3</v>
      </c>
      <c r="I4251" s="3" t="str">
        <f>TRIM([1]Raw_Data!I4249)</f>
        <v>Canada</v>
      </c>
      <c r="J4251" s="3" t="str">
        <f>TRIM([1]Raw_Data!J4249)</f>
        <v>Walmart</v>
      </c>
      <c r="K4251" s="3">
        <f t="shared" si="264"/>
        <v>2025</v>
      </c>
      <c r="L4251" s="6">
        <f t="shared" si="265"/>
        <v>45689</v>
      </c>
      <c r="M4251" s="3" t="str">
        <f t="shared" si="266"/>
        <v>16% to 20%</v>
      </c>
      <c r="N4251" s="3" t="str">
        <f t="shared" si="267"/>
        <v>OK</v>
      </c>
    </row>
    <row r="4252" spans="1:14" x14ac:dyDescent="0.3">
      <c r="A4252" s="2">
        <f>DATE(VALUE(RIGHT(TRIM([1]Raw_Data!A4250),4)),VALUE(MID(TRIM([1]Raw_Data!A4250),4,2)),VALUE(LEFT(TRIM([1]Raw_Data!A4250),2)))</f>
        <v>45691</v>
      </c>
      <c r="B4252" s="3" t="str">
        <f>TRIM([1]Raw_Data!B4250)</f>
        <v>Collagen Peptides</v>
      </c>
      <c r="C4252" s="3" t="str">
        <f>TRIM([1]Raw_Data!C4250)</f>
        <v>Protein</v>
      </c>
      <c r="D4252" s="3">
        <f>[1]Raw_Data!D4250</f>
        <v>155</v>
      </c>
      <c r="E4252" s="4">
        <f>[1]Raw_Data!E4250</f>
        <v>59.11</v>
      </c>
      <c r="F4252" s="5">
        <f>[1]Raw_Data!F4250</f>
        <v>9162.0499999999993</v>
      </c>
      <c r="G4252" s="4">
        <f>[1]Raw_Data!G4250</f>
        <v>0.24</v>
      </c>
      <c r="H4252" s="3">
        <f>[1]Raw_Data!H4250</f>
        <v>3</v>
      </c>
      <c r="I4252" s="3" t="str">
        <f>TRIM([1]Raw_Data!I4250)</f>
        <v>Canada</v>
      </c>
      <c r="J4252" s="3" t="str">
        <f>TRIM([1]Raw_Data!J4250)</f>
        <v>Amazon</v>
      </c>
      <c r="K4252" s="3">
        <f t="shared" si="264"/>
        <v>2025</v>
      </c>
      <c r="L4252" s="6">
        <f t="shared" si="265"/>
        <v>45689</v>
      </c>
      <c r="M4252" s="3" t="str">
        <f t="shared" si="266"/>
        <v>21% to 25%</v>
      </c>
      <c r="N4252" s="3" t="str">
        <f t="shared" si="267"/>
        <v>OK</v>
      </c>
    </row>
    <row r="4253" spans="1:14" x14ac:dyDescent="0.3">
      <c r="A4253" s="2">
        <f>DATE(VALUE(RIGHT(TRIM([1]Raw_Data!A4251),4)),VALUE(MID(TRIM([1]Raw_Data!A4251),4,2)),VALUE(LEFT(TRIM([1]Raw_Data!A4251),2)))</f>
        <v>45691</v>
      </c>
      <c r="B4253" s="3" t="str">
        <f>TRIM([1]Raw_Data!B4251)</f>
        <v>Magnesium</v>
      </c>
      <c r="C4253" s="3" t="str">
        <f>TRIM([1]Raw_Data!C4251)</f>
        <v>Mineral</v>
      </c>
      <c r="D4253" s="3">
        <f>[1]Raw_Data!D4251</f>
        <v>158</v>
      </c>
      <c r="E4253" s="4">
        <f>[1]Raw_Data!E4251</f>
        <v>15.19</v>
      </c>
      <c r="F4253" s="5">
        <f>[1]Raw_Data!F4251</f>
        <v>2400.02</v>
      </c>
      <c r="G4253" s="4">
        <f>[1]Raw_Data!G4251</f>
        <v>7.0000000000000007E-2</v>
      </c>
      <c r="H4253" s="3">
        <f>[1]Raw_Data!H4251</f>
        <v>0</v>
      </c>
      <c r="I4253" s="3" t="str">
        <f>TRIM([1]Raw_Data!I4251)</f>
        <v>Canada</v>
      </c>
      <c r="J4253" s="3" t="str">
        <f>TRIM([1]Raw_Data!J4251)</f>
        <v>iHerb</v>
      </c>
      <c r="K4253" s="3">
        <f t="shared" si="264"/>
        <v>2025</v>
      </c>
      <c r="L4253" s="6">
        <f t="shared" si="265"/>
        <v>45689</v>
      </c>
      <c r="M4253" s="3" t="str">
        <f t="shared" si="266"/>
        <v>6% to 10%</v>
      </c>
      <c r="N4253" s="3" t="str">
        <f t="shared" si="267"/>
        <v>OK</v>
      </c>
    </row>
    <row r="4254" spans="1:14" x14ac:dyDescent="0.3">
      <c r="A4254" s="2">
        <f>DATE(VALUE(RIGHT(TRIM([1]Raw_Data!A4252),4)),VALUE(MID(TRIM([1]Raw_Data!A4252),4,2)),VALUE(LEFT(TRIM([1]Raw_Data!A4252),2)))</f>
        <v>45691</v>
      </c>
      <c r="B4254" s="3" t="str">
        <f>TRIM([1]Raw_Data!B4252)</f>
        <v>Ashwagandha</v>
      </c>
      <c r="C4254" s="3" t="str">
        <f>TRIM([1]Raw_Data!C4252)</f>
        <v>Herbal</v>
      </c>
      <c r="D4254" s="3">
        <f>[1]Raw_Data!D4252</f>
        <v>134</v>
      </c>
      <c r="E4254" s="4">
        <f>[1]Raw_Data!E4252</f>
        <v>17.329999999999998</v>
      </c>
      <c r="F4254" s="5">
        <f>[1]Raw_Data!F4252</f>
        <v>2322.2199999999998</v>
      </c>
      <c r="G4254" s="4">
        <f>[1]Raw_Data!G4252</f>
        <v>0.23</v>
      </c>
      <c r="H4254" s="3">
        <f>[1]Raw_Data!H4252</f>
        <v>2</v>
      </c>
      <c r="I4254" s="3" t="str">
        <f>TRIM([1]Raw_Data!I4252)</f>
        <v>USA</v>
      </c>
      <c r="J4254" s="3" t="str">
        <f>TRIM([1]Raw_Data!J4252)</f>
        <v>Amazon</v>
      </c>
      <c r="K4254" s="3">
        <f t="shared" si="264"/>
        <v>2025</v>
      </c>
      <c r="L4254" s="6">
        <f t="shared" si="265"/>
        <v>45689</v>
      </c>
      <c r="M4254" s="3" t="str">
        <f t="shared" si="266"/>
        <v>21% to 25%</v>
      </c>
      <c r="N4254" s="3" t="str">
        <f t="shared" si="267"/>
        <v>OK</v>
      </c>
    </row>
    <row r="4255" spans="1:14" x14ac:dyDescent="0.3">
      <c r="A4255" s="2">
        <f>DATE(VALUE(RIGHT(TRIM([1]Raw_Data!A4253),4)),VALUE(MID(TRIM([1]Raw_Data!A4253),4,2)),VALUE(LEFT(TRIM([1]Raw_Data!A4253),2)))</f>
        <v>45691</v>
      </c>
      <c r="B4255" s="3" t="str">
        <f>TRIM([1]Raw_Data!B4253)</f>
        <v>Melatonin</v>
      </c>
      <c r="C4255" s="3" t="str">
        <f>TRIM([1]Raw_Data!C4253)</f>
        <v>Sleep Aid</v>
      </c>
      <c r="D4255" s="3">
        <f>[1]Raw_Data!D4253</f>
        <v>127</v>
      </c>
      <c r="E4255" s="4">
        <f>[1]Raw_Data!E4253</f>
        <v>50.95</v>
      </c>
      <c r="F4255" s="5">
        <f>[1]Raw_Data!F4253</f>
        <v>6470.65</v>
      </c>
      <c r="G4255" s="4">
        <f>[1]Raw_Data!G4253</f>
        <v>0.2</v>
      </c>
      <c r="H4255" s="3">
        <f>[1]Raw_Data!H4253</f>
        <v>3</v>
      </c>
      <c r="I4255" s="3" t="str">
        <f>TRIM([1]Raw_Data!I4253)</f>
        <v>USA</v>
      </c>
      <c r="J4255" s="3" t="str">
        <f>TRIM([1]Raw_Data!J4253)</f>
        <v>Amazon</v>
      </c>
      <c r="K4255" s="3">
        <f t="shared" si="264"/>
        <v>2025</v>
      </c>
      <c r="L4255" s="6">
        <f t="shared" si="265"/>
        <v>45689</v>
      </c>
      <c r="M4255" s="3" t="str">
        <f t="shared" si="266"/>
        <v>16% to 20%</v>
      </c>
      <c r="N4255" s="3" t="str">
        <f t="shared" si="267"/>
        <v>OK</v>
      </c>
    </row>
    <row r="4256" spans="1:14" x14ac:dyDescent="0.3">
      <c r="A4256" s="2">
        <f>DATE(VALUE(RIGHT(TRIM([1]Raw_Data!A4254),4)),VALUE(MID(TRIM([1]Raw_Data!A4254),4,2)),VALUE(LEFT(TRIM([1]Raw_Data!A4254),2)))</f>
        <v>45691</v>
      </c>
      <c r="B4256" s="3" t="str">
        <f>TRIM([1]Raw_Data!B4254)</f>
        <v>Biotin</v>
      </c>
      <c r="C4256" s="3" t="str">
        <f>TRIM([1]Raw_Data!C4254)</f>
        <v>Vitamin</v>
      </c>
      <c r="D4256" s="3">
        <f>[1]Raw_Data!D4254</f>
        <v>147</v>
      </c>
      <c r="E4256" s="4">
        <f>[1]Raw_Data!E4254</f>
        <v>47.92</v>
      </c>
      <c r="F4256" s="5">
        <f>[1]Raw_Data!F4254</f>
        <v>7044.24</v>
      </c>
      <c r="G4256" s="4">
        <f>[1]Raw_Data!G4254</f>
        <v>7.0000000000000007E-2</v>
      </c>
      <c r="H4256" s="3">
        <f>[1]Raw_Data!H4254</f>
        <v>2</v>
      </c>
      <c r="I4256" s="3" t="str">
        <f>TRIM([1]Raw_Data!I4254)</f>
        <v>UK</v>
      </c>
      <c r="J4256" s="3" t="str">
        <f>TRIM([1]Raw_Data!J4254)</f>
        <v>Walmart</v>
      </c>
      <c r="K4256" s="3">
        <f t="shared" si="264"/>
        <v>2025</v>
      </c>
      <c r="L4256" s="6">
        <f t="shared" si="265"/>
        <v>45689</v>
      </c>
      <c r="M4256" s="3" t="str">
        <f t="shared" si="266"/>
        <v>6% to 10%</v>
      </c>
      <c r="N4256" s="3" t="str">
        <f t="shared" si="267"/>
        <v>OK</v>
      </c>
    </row>
    <row r="4257" spans="1:14" x14ac:dyDescent="0.3">
      <c r="A4257" s="2">
        <f>DATE(VALUE(RIGHT(TRIM([1]Raw_Data!A4255),4)),VALUE(MID(TRIM([1]Raw_Data!A4255),4,2)),VALUE(LEFT(TRIM([1]Raw_Data!A4255),2)))</f>
        <v>45691</v>
      </c>
      <c r="B4257" s="3" t="str">
        <f>TRIM([1]Raw_Data!B4255)</f>
        <v>Green Tea Extract</v>
      </c>
      <c r="C4257" s="3" t="str">
        <f>TRIM([1]Raw_Data!C4255)</f>
        <v>Fat Burner</v>
      </c>
      <c r="D4257" s="3">
        <f>[1]Raw_Data!D4255</f>
        <v>151</v>
      </c>
      <c r="E4257" s="4">
        <f>[1]Raw_Data!E4255</f>
        <v>23.79</v>
      </c>
      <c r="F4257" s="5">
        <f>[1]Raw_Data!F4255</f>
        <v>3592.29</v>
      </c>
      <c r="G4257" s="4">
        <f>[1]Raw_Data!G4255</f>
        <v>0.13</v>
      </c>
      <c r="H4257" s="3">
        <f>[1]Raw_Data!H4255</f>
        <v>2</v>
      </c>
      <c r="I4257" s="3" t="str">
        <f>TRIM([1]Raw_Data!I4255)</f>
        <v>USA</v>
      </c>
      <c r="J4257" s="3" t="str">
        <f>TRIM([1]Raw_Data!J4255)</f>
        <v>iHerb</v>
      </c>
      <c r="K4257" s="3">
        <f t="shared" si="264"/>
        <v>2025</v>
      </c>
      <c r="L4257" s="6">
        <f t="shared" si="265"/>
        <v>45689</v>
      </c>
      <c r="M4257" s="3" t="str">
        <f t="shared" si="266"/>
        <v>11% to 15%</v>
      </c>
      <c r="N4257" s="3" t="str">
        <f t="shared" si="267"/>
        <v>OK</v>
      </c>
    </row>
    <row r="4258" spans="1:14" x14ac:dyDescent="0.3">
      <c r="A4258" s="2">
        <f>DATE(VALUE(RIGHT(TRIM([1]Raw_Data!A4256),4)),VALUE(MID(TRIM([1]Raw_Data!A4256),4,2)),VALUE(LEFT(TRIM([1]Raw_Data!A4256),2)))</f>
        <v>45691</v>
      </c>
      <c r="B4258" s="3" t="str">
        <f>TRIM([1]Raw_Data!B4256)</f>
        <v>Iron Supplement</v>
      </c>
      <c r="C4258" s="3" t="str">
        <f>TRIM([1]Raw_Data!C4256)</f>
        <v>Mineral</v>
      </c>
      <c r="D4258" s="3">
        <f>[1]Raw_Data!D4256</f>
        <v>175</v>
      </c>
      <c r="E4258" s="4">
        <f>[1]Raw_Data!E4256</f>
        <v>56.83</v>
      </c>
      <c r="F4258" s="5">
        <f>[1]Raw_Data!F4256</f>
        <v>9945.25</v>
      </c>
      <c r="G4258" s="4">
        <f>[1]Raw_Data!G4256</f>
        <v>0.2</v>
      </c>
      <c r="H4258" s="3">
        <f>[1]Raw_Data!H4256</f>
        <v>2</v>
      </c>
      <c r="I4258" s="3" t="str">
        <f>TRIM([1]Raw_Data!I4256)</f>
        <v>USA</v>
      </c>
      <c r="J4258" s="3" t="str">
        <f>TRIM([1]Raw_Data!J4256)</f>
        <v>iHerb</v>
      </c>
      <c r="K4258" s="3">
        <f t="shared" si="264"/>
        <v>2025</v>
      </c>
      <c r="L4258" s="6">
        <f t="shared" si="265"/>
        <v>45689</v>
      </c>
      <c r="M4258" s="3" t="str">
        <f t="shared" si="266"/>
        <v>16% to 20%</v>
      </c>
      <c r="N4258" s="3" t="str">
        <f t="shared" si="267"/>
        <v>OK</v>
      </c>
    </row>
    <row r="4259" spans="1:14" x14ac:dyDescent="0.3">
      <c r="A4259" s="2">
        <f>DATE(VALUE(RIGHT(TRIM([1]Raw_Data!A4257),4)),VALUE(MID(TRIM([1]Raw_Data!A4257),4,2)),VALUE(LEFT(TRIM([1]Raw_Data!A4257),2)))</f>
        <v>45691</v>
      </c>
      <c r="B4259" s="3" t="str">
        <f>TRIM([1]Raw_Data!B4257)</f>
        <v>Electrolyte Powder</v>
      </c>
      <c r="C4259" s="3" t="str">
        <f>TRIM([1]Raw_Data!C4257)</f>
        <v>Hydration</v>
      </c>
      <c r="D4259" s="3">
        <f>[1]Raw_Data!D4257</f>
        <v>161</v>
      </c>
      <c r="E4259" s="4">
        <f>[1]Raw_Data!E4257</f>
        <v>22.2</v>
      </c>
      <c r="F4259" s="5">
        <f>[1]Raw_Data!F4257</f>
        <v>3574.2</v>
      </c>
      <c r="G4259" s="4">
        <f>[1]Raw_Data!G4257</f>
        <v>0.05</v>
      </c>
      <c r="H4259" s="3">
        <f>[1]Raw_Data!H4257</f>
        <v>3</v>
      </c>
      <c r="I4259" s="3" t="str">
        <f>TRIM([1]Raw_Data!I4257)</f>
        <v>Canada</v>
      </c>
      <c r="J4259" s="3" t="str">
        <f>TRIM([1]Raw_Data!J4257)</f>
        <v>Amazon</v>
      </c>
      <c r="K4259" s="3">
        <f t="shared" si="264"/>
        <v>2025</v>
      </c>
      <c r="L4259" s="6">
        <f t="shared" si="265"/>
        <v>45689</v>
      </c>
      <c r="M4259" s="3" t="str">
        <f t="shared" si="266"/>
        <v>0% to 5%</v>
      </c>
      <c r="N4259" s="3" t="str">
        <f t="shared" si="267"/>
        <v>OK</v>
      </c>
    </row>
    <row r="4260" spans="1:14" x14ac:dyDescent="0.3">
      <c r="A4260" s="2">
        <f>DATE(VALUE(RIGHT(TRIM([1]Raw_Data!A4258),4)),VALUE(MID(TRIM([1]Raw_Data!A4258),4,2)),VALUE(LEFT(TRIM([1]Raw_Data!A4258),2)))</f>
        <v>45698</v>
      </c>
      <c r="B4260" s="3" t="str">
        <f>TRIM([1]Raw_Data!B4258)</f>
        <v>Whey Protein</v>
      </c>
      <c r="C4260" s="3" t="str">
        <f>TRIM([1]Raw_Data!C4258)</f>
        <v>Protein</v>
      </c>
      <c r="D4260" s="3">
        <f>[1]Raw_Data!D4258</f>
        <v>158</v>
      </c>
      <c r="E4260" s="4">
        <f>[1]Raw_Data!E4258</f>
        <v>40.75</v>
      </c>
      <c r="F4260" s="5">
        <f>[1]Raw_Data!F4258</f>
        <v>6438.5</v>
      </c>
      <c r="G4260" s="4">
        <f>[1]Raw_Data!G4258</f>
        <v>0.11</v>
      </c>
      <c r="H4260" s="3">
        <f>[1]Raw_Data!H4258</f>
        <v>0</v>
      </c>
      <c r="I4260" s="3" t="str">
        <f>TRIM([1]Raw_Data!I4258)</f>
        <v>UK</v>
      </c>
      <c r="J4260" s="3" t="str">
        <f>TRIM([1]Raw_Data!J4258)</f>
        <v>iHerb</v>
      </c>
      <c r="K4260" s="3">
        <f t="shared" si="264"/>
        <v>2025</v>
      </c>
      <c r="L4260" s="6">
        <f t="shared" si="265"/>
        <v>45689</v>
      </c>
      <c r="M4260" s="3" t="str">
        <f t="shared" si="266"/>
        <v>11% to 15%</v>
      </c>
      <c r="N4260" s="3" t="str">
        <f t="shared" si="267"/>
        <v>OK</v>
      </c>
    </row>
    <row r="4261" spans="1:14" x14ac:dyDescent="0.3">
      <c r="A4261" s="2">
        <f>DATE(VALUE(RIGHT(TRIM([1]Raw_Data!A4259),4)),VALUE(MID(TRIM([1]Raw_Data!A4259),4,2)),VALUE(LEFT(TRIM([1]Raw_Data!A4259),2)))</f>
        <v>45698</v>
      </c>
      <c r="B4261" s="3" t="str">
        <f>TRIM([1]Raw_Data!B4259)</f>
        <v>Vitamin C</v>
      </c>
      <c r="C4261" s="3" t="str">
        <f>TRIM([1]Raw_Data!C4259)</f>
        <v>Vitamin</v>
      </c>
      <c r="D4261" s="3">
        <f>[1]Raw_Data!D4259</f>
        <v>151</v>
      </c>
      <c r="E4261" s="4">
        <f>[1]Raw_Data!E4259</f>
        <v>14.81</v>
      </c>
      <c r="F4261" s="5">
        <f>[1]Raw_Data!F4259</f>
        <v>2236.31</v>
      </c>
      <c r="G4261" s="4">
        <f>[1]Raw_Data!G4259</f>
        <v>0.12</v>
      </c>
      <c r="H4261" s="3">
        <f>[1]Raw_Data!H4259</f>
        <v>2</v>
      </c>
      <c r="I4261" s="3" t="str">
        <f>TRIM([1]Raw_Data!I4259)</f>
        <v>USA</v>
      </c>
      <c r="J4261" s="3" t="str">
        <f>TRIM([1]Raw_Data!J4259)</f>
        <v>Walmart</v>
      </c>
      <c r="K4261" s="3">
        <f t="shared" si="264"/>
        <v>2025</v>
      </c>
      <c r="L4261" s="6">
        <f t="shared" si="265"/>
        <v>45689</v>
      </c>
      <c r="M4261" s="3" t="str">
        <f t="shared" si="266"/>
        <v>11% to 15%</v>
      </c>
      <c r="N4261" s="3" t="str">
        <f t="shared" si="267"/>
        <v>OK</v>
      </c>
    </row>
    <row r="4262" spans="1:14" x14ac:dyDescent="0.3">
      <c r="A4262" s="2">
        <f>DATE(VALUE(RIGHT(TRIM([1]Raw_Data!A4260),4)),VALUE(MID(TRIM([1]Raw_Data!A4260),4,2)),VALUE(LEFT(TRIM([1]Raw_Data!A4260),2)))</f>
        <v>45698</v>
      </c>
      <c r="B4262" s="3" t="str">
        <f>TRIM([1]Raw_Data!B4260)</f>
        <v>Fish Oil</v>
      </c>
      <c r="C4262" s="3" t="str">
        <f>TRIM([1]Raw_Data!C4260)</f>
        <v>Omega</v>
      </c>
      <c r="D4262" s="3">
        <f>[1]Raw_Data!D4260</f>
        <v>121</v>
      </c>
      <c r="E4262" s="4">
        <f>[1]Raw_Data!E4260</f>
        <v>22.88</v>
      </c>
      <c r="F4262" s="5">
        <f>[1]Raw_Data!F4260</f>
        <v>2768.48</v>
      </c>
      <c r="G4262" s="4">
        <f>[1]Raw_Data!G4260</f>
        <v>0.01</v>
      </c>
      <c r="H4262" s="3">
        <f>[1]Raw_Data!H4260</f>
        <v>0</v>
      </c>
      <c r="I4262" s="3" t="str">
        <f>TRIM([1]Raw_Data!I4260)</f>
        <v>Canada</v>
      </c>
      <c r="J4262" s="3" t="str">
        <f>TRIM([1]Raw_Data!J4260)</f>
        <v>Amazon</v>
      </c>
      <c r="K4262" s="3">
        <f t="shared" si="264"/>
        <v>2025</v>
      </c>
      <c r="L4262" s="6">
        <f t="shared" si="265"/>
        <v>45689</v>
      </c>
      <c r="M4262" s="3" t="str">
        <f t="shared" si="266"/>
        <v>0% to 5%</v>
      </c>
      <c r="N4262" s="3" t="str">
        <f t="shared" si="267"/>
        <v>OK</v>
      </c>
    </row>
    <row r="4263" spans="1:14" x14ac:dyDescent="0.3">
      <c r="A4263" s="2">
        <f>DATE(VALUE(RIGHT(TRIM([1]Raw_Data!A4261),4)),VALUE(MID(TRIM([1]Raw_Data!A4261),4,2)),VALUE(LEFT(TRIM([1]Raw_Data!A4261),2)))</f>
        <v>45698</v>
      </c>
      <c r="B4263" s="3" t="str">
        <f>TRIM([1]Raw_Data!B4261)</f>
        <v>Multivitamin</v>
      </c>
      <c r="C4263" s="3" t="str">
        <f>TRIM([1]Raw_Data!C4261)</f>
        <v>Vitamin</v>
      </c>
      <c r="D4263" s="3">
        <f>[1]Raw_Data!D4261</f>
        <v>135</v>
      </c>
      <c r="E4263" s="4">
        <f>[1]Raw_Data!E4261</f>
        <v>50.17</v>
      </c>
      <c r="F4263" s="5">
        <f>[1]Raw_Data!F4261</f>
        <v>6772.95</v>
      </c>
      <c r="G4263" s="4">
        <f>[1]Raw_Data!G4261</f>
        <v>0.11</v>
      </c>
      <c r="H4263" s="3">
        <f>[1]Raw_Data!H4261</f>
        <v>0</v>
      </c>
      <c r="I4263" s="3" t="str">
        <f>TRIM([1]Raw_Data!I4261)</f>
        <v>UK</v>
      </c>
      <c r="J4263" s="3" t="str">
        <f>TRIM([1]Raw_Data!J4261)</f>
        <v>Walmart</v>
      </c>
      <c r="K4263" s="3">
        <f t="shared" si="264"/>
        <v>2025</v>
      </c>
      <c r="L4263" s="6">
        <f t="shared" si="265"/>
        <v>45689</v>
      </c>
      <c r="M4263" s="3" t="str">
        <f t="shared" si="266"/>
        <v>11% to 15%</v>
      </c>
      <c r="N4263" s="3" t="str">
        <f t="shared" si="267"/>
        <v>OK</v>
      </c>
    </row>
    <row r="4264" spans="1:14" x14ac:dyDescent="0.3">
      <c r="A4264" s="2">
        <f>DATE(VALUE(RIGHT(TRIM([1]Raw_Data!A4262),4)),VALUE(MID(TRIM([1]Raw_Data!A4262),4,2)),VALUE(LEFT(TRIM([1]Raw_Data!A4262),2)))</f>
        <v>45698</v>
      </c>
      <c r="B4264" s="3" t="str">
        <f>TRIM([1]Raw_Data!B4262)</f>
        <v>Pre-Workout</v>
      </c>
      <c r="C4264" s="3" t="str">
        <f>TRIM([1]Raw_Data!C4262)</f>
        <v>Performance</v>
      </c>
      <c r="D4264" s="3">
        <f>[1]Raw_Data!D4262</f>
        <v>131</v>
      </c>
      <c r="E4264" s="4">
        <f>[1]Raw_Data!E4262</f>
        <v>49.9</v>
      </c>
      <c r="F4264" s="5">
        <f>[1]Raw_Data!F4262</f>
        <v>6536.9</v>
      </c>
      <c r="G4264" s="4">
        <f>[1]Raw_Data!G4262</f>
        <v>0.09</v>
      </c>
      <c r="H4264" s="3">
        <f>[1]Raw_Data!H4262</f>
        <v>0</v>
      </c>
      <c r="I4264" s="3" t="str">
        <f>TRIM([1]Raw_Data!I4262)</f>
        <v>UK</v>
      </c>
      <c r="J4264" s="3" t="str">
        <f>TRIM([1]Raw_Data!J4262)</f>
        <v>iHerb</v>
      </c>
      <c r="K4264" s="3">
        <f t="shared" si="264"/>
        <v>2025</v>
      </c>
      <c r="L4264" s="6">
        <f t="shared" si="265"/>
        <v>45689</v>
      </c>
      <c r="M4264" s="3" t="str">
        <f t="shared" si="266"/>
        <v>6% to 10%</v>
      </c>
      <c r="N4264" s="3" t="str">
        <f t="shared" si="267"/>
        <v>OK</v>
      </c>
    </row>
    <row r="4265" spans="1:14" x14ac:dyDescent="0.3">
      <c r="A4265" s="2">
        <f>DATE(VALUE(RIGHT(TRIM([1]Raw_Data!A4263),4)),VALUE(MID(TRIM([1]Raw_Data!A4263),4,2)),VALUE(LEFT(TRIM([1]Raw_Data!A4263),2)))</f>
        <v>45698</v>
      </c>
      <c r="B4265" s="3" t="str">
        <f>TRIM([1]Raw_Data!B4263)</f>
        <v>BCAA</v>
      </c>
      <c r="C4265" s="3" t="str">
        <f>TRIM([1]Raw_Data!C4263)</f>
        <v>Amino Acid</v>
      </c>
      <c r="D4265" s="3">
        <f>[1]Raw_Data!D4263</f>
        <v>147</v>
      </c>
      <c r="E4265" s="4">
        <f>[1]Raw_Data!E4263</f>
        <v>11.48</v>
      </c>
      <c r="F4265" s="5">
        <f>[1]Raw_Data!F4263</f>
        <v>1687.56</v>
      </c>
      <c r="G4265" s="4">
        <f>[1]Raw_Data!G4263</f>
        <v>0.16</v>
      </c>
      <c r="H4265" s="3">
        <f>[1]Raw_Data!H4263</f>
        <v>1</v>
      </c>
      <c r="I4265" s="3" t="str">
        <f>TRIM([1]Raw_Data!I4263)</f>
        <v>USA</v>
      </c>
      <c r="J4265" s="3" t="str">
        <f>TRIM([1]Raw_Data!J4263)</f>
        <v>Walmart</v>
      </c>
      <c r="K4265" s="3">
        <f t="shared" si="264"/>
        <v>2025</v>
      </c>
      <c r="L4265" s="6">
        <f t="shared" si="265"/>
        <v>45689</v>
      </c>
      <c r="M4265" s="3" t="str">
        <f t="shared" si="266"/>
        <v>16% to 20%</v>
      </c>
      <c r="N4265" s="3" t="str">
        <f t="shared" si="267"/>
        <v>OK</v>
      </c>
    </row>
    <row r="4266" spans="1:14" x14ac:dyDescent="0.3">
      <c r="A4266" s="2">
        <f>DATE(VALUE(RIGHT(TRIM([1]Raw_Data!A4264),4)),VALUE(MID(TRIM([1]Raw_Data!A4264),4,2)),VALUE(LEFT(TRIM([1]Raw_Data!A4264),2)))</f>
        <v>45698</v>
      </c>
      <c r="B4266" s="3" t="str">
        <f>TRIM([1]Raw_Data!B4264)</f>
        <v>Creatine</v>
      </c>
      <c r="C4266" s="3" t="str">
        <f>TRIM([1]Raw_Data!C4264)</f>
        <v>Performance</v>
      </c>
      <c r="D4266" s="3">
        <f>[1]Raw_Data!D4264</f>
        <v>158</v>
      </c>
      <c r="E4266" s="4">
        <f>[1]Raw_Data!E4264</f>
        <v>27.1</v>
      </c>
      <c r="F4266" s="5">
        <f>[1]Raw_Data!F4264</f>
        <v>4281.8</v>
      </c>
      <c r="G4266" s="4">
        <f>[1]Raw_Data!G4264</f>
        <v>0.13</v>
      </c>
      <c r="H4266" s="3">
        <f>[1]Raw_Data!H4264</f>
        <v>1</v>
      </c>
      <c r="I4266" s="3" t="str">
        <f>TRIM([1]Raw_Data!I4264)</f>
        <v>USA</v>
      </c>
      <c r="J4266" s="3" t="str">
        <f>TRIM([1]Raw_Data!J4264)</f>
        <v>Walmart</v>
      </c>
      <c r="K4266" s="3">
        <f t="shared" si="264"/>
        <v>2025</v>
      </c>
      <c r="L4266" s="6">
        <f t="shared" si="265"/>
        <v>45689</v>
      </c>
      <c r="M4266" s="3" t="str">
        <f t="shared" si="266"/>
        <v>11% to 15%</v>
      </c>
      <c r="N4266" s="3" t="str">
        <f t="shared" si="267"/>
        <v>OK</v>
      </c>
    </row>
    <row r="4267" spans="1:14" x14ac:dyDescent="0.3">
      <c r="A4267" s="2">
        <f>DATE(VALUE(RIGHT(TRIM([1]Raw_Data!A4265),4)),VALUE(MID(TRIM([1]Raw_Data!A4265),4,2)),VALUE(LEFT(TRIM([1]Raw_Data!A4265),2)))</f>
        <v>45698</v>
      </c>
      <c r="B4267" s="3" t="str">
        <f>TRIM([1]Raw_Data!B4265)</f>
        <v>Zinc</v>
      </c>
      <c r="C4267" s="3" t="str">
        <f>TRIM([1]Raw_Data!C4265)</f>
        <v>Mineral</v>
      </c>
      <c r="D4267" s="3">
        <f>[1]Raw_Data!D4265</f>
        <v>157</v>
      </c>
      <c r="E4267" s="4">
        <f>[1]Raw_Data!E4265</f>
        <v>14.09</v>
      </c>
      <c r="F4267" s="5">
        <f>[1]Raw_Data!F4265</f>
        <v>2212.13</v>
      </c>
      <c r="G4267" s="4">
        <f>[1]Raw_Data!G4265</f>
        <v>0.16</v>
      </c>
      <c r="H4267" s="3">
        <f>[1]Raw_Data!H4265</f>
        <v>2</v>
      </c>
      <c r="I4267" s="3" t="str">
        <f>TRIM([1]Raw_Data!I4265)</f>
        <v>Canada</v>
      </c>
      <c r="J4267" s="3" t="str">
        <f>TRIM([1]Raw_Data!J4265)</f>
        <v>iHerb</v>
      </c>
      <c r="K4267" s="3">
        <f t="shared" si="264"/>
        <v>2025</v>
      </c>
      <c r="L4267" s="6">
        <f t="shared" si="265"/>
        <v>45689</v>
      </c>
      <c r="M4267" s="3" t="str">
        <f t="shared" si="266"/>
        <v>16% to 20%</v>
      </c>
      <c r="N4267" s="3" t="str">
        <f t="shared" si="267"/>
        <v>OK</v>
      </c>
    </row>
    <row r="4268" spans="1:14" x14ac:dyDescent="0.3">
      <c r="A4268" s="2">
        <f>DATE(VALUE(RIGHT(TRIM([1]Raw_Data!A4266),4)),VALUE(MID(TRIM([1]Raw_Data!A4266),4,2)),VALUE(LEFT(TRIM([1]Raw_Data!A4266),2)))</f>
        <v>45698</v>
      </c>
      <c r="B4268" s="3" t="str">
        <f>TRIM([1]Raw_Data!B4266)</f>
        <v>Collagen Peptides</v>
      </c>
      <c r="C4268" s="3" t="str">
        <f>TRIM([1]Raw_Data!C4266)</f>
        <v>Protein</v>
      </c>
      <c r="D4268" s="3">
        <f>[1]Raw_Data!D4266</f>
        <v>145</v>
      </c>
      <c r="E4268" s="4">
        <f>[1]Raw_Data!E4266</f>
        <v>52.15</v>
      </c>
      <c r="F4268" s="5">
        <f>[1]Raw_Data!F4266</f>
        <v>7561.75</v>
      </c>
      <c r="G4268" s="4">
        <f>[1]Raw_Data!G4266</f>
        <v>0.04</v>
      </c>
      <c r="H4268" s="3">
        <f>[1]Raw_Data!H4266</f>
        <v>3</v>
      </c>
      <c r="I4268" s="3" t="str">
        <f>TRIM([1]Raw_Data!I4266)</f>
        <v>Canada</v>
      </c>
      <c r="J4268" s="3" t="str">
        <f>TRIM([1]Raw_Data!J4266)</f>
        <v>iHerb</v>
      </c>
      <c r="K4268" s="3">
        <f t="shared" si="264"/>
        <v>2025</v>
      </c>
      <c r="L4268" s="6">
        <f t="shared" si="265"/>
        <v>45689</v>
      </c>
      <c r="M4268" s="3" t="str">
        <f t="shared" si="266"/>
        <v>0% to 5%</v>
      </c>
      <c r="N4268" s="3" t="str">
        <f t="shared" si="267"/>
        <v>OK</v>
      </c>
    </row>
    <row r="4269" spans="1:14" x14ac:dyDescent="0.3">
      <c r="A4269" s="2">
        <f>DATE(VALUE(RIGHT(TRIM([1]Raw_Data!A4267),4)),VALUE(MID(TRIM([1]Raw_Data!A4267),4,2)),VALUE(LEFT(TRIM([1]Raw_Data!A4267),2)))</f>
        <v>45698</v>
      </c>
      <c r="B4269" s="3" t="str">
        <f>TRIM([1]Raw_Data!B4267)</f>
        <v>Magnesium</v>
      </c>
      <c r="C4269" s="3" t="str">
        <f>TRIM([1]Raw_Data!C4267)</f>
        <v>Mineral</v>
      </c>
      <c r="D4269" s="3">
        <f>[1]Raw_Data!D4267</f>
        <v>148</v>
      </c>
      <c r="E4269" s="4">
        <f>[1]Raw_Data!E4267</f>
        <v>50.7</v>
      </c>
      <c r="F4269" s="5">
        <f>[1]Raw_Data!F4267</f>
        <v>7503.6</v>
      </c>
      <c r="G4269" s="4">
        <f>[1]Raw_Data!G4267</f>
        <v>0.13</v>
      </c>
      <c r="H4269" s="3">
        <f>[1]Raw_Data!H4267</f>
        <v>1</v>
      </c>
      <c r="I4269" s="3" t="str">
        <f>TRIM([1]Raw_Data!I4267)</f>
        <v>USA</v>
      </c>
      <c r="J4269" s="3" t="str">
        <f>TRIM([1]Raw_Data!J4267)</f>
        <v>Amazon</v>
      </c>
      <c r="K4269" s="3">
        <f t="shared" si="264"/>
        <v>2025</v>
      </c>
      <c r="L4269" s="6">
        <f t="shared" si="265"/>
        <v>45689</v>
      </c>
      <c r="M4269" s="3" t="str">
        <f t="shared" si="266"/>
        <v>11% to 15%</v>
      </c>
      <c r="N4269" s="3" t="str">
        <f t="shared" si="267"/>
        <v>OK</v>
      </c>
    </row>
    <row r="4270" spans="1:14" x14ac:dyDescent="0.3">
      <c r="A4270" s="2">
        <f>DATE(VALUE(RIGHT(TRIM([1]Raw_Data!A4268),4)),VALUE(MID(TRIM([1]Raw_Data!A4268),4,2)),VALUE(LEFT(TRIM([1]Raw_Data!A4268),2)))</f>
        <v>45698</v>
      </c>
      <c r="B4270" s="3" t="str">
        <f>TRIM([1]Raw_Data!B4268)</f>
        <v>Ashwagandha</v>
      </c>
      <c r="C4270" s="3" t="str">
        <f>TRIM([1]Raw_Data!C4268)</f>
        <v>Herbal</v>
      </c>
      <c r="D4270" s="3">
        <f>[1]Raw_Data!D4268</f>
        <v>170</v>
      </c>
      <c r="E4270" s="4">
        <f>[1]Raw_Data!E4268</f>
        <v>22.85</v>
      </c>
      <c r="F4270" s="5">
        <f>[1]Raw_Data!F4268</f>
        <v>3884.5</v>
      </c>
      <c r="G4270" s="4">
        <f>[1]Raw_Data!G4268</f>
        <v>0.09</v>
      </c>
      <c r="H4270" s="3">
        <f>[1]Raw_Data!H4268</f>
        <v>3</v>
      </c>
      <c r="I4270" s="3" t="str">
        <f>TRIM([1]Raw_Data!I4268)</f>
        <v>UK</v>
      </c>
      <c r="J4270" s="3" t="str">
        <f>TRIM([1]Raw_Data!J4268)</f>
        <v>Amazon</v>
      </c>
      <c r="K4270" s="3">
        <f t="shared" si="264"/>
        <v>2025</v>
      </c>
      <c r="L4270" s="6">
        <f t="shared" si="265"/>
        <v>45689</v>
      </c>
      <c r="M4270" s="3" t="str">
        <f t="shared" si="266"/>
        <v>6% to 10%</v>
      </c>
      <c r="N4270" s="3" t="str">
        <f t="shared" si="267"/>
        <v>OK</v>
      </c>
    </row>
    <row r="4271" spans="1:14" x14ac:dyDescent="0.3">
      <c r="A4271" s="2">
        <f>DATE(VALUE(RIGHT(TRIM([1]Raw_Data!A4269),4)),VALUE(MID(TRIM([1]Raw_Data!A4269),4,2)),VALUE(LEFT(TRIM([1]Raw_Data!A4269),2)))</f>
        <v>45698</v>
      </c>
      <c r="B4271" s="3" t="str">
        <f>TRIM([1]Raw_Data!B4269)</f>
        <v>Melatonin</v>
      </c>
      <c r="C4271" s="3" t="str">
        <f>TRIM([1]Raw_Data!C4269)</f>
        <v>Sleep Aid</v>
      </c>
      <c r="D4271" s="3">
        <f>[1]Raw_Data!D4269</f>
        <v>174</v>
      </c>
      <c r="E4271" s="4">
        <f>[1]Raw_Data!E4269</f>
        <v>53.19</v>
      </c>
      <c r="F4271" s="5">
        <f>[1]Raw_Data!F4269</f>
        <v>9255.06</v>
      </c>
      <c r="G4271" s="4">
        <f>[1]Raw_Data!G4269</f>
        <v>0.06</v>
      </c>
      <c r="H4271" s="3">
        <f>[1]Raw_Data!H4269</f>
        <v>5</v>
      </c>
      <c r="I4271" s="3" t="str">
        <f>TRIM([1]Raw_Data!I4269)</f>
        <v>Canada</v>
      </c>
      <c r="J4271" s="3" t="str">
        <f>TRIM([1]Raw_Data!J4269)</f>
        <v>Walmart</v>
      </c>
      <c r="K4271" s="3">
        <f t="shared" si="264"/>
        <v>2025</v>
      </c>
      <c r="L4271" s="6">
        <f t="shared" si="265"/>
        <v>45689</v>
      </c>
      <c r="M4271" s="3" t="str">
        <f t="shared" si="266"/>
        <v>6% to 10%</v>
      </c>
      <c r="N4271" s="3" t="str">
        <f t="shared" si="267"/>
        <v>OK</v>
      </c>
    </row>
    <row r="4272" spans="1:14" x14ac:dyDescent="0.3">
      <c r="A4272" s="2">
        <f>DATE(VALUE(RIGHT(TRIM([1]Raw_Data!A4270),4)),VALUE(MID(TRIM([1]Raw_Data!A4270),4,2)),VALUE(LEFT(TRIM([1]Raw_Data!A4270),2)))</f>
        <v>45698</v>
      </c>
      <c r="B4272" s="3" t="str">
        <f>TRIM([1]Raw_Data!B4270)</f>
        <v>Biotin</v>
      </c>
      <c r="C4272" s="3" t="str">
        <f>TRIM([1]Raw_Data!C4270)</f>
        <v>Vitamin</v>
      </c>
      <c r="D4272" s="3">
        <f>[1]Raw_Data!D4270</f>
        <v>153</v>
      </c>
      <c r="E4272" s="4">
        <f>[1]Raw_Data!E4270</f>
        <v>11.71</v>
      </c>
      <c r="F4272" s="5">
        <f>[1]Raw_Data!F4270</f>
        <v>1791.63</v>
      </c>
      <c r="G4272" s="4">
        <f>[1]Raw_Data!G4270</f>
        <v>0.04</v>
      </c>
      <c r="H4272" s="3">
        <f>[1]Raw_Data!H4270</f>
        <v>0</v>
      </c>
      <c r="I4272" s="3" t="str">
        <f>TRIM([1]Raw_Data!I4270)</f>
        <v>UK</v>
      </c>
      <c r="J4272" s="3" t="str">
        <f>TRIM([1]Raw_Data!J4270)</f>
        <v>iHerb</v>
      </c>
      <c r="K4272" s="3">
        <f t="shared" si="264"/>
        <v>2025</v>
      </c>
      <c r="L4272" s="6">
        <f t="shared" si="265"/>
        <v>45689</v>
      </c>
      <c r="M4272" s="3" t="str">
        <f t="shared" si="266"/>
        <v>0% to 5%</v>
      </c>
      <c r="N4272" s="3" t="str">
        <f t="shared" si="267"/>
        <v>OK</v>
      </c>
    </row>
    <row r="4273" spans="1:14" x14ac:dyDescent="0.3">
      <c r="A4273" s="2">
        <f>DATE(VALUE(RIGHT(TRIM([1]Raw_Data!A4271),4)),VALUE(MID(TRIM([1]Raw_Data!A4271),4,2)),VALUE(LEFT(TRIM([1]Raw_Data!A4271),2)))</f>
        <v>45698</v>
      </c>
      <c r="B4273" s="3" t="str">
        <f>TRIM([1]Raw_Data!B4271)</f>
        <v>Green Tea Extract</v>
      </c>
      <c r="C4273" s="3" t="str">
        <f>TRIM([1]Raw_Data!C4271)</f>
        <v>Fat Burner</v>
      </c>
      <c r="D4273" s="3">
        <f>[1]Raw_Data!D4271</f>
        <v>160</v>
      </c>
      <c r="E4273" s="4">
        <f>[1]Raw_Data!E4271</f>
        <v>58.46</v>
      </c>
      <c r="F4273" s="5">
        <f>[1]Raw_Data!F4271</f>
        <v>9353.6</v>
      </c>
      <c r="G4273" s="4">
        <f>[1]Raw_Data!G4271</f>
        <v>0.16</v>
      </c>
      <c r="H4273" s="3">
        <f>[1]Raw_Data!H4271</f>
        <v>2</v>
      </c>
      <c r="I4273" s="3" t="str">
        <f>TRIM([1]Raw_Data!I4271)</f>
        <v>UK</v>
      </c>
      <c r="J4273" s="3" t="str">
        <f>TRIM([1]Raw_Data!J4271)</f>
        <v>iHerb</v>
      </c>
      <c r="K4273" s="3">
        <f t="shared" si="264"/>
        <v>2025</v>
      </c>
      <c r="L4273" s="6">
        <f t="shared" si="265"/>
        <v>45689</v>
      </c>
      <c r="M4273" s="3" t="str">
        <f t="shared" si="266"/>
        <v>16% to 20%</v>
      </c>
      <c r="N4273" s="3" t="str">
        <f t="shared" si="267"/>
        <v>OK</v>
      </c>
    </row>
    <row r="4274" spans="1:14" x14ac:dyDescent="0.3">
      <c r="A4274" s="2">
        <f>DATE(VALUE(RIGHT(TRIM([1]Raw_Data!A4272),4)),VALUE(MID(TRIM([1]Raw_Data!A4272),4,2)),VALUE(LEFT(TRIM([1]Raw_Data!A4272),2)))</f>
        <v>45698</v>
      </c>
      <c r="B4274" s="3" t="str">
        <f>TRIM([1]Raw_Data!B4272)</f>
        <v>Iron Supplement</v>
      </c>
      <c r="C4274" s="3" t="str">
        <f>TRIM([1]Raw_Data!C4272)</f>
        <v>Mineral</v>
      </c>
      <c r="D4274" s="3">
        <f>[1]Raw_Data!D4272</f>
        <v>139</v>
      </c>
      <c r="E4274" s="4">
        <f>[1]Raw_Data!E4272</f>
        <v>43.39</v>
      </c>
      <c r="F4274" s="5">
        <f>[1]Raw_Data!F4272</f>
        <v>6031.21</v>
      </c>
      <c r="G4274" s="4">
        <f>[1]Raw_Data!G4272</f>
        <v>0.22</v>
      </c>
      <c r="H4274" s="3">
        <f>[1]Raw_Data!H4272</f>
        <v>4</v>
      </c>
      <c r="I4274" s="3" t="str">
        <f>TRIM([1]Raw_Data!I4272)</f>
        <v>UK</v>
      </c>
      <c r="J4274" s="3" t="str">
        <f>TRIM([1]Raw_Data!J4272)</f>
        <v>Walmart</v>
      </c>
      <c r="K4274" s="3">
        <f t="shared" si="264"/>
        <v>2025</v>
      </c>
      <c r="L4274" s="6">
        <f t="shared" si="265"/>
        <v>45689</v>
      </c>
      <c r="M4274" s="3" t="str">
        <f t="shared" si="266"/>
        <v>21% to 25%</v>
      </c>
      <c r="N4274" s="3" t="str">
        <f t="shared" si="267"/>
        <v>OK</v>
      </c>
    </row>
    <row r="4275" spans="1:14" x14ac:dyDescent="0.3">
      <c r="A4275" s="2">
        <f>DATE(VALUE(RIGHT(TRIM([1]Raw_Data!A4273),4)),VALUE(MID(TRIM([1]Raw_Data!A4273),4,2)),VALUE(LEFT(TRIM([1]Raw_Data!A4273),2)))</f>
        <v>45698</v>
      </c>
      <c r="B4275" s="3" t="str">
        <f>TRIM([1]Raw_Data!B4273)</f>
        <v>Electrolyte Powder</v>
      </c>
      <c r="C4275" s="3" t="str">
        <f>TRIM([1]Raw_Data!C4273)</f>
        <v>Hydration</v>
      </c>
      <c r="D4275" s="3">
        <f>[1]Raw_Data!D4273</f>
        <v>134</v>
      </c>
      <c r="E4275" s="4">
        <f>[1]Raw_Data!E4273</f>
        <v>50.17</v>
      </c>
      <c r="F4275" s="5">
        <f>[1]Raw_Data!F4273</f>
        <v>6722.78</v>
      </c>
      <c r="G4275" s="4">
        <f>[1]Raw_Data!G4273</f>
        <v>0.22</v>
      </c>
      <c r="H4275" s="3">
        <f>[1]Raw_Data!H4273</f>
        <v>1</v>
      </c>
      <c r="I4275" s="3" t="str">
        <f>TRIM([1]Raw_Data!I4273)</f>
        <v>UK</v>
      </c>
      <c r="J4275" s="3" t="str">
        <f>TRIM([1]Raw_Data!J4273)</f>
        <v>Walmart</v>
      </c>
      <c r="K4275" s="3">
        <f t="shared" si="264"/>
        <v>2025</v>
      </c>
      <c r="L4275" s="6">
        <f t="shared" si="265"/>
        <v>45689</v>
      </c>
      <c r="M4275" s="3" t="str">
        <f t="shared" si="266"/>
        <v>21% to 25%</v>
      </c>
      <c r="N4275" s="3" t="str">
        <f t="shared" si="267"/>
        <v>OK</v>
      </c>
    </row>
    <row r="4276" spans="1:14" x14ac:dyDescent="0.3">
      <c r="A4276" s="2">
        <f>DATE(VALUE(RIGHT(TRIM([1]Raw_Data!A4274),4)),VALUE(MID(TRIM([1]Raw_Data!A4274),4,2)),VALUE(LEFT(TRIM([1]Raw_Data!A4274),2)))</f>
        <v>45705</v>
      </c>
      <c r="B4276" s="3" t="str">
        <f>TRIM([1]Raw_Data!B4274)</f>
        <v>Whey Protein</v>
      </c>
      <c r="C4276" s="3" t="str">
        <f>TRIM([1]Raw_Data!C4274)</f>
        <v>Protein</v>
      </c>
      <c r="D4276" s="3">
        <f>[1]Raw_Data!D4274</f>
        <v>145</v>
      </c>
      <c r="E4276" s="4">
        <f>[1]Raw_Data!E4274</f>
        <v>25.28</v>
      </c>
      <c r="F4276" s="5">
        <f>[1]Raw_Data!F4274</f>
        <v>3665.6</v>
      </c>
      <c r="G4276" s="4">
        <f>[1]Raw_Data!G4274</f>
        <v>0.06</v>
      </c>
      <c r="H4276" s="3">
        <f>[1]Raw_Data!H4274</f>
        <v>1</v>
      </c>
      <c r="I4276" s="3" t="str">
        <f>TRIM([1]Raw_Data!I4274)</f>
        <v>USA</v>
      </c>
      <c r="J4276" s="3" t="str">
        <f>TRIM([1]Raw_Data!J4274)</f>
        <v>Walmart</v>
      </c>
      <c r="K4276" s="3">
        <f t="shared" si="264"/>
        <v>2025</v>
      </c>
      <c r="L4276" s="6">
        <f t="shared" si="265"/>
        <v>45689</v>
      </c>
      <c r="M4276" s="3" t="str">
        <f t="shared" si="266"/>
        <v>6% to 10%</v>
      </c>
      <c r="N4276" s="3" t="str">
        <f t="shared" si="267"/>
        <v>OK</v>
      </c>
    </row>
    <row r="4277" spans="1:14" x14ac:dyDescent="0.3">
      <c r="A4277" s="2">
        <f>DATE(VALUE(RIGHT(TRIM([1]Raw_Data!A4275),4)),VALUE(MID(TRIM([1]Raw_Data!A4275),4,2)),VALUE(LEFT(TRIM([1]Raw_Data!A4275),2)))</f>
        <v>45705</v>
      </c>
      <c r="B4277" s="3" t="str">
        <f>TRIM([1]Raw_Data!B4275)</f>
        <v>Vitamin C</v>
      </c>
      <c r="C4277" s="3" t="str">
        <f>TRIM([1]Raw_Data!C4275)</f>
        <v>Vitamin</v>
      </c>
      <c r="D4277" s="3">
        <f>[1]Raw_Data!D4275</f>
        <v>139</v>
      </c>
      <c r="E4277" s="4">
        <f>[1]Raw_Data!E4275</f>
        <v>57.83</v>
      </c>
      <c r="F4277" s="5">
        <f>[1]Raw_Data!F4275</f>
        <v>8038.37</v>
      </c>
      <c r="G4277" s="4">
        <f>[1]Raw_Data!G4275</f>
        <v>0.21</v>
      </c>
      <c r="H4277" s="3">
        <f>[1]Raw_Data!H4275</f>
        <v>3</v>
      </c>
      <c r="I4277" s="3" t="str">
        <f>TRIM([1]Raw_Data!I4275)</f>
        <v>USA</v>
      </c>
      <c r="J4277" s="3" t="str">
        <f>TRIM([1]Raw_Data!J4275)</f>
        <v>iHerb</v>
      </c>
      <c r="K4277" s="3">
        <f t="shared" si="264"/>
        <v>2025</v>
      </c>
      <c r="L4277" s="6">
        <f t="shared" si="265"/>
        <v>45689</v>
      </c>
      <c r="M4277" s="3" t="str">
        <f t="shared" si="266"/>
        <v>21% to 25%</v>
      </c>
      <c r="N4277" s="3" t="str">
        <f t="shared" si="267"/>
        <v>OK</v>
      </c>
    </row>
    <row r="4278" spans="1:14" x14ac:dyDescent="0.3">
      <c r="A4278" s="2">
        <f>DATE(VALUE(RIGHT(TRIM([1]Raw_Data!A4276),4)),VALUE(MID(TRIM([1]Raw_Data!A4276),4,2)),VALUE(LEFT(TRIM([1]Raw_Data!A4276),2)))</f>
        <v>45705</v>
      </c>
      <c r="B4278" s="3" t="str">
        <f>TRIM([1]Raw_Data!B4276)</f>
        <v>Fish Oil</v>
      </c>
      <c r="C4278" s="3" t="str">
        <f>TRIM([1]Raw_Data!C4276)</f>
        <v>Omega</v>
      </c>
      <c r="D4278" s="3">
        <f>[1]Raw_Data!D4276</f>
        <v>162</v>
      </c>
      <c r="E4278" s="4">
        <f>[1]Raw_Data!E4276</f>
        <v>50.6</v>
      </c>
      <c r="F4278" s="5">
        <f>[1]Raw_Data!F4276</f>
        <v>8197.2000000000007</v>
      </c>
      <c r="G4278" s="4">
        <f>[1]Raw_Data!G4276</f>
        <v>0.23</v>
      </c>
      <c r="H4278" s="3">
        <f>[1]Raw_Data!H4276</f>
        <v>4</v>
      </c>
      <c r="I4278" s="3" t="str">
        <f>TRIM([1]Raw_Data!I4276)</f>
        <v>USA</v>
      </c>
      <c r="J4278" s="3" t="str">
        <f>TRIM([1]Raw_Data!J4276)</f>
        <v>iHerb</v>
      </c>
      <c r="K4278" s="3">
        <f t="shared" si="264"/>
        <v>2025</v>
      </c>
      <c r="L4278" s="6">
        <f t="shared" si="265"/>
        <v>45689</v>
      </c>
      <c r="M4278" s="3" t="str">
        <f t="shared" si="266"/>
        <v>21% to 25%</v>
      </c>
      <c r="N4278" s="3" t="str">
        <f t="shared" si="267"/>
        <v>OK</v>
      </c>
    </row>
    <row r="4279" spans="1:14" x14ac:dyDescent="0.3">
      <c r="A4279" s="2">
        <f>DATE(VALUE(RIGHT(TRIM([1]Raw_Data!A4277),4)),VALUE(MID(TRIM([1]Raw_Data!A4277),4,2)),VALUE(LEFT(TRIM([1]Raw_Data!A4277),2)))</f>
        <v>45705</v>
      </c>
      <c r="B4279" s="3" t="str">
        <f>TRIM([1]Raw_Data!B4277)</f>
        <v>Multivitamin</v>
      </c>
      <c r="C4279" s="3" t="str">
        <f>TRIM([1]Raw_Data!C4277)</f>
        <v>Vitamin</v>
      </c>
      <c r="D4279" s="3">
        <f>[1]Raw_Data!D4277</f>
        <v>157</v>
      </c>
      <c r="E4279" s="4">
        <f>[1]Raw_Data!E4277</f>
        <v>11.99</v>
      </c>
      <c r="F4279" s="5">
        <f>[1]Raw_Data!F4277</f>
        <v>1882.43</v>
      </c>
      <c r="G4279" s="4">
        <f>[1]Raw_Data!G4277</f>
        <v>0.04</v>
      </c>
      <c r="H4279" s="3">
        <f>[1]Raw_Data!H4277</f>
        <v>4</v>
      </c>
      <c r="I4279" s="3" t="str">
        <f>TRIM([1]Raw_Data!I4277)</f>
        <v>UK</v>
      </c>
      <c r="J4279" s="3" t="str">
        <f>TRIM([1]Raw_Data!J4277)</f>
        <v>Amazon</v>
      </c>
      <c r="K4279" s="3">
        <f t="shared" si="264"/>
        <v>2025</v>
      </c>
      <c r="L4279" s="6">
        <f t="shared" si="265"/>
        <v>45689</v>
      </c>
      <c r="M4279" s="3" t="str">
        <f t="shared" si="266"/>
        <v>0% to 5%</v>
      </c>
      <c r="N4279" s="3" t="str">
        <f t="shared" si="267"/>
        <v>OK</v>
      </c>
    </row>
    <row r="4280" spans="1:14" x14ac:dyDescent="0.3">
      <c r="A4280" s="2">
        <f>DATE(VALUE(RIGHT(TRIM([1]Raw_Data!A4278),4)),VALUE(MID(TRIM([1]Raw_Data!A4278),4,2)),VALUE(LEFT(TRIM([1]Raw_Data!A4278),2)))</f>
        <v>45705</v>
      </c>
      <c r="B4280" s="3" t="str">
        <f>TRIM([1]Raw_Data!B4278)</f>
        <v>Pre-Workout</v>
      </c>
      <c r="C4280" s="3" t="str">
        <f>TRIM([1]Raw_Data!C4278)</f>
        <v>Performance</v>
      </c>
      <c r="D4280" s="3">
        <f>[1]Raw_Data!D4278</f>
        <v>149</v>
      </c>
      <c r="E4280" s="4">
        <f>[1]Raw_Data!E4278</f>
        <v>33.25</v>
      </c>
      <c r="F4280" s="5">
        <f>[1]Raw_Data!F4278</f>
        <v>4954.25</v>
      </c>
      <c r="G4280" s="4">
        <f>[1]Raw_Data!G4278</f>
        <v>0.17</v>
      </c>
      <c r="H4280" s="3">
        <f>[1]Raw_Data!H4278</f>
        <v>0</v>
      </c>
      <c r="I4280" s="3" t="str">
        <f>TRIM([1]Raw_Data!I4278)</f>
        <v>Canada</v>
      </c>
      <c r="J4280" s="3" t="str">
        <f>TRIM([1]Raw_Data!J4278)</f>
        <v>iHerb</v>
      </c>
      <c r="K4280" s="3">
        <f t="shared" si="264"/>
        <v>2025</v>
      </c>
      <c r="L4280" s="6">
        <f t="shared" si="265"/>
        <v>45689</v>
      </c>
      <c r="M4280" s="3" t="str">
        <f t="shared" si="266"/>
        <v>16% to 20%</v>
      </c>
      <c r="N4280" s="3" t="str">
        <f t="shared" si="267"/>
        <v>OK</v>
      </c>
    </row>
    <row r="4281" spans="1:14" x14ac:dyDescent="0.3">
      <c r="A4281" s="2">
        <f>DATE(VALUE(RIGHT(TRIM([1]Raw_Data!A4279),4)),VALUE(MID(TRIM([1]Raw_Data!A4279),4,2)),VALUE(LEFT(TRIM([1]Raw_Data!A4279),2)))</f>
        <v>45705</v>
      </c>
      <c r="B4281" s="3" t="str">
        <f>TRIM([1]Raw_Data!B4279)</f>
        <v>BCAA</v>
      </c>
      <c r="C4281" s="3" t="str">
        <f>TRIM([1]Raw_Data!C4279)</f>
        <v>Amino Acid</v>
      </c>
      <c r="D4281" s="3">
        <f>[1]Raw_Data!D4279</f>
        <v>140</v>
      </c>
      <c r="E4281" s="4">
        <f>[1]Raw_Data!E4279</f>
        <v>41.53</v>
      </c>
      <c r="F4281" s="5">
        <f>[1]Raw_Data!F4279</f>
        <v>5814.2</v>
      </c>
      <c r="G4281" s="4">
        <f>[1]Raw_Data!G4279</f>
        <v>0.04</v>
      </c>
      <c r="H4281" s="3">
        <f>[1]Raw_Data!H4279</f>
        <v>2</v>
      </c>
      <c r="I4281" s="3" t="str">
        <f>TRIM([1]Raw_Data!I4279)</f>
        <v>UK</v>
      </c>
      <c r="J4281" s="3" t="str">
        <f>TRIM([1]Raw_Data!J4279)</f>
        <v>iHerb</v>
      </c>
      <c r="K4281" s="3">
        <f t="shared" si="264"/>
        <v>2025</v>
      </c>
      <c r="L4281" s="6">
        <f t="shared" si="265"/>
        <v>45689</v>
      </c>
      <c r="M4281" s="3" t="str">
        <f t="shared" si="266"/>
        <v>0% to 5%</v>
      </c>
      <c r="N4281" s="3" t="str">
        <f t="shared" si="267"/>
        <v>OK</v>
      </c>
    </row>
    <row r="4282" spans="1:14" x14ac:dyDescent="0.3">
      <c r="A4282" s="2">
        <f>DATE(VALUE(RIGHT(TRIM([1]Raw_Data!A4280),4)),VALUE(MID(TRIM([1]Raw_Data!A4280),4,2)),VALUE(LEFT(TRIM([1]Raw_Data!A4280),2)))</f>
        <v>45705</v>
      </c>
      <c r="B4282" s="3" t="str">
        <f>TRIM([1]Raw_Data!B4280)</f>
        <v>Creatine</v>
      </c>
      <c r="C4282" s="3" t="str">
        <f>TRIM([1]Raw_Data!C4280)</f>
        <v>Performance</v>
      </c>
      <c r="D4282" s="3">
        <f>[1]Raw_Data!D4280</f>
        <v>145</v>
      </c>
      <c r="E4282" s="4">
        <f>[1]Raw_Data!E4280</f>
        <v>14.9</v>
      </c>
      <c r="F4282" s="5">
        <f>[1]Raw_Data!F4280</f>
        <v>2160.5</v>
      </c>
      <c r="G4282" s="4">
        <f>[1]Raw_Data!G4280</f>
        <v>0.17</v>
      </c>
      <c r="H4282" s="3">
        <f>[1]Raw_Data!H4280</f>
        <v>1</v>
      </c>
      <c r="I4282" s="3" t="str">
        <f>TRIM([1]Raw_Data!I4280)</f>
        <v>Canada</v>
      </c>
      <c r="J4282" s="3" t="str">
        <f>TRIM([1]Raw_Data!J4280)</f>
        <v>Amazon</v>
      </c>
      <c r="K4282" s="3">
        <f t="shared" si="264"/>
        <v>2025</v>
      </c>
      <c r="L4282" s="6">
        <f t="shared" si="265"/>
        <v>45689</v>
      </c>
      <c r="M4282" s="3" t="str">
        <f t="shared" si="266"/>
        <v>16% to 20%</v>
      </c>
      <c r="N4282" s="3" t="str">
        <f t="shared" si="267"/>
        <v>OK</v>
      </c>
    </row>
    <row r="4283" spans="1:14" x14ac:dyDescent="0.3">
      <c r="A4283" s="2">
        <f>DATE(VALUE(RIGHT(TRIM([1]Raw_Data!A4281),4)),VALUE(MID(TRIM([1]Raw_Data!A4281),4,2)),VALUE(LEFT(TRIM([1]Raw_Data!A4281),2)))</f>
        <v>45705</v>
      </c>
      <c r="B4283" s="3" t="str">
        <f>TRIM([1]Raw_Data!B4281)</f>
        <v>Zinc</v>
      </c>
      <c r="C4283" s="3" t="str">
        <f>TRIM([1]Raw_Data!C4281)</f>
        <v>Mineral</v>
      </c>
      <c r="D4283" s="3">
        <f>[1]Raw_Data!D4281</f>
        <v>161</v>
      </c>
      <c r="E4283" s="4">
        <f>[1]Raw_Data!E4281</f>
        <v>43.27</v>
      </c>
      <c r="F4283" s="5">
        <f>[1]Raw_Data!F4281</f>
        <v>6966.47</v>
      </c>
      <c r="G4283" s="4">
        <f>[1]Raw_Data!G4281</f>
        <v>0.23</v>
      </c>
      <c r="H4283" s="3">
        <f>[1]Raw_Data!H4281</f>
        <v>0</v>
      </c>
      <c r="I4283" s="3" t="str">
        <f>TRIM([1]Raw_Data!I4281)</f>
        <v>UK</v>
      </c>
      <c r="J4283" s="3" t="str">
        <f>TRIM([1]Raw_Data!J4281)</f>
        <v>iHerb</v>
      </c>
      <c r="K4283" s="3">
        <f t="shared" si="264"/>
        <v>2025</v>
      </c>
      <c r="L4283" s="6">
        <f t="shared" si="265"/>
        <v>45689</v>
      </c>
      <c r="M4283" s="3" t="str">
        <f t="shared" si="266"/>
        <v>21% to 25%</v>
      </c>
      <c r="N4283" s="3" t="str">
        <f t="shared" si="267"/>
        <v>OK</v>
      </c>
    </row>
    <row r="4284" spans="1:14" x14ac:dyDescent="0.3">
      <c r="A4284" s="2">
        <f>DATE(VALUE(RIGHT(TRIM([1]Raw_Data!A4282),4)),VALUE(MID(TRIM([1]Raw_Data!A4282),4,2)),VALUE(LEFT(TRIM([1]Raw_Data!A4282),2)))</f>
        <v>45705</v>
      </c>
      <c r="B4284" s="3" t="str">
        <f>TRIM([1]Raw_Data!B4282)</f>
        <v>Collagen Peptides</v>
      </c>
      <c r="C4284" s="3" t="str">
        <f>TRIM([1]Raw_Data!C4282)</f>
        <v>Protein</v>
      </c>
      <c r="D4284" s="3">
        <f>[1]Raw_Data!D4282</f>
        <v>155</v>
      </c>
      <c r="E4284" s="4">
        <f>[1]Raw_Data!E4282</f>
        <v>34.72</v>
      </c>
      <c r="F4284" s="5">
        <f>[1]Raw_Data!F4282</f>
        <v>5381.6</v>
      </c>
      <c r="G4284" s="4">
        <f>[1]Raw_Data!G4282</f>
        <v>0.01</v>
      </c>
      <c r="H4284" s="3">
        <f>[1]Raw_Data!H4282</f>
        <v>0</v>
      </c>
      <c r="I4284" s="3" t="str">
        <f>TRIM([1]Raw_Data!I4282)</f>
        <v>USA</v>
      </c>
      <c r="J4284" s="3" t="str">
        <f>TRIM([1]Raw_Data!J4282)</f>
        <v>Walmart</v>
      </c>
      <c r="K4284" s="3">
        <f t="shared" si="264"/>
        <v>2025</v>
      </c>
      <c r="L4284" s="6">
        <f t="shared" si="265"/>
        <v>45689</v>
      </c>
      <c r="M4284" s="3" t="str">
        <f t="shared" si="266"/>
        <v>0% to 5%</v>
      </c>
      <c r="N4284" s="3" t="str">
        <f t="shared" si="267"/>
        <v>OK</v>
      </c>
    </row>
    <row r="4285" spans="1:14" x14ac:dyDescent="0.3">
      <c r="A4285" s="2">
        <f>DATE(VALUE(RIGHT(TRIM([1]Raw_Data!A4283),4)),VALUE(MID(TRIM([1]Raw_Data!A4283),4,2)),VALUE(LEFT(TRIM([1]Raw_Data!A4283),2)))</f>
        <v>45705</v>
      </c>
      <c r="B4285" s="3" t="str">
        <f>TRIM([1]Raw_Data!B4283)</f>
        <v>Magnesium</v>
      </c>
      <c r="C4285" s="3" t="str">
        <f>TRIM([1]Raw_Data!C4283)</f>
        <v>Mineral</v>
      </c>
      <c r="D4285" s="3">
        <f>[1]Raw_Data!D4283</f>
        <v>147</v>
      </c>
      <c r="E4285" s="4">
        <f>[1]Raw_Data!E4283</f>
        <v>33.979999999999997</v>
      </c>
      <c r="F4285" s="5">
        <f>[1]Raw_Data!F4283</f>
        <v>4995.0600000000004</v>
      </c>
      <c r="G4285" s="4">
        <f>[1]Raw_Data!G4283</f>
        <v>0.15</v>
      </c>
      <c r="H4285" s="3">
        <f>[1]Raw_Data!H4283</f>
        <v>3</v>
      </c>
      <c r="I4285" s="3" t="str">
        <f>TRIM([1]Raw_Data!I4283)</f>
        <v>UK</v>
      </c>
      <c r="J4285" s="3" t="str">
        <f>TRIM([1]Raw_Data!J4283)</f>
        <v>Amazon</v>
      </c>
      <c r="K4285" s="3">
        <f t="shared" si="264"/>
        <v>2025</v>
      </c>
      <c r="L4285" s="6">
        <f t="shared" si="265"/>
        <v>45689</v>
      </c>
      <c r="M4285" s="3" t="str">
        <f t="shared" si="266"/>
        <v>11% to 15%</v>
      </c>
      <c r="N4285" s="3" t="str">
        <f t="shared" si="267"/>
        <v>OK</v>
      </c>
    </row>
    <row r="4286" spans="1:14" x14ac:dyDescent="0.3">
      <c r="A4286" s="2">
        <f>DATE(VALUE(RIGHT(TRIM([1]Raw_Data!A4284),4)),VALUE(MID(TRIM([1]Raw_Data!A4284),4,2)),VALUE(LEFT(TRIM([1]Raw_Data!A4284),2)))</f>
        <v>45705</v>
      </c>
      <c r="B4286" s="3" t="str">
        <f>TRIM([1]Raw_Data!B4284)</f>
        <v>Ashwagandha</v>
      </c>
      <c r="C4286" s="3" t="str">
        <f>TRIM([1]Raw_Data!C4284)</f>
        <v>Herbal</v>
      </c>
      <c r="D4286" s="3">
        <f>[1]Raw_Data!D4284</f>
        <v>143</v>
      </c>
      <c r="E4286" s="4">
        <f>[1]Raw_Data!E4284</f>
        <v>53.08</v>
      </c>
      <c r="F4286" s="5">
        <f>[1]Raw_Data!F4284</f>
        <v>7590.44</v>
      </c>
      <c r="G4286" s="4">
        <f>[1]Raw_Data!G4284</f>
        <v>0.05</v>
      </c>
      <c r="H4286" s="3">
        <f>[1]Raw_Data!H4284</f>
        <v>1</v>
      </c>
      <c r="I4286" s="3" t="str">
        <f>TRIM([1]Raw_Data!I4284)</f>
        <v>UK</v>
      </c>
      <c r="J4286" s="3" t="str">
        <f>TRIM([1]Raw_Data!J4284)</f>
        <v>Walmart</v>
      </c>
      <c r="K4286" s="3">
        <f t="shared" si="264"/>
        <v>2025</v>
      </c>
      <c r="L4286" s="6">
        <f t="shared" si="265"/>
        <v>45689</v>
      </c>
      <c r="M4286" s="3" t="str">
        <f t="shared" si="266"/>
        <v>0% to 5%</v>
      </c>
      <c r="N4286" s="3" t="str">
        <f t="shared" si="267"/>
        <v>OK</v>
      </c>
    </row>
    <row r="4287" spans="1:14" x14ac:dyDescent="0.3">
      <c r="A4287" s="2">
        <f>DATE(VALUE(RIGHT(TRIM([1]Raw_Data!A4285),4)),VALUE(MID(TRIM([1]Raw_Data!A4285),4,2)),VALUE(LEFT(TRIM([1]Raw_Data!A4285),2)))</f>
        <v>45705</v>
      </c>
      <c r="B4287" s="3" t="str">
        <f>TRIM([1]Raw_Data!B4285)</f>
        <v>Melatonin</v>
      </c>
      <c r="C4287" s="3" t="str">
        <f>TRIM([1]Raw_Data!C4285)</f>
        <v>Sleep Aid</v>
      </c>
      <c r="D4287" s="3">
        <f>[1]Raw_Data!D4285</f>
        <v>139</v>
      </c>
      <c r="E4287" s="4">
        <f>[1]Raw_Data!E4285</f>
        <v>23.55</v>
      </c>
      <c r="F4287" s="5">
        <f>[1]Raw_Data!F4285</f>
        <v>3273.45</v>
      </c>
      <c r="G4287" s="4">
        <f>[1]Raw_Data!G4285</f>
        <v>0.1</v>
      </c>
      <c r="H4287" s="3">
        <f>[1]Raw_Data!H4285</f>
        <v>1</v>
      </c>
      <c r="I4287" s="3" t="str">
        <f>TRIM([1]Raw_Data!I4285)</f>
        <v>USA</v>
      </c>
      <c r="J4287" s="3" t="str">
        <f>TRIM([1]Raw_Data!J4285)</f>
        <v>iHerb</v>
      </c>
      <c r="K4287" s="3">
        <f t="shared" si="264"/>
        <v>2025</v>
      </c>
      <c r="L4287" s="6">
        <f t="shared" si="265"/>
        <v>45689</v>
      </c>
      <c r="M4287" s="3" t="str">
        <f t="shared" si="266"/>
        <v>6% to 10%</v>
      </c>
      <c r="N4287" s="3" t="str">
        <f t="shared" si="267"/>
        <v>OK</v>
      </c>
    </row>
    <row r="4288" spans="1:14" x14ac:dyDescent="0.3">
      <c r="A4288" s="2">
        <f>DATE(VALUE(RIGHT(TRIM([1]Raw_Data!A4286),4)),VALUE(MID(TRIM([1]Raw_Data!A4286),4,2)),VALUE(LEFT(TRIM([1]Raw_Data!A4286),2)))</f>
        <v>45705</v>
      </c>
      <c r="B4288" s="3" t="str">
        <f>TRIM([1]Raw_Data!B4286)</f>
        <v>Biotin</v>
      </c>
      <c r="C4288" s="3" t="str">
        <f>TRIM([1]Raw_Data!C4286)</f>
        <v>Vitamin</v>
      </c>
      <c r="D4288" s="3">
        <f>[1]Raw_Data!D4286</f>
        <v>154</v>
      </c>
      <c r="E4288" s="4">
        <f>[1]Raw_Data!E4286</f>
        <v>26.52</v>
      </c>
      <c r="F4288" s="5">
        <f>[1]Raw_Data!F4286</f>
        <v>4084.08</v>
      </c>
      <c r="G4288" s="4">
        <f>[1]Raw_Data!G4286</f>
        <v>0.21</v>
      </c>
      <c r="H4288" s="3">
        <f>[1]Raw_Data!H4286</f>
        <v>0</v>
      </c>
      <c r="I4288" s="3" t="str">
        <f>TRIM([1]Raw_Data!I4286)</f>
        <v>UK</v>
      </c>
      <c r="J4288" s="3" t="str">
        <f>TRIM([1]Raw_Data!J4286)</f>
        <v>Amazon</v>
      </c>
      <c r="K4288" s="3">
        <f t="shared" si="264"/>
        <v>2025</v>
      </c>
      <c r="L4288" s="6">
        <f t="shared" si="265"/>
        <v>45689</v>
      </c>
      <c r="M4288" s="3" t="str">
        <f t="shared" si="266"/>
        <v>21% to 25%</v>
      </c>
      <c r="N4288" s="3" t="str">
        <f t="shared" si="267"/>
        <v>OK</v>
      </c>
    </row>
    <row r="4289" spans="1:14" x14ac:dyDescent="0.3">
      <c r="A4289" s="2">
        <f>DATE(VALUE(RIGHT(TRIM([1]Raw_Data!A4287),4)),VALUE(MID(TRIM([1]Raw_Data!A4287),4,2)),VALUE(LEFT(TRIM([1]Raw_Data!A4287),2)))</f>
        <v>45705</v>
      </c>
      <c r="B4289" s="3" t="str">
        <f>TRIM([1]Raw_Data!B4287)</f>
        <v>Green Tea Extract</v>
      </c>
      <c r="C4289" s="3" t="str">
        <f>TRIM([1]Raw_Data!C4287)</f>
        <v>Fat Burner</v>
      </c>
      <c r="D4289" s="3">
        <f>[1]Raw_Data!D4287</f>
        <v>125</v>
      </c>
      <c r="E4289" s="4">
        <f>[1]Raw_Data!E4287</f>
        <v>54.84</v>
      </c>
      <c r="F4289" s="5">
        <f>[1]Raw_Data!F4287</f>
        <v>6855</v>
      </c>
      <c r="G4289" s="4">
        <f>[1]Raw_Data!G4287</f>
        <v>0.06</v>
      </c>
      <c r="H4289" s="3">
        <f>[1]Raw_Data!H4287</f>
        <v>2</v>
      </c>
      <c r="I4289" s="3" t="str">
        <f>TRIM([1]Raw_Data!I4287)</f>
        <v>UK</v>
      </c>
      <c r="J4289" s="3" t="str">
        <f>TRIM([1]Raw_Data!J4287)</f>
        <v>Amazon</v>
      </c>
      <c r="K4289" s="3">
        <f t="shared" si="264"/>
        <v>2025</v>
      </c>
      <c r="L4289" s="6">
        <f t="shared" si="265"/>
        <v>45689</v>
      </c>
      <c r="M4289" s="3" t="str">
        <f t="shared" si="266"/>
        <v>6% to 10%</v>
      </c>
      <c r="N4289" s="3" t="str">
        <f t="shared" si="267"/>
        <v>OK</v>
      </c>
    </row>
    <row r="4290" spans="1:14" x14ac:dyDescent="0.3">
      <c r="A4290" s="2">
        <f>DATE(VALUE(RIGHT(TRIM([1]Raw_Data!A4288),4)),VALUE(MID(TRIM([1]Raw_Data!A4288),4,2)),VALUE(LEFT(TRIM([1]Raw_Data!A4288),2)))</f>
        <v>45705</v>
      </c>
      <c r="B4290" s="3" t="str">
        <f>TRIM([1]Raw_Data!B4288)</f>
        <v>Iron Supplement</v>
      </c>
      <c r="C4290" s="3" t="str">
        <f>TRIM([1]Raw_Data!C4288)</f>
        <v>Mineral</v>
      </c>
      <c r="D4290" s="3">
        <f>[1]Raw_Data!D4288</f>
        <v>143</v>
      </c>
      <c r="E4290" s="4">
        <f>[1]Raw_Data!E4288</f>
        <v>37.83</v>
      </c>
      <c r="F4290" s="5">
        <f>[1]Raw_Data!F4288</f>
        <v>5409.69</v>
      </c>
      <c r="G4290" s="4">
        <f>[1]Raw_Data!G4288</f>
        <v>0.21</v>
      </c>
      <c r="H4290" s="3">
        <f>[1]Raw_Data!H4288</f>
        <v>1</v>
      </c>
      <c r="I4290" s="3" t="str">
        <f>TRIM([1]Raw_Data!I4288)</f>
        <v>Canada</v>
      </c>
      <c r="J4290" s="3" t="str">
        <f>TRIM([1]Raw_Data!J4288)</f>
        <v>Amazon</v>
      </c>
      <c r="K4290" s="3">
        <f t="shared" si="264"/>
        <v>2025</v>
      </c>
      <c r="L4290" s="6">
        <f t="shared" si="265"/>
        <v>45689</v>
      </c>
      <c r="M4290" s="3" t="str">
        <f t="shared" si="266"/>
        <v>21% to 25%</v>
      </c>
      <c r="N4290" s="3" t="str">
        <f t="shared" si="267"/>
        <v>OK</v>
      </c>
    </row>
    <row r="4291" spans="1:14" x14ac:dyDescent="0.3">
      <c r="A4291" s="2">
        <f>DATE(VALUE(RIGHT(TRIM([1]Raw_Data!A4289),4)),VALUE(MID(TRIM([1]Raw_Data!A4289),4,2)),VALUE(LEFT(TRIM([1]Raw_Data!A4289),2)))</f>
        <v>45705</v>
      </c>
      <c r="B4291" s="3" t="str">
        <f>TRIM([1]Raw_Data!B4289)</f>
        <v>Electrolyte Powder</v>
      </c>
      <c r="C4291" s="3" t="str">
        <f>TRIM([1]Raw_Data!C4289)</f>
        <v>Hydration</v>
      </c>
      <c r="D4291" s="3">
        <f>[1]Raw_Data!D4289</f>
        <v>154</v>
      </c>
      <c r="E4291" s="4">
        <f>[1]Raw_Data!E4289</f>
        <v>49.48</v>
      </c>
      <c r="F4291" s="5">
        <f>[1]Raw_Data!F4289</f>
        <v>7619.92</v>
      </c>
      <c r="G4291" s="4">
        <f>[1]Raw_Data!G4289</f>
        <v>0.05</v>
      </c>
      <c r="H4291" s="3">
        <f>[1]Raw_Data!H4289</f>
        <v>2</v>
      </c>
      <c r="I4291" s="3" t="str">
        <f>TRIM([1]Raw_Data!I4289)</f>
        <v>Canada</v>
      </c>
      <c r="J4291" s="3" t="str">
        <f>TRIM([1]Raw_Data!J4289)</f>
        <v>iHerb</v>
      </c>
      <c r="K4291" s="3">
        <f t="shared" si="264"/>
        <v>2025</v>
      </c>
      <c r="L4291" s="6">
        <f t="shared" si="265"/>
        <v>45689</v>
      </c>
      <c r="M4291" s="3" t="str">
        <f t="shared" si="266"/>
        <v>0% to 5%</v>
      </c>
      <c r="N4291" s="3" t="str">
        <f t="shared" si="267"/>
        <v>OK</v>
      </c>
    </row>
    <row r="4292" spans="1:14" x14ac:dyDescent="0.3">
      <c r="A4292" s="2">
        <f>DATE(VALUE(RIGHT(TRIM([1]Raw_Data!A4290),4)),VALUE(MID(TRIM([1]Raw_Data!A4290),4,2)),VALUE(LEFT(TRIM([1]Raw_Data!A4290),2)))</f>
        <v>45712</v>
      </c>
      <c r="B4292" s="3" t="str">
        <f>TRIM([1]Raw_Data!B4290)</f>
        <v>Whey Protein</v>
      </c>
      <c r="C4292" s="3" t="str">
        <f>TRIM([1]Raw_Data!C4290)</f>
        <v>Protein</v>
      </c>
      <c r="D4292" s="3">
        <f>[1]Raw_Data!D4290</f>
        <v>150</v>
      </c>
      <c r="E4292" s="4">
        <f>[1]Raw_Data!E4290</f>
        <v>34.729999999999997</v>
      </c>
      <c r="F4292" s="5">
        <f>[1]Raw_Data!F4290</f>
        <v>5209.5</v>
      </c>
      <c r="G4292" s="4">
        <f>[1]Raw_Data!G4290</f>
        <v>0.03</v>
      </c>
      <c r="H4292" s="3">
        <f>[1]Raw_Data!H4290</f>
        <v>2</v>
      </c>
      <c r="I4292" s="3" t="str">
        <f>TRIM([1]Raw_Data!I4290)</f>
        <v>USA</v>
      </c>
      <c r="J4292" s="3" t="str">
        <f>TRIM([1]Raw_Data!J4290)</f>
        <v>Walmart</v>
      </c>
      <c r="K4292" s="3">
        <f t="shared" ref="K4292:K4355" si="268">YEAR(A4292)</f>
        <v>2025</v>
      </c>
      <c r="L4292" s="6">
        <f t="shared" ref="L4292:L4355" si="269">DATE(YEAR(A4292),MONTH(A4292),1)</f>
        <v>45689</v>
      </c>
      <c r="M4292" s="3" t="str">
        <f t="shared" ref="M4292:M4355" si="270">IF(ROUND(G4292*100,0)&lt;=5,"0% to 5%",IF(ROUND(G4292*100,0)&lt;=10,"6% to 10%",IF(ROUND(G4292*100,0)&lt;=15,"11% to 15%",IF(ROUND(G4292*100,0)&lt;=20,"16% to 20%","21% to 25%"))))</f>
        <v>0% to 5%</v>
      </c>
      <c r="N4292" s="3" t="str">
        <f t="shared" ref="N4292:N4355" si="271">IF(ROUND(D4292*E4292,2)=ROUND(F4292,2),"OK","Check")</f>
        <v>OK</v>
      </c>
    </row>
    <row r="4293" spans="1:14" x14ac:dyDescent="0.3">
      <c r="A4293" s="2">
        <f>DATE(VALUE(RIGHT(TRIM([1]Raw_Data!A4291),4)),VALUE(MID(TRIM([1]Raw_Data!A4291),4,2)),VALUE(LEFT(TRIM([1]Raw_Data!A4291),2)))</f>
        <v>45712</v>
      </c>
      <c r="B4293" s="3" t="str">
        <f>TRIM([1]Raw_Data!B4291)</f>
        <v>Vitamin C</v>
      </c>
      <c r="C4293" s="3" t="str">
        <f>TRIM([1]Raw_Data!C4291)</f>
        <v>Vitamin</v>
      </c>
      <c r="D4293" s="3">
        <f>[1]Raw_Data!D4291</f>
        <v>150</v>
      </c>
      <c r="E4293" s="4">
        <f>[1]Raw_Data!E4291</f>
        <v>53.95</v>
      </c>
      <c r="F4293" s="5">
        <f>[1]Raw_Data!F4291</f>
        <v>8092.5</v>
      </c>
      <c r="G4293" s="4">
        <f>[1]Raw_Data!G4291</f>
        <v>0.22</v>
      </c>
      <c r="H4293" s="3">
        <f>[1]Raw_Data!H4291</f>
        <v>1</v>
      </c>
      <c r="I4293" s="3" t="str">
        <f>TRIM([1]Raw_Data!I4291)</f>
        <v>UK</v>
      </c>
      <c r="J4293" s="3" t="str">
        <f>TRIM([1]Raw_Data!J4291)</f>
        <v>iHerb</v>
      </c>
      <c r="K4293" s="3">
        <f t="shared" si="268"/>
        <v>2025</v>
      </c>
      <c r="L4293" s="6">
        <f t="shared" si="269"/>
        <v>45689</v>
      </c>
      <c r="M4293" s="3" t="str">
        <f t="shared" si="270"/>
        <v>21% to 25%</v>
      </c>
      <c r="N4293" s="3" t="str">
        <f t="shared" si="271"/>
        <v>OK</v>
      </c>
    </row>
    <row r="4294" spans="1:14" x14ac:dyDescent="0.3">
      <c r="A4294" s="2">
        <f>DATE(VALUE(RIGHT(TRIM([1]Raw_Data!A4292),4)),VALUE(MID(TRIM([1]Raw_Data!A4292),4,2)),VALUE(LEFT(TRIM([1]Raw_Data!A4292),2)))</f>
        <v>45712</v>
      </c>
      <c r="B4294" s="3" t="str">
        <f>TRIM([1]Raw_Data!B4292)</f>
        <v>Fish Oil</v>
      </c>
      <c r="C4294" s="3" t="str">
        <f>TRIM([1]Raw_Data!C4292)</f>
        <v>Omega</v>
      </c>
      <c r="D4294" s="3">
        <f>[1]Raw_Data!D4292</f>
        <v>148</v>
      </c>
      <c r="E4294" s="4">
        <f>[1]Raw_Data!E4292</f>
        <v>35.979999999999997</v>
      </c>
      <c r="F4294" s="5">
        <f>[1]Raw_Data!F4292</f>
        <v>5325.04</v>
      </c>
      <c r="G4294" s="4">
        <f>[1]Raw_Data!G4292</f>
        <v>0.24</v>
      </c>
      <c r="H4294" s="3">
        <f>[1]Raw_Data!H4292</f>
        <v>2</v>
      </c>
      <c r="I4294" s="3" t="str">
        <f>TRIM([1]Raw_Data!I4292)</f>
        <v>UK</v>
      </c>
      <c r="J4294" s="3" t="str">
        <f>TRIM([1]Raw_Data!J4292)</f>
        <v>Amazon</v>
      </c>
      <c r="K4294" s="3">
        <f t="shared" si="268"/>
        <v>2025</v>
      </c>
      <c r="L4294" s="6">
        <f t="shared" si="269"/>
        <v>45689</v>
      </c>
      <c r="M4294" s="3" t="str">
        <f t="shared" si="270"/>
        <v>21% to 25%</v>
      </c>
      <c r="N4294" s="3" t="str">
        <f t="shared" si="271"/>
        <v>OK</v>
      </c>
    </row>
    <row r="4295" spans="1:14" x14ac:dyDescent="0.3">
      <c r="A4295" s="2">
        <f>DATE(VALUE(RIGHT(TRIM([1]Raw_Data!A4293),4)),VALUE(MID(TRIM([1]Raw_Data!A4293),4,2)),VALUE(LEFT(TRIM([1]Raw_Data!A4293),2)))</f>
        <v>45712</v>
      </c>
      <c r="B4295" s="3" t="str">
        <f>TRIM([1]Raw_Data!B4293)</f>
        <v>Multivitamin</v>
      </c>
      <c r="C4295" s="3" t="str">
        <f>TRIM([1]Raw_Data!C4293)</f>
        <v>Vitamin</v>
      </c>
      <c r="D4295" s="3">
        <f>[1]Raw_Data!D4293</f>
        <v>142</v>
      </c>
      <c r="E4295" s="4">
        <f>[1]Raw_Data!E4293</f>
        <v>41.36</v>
      </c>
      <c r="F4295" s="5">
        <f>[1]Raw_Data!F4293</f>
        <v>5873.12</v>
      </c>
      <c r="G4295" s="4">
        <f>[1]Raw_Data!G4293</f>
        <v>0.16</v>
      </c>
      <c r="H4295" s="3">
        <f>[1]Raw_Data!H4293</f>
        <v>2</v>
      </c>
      <c r="I4295" s="3" t="str">
        <f>TRIM([1]Raw_Data!I4293)</f>
        <v>UK</v>
      </c>
      <c r="J4295" s="3" t="str">
        <f>TRIM([1]Raw_Data!J4293)</f>
        <v>Amazon</v>
      </c>
      <c r="K4295" s="3">
        <f t="shared" si="268"/>
        <v>2025</v>
      </c>
      <c r="L4295" s="6">
        <f t="shared" si="269"/>
        <v>45689</v>
      </c>
      <c r="M4295" s="3" t="str">
        <f t="shared" si="270"/>
        <v>16% to 20%</v>
      </c>
      <c r="N4295" s="3" t="str">
        <f t="shared" si="271"/>
        <v>OK</v>
      </c>
    </row>
    <row r="4296" spans="1:14" x14ac:dyDescent="0.3">
      <c r="A4296" s="2">
        <f>DATE(VALUE(RIGHT(TRIM([1]Raw_Data!A4294),4)),VALUE(MID(TRIM([1]Raw_Data!A4294),4,2)),VALUE(LEFT(TRIM([1]Raw_Data!A4294),2)))</f>
        <v>45712</v>
      </c>
      <c r="B4296" s="3" t="str">
        <f>TRIM([1]Raw_Data!B4294)</f>
        <v>Pre-Workout</v>
      </c>
      <c r="C4296" s="3" t="str">
        <f>TRIM([1]Raw_Data!C4294)</f>
        <v>Performance</v>
      </c>
      <c r="D4296" s="3">
        <f>[1]Raw_Data!D4294</f>
        <v>137</v>
      </c>
      <c r="E4296" s="4">
        <f>[1]Raw_Data!E4294</f>
        <v>26.89</v>
      </c>
      <c r="F4296" s="5">
        <f>[1]Raw_Data!F4294</f>
        <v>3683.93</v>
      </c>
      <c r="G4296" s="4">
        <f>[1]Raw_Data!G4294</f>
        <v>0.11</v>
      </c>
      <c r="H4296" s="3">
        <f>[1]Raw_Data!H4294</f>
        <v>0</v>
      </c>
      <c r="I4296" s="3" t="str">
        <f>TRIM([1]Raw_Data!I4294)</f>
        <v>USA</v>
      </c>
      <c r="J4296" s="3" t="str">
        <f>TRIM([1]Raw_Data!J4294)</f>
        <v>Amazon</v>
      </c>
      <c r="K4296" s="3">
        <f t="shared" si="268"/>
        <v>2025</v>
      </c>
      <c r="L4296" s="6">
        <f t="shared" si="269"/>
        <v>45689</v>
      </c>
      <c r="M4296" s="3" t="str">
        <f t="shared" si="270"/>
        <v>11% to 15%</v>
      </c>
      <c r="N4296" s="3" t="str">
        <f t="shared" si="271"/>
        <v>OK</v>
      </c>
    </row>
    <row r="4297" spans="1:14" x14ac:dyDescent="0.3">
      <c r="A4297" s="2">
        <f>DATE(VALUE(RIGHT(TRIM([1]Raw_Data!A4295),4)),VALUE(MID(TRIM([1]Raw_Data!A4295),4,2)),VALUE(LEFT(TRIM([1]Raw_Data!A4295),2)))</f>
        <v>45712</v>
      </c>
      <c r="B4297" s="3" t="str">
        <f>TRIM([1]Raw_Data!B4295)</f>
        <v>BCAA</v>
      </c>
      <c r="C4297" s="3" t="str">
        <f>TRIM([1]Raw_Data!C4295)</f>
        <v>Amino Acid</v>
      </c>
      <c r="D4297" s="3">
        <f>[1]Raw_Data!D4295</f>
        <v>162</v>
      </c>
      <c r="E4297" s="4">
        <f>[1]Raw_Data!E4295</f>
        <v>55.68</v>
      </c>
      <c r="F4297" s="5">
        <f>[1]Raw_Data!F4295</f>
        <v>9020.16</v>
      </c>
      <c r="G4297" s="4">
        <f>[1]Raw_Data!G4295</f>
        <v>0.04</v>
      </c>
      <c r="H4297" s="3">
        <f>[1]Raw_Data!H4295</f>
        <v>0</v>
      </c>
      <c r="I4297" s="3" t="str">
        <f>TRIM([1]Raw_Data!I4295)</f>
        <v>USA</v>
      </c>
      <c r="J4297" s="3" t="str">
        <f>TRIM([1]Raw_Data!J4295)</f>
        <v>Amazon</v>
      </c>
      <c r="K4297" s="3">
        <f t="shared" si="268"/>
        <v>2025</v>
      </c>
      <c r="L4297" s="6">
        <f t="shared" si="269"/>
        <v>45689</v>
      </c>
      <c r="M4297" s="3" t="str">
        <f t="shared" si="270"/>
        <v>0% to 5%</v>
      </c>
      <c r="N4297" s="3" t="str">
        <f t="shared" si="271"/>
        <v>OK</v>
      </c>
    </row>
    <row r="4298" spans="1:14" x14ac:dyDescent="0.3">
      <c r="A4298" s="2">
        <f>DATE(VALUE(RIGHT(TRIM([1]Raw_Data!A4296),4)),VALUE(MID(TRIM([1]Raw_Data!A4296),4,2)),VALUE(LEFT(TRIM([1]Raw_Data!A4296),2)))</f>
        <v>45712</v>
      </c>
      <c r="B4298" s="3" t="str">
        <f>TRIM([1]Raw_Data!B4296)</f>
        <v>Creatine</v>
      </c>
      <c r="C4298" s="3" t="str">
        <f>TRIM([1]Raw_Data!C4296)</f>
        <v>Performance</v>
      </c>
      <c r="D4298" s="3">
        <f>[1]Raw_Data!D4296</f>
        <v>149</v>
      </c>
      <c r="E4298" s="4">
        <f>[1]Raw_Data!E4296</f>
        <v>56.87</v>
      </c>
      <c r="F4298" s="5">
        <f>[1]Raw_Data!F4296</f>
        <v>8473.6299999999992</v>
      </c>
      <c r="G4298" s="4">
        <f>[1]Raw_Data!G4296</f>
        <v>0</v>
      </c>
      <c r="H4298" s="3">
        <f>[1]Raw_Data!H4296</f>
        <v>1</v>
      </c>
      <c r="I4298" s="3" t="str">
        <f>TRIM([1]Raw_Data!I4296)</f>
        <v>UK</v>
      </c>
      <c r="J4298" s="3" t="str">
        <f>TRIM([1]Raw_Data!J4296)</f>
        <v>Amazon</v>
      </c>
      <c r="K4298" s="3">
        <f t="shared" si="268"/>
        <v>2025</v>
      </c>
      <c r="L4298" s="6">
        <f t="shared" si="269"/>
        <v>45689</v>
      </c>
      <c r="M4298" s="3" t="str">
        <f t="shared" si="270"/>
        <v>0% to 5%</v>
      </c>
      <c r="N4298" s="3" t="str">
        <f t="shared" si="271"/>
        <v>OK</v>
      </c>
    </row>
    <row r="4299" spans="1:14" x14ac:dyDescent="0.3">
      <c r="A4299" s="2">
        <f>DATE(VALUE(RIGHT(TRIM([1]Raw_Data!A4297),4)),VALUE(MID(TRIM([1]Raw_Data!A4297),4,2)),VALUE(LEFT(TRIM([1]Raw_Data!A4297),2)))</f>
        <v>45712</v>
      </c>
      <c r="B4299" s="3" t="str">
        <f>TRIM([1]Raw_Data!B4297)</f>
        <v>Zinc</v>
      </c>
      <c r="C4299" s="3" t="str">
        <f>TRIM([1]Raw_Data!C4297)</f>
        <v>Mineral</v>
      </c>
      <c r="D4299" s="3">
        <f>[1]Raw_Data!D4297</f>
        <v>172</v>
      </c>
      <c r="E4299" s="4">
        <f>[1]Raw_Data!E4297</f>
        <v>14.66</v>
      </c>
      <c r="F4299" s="5">
        <f>[1]Raw_Data!F4297</f>
        <v>2521.52</v>
      </c>
      <c r="G4299" s="4">
        <f>[1]Raw_Data!G4297</f>
        <v>0.08</v>
      </c>
      <c r="H4299" s="3">
        <f>[1]Raw_Data!H4297</f>
        <v>2</v>
      </c>
      <c r="I4299" s="3" t="str">
        <f>TRIM([1]Raw_Data!I4297)</f>
        <v>UK</v>
      </c>
      <c r="J4299" s="3" t="str">
        <f>TRIM([1]Raw_Data!J4297)</f>
        <v>Amazon</v>
      </c>
      <c r="K4299" s="3">
        <f t="shared" si="268"/>
        <v>2025</v>
      </c>
      <c r="L4299" s="6">
        <f t="shared" si="269"/>
        <v>45689</v>
      </c>
      <c r="M4299" s="3" t="str">
        <f t="shared" si="270"/>
        <v>6% to 10%</v>
      </c>
      <c r="N4299" s="3" t="str">
        <f t="shared" si="271"/>
        <v>OK</v>
      </c>
    </row>
    <row r="4300" spans="1:14" x14ac:dyDescent="0.3">
      <c r="A4300" s="2">
        <f>DATE(VALUE(RIGHT(TRIM([1]Raw_Data!A4298),4)),VALUE(MID(TRIM([1]Raw_Data!A4298),4,2)),VALUE(LEFT(TRIM([1]Raw_Data!A4298),2)))</f>
        <v>45712</v>
      </c>
      <c r="B4300" s="3" t="str">
        <f>TRIM([1]Raw_Data!B4298)</f>
        <v>Collagen Peptides</v>
      </c>
      <c r="C4300" s="3" t="str">
        <f>TRIM([1]Raw_Data!C4298)</f>
        <v>Protein</v>
      </c>
      <c r="D4300" s="3">
        <f>[1]Raw_Data!D4298</f>
        <v>137</v>
      </c>
      <c r="E4300" s="4">
        <f>[1]Raw_Data!E4298</f>
        <v>51.82</v>
      </c>
      <c r="F4300" s="5">
        <f>[1]Raw_Data!F4298</f>
        <v>7099.34</v>
      </c>
      <c r="G4300" s="4">
        <f>[1]Raw_Data!G4298</f>
        <v>0.22</v>
      </c>
      <c r="H4300" s="3">
        <f>[1]Raw_Data!H4298</f>
        <v>0</v>
      </c>
      <c r="I4300" s="3" t="str">
        <f>TRIM([1]Raw_Data!I4298)</f>
        <v>Canada</v>
      </c>
      <c r="J4300" s="3" t="str">
        <f>TRIM([1]Raw_Data!J4298)</f>
        <v>iHerb</v>
      </c>
      <c r="K4300" s="3">
        <f t="shared" si="268"/>
        <v>2025</v>
      </c>
      <c r="L4300" s="6">
        <f t="shared" si="269"/>
        <v>45689</v>
      </c>
      <c r="M4300" s="3" t="str">
        <f t="shared" si="270"/>
        <v>21% to 25%</v>
      </c>
      <c r="N4300" s="3" t="str">
        <f t="shared" si="271"/>
        <v>OK</v>
      </c>
    </row>
    <row r="4301" spans="1:14" x14ac:dyDescent="0.3">
      <c r="A4301" s="2">
        <f>DATE(VALUE(RIGHT(TRIM([1]Raw_Data!A4299),4)),VALUE(MID(TRIM([1]Raw_Data!A4299),4,2)),VALUE(LEFT(TRIM([1]Raw_Data!A4299),2)))</f>
        <v>45712</v>
      </c>
      <c r="B4301" s="3" t="str">
        <f>TRIM([1]Raw_Data!B4299)</f>
        <v>Magnesium</v>
      </c>
      <c r="C4301" s="3" t="str">
        <f>TRIM([1]Raw_Data!C4299)</f>
        <v>Mineral</v>
      </c>
      <c r="D4301" s="3">
        <f>[1]Raw_Data!D4299</f>
        <v>136</v>
      </c>
      <c r="E4301" s="4">
        <f>[1]Raw_Data!E4299</f>
        <v>39.74</v>
      </c>
      <c r="F4301" s="5">
        <f>[1]Raw_Data!F4299</f>
        <v>5404.64</v>
      </c>
      <c r="G4301" s="4">
        <f>[1]Raw_Data!G4299</f>
        <v>0.09</v>
      </c>
      <c r="H4301" s="3">
        <f>[1]Raw_Data!H4299</f>
        <v>3</v>
      </c>
      <c r="I4301" s="3" t="str">
        <f>TRIM([1]Raw_Data!I4299)</f>
        <v>Canada</v>
      </c>
      <c r="J4301" s="3" t="str">
        <f>TRIM([1]Raw_Data!J4299)</f>
        <v>Walmart</v>
      </c>
      <c r="K4301" s="3">
        <f t="shared" si="268"/>
        <v>2025</v>
      </c>
      <c r="L4301" s="6">
        <f t="shared" si="269"/>
        <v>45689</v>
      </c>
      <c r="M4301" s="3" t="str">
        <f t="shared" si="270"/>
        <v>6% to 10%</v>
      </c>
      <c r="N4301" s="3" t="str">
        <f t="shared" si="271"/>
        <v>OK</v>
      </c>
    </row>
    <row r="4302" spans="1:14" x14ac:dyDescent="0.3">
      <c r="A4302" s="2">
        <f>DATE(VALUE(RIGHT(TRIM([1]Raw_Data!A4300),4)),VALUE(MID(TRIM([1]Raw_Data!A4300),4,2)),VALUE(LEFT(TRIM([1]Raw_Data!A4300),2)))</f>
        <v>45712</v>
      </c>
      <c r="B4302" s="3" t="str">
        <f>TRIM([1]Raw_Data!B4300)</f>
        <v>Ashwagandha</v>
      </c>
      <c r="C4302" s="3" t="str">
        <f>TRIM([1]Raw_Data!C4300)</f>
        <v>Herbal</v>
      </c>
      <c r="D4302" s="3">
        <f>[1]Raw_Data!D4300</f>
        <v>158</v>
      </c>
      <c r="E4302" s="4">
        <f>[1]Raw_Data!E4300</f>
        <v>41.23</v>
      </c>
      <c r="F4302" s="5">
        <f>[1]Raw_Data!F4300</f>
        <v>6514.34</v>
      </c>
      <c r="G4302" s="4">
        <f>[1]Raw_Data!G4300</f>
        <v>0.03</v>
      </c>
      <c r="H4302" s="3">
        <f>[1]Raw_Data!H4300</f>
        <v>1</v>
      </c>
      <c r="I4302" s="3" t="str">
        <f>TRIM([1]Raw_Data!I4300)</f>
        <v>UK</v>
      </c>
      <c r="J4302" s="3" t="str">
        <f>TRIM([1]Raw_Data!J4300)</f>
        <v>iHerb</v>
      </c>
      <c r="K4302" s="3">
        <f t="shared" si="268"/>
        <v>2025</v>
      </c>
      <c r="L4302" s="6">
        <f t="shared" si="269"/>
        <v>45689</v>
      </c>
      <c r="M4302" s="3" t="str">
        <f t="shared" si="270"/>
        <v>0% to 5%</v>
      </c>
      <c r="N4302" s="3" t="str">
        <f t="shared" si="271"/>
        <v>OK</v>
      </c>
    </row>
    <row r="4303" spans="1:14" x14ac:dyDescent="0.3">
      <c r="A4303" s="2">
        <f>DATE(VALUE(RIGHT(TRIM([1]Raw_Data!A4301),4)),VALUE(MID(TRIM([1]Raw_Data!A4301),4,2)),VALUE(LEFT(TRIM([1]Raw_Data!A4301),2)))</f>
        <v>45712</v>
      </c>
      <c r="B4303" s="3" t="str">
        <f>TRIM([1]Raw_Data!B4301)</f>
        <v>Melatonin</v>
      </c>
      <c r="C4303" s="3" t="str">
        <f>TRIM([1]Raw_Data!C4301)</f>
        <v>Sleep Aid</v>
      </c>
      <c r="D4303" s="3">
        <f>[1]Raw_Data!D4301</f>
        <v>137</v>
      </c>
      <c r="E4303" s="4">
        <f>[1]Raw_Data!E4301</f>
        <v>40.82</v>
      </c>
      <c r="F4303" s="5">
        <f>[1]Raw_Data!F4301</f>
        <v>5592.34</v>
      </c>
      <c r="G4303" s="4">
        <f>[1]Raw_Data!G4301</f>
        <v>0.14000000000000001</v>
      </c>
      <c r="H4303" s="3">
        <f>[1]Raw_Data!H4301</f>
        <v>0</v>
      </c>
      <c r="I4303" s="3" t="str">
        <f>TRIM([1]Raw_Data!I4301)</f>
        <v>Canada</v>
      </c>
      <c r="J4303" s="3" t="str">
        <f>TRIM([1]Raw_Data!J4301)</f>
        <v>Amazon</v>
      </c>
      <c r="K4303" s="3">
        <f t="shared" si="268"/>
        <v>2025</v>
      </c>
      <c r="L4303" s="6">
        <f t="shared" si="269"/>
        <v>45689</v>
      </c>
      <c r="M4303" s="3" t="str">
        <f t="shared" si="270"/>
        <v>11% to 15%</v>
      </c>
      <c r="N4303" s="3" t="str">
        <f t="shared" si="271"/>
        <v>OK</v>
      </c>
    </row>
    <row r="4304" spans="1:14" x14ac:dyDescent="0.3">
      <c r="A4304" s="2">
        <f>DATE(VALUE(RIGHT(TRIM([1]Raw_Data!A4302),4)),VALUE(MID(TRIM([1]Raw_Data!A4302),4,2)),VALUE(LEFT(TRIM([1]Raw_Data!A4302),2)))</f>
        <v>45712</v>
      </c>
      <c r="B4304" s="3" t="str">
        <f>TRIM([1]Raw_Data!B4302)</f>
        <v>Biotin</v>
      </c>
      <c r="C4304" s="3" t="str">
        <f>TRIM([1]Raw_Data!C4302)</f>
        <v>Vitamin</v>
      </c>
      <c r="D4304" s="3">
        <f>[1]Raw_Data!D4302</f>
        <v>131</v>
      </c>
      <c r="E4304" s="4">
        <f>[1]Raw_Data!E4302</f>
        <v>39.19</v>
      </c>
      <c r="F4304" s="5">
        <f>[1]Raw_Data!F4302</f>
        <v>5133.8900000000003</v>
      </c>
      <c r="G4304" s="4">
        <f>[1]Raw_Data!G4302</f>
        <v>0.24</v>
      </c>
      <c r="H4304" s="3">
        <f>[1]Raw_Data!H4302</f>
        <v>1</v>
      </c>
      <c r="I4304" s="3" t="str">
        <f>TRIM([1]Raw_Data!I4302)</f>
        <v>Canada</v>
      </c>
      <c r="J4304" s="3" t="str">
        <f>TRIM([1]Raw_Data!J4302)</f>
        <v>Walmart</v>
      </c>
      <c r="K4304" s="3">
        <f t="shared" si="268"/>
        <v>2025</v>
      </c>
      <c r="L4304" s="6">
        <f t="shared" si="269"/>
        <v>45689</v>
      </c>
      <c r="M4304" s="3" t="str">
        <f t="shared" si="270"/>
        <v>21% to 25%</v>
      </c>
      <c r="N4304" s="3" t="str">
        <f t="shared" si="271"/>
        <v>OK</v>
      </c>
    </row>
    <row r="4305" spans="1:14" x14ac:dyDescent="0.3">
      <c r="A4305" s="2">
        <f>DATE(VALUE(RIGHT(TRIM([1]Raw_Data!A4303),4)),VALUE(MID(TRIM([1]Raw_Data!A4303),4,2)),VALUE(LEFT(TRIM([1]Raw_Data!A4303),2)))</f>
        <v>45712</v>
      </c>
      <c r="B4305" s="3" t="str">
        <f>TRIM([1]Raw_Data!B4303)</f>
        <v>Green Tea Extract</v>
      </c>
      <c r="C4305" s="3" t="str">
        <f>TRIM([1]Raw_Data!C4303)</f>
        <v>Fat Burner</v>
      </c>
      <c r="D4305" s="3">
        <f>[1]Raw_Data!D4303</f>
        <v>177</v>
      </c>
      <c r="E4305" s="4">
        <f>[1]Raw_Data!E4303</f>
        <v>31.79</v>
      </c>
      <c r="F4305" s="5">
        <f>[1]Raw_Data!F4303</f>
        <v>5626.83</v>
      </c>
      <c r="G4305" s="4">
        <f>[1]Raw_Data!G4303</f>
        <v>0.13</v>
      </c>
      <c r="H4305" s="3">
        <f>[1]Raw_Data!H4303</f>
        <v>2</v>
      </c>
      <c r="I4305" s="3" t="str">
        <f>TRIM([1]Raw_Data!I4303)</f>
        <v>USA</v>
      </c>
      <c r="J4305" s="3" t="str">
        <f>TRIM([1]Raw_Data!J4303)</f>
        <v>Amazon</v>
      </c>
      <c r="K4305" s="3">
        <f t="shared" si="268"/>
        <v>2025</v>
      </c>
      <c r="L4305" s="6">
        <f t="shared" si="269"/>
        <v>45689</v>
      </c>
      <c r="M4305" s="3" t="str">
        <f t="shared" si="270"/>
        <v>11% to 15%</v>
      </c>
      <c r="N4305" s="3" t="str">
        <f t="shared" si="271"/>
        <v>OK</v>
      </c>
    </row>
    <row r="4306" spans="1:14" x14ac:dyDescent="0.3">
      <c r="A4306" s="2">
        <f>DATE(VALUE(RIGHT(TRIM([1]Raw_Data!A4304),4)),VALUE(MID(TRIM([1]Raw_Data!A4304),4,2)),VALUE(LEFT(TRIM([1]Raw_Data!A4304),2)))</f>
        <v>45712</v>
      </c>
      <c r="B4306" s="3" t="str">
        <f>TRIM([1]Raw_Data!B4304)</f>
        <v>Iron Supplement</v>
      </c>
      <c r="C4306" s="3" t="str">
        <f>TRIM([1]Raw_Data!C4304)</f>
        <v>Mineral</v>
      </c>
      <c r="D4306" s="3">
        <f>[1]Raw_Data!D4304</f>
        <v>145</v>
      </c>
      <c r="E4306" s="4">
        <f>[1]Raw_Data!E4304</f>
        <v>11.46</v>
      </c>
      <c r="F4306" s="5">
        <f>[1]Raw_Data!F4304</f>
        <v>1661.7</v>
      </c>
      <c r="G4306" s="4">
        <f>[1]Raw_Data!G4304</f>
        <v>0.11</v>
      </c>
      <c r="H4306" s="3">
        <f>[1]Raw_Data!H4304</f>
        <v>1</v>
      </c>
      <c r="I4306" s="3" t="str">
        <f>TRIM([1]Raw_Data!I4304)</f>
        <v>USA</v>
      </c>
      <c r="J4306" s="3" t="str">
        <f>TRIM([1]Raw_Data!J4304)</f>
        <v>iHerb</v>
      </c>
      <c r="K4306" s="3">
        <f t="shared" si="268"/>
        <v>2025</v>
      </c>
      <c r="L4306" s="6">
        <f t="shared" si="269"/>
        <v>45689</v>
      </c>
      <c r="M4306" s="3" t="str">
        <f t="shared" si="270"/>
        <v>11% to 15%</v>
      </c>
      <c r="N4306" s="3" t="str">
        <f t="shared" si="271"/>
        <v>OK</v>
      </c>
    </row>
    <row r="4307" spans="1:14" x14ac:dyDescent="0.3">
      <c r="A4307" s="2">
        <f>DATE(VALUE(RIGHT(TRIM([1]Raw_Data!A4305),4)),VALUE(MID(TRIM([1]Raw_Data!A4305),4,2)),VALUE(LEFT(TRIM([1]Raw_Data!A4305),2)))</f>
        <v>45712</v>
      </c>
      <c r="B4307" s="3" t="str">
        <f>TRIM([1]Raw_Data!B4305)</f>
        <v>Electrolyte Powder</v>
      </c>
      <c r="C4307" s="3" t="str">
        <f>TRIM([1]Raw_Data!C4305)</f>
        <v>Hydration</v>
      </c>
      <c r="D4307" s="3">
        <f>[1]Raw_Data!D4305</f>
        <v>154</v>
      </c>
      <c r="E4307" s="4">
        <f>[1]Raw_Data!E4305</f>
        <v>31.37</v>
      </c>
      <c r="F4307" s="5">
        <f>[1]Raw_Data!F4305</f>
        <v>4830.9799999999996</v>
      </c>
      <c r="G4307" s="4">
        <f>[1]Raw_Data!G4305</f>
        <v>0.12</v>
      </c>
      <c r="H4307" s="3">
        <f>[1]Raw_Data!H4305</f>
        <v>2</v>
      </c>
      <c r="I4307" s="3" t="str">
        <f>TRIM([1]Raw_Data!I4305)</f>
        <v>Canada</v>
      </c>
      <c r="J4307" s="3" t="str">
        <f>TRIM([1]Raw_Data!J4305)</f>
        <v>Amazon</v>
      </c>
      <c r="K4307" s="3">
        <f t="shared" si="268"/>
        <v>2025</v>
      </c>
      <c r="L4307" s="6">
        <f t="shared" si="269"/>
        <v>45689</v>
      </c>
      <c r="M4307" s="3" t="str">
        <f t="shared" si="270"/>
        <v>11% to 15%</v>
      </c>
      <c r="N4307" s="3" t="str">
        <f t="shared" si="271"/>
        <v>OK</v>
      </c>
    </row>
    <row r="4308" spans="1:14" x14ac:dyDescent="0.3">
      <c r="A4308" s="2">
        <f>DATE(VALUE(RIGHT(TRIM([1]Raw_Data!A4306),4)),VALUE(MID(TRIM([1]Raw_Data!A4306),4,2)),VALUE(LEFT(TRIM([1]Raw_Data!A4306),2)))</f>
        <v>45719</v>
      </c>
      <c r="B4308" s="3" t="str">
        <f>TRIM([1]Raw_Data!B4306)</f>
        <v>Whey Protein</v>
      </c>
      <c r="C4308" s="3" t="str">
        <f>TRIM([1]Raw_Data!C4306)</f>
        <v>Protein</v>
      </c>
      <c r="D4308" s="3">
        <f>[1]Raw_Data!D4306</f>
        <v>160</v>
      </c>
      <c r="E4308" s="4">
        <f>[1]Raw_Data!E4306</f>
        <v>27.08</v>
      </c>
      <c r="F4308" s="5">
        <f>[1]Raw_Data!F4306</f>
        <v>4332.8</v>
      </c>
      <c r="G4308" s="4">
        <f>[1]Raw_Data!G4306</f>
        <v>0.25</v>
      </c>
      <c r="H4308" s="3">
        <f>[1]Raw_Data!H4306</f>
        <v>3</v>
      </c>
      <c r="I4308" s="3" t="str">
        <f>TRIM([1]Raw_Data!I4306)</f>
        <v>Canada</v>
      </c>
      <c r="J4308" s="3" t="str">
        <f>TRIM([1]Raw_Data!J4306)</f>
        <v>iHerb</v>
      </c>
      <c r="K4308" s="3">
        <f t="shared" si="268"/>
        <v>2025</v>
      </c>
      <c r="L4308" s="6">
        <f t="shared" si="269"/>
        <v>45717</v>
      </c>
      <c r="M4308" s="3" t="str">
        <f t="shared" si="270"/>
        <v>21% to 25%</v>
      </c>
      <c r="N4308" s="3" t="str">
        <f t="shared" si="271"/>
        <v>OK</v>
      </c>
    </row>
    <row r="4309" spans="1:14" x14ac:dyDescent="0.3">
      <c r="A4309" s="2">
        <f>DATE(VALUE(RIGHT(TRIM([1]Raw_Data!A4307),4)),VALUE(MID(TRIM([1]Raw_Data!A4307),4,2)),VALUE(LEFT(TRIM([1]Raw_Data!A4307),2)))</f>
        <v>45719</v>
      </c>
      <c r="B4309" s="3" t="str">
        <f>TRIM([1]Raw_Data!B4307)</f>
        <v>Vitamin C</v>
      </c>
      <c r="C4309" s="3" t="str">
        <f>TRIM([1]Raw_Data!C4307)</f>
        <v>Vitamin</v>
      </c>
      <c r="D4309" s="3">
        <f>[1]Raw_Data!D4307</f>
        <v>141</v>
      </c>
      <c r="E4309" s="4">
        <f>[1]Raw_Data!E4307</f>
        <v>25.7</v>
      </c>
      <c r="F4309" s="5">
        <f>[1]Raw_Data!F4307</f>
        <v>3623.7</v>
      </c>
      <c r="G4309" s="4">
        <f>[1]Raw_Data!G4307</f>
        <v>0.11</v>
      </c>
      <c r="H4309" s="3">
        <f>[1]Raw_Data!H4307</f>
        <v>3</v>
      </c>
      <c r="I4309" s="3" t="str">
        <f>TRIM([1]Raw_Data!I4307)</f>
        <v>Canada</v>
      </c>
      <c r="J4309" s="3" t="str">
        <f>TRIM([1]Raw_Data!J4307)</f>
        <v>Amazon</v>
      </c>
      <c r="K4309" s="3">
        <f t="shared" si="268"/>
        <v>2025</v>
      </c>
      <c r="L4309" s="6">
        <f t="shared" si="269"/>
        <v>45717</v>
      </c>
      <c r="M4309" s="3" t="str">
        <f t="shared" si="270"/>
        <v>11% to 15%</v>
      </c>
      <c r="N4309" s="3" t="str">
        <f t="shared" si="271"/>
        <v>OK</v>
      </c>
    </row>
    <row r="4310" spans="1:14" x14ac:dyDescent="0.3">
      <c r="A4310" s="2">
        <f>DATE(VALUE(RIGHT(TRIM([1]Raw_Data!A4308),4)),VALUE(MID(TRIM([1]Raw_Data!A4308),4,2)),VALUE(LEFT(TRIM([1]Raw_Data!A4308),2)))</f>
        <v>45719</v>
      </c>
      <c r="B4310" s="3" t="str">
        <f>TRIM([1]Raw_Data!B4308)</f>
        <v>Fish Oil</v>
      </c>
      <c r="C4310" s="3" t="str">
        <f>TRIM([1]Raw_Data!C4308)</f>
        <v>Omega</v>
      </c>
      <c r="D4310" s="3">
        <f>[1]Raw_Data!D4308</f>
        <v>161</v>
      </c>
      <c r="E4310" s="4">
        <f>[1]Raw_Data!E4308</f>
        <v>23.6</v>
      </c>
      <c r="F4310" s="5">
        <f>[1]Raw_Data!F4308</f>
        <v>3799.6</v>
      </c>
      <c r="G4310" s="4">
        <f>[1]Raw_Data!G4308</f>
        <v>0.15</v>
      </c>
      <c r="H4310" s="3">
        <f>[1]Raw_Data!H4308</f>
        <v>1</v>
      </c>
      <c r="I4310" s="3" t="str">
        <f>TRIM([1]Raw_Data!I4308)</f>
        <v>UK</v>
      </c>
      <c r="J4310" s="3" t="str">
        <f>TRIM([1]Raw_Data!J4308)</f>
        <v>iHerb</v>
      </c>
      <c r="K4310" s="3">
        <f t="shared" si="268"/>
        <v>2025</v>
      </c>
      <c r="L4310" s="6">
        <f t="shared" si="269"/>
        <v>45717</v>
      </c>
      <c r="M4310" s="3" t="str">
        <f t="shared" si="270"/>
        <v>11% to 15%</v>
      </c>
      <c r="N4310" s="3" t="str">
        <f t="shared" si="271"/>
        <v>OK</v>
      </c>
    </row>
    <row r="4311" spans="1:14" x14ac:dyDescent="0.3">
      <c r="A4311" s="2">
        <f>DATE(VALUE(RIGHT(TRIM([1]Raw_Data!A4309),4)),VALUE(MID(TRIM([1]Raw_Data!A4309),4,2)),VALUE(LEFT(TRIM([1]Raw_Data!A4309),2)))</f>
        <v>45719</v>
      </c>
      <c r="B4311" s="3" t="str">
        <f>TRIM([1]Raw_Data!B4309)</f>
        <v>Multivitamin</v>
      </c>
      <c r="C4311" s="3" t="str">
        <f>TRIM([1]Raw_Data!C4309)</f>
        <v>Vitamin</v>
      </c>
      <c r="D4311" s="3">
        <f>[1]Raw_Data!D4309</f>
        <v>132</v>
      </c>
      <c r="E4311" s="4">
        <f>[1]Raw_Data!E4309</f>
        <v>17.149999999999999</v>
      </c>
      <c r="F4311" s="5">
        <f>[1]Raw_Data!F4309</f>
        <v>2263.8000000000002</v>
      </c>
      <c r="G4311" s="4">
        <f>[1]Raw_Data!G4309</f>
        <v>0.17</v>
      </c>
      <c r="H4311" s="3">
        <f>[1]Raw_Data!H4309</f>
        <v>2</v>
      </c>
      <c r="I4311" s="3" t="str">
        <f>TRIM([1]Raw_Data!I4309)</f>
        <v>Canada</v>
      </c>
      <c r="J4311" s="3" t="str">
        <f>TRIM([1]Raw_Data!J4309)</f>
        <v>Walmart</v>
      </c>
      <c r="K4311" s="3">
        <f t="shared" si="268"/>
        <v>2025</v>
      </c>
      <c r="L4311" s="6">
        <f t="shared" si="269"/>
        <v>45717</v>
      </c>
      <c r="M4311" s="3" t="str">
        <f t="shared" si="270"/>
        <v>16% to 20%</v>
      </c>
      <c r="N4311" s="3" t="str">
        <f t="shared" si="271"/>
        <v>OK</v>
      </c>
    </row>
    <row r="4312" spans="1:14" x14ac:dyDescent="0.3">
      <c r="A4312" s="2">
        <f>DATE(VALUE(RIGHT(TRIM([1]Raw_Data!A4310),4)),VALUE(MID(TRIM([1]Raw_Data!A4310),4,2)),VALUE(LEFT(TRIM([1]Raw_Data!A4310),2)))</f>
        <v>45719</v>
      </c>
      <c r="B4312" s="3" t="str">
        <f>TRIM([1]Raw_Data!B4310)</f>
        <v>Pre-Workout</v>
      </c>
      <c r="C4312" s="3" t="str">
        <f>TRIM([1]Raw_Data!C4310)</f>
        <v>Performance</v>
      </c>
      <c r="D4312" s="3">
        <f>[1]Raw_Data!D4310</f>
        <v>162</v>
      </c>
      <c r="E4312" s="4">
        <f>[1]Raw_Data!E4310</f>
        <v>49.17</v>
      </c>
      <c r="F4312" s="5">
        <f>[1]Raw_Data!F4310</f>
        <v>7965.54</v>
      </c>
      <c r="G4312" s="4">
        <f>[1]Raw_Data!G4310</f>
        <v>0.25</v>
      </c>
      <c r="H4312" s="3">
        <f>[1]Raw_Data!H4310</f>
        <v>3</v>
      </c>
      <c r="I4312" s="3" t="str">
        <f>TRIM([1]Raw_Data!I4310)</f>
        <v>UK</v>
      </c>
      <c r="J4312" s="3" t="str">
        <f>TRIM([1]Raw_Data!J4310)</f>
        <v>Amazon</v>
      </c>
      <c r="K4312" s="3">
        <f t="shared" si="268"/>
        <v>2025</v>
      </c>
      <c r="L4312" s="6">
        <f t="shared" si="269"/>
        <v>45717</v>
      </c>
      <c r="M4312" s="3" t="str">
        <f t="shared" si="270"/>
        <v>21% to 25%</v>
      </c>
      <c r="N4312" s="3" t="str">
        <f t="shared" si="271"/>
        <v>OK</v>
      </c>
    </row>
    <row r="4313" spans="1:14" x14ac:dyDescent="0.3">
      <c r="A4313" s="2">
        <f>DATE(VALUE(RIGHT(TRIM([1]Raw_Data!A4311),4)),VALUE(MID(TRIM([1]Raw_Data!A4311),4,2)),VALUE(LEFT(TRIM([1]Raw_Data!A4311),2)))</f>
        <v>45719</v>
      </c>
      <c r="B4313" s="3" t="str">
        <f>TRIM([1]Raw_Data!B4311)</f>
        <v>BCAA</v>
      </c>
      <c r="C4313" s="3" t="str">
        <f>TRIM([1]Raw_Data!C4311)</f>
        <v>Amino Acid</v>
      </c>
      <c r="D4313" s="3">
        <f>[1]Raw_Data!D4311</f>
        <v>159</v>
      </c>
      <c r="E4313" s="4">
        <f>[1]Raw_Data!E4311</f>
        <v>31.09</v>
      </c>
      <c r="F4313" s="5">
        <f>[1]Raw_Data!F4311</f>
        <v>4943.3100000000004</v>
      </c>
      <c r="G4313" s="4">
        <f>[1]Raw_Data!G4311</f>
        <v>0.18</v>
      </c>
      <c r="H4313" s="3">
        <f>[1]Raw_Data!H4311</f>
        <v>2</v>
      </c>
      <c r="I4313" s="3" t="str">
        <f>TRIM([1]Raw_Data!I4311)</f>
        <v>UK</v>
      </c>
      <c r="J4313" s="3" t="str">
        <f>TRIM([1]Raw_Data!J4311)</f>
        <v>Amazon</v>
      </c>
      <c r="K4313" s="3">
        <f t="shared" si="268"/>
        <v>2025</v>
      </c>
      <c r="L4313" s="6">
        <f t="shared" si="269"/>
        <v>45717</v>
      </c>
      <c r="M4313" s="3" t="str">
        <f t="shared" si="270"/>
        <v>16% to 20%</v>
      </c>
      <c r="N4313" s="3" t="str">
        <f t="shared" si="271"/>
        <v>OK</v>
      </c>
    </row>
    <row r="4314" spans="1:14" x14ac:dyDescent="0.3">
      <c r="A4314" s="2">
        <f>DATE(VALUE(RIGHT(TRIM([1]Raw_Data!A4312),4)),VALUE(MID(TRIM([1]Raw_Data!A4312),4,2)),VALUE(LEFT(TRIM([1]Raw_Data!A4312),2)))</f>
        <v>45719</v>
      </c>
      <c r="B4314" s="3" t="str">
        <f>TRIM([1]Raw_Data!B4312)</f>
        <v>Creatine</v>
      </c>
      <c r="C4314" s="3" t="str">
        <f>TRIM([1]Raw_Data!C4312)</f>
        <v>Performance</v>
      </c>
      <c r="D4314" s="3">
        <f>[1]Raw_Data!D4312</f>
        <v>155</v>
      </c>
      <c r="E4314" s="4">
        <f>[1]Raw_Data!E4312</f>
        <v>32.44</v>
      </c>
      <c r="F4314" s="5">
        <f>[1]Raw_Data!F4312</f>
        <v>5028.2</v>
      </c>
      <c r="G4314" s="4">
        <f>[1]Raw_Data!G4312</f>
        <v>0.03</v>
      </c>
      <c r="H4314" s="3">
        <f>[1]Raw_Data!H4312</f>
        <v>2</v>
      </c>
      <c r="I4314" s="3" t="str">
        <f>TRIM([1]Raw_Data!I4312)</f>
        <v>USA</v>
      </c>
      <c r="J4314" s="3" t="str">
        <f>TRIM([1]Raw_Data!J4312)</f>
        <v>iHerb</v>
      </c>
      <c r="K4314" s="3">
        <f t="shared" si="268"/>
        <v>2025</v>
      </c>
      <c r="L4314" s="6">
        <f t="shared" si="269"/>
        <v>45717</v>
      </c>
      <c r="M4314" s="3" t="str">
        <f t="shared" si="270"/>
        <v>0% to 5%</v>
      </c>
      <c r="N4314" s="3" t="str">
        <f t="shared" si="271"/>
        <v>OK</v>
      </c>
    </row>
    <row r="4315" spans="1:14" x14ac:dyDescent="0.3">
      <c r="A4315" s="2">
        <f>DATE(VALUE(RIGHT(TRIM([1]Raw_Data!A4313),4)),VALUE(MID(TRIM([1]Raw_Data!A4313),4,2)),VALUE(LEFT(TRIM([1]Raw_Data!A4313),2)))</f>
        <v>45719</v>
      </c>
      <c r="B4315" s="3" t="str">
        <f>TRIM([1]Raw_Data!B4313)</f>
        <v>Zinc</v>
      </c>
      <c r="C4315" s="3" t="str">
        <f>TRIM([1]Raw_Data!C4313)</f>
        <v>Mineral</v>
      </c>
      <c r="D4315" s="3">
        <f>[1]Raw_Data!D4313</f>
        <v>141</v>
      </c>
      <c r="E4315" s="4">
        <f>[1]Raw_Data!E4313</f>
        <v>10.87</v>
      </c>
      <c r="F4315" s="5">
        <f>[1]Raw_Data!F4313</f>
        <v>1532.67</v>
      </c>
      <c r="G4315" s="4">
        <f>[1]Raw_Data!G4313</f>
        <v>0.1</v>
      </c>
      <c r="H4315" s="3">
        <f>[1]Raw_Data!H4313</f>
        <v>2</v>
      </c>
      <c r="I4315" s="3" t="str">
        <f>TRIM([1]Raw_Data!I4313)</f>
        <v>Canada</v>
      </c>
      <c r="J4315" s="3" t="str">
        <f>TRIM([1]Raw_Data!J4313)</f>
        <v>Amazon</v>
      </c>
      <c r="K4315" s="3">
        <f t="shared" si="268"/>
        <v>2025</v>
      </c>
      <c r="L4315" s="6">
        <f t="shared" si="269"/>
        <v>45717</v>
      </c>
      <c r="M4315" s="3" t="str">
        <f t="shared" si="270"/>
        <v>6% to 10%</v>
      </c>
      <c r="N4315" s="3" t="str">
        <f t="shared" si="271"/>
        <v>OK</v>
      </c>
    </row>
    <row r="4316" spans="1:14" x14ac:dyDescent="0.3">
      <c r="A4316" s="2">
        <f>DATE(VALUE(RIGHT(TRIM([1]Raw_Data!A4314),4)),VALUE(MID(TRIM([1]Raw_Data!A4314),4,2)),VALUE(LEFT(TRIM([1]Raw_Data!A4314),2)))</f>
        <v>45719</v>
      </c>
      <c r="B4316" s="3" t="str">
        <f>TRIM([1]Raw_Data!B4314)</f>
        <v>Collagen Peptides</v>
      </c>
      <c r="C4316" s="3" t="str">
        <f>TRIM([1]Raw_Data!C4314)</f>
        <v>Protein</v>
      </c>
      <c r="D4316" s="3">
        <f>[1]Raw_Data!D4314</f>
        <v>151</v>
      </c>
      <c r="E4316" s="4">
        <f>[1]Raw_Data!E4314</f>
        <v>33.49</v>
      </c>
      <c r="F4316" s="5">
        <f>[1]Raw_Data!F4314</f>
        <v>5056.99</v>
      </c>
      <c r="G4316" s="4">
        <f>[1]Raw_Data!G4314</f>
        <v>7.0000000000000007E-2</v>
      </c>
      <c r="H4316" s="3">
        <f>[1]Raw_Data!H4314</f>
        <v>1</v>
      </c>
      <c r="I4316" s="3" t="str">
        <f>TRIM([1]Raw_Data!I4314)</f>
        <v>Canada</v>
      </c>
      <c r="J4316" s="3" t="str">
        <f>TRIM([1]Raw_Data!J4314)</f>
        <v>Walmart</v>
      </c>
      <c r="K4316" s="3">
        <f t="shared" si="268"/>
        <v>2025</v>
      </c>
      <c r="L4316" s="6">
        <f t="shared" si="269"/>
        <v>45717</v>
      </c>
      <c r="M4316" s="3" t="str">
        <f t="shared" si="270"/>
        <v>6% to 10%</v>
      </c>
      <c r="N4316" s="3" t="str">
        <f t="shared" si="271"/>
        <v>OK</v>
      </c>
    </row>
    <row r="4317" spans="1:14" x14ac:dyDescent="0.3">
      <c r="A4317" s="2">
        <f>DATE(VALUE(RIGHT(TRIM([1]Raw_Data!A4315),4)),VALUE(MID(TRIM([1]Raw_Data!A4315),4,2)),VALUE(LEFT(TRIM([1]Raw_Data!A4315),2)))</f>
        <v>45719</v>
      </c>
      <c r="B4317" s="3" t="str">
        <f>TRIM([1]Raw_Data!B4315)</f>
        <v>Magnesium</v>
      </c>
      <c r="C4317" s="3" t="str">
        <f>TRIM([1]Raw_Data!C4315)</f>
        <v>Mineral</v>
      </c>
      <c r="D4317" s="3">
        <f>[1]Raw_Data!D4315</f>
        <v>147</v>
      </c>
      <c r="E4317" s="4">
        <f>[1]Raw_Data!E4315</f>
        <v>12.06</v>
      </c>
      <c r="F4317" s="5">
        <f>[1]Raw_Data!F4315</f>
        <v>1772.82</v>
      </c>
      <c r="G4317" s="4">
        <f>[1]Raw_Data!G4315</f>
        <v>0.17</v>
      </c>
      <c r="H4317" s="3">
        <f>[1]Raw_Data!H4315</f>
        <v>3</v>
      </c>
      <c r="I4317" s="3" t="str">
        <f>TRIM([1]Raw_Data!I4315)</f>
        <v>UK</v>
      </c>
      <c r="J4317" s="3" t="str">
        <f>TRIM([1]Raw_Data!J4315)</f>
        <v>Amazon</v>
      </c>
      <c r="K4317" s="3">
        <f t="shared" si="268"/>
        <v>2025</v>
      </c>
      <c r="L4317" s="6">
        <f t="shared" si="269"/>
        <v>45717</v>
      </c>
      <c r="M4317" s="3" t="str">
        <f t="shared" si="270"/>
        <v>16% to 20%</v>
      </c>
      <c r="N4317" s="3" t="str">
        <f t="shared" si="271"/>
        <v>OK</v>
      </c>
    </row>
    <row r="4318" spans="1:14" x14ac:dyDescent="0.3">
      <c r="A4318" s="2">
        <f>DATE(VALUE(RIGHT(TRIM([1]Raw_Data!A4316),4)),VALUE(MID(TRIM([1]Raw_Data!A4316),4,2)),VALUE(LEFT(TRIM([1]Raw_Data!A4316),2)))</f>
        <v>45719</v>
      </c>
      <c r="B4318" s="3" t="str">
        <f>TRIM([1]Raw_Data!B4316)</f>
        <v>Ashwagandha</v>
      </c>
      <c r="C4318" s="3" t="str">
        <f>TRIM([1]Raw_Data!C4316)</f>
        <v>Herbal</v>
      </c>
      <c r="D4318" s="3">
        <f>[1]Raw_Data!D4316</f>
        <v>181</v>
      </c>
      <c r="E4318" s="4">
        <f>[1]Raw_Data!E4316</f>
        <v>36.57</v>
      </c>
      <c r="F4318" s="5">
        <f>[1]Raw_Data!F4316</f>
        <v>6619.17</v>
      </c>
      <c r="G4318" s="4">
        <f>[1]Raw_Data!G4316</f>
        <v>0.01</v>
      </c>
      <c r="H4318" s="3">
        <f>[1]Raw_Data!H4316</f>
        <v>2</v>
      </c>
      <c r="I4318" s="3" t="str">
        <f>TRIM([1]Raw_Data!I4316)</f>
        <v>UK</v>
      </c>
      <c r="J4318" s="3" t="str">
        <f>TRIM([1]Raw_Data!J4316)</f>
        <v>iHerb</v>
      </c>
      <c r="K4318" s="3">
        <f t="shared" si="268"/>
        <v>2025</v>
      </c>
      <c r="L4318" s="6">
        <f t="shared" si="269"/>
        <v>45717</v>
      </c>
      <c r="M4318" s="3" t="str">
        <f t="shared" si="270"/>
        <v>0% to 5%</v>
      </c>
      <c r="N4318" s="3" t="str">
        <f t="shared" si="271"/>
        <v>OK</v>
      </c>
    </row>
    <row r="4319" spans="1:14" x14ac:dyDescent="0.3">
      <c r="A4319" s="2">
        <f>DATE(VALUE(RIGHT(TRIM([1]Raw_Data!A4317),4)),VALUE(MID(TRIM([1]Raw_Data!A4317),4,2)),VALUE(LEFT(TRIM([1]Raw_Data!A4317),2)))</f>
        <v>45719</v>
      </c>
      <c r="B4319" s="3" t="str">
        <f>TRIM([1]Raw_Data!B4317)</f>
        <v>Melatonin</v>
      </c>
      <c r="C4319" s="3" t="str">
        <f>TRIM([1]Raw_Data!C4317)</f>
        <v>Sleep Aid</v>
      </c>
      <c r="D4319" s="3">
        <f>[1]Raw_Data!D4317</f>
        <v>134</v>
      </c>
      <c r="E4319" s="4">
        <f>[1]Raw_Data!E4317</f>
        <v>15.69</v>
      </c>
      <c r="F4319" s="5">
        <f>[1]Raw_Data!F4317</f>
        <v>2102.46</v>
      </c>
      <c r="G4319" s="4">
        <f>[1]Raw_Data!G4317</f>
        <v>0.13</v>
      </c>
      <c r="H4319" s="3">
        <f>[1]Raw_Data!H4317</f>
        <v>1</v>
      </c>
      <c r="I4319" s="3" t="str">
        <f>TRIM([1]Raw_Data!I4317)</f>
        <v>UK</v>
      </c>
      <c r="J4319" s="3" t="str">
        <f>TRIM([1]Raw_Data!J4317)</f>
        <v>iHerb</v>
      </c>
      <c r="K4319" s="3">
        <f t="shared" si="268"/>
        <v>2025</v>
      </c>
      <c r="L4319" s="6">
        <f t="shared" si="269"/>
        <v>45717</v>
      </c>
      <c r="M4319" s="3" t="str">
        <f t="shared" si="270"/>
        <v>11% to 15%</v>
      </c>
      <c r="N4319" s="3" t="str">
        <f t="shared" si="271"/>
        <v>OK</v>
      </c>
    </row>
    <row r="4320" spans="1:14" x14ac:dyDescent="0.3">
      <c r="A4320" s="2">
        <f>DATE(VALUE(RIGHT(TRIM([1]Raw_Data!A4318),4)),VALUE(MID(TRIM([1]Raw_Data!A4318),4,2)),VALUE(LEFT(TRIM([1]Raw_Data!A4318),2)))</f>
        <v>45719</v>
      </c>
      <c r="B4320" s="3" t="str">
        <f>TRIM([1]Raw_Data!B4318)</f>
        <v>Biotin</v>
      </c>
      <c r="C4320" s="3" t="str">
        <f>TRIM([1]Raw_Data!C4318)</f>
        <v>Vitamin</v>
      </c>
      <c r="D4320" s="3">
        <f>[1]Raw_Data!D4318</f>
        <v>142</v>
      </c>
      <c r="E4320" s="4">
        <f>[1]Raw_Data!E4318</f>
        <v>16.41</v>
      </c>
      <c r="F4320" s="5">
        <f>[1]Raw_Data!F4318</f>
        <v>2330.2199999999998</v>
      </c>
      <c r="G4320" s="4">
        <f>[1]Raw_Data!G4318</f>
        <v>0.19</v>
      </c>
      <c r="H4320" s="3">
        <f>[1]Raw_Data!H4318</f>
        <v>2</v>
      </c>
      <c r="I4320" s="3" t="str">
        <f>TRIM([1]Raw_Data!I4318)</f>
        <v>Canada</v>
      </c>
      <c r="J4320" s="3" t="str">
        <f>TRIM([1]Raw_Data!J4318)</f>
        <v>Walmart</v>
      </c>
      <c r="K4320" s="3">
        <f t="shared" si="268"/>
        <v>2025</v>
      </c>
      <c r="L4320" s="6">
        <f t="shared" si="269"/>
        <v>45717</v>
      </c>
      <c r="M4320" s="3" t="str">
        <f t="shared" si="270"/>
        <v>16% to 20%</v>
      </c>
      <c r="N4320" s="3" t="str">
        <f t="shared" si="271"/>
        <v>OK</v>
      </c>
    </row>
    <row r="4321" spans="1:14" x14ac:dyDescent="0.3">
      <c r="A4321" s="2">
        <f>DATE(VALUE(RIGHT(TRIM([1]Raw_Data!A4319),4)),VALUE(MID(TRIM([1]Raw_Data!A4319),4,2)),VALUE(LEFT(TRIM([1]Raw_Data!A4319),2)))</f>
        <v>45719</v>
      </c>
      <c r="B4321" s="3" t="str">
        <f>TRIM([1]Raw_Data!B4319)</f>
        <v>Green Tea Extract</v>
      </c>
      <c r="C4321" s="3" t="str">
        <f>TRIM([1]Raw_Data!C4319)</f>
        <v>Fat Burner</v>
      </c>
      <c r="D4321" s="3">
        <f>[1]Raw_Data!D4319</f>
        <v>154</v>
      </c>
      <c r="E4321" s="4">
        <f>[1]Raw_Data!E4319</f>
        <v>48.14</v>
      </c>
      <c r="F4321" s="5">
        <f>[1]Raw_Data!F4319</f>
        <v>7413.56</v>
      </c>
      <c r="G4321" s="4">
        <f>[1]Raw_Data!G4319</f>
        <v>0.16</v>
      </c>
      <c r="H4321" s="3">
        <f>[1]Raw_Data!H4319</f>
        <v>4</v>
      </c>
      <c r="I4321" s="3" t="str">
        <f>TRIM([1]Raw_Data!I4319)</f>
        <v>USA</v>
      </c>
      <c r="J4321" s="3" t="str">
        <f>TRIM([1]Raw_Data!J4319)</f>
        <v>Walmart</v>
      </c>
      <c r="K4321" s="3">
        <f t="shared" si="268"/>
        <v>2025</v>
      </c>
      <c r="L4321" s="6">
        <f t="shared" si="269"/>
        <v>45717</v>
      </c>
      <c r="M4321" s="3" t="str">
        <f t="shared" si="270"/>
        <v>16% to 20%</v>
      </c>
      <c r="N4321" s="3" t="str">
        <f t="shared" si="271"/>
        <v>OK</v>
      </c>
    </row>
    <row r="4322" spans="1:14" x14ac:dyDescent="0.3">
      <c r="A4322" s="2">
        <f>DATE(VALUE(RIGHT(TRIM([1]Raw_Data!A4320),4)),VALUE(MID(TRIM([1]Raw_Data!A4320),4,2)),VALUE(LEFT(TRIM([1]Raw_Data!A4320),2)))</f>
        <v>45719</v>
      </c>
      <c r="B4322" s="3" t="str">
        <f>TRIM([1]Raw_Data!B4320)</f>
        <v>Iron Supplement</v>
      </c>
      <c r="C4322" s="3" t="str">
        <f>TRIM([1]Raw_Data!C4320)</f>
        <v>Mineral</v>
      </c>
      <c r="D4322" s="3">
        <f>[1]Raw_Data!D4320</f>
        <v>153</v>
      </c>
      <c r="E4322" s="4">
        <f>[1]Raw_Data!E4320</f>
        <v>29.08</v>
      </c>
      <c r="F4322" s="5">
        <f>[1]Raw_Data!F4320</f>
        <v>4449.24</v>
      </c>
      <c r="G4322" s="4">
        <f>[1]Raw_Data!G4320</f>
        <v>0.04</v>
      </c>
      <c r="H4322" s="3">
        <f>[1]Raw_Data!H4320</f>
        <v>2</v>
      </c>
      <c r="I4322" s="3" t="str">
        <f>TRIM([1]Raw_Data!I4320)</f>
        <v>UK</v>
      </c>
      <c r="J4322" s="3" t="str">
        <f>TRIM([1]Raw_Data!J4320)</f>
        <v>Amazon</v>
      </c>
      <c r="K4322" s="3">
        <f t="shared" si="268"/>
        <v>2025</v>
      </c>
      <c r="L4322" s="6">
        <f t="shared" si="269"/>
        <v>45717</v>
      </c>
      <c r="M4322" s="3" t="str">
        <f t="shared" si="270"/>
        <v>0% to 5%</v>
      </c>
      <c r="N4322" s="3" t="str">
        <f t="shared" si="271"/>
        <v>OK</v>
      </c>
    </row>
    <row r="4323" spans="1:14" x14ac:dyDescent="0.3">
      <c r="A4323" s="2">
        <f>DATE(VALUE(RIGHT(TRIM([1]Raw_Data!A4321),4)),VALUE(MID(TRIM([1]Raw_Data!A4321),4,2)),VALUE(LEFT(TRIM([1]Raw_Data!A4321),2)))</f>
        <v>45719</v>
      </c>
      <c r="B4323" s="3" t="str">
        <f>TRIM([1]Raw_Data!B4321)</f>
        <v>Electrolyte Powder</v>
      </c>
      <c r="C4323" s="3" t="str">
        <f>TRIM([1]Raw_Data!C4321)</f>
        <v>Hydration</v>
      </c>
      <c r="D4323" s="3">
        <f>[1]Raw_Data!D4321</f>
        <v>158</v>
      </c>
      <c r="E4323" s="4">
        <f>[1]Raw_Data!E4321</f>
        <v>17.920000000000002</v>
      </c>
      <c r="F4323" s="5">
        <f>[1]Raw_Data!F4321</f>
        <v>2831.36</v>
      </c>
      <c r="G4323" s="4">
        <f>[1]Raw_Data!G4321</f>
        <v>0.02</v>
      </c>
      <c r="H4323" s="3">
        <f>[1]Raw_Data!H4321</f>
        <v>3</v>
      </c>
      <c r="I4323" s="3" t="str">
        <f>TRIM([1]Raw_Data!I4321)</f>
        <v>UK</v>
      </c>
      <c r="J4323" s="3" t="str">
        <f>TRIM([1]Raw_Data!J4321)</f>
        <v>Walmart</v>
      </c>
      <c r="K4323" s="3">
        <f t="shared" si="268"/>
        <v>2025</v>
      </c>
      <c r="L4323" s="6">
        <f t="shared" si="269"/>
        <v>45717</v>
      </c>
      <c r="M4323" s="3" t="str">
        <f t="shared" si="270"/>
        <v>0% to 5%</v>
      </c>
      <c r="N4323" s="3" t="str">
        <f t="shared" si="271"/>
        <v>OK</v>
      </c>
    </row>
    <row r="4324" spans="1:14" x14ac:dyDescent="0.3">
      <c r="A4324" s="2">
        <f>DATE(VALUE(RIGHT(TRIM([1]Raw_Data!A4322),4)),VALUE(MID(TRIM([1]Raw_Data!A4322),4,2)),VALUE(LEFT(TRIM([1]Raw_Data!A4322),2)))</f>
        <v>45726</v>
      </c>
      <c r="B4324" s="3" t="str">
        <f>TRIM([1]Raw_Data!B4322)</f>
        <v>Whey Protein</v>
      </c>
      <c r="C4324" s="3" t="str">
        <f>TRIM([1]Raw_Data!C4322)</f>
        <v>Protein</v>
      </c>
      <c r="D4324" s="3">
        <f>[1]Raw_Data!D4322</f>
        <v>140</v>
      </c>
      <c r="E4324" s="4">
        <f>[1]Raw_Data!E4322</f>
        <v>24.03</v>
      </c>
      <c r="F4324" s="5">
        <f>[1]Raw_Data!F4322</f>
        <v>3364.2</v>
      </c>
      <c r="G4324" s="4">
        <f>[1]Raw_Data!G4322</f>
        <v>0.1</v>
      </c>
      <c r="H4324" s="3">
        <f>[1]Raw_Data!H4322</f>
        <v>2</v>
      </c>
      <c r="I4324" s="3" t="str">
        <f>TRIM([1]Raw_Data!I4322)</f>
        <v>UK</v>
      </c>
      <c r="J4324" s="3" t="str">
        <f>TRIM([1]Raw_Data!J4322)</f>
        <v>Amazon</v>
      </c>
      <c r="K4324" s="3">
        <f t="shared" si="268"/>
        <v>2025</v>
      </c>
      <c r="L4324" s="6">
        <f t="shared" si="269"/>
        <v>45717</v>
      </c>
      <c r="M4324" s="3" t="str">
        <f t="shared" si="270"/>
        <v>6% to 10%</v>
      </c>
      <c r="N4324" s="3" t="str">
        <f t="shared" si="271"/>
        <v>OK</v>
      </c>
    </row>
    <row r="4325" spans="1:14" x14ac:dyDescent="0.3">
      <c r="A4325" s="2">
        <f>DATE(VALUE(RIGHT(TRIM([1]Raw_Data!A4323),4)),VALUE(MID(TRIM([1]Raw_Data!A4323),4,2)),VALUE(LEFT(TRIM([1]Raw_Data!A4323),2)))</f>
        <v>45726</v>
      </c>
      <c r="B4325" s="3" t="str">
        <f>TRIM([1]Raw_Data!B4323)</f>
        <v>Vitamin C</v>
      </c>
      <c r="C4325" s="3" t="str">
        <f>TRIM([1]Raw_Data!C4323)</f>
        <v>Vitamin</v>
      </c>
      <c r="D4325" s="3">
        <f>[1]Raw_Data!D4323</f>
        <v>166</v>
      </c>
      <c r="E4325" s="4">
        <f>[1]Raw_Data!E4323</f>
        <v>44.32</v>
      </c>
      <c r="F4325" s="5">
        <f>[1]Raw_Data!F4323</f>
        <v>7357.12</v>
      </c>
      <c r="G4325" s="4">
        <f>[1]Raw_Data!G4323</f>
        <v>0.09</v>
      </c>
      <c r="H4325" s="3">
        <f>[1]Raw_Data!H4323</f>
        <v>5</v>
      </c>
      <c r="I4325" s="3" t="str">
        <f>TRIM([1]Raw_Data!I4323)</f>
        <v>Canada</v>
      </c>
      <c r="J4325" s="3" t="str">
        <f>TRIM([1]Raw_Data!J4323)</f>
        <v>Walmart</v>
      </c>
      <c r="K4325" s="3">
        <f t="shared" si="268"/>
        <v>2025</v>
      </c>
      <c r="L4325" s="6">
        <f t="shared" si="269"/>
        <v>45717</v>
      </c>
      <c r="M4325" s="3" t="str">
        <f t="shared" si="270"/>
        <v>6% to 10%</v>
      </c>
      <c r="N4325" s="3" t="str">
        <f t="shared" si="271"/>
        <v>OK</v>
      </c>
    </row>
    <row r="4326" spans="1:14" x14ac:dyDescent="0.3">
      <c r="A4326" s="2">
        <f>DATE(VALUE(RIGHT(TRIM([1]Raw_Data!A4324),4)),VALUE(MID(TRIM([1]Raw_Data!A4324),4,2)),VALUE(LEFT(TRIM([1]Raw_Data!A4324),2)))</f>
        <v>45726</v>
      </c>
      <c r="B4326" s="3" t="str">
        <f>TRIM([1]Raw_Data!B4324)</f>
        <v>Fish Oil</v>
      </c>
      <c r="C4326" s="3" t="str">
        <f>TRIM([1]Raw_Data!C4324)</f>
        <v>Omega</v>
      </c>
      <c r="D4326" s="3">
        <f>[1]Raw_Data!D4324</f>
        <v>143</v>
      </c>
      <c r="E4326" s="4">
        <f>[1]Raw_Data!E4324</f>
        <v>35.78</v>
      </c>
      <c r="F4326" s="5">
        <f>[1]Raw_Data!F4324</f>
        <v>5116.54</v>
      </c>
      <c r="G4326" s="4">
        <f>[1]Raw_Data!G4324</f>
        <v>0.04</v>
      </c>
      <c r="H4326" s="3">
        <f>[1]Raw_Data!H4324</f>
        <v>0</v>
      </c>
      <c r="I4326" s="3" t="str">
        <f>TRIM([1]Raw_Data!I4324)</f>
        <v>USA</v>
      </c>
      <c r="J4326" s="3" t="str">
        <f>TRIM([1]Raw_Data!J4324)</f>
        <v>iHerb</v>
      </c>
      <c r="K4326" s="3">
        <f t="shared" si="268"/>
        <v>2025</v>
      </c>
      <c r="L4326" s="6">
        <f t="shared" si="269"/>
        <v>45717</v>
      </c>
      <c r="M4326" s="3" t="str">
        <f t="shared" si="270"/>
        <v>0% to 5%</v>
      </c>
      <c r="N4326" s="3" t="str">
        <f t="shared" si="271"/>
        <v>OK</v>
      </c>
    </row>
    <row r="4327" spans="1:14" x14ac:dyDescent="0.3">
      <c r="A4327" s="2">
        <f>DATE(VALUE(RIGHT(TRIM([1]Raw_Data!A4325),4)),VALUE(MID(TRIM([1]Raw_Data!A4325),4,2)),VALUE(LEFT(TRIM([1]Raw_Data!A4325),2)))</f>
        <v>45726</v>
      </c>
      <c r="B4327" s="3" t="str">
        <f>TRIM([1]Raw_Data!B4325)</f>
        <v>Multivitamin</v>
      </c>
      <c r="C4327" s="3" t="str">
        <f>TRIM([1]Raw_Data!C4325)</f>
        <v>Vitamin</v>
      </c>
      <c r="D4327" s="3">
        <f>[1]Raw_Data!D4325</f>
        <v>157</v>
      </c>
      <c r="E4327" s="4">
        <f>[1]Raw_Data!E4325</f>
        <v>33.03</v>
      </c>
      <c r="F4327" s="5">
        <f>[1]Raw_Data!F4325</f>
        <v>5185.71</v>
      </c>
      <c r="G4327" s="4">
        <f>[1]Raw_Data!G4325</f>
        <v>0.17</v>
      </c>
      <c r="H4327" s="3">
        <f>[1]Raw_Data!H4325</f>
        <v>2</v>
      </c>
      <c r="I4327" s="3" t="str">
        <f>TRIM([1]Raw_Data!I4325)</f>
        <v>USA</v>
      </c>
      <c r="J4327" s="3" t="str">
        <f>TRIM([1]Raw_Data!J4325)</f>
        <v>iHerb</v>
      </c>
      <c r="K4327" s="3">
        <f t="shared" si="268"/>
        <v>2025</v>
      </c>
      <c r="L4327" s="6">
        <f t="shared" si="269"/>
        <v>45717</v>
      </c>
      <c r="M4327" s="3" t="str">
        <f t="shared" si="270"/>
        <v>16% to 20%</v>
      </c>
      <c r="N4327" s="3" t="str">
        <f t="shared" si="271"/>
        <v>OK</v>
      </c>
    </row>
    <row r="4328" spans="1:14" x14ac:dyDescent="0.3">
      <c r="A4328" s="2">
        <f>DATE(VALUE(RIGHT(TRIM([1]Raw_Data!A4326),4)),VALUE(MID(TRIM([1]Raw_Data!A4326),4,2)),VALUE(LEFT(TRIM([1]Raw_Data!A4326),2)))</f>
        <v>45726</v>
      </c>
      <c r="B4328" s="3" t="str">
        <f>TRIM([1]Raw_Data!B4326)</f>
        <v>Pre-Workout</v>
      </c>
      <c r="C4328" s="3" t="str">
        <f>TRIM([1]Raw_Data!C4326)</f>
        <v>Performance</v>
      </c>
      <c r="D4328" s="3">
        <f>[1]Raw_Data!D4326</f>
        <v>155</v>
      </c>
      <c r="E4328" s="4">
        <f>[1]Raw_Data!E4326</f>
        <v>43.29</v>
      </c>
      <c r="F4328" s="5">
        <f>[1]Raw_Data!F4326</f>
        <v>6709.95</v>
      </c>
      <c r="G4328" s="4">
        <f>[1]Raw_Data!G4326</f>
        <v>0.05</v>
      </c>
      <c r="H4328" s="3">
        <f>[1]Raw_Data!H4326</f>
        <v>1</v>
      </c>
      <c r="I4328" s="3" t="str">
        <f>TRIM([1]Raw_Data!I4326)</f>
        <v>UK</v>
      </c>
      <c r="J4328" s="3" t="str">
        <f>TRIM([1]Raw_Data!J4326)</f>
        <v>iHerb</v>
      </c>
      <c r="K4328" s="3">
        <f t="shared" si="268"/>
        <v>2025</v>
      </c>
      <c r="L4328" s="6">
        <f t="shared" si="269"/>
        <v>45717</v>
      </c>
      <c r="M4328" s="3" t="str">
        <f t="shared" si="270"/>
        <v>0% to 5%</v>
      </c>
      <c r="N4328" s="3" t="str">
        <f t="shared" si="271"/>
        <v>OK</v>
      </c>
    </row>
    <row r="4329" spans="1:14" x14ac:dyDescent="0.3">
      <c r="A4329" s="2">
        <f>DATE(VALUE(RIGHT(TRIM([1]Raw_Data!A4327),4)),VALUE(MID(TRIM([1]Raw_Data!A4327),4,2)),VALUE(LEFT(TRIM([1]Raw_Data!A4327),2)))</f>
        <v>45726</v>
      </c>
      <c r="B4329" s="3" t="str">
        <f>TRIM([1]Raw_Data!B4327)</f>
        <v>BCAA</v>
      </c>
      <c r="C4329" s="3" t="str">
        <f>TRIM([1]Raw_Data!C4327)</f>
        <v>Amino Acid</v>
      </c>
      <c r="D4329" s="3">
        <f>[1]Raw_Data!D4327</f>
        <v>148</v>
      </c>
      <c r="E4329" s="4">
        <f>[1]Raw_Data!E4327</f>
        <v>48.72</v>
      </c>
      <c r="F4329" s="5">
        <f>[1]Raw_Data!F4327</f>
        <v>7210.56</v>
      </c>
      <c r="G4329" s="4">
        <f>[1]Raw_Data!G4327</f>
        <v>0.09</v>
      </c>
      <c r="H4329" s="3">
        <f>[1]Raw_Data!H4327</f>
        <v>0</v>
      </c>
      <c r="I4329" s="3" t="str">
        <f>TRIM([1]Raw_Data!I4327)</f>
        <v>USA</v>
      </c>
      <c r="J4329" s="3" t="str">
        <f>TRIM([1]Raw_Data!J4327)</f>
        <v>Walmart</v>
      </c>
      <c r="K4329" s="3">
        <f t="shared" si="268"/>
        <v>2025</v>
      </c>
      <c r="L4329" s="6">
        <f t="shared" si="269"/>
        <v>45717</v>
      </c>
      <c r="M4329" s="3" t="str">
        <f t="shared" si="270"/>
        <v>6% to 10%</v>
      </c>
      <c r="N4329" s="3" t="str">
        <f t="shared" si="271"/>
        <v>OK</v>
      </c>
    </row>
    <row r="4330" spans="1:14" x14ac:dyDescent="0.3">
      <c r="A4330" s="2">
        <f>DATE(VALUE(RIGHT(TRIM([1]Raw_Data!A4328),4)),VALUE(MID(TRIM([1]Raw_Data!A4328),4,2)),VALUE(LEFT(TRIM([1]Raw_Data!A4328),2)))</f>
        <v>45726</v>
      </c>
      <c r="B4330" s="3" t="str">
        <f>TRIM([1]Raw_Data!B4328)</f>
        <v>Creatine</v>
      </c>
      <c r="C4330" s="3" t="str">
        <f>TRIM([1]Raw_Data!C4328)</f>
        <v>Performance</v>
      </c>
      <c r="D4330" s="3">
        <f>[1]Raw_Data!D4328</f>
        <v>141</v>
      </c>
      <c r="E4330" s="4">
        <f>[1]Raw_Data!E4328</f>
        <v>46.58</v>
      </c>
      <c r="F4330" s="5">
        <f>[1]Raw_Data!F4328</f>
        <v>6567.78</v>
      </c>
      <c r="G4330" s="4">
        <f>[1]Raw_Data!G4328</f>
        <v>0.12</v>
      </c>
      <c r="H4330" s="3">
        <f>[1]Raw_Data!H4328</f>
        <v>2</v>
      </c>
      <c r="I4330" s="3" t="str">
        <f>TRIM([1]Raw_Data!I4328)</f>
        <v>UK</v>
      </c>
      <c r="J4330" s="3" t="str">
        <f>TRIM([1]Raw_Data!J4328)</f>
        <v>Amazon</v>
      </c>
      <c r="K4330" s="3">
        <f t="shared" si="268"/>
        <v>2025</v>
      </c>
      <c r="L4330" s="6">
        <f t="shared" si="269"/>
        <v>45717</v>
      </c>
      <c r="M4330" s="3" t="str">
        <f t="shared" si="270"/>
        <v>11% to 15%</v>
      </c>
      <c r="N4330" s="3" t="str">
        <f t="shared" si="271"/>
        <v>OK</v>
      </c>
    </row>
    <row r="4331" spans="1:14" x14ac:dyDescent="0.3">
      <c r="A4331" s="2">
        <f>DATE(VALUE(RIGHT(TRIM([1]Raw_Data!A4329),4)),VALUE(MID(TRIM([1]Raw_Data!A4329),4,2)),VALUE(LEFT(TRIM([1]Raw_Data!A4329),2)))</f>
        <v>45726</v>
      </c>
      <c r="B4331" s="3" t="str">
        <f>TRIM([1]Raw_Data!B4329)</f>
        <v>Zinc</v>
      </c>
      <c r="C4331" s="3" t="str">
        <f>TRIM([1]Raw_Data!C4329)</f>
        <v>Mineral</v>
      </c>
      <c r="D4331" s="3">
        <f>[1]Raw_Data!D4329</f>
        <v>147</v>
      </c>
      <c r="E4331" s="4">
        <f>[1]Raw_Data!E4329</f>
        <v>59.18</v>
      </c>
      <c r="F4331" s="5">
        <f>[1]Raw_Data!F4329</f>
        <v>8699.4599999999991</v>
      </c>
      <c r="G4331" s="4">
        <f>[1]Raw_Data!G4329</f>
        <v>0.17</v>
      </c>
      <c r="H4331" s="3">
        <f>[1]Raw_Data!H4329</f>
        <v>3</v>
      </c>
      <c r="I4331" s="3" t="str">
        <f>TRIM([1]Raw_Data!I4329)</f>
        <v>Canada</v>
      </c>
      <c r="J4331" s="3" t="str">
        <f>TRIM([1]Raw_Data!J4329)</f>
        <v>Amazon</v>
      </c>
      <c r="K4331" s="3">
        <f t="shared" si="268"/>
        <v>2025</v>
      </c>
      <c r="L4331" s="6">
        <f t="shared" si="269"/>
        <v>45717</v>
      </c>
      <c r="M4331" s="3" t="str">
        <f t="shared" si="270"/>
        <v>16% to 20%</v>
      </c>
      <c r="N4331" s="3" t="str">
        <f t="shared" si="271"/>
        <v>OK</v>
      </c>
    </row>
    <row r="4332" spans="1:14" x14ac:dyDescent="0.3">
      <c r="A4332" s="2">
        <f>DATE(VALUE(RIGHT(TRIM([1]Raw_Data!A4330),4)),VALUE(MID(TRIM([1]Raw_Data!A4330),4,2)),VALUE(LEFT(TRIM([1]Raw_Data!A4330),2)))</f>
        <v>45726</v>
      </c>
      <c r="B4332" s="3" t="str">
        <f>TRIM([1]Raw_Data!B4330)</f>
        <v>Collagen Peptides</v>
      </c>
      <c r="C4332" s="3" t="str">
        <f>TRIM([1]Raw_Data!C4330)</f>
        <v>Protein</v>
      </c>
      <c r="D4332" s="3">
        <f>[1]Raw_Data!D4330</f>
        <v>150</v>
      </c>
      <c r="E4332" s="4">
        <f>[1]Raw_Data!E4330</f>
        <v>51.58</v>
      </c>
      <c r="F4332" s="5">
        <f>[1]Raw_Data!F4330</f>
        <v>7737</v>
      </c>
      <c r="G4332" s="4">
        <f>[1]Raw_Data!G4330</f>
        <v>0.25</v>
      </c>
      <c r="H4332" s="3">
        <f>[1]Raw_Data!H4330</f>
        <v>2</v>
      </c>
      <c r="I4332" s="3" t="str">
        <f>TRIM([1]Raw_Data!I4330)</f>
        <v>USA</v>
      </c>
      <c r="J4332" s="3" t="str">
        <f>TRIM([1]Raw_Data!J4330)</f>
        <v>iHerb</v>
      </c>
      <c r="K4332" s="3">
        <f t="shared" si="268"/>
        <v>2025</v>
      </c>
      <c r="L4332" s="6">
        <f t="shared" si="269"/>
        <v>45717</v>
      </c>
      <c r="M4332" s="3" t="str">
        <f t="shared" si="270"/>
        <v>21% to 25%</v>
      </c>
      <c r="N4332" s="3" t="str">
        <f t="shared" si="271"/>
        <v>OK</v>
      </c>
    </row>
    <row r="4333" spans="1:14" x14ac:dyDescent="0.3">
      <c r="A4333" s="2">
        <f>DATE(VALUE(RIGHT(TRIM([1]Raw_Data!A4331),4)),VALUE(MID(TRIM([1]Raw_Data!A4331),4,2)),VALUE(LEFT(TRIM([1]Raw_Data!A4331),2)))</f>
        <v>45726</v>
      </c>
      <c r="B4333" s="3" t="str">
        <f>TRIM([1]Raw_Data!B4331)</f>
        <v>Magnesium</v>
      </c>
      <c r="C4333" s="3" t="str">
        <f>TRIM([1]Raw_Data!C4331)</f>
        <v>Mineral</v>
      </c>
      <c r="D4333" s="3">
        <f>[1]Raw_Data!D4331</f>
        <v>161</v>
      </c>
      <c r="E4333" s="4">
        <f>[1]Raw_Data!E4331</f>
        <v>22.96</v>
      </c>
      <c r="F4333" s="5">
        <f>[1]Raw_Data!F4331</f>
        <v>3696.56</v>
      </c>
      <c r="G4333" s="4">
        <f>[1]Raw_Data!G4331</f>
        <v>0.09</v>
      </c>
      <c r="H4333" s="3">
        <f>[1]Raw_Data!H4331</f>
        <v>3</v>
      </c>
      <c r="I4333" s="3" t="str">
        <f>TRIM([1]Raw_Data!I4331)</f>
        <v>Canada</v>
      </c>
      <c r="J4333" s="3" t="str">
        <f>TRIM([1]Raw_Data!J4331)</f>
        <v>iHerb</v>
      </c>
      <c r="K4333" s="3">
        <f t="shared" si="268"/>
        <v>2025</v>
      </c>
      <c r="L4333" s="6">
        <f t="shared" si="269"/>
        <v>45717</v>
      </c>
      <c r="M4333" s="3" t="str">
        <f t="shared" si="270"/>
        <v>6% to 10%</v>
      </c>
      <c r="N4333" s="3" t="str">
        <f t="shared" si="271"/>
        <v>OK</v>
      </c>
    </row>
    <row r="4334" spans="1:14" x14ac:dyDescent="0.3">
      <c r="A4334" s="2">
        <f>DATE(VALUE(RIGHT(TRIM([1]Raw_Data!A4332),4)),VALUE(MID(TRIM([1]Raw_Data!A4332),4,2)),VALUE(LEFT(TRIM([1]Raw_Data!A4332),2)))</f>
        <v>45726</v>
      </c>
      <c r="B4334" s="3" t="str">
        <f>TRIM([1]Raw_Data!B4332)</f>
        <v>Ashwagandha</v>
      </c>
      <c r="C4334" s="3" t="str">
        <f>TRIM([1]Raw_Data!C4332)</f>
        <v>Herbal</v>
      </c>
      <c r="D4334" s="3">
        <f>[1]Raw_Data!D4332</f>
        <v>124</v>
      </c>
      <c r="E4334" s="4">
        <f>[1]Raw_Data!E4332</f>
        <v>28.62</v>
      </c>
      <c r="F4334" s="5">
        <f>[1]Raw_Data!F4332</f>
        <v>3548.88</v>
      </c>
      <c r="G4334" s="4">
        <f>[1]Raw_Data!G4332</f>
        <v>0.1</v>
      </c>
      <c r="H4334" s="3">
        <f>[1]Raw_Data!H4332</f>
        <v>3</v>
      </c>
      <c r="I4334" s="3" t="str">
        <f>TRIM([1]Raw_Data!I4332)</f>
        <v>UK</v>
      </c>
      <c r="J4334" s="3" t="str">
        <f>TRIM([1]Raw_Data!J4332)</f>
        <v>Walmart</v>
      </c>
      <c r="K4334" s="3">
        <f t="shared" si="268"/>
        <v>2025</v>
      </c>
      <c r="L4334" s="6">
        <f t="shared" si="269"/>
        <v>45717</v>
      </c>
      <c r="M4334" s="3" t="str">
        <f t="shared" si="270"/>
        <v>6% to 10%</v>
      </c>
      <c r="N4334" s="3" t="str">
        <f t="shared" si="271"/>
        <v>OK</v>
      </c>
    </row>
    <row r="4335" spans="1:14" x14ac:dyDescent="0.3">
      <c r="A4335" s="2">
        <f>DATE(VALUE(RIGHT(TRIM([1]Raw_Data!A4333),4)),VALUE(MID(TRIM([1]Raw_Data!A4333),4,2)),VALUE(LEFT(TRIM([1]Raw_Data!A4333),2)))</f>
        <v>45726</v>
      </c>
      <c r="B4335" s="3" t="str">
        <f>TRIM([1]Raw_Data!B4333)</f>
        <v>Melatonin</v>
      </c>
      <c r="C4335" s="3" t="str">
        <f>TRIM([1]Raw_Data!C4333)</f>
        <v>Sleep Aid</v>
      </c>
      <c r="D4335" s="3">
        <f>[1]Raw_Data!D4333</f>
        <v>165</v>
      </c>
      <c r="E4335" s="4">
        <f>[1]Raw_Data!E4333</f>
        <v>23.65</v>
      </c>
      <c r="F4335" s="5">
        <f>[1]Raw_Data!F4333</f>
        <v>3902.25</v>
      </c>
      <c r="G4335" s="4">
        <f>[1]Raw_Data!G4333</f>
        <v>0.12</v>
      </c>
      <c r="H4335" s="3">
        <f>[1]Raw_Data!H4333</f>
        <v>1</v>
      </c>
      <c r="I4335" s="3" t="str">
        <f>TRIM([1]Raw_Data!I4333)</f>
        <v>USA</v>
      </c>
      <c r="J4335" s="3" t="str">
        <f>TRIM([1]Raw_Data!J4333)</f>
        <v>Amazon</v>
      </c>
      <c r="K4335" s="3">
        <f t="shared" si="268"/>
        <v>2025</v>
      </c>
      <c r="L4335" s="6">
        <f t="shared" si="269"/>
        <v>45717</v>
      </c>
      <c r="M4335" s="3" t="str">
        <f t="shared" si="270"/>
        <v>11% to 15%</v>
      </c>
      <c r="N4335" s="3" t="str">
        <f t="shared" si="271"/>
        <v>OK</v>
      </c>
    </row>
    <row r="4336" spans="1:14" x14ac:dyDescent="0.3">
      <c r="A4336" s="2">
        <f>DATE(VALUE(RIGHT(TRIM([1]Raw_Data!A4334),4)),VALUE(MID(TRIM([1]Raw_Data!A4334),4,2)),VALUE(LEFT(TRIM([1]Raw_Data!A4334),2)))</f>
        <v>45726</v>
      </c>
      <c r="B4336" s="3" t="str">
        <f>TRIM([1]Raw_Data!B4334)</f>
        <v>Biotin</v>
      </c>
      <c r="C4336" s="3" t="str">
        <f>TRIM([1]Raw_Data!C4334)</f>
        <v>Vitamin</v>
      </c>
      <c r="D4336" s="3">
        <f>[1]Raw_Data!D4334</f>
        <v>145</v>
      </c>
      <c r="E4336" s="4">
        <f>[1]Raw_Data!E4334</f>
        <v>37.159999999999997</v>
      </c>
      <c r="F4336" s="5">
        <f>[1]Raw_Data!F4334</f>
        <v>5388.2</v>
      </c>
      <c r="G4336" s="4">
        <f>[1]Raw_Data!G4334</f>
        <v>0.08</v>
      </c>
      <c r="H4336" s="3">
        <f>[1]Raw_Data!H4334</f>
        <v>2</v>
      </c>
      <c r="I4336" s="3" t="str">
        <f>TRIM([1]Raw_Data!I4334)</f>
        <v>UK</v>
      </c>
      <c r="J4336" s="3" t="str">
        <f>TRIM([1]Raw_Data!J4334)</f>
        <v>iHerb</v>
      </c>
      <c r="K4336" s="3">
        <f t="shared" si="268"/>
        <v>2025</v>
      </c>
      <c r="L4336" s="6">
        <f t="shared" si="269"/>
        <v>45717</v>
      </c>
      <c r="M4336" s="3" t="str">
        <f t="shared" si="270"/>
        <v>6% to 10%</v>
      </c>
      <c r="N4336" s="3" t="str">
        <f t="shared" si="271"/>
        <v>OK</v>
      </c>
    </row>
    <row r="4337" spans="1:14" x14ac:dyDescent="0.3">
      <c r="A4337" s="2">
        <f>DATE(VALUE(RIGHT(TRIM([1]Raw_Data!A4335),4)),VALUE(MID(TRIM([1]Raw_Data!A4335),4,2)),VALUE(LEFT(TRIM([1]Raw_Data!A4335),2)))</f>
        <v>45726</v>
      </c>
      <c r="B4337" s="3" t="str">
        <f>TRIM([1]Raw_Data!B4335)</f>
        <v>Green Tea Extract</v>
      </c>
      <c r="C4337" s="3" t="str">
        <f>TRIM([1]Raw_Data!C4335)</f>
        <v>Fat Burner</v>
      </c>
      <c r="D4337" s="3">
        <f>[1]Raw_Data!D4335</f>
        <v>143</v>
      </c>
      <c r="E4337" s="4">
        <f>[1]Raw_Data!E4335</f>
        <v>12.62</v>
      </c>
      <c r="F4337" s="5">
        <f>[1]Raw_Data!F4335</f>
        <v>1804.66</v>
      </c>
      <c r="G4337" s="4">
        <f>[1]Raw_Data!G4335</f>
        <v>0.25</v>
      </c>
      <c r="H4337" s="3">
        <f>[1]Raw_Data!H4335</f>
        <v>1</v>
      </c>
      <c r="I4337" s="3" t="str">
        <f>TRIM([1]Raw_Data!I4335)</f>
        <v>Canada</v>
      </c>
      <c r="J4337" s="3" t="str">
        <f>TRIM([1]Raw_Data!J4335)</f>
        <v>iHerb</v>
      </c>
      <c r="K4337" s="3">
        <f t="shared" si="268"/>
        <v>2025</v>
      </c>
      <c r="L4337" s="6">
        <f t="shared" si="269"/>
        <v>45717</v>
      </c>
      <c r="M4337" s="3" t="str">
        <f t="shared" si="270"/>
        <v>21% to 25%</v>
      </c>
      <c r="N4337" s="3" t="str">
        <f t="shared" si="271"/>
        <v>OK</v>
      </c>
    </row>
    <row r="4338" spans="1:14" x14ac:dyDescent="0.3">
      <c r="A4338" s="2">
        <f>DATE(VALUE(RIGHT(TRIM([1]Raw_Data!A4336),4)),VALUE(MID(TRIM([1]Raw_Data!A4336),4,2)),VALUE(LEFT(TRIM([1]Raw_Data!A4336),2)))</f>
        <v>45726</v>
      </c>
      <c r="B4338" s="3" t="str">
        <f>TRIM([1]Raw_Data!B4336)</f>
        <v>Iron Supplement</v>
      </c>
      <c r="C4338" s="3" t="str">
        <f>TRIM([1]Raw_Data!C4336)</f>
        <v>Mineral</v>
      </c>
      <c r="D4338" s="3">
        <f>[1]Raw_Data!D4336</f>
        <v>166</v>
      </c>
      <c r="E4338" s="4">
        <f>[1]Raw_Data!E4336</f>
        <v>45.05</v>
      </c>
      <c r="F4338" s="5">
        <f>[1]Raw_Data!F4336</f>
        <v>7478.3</v>
      </c>
      <c r="G4338" s="4">
        <f>[1]Raw_Data!G4336</f>
        <v>0.03</v>
      </c>
      <c r="H4338" s="3">
        <f>[1]Raw_Data!H4336</f>
        <v>2</v>
      </c>
      <c r="I4338" s="3" t="str">
        <f>TRIM([1]Raw_Data!I4336)</f>
        <v>UK</v>
      </c>
      <c r="J4338" s="3" t="str">
        <f>TRIM([1]Raw_Data!J4336)</f>
        <v>iHerb</v>
      </c>
      <c r="K4338" s="3">
        <f t="shared" si="268"/>
        <v>2025</v>
      </c>
      <c r="L4338" s="6">
        <f t="shared" si="269"/>
        <v>45717</v>
      </c>
      <c r="M4338" s="3" t="str">
        <f t="shared" si="270"/>
        <v>0% to 5%</v>
      </c>
      <c r="N4338" s="3" t="str">
        <f t="shared" si="271"/>
        <v>OK</v>
      </c>
    </row>
    <row r="4339" spans="1:14" x14ac:dyDescent="0.3">
      <c r="A4339" s="2">
        <f>DATE(VALUE(RIGHT(TRIM([1]Raw_Data!A4337),4)),VALUE(MID(TRIM([1]Raw_Data!A4337),4,2)),VALUE(LEFT(TRIM([1]Raw_Data!A4337),2)))</f>
        <v>45726</v>
      </c>
      <c r="B4339" s="3" t="str">
        <f>TRIM([1]Raw_Data!B4337)</f>
        <v>Electrolyte Powder</v>
      </c>
      <c r="C4339" s="3" t="str">
        <f>TRIM([1]Raw_Data!C4337)</f>
        <v>Hydration</v>
      </c>
      <c r="D4339" s="3">
        <f>[1]Raw_Data!D4337</f>
        <v>160</v>
      </c>
      <c r="E4339" s="4">
        <f>[1]Raw_Data!E4337</f>
        <v>54.64</v>
      </c>
      <c r="F4339" s="5">
        <f>[1]Raw_Data!F4337</f>
        <v>8742.4</v>
      </c>
      <c r="G4339" s="4">
        <f>[1]Raw_Data!G4337</f>
        <v>7.0000000000000007E-2</v>
      </c>
      <c r="H4339" s="3">
        <f>[1]Raw_Data!H4337</f>
        <v>1</v>
      </c>
      <c r="I4339" s="3" t="str">
        <f>TRIM([1]Raw_Data!I4337)</f>
        <v>USA</v>
      </c>
      <c r="J4339" s="3" t="str">
        <f>TRIM([1]Raw_Data!J4337)</f>
        <v>Walmart</v>
      </c>
      <c r="K4339" s="3">
        <f t="shared" si="268"/>
        <v>2025</v>
      </c>
      <c r="L4339" s="6">
        <f t="shared" si="269"/>
        <v>45717</v>
      </c>
      <c r="M4339" s="3" t="str">
        <f t="shared" si="270"/>
        <v>6% to 10%</v>
      </c>
      <c r="N4339" s="3" t="str">
        <f t="shared" si="271"/>
        <v>OK</v>
      </c>
    </row>
    <row r="4340" spans="1:14" x14ac:dyDescent="0.3">
      <c r="A4340" s="2">
        <f>DATE(VALUE(RIGHT(TRIM([1]Raw_Data!A4338),4)),VALUE(MID(TRIM([1]Raw_Data!A4338),4,2)),VALUE(LEFT(TRIM([1]Raw_Data!A4338),2)))</f>
        <v>45733</v>
      </c>
      <c r="B4340" s="3" t="str">
        <f>TRIM([1]Raw_Data!B4338)</f>
        <v>Whey Protein</v>
      </c>
      <c r="C4340" s="3" t="str">
        <f>TRIM([1]Raw_Data!C4338)</f>
        <v>Protein</v>
      </c>
      <c r="D4340" s="3">
        <f>[1]Raw_Data!D4338</f>
        <v>166</v>
      </c>
      <c r="E4340" s="4">
        <f>[1]Raw_Data!E4338</f>
        <v>10.07</v>
      </c>
      <c r="F4340" s="5">
        <f>[1]Raw_Data!F4338</f>
        <v>1671.62</v>
      </c>
      <c r="G4340" s="4">
        <f>[1]Raw_Data!G4338</f>
        <v>0.09</v>
      </c>
      <c r="H4340" s="3">
        <f>[1]Raw_Data!H4338</f>
        <v>3</v>
      </c>
      <c r="I4340" s="3" t="str">
        <f>TRIM([1]Raw_Data!I4338)</f>
        <v>Canada</v>
      </c>
      <c r="J4340" s="3" t="str">
        <f>TRIM([1]Raw_Data!J4338)</f>
        <v>iHerb</v>
      </c>
      <c r="K4340" s="3">
        <f t="shared" si="268"/>
        <v>2025</v>
      </c>
      <c r="L4340" s="6">
        <f t="shared" si="269"/>
        <v>45717</v>
      </c>
      <c r="M4340" s="3" t="str">
        <f t="shared" si="270"/>
        <v>6% to 10%</v>
      </c>
      <c r="N4340" s="3" t="str">
        <f t="shared" si="271"/>
        <v>OK</v>
      </c>
    </row>
    <row r="4341" spans="1:14" x14ac:dyDescent="0.3">
      <c r="A4341" s="2">
        <f>DATE(VALUE(RIGHT(TRIM([1]Raw_Data!A4339),4)),VALUE(MID(TRIM([1]Raw_Data!A4339),4,2)),VALUE(LEFT(TRIM([1]Raw_Data!A4339),2)))</f>
        <v>45733</v>
      </c>
      <c r="B4341" s="3" t="str">
        <f>TRIM([1]Raw_Data!B4339)</f>
        <v>Vitamin C</v>
      </c>
      <c r="C4341" s="3" t="str">
        <f>TRIM([1]Raw_Data!C4339)</f>
        <v>Vitamin</v>
      </c>
      <c r="D4341" s="3">
        <f>[1]Raw_Data!D4339</f>
        <v>109</v>
      </c>
      <c r="E4341" s="4">
        <f>[1]Raw_Data!E4339</f>
        <v>24.06</v>
      </c>
      <c r="F4341" s="5">
        <f>[1]Raw_Data!F4339</f>
        <v>2622.54</v>
      </c>
      <c r="G4341" s="4">
        <f>[1]Raw_Data!G4339</f>
        <v>0.23</v>
      </c>
      <c r="H4341" s="3">
        <f>[1]Raw_Data!H4339</f>
        <v>2</v>
      </c>
      <c r="I4341" s="3" t="str">
        <f>TRIM([1]Raw_Data!I4339)</f>
        <v>UK</v>
      </c>
      <c r="J4341" s="3" t="str">
        <f>TRIM([1]Raw_Data!J4339)</f>
        <v>Amazon</v>
      </c>
      <c r="K4341" s="3">
        <f t="shared" si="268"/>
        <v>2025</v>
      </c>
      <c r="L4341" s="6">
        <f t="shared" si="269"/>
        <v>45717</v>
      </c>
      <c r="M4341" s="3" t="str">
        <f t="shared" si="270"/>
        <v>21% to 25%</v>
      </c>
      <c r="N4341" s="3" t="str">
        <f t="shared" si="271"/>
        <v>OK</v>
      </c>
    </row>
    <row r="4342" spans="1:14" x14ac:dyDescent="0.3">
      <c r="A4342" s="2">
        <f>DATE(VALUE(RIGHT(TRIM([1]Raw_Data!A4340),4)),VALUE(MID(TRIM([1]Raw_Data!A4340),4,2)),VALUE(LEFT(TRIM([1]Raw_Data!A4340),2)))</f>
        <v>45733</v>
      </c>
      <c r="B4342" s="3" t="str">
        <f>TRIM([1]Raw_Data!B4340)</f>
        <v>Fish Oil</v>
      </c>
      <c r="C4342" s="3" t="str">
        <f>TRIM([1]Raw_Data!C4340)</f>
        <v>Omega</v>
      </c>
      <c r="D4342" s="3">
        <f>[1]Raw_Data!D4340</f>
        <v>151</v>
      </c>
      <c r="E4342" s="4">
        <f>[1]Raw_Data!E4340</f>
        <v>26.6</v>
      </c>
      <c r="F4342" s="5">
        <f>[1]Raw_Data!F4340</f>
        <v>4016.6</v>
      </c>
      <c r="G4342" s="4">
        <f>[1]Raw_Data!G4340</f>
        <v>0.06</v>
      </c>
      <c r="H4342" s="3">
        <f>[1]Raw_Data!H4340</f>
        <v>3</v>
      </c>
      <c r="I4342" s="3" t="str">
        <f>TRIM([1]Raw_Data!I4340)</f>
        <v>UK</v>
      </c>
      <c r="J4342" s="3" t="str">
        <f>TRIM([1]Raw_Data!J4340)</f>
        <v>Walmart</v>
      </c>
      <c r="K4342" s="3">
        <f t="shared" si="268"/>
        <v>2025</v>
      </c>
      <c r="L4342" s="6">
        <f t="shared" si="269"/>
        <v>45717</v>
      </c>
      <c r="M4342" s="3" t="str">
        <f t="shared" si="270"/>
        <v>6% to 10%</v>
      </c>
      <c r="N4342" s="3" t="str">
        <f t="shared" si="271"/>
        <v>OK</v>
      </c>
    </row>
    <row r="4343" spans="1:14" x14ac:dyDescent="0.3">
      <c r="A4343" s="2">
        <f>DATE(VALUE(RIGHT(TRIM([1]Raw_Data!A4341),4)),VALUE(MID(TRIM([1]Raw_Data!A4341),4,2)),VALUE(LEFT(TRIM([1]Raw_Data!A4341),2)))</f>
        <v>45733</v>
      </c>
      <c r="B4343" s="3" t="str">
        <f>TRIM([1]Raw_Data!B4341)</f>
        <v>Multivitamin</v>
      </c>
      <c r="C4343" s="3" t="str">
        <f>TRIM([1]Raw_Data!C4341)</f>
        <v>Vitamin</v>
      </c>
      <c r="D4343" s="3">
        <f>[1]Raw_Data!D4341</f>
        <v>132</v>
      </c>
      <c r="E4343" s="4">
        <f>[1]Raw_Data!E4341</f>
        <v>41.72</v>
      </c>
      <c r="F4343" s="5">
        <f>[1]Raw_Data!F4341</f>
        <v>5507.04</v>
      </c>
      <c r="G4343" s="4">
        <f>[1]Raw_Data!G4341</f>
        <v>0.03</v>
      </c>
      <c r="H4343" s="3">
        <f>[1]Raw_Data!H4341</f>
        <v>1</v>
      </c>
      <c r="I4343" s="3" t="str">
        <f>TRIM([1]Raw_Data!I4341)</f>
        <v>USA</v>
      </c>
      <c r="J4343" s="3" t="str">
        <f>TRIM([1]Raw_Data!J4341)</f>
        <v>Walmart</v>
      </c>
      <c r="K4343" s="3">
        <f t="shared" si="268"/>
        <v>2025</v>
      </c>
      <c r="L4343" s="6">
        <f t="shared" si="269"/>
        <v>45717</v>
      </c>
      <c r="M4343" s="3" t="str">
        <f t="shared" si="270"/>
        <v>0% to 5%</v>
      </c>
      <c r="N4343" s="3" t="str">
        <f t="shared" si="271"/>
        <v>OK</v>
      </c>
    </row>
    <row r="4344" spans="1:14" x14ac:dyDescent="0.3">
      <c r="A4344" s="2">
        <f>DATE(VALUE(RIGHT(TRIM([1]Raw_Data!A4342),4)),VALUE(MID(TRIM([1]Raw_Data!A4342),4,2)),VALUE(LEFT(TRIM([1]Raw_Data!A4342),2)))</f>
        <v>45733</v>
      </c>
      <c r="B4344" s="3" t="str">
        <f>TRIM([1]Raw_Data!B4342)</f>
        <v>Pre-Workout</v>
      </c>
      <c r="C4344" s="3" t="str">
        <f>TRIM([1]Raw_Data!C4342)</f>
        <v>Performance</v>
      </c>
      <c r="D4344" s="3">
        <f>[1]Raw_Data!D4342</f>
        <v>153</v>
      </c>
      <c r="E4344" s="4">
        <f>[1]Raw_Data!E4342</f>
        <v>21.74</v>
      </c>
      <c r="F4344" s="5">
        <f>[1]Raw_Data!F4342</f>
        <v>3326.22</v>
      </c>
      <c r="G4344" s="4">
        <f>[1]Raw_Data!G4342</f>
        <v>7.0000000000000007E-2</v>
      </c>
      <c r="H4344" s="3">
        <f>[1]Raw_Data!H4342</f>
        <v>2</v>
      </c>
      <c r="I4344" s="3" t="str">
        <f>TRIM([1]Raw_Data!I4342)</f>
        <v>Canada</v>
      </c>
      <c r="J4344" s="3" t="str">
        <f>TRIM([1]Raw_Data!J4342)</f>
        <v>Amazon</v>
      </c>
      <c r="K4344" s="3">
        <f t="shared" si="268"/>
        <v>2025</v>
      </c>
      <c r="L4344" s="6">
        <f t="shared" si="269"/>
        <v>45717</v>
      </c>
      <c r="M4344" s="3" t="str">
        <f t="shared" si="270"/>
        <v>6% to 10%</v>
      </c>
      <c r="N4344" s="3" t="str">
        <f t="shared" si="271"/>
        <v>OK</v>
      </c>
    </row>
    <row r="4345" spans="1:14" x14ac:dyDescent="0.3">
      <c r="A4345" s="2">
        <f>DATE(VALUE(RIGHT(TRIM([1]Raw_Data!A4343),4)),VALUE(MID(TRIM([1]Raw_Data!A4343),4,2)),VALUE(LEFT(TRIM([1]Raw_Data!A4343),2)))</f>
        <v>45733</v>
      </c>
      <c r="B4345" s="3" t="str">
        <f>TRIM([1]Raw_Data!B4343)</f>
        <v>BCAA</v>
      </c>
      <c r="C4345" s="3" t="str">
        <f>TRIM([1]Raw_Data!C4343)</f>
        <v>Amino Acid</v>
      </c>
      <c r="D4345" s="3">
        <f>[1]Raw_Data!D4343</f>
        <v>163</v>
      </c>
      <c r="E4345" s="4">
        <f>[1]Raw_Data!E4343</f>
        <v>25.02</v>
      </c>
      <c r="F4345" s="5">
        <f>[1]Raw_Data!F4343</f>
        <v>4078.26</v>
      </c>
      <c r="G4345" s="4">
        <f>[1]Raw_Data!G4343</f>
        <v>0.01</v>
      </c>
      <c r="H4345" s="3">
        <f>[1]Raw_Data!H4343</f>
        <v>1</v>
      </c>
      <c r="I4345" s="3" t="str">
        <f>TRIM([1]Raw_Data!I4343)</f>
        <v>Canada</v>
      </c>
      <c r="J4345" s="3" t="str">
        <f>TRIM([1]Raw_Data!J4343)</f>
        <v>Walmart</v>
      </c>
      <c r="K4345" s="3">
        <f t="shared" si="268"/>
        <v>2025</v>
      </c>
      <c r="L4345" s="6">
        <f t="shared" si="269"/>
        <v>45717</v>
      </c>
      <c r="M4345" s="3" t="str">
        <f t="shared" si="270"/>
        <v>0% to 5%</v>
      </c>
      <c r="N4345" s="3" t="str">
        <f t="shared" si="271"/>
        <v>OK</v>
      </c>
    </row>
    <row r="4346" spans="1:14" x14ac:dyDescent="0.3">
      <c r="A4346" s="2">
        <f>DATE(VALUE(RIGHT(TRIM([1]Raw_Data!A4344),4)),VALUE(MID(TRIM([1]Raw_Data!A4344),4,2)),VALUE(LEFT(TRIM([1]Raw_Data!A4344),2)))</f>
        <v>45733</v>
      </c>
      <c r="B4346" s="3" t="str">
        <f>TRIM([1]Raw_Data!B4344)</f>
        <v>Creatine</v>
      </c>
      <c r="C4346" s="3" t="str">
        <f>TRIM([1]Raw_Data!C4344)</f>
        <v>Performance</v>
      </c>
      <c r="D4346" s="3">
        <f>[1]Raw_Data!D4344</f>
        <v>152</v>
      </c>
      <c r="E4346" s="4">
        <f>[1]Raw_Data!E4344</f>
        <v>45.63</v>
      </c>
      <c r="F4346" s="5">
        <f>[1]Raw_Data!F4344</f>
        <v>6935.76</v>
      </c>
      <c r="G4346" s="4">
        <f>[1]Raw_Data!G4344</f>
        <v>0.05</v>
      </c>
      <c r="H4346" s="3">
        <f>[1]Raw_Data!H4344</f>
        <v>0</v>
      </c>
      <c r="I4346" s="3" t="str">
        <f>TRIM([1]Raw_Data!I4344)</f>
        <v>Canada</v>
      </c>
      <c r="J4346" s="3" t="str">
        <f>TRIM([1]Raw_Data!J4344)</f>
        <v>Walmart</v>
      </c>
      <c r="K4346" s="3">
        <f t="shared" si="268"/>
        <v>2025</v>
      </c>
      <c r="L4346" s="6">
        <f t="shared" si="269"/>
        <v>45717</v>
      </c>
      <c r="M4346" s="3" t="str">
        <f t="shared" si="270"/>
        <v>0% to 5%</v>
      </c>
      <c r="N4346" s="3" t="str">
        <f t="shared" si="271"/>
        <v>OK</v>
      </c>
    </row>
    <row r="4347" spans="1:14" x14ac:dyDescent="0.3">
      <c r="A4347" s="2">
        <f>DATE(VALUE(RIGHT(TRIM([1]Raw_Data!A4345),4)),VALUE(MID(TRIM([1]Raw_Data!A4345),4,2)),VALUE(LEFT(TRIM([1]Raw_Data!A4345),2)))</f>
        <v>45733</v>
      </c>
      <c r="B4347" s="3" t="str">
        <f>TRIM([1]Raw_Data!B4345)</f>
        <v>Zinc</v>
      </c>
      <c r="C4347" s="3" t="str">
        <f>TRIM([1]Raw_Data!C4345)</f>
        <v>Mineral</v>
      </c>
      <c r="D4347" s="3">
        <f>[1]Raw_Data!D4345</f>
        <v>144</v>
      </c>
      <c r="E4347" s="4">
        <f>[1]Raw_Data!E4345</f>
        <v>15.33</v>
      </c>
      <c r="F4347" s="5">
        <f>[1]Raw_Data!F4345</f>
        <v>2207.52</v>
      </c>
      <c r="G4347" s="4">
        <f>[1]Raw_Data!G4345</f>
        <v>0.06</v>
      </c>
      <c r="H4347" s="3">
        <f>[1]Raw_Data!H4345</f>
        <v>0</v>
      </c>
      <c r="I4347" s="3" t="str">
        <f>TRIM([1]Raw_Data!I4345)</f>
        <v>USA</v>
      </c>
      <c r="J4347" s="3" t="str">
        <f>TRIM([1]Raw_Data!J4345)</f>
        <v>Amazon</v>
      </c>
      <c r="K4347" s="3">
        <f t="shared" si="268"/>
        <v>2025</v>
      </c>
      <c r="L4347" s="6">
        <f t="shared" si="269"/>
        <v>45717</v>
      </c>
      <c r="M4347" s="3" t="str">
        <f t="shared" si="270"/>
        <v>6% to 10%</v>
      </c>
      <c r="N4347" s="3" t="str">
        <f t="shared" si="271"/>
        <v>OK</v>
      </c>
    </row>
    <row r="4348" spans="1:14" x14ac:dyDescent="0.3">
      <c r="A4348" s="2">
        <f>DATE(VALUE(RIGHT(TRIM([1]Raw_Data!A4346),4)),VALUE(MID(TRIM([1]Raw_Data!A4346),4,2)),VALUE(LEFT(TRIM([1]Raw_Data!A4346),2)))</f>
        <v>45733</v>
      </c>
      <c r="B4348" s="3" t="str">
        <f>TRIM([1]Raw_Data!B4346)</f>
        <v>Collagen Peptides</v>
      </c>
      <c r="C4348" s="3" t="str">
        <f>TRIM([1]Raw_Data!C4346)</f>
        <v>Protein</v>
      </c>
      <c r="D4348" s="3">
        <f>[1]Raw_Data!D4346</f>
        <v>158</v>
      </c>
      <c r="E4348" s="4">
        <f>[1]Raw_Data!E4346</f>
        <v>17.22</v>
      </c>
      <c r="F4348" s="5">
        <f>[1]Raw_Data!F4346</f>
        <v>2720.76</v>
      </c>
      <c r="G4348" s="4">
        <f>[1]Raw_Data!G4346</f>
        <v>0.15</v>
      </c>
      <c r="H4348" s="3">
        <f>[1]Raw_Data!H4346</f>
        <v>0</v>
      </c>
      <c r="I4348" s="3" t="str">
        <f>TRIM([1]Raw_Data!I4346)</f>
        <v>UK</v>
      </c>
      <c r="J4348" s="3" t="str">
        <f>TRIM([1]Raw_Data!J4346)</f>
        <v>Amazon</v>
      </c>
      <c r="K4348" s="3">
        <f t="shared" si="268"/>
        <v>2025</v>
      </c>
      <c r="L4348" s="6">
        <f t="shared" si="269"/>
        <v>45717</v>
      </c>
      <c r="M4348" s="3" t="str">
        <f t="shared" si="270"/>
        <v>11% to 15%</v>
      </c>
      <c r="N4348" s="3" t="str">
        <f t="shared" si="271"/>
        <v>OK</v>
      </c>
    </row>
    <row r="4349" spans="1:14" x14ac:dyDescent="0.3">
      <c r="A4349" s="2">
        <f>DATE(VALUE(RIGHT(TRIM([1]Raw_Data!A4347),4)),VALUE(MID(TRIM([1]Raw_Data!A4347),4,2)),VALUE(LEFT(TRIM([1]Raw_Data!A4347),2)))</f>
        <v>45733</v>
      </c>
      <c r="B4349" s="3" t="str">
        <f>TRIM([1]Raw_Data!B4347)</f>
        <v>Magnesium</v>
      </c>
      <c r="C4349" s="3" t="str">
        <f>TRIM([1]Raw_Data!C4347)</f>
        <v>Mineral</v>
      </c>
      <c r="D4349" s="3">
        <f>[1]Raw_Data!D4347</f>
        <v>146</v>
      </c>
      <c r="E4349" s="4">
        <f>[1]Raw_Data!E4347</f>
        <v>37.94</v>
      </c>
      <c r="F4349" s="5">
        <f>[1]Raw_Data!F4347</f>
        <v>5539.24</v>
      </c>
      <c r="G4349" s="4">
        <f>[1]Raw_Data!G4347</f>
        <v>0.03</v>
      </c>
      <c r="H4349" s="3">
        <f>[1]Raw_Data!H4347</f>
        <v>0</v>
      </c>
      <c r="I4349" s="3" t="str">
        <f>TRIM([1]Raw_Data!I4347)</f>
        <v>UK</v>
      </c>
      <c r="J4349" s="3" t="str">
        <f>TRIM([1]Raw_Data!J4347)</f>
        <v>Walmart</v>
      </c>
      <c r="K4349" s="3">
        <f t="shared" si="268"/>
        <v>2025</v>
      </c>
      <c r="L4349" s="6">
        <f t="shared" si="269"/>
        <v>45717</v>
      </c>
      <c r="M4349" s="3" t="str">
        <f t="shared" si="270"/>
        <v>0% to 5%</v>
      </c>
      <c r="N4349" s="3" t="str">
        <f t="shared" si="271"/>
        <v>OK</v>
      </c>
    </row>
    <row r="4350" spans="1:14" x14ac:dyDescent="0.3">
      <c r="A4350" s="2">
        <f>DATE(VALUE(RIGHT(TRIM([1]Raw_Data!A4348),4)),VALUE(MID(TRIM([1]Raw_Data!A4348),4,2)),VALUE(LEFT(TRIM([1]Raw_Data!A4348),2)))</f>
        <v>45733</v>
      </c>
      <c r="B4350" s="3" t="str">
        <f>TRIM([1]Raw_Data!B4348)</f>
        <v>Ashwagandha</v>
      </c>
      <c r="C4350" s="3" t="str">
        <f>TRIM([1]Raw_Data!C4348)</f>
        <v>Herbal</v>
      </c>
      <c r="D4350" s="3">
        <f>[1]Raw_Data!D4348</f>
        <v>162</v>
      </c>
      <c r="E4350" s="4">
        <f>[1]Raw_Data!E4348</f>
        <v>14.09</v>
      </c>
      <c r="F4350" s="5">
        <f>[1]Raw_Data!F4348</f>
        <v>2282.58</v>
      </c>
      <c r="G4350" s="4">
        <f>[1]Raw_Data!G4348</f>
        <v>0.03</v>
      </c>
      <c r="H4350" s="3">
        <f>[1]Raw_Data!H4348</f>
        <v>3</v>
      </c>
      <c r="I4350" s="3" t="str">
        <f>TRIM([1]Raw_Data!I4348)</f>
        <v>USA</v>
      </c>
      <c r="J4350" s="3" t="str">
        <f>TRIM([1]Raw_Data!J4348)</f>
        <v>Amazon</v>
      </c>
      <c r="K4350" s="3">
        <f t="shared" si="268"/>
        <v>2025</v>
      </c>
      <c r="L4350" s="6">
        <f t="shared" si="269"/>
        <v>45717</v>
      </c>
      <c r="M4350" s="3" t="str">
        <f t="shared" si="270"/>
        <v>0% to 5%</v>
      </c>
      <c r="N4350" s="3" t="str">
        <f t="shared" si="271"/>
        <v>OK</v>
      </c>
    </row>
    <row r="4351" spans="1:14" x14ac:dyDescent="0.3">
      <c r="A4351" s="2">
        <f>DATE(VALUE(RIGHT(TRIM([1]Raw_Data!A4349),4)),VALUE(MID(TRIM([1]Raw_Data!A4349),4,2)),VALUE(LEFT(TRIM([1]Raw_Data!A4349),2)))</f>
        <v>45733</v>
      </c>
      <c r="B4351" s="3" t="str">
        <f>TRIM([1]Raw_Data!B4349)</f>
        <v>Melatonin</v>
      </c>
      <c r="C4351" s="3" t="str">
        <f>TRIM([1]Raw_Data!C4349)</f>
        <v>Sleep Aid</v>
      </c>
      <c r="D4351" s="3">
        <f>[1]Raw_Data!D4349</f>
        <v>141</v>
      </c>
      <c r="E4351" s="4">
        <f>[1]Raw_Data!E4349</f>
        <v>21.82</v>
      </c>
      <c r="F4351" s="5">
        <f>[1]Raw_Data!F4349</f>
        <v>3076.62</v>
      </c>
      <c r="G4351" s="4">
        <f>[1]Raw_Data!G4349</f>
        <v>0.16</v>
      </c>
      <c r="H4351" s="3">
        <f>[1]Raw_Data!H4349</f>
        <v>0</v>
      </c>
      <c r="I4351" s="3" t="str">
        <f>TRIM([1]Raw_Data!I4349)</f>
        <v>Canada</v>
      </c>
      <c r="J4351" s="3" t="str">
        <f>TRIM([1]Raw_Data!J4349)</f>
        <v>iHerb</v>
      </c>
      <c r="K4351" s="3">
        <f t="shared" si="268"/>
        <v>2025</v>
      </c>
      <c r="L4351" s="6">
        <f t="shared" si="269"/>
        <v>45717</v>
      </c>
      <c r="M4351" s="3" t="str">
        <f t="shared" si="270"/>
        <v>16% to 20%</v>
      </c>
      <c r="N4351" s="3" t="str">
        <f t="shared" si="271"/>
        <v>OK</v>
      </c>
    </row>
    <row r="4352" spans="1:14" x14ac:dyDescent="0.3">
      <c r="A4352" s="2">
        <f>DATE(VALUE(RIGHT(TRIM([1]Raw_Data!A4350),4)),VALUE(MID(TRIM([1]Raw_Data!A4350),4,2)),VALUE(LEFT(TRIM([1]Raw_Data!A4350),2)))</f>
        <v>45733</v>
      </c>
      <c r="B4352" s="3" t="str">
        <f>TRIM([1]Raw_Data!B4350)</f>
        <v>Biotin</v>
      </c>
      <c r="C4352" s="3" t="str">
        <f>TRIM([1]Raw_Data!C4350)</f>
        <v>Vitamin</v>
      </c>
      <c r="D4352" s="3">
        <f>[1]Raw_Data!D4350</f>
        <v>134</v>
      </c>
      <c r="E4352" s="4">
        <f>[1]Raw_Data!E4350</f>
        <v>44.68</v>
      </c>
      <c r="F4352" s="5">
        <f>[1]Raw_Data!F4350</f>
        <v>5987.12</v>
      </c>
      <c r="G4352" s="4">
        <f>[1]Raw_Data!G4350</f>
        <v>0.12</v>
      </c>
      <c r="H4352" s="3">
        <f>[1]Raw_Data!H4350</f>
        <v>2</v>
      </c>
      <c r="I4352" s="3" t="str">
        <f>TRIM([1]Raw_Data!I4350)</f>
        <v>UK</v>
      </c>
      <c r="J4352" s="3" t="str">
        <f>TRIM([1]Raw_Data!J4350)</f>
        <v>iHerb</v>
      </c>
      <c r="K4352" s="3">
        <f t="shared" si="268"/>
        <v>2025</v>
      </c>
      <c r="L4352" s="6">
        <f t="shared" si="269"/>
        <v>45717</v>
      </c>
      <c r="M4352" s="3" t="str">
        <f t="shared" si="270"/>
        <v>11% to 15%</v>
      </c>
      <c r="N4352" s="3" t="str">
        <f t="shared" si="271"/>
        <v>OK</v>
      </c>
    </row>
    <row r="4353" spans="1:14" x14ac:dyDescent="0.3">
      <c r="A4353" s="2">
        <f>DATE(VALUE(RIGHT(TRIM([1]Raw_Data!A4351),4)),VALUE(MID(TRIM([1]Raw_Data!A4351),4,2)),VALUE(LEFT(TRIM([1]Raw_Data!A4351),2)))</f>
        <v>45733</v>
      </c>
      <c r="B4353" s="3" t="str">
        <f>TRIM([1]Raw_Data!B4351)</f>
        <v>Green Tea Extract</v>
      </c>
      <c r="C4353" s="3" t="str">
        <f>TRIM([1]Raw_Data!C4351)</f>
        <v>Fat Burner</v>
      </c>
      <c r="D4353" s="3">
        <f>[1]Raw_Data!D4351</f>
        <v>167</v>
      </c>
      <c r="E4353" s="4">
        <f>[1]Raw_Data!E4351</f>
        <v>33.090000000000003</v>
      </c>
      <c r="F4353" s="5">
        <f>[1]Raw_Data!F4351</f>
        <v>5526.03</v>
      </c>
      <c r="G4353" s="4">
        <f>[1]Raw_Data!G4351</f>
        <v>0.25</v>
      </c>
      <c r="H4353" s="3">
        <f>[1]Raw_Data!H4351</f>
        <v>1</v>
      </c>
      <c r="I4353" s="3" t="str">
        <f>TRIM([1]Raw_Data!I4351)</f>
        <v>UK</v>
      </c>
      <c r="J4353" s="3" t="str">
        <f>TRIM([1]Raw_Data!J4351)</f>
        <v>Walmart</v>
      </c>
      <c r="K4353" s="3">
        <f t="shared" si="268"/>
        <v>2025</v>
      </c>
      <c r="L4353" s="6">
        <f t="shared" si="269"/>
        <v>45717</v>
      </c>
      <c r="M4353" s="3" t="str">
        <f t="shared" si="270"/>
        <v>21% to 25%</v>
      </c>
      <c r="N4353" s="3" t="str">
        <f t="shared" si="271"/>
        <v>OK</v>
      </c>
    </row>
    <row r="4354" spans="1:14" x14ac:dyDescent="0.3">
      <c r="A4354" s="2">
        <f>DATE(VALUE(RIGHT(TRIM([1]Raw_Data!A4352),4)),VALUE(MID(TRIM([1]Raw_Data!A4352),4,2)),VALUE(LEFT(TRIM([1]Raw_Data!A4352),2)))</f>
        <v>45733</v>
      </c>
      <c r="B4354" s="3" t="str">
        <f>TRIM([1]Raw_Data!B4352)</f>
        <v>Iron Supplement</v>
      </c>
      <c r="C4354" s="3" t="str">
        <f>TRIM([1]Raw_Data!C4352)</f>
        <v>Mineral</v>
      </c>
      <c r="D4354" s="3">
        <f>[1]Raw_Data!D4352</f>
        <v>143</v>
      </c>
      <c r="E4354" s="4">
        <f>[1]Raw_Data!E4352</f>
        <v>37.94</v>
      </c>
      <c r="F4354" s="5">
        <f>[1]Raw_Data!F4352</f>
        <v>5425.42</v>
      </c>
      <c r="G4354" s="4">
        <f>[1]Raw_Data!G4352</f>
        <v>0.06</v>
      </c>
      <c r="H4354" s="3">
        <f>[1]Raw_Data!H4352</f>
        <v>1</v>
      </c>
      <c r="I4354" s="3" t="str">
        <f>TRIM([1]Raw_Data!I4352)</f>
        <v>UK</v>
      </c>
      <c r="J4354" s="3" t="str">
        <f>TRIM([1]Raw_Data!J4352)</f>
        <v>Amazon</v>
      </c>
      <c r="K4354" s="3">
        <f t="shared" si="268"/>
        <v>2025</v>
      </c>
      <c r="L4354" s="6">
        <f t="shared" si="269"/>
        <v>45717</v>
      </c>
      <c r="M4354" s="3" t="str">
        <f t="shared" si="270"/>
        <v>6% to 10%</v>
      </c>
      <c r="N4354" s="3" t="str">
        <f t="shared" si="271"/>
        <v>OK</v>
      </c>
    </row>
    <row r="4355" spans="1:14" x14ac:dyDescent="0.3">
      <c r="A4355" s="2">
        <f>DATE(VALUE(RIGHT(TRIM([1]Raw_Data!A4353),4)),VALUE(MID(TRIM([1]Raw_Data!A4353),4,2)),VALUE(LEFT(TRIM([1]Raw_Data!A4353),2)))</f>
        <v>45733</v>
      </c>
      <c r="B4355" s="3" t="str">
        <f>TRIM([1]Raw_Data!B4353)</f>
        <v>Electrolyte Powder</v>
      </c>
      <c r="C4355" s="3" t="str">
        <f>TRIM([1]Raw_Data!C4353)</f>
        <v>Hydration</v>
      </c>
      <c r="D4355" s="3">
        <f>[1]Raw_Data!D4353</f>
        <v>160</v>
      </c>
      <c r="E4355" s="4">
        <f>[1]Raw_Data!E4353</f>
        <v>29.17</v>
      </c>
      <c r="F4355" s="5">
        <f>[1]Raw_Data!F4353</f>
        <v>4667.2</v>
      </c>
      <c r="G4355" s="4">
        <f>[1]Raw_Data!G4353</f>
        <v>7.0000000000000007E-2</v>
      </c>
      <c r="H4355" s="3">
        <f>[1]Raw_Data!H4353</f>
        <v>3</v>
      </c>
      <c r="I4355" s="3" t="str">
        <f>TRIM([1]Raw_Data!I4353)</f>
        <v>USA</v>
      </c>
      <c r="J4355" s="3" t="str">
        <f>TRIM([1]Raw_Data!J4353)</f>
        <v>Amazon</v>
      </c>
      <c r="K4355" s="3">
        <f t="shared" si="268"/>
        <v>2025</v>
      </c>
      <c r="L4355" s="6">
        <f t="shared" si="269"/>
        <v>45717</v>
      </c>
      <c r="M4355" s="3" t="str">
        <f t="shared" si="270"/>
        <v>6% to 10%</v>
      </c>
      <c r="N4355" s="3" t="str">
        <f t="shared" si="271"/>
        <v>OK</v>
      </c>
    </row>
    <row r="4356" spans="1:14" x14ac:dyDescent="0.3">
      <c r="A4356" s="2">
        <f>DATE(VALUE(RIGHT(TRIM([1]Raw_Data!A4354),4)),VALUE(MID(TRIM([1]Raw_Data!A4354),4,2)),VALUE(LEFT(TRIM([1]Raw_Data!A4354),2)))</f>
        <v>45740</v>
      </c>
      <c r="B4356" s="3" t="str">
        <f>TRIM([1]Raw_Data!B4354)</f>
        <v>Whey Protein</v>
      </c>
      <c r="C4356" s="3" t="str">
        <f>TRIM([1]Raw_Data!C4354)</f>
        <v>Protein</v>
      </c>
      <c r="D4356" s="3">
        <f>[1]Raw_Data!D4354</f>
        <v>158</v>
      </c>
      <c r="E4356" s="4">
        <f>[1]Raw_Data!E4354</f>
        <v>18.5</v>
      </c>
      <c r="F4356" s="5">
        <f>[1]Raw_Data!F4354</f>
        <v>2923</v>
      </c>
      <c r="G4356" s="4">
        <f>[1]Raw_Data!G4354</f>
        <v>0.02</v>
      </c>
      <c r="H4356" s="3">
        <f>[1]Raw_Data!H4354</f>
        <v>0</v>
      </c>
      <c r="I4356" s="3" t="str">
        <f>TRIM([1]Raw_Data!I4354)</f>
        <v>UK</v>
      </c>
      <c r="J4356" s="3" t="str">
        <f>TRIM([1]Raw_Data!J4354)</f>
        <v>Amazon</v>
      </c>
      <c r="K4356" s="3">
        <f t="shared" ref="K4356:K4387" si="272">YEAR(A4356)</f>
        <v>2025</v>
      </c>
      <c r="L4356" s="6">
        <f t="shared" ref="L4356:L4387" si="273">DATE(YEAR(A4356),MONTH(A4356),1)</f>
        <v>45717</v>
      </c>
      <c r="M4356" s="3" t="str">
        <f t="shared" ref="M4356:M4387" si="274">IF(ROUND(G4356*100,0)&lt;=5,"0% to 5%",IF(ROUND(G4356*100,0)&lt;=10,"6% to 10%",IF(ROUND(G4356*100,0)&lt;=15,"11% to 15%",IF(ROUND(G4356*100,0)&lt;=20,"16% to 20%","21% to 25%"))))</f>
        <v>0% to 5%</v>
      </c>
      <c r="N4356" s="3" t="str">
        <f t="shared" ref="N4356:N4387" si="275">IF(ROUND(D4356*E4356,2)=ROUND(F4356,2),"OK","Check")</f>
        <v>OK</v>
      </c>
    </row>
    <row r="4357" spans="1:14" x14ac:dyDescent="0.3">
      <c r="A4357" s="2">
        <f>DATE(VALUE(RIGHT(TRIM([1]Raw_Data!A4355),4)),VALUE(MID(TRIM([1]Raw_Data!A4355),4,2)),VALUE(LEFT(TRIM([1]Raw_Data!A4355),2)))</f>
        <v>45740</v>
      </c>
      <c r="B4357" s="3" t="str">
        <f>TRIM([1]Raw_Data!B4355)</f>
        <v>Vitamin C</v>
      </c>
      <c r="C4357" s="3" t="str">
        <f>TRIM([1]Raw_Data!C4355)</f>
        <v>Vitamin</v>
      </c>
      <c r="D4357" s="3">
        <f>[1]Raw_Data!D4355</f>
        <v>136</v>
      </c>
      <c r="E4357" s="4">
        <f>[1]Raw_Data!E4355</f>
        <v>58.55</v>
      </c>
      <c r="F4357" s="5">
        <f>[1]Raw_Data!F4355</f>
        <v>7962.8</v>
      </c>
      <c r="G4357" s="4">
        <f>[1]Raw_Data!G4355</f>
        <v>0.09</v>
      </c>
      <c r="H4357" s="3">
        <f>[1]Raw_Data!H4355</f>
        <v>4</v>
      </c>
      <c r="I4357" s="3" t="str">
        <f>TRIM([1]Raw_Data!I4355)</f>
        <v>Canada</v>
      </c>
      <c r="J4357" s="3" t="str">
        <f>TRIM([1]Raw_Data!J4355)</f>
        <v>Walmart</v>
      </c>
      <c r="K4357" s="3">
        <f t="shared" si="272"/>
        <v>2025</v>
      </c>
      <c r="L4357" s="6">
        <f t="shared" si="273"/>
        <v>45717</v>
      </c>
      <c r="M4357" s="3" t="str">
        <f t="shared" si="274"/>
        <v>6% to 10%</v>
      </c>
      <c r="N4357" s="3" t="str">
        <f t="shared" si="275"/>
        <v>OK</v>
      </c>
    </row>
    <row r="4358" spans="1:14" x14ac:dyDescent="0.3">
      <c r="A4358" s="2">
        <f>DATE(VALUE(RIGHT(TRIM([1]Raw_Data!A4356),4)),VALUE(MID(TRIM([1]Raw_Data!A4356),4,2)),VALUE(LEFT(TRIM([1]Raw_Data!A4356),2)))</f>
        <v>45740</v>
      </c>
      <c r="B4358" s="3" t="str">
        <f>TRIM([1]Raw_Data!B4356)</f>
        <v>Fish Oil</v>
      </c>
      <c r="C4358" s="3" t="str">
        <f>TRIM([1]Raw_Data!C4356)</f>
        <v>Omega</v>
      </c>
      <c r="D4358" s="3">
        <f>[1]Raw_Data!D4356</f>
        <v>138</v>
      </c>
      <c r="E4358" s="4">
        <f>[1]Raw_Data!E4356</f>
        <v>34.549999999999997</v>
      </c>
      <c r="F4358" s="5">
        <f>[1]Raw_Data!F4356</f>
        <v>4767.8999999999996</v>
      </c>
      <c r="G4358" s="4">
        <f>[1]Raw_Data!G4356</f>
        <v>0.1</v>
      </c>
      <c r="H4358" s="3">
        <f>[1]Raw_Data!H4356</f>
        <v>2</v>
      </c>
      <c r="I4358" s="3" t="str">
        <f>TRIM([1]Raw_Data!I4356)</f>
        <v>Canada</v>
      </c>
      <c r="J4358" s="3" t="str">
        <f>TRIM([1]Raw_Data!J4356)</f>
        <v>Walmart</v>
      </c>
      <c r="K4358" s="3">
        <f t="shared" si="272"/>
        <v>2025</v>
      </c>
      <c r="L4358" s="6">
        <f t="shared" si="273"/>
        <v>45717</v>
      </c>
      <c r="M4358" s="3" t="str">
        <f t="shared" si="274"/>
        <v>6% to 10%</v>
      </c>
      <c r="N4358" s="3" t="str">
        <f t="shared" si="275"/>
        <v>OK</v>
      </c>
    </row>
    <row r="4359" spans="1:14" x14ac:dyDescent="0.3">
      <c r="A4359" s="2">
        <f>DATE(VALUE(RIGHT(TRIM([1]Raw_Data!A4357),4)),VALUE(MID(TRIM([1]Raw_Data!A4357),4,2)),VALUE(LEFT(TRIM([1]Raw_Data!A4357),2)))</f>
        <v>45740</v>
      </c>
      <c r="B4359" s="3" t="str">
        <f>TRIM([1]Raw_Data!B4357)</f>
        <v>Multivitamin</v>
      </c>
      <c r="C4359" s="3" t="str">
        <f>TRIM([1]Raw_Data!C4357)</f>
        <v>Vitamin</v>
      </c>
      <c r="D4359" s="3">
        <f>[1]Raw_Data!D4357</f>
        <v>158</v>
      </c>
      <c r="E4359" s="4">
        <f>[1]Raw_Data!E4357</f>
        <v>41.39</v>
      </c>
      <c r="F4359" s="5">
        <f>[1]Raw_Data!F4357</f>
        <v>6539.62</v>
      </c>
      <c r="G4359" s="4">
        <f>[1]Raw_Data!G4357</f>
        <v>0.11</v>
      </c>
      <c r="H4359" s="3">
        <f>[1]Raw_Data!H4357</f>
        <v>3</v>
      </c>
      <c r="I4359" s="3" t="str">
        <f>TRIM([1]Raw_Data!I4357)</f>
        <v>USA</v>
      </c>
      <c r="J4359" s="3" t="str">
        <f>TRIM([1]Raw_Data!J4357)</f>
        <v>Walmart</v>
      </c>
      <c r="K4359" s="3">
        <f t="shared" si="272"/>
        <v>2025</v>
      </c>
      <c r="L4359" s="6">
        <f t="shared" si="273"/>
        <v>45717</v>
      </c>
      <c r="M4359" s="3" t="str">
        <f t="shared" si="274"/>
        <v>11% to 15%</v>
      </c>
      <c r="N4359" s="3" t="str">
        <f t="shared" si="275"/>
        <v>OK</v>
      </c>
    </row>
    <row r="4360" spans="1:14" x14ac:dyDescent="0.3">
      <c r="A4360" s="2">
        <f>DATE(VALUE(RIGHT(TRIM([1]Raw_Data!A4358),4)),VALUE(MID(TRIM([1]Raw_Data!A4358),4,2)),VALUE(LEFT(TRIM([1]Raw_Data!A4358),2)))</f>
        <v>45740</v>
      </c>
      <c r="B4360" s="3" t="str">
        <f>TRIM([1]Raw_Data!B4358)</f>
        <v>Pre-Workout</v>
      </c>
      <c r="C4360" s="3" t="str">
        <f>TRIM([1]Raw_Data!C4358)</f>
        <v>Performance</v>
      </c>
      <c r="D4360" s="3">
        <f>[1]Raw_Data!D4358</f>
        <v>146</v>
      </c>
      <c r="E4360" s="4">
        <f>[1]Raw_Data!E4358</f>
        <v>21.41</v>
      </c>
      <c r="F4360" s="5">
        <f>[1]Raw_Data!F4358</f>
        <v>3125.86</v>
      </c>
      <c r="G4360" s="4">
        <f>[1]Raw_Data!G4358</f>
        <v>0.06</v>
      </c>
      <c r="H4360" s="3">
        <f>[1]Raw_Data!H4358</f>
        <v>1</v>
      </c>
      <c r="I4360" s="3" t="str">
        <f>TRIM([1]Raw_Data!I4358)</f>
        <v>USA</v>
      </c>
      <c r="J4360" s="3" t="str">
        <f>TRIM([1]Raw_Data!J4358)</f>
        <v>Walmart</v>
      </c>
      <c r="K4360" s="3">
        <f t="shared" si="272"/>
        <v>2025</v>
      </c>
      <c r="L4360" s="6">
        <f t="shared" si="273"/>
        <v>45717</v>
      </c>
      <c r="M4360" s="3" t="str">
        <f t="shared" si="274"/>
        <v>6% to 10%</v>
      </c>
      <c r="N4360" s="3" t="str">
        <f t="shared" si="275"/>
        <v>OK</v>
      </c>
    </row>
    <row r="4361" spans="1:14" x14ac:dyDescent="0.3">
      <c r="A4361" s="2">
        <f>DATE(VALUE(RIGHT(TRIM([1]Raw_Data!A4359),4)),VALUE(MID(TRIM([1]Raw_Data!A4359),4,2)),VALUE(LEFT(TRIM([1]Raw_Data!A4359),2)))</f>
        <v>45740</v>
      </c>
      <c r="B4361" s="3" t="str">
        <f>TRIM([1]Raw_Data!B4359)</f>
        <v>BCAA</v>
      </c>
      <c r="C4361" s="3" t="str">
        <f>TRIM([1]Raw_Data!C4359)</f>
        <v>Amino Acid</v>
      </c>
      <c r="D4361" s="3">
        <f>[1]Raw_Data!D4359</f>
        <v>143</v>
      </c>
      <c r="E4361" s="4">
        <f>[1]Raw_Data!E4359</f>
        <v>12.48</v>
      </c>
      <c r="F4361" s="5">
        <f>[1]Raw_Data!F4359</f>
        <v>1784.64</v>
      </c>
      <c r="G4361" s="4">
        <f>[1]Raw_Data!G4359</f>
        <v>0.21</v>
      </c>
      <c r="H4361" s="3">
        <f>[1]Raw_Data!H4359</f>
        <v>0</v>
      </c>
      <c r="I4361" s="3" t="str">
        <f>TRIM([1]Raw_Data!I4359)</f>
        <v>Canada</v>
      </c>
      <c r="J4361" s="3" t="str">
        <f>TRIM([1]Raw_Data!J4359)</f>
        <v>Amazon</v>
      </c>
      <c r="K4361" s="3">
        <f t="shared" si="272"/>
        <v>2025</v>
      </c>
      <c r="L4361" s="6">
        <f t="shared" si="273"/>
        <v>45717</v>
      </c>
      <c r="M4361" s="3" t="str">
        <f t="shared" si="274"/>
        <v>21% to 25%</v>
      </c>
      <c r="N4361" s="3" t="str">
        <f t="shared" si="275"/>
        <v>OK</v>
      </c>
    </row>
    <row r="4362" spans="1:14" x14ac:dyDescent="0.3">
      <c r="A4362" s="2">
        <f>DATE(VALUE(RIGHT(TRIM([1]Raw_Data!A4360),4)),VALUE(MID(TRIM([1]Raw_Data!A4360),4,2)),VALUE(LEFT(TRIM([1]Raw_Data!A4360),2)))</f>
        <v>45740</v>
      </c>
      <c r="B4362" s="3" t="str">
        <f>TRIM([1]Raw_Data!B4360)</f>
        <v>Creatine</v>
      </c>
      <c r="C4362" s="3" t="str">
        <f>TRIM([1]Raw_Data!C4360)</f>
        <v>Performance</v>
      </c>
      <c r="D4362" s="3">
        <f>[1]Raw_Data!D4360</f>
        <v>167</v>
      </c>
      <c r="E4362" s="4">
        <f>[1]Raw_Data!E4360</f>
        <v>13.26</v>
      </c>
      <c r="F4362" s="5">
        <f>[1]Raw_Data!F4360</f>
        <v>2214.42</v>
      </c>
      <c r="G4362" s="4">
        <f>[1]Raw_Data!G4360</f>
        <v>0.14000000000000001</v>
      </c>
      <c r="H4362" s="3">
        <f>[1]Raw_Data!H4360</f>
        <v>2</v>
      </c>
      <c r="I4362" s="3" t="str">
        <f>TRIM([1]Raw_Data!I4360)</f>
        <v>USA</v>
      </c>
      <c r="J4362" s="3" t="str">
        <f>TRIM([1]Raw_Data!J4360)</f>
        <v>Walmart</v>
      </c>
      <c r="K4362" s="3">
        <f t="shared" si="272"/>
        <v>2025</v>
      </c>
      <c r="L4362" s="6">
        <f t="shared" si="273"/>
        <v>45717</v>
      </c>
      <c r="M4362" s="3" t="str">
        <f t="shared" si="274"/>
        <v>11% to 15%</v>
      </c>
      <c r="N4362" s="3" t="str">
        <f t="shared" si="275"/>
        <v>OK</v>
      </c>
    </row>
    <row r="4363" spans="1:14" x14ac:dyDescent="0.3">
      <c r="A4363" s="2">
        <f>DATE(VALUE(RIGHT(TRIM([1]Raw_Data!A4361),4)),VALUE(MID(TRIM([1]Raw_Data!A4361),4,2)),VALUE(LEFT(TRIM([1]Raw_Data!A4361),2)))</f>
        <v>45740</v>
      </c>
      <c r="B4363" s="3" t="str">
        <f>TRIM([1]Raw_Data!B4361)</f>
        <v>Zinc</v>
      </c>
      <c r="C4363" s="3" t="str">
        <f>TRIM([1]Raw_Data!C4361)</f>
        <v>Mineral</v>
      </c>
      <c r="D4363" s="3">
        <f>[1]Raw_Data!D4361</f>
        <v>150</v>
      </c>
      <c r="E4363" s="4">
        <f>[1]Raw_Data!E4361</f>
        <v>24.35</v>
      </c>
      <c r="F4363" s="5">
        <f>[1]Raw_Data!F4361</f>
        <v>3652.5</v>
      </c>
      <c r="G4363" s="4">
        <f>[1]Raw_Data!G4361</f>
        <v>0.17</v>
      </c>
      <c r="H4363" s="3">
        <f>[1]Raw_Data!H4361</f>
        <v>1</v>
      </c>
      <c r="I4363" s="3" t="str">
        <f>TRIM([1]Raw_Data!I4361)</f>
        <v>Canada</v>
      </c>
      <c r="J4363" s="3" t="str">
        <f>TRIM([1]Raw_Data!J4361)</f>
        <v>iHerb</v>
      </c>
      <c r="K4363" s="3">
        <f t="shared" si="272"/>
        <v>2025</v>
      </c>
      <c r="L4363" s="6">
        <f t="shared" si="273"/>
        <v>45717</v>
      </c>
      <c r="M4363" s="3" t="str">
        <f t="shared" si="274"/>
        <v>16% to 20%</v>
      </c>
      <c r="N4363" s="3" t="str">
        <f t="shared" si="275"/>
        <v>OK</v>
      </c>
    </row>
    <row r="4364" spans="1:14" x14ac:dyDescent="0.3">
      <c r="A4364" s="2">
        <f>DATE(VALUE(RIGHT(TRIM([1]Raw_Data!A4362),4)),VALUE(MID(TRIM([1]Raw_Data!A4362),4,2)),VALUE(LEFT(TRIM([1]Raw_Data!A4362),2)))</f>
        <v>45740</v>
      </c>
      <c r="B4364" s="3" t="str">
        <f>TRIM([1]Raw_Data!B4362)</f>
        <v>Collagen Peptides</v>
      </c>
      <c r="C4364" s="3" t="str">
        <f>TRIM([1]Raw_Data!C4362)</f>
        <v>Protein</v>
      </c>
      <c r="D4364" s="3">
        <f>[1]Raw_Data!D4362</f>
        <v>144</v>
      </c>
      <c r="E4364" s="4">
        <f>[1]Raw_Data!E4362</f>
        <v>46.39</v>
      </c>
      <c r="F4364" s="5">
        <f>[1]Raw_Data!F4362</f>
        <v>6680.16</v>
      </c>
      <c r="G4364" s="4">
        <f>[1]Raw_Data!G4362</f>
        <v>0.1</v>
      </c>
      <c r="H4364" s="3">
        <f>[1]Raw_Data!H4362</f>
        <v>3</v>
      </c>
      <c r="I4364" s="3" t="str">
        <f>TRIM([1]Raw_Data!I4362)</f>
        <v>Canada</v>
      </c>
      <c r="J4364" s="3" t="str">
        <f>TRIM([1]Raw_Data!J4362)</f>
        <v>iHerb</v>
      </c>
      <c r="K4364" s="3">
        <f t="shared" si="272"/>
        <v>2025</v>
      </c>
      <c r="L4364" s="6">
        <f t="shared" si="273"/>
        <v>45717</v>
      </c>
      <c r="M4364" s="3" t="str">
        <f t="shared" si="274"/>
        <v>6% to 10%</v>
      </c>
      <c r="N4364" s="3" t="str">
        <f t="shared" si="275"/>
        <v>OK</v>
      </c>
    </row>
    <row r="4365" spans="1:14" x14ac:dyDescent="0.3">
      <c r="A4365" s="2">
        <f>DATE(VALUE(RIGHT(TRIM([1]Raw_Data!A4363),4)),VALUE(MID(TRIM([1]Raw_Data!A4363),4,2)),VALUE(LEFT(TRIM([1]Raw_Data!A4363),2)))</f>
        <v>45740</v>
      </c>
      <c r="B4365" s="3" t="str">
        <f>TRIM([1]Raw_Data!B4363)</f>
        <v>Magnesium</v>
      </c>
      <c r="C4365" s="3" t="str">
        <f>TRIM([1]Raw_Data!C4363)</f>
        <v>Mineral</v>
      </c>
      <c r="D4365" s="3">
        <f>[1]Raw_Data!D4363</f>
        <v>171</v>
      </c>
      <c r="E4365" s="4">
        <f>[1]Raw_Data!E4363</f>
        <v>20.75</v>
      </c>
      <c r="F4365" s="5">
        <f>[1]Raw_Data!F4363</f>
        <v>3548.25</v>
      </c>
      <c r="G4365" s="4">
        <f>[1]Raw_Data!G4363</f>
        <v>0.23</v>
      </c>
      <c r="H4365" s="3">
        <f>[1]Raw_Data!H4363</f>
        <v>1</v>
      </c>
      <c r="I4365" s="3" t="str">
        <f>TRIM([1]Raw_Data!I4363)</f>
        <v>UK</v>
      </c>
      <c r="J4365" s="3" t="str">
        <f>TRIM([1]Raw_Data!J4363)</f>
        <v>Walmart</v>
      </c>
      <c r="K4365" s="3">
        <f t="shared" si="272"/>
        <v>2025</v>
      </c>
      <c r="L4365" s="6">
        <f t="shared" si="273"/>
        <v>45717</v>
      </c>
      <c r="M4365" s="3" t="str">
        <f t="shared" si="274"/>
        <v>21% to 25%</v>
      </c>
      <c r="N4365" s="3" t="str">
        <f t="shared" si="275"/>
        <v>OK</v>
      </c>
    </row>
    <row r="4366" spans="1:14" x14ac:dyDescent="0.3">
      <c r="A4366" s="2">
        <f>DATE(VALUE(RIGHT(TRIM([1]Raw_Data!A4364),4)),VALUE(MID(TRIM([1]Raw_Data!A4364),4,2)),VALUE(LEFT(TRIM([1]Raw_Data!A4364),2)))</f>
        <v>45740</v>
      </c>
      <c r="B4366" s="3" t="str">
        <f>TRIM([1]Raw_Data!B4364)</f>
        <v>Ashwagandha</v>
      </c>
      <c r="C4366" s="3" t="str">
        <f>TRIM([1]Raw_Data!C4364)</f>
        <v>Herbal</v>
      </c>
      <c r="D4366" s="3">
        <f>[1]Raw_Data!D4364</f>
        <v>122</v>
      </c>
      <c r="E4366" s="4">
        <f>[1]Raw_Data!E4364</f>
        <v>46.35</v>
      </c>
      <c r="F4366" s="5">
        <f>[1]Raw_Data!F4364</f>
        <v>5654.7</v>
      </c>
      <c r="G4366" s="4">
        <f>[1]Raw_Data!G4364</f>
        <v>0.23</v>
      </c>
      <c r="H4366" s="3">
        <f>[1]Raw_Data!H4364</f>
        <v>1</v>
      </c>
      <c r="I4366" s="3" t="str">
        <f>TRIM([1]Raw_Data!I4364)</f>
        <v>USA</v>
      </c>
      <c r="J4366" s="3" t="str">
        <f>TRIM([1]Raw_Data!J4364)</f>
        <v>Walmart</v>
      </c>
      <c r="K4366" s="3">
        <f t="shared" si="272"/>
        <v>2025</v>
      </c>
      <c r="L4366" s="6">
        <f t="shared" si="273"/>
        <v>45717</v>
      </c>
      <c r="M4366" s="3" t="str">
        <f t="shared" si="274"/>
        <v>21% to 25%</v>
      </c>
      <c r="N4366" s="3" t="str">
        <f t="shared" si="275"/>
        <v>OK</v>
      </c>
    </row>
    <row r="4367" spans="1:14" x14ac:dyDescent="0.3">
      <c r="A4367" s="2">
        <f>DATE(VALUE(RIGHT(TRIM([1]Raw_Data!A4365),4)),VALUE(MID(TRIM([1]Raw_Data!A4365),4,2)),VALUE(LEFT(TRIM([1]Raw_Data!A4365),2)))</f>
        <v>45740</v>
      </c>
      <c r="B4367" s="3" t="str">
        <f>TRIM([1]Raw_Data!B4365)</f>
        <v>Melatonin</v>
      </c>
      <c r="C4367" s="3" t="str">
        <f>TRIM([1]Raw_Data!C4365)</f>
        <v>Sleep Aid</v>
      </c>
      <c r="D4367" s="3">
        <f>[1]Raw_Data!D4365</f>
        <v>178</v>
      </c>
      <c r="E4367" s="4">
        <f>[1]Raw_Data!E4365</f>
        <v>13.04</v>
      </c>
      <c r="F4367" s="5">
        <f>[1]Raw_Data!F4365</f>
        <v>2321.12</v>
      </c>
      <c r="G4367" s="4">
        <f>[1]Raw_Data!G4365</f>
        <v>0.15</v>
      </c>
      <c r="H4367" s="3">
        <f>[1]Raw_Data!H4365</f>
        <v>5</v>
      </c>
      <c r="I4367" s="3" t="str">
        <f>TRIM([1]Raw_Data!I4365)</f>
        <v>UK</v>
      </c>
      <c r="J4367" s="3" t="str">
        <f>TRIM([1]Raw_Data!J4365)</f>
        <v>Walmart</v>
      </c>
      <c r="K4367" s="3">
        <f t="shared" si="272"/>
        <v>2025</v>
      </c>
      <c r="L4367" s="6">
        <f t="shared" si="273"/>
        <v>45717</v>
      </c>
      <c r="M4367" s="3" t="str">
        <f t="shared" si="274"/>
        <v>11% to 15%</v>
      </c>
      <c r="N4367" s="3" t="str">
        <f t="shared" si="275"/>
        <v>OK</v>
      </c>
    </row>
    <row r="4368" spans="1:14" x14ac:dyDescent="0.3">
      <c r="A4368" s="2">
        <f>DATE(VALUE(RIGHT(TRIM([1]Raw_Data!A4366),4)),VALUE(MID(TRIM([1]Raw_Data!A4366),4,2)),VALUE(LEFT(TRIM([1]Raw_Data!A4366),2)))</f>
        <v>45740</v>
      </c>
      <c r="B4368" s="3" t="str">
        <f>TRIM([1]Raw_Data!B4366)</f>
        <v>Biotin</v>
      </c>
      <c r="C4368" s="3" t="str">
        <f>TRIM([1]Raw_Data!C4366)</f>
        <v>Vitamin</v>
      </c>
      <c r="D4368" s="3">
        <f>[1]Raw_Data!D4366</f>
        <v>150</v>
      </c>
      <c r="E4368" s="4">
        <f>[1]Raw_Data!E4366</f>
        <v>21.06</v>
      </c>
      <c r="F4368" s="5">
        <f>[1]Raw_Data!F4366</f>
        <v>3159</v>
      </c>
      <c r="G4368" s="4">
        <f>[1]Raw_Data!G4366</f>
        <v>0.06</v>
      </c>
      <c r="H4368" s="3">
        <f>[1]Raw_Data!H4366</f>
        <v>1</v>
      </c>
      <c r="I4368" s="3" t="str">
        <f>TRIM([1]Raw_Data!I4366)</f>
        <v>UK</v>
      </c>
      <c r="J4368" s="3" t="str">
        <f>TRIM([1]Raw_Data!J4366)</f>
        <v>Amazon</v>
      </c>
      <c r="K4368" s="3">
        <f t="shared" si="272"/>
        <v>2025</v>
      </c>
      <c r="L4368" s="6">
        <f t="shared" si="273"/>
        <v>45717</v>
      </c>
      <c r="M4368" s="3" t="str">
        <f t="shared" si="274"/>
        <v>6% to 10%</v>
      </c>
      <c r="N4368" s="3" t="str">
        <f t="shared" si="275"/>
        <v>OK</v>
      </c>
    </row>
    <row r="4369" spans="1:14" x14ac:dyDescent="0.3">
      <c r="A4369" s="2">
        <f>DATE(VALUE(RIGHT(TRIM([1]Raw_Data!A4367),4)),VALUE(MID(TRIM([1]Raw_Data!A4367),4,2)),VALUE(LEFT(TRIM([1]Raw_Data!A4367),2)))</f>
        <v>45740</v>
      </c>
      <c r="B4369" s="3" t="str">
        <f>TRIM([1]Raw_Data!B4367)</f>
        <v>Green Tea Extract</v>
      </c>
      <c r="C4369" s="3" t="str">
        <f>TRIM([1]Raw_Data!C4367)</f>
        <v>Fat Burner</v>
      </c>
      <c r="D4369" s="3">
        <f>[1]Raw_Data!D4367</f>
        <v>150</v>
      </c>
      <c r="E4369" s="4">
        <f>[1]Raw_Data!E4367</f>
        <v>13.36</v>
      </c>
      <c r="F4369" s="5">
        <f>[1]Raw_Data!F4367</f>
        <v>2004</v>
      </c>
      <c r="G4369" s="4">
        <f>[1]Raw_Data!G4367</f>
        <v>0.01</v>
      </c>
      <c r="H4369" s="3">
        <f>[1]Raw_Data!H4367</f>
        <v>2</v>
      </c>
      <c r="I4369" s="3" t="str">
        <f>TRIM([1]Raw_Data!I4367)</f>
        <v>USA</v>
      </c>
      <c r="J4369" s="3" t="str">
        <f>TRIM([1]Raw_Data!J4367)</f>
        <v>Amazon</v>
      </c>
      <c r="K4369" s="3">
        <f t="shared" si="272"/>
        <v>2025</v>
      </c>
      <c r="L4369" s="6">
        <f t="shared" si="273"/>
        <v>45717</v>
      </c>
      <c r="M4369" s="3" t="str">
        <f t="shared" si="274"/>
        <v>0% to 5%</v>
      </c>
      <c r="N4369" s="3" t="str">
        <f t="shared" si="275"/>
        <v>OK</v>
      </c>
    </row>
    <row r="4370" spans="1:14" x14ac:dyDescent="0.3">
      <c r="A4370" s="2">
        <f>DATE(VALUE(RIGHT(TRIM([1]Raw_Data!A4368),4)),VALUE(MID(TRIM([1]Raw_Data!A4368),4,2)),VALUE(LEFT(TRIM([1]Raw_Data!A4368),2)))</f>
        <v>45740</v>
      </c>
      <c r="B4370" s="3" t="str">
        <f>TRIM([1]Raw_Data!B4368)</f>
        <v>Iron Supplement</v>
      </c>
      <c r="C4370" s="3" t="str">
        <f>TRIM([1]Raw_Data!C4368)</f>
        <v>Mineral</v>
      </c>
      <c r="D4370" s="3">
        <f>[1]Raw_Data!D4368</f>
        <v>167</v>
      </c>
      <c r="E4370" s="4">
        <f>[1]Raw_Data!E4368</f>
        <v>53.89</v>
      </c>
      <c r="F4370" s="5">
        <f>[1]Raw_Data!F4368</f>
        <v>8999.6299999999992</v>
      </c>
      <c r="G4370" s="4">
        <f>[1]Raw_Data!G4368</f>
        <v>0.2</v>
      </c>
      <c r="H4370" s="3">
        <f>[1]Raw_Data!H4368</f>
        <v>0</v>
      </c>
      <c r="I4370" s="3" t="str">
        <f>TRIM([1]Raw_Data!I4368)</f>
        <v>USA</v>
      </c>
      <c r="J4370" s="3" t="str">
        <f>TRIM([1]Raw_Data!J4368)</f>
        <v>Amazon</v>
      </c>
      <c r="K4370" s="3">
        <f t="shared" si="272"/>
        <v>2025</v>
      </c>
      <c r="L4370" s="6">
        <f t="shared" si="273"/>
        <v>45717</v>
      </c>
      <c r="M4370" s="3" t="str">
        <f t="shared" si="274"/>
        <v>16% to 20%</v>
      </c>
      <c r="N4370" s="3" t="str">
        <f t="shared" si="275"/>
        <v>OK</v>
      </c>
    </row>
    <row r="4371" spans="1:14" x14ac:dyDescent="0.3">
      <c r="A4371" s="2">
        <f>DATE(VALUE(RIGHT(TRIM([1]Raw_Data!A4369),4)),VALUE(MID(TRIM([1]Raw_Data!A4369),4,2)),VALUE(LEFT(TRIM([1]Raw_Data!A4369),2)))</f>
        <v>45740</v>
      </c>
      <c r="B4371" s="3" t="str">
        <f>TRIM([1]Raw_Data!B4369)</f>
        <v>Electrolyte Powder</v>
      </c>
      <c r="C4371" s="3" t="str">
        <f>TRIM([1]Raw_Data!C4369)</f>
        <v>Hydration</v>
      </c>
      <c r="D4371" s="3">
        <f>[1]Raw_Data!D4369</f>
        <v>138</v>
      </c>
      <c r="E4371" s="4">
        <f>[1]Raw_Data!E4369</f>
        <v>32.18</v>
      </c>
      <c r="F4371" s="5">
        <f>[1]Raw_Data!F4369</f>
        <v>4440.84</v>
      </c>
      <c r="G4371" s="4">
        <f>[1]Raw_Data!G4369</f>
        <v>7.0000000000000007E-2</v>
      </c>
      <c r="H4371" s="3">
        <f>[1]Raw_Data!H4369</f>
        <v>1</v>
      </c>
      <c r="I4371" s="3" t="str">
        <f>TRIM([1]Raw_Data!I4369)</f>
        <v>Canada</v>
      </c>
      <c r="J4371" s="3" t="str">
        <f>TRIM([1]Raw_Data!J4369)</f>
        <v>Amazon</v>
      </c>
      <c r="K4371" s="3">
        <f t="shared" si="272"/>
        <v>2025</v>
      </c>
      <c r="L4371" s="6">
        <f t="shared" si="273"/>
        <v>45717</v>
      </c>
      <c r="M4371" s="3" t="str">
        <f t="shared" si="274"/>
        <v>6% to 10%</v>
      </c>
      <c r="N4371" s="3" t="str">
        <f t="shared" si="275"/>
        <v>OK</v>
      </c>
    </row>
    <row r="4372" spans="1:14" x14ac:dyDescent="0.3">
      <c r="A4372" s="2">
        <f>DATE(VALUE(RIGHT(TRIM([1]Raw_Data!A4370),4)),VALUE(MID(TRIM([1]Raw_Data!A4370),4,2)),VALUE(LEFT(TRIM([1]Raw_Data!A4370),2)))</f>
        <v>45747</v>
      </c>
      <c r="B4372" s="3" t="str">
        <f>TRIM([1]Raw_Data!B4370)</f>
        <v>Whey Protein</v>
      </c>
      <c r="C4372" s="3" t="str">
        <f>TRIM([1]Raw_Data!C4370)</f>
        <v>Protein</v>
      </c>
      <c r="D4372" s="3">
        <f>[1]Raw_Data!D4370</f>
        <v>148</v>
      </c>
      <c r="E4372" s="4">
        <f>[1]Raw_Data!E4370</f>
        <v>15.17</v>
      </c>
      <c r="F4372" s="5">
        <f>[1]Raw_Data!F4370</f>
        <v>2245.16</v>
      </c>
      <c r="G4372" s="4">
        <f>[1]Raw_Data!G4370</f>
        <v>7.0000000000000007E-2</v>
      </c>
      <c r="H4372" s="3">
        <f>[1]Raw_Data!H4370</f>
        <v>1</v>
      </c>
      <c r="I4372" s="3" t="str">
        <f>TRIM([1]Raw_Data!I4370)</f>
        <v>UK</v>
      </c>
      <c r="J4372" s="3" t="str">
        <f>TRIM([1]Raw_Data!J4370)</f>
        <v>Amazon</v>
      </c>
      <c r="K4372" s="3">
        <f t="shared" si="272"/>
        <v>2025</v>
      </c>
      <c r="L4372" s="6">
        <f t="shared" si="273"/>
        <v>45717</v>
      </c>
      <c r="M4372" s="3" t="str">
        <f t="shared" si="274"/>
        <v>6% to 10%</v>
      </c>
      <c r="N4372" s="3" t="str">
        <f t="shared" si="275"/>
        <v>OK</v>
      </c>
    </row>
    <row r="4373" spans="1:14" x14ac:dyDescent="0.3">
      <c r="A4373" s="2">
        <f>DATE(VALUE(RIGHT(TRIM([1]Raw_Data!A4371),4)),VALUE(MID(TRIM([1]Raw_Data!A4371),4,2)),VALUE(LEFT(TRIM([1]Raw_Data!A4371),2)))</f>
        <v>45747</v>
      </c>
      <c r="B4373" s="3" t="str">
        <f>TRIM([1]Raw_Data!B4371)</f>
        <v>Vitamin C</v>
      </c>
      <c r="C4373" s="3" t="str">
        <f>TRIM([1]Raw_Data!C4371)</f>
        <v>Vitamin</v>
      </c>
      <c r="D4373" s="3">
        <f>[1]Raw_Data!D4371</f>
        <v>157</v>
      </c>
      <c r="E4373" s="4">
        <f>[1]Raw_Data!E4371</f>
        <v>57.08</v>
      </c>
      <c r="F4373" s="5">
        <f>[1]Raw_Data!F4371</f>
        <v>8961.56</v>
      </c>
      <c r="G4373" s="4">
        <f>[1]Raw_Data!G4371</f>
        <v>0.2</v>
      </c>
      <c r="H4373" s="3">
        <f>[1]Raw_Data!H4371</f>
        <v>2</v>
      </c>
      <c r="I4373" s="3" t="str">
        <f>TRIM([1]Raw_Data!I4371)</f>
        <v>UK</v>
      </c>
      <c r="J4373" s="3" t="str">
        <f>TRIM([1]Raw_Data!J4371)</f>
        <v>iHerb</v>
      </c>
      <c r="K4373" s="3">
        <f t="shared" si="272"/>
        <v>2025</v>
      </c>
      <c r="L4373" s="6">
        <f t="shared" si="273"/>
        <v>45717</v>
      </c>
      <c r="M4373" s="3" t="str">
        <f t="shared" si="274"/>
        <v>16% to 20%</v>
      </c>
      <c r="N4373" s="3" t="str">
        <f t="shared" si="275"/>
        <v>OK</v>
      </c>
    </row>
    <row r="4374" spans="1:14" x14ac:dyDescent="0.3">
      <c r="A4374" s="2">
        <f>DATE(VALUE(RIGHT(TRIM([1]Raw_Data!A4372),4)),VALUE(MID(TRIM([1]Raw_Data!A4372),4,2)),VALUE(LEFT(TRIM([1]Raw_Data!A4372),2)))</f>
        <v>45747</v>
      </c>
      <c r="B4374" s="3" t="str">
        <f>TRIM([1]Raw_Data!B4372)</f>
        <v>Fish Oil</v>
      </c>
      <c r="C4374" s="3" t="str">
        <f>TRIM([1]Raw_Data!C4372)</f>
        <v>Omega</v>
      </c>
      <c r="D4374" s="3">
        <f>[1]Raw_Data!D4372</f>
        <v>139</v>
      </c>
      <c r="E4374" s="4">
        <f>[1]Raw_Data!E4372</f>
        <v>44.67</v>
      </c>
      <c r="F4374" s="5">
        <f>[1]Raw_Data!F4372</f>
        <v>6209.13</v>
      </c>
      <c r="G4374" s="4">
        <f>[1]Raw_Data!G4372</f>
        <v>0.21</v>
      </c>
      <c r="H4374" s="3">
        <f>[1]Raw_Data!H4372</f>
        <v>4</v>
      </c>
      <c r="I4374" s="3" t="str">
        <f>TRIM([1]Raw_Data!I4372)</f>
        <v>USA</v>
      </c>
      <c r="J4374" s="3" t="str">
        <f>TRIM([1]Raw_Data!J4372)</f>
        <v>iHerb</v>
      </c>
      <c r="K4374" s="3">
        <f t="shared" si="272"/>
        <v>2025</v>
      </c>
      <c r="L4374" s="6">
        <f t="shared" si="273"/>
        <v>45717</v>
      </c>
      <c r="M4374" s="3" t="str">
        <f t="shared" si="274"/>
        <v>21% to 25%</v>
      </c>
      <c r="N4374" s="3" t="str">
        <f t="shared" si="275"/>
        <v>OK</v>
      </c>
    </row>
    <row r="4375" spans="1:14" x14ac:dyDescent="0.3">
      <c r="A4375" s="2">
        <f>DATE(VALUE(RIGHT(TRIM([1]Raw_Data!A4373),4)),VALUE(MID(TRIM([1]Raw_Data!A4373),4,2)),VALUE(LEFT(TRIM([1]Raw_Data!A4373),2)))</f>
        <v>45747</v>
      </c>
      <c r="B4375" s="3" t="str">
        <f>TRIM([1]Raw_Data!B4373)</f>
        <v>Multivitamin</v>
      </c>
      <c r="C4375" s="3" t="str">
        <f>TRIM([1]Raw_Data!C4373)</f>
        <v>Vitamin</v>
      </c>
      <c r="D4375" s="3">
        <f>[1]Raw_Data!D4373</f>
        <v>154</v>
      </c>
      <c r="E4375" s="4">
        <f>[1]Raw_Data!E4373</f>
        <v>10.88</v>
      </c>
      <c r="F4375" s="5">
        <f>[1]Raw_Data!F4373</f>
        <v>1675.52</v>
      </c>
      <c r="G4375" s="4">
        <f>[1]Raw_Data!G4373</f>
        <v>0.02</v>
      </c>
      <c r="H4375" s="3">
        <f>[1]Raw_Data!H4373</f>
        <v>0</v>
      </c>
      <c r="I4375" s="3" t="str">
        <f>TRIM([1]Raw_Data!I4373)</f>
        <v>Canada</v>
      </c>
      <c r="J4375" s="3" t="str">
        <f>TRIM([1]Raw_Data!J4373)</f>
        <v>Amazon</v>
      </c>
      <c r="K4375" s="3">
        <f t="shared" si="272"/>
        <v>2025</v>
      </c>
      <c r="L4375" s="6">
        <f t="shared" si="273"/>
        <v>45717</v>
      </c>
      <c r="M4375" s="3" t="str">
        <f t="shared" si="274"/>
        <v>0% to 5%</v>
      </c>
      <c r="N4375" s="3" t="str">
        <f t="shared" si="275"/>
        <v>OK</v>
      </c>
    </row>
    <row r="4376" spans="1:14" x14ac:dyDescent="0.3">
      <c r="A4376" s="2">
        <f>DATE(VALUE(RIGHT(TRIM([1]Raw_Data!A4374),4)),VALUE(MID(TRIM([1]Raw_Data!A4374),4,2)),VALUE(LEFT(TRIM([1]Raw_Data!A4374),2)))</f>
        <v>45747</v>
      </c>
      <c r="B4376" s="3" t="str">
        <f>TRIM([1]Raw_Data!B4374)</f>
        <v>Pre-Workout</v>
      </c>
      <c r="C4376" s="3" t="str">
        <f>TRIM([1]Raw_Data!C4374)</f>
        <v>Performance</v>
      </c>
      <c r="D4376" s="3">
        <f>[1]Raw_Data!D4374</f>
        <v>124</v>
      </c>
      <c r="E4376" s="4">
        <f>[1]Raw_Data!E4374</f>
        <v>26.84</v>
      </c>
      <c r="F4376" s="5">
        <f>[1]Raw_Data!F4374</f>
        <v>3328.16</v>
      </c>
      <c r="G4376" s="4">
        <f>[1]Raw_Data!G4374</f>
        <v>0.16</v>
      </c>
      <c r="H4376" s="3">
        <f>[1]Raw_Data!H4374</f>
        <v>1</v>
      </c>
      <c r="I4376" s="3" t="str">
        <f>TRIM([1]Raw_Data!I4374)</f>
        <v>Canada</v>
      </c>
      <c r="J4376" s="3" t="str">
        <f>TRIM([1]Raw_Data!J4374)</f>
        <v>iHerb</v>
      </c>
      <c r="K4376" s="3">
        <f t="shared" si="272"/>
        <v>2025</v>
      </c>
      <c r="L4376" s="6">
        <f t="shared" si="273"/>
        <v>45717</v>
      </c>
      <c r="M4376" s="3" t="str">
        <f t="shared" si="274"/>
        <v>16% to 20%</v>
      </c>
      <c r="N4376" s="3" t="str">
        <f t="shared" si="275"/>
        <v>OK</v>
      </c>
    </row>
    <row r="4377" spans="1:14" x14ac:dyDescent="0.3">
      <c r="A4377" s="2">
        <f>DATE(VALUE(RIGHT(TRIM([1]Raw_Data!A4375),4)),VALUE(MID(TRIM([1]Raw_Data!A4375),4,2)),VALUE(LEFT(TRIM([1]Raw_Data!A4375),2)))</f>
        <v>45747</v>
      </c>
      <c r="B4377" s="3" t="str">
        <f>TRIM([1]Raw_Data!B4375)</f>
        <v>BCAA</v>
      </c>
      <c r="C4377" s="3" t="str">
        <f>TRIM([1]Raw_Data!C4375)</f>
        <v>Amino Acid</v>
      </c>
      <c r="D4377" s="3">
        <f>[1]Raw_Data!D4375</f>
        <v>153</v>
      </c>
      <c r="E4377" s="4">
        <f>[1]Raw_Data!E4375</f>
        <v>23.89</v>
      </c>
      <c r="F4377" s="5">
        <f>[1]Raw_Data!F4375</f>
        <v>3655.17</v>
      </c>
      <c r="G4377" s="4">
        <f>[1]Raw_Data!G4375</f>
        <v>0.24</v>
      </c>
      <c r="H4377" s="3">
        <f>[1]Raw_Data!H4375</f>
        <v>0</v>
      </c>
      <c r="I4377" s="3" t="str">
        <f>TRIM([1]Raw_Data!I4375)</f>
        <v>UK</v>
      </c>
      <c r="J4377" s="3" t="str">
        <f>TRIM([1]Raw_Data!J4375)</f>
        <v>Amazon</v>
      </c>
      <c r="K4377" s="3">
        <f t="shared" si="272"/>
        <v>2025</v>
      </c>
      <c r="L4377" s="6">
        <f t="shared" si="273"/>
        <v>45717</v>
      </c>
      <c r="M4377" s="3" t="str">
        <f t="shared" si="274"/>
        <v>21% to 25%</v>
      </c>
      <c r="N4377" s="3" t="str">
        <f t="shared" si="275"/>
        <v>OK</v>
      </c>
    </row>
    <row r="4378" spans="1:14" x14ac:dyDescent="0.3">
      <c r="A4378" s="2">
        <f>DATE(VALUE(RIGHT(TRIM([1]Raw_Data!A4376),4)),VALUE(MID(TRIM([1]Raw_Data!A4376),4,2)),VALUE(LEFT(TRIM([1]Raw_Data!A4376),2)))</f>
        <v>45747</v>
      </c>
      <c r="B4378" s="3" t="str">
        <f>TRIM([1]Raw_Data!B4376)</f>
        <v>Creatine</v>
      </c>
      <c r="C4378" s="3" t="str">
        <f>TRIM([1]Raw_Data!C4376)</f>
        <v>Performance</v>
      </c>
      <c r="D4378" s="3">
        <f>[1]Raw_Data!D4376</f>
        <v>174</v>
      </c>
      <c r="E4378" s="4">
        <f>[1]Raw_Data!E4376</f>
        <v>35.630000000000003</v>
      </c>
      <c r="F4378" s="5">
        <f>[1]Raw_Data!F4376</f>
        <v>6199.62</v>
      </c>
      <c r="G4378" s="4">
        <f>[1]Raw_Data!G4376</f>
        <v>0.03</v>
      </c>
      <c r="H4378" s="3">
        <f>[1]Raw_Data!H4376</f>
        <v>0</v>
      </c>
      <c r="I4378" s="3" t="str">
        <f>TRIM([1]Raw_Data!I4376)</f>
        <v>Canada</v>
      </c>
      <c r="J4378" s="3" t="str">
        <f>TRIM([1]Raw_Data!J4376)</f>
        <v>Amazon</v>
      </c>
      <c r="K4378" s="3">
        <f t="shared" si="272"/>
        <v>2025</v>
      </c>
      <c r="L4378" s="6">
        <f t="shared" si="273"/>
        <v>45717</v>
      </c>
      <c r="M4378" s="3" t="str">
        <f t="shared" si="274"/>
        <v>0% to 5%</v>
      </c>
      <c r="N4378" s="3" t="str">
        <f t="shared" si="275"/>
        <v>OK</v>
      </c>
    </row>
    <row r="4379" spans="1:14" x14ac:dyDescent="0.3">
      <c r="A4379" s="2">
        <f>DATE(VALUE(RIGHT(TRIM([1]Raw_Data!A4377),4)),VALUE(MID(TRIM([1]Raw_Data!A4377),4,2)),VALUE(LEFT(TRIM([1]Raw_Data!A4377),2)))</f>
        <v>45747</v>
      </c>
      <c r="B4379" s="3" t="str">
        <f>TRIM([1]Raw_Data!B4377)</f>
        <v>Zinc</v>
      </c>
      <c r="C4379" s="3" t="str">
        <f>TRIM([1]Raw_Data!C4377)</f>
        <v>Mineral</v>
      </c>
      <c r="D4379" s="3">
        <f>[1]Raw_Data!D4377</f>
        <v>147</v>
      </c>
      <c r="E4379" s="4">
        <f>[1]Raw_Data!E4377</f>
        <v>23.47</v>
      </c>
      <c r="F4379" s="5">
        <f>[1]Raw_Data!F4377</f>
        <v>3450.09</v>
      </c>
      <c r="G4379" s="4">
        <f>[1]Raw_Data!G4377</f>
        <v>0.14000000000000001</v>
      </c>
      <c r="H4379" s="3">
        <f>[1]Raw_Data!H4377</f>
        <v>1</v>
      </c>
      <c r="I4379" s="3" t="str">
        <f>TRIM([1]Raw_Data!I4377)</f>
        <v>Canada</v>
      </c>
      <c r="J4379" s="3" t="str">
        <f>TRIM([1]Raw_Data!J4377)</f>
        <v>Walmart</v>
      </c>
      <c r="K4379" s="3">
        <f t="shared" si="272"/>
        <v>2025</v>
      </c>
      <c r="L4379" s="6">
        <f t="shared" si="273"/>
        <v>45717</v>
      </c>
      <c r="M4379" s="3" t="str">
        <f t="shared" si="274"/>
        <v>11% to 15%</v>
      </c>
      <c r="N4379" s="3" t="str">
        <f t="shared" si="275"/>
        <v>OK</v>
      </c>
    </row>
    <row r="4380" spans="1:14" x14ac:dyDescent="0.3">
      <c r="A4380" s="2">
        <f>DATE(VALUE(RIGHT(TRIM([1]Raw_Data!A4378),4)),VALUE(MID(TRIM([1]Raw_Data!A4378),4,2)),VALUE(LEFT(TRIM([1]Raw_Data!A4378),2)))</f>
        <v>45747</v>
      </c>
      <c r="B4380" s="3" t="str">
        <f>TRIM([1]Raw_Data!B4378)</f>
        <v>Collagen Peptides</v>
      </c>
      <c r="C4380" s="3" t="str">
        <f>TRIM([1]Raw_Data!C4378)</f>
        <v>Protein</v>
      </c>
      <c r="D4380" s="3">
        <f>[1]Raw_Data!D4378</f>
        <v>146</v>
      </c>
      <c r="E4380" s="4">
        <f>[1]Raw_Data!E4378</f>
        <v>52.79</v>
      </c>
      <c r="F4380" s="5">
        <f>[1]Raw_Data!F4378</f>
        <v>7707.34</v>
      </c>
      <c r="G4380" s="4">
        <f>[1]Raw_Data!G4378</f>
        <v>0.13</v>
      </c>
      <c r="H4380" s="3">
        <f>[1]Raw_Data!H4378</f>
        <v>1</v>
      </c>
      <c r="I4380" s="3" t="str">
        <f>TRIM([1]Raw_Data!I4378)</f>
        <v>USA</v>
      </c>
      <c r="J4380" s="3" t="str">
        <f>TRIM([1]Raw_Data!J4378)</f>
        <v>Amazon</v>
      </c>
      <c r="K4380" s="3">
        <f t="shared" si="272"/>
        <v>2025</v>
      </c>
      <c r="L4380" s="6">
        <f t="shared" si="273"/>
        <v>45717</v>
      </c>
      <c r="M4380" s="3" t="str">
        <f t="shared" si="274"/>
        <v>11% to 15%</v>
      </c>
      <c r="N4380" s="3" t="str">
        <f t="shared" si="275"/>
        <v>OK</v>
      </c>
    </row>
    <row r="4381" spans="1:14" x14ac:dyDescent="0.3">
      <c r="A4381" s="2">
        <f>DATE(VALUE(RIGHT(TRIM([1]Raw_Data!A4379),4)),VALUE(MID(TRIM([1]Raw_Data!A4379),4,2)),VALUE(LEFT(TRIM([1]Raw_Data!A4379),2)))</f>
        <v>45747</v>
      </c>
      <c r="B4381" s="3" t="str">
        <f>TRIM([1]Raw_Data!B4379)</f>
        <v>Magnesium</v>
      </c>
      <c r="C4381" s="3" t="str">
        <f>TRIM([1]Raw_Data!C4379)</f>
        <v>Mineral</v>
      </c>
      <c r="D4381" s="3">
        <f>[1]Raw_Data!D4379</f>
        <v>138</v>
      </c>
      <c r="E4381" s="4">
        <f>[1]Raw_Data!E4379</f>
        <v>28.45</v>
      </c>
      <c r="F4381" s="5">
        <f>[1]Raw_Data!F4379</f>
        <v>3926.1</v>
      </c>
      <c r="G4381" s="4">
        <f>[1]Raw_Data!G4379</f>
        <v>0.25</v>
      </c>
      <c r="H4381" s="3">
        <f>[1]Raw_Data!H4379</f>
        <v>1</v>
      </c>
      <c r="I4381" s="3" t="str">
        <f>TRIM([1]Raw_Data!I4379)</f>
        <v>UK</v>
      </c>
      <c r="J4381" s="3" t="str">
        <f>TRIM([1]Raw_Data!J4379)</f>
        <v>Walmart</v>
      </c>
      <c r="K4381" s="3">
        <f t="shared" si="272"/>
        <v>2025</v>
      </c>
      <c r="L4381" s="6">
        <f t="shared" si="273"/>
        <v>45717</v>
      </c>
      <c r="M4381" s="3" t="str">
        <f t="shared" si="274"/>
        <v>21% to 25%</v>
      </c>
      <c r="N4381" s="3" t="str">
        <f t="shared" si="275"/>
        <v>OK</v>
      </c>
    </row>
    <row r="4382" spans="1:14" x14ac:dyDescent="0.3">
      <c r="A4382" s="2">
        <f>DATE(VALUE(RIGHT(TRIM([1]Raw_Data!A4380),4)),VALUE(MID(TRIM([1]Raw_Data!A4380),4,2)),VALUE(LEFT(TRIM([1]Raw_Data!A4380),2)))</f>
        <v>45747</v>
      </c>
      <c r="B4382" s="3" t="str">
        <f>TRIM([1]Raw_Data!B4380)</f>
        <v>Ashwagandha</v>
      </c>
      <c r="C4382" s="3" t="str">
        <f>TRIM([1]Raw_Data!C4380)</f>
        <v>Herbal</v>
      </c>
      <c r="D4382" s="3">
        <f>[1]Raw_Data!D4380</f>
        <v>145</v>
      </c>
      <c r="E4382" s="4">
        <f>[1]Raw_Data!E4380</f>
        <v>58.08</v>
      </c>
      <c r="F4382" s="5">
        <f>[1]Raw_Data!F4380</f>
        <v>8421.6</v>
      </c>
      <c r="G4382" s="4">
        <f>[1]Raw_Data!G4380</f>
        <v>0.24</v>
      </c>
      <c r="H4382" s="3">
        <f>[1]Raw_Data!H4380</f>
        <v>2</v>
      </c>
      <c r="I4382" s="3" t="str">
        <f>TRIM([1]Raw_Data!I4380)</f>
        <v>Canada</v>
      </c>
      <c r="J4382" s="3" t="str">
        <f>TRIM([1]Raw_Data!J4380)</f>
        <v>Amazon</v>
      </c>
      <c r="K4382" s="3">
        <f t="shared" si="272"/>
        <v>2025</v>
      </c>
      <c r="L4382" s="6">
        <f t="shared" si="273"/>
        <v>45717</v>
      </c>
      <c r="M4382" s="3" t="str">
        <f t="shared" si="274"/>
        <v>21% to 25%</v>
      </c>
      <c r="N4382" s="3" t="str">
        <f t="shared" si="275"/>
        <v>OK</v>
      </c>
    </row>
    <row r="4383" spans="1:14" x14ac:dyDescent="0.3">
      <c r="A4383" s="2">
        <f>DATE(VALUE(RIGHT(TRIM([1]Raw_Data!A4381),4)),VALUE(MID(TRIM([1]Raw_Data!A4381),4,2)),VALUE(LEFT(TRIM([1]Raw_Data!A4381),2)))</f>
        <v>45747</v>
      </c>
      <c r="B4383" s="3" t="str">
        <f>TRIM([1]Raw_Data!B4381)</f>
        <v>Melatonin</v>
      </c>
      <c r="C4383" s="3" t="str">
        <f>TRIM([1]Raw_Data!C4381)</f>
        <v>Sleep Aid</v>
      </c>
      <c r="D4383" s="3">
        <f>[1]Raw_Data!D4381</f>
        <v>160</v>
      </c>
      <c r="E4383" s="4">
        <f>[1]Raw_Data!E4381</f>
        <v>47.79</v>
      </c>
      <c r="F4383" s="5">
        <f>[1]Raw_Data!F4381</f>
        <v>7646.4</v>
      </c>
      <c r="G4383" s="4">
        <f>[1]Raw_Data!G4381</f>
        <v>0.21</v>
      </c>
      <c r="H4383" s="3">
        <f>[1]Raw_Data!H4381</f>
        <v>1</v>
      </c>
      <c r="I4383" s="3" t="str">
        <f>TRIM([1]Raw_Data!I4381)</f>
        <v>USA</v>
      </c>
      <c r="J4383" s="3" t="str">
        <f>TRIM([1]Raw_Data!J4381)</f>
        <v>iHerb</v>
      </c>
      <c r="K4383" s="3">
        <f t="shared" si="272"/>
        <v>2025</v>
      </c>
      <c r="L4383" s="6">
        <f t="shared" si="273"/>
        <v>45717</v>
      </c>
      <c r="M4383" s="3" t="str">
        <f t="shared" si="274"/>
        <v>21% to 25%</v>
      </c>
      <c r="N4383" s="3" t="str">
        <f t="shared" si="275"/>
        <v>OK</v>
      </c>
    </row>
    <row r="4384" spans="1:14" x14ac:dyDescent="0.3">
      <c r="A4384" s="2">
        <f>DATE(VALUE(RIGHT(TRIM([1]Raw_Data!A4382),4)),VALUE(MID(TRIM([1]Raw_Data!A4382),4,2)),VALUE(LEFT(TRIM([1]Raw_Data!A4382),2)))</f>
        <v>45747</v>
      </c>
      <c r="B4384" s="3" t="str">
        <f>TRIM([1]Raw_Data!B4382)</f>
        <v>Biotin</v>
      </c>
      <c r="C4384" s="3" t="str">
        <f>TRIM([1]Raw_Data!C4382)</f>
        <v>Vitamin</v>
      </c>
      <c r="D4384" s="3">
        <f>[1]Raw_Data!D4382</f>
        <v>154</v>
      </c>
      <c r="E4384" s="4">
        <f>[1]Raw_Data!E4382</f>
        <v>38.119999999999997</v>
      </c>
      <c r="F4384" s="5">
        <f>[1]Raw_Data!F4382</f>
        <v>5870.48</v>
      </c>
      <c r="G4384" s="4">
        <f>[1]Raw_Data!G4382</f>
        <v>0.22</v>
      </c>
      <c r="H4384" s="3">
        <f>[1]Raw_Data!H4382</f>
        <v>1</v>
      </c>
      <c r="I4384" s="3" t="str">
        <f>TRIM([1]Raw_Data!I4382)</f>
        <v>UK</v>
      </c>
      <c r="J4384" s="3" t="str">
        <f>TRIM([1]Raw_Data!J4382)</f>
        <v>Walmart</v>
      </c>
      <c r="K4384" s="3">
        <f t="shared" si="272"/>
        <v>2025</v>
      </c>
      <c r="L4384" s="6">
        <f t="shared" si="273"/>
        <v>45717</v>
      </c>
      <c r="M4384" s="3" t="str">
        <f t="shared" si="274"/>
        <v>21% to 25%</v>
      </c>
      <c r="N4384" s="3" t="str">
        <f t="shared" si="275"/>
        <v>OK</v>
      </c>
    </row>
    <row r="4385" spans="1:14" x14ac:dyDescent="0.3">
      <c r="A4385" s="2">
        <f>DATE(VALUE(RIGHT(TRIM([1]Raw_Data!A4383),4)),VALUE(MID(TRIM([1]Raw_Data!A4383),4,2)),VALUE(LEFT(TRIM([1]Raw_Data!A4383),2)))</f>
        <v>45747</v>
      </c>
      <c r="B4385" s="3" t="str">
        <f>TRIM([1]Raw_Data!B4383)</f>
        <v>Green Tea Extract</v>
      </c>
      <c r="C4385" s="3" t="str">
        <f>TRIM([1]Raw_Data!C4383)</f>
        <v>Fat Burner</v>
      </c>
      <c r="D4385" s="3">
        <f>[1]Raw_Data!D4383</f>
        <v>139</v>
      </c>
      <c r="E4385" s="4">
        <f>[1]Raw_Data!E4383</f>
        <v>20.399999999999999</v>
      </c>
      <c r="F4385" s="5">
        <f>[1]Raw_Data!F4383</f>
        <v>2835.6</v>
      </c>
      <c r="G4385" s="4">
        <f>[1]Raw_Data!G4383</f>
        <v>0.12</v>
      </c>
      <c r="H4385" s="3">
        <f>[1]Raw_Data!H4383</f>
        <v>3</v>
      </c>
      <c r="I4385" s="3" t="str">
        <f>TRIM([1]Raw_Data!I4383)</f>
        <v>USA</v>
      </c>
      <c r="J4385" s="3" t="str">
        <f>TRIM([1]Raw_Data!J4383)</f>
        <v>iHerb</v>
      </c>
      <c r="K4385" s="3">
        <f t="shared" si="272"/>
        <v>2025</v>
      </c>
      <c r="L4385" s="6">
        <f t="shared" si="273"/>
        <v>45717</v>
      </c>
      <c r="M4385" s="3" t="str">
        <f t="shared" si="274"/>
        <v>11% to 15%</v>
      </c>
      <c r="N4385" s="3" t="str">
        <f t="shared" si="275"/>
        <v>OK</v>
      </c>
    </row>
    <row r="4386" spans="1:14" x14ac:dyDescent="0.3">
      <c r="A4386" s="2">
        <f>DATE(VALUE(RIGHT(TRIM([1]Raw_Data!A4384),4)),VALUE(MID(TRIM([1]Raw_Data!A4384),4,2)),VALUE(LEFT(TRIM([1]Raw_Data!A4384),2)))</f>
        <v>45747</v>
      </c>
      <c r="B4386" s="3" t="str">
        <f>TRIM([1]Raw_Data!B4384)</f>
        <v>Iron Supplement</v>
      </c>
      <c r="C4386" s="3" t="str">
        <f>TRIM([1]Raw_Data!C4384)</f>
        <v>Mineral</v>
      </c>
      <c r="D4386" s="3">
        <f>[1]Raw_Data!D4384</f>
        <v>154</v>
      </c>
      <c r="E4386" s="4">
        <f>[1]Raw_Data!E4384</f>
        <v>18.309999999999999</v>
      </c>
      <c r="F4386" s="5">
        <f>[1]Raw_Data!F4384</f>
        <v>2819.74</v>
      </c>
      <c r="G4386" s="4">
        <f>[1]Raw_Data!G4384</f>
        <v>0.23</v>
      </c>
      <c r="H4386" s="3">
        <f>[1]Raw_Data!H4384</f>
        <v>2</v>
      </c>
      <c r="I4386" s="3" t="str">
        <f>TRIM([1]Raw_Data!I4384)</f>
        <v>Canada</v>
      </c>
      <c r="J4386" s="3" t="str">
        <f>TRIM([1]Raw_Data!J4384)</f>
        <v>Amazon</v>
      </c>
      <c r="K4386" s="3">
        <f t="shared" si="272"/>
        <v>2025</v>
      </c>
      <c r="L4386" s="6">
        <f t="shared" si="273"/>
        <v>45717</v>
      </c>
      <c r="M4386" s="3" t="str">
        <f t="shared" si="274"/>
        <v>21% to 25%</v>
      </c>
      <c r="N4386" s="3" t="str">
        <f t="shared" si="275"/>
        <v>OK</v>
      </c>
    </row>
    <row r="4387" spans="1:14" x14ac:dyDescent="0.3">
      <c r="A4387" s="2">
        <f>DATE(VALUE(RIGHT(TRIM([1]Raw_Data!A4385),4)),VALUE(MID(TRIM([1]Raw_Data!A4385),4,2)),VALUE(LEFT(TRIM([1]Raw_Data!A4385),2)))</f>
        <v>45747</v>
      </c>
      <c r="B4387" s="3" t="str">
        <f>TRIM([1]Raw_Data!B4385)</f>
        <v>Electrolyte Powder</v>
      </c>
      <c r="C4387" s="3" t="str">
        <f>TRIM([1]Raw_Data!C4385)</f>
        <v>Hydration</v>
      </c>
      <c r="D4387" s="3">
        <f>[1]Raw_Data!D4385</f>
        <v>178</v>
      </c>
      <c r="E4387" s="4">
        <f>[1]Raw_Data!E4385</f>
        <v>39.119999999999997</v>
      </c>
      <c r="F4387" s="5">
        <f>[1]Raw_Data!F4385</f>
        <v>6963.36</v>
      </c>
      <c r="G4387" s="4">
        <f>[1]Raw_Data!G4385</f>
        <v>0.23</v>
      </c>
      <c r="H4387" s="3">
        <f>[1]Raw_Data!H4385</f>
        <v>0</v>
      </c>
      <c r="I4387" s="3" t="str">
        <f>TRIM([1]Raw_Data!I4385)</f>
        <v>UK</v>
      </c>
      <c r="J4387" s="3" t="str">
        <f>TRIM([1]Raw_Data!J4385)</f>
        <v>iHerb</v>
      </c>
      <c r="K4387" s="3">
        <f t="shared" si="272"/>
        <v>2025</v>
      </c>
      <c r="L4387" s="6">
        <f t="shared" si="273"/>
        <v>45717</v>
      </c>
      <c r="M4387" s="3" t="str">
        <f t="shared" si="274"/>
        <v>21% to 25%</v>
      </c>
      <c r="N4387" s="3" t="str">
        <f t="shared" si="275"/>
        <v>OK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 Nadar</dc:creator>
  <cp:lastModifiedBy>Udhaya Nadar</cp:lastModifiedBy>
  <dcterms:created xsi:type="dcterms:W3CDTF">2026-10-07T14:42:19Z</dcterms:created>
  <dcterms:modified xsi:type="dcterms:W3CDTF">2026-10-07T14:59:38Z</dcterms:modified>
</cp:coreProperties>
</file>